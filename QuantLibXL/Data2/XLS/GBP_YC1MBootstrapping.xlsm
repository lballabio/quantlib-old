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zanzi\quantlib\QuantLibXL\Data2\XLS\"/>
    </mc:Choice>
  </mc:AlternateContent>
  <bookViews>
    <workbookView xWindow="-15" yWindow="-15" windowWidth="15225" windowHeight="7695" activeTab="2"/>
  </bookViews>
  <sheets>
    <sheet name="General Settings" sheetId="6" r:id="rId1"/>
    <sheet name="RateHelpers" sheetId="4" r:id="rId2"/>
    <sheet name="Selected" sheetId="5" r:id="rId3"/>
    <sheet name="Deposits" sheetId="7" r:id="rId4"/>
    <sheet name="Swaps" sheetId="9" r:id="rId5"/>
    <sheet name="SwapsFromBasis" sheetId="11" r:id="rId6"/>
    <sheet name="Monitor" sheetId="12" r:id="rId7"/>
  </sheets>
  <externalReferences>
    <externalReference r:id="rId8"/>
  </externalReferences>
  <definedNames>
    <definedName name="_xlnm._FilterDatabase" localSheetId="6"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4">Swaps!#REF!</definedName>
    <definedName name="FamilyName">'General Settings'!$M$11</definedName>
    <definedName name="FileOverwrite">'General Settings'!$M$6</definedName>
    <definedName name="FixingDays">Monitor!#REF!</definedName>
    <definedName name="FRADates">Monitor!$O$19:$O$27</definedName>
    <definedName name="FRANull">Monitor!$Q$19:$Q$27</definedName>
    <definedName name="FRAQuotes">Monitor!$P$19:$P$27</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RateHelpers!$J$2:$J$169</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RateHelpers!$E$2:$E$169</definedName>
    <definedName name="RateHelpersIncluded">RateHelpers!$H$2:$H$169</definedName>
    <definedName name="RateHelpersPriority">RateHelpers!$I$2:$I$169</definedName>
    <definedName name="RateHelpersSelected">Selected!$A$7</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1MConventions">SwapsFromBasis!$O$7:$Q$11</definedName>
    <definedName name="SwapFixedFreq">'General Settings'!$D$8</definedName>
    <definedName name="TraitsID">'General Settings'!$D$24</definedName>
    <definedName name="Trigger">'General Settings'!$D$11</definedName>
    <definedName name="YieldCurve">'General Settings'!$D$14</definedName>
  </definedNames>
  <calcPr calcId="152511"/>
</workbook>
</file>

<file path=xl/calcChain.xml><?xml version="1.0" encoding="utf-8"?>
<calcChain xmlns="http://schemas.openxmlformats.org/spreadsheetml/2006/main">
  <c r="E22" i="6" l="1"/>
  <c r="D22" i="6"/>
  <c r="K4" i="11"/>
  <c r="K4" i="9"/>
  <c r="W546" i="12" l="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38" i="12"/>
  <c r="W539" i="12" s="1"/>
  <c r="W540" i="12" s="1"/>
  <c r="W541" i="12" s="1"/>
  <c r="W542" i="12" s="1"/>
  <c r="W543" i="12" s="1"/>
  <c r="W544" i="12" s="1"/>
  <c r="W545" i="12" s="1"/>
  <c r="M30" i="12" a="1"/>
  <c r="Q27" i="12"/>
  <c r="Q26" i="12"/>
  <c r="Q25"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M19" i="12" a="1"/>
  <c r="F16" i="12"/>
  <c r="F15" i="12"/>
  <c r="F14" i="12"/>
  <c r="F13" i="12"/>
  <c r="F12" i="12"/>
  <c r="F11" i="12"/>
  <c r="F10" i="12"/>
  <c r="D9" i="12"/>
  <c r="F8" i="12"/>
  <c r="F7" i="12"/>
  <c r="F6" i="12"/>
  <c r="F5" i="12"/>
  <c r="F4" i="12"/>
  <c r="F3" i="12"/>
  <c r="M53" i="12"/>
  <c r="B13" i="12"/>
  <c r="B6" i="12"/>
  <c r="C5" i="12"/>
  <c r="B16" i="12"/>
  <c r="C4" i="12"/>
  <c r="M37" i="12"/>
  <c r="M27" i="12"/>
  <c r="M23" i="12"/>
  <c r="M19" i="12"/>
  <c r="N19" i="12" s="1"/>
  <c r="B12" i="12"/>
  <c r="B5" i="12"/>
  <c r="M57" i="12"/>
  <c r="P19" i="12"/>
  <c r="B15" i="12"/>
  <c r="B11" i="12"/>
  <c r="B8" i="12"/>
  <c r="B4" i="12"/>
  <c r="C3" i="12"/>
  <c r="X19" i="12"/>
  <c r="M25" i="12"/>
  <c r="B14" i="12"/>
  <c r="B10" i="12"/>
  <c r="B7" i="12"/>
  <c r="B3" i="12"/>
  <c r="M21" i="12"/>
  <c r="M24" i="12"/>
  <c r="O19" i="12"/>
  <c r="N53" i="12"/>
  <c r="O53" i="12"/>
  <c r="N37" i="12"/>
  <c r="O37" i="12"/>
  <c r="N27" i="12"/>
  <c r="O27" i="12"/>
  <c r="P27" i="12"/>
  <c r="N23" i="12"/>
  <c r="P23" i="12"/>
  <c r="O23" i="12"/>
  <c r="N57" i="12"/>
  <c r="O57" i="12"/>
  <c r="Y19" i="12"/>
  <c r="X20" i="12"/>
  <c r="N25" i="12"/>
  <c r="P25" i="12"/>
  <c r="O25" i="12"/>
  <c r="N21" i="12"/>
  <c r="P21" i="12"/>
  <c r="O21" i="12"/>
  <c r="P24" i="12"/>
  <c r="N24" i="12"/>
  <c r="O24" i="12"/>
  <c r="X21" i="12"/>
  <c r="Y20" i="12"/>
  <c r="X22" i="12"/>
  <c r="Y21" i="12"/>
  <c r="X23" i="12"/>
  <c r="Y22" i="12"/>
  <c r="X24" i="12"/>
  <c r="Y23" i="12"/>
  <c r="X25" i="12"/>
  <c r="Y24" i="12"/>
  <c r="X26" i="12"/>
  <c r="Y25" i="12"/>
  <c r="X27" i="12"/>
  <c r="Y26" i="12"/>
  <c r="Y27" i="12"/>
  <c r="X28" i="12"/>
  <c r="Y28" i="12"/>
  <c r="X29" i="12"/>
  <c r="X30" i="12"/>
  <c r="Y29" i="12"/>
  <c r="Y30" i="12"/>
  <c r="X31" i="12"/>
  <c r="X32" i="12"/>
  <c r="Y31" i="12"/>
  <c r="Y32" i="12"/>
  <c r="X33" i="12"/>
  <c r="X34" i="12"/>
  <c r="Y33" i="12"/>
  <c r="Y34" i="12"/>
  <c r="X35" i="12"/>
  <c r="X36" i="12"/>
  <c r="Y35" i="12"/>
  <c r="Y36" i="12"/>
  <c r="X37" i="12"/>
  <c r="X38" i="12"/>
  <c r="Y37" i="12"/>
  <c r="Y38" i="12"/>
  <c r="X39" i="12"/>
  <c r="X40" i="12"/>
  <c r="Y39" i="12"/>
  <c r="Y40" i="12"/>
  <c r="X41" i="12"/>
  <c r="X42" i="12"/>
  <c r="Y41" i="12"/>
  <c r="Y42" i="12"/>
  <c r="X43" i="12"/>
  <c r="X44" i="12"/>
  <c r="Y43" i="12"/>
  <c r="Y44" i="12"/>
  <c r="X45" i="12"/>
  <c r="X46" i="12"/>
  <c r="Y45" i="12"/>
  <c r="Y46" i="12"/>
  <c r="X47" i="12"/>
  <c r="X48" i="12"/>
  <c r="Y47" i="12"/>
  <c r="Y48" i="12"/>
  <c r="X49" i="12"/>
  <c r="X50" i="12"/>
  <c r="Y49" i="12"/>
  <c r="Y50" i="12"/>
  <c r="X51" i="12"/>
  <c r="X52" i="12"/>
  <c r="Y51" i="12"/>
  <c r="Y52" i="12"/>
  <c r="X53" i="12"/>
  <c r="X54" i="12"/>
  <c r="Y53" i="12"/>
  <c r="Y54" i="12"/>
  <c r="X55" i="12"/>
  <c r="X56" i="12"/>
  <c r="Y55" i="12"/>
  <c r="Y56" i="12"/>
  <c r="X57" i="12"/>
  <c r="X58" i="12"/>
  <c r="Y57" i="12"/>
  <c r="Y58" i="12"/>
  <c r="X59" i="12"/>
  <c r="X60" i="12"/>
  <c r="Y59" i="12"/>
  <c r="Y60" i="12"/>
  <c r="X61" i="12"/>
  <c r="X62" i="12"/>
  <c r="Y61" i="12"/>
  <c r="Y62" i="12"/>
  <c r="X63" i="12"/>
  <c r="X64" i="12"/>
  <c r="Y63" i="12"/>
  <c r="Y64" i="12"/>
  <c r="X65" i="12"/>
  <c r="X66" i="12"/>
  <c r="Y65" i="12"/>
  <c r="Y66" i="12"/>
  <c r="X67" i="12"/>
  <c r="Y67" i="12"/>
  <c r="X68" i="12"/>
  <c r="X69" i="12"/>
  <c r="Y68" i="12"/>
  <c r="X70" i="12"/>
  <c r="Y69" i="12"/>
  <c r="Y70" i="12"/>
  <c r="X71" i="12"/>
  <c r="Y71" i="12"/>
  <c r="X72" i="12"/>
  <c r="X73" i="12"/>
  <c r="Y72" i="12"/>
  <c r="X74" i="12"/>
  <c r="Y73" i="12"/>
  <c r="Y74" i="12"/>
  <c r="X75" i="12"/>
  <c r="Y75" i="12"/>
  <c r="X76" i="12"/>
  <c r="X77" i="12"/>
  <c r="Y76" i="12"/>
  <c r="X78" i="12"/>
  <c r="Y77" i="12"/>
  <c r="Y78" i="12"/>
  <c r="X79" i="12"/>
  <c r="Y79" i="12"/>
  <c r="X80" i="12"/>
  <c r="X81" i="12"/>
  <c r="Y80" i="12"/>
  <c r="X82" i="12"/>
  <c r="Y81" i="12"/>
  <c r="Y82" i="12"/>
  <c r="X83" i="12"/>
  <c r="Y83" i="12"/>
  <c r="X84" i="12"/>
  <c r="X85" i="12"/>
  <c r="Y84" i="12"/>
  <c r="X86" i="12"/>
  <c r="Y85" i="12"/>
  <c r="Y86" i="12"/>
  <c r="X87" i="12"/>
  <c r="Y87" i="12"/>
  <c r="X88" i="12"/>
  <c r="X89" i="12"/>
  <c r="Y88" i="12"/>
  <c r="X90" i="12"/>
  <c r="Y89" i="12"/>
  <c r="Y90" i="12"/>
  <c r="X91" i="12"/>
  <c r="Y91" i="12"/>
  <c r="X92" i="12"/>
  <c r="X93" i="12"/>
  <c r="Y92" i="12"/>
  <c r="X94" i="12"/>
  <c r="Y93" i="12"/>
  <c r="Y94" i="12"/>
  <c r="X95" i="12"/>
  <c r="Y95" i="12"/>
  <c r="X96" i="12"/>
  <c r="X97" i="12"/>
  <c r="Y96" i="12"/>
  <c r="X98" i="12"/>
  <c r="Y97" i="12"/>
  <c r="Y98" i="12"/>
  <c r="X99" i="12"/>
  <c r="Y99" i="12"/>
  <c r="X100" i="12"/>
  <c r="X101" i="12"/>
  <c r="Y100" i="12"/>
  <c r="X102" i="12"/>
  <c r="Y101" i="12"/>
  <c r="Y102" i="12"/>
  <c r="X103" i="12"/>
  <c r="Y103" i="12"/>
  <c r="X104" i="12"/>
  <c r="X105" i="12"/>
  <c r="Y104" i="12"/>
  <c r="X106" i="12"/>
  <c r="Y105" i="12"/>
  <c r="Y106" i="12"/>
  <c r="X107" i="12"/>
  <c r="Y107" i="12"/>
  <c r="X108" i="12"/>
  <c r="X109" i="12"/>
  <c r="Y108" i="12"/>
  <c r="X110" i="12"/>
  <c r="Y109" i="12"/>
  <c r="Y110" i="12"/>
  <c r="X111" i="12"/>
  <c r="Y111" i="12"/>
  <c r="X112" i="12"/>
  <c r="X113" i="12"/>
  <c r="Y112" i="12"/>
  <c r="X114" i="12"/>
  <c r="Y113" i="12"/>
  <c r="Y114" i="12"/>
  <c r="X115" i="12"/>
  <c r="Y115" i="12"/>
  <c r="X116" i="12"/>
  <c r="X117" i="12"/>
  <c r="Y116" i="12"/>
  <c r="X118" i="12"/>
  <c r="Y117" i="12"/>
  <c r="Y118" i="12"/>
  <c r="X119" i="12"/>
  <c r="Y119" i="12"/>
  <c r="X120" i="12"/>
  <c r="X121" i="12"/>
  <c r="Y120" i="12"/>
  <c r="X122" i="12"/>
  <c r="Y121" i="12"/>
  <c r="Y122" i="12"/>
  <c r="X123" i="12"/>
  <c r="Y123" i="12"/>
  <c r="X124" i="12"/>
  <c r="X125" i="12"/>
  <c r="Y124" i="12"/>
  <c r="X126" i="12"/>
  <c r="Y125" i="12"/>
  <c r="Y126" i="12"/>
  <c r="X127" i="12"/>
  <c r="Y127" i="12"/>
  <c r="X128" i="12"/>
  <c r="X129" i="12"/>
  <c r="Y128" i="12"/>
  <c r="X130" i="12"/>
  <c r="Y129" i="12"/>
  <c r="Y130" i="12"/>
  <c r="X131" i="12"/>
  <c r="Y131" i="12"/>
  <c r="X132" i="12"/>
  <c r="X133" i="12"/>
  <c r="Y132" i="12"/>
  <c r="X134" i="12"/>
  <c r="Y133" i="12"/>
  <c r="Y134" i="12"/>
  <c r="X135" i="12"/>
  <c r="Y135" i="12"/>
  <c r="X136" i="12"/>
  <c r="X137" i="12"/>
  <c r="Y136" i="12"/>
  <c r="X138" i="12"/>
  <c r="Y137" i="12"/>
  <c r="Y138" i="12"/>
  <c r="X139" i="12"/>
  <c r="Y139" i="12"/>
  <c r="X140" i="12"/>
  <c r="X141" i="12"/>
  <c r="Y140" i="12"/>
  <c r="X142" i="12"/>
  <c r="Y141" i="12"/>
  <c r="Y142" i="12"/>
  <c r="X143" i="12"/>
  <c r="Y143" i="12"/>
  <c r="X144" i="12"/>
  <c r="X145" i="12"/>
  <c r="Y144" i="12"/>
  <c r="X146" i="12"/>
  <c r="Y145" i="12"/>
  <c r="Y146" i="12"/>
  <c r="X147" i="12"/>
  <c r="Y147" i="12"/>
  <c r="X148" i="12"/>
  <c r="X149" i="12"/>
  <c r="Y148" i="12"/>
  <c r="X150" i="12"/>
  <c r="Y149" i="12"/>
  <c r="Y150" i="12"/>
  <c r="X151" i="12"/>
  <c r="Y151" i="12"/>
  <c r="X152" i="12"/>
  <c r="X153" i="12"/>
  <c r="Y152" i="12"/>
  <c r="X154" i="12"/>
  <c r="Y153" i="12"/>
  <c r="Y154" i="12"/>
  <c r="X155" i="12"/>
  <c r="Y155" i="12"/>
  <c r="X156" i="12"/>
  <c r="X157" i="12"/>
  <c r="Y156" i="12"/>
  <c r="X158" i="12"/>
  <c r="Y157" i="12"/>
  <c r="Y158" i="12"/>
  <c r="X159" i="12"/>
  <c r="Y159" i="12"/>
  <c r="X160" i="12"/>
  <c r="X161" i="12"/>
  <c r="Y160" i="12"/>
  <c r="X162" i="12"/>
  <c r="Y161" i="12"/>
  <c r="Y162" i="12"/>
  <c r="X163" i="12"/>
  <c r="Y163" i="12"/>
  <c r="X164" i="12"/>
  <c r="X165" i="12"/>
  <c r="Y164" i="12"/>
  <c r="X166" i="12"/>
  <c r="Y165" i="12"/>
  <c r="Y166" i="12"/>
  <c r="X167" i="12"/>
  <c r="Y167" i="12"/>
  <c r="X168" i="12"/>
  <c r="X169" i="12"/>
  <c r="Y168" i="12"/>
  <c r="X170" i="12"/>
  <c r="Y169" i="12"/>
  <c r="Y170" i="12"/>
  <c r="X171" i="12"/>
  <c r="Y171" i="12"/>
  <c r="X172" i="12"/>
  <c r="X173" i="12"/>
  <c r="Y172" i="12"/>
  <c r="X174" i="12"/>
  <c r="Y173" i="12"/>
  <c r="Y174" i="12"/>
  <c r="X175" i="12"/>
  <c r="Y175" i="12"/>
  <c r="X176" i="12"/>
  <c r="X177" i="12"/>
  <c r="Y176" i="12"/>
  <c r="X178" i="12"/>
  <c r="Y177" i="12"/>
  <c r="Y178" i="12"/>
  <c r="X179" i="12"/>
  <c r="Y179" i="12"/>
  <c r="X180" i="12"/>
  <c r="X181" i="12"/>
  <c r="Y180" i="12"/>
  <c r="X182" i="12"/>
  <c r="Y181" i="12"/>
  <c r="Y182" i="12"/>
  <c r="X183" i="12"/>
  <c r="Y183" i="12"/>
  <c r="X184" i="12"/>
  <c r="X185" i="12"/>
  <c r="Y184" i="12"/>
  <c r="X186" i="12"/>
  <c r="Y185" i="12"/>
  <c r="Y186" i="12"/>
  <c r="X187" i="12"/>
  <c r="Y187" i="12"/>
  <c r="X188" i="12"/>
  <c r="X189" i="12"/>
  <c r="Y188" i="12"/>
  <c r="X190" i="12"/>
  <c r="Y189" i="12"/>
  <c r="Y190" i="12"/>
  <c r="X191" i="12"/>
  <c r="Y191" i="12"/>
  <c r="X192" i="12"/>
  <c r="X193" i="12"/>
  <c r="Y192" i="12"/>
  <c r="X194" i="12"/>
  <c r="Y193" i="12"/>
  <c r="Y194" i="12"/>
  <c r="X195" i="12"/>
  <c r="Y195" i="12"/>
  <c r="X196" i="12"/>
  <c r="X197" i="12"/>
  <c r="Y196" i="12"/>
  <c r="X198" i="12"/>
  <c r="Y197" i="12"/>
  <c r="Y198" i="12"/>
  <c r="X199" i="12"/>
  <c r="Y199" i="12"/>
  <c r="X200" i="12"/>
  <c r="X201" i="12"/>
  <c r="Y200" i="12"/>
  <c r="X202" i="12"/>
  <c r="Y201" i="12"/>
  <c r="Y202" i="12"/>
  <c r="X203" i="12"/>
  <c r="Y203" i="12"/>
  <c r="X204" i="12"/>
  <c r="X205" i="12"/>
  <c r="Y204" i="12"/>
  <c r="X206" i="12"/>
  <c r="Y205" i="12"/>
  <c r="Y206" i="12"/>
  <c r="X207" i="12"/>
  <c r="Y207" i="12"/>
  <c r="X208" i="12"/>
  <c r="X209" i="12"/>
  <c r="Y208" i="12"/>
  <c r="X210" i="12"/>
  <c r="Y209" i="12"/>
  <c r="Y210" i="12"/>
  <c r="X211" i="12"/>
  <c r="Y211" i="12"/>
  <c r="X212" i="12"/>
  <c r="X213" i="12"/>
  <c r="Y212" i="12"/>
  <c r="X214" i="12"/>
  <c r="Y213" i="12"/>
  <c r="Y214" i="12"/>
  <c r="X215" i="12"/>
  <c r="Y215" i="12"/>
  <c r="X216" i="12"/>
  <c r="X217" i="12"/>
  <c r="Y216" i="12"/>
  <c r="X218" i="12"/>
  <c r="Y217" i="12"/>
  <c r="Y218" i="12"/>
  <c r="X219" i="12"/>
  <c r="Y219" i="12"/>
  <c r="X220" i="12"/>
  <c r="X221" i="12"/>
  <c r="Y220" i="12"/>
  <c r="X222" i="12"/>
  <c r="Y221" i="12"/>
  <c r="Y222" i="12"/>
  <c r="X223" i="12"/>
  <c r="Y223" i="12"/>
  <c r="X224" i="12"/>
  <c r="X225" i="12"/>
  <c r="Y224" i="12"/>
  <c r="X226" i="12"/>
  <c r="Y225" i="12"/>
  <c r="Y226" i="12"/>
  <c r="X227" i="12"/>
  <c r="Y227" i="12"/>
  <c r="X228" i="12"/>
  <c r="X229" i="12"/>
  <c r="Y228" i="12"/>
  <c r="X230" i="12"/>
  <c r="Y229" i="12"/>
  <c r="Y230" i="12"/>
  <c r="X231" i="12"/>
  <c r="Y231" i="12"/>
  <c r="X232" i="12"/>
  <c r="X233" i="12"/>
  <c r="Y232" i="12"/>
  <c r="X234" i="12"/>
  <c r="Y233" i="12"/>
  <c r="Y234" i="12"/>
  <c r="X235" i="12"/>
  <c r="Y235" i="12"/>
  <c r="X236" i="12"/>
  <c r="X237" i="12"/>
  <c r="Y236" i="12"/>
  <c r="X238" i="12"/>
  <c r="Y237" i="12"/>
  <c r="Y238" i="12"/>
  <c r="X239" i="12"/>
  <c r="Y239" i="12"/>
  <c r="X240" i="12"/>
  <c r="X241" i="12"/>
  <c r="Y240" i="12"/>
  <c r="X242" i="12"/>
  <c r="Y241" i="12"/>
  <c r="Y242" i="12"/>
  <c r="X243" i="12"/>
  <c r="Y243" i="12"/>
  <c r="X244" i="12"/>
  <c r="X245" i="12"/>
  <c r="Y244" i="12"/>
  <c r="X246" i="12"/>
  <c r="Y245" i="12"/>
  <c r="Y246" i="12"/>
  <c r="X247" i="12"/>
  <c r="Y247" i="12"/>
  <c r="X248" i="12"/>
  <c r="X249" i="12"/>
  <c r="Y248" i="12"/>
  <c r="X250" i="12"/>
  <c r="Y249" i="12"/>
  <c r="Y250" i="12"/>
  <c r="X251" i="12"/>
  <c r="Y251" i="12"/>
  <c r="X252" i="12"/>
  <c r="X253" i="12"/>
  <c r="Y252" i="12"/>
  <c r="X254" i="12"/>
  <c r="Y253" i="12"/>
  <c r="Y254" i="12"/>
  <c r="X255" i="12"/>
  <c r="Y255" i="12"/>
  <c r="X256" i="12"/>
  <c r="X257" i="12"/>
  <c r="Y256" i="12"/>
  <c r="X258" i="12"/>
  <c r="Y257" i="12"/>
  <c r="Y258" i="12"/>
  <c r="X259" i="12"/>
  <c r="Y259" i="12"/>
  <c r="X260" i="12"/>
  <c r="X261" i="12"/>
  <c r="Y260" i="12"/>
  <c r="X262" i="12"/>
  <c r="Y261" i="12"/>
  <c r="Y262" i="12"/>
  <c r="X263" i="12"/>
  <c r="Y263" i="12"/>
  <c r="X264" i="12"/>
  <c r="X265" i="12"/>
  <c r="Y264" i="12"/>
  <c r="X266" i="12"/>
  <c r="Y265" i="12"/>
  <c r="Y266" i="12"/>
  <c r="X267" i="12"/>
  <c r="Y267" i="12"/>
  <c r="X268" i="12"/>
  <c r="X269" i="12"/>
  <c r="Y268" i="12"/>
  <c r="X270" i="12"/>
  <c r="Y269" i="12"/>
  <c r="Y270" i="12"/>
  <c r="X271" i="12"/>
  <c r="Y271" i="12"/>
  <c r="X272" i="12"/>
  <c r="X273" i="12"/>
  <c r="Y272" i="12"/>
  <c r="X274" i="12"/>
  <c r="Y273" i="12"/>
  <c r="Y274" i="12"/>
  <c r="X275" i="12"/>
  <c r="Y275" i="12"/>
  <c r="X276" i="12"/>
  <c r="X277" i="12"/>
  <c r="Y276" i="12"/>
  <c r="X278" i="12"/>
  <c r="Y277" i="12"/>
  <c r="Y278" i="12"/>
  <c r="X279" i="12"/>
  <c r="Y279" i="12"/>
  <c r="X280" i="12"/>
  <c r="X281" i="12"/>
  <c r="Y280" i="12"/>
  <c r="X282" i="12"/>
  <c r="Y281" i="12"/>
  <c r="Y282" i="12"/>
  <c r="X283" i="12"/>
  <c r="Y283" i="12"/>
  <c r="X284" i="12"/>
  <c r="X285" i="12"/>
  <c r="Y284" i="12"/>
  <c r="X286" i="12"/>
  <c r="Y285" i="12"/>
  <c r="Y286" i="12"/>
  <c r="X287" i="12"/>
  <c r="Y287" i="12"/>
  <c r="X288" i="12"/>
  <c r="X289" i="12"/>
  <c r="Y288" i="12"/>
  <c r="X290" i="12"/>
  <c r="Y289" i="12"/>
  <c r="Y290" i="12"/>
  <c r="X291" i="12"/>
  <c r="Y291" i="12"/>
  <c r="X292" i="12"/>
  <c r="X293" i="12"/>
  <c r="Y292" i="12"/>
  <c r="X294" i="12"/>
  <c r="Y293" i="12"/>
  <c r="Y294" i="12"/>
  <c r="X295" i="12"/>
  <c r="Y295" i="12"/>
  <c r="X296" i="12"/>
  <c r="X297" i="12"/>
  <c r="Y296" i="12"/>
  <c r="X298" i="12"/>
  <c r="Y297" i="12"/>
  <c r="Y298" i="12"/>
  <c r="X299" i="12"/>
  <c r="Y299" i="12"/>
  <c r="X300" i="12"/>
  <c r="X301" i="12"/>
  <c r="Y300" i="12"/>
  <c r="X302" i="12"/>
  <c r="Y301" i="12"/>
  <c r="Y302" i="12"/>
  <c r="X303" i="12"/>
  <c r="Y303" i="12"/>
  <c r="X304" i="12"/>
  <c r="X305" i="12"/>
  <c r="Y304" i="12"/>
  <c r="X306" i="12"/>
  <c r="Y305" i="12"/>
  <c r="Y306" i="12"/>
  <c r="X307" i="12"/>
  <c r="Y307" i="12"/>
  <c r="X308" i="12"/>
  <c r="X309" i="12"/>
  <c r="Y308" i="12"/>
  <c r="X310" i="12"/>
  <c r="Y309" i="12"/>
  <c r="Y310" i="12"/>
  <c r="X311" i="12"/>
  <c r="Y311" i="12"/>
  <c r="X312" i="12"/>
  <c r="X313" i="12"/>
  <c r="Y312" i="12"/>
  <c r="X314" i="12"/>
  <c r="Y313" i="12"/>
  <c r="Y314" i="12"/>
  <c r="X315" i="12"/>
  <c r="Y315" i="12"/>
  <c r="X316" i="12"/>
  <c r="X317" i="12"/>
  <c r="Y316" i="12"/>
  <c r="X318" i="12"/>
  <c r="Y317" i="12"/>
  <c r="Y318" i="12"/>
  <c r="X319" i="12"/>
  <c r="Y319" i="12"/>
  <c r="X320" i="12"/>
  <c r="X321" i="12"/>
  <c r="Y320" i="12"/>
  <c r="X322" i="12"/>
  <c r="Y321" i="12"/>
  <c r="Y322" i="12"/>
  <c r="X323" i="12"/>
  <c r="Y323" i="12"/>
  <c r="X324" i="12"/>
  <c r="X325" i="12"/>
  <c r="Y324" i="12"/>
  <c r="X326" i="12"/>
  <c r="Y325" i="12"/>
  <c r="Y326" i="12"/>
  <c r="X327" i="12"/>
  <c r="Y327" i="12"/>
  <c r="X328" i="12"/>
  <c r="X329" i="12"/>
  <c r="Y328" i="12"/>
  <c r="X330" i="12"/>
  <c r="Y329" i="12"/>
  <c r="Y330" i="12"/>
  <c r="X331" i="12"/>
  <c r="Y331" i="12"/>
  <c r="X332" i="12"/>
  <c r="X333" i="12"/>
  <c r="Y332" i="12"/>
  <c r="X334" i="12"/>
  <c r="Y333" i="12"/>
  <c r="Y334" i="12"/>
  <c r="X335" i="12"/>
  <c r="Y335" i="12"/>
  <c r="X336" i="12"/>
  <c r="X337" i="12"/>
  <c r="Y336" i="12"/>
  <c r="X338" i="12"/>
  <c r="Y337" i="12"/>
  <c r="Y338" i="12"/>
  <c r="X339" i="12"/>
  <c r="Y339" i="12"/>
  <c r="X340" i="12"/>
  <c r="X341" i="12"/>
  <c r="Y340" i="12"/>
  <c r="X342" i="12"/>
  <c r="Y341" i="12"/>
  <c r="Y342" i="12"/>
  <c r="X343" i="12"/>
  <c r="Y343" i="12"/>
  <c r="X344" i="12"/>
  <c r="X345" i="12"/>
  <c r="Y344" i="12"/>
  <c r="X346" i="12"/>
  <c r="Y345" i="12"/>
  <c r="Y346" i="12"/>
  <c r="X347" i="12"/>
  <c r="Y347" i="12"/>
  <c r="X348" i="12"/>
  <c r="X349" i="12"/>
  <c r="Y348" i="12"/>
  <c r="X350" i="12"/>
  <c r="Y349" i="12"/>
  <c r="Y350" i="12"/>
  <c r="X351" i="12"/>
  <c r="Y351" i="12"/>
  <c r="X352" i="12"/>
  <c r="X353" i="12"/>
  <c r="Y352" i="12"/>
  <c r="X354" i="12"/>
  <c r="Y353" i="12"/>
  <c r="Y354" i="12"/>
  <c r="X355" i="12"/>
  <c r="Y355" i="12"/>
  <c r="X356" i="12"/>
  <c r="X357" i="12"/>
  <c r="Y356" i="12"/>
  <c r="X358" i="12"/>
  <c r="Y357" i="12"/>
  <c r="Y358" i="12"/>
  <c r="X359" i="12"/>
  <c r="Y359" i="12"/>
  <c r="X360" i="12"/>
  <c r="X361" i="12"/>
  <c r="Y360" i="12"/>
  <c r="X362" i="12"/>
  <c r="Y361" i="12"/>
  <c r="Y362" i="12"/>
  <c r="X363" i="12"/>
  <c r="Y363" i="12"/>
  <c r="X364" i="12"/>
  <c r="X365" i="12"/>
  <c r="Y364" i="12"/>
  <c r="X366" i="12"/>
  <c r="Y365" i="12"/>
  <c r="Y366" i="12"/>
  <c r="X367" i="12"/>
  <c r="Y367" i="12"/>
  <c r="X368" i="12"/>
  <c r="X369" i="12"/>
  <c r="Y368" i="12"/>
  <c r="X370" i="12"/>
  <c r="Y369" i="12"/>
  <c r="Y370" i="12"/>
  <c r="X371" i="12"/>
  <c r="Y371" i="12"/>
  <c r="X372" i="12"/>
  <c r="X373" i="12"/>
  <c r="Y372" i="12"/>
  <c r="X374" i="12"/>
  <c r="Y373" i="12"/>
  <c r="Y374" i="12"/>
  <c r="X375" i="12"/>
  <c r="Y375" i="12"/>
  <c r="X376" i="12"/>
  <c r="X377" i="12"/>
  <c r="Y376" i="12"/>
  <c r="X378" i="12"/>
  <c r="Y377" i="12"/>
  <c r="Y378" i="12"/>
  <c r="X379" i="12"/>
  <c r="Y379" i="12"/>
  <c r="X380" i="12"/>
  <c r="X381" i="12"/>
  <c r="Y380" i="12"/>
  <c r="X382" i="12"/>
  <c r="Y381" i="12"/>
  <c r="Y382" i="12"/>
  <c r="X383" i="12"/>
  <c r="Y383" i="12"/>
  <c r="X384" i="12"/>
  <c r="X385" i="12"/>
  <c r="Y384" i="12"/>
  <c r="X386" i="12"/>
  <c r="Y385" i="12"/>
  <c r="Y386" i="12"/>
  <c r="X387" i="12"/>
  <c r="Y387" i="12"/>
  <c r="X388" i="12"/>
  <c r="X389" i="12"/>
  <c r="Y388" i="12"/>
  <c r="X390" i="12"/>
  <c r="Y389" i="12"/>
  <c r="Y390" i="12"/>
  <c r="X391" i="12"/>
  <c r="Y391" i="12"/>
  <c r="X392" i="12"/>
  <c r="X393" i="12"/>
  <c r="Y392" i="12"/>
  <c r="X394" i="12"/>
  <c r="Y393" i="12"/>
  <c r="Y394" i="12"/>
  <c r="X395" i="12"/>
  <c r="Y395" i="12"/>
  <c r="X396" i="12"/>
  <c r="X397" i="12"/>
  <c r="Y396" i="12"/>
  <c r="X398" i="12"/>
  <c r="Y397" i="12"/>
  <c r="Y398" i="12"/>
  <c r="X399" i="12"/>
  <c r="Y399" i="12"/>
  <c r="X400" i="12"/>
  <c r="X401" i="12"/>
  <c r="Y400" i="12"/>
  <c r="X402" i="12"/>
  <c r="Y401" i="12"/>
  <c r="Y402" i="12"/>
  <c r="X403" i="12"/>
  <c r="Y403" i="12"/>
  <c r="X404" i="12"/>
  <c r="X405" i="12"/>
  <c r="Y404" i="12"/>
  <c r="X406" i="12"/>
  <c r="Y405" i="12"/>
  <c r="Y406" i="12"/>
  <c r="X407" i="12"/>
  <c r="Y407" i="12"/>
  <c r="X408" i="12"/>
  <c r="X409" i="12"/>
  <c r="Y408" i="12"/>
  <c r="X410" i="12"/>
  <c r="Y409" i="12"/>
  <c r="Y410" i="12"/>
  <c r="X411" i="12"/>
  <c r="Y411" i="12"/>
  <c r="X412" i="12"/>
  <c r="X413" i="12"/>
  <c r="Y412" i="12"/>
  <c r="X414" i="12"/>
  <c r="Y413" i="12"/>
  <c r="X415" i="12"/>
  <c r="Y414" i="12"/>
  <c r="X416" i="12"/>
  <c r="Y415" i="12"/>
  <c r="Y416" i="12"/>
  <c r="X417" i="12"/>
  <c r="Y417" i="12"/>
  <c r="X418" i="12"/>
  <c r="X419" i="12"/>
  <c r="Y418" i="12"/>
  <c r="Y419" i="12"/>
  <c r="X420" i="12"/>
  <c r="Y420" i="12"/>
  <c r="X421" i="12"/>
  <c r="Y421" i="12"/>
  <c r="X422" i="12"/>
  <c r="X423" i="12"/>
  <c r="Y422" i="12"/>
  <c r="X424" i="12"/>
  <c r="Y423" i="12"/>
  <c r="Y424" i="12"/>
  <c r="X425" i="12"/>
  <c r="Y425" i="12"/>
  <c r="X426" i="12"/>
  <c r="X427" i="12"/>
  <c r="Y426" i="12"/>
  <c r="Y427" i="12"/>
  <c r="X428" i="12"/>
  <c r="Y428" i="12"/>
  <c r="X429" i="12"/>
  <c r="Y429" i="12"/>
  <c r="X430" i="12"/>
  <c r="X431" i="12"/>
  <c r="Y430" i="12"/>
  <c r="X432" i="12"/>
  <c r="Y431" i="12"/>
  <c r="Y432" i="12"/>
  <c r="X433" i="12"/>
  <c r="Y433" i="12"/>
  <c r="X434" i="12"/>
  <c r="X435" i="12"/>
  <c r="Y434" i="12"/>
  <c r="X436" i="12"/>
  <c r="Y435" i="12"/>
  <c r="Y436" i="12"/>
  <c r="X437" i="12"/>
  <c r="Y437" i="12"/>
  <c r="X438" i="12"/>
  <c r="X439" i="12"/>
  <c r="Y438" i="12"/>
  <c r="Y439" i="12"/>
  <c r="X440" i="12"/>
  <c r="Y440" i="12"/>
  <c r="X441" i="12"/>
  <c r="X442" i="12"/>
  <c r="Y441" i="12"/>
  <c r="X443" i="12"/>
  <c r="Y442" i="12"/>
  <c r="X444" i="12"/>
  <c r="Y443" i="12"/>
  <c r="Y444" i="12"/>
  <c r="X445" i="12"/>
  <c r="Y445" i="12"/>
  <c r="X446" i="12"/>
  <c r="X447" i="12"/>
  <c r="Y446" i="12"/>
  <c r="Y447" i="12"/>
  <c r="X448" i="12"/>
  <c r="Y448" i="12"/>
  <c r="X449" i="12"/>
  <c r="Y449" i="12"/>
  <c r="X450" i="12"/>
  <c r="X451" i="12"/>
  <c r="Y450" i="12"/>
  <c r="X452" i="12"/>
  <c r="Y451" i="12"/>
  <c r="Y452" i="12"/>
  <c r="X453" i="12"/>
  <c r="Y453" i="12"/>
  <c r="X454" i="12"/>
  <c r="X455" i="12"/>
  <c r="Y454" i="12"/>
  <c r="X456" i="12"/>
  <c r="Y455" i="12"/>
  <c r="Y456" i="12"/>
  <c r="X457" i="12"/>
  <c r="Y457" i="12"/>
  <c r="X458" i="12"/>
  <c r="X459" i="12"/>
  <c r="Y458" i="12"/>
  <c r="X460" i="12"/>
  <c r="Y459" i="12"/>
  <c r="Y460" i="12"/>
  <c r="X461" i="12"/>
  <c r="Y461" i="12"/>
  <c r="X462" i="12"/>
  <c r="X463" i="12"/>
  <c r="Y462" i="12"/>
  <c r="Y463" i="12"/>
  <c r="X464" i="12"/>
  <c r="Y464" i="12"/>
  <c r="X465" i="12"/>
  <c r="Y465" i="12"/>
  <c r="X466" i="12"/>
  <c r="X467" i="12"/>
  <c r="Y466" i="12"/>
  <c r="X468" i="12"/>
  <c r="Y467" i="12"/>
  <c r="Y468" i="12"/>
  <c r="X469" i="12"/>
  <c r="Y469" i="12"/>
  <c r="X470" i="12"/>
  <c r="X471" i="12"/>
  <c r="Y470" i="12"/>
  <c r="Y471" i="12"/>
  <c r="X472" i="12"/>
  <c r="Y472" i="12"/>
  <c r="X473" i="12"/>
  <c r="X474" i="12"/>
  <c r="Y473" i="12"/>
  <c r="X475" i="12"/>
  <c r="Y474" i="12"/>
  <c r="X476" i="12"/>
  <c r="Y475" i="12"/>
  <c r="Y476" i="12"/>
  <c r="X477" i="12"/>
  <c r="Y477" i="12"/>
  <c r="X478" i="12"/>
  <c r="X479" i="12"/>
  <c r="Y478" i="12"/>
  <c r="Y479" i="12"/>
  <c r="X480" i="12"/>
  <c r="Y480" i="12"/>
  <c r="X481" i="12"/>
  <c r="Y481" i="12"/>
  <c r="X482" i="12"/>
  <c r="X483" i="12"/>
  <c r="Y482" i="12"/>
  <c r="X484" i="12"/>
  <c r="Y483" i="12"/>
  <c r="Y484" i="12"/>
  <c r="X485" i="12"/>
  <c r="Y485" i="12"/>
  <c r="X486" i="12"/>
  <c r="X487" i="12"/>
  <c r="Y486" i="12"/>
  <c r="Y487" i="12"/>
  <c r="X488" i="12"/>
  <c r="Y488" i="12"/>
  <c r="X489" i="12"/>
  <c r="Y489" i="12"/>
  <c r="X490" i="12"/>
  <c r="X491" i="12"/>
  <c r="Y490" i="12"/>
  <c r="X492" i="12"/>
  <c r="Y491" i="12"/>
  <c r="Y492" i="12"/>
  <c r="X493" i="12"/>
  <c r="Y493" i="12"/>
  <c r="X494" i="12"/>
  <c r="X495" i="12"/>
  <c r="Y494" i="12"/>
  <c r="Y495" i="12"/>
  <c r="X496" i="12"/>
  <c r="Y496" i="12"/>
  <c r="X497" i="12"/>
  <c r="Y497" i="12"/>
  <c r="X498" i="12"/>
  <c r="X499" i="12"/>
  <c r="Y498" i="12"/>
  <c r="X500" i="12"/>
  <c r="Y499" i="12"/>
  <c r="Y500" i="12"/>
  <c r="X501" i="12"/>
  <c r="Y501" i="12"/>
  <c r="X502" i="12"/>
  <c r="X503" i="12"/>
  <c r="Y502" i="12"/>
  <c r="Y503" i="12"/>
  <c r="X504" i="12"/>
  <c r="Y504" i="12"/>
  <c r="X505" i="12"/>
  <c r="Y505" i="12"/>
  <c r="X506" i="12"/>
  <c r="X507" i="12"/>
  <c r="Y506" i="12"/>
  <c r="X508" i="12"/>
  <c r="Y507" i="12"/>
  <c r="Y508" i="12"/>
  <c r="X509" i="12"/>
  <c r="Y509" i="12"/>
  <c r="X510" i="12"/>
  <c r="X511" i="12"/>
  <c r="Y510" i="12"/>
  <c r="Y511" i="12"/>
  <c r="X512" i="12"/>
  <c r="Y512" i="12"/>
  <c r="X513" i="12"/>
  <c r="Y513" i="12"/>
  <c r="X514" i="12"/>
  <c r="X515" i="12"/>
  <c r="Y514" i="12"/>
  <c r="X516" i="12"/>
  <c r="Y515" i="12"/>
  <c r="Y516" i="12"/>
  <c r="X517" i="12"/>
  <c r="Y517" i="12"/>
  <c r="X518" i="12"/>
  <c r="X519" i="12"/>
  <c r="Y518" i="12"/>
  <c r="Y519" i="12"/>
  <c r="X520" i="12"/>
  <c r="Y520" i="12"/>
  <c r="X521" i="12"/>
  <c r="Y521" i="12"/>
  <c r="X522" i="12"/>
  <c r="X523" i="12"/>
  <c r="Y522" i="12"/>
  <c r="X524" i="12"/>
  <c r="Y523" i="12"/>
  <c r="Y524" i="12"/>
  <c r="X525" i="12"/>
  <c r="Y525" i="12"/>
  <c r="X526" i="12"/>
  <c r="X527" i="12"/>
  <c r="Y526" i="12"/>
  <c r="Y527" i="12"/>
  <c r="X528" i="12"/>
  <c r="Y528" i="12"/>
  <c r="X529" i="12"/>
  <c r="Y529" i="12"/>
  <c r="X530" i="12"/>
  <c r="X531" i="12"/>
  <c r="Y530" i="12"/>
  <c r="X532" i="12"/>
  <c r="Y531" i="12"/>
  <c r="Y532" i="12"/>
  <c r="X533" i="12"/>
  <c r="Y533" i="12"/>
  <c r="X534" i="12"/>
  <c r="X535" i="12"/>
  <c r="Y534" i="12"/>
  <c r="Y535" i="12"/>
  <c r="X536" i="12"/>
  <c r="X537" i="12"/>
  <c r="Y536" i="12"/>
  <c r="X538" i="12"/>
  <c r="Y537" i="12"/>
  <c r="Y538" i="12"/>
  <c r="X539" i="12"/>
  <c r="Y539" i="12"/>
  <c r="X540" i="12"/>
  <c r="Y540" i="12"/>
  <c r="X541" i="12"/>
  <c r="X542" i="12"/>
  <c r="Y541" i="12"/>
  <c r="X543" i="12"/>
  <c r="Y542" i="12"/>
  <c r="Y543" i="12"/>
  <c r="X544" i="12"/>
  <c r="Y544" i="12"/>
  <c r="X545" i="12"/>
  <c r="X546" i="12"/>
  <c r="Y545" i="12"/>
  <c r="Y546" i="12"/>
  <c r="X547" i="12"/>
  <c r="Y547" i="12"/>
  <c r="X548" i="12"/>
  <c r="Y548" i="12"/>
  <c r="X549" i="12"/>
  <c r="X550" i="12"/>
  <c r="Y549" i="12"/>
  <c r="X551" i="12"/>
  <c r="Y550" i="12"/>
  <c r="Y551" i="12"/>
  <c r="X552" i="12"/>
  <c r="Y552" i="12"/>
  <c r="X553" i="12"/>
  <c r="X554" i="12"/>
  <c r="Y553" i="12"/>
  <c r="Y554" i="12"/>
  <c r="X555" i="12"/>
  <c r="Y555" i="12"/>
  <c r="X556" i="12"/>
  <c r="Y556" i="12"/>
  <c r="X557" i="12"/>
  <c r="X558" i="12"/>
  <c r="Y557" i="12"/>
  <c r="X559" i="12"/>
  <c r="Y558" i="12"/>
  <c r="Y559" i="12"/>
  <c r="X560" i="12"/>
  <c r="Y560" i="12"/>
  <c r="X561" i="12"/>
  <c r="X562" i="12"/>
  <c r="Y561" i="12"/>
  <c r="Y562" i="12"/>
  <c r="X563" i="12"/>
  <c r="Y563" i="12"/>
  <c r="X564" i="12"/>
  <c r="Y564" i="12"/>
  <c r="X565" i="12"/>
  <c r="X566" i="12"/>
  <c r="Y565" i="12"/>
  <c r="X567" i="12"/>
  <c r="Y566" i="12"/>
  <c r="Y567" i="12"/>
  <c r="X568" i="12"/>
  <c r="Y568" i="12"/>
  <c r="X569" i="12"/>
  <c r="X570" i="12"/>
  <c r="Y569" i="12"/>
  <c r="Y570" i="12"/>
  <c r="X571" i="12"/>
  <c r="Y571" i="12"/>
  <c r="X572" i="12"/>
  <c r="Y572" i="12"/>
  <c r="X573" i="12"/>
  <c r="X574" i="12"/>
  <c r="Y573" i="12"/>
  <c r="X575" i="12"/>
  <c r="Y574" i="12"/>
  <c r="Y575" i="12"/>
  <c r="X576" i="12"/>
  <c r="Y576" i="12"/>
  <c r="X577" i="12"/>
  <c r="X578" i="12"/>
  <c r="Y577" i="12"/>
  <c r="Y578" i="12"/>
  <c r="X579" i="12"/>
  <c r="Y579" i="12"/>
  <c r="X580" i="12"/>
  <c r="Y580" i="12"/>
  <c r="X581" i="12"/>
  <c r="X582" i="12"/>
  <c r="Y581" i="12"/>
  <c r="X583" i="12"/>
  <c r="Y582" i="12"/>
  <c r="Y583" i="12"/>
  <c r="X584" i="12"/>
  <c r="Y584" i="12"/>
  <c r="X585" i="12"/>
  <c r="X586" i="12"/>
  <c r="Y585" i="12"/>
  <c r="Y586" i="12"/>
  <c r="X587" i="12"/>
  <c r="Y587" i="12"/>
  <c r="X588" i="12"/>
  <c r="Y588" i="12"/>
  <c r="X589" i="12"/>
  <c r="X590" i="12"/>
  <c r="Y589" i="12"/>
  <c r="X591" i="12"/>
  <c r="Y590" i="12"/>
  <c r="Y591" i="12"/>
  <c r="X592" i="12"/>
  <c r="Y592" i="12"/>
  <c r="X593" i="12"/>
  <c r="X594" i="12"/>
  <c r="Y593" i="12"/>
  <c r="Y594" i="12"/>
  <c r="X595" i="12"/>
  <c r="Y595" i="12"/>
  <c r="X596" i="12"/>
  <c r="Y596" i="12"/>
  <c r="X597" i="12"/>
  <c r="X598" i="12"/>
  <c r="Y597" i="12"/>
  <c r="X599" i="12"/>
  <c r="Y598" i="12"/>
  <c r="Y599" i="12"/>
  <c r="X600" i="12"/>
  <c r="Y600" i="12"/>
  <c r="X601" i="12"/>
  <c r="X602" i="12"/>
  <c r="Y601" i="12"/>
  <c r="Y602" i="12"/>
  <c r="X603" i="12"/>
  <c r="Y603" i="12"/>
  <c r="X604" i="12"/>
  <c r="Y604" i="12"/>
  <c r="X605" i="12"/>
  <c r="X606" i="12"/>
  <c r="Y605" i="12"/>
  <c r="X607" i="12"/>
  <c r="Y606" i="12"/>
  <c r="Y607" i="12"/>
  <c r="X608" i="12"/>
  <c r="Y608" i="12"/>
  <c r="X609" i="12"/>
  <c r="X610" i="12"/>
  <c r="Y609" i="12"/>
  <c r="Y610" i="12"/>
  <c r="X611" i="12"/>
  <c r="Y611" i="12"/>
  <c r="X612" i="12"/>
  <c r="Y612" i="12"/>
  <c r="X613" i="12"/>
  <c r="X614" i="12"/>
  <c r="Y613" i="12"/>
  <c r="X615" i="12"/>
  <c r="Y614" i="12"/>
  <c r="Y615" i="12"/>
  <c r="X616" i="12"/>
  <c r="Y616" i="12"/>
  <c r="X617" i="12"/>
  <c r="X618" i="12"/>
  <c r="Y617" i="12"/>
  <c r="Y618" i="12"/>
  <c r="X619" i="12"/>
  <c r="Y619" i="12"/>
  <c r="X620" i="12"/>
  <c r="Y620" i="12"/>
  <c r="X621" i="12"/>
  <c r="X622" i="12"/>
  <c r="Y621" i="12"/>
  <c r="X623" i="12"/>
  <c r="Y622" i="12"/>
  <c r="Y623" i="12"/>
  <c r="X624" i="12"/>
  <c r="Y624" i="12"/>
  <c r="X625" i="12"/>
  <c r="X626" i="12"/>
  <c r="Y625" i="12"/>
  <c r="Y626" i="12"/>
  <c r="X627" i="12"/>
  <c r="Y627" i="12"/>
  <c r="X628" i="12"/>
  <c r="Y628" i="12"/>
  <c r="X629" i="12"/>
  <c r="X630" i="12"/>
  <c r="Y629" i="12"/>
  <c r="X631" i="12"/>
  <c r="Y630" i="12"/>
  <c r="Y631" i="12"/>
  <c r="X632" i="12"/>
  <c r="Y632" i="12"/>
  <c r="X633" i="12"/>
  <c r="X634" i="12"/>
  <c r="Y633" i="12"/>
  <c r="Y634" i="12"/>
  <c r="X635" i="12"/>
  <c r="Y635" i="12"/>
  <c r="X636" i="12"/>
  <c r="Y636" i="12"/>
  <c r="X637" i="12"/>
  <c r="X638" i="12"/>
  <c r="Y637" i="12"/>
  <c r="X639" i="12"/>
  <c r="Y638" i="12"/>
  <c r="Y639" i="12"/>
  <c r="X640" i="12"/>
  <c r="Y640" i="12"/>
  <c r="X641" i="12"/>
  <c r="X642" i="12"/>
  <c r="Y641" i="12"/>
  <c r="Y642" i="12"/>
  <c r="X643" i="12"/>
  <c r="Y643" i="12"/>
  <c r="X644" i="12"/>
  <c r="Y644" i="12"/>
  <c r="X645" i="12"/>
  <c r="X646" i="12"/>
  <c r="Y645" i="12"/>
  <c r="X647" i="12"/>
  <c r="Y646" i="12"/>
  <c r="Y647" i="12"/>
  <c r="X648" i="12"/>
  <c r="Y648" i="12"/>
  <c r="X649" i="12"/>
  <c r="X650" i="12"/>
  <c r="Y649" i="12"/>
  <c r="Y650" i="12"/>
  <c r="X651" i="12"/>
  <c r="Y651" i="12"/>
  <c r="X652" i="12"/>
  <c r="Y652" i="12"/>
  <c r="X653" i="12"/>
  <c r="X654" i="12"/>
  <c r="Y653" i="12"/>
  <c r="X655" i="12"/>
  <c r="Y654" i="12"/>
  <c r="Y655" i="12"/>
  <c r="X656" i="12"/>
  <c r="Y656" i="12"/>
  <c r="X657" i="12"/>
  <c r="X658" i="12"/>
  <c r="Y657" i="12"/>
  <c r="Y658" i="12"/>
  <c r="X659" i="12"/>
  <c r="Y659" i="12"/>
  <c r="X660" i="12"/>
  <c r="Y660" i="12"/>
  <c r="X661" i="12"/>
  <c r="X662" i="12"/>
  <c r="Y661" i="12"/>
  <c r="X663" i="12"/>
  <c r="Y662" i="12"/>
  <c r="Y663" i="12"/>
  <c r="X664" i="12"/>
  <c r="Y664" i="12"/>
  <c r="X665" i="12"/>
  <c r="X666" i="12"/>
  <c r="Y665" i="12"/>
  <c r="Y666" i="12"/>
  <c r="X667" i="12"/>
  <c r="Y667" i="12"/>
  <c r="X668" i="12"/>
  <c r="Y668" i="12"/>
  <c r="X669" i="12"/>
  <c r="X670" i="12"/>
  <c r="Y669" i="12"/>
  <c r="X671" i="12"/>
  <c r="Y670" i="12"/>
  <c r="Y671" i="12"/>
  <c r="X672" i="12"/>
  <c r="Y672" i="12"/>
  <c r="X673" i="12"/>
  <c r="X674" i="12"/>
  <c r="Y673" i="12"/>
  <c r="Y674" i="12"/>
  <c r="X675" i="12"/>
  <c r="Y675" i="12"/>
  <c r="X676" i="12"/>
  <c r="Y676" i="12"/>
  <c r="X677" i="12"/>
  <c r="X678" i="12"/>
  <c r="Y677" i="12"/>
  <c r="X679" i="12"/>
  <c r="Y678" i="12"/>
  <c r="Y679" i="12"/>
  <c r="X680" i="12"/>
  <c r="Y680" i="12"/>
  <c r="X681" i="12"/>
  <c r="X682" i="12"/>
  <c r="Y681" i="12"/>
  <c r="Y682" i="12"/>
  <c r="X683" i="12"/>
  <c r="Y683" i="12"/>
  <c r="X684" i="12"/>
  <c r="Y684" i="12"/>
  <c r="X685" i="12"/>
  <c r="X686" i="12"/>
  <c r="Y685" i="12"/>
  <c r="X687" i="12"/>
  <c r="Y686" i="12"/>
  <c r="Y687" i="12"/>
  <c r="X688" i="12"/>
  <c r="Y688" i="12"/>
  <c r="X689" i="12"/>
  <c r="X690" i="12"/>
  <c r="Y689" i="12"/>
  <c r="Y690" i="12"/>
  <c r="X691" i="12"/>
  <c r="Y691" i="12"/>
  <c r="X692" i="12"/>
  <c r="Y692" i="12"/>
  <c r="X693" i="12"/>
  <c r="X694" i="12"/>
  <c r="Y693" i="12"/>
  <c r="X695" i="12"/>
  <c r="Y694" i="12"/>
  <c r="Y695" i="12"/>
  <c r="X696" i="12"/>
  <c r="Y696" i="12"/>
  <c r="X697" i="12"/>
  <c r="X698" i="12"/>
  <c r="Y697" i="12"/>
  <c r="Y698" i="12"/>
  <c r="X699" i="12"/>
  <c r="Y699" i="12"/>
  <c r="X700" i="12"/>
  <c r="Y700" i="12"/>
  <c r="X701" i="12"/>
  <c r="X702" i="12"/>
  <c r="Y701" i="12"/>
  <c r="X703" i="12"/>
  <c r="Y702" i="12"/>
  <c r="Y703" i="12"/>
  <c r="X704" i="12"/>
  <c r="Y704" i="12"/>
  <c r="X705" i="12"/>
  <c r="X706" i="12"/>
  <c r="Y705" i="12"/>
  <c r="Y706" i="12"/>
  <c r="X707" i="12"/>
  <c r="Y707" i="12"/>
  <c r="X708" i="12"/>
  <c r="Y708" i="12"/>
  <c r="X709" i="12"/>
  <c r="X710" i="12"/>
  <c r="Y709" i="12"/>
  <c r="X711" i="12"/>
  <c r="Y710" i="12"/>
  <c r="Y711" i="12"/>
  <c r="X712" i="12"/>
  <c r="Y712" i="12"/>
  <c r="X713" i="12"/>
  <c r="X714" i="12"/>
  <c r="Y713" i="12"/>
  <c r="Y714" i="12"/>
  <c r="X715" i="12"/>
  <c r="Y715" i="12"/>
  <c r="X716" i="12"/>
  <c r="Y716" i="12"/>
  <c r="X717" i="12"/>
  <c r="X718" i="12"/>
  <c r="Y717" i="12"/>
  <c r="X719" i="12"/>
  <c r="Y718" i="12"/>
  <c r="Y719" i="12"/>
  <c r="X720" i="12"/>
  <c r="Y720" i="12"/>
  <c r="X721" i="12"/>
  <c r="X722" i="12"/>
  <c r="Y721" i="12"/>
  <c r="Y722" i="12"/>
  <c r="X723" i="12"/>
  <c r="Y723" i="12"/>
  <c r="X724" i="12"/>
  <c r="Y724" i="12"/>
  <c r="X725" i="12"/>
  <c r="X726" i="12"/>
  <c r="Y725" i="12"/>
  <c r="X727" i="12"/>
  <c r="Y726" i="12"/>
  <c r="Y727" i="12"/>
  <c r="X728" i="12"/>
  <c r="Y728" i="12"/>
  <c r="X729" i="12"/>
  <c r="X730" i="12"/>
  <c r="Y729" i="12"/>
  <c r="Y730" i="12"/>
  <c r="X731" i="12"/>
  <c r="Y731" i="12"/>
  <c r="X732" i="12"/>
  <c r="Y732" i="12"/>
  <c r="X733" i="12"/>
  <c r="X734" i="12"/>
  <c r="Y733" i="12"/>
  <c r="X735" i="12"/>
  <c r="Y734" i="12"/>
  <c r="Y735" i="12"/>
  <c r="X736" i="12"/>
  <c r="Y736" i="12"/>
  <c r="X737" i="12"/>
  <c r="X738" i="12"/>
  <c r="Y737" i="12"/>
  <c r="Y738" i="12"/>
  <c r="X739" i="12"/>
  <c r="Y739" i="12"/>
  <c r="X740" i="12"/>
  <c r="Y740" i="12"/>
  <c r="X741" i="12"/>
  <c r="X742" i="12"/>
  <c r="Y741" i="12"/>
  <c r="X743" i="12"/>
  <c r="Y742" i="12"/>
  <c r="Y743" i="12"/>
  <c r="X744" i="12"/>
  <c r="Y744" i="12"/>
  <c r="X745" i="12"/>
  <c r="X746" i="12"/>
  <c r="Y745" i="12"/>
  <c r="Y746" i="12"/>
  <c r="X747" i="12"/>
  <c r="Y747" i="12"/>
  <c r="X748" i="12"/>
  <c r="Y748" i="12"/>
  <c r="X749" i="12"/>
  <c r="X750" i="12"/>
  <c r="Y749" i="12"/>
  <c r="X751" i="12"/>
  <c r="Y750" i="12"/>
  <c r="Y751" i="12"/>
  <c r="X752" i="12"/>
  <c r="Y752" i="12"/>
  <c r="X753" i="12"/>
  <c r="X754" i="12"/>
  <c r="Y753" i="12"/>
  <c r="Y754" i="12"/>
  <c r="X755" i="12"/>
  <c r="Y755" i="12"/>
  <c r="X756" i="12"/>
  <c r="Y756" i="12"/>
  <c r="X757" i="12"/>
  <c r="X758" i="12"/>
  <c r="Y757" i="12"/>
  <c r="X759" i="12"/>
  <c r="Y758" i="12"/>
  <c r="Y759" i="12"/>
  <c r="X760" i="12"/>
  <c r="Y760" i="12"/>
  <c r="X761" i="12"/>
  <c r="X762" i="12"/>
  <c r="Y761" i="12"/>
  <c r="Y762" i="12"/>
  <c r="X763" i="12"/>
  <c r="Y763" i="12"/>
  <c r="X764" i="12"/>
  <c r="Y764" i="12"/>
  <c r="X765" i="12"/>
  <c r="X766" i="12"/>
  <c r="Y765" i="12"/>
  <c r="X767" i="12"/>
  <c r="Y766" i="12"/>
  <c r="Y767" i="12"/>
  <c r="X768" i="12"/>
  <c r="Y768" i="12"/>
  <c r="X769" i="12"/>
  <c r="X770" i="12"/>
  <c r="Y769" i="12"/>
  <c r="Y770" i="12"/>
  <c r="X771" i="12"/>
  <c r="Y771" i="12"/>
  <c r="X772" i="12"/>
  <c r="Y772" i="12"/>
  <c r="X773" i="12"/>
  <c r="X774" i="12"/>
  <c r="Y773" i="12"/>
  <c r="X775" i="12"/>
  <c r="Y774" i="12"/>
  <c r="Y775" i="12"/>
  <c r="X776" i="12"/>
  <c r="Y776" i="12"/>
  <c r="X777" i="12"/>
  <c r="X778" i="12"/>
  <c r="Y777" i="12"/>
  <c r="Y778" i="12"/>
  <c r="X779" i="12"/>
  <c r="Y779" i="12"/>
  <c r="X780" i="12"/>
  <c r="X781" i="12"/>
  <c r="Y780" i="12"/>
  <c r="X782" i="12"/>
  <c r="Y781" i="12"/>
  <c r="Y782" i="12"/>
  <c r="X783" i="12"/>
  <c r="Y783" i="12"/>
  <c r="X784" i="12"/>
  <c r="X785" i="12"/>
  <c r="Y784" i="12"/>
  <c r="X786" i="12"/>
  <c r="Y785" i="12"/>
  <c r="Y786" i="12"/>
  <c r="X787" i="12"/>
  <c r="Y787" i="12"/>
  <c r="X788" i="12"/>
  <c r="X789" i="12"/>
  <c r="Y788" i="12"/>
  <c r="X790" i="12"/>
  <c r="Y789" i="12"/>
  <c r="Y790" i="12"/>
  <c r="X791" i="12"/>
  <c r="Y791" i="12"/>
  <c r="X792" i="12"/>
  <c r="X793" i="12"/>
  <c r="Y792" i="12"/>
  <c r="X794" i="12"/>
  <c r="Y793" i="12"/>
  <c r="Y794" i="12"/>
  <c r="X795" i="12"/>
  <c r="Y795" i="12"/>
  <c r="X796" i="12"/>
  <c r="X797" i="12"/>
  <c r="Y796" i="12"/>
  <c r="X798" i="12"/>
  <c r="Y797" i="12"/>
  <c r="Y798" i="12"/>
  <c r="X799" i="12"/>
  <c r="Y799" i="12"/>
  <c r="X800" i="12"/>
  <c r="X801" i="12"/>
  <c r="Y800" i="12"/>
  <c r="X802" i="12"/>
  <c r="Y801" i="12"/>
  <c r="Y802" i="12"/>
  <c r="X803" i="12"/>
  <c r="Y803" i="12"/>
  <c r="X804" i="12"/>
  <c r="X805" i="12"/>
  <c r="Y804" i="12"/>
  <c r="X806" i="12"/>
  <c r="Y805" i="12"/>
  <c r="Y806" i="12"/>
  <c r="X807" i="12"/>
  <c r="Y807" i="12"/>
  <c r="X808" i="12"/>
  <c r="X809" i="12"/>
  <c r="Y808" i="12"/>
  <c r="X810" i="12"/>
  <c r="Y809" i="12"/>
  <c r="Y810" i="12"/>
  <c r="X811" i="12"/>
  <c r="Y811" i="12"/>
  <c r="X812" i="12"/>
  <c r="X813" i="12"/>
  <c r="Y812" i="12"/>
  <c r="X814" i="12"/>
  <c r="Y813" i="12"/>
  <c r="Y814" i="12"/>
  <c r="X815" i="12"/>
  <c r="Y815" i="12"/>
  <c r="X816" i="12"/>
  <c r="X817" i="12"/>
  <c r="Y816" i="12"/>
  <c r="X818" i="12"/>
  <c r="Y817" i="12"/>
  <c r="Y818" i="12"/>
  <c r="X819" i="12"/>
  <c r="Y819" i="12"/>
  <c r="X820" i="12"/>
  <c r="X821" i="12"/>
  <c r="Y820" i="12"/>
  <c r="X822" i="12"/>
  <c r="Y821" i="12"/>
  <c r="Y822" i="12"/>
  <c r="X823" i="12"/>
  <c r="Y823" i="12"/>
  <c r="X824" i="12"/>
  <c r="X825" i="12"/>
  <c r="Y824" i="12"/>
  <c r="X826" i="12"/>
  <c r="Y825" i="12"/>
  <c r="Y826" i="12"/>
  <c r="X827" i="12"/>
  <c r="Y827" i="12"/>
  <c r="X828" i="12"/>
  <c r="X829" i="12"/>
  <c r="Y828" i="12"/>
  <c r="X830" i="12"/>
  <c r="Y829" i="12"/>
  <c r="Y830" i="12"/>
  <c r="X831" i="12"/>
  <c r="Y831" i="12"/>
  <c r="X832" i="12"/>
  <c r="X833" i="12"/>
  <c r="Y832" i="12"/>
  <c r="X834" i="12"/>
  <c r="Y833" i="12"/>
  <c r="Y834" i="12"/>
  <c r="X835" i="12"/>
  <c r="Y835" i="12"/>
  <c r="X836" i="12"/>
  <c r="X837" i="12"/>
  <c r="Y836" i="12"/>
  <c r="X838" i="12"/>
  <c r="Y837" i="12"/>
  <c r="Y838" i="12"/>
  <c r="X839" i="12"/>
  <c r="Y839" i="12"/>
  <c r="X840" i="12"/>
  <c r="X841" i="12"/>
  <c r="Y840" i="12"/>
  <c r="X842" i="12"/>
  <c r="Y841" i="12"/>
  <c r="Y842" i="12"/>
  <c r="X843" i="12"/>
  <c r="Y843" i="12"/>
  <c r="X844" i="12"/>
  <c r="X845" i="12"/>
  <c r="Y844" i="12"/>
  <c r="X846" i="12"/>
  <c r="Y845" i="12"/>
  <c r="Y846" i="12"/>
  <c r="X847" i="12"/>
  <c r="Y847" i="12"/>
  <c r="X848" i="12"/>
  <c r="X849" i="12"/>
  <c r="Y848" i="12"/>
  <c r="X850" i="12"/>
  <c r="Y849" i="12"/>
  <c r="Y850" i="12"/>
  <c r="X851" i="12"/>
  <c r="Y851" i="12"/>
  <c r="X852" i="12"/>
  <c r="X853" i="12"/>
  <c r="Y852" i="12"/>
  <c r="X854" i="12"/>
  <c r="Y853" i="12"/>
  <c r="Y854" i="12"/>
  <c r="X855" i="12"/>
  <c r="Y855" i="12"/>
  <c r="X856" i="12"/>
  <c r="X857" i="12"/>
  <c r="Y856" i="12"/>
  <c r="X858" i="12"/>
  <c r="Y857" i="12"/>
  <c r="Y858" i="12"/>
  <c r="X859" i="12"/>
  <c r="Y859" i="12"/>
  <c r="X860" i="12"/>
  <c r="X861" i="12"/>
  <c r="Y860" i="12"/>
  <c r="X862" i="12"/>
  <c r="Y861" i="12"/>
  <c r="Y862" i="12"/>
  <c r="X863" i="12"/>
  <c r="Y863" i="12"/>
  <c r="X864" i="12"/>
  <c r="X865" i="12"/>
  <c r="Y864" i="12"/>
  <c r="X866" i="12"/>
  <c r="Y865" i="12"/>
  <c r="Y866" i="12"/>
  <c r="X867" i="12"/>
  <c r="Y867" i="12"/>
  <c r="X868" i="12"/>
  <c r="X869" i="12"/>
  <c r="Y868" i="12"/>
  <c r="X870" i="12"/>
  <c r="Y869" i="12"/>
  <c r="Y870" i="12"/>
  <c r="X871" i="12"/>
  <c r="Y871" i="12"/>
  <c r="X872" i="12"/>
  <c r="X873" i="12"/>
  <c r="Y872" i="12"/>
  <c r="X874" i="12"/>
  <c r="Y873" i="12"/>
  <c r="Y874" i="12"/>
  <c r="X875" i="12"/>
  <c r="Y875" i="12"/>
  <c r="X876" i="12"/>
  <c r="X877" i="12"/>
  <c r="Y876" i="12"/>
  <c r="X878" i="12"/>
  <c r="Y877" i="12"/>
  <c r="Y878" i="12"/>
  <c r="X879" i="12"/>
  <c r="Y879" i="12"/>
  <c r="X880" i="12"/>
  <c r="X881" i="12"/>
  <c r="Y880" i="12"/>
  <c r="X882" i="12"/>
  <c r="Y881" i="12"/>
  <c r="Y882" i="12"/>
  <c r="X883" i="12"/>
  <c r="Y883" i="12"/>
  <c r="X884" i="12"/>
  <c r="X885" i="12"/>
  <c r="Y884" i="12"/>
  <c r="X886" i="12"/>
  <c r="Y885" i="12"/>
  <c r="Y886" i="12"/>
  <c r="X887" i="12"/>
  <c r="Y887" i="12"/>
  <c r="X888" i="12"/>
  <c r="X889" i="12"/>
  <c r="Y888" i="12"/>
  <c r="X890" i="12"/>
  <c r="Y889" i="12"/>
  <c r="Y890" i="12"/>
  <c r="X891" i="12"/>
  <c r="Y891" i="12"/>
  <c r="X892" i="12"/>
  <c r="X893" i="12"/>
  <c r="Y892" i="12"/>
  <c r="X894" i="12"/>
  <c r="Y893" i="12"/>
  <c r="Y894" i="12"/>
  <c r="X895" i="12"/>
  <c r="Y895" i="12"/>
  <c r="X896" i="12"/>
  <c r="X897" i="12"/>
  <c r="Y896" i="12"/>
  <c r="X898" i="12"/>
  <c r="Y897" i="12"/>
  <c r="Y898" i="12"/>
  <c r="X899" i="12"/>
  <c r="Y899" i="12"/>
  <c r="X900" i="12"/>
  <c r="X901" i="12"/>
  <c r="Y900" i="12"/>
  <c r="X902" i="12"/>
  <c r="Y901" i="12"/>
  <c r="Y902" i="12"/>
  <c r="X903" i="12"/>
  <c r="Y903" i="12"/>
  <c r="X904" i="12"/>
  <c r="X905" i="12"/>
  <c r="Y904" i="12"/>
  <c r="X906" i="12"/>
  <c r="Y905" i="12"/>
  <c r="Y906" i="12"/>
  <c r="X907" i="12"/>
  <c r="Y907" i="12"/>
  <c r="X908" i="12"/>
  <c r="X909" i="12"/>
  <c r="Y908" i="12"/>
  <c r="X910" i="12"/>
  <c r="Y909" i="12"/>
  <c r="Y910" i="12"/>
  <c r="X911" i="12"/>
  <c r="Y911" i="12"/>
  <c r="X912" i="12"/>
  <c r="X913" i="12"/>
  <c r="Y912" i="12"/>
  <c r="X914" i="12"/>
  <c r="Y913" i="12"/>
  <c r="Y914" i="12"/>
  <c r="X915" i="12"/>
  <c r="Y915" i="12"/>
  <c r="X916" i="12"/>
  <c r="X917" i="12"/>
  <c r="Y916" i="12"/>
  <c r="X918" i="12"/>
  <c r="Y917" i="12"/>
  <c r="Y918" i="12"/>
  <c r="X919" i="12"/>
  <c r="Y919" i="12"/>
  <c r="X920" i="12"/>
  <c r="X921" i="12"/>
  <c r="Y920" i="12"/>
  <c r="X922" i="12"/>
  <c r="Y921" i="12"/>
  <c r="Y922" i="12"/>
  <c r="X923" i="12"/>
  <c r="Y923" i="12"/>
  <c r="X924" i="12"/>
  <c r="X925" i="12"/>
  <c r="Y924" i="12"/>
  <c r="X926" i="12"/>
  <c r="Y925" i="12"/>
  <c r="Y926" i="12"/>
  <c r="X927" i="12"/>
  <c r="Y927" i="12"/>
  <c r="X928" i="12"/>
  <c r="X929" i="12"/>
  <c r="Y928" i="12"/>
  <c r="X930" i="12"/>
  <c r="Y929" i="12"/>
  <c r="Y930" i="12"/>
  <c r="X931" i="12"/>
  <c r="Y931" i="12"/>
  <c r="X932" i="12"/>
  <c r="X933" i="12"/>
  <c r="Y932" i="12"/>
  <c r="X934" i="12"/>
  <c r="Y933" i="12"/>
  <c r="Y934" i="12"/>
  <c r="X935" i="12"/>
  <c r="Y935" i="12"/>
  <c r="X936" i="12"/>
  <c r="X937" i="12"/>
  <c r="Y936" i="12"/>
  <c r="X938" i="12"/>
  <c r="Y937" i="12"/>
  <c r="Y938" i="12"/>
  <c r="X939" i="12"/>
  <c r="Y939" i="12"/>
  <c r="X940" i="12"/>
  <c r="X941" i="12"/>
  <c r="Y940" i="12"/>
  <c r="X942" i="12"/>
  <c r="Y941" i="12"/>
  <c r="Y942" i="12"/>
  <c r="X943" i="12"/>
  <c r="Y943" i="12"/>
  <c r="X944" i="12"/>
  <c r="X945" i="12"/>
  <c r="Y944" i="12"/>
  <c r="X946" i="12"/>
  <c r="Y945" i="12"/>
  <c r="Y946" i="12"/>
  <c r="X947" i="12"/>
  <c r="Y947" i="12"/>
  <c r="X948" i="12"/>
  <c r="X949" i="12"/>
  <c r="Y948" i="12"/>
  <c r="X950" i="12"/>
  <c r="Y949" i="12"/>
  <c r="Y950" i="12"/>
  <c r="X951" i="12"/>
  <c r="Y951" i="12"/>
  <c r="X952" i="12"/>
  <c r="X953" i="12"/>
  <c r="Y952" i="12"/>
  <c r="X954" i="12"/>
  <c r="Y953" i="12"/>
  <c r="Y954" i="12"/>
  <c r="X955" i="12"/>
  <c r="Y955" i="12"/>
  <c r="X956" i="12"/>
  <c r="X957" i="12"/>
  <c r="Y956" i="12"/>
  <c r="X958" i="12"/>
  <c r="Y957" i="12"/>
  <c r="Y958" i="12"/>
  <c r="X959" i="12"/>
  <c r="Y959" i="12"/>
  <c r="X960" i="12"/>
  <c r="X961" i="12"/>
  <c r="Y960" i="12"/>
  <c r="X962" i="12"/>
  <c r="Y961" i="12"/>
  <c r="Y962" i="12"/>
  <c r="X963" i="12"/>
  <c r="Y963" i="12"/>
  <c r="X964" i="12"/>
  <c r="X965" i="12"/>
  <c r="Y964" i="12"/>
  <c r="X966" i="12"/>
  <c r="Y965" i="12"/>
  <c r="Y966" i="12"/>
  <c r="X967" i="12"/>
  <c r="Y967" i="12"/>
  <c r="X968" i="12"/>
  <c r="X969" i="12"/>
  <c r="Y968" i="12"/>
  <c r="X970" i="12"/>
  <c r="Y969" i="12"/>
  <c r="Y970" i="12"/>
  <c r="X971" i="12"/>
  <c r="Y971" i="12"/>
  <c r="X972" i="12"/>
  <c r="X973" i="12"/>
  <c r="Y972" i="12"/>
  <c r="X974" i="12"/>
  <c r="Y973" i="12"/>
  <c r="Y974" i="12"/>
  <c r="X975" i="12"/>
  <c r="Y975" i="12"/>
  <c r="X976" i="12"/>
  <c r="X977" i="12"/>
  <c r="Y976" i="12"/>
  <c r="X978" i="12"/>
  <c r="Y977" i="12"/>
  <c r="Y978" i="12"/>
  <c r="X979" i="12"/>
  <c r="Y979" i="12"/>
  <c r="X980" i="12"/>
  <c r="X981" i="12"/>
  <c r="Y980" i="12"/>
  <c r="X982" i="12"/>
  <c r="Y981" i="12"/>
  <c r="Y982" i="12"/>
  <c r="X983" i="12"/>
  <c r="Y983" i="12"/>
  <c r="X984" i="12"/>
  <c r="X985" i="12"/>
  <c r="Y984" i="12"/>
  <c r="X986" i="12"/>
  <c r="Y985" i="12"/>
  <c r="Y986" i="12"/>
  <c r="X987" i="12"/>
  <c r="Y987" i="12"/>
  <c r="X988" i="12"/>
  <c r="X989" i="12"/>
  <c r="Y988" i="12"/>
  <c r="X990" i="12"/>
  <c r="Y989" i="12"/>
  <c r="Y990" i="12"/>
  <c r="X991" i="12"/>
  <c r="Y991" i="12"/>
  <c r="X992" i="12"/>
  <c r="X993" i="12"/>
  <c r="Y992" i="12"/>
  <c r="X994" i="12"/>
  <c r="Y993" i="12"/>
  <c r="Y994" i="12"/>
  <c r="X995" i="12"/>
  <c r="Y995" i="12"/>
  <c r="X996" i="12"/>
  <c r="X997" i="12"/>
  <c r="Y996" i="12"/>
  <c r="X998" i="12"/>
  <c r="Y997" i="12"/>
  <c r="Y998" i="12"/>
  <c r="X999" i="12"/>
  <c r="Y999" i="12"/>
  <c r="X1000" i="12"/>
  <c r="X1001" i="12"/>
  <c r="Y1000" i="12"/>
  <c r="X1002" i="12"/>
  <c r="Y1001" i="12"/>
  <c r="Y1002" i="12"/>
  <c r="X1003" i="12"/>
  <c r="Y1003" i="12"/>
  <c r="X1004" i="12"/>
  <c r="X1005" i="12"/>
  <c r="Y1004" i="12"/>
  <c r="X1006" i="12"/>
  <c r="Y1005" i="12"/>
  <c r="Y1006" i="12"/>
  <c r="X1007" i="12"/>
  <c r="Y1007" i="12"/>
  <c r="X1008" i="12"/>
  <c r="X1009" i="12"/>
  <c r="Y1008" i="12"/>
  <c r="X1010" i="12"/>
  <c r="Y1009" i="12"/>
  <c r="Y1010" i="12"/>
  <c r="X1011" i="12"/>
  <c r="Y1011" i="12"/>
  <c r="X1012" i="12"/>
  <c r="X1013" i="12"/>
  <c r="Y1012" i="12"/>
  <c r="X1014" i="12"/>
  <c r="Y1013" i="12"/>
  <c r="Y1014" i="12"/>
  <c r="X1015" i="12"/>
  <c r="Y1015" i="12"/>
  <c r="X1016" i="12"/>
  <c r="X1017" i="12"/>
  <c r="Y1016" i="12"/>
  <c r="X1018" i="12"/>
  <c r="Y1017" i="12"/>
  <c r="Y1018" i="12"/>
  <c r="X1019" i="12"/>
  <c r="Y1019" i="12"/>
  <c r="X1020" i="12"/>
  <c r="X1021" i="12"/>
  <c r="Y1020" i="12"/>
  <c r="X1022" i="12"/>
  <c r="Y1021" i="12"/>
  <c r="Y1022" i="12"/>
  <c r="X1023" i="12"/>
  <c r="Y1023" i="12"/>
  <c r="X1024" i="12"/>
  <c r="X1025" i="12"/>
  <c r="Y1024" i="12"/>
  <c r="X1026" i="12"/>
  <c r="Y1025" i="12"/>
  <c r="Y1026" i="12"/>
  <c r="X1027" i="12"/>
  <c r="Y1027" i="12"/>
  <c r="X1028" i="12"/>
  <c r="X1029" i="12"/>
  <c r="Y1028" i="12"/>
  <c r="X1030" i="12"/>
  <c r="Y1029" i="12"/>
  <c r="Y1030" i="12"/>
  <c r="X1031" i="12"/>
  <c r="Y1031" i="12"/>
  <c r="X1032" i="12"/>
  <c r="X1033" i="12"/>
  <c r="Y1032" i="12"/>
  <c r="X1034" i="12"/>
  <c r="Y1033" i="12"/>
  <c r="Y1034" i="12"/>
  <c r="X1035" i="12"/>
  <c r="Y1035" i="12"/>
  <c r="X1036" i="12"/>
  <c r="X1037" i="12"/>
  <c r="Y1036" i="12"/>
  <c r="X1038" i="12"/>
  <c r="Y1037" i="12"/>
  <c r="Y1038" i="12"/>
  <c r="X1039" i="12"/>
  <c r="Y1039" i="12"/>
  <c r="X1040" i="12"/>
  <c r="X1041" i="12"/>
  <c r="Y1040" i="12"/>
  <c r="X1042" i="12"/>
  <c r="Y1041" i="12"/>
  <c r="Y1042" i="12"/>
  <c r="X1043" i="12"/>
  <c r="Y1043" i="12"/>
  <c r="X1044" i="12"/>
  <c r="X1045" i="12"/>
  <c r="Y1044" i="12"/>
  <c r="X1046" i="12"/>
  <c r="Y1045" i="12"/>
  <c r="Y1046" i="12"/>
  <c r="X1047" i="12"/>
  <c r="Y1047" i="12"/>
  <c r="X1048" i="12"/>
  <c r="X1049" i="12"/>
  <c r="Y1048" i="12"/>
  <c r="X1050" i="12"/>
  <c r="Y1049" i="12"/>
  <c r="Y1050" i="12"/>
  <c r="X1051" i="12"/>
  <c r="Y1051" i="12"/>
  <c r="X1052" i="12"/>
  <c r="X1053" i="12"/>
  <c r="Y1052" i="12"/>
  <c r="X1054" i="12"/>
  <c r="Y1053" i="12"/>
  <c r="Y1054" i="12"/>
  <c r="X1055" i="12"/>
  <c r="Y1055" i="12"/>
  <c r="X1056" i="12"/>
  <c r="X1057" i="12"/>
  <c r="Y1056" i="12"/>
  <c r="X1058" i="12"/>
  <c r="Y1057" i="12"/>
  <c r="Y1058" i="12"/>
  <c r="X1059" i="12"/>
  <c r="Y1059" i="12"/>
  <c r="X1060" i="12"/>
  <c r="X1061" i="12"/>
  <c r="Y1060" i="12"/>
  <c r="X1062" i="12"/>
  <c r="Y1061" i="12"/>
  <c r="Y1062" i="12"/>
  <c r="X1063" i="12"/>
  <c r="Y1063" i="12"/>
  <c r="X1064" i="12"/>
  <c r="X1065" i="12"/>
  <c r="Y1064" i="12"/>
  <c r="X1066" i="12"/>
  <c r="Y1065" i="12"/>
  <c r="Y1066" i="12"/>
  <c r="X1067" i="12"/>
  <c r="Y1067" i="12"/>
  <c r="X1068" i="12"/>
  <c r="X1069" i="12"/>
  <c r="Y1068" i="12"/>
  <c r="X1070" i="12"/>
  <c r="Y1069" i="12"/>
  <c r="Y1070" i="12"/>
  <c r="X1071" i="12"/>
  <c r="Y1071" i="12"/>
  <c r="X1072" i="12"/>
  <c r="X1073" i="12"/>
  <c r="Y1072" i="12"/>
  <c r="X1074" i="12"/>
  <c r="Y1073" i="12"/>
  <c r="Y1074" i="12"/>
  <c r="X1075" i="12"/>
  <c r="Y1075" i="12"/>
  <c r="X1076" i="12"/>
  <c r="X1077" i="12"/>
  <c r="Y1076" i="12"/>
  <c r="X1078" i="12"/>
  <c r="Y1077" i="12"/>
  <c r="Y1078" i="12"/>
  <c r="X1079" i="12"/>
  <c r="Y1079" i="12"/>
  <c r="X1080" i="12"/>
  <c r="X1081" i="12"/>
  <c r="Y1080" i="12"/>
  <c r="X1082" i="12"/>
  <c r="Y1081" i="12"/>
  <c r="Y1082" i="12"/>
  <c r="X1083" i="12"/>
  <c r="Y1083" i="12"/>
  <c r="X1084" i="12"/>
  <c r="X1085" i="12"/>
  <c r="Y1084" i="12"/>
  <c r="X1086" i="12"/>
  <c r="Y1085" i="12"/>
  <c r="Y1086" i="12"/>
  <c r="X1087" i="12"/>
  <c r="Y1087" i="12"/>
  <c r="X1088" i="12"/>
  <c r="X1089" i="12"/>
  <c r="Y1088" i="12"/>
  <c r="X1090" i="12"/>
  <c r="Y1089" i="12"/>
  <c r="Y1090" i="12"/>
  <c r="X1091" i="12"/>
  <c r="Y1091" i="12"/>
  <c r="X1092" i="12"/>
  <c r="X1093" i="12"/>
  <c r="Y1092" i="12"/>
  <c r="X1094" i="12"/>
  <c r="Y1093" i="12"/>
  <c r="Y1094" i="12"/>
  <c r="X1095" i="12"/>
  <c r="Y1095" i="12"/>
  <c r="X1096" i="12"/>
  <c r="X1097" i="12"/>
  <c r="Y1096" i="12"/>
  <c r="X1098" i="12"/>
  <c r="Y1097" i="12"/>
  <c r="Y1098" i="12"/>
  <c r="X1099" i="12"/>
  <c r="Y1099" i="12"/>
  <c r="X1100" i="12"/>
  <c r="X1101" i="12"/>
  <c r="Y1100" i="12"/>
  <c r="X1102" i="12"/>
  <c r="Y1101" i="12"/>
  <c r="Y1102" i="12"/>
  <c r="X1103" i="12"/>
  <c r="Y1103" i="12"/>
  <c r="X1104" i="12"/>
  <c r="X1105" i="12"/>
  <c r="Y1104" i="12"/>
  <c r="X1106" i="12"/>
  <c r="Y1105" i="12"/>
  <c r="Y1106" i="12"/>
  <c r="X1107" i="12"/>
  <c r="Y1107" i="12"/>
  <c r="X1108" i="12"/>
  <c r="X1109" i="12"/>
  <c r="Y1108" i="12"/>
  <c r="X1110" i="12"/>
  <c r="Y1109" i="12"/>
  <c r="Y1110" i="12"/>
  <c r="X1111" i="12"/>
  <c r="Y1111" i="12"/>
  <c r="X1112" i="12"/>
  <c r="X1113" i="12"/>
  <c r="Y1112" i="12"/>
  <c r="X1114" i="12"/>
  <c r="Y1113" i="12"/>
  <c r="Y1114" i="12"/>
  <c r="X1115" i="12"/>
  <c r="Y1115" i="12"/>
  <c r="X1116" i="12"/>
  <c r="X1117" i="12"/>
  <c r="Y1116" i="12"/>
  <c r="X1118" i="12"/>
  <c r="Y1117" i="12"/>
  <c r="Y1118" i="12"/>
  <c r="X1119" i="12"/>
  <c r="Y1119" i="12"/>
  <c r="X1120" i="12"/>
  <c r="X1121" i="12"/>
  <c r="Y1120" i="12"/>
  <c r="X1122" i="12"/>
  <c r="Y1121" i="12"/>
  <c r="Y1122" i="12"/>
  <c r="X1123" i="12"/>
  <c r="Y1123" i="12"/>
  <c r="X1124" i="12"/>
  <c r="X1125" i="12"/>
  <c r="Y1124" i="12"/>
  <c r="X1126" i="12"/>
  <c r="Y1125" i="12"/>
  <c r="Y1126" i="12"/>
  <c r="X1127" i="12"/>
  <c r="Y1127" i="12"/>
  <c r="X1128" i="12"/>
  <c r="X1129" i="12"/>
  <c r="Y1128" i="12"/>
  <c r="X1130" i="12"/>
  <c r="Y1129" i="12"/>
  <c r="Y1130" i="12"/>
  <c r="X1131" i="12"/>
  <c r="Y1131" i="12"/>
  <c r="X1132" i="12"/>
  <c r="X1133" i="12"/>
  <c r="Y1132" i="12"/>
  <c r="X1134" i="12"/>
  <c r="Y1133" i="12"/>
  <c r="Y1134" i="12"/>
  <c r="X1135" i="12"/>
  <c r="Y1135" i="12"/>
  <c r="X1136" i="12"/>
  <c r="X1137" i="12"/>
  <c r="Y1136" i="12"/>
  <c r="X1138" i="12"/>
  <c r="Y1137" i="12"/>
  <c r="Y1138" i="12"/>
  <c r="X1139" i="12"/>
  <c r="Y1139" i="12"/>
  <c r="X1140" i="12"/>
  <c r="X1141" i="12"/>
  <c r="Y1140" i="12"/>
  <c r="X1142" i="12"/>
  <c r="Y1141" i="12"/>
  <c r="Y1142" i="12"/>
  <c r="X1143" i="12"/>
  <c r="Y1143" i="12"/>
  <c r="X1144" i="12"/>
  <c r="X1145" i="12"/>
  <c r="Y1144" i="12"/>
  <c r="X1146" i="12"/>
  <c r="Y1145" i="12"/>
  <c r="Y1146" i="12"/>
  <c r="X1147" i="12"/>
  <c r="Y1147" i="12"/>
  <c r="X1148" i="12"/>
  <c r="X1149" i="12"/>
  <c r="Y1148" i="12"/>
  <c r="X1150" i="12"/>
  <c r="Y1149" i="12"/>
  <c r="Y1150" i="12"/>
  <c r="X1151" i="12"/>
  <c r="Y1151" i="12"/>
  <c r="X1152" i="12"/>
  <c r="X1153" i="12"/>
  <c r="Y1152" i="12"/>
  <c r="X1154" i="12"/>
  <c r="Y1153" i="12"/>
  <c r="Y1154" i="12"/>
  <c r="X1155" i="12"/>
  <c r="Y1155" i="12"/>
  <c r="X1156" i="12"/>
  <c r="X1157" i="12"/>
  <c r="Y1156" i="12"/>
  <c r="X1158" i="12"/>
  <c r="Y1157" i="12"/>
  <c r="Y1158" i="12"/>
  <c r="X1159" i="12"/>
  <c r="Y1159" i="12"/>
  <c r="X1160" i="12"/>
  <c r="X1161" i="12"/>
  <c r="Y1160" i="12"/>
  <c r="X1162" i="12"/>
  <c r="Y1161" i="12"/>
  <c r="Y1162" i="12"/>
  <c r="X1163" i="12"/>
  <c r="Y1163" i="12"/>
  <c r="X1164" i="12"/>
  <c r="X1165" i="12"/>
  <c r="Y1164" i="12"/>
  <c r="X1166" i="12"/>
  <c r="Y1165" i="12"/>
  <c r="Y1166" i="12"/>
  <c r="X1167" i="12"/>
  <c r="Y1167" i="12"/>
  <c r="X1168" i="12"/>
  <c r="X1169" i="12"/>
  <c r="Y1168" i="12"/>
  <c r="X1170" i="12"/>
  <c r="Y1169" i="12"/>
  <c r="Y1170" i="12"/>
  <c r="X1171" i="12"/>
  <c r="Y1171" i="12"/>
  <c r="X1172" i="12"/>
  <c r="X1173" i="12"/>
  <c r="Y1172" i="12"/>
  <c r="X1174" i="12"/>
  <c r="Y1173" i="12"/>
  <c r="Y1174" i="12"/>
  <c r="X1175" i="12"/>
  <c r="Y1175" i="12"/>
  <c r="X1176" i="12"/>
  <c r="X1177" i="12"/>
  <c r="Y1176" i="12"/>
  <c r="X1178" i="12"/>
  <c r="Y1177" i="12"/>
  <c r="Y1178" i="12"/>
  <c r="X1179" i="12"/>
  <c r="Y1179" i="12"/>
  <c r="X1180" i="12"/>
  <c r="X1181" i="12"/>
  <c r="Y1180" i="12"/>
  <c r="X1182" i="12"/>
  <c r="Y1181" i="12"/>
  <c r="Y1182" i="12"/>
  <c r="X1183" i="12"/>
  <c r="Y1183" i="12"/>
  <c r="X1184" i="12"/>
  <c r="X1185" i="12"/>
  <c r="Y1184" i="12"/>
  <c r="X1186" i="12"/>
  <c r="Y1185" i="12"/>
  <c r="Y1186" i="12"/>
  <c r="X1187" i="12"/>
  <c r="Y1187" i="12"/>
  <c r="X1188" i="12"/>
  <c r="X1189" i="12"/>
  <c r="Y1188" i="12"/>
  <c r="X1190" i="12"/>
  <c r="Y1189" i="12"/>
  <c r="Y1190" i="12"/>
  <c r="X1191" i="12"/>
  <c r="Y1191" i="12"/>
  <c r="X1192" i="12"/>
  <c r="X1193" i="12"/>
  <c r="Y1192" i="12"/>
  <c r="X1194" i="12"/>
  <c r="Y1193" i="12"/>
  <c r="Y1194" i="12"/>
  <c r="X1195" i="12"/>
  <c r="Y1195" i="12"/>
  <c r="X1196" i="12"/>
  <c r="X1197" i="12"/>
  <c r="Y1196" i="12"/>
  <c r="X1198" i="12"/>
  <c r="Y1197" i="12"/>
  <c r="Y1198" i="12"/>
  <c r="X1199" i="12"/>
  <c r="Y1199" i="12"/>
  <c r="X1200" i="12"/>
  <c r="X1201" i="12"/>
  <c r="Y1200" i="12"/>
  <c r="X1202" i="12"/>
  <c r="Y1201" i="12"/>
  <c r="Y1202" i="12"/>
  <c r="X1203" i="12"/>
  <c r="Y1203" i="12"/>
  <c r="X1204" i="12"/>
  <c r="X1205" i="12"/>
  <c r="Y1204" i="12"/>
  <c r="X1206" i="12"/>
  <c r="Y1205" i="12"/>
  <c r="Y1206" i="12"/>
  <c r="X1207" i="12"/>
  <c r="Y1207" i="12"/>
  <c r="X1208" i="12"/>
  <c r="X1209" i="12"/>
  <c r="Y1208" i="12"/>
  <c r="X1210" i="12"/>
  <c r="Y1209" i="12"/>
  <c r="Y1210" i="12"/>
  <c r="X1211" i="12"/>
  <c r="Y1211" i="12"/>
  <c r="X1212" i="12"/>
  <c r="X1213" i="12"/>
  <c r="Y1212" i="12"/>
  <c r="X1214" i="12"/>
  <c r="Y1213" i="12"/>
  <c r="Y1214" i="12"/>
  <c r="X1215" i="12"/>
  <c r="Y1215" i="12"/>
  <c r="X1216" i="12"/>
  <c r="X1217" i="12"/>
  <c r="Y1216" i="12"/>
  <c r="X1218" i="12"/>
  <c r="Y1217" i="12"/>
  <c r="Y1218" i="12"/>
  <c r="X1219" i="12"/>
  <c r="Y1219" i="12"/>
  <c r="X1220" i="12"/>
  <c r="X1221" i="12"/>
  <c r="Y1220" i="12"/>
  <c r="X1222" i="12"/>
  <c r="Y1221" i="12"/>
  <c r="Y1222" i="12"/>
  <c r="X1223" i="12"/>
  <c r="Y1223" i="12"/>
  <c r="X1224" i="12"/>
  <c r="X1225" i="12"/>
  <c r="Y1224" i="12"/>
  <c r="X1226" i="12"/>
  <c r="Y1225" i="12"/>
  <c r="Y1226" i="12"/>
  <c r="X1227" i="12"/>
  <c r="Y1227" i="12"/>
  <c r="X1228" i="12"/>
  <c r="X1229" i="12"/>
  <c r="Y1228" i="12"/>
  <c r="X1230" i="12"/>
  <c r="Y1229" i="12"/>
  <c r="Y1230" i="12"/>
  <c r="X1231" i="12"/>
  <c r="Y1231" i="12"/>
  <c r="X1232" i="12"/>
  <c r="X1233" i="12"/>
  <c r="Y1232" i="12"/>
  <c r="X1234" i="12"/>
  <c r="Y1233" i="12"/>
  <c r="Y1234" i="12"/>
  <c r="X1235" i="12"/>
  <c r="Y1235" i="12"/>
  <c r="X1236" i="12"/>
  <c r="X1237" i="12"/>
  <c r="Y1236" i="12"/>
  <c r="X1238" i="12"/>
  <c r="Y1237" i="12"/>
  <c r="Y1238" i="12"/>
  <c r="X1239" i="12"/>
  <c r="Y1239" i="12"/>
  <c r="X1240" i="12"/>
  <c r="X1241" i="12"/>
  <c r="Y1240" i="12"/>
  <c r="X1242" i="12"/>
  <c r="Y1241" i="12"/>
  <c r="Y1242" i="12"/>
  <c r="X1243" i="12"/>
  <c r="Y1243" i="12"/>
  <c r="X1244" i="12"/>
  <c r="X1245" i="12"/>
  <c r="Y1244" i="12"/>
  <c r="X1246" i="12"/>
  <c r="Y1245" i="12"/>
  <c r="Y1246" i="12"/>
  <c r="X1247" i="12"/>
  <c r="Y1247" i="12"/>
  <c r="X1248" i="12"/>
  <c r="X1249" i="12"/>
  <c r="Y1248" i="12"/>
  <c r="X1250" i="12"/>
  <c r="Y1249" i="12"/>
  <c r="Y1250" i="12"/>
  <c r="X1251" i="12"/>
  <c r="Y1251" i="12"/>
  <c r="X1252" i="12"/>
  <c r="X1253" i="12"/>
  <c r="Y1252" i="12"/>
  <c r="X1254" i="12"/>
  <c r="Y1253" i="12"/>
  <c r="Y1254" i="12"/>
  <c r="X1255" i="12"/>
  <c r="Y1255" i="12"/>
  <c r="X1256" i="12"/>
  <c r="X1257" i="12"/>
  <c r="Y1256" i="12"/>
  <c r="X1258" i="12"/>
  <c r="Y1257" i="12"/>
  <c r="Y1258" i="12"/>
  <c r="X1259" i="12"/>
  <c r="Y1259" i="12"/>
  <c r="X1260" i="12"/>
  <c r="X1261" i="12"/>
  <c r="Y1260" i="12"/>
  <c r="X1262" i="12"/>
  <c r="Y1261" i="12"/>
  <c r="Y1262" i="12"/>
  <c r="X1263" i="12"/>
  <c r="Y1263" i="12"/>
  <c r="X1264" i="12"/>
  <c r="X1265" i="12"/>
  <c r="Y1264" i="12"/>
  <c r="X1266" i="12"/>
  <c r="Y1265" i="12"/>
  <c r="Y1266" i="12"/>
  <c r="X1267" i="12"/>
  <c r="Y1267" i="12"/>
  <c r="X1268" i="12"/>
  <c r="X1269" i="12"/>
  <c r="Y1268" i="12"/>
  <c r="X1270" i="12"/>
  <c r="Y1269" i="12"/>
  <c r="Y1270" i="12"/>
  <c r="X1271" i="12"/>
  <c r="Y1271" i="12"/>
  <c r="X1272" i="12"/>
  <c r="X1273" i="12"/>
  <c r="Y1272" i="12"/>
  <c r="X1274" i="12"/>
  <c r="Y1273" i="12"/>
  <c r="Y1274" i="12"/>
  <c r="X1275" i="12"/>
  <c r="Y1275" i="12"/>
  <c r="X1276" i="12"/>
  <c r="X1277" i="12"/>
  <c r="Y1276" i="12"/>
  <c r="X1278" i="12"/>
  <c r="Y1277" i="12"/>
  <c r="Y1278" i="12"/>
  <c r="X1279" i="12"/>
  <c r="Y1279" i="12"/>
  <c r="X1280" i="12"/>
  <c r="X1281" i="12"/>
  <c r="Y1280" i="12"/>
  <c r="X1282" i="12"/>
  <c r="Y1281" i="12"/>
  <c r="Y1282" i="12"/>
  <c r="X1283" i="12"/>
  <c r="Y1283" i="12"/>
  <c r="X1284" i="12"/>
  <c r="X1285" i="12"/>
  <c r="Y1284" i="12"/>
  <c r="X1286" i="12"/>
  <c r="Y1285" i="12"/>
  <c r="Y1286" i="12"/>
  <c r="X1287" i="12"/>
  <c r="Y1287" i="12"/>
  <c r="X1288" i="12"/>
  <c r="X1289" i="12"/>
  <c r="Y1288" i="12"/>
  <c r="X1290" i="12"/>
  <c r="Y1289" i="12"/>
  <c r="Y1290" i="12"/>
  <c r="X1291" i="12"/>
  <c r="Y1291" i="12"/>
  <c r="X1292" i="12"/>
  <c r="X1293" i="12"/>
  <c r="Y1292" i="12"/>
  <c r="X1294" i="12"/>
  <c r="Y1293" i="12"/>
  <c r="Y1294" i="12"/>
  <c r="X1295" i="12"/>
  <c r="Y1295" i="12"/>
  <c r="X1296" i="12"/>
  <c r="X1297" i="12"/>
  <c r="Y1296" i="12"/>
  <c r="X1298" i="12"/>
  <c r="Y1297" i="12"/>
  <c r="Y1298" i="12"/>
  <c r="X1299" i="12"/>
  <c r="Y1299" i="12"/>
  <c r="X1300" i="12"/>
  <c r="X1301" i="12"/>
  <c r="Y1300" i="12"/>
  <c r="X1302" i="12"/>
  <c r="Y1301" i="12"/>
  <c r="Y1302" i="12"/>
  <c r="X1303" i="12"/>
  <c r="Y1303" i="12"/>
  <c r="X1304" i="12"/>
  <c r="X1305" i="12"/>
  <c r="Y1304" i="12"/>
  <c r="X1306" i="12"/>
  <c r="Y1305" i="12"/>
  <c r="Y1306" i="12"/>
  <c r="X1307" i="12"/>
  <c r="Y1307" i="12"/>
  <c r="X1308" i="12"/>
  <c r="X1309" i="12"/>
  <c r="Y1308" i="12"/>
  <c r="X1310" i="12"/>
  <c r="Y1309" i="12"/>
  <c r="Y1310" i="12"/>
  <c r="X1311" i="12"/>
  <c r="Y1311" i="12"/>
  <c r="X1312" i="12"/>
  <c r="X1313" i="12"/>
  <c r="Y1312" i="12"/>
  <c r="X1314" i="12"/>
  <c r="Y1313" i="12"/>
  <c r="Y1314" i="12"/>
  <c r="X1315" i="12"/>
  <c r="Y1315" i="12"/>
  <c r="X1316" i="12"/>
  <c r="X1317" i="12"/>
  <c r="Y1316" i="12"/>
  <c r="X1318" i="12"/>
  <c r="Y1317" i="12"/>
  <c r="Y1318" i="12"/>
  <c r="X1319" i="12"/>
  <c r="Y1319" i="12"/>
  <c r="X1320" i="12"/>
  <c r="X1321" i="12"/>
  <c r="Y1320" i="12"/>
  <c r="X1322" i="12"/>
  <c r="Y1321" i="12"/>
  <c r="Y1322" i="12"/>
  <c r="X1323" i="12"/>
  <c r="Y1323" i="12"/>
  <c r="X1324" i="12"/>
  <c r="X1325" i="12"/>
  <c r="Y1324" i="12"/>
  <c r="X1326" i="12"/>
  <c r="Y1325" i="12"/>
  <c r="Y1326" i="12"/>
  <c r="X1327" i="12"/>
  <c r="Y1327" i="12"/>
  <c r="X1328" i="12"/>
  <c r="X1329" i="12"/>
  <c r="Y1328" i="12"/>
  <c r="X1330" i="12"/>
  <c r="Y1329" i="12"/>
  <c r="Y1330" i="12"/>
  <c r="X1331" i="12"/>
  <c r="Y1331" i="12"/>
  <c r="X1332" i="12"/>
  <c r="X1333" i="12"/>
  <c r="Y1332" i="12"/>
  <c r="X1334" i="12"/>
  <c r="Y1333" i="12"/>
  <c r="Y1334" i="12"/>
  <c r="X1335" i="12"/>
  <c r="Y1335" i="12"/>
  <c r="X1336" i="12"/>
  <c r="X1337" i="12"/>
  <c r="Y1336" i="12"/>
  <c r="X1338" i="12"/>
  <c r="Y1337" i="12"/>
  <c r="Y1338" i="12"/>
  <c r="X1339" i="12"/>
  <c r="Y1339" i="12"/>
  <c r="X1340" i="12"/>
  <c r="X1341" i="12"/>
  <c r="Y1340" i="12"/>
  <c r="X1342" i="12"/>
  <c r="Y1341" i="12"/>
  <c r="Y1342" i="12"/>
  <c r="X1343" i="12"/>
  <c r="Y1343" i="12"/>
  <c r="X1344" i="12"/>
  <c r="X1345" i="12"/>
  <c r="Y1344" i="12"/>
  <c r="X1346" i="12"/>
  <c r="Y1345" i="12"/>
  <c r="Y1346" i="12"/>
  <c r="X1347" i="12"/>
  <c r="Y1347" i="12"/>
  <c r="X1348" i="12"/>
  <c r="X1349" i="12"/>
  <c r="Y1348" i="12"/>
  <c r="X1350" i="12"/>
  <c r="Y1349" i="12"/>
  <c r="Y1350" i="12"/>
  <c r="X1351" i="12"/>
  <c r="Y1351" i="12"/>
  <c r="X1352" i="12"/>
  <c r="X1353" i="12"/>
  <c r="Y1352" i="12"/>
  <c r="X1354" i="12"/>
  <c r="Y1353" i="12"/>
  <c r="Y1354" i="12"/>
  <c r="X1355" i="12"/>
  <c r="Y1355" i="12"/>
  <c r="X1356" i="12"/>
  <c r="X1357" i="12"/>
  <c r="Y1356" i="12"/>
  <c r="X1358" i="12"/>
  <c r="Y1357" i="12"/>
  <c r="Y1358" i="12"/>
  <c r="X1359" i="12"/>
  <c r="Y1359" i="12"/>
  <c r="X1360" i="12"/>
  <c r="X1361" i="12"/>
  <c r="Y1360" i="12"/>
  <c r="Y1361" i="12"/>
  <c r="X1362" i="12"/>
  <c r="X1363" i="12"/>
  <c r="Y1362" i="12"/>
  <c r="X1364" i="12"/>
  <c r="Y1363" i="12"/>
  <c r="Y1364" i="12"/>
  <c r="X1365" i="12"/>
  <c r="Y1365" i="12"/>
  <c r="X1366" i="12"/>
  <c r="X1367" i="12"/>
  <c r="Y1366" i="12"/>
  <c r="X1368" i="12"/>
  <c r="Y1367" i="12"/>
  <c r="Y1368" i="12"/>
  <c r="X1369" i="12"/>
  <c r="Y1369" i="12"/>
  <c r="X1370" i="12"/>
  <c r="X1371" i="12"/>
  <c r="Y1370" i="12"/>
  <c r="X1372" i="12"/>
  <c r="Y1371" i="12"/>
  <c r="Y1372" i="12"/>
  <c r="X1373" i="12"/>
  <c r="Y1373" i="12"/>
  <c r="X1374" i="12"/>
  <c r="X1375" i="12"/>
  <c r="Y1374" i="12"/>
  <c r="X1376" i="12"/>
  <c r="Y1375" i="12"/>
  <c r="Y1376" i="12"/>
  <c r="X1377" i="12"/>
  <c r="Y1377" i="12"/>
  <c r="X1378" i="12"/>
  <c r="X1379" i="12"/>
  <c r="Y1378" i="12"/>
  <c r="X1380" i="12"/>
  <c r="Y1379" i="12"/>
  <c r="Y1380" i="12"/>
  <c r="X1381" i="12"/>
  <c r="Y1381" i="12"/>
  <c r="X1382" i="12"/>
  <c r="X1383" i="12"/>
  <c r="Y1382" i="12"/>
  <c r="X1384" i="12"/>
  <c r="Y1383" i="12"/>
  <c r="Y1384" i="12"/>
  <c r="X1385" i="12"/>
  <c r="Y1385" i="12"/>
  <c r="X1386" i="12"/>
  <c r="X1387" i="12"/>
  <c r="Y1386" i="12"/>
  <c r="X1388" i="12"/>
  <c r="Y1387" i="12"/>
  <c r="Y1388" i="12"/>
  <c r="X1389" i="12"/>
  <c r="Y1389" i="12"/>
  <c r="X1390" i="12"/>
  <c r="X1391" i="12"/>
  <c r="Y1390" i="12"/>
  <c r="X1392" i="12"/>
  <c r="Y1391" i="12"/>
  <c r="Y1392" i="12"/>
  <c r="X1393" i="12"/>
  <c r="Y1393" i="12"/>
  <c r="X1394" i="12"/>
  <c r="X1395" i="12"/>
  <c r="Y1394" i="12"/>
  <c r="X1396" i="12"/>
  <c r="Y1395" i="12"/>
  <c r="Y1396" i="12"/>
  <c r="X1397" i="12"/>
  <c r="Y1397" i="12"/>
  <c r="X1398" i="12"/>
  <c r="X1399" i="12"/>
  <c r="Y1398" i="12"/>
  <c r="X1400" i="12"/>
  <c r="Y1399" i="12"/>
  <c r="Y1400" i="12"/>
  <c r="X1401" i="12"/>
  <c r="Y1401" i="12"/>
  <c r="X1402" i="12"/>
  <c r="X1403" i="12"/>
  <c r="Y1402" i="12"/>
  <c r="X1404" i="12"/>
  <c r="Y1403" i="12"/>
  <c r="Y1404" i="12"/>
  <c r="X1405" i="12"/>
  <c r="Y1405" i="12"/>
  <c r="X1406" i="12"/>
  <c r="X1407" i="12"/>
  <c r="Y1406" i="12"/>
  <c r="X1408" i="12"/>
  <c r="Y1407" i="12"/>
  <c r="Y1408" i="12"/>
  <c r="X1409" i="12"/>
  <c r="Y1409" i="12"/>
  <c r="X1410" i="12"/>
  <c r="X1411" i="12"/>
  <c r="Y1410" i="12"/>
  <c r="X1412" i="12"/>
  <c r="Y1411" i="12"/>
  <c r="Y1412" i="12"/>
  <c r="X1413" i="12"/>
  <c r="Y1413" i="12"/>
  <c r="X1414" i="12"/>
  <c r="X1415" i="12"/>
  <c r="Y1414" i="12"/>
  <c r="X1416" i="12"/>
  <c r="Y1415" i="12"/>
  <c r="Y1416" i="12"/>
  <c r="X1417" i="12"/>
  <c r="Y1417" i="12"/>
  <c r="X1418" i="12"/>
  <c r="X1419" i="12"/>
  <c r="Y1418" i="12"/>
  <c r="X1420" i="12"/>
  <c r="Y1419" i="12"/>
  <c r="Y1420" i="12"/>
  <c r="X1421" i="12"/>
  <c r="Y1421" i="12"/>
  <c r="X1422" i="12"/>
  <c r="X1423" i="12"/>
  <c r="Y1422" i="12"/>
  <c r="X1424" i="12"/>
  <c r="Y1423" i="12"/>
  <c r="Y1424" i="12"/>
  <c r="X1425" i="12"/>
  <c r="Y1425" i="12"/>
  <c r="X1426" i="12"/>
  <c r="X1427" i="12"/>
  <c r="Y1426" i="12"/>
  <c r="X1428" i="12"/>
  <c r="Y1427" i="12"/>
  <c r="Y1428" i="12"/>
  <c r="X1429" i="12"/>
  <c r="Y1429" i="12"/>
  <c r="X1430" i="12"/>
  <c r="X1431" i="12"/>
  <c r="Y1430" i="12"/>
  <c r="X1432" i="12"/>
  <c r="Y1431" i="12"/>
  <c r="Y1432" i="12"/>
  <c r="X1433" i="12"/>
  <c r="Y1433" i="12"/>
  <c r="X1434" i="12"/>
  <c r="X1435" i="12"/>
  <c r="Y1434" i="12"/>
  <c r="X1436" i="12"/>
  <c r="Y1435" i="12"/>
  <c r="Y1436" i="12"/>
  <c r="X1437" i="12"/>
  <c r="Y1437" i="12"/>
  <c r="X1438" i="12"/>
  <c r="X1439" i="12"/>
  <c r="Y1438" i="12"/>
  <c r="X1440" i="12"/>
  <c r="Y1439" i="12"/>
  <c r="Y1440" i="12"/>
  <c r="X1441" i="12"/>
  <c r="Y1441" i="12"/>
  <c r="X1442" i="12"/>
  <c r="X1443" i="12"/>
  <c r="Y1442" i="12"/>
  <c r="X1444" i="12"/>
  <c r="Y1443" i="12"/>
  <c r="Y1444" i="12"/>
  <c r="X1445" i="12"/>
  <c r="Y1445" i="12"/>
  <c r="X1446" i="12"/>
  <c r="X1447" i="12"/>
  <c r="Y1446" i="12"/>
  <c r="X1448" i="12"/>
  <c r="Y1447" i="12"/>
  <c r="Y1448" i="12"/>
  <c r="X1449" i="12"/>
  <c r="Y1449" i="12"/>
  <c r="X1450" i="12"/>
  <c r="X1451" i="12"/>
  <c r="Y1450" i="12"/>
  <c r="X1452" i="12"/>
  <c r="Y1451" i="12"/>
  <c r="Y1452" i="12"/>
  <c r="X1453" i="12"/>
  <c r="Y1453" i="12"/>
  <c r="X1454" i="12"/>
  <c r="X1455" i="12"/>
  <c r="Y1454" i="12"/>
  <c r="X1456" i="12"/>
  <c r="Y1455" i="12"/>
  <c r="Y1456" i="12"/>
  <c r="X1457" i="12"/>
  <c r="Y1457" i="12"/>
  <c r="X1458" i="12"/>
  <c r="X1459" i="12"/>
  <c r="Y1458" i="12"/>
  <c r="X1460" i="12"/>
  <c r="Y1459" i="12"/>
  <c r="Y1460" i="12"/>
  <c r="X1461" i="12"/>
  <c r="Y1461" i="12"/>
  <c r="X1462" i="12"/>
  <c r="X1463" i="12"/>
  <c r="Y1462" i="12"/>
  <c r="X1464" i="12"/>
  <c r="Y1463" i="12"/>
  <c r="Y1464" i="12"/>
  <c r="X1465" i="12"/>
  <c r="Y1465" i="12"/>
  <c r="X1466" i="12"/>
  <c r="X1467" i="12"/>
  <c r="Y1466" i="12"/>
  <c r="X1468" i="12"/>
  <c r="Y1467" i="12"/>
  <c r="Y1468" i="12"/>
  <c r="X1469" i="12"/>
  <c r="Y1469" i="12"/>
  <c r="X1470" i="12"/>
  <c r="X1471" i="12"/>
  <c r="Y1470" i="12"/>
  <c r="X1472" i="12"/>
  <c r="Y1471" i="12"/>
  <c r="Y1472" i="12"/>
  <c r="X1473" i="12"/>
  <c r="Y1473" i="12"/>
  <c r="X1474" i="12"/>
  <c r="X1475" i="12"/>
  <c r="Y1474" i="12"/>
  <c r="X1476" i="12"/>
  <c r="Y1475" i="12"/>
  <c r="Y1476" i="12"/>
  <c r="X1477" i="12"/>
  <c r="Y1477" i="12"/>
  <c r="X1478" i="12"/>
  <c r="X1479" i="12"/>
  <c r="Y1478" i="12"/>
  <c r="X1480" i="12"/>
  <c r="Y1479" i="12"/>
  <c r="Y1480" i="12"/>
  <c r="X1481" i="12"/>
  <c r="Y1481" i="12"/>
  <c r="X1482" i="12"/>
  <c r="X1483" i="12"/>
  <c r="Y1482" i="12"/>
  <c r="X1484" i="12"/>
  <c r="Y1483" i="12"/>
  <c r="Y1484" i="12"/>
  <c r="X1485" i="12"/>
  <c r="Y1485" i="12"/>
  <c r="X1486" i="12"/>
  <c r="X1487" i="12"/>
  <c r="Y1486" i="12"/>
  <c r="X1488" i="12"/>
  <c r="Y1487" i="12"/>
  <c r="Y1488" i="12"/>
  <c r="X1489" i="12"/>
  <c r="Y1489" i="12"/>
  <c r="X1490" i="12"/>
  <c r="X1491" i="12"/>
  <c r="Y1490" i="12"/>
  <c r="X1492" i="12"/>
  <c r="Y1491" i="12"/>
  <c r="Y1492" i="12"/>
  <c r="X1493" i="12"/>
  <c r="Y1493" i="12"/>
  <c r="X1494" i="12"/>
  <c r="X1495" i="12"/>
  <c r="Y1494" i="12"/>
  <c r="X1496" i="12"/>
  <c r="Y1495" i="12"/>
  <c r="Y1496" i="12"/>
  <c r="X1497" i="12"/>
  <c r="Y1497" i="12"/>
  <c r="X1498" i="12"/>
  <c r="X1499" i="12"/>
  <c r="Y1498" i="12"/>
  <c r="X1500" i="12"/>
  <c r="Y1499" i="12"/>
  <c r="Y1500" i="12"/>
  <c r="X1501" i="12"/>
  <c r="Y1501" i="12"/>
  <c r="X1502" i="12"/>
  <c r="X1503" i="12"/>
  <c r="Y1502" i="12"/>
  <c r="X1504" i="12"/>
  <c r="Y1503" i="12"/>
  <c r="Y1504" i="12"/>
  <c r="X1505" i="12"/>
  <c r="Y1505" i="12"/>
  <c r="X1506" i="12"/>
  <c r="X1507" i="12"/>
  <c r="Y1506" i="12"/>
  <c r="X1508" i="12"/>
  <c r="Y1507" i="12"/>
  <c r="Y1508" i="12"/>
  <c r="X1509" i="12"/>
  <c r="Y1509" i="12"/>
  <c r="X1510" i="12"/>
  <c r="X1511" i="12"/>
  <c r="Y1510" i="12"/>
  <c r="X1512" i="12"/>
  <c r="Y1511" i="12"/>
  <c r="Y1512" i="12"/>
  <c r="X1513" i="12"/>
  <c r="Y1513" i="12"/>
  <c r="X1514" i="12"/>
  <c r="X1515" i="12"/>
  <c r="Y1514" i="12"/>
  <c r="X1516" i="12"/>
  <c r="Y1515" i="12"/>
  <c r="Y1516" i="12"/>
  <c r="X1517" i="12"/>
  <c r="Y1517" i="12"/>
  <c r="X1518" i="12"/>
  <c r="X1519" i="12"/>
  <c r="Y1518" i="12"/>
  <c r="X1520" i="12"/>
  <c r="Y1519" i="12"/>
  <c r="Y1520" i="12"/>
  <c r="X1521" i="12"/>
  <c r="Y1521" i="12"/>
  <c r="X1522" i="12"/>
  <c r="X1523" i="12"/>
  <c r="Y1522" i="12"/>
  <c r="X1524" i="12"/>
  <c r="Y1523" i="12"/>
  <c r="Y1524" i="12"/>
  <c r="X1525" i="12"/>
  <c r="Y1525" i="12"/>
  <c r="X1526" i="12"/>
  <c r="X1527" i="12"/>
  <c r="Y1526" i="12"/>
  <c r="X1528" i="12"/>
  <c r="Y1527" i="12"/>
  <c r="Y1528" i="12"/>
  <c r="X1529" i="12"/>
  <c r="Y1529" i="12"/>
  <c r="X1530" i="12"/>
  <c r="X1531" i="12"/>
  <c r="Y1530" i="12"/>
  <c r="X1532" i="12"/>
  <c r="Y1531" i="12"/>
  <c r="Y1532" i="12"/>
  <c r="X1533" i="12"/>
  <c r="Y1533" i="12"/>
  <c r="X1534" i="12"/>
  <c r="X1535" i="12"/>
  <c r="Y1534" i="12"/>
  <c r="X1536" i="12"/>
  <c r="Y1535" i="12"/>
  <c r="Y1536" i="12"/>
  <c r="X1537" i="12"/>
  <c r="Y1537" i="12"/>
  <c r="X1538" i="12"/>
  <c r="X1539" i="12"/>
  <c r="Y1538" i="12"/>
  <c r="X1540" i="12"/>
  <c r="Y1539" i="12"/>
  <c r="Y1540" i="12"/>
  <c r="X1541" i="12"/>
  <c r="Y1541" i="12"/>
  <c r="X1542" i="12"/>
  <c r="X1543" i="12"/>
  <c r="Y1542" i="12"/>
  <c r="X1544" i="12"/>
  <c r="Y1543" i="12"/>
  <c r="Y1544" i="12"/>
  <c r="X1545" i="12"/>
  <c r="Y1545" i="12"/>
  <c r="X1546" i="12"/>
  <c r="X1547" i="12"/>
  <c r="Y1546" i="12"/>
  <c r="X1548" i="12"/>
  <c r="Y1547" i="12"/>
  <c r="Y1548" i="12"/>
  <c r="X1549" i="12"/>
  <c r="Y1549" i="12"/>
  <c r="X1550" i="12"/>
  <c r="X1551" i="12"/>
  <c r="Y1550" i="12"/>
  <c r="X1552" i="12"/>
  <c r="Y1551" i="12"/>
  <c r="Y1552" i="12"/>
  <c r="X1553" i="12"/>
  <c r="Y1553" i="12"/>
  <c r="X1554" i="12"/>
  <c r="X1555" i="12"/>
  <c r="Y1554" i="12"/>
  <c r="X1556" i="12"/>
  <c r="Y1555" i="12"/>
  <c r="Y1556" i="12"/>
  <c r="X1557" i="12"/>
  <c r="Y1557" i="12"/>
  <c r="X1558" i="12"/>
  <c r="X1559" i="12"/>
  <c r="Y1558" i="12"/>
  <c r="X1560" i="12"/>
  <c r="Y1559" i="12"/>
  <c r="Y1560" i="12"/>
  <c r="X1561" i="12"/>
  <c r="Y1561" i="12"/>
  <c r="X1562" i="12"/>
  <c r="X1563" i="12"/>
  <c r="Y1562" i="12"/>
  <c r="X1564" i="12"/>
  <c r="Y1563" i="12"/>
  <c r="Y1564" i="12"/>
  <c r="X1565" i="12"/>
  <c r="Y1565" i="12"/>
  <c r="X1566" i="12"/>
  <c r="X1567" i="12"/>
  <c r="Y1566" i="12"/>
  <c r="X1568" i="12"/>
  <c r="Y1567" i="12"/>
  <c r="Y1568" i="12"/>
  <c r="X1569" i="12"/>
  <c r="Y1569" i="12"/>
  <c r="X1570" i="12"/>
  <c r="X1571" i="12"/>
  <c r="Y1570" i="12"/>
  <c r="X1572" i="12"/>
  <c r="Y1571" i="12"/>
  <c r="Y1572" i="12"/>
  <c r="X1573" i="12"/>
  <c r="Y1573" i="12"/>
  <c r="X1574" i="12"/>
  <c r="X1575" i="12"/>
  <c r="Y1574" i="12"/>
  <c r="X1576" i="12"/>
  <c r="Y1575" i="12"/>
  <c r="Y1576" i="12"/>
  <c r="X1577" i="12"/>
  <c r="Y1577" i="12"/>
  <c r="X1578" i="12"/>
  <c r="X1579" i="12"/>
  <c r="Y1578" i="12"/>
  <c r="X1580" i="12"/>
  <c r="Y1579" i="12"/>
  <c r="Y1580" i="12"/>
  <c r="X1581" i="12"/>
  <c r="Y1581" i="12"/>
  <c r="X1582" i="12"/>
  <c r="X1583" i="12"/>
  <c r="Y1582" i="12"/>
  <c r="X1584" i="12"/>
  <c r="Y1583" i="12"/>
  <c r="Y1584" i="12"/>
  <c r="X1585" i="12"/>
  <c r="Y1585" i="12"/>
  <c r="X1586" i="12"/>
  <c r="X1587" i="12"/>
  <c r="Y1586" i="12"/>
  <c r="X1588" i="12"/>
  <c r="Y1587" i="12"/>
  <c r="Y1588" i="12"/>
  <c r="X1589" i="12"/>
  <c r="Y1589" i="12"/>
  <c r="X1590" i="12"/>
  <c r="X1591" i="12"/>
  <c r="Y1590" i="12"/>
  <c r="X1592" i="12"/>
  <c r="Y1591" i="12"/>
  <c r="Y1592" i="12"/>
  <c r="X1593" i="12"/>
  <c r="Y1593" i="12"/>
  <c r="X1594" i="12"/>
  <c r="X1595" i="12"/>
  <c r="Y1594" i="12"/>
  <c r="X1596" i="12"/>
  <c r="Y1595" i="12"/>
  <c r="Y1596" i="12"/>
  <c r="X1597" i="12"/>
  <c r="Y1597" i="12"/>
  <c r="X1598" i="12"/>
  <c r="X1599" i="12"/>
  <c r="Y1598" i="12"/>
  <c r="X1600" i="12"/>
  <c r="Y1599" i="12"/>
  <c r="Y1600" i="12"/>
  <c r="X1601" i="12"/>
  <c r="Y1601" i="12"/>
  <c r="X1602" i="12"/>
  <c r="X1603" i="12"/>
  <c r="Y1602" i="12"/>
  <c r="X1604" i="12"/>
  <c r="Y1603" i="12"/>
  <c r="Y1604" i="12"/>
  <c r="X1605" i="12"/>
  <c r="Y1605" i="12"/>
  <c r="X1606" i="12"/>
  <c r="X1607" i="12"/>
  <c r="Y1606" i="12"/>
  <c r="X1608" i="12"/>
  <c r="Y1607" i="12"/>
  <c r="Y1608" i="12"/>
  <c r="X1609" i="12"/>
  <c r="Y1609" i="12"/>
  <c r="X1610" i="12"/>
  <c r="X1611" i="12"/>
  <c r="Y1610" i="12"/>
  <c r="X1612" i="12"/>
  <c r="Y1611" i="12"/>
  <c r="Y1612" i="12"/>
  <c r="X1613" i="12"/>
  <c r="Y1613" i="12"/>
  <c r="X1614" i="12"/>
  <c r="X1615" i="12"/>
  <c r="Y1614" i="12"/>
  <c r="X1616" i="12"/>
  <c r="Y1615" i="12"/>
  <c r="Y1616" i="12"/>
  <c r="X1617" i="12"/>
  <c r="Y1617" i="12"/>
  <c r="X1618" i="12"/>
  <c r="X1619" i="12"/>
  <c r="Y1618" i="12"/>
  <c r="X1620" i="12"/>
  <c r="Y1619" i="12"/>
  <c r="Y1620" i="12"/>
  <c r="X1621" i="12"/>
  <c r="Y1621" i="12"/>
  <c r="X1622" i="12"/>
  <c r="X1623" i="12"/>
  <c r="Y1622" i="12"/>
  <c r="X1624" i="12"/>
  <c r="Y1623" i="12"/>
  <c r="Y1624" i="12"/>
  <c r="X1625" i="12"/>
  <c r="Y1625" i="12"/>
  <c r="X1626" i="12"/>
  <c r="X1627" i="12"/>
  <c r="Y1626" i="12"/>
  <c r="X1628" i="12"/>
  <c r="Y1627" i="12"/>
  <c r="Y1628" i="12"/>
  <c r="X1629" i="12"/>
  <c r="Y1629" i="12"/>
  <c r="X1630" i="12"/>
  <c r="X1631" i="12"/>
  <c r="Y1630" i="12"/>
  <c r="X1632" i="12"/>
  <c r="Y1631" i="12"/>
  <c r="Y1632" i="12"/>
  <c r="X1633" i="12"/>
  <c r="Y1633" i="12"/>
  <c r="X1634" i="12"/>
  <c r="X1635" i="12"/>
  <c r="Y1634" i="12"/>
  <c r="X1636" i="12"/>
  <c r="Y1635" i="12"/>
  <c r="Y1636" i="12"/>
  <c r="X1637" i="12"/>
  <c r="Y1637" i="12"/>
  <c r="X1638" i="12"/>
  <c r="X1639" i="12"/>
  <c r="Y1638" i="12"/>
  <c r="X1640" i="12"/>
  <c r="Y1639" i="12"/>
  <c r="Y1640" i="12"/>
  <c r="X1641" i="12"/>
  <c r="Y1641" i="12"/>
  <c r="X1642" i="12"/>
  <c r="X1643" i="12"/>
  <c r="Y1642" i="12"/>
  <c r="X1644" i="12"/>
  <c r="Y1643" i="12"/>
  <c r="Y1644" i="12"/>
  <c r="X1645" i="12"/>
  <c r="Y1645" i="12"/>
  <c r="X1646" i="12"/>
  <c r="X1647" i="12"/>
  <c r="Y1646" i="12"/>
  <c r="X1648" i="12"/>
  <c r="Y1647" i="12"/>
  <c r="Y1648" i="12"/>
  <c r="X1649" i="12"/>
  <c r="Y1649" i="12"/>
  <c r="X1650" i="12"/>
  <c r="X1651" i="12"/>
  <c r="Y1650" i="12"/>
  <c r="X1652" i="12"/>
  <c r="Y1651" i="12"/>
  <c r="Y1652" i="12"/>
  <c r="X1653" i="12"/>
  <c r="Y1653" i="12"/>
  <c r="X1654" i="12"/>
  <c r="X1655" i="12"/>
  <c r="Y1654" i="12"/>
  <c r="X1656" i="12"/>
  <c r="Y1655" i="12"/>
  <c r="Y1656" i="12"/>
  <c r="X1657" i="12"/>
  <c r="Y1657" i="12"/>
  <c r="X1658" i="12"/>
  <c r="X1659" i="12"/>
  <c r="Y1658" i="12"/>
  <c r="X1660" i="12"/>
  <c r="Y1659" i="12"/>
  <c r="Y1660" i="12"/>
  <c r="X1661" i="12"/>
  <c r="Y1661" i="12"/>
  <c r="X1662" i="12"/>
  <c r="X1663" i="12"/>
  <c r="Y1662" i="12"/>
  <c r="X1664" i="12"/>
  <c r="Y1663" i="12"/>
  <c r="Y1664" i="12"/>
  <c r="X1665" i="12"/>
  <c r="Y1665" i="12"/>
  <c r="X1666" i="12"/>
  <c r="X1667" i="12"/>
  <c r="Y1666" i="12"/>
  <c r="X1668" i="12"/>
  <c r="Y1667" i="12"/>
  <c r="Y1668" i="12"/>
  <c r="X1669" i="12"/>
  <c r="Y1669" i="12"/>
  <c r="X1670" i="12"/>
  <c r="X1671" i="12"/>
  <c r="Y1670" i="12"/>
  <c r="X1672" i="12"/>
  <c r="Y1671" i="12"/>
  <c r="Y1672" i="12"/>
  <c r="X1673" i="12"/>
  <c r="Y1673" i="12"/>
  <c r="X1674" i="12"/>
  <c r="X1675" i="12"/>
  <c r="Y1674" i="12"/>
  <c r="X1676" i="12"/>
  <c r="Y1675" i="12"/>
  <c r="Y1676" i="12"/>
  <c r="X1677" i="12"/>
  <c r="Y1677" i="12"/>
  <c r="X1678" i="12"/>
  <c r="X1679" i="12"/>
  <c r="Y1678" i="12"/>
  <c r="X1680" i="12"/>
  <c r="Y1679" i="12"/>
  <c r="Y1680" i="12"/>
  <c r="X1681" i="12"/>
  <c r="Y1681" i="12"/>
  <c r="X1682" i="12"/>
  <c r="X1683" i="12"/>
  <c r="Y1682" i="12"/>
  <c r="X1684" i="12"/>
  <c r="Y1683" i="12"/>
  <c r="Y1684" i="12"/>
  <c r="X1685" i="12"/>
  <c r="Y1685" i="12"/>
  <c r="X1686" i="12"/>
  <c r="X1687" i="12"/>
  <c r="Y1686" i="12"/>
  <c r="X1688" i="12"/>
  <c r="Y1687" i="12"/>
  <c r="Y1688" i="12"/>
  <c r="X1689" i="12"/>
  <c r="Y1689" i="12"/>
  <c r="X1690" i="12"/>
  <c r="X1691" i="12"/>
  <c r="Y1690" i="12"/>
  <c r="X1692" i="12"/>
  <c r="Y1691" i="12"/>
  <c r="Y1692" i="12"/>
  <c r="X1693" i="12"/>
  <c r="Y1693" i="12"/>
  <c r="X1694" i="12"/>
  <c r="X1695" i="12"/>
  <c r="Y1694" i="12"/>
  <c r="X1696" i="12"/>
  <c r="Y1695" i="12"/>
  <c r="Y1696" i="12"/>
  <c r="X1697" i="12"/>
  <c r="Y1697" i="12"/>
  <c r="X1698" i="12"/>
  <c r="X1699" i="12"/>
  <c r="Y1698" i="12"/>
  <c r="X1700" i="12"/>
  <c r="Y1699" i="12"/>
  <c r="Y1700" i="12"/>
  <c r="X1701" i="12"/>
  <c r="Y1701" i="12"/>
  <c r="X1702" i="12"/>
  <c r="X1703" i="12"/>
  <c r="Y1702" i="12"/>
  <c r="X1704" i="12"/>
  <c r="Y1703" i="12"/>
  <c r="Y1704" i="12"/>
  <c r="X1705" i="12"/>
  <c r="Y1705" i="12"/>
  <c r="X1706" i="12"/>
  <c r="X1707" i="12"/>
  <c r="Y1706" i="12"/>
  <c r="X1708" i="12"/>
  <c r="Y1707" i="12"/>
  <c r="Y1708" i="12"/>
  <c r="X1709" i="12"/>
  <c r="Y1709" i="12"/>
  <c r="X1710" i="12"/>
  <c r="X1711" i="12"/>
  <c r="Y1710" i="12"/>
  <c r="X1712" i="12"/>
  <c r="Y1711" i="12"/>
  <c r="Y1712" i="12"/>
  <c r="X1713" i="12"/>
  <c r="Y1713" i="12"/>
  <c r="X1714" i="12"/>
  <c r="X1715" i="12"/>
  <c r="Y1714" i="12"/>
  <c r="X1716" i="12"/>
  <c r="Y1715" i="12"/>
  <c r="Y1716" i="12"/>
  <c r="X1717" i="12"/>
  <c r="Y1717" i="12"/>
  <c r="X1718" i="12"/>
  <c r="X1719" i="12"/>
  <c r="Y1718" i="12"/>
  <c r="X1720" i="12"/>
  <c r="Y1719" i="12"/>
  <c r="Y1720" i="12"/>
  <c r="X1721" i="12"/>
  <c r="Y1721" i="12"/>
  <c r="X1722" i="12"/>
  <c r="X1723" i="12"/>
  <c r="Y1722" i="12"/>
  <c r="X1724" i="12"/>
  <c r="Y1723" i="12"/>
  <c r="Y1724" i="12"/>
  <c r="X1725" i="12"/>
  <c r="Y1725" i="12"/>
  <c r="X1726" i="12"/>
  <c r="X1727" i="12"/>
  <c r="Y1726" i="12"/>
  <c r="X1728" i="12"/>
  <c r="Y1727" i="12"/>
  <c r="Y1728" i="12"/>
  <c r="X1729" i="12"/>
  <c r="Y1729" i="12"/>
  <c r="X1730" i="12"/>
  <c r="X1731" i="12"/>
  <c r="Y1730" i="12"/>
  <c r="X1732" i="12"/>
  <c r="Y1731" i="12"/>
  <c r="Y1732" i="12"/>
  <c r="X1733" i="12"/>
  <c r="Y1733" i="12"/>
  <c r="X1734" i="12"/>
  <c r="X1735" i="12"/>
  <c r="Y1734" i="12"/>
  <c r="X1736" i="12"/>
  <c r="Y1735" i="12"/>
  <c r="Y1736" i="12"/>
  <c r="X1737" i="12"/>
  <c r="Y1737" i="12"/>
  <c r="X1738" i="12"/>
  <c r="X1739" i="12"/>
  <c r="Y1738" i="12"/>
  <c r="X1740" i="12"/>
  <c r="Y1739" i="12"/>
  <c r="Y1740" i="12"/>
  <c r="X1741" i="12"/>
  <c r="Y1741" i="12"/>
  <c r="X1742" i="12"/>
  <c r="X1743" i="12"/>
  <c r="Y1742" i="12"/>
  <c r="X1744" i="12"/>
  <c r="Y1743" i="12"/>
  <c r="Y1744" i="12"/>
  <c r="X1745" i="12"/>
  <c r="Y1745" i="12"/>
  <c r="X1746" i="12"/>
  <c r="X1747" i="12"/>
  <c r="Y1746" i="12"/>
  <c r="X1748" i="12"/>
  <c r="Y1747" i="12"/>
  <c r="Y1748" i="12"/>
  <c r="X1749" i="12"/>
  <c r="Y1749" i="12"/>
  <c r="X1750" i="12"/>
  <c r="X1751" i="12"/>
  <c r="Y1750" i="12"/>
  <c r="X1752" i="12"/>
  <c r="Y1751" i="12"/>
  <c r="Y1752" i="12"/>
  <c r="X1753" i="12"/>
  <c r="Y1753" i="12"/>
  <c r="X1754" i="12"/>
  <c r="X1755" i="12"/>
  <c r="Y1754" i="12"/>
  <c r="X1756" i="12"/>
  <c r="Y1755" i="12"/>
  <c r="Y1756" i="12"/>
  <c r="X1757" i="12"/>
  <c r="Y1757" i="12"/>
  <c r="X1758" i="12"/>
  <c r="X1759" i="12"/>
  <c r="Y1758" i="12"/>
  <c r="X1760" i="12"/>
  <c r="Y1759" i="12"/>
  <c r="Y1760" i="12"/>
  <c r="X1761" i="12"/>
  <c r="Y1761" i="12"/>
  <c r="X1762" i="12"/>
  <c r="X1763" i="12"/>
  <c r="Y1762" i="12"/>
  <c r="X1764" i="12"/>
  <c r="Y1763" i="12"/>
  <c r="Y1764" i="12"/>
  <c r="X1765" i="12"/>
  <c r="Y1765" i="12"/>
  <c r="X1766" i="12"/>
  <c r="X1767" i="12"/>
  <c r="Y1766" i="12"/>
  <c r="X1768" i="12"/>
  <c r="Y1767" i="12"/>
  <c r="Y1768" i="12"/>
  <c r="X1769" i="12"/>
  <c r="Y1769" i="12"/>
  <c r="X1770" i="12"/>
  <c r="X1771" i="12"/>
  <c r="Y1770" i="12"/>
  <c r="X1772" i="12"/>
  <c r="Y1771" i="12"/>
  <c r="Y1772" i="12"/>
  <c r="X1773" i="12"/>
  <c r="Y1773" i="12"/>
  <c r="X1774" i="12"/>
  <c r="X1775" i="12"/>
  <c r="Y1774" i="12"/>
  <c r="X1776" i="12"/>
  <c r="Y1775" i="12"/>
  <c r="Y1776" i="12"/>
  <c r="X1777" i="12"/>
  <c r="Y1777" i="12"/>
  <c r="X1778" i="12"/>
  <c r="X1779" i="12"/>
  <c r="Y1778" i="12"/>
  <c r="X1780" i="12"/>
  <c r="Y1779" i="12"/>
  <c r="Y1780" i="12"/>
  <c r="X1781" i="12"/>
  <c r="Y1781" i="12"/>
  <c r="X1782" i="12"/>
  <c r="X1783" i="12"/>
  <c r="Y1782" i="12"/>
  <c r="X1784" i="12"/>
  <c r="Y1783" i="12"/>
  <c r="Y1784" i="12"/>
  <c r="X1785" i="12"/>
  <c r="Y1785" i="12"/>
  <c r="X1786" i="12"/>
  <c r="X1787" i="12"/>
  <c r="Y1786" i="12"/>
  <c r="X1788" i="12"/>
  <c r="Y1787" i="12"/>
  <c r="Y1788" i="12"/>
  <c r="X1789" i="12"/>
  <c r="Y1789" i="12"/>
  <c r="X1790" i="12"/>
  <c r="X1791" i="12"/>
  <c r="Y1790" i="12"/>
  <c r="X1792" i="12"/>
  <c r="Y1791" i="12"/>
  <c r="Y1792" i="12"/>
  <c r="X1793" i="12"/>
  <c r="Y1793" i="12"/>
  <c r="X1794" i="12"/>
  <c r="X1795" i="12"/>
  <c r="Y1794" i="12"/>
  <c r="X1796" i="12"/>
  <c r="Y1795" i="12"/>
  <c r="Y1796" i="12"/>
  <c r="X1797" i="12"/>
  <c r="Y1797" i="12"/>
  <c r="X1798" i="12"/>
  <c r="X1799" i="12"/>
  <c r="Y1798" i="12"/>
  <c r="X1800" i="12"/>
  <c r="Y1799" i="12"/>
  <c r="Y1800" i="12"/>
  <c r="X1801" i="12"/>
  <c r="Y1801" i="12"/>
  <c r="X1802" i="12"/>
  <c r="X1803" i="12"/>
  <c r="Y1802" i="12"/>
  <c r="X1804" i="12"/>
  <c r="Y1803" i="12"/>
  <c r="Y1804" i="12"/>
  <c r="X1805" i="12"/>
  <c r="Y1805" i="12"/>
  <c r="X1806" i="12"/>
  <c r="X1807" i="12"/>
  <c r="Y1806" i="12"/>
  <c r="X1808" i="12"/>
  <c r="Y1807" i="12"/>
  <c r="Y1808" i="12"/>
  <c r="X1809" i="12"/>
  <c r="Y1809" i="12"/>
  <c r="X1810" i="12"/>
  <c r="X1811" i="12"/>
  <c r="Y1810" i="12"/>
  <c r="X1812" i="12"/>
  <c r="Y1811" i="12"/>
  <c r="Y1812" i="12"/>
  <c r="X1813" i="12"/>
  <c r="Y1813" i="12"/>
  <c r="X1814" i="12"/>
  <c r="X1815" i="12"/>
  <c r="Y1814" i="12"/>
  <c r="X1816" i="12"/>
  <c r="Y1815" i="12"/>
  <c r="Y1816" i="12"/>
  <c r="X1817" i="12"/>
  <c r="Y1817" i="12"/>
  <c r="X1818" i="12"/>
  <c r="X1819" i="12"/>
  <c r="Y1818" i="12"/>
  <c r="X1820" i="12"/>
  <c r="Y1819" i="12"/>
  <c r="Y1820" i="12"/>
  <c r="X1821" i="12"/>
  <c r="Y1821" i="12"/>
  <c r="X1822" i="12"/>
  <c r="X1823" i="12"/>
  <c r="Y1822" i="12"/>
  <c r="X1824" i="12"/>
  <c r="Y1823" i="12"/>
  <c r="Y1824" i="12"/>
  <c r="X1825" i="12"/>
  <c r="Y1825" i="12"/>
  <c r="X1826" i="12"/>
  <c r="X1827" i="12"/>
  <c r="Y1826" i="12"/>
  <c r="X1828" i="12"/>
  <c r="Y1827" i="12"/>
  <c r="Y1828" i="12"/>
  <c r="X1829" i="12"/>
  <c r="Y1829" i="12"/>
  <c r="X1830" i="12"/>
  <c r="X1831" i="12"/>
  <c r="Y1830" i="12"/>
  <c r="X1832" i="12"/>
  <c r="Y1831" i="12"/>
  <c r="Y1832" i="12"/>
  <c r="X1833" i="12"/>
  <c r="Y1833" i="12"/>
  <c r="X1834" i="12"/>
  <c r="X1835" i="12"/>
  <c r="Y1834" i="12"/>
  <c r="X1836" i="12"/>
  <c r="Y1835" i="12"/>
  <c r="Y1836" i="12"/>
  <c r="X1837" i="12"/>
  <c r="Y1837" i="12"/>
  <c r="X1838" i="12"/>
  <c r="X1839" i="12"/>
  <c r="Y1838" i="12"/>
  <c r="X1840" i="12"/>
  <c r="Y1839" i="12"/>
  <c r="Y1840" i="12"/>
  <c r="X1841" i="12"/>
  <c r="Y1841" i="12"/>
  <c r="X1842" i="12"/>
  <c r="X1843" i="12"/>
  <c r="Y1842" i="12"/>
  <c r="X1844" i="12"/>
  <c r="Y1843" i="12"/>
  <c r="Y1844" i="12"/>
  <c r="X1845" i="12"/>
  <c r="Y1845" i="12"/>
  <c r="X1846" i="12"/>
  <c r="X1847" i="12"/>
  <c r="Y1846" i="12"/>
  <c r="X1848" i="12"/>
  <c r="Y1847" i="12"/>
  <c r="Y1848" i="12"/>
  <c r="X1849" i="12"/>
  <c r="Y1849" i="12"/>
  <c r="X1850" i="12"/>
  <c r="X1851" i="12"/>
  <c r="Y1850" i="12"/>
  <c r="X1852" i="12"/>
  <c r="Y1851" i="12"/>
  <c r="Y1852" i="12"/>
  <c r="X1853" i="12"/>
  <c r="Y1853" i="12"/>
  <c r="X1854" i="12"/>
  <c r="X1855" i="12"/>
  <c r="Y1854" i="12"/>
  <c r="X1856" i="12"/>
  <c r="Y1855" i="12"/>
  <c r="Y1856" i="12"/>
  <c r="X1857" i="12"/>
  <c r="Y1857" i="12"/>
  <c r="X1858" i="12"/>
  <c r="X1859" i="12"/>
  <c r="Y1858" i="12"/>
  <c r="X1860" i="12"/>
  <c r="Y1859" i="12"/>
  <c r="Y1860" i="12"/>
  <c r="X1861" i="12"/>
  <c r="Y1861" i="12"/>
  <c r="X1862" i="12"/>
  <c r="X1863" i="12"/>
  <c r="Y1862" i="12"/>
  <c r="X1864" i="12"/>
  <c r="Y1863" i="12"/>
  <c r="Y1864" i="12"/>
  <c r="X1865" i="12"/>
  <c r="Y1865" i="12"/>
  <c r="X1866" i="12"/>
  <c r="X1867" i="12"/>
  <c r="Y1866" i="12"/>
  <c r="X1868" i="12"/>
  <c r="Y1867" i="12"/>
  <c r="Y1868" i="12"/>
  <c r="X1869" i="12"/>
  <c r="Y1869" i="12"/>
  <c r="X1870" i="12"/>
  <c r="X1871" i="12"/>
  <c r="Y1870" i="12"/>
  <c r="X1872" i="12"/>
  <c r="Y1871" i="12"/>
  <c r="Y1872" i="12"/>
  <c r="X1873" i="12"/>
  <c r="Y1873" i="12"/>
  <c r="X1874" i="12"/>
  <c r="X1875" i="12"/>
  <c r="Y1874" i="12"/>
  <c r="X1876" i="12"/>
  <c r="Y1875" i="12"/>
  <c r="Y1876" i="12"/>
  <c r="X1877" i="12"/>
  <c r="Y1877" i="12"/>
  <c r="X1878" i="12"/>
  <c r="X1879" i="12"/>
  <c r="Y1878" i="12"/>
  <c r="X1880" i="12"/>
  <c r="Y1879" i="12"/>
  <c r="Y1880" i="12"/>
  <c r="X1881" i="12"/>
  <c r="Y1881" i="12"/>
  <c r="X1882" i="12"/>
  <c r="X1883" i="12"/>
  <c r="Y1882" i="12"/>
  <c r="X1884" i="12"/>
  <c r="Y1883" i="12"/>
  <c r="Y1884" i="12"/>
  <c r="X1885" i="12"/>
  <c r="Y1885" i="12"/>
  <c r="X1886" i="12"/>
  <c r="X1887" i="12"/>
  <c r="Y1886" i="12"/>
  <c r="X1888" i="12"/>
  <c r="Y1887" i="12"/>
  <c r="Y1888" i="12"/>
  <c r="X1889" i="12"/>
  <c r="Y1889" i="12"/>
  <c r="X1890" i="12"/>
  <c r="X1891" i="12"/>
  <c r="Y1890" i="12"/>
  <c r="X1892" i="12"/>
  <c r="Y1891" i="12"/>
  <c r="Y1892" i="12"/>
  <c r="X1893" i="12"/>
  <c r="Y1893" i="12"/>
  <c r="X1894" i="12"/>
  <c r="X1895" i="12"/>
  <c r="Y1894" i="12"/>
  <c r="X1896" i="12"/>
  <c r="Y1895" i="12"/>
  <c r="Y1896" i="12"/>
  <c r="X1897" i="12"/>
  <c r="Y1897" i="12"/>
  <c r="X1898" i="12"/>
  <c r="X1899" i="12"/>
  <c r="Y1898" i="12"/>
  <c r="X1900" i="12"/>
  <c r="Y1899" i="12"/>
  <c r="Y1900" i="12"/>
  <c r="X1901" i="12"/>
  <c r="Y1901" i="12"/>
  <c r="X1902" i="12"/>
  <c r="X1903" i="12"/>
  <c r="Y1902" i="12"/>
  <c r="X1904" i="12"/>
  <c r="Y1903" i="12"/>
  <c r="Y1904" i="12"/>
  <c r="X1905" i="12"/>
  <c r="Y1905" i="12"/>
  <c r="X1906" i="12"/>
  <c r="X1907" i="12"/>
  <c r="Y1906" i="12"/>
  <c r="X1908" i="12"/>
  <c r="Y1907" i="12"/>
  <c r="Y1908" i="12"/>
  <c r="X1909" i="12"/>
  <c r="Y1909" i="12"/>
  <c r="X1910" i="12"/>
  <c r="X1911" i="12"/>
  <c r="Y1910" i="12"/>
  <c r="X1912" i="12"/>
  <c r="Y1911" i="12"/>
  <c r="Y1912" i="12"/>
  <c r="X1913" i="12"/>
  <c r="Y1913" i="12"/>
  <c r="X1914" i="12"/>
  <c r="X1915" i="12"/>
  <c r="Y1914" i="12"/>
  <c r="X1916" i="12"/>
  <c r="Y1915" i="12"/>
  <c r="Y1916" i="12"/>
  <c r="X1917" i="12"/>
  <c r="Y1917" i="12"/>
  <c r="X1918" i="12"/>
  <c r="X1919" i="12"/>
  <c r="Y1918" i="12"/>
  <c r="X1920" i="12"/>
  <c r="Y1919" i="12"/>
  <c r="Y1920" i="12"/>
  <c r="X1921" i="12"/>
  <c r="Y1921" i="12"/>
  <c r="X1922" i="12"/>
  <c r="X1923" i="12"/>
  <c r="Y1922" i="12"/>
  <c r="X1924" i="12"/>
  <c r="Y1923" i="12"/>
  <c r="Y1924" i="12"/>
  <c r="X1925" i="12"/>
  <c r="Y1925" i="12"/>
  <c r="X1926" i="12"/>
  <c r="X1927" i="12"/>
  <c r="Y1926" i="12"/>
  <c r="X1928" i="12"/>
  <c r="Y1927" i="12"/>
  <c r="Y1928" i="12"/>
  <c r="X1929" i="12"/>
  <c r="Y1929" i="12"/>
  <c r="X1930" i="12"/>
  <c r="X1931" i="12"/>
  <c r="Y1930" i="12"/>
  <c r="X1932" i="12"/>
  <c r="Y1931" i="12"/>
  <c r="Y1932" i="12"/>
  <c r="X1933" i="12"/>
  <c r="Y1933" i="12"/>
  <c r="X1934" i="12"/>
  <c r="X1935" i="12"/>
  <c r="Y1934" i="12"/>
  <c r="X1936" i="12"/>
  <c r="Y1935" i="12"/>
  <c r="Y1936" i="12"/>
  <c r="X1937" i="12"/>
  <c r="Y1937" i="12"/>
  <c r="X1938" i="12"/>
  <c r="X1939" i="12"/>
  <c r="Y1938" i="12"/>
  <c r="X1940" i="12"/>
  <c r="Y1939" i="12"/>
  <c r="Y1940" i="12"/>
  <c r="X1941" i="12"/>
  <c r="Y1941" i="12"/>
  <c r="X1942" i="12"/>
  <c r="X1943" i="12"/>
  <c r="Y1942" i="12"/>
  <c r="X1944" i="12"/>
  <c r="Y1943" i="12"/>
  <c r="Y1944" i="12"/>
  <c r="X1945" i="12"/>
  <c r="Y1945" i="12"/>
  <c r="X1946" i="12"/>
  <c r="X1947" i="12"/>
  <c r="Y1946" i="12"/>
  <c r="X1948" i="12"/>
  <c r="Y1947" i="12"/>
  <c r="Y1948" i="12"/>
  <c r="X1949" i="12"/>
  <c r="Y1949" i="12"/>
  <c r="X1950" i="12"/>
  <c r="X1951" i="12"/>
  <c r="Y1950" i="12"/>
  <c r="X1952" i="12"/>
  <c r="Y1951" i="12"/>
  <c r="Y1952" i="12"/>
  <c r="X1953" i="12"/>
  <c r="Y1953" i="12"/>
  <c r="X1954" i="12"/>
  <c r="X1955" i="12"/>
  <c r="Y1954" i="12"/>
  <c r="X1956" i="12"/>
  <c r="Y1955" i="12"/>
  <c r="Y1956" i="12"/>
  <c r="X1957" i="12"/>
  <c r="Y1957" i="12"/>
  <c r="X1958" i="12"/>
  <c r="X1959" i="12"/>
  <c r="Y1958" i="12"/>
  <c r="X1960" i="12"/>
  <c r="Y1959" i="12"/>
  <c r="Y1960" i="12"/>
  <c r="X1961" i="12"/>
  <c r="Y1961" i="12"/>
  <c r="X1962" i="12"/>
  <c r="X1963" i="12"/>
  <c r="Y1962" i="12"/>
  <c r="X1964" i="12"/>
  <c r="Y1963" i="12"/>
  <c r="Y1964" i="12"/>
  <c r="X1965" i="12"/>
  <c r="Y1965" i="12"/>
  <c r="X1966" i="12"/>
  <c r="X1967" i="12"/>
  <c r="Y1966" i="12"/>
  <c r="X1968" i="12"/>
  <c r="Y1967" i="12"/>
  <c r="Y1968" i="12"/>
  <c r="X1969" i="12"/>
  <c r="Y1969" i="12"/>
  <c r="X1970" i="12"/>
  <c r="X1971" i="12"/>
  <c r="Y1970" i="12"/>
  <c r="X1972" i="12"/>
  <c r="Y1971" i="12"/>
  <c r="Y1972" i="12"/>
  <c r="X1973" i="12"/>
  <c r="Y1973" i="12"/>
  <c r="X1974" i="12"/>
  <c r="X1975" i="12"/>
  <c r="Y1974" i="12"/>
  <c r="X1976" i="12"/>
  <c r="Y1975" i="12"/>
  <c r="Y1976" i="12"/>
  <c r="X1977" i="12"/>
  <c r="Y1977" i="12"/>
  <c r="X1978" i="12"/>
  <c r="X1979" i="12"/>
  <c r="Y1978" i="12"/>
  <c r="X1980" i="12"/>
  <c r="Y1979" i="12"/>
  <c r="Y1980" i="12"/>
  <c r="X1981" i="12"/>
  <c r="Y1981" i="12"/>
  <c r="X1982" i="12"/>
  <c r="X1983" i="12"/>
  <c r="Y1982" i="12"/>
  <c r="X1984" i="12"/>
  <c r="Y1983" i="12"/>
  <c r="Y1984" i="12"/>
  <c r="X1985" i="12"/>
  <c r="Y1985" i="12"/>
  <c r="X1986" i="12"/>
  <c r="X1987" i="12"/>
  <c r="Y1986" i="12"/>
  <c r="X1988" i="12"/>
  <c r="Y1987" i="12"/>
  <c r="Y1988" i="12"/>
  <c r="X1989" i="12"/>
  <c r="Y1989" i="12"/>
  <c r="X1990" i="12"/>
  <c r="X1991" i="12"/>
  <c r="Y1990" i="12"/>
  <c r="X1992" i="12"/>
  <c r="Y1991" i="12"/>
  <c r="Y1992" i="12"/>
  <c r="X1993" i="12"/>
  <c r="Y1993" i="12"/>
  <c r="X1994" i="12"/>
  <c r="X1995" i="12"/>
  <c r="Y1994" i="12"/>
  <c r="X1996" i="12"/>
  <c r="Y1995" i="12"/>
  <c r="Y1996" i="12"/>
  <c r="X1997" i="12"/>
  <c r="Y1997" i="12"/>
  <c r="X1998" i="12"/>
  <c r="X1999" i="12"/>
  <c r="Y1998" i="12"/>
  <c r="X2000" i="12"/>
  <c r="Y1999" i="12"/>
  <c r="Y2000" i="12"/>
  <c r="X2001" i="12"/>
  <c r="Y2001" i="12"/>
  <c r="X2002" i="12"/>
  <c r="X2003" i="12"/>
  <c r="Y2002" i="12"/>
  <c r="X2004" i="12"/>
  <c r="Y2003" i="12"/>
  <c r="Y2004" i="12"/>
  <c r="X2005" i="12"/>
  <c r="Y2005" i="12"/>
  <c r="X2006" i="12"/>
  <c r="X2007" i="12"/>
  <c r="Y2006" i="12"/>
  <c r="X2008" i="12"/>
  <c r="Y2007" i="12"/>
  <c r="Y2008" i="12"/>
  <c r="X2009" i="12"/>
  <c r="Y2009" i="12"/>
  <c r="X2010" i="12"/>
  <c r="X2011" i="12"/>
  <c r="Y2010" i="12"/>
  <c r="X2012" i="12"/>
  <c r="Y2011" i="12"/>
  <c r="Y2012" i="12"/>
  <c r="X2013" i="12"/>
  <c r="Y2013" i="12"/>
  <c r="X2014" i="12"/>
  <c r="X2015" i="12"/>
  <c r="Y2014" i="12"/>
  <c r="X2016" i="12"/>
  <c r="Y2015" i="12"/>
  <c r="Y2016" i="12"/>
  <c r="X2017" i="12"/>
  <c r="Y2017" i="12"/>
  <c r="X2018" i="12"/>
  <c r="X2019" i="12"/>
  <c r="Y2018" i="12"/>
  <c r="X2020" i="12"/>
  <c r="Y2019" i="12"/>
  <c r="Y2020" i="12"/>
  <c r="X2021" i="12"/>
  <c r="Y2021" i="12"/>
  <c r="X2022" i="12"/>
  <c r="X2023" i="12"/>
  <c r="Y2022" i="12"/>
  <c r="X2024" i="12"/>
  <c r="Y2023" i="12"/>
  <c r="Y2024" i="12"/>
  <c r="X2025" i="12"/>
  <c r="Y2025" i="12"/>
  <c r="X2026" i="12"/>
  <c r="X2027" i="12"/>
  <c r="Y2026" i="12"/>
  <c r="X2028" i="12"/>
  <c r="Y2027" i="12"/>
  <c r="Y2028" i="12"/>
  <c r="X2029" i="12"/>
  <c r="Y2029" i="12"/>
  <c r="X2030" i="12"/>
  <c r="X2031" i="12"/>
  <c r="Y2030" i="12"/>
  <c r="X2032" i="12"/>
  <c r="Y2031" i="12"/>
  <c r="Y2032" i="12"/>
  <c r="X2033" i="12"/>
  <c r="Y2033" i="12"/>
  <c r="X2034" i="12"/>
  <c r="X2035" i="12"/>
  <c r="Y2034" i="12"/>
  <c r="X2036" i="12"/>
  <c r="Y2035" i="12"/>
  <c r="Y2036" i="12"/>
  <c r="X2037" i="12"/>
  <c r="Y2037" i="12"/>
  <c r="X2038" i="12"/>
  <c r="X2039" i="12"/>
  <c r="Y2038" i="12"/>
  <c r="X2040" i="12"/>
  <c r="Y2039" i="12"/>
  <c r="Y2040" i="12"/>
  <c r="X2041" i="12"/>
  <c r="Y2041" i="12"/>
  <c r="X2042" i="12"/>
  <c r="X2043" i="12"/>
  <c r="Y2042" i="12"/>
  <c r="X2044" i="12"/>
  <c r="Y2043" i="12"/>
  <c r="Y2044" i="12"/>
  <c r="X2045" i="12"/>
  <c r="Y2045" i="12"/>
  <c r="X2046" i="12"/>
  <c r="X2047" i="12"/>
  <c r="Y2046" i="12"/>
  <c r="X2048" i="12"/>
  <c r="Y2047" i="12"/>
  <c r="Y2048" i="12"/>
  <c r="X2049" i="12"/>
  <c r="Y2049" i="12"/>
  <c r="X2050" i="12"/>
  <c r="X2051" i="12"/>
  <c r="Y2050" i="12"/>
  <c r="X2052" i="12"/>
  <c r="Y2051" i="12"/>
  <c r="Y2052" i="12"/>
  <c r="X2053" i="12"/>
  <c r="Y2053" i="12"/>
  <c r="X2054" i="12"/>
  <c r="X2055" i="12"/>
  <c r="Y2054" i="12"/>
  <c r="X2056" i="12"/>
  <c r="Y2055" i="12"/>
  <c r="Y2056" i="12"/>
  <c r="X2057" i="12"/>
  <c r="Y2057" i="12"/>
  <c r="X2058" i="12"/>
  <c r="X2059" i="12"/>
  <c r="Y2058" i="12"/>
  <c r="X2060" i="12"/>
  <c r="Y2059" i="12"/>
  <c r="Y2060" i="12"/>
  <c r="X2061" i="12"/>
  <c r="Y2061" i="12"/>
  <c r="X2062" i="12"/>
  <c r="X2063" i="12"/>
  <c r="Y2062" i="12"/>
  <c r="X2064" i="12"/>
  <c r="Y2063" i="12"/>
  <c r="Y2064" i="12"/>
  <c r="X2065" i="12"/>
  <c r="Y2065" i="12"/>
  <c r="X2066" i="12"/>
  <c r="X2067" i="12"/>
  <c r="Y2066" i="12"/>
  <c r="X2068" i="12"/>
  <c r="Y2067" i="12"/>
  <c r="Y2068" i="12"/>
  <c r="X2069" i="12"/>
  <c r="Y2069" i="12"/>
  <c r="X2070" i="12"/>
  <c r="X2071" i="12"/>
  <c r="Y2070" i="12"/>
  <c r="X2072" i="12"/>
  <c r="Y2071" i="12"/>
  <c r="Y2072" i="12"/>
  <c r="X2073" i="12"/>
  <c r="Y2073" i="12"/>
  <c r="X2074" i="12"/>
  <c r="X2075" i="12"/>
  <c r="Y2074" i="12"/>
  <c r="X2076" i="12"/>
  <c r="Y2075" i="12"/>
  <c r="Y2076" i="12"/>
  <c r="X2077" i="12"/>
  <c r="Y2077" i="12"/>
  <c r="X2078" i="12"/>
  <c r="X2079" i="12"/>
  <c r="Y2078" i="12"/>
  <c r="X2080" i="12"/>
  <c r="Y2079" i="12"/>
  <c r="Y2080" i="12"/>
  <c r="X2081" i="12"/>
  <c r="Y2081" i="12"/>
  <c r="X2082" i="12"/>
  <c r="X2083" i="12"/>
  <c r="Y2082" i="12"/>
  <c r="X2084" i="12"/>
  <c r="Y2083" i="12"/>
  <c r="Y2084" i="12"/>
  <c r="X2085" i="12"/>
  <c r="Y2085" i="12"/>
  <c r="X2086" i="12"/>
  <c r="X2087" i="12"/>
  <c r="Y2086" i="12"/>
  <c r="X2088" i="12"/>
  <c r="Y2087" i="12"/>
  <c r="Y2088" i="12"/>
  <c r="X2089" i="12"/>
  <c r="Y2089" i="12"/>
  <c r="X2090" i="12"/>
  <c r="X2091" i="12"/>
  <c r="Y2090" i="12"/>
  <c r="X2092" i="12"/>
  <c r="Y2091" i="12"/>
  <c r="Y2092" i="12"/>
  <c r="X2093" i="12"/>
  <c r="Y2093" i="12"/>
  <c r="X2094" i="12"/>
  <c r="X2095" i="12"/>
  <c r="Y2094" i="12"/>
  <c r="X2096" i="12"/>
  <c r="Y2095" i="12"/>
  <c r="Y2096" i="12"/>
  <c r="X2097" i="12"/>
  <c r="Y2097" i="12"/>
  <c r="X2098" i="12"/>
  <c r="X2099" i="12"/>
  <c r="Y2098" i="12"/>
  <c r="X2100" i="12"/>
  <c r="Y2099" i="12"/>
  <c r="Y2100" i="12"/>
  <c r="X2101" i="12"/>
  <c r="Y2101" i="12"/>
  <c r="X2102" i="12"/>
  <c r="X2103" i="12"/>
  <c r="Y2102" i="12"/>
  <c r="X2104" i="12"/>
  <c r="Y2103" i="12"/>
  <c r="Y2104" i="12"/>
  <c r="X2105" i="12"/>
  <c r="Y2105" i="12"/>
  <c r="X2106" i="12"/>
  <c r="X2107" i="12"/>
  <c r="Y2106" i="12"/>
  <c r="X2108" i="12"/>
  <c r="Y2107" i="12"/>
  <c r="Y2108" i="12"/>
  <c r="X2109" i="12"/>
  <c r="Y2109" i="12"/>
  <c r="X2110" i="12"/>
  <c r="X2111" i="12"/>
  <c r="Y2110" i="12"/>
  <c r="X2112" i="12"/>
  <c r="Y2111" i="12"/>
  <c r="Y2112" i="12"/>
  <c r="X2113" i="12"/>
  <c r="Y2113" i="12"/>
  <c r="X2114" i="12"/>
  <c r="X2115" i="12"/>
  <c r="Y2114" i="12"/>
  <c r="X2116" i="12"/>
  <c r="Y2115" i="12"/>
  <c r="Y2116" i="12"/>
  <c r="X2117" i="12"/>
  <c r="Y2117" i="12"/>
  <c r="X2118" i="12"/>
  <c r="X2119" i="12"/>
  <c r="Y2118" i="12"/>
  <c r="X2120" i="12"/>
  <c r="Y2119" i="12"/>
  <c r="Y2120" i="12"/>
  <c r="X2121" i="12"/>
  <c r="Y2121" i="12"/>
  <c r="X2122" i="12"/>
  <c r="X2123" i="12"/>
  <c r="Y2122" i="12"/>
  <c r="X2124" i="12"/>
  <c r="Y2123" i="12"/>
  <c r="Y2124" i="12"/>
  <c r="X2125" i="12"/>
  <c r="Y2125" i="12"/>
  <c r="X2126" i="12"/>
  <c r="X2127" i="12"/>
  <c r="Y2126" i="12"/>
  <c r="X2128" i="12"/>
  <c r="Y2127" i="12"/>
  <c r="Y2128" i="12"/>
  <c r="X2129" i="12"/>
  <c r="Y2129" i="12"/>
  <c r="X2130" i="12"/>
  <c r="X2131" i="12"/>
  <c r="Y2130" i="12"/>
  <c r="X2132" i="12"/>
  <c r="Y2131" i="12"/>
  <c r="Y2132" i="12"/>
  <c r="X2133" i="12"/>
  <c r="Y2133" i="12"/>
  <c r="X2134" i="12"/>
  <c r="X2135" i="12"/>
  <c r="Y2134" i="12"/>
  <c r="X2136" i="12"/>
  <c r="Y2135" i="12"/>
  <c r="Y2136" i="12"/>
  <c r="X2137" i="12"/>
  <c r="Y2137" i="12"/>
  <c r="X2138" i="12"/>
  <c r="X2139" i="12"/>
  <c r="Y2138" i="12"/>
  <c r="X2140" i="12"/>
  <c r="Y2139" i="12"/>
  <c r="Y2140" i="12"/>
  <c r="X2141" i="12"/>
  <c r="Y2141" i="12"/>
  <c r="X2142" i="12"/>
  <c r="X2143" i="12"/>
  <c r="Y2142" i="12"/>
  <c r="X2144" i="12"/>
  <c r="Y2143" i="12"/>
  <c r="Y2144" i="12"/>
  <c r="X2145" i="12"/>
  <c r="Y2145" i="12"/>
  <c r="X2146" i="12"/>
  <c r="X2147" i="12"/>
  <c r="Y2146" i="12"/>
  <c r="X2148" i="12"/>
  <c r="Y2147" i="12"/>
  <c r="Y2148" i="12"/>
  <c r="X2149" i="12"/>
  <c r="Y2149" i="12"/>
  <c r="X2150" i="12"/>
  <c r="X2151" i="12"/>
  <c r="Y2150" i="12"/>
  <c r="X2152" i="12"/>
  <c r="Y2151" i="12"/>
  <c r="Y2152" i="12"/>
  <c r="X2153" i="12"/>
  <c r="Y2153" i="12"/>
  <c r="X2154" i="12"/>
  <c r="X2155" i="12"/>
  <c r="Y2154" i="12"/>
  <c r="X2156" i="12"/>
  <c r="Y2155" i="12"/>
  <c r="Y2156" i="12"/>
  <c r="X2157" i="12"/>
  <c r="Y2157" i="12"/>
  <c r="X2158" i="12"/>
  <c r="X2159" i="12"/>
  <c r="Y2158" i="12"/>
  <c r="X2160" i="12"/>
  <c r="Y2159" i="12"/>
  <c r="Y2160" i="12"/>
  <c r="X2161" i="12"/>
  <c r="Y2161" i="12"/>
  <c r="X2162" i="12"/>
  <c r="X2163" i="12"/>
  <c r="Y2162" i="12"/>
  <c r="X2164" i="12"/>
  <c r="Y2163" i="12"/>
  <c r="Y2164" i="12"/>
  <c r="X2165" i="12"/>
  <c r="Y2165" i="12"/>
  <c r="X2166" i="12"/>
  <c r="X2167" i="12"/>
  <c r="Y2166" i="12"/>
  <c r="X2168" i="12"/>
  <c r="Y2167" i="12"/>
  <c r="Y2168" i="12"/>
  <c r="X2169" i="12"/>
  <c r="Y2169" i="12"/>
  <c r="X2170" i="12"/>
  <c r="X2171" i="12"/>
  <c r="Y2170" i="12"/>
  <c r="X2172" i="12"/>
  <c r="Y2171" i="12"/>
  <c r="Y2172" i="12"/>
  <c r="X2173" i="12"/>
  <c r="Y2173" i="12"/>
  <c r="X2174" i="12"/>
  <c r="X2175" i="12"/>
  <c r="Y2174" i="12"/>
  <c r="X2176" i="12"/>
  <c r="Y2175" i="12"/>
  <c r="Y2176" i="12"/>
  <c r="X2177" i="12"/>
  <c r="Y2177" i="12"/>
  <c r="X2178" i="12"/>
  <c r="X2179" i="12"/>
  <c r="Y2178" i="12"/>
  <c r="X2180" i="12"/>
  <c r="Y2179" i="12"/>
  <c r="Y2180" i="12"/>
  <c r="X2181" i="12"/>
  <c r="Y2181" i="12"/>
  <c r="X2182" i="12"/>
  <c r="X2183" i="12"/>
  <c r="Y2182" i="12"/>
  <c r="X2184" i="12"/>
  <c r="Y2183" i="12"/>
  <c r="Y2184" i="12"/>
  <c r="X2185" i="12"/>
  <c r="Y2185" i="12"/>
  <c r="X2186" i="12"/>
  <c r="X2187" i="12"/>
  <c r="Y2186" i="12"/>
  <c r="X2188" i="12"/>
  <c r="Y2187" i="12"/>
  <c r="Y2188" i="12"/>
  <c r="X2189" i="12"/>
  <c r="Y2189" i="12"/>
  <c r="X2190" i="12"/>
  <c r="X2191" i="12"/>
  <c r="Y2190" i="12"/>
  <c r="X2192" i="12"/>
  <c r="Y2191" i="12"/>
  <c r="Y2192" i="12"/>
  <c r="X2193" i="12"/>
  <c r="Y2193" i="12"/>
  <c r="X2194" i="12"/>
  <c r="X2195" i="12"/>
  <c r="Y2194" i="12"/>
  <c r="X2196" i="12"/>
  <c r="Y2195" i="12"/>
  <c r="Y2196" i="12"/>
  <c r="X2197" i="12"/>
  <c r="Y2197" i="12"/>
  <c r="X2198" i="12"/>
  <c r="X2199" i="12"/>
  <c r="Y2198" i="12"/>
  <c r="X2200" i="12"/>
  <c r="Y2199" i="12"/>
  <c r="Y2200" i="12"/>
  <c r="X2201" i="12"/>
  <c r="Y2201" i="12"/>
  <c r="X2202" i="12"/>
  <c r="X2203" i="12"/>
  <c r="Y2202" i="12"/>
  <c r="X2204" i="12"/>
  <c r="Y2203" i="12"/>
  <c r="Y2204" i="12"/>
  <c r="X2205" i="12"/>
  <c r="Y2205" i="12"/>
  <c r="X2206" i="12"/>
  <c r="X2207" i="12"/>
  <c r="Y2206" i="12"/>
  <c r="X2208" i="12"/>
  <c r="Y2207" i="12"/>
  <c r="Y2208" i="12"/>
  <c r="X2209" i="12"/>
  <c r="Y2209" i="12"/>
  <c r="X2210" i="12"/>
  <c r="X2211" i="12"/>
  <c r="Y2210" i="12"/>
  <c r="X2212" i="12"/>
  <c r="Y2211" i="12"/>
  <c r="Y2212" i="12"/>
  <c r="X2213" i="12"/>
  <c r="Y2213" i="12"/>
  <c r="X2214" i="12"/>
  <c r="X2215" i="12"/>
  <c r="Y2214" i="12"/>
  <c r="X2216" i="12"/>
  <c r="Y2215" i="12"/>
  <c r="Y2216" i="12"/>
  <c r="X2217" i="12"/>
  <c r="Y2217" i="12"/>
  <c r="X2218" i="12"/>
  <c r="X2219" i="12"/>
  <c r="Y2218" i="12"/>
  <c r="X2220" i="12"/>
  <c r="Y2219" i="12"/>
  <c r="Y2220" i="12"/>
  <c r="X2221" i="12"/>
  <c r="Y2221" i="12"/>
  <c r="X2222" i="12"/>
  <c r="X2223" i="12"/>
  <c r="Y2222" i="12"/>
  <c r="X2224" i="12"/>
  <c r="Y2223" i="12"/>
  <c r="Y2224" i="12"/>
  <c r="X2225" i="12"/>
  <c r="Y2225" i="12"/>
  <c r="X2226" i="12"/>
  <c r="X2227" i="12"/>
  <c r="Y2226" i="12"/>
  <c r="X2228" i="12"/>
  <c r="Y2227" i="12"/>
  <c r="Y2228" i="12"/>
  <c r="X2229" i="12"/>
  <c r="Y2229" i="12"/>
  <c r="X2230" i="12"/>
  <c r="X2231" i="12"/>
  <c r="Y2230" i="12"/>
  <c r="X2232" i="12"/>
  <c r="Y2231" i="12"/>
  <c r="Y2232" i="12"/>
  <c r="X2233" i="12"/>
  <c r="Y2233" i="12"/>
  <c r="X2234" i="12"/>
  <c r="X2235" i="12"/>
  <c r="Y2234" i="12"/>
  <c r="X2236" i="12"/>
  <c r="Y2235" i="12"/>
  <c r="Y2236" i="12"/>
  <c r="X2237" i="12"/>
  <c r="Y2237" i="12"/>
  <c r="X2238" i="12"/>
  <c r="Y2238" i="12"/>
  <c r="X2239" i="12"/>
  <c r="X2240" i="12"/>
  <c r="Y2239" i="12"/>
  <c r="Y2240" i="12"/>
  <c r="X2241" i="12"/>
  <c r="Y2241" i="12"/>
  <c r="X2242" i="12"/>
  <c r="X2243" i="12"/>
  <c r="Y2242" i="12"/>
  <c r="X2244" i="12"/>
  <c r="Y2243" i="12"/>
  <c r="Y2244" i="12"/>
  <c r="X2245" i="12"/>
  <c r="Y2245" i="12"/>
  <c r="X2246" i="12"/>
  <c r="X2247" i="12"/>
  <c r="Y2246" i="12"/>
  <c r="X2248" i="12"/>
  <c r="Y2247" i="12"/>
  <c r="Y2248" i="12"/>
  <c r="X2249" i="12"/>
  <c r="Y2249" i="12"/>
  <c r="X2250" i="12"/>
  <c r="X2251" i="12"/>
  <c r="Y2250" i="12"/>
  <c r="X2252" i="12"/>
  <c r="Y2251" i="12"/>
  <c r="Y2252" i="12"/>
  <c r="X2253" i="12"/>
  <c r="Y2253" i="12"/>
  <c r="X2254" i="12"/>
  <c r="X2255" i="12"/>
  <c r="Y2254" i="12"/>
  <c r="X2256" i="12"/>
  <c r="Y2255" i="12"/>
  <c r="Y2256" i="12"/>
  <c r="X2257" i="12"/>
  <c r="Y2257" i="12"/>
  <c r="X2258" i="12"/>
  <c r="X2259" i="12"/>
  <c r="Y2258" i="12"/>
  <c r="X2260" i="12"/>
  <c r="Y2259" i="12"/>
  <c r="Y2260" i="12"/>
  <c r="X2261" i="12"/>
  <c r="Y2261" i="12"/>
  <c r="X2262" i="12"/>
  <c r="X2263" i="12"/>
  <c r="Y2262" i="12"/>
  <c r="X2264" i="12"/>
  <c r="Y2263" i="12"/>
  <c r="Y2264" i="12"/>
  <c r="X2265" i="12"/>
  <c r="Y2265" i="12"/>
  <c r="X2266" i="12"/>
  <c r="X2267" i="12"/>
  <c r="Y2266" i="12"/>
  <c r="X2268" i="12"/>
  <c r="Y2267" i="12"/>
  <c r="Y2268" i="12"/>
  <c r="X2269" i="12"/>
  <c r="Y2269" i="12"/>
  <c r="X2270" i="12"/>
  <c r="X2271" i="12"/>
  <c r="Y2270" i="12"/>
  <c r="X2272" i="12"/>
  <c r="Y2271" i="12"/>
  <c r="Y2272" i="12"/>
  <c r="X2273" i="12"/>
  <c r="Y2273" i="12"/>
  <c r="X2274" i="12"/>
  <c r="X2275" i="12"/>
  <c r="Y2274" i="12"/>
  <c r="X2276" i="12"/>
  <c r="Y2275" i="12"/>
  <c r="Y2276" i="12"/>
  <c r="X2277" i="12"/>
  <c r="Y2277" i="12"/>
  <c r="X2278" i="12"/>
  <c r="X2279" i="12"/>
  <c r="Y2278" i="12"/>
  <c r="X2280" i="12"/>
  <c r="Y2279" i="12"/>
  <c r="Y2280" i="12"/>
  <c r="X2281" i="12"/>
  <c r="Y2281" i="12"/>
  <c r="X2282" i="12"/>
  <c r="X2283" i="12"/>
  <c r="Y2282" i="12"/>
  <c r="X2284" i="12"/>
  <c r="Y2283" i="12"/>
  <c r="Y2284" i="12"/>
  <c r="X2285" i="12"/>
  <c r="Y2285" i="12"/>
  <c r="X2286" i="12"/>
  <c r="X2287" i="12"/>
  <c r="Y2286" i="12"/>
  <c r="X2288" i="12"/>
  <c r="Y2287" i="12"/>
  <c r="Y2288" i="12"/>
  <c r="X2289" i="12"/>
  <c r="Y2289" i="12"/>
  <c r="X2290" i="12"/>
  <c r="X2291" i="12"/>
  <c r="Y2290" i="12"/>
  <c r="X2292" i="12"/>
  <c r="Y2291" i="12"/>
  <c r="Y2292" i="12"/>
  <c r="X2293" i="12"/>
  <c r="Y2293" i="12"/>
  <c r="X2294" i="12"/>
  <c r="X2295" i="12"/>
  <c r="Y2294" i="12"/>
  <c r="X2296" i="12"/>
  <c r="Y2295" i="12"/>
  <c r="Y2296" i="12"/>
  <c r="X2297" i="12"/>
  <c r="Y2297" i="12"/>
  <c r="X2298" i="12"/>
  <c r="X2299" i="12"/>
  <c r="Y2298" i="12"/>
  <c r="X2300" i="12"/>
  <c r="Y2299" i="12"/>
  <c r="Y2300" i="12"/>
  <c r="X2301" i="12"/>
  <c r="Y2301" i="12"/>
  <c r="X2302" i="12"/>
  <c r="X2303" i="12"/>
  <c r="Y2302" i="12"/>
  <c r="X2304" i="12"/>
  <c r="Y2303" i="12"/>
  <c r="Y2304" i="12"/>
  <c r="X2305" i="12"/>
  <c r="Y2305" i="12"/>
  <c r="X2306" i="12"/>
  <c r="X2307" i="12"/>
  <c r="Y2306" i="12"/>
  <c r="X2308" i="12"/>
  <c r="Y2307" i="12"/>
  <c r="Y2308" i="12"/>
  <c r="X2309" i="12"/>
  <c r="Y2309" i="12"/>
  <c r="X2310" i="12"/>
  <c r="X2311" i="12"/>
  <c r="Y2310" i="12"/>
  <c r="X2312" i="12"/>
  <c r="Y2311" i="12"/>
  <c r="Y2312" i="12"/>
  <c r="X2313" i="12"/>
  <c r="Y2313" i="12"/>
  <c r="X2314" i="12"/>
  <c r="X2315" i="12"/>
  <c r="Y2314" i="12"/>
  <c r="X2316" i="12"/>
  <c r="Y2315" i="12"/>
  <c r="Y2316" i="12"/>
  <c r="X2317" i="12"/>
  <c r="Y2317" i="12"/>
  <c r="X2318" i="12"/>
  <c r="X2319" i="12"/>
  <c r="Y2318" i="12"/>
  <c r="X2320" i="12"/>
  <c r="Y2319" i="12"/>
  <c r="Y2320" i="12"/>
  <c r="X2321" i="12"/>
  <c r="Y2321" i="12"/>
  <c r="X2322" i="12"/>
  <c r="X2323" i="12"/>
  <c r="Y2322" i="12"/>
  <c r="X2324" i="12"/>
  <c r="Y2323" i="12"/>
  <c r="Y2324" i="12"/>
  <c r="X2325" i="12"/>
  <c r="Y2325" i="12"/>
  <c r="X2326" i="12"/>
  <c r="X2327" i="12"/>
  <c r="Y2326" i="12"/>
  <c r="X2328" i="12"/>
  <c r="Y2327" i="12"/>
  <c r="Y2328" i="12"/>
  <c r="X2329" i="12"/>
  <c r="Y2329" i="12"/>
  <c r="X2330" i="12"/>
  <c r="X2331" i="12"/>
  <c r="Y2330" i="12"/>
  <c r="X2332" i="12"/>
  <c r="Y2331" i="12"/>
  <c r="Y2332" i="12"/>
  <c r="X2333" i="12"/>
  <c r="Y2333" i="12"/>
  <c r="X2334" i="12"/>
  <c r="X2335" i="12"/>
  <c r="Y2334" i="12"/>
  <c r="X2336" i="12"/>
  <c r="Y2335" i="12"/>
  <c r="Y2336" i="12"/>
  <c r="X2337" i="12"/>
  <c r="Y2337" i="12"/>
  <c r="X2338" i="12"/>
  <c r="X2339" i="12"/>
  <c r="Y2338" i="12"/>
  <c r="X2340" i="12"/>
  <c r="Y2339" i="12"/>
  <c r="Y2340" i="12"/>
  <c r="X2341" i="12"/>
  <c r="Y2341" i="12"/>
  <c r="X2342" i="12"/>
  <c r="X2343" i="12"/>
  <c r="Y2342" i="12"/>
  <c r="X2344" i="12"/>
  <c r="Y2343" i="12"/>
  <c r="Y2344" i="12"/>
  <c r="X2345" i="12"/>
  <c r="Y2345" i="12"/>
  <c r="X2346" i="12"/>
  <c r="X2347" i="12"/>
  <c r="Y2346" i="12"/>
  <c r="X2348" i="12"/>
  <c r="Y2347" i="12"/>
  <c r="Y2348" i="12"/>
  <c r="X2349" i="12"/>
  <c r="Y2349" i="12"/>
  <c r="X2350" i="12"/>
  <c r="X2351" i="12"/>
  <c r="Y2350" i="12"/>
  <c r="X2352" i="12"/>
  <c r="Y2351" i="12"/>
  <c r="Y2352" i="12"/>
  <c r="X2353" i="12"/>
  <c r="Y2353" i="12"/>
  <c r="X2354" i="12"/>
  <c r="X2355" i="12"/>
  <c r="Y2354" i="12"/>
  <c r="X2356" i="12"/>
  <c r="Y2355" i="12"/>
  <c r="Y2356" i="12"/>
  <c r="X2357" i="12"/>
  <c r="Y2357" i="12"/>
  <c r="X2358" i="12"/>
  <c r="X2359" i="12"/>
  <c r="Y2358" i="12"/>
  <c r="X2360" i="12"/>
  <c r="Y2359" i="12"/>
  <c r="Y2360" i="12"/>
  <c r="X2361" i="12"/>
  <c r="Y2361" i="12"/>
  <c r="X2362" i="12"/>
  <c r="X2363" i="12"/>
  <c r="Y2362" i="12"/>
  <c r="X2364" i="12"/>
  <c r="Y2363" i="12"/>
  <c r="Y2364" i="12"/>
  <c r="X2365" i="12"/>
  <c r="Y2365" i="12"/>
  <c r="X2366" i="12"/>
  <c r="X2367" i="12"/>
  <c r="Y2366" i="12"/>
  <c r="X2368" i="12"/>
  <c r="Y2367" i="12"/>
  <c r="Y2368" i="12"/>
  <c r="X2369" i="12"/>
  <c r="Y2369" i="12"/>
  <c r="X2370" i="12"/>
  <c r="X2371" i="12"/>
  <c r="Y2370" i="12"/>
  <c r="X2372" i="12"/>
  <c r="Y2371" i="12"/>
  <c r="Y2372" i="12"/>
  <c r="X2373" i="12"/>
  <c r="Y2373" i="12"/>
  <c r="X2374" i="12"/>
  <c r="X2375" i="12"/>
  <c r="Y2374" i="12"/>
  <c r="X2376" i="12"/>
  <c r="Y2375" i="12"/>
  <c r="Y2376" i="12"/>
  <c r="X2377" i="12"/>
  <c r="Y2377" i="12"/>
  <c r="X2378" i="12"/>
  <c r="X2379" i="12"/>
  <c r="Y2378" i="12"/>
  <c r="X2380" i="12"/>
  <c r="Y2379" i="12"/>
  <c r="Y2380" i="12"/>
  <c r="X2381" i="12"/>
  <c r="Y2381" i="12"/>
  <c r="X2382" i="12"/>
  <c r="X2383" i="12"/>
  <c r="Y2382" i="12"/>
  <c r="X2384" i="12"/>
  <c r="Y2383" i="12"/>
  <c r="Y2384" i="12"/>
  <c r="X2385" i="12"/>
  <c r="Y2385" i="12"/>
  <c r="X2386" i="12"/>
  <c r="X2387" i="12"/>
  <c r="Y2386" i="12"/>
  <c r="X2388" i="12"/>
  <c r="Y2387" i="12"/>
  <c r="Y2388" i="12"/>
  <c r="X2389" i="12"/>
  <c r="Y2389" i="12"/>
  <c r="X2390" i="12"/>
  <c r="X2391" i="12"/>
  <c r="Y2390" i="12"/>
  <c r="X2392" i="12"/>
  <c r="Y2391" i="12"/>
  <c r="Y2392" i="12"/>
  <c r="X2393" i="12"/>
  <c r="Y2393" i="12"/>
  <c r="X2394" i="12"/>
  <c r="X2395" i="12"/>
  <c r="Y2394" i="12"/>
  <c r="X2396" i="12"/>
  <c r="Y2395" i="12"/>
  <c r="Y2396" i="12"/>
  <c r="X2397" i="12"/>
  <c r="Y2397" i="12"/>
  <c r="X2398" i="12"/>
  <c r="X2399" i="12"/>
  <c r="Y2398" i="12"/>
  <c r="X2400" i="12"/>
  <c r="Y2399" i="12"/>
  <c r="Y2400" i="12"/>
  <c r="X2401" i="12"/>
  <c r="Y2401" i="12"/>
  <c r="X2402" i="12"/>
  <c r="X2403" i="12"/>
  <c r="Y2402" i="12"/>
  <c r="X2404" i="12"/>
  <c r="Y2403" i="12"/>
  <c r="Y2404" i="12"/>
  <c r="X2405" i="12"/>
  <c r="Y2405" i="12"/>
  <c r="X2406" i="12"/>
  <c r="X2407" i="12"/>
  <c r="Y2406" i="12"/>
  <c r="X2408" i="12"/>
  <c r="Y2407" i="12"/>
  <c r="Y2408" i="12"/>
  <c r="X2409" i="12"/>
  <c r="Y2409" i="12"/>
  <c r="X2410" i="12"/>
  <c r="X2411" i="12"/>
  <c r="Y2410" i="12"/>
  <c r="X2412" i="12"/>
  <c r="Y2411" i="12"/>
  <c r="Y2412" i="12"/>
  <c r="X2413" i="12"/>
  <c r="Y2413" i="12"/>
  <c r="X2414" i="12"/>
  <c r="X2415" i="12"/>
  <c r="Y2414" i="12"/>
  <c r="X2416" i="12"/>
  <c r="Y2415" i="12"/>
  <c r="Y2416" i="12"/>
  <c r="X2417" i="12"/>
  <c r="Y2417" i="12"/>
  <c r="X2418" i="12"/>
  <c r="X2419" i="12"/>
  <c r="Y2418" i="12"/>
  <c r="X2420" i="12"/>
  <c r="Y2419" i="12"/>
  <c r="Y2420" i="12"/>
  <c r="X2421" i="12"/>
  <c r="Y2421" i="12"/>
  <c r="X2422" i="12"/>
  <c r="X2423" i="12"/>
  <c r="Y2422" i="12"/>
  <c r="X2424" i="12"/>
  <c r="Y2423" i="12"/>
  <c r="Y2424" i="12"/>
  <c r="X2425" i="12"/>
  <c r="Y2425" i="12"/>
  <c r="X2426" i="12"/>
  <c r="X2427" i="12"/>
  <c r="Y2426" i="12"/>
  <c r="X2428" i="12"/>
  <c r="Y2427" i="12"/>
  <c r="Y2428" i="12"/>
  <c r="X2429" i="12"/>
  <c r="Y2429" i="12"/>
  <c r="X2430" i="12"/>
  <c r="X2431" i="12"/>
  <c r="Y2430" i="12"/>
  <c r="X2432" i="12"/>
  <c r="Y2431" i="12"/>
  <c r="Y2432" i="12"/>
  <c r="X2433" i="12"/>
  <c r="Y2433" i="12"/>
  <c r="X2434" i="12"/>
  <c r="X2435" i="12"/>
  <c r="Y2434" i="12"/>
  <c r="X2436" i="12"/>
  <c r="Y2435" i="12"/>
  <c r="Y2436" i="12"/>
  <c r="X2437" i="12"/>
  <c r="Y2437" i="12"/>
  <c r="X2438" i="12"/>
  <c r="X2439" i="12"/>
  <c r="Y2438" i="12"/>
  <c r="X2440" i="12"/>
  <c r="Y2439" i="12"/>
  <c r="Y2440" i="12"/>
  <c r="X2441" i="12"/>
  <c r="Y2441" i="12"/>
  <c r="X2442" i="12"/>
  <c r="X2443" i="12"/>
  <c r="Y2442" i="12"/>
  <c r="X2444" i="12"/>
  <c r="Y2443" i="12"/>
  <c r="Y2444" i="12"/>
  <c r="X2445" i="12"/>
  <c r="Y2445" i="12"/>
  <c r="X2446" i="12"/>
  <c r="X2447" i="12"/>
  <c r="Y2446" i="12"/>
  <c r="X2448" i="12"/>
  <c r="Y2447" i="12"/>
  <c r="Y2448" i="12"/>
  <c r="X2449" i="12"/>
  <c r="Y2449" i="12"/>
  <c r="X2450" i="12"/>
  <c r="X2451" i="12"/>
  <c r="Y2450" i="12"/>
  <c r="X2452" i="12"/>
  <c r="Y2451" i="12"/>
  <c r="Y2452" i="12"/>
  <c r="X2453" i="12"/>
  <c r="Y2453" i="12"/>
  <c r="X2454" i="12"/>
  <c r="X2455" i="12"/>
  <c r="Y2454" i="12"/>
  <c r="X2456" i="12"/>
  <c r="Y2455" i="12"/>
  <c r="Y2456" i="12"/>
  <c r="X2457" i="12"/>
  <c r="Y2457" i="12"/>
  <c r="X2458" i="12"/>
  <c r="X2459" i="12"/>
  <c r="Y2458" i="12"/>
  <c r="X2460" i="12"/>
  <c r="Y2459" i="12"/>
  <c r="Y2460" i="12"/>
  <c r="X2461" i="12"/>
  <c r="Y2461" i="12"/>
  <c r="X2462" i="12"/>
  <c r="X2463" i="12"/>
  <c r="Y2462" i="12"/>
  <c r="X2464" i="12"/>
  <c r="Y2463" i="12"/>
  <c r="Y2464" i="12"/>
  <c r="X2465" i="12"/>
  <c r="Y2465" i="12"/>
  <c r="X2466" i="12"/>
  <c r="X2467" i="12"/>
  <c r="Y2466" i="12"/>
  <c r="X2468" i="12"/>
  <c r="Y2467" i="12"/>
  <c r="Y2468" i="12"/>
  <c r="X2469" i="12"/>
  <c r="Y2469" i="12"/>
  <c r="X2470" i="12"/>
  <c r="X2471" i="12"/>
  <c r="Y2470" i="12"/>
  <c r="X2472" i="12"/>
  <c r="Y2471" i="12"/>
  <c r="Y2472" i="12"/>
  <c r="X2473" i="12"/>
  <c r="Y2473" i="12"/>
  <c r="X2474" i="12"/>
  <c r="X2475" i="12"/>
  <c r="Y2474" i="12"/>
  <c r="X2476" i="12"/>
  <c r="Y2475" i="12"/>
  <c r="Y2476" i="12"/>
  <c r="X2477" i="12"/>
  <c r="Y2477" i="12"/>
  <c r="X2478" i="12"/>
  <c r="X2479" i="12"/>
  <c r="Y2478" i="12"/>
  <c r="X2480" i="12"/>
  <c r="Y2479" i="12"/>
  <c r="Y2480" i="12"/>
  <c r="X2481" i="12"/>
  <c r="Y2481" i="12"/>
  <c r="X2482" i="12"/>
  <c r="X2483" i="12"/>
  <c r="Y2482" i="12"/>
  <c r="X2484" i="12"/>
  <c r="Y2483" i="12"/>
  <c r="Y2484" i="12"/>
  <c r="X2485" i="12"/>
  <c r="Y2485" i="12"/>
  <c r="X2486" i="12"/>
  <c r="X2487" i="12"/>
  <c r="Y2486" i="12"/>
  <c r="X2488" i="12"/>
  <c r="Y2487" i="12"/>
  <c r="Y2488" i="12"/>
  <c r="X2489" i="12"/>
  <c r="Y2489" i="12"/>
  <c r="X2490" i="12"/>
  <c r="X2491" i="12"/>
  <c r="Y2490" i="12"/>
  <c r="X2492" i="12"/>
  <c r="Y2491" i="12"/>
  <c r="Y2492" i="12"/>
  <c r="X2493" i="12"/>
  <c r="Y2493" i="12"/>
  <c r="X2494" i="12"/>
  <c r="X2495" i="12"/>
  <c r="Y2494" i="12"/>
  <c r="X2496" i="12"/>
  <c r="Y2495" i="12"/>
  <c r="Y2496" i="12"/>
  <c r="X2497" i="12"/>
  <c r="Y2497" i="12"/>
  <c r="X2498" i="12"/>
  <c r="X2499" i="12"/>
  <c r="Y2498" i="12"/>
  <c r="X2500" i="12"/>
  <c r="Y2499" i="12"/>
  <c r="Y2500" i="12"/>
  <c r="X2501" i="12"/>
  <c r="Y2501" i="12"/>
  <c r="X2502" i="12"/>
  <c r="X2503" i="12"/>
  <c r="Y2502" i="12"/>
  <c r="X2504" i="12"/>
  <c r="Y2503" i="12"/>
  <c r="Y2504" i="12"/>
  <c r="X2505" i="12"/>
  <c r="Y2505" i="12"/>
  <c r="X2506" i="12"/>
  <c r="X2507" i="12"/>
  <c r="Y2506" i="12"/>
  <c r="X2508" i="12"/>
  <c r="Y2507" i="12"/>
  <c r="Y2508" i="12"/>
  <c r="X2509" i="12"/>
  <c r="Y2509" i="12"/>
  <c r="X2510" i="12"/>
  <c r="X2511" i="12"/>
  <c r="Y2510" i="12"/>
  <c r="X2512" i="12"/>
  <c r="Y2511" i="12"/>
  <c r="Y2512" i="12"/>
  <c r="X2513" i="12"/>
  <c r="Y2513" i="12"/>
  <c r="X2514" i="12"/>
  <c r="X2515" i="12"/>
  <c r="Y2514" i="12"/>
  <c r="X2516" i="12"/>
  <c r="Y2515" i="12"/>
  <c r="Y2516" i="12"/>
  <c r="X2517" i="12"/>
  <c r="Y2517" i="12"/>
  <c r="X2518" i="12"/>
  <c r="X2519" i="12"/>
  <c r="Y2518" i="12"/>
  <c r="X2520" i="12"/>
  <c r="Y2519" i="12"/>
  <c r="Y2520" i="12"/>
  <c r="X2521" i="12"/>
  <c r="Y2521" i="12"/>
  <c r="X2522" i="12"/>
  <c r="X2523" i="12"/>
  <c r="Y2522" i="12"/>
  <c r="X2524" i="12"/>
  <c r="Y2523" i="12"/>
  <c r="Y2524" i="12"/>
  <c r="X2525" i="12"/>
  <c r="Y2525" i="12"/>
  <c r="X2526" i="12"/>
  <c r="X2527" i="12"/>
  <c r="Y2526" i="12"/>
  <c r="X2528" i="12"/>
  <c r="Y2527" i="12"/>
  <c r="Y2528" i="12"/>
  <c r="X2529" i="12"/>
  <c r="Y2529" i="12"/>
  <c r="X2530" i="12"/>
  <c r="X2531" i="12"/>
  <c r="Y2530" i="12"/>
  <c r="Y2531" i="12"/>
  <c r="X2532" i="12"/>
  <c r="Y2532" i="12"/>
  <c r="X2533" i="12"/>
  <c r="X2534" i="12"/>
  <c r="Y2533" i="12"/>
  <c r="X2535" i="12"/>
  <c r="Y2534" i="12"/>
  <c r="Y2535" i="12"/>
  <c r="X2536" i="12"/>
  <c r="Y2536" i="12"/>
  <c r="X2537" i="12"/>
  <c r="X2538" i="12"/>
  <c r="Y2537" i="12"/>
  <c r="X2539" i="12"/>
  <c r="Y2538" i="12"/>
  <c r="Y2539" i="12"/>
  <c r="X2540" i="12"/>
  <c r="Y2540" i="12"/>
  <c r="X2541" i="12"/>
  <c r="X2542" i="12"/>
  <c r="Y2541" i="12"/>
  <c r="X2543" i="12"/>
  <c r="Y2542" i="12"/>
  <c r="Y2543" i="12"/>
  <c r="X2544" i="12"/>
  <c r="Y2544" i="12"/>
  <c r="X2545" i="12"/>
  <c r="X2546" i="12"/>
  <c r="Y2545" i="12"/>
  <c r="X2547" i="12"/>
  <c r="Y2546" i="12"/>
  <c r="Y2547" i="12"/>
  <c r="X2548" i="12"/>
  <c r="Y2548" i="12"/>
  <c r="X2549" i="12"/>
  <c r="X2550" i="12"/>
  <c r="Y2549" i="12"/>
  <c r="X2551" i="12"/>
  <c r="Y2550" i="12"/>
  <c r="Y2551" i="12"/>
  <c r="X2552" i="12"/>
  <c r="Y2552" i="12"/>
  <c r="X2553" i="12"/>
  <c r="X2554" i="12"/>
  <c r="Y2553" i="12"/>
  <c r="X2555" i="12"/>
  <c r="Y2554" i="12"/>
  <c r="Y2555" i="12"/>
  <c r="X2556" i="12"/>
  <c r="Y2556" i="12"/>
  <c r="X2557" i="12"/>
  <c r="X2558" i="12"/>
  <c r="Y2557" i="12"/>
  <c r="X2559" i="12"/>
  <c r="Y2558" i="12"/>
  <c r="Y2559" i="12"/>
  <c r="X2560" i="12"/>
  <c r="Y2560" i="12"/>
  <c r="X2561" i="12"/>
  <c r="X2562" i="12"/>
  <c r="Y2561" i="12"/>
  <c r="X2563" i="12"/>
  <c r="Y2562" i="12"/>
  <c r="Y2563" i="12"/>
  <c r="X2564" i="12"/>
  <c r="Y2564" i="12"/>
  <c r="X2565" i="12"/>
  <c r="X2566" i="12"/>
  <c r="Y2565" i="12"/>
  <c r="X2567" i="12"/>
  <c r="Y2566" i="12"/>
  <c r="Y2567" i="12"/>
  <c r="X2568" i="12"/>
  <c r="Y2568" i="12"/>
  <c r="X2569" i="12"/>
  <c r="X2570" i="12"/>
  <c r="Y2569" i="12"/>
  <c r="X2571" i="12"/>
  <c r="Y2570" i="12"/>
  <c r="Y2571" i="12"/>
  <c r="X2572" i="12"/>
  <c r="Y2572" i="12"/>
  <c r="X2573" i="12"/>
  <c r="X2574" i="12"/>
  <c r="Y2573" i="12"/>
  <c r="X2575" i="12"/>
  <c r="Y2574" i="12"/>
  <c r="Y2575" i="12"/>
  <c r="X2576" i="12"/>
  <c r="Y2576" i="12"/>
  <c r="X2577" i="12"/>
  <c r="X2578" i="12"/>
  <c r="Y2577" i="12"/>
  <c r="X2579" i="12"/>
  <c r="Y2578" i="12"/>
  <c r="Y2579" i="12"/>
  <c r="X2580" i="12"/>
  <c r="Y2580" i="12"/>
  <c r="X2581" i="12"/>
  <c r="X2582" i="12"/>
  <c r="Y2581" i="12"/>
  <c r="X2583" i="12"/>
  <c r="Y2582" i="12"/>
  <c r="Y2583" i="12"/>
  <c r="X2584" i="12"/>
  <c r="Y2584" i="12"/>
  <c r="X2585" i="12"/>
  <c r="X2586" i="12"/>
  <c r="Y2585" i="12"/>
  <c r="X2587" i="12"/>
  <c r="Y2586" i="12"/>
  <c r="Y2587" i="12"/>
  <c r="X2588" i="12"/>
  <c r="Y2588" i="12"/>
  <c r="X2589" i="12"/>
  <c r="X2590" i="12"/>
  <c r="Y2589" i="12"/>
  <c r="X2591" i="12"/>
  <c r="Y2590" i="12"/>
  <c r="Y2591" i="12"/>
  <c r="X2592" i="12"/>
  <c r="Y2592" i="12"/>
  <c r="X2593" i="12"/>
  <c r="X2594" i="12"/>
  <c r="Y2593" i="12"/>
  <c r="X2595" i="12"/>
  <c r="Y2594" i="12"/>
  <c r="Y2595" i="12"/>
  <c r="X2596" i="12"/>
  <c r="Y2596" i="12"/>
  <c r="X2597" i="12"/>
  <c r="X2598" i="12"/>
  <c r="Y2597" i="12"/>
  <c r="X2599" i="12"/>
  <c r="Y2598" i="12"/>
  <c r="Y2599" i="12"/>
  <c r="X2600" i="12"/>
  <c r="Y2600" i="12"/>
  <c r="X2601" i="12"/>
  <c r="X2602" i="12"/>
  <c r="Y2601" i="12"/>
  <c r="X2603" i="12"/>
  <c r="Y2602" i="12"/>
  <c r="Y2603" i="12"/>
  <c r="X2604" i="12"/>
  <c r="Y2604" i="12"/>
  <c r="X2605" i="12"/>
  <c r="X2606" i="12"/>
  <c r="Y2605" i="12"/>
  <c r="X2607" i="12"/>
  <c r="Y2606" i="12"/>
  <c r="Y2607" i="12"/>
  <c r="X2608" i="12"/>
  <c r="Y2608" i="12"/>
  <c r="X2609" i="12"/>
  <c r="X2610" i="12"/>
  <c r="Y2609" i="12"/>
  <c r="X2611" i="12"/>
  <c r="Y2610" i="12"/>
  <c r="Y2611" i="12"/>
  <c r="X2612" i="12"/>
  <c r="Y2612" i="12"/>
  <c r="X2613" i="12"/>
  <c r="X2614" i="12"/>
  <c r="Y2613" i="12"/>
  <c r="X2615" i="12"/>
  <c r="Y2614" i="12"/>
  <c r="Y2615" i="12"/>
  <c r="X2616" i="12"/>
  <c r="Y2616" i="12"/>
  <c r="X2617" i="12"/>
  <c r="X2618" i="12"/>
  <c r="Y2617" i="12"/>
  <c r="X2619" i="12"/>
  <c r="Y2618" i="12"/>
  <c r="Y2619" i="12"/>
  <c r="X2620" i="12"/>
  <c r="Y2620" i="12"/>
  <c r="X2621" i="12"/>
  <c r="X2622" i="12"/>
  <c r="Y2621" i="12"/>
  <c r="X2623" i="12"/>
  <c r="Y2622" i="12"/>
  <c r="Y2623" i="12"/>
  <c r="X2624" i="12"/>
  <c r="Y2624" i="12"/>
  <c r="X2625" i="12"/>
  <c r="X2626" i="12"/>
  <c r="Y2625" i="12"/>
  <c r="X2627" i="12"/>
  <c r="Y2626" i="12"/>
  <c r="Y2627" i="12"/>
  <c r="X2628" i="12"/>
  <c r="Y2628" i="12"/>
  <c r="X2629" i="12"/>
  <c r="X2630" i="12"/>
  <c r="Y2629" i="12"/>
  <c r="X2631" i="12"/>
  <c r="Y2630" i="12"/>
  <c r="Y2631" i="12"/>
  <c r="X2632" i="12"/>
  <c r="Y2632" i="12"/>
  <c r="X2633" i="12"/>
  <c r="X2634" i="12"/>
  <c r="Y2633" i="12"/>
  <c r="X2635" i="12"/>
  <c r="Y2634" i="12"/>
  <c r="Y2635" i="12"/>
  <c r="X2636" i="12"/>
  <c r="Y2636" i="12"/>
  <c r="X2637" i="12"/>
  <c r="X2638" i="12"/>
  <c r="Y2637" i="12"/>
  <c r="X2639" i="12"/>
  <c r="Y2638" i="12"/>
  <c r="Y2639" i="12"/>
  <c r="X2640" i="12"/>
  <c r="Y2640" i="12"/>
  <c r="X2641" i="12"/>
  <c r="X2642" i="12"/>
  <c r="Y2641" i="12"/>
  <c r="X2643" i="12"/>
  <c r="Y2642" i="12"/>
  <c r="Y2643" i="12"/>
  <c r="X2644" i="12"/>
  <c r="Y2644" i="12"/>
  <c r="X2645" i="12"/>
  <c r="X2646" i="12"/>
  <c r="Y2645" i="12"/>
  <c r="X2647" i="12"/>
  <c r="Y2646" i="12"/>
  <c r="Y2647" i="12"/>
  <c r="X2648" i="12"/>
  <c r="Y2648" i="12"/>
  <c r="X2649" i="12"/>
  <c r="X2650" i="12"/>
  <c r="Y2649" i="12"/>
  <c r="X2651" i="12"/>
  <c r="Y2650" i="12"/>
  <c r="Y2651" i="12"/>
  <c r="X2652" i="12"/>
  <c r="Y2652" i="12"/>
  <c r="X2653" i="12"/>
  <c r="X2654" i="12"/>
  <c r="Y2653" i="12"/>
  <c r="X2655" i="12"/>
  <c r="Y2654" i="12"/>
  <c r="Y2655" i="12"/>
  <c r="X2656" i="12"/>
  <c r="Y2656" i="12"/>
  <c r="X2657" i="12"/>
  <c r="X2658" i="12"/>
  <c r="Y2657" i="12"/>
  <c r="X2659" i="12"/>
  <c r="Y2658" i="12"/>
  <c r="Y2659" i="12"/>
  <c r="X2660" i="12"/>
  <c r="Y2660" i="12"/>
  <c r="X2661" i="12"/>
  <c r="X2662" i="12"/>
  <c r="Y2661" i="12"/>
  <c r="X2663" i="12"/>
  <c r="Y2662" i="12"/>
  <c r="Y2663" i="12"/>
  <c r="X2664" i="12"/>
  <c r="Y2664" i="12"/>
  <c r="X2665" i="12"/>
  <c r="X2666" i="12"/>
  <c r="Y2665" i="12"/>
  <c r="X2667" i="12"/>
  <c r="Y2666" i="12"/>
  <c r="Y2667" i="12"/>
  <c r="X2668" i="12"/>
  <c r="Y2668" i="12"/>
  <c r="X2669" i="12"/>
  <c r="X2670" i="12"/>
  <c r="Y2669" i="12"/>
  <c r="X2671" i="12"/>
  <c r="Y2670" i="12"/>
  <c r="Y2671" i="12"/>
  <c r="X2672" i="12"/>
  <c r="Y2672" i="12"/>
  <c r="X2673" i="12"/>
  <c r="X2674" i="12"/>
  <c r="Y2673" i="12"/>
  <c r="X2675" i="12"/>
  <c r="Y2674" i="12"/>
  <c r="Y2675" i="12"/>
  <c r="X2676" i="12"/>
  <c r="Y2676" i="12"/>
  <c r="X2677" i="12"/>
  <c r="X2678" i="12"/>
  <c r="Y2677" i="12"/>
  <c r="X2679" i="12"/>
  <c r="Y2678" i="12"/>
  <c r="Y2679" i="12"/>
  <c r="X2680" i="12"/>
  <c r="Y2680" i="12"/>
  <c r="X2681" i="12"/>
  <c r="X2682" i="12"/>
  <c r="Y2681" i="12"/>
  <c r="X2683" i="12"/>
  <c r="Y2682" i="12"/>
  <c r="Y2683" i="12"/>
  <c r="X2684" i="12"/>
  <c r="Y2684" i="12"/>
  <c r="X2685" i="12"/>
  <c r="X2686" i="12"/>
  <c r="Y2685" i="12"/>
  <c r="X2687" i="12"/>
  <c r="Y2686" i="12"/>
  <c r="Y2687" i="12"/>
  <c r="X2688" i="12"/>
  <c r="Y2688" i="12"/>
  <c r="X2689" i="12"/>
  <c r="X2690" i="12"/>
  <c r="Y2689" i="12"/>
  <c r="X2691" i="12"/>
  <c r="Y2690" i="12"/>
  <c r="Y2691" i="12"/>
  <c r="X2692" i="12"/>
  <c r="Y2692" i="12"/>
  <c r="X2693" i="12"/>
  <c r="X2694" i="12"/>
  <c r="Y2693" i="12"/>
  <c r="X2695" i="12"/>
  <c r="Y2694" i="12"/>
  <c r="Y2695" i="12"/>
  <c r="X2696" i="12"/>
  <c r="Y2696" i="12"/>
  <c r="X2697" i="12"/>
  <c r="X2698" i="12"/>
  <c r="Y2697" i="12"/>
  <c r="X2699" i="12"/>
  <c r="Y2698" i="12"/>
  <c r="Y2699" i="12"/>
  <c r="X2700" i="12"/>
  <c r="Y2700" i="12"/>
  <c r="X2701" i="12"/>
  <c r="X2702" i="12"/>
  <c r="Y2701" i="12"/>
  <c r="X2703" i="12"/>
  <c r="Y2702" i="12"/>
  <c r="Y2703" i="12"/>
  <c r="X2704" i="12"/>
  <c r="Y2704" i="12"/>
  <c r="X2705" i="12"/>
  <c r="X2706" i="12"/>
  <c r="Y2705" i="12"/>
  <c r="X2707" i="12"/>
  <c r="Y2706" i="12"/>
  <c r="Y2707" i="12"/>
  <c r="X2708" i="12"/>
  <c r="Y2708" i="12"/>
  <c r="X2709" i="12"/>
  <c r="X2710" i="12"/>
  <c r="Y2709" i="12"/>
  <c r="X2711" i="12"/>
  <c r="Y2710" i="12"/>
  <c r="Y2711" i="12"/>
  <c r="X2712" i="12"/>
  <c r="Y2712" i="12"/>
  <c r="X2713" i="12"/>
  <c r="X2714" i="12"/>
  <c r="Y2713" i="12"/>
  <c r="X2715" i="12"/>
  <c r="Y2714" i="12"/>
  <c r="Y2715" i="12"/>
  <c r="X2716" i="12"/>
  <c r="Y2716" i="12"/>
  <c r="X2717" i="12"/>
  <c r="X2718" i="12"/>
  <c r="Y2717" i="12"/>
  <c r="X2719" i="12"/>
  <c r="Y2718" i="12"/>
  <c r="Y2719" i="12"/>
  <c r="X2720" i="12"/>
  <c r="Y2720" i="12"/>
  <c r="X2721" i="12"/>
  <c r="X2722" i="12"/>
  <c r="Y2721" i="12"/>
  <c r="X2723" i="12"/>
  <c r="Y2722" i="12"/>
  <c r="Y2723" i="12"/>
  <c r="X2724" i="12"/>
  <c r="Y2724" i="12"/>
  <c r="X2725" i="12"/>
  <c r="X2726" i="12"/>
  <c r="Y2725" i="12"/>
  <c r="X2727" i="12"/>
  <c r="Y2726" i="12"/>
  <c r="Y2727" i="12"/>
  <c r="X2728" i="12"/>
  <c r="Y2728" i="12"/>
  <c r="X2729" i="12"/>
  <c r="X2730" i="12"/>
  <c r="Y2729" i="12"/>
  <c r="X2731" i="12"/>
  <c r="Y2730" i="12"/>
  <c r="Y2731" i="12"/>
  <c r="X2732" i="12"/>
  <c r="Y2732" i="12"/>
  <c r="X2733" i="12"/>
  <c r="X2734" i="12"/>
  <c r="Y2733" i="12"/>
  <c r="X2735" i="12"/>
  <c r="Y2734" i="12"/>
  <c r="Y2735" i="12"/>
  <c r="X2736" i="12"/>
  <c r="Y2736" i="12"/>
  <c r="X2737" i="12"/>
  <c r="X2738" i="12"/>
  <c r="Y2737" i="12"/>
  <c r="X2739" i="12"/>
  <c r="Y2738" i="12"/>
  <c r="Y2739" i="12"/>
  <c r="X2740" i="12"/>
  <c r="Y2740" i="12"/>
  <c r="X2741" i="12"/>
  <c r="X2742" i="12"/>
  <c r="Y2741" i="12"/>
  <c r="X2743" i="12"/>
  <c r="Y2742" i="12"/>
  <c r="Y2743" i="12"/>
  <c r="X2744" i="12"/>
  <c r="Y2744" i="12"/>
  <c r="X2745" i="12"/>
  <c r="X2746" i="12"/>
  <c r="Y2745" i="12"/>
  <c r="X2747" i="12"/>
  <c r="Y2746" i="12"/>
  <c r="Y2747" i="12"/>
  <c r="X2748" i="12"/>
  <c r="Y2748" i="12"/>
  <c r="X2749" i="12"/>
  <c r="X2750" i="12"/>
  <c r="Y2749" i="12"/>
  <c r="X2751" i="12"/>
  <c r="Y2750" i="12"/>
  <c r="Y2751" i="12"/>
  <c r="X2752" i="12"/>
  <c r="Y2752" i="12"/>
  <c r="X2753" i="12"/>
  <c r="X2754" i="12"/>
  <c r="Y2753" i="12"/>
  <c r="X2755" i="12"/>
  <c r="Y2754" i="12"/>
  <c r="Y2755" i="12"/>
  <c r="X2756" i="12"/>
  <c r="Y2756" i="12"/>
  <c r="X2757" i="12"/>
  <c r="X2758" i="12"/>
  <c r="Y2757" i="12"/>
  <c r="X2759" i="12"/>
  <c r="Y2758" i="12"/>
  <c r="Y2759" i="12"/>
  <c r="X2760" i="12"/>
  <c r="Y2760" i="12"/>
  <c r="X2761" i="12"/>
  <c r="X2762" i="12"/>
  <c r="Y2761" i="12"/>
  <c r="X2763" i="12"/>
  <c r="Y2762" i="12"/>
  <c r="Y2763" i="12"/>
  <c r="X2764" i="12"/>
  <c r="Y2764" i="12"/>
  <c r="X2765" i="12"/>
  <c r="X2766" i="12"/>
  <c r="Y2765" i="12"/>
  <c r="X2767" i="12"/>
  <c r="Y2766" i="12"/>
  <c r="Y2767" i="12"/>
  <c r="X2768" i="12"/>
  <c r="Y2768" i="12"/>
  <c r="X2769" i="12"/>
  <c r="X2770" i="12"/>
  <c r="Y2769" i="12"/>
  <c r="X2771" i="12"/>
  <c r="Y2770" i="12"/>
  <c r="Y2771" i="12"/>
  <c r="X2772" i="12"/>
  <c r="Y2772" i="12"/>
  <c r="X2773" i="12"/>
  <c r="X2774" i="12"/>
  <c r="Y2773" i="12"/>
  <c r="X2775" i="12"/>
  <c r="Y2774" i="12"/>
  <c r="Y2775" i="12"/>
  <c r="X2776" i="12"/>
  <c r="Y2776" i="12"/>
  <c r="X2777" i="12"/>
  <c r="X2778" i="12"/>
  <c r="Y2777" i="12"/>
  <c r="X2779" i="12"/>
  <c r="Y2778" i="12"/>
  <c r="Y2779" i="12"/>
  <c r="X2780" i="12"/>
  <c r="Y2780" i="12"/>
  <c r="X2781" i="12"/>
  <c r="X2782" i="12"/>
  <c r="Y2781" i="12"/>
  <c r="X2783" i="12"/>
  <c r="Y2782" i="12"/>
  <c r="Y2783" i="12"/>
  <c r="X2784" i="12"/>
  <c r="Y2784" i="12"/>
  <c r="X2785" i="12"/>
  <c r="X2786" i="12"/>
  <c r="Y2785" i="12"/>
  <c r="X2787" i="12"/>
  <c r="Y2786" i="12"/>
  <c r="Y2787" i="12"/>
  <c r="X2788" i="12"/>
  <c r="Y2788" i="12"/>
  <c r="X2789" i="12"/>
  <c r="X2790" i="12"/>
  <c r="Y2789" i="12"/>
  <c r="X2791" i="12"/>
  <c r="Y2790" i="12"/>
  <c r="Y2791" i="12"/>
  <c r="X2792" i="12"/>
  <c r="Y2792" i="12"/>
  <c r="X2793" i="12"/>
  <c r="X2794" i="12"/>
  <c r="Y2793" i="12"/>
  <c r="X2795" i="12"/>
  <c r="Y2794" i="12"/>
  <c r="Y2795" i="12"/>
  <c r="X2796" i="12"/>
  <c r="Y2796" i="12"/>
  <c r="X2797" i="12"/>
  <c r="X2798" i="12"/>
  <c r="Y2797" i="12"/>
  <c r="X2799" i="12"/>
  <c r="Y2798" i="12"/>
  <c r="Y2799" i="12"/>
  <c r="X2800" i="12"/>
  <c r="Y2800" i="12"/>
  <c r="X2801" i="12"/>
  <c r="X2802" i="12"/>
  <c r="Y2801" i="12"/>
  <c r="X2803" i="12"/>
  <c r="Y2802" i="12"/>
  <c r="Y2803" i="12"/>
  <c r="X2804" i="12"/>
  <c r="Y2804" i="12"/>
  <c r="X2805" i="12"/>
  <c r="X2806" i="12"/>
  <c r="Y2805" i="12"/>
  <c r="X2807" i="12"/>
  <c r="Y2806" i="12"/>
  <c r="Y2807" i="12"/>
  <c r="X2808" i="12"/>
  <c r="Y2808" i="12"/>
  <c r="X2809" i="12"/>
  <c r="X2810" i="12"/>
  <c r="Y2809" i="12"/>
  <c r="X2811" i="12"/>
  <c r="Y2810" i="12"/>
  <c r="Y2811" i="12"/>
  <c r="X2812" i="12"/>
  <c r="Y2812" i="12"/>
  <c r="X2813" i="12"/>
  <c r="X2814" i="12"/>
  <c r="Y2813" i="12"/>
  <c r="X2815" i="12"/>
  <c r="Y2814" i="12"/>
  <c r="Y2815" i="12"/>
  <c r="X2816" i="12"/>
  <c r="Y2816" i="12"/>
  <c r="X2817" i="12"/>
  <c r="X2818" i="12"/>
  <c r="Y2817" i="12"/>
  <c r="X2819" i="12"/>
  <c r="Y2818" i="12"/>
  <c r="Y2819" i="12"/>
  <c r="X2820" i="12"/>
  <c r="Y2820" i="12"/>
  <c r="X2821" i="12"/>
  <c r="X2822" i="12"/>
  <c r="Y2821" i="12"/>
  <c r="X2823" i="12"/>
  <c r="Y2822" i="12"/>
  <c r="Y2823" i="12"/>
  <c r="X2824" i="12"/>
  <c r="Y2824" i="12"/>
  <c r="X2825" i="12"/>
  <c r="X2826" i="12"/>
  <c r="Y2825" i="12"/>
  <c r="X2827" i="12"/>
  <c r="Y2826" i="12"/>
  <c r="Y2827" i="12"/>
  <c r="X2828" i="12"/>
  <c r="Y2828" i="12"/>
  <c r="X2829" i="12"/>
  <c r="X2830" i="12"/>
  <c r="Y2829" i="12"/>
  <c r="X2831" i="12"/>
  <c r="Y2830" i="12"/>
  <c r="Y2831" i="12"/>
  <c r="X2832" i="12"/>
  <c r="Y2832" i="12"/>
  <c r="X2833" i="12"/>
  <c r="X2834" i="12"/>
  <c r="Y2833" i="12"/>
  <c r="X2835" i="12"/>
  <c r="Y2834" i="12"/>
  <c r="Y2835" i="12"/>
  <c r="X2836" i="12"/>
  <c r="Y2836" i="12"/>
  <c r="X2837" i="12"/>
  <c r="X2838" i="12"/>
  <c r="Y2837" i="12"/>
  <c r="X2839" i="12"/>
  <c r="Y2838" i="12"/>
  <c r="Y2839" i="12"/>
  <c r="X2840" i="12"/>
  <c r="Y2840" i="12"/>
  <c r="X2841" i="12"/>
  <c r="X2842" i="12"/>
  <c r="Y2841" i="12"/>
  <c r="X2843" i="12"/>
  <c r="Y2842" i="12"/>
  <c r="Y2843" i="12"/>
  <c r="X2844" i="12"/>
  <c r="Y2844" i="12"/>
  <c r="X2845" i="12"/>
  <c r="X2846" i="12"/>
  <c r="Y2845" i="12"/>
  <c r="X2847" i="12"/>
  <c r="Y2846" i="12"/>
  <c r="Y2847" i="12"/>
  <c r="X2848" i="12"/>
  <c r="Y2848" i="12"/>
  <c r="X2849" i="12"/>
  <c r="X2850" i="12"/>
  <c r="Y2849" i="12"/>
  <c r="X2851" i="12"/>
  <c r="Y2850" i="12"/>
  <c r="Y2851" i="12"/>
  <c r="X2852" i="12"/>
  <c r="Y2852" i="12"/>
  <c r="X2853" i="12"/>
  <c r="X2854" i="12"/>
  <c r="Y2853" i="12"/>
  <c r="X2855" i="12"/>
  <c r="Y2854" i="12"/>
  <c r="Y2855" i="12"/>
  <c r="X2856" i="12"/>
  <c r="Y2856" i="12"/>
  <c r="X2857" i="12"/>
  <c r="X2858" i="12"/>
  <c r="Y2857" i="12"/>
  <c r="X2859" i="12"/>
  <c r="Y2858" i="12"/>
  <c r="Y2859" i="12"/>
  <c r="X2860" i="12"/>
  <c r="Y2860" i="12"/>
  <c r="X2861" i="12"/>
  <c r="X2862" i="12"/>
  <c r="Y2861" i="12"/>
  <c r="X2863" i="12"/>
  <c r="Y2862" i="12"/>
  <c r="Y2863" i="12"/>
  <c r="X2864" i="12"/>
  <c r="Y2864" i="12"/>
  <c r="X2865" i="12"/>
  <c r="X2866" i="12"/>
  <c r="Y2865" i="12"/>
  <c r="X2867" i="12"/>
  <c r="Y2866" i="12"/>
  <c r="Y2867" i="12"/>
  <c r="X2868" i="12"/>
  <c r="Y2868" i="12"/>
  <c r="X2869" i="12"/>
  <c r="X2870" i="12"/>
  <c r="Y2869" i="12"/>
  <c r="X2871" i="12"/>
  <c r="Y2870" i="12"/>
  <c r="Y2871" i="12"/>
  <c r="X2872" i="12"/>
  <c r="Y2872" i="12"/>
  <c r="X2873" i="12"/>
  <c r="X2874" i="12"/>
  <c r="Y2873" i="12"/>
  <c r="X2875" i="12"/>
  <c r="Y2874" i="12"/>
  <c r="Y2875" i="12"/>
  <c r="X2876" i="12"/>
  <c r="Y2876" i="12"/>
  <c r="X2877" i="12"/>
  <c r="X2878" i="12"/>
  <c r="Y2877" i="12"/>
  <c r="X2879" i="12"/>
  <c r="Y2878" i="12"/>
  <c r="Y2879" i="12"/>
  <c r="X2880" i="12"/>
  <c r="Y2880" i="12"/>
  <c r="X2881" i="12"/>
  <c r="X2882" i="12"/>
  <c r="Y2881" i="12"/>
  <c r="X2883" i="12"/>
  <c r="Y2882" i="12"/>
  <c r="Y2883" i="12"/>
  <c r="X2884" i="12"/>
  <c r="Y2884" i="12"/>
  <c r="X2885" i="12"/>
  <c r="X2886" i="12"/>
  <c r="Y2885" i="12"/>
  <c r="X2887" i="12"/>
  <c r="Y2886" i="12"/>
  <c r="Y2887" i="12"/>
  <c r="X2888" i="12"/>
  <c r="Y2888" i="12"/>
  <c r="X2889" i="12"/>
  <c r="X2890" i="12"/>
  <c r="Y2889" i="12"/>
  <c r="X2891" i="12"/>
  <c r="Y2890" i="12"/>
  <c r="Y2891" i="12"/>
  <c r="X2892" i="12"/>
  <c r="Y2892" i="12"/>
  <c r="X2893" i="12"/>
  <c r="X2894" i="12"/>
  <c r="Y2893" i="12"/>
  <c r="X2895" i="12"/>
  <c r="Y2894" i="12"/>
  <c r="Y2895" i="12"/>
  <c r="X2896" i="12"/>
  <c r="Y2896" i="12"/>
  <c r="X2897" i="12"/>
  <c r="X2898" i="12"/>
  <c r="Y2897" i="12"/>
  <c r="X2899" i="12"/>
  <c r="Y2898" i="12"/>
  <c r="Y2899" i="12"/>
  <c r="X2900" i="12"/>
  <c r="Y2900" i="12"/>
  <c r="X2901" i="12"/>
  <c r="X2902" i="12"/>
  <c r="Y2901" i="12"/>
  <c r="X2903" i="12"/>
  <c r="Y2902" i="12"/>
  <c r="Y2903" i="12"/>
  <c r="X2904" i="12"/>
  <c r="Y2904" i="12"/>
  <c r="X2905" i="12"/>
  <c r="X2906" i="12"/>
  <c r="Y2905" i="12"/>
  <c r="X2907" i="12"/>
  <c r="Y2906" i="12"/>
  <c r="Y2907" i="12"/>
  <c r="X2908" i="12"/>
  <c r="Y2908" i="12"/>
  <c r="X2909" i="12"/>
  <c r="X2910" i="12"/>
  <c r="Y2909" i="12"/>
  <c r="X2911" i="12"/>
  <c r="Y2910" i="12"/>
  <c r="Y2911" i="12"/>
  <c r="X2912" i="12"/>
  <c r="Y2912" i="12"/>
  <c r="X2913" i="12"/>
  <c r="X2914" i="12"/>
  <c r="Y2913" i="12"/>
  <c r="X2915" i="12"/>
  <c r="Y2914" i="12"/>
  <c r="Y2915" i="12"/>
  <c r="X2916" i="12"/>
  <c r="Y2916" i="12"/>
  <c r="X2917" i="12"/>
  <c r="X2918" i="12"/>
  <c r="Y2917" i="12"/>
  <c r="X2919" i="12"/>
  <c r="Y2918" i="12"/>
  <c r="Y2919" i="12"/>
  <c r="X2920" i="12"/>
  <c r="Y2920" i="12"/>
  <c r="X2921" i="12"/>
  <c r="X2922" i="12"/>
  <c r="Y2921" i="12"/>
  <c r="X2923" i="12"/>
  <c r="Y2922" i="12"/>
  <c r="Y2923" i="12"/>
  <c r="X2924" i="12"/>
  <c r="Y2924" i="12"/>
  <c r="X2925" i="12"/>
  <c r="X2926" i="12"/>
  <c r="Y2925" i="12"/>
  <c r="X2927" i="12"/>
  <c r="Y2926" i="12"/>
  <c r="Y2927" i="12"/>
  <c r="X2928" i="12"/>
  <c r="Y2928" i="12"/>
  <c r="X2929" i="12"/>
  <c r="X2930" i="12"/>
  <c r="Y2929" i="12"/>
  <c r="X2931" i="12"/>
  <c r="Y2930" i="12"/>
  <c r="Y2931" i="12"/>
  <c r="X2932" i="12"/>
  <c r="Y2932" i="12"/>
  <c r="X2933" i="12"/>
  <c r="X2934" i="12"/>
  <c r="Y2933" i="12"/>
  <c r="X2935" i="12"/>
  <c r="Y2934" i="12"/>
  <c r="Y2935" i="12"/>
  <c r="X2936" i="12"/>
  <c r="Y2936" i="12"/>
  <c r="X2937" i="12"/>
  <c r="X2938" i="12"/>
  <c r="Y2937" i="12"/>
  <c r="X2939" i="12"/>
  <c r="Y2938" i="12"/>
  <c r="Y2939" i="12"/>
  <c r="X2940" i="12"/>
  <c r="Y2940" i="12"/>
  <c r="X2941" i="12"/>
  <c r="X2942" i="12"/>
  <c r="Y2941" i="12"/>
  <c r="X2943" i="12"/>
  <c r="Y2942" i="12"/>
  <c r="Y2943" i="12"/>
  <c r="X2944" i="12"/>
  <c r="Y2944" i="12"/>
  <c r="X2945" i="12"/>
  <c r="X2946" i="12"/>
  <c r="Y2945" i="12"/>
  <c r="X2947" i="12"/>
  <c r="Y2946" i="12"/>
  <c r="Y2947" i="12"/>
  <c r="X2948" i="12"/>
  <c r="Y2948" i="12"/>
  <c r="X2949" i="12"/>
  <c r="X2950" i="12"/>
  <c r="Y2949" i="12"/>
  <c r="X2951" i="12"/>
  <c r="Y2950" i="12"/>
  <c r="Y2951" i="12"/>
  <c r="X2952" i="12"/>
  <c r="Y2952" i="12"/>
  <c r="X2953" i="12"/>
  <c r="X2954" i="12"/>
  <c r="Y2953" i="12"/>
  <c r="X2955" i="12"/>
  <c r="Y2954" i="12"/>
  <c r="Y2955" i="12"/>
  <c r="X2956" i="12"/>
  <c r="Y2956" i="12"/>
  <c r="X2957" i="12"/>
  <c r="X2958" i="12"/>
  <c r="Y2957" i="12"/>
  <c r="X2959" i="12"/>
  <c r="Y2958" i="12"/>
  <c r="Y2959" i="12"/>
  <c r="X2960" i="12"/>
  <c r="Y2960" i="12"/>
  <c r="X2961" i="12"/>
  <c r="X2962" i="12"/>
  <c r="Y2961" i="12"/>
  <c r="X2963" i="12"/>
  <c r="Y2962" i="12"/>
  <c r="Y2963" i="12"/>
  <c r="X2964" i="12"/>
  <c r="Y2964" i="12"/>
  <c r="X2965" i="12"/>
  <c r="X2966" i="12"/>
  <c r="Y2965" i="12"/>
  <c r="X2967" i="12"/>
  <c r="Y2966" i="12"/>
  <c r="Y2967" i="12"/>
  <c r="X2968" i="12"/>
  <c r="Y2968" i="12"/>
  <c r="X2969" i="12"/>
  <c r="Y2969" i="12"/>
  <c r="X2970" i="12"/>
  <c r="X2971" i="12"/>
  <c r="Y2970" i="12"/>
  <c r="X2972" i="12"/>
  <c r="Y2971" i="12"/>
  <c r="Y2972" i="12"/>
  <c r="X2973" i="12"/>
  <c r="Y2973" i="12"/>
  <c r="X2974" i="12"/>
  <c r="X2975" i="12"/>
  <c r="Y2974" i="12"/>
  <c r="X2976" i="12"/>
  <c r="Y2975" i="12"/>
  <c r="Y2976" i="12"/>
  <c r="X2977" i="12"/>
  <c r="Y2977" i="12"/>
  <c r="X2978" i="12"/>
  <c r="X2979" i="12"/>
  <c r="Y2978" i="12"/>
  <c r="X2980" i="12"/>
  <c r="Y2979" i="12"/>
  <c r="Y2980" i="12"/>
  <c r="X2981" i="12"/>
  <c r="Y2981" i="12"/>
  <c r="X2982" i="12"/>
  <c r="X2983" i="12"/>
  <c r="Y2982" i="12"/>
  <c r="X2984" i="12"/>
  <c r="Y2983" i="12"/>
  <c r="Y2984" i="12"/>
  <c r="X2985" i="12"/>
  <c r="Y2985" i="12"/>
  <c r="X2986" i="12"/>
  <c r="X2987" i="12"/>
  <c r="Y2986" i="12"/>
  <c r="X2988" i="12"/>
  <c r="Y2987" i="12"/>
  <c r="Y2988" i="12"/>
  <c r="X2989" i="12"/>
  <c r="Y2989" i="12"/>
  <c r="X2990" i="12"/>
  <c r="X2991" i="12"/>
  <c r="Y2990" i="12"/>
  <c r="X2992" i="12"/>
  <c r="Y2991" i="12"/>
  <c r="Y2992" i="12"/>
  <c r="X2993" i="12"/>
  <c r="Y2993" i="12"/>
  <c r="X2994" i="12"/>
  <c r="X2995" i="12"/>
  <c r="Y2994" i="12"/>
  <c r="X2996" i="12"/>
  <c r="Y2995" i="12"/>
  <c r="Y2996" i="12"/>
  <c r="X2997" i="12"/>
  <c r="Y2997" i="12"/>
  <c r="X2998" i="12"/>
  <c r="X2999" i="12"/>
  <c r="Y2998" i="12"/>
  <c r="X3000" i="12"/>
  <c r="Y2999" i="12"/>
  <c r="Y3000" i="12"/>
  <c r="X3001" i="12"/>
  <c r="Y3001" i="12"/>
  <c r="X3002" i="12"/>
  <c r="X3003" i="12"/>
  <c r="Y3002" i="12"/>
  <c r="X3004" i="12"/>
  <c r="Y3003" i="12"/>
  <c r="Y3004" i="12"/>
  <c r="X3005" i="12"/>
  <c r="Y3005" i="12"/>
  <c r="X3006" i="12"/>
  <c r="X3007" i="12"/>
  <c r="Y3006" i="12"/>
  <c r="X3008" i="12"/>
  <c r="Y3007" i="12"/>
  <c r="Y3008" i="12"/>
  <c r="X3009" i="12"/>
  <c r="Y3009" i="12"/>
  <c r="X3010" i="12"/>
  <c r="X3011" i="12"/>
  <c r="Y3010" i="12"/>
  <c r="X3012" i="12"/>
  <c r="Y3011" i="12"/>
  <c r="Y3012" i="12"/>
  <c r="X3013" i="12"/>
  <c r="Y3013" i="12"/>
  <c r="X3014" i="12"/>
  <c r="X3015" i="12"/>
  <c r="Y3014" i="12"/>
  <c r="X3016" i="12"/>
  <c r="Y3015" i="12"/>
  <c r="Y3016" i="12"/>
  <c r="X3017" i="12"/>
  <c r="Y3017" i="12"/>
  <c r="X3018" i="12"/>
  <c r="X3019" i="12"/>
  <c r="Y3018" i="12"/>
  <c r="X3020" i="12"/>
  <c r="Y3019" i="12"/>
  <c r="Y3020" i="12"/>
  <c r="X3021" i="12"/>
  <c r="Y3021" i="12"/>
  <c r="X3022" i="12"/>
  <c r="X3023" i="12"/>
  <c r="Y3022" i="12"/>
  <c r="X3024" i="12"/>
  <c r="Y3023" i="12"/>
  <c r="Y3024" i="12"/>
  <c r="X3025" i="12"/>
  <c r="Y3025" i="12"/>
  <c r="X3026" i="12"/>
  <c r="X3027" i="12"/>
  <c r="Y3026" i="12"/>
  <c r="X3028" i="12"/>
  <c r="Y3027" i="12"/>
  <c r="Y3028" i="12"/>
  <c r="X3029" i="12"/>
  <c r="Y3029" i="12"/>
  <c r="X3030" i="12"/>
  <c r="X3031" i="12"/>
  <c r="Y3030" i="12"/>
  <c r="X3032" i="12"/>
  <c r="Y3031" i="12"/>
  <c r="Y3032" i="12"/>
  <c r="X3033" i="12"/>
  <c r="Y3033" i="12"/>
  <c r="X3034" i="12"/>
  <c r="X3035" i="12"/>
  <c r="Y3034" i="12"/>
  <c r="X3036" i="12"/>
  <c r="Y3035" i="12"/>
  <c r="Y3036" i="12"/>
  <c r="X3037" i="12"/>
  <c r="Y3037" i="12"/>
  <c r="X3038" i="12"/>
  <c r="X3039" i="12"/>
  <c r="Y3038" i="12"/>
  <c r="X3040" i="12"/>
  <c r="Y3039" i="12"/>
  <c r="Y3040" i="12"/>
  <c r="X3041" i="12"/>
  <c r="Y3041" i="12"/>
  <c r="X3042" i="12"/>
  <c r="X3043" i="12"/>
  <c r="Y3042" i="12"/>
  <c r="X3044" i="12"/>
  <c r="Y3043" i="12"/>
  <c r="Y3044" i="12"/>
  <c r="X3045" i="12"/>
  <c r="Y3045" i="12"/>
  <c r="X3046" i="12"/>
  <c r="X3047" i="12"/>
  <c r="Y3046" i="12"/>
  <c r="X3048" i="12"/>
  <c r="Y3047" i="12"/>
  <c r="Y3048" i="12"/>
  <c r="X3049" i="12"/>
  <c r="Y3049" i="12"/>
  <c r="X3050" i="12"/>
  <c r="X3051" i="12"/>
  <c r="Y3050" i="12"/>
  <c r="X3052" i="12"/>
  <c r="Y3051" i="12"/>
  <c r="Y3052" i="12"/>
  <c r="X3053" i="12"/>
  <c r="Y3053" i="12"/>
  <c r="X3054" i="12"/>
  <c r="X3055" i="12"/>
  <c r="Y3054" i="12"/>
  <c r="X3056" i="12"/>
  <c r="Y3055" i="12"/>
  <c r="Y3056" i="12"/>
  <c r="X3057" i="12"/>
  <c r="Y3057" i="12"/>
  <c r="X3058" i="12"/>
  <c r="X3059" i="12"/>
  <c r="Y3058" i="12"/>
  <c r="X3060" i="12"/>
  <c r="Y3059" i="12"/>
  <c r="Y3060" i="12"/>
  <c r="X3061" i="12"/>
  <c r="Y3061" i="12"/>
  <c r="X3062" i="12"/>
  <c r="X3063" i="12"/>
  <c r="Y3062" i="12"/>
  <c r="X3064" i="12"/>
  <c r="Y3063" i="12"/>
  <c r="Y3064" i="12"/>
  <c r="X3065" i="12"/>
  <c r="Y3065" i="12"/>
  <c r="X3066" i="12"/>
  <c r="X3067" i="12"/>
  <c r="Y3066" i="12"/>
  <c r="X3068" i="12"/>
  <c r="Y3067" i="12"/>
  <c r="Y3068" i="12"/>
  <c r="X3069" i="12"/>
  <c r="Y3069" i="12"/>
  <c r="X3070" i="12"/>
  <c r="X3071" i="12"/>
  <c r="Y3070" i="12"/>
  <c r="X3072" i="12"/>
  <c r="Y3071" i="12"/>
  <c r="Y3072" i="12"/>
  <c r="X3073" i="12"/>
  <c r="Y3073" i="12"/>
  <c r="X3074" i="12"/>
  <c r="X3075" i="12"/>
  <c r="Y3074" i="12"/>
  <c r="X3076" i="12"/>
  <c r="Y3075" i="12"/>
  <c r="Y3076" i="12"/>
  <c r="X3077" i="12"/>
  <c r="Y3077" i="12"/>
  <c r="X3078" i="12"/>
  <c r="X3079" i="12"/>
  <c r="Y3078" i="12"/>
  <c r="X3080" i="12"/>
  <c r="Y3079" i="12"/>
  <c r="Y3080" i="12"/>
  <c r="X3081" i="12"/>
  <c r="Y3081" i="12"/>
  <c r="X3082" i="12"/>
  <c r="X3083" i="12"/>
  <c r="Y3082" i="12"/>
  <c r="X3084" i="12"/>
  <c r="Y3083" i="12"/>
  <c r="Y3084" i="12"/>
  <c r="X3085" i="12"/>
  <c r="Y3085" i="12"/>
  <c r="X3086" i="12"/>
  <c r="X3087" i="12"/>
  <c r="Y3086" i="12"/>
  <c r="X3088" i="12"/>
  <c r="Y3087" i="12"/>
  <c r="Y3088" i="12"/>
  <c r="X3089" i="12"/>
  <c r="Y3089" i="12"/>
  <c r="X3090" i="12"/>
  <c r="X3091" i="12"/>
  <c r="Y3090" i="12"/>
  <c r="X3092" i="12"/>
  <c r="Y3091" i="12"/>
  <c r="Y3092" i="12"/>
  <c r="X3093" i="12"/>
  <c r="Y3093" i="12"/>
  <c r="X3094" i="12"/>
  <c r="X3095" i="12"/>
  <c r="Y3094" i="12"/>
  <c r="X3096" i="12"/>
  <c r="Y3095" i="12"/>
  <c r="Y3096" i="12"/>
  <c r="X3097" i="12"/>
  <c r="Y3097" i="12"/>
  <c r="X3098" i="12"/>
  <c r="X3099" i="12"/>
  <c r="Y3098" i="12"/>
  <c r="X3100" i="12"/>
  <c r="Y3099" i="12"/>
  <c r="Y3100" i="12"/>
  <c r="X3101" i="12"/>
  <c r="Y3101" i="12"/>
  <c r="X3102" i="12"/>
  <c r="X3103" i="12"/>
  <c r="Y3102" i="12"/>
  <c r="X3104" i="12"/>
  <c r="Y3103" i="12"/>
  <c r="Y3104" i="12"/>
  <c r="X3105" i="12"/>
  <c r="Y3105" i="12"/>
  <c r="X3106" i="12"/>
  <c r="X3107" i="12"/>
  <c r="Y3106" i="12"/>
  <c r="X3108" i="12"/>
  <c r="Y3107" i="12"/>
  <c r="Y3108" i="12"/>
  <c r="X3109" i="12"/>
  <c r="Y3109" i="12"/>
  <c r="X3110" i="12"/>
  <c r="X3111" i="12"/>
  <c r="Y3110" i="12"/>
  <c r="X3112" i="12"/>
  <c r="Y3111" i="12"/>
  <c r="Y3112" i="12"/>
  <c r="X3113" i="12"/>
  <c r="Y3113" i="12"/>
  <c r="X3114" i="12"/>
  <c r="X3115" i="12"/>
  <c r="Y3114" i="12"/>
  <c r="X3116" i="12"/>
  <c r="Y3115" i="12"/>
  <c r="X3117" i="12"/>
  <c r="Y3116" i="12"/>
  <c r="Y3117" i="12"/>
  <c r="X3118" i="12"/>
  <c r="Y3118" i="12"/>
  <c r="X3119" i="12"/>
  <c r="X3120" i="12"/>
  <c r="Y3119" i="12"/>
  <c r="X3121" i="12"/>
  <c r="Y3120" i="12"/>
  <c r="Y3121" i="12"/>
  <c r="X3122" i="12"/>
  <c r="Y3122" i="12"/>
  <c r="X3123" i="12"/>
  <c r="X3124" i="12"/>
  <c r="Y3123" i="12"/>
  <c r="X3125" i="12"/>
  <c r="Y3124" i="12"/>
  <c r="Y3125" i="12"/>
  <c r="X3126" i="12"/>
  <c r="Y3126" i="12"/>
  <c r="X3127" i="12"/>
  <c r="X3128" i="12"/>
  <c r="Y3127" i="12"/>
  <c r="X3129" i="12"/>
  <c r="Y3128" i="12"/>
  <c r="Y3129" i="12"/>
  <c r="X3130" i="12"/>
  <c r="Y3130" i="12"/>
  <c r="X3131" i="12"/>
  <c r="X3132" i="12"/>
  <c r="Y3131" i="12"/>
  <c r="X3133" i="12"/>
  <c r="Y3132" i="12"/>
  <c r="Y3133" i="12"/>
  <c r="X3134" i="12"/>
  <c r="Y3134" i="12"/>
  <c r="X3135" i="12"/>
  <c r="X3136" i="12"/>
  <c r="Y3135" i="12"/>
  <c r="X3137" i="12"/>
  <c r="Y3136" i="12"/>
  <c r="Y3137" i="12"/>
  <c r="X3138" i="12"/>
  <c r="Y3138" i="12"/>
  <c r="X3139" i="12"/>
  <c r="X3140" i="12"/>
  <c r="Y3139" i="12"/>
  <c r="X3141" i="12"/>
  <c r="Y3140" i="12"/>
  <c r="Y3141" i="12"/>
  <c r="X3142" i="12"/>
  <c r="Y3142" i="12"/>
  <c r="X3143" i="12"/>
  <c r="X3144" i="12"/>
  <c r="Y3143" i="12"/>
  <c r="X3145" i="12"/>
  <c r="Y3144" i="12"/>
  <c r="Y3145" i="12"/>
  <c r="X3146" i="12"/>
  <c r="Y3146" i="12"/>
  <c r="X3147" i="12"/>
  <c r="X3148" i="12"/>
  <c r="Y3147" i="12"/>
  <c r="X3149" i="12"/>
  <c r="Y3148" i="12"/>
  <c r="Y3149" i="12"/>
  <c r="X3150" i="12"/>
  <c r="Y3150" i="12"/>
  <c r="X3151" i="12"/>
  <c r="X3152" i="12"/>
  <c r="Y3151" i="12"/>
  <c r="X3153" i="12"/>
  <c r="Y3152" i="12"/>
  <c r="Y3153" i="12"/>
  <c r="X3154" i="12"/>
  <c r="Y3154" i="12"/>
  <c r="X3155" i="12"/>
  <c r="X3156" i="12"/>
  <c r="Y3155" i="12"/>
  <c r="X3157" i="12"/>
  <c r="Y3156" i="12"/>
  <c r="Y3157" i="12"/>
  <c r="X3158" i="12"/>
  <c r="Y3158" i="12"/>
  <c r="X3159" i="12"/>
  <c r="X3160" i="12"/>
  <c r="Y3159" i="12"/>
  <c r="X3161" i="12"/>
  <c r="Y3160" i="12"/>
  <c r="Y3161" i="12"/>
  <c r="X3162" i="12"/>
  <c r="Y3162" i="12"/>
  <c r="X3163" i="12"/>
  <c r="X3164" i="12"/>
  <c r="Y3163" i="12"/>
  <c r="X3165" i="12"/>
  <c r="Y3164" i="12"/>
  <c r="Y3165" i="12"/>
  <c r="X3166" i="12"/>
  <c r="Y3166" i="12"/>
  <c r="X3167" i="12"/>
  <c r="X3168" i="12"/>
  <c r="Y3167" i="12"/>
  <c r="X3169" i="12"/>
  <c r="Y3168" i="12"/>
  <c r="Y3169" i="12"/>
  <c r="X3170" i="12"/>
  <c r="Y3170" i="12"/>
  <c r="X3171" i="12"/>
  <c r="X3172" i="12"/>
  <c r="Y3171" i="12"/>
  <c r="X3173" i="12"/>
  <c r="Y3172" i="12"/>
  <c r="Y3173" i="12"/>
  <c r="X3174" i="12"/>
  <c r="Y3174" i="12"/>
  <c r="X3175" i="12"/>
  <c r="X3176" i="12"/>
  <c r="Y3175" i="12"/>
  <c r="X3177" i="12"/>
  <c r="Y3176" i="12"/>
  <c r="Y3177" i="12"/>
  <c r="X3178" i="12"/>
  <c r="Y3178" i="12"/>
  <c r="X3179" i="12"/>
  <c r="X3180" i="12"/>
  <c r="Y3179" i="12"/>
  <c r="X3181" i="12"/>
  <c r="Y3180" i="12"/>
  <c r="Y3181" i="12"/>
  <c r="X3182" i="12"/>
  <c r="Y3182" i="12"/>
  <c r="X3183" i="12"/>
  <c r="X3184" i="12"/>
  <c r="Y3183" i="12"/>
  <c r="X3185" i="12"/>
  <c r="Y3184" i="12"/>
  <c r="Y3185" i="12"/>
  <c r="X3186" i="12"/>
  <c r="Y3186" i="12"/>
  <c r="X3187" i="12"/>
  <c r="X3188" i="12"/>
  <c r="Y3187" i="12"/>
  <c r="X3189" i="12"/>
  <c r="Y3188" i="12"/>
  <c r="Y3189" i="12"/>
  <c r="X3190" i="12"/>
  <c r="Y3190" i="12"/>
  <c r="X3191" i="12"/>
  <c r="X3192" i="12"/>
  <c r="Y3191" i="12"/>
  <c r="X3193" i="12"/>
  <c r="Y3192" i="12"/>
  <c r="Y3193" i="12"/>
  <c r="X3194" i="12"/>
  <c r="Y3194" i="12"/>
  <c r="X3195" i="12"/>
  <c r="X3196" i="12"/>
  <c r="Y3195" i="12"/>
  <c r="X3197" i="12"/>
  <c r="Y3196" i="12"/>
  <c r="Y3197" i="12"/>
  <c r="X3198" i="12"/>
  <c r="Y3198" i="12"/>
  <c r="X3199" i="12"/>
  <c r="X3200" i="12"/>
  <c r="Y3199" i="12"/>
  <c r="X3201" i="12"/>
  <c r="Y3200" i="12"/>
  <c r="Y3201" i="12"/>
  <c r="X3202" i="12"/>
  <c r="Y3202" i="12"/>
  <c r="X3203" i="12"/>
  <c r="X3204" i="12"/>
  <c r="Y3203" i="12"/>
  <c r="X3205" i="12"/>
  <c r="Y3204" i="12"/>
  <c r="Y3205" i="12"/>
  <c r="X3206" i="12"/>
  <c r="Y3206" i="12"/>
  <c r="X3207" i="12"/>
  <c r="X3208" i="12"/>
  <c r="Y3207" i="12"/>
  <c r="X3209" i="12"/>
  <c r="Y3208" i="12"/>
  <c r="Y3209" i="12"/>
  <c r="X3210" i="12"/>
  <c r="Y3210" i="12"/>
  <c r="X3211" i="12"/>
  <c r="X3212" i="12"/>
  <c r="Y3211" i="12"/>
  <c r="X3213" i="12"/>
  <c r="Y3212" i="12"/>
  <c r="Y3213" i="12"/>
  <c r="X3214" i="12"/>
  <c r="Y3214" i="12"/>
  <c r="X3215" i="12"/>
  <c r="X3216" i="12"/>
  <c r="Y3215" i="12"/>
  <c r="X3217" i="12"/>
  <c r="Y3216" i="12"/>
  <c r="Y3217" i="12"/>
  <c r="X3218" i="12"/>
  <c r="Y3218" i="12"/>
  <c r="X3219" i="12"/>
  <c r="X3220" i="12"/>
  <c r="Y3219" i="12"/>
  <c r="X3221" i="12"/>
  <c r="Y3220" i="12"/>
  <c r="Y3221" i="12"/>
  <c r="X3222" i="12"/>
  <c r="Y3222" i="12"/>
  <c r="X3223" i="12"/>
  <c r="X3224" i="12"/>
  <c r="Y3223" i="12"/>
  <c r="X3225" i="12"/>
  <c r="Y3224" i="12"/>
  <c r="Y3225" i="12"/>
  <c r="X3226" i="12"/>
  <c r="Y3226" i="12"/>
  <c r="X3227" i="12"/>
  <c r="X3228" i="12"/>
  <c r="Y3227" i="12"/>
  <c r="X3229" i="12"/>
  <c r="Y3228" i="12"/>
  <c r="Y3229" i="12"/>
  <c r="X3230" i="12"/>
  <c r="Y3230" i="12"/>
  <c r="X3231" i="12"/>
  <c r="X3232" i="12"/>
  <c r="Y3231" i="12"/>
  <c r="X3233" i="12"/>
  <c r="Y3232" i="12"/>
  <c r="Y3233" i="12"/>
  <c r="X3234" i="12"/>
  <c r="Y3234" i="12"/>
  <c r="X3235" i="12"/>
  <c r="X3236" i="12"/>
  <c r="Y3235" i="12"/>
  <c r="X3237" i="12"/>
  <c r="Y3236" i="12"/>
  <c r="Y3237" i="12"/>
  <c r="X3238" i="12"/>
  <c r="Y3238" i="12"/>
  <c r="X3239" i="12"/>
  <c r="X3240" i="12"/>
  <c r="Y3239" i="12"/>
  <c r="X3241" i="12"/>
  <c r="Y3240" i="12"/>
  <c r="Y3241" i="12"/>
  <c r="X3242" i="12"/>
  <c r="Y3242" i="12"/>
  <c r="X3243" i="12"/>
  <c r="X3244" i="12"/>
  <c r="Y3243" i="12"/>
  <c r="X3245" i="12"/>
  <c r="Y3244" i="12"/>
  <c r="Y3245" i="12"/>
  <c r="X3246" i="12"/>
  <c r="Y3246" i="12"/>
  <c r="X3247" i="12"/>
  <c r="X3248" i="12"/>
  <c r="Y3247" i="12"/>
  <c r="X3249" i="12"/>
  <c r="Y3248" i="12"/>
  <c r="Y3249" i="12"/>
  <c r="X3250" i="12"/>
  <c r="Y3250" i="12"/>
  <c r="X3251" i="12"/>
  <c r="X3252" i="12"/>
  <c r="Y3251" i="12"/>
  <c r="X3253" i="12"/>
  <c r="Y3252" i="12"/>
  <c r="Y3253" i="12"/>
  <c r="X3254" i="12"/>
  <c r="Y3254" i="12"/>
  <c r="X3255" i="12"/>
  <c r="X3256" i="12"/>
  <c r="Y3255" i="12"/>
  <c r="X3257" i="12"/>
  <c r="Y3256" i="12"/>
  <c r="Y3257" i="12"/>
  <c r="X3258" i="12"/>
  <c r="Y3258" i="12"/>
  <c r="X3259" i="12"/>
  <c r="X3260" i="12"/>
  <c r="Y3259" i="12"/>
  <c r="X3261" i="12"/>
  <c r="Y3260" i="12"/>
  <c r="Y3261" i="12"/>
  <c r="X3262" i="12"/>
  <c r="Y3262" i="12"/>
  <c r="X3263" i="12"/>
  <c r="X3264" i="12"/>
  <c r="Y3263" i="12"/>
  <c r="X3265" i="12"/>
  <c r="Y3264" i="12"/>
  <c r="Y3265" i="12"/>
  <c r="X3266" i="12"/>
  <c r="Y3266" i="12"/>
  <c r="X3267" i="12"/>
  <c r="X3268" i="12"/>
  <c r="Y3267" i="12"/>
  <c r="X3269" i="12"/>
  <c r="Y3268" i="12"/>
  <c r="Y3269" i="12"/>
  <c r="X3270" i="12"/>
  <c r="Y3270" i="12"/>
  <c r="X3271" i="12"/>
  <c r="X3272" i="12"/>
  <c r="Y3271" i="12"/>
  <c r="X3273" i="12"/>
  <c r="Y3272" i="12"/>
  <c r="Y3273" i="12"/>
  <c r="X3274" i="12"/>
  <c r="Y3274" i="12"/>
  <c r="X3275" i="12"/>
  <c r="X3276" i="12"/>
  <c r="Y3275" i="12"/>
  <c r="X3277" i="12"/>
  <c r="Y3276" i="12"/>
  <c r="Y3277" i="12"/>
  <c r="X3278" i="12"/>
  <c r="Y3278" i="12"/>
  <c r="X3279" i="12"/>
  <c r="X3280" i="12"/>
  <c r="Y3279" i="12"/>
  <c r="X3281" i="12"/>
  <c r="Y3280" i="12"/>
  <c r="Y3281" i="12"/>
  <c r="X3282" i="12"/>
  <c r="Y3282" i="12"/>
  <c r="X3283" i="12"/>
  <c r="X3284" i="12"/>
  <c r="Y3283" i="12"/>
  <c r="X3285" i="12"/>
  <c r="Y3284" i="12"/>
  <c r="Y3285" i="12"/>
  <c r="X3286" i="12"/>
  <c r="Y3286" i="12"/>
  <c r="X3287" i="12"/>
  <c r="X3288" i="12"/>
  <c r="Y3287" i="12"/>
  <c r="X3289" i="12"/>
  <c r="Y3288" i="12"/>
  <c r="Y3289" i="12"/>
  <c r="X3290" i="12"/>
  <c r="Y3290" i="12"/>
  <c r="X3291" i="12"/>
  <c r="X3292" i="12"/>
  <c r="Y3291" i="12"/>
  <c r="X3293" i="12"/>
  <c r="Y3292" i="12"/>
  <c r="Y3293" i="12"/>
  <c r="X3294" i="12"/>
  <c r="Y3294" i="12"/>
  <c r="X3295" i="12"/>
  <c r="X3296" i="12"/>
  <c r="Y3295" i="12"/>
  <c r="X3297" i="12"/>
  <c r="Y3296" i="12"/>
  <c r="Y3297" i="12"/>
  <c r="X3298" i="12"/>
  <c r="Y3298" i="12"/>
  <c r="X3299" i="12"/>
  <c r="X3300" i="12"/>
  <c r="Y3299" i="12"/>
  <c r="X3301" i="12"/>
  <c r="Y3300" i="12"/>
  <c r="Y3301" i="12"/>
  <c r="X3302" i="12"/>
  <c r="Y3302" i="12"/>
  <c r="X3303" i="12"/>
  <c r="X3304" i="12"/>
  <c r="Y3303" i="12"/>
  <c r="X3305" i="12"/>
  <c r="Y3304" i="12"/>
  <c r="Y3305" i="12"/>
  <c r="X3306" i="12"/>
  <c r="Y3306" i="12"/>
  <c r="X3307" i="12"/>
  <c r="X3308" i="12"/>
  <c r="Y3307" i="12"/>
  <c r="X3309" i="12"/>
  <c r="Y3308" i="12"/>
  <c r="Y3309" i="12"/>
  <c r="X3310" i="12"/>
  <c r="Y3310" i="12"/>
  <c r="X3311" i="12"/>
  <c r="X3312" i="12"/>
  <c r="Y3311" i="12"/>
  <c r="X3313" i="12"/>
  <c r="Y3312" i="12"/>
  <c r="Y3313" i="12"/>
  <c r="X3314" i="12"/>
  <c r="Y3314" i="12"/>
  <c r="X3315" i="12"/>
  <c r="X3316" i="12"/>
  <c r="Y3315" i="12"/>
  <c r="X3317" i="12"/>
  <c r="Y3316" i="12"/>
  <c r="Y3317" i="12"/>
  <c r="X3318" i="12"/>
  <c r="Y3318" i="12"/>
  <c r="X3319" i="12"/>
  <c r="X3320" i="12"/>
  <c r="Y3319" i="12"/>
  <c r="X3321" i="12"/>
  <c r="Y3320" i="12"/>
  <c r="Y3321" i="12"/>
  <c r="X3322" i="12"/>
  <c r="Y3322" i="12"/>
  <c r="X3323" i="12"/>
  <c r="X3324" i="12"/>
  <c r="Y3323" i="12"/>
  <c r="X3325" i="12"/>
  <c r="Y3324" i="12"/>
  <c r="Y3325" i="12"/>
  <c r="X3326" i="12"/>
  <c r="Y3326" i="12"/>
  <c r="X3327" i="12"/>
  <c r="X3328" i="12"/>
  <c r="Y3327" i="12"/>
  <c r="X3329" i="12"/>
  <c r="Y3328" i="12"/>
  <c r="Y3329" i="12"/>
  <c r="X3330" i="12"/>
  <c r="Y3330" i="12"/>
  <c r="X3331" i="12"/>
  <c r="Y3331" i="12"/>
  <c r="X3332" i="12"/>
  <c r="Y3332" i="12"/>
  <c r="X3333" i="12"/>
  <c r="X3334" i="12"/>
  <c r="Y3333" i="12"/>
  <c r="X3335" i="12"/>
  <c r="Y3334" i="12"/>
  <c r="Y3335" i="12"/>
  <c r="X3336" i="12"/>
  <c r="Y3336" i="12"/>
  <c r="X3337" i="12"/>
  <c r="X3338" i="12"/>
  <c r="Y3337" i="12"/>
  <c r="X3339" i="12"/>
  <c r="Y3338" i="12"/>
  <c r="Y3339" i="12"/>
  <c r="X3340" i="12"/>
  <c r="Y3340" i="12"/>
  <c r="X3341" i="12"/>
  <c r="X3342" i="12"/>
  <c r="Y3341" i="12"/>
  <c r="X3343" i="12"/>
  <c r="Y3342" i="12"/>
  <c r="Y3343" i="12"/>
  <c r="X3344" i="12"/>
  <c r="Y3344" i="12"/>
  <c r="X3345" i="12"/>
  <c r="X3346" i="12"/>
  <c r="Y3345" i="12"/>
  <c r="X3347" i="12"/>
  <c r="Y3346" i="12"/>
  <c r="Y3347" i="12"/>
  <c r="X3348" i="12"/>
  <c r="Y3348" i="12"/>
  <c r="X3349" i="12"/>
  <c r="X3350" i="12"/>
  <c r="Y3349" i="12"/>
  <c r="X3351" i="12"/>
  <c r="Y3350" i="12"/>
  <c r="Y3351" i="12"/>
  <c r="X3352" i="12"/>
  <c r="Y3352" i="12"/>
  <c r="X3353" i="12"/>
  <c r="X3354" i="12"/>
  <c r="Y3353" i="12"/>
  <c r="X3355" i="12"/>
  <c r="Y3354" i="12"/>
  <c r="Y3355" i="12"/>
  <c r="X3356" i="12"/>
  <c r="Y3356" i="12"/>
  <c r="X3357" i="12"/>
  <c r="X3358" i="12"/>
  <c r="Y3357" i="12"/>
  <c r="X3359" i="12"/>
  <c r="Y3358" i="12"/>
  <c r="Y3359" i="12"/>
  <c r="X3360" i="12"/>
  <c r="Y3360" i="12"/>
  <c r="X3361" i="12"/>
  <c r="X3362" i="12"/>
  <c r="Y3361" i="12"/>
  <c r="X3363" i="12"/>
  <c r="Y3362" i="12"/>
  <c r="Y3363" i="12"/>
  <c r="X3364" i="12"/>
  <c r="Y3364" i="12"/>
  <c r="X3365" i="12"/>
  <c r="X3366" i="12"/>
  <c r="Y3365" i="12"/>
  <c r="X3367" i="12"/>
  <c r="Y3366" i="12"/>
  <c r="Y3367" i="12"/>
  <c r="X3368" i="12"/>
  <c r="Y3368" i="12"/>
  <c r="X3369" i="12"/>
  <c r="X3370" i="12"/>
  <c r="Y3369" i="12"/>
  <c r="X3371" i="12"/>
  <c r="Y3370" i="12"/>
  <c r="Y3371" i="12"/>
  <c r="X3372" i="12"/>
  <c r="Y3372" i="12"/>
  <c r="X3373" i="12"/>
  <c r="X3374" i="12"/>
  <c r="Y3373" i="12"/>
  <c r="X3375" i="12"/>
  <c r="Y3374" i="12"/>
  <c r="Y3375" i="12"/>
  <c r="X3376" i="12"/>
  <c r="Y3376" i="12"/>
  <c r="X3377" i="12"/>
  <c r="X3378" i="12"/>
  <c r="Y3377" i="12"/>
  <c r="X3379" i="12"/>
  <c r="Y3378" i="12"/>
  <c r="Y3379" i="12"/>
  <c r="X3380" i="12"/>
  <c r="Y3380" i="12"/>
  <c r="X3381" i="12"/>
  <c r="X3382" i="12"/>
  <c r="Y3381" i="12"/>
  <c r="X3383" i="12"/>
  <c r="Y3382" i="12"/>
  <c r="Y3383" i="12"/>
  <c r="X3384" i="12"/>
  <c r="Y3384" i="12"/>
  <c r="X3385" i="12"/>
  <c r="X3386" i="12"/>
  <c r="Y3385" i="12"/>
  <c r="X3387" i="12"/>
  <c r="Y3386" i="12"/>
  <c r="Y3387" i="12"/>
  <c r="X3388" i="12"/>
  <c r="Y3388" i="12"/>
  <c r="X3389" i="12"/>
  <c r="X3390" i="12"/>
  <c r="Y3389" i="12"/>
  <c r="X3391" i="12"/>
  <c r="Y3390" i="12"/>
  <c r="Y3391" i="12"/>
  <c r="X3392" i="12"/>
  <c r="Y3392" i="12"/>
  <c r="X3393" i="12"/>
  <c r="X3394" i="12"/>
  <c r="Y3393" i="12"/>
  <c r="X3395" i="12"/>
  <c r="Y3394" i="12"/>
  <c r="Y3395" i="12"/>
  <c r="X3396" i="12"/>
  <c r="Y3396" i="12"/>
  <c r="X3397" i="12"/>
  <c r="X3398" i="12"/>
  <c r="Y3397" i="12"/>
  <c r="X3399" i="12"/>
  <c r="Y3398" i="12"/>
  <c r="Y3399" i="12"/>
  <c r="X3400" i="12"/>
  <c r="Y3400" i="12"/>
  <c r="X3401" i="12"/>
  <c r="X3402" i="12"/>
  <c r="Y3401" i="12"/>
  <c r="X3403" i="12"/>
  <c r="Y3402" i="12"/>
  <c r="Y3403" i="12"/>
  <c r="X3404" i="12"/>
  <c r="Y3404" i="12"/>
  <c r="X3405" i="12"/>
  <c r="X3406" i="12"/>
  <c r="Y3405" i="12"/>
  <c r="X3407" i="12"/>
  <c r="Y3406" i="12"/>
  <c r="Y3407" i="12"/>
  <c r="X3408" i="12"/>
  <c r="X3409" i="12"/>
  <c r="Y3408" i="12"/>
  <c r="X3410" i="12"/>
  <c r="Y3409" i="12"/>
  <c r="Y3410" i="12"/>
  <c r="X3411" i="12"/>
  <c r="Y3411" i="12"/>
  <c r="X3412" i="12"/>
  <c r="X3413" i="12"/>
  <c r="Y3412" i="12"/>
  <c r="X3414" i="12"/>
  <c r="Y3413" i="12"/>
  <c r="Y3414" i="12"/>
  <c r="X3415" i="12"/>
  <c r="Y3415" i="12"/>
  <c r="X3416" i="12"/>
  <c r="X3417" i="12"/>
  <c r="Y3416" i="12"/>
  <c r="X3418" i="12"/>
  <c r="Y3417" i="12"/>
  <c r="Y3418" i="12"/>
  <c r="X3419" i="12"/>
  <c r="Y3419" i="12"/>
  <c r="X3420" i="12"/>
  <c r="X3421" i="12"/>
  <c r="Y3420" i="12"/>
  <c r="X3422" i="12"/>
  <c r="Y3421" i="12"/>
  <c r="Y3422" i="12"/>
  <c r="X3423" i="12"/>
  <c r="Y3423" i="12"/>
  <c r="X3424" i="12"/>
  <c r="X3425" i="12"/>
  <c r="Y3424" i="12"/>
  <c r="X3426" i="12"/>
  <c r="Y3425" i="12"/>
  <c r="Y3426" i="12"/>
  <c r="X3427" i="12"/>
  <c r="Y3427" i="12"/>
  <c r="X3428" i="12"/>
  <c r="X3429" i="12"/>
  <c r="Y3428" i="12"/>
  <c r="X3430" i="12"/>
  <c r="Y3429" i="12"/>
  <c r="Y3430" i="12"/>
  <c r="X3431" i="12"/>
  <c r="Y3431" i="12"/>
  <c r="X3432" i="12"/>
  <c r="X3433" i="12"/>
  <c r="Y3432" i="12"/>
  <c r="X3434" i="12"/>
  <c r="Y3433" i="12"/>
  <c r="Y3434" i="12"/>
  <c r="X3435" i="12"/>
  <c r="Y3435" i="12"/>
  <c r="X3436" i="12"/>
  <c r="X3437" i="12"/>
  <c r="Y3436" i="12"/>
  <c r="X3438" i="12"/>
  <c r="Y3437" i="12"/>
  <c r="Y3438" i="12"/>
  <c r="X3439" i="12"/>
  <c r="Y3439" i="12"/>
  <c r="X3440" i="12"/>
  <c r="X3441" i="12"/>
  <c r="Y3440" i="12"/>
  <c r="X3442" i="12"/>
  <c r="Y3441" i="12"/>
  <c r="Y3442" i="12"/>
  <c r="X3443" i="12"/>
  <c r="Y3443" i="12"/>
  <c r="X3444" i="12"/>
  <c r="X3445" i="12"/>
  <c r="Y3444" i="12"/>
  <c r="X3446" i="12"/>
  <c r="Y3445" i="12"/>
  <c r="Y3446" i="12"/>
  <c r="X3447" i="12"/>
  <c r="Y3447" i="12"/>
  <c r="X3448" i="12"/>
  <c r="X3449" i="12"/>
  <c r="Y3448" i="12"/>
  <c r="X3450" i="12"/>
  <c r="Y3449" i="12"/>
  <c r="Y3450" i="12"/>
  <c r="X3451" i="12"/>
  <c r="Y3451" i="12"/>
  <c r="X3452" i="12"/>
  <c r="X3453" i="12"/>
  <c r="Y3452" i="12"/>
  <c r="X3454" i="12"/>
  <c r="Y3453" i="12"/>
  <c r="Y3454" i="12"/>
  <c r="X3455" i="12"/>
  <c r="Y3455" i="12"/>
  <c r="X3456" i="12"/>
  <c r="X3457" i="12"/>
  <c r="Y3456" i="12"/>
  <c r="X3458" i="12"/>
  <c r="Y3457" i="12"/>
  <c r="Y3458" i="12"/>
  <c r="X3459" i="12"/>
  <c r="Y3459" i="12"/>
  <c r="X3460" i="12"/>
  <c r="X3461" i="12"/>
  <c r="Y3460" i="12"/>
  <c r="X3462" i="12"/>
  <c r="Y3461" i="12"/>
  <c r="Y3462" i="12"/>
  <c r="X3463" i="12"/>
  <c r="Y3463" i="12"/>
  <c r="X3464" i="12"/>
  <c r="X3465" i="12"/>
  <c r="Y3464" i="12"/>
  <c r="X3466" i="12"/>
  <c r="Y3465" i="12"/>
  <c r="Y3466" i="12"/>
  <c r="X3467" i="12"/>
  <c r="Y3467" i="12"/>
  <c r="X3468" i="12"/>
  <c r="X3469" i="12"/>
  <c r="Y3468" i="12"/>
  <c r="X3470" i="12"/>
  <c r="Y3469" i="12"/>
  <c r="Y3470" i="12"/>
  <c r="X3471" i="12"/>
  <c r="Y3471" i="12"/>
  <c r="X3472" i="12"/>
  <c r="X3473" i="12"/>
  <c r="Y3472" i="12"/>
  <c r="X3474" i="12"/>
  <c r="Y3473" i="12"/>
  <c r="Y3474" i="12"/>
  <c r="X3475" i="12"/>
  <c r="Y3475" i="12"/>
  <c r="X3476" i="12"/>
  <c r="X3477" i="12"/>
  <c r="Y3476" i="12"/>
  <c r="X3478" i="12"/>
  <c r="Y3477" i="12"/>
  <c r="Y3478" i="12"/>
  <c r="X3479" i="12"/>
  <c r="Y3479" i="12"/>
  <c r="X3480" i="12"/>
  <c r="X3481" i="12"/>
  <c r="Y3480" i="12"/>
  <c r="X3482" i="12"/>
  <c r="Y3481" i="12"/>
  <c r="Y3482" i="12"/>
  <c r="X3483" i="12"/>
  <c r="Y3483" i="12"/>
  <c r="X3484" i="12"/>
  <c r="X3485" i="12"/>
  <c r="Y3484" i="12"/>
  <c r="X3486" i="12"/>
  <c r="Y3485" i="12"/>
  <c r="Y3486" i="12"/>
  <c r="X3487" i="12"/>
  <c r="Y3487" i="12"/>
  <c r="X3488" i="12"/>
  <c r="X3489" i="12"/>
  <c r="Y3488" i="12"/>
  <c r="X3490" i="12"/>
  <c r="Y3489" i="12"/>
  <c r="Y3490" i="12"/>
  <c r="X3491" i="12"/>
  <c r="Y3491" i="12"/>
  <c r="X3492" i="12"/>
  <c r="X3493" i="12"/>
  <c r="Y3492" i="12"/>
  <c r="X3494" i="12"/>
  <c r="Y3493" i="12"/>
  <c r="Y3494" i="12"/>
  <c r="X3495" i="12"/>
  <c r="Y3495" i="12"/>
  <c r="X3496" i="12"/>
  <c r="X3497" i="12"/>
  <c r="Y3496" i="12"/>
  <c r="X3498" i="12"/>
  <c r="Y3497" i="12"/>
  <c r="Y3498" i="12"/>
  <c r="X3499" i="12"/>
  <c r="Y3499" i="12"/>
  <c r="X3500" i="12"/>
  <c r="X3501" i="12"/>
  <c r="Y3500" i="12"/>
  <c r="X3502" i="12"/>
  <c r="Y3501" i="12"/>
  <c r="Y3502" i="12"/>
  <c r="X3503" i="12"/>
  <c r="Y3503" i="12"/>
  <c r="X3504" i="12"/>
  <c r="X3505" i="12"/>
  <c r="Y3504" i="12"/>
  <c r="X3506" i="12"/>
  <c r="Y3505" i="12"/>
  <c r="Y3506" i="12"/>
  <c r="X3507" i="12"/>
  <c r="Y3507" i="12"/>
  <c r="X3508" i="12"/>
  <c r="X3509" i="12"/>
  <c r="Y3508" i="12"/>
  <c r="X3510" i="12"/>
  <c r="Y3509" i="12"/>
  <c r="Y3510" i="12"/>
  <c r="X3511" i="12"/>
  <c r="Y3511" i="12"/>
  <c r="X3512" i="12"/>
  <c r="X3513" i="12"/>
  <c r="Y3512" i="12"/>
  <c r="X3514" i="12"/>
  <c r="Y3513" i="12"/>
  <c r="Y3514" i="12"/>
  <c r="X3515" i="12"/>
  <c r="Y3515" i="12"/>
  <c r="X3516" i="12"/>
  <c r="X3517" i="12"/>
  <c r="Y3516" i="12"/>
  <c r="X3518" i="12"/>
  <c r="Y3517" i="12"/>
  <c r="Y3518" i="12"/>
  <c r="X3519" i="12"/>
  <c r="Y3519" i="12"/>
  <c r="X3520" i="12"/>
  <c r="X3521" i="12"/>
  <c r="Y3520" i="12"/>
  <c r="X3522" i="12"/>
  <c r="Y3521" i="12"/>
  <c r="Y3522" i="12"/>
  <c r="X3523" i="12"/>
  <c r="Y3523" i="12"/>
  <c r="X3524" i="12"/>
  <c r="X3525" i="12"/>
  <c r="Y3524" i="12"/>
  <c r="X3526" i="12"/>
  <c r="Y3525" i="12"/>
  <c r="Y3526" i="12"/>
  <c r="X3527" i="12"/>
  <c r="Y3527" i="12"/>
  <c r="X3528" i="12"/>
  <c r="X3529" i="12"/>
  <c r="Y3528" i="12"/>
  <c r="X3530" i="12"/>
  <c r="Y3529" i="12"/>
  <c r="Y3530" i="12"/>
  <c r="X3531" i="12"/>
  <c r="Y3531" i="12"/>
  <c r="X3532" i="12"/>
  <c r="X3533" i="12"/>
  <c r="Y3532" i="12"/>
  <c r="X3534" i="12"/>
  <c r="Y3533" i="12"/>
  <c r="Y3534" i="12"/>
  <c r="X3535" i="12"/>
  <c r="Y3535" i="12"/>
  <c r="X3536" i="12"/>
  <c r="X3537" i="12"/>
  <c r="Y3536" i="12"/>
  <c r="X3538" i="12"/>
  <c r="Y3537" i="12"/>
  <c r="Y3538" i="12"/>
  <c r="X3539" i="12"/>
  <c r="Y3539" i="12"/>
  <c r="X3540" i="12"/>
  <c r="X3541" i="12"/>
  <c r="Y3540" i="12"/>
  <c r="X3542" i="12"/>
  <c r="Y3541" i="12"/>
  <c r="Y3542" i="12"/>
  <c r="X3543" i="12"/>
  <c r="Y3543" i="12"/>
  <c r="X3544" i="12"/>
  <c r="X3545" i="12"/>
  <c r="Y3544" i="12"/>
  <c r="X3546" i="12"/>
  <c r="Y3545" i="12"/>
  <c r="Y3546" i="12"/>
  <c r="X3547" i="12"/>
  <c r="Y3547" i="12"/>
  <c r="X3548" i="12"/>
  <c r="X3549" i="12"/>
  <c r="Y3548" i="12"/>
  <c r="X3550" i="12"/>
  <c r="Y3549" i="12"/>
  <c r="Y3550" i="12"/>
  <c r="X3551" i="12"/>
  <c r="Y3551" i="12"/>
  <c r="X3552" i="12"/>
  <c r="Y3552" i="12" s="1"/>
  <c r="E15" i="12" l="1"/>
  <c r="E11" i="12"/>
  <c r="E8" i="12"/>
  <c r="E4" i="12"/>
  <c r="E10" i="12"/>
  <c r="E7" i="12"/>
  <c r="E3" i="12"/>
  <c r="E14" i="12"/>
  <c r="E13" i="12"/>
  <c r="E9" i="12"/>
  <c r="E6" i="12"/>
  <c r="E16" i="12"/>
  <c r="E12" i="12"/>
  <c r="E5" i="12"/>
  <c r="Q57" i="12"/>
  <c r="Q37" i="12"/>
  <c r="Q53" i="12"/>
  <c r="C10" i="12"/>
  <c r="C11" i="12"/>
  <c r="C12" i="12"/>
  <c r="C6" i="12"/>
  <c r="F9" i="12"/>
  <c r="B9" i="12"/>
  <c r="M41" i="12"/>
  <c r="M52" i="12"/>
  <c r="M36" i="12"/>
  <c r="M55" i="12"/>
  <c r="M39" i="12"/>
  <c r="M62" i="12"/>
  <c r="M46" i="12"/>
  <c r="M30" i="12"/>
  <c r="R57" i="12"/>
  <c r="S57" i="12" s="1"/>
  <c r="M22" i="12"/>
  <c r="M64" i="12"/>
  <c r="M48" i="12"/>
  <c r="M32" i="12"/>
  <c r="M51" i="12"/>
  <c r="M35" i="12"/>
  <c r="M58" i="12"/>
  <c r="M42" i="12"/>
  <c r="M45" i="12"/>
  <c r="M65" i="12"/>
  <c r="R53" i="12"/>
  <c r="S53" i="12" s="1"/>
  <c r="M26" i="12"/>
  <c r="M60" i="12"/>
  <c r="M44" i="12"/>
  <c r="M63" i="12"/>
  <c r="M47" i="12"/>
  <c r="M31" i="12"/>
  <c r="M54" i="12"/>
  <c r="M38" i="12"/>
  <c r="M61" i="12"/>
  <c r="M20" i="12"/>
  <c r="M56" i="12"/>
  <c r="M40" i="12"/>
  <c r="M59" i="12"/>
  <c r="M43" i="12"/>
  <c r="M66" i="12"/>
  <c r="M50" i="12"/>
  <c r="M34" i="12"/>
  <c r="M33" i="12"/>
  <c r="M49" i="12"/>
  <c r="N41" i="12"/>
  <c r="O41" i="12"/>
  <c r="N52" i="12"/>
  <c r="O52" i="12"/>
  <c r="N36" i="12"/>
  <c r="O36" i="12"/>
  <c r="N55" i="12"/>
  <c r="O55" i="12"/>
  <c r="N39" i="12"/>
  <c r="O39" i="12"/>
  <c r="N62" i="12"/>
  <c r="O62" i="12"/>
  <c r="N46" i="12"/>
  <c r="O46" i="12"/>
  <c r="N30" i="12"/>
  <c r="O30" i="12"/>
  <c r="P22" i="12"/>
  <c r="N22" i="12"/>
  <c r="O22" i="12"/>
  <c r="N64" i="12"/>
  <c r="O64" i="12"/>
  <c r="N48" i="12"/>
  <c r="O48" i="12"/>
  <c r="N32" i="12"/>
  <c r="O32" i="12"/>
  <c r="N51" i="12"/>
  <c r="O51" i="12"/>
  <c r="N35" i="12"/>
  <c r="O35" i="12"/>
  <c r="N58" i="12"/>
  <c r="O58" i="12"/>
  <c r="N42" i="12"/>
  <c r="O42" i="12"/>
  <c r="N45" i="12"/>
  <c r="O45" i="12"/>
  <c r="N65" i="12"/>
  <c r="O65" i="12"/>
  <c r="P26" i="12"/>
  <c r="N26" i="12"/>
  <c r="O26" i="12"/>
  <c r="N60" i="12"/>
  <c r="O60" i="12"/>
  <c r="N44" i="12"/>
  <c r="O44" i="12"/>
  <c r="N63" i="12"/>
  <c r="O63" i="12"/>
  <c r="N47" i="12"/>
  <c r="O47" i="12"/>
  <c r="N31" i="12"/>
  <c r="O31" i="12"/>
  <c r="N54" i="12"/>
  <c r="O54" i="12"/>
  <c r="N38" i="12"/>
  <c r="O38" i="12"/>
  <c r="N61" i="12"/>
  <c r="O61" i="12"/>
  <c r="N20" i="12"/>
  <c r="P20" i="12"/>
  <c r="O20" i="12"/>
  <c r="N56" i="12"/>
  <c r="O56" i="12"/>
  <c r="N40" i="12"/>
  <c r="O40" i="12"/>
  <c r="N59" i="12"/>
  <c r="O59" i="12"/>
  <c r="N43" i="12"/>
  <c r="O43" i="12"/>
  <c r="N66" i="12"/>
  <c r="O66" i="12"/>
  <c r="N50" i="12"/>
  <c r="O50" i="12"/>
  <c r="N34" i="12"/>
  <c r="O34" i="12"/>
  <c r="N33" i="12"/>
  <c r="O33" i="12"/>
  <c r="N49" i="12"/>
  <c r="O49" i="12"/>
  <c r="Q49" i="12" l="1"/>
  <c r="Q33" i="12"/>
  <c r="Q34" i="12"/>
  <c r="Q50" i="12"/>
  <c r="Q66" i="12"/>
  <c r="Q43" i="12"/>
  <c r="Q59" i="12"/>
  <c r="Q40" i="12"/>
  <c r="Q56" i="12"/>
  <c r="Q61" i="12"/>
  <c r="Q38" i="12"/>
  <c r="Q54" i="12"/>
  <c r="Q31" i="12"/>
  <c r="Q47" i="12"/>
  <c r="Q63" i="12"/>
  <c r="Q44" i="12"/>
  <c r="Q60" i="12"/>
  <c r="Q65" i="12"/>
  <c r="Q45" i="12"/>
  <c r="Q42" i="12"/>
  <c r="Q58" i="12"/>
  <c r="Q35" i="12"/>
  <c r="Q51" i="12"/>
  <c r="Q32" i="12"/>
  <c r="Q48" i="12"/>
  <c r="Q64" i="12"/>
  <c r="Q30" i="12"/>
  <c r="Q46" i="12"/>
  <c r="Q62" i="12"/>
  <c r="Q39" i="12"/>
  <c r="Q55" i="12"/>
  <c r="Q36" i="12"/>
  <c r="Q52" i="12"/>
  <c r="Q41" i="12"/>
  <c r="C13" i="12"/>
  <c r="R49" i="12"/>
  <c r="S49" i="12" s="1"/>
  <c r="R66" i="12"/>
  <c r="S66" i="12" s="1"/>
  <c r="R56" i="12"/>
  <c r="S56" i="12" s="1"/>
  <c r="R54" i="12"/>
  <c r="S54" i="12" s="1"/>
  <c r="R51" i="12"/>
  <c r="S51" i="12" s="1"/>
  <c r="C7" i="12"/>
  <c r="R60" i="12"/>
  <c r="S60" i="12" s="1"/>
  <c r="R55" i="12"/>
  <c r="S55" i="12" s="1"/>
  <c r="R59" i="12"/>
  <c r="S59" i="12" s="1"/>
  <c r="R61" i="12"/>
  <c r="S61" i="12" s="1"/>
  <c r="R58" i="12"/>
  <c r="S58" i="12" s="1"/>
  <c r="R50" i="12"/>
  <c r="S50" i="12" s="1"/>
  <c r="R63" i="12"/>
  <c r="S63" i="12" s="1"/>
  <c r="R65" i="12"/>
  <c r="S65" i="12" s="1"/>
  <c r="R64" i="12"/>
  <c r="S64" i="12" s="1"/>
  <c r="R62" i="12"/>
  <c r="S62" i="12" s="1"/>
  <c r="R52" i="12"/>
  <c r="S52" i="12" s="1"/>
  <c r="C8" i="12" l="1"/>
  <c r="C14" i="12"/>
  <c r="C9" i="12" l="1"/>
  <c r="C16" i="12" s="1"/>
  <c r="C15" i="12"/>
  <c r="D3" i="7" l="1"/>
  <c r="D5" i="7"/>
  <c r="D6" i="7"/>
  <c r="D7" i="7"/>
  <c r="C6" i="7"/>
  <c r="E6" i="7" s="1"/>
  <c r="C7" i="7"/>
  <c r="E7" i="7" s="1"/>
  <c r="C4" i="7"/>
  <c r="C5" i="7"/>
  <c r="E5" i="7" s="1"/>
  <c r="C3" i="7"/>
  <c r="E3" i="7" s="1"/>
  <c r="M16" i="6" l="1"/>
  <c r="M15" i="6"/>
  <c r="J2" i="11" l="1"/>
  <c r="K2" i="11" s="1"/>
  <c r="D6" i="11"/>
  <c r="F6" i="11" s="1"/>
  <c r="E6" i="11"/>
  <c r="I6"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J2" i="9"/>
  <c r="H6" i="9"/>
  <c r="J6" i="9"/>
  <c r="H7" i="9"/>
  <c r="J7" i="9"/>
  <c r="H8" i="9"/>
  <c r="J8" i="9"/>
  <c r="H9" i="9"/>
  <c r="J9" i="9"/>
  <c r="H10" i="9"/>
  <c r="J10" i="9"/>
  <c r="H11" i="9"/>
  <c r="J11" i="9"/>
  <c r="H12" i="9"/>
  <c r="J12" i="9"/>
  <c r="H13" i="9"/>
  <c r="J13" i="9"/>
  <c r="H14" i="9"/>
  <c r="J14" i="9"/>
  <c r="H15" i="9"/>
  <c r="J15" i="9"/>
  <c r="H16" i="9"/>
  <c r="J16" i="9"/>
  <c r="D1" i="7"/>
  <c r="D4" i="7"/>
  <c r="K7" i="9"/>
  <c r="K9" i="9"/>
  <c r="K11" i="9"/>
  <c r="K13" i="9"/>
  <c r="K15" i="9"/>
  <c r="K6" i="9"/>
  <c r="K8" i="9"/>
  <c r="K10" i="9"/>
  <c r="K12" i="9"/>
  <c r="K14" i="9"/>
  <c r="K16" i="9"/>
  <c r="E4" i="7"/>
  <c r="E1" i="7" l="1"/>
  <c r="H6" i="11"/>
  <c r="E7" i="11"/>
  <c r="D7" i="11"/>
  <c r="J6" i="11"/>
  <c r="K2" i="9"/>
  <c r="E2" i="7"/>
  <c r="K6" i="11"/>
  <c r="L4" i="9"/>
  <c r="J7" i="11" l="1"/>
  <c r="F7" i="11"/>
  <c r="D8" i="11"/>
  <c r="H7" i="11"/>
  <c r="E8" i="11"/>
  <c r="I7" i="11"/>
  <c r="K7" i="11"/>
  <c r="L16" i="9"/>
  <c r="L13" i="9"/>
  <c r="L14" i="9"/>
  <c r="L12" i="9"/>
  <c r="L10" i="9"/>
  <c r="F4" i="7"/>
  <c r="L9" i="9"/>
  <c r="L7" i="9"/>
  <c r="F2" i="7"/>
  <c r="L8" i="9"/>
  <c r="L11" i="9"/>
  <c r="L15" i="9"/>
  <c r="F7" i="7"/>
  <c r="L4" i="11"/>
  <c r="L6" i="11"/>
  <c r="L6" i="9"/>
  <c r="H8" i="11" l="1"/>
  <c r="F8" i="11"/>
  <c r="D9" i="11"/>
  <c r="J8" i="11"/>
  <c r="E9" i="11"/>
  <c r="I8" i="11"/>
  <c r="K8" i="11"/>
  <c r="L7" i="11"/>
  <c r="I9" i="11" l="1"/>
  <c r="E10" i="11"/>
  <c r="D10" i="11"/>
  <c r="F9" i="11"/>
  <c r="H9" i="11"/>
  <c r="J9" i="11"/>
  <c r="K9" i="11"/>
  <c r="L8" i="11"/>
  <c r="J10" i="11" l="1"/>
  <c r="D11" i="11"/>
  <c r="F10" i="11"/>
  <c r="H10" i="11"/>
  <c r="I10" i="11"/>
  <c r="E11" i="11"/>
  <c r="K10" i="11"/>
  <c r="L9" i="11"/>
  <c r="E12" i="11" l="1"/>
  <c r="I11" i="11"/>
  <c r="F11" i="11"/>
  <c r="D12" i="11"/>
  <c r="H11" i="11"/>
  <c r="J11" i="11"/>
  <c r="K11" i="11"/>
  <c r="L10" i="11"/>
  <c r="F12" i="11" l="1"/>
  <c r="J12" i="11"/>
  <c r="D13" i="11"/>
  <c r="H12" i="11"/>
  <c r="I12" i="11"/>
  <c r="E13" i="11"/>
  <c r="K12" i="11"/>
  <c r="L11" i="11"/>
  <c r="I13" i="11" l="1"/>
  <c r="E14" i="11"/>
  <c r="F13" i="11"/>
  <c r="J13" i="11"/>
  <c r="D14" i="11"/>
  <c r="H13" i="11"/>
  <c r="K13" i="11"/>
  <c r="L12" i="11"/>
  <c r="I14" i="11" l="1"/>
  <c r="E15" i="11"/>
  <c r="J14" i="11"/>
  <c r="F14" i="11"/>
  <c r="D15" i="11"/>
  <c r="H14" i="11"/>
  <c r="K14" i="11"/>
  <c r="L13" i="11"/>
  <c r="E16" i="11" l="1"/>
  <c r="I15" i="11"/>
  <c r="F15" i="11"/>
  <c r="D16" i="11"/>
  <c r="H15" i="11"/>
  <c r="J15" i="11"/>
  <c r="K15" i="11"/>
  <c r="L14" i="11"/>
  <c r="I16" i="11" l="1"/>
  <c r="E17" i="11"/>
  <c r="D17" i="11"/>
  <c r="H16" i="11"/>
  <c r="J16" i="11"/>
  <c r="F16" i="11"/>
  <c r="K16" i="11"/>
  <c r="L15" i="11"/>
  <c r="I17" i="11" l="1"/>
  <c r="E18" i="11"/>
  <c r="D18" i="11"/>
  <c r="H17" i="11"/>
  <c r="F17" i="11"/>
  <c r="J17" i="11"/>
  <c r="K17" i="11"/>
  <c r="L16" i="11"/>
  <c r="I18" i="11" l="1"/>
  <c r="E19" i="11"/>
  <c r="J18" i="11"/>
  <c r="D19" i="11"/>
  <c r="F18" i="11"/>
  <c r="H18" i="11"/>
  <c r="K18" i="11"/>
  <c r="L17" i="11"/>
  <c r="E20" i="11" l="1"/>
  <c r="I19" i="11"/>
  <c r="F19" i="11"/>
  <c r="D20" i="11"/>
  <c r="H19" i="11"/>
  <c r="J19" i="11"/>
  <c r="K19" i="11"/>
  <c r="L18" i="11"/>
  <c r="D21" i="11" l="1"/>
  <c r="F20" i="11"/>
  <c r="J20" i="11"/>
  <c r="H20" i="11"/>
  <c r="E21" i="11"/>
  <c r="I20" i="11"/>
  <c r="K20" i="11"/>
  <c r="L19" i="11"/>
  <c r="E22" i="11" l="1"/>
  <c r="I21" i="11"/>
  <c r="D22" i="11"/>
  <c r="F21" i="11"/>
  <c r="J21" i="11"/>
  <c r="H21" i="11"/>
  <c r="K21" i="11"/>
  <c r="L20" i="11"/>
  <c r="J22" i="11" l="1"/>
  <c r="D23" i="11"/>
  <c r="F22" i="11"/>
  <c r="H22" i="11"/>
  <c r="I22" i="11"/>
  <c r="E23" i="11"/>
  <c r="K22" i="11"/>
  <c r="L21" i="11"/>
  <c r="E24" i="11" l="1"/>
  <c r="I23" i="11"/>
  <c r="F23" i="11"/>
  <c r="D24" i="11"/>
  <c r="H23" i="11"/>
  <c r="J23" i="11"/>
  <c r="K23" i="11"/>
  <c r="L22" i="11"/>
  <c r="L23" i="11"/>
  <c r="F24" i="11" l="1"/>
  <c r="H24" i="11"/>
  <c r="D25" i="11"/>
  <c r="J24" i="11"/>
  <c r="I24" i="11"/>
  <c r="E25" i="11"/>
  <c r="K24" i="11"/>
  <c r="I25" i="11" l="1"/>
  <c r="E26" i="11"/>
  <c r="F25" i="11"/>
  <c r="H25" i="11"/>
  <c r="D26" i="11"/>
  <c r="J25" i="11"/>
  <c r="K25" i="11"/>
  <c r="L24" i="11"/>
  <c r="I26" i="11" l="1"/>
  <c r="E27" i="11"/>
  <c r="J26" i="11"/>
  <c r="F26" i="11"/>
  <c r="H26" i="11"/>
  <c r="D27" i="11"/>
  <c r="K26" i="11"/>
  <c r="L25" i="11"/>
  <c r="F27" i="11" l="1"/>
  <c r="D28" i="11"/>
  <c r="H27" i="11"/>
  <c r="J27" i="11"/>
  <c r="E28" i="11"/>
  <c r="I27" i="11"/>
  <c r="K27" i="11"/>
  <c r="L26" i="11"/>
  <c r="I28" i="11" l="1"/>
  <c r="E29" i="11"/>
  <c r="J28" i="11"/>
  <c r="F28" i="11"/>
  <c r="H28" i="11"/>
  <c r="D29" i="11"/>
  <c r="K28" i="11"/>
  <c r="L27" i="11"/>
  <c r="J29" i="11" l="1"/>
  <c r="F29" i="11"/>
  <c r="D30" i="11"/>
  <c r="H29" i="11"/>
  <c r="I29" i="11"/>
  <c r="E30" i="11"/>
  <c r="K29" i="11"/>
  <c r="L28" i="11"/>
  <c r="J30" i="11" l="1"/>
  <c r="F30" i="11"/>
  <c r="H30" i="11"/>
  <c r="D31" i="11"/>
  <c r="I30" i="11"/>
  <c r="E31" i="11"/>
  <c r="K30" i="11"/>
  <c r="L29" i="11"/>
  <c r="E32" i="11" l="1"/>
  <c r="I31" i="11"/>
  <c r="F31" i="11"/>
  <c r="D32" i="11"/>
  <c r="H31" i="11"/>
  <c r="J31" i="11"/>
  <c r="K31" i="11"/>
  <c r="L30" i="11"/>
  <c r="D33" i="11" l="1"/>
  <c r="F32" i="11"/>
  <c r="J32" i="11"/>
  <c r="H32" i="11"/>
  <c r="E33" i="11"/>
  <c r="I32" i="11"/>
  <c r="K32" i="11"/>
  <c r="L31" i="11"/>
  <c r="D34" i="11" l="1"/>
  <c r="J33" i="11"/>
  <c r="H33" i="11"/>
  <c r="F33" i="11"/>
  <c r="I33" i="11"/>
  <c r="E34" i="11"/>
  <c r="K33" i="11"/>
  <c r="L32" i="11"/>
  <c r="I34" i="11" l="1"/>
  <c r="E35" i="11"/>
  <c r="J34" i="11"/>
  <c r="D35" i="11"/>
  <c r="F34" i="11"/>
  <c r="H34" i="11"/>
  <c r="K34" i="11"/>
  <c r="L33" i="11"/>
  <c r="F35" i="11" l="1"/>
  <c r="D36" i="11"/>
  <c r="H35" i="11"/>
  <c r="J35" i="11"/>
  <c r="E36" i="11"/>
  <c r="I35" i="11"/>
  <c r="K35" i="11"/>
  <c r="L34" i="11"/>
  <c r="E37" i="11" l="1"/>
  <c r="I36" i="11"/>
  <c r="D37" i="11"/>
  <c r="F36" i="11"/>
  <c r="J36" i="11"/>
  <c r="H36" i="11"/>
  <c r="K36" i="11"/>
  <c r="L35" i="11"/>
  <c r="D38" i="11" l="1"/>
  <c r="F37" i="11"/>
  <c r="J37" i="11"/>
  <c r="H37" i="11"/>
  <c r="E38" i="11"/>
  <c r="I37" i="11"/>
  <c r="K37" i="11"/>
  <c r="L36" i="11"/>
  <c r="I38" i="11" l="1"/>
  <c r="E39" i="11"/>
  <c r="I39" i="11" s="1"/>
  <c r="J38" i="11"/>
  <c r="D39" i="11"/>
  <c r="F38" i="11"/>
  <c r="H38" i="11"/>
  <c r="K38" i="11"/>
  <c r="L37" i="11"/>
  <c r="F39" i="11" l="1"/>
  <c r="H39" i="11"/>
  <c r="J39" i="11"/>
  <c r="K3" i="9"/>
  <c r="K3" i="11"/>
  <c r="K39" i="11"/>
  <c r="L38" i="11"/>
  <c r="D7" i="6" l="1"/>
  <c r="D8" i="6"/>
  <c r="D23" i="6"/>
  <c r="C16" i="4"/>
  <c r="C17" i="4"/>
  <c r="D18" i="4"/>
  <c r="D19" i="4"/>
  <c r="D20" i="4"/>
  <c r="D21" i="4"/>
  <c r="D22" i="4"/>
  <c r="D23" i="4"/>
  <c r="D24" i="4"/>
  <c r="D25" i="4"/>
  <c r="D26" i="4"/>
  <c r="D27" i="4"/>
  <c r="D28" i="4"/>
  <c r="D29" i="4"/>
  <c r="D30" i="4"/>
  <c r="D31" i="4"/>
  <c r="D32" i="4"/>
  <c r="D33" i="4"/>
  <c r="D34" i="4"/>
  <c r="D35" i="4"/>
  <c r="L3" i="11"/>
  <c r="B1" i="6"/>
  <c r="L3" i="9"/>
  <c r="D36" i="4" a="1"/>
  <c r="D6" i="6"/>
  <c r="L39" i="11"/>
  <c r="D21" i="6"/>
  <c r="C40" i="4" l="1"/>
  <c r="D9" i="6"/>
  <c r="E2" i="4" s="1"/>
  <c r="C39" i="4"/>
  <c r="D16" i="6"/>
  <c r="C36" i="4"/>
  <c r="D20" i="6"/>
  <c r="C37" i="4"/>
  <c r="E20" i="6"/>
  <c r="C38" i="4"/>
  <c r="E23" i="4"/>
  <c r="E29" i="4"/>
  <c r="E13" i="4"/>
  <c r="D36" i="4"/>
  <c r="D40" i="4"/>
  <c r="D39" i="4"/>
  <c r="D38" i="4"/>
  <c r="D37" i="4"/>
  <c r="E21" i="6"/>
  <c r="C41" i="4"/>
  <c r="D41" i="4"/>
  <c r="K13" i="4"/>
  <c r="L13" i="4"/>
  <c r="L23" i="4"/>
  <c r="K29" i="4"/>
  <c r="F13" i="4"/>
  <c r="F29" i="4"/>
  <c r="L2" i="4"/>
  <c r="L29" i="4"/>
  <c r="F2" i="4"/>
  <c r="K23" i="4"/>
  <c r="F23" i="4"/>
  <c r="K2" i="4"/>
  <c r="E7" i="4" l="1"/>
  <c r="E19" i="4"/>
  <c r="E37" i="4"/>
  <c r="E14" i="4"/>
  <c r="E32" i="4"/>
  <c r="E16" i="4"/>
  <c r="E30" i="4"/>
  <c r="E40" i="4"/>
  <c r="E25" i="4"/>
  <c r="E11" i="4"/>
  <c r="E5" i="4"/>
  <c r="E10" i="4"/>
  <c r="E15" i="4"/>
  <c r="E24" i="4"/>
  <c r="E3" i="4"/>
  <c r="E8" i="4"/>
  <c r="E26" i="4"/>
  <c r="E38" i="4"/>
  <c r="E28" i="4"/>
  <c r="E33" i="4"/>
  <c r="E39" i="4"/>
  <c r="E20" i="4"/>
  <c r="E22" i="4"/>
  <c r="E18" i="4"/>
  <c r="E34" i="4"/>
  <c r="E27" i="4"/>
  <c r="E36" i="4"/>
  <c r="E4" i="4"/>
  <c r="E6" i="4"/>
  <c r="E12" i="4"/>
  <c r="E35" i="4"/>
  <c r="E9" i="4"/>
  <c r="E21" i="4"/>
  <c r="E17" i="4"/>
  <c r="E31" i="4"/>
  <c r="E41" i="4"/>
  <c r="C42" i="4"/>
  <c r="D42" i="4"/>
  <c r="C43" i="4"/>
  <c r="D43" i="4"/>
  <c r="C44" i="4"/>
  <c r="D44" i="4"/>
  <c r="C45" i="4"/>
  <c r="D45" i="4"/>
  <c r="C46" i="4"/>
  <c r="D46" i="4"/>
  <c r="C47" i="4"/>
  <c r="D47" i="4"/>
  <c r="C48" i="4"/>
  <c r="D48" i="4"/>
  <c r="C49" i="4"/>
  <c r="D49" i="4"/>
  <c r="C50" i="4"/>
  <c r="D50" i="4"/>
  <c r="C51" i="4"/>
  <c r="D51" i="4"/>
  <c r="C52" i="4"/>
  <c r="D52" i="4"/>
  <c r="C53" i="4"/>
  <c r="D53" i="4"/>
  <c r="F33" i="4"/>
  <c r="K15" i="4"/>
  <c r="K25" i="4"/>
  <c r="F26" i="4"/>
  <c r="K9" i="4"/>
  <c r="K7" i="4"/>
  <c r="F11" i="4"/>
  <c r="L8" i="4"/>
  <c r="F3" i="4"/>
  <c r="F37" i="4"/>
  <c r="L31" i="4"/>
  <c r="L11" i="4"/>
  <c r="L3" i="4"/>
  <c r="L18" i="4"/>
  <c r="F6" i="4"/>
  <c r="L39" i="4"/>
  <c r="L34" i="4"/>
  <c r="F7" i="4"/>
  <c r="G36" i="4"/>
  <c r="L19" i="4"/>
  <c r="F28" i="4"/>
  <c r="L16" i="4"/>
  <c r="F31" i="4"/>
  <c r="K22" i="4"/>
  <c r="L38" i="4"/>
  <c r="F41" i="4"/>
  <c r="K6" i="4"/>
  <c r="F10" i="4"/>
  <c r="F39" i="4"/>
  <c r="F16" i="4"/>
  <c r="K5" i="4"/>
  <c r="F38" i="4"/>
  <c r="L20" i="4"/>
  <c r="F5" i="4"/>
  <c r="K10" i="4"/>
  <c r="G40" i="4"/>
  <c r="L32" i="4"/>
  <c r="F22" i="4"/>
  <c r="F35" i="4"/>
  <c r="L30" i="4"/>
  <c r="L10" i="4"/>
  <c r="F18" i="4"/>
  <c r="K35" i="4"/>
  <c r="F9" i="4"/>
  <c r="K28" i="4"/>
  <c r="F12" i="4"/>
  <c r="L17" i="4"/>
  <c r="L7" i="4"/>
  <c r="L28" i="4"/>
  <c r="K26" i="4"/>
  <c r="K24" i="4"/>
  <c r="K16" i="4"/>
  <c r="K3" i="4"/>
  <c r="K36" i="4"/>
  <c r="L33" i="4"/>
  <c r="L40" i="4"/>
  <c r="K40" i="4"/>
  <c r="L24" i="4"/>
  <c r="L22" i="4"/>
  <c r="F27" i="4"/>
  <c r="K32" i="4"/>
  <c r="F15" i="4"/>
  <c r="F21" i="4"/>
  <c r="L41" i="4"/>
  <c r="L27" i="4"/>
  <c r="K18" i="4"/>
  <c r="K20" i="4"/>
  <c r="F8" i="4"/>
  <c r="L37" i="4"/>
  <c r="F36" i="4"/>
  <c r="F30" i="4"/>
  <c r="K11" i="4"/>
  <c r="G38" i="4"/>
  <c r="F14" i="4"/>
  <c r="K41" i="4"/>
  <c r="L25" i="4"/>
  <c r="K33" i="4"/>
  <c r="L5" i="4"/>
  <c r="K34" i="4"/>
  <c r="F32" i="4"/>
  <c r="K17" i="4"/>
  <c r="K8" i="4"/>
  <c r="F25" i="4"/>
  <c r="L4" i="4"/>
  <c r="K30" i="4"/>
  <c r="L15" i="4"/>
  <c r="K38" i="4"/>
  <c r="L26" i="4"/>
  <c r="K31" i="4"/>
  <c r="L12" i="4"/>
  <c r="K12" i="4"/>
  <c r="G37" i="4"/>
  <c r="K14" i="4"/>
  <c r="G39" i="4"/>
  <c r="L6" i="4"/>
  <c r="G41" i="4"/>
  <c r="L36" i="4"/>
  <c r="F34" i="4"/>
  <c r="K37" i="4"/>
  <c r="K27" i="4"/>
  <c r="F20" i="4"/>
  <c r="F19" i="4"/>
  <c r="K21" i="4"/>
  <c r="L21" i="4"/>
  <c r="K39" i="4"/>
  <c r="L9" i="4"/>
  <c r="F40" i="4"/>
  <c r="F17" i="4"/>
  <c r="K4" i="4"/>
  <c r="K19" i="4"/>
  <c r="L14" i="4"/>
  <c r="L35" i="4"/>
  <c r="F4" i="4"/>
  <c r="F24" i="4"/>
  <c r="E52" i="4" l="1"/>
  <c r="E42" i="4"/>
  <c r="E48" i="4"/>
  <c r="E47" i="4"/>
  <c r="E43" i="4"/>
  <c r="E44" i="4"/>
  <c r="E51" i="4"/>
  <c r="E49" i="4"/>
  <c r="E45" i="4"/>
  <c r="E50" i="4"/>
  <c r="E46" i="4"/>
  <c r="E53" i="4"/>
  <c r="C54" i="4"/>
  <c r="D54" i="4"/>
  <c r="C55" i="4"/>
  <c r="D55" i="4"/>
  <c r="C56" i="4"/>
  <c r="D56" i="4"/>
  <c r="C57" i="4"/>
  <c r="D57" i="4"/>
  <c r="C58" i="4"/>
  <c r="D58" i="4"/>
  <c r="C59" i="4"/>
  <c r="D59" i="4"/>
  <c r="C60" i="4"/>
  <c r="D60" i="4"/>
  <c r="C61" i="4"/>
  <c r="D61" i="4"/>
  <c r="C62" i="4"/>
  <c r="D62" i="4"/>
  <c r="C63" i="4"/>
  <c r="D63" i="4"/>
  <c r="C64" i="4"/>
  <c r="D64" i="4"/>
  <c r="C65" i="4"/>
  <c r="D65" i="4"/>
  <c r="C66" i="4"/>
  <c r="D66" i="4"/>
  <c r="C67" i="4"/>
  <c r="D67" i="4"/>
  <c r="C68" i="4"/>
  <c r="D68" i="4"/>
  <c r="C69" i="4"/>
  <c r="D69" i="4"/>
  <c r="C70" i="4"/>
  <c r="D70" i="4"/>
  <c r="C71" i="4"/>
  <c r="D71" i="4"/>
  <c r="C72" i="4"/>
  <c r="D72" i="4"/>
  <c r="C73" i="4"/>
  <c r="D73" i="4"/>
  <c r="C74" i="4"/>
  <c r="D74" i="4"/>
  <c r="C75" i="4"/>
  <c r="D75" i="4"/>
  <c r="C76" i="4"/>
  <c r="D76" i="4"/>
  <c r="C77" i="4"/>
  <c r="D77" i="4"/>
  <c r="E78" i="4"/>
  <c r="E79" i="4"/>
  <c r="E80" i="4"/>
  <c r="E81" i="4"/>
  <c r="E82" i="4"/>
  <c r="E83" i="4"/>
  <c r="E84" i="4"/>
  <c r="E85" i="4"/>
  <c r="E86" i="4"/>
  <c r="E87" i="4"/>
  <c r="E88" i="4"/>
  <c r="E89" i="4"/>
  <c r="E90" i="4"/>
  <c r="E91" i="4"/>
  <c r="E92" i="4"/>
  <c r="E93" i="4"/>
  <c r="E94" i="4"/>
  <c r="E95" i="4"/>
  <c r="B96" i="4"/>
  <c r="C96" i="4"/>
  <c r="B97" i="4"/>
  <c r="C97" i="4"/>
  <c r="G92" i="4"/>
  <c r="L90" i="4"/>
  <c r="F53" i="4"/>
  <c r="K83" i="4"/>
  <c r="G86" i="4"/>
  <c r="K53" i="4"/>
  <c r="F45" i="4"/>
  <c r="G45" i="4"/>
  <c r="G47" i="4"/>
  <c r="G53" i="4"/>
  <c r="L95" i="4"/>
  <c r="G52" i="4"/>
  <c r="K94" i="4"/>
  <c r="L93" i="4"/>
  <c r="K42" i="4"/>
  <c r="K46" i="4"/>
  <c r="L53" i="4"/>
  <c r="L82" i="4"/>
  <c r="K45" i="4"/>
  <c r="K95" i="4"/>
  <c r="G88" i="4"/>
  <c r="F82" i="4"/>
  <c r="L51" i="4"/>
  <c r="K92" i="4"/>
  <c r="K80" i="4"/>
  <c r="G91" i="4"/>
  <c r="K88" i="4"/>
  <c r="F87" i="4"/>
  <c r="F84" i="4"/>
  <c r="K89" i="4"/>
  <c r="F89" i="4"/>
  <c r="F83" i="4"/>
  <c r="G90" i="4"/>
  <c r="L85" i="4"/>
  <c r="L91" i="4"/>
  <c r="G42" i="4"/>
  <c r="F78" i="4"/>
  <c r="K93" i="4"/>
  <c r="K49" i="4"/>
  <c r="G50" i="4"/>
  <c r="G83" i="4"/>
  <c r="K91" i="4"/>
  <c r="K84" i="4"/>
  <c r="L79" i="4"/>
  <c r="F52" i="4"/>
  <c r="G80" i="4"/>
  <c r="F95" i="4"/>
  <c r="F81" i="4"/>
  <c r="K86" i="4"/>
  <c r="K78" i="4"/>
  <c r="K43" i="4"/>
  <c r="L42" i="4"/>
  <c r="K47" i="4"/>
  <c r="F51" i="4"/>
  <c r="G48" i="4"/>
  <c r="G85" i="4"/>
  <c r="G44" i="4"/>
  <c r="K48" i="4"/>
  <c r="F79" i="4"/>
  <c r="G79" i="4"/>
  <c r="L87" i="4"/>
  <c r="K82" i="4"/>
  <c r="L45" i="4"/>
  <c r="F46" i="4"/>
  <c r="L89" i="4"/>
  <c r="G46" i="4"/>
  <c r="F90" i="4"/>
  <c r="L78" i="4"/>
  <c r="G95" i="4"/>
  <c r="K90" i="4"/>
  <c r="L88" i="4"/>
  <c r="F49" i="4"/>
  <c r="F94" i="4"/>
  <c r="F88" i="4"/>
  <c r="G89" i="4"/>
  <c r="G82" i="4"/>
  <c r="L83" i="4"/>
  <c r="K81" i="4"/>
  <c r="G49" i="4"/>
  <c r="F93" i="4"/>
  <c r="F44" i="4"/>
  <c r="L52" i="4"/>
  <c r="F42" i="4"/>
  <c r="L49" i="4"/>
  <c r="G81" i="4"/>
  <c r="K52" i="4"/>
  <c r="G87" i="4"/>
  <c r="G51" i="4"/>
  <c r="L86" i="4"/>
  <c r="G94" i="4"/>
  <c r="L94" i="4"/>
  <c r="L43" i="4"/>
  <c r="G93" i="4"/>
  <c r="F43" i="4"/>
  <c r="L46" i="4"/>
  <c r="F92" i="4"/>
  <c r="L80" i="4"/>
  <c r="G43" i="4"/>
  <c r="K44" i="4"/>
  <c r="L81" i="4"/>
  <c r="F48" i="4"/>
  <c r="L84" i="4"/>
  <c r="G84" i="4"/>
  <c r="L44" i="4"/>
  <c r="K79" i="4"/>
  <c r="K85" i="4"/>
  <c r="F47" i="4"/>
  <c r="K50" i="4"/>
  <c r="K87" i="4"/>
  <c r="L50" i="4"/>
  <c r="F50" i="4"/>
  <c r="F86" i="4"/>
  <c r="F80" i="4"/>
  <c r="L48" i="4"/>
  <c r="L47" i="4"/>
  <c r="F91" i="4"/>
  <c r="F85" i="4"/>
  <c r="G78" i="4"/>
  <c r="K51" i="4"/>
  <c r="L92" i="4"/>
  <c r="E96" i="4" l="1"/>
  <c r="E74" i="4"/>
  <c r="E70" i="4"/>
  <c r="E66" i="4"/>
  <c r="E62" i="4"/>
  <c r="E58" i="4"/>
  <c r="E76" i="4"/>
  <c r="E68" i="4"/>
  <c r="E64" i="4"/>
  <c r="E60" i="4"/>
  <c r="E54" i="4"/>
  <c r="E75" i="4"/>
  <c r="E71" i="4"/>
  <c r="E67" i="4"/>
  <c r="E63" i="4"/>
  <c r="E59" i="4"/>
  <c r="E55" i="4"/>
  <c r="E72" i="4"/>
  <c r="E77" i="4"/>
  <c r="E73" i="4"/>
  <c r="E69" i="4"/>
  <c r="E65" i="4"/>
  <c r="E61" i="4"/>
  <c r="E57" i="4"/>
  <c r="E56" i="4"/>
  <c r="E97" i="4"/>
  <c r="B98" i="4"/>
  <c r="C98" i="4"/>
  <c r="F55" i="4"/>
  <c r="F74" i="4"/>
  <c r="F97" i="4"/>
  <c r="G72" i="4"/>
  <c r="F66" i="4"/>
  <c r="L67" i="4"/>
  <c r="L57" i="4"/>
  <c r="F62" i="4"/>
  <c r="K67" i="4"/>
  <c r="K68" i="4"/>
  <c r="L56" i="4"/>
  <c r="G77" i="4"/>
  <c r="F56" i="4"/>
  <c r="G58" i="4"/>
  <c r="F57" i="4"/>
  <c r="L54" i="4"/>
  <c r="G67" i="4"/>
  <c r="F65" i="4"/>
  <c r="G56" i="4"/>
  <c r="G62" i="4"/>
  <c r="G63" i="4"/>
  <c r="L70" i="4"/>
  <c r="K60" i="4"/>
  <c r="G74" i="4"/>
  <c r="F61" i="4"/>
  <c r="G59" i="4"/>
  <c r="F71" i="4"/>
  <c r="K96" i="4"/>
  <c r="F70" i="4"/>
  <c r="F63" i="4"/>
  <c r="F72" i="4"/>
  <c r="F58" i="4"/>
  <c r="K74" i="4"/>
  <c r="G71" i="4"/>
  <c r="K59" i="4"/>
  <c r="G76" i="4"/>
  <c r="G97" i="4"/>
  <c r="L77" i="4"/>
  <c r="K56" i="4"/>
  <c r="G57" i="4"/>
  <c r="L64" i="4"/>
  <c r="L62" i="4"/>
  <c r="K66" i="4"/>
  <c r="G55" i="4"/>
  <c r="F59" i="4"/>
  <c r="L96" i="4"/>
  <c r="G61" i="4"/>
  <c r="K55" i="4"/>
  <c r="F77" i="4"/>
  <c r="L73" i="4"/>
  <c r="K69" i="4"/>
  <c r="G54" i="4"/>
  <c r="F96" i="4"/>
  <c r="L55" i="4"/>
  <c r="G69" i="4"/>
  <c r="L60" i="4"/>
  <c r="G68" i="4"/>
  <c r="L72" i="4"/>
  <c r="L66" i="4"/>
  <c r="L69" i="4"/>
  <c r="G73" i="4"/>
  <c r="K65" i="4"/>
  <c r="G70" i="4"/>
  <c r="K54" i="4"/>
  <c r="F76" i="4"/>
  <c r="K63" i="4"/>
  <c r="L68" i="4"/>
  <c r="K97" i="4"/>
  <c r="F64" i="4"/>
  <c r="K58" i="4"/>
  <c r="F67" i="4"/>
  <c r="L59" i="4"/>
  <c r="K61" i="4"/>
  <c r="K75" i="4"/>
  <c r="L75" i="4"/>
  <c r="F73" i="4"/>
  <c r="K77" i="4"/>
  <c r="K62" i="4"/>
  <c r="K76" i="4"/>
  <c r="L58" i="4"/>
  <c r="K57" i="4"/>
  <c r="K73" i="4"/>
  <c r="K70" i="4"/>
  <c r="K72" i="4"/>
  <c r="F69" i="4"/>
  <c r="G60" i="4"/>
  <c r="F68" i="4"/>
  <c r="K64" i="4"/>
  <c r="L97" i="4"/>
  <c r="G96" i="4"/>
  <c r="L71" i="4"/>
  <c r="K71" i="4"/>
  <c r="G66" i="4"/>
  <c r="G65" i="4"/>
  <c r="F75" i="4"/>
  <c r="L76" i="4"/>
  <c r="L74" i="4"/>
  <c r="L63" i="4"/>
  <c r="G75" i="4"/>
  <c r="G64" i="4"/>
  <c r="L65" i="4"/>
  <c r="L61" i="4"/>
  <c r="F54" i="4"/>
  <c r="F60" i="4"/>
  <c r="E98" i="4" l="1"/>
  <c r="B99" i="4"/>
  <c r="C99" i="4"/>
  <c r="F98" i="4"/>
  <c r="L98" i="4"/>
  <c r="G98" i="4"/>
  <c r="K98" i="4"/>
  <c r="E99" i="4" l="1"/>
  <c r="B100" i="4"/>
  <c r="C100" i="4"/>
  <c r="B101" i="4"/>
  <c r="C101" i="4"/>
  <c r="B102" i="4"/>
  <c r="C102" i="4"/>
  <c r="B103" i="4"/>
  <c r="C103" i="4"/>
  <c r="B104" i="4"/>
  <c r="C104" i="4"/>
  <c r="G99" i="4"/>
  <c r="F99" i="4"/>
  <c r="L99" i="4"/>
  <c r="K99" i="4"/>
  <c r="E102" i="4" l="1"/>
  <c r="E103" i="4"/>
  <c r="E100" i="4"/>
  <c r="E101" i="4"/>
  <c r="E104" i="4"/>
  <c r="B105" i="4"/>
  <c r="C105" i="4"/>
  <c r="B106" i="4"/>
  <c r="C106" i="4"/>
  <c r="F100" i="4"/>
  <c r="L102" i="4"/>
  <c r="K103" i="4"/>
  <c r="F101" i="4"/>
  <c r="L101" i="4"/>
  <c r="L100" i="4"/>
  <c r="L103" i="4"/>
  <c r="K101" i="4"/>
  <c r="G102" i="4"/>
  <c r="K102" i="4"/>
  <c r="G101" i="4"/>
  <c r="F103" i="4"/>
  <c r="K104" i="4"/>
  <c r="L104" i="4"/>
  <c r="F102" i="4"/>
  <c r="K100" i="4"/>
  <c r="G103" i="4"/>
  <c r="G100" i="4"/>
  <c r="F104" i="4"/>
  <c r="G104" i="4"/>
  <c r="E105" i="4" l="1"/>
  <c r="E106" i="4"/>
  <c r="B107" i="4"/>
  <c r="C107" i="4"/>
  <c r="L105" i="4"/>
  <c r="F106" i="4"/>
  <c r="L106" i="4"/>
  <c r="G106" i="4"/>
  <c r="G105" i="4"/>
  <c r="F105" i="4"/>
  <c r="K106" i="4"/>
  <c r="K105" i="4"/>
  <c r="E107" i="4" l="1"/>
  <c r="B108" i="4"/>
  <c r="C108" i="4"/>
  <c r="F107" i="4"/>
  <c r="L107" i="4"/>
  <c r="G107" i="4"/>
  <c r="K107" i="4"/>
  <c r="E108" i="4" l="1"/>
  <c r="B109" i="4"/>
  <c r="C109" i="4"/>
  <c r="G108" i="4"/>
  <c r="F108" i="4"/>
  <c r="K108" i="4"/>
  <c r="L108" i="4"/>
  <c r="E109" i="4" l="1"/>
  <c r="B110" i="4"/>
  <c r="C110" i="4"/>
  <c r="B111" i="4"/>
  <c r="C111" i="4"/>
  <c r="L109" i="4"/>
  <c r="K109" i="4"/>
  <c r="G109" i="4"/>
  <c r="F109" i="4"/>
  <c r="E110" i="4" l="1"/>
  <c r="E111" i="4"/>
  <c r="B112" i="4"/>
  <c r="C112" i="4"/>
  <c r="L110" i="4"/>
  <c r="F111" i="4"/>
  <c r="K110" i="4"/>
  <c r="G111" i="4"/>
  <c r="G110" i="4"/>
  <c r="F110" i="4"/>
  <c r="K111" i="4"/>
  <c r="L111" i="4"/>
  <c r="E112" i="4" l="1"/>
  <c r="B113" i="4"/>
  <c r="C113" i="4"/>
  <c r="G112" i="4"/>
  <c r="F112" i="4"/>
  <c r="L112" i="4"/>
  <c r="K112" i="4"/>
  <c r="E113" i="4" l="1"/>
  <c r="B114" i="4"/>
  <c r="C114" i="4"/>
  <c r="F113" i="4"/>
  <c r="L113" i="4"/>
  <c r="G113" i="4"/>
  <c r="K113" i="4"/>
  <c r="E114" i="4" l="1"/>
  <c r="B115" i="4"/>
  <c r="C115" i="4"/>
  <c r="B116" i="4"/>
  <c r="C116" i="4"/>
  <c r="K114" i="4"/>
  <c r="L114" i="4"/>
  <c r="G114" i="4"/>
  <c r="F114" i="4"/>
  <c r="E115" i="4" l="1"/>
  <c r="E116" i="4"/>
  <c r="B117" i="4"/>
  <c r="C117" i="4"/>
  <c r="B118" i="4"/>
  <c r="C118" i="4"/>
  <c r="B119" i="4"/>
  <c r="C119" i="4"/>
  <c r="G115" i="4"/>
  <c r="F115" i="4"/>
  <c r="L116" i="4"/>
  <c r="L115" i="4"/>
  <c r="K115" i="4"/>
  <c r="F116" i="4"/>
  <c r="G116" i="4"/>
  <c r="K116" i="4"/>
  <c r="E118" i="4" l="1"/>
  <c r="E117" i="4"/>
  <c r="E119" i="4"/>
  <c r="B120" i="4"/>
  <c r="C120" i="4"/>
  <c r="B121" i="4"/>
  <c r="C121" i="4"/>
  <c r="L119" i="4"/>
  <c r="G117" i="4"/>
  <c r="F117" i="4"/>
  <c r="F119" i="4"/>
  <c r="K117" i="4"/>
  <c r="L117" i="4"/>
  <c r="G118" i="4"/>
  <c r="F118" i="4"/>
  <c r="L118" i="4"/>
  <c r="K118" i="4"/>
  <c r="K119" i="4"/>
  <c r="G119" i="4"/>
  <c r="E120" i="4" l="1"/>
  <c r="E121" i="4"/>
  <c r="B122" i="4"/>
  <c r="C122" i="4"/>
  <c r="F121" i="4"/>
  <c r="F120" i="4"/>
  <c r="L120" i="4"/>
  <c r="L121" i="4"/>
  <c r="K120" i="4"/>
  <c r="K121" i="4"/>
  <c r="G120" i="4"/>
  <c r="G121" i="4"/>
  <c r="E122" i="4" l="1"/>
  <c r="B123" i="4"/>
  <c r="C123" i="4"/>
  <c r="B124" i="4"/>
  <c r="C124" i="4"/>
  <c r="B125" i="4"/>
  <c r="C125" i="4"/>
  <c r="L122" i="4"/>
  <c r="F122" i="4"/>
  <c r="K122" i="4"/>
  <c r="G122" i="4"/>
  <c r="E123" i="4" l="1"/>
  <c r="E124" i="4"/>
  <c r="E125" i="4"/>
  <c r="B126" i="4"/>
  <c r="C126" i="4"/>
  <c r="B127" i="4"/>
  <c r="C127" i="4"/>
  <c r="L123" i="4"/>
  <c r="F123" i="4"/>
  <c r="F124" i="4"/>
  <c r="K125" i="4"/>
  <c r="L124" i="4"/>
  <c r="G124" i="4"/>
  <c r="K123" i="4"/>
  <c r="K124" i="4"/>
  <c r="L125" i="4"/>
  <c r="F125" i="4"/>
  <c r="G125" i="4"/>
  <c r="G123" i="4"/>
  <c r="E126" i="4" l="1"/>
  <c r="E127" i="4"/>
  <c r="B128" i="4"/>
  <c r="C128" i="4"/>
  <c r="F127" i="4"/>
  <c r="G126" i="4"/>
  <c r="F126" i="4"/>
  <c r="K126" i="4"/>
  <c r="K127" i="4"/>
  <c r="L127" i="4"/>
  <c r="L126" i="4"/>
  <c r="G127" i="4"/>
  <c r="E128" i="4" l="1"/>
  <c r="B129" i="4"/>
  <c r="C129" i="4"/>
  <c r="B130" i="4"/>
  <c r="C130" i="4"/>
  <c r="B131" i="4"/>
  <c r="C131" i="4"/>
  <c r="L128" i="4"/>
  <c r="K128" i="4"/>
  <c r="G128" i="4"/>
  <c r="F128" i="4"/>
  <c r="E130" i="4" l="1"/>
  <c r="E129" i="4"/>
  <c r="E131" i="4"/>
  <c r="B132" i="4"/>
  <c r="C132" i="4"/>
  <c r="F130" i="4"/>
  <c r="G131" i="4"/>
  <c r="K130" i="4"/>
  <c r="F131" i="4"/>
  <c r="G130" i="4"/>
  <c r="K131" i="4"/>
  <c r="G129" i="4"/>
  <c r="L131" i="4"/>
  <c r="L129" i="4"/>
  <c r="K129" i="4"/>
  <c r="L130" i="4"/>
  <c r="F129" i="4"/>
  <c r="E132" i="4" l="1"/>
  <c r="B133" i="4"/>
  <c r="C133" i="4"/>
  <c r="K132" i="4"/>
  <c r="F132" i="4"/>
  <c r="L132" i="4"/>
  <c r="G132" i="4"/>
  <c r="E133" i="4" l="1"/>
  <c r="B134" i="4"/>
  <c r="C134" i="4"/>
  <c r="F133" i="4"/>
  <c r="L133" i="4"/>
  <c r="G133" i="4"/>
  <c r="K133" i="4"/>
  <c r="N96" i="4" l="1"/>
  <c r="E134" i="4"/>
  <c r="B135" i="4"/>
  <c r="C135" i="4"/>
  <c r="K134" i="4"/>
  <c r="L134" i="4"/>
  <c r="F134" i="4"/>
  <c r="G134" i="4"/>
  <c r="N97" i="4" l="1"/>
  <c r="E135" i="4"/>
  <c r="B136" i="4"/>
  <c r="C136" i="4"/>
  <c r="L135" i="4"/>
  <c r="K135" i="4"/>
  <c r="G135" i="4"/>
  <c r="F135" i="4"/>
  <c r="E136" i="4" l="1"/>
  <c r="N98" i="4"/>
  <c r="B137" i="4"/>
  <c r="C137" i="4"/>
  <c r="F136" i="4"/>
  <c r="K136" i="4"/>
  <c r="G136" i="4"/>
  <c r="L136" i="4"/>
  <c r="E137" i="4" l="1"/>
  <c r="N99" i="4"/>
  <c r="B138" i="4"/>
  <c r="C138" i="4"/>
  <c r="L137" i="4"/>
  <c r="K137" i="4"/>
  <c r="G137" i="4"/>
  <c r="F137" i="4"/>
  <c r="N100" i="4" l="1"/>
  <c r="E138" i="4"/>
  <c r="B139" i="4"/>
  <c r="C139" i="4"/>
  <c r="L138" i="4"/>
  <c r="K138" i="4"/>
  <c r="G138" i="4"/>
  <c r="F138" i="4"/>
  <c r="N101" i="4" l="1"/>
  <c r="E139" i="4"/>
  <c r="B140" i="4"/>
  <c r="C140" i="4"/>
  <c r="F139" i="4"/>
  <c r="K139" i="4"/>
  <c r="L139" i="4"/>
  <c r="G139" i="4"/>
  <c r="N102" i="4" l="1"/>
  <c r="E140" i="4"/>
  <c r="B141" i="4"/>
  <c r="C141" i="4"/>
  <c r="K140" i="4"/>
  <c r="L140" i="4"/>
  <c r="F140" i="4"/>
  <c r="G140" i="4"/>
  <c r="N103" i="4" l="1"/>
  <c r="E141" i="4"/>
  <c r="B142" i="4"/>
  <c r="C142" i="4"/>
  <c r="L141" i="4"/>
  <c r="F141" i="4"/>
  <c r="K141" i="4"/>
  <c r="G141" i="4"/>
  <c r="E142" i="4" l="1"/>
  <c r="N104" i="4"/>
  <c r="B143" i="4"/>
  <c r="C143" i="4"/>
  <c r="L142" i="4"/>
  <c r="F142" i="4"/>
  <c r="K142" i="4"/>
  <c r="G142" i="4"/>
  <c r="N105" i="4" l="1"/>
  <c r="E143" i="4"/>
  <c r="B144" i="4"/>
  <c r="C144" i="4"/>
  <c r="F143" i="4"/>
  <c r="K143" i="4"/>
  <c r="L143" i="4"/>
  <c r="G143" i="4"/>
  <c r="E144" i="4" l="1"/>
  <c r="N106" i="4"/>
  <c r="B145" i="4"/>
  <c r="C145" i="4"/>
  <c r="L144" i="4"/>
  <c r="F144" i="4"/>
  <c r="G144" i="4"/>
  <c r="K144" i="4"/>
  <c r="N107" i="4" l="1"/>
  <c r="E145" i="4"/>
  <c r="B146" i="4"/>
  <c r="C146" i="4"/>
  <c r="L145" i="4"/>
  <c r="F145" i="4"/>
  <c r="K145" i="4"/>
  <c r="G145" i="4"/>
  <c r="E146" i="4" l="1"/>
  <c r="N108" i="4"/>
  <c r="B147" i="4"/>
  <c r="C147" i="4"/>
  <c r="L146" i="4"/>
  <c r="G146" i="4"/>
  <c r="K146" i="4"/>
  <c r="F146" i="4"/>
  <c r="N109" i="4" l="1"/>
  <c r="E147" i="4"/>
  <c r="B148" i="4"/>
  <c r="C148" i="4"/>
  <c r="L147" i="4"/>
  <c r="K147" i="4"/>
  <c r="F147" i="4"/>
  <c r="G147" i="4"/>
  <c r="N110" i="4" l="1"/>
  <c r="E148" i="4"/>
  <c r="B149" i="4"/>
  <c r="C149" i="4"/>
  <c r="K148" i="4"/>
  <c r="L148" i="4"/>
  <c r="G148" i="4"/>
  <c r="F148" i="4"/>
  <c r="N111" i="4" l="1"/>
  <c r="E149" i="4"/>
  <c r="B150" i="4"/>
  <c r="C150" i="4"/>
  <c r="K149" i="4"/>
  <c r="G149" i="4"/>
  <c r="F149" i="4"/>
  <c r="L149" i="4"/>
  <c r="N112" i="4" l="1"/>
  <c r="E150" i="4"/>
  <c r="B151" i="4"/>
  <c r="C151" i="4"/>
  <c r="K150" i="4"/>
  <c r="L150" i="4"/>
  <c r="F150" i="4"/>
  <c r="G150" i="4"/>
  <c r="E151" i="4" l="1"/>
  <c r="N113" i="4"/>
  <c r="B152" i="4"/>
  <c r="C152" i="4"/>
  <c r="F151" i="4"/>
  <c r="G151" i="4"/>
  <c r="L151" i="4"/>
  <c r="K151" i="4"/>
  <c r="N114" i="4" l="1"/>
  <c r="E152" i="4"/>
  <c r="B153" i="4"/>
  <c r="C153" i="4"/>
  <c r="G152" i="4"/>
  <c r="F152" i="4"/>
  <c r="K152" i="4"/>
  <c r="L152" i="4"/>
  <c r="N115" i="4" l="1"/>
  <c r="E153" i="4"/>
  <c r="B154" i="4"/>
  <c r="C154" i="4"/>
  <c r="L153" i="4"/>
  <c r="G153" i="4"/>
  <c r="K153" i="4"/>
  <c r="F153" i="4"/>
  <c r="N116" i="4" l="1"/>
  <c r="E154" i="4"/>
  <c r="B155" i="4"/>
  <c r="C155" i="4"/>
  <c r="G154" i="4"/>
  <c r="F154" i="4"/>
  <c r="L154" i="4"/>
  <c r="K154" i="4"/>
  <c r="N117" i="4" l="1"/>
  <c r="E155" i="4"/>
  <c r="B156" i="4"/>
  <c r="C156" i="4"/>
  <c r="G155" i="4"/>
  <c r="K155" i="4"/>
  <c r="L155" i="4"/>
  <c r="F155" i="4"/>
  <c r="N118" i="4" l="1"/>
  <c r="E156" i="4"/>
  <c r="B157" i="4"/>
  <c r="C157" i="4"/>
  <c r="F156" i="4"/>
  <c r="G156" i="4"/>
  <c r="L156" i="4"/>
  <c r="K156" i="4"/>
  <c r="N119" i="4" l="1"/>
  <c r="E157" i="4"/>
  <c r="B158" i="4"/>
  <c r="C158" i="4"/>
  <c r="L157" i="4"/>
  <c r="G157" i="4"/>
  <c r="F157" i="4"/>
  <c r="K157" i="4"/>
  <c r="E158" i="4" l="1"/>
  <c r="N120" i="4"/>
  <c r="B159" i="4"/>
  <c r="C159" i="4"/>
  <c r="L158" i="4"/>
  <c r="K158" i="4"/>
  <c r="F158" i="4"/>
  <c r="G158" i="4"/>
  <c r="N121" i="4" l="1"/>
  <c r="E159" i="4"/>
  <c r="B160" i="4"/>
  <c r="C160" i="4"/>
  <c r="K159" i="4"/>
  <c r="L159" i="4"/>
  <c r="F159" i="4"/>
  <c r="G159" i="4"/>
  <c r="N122" i="4" l="1"/>
  <c r="E160" i="4"/>
  <c r="B161" i="4"/>
  <c r="C161" i="4"/>
  <c r="K160" i="4"/>
  <c r="G160" i="4"/>
  <c r="F160" i="4"/>
  <c r="L160" i="4"/>
  <c r="N123" i="4" l="1"/>
  <c r="E161" i="4"/>
  <c r="B162" i="4"/>
  <c r="C162" i="4"/>
  <c r="K161" i="4"/>
  <c r="F161" i="4"/>
  <c r="G161" i="4"/>
  <c r="L161" i="4"/>
  <c r="E162" i="4" l="1"/>
  <c r="N124" i="4"/>
  <c r="B163" i="4"/>
  <c r="C163" i="4"/>
  <c r="G162" i="4"/>
  <c r="L162" i="4"/>
  <c r="F162" i="4"/>
  <c r="K162" i="4"/>
  <c r="N125" i="4" l="1"/>
  <c r="E163" i="4"/>
  <c r="B164" i="4"/>
  <c r="C164" i="4"/>
  <c r="K163" i="4"/>
  <c r="F163" i="4"/>
  <c r="G163" i="4"/>
  <c r="L163" i="4"/>
  <c r="E164" i="4" l="1"/>
  <c r="N126" i="4"/>
  <c r="B165" i="4"/>
  <c r="C165" i="4"/>
  <c r="F164" i="4"/>
  <c r="L164" i="4"/>
  <c r="K164" i="4"/>
  <c r="G164" i="4"/>
  <c r="E165" i="4" l="1"/>
  <c r="N127" i="4"/>
  <c r="B166" i="4"/>
  <c r="C166" i="4"/>
  <c r="F165" i="4"/>
  <c r="L165" i="4"/>
  <c r="G165" i="4"/>
  <c r="K165" i="4"/>
  <c r="N128" i="4" l="1"/>
  <c r="E166" i="4"/>
  <c r="B167" i="4"/>
  <c r="C167" i="4"/>
  <c r="K166" i="4"/>
  <c r="F166" i="4"/>
  <c r="L166" i="4"/>
  <c r="G166" i="4"/>
  <c r="E167" i="4" l="1"/>
  <c r="N129" i="4"/>
  <c r="B168" i="4"/>
  <c r="C168" i="4"/>
  <c r="F167" i="4"/>
  <c r="L167" i="4"/>
  <c r="K167" i="4"/>
  <c r="G167" i="4"/>
  <c r="E168" i="4" l="1"/>
  <c r="N130" i="4"/>
  <c r="B169" i="4"/>
  <c r="C169" i="4"/>
  <c r="K168" i="4"/>
  <c r="F168" i="4"/>
  <c r="G168" i="4"/>
  <c r="L168" i="4"/>
  <c r="N131" i="4" l="1"/>
  <c r="E169" i="4"/>
  <c r="K169" i="4"/>
  <c r="L169" i="4"/>
  <c r="F169" i="4"/>
  <c r="G169" i="4"/>
  <c r="N132" i="4" l="1"/>
  <c r="D2" i="5" a="1"/>
  <c r="D5" i="5" l="1"/>
  <c r="D13" i="5"/>
  <c r="D29" i="5"/>
  <c r="D37" i="5"/>
  <c r="D45" i="5"/>
  <c r="D61" i="5"/>
  <c r="D69" i="5"/>
  <c r="D2" i="5"/>
  <c r="D10" i="5"/>
  <c r="D18" i="5"/>
  <c r="D26" i="5"/>
  <c r="D34" i="5"/>
  <c r="D42" i="5"/>
  <c r="D50" i="5"/>
  <c r="D58" i="5"/>
  <c r="D66" i="5"/>
  <c r="D74" i="5"/>
  <c r="D82" i="5"/>
  <c r="D90" i="5"/>
  <c r="D98" i="5"/>
  <c r="D106" i="5"/>
  <c r="D114" i="5"/>
  <c r="D122" i="5"/>
  <c r="D7" i="5"/>
  <c r="D15" i="5"/>
  <c r="D23" i="5"/>
  <c r="D31" i="5"/>
  <c r="D39" i="5"/>
  <c r="D47" i="5"/>
  <c r="D55" i="5"/>
  <c r="D63" i="5"/>
  <c r="D71" i="5"/>
  <c r="D79" i="5"/>
  <c r="D87" i="5"/>
  <c r="D95" i="5"/>
  <c r="D103" i="5"/>
  <c r="D111" i="5"/>
  <c r="D119" i="5"/>
  <c r="D9" i="5"/>
  <c r="D17" i="5"/>
  <c r="D25" i="5"/>
  <c r="D33" i="5"/>
  <c r="D41" i="5"/>
  <c r="D49" i="5"/>
  <c r="D57" i="5"/>
  <c r="D65" i="5"/>
  <c r="D73" i="5"/>
  <c r="D81" i="5"/>
  <c r="D89" i="5"/>
  <c r="D97" i="5"/>
  <c r="D105" i="5"/>
  <c r="D113" i="5"/>
  <c r="D121" i="5"/>
  <c r="D6" i="5"/>
  <c r="D14" i="5"/>
  <c r="D22" i="5"/>
  <c r="D8" i="5"/>
  <c r="D16" i="5"/>
  <c r="D24" i="5"/>
  <c r="D32" i="5"/>
  <c r="D40" i="5"/>
  <c r="D48" i="5"/>
  <c r="D56" i="5"/>
  <c r="D64" i="5"/>
  <c r="D72" i="5"/>
  <c r="D80" i="5"/>
  <c r="D88" i="5"/>
  <c r="D96" i="5"/>
  <c r="D104" i="5"/>
  <c r="D112" i="5"/>
  <c r="D120" i="5"/>
  <c r="D21" i="5"/>
  <c r="D53" i="5"/>
  <c r="D77" i="5"/>
  <c r="D85" i="5"/>
  <c r="D28" i="5"/>
  <c r="D62" i="5"/>
  <c r="D110" i="5"/>
  <c r="D108" i="5"/>
  <c r="D20" i="5"/>
  <c r="D109" i="5"/>
  <c r="D3" i="5"/>
  <c r="D54" i="5"/>
  <c r="D75" i="5"/>
  <c r="D84" i="5"/>
  <c r="D91" i="5"/>
  <c r="D107" i="5"/>
  <c r="D123" i="5"/>
  <c r="D11" i="5"/>
  <c r="D59" i="5"/>
  <c r="D92" i="5"/>
  <c r="D4" i="5"/>
  <c r="D46" i="5"/>
  <c r="D67" i="5"/>
  <c r="D76" i="5"/>
  <c r="D101" i="5"/>
  <c r="D117" i="5"/>
  <c r="D38" i="5"/>
  <c r="D68" i="5"/>
  <c r="D124" i="5"/>
  <c r="D35" i="5"/>
  <c r="D44" i="5"/>
  <c r="D12" i="5"/>
  <c r="D30" i="5"/>
  <c r="D51" i="5"/>
  <c r="D60" i="5"/>
  <c r="D102" i="5"/>
  <c r="D118" i="5"/>
  <c r="D19" i="5"/>
  <c r="D43" i="5"/>
  <c r="D52" i="5"/>
  <c r="D86" i="5"/>
  <c r="D99" i="5"/>
  <c r="D115" i="5"/>
  <c r="D27" i="5"/>
  <c r="D36" i="5"/>
  <c r="D70" i="5"/>
  <c r="D100" i="5"/>
  <c r="D116" i="5"/>
  <c r="D83" i="5"/>
  <c r="D94" i="5"/>
  <c r="D126" i="5"/>
  <c r="D78" i="5"/>
  <c r="D93" i="5"/>
  <c r="D125" i="5"/>
  <c r="E106" i="5"/>
  <c r="E20" i="5"/>
  <c r="G107" i="5"/>
  <c r="E6" i="5"/>
  <c r="H50" i="5"/>
  <c r="F48" i="5"/>
  <c r="G5" i="5"/>
  <c r="E88" i="5"/>
  <c r="G3" i="5"/>
  <c r="E4" i="5"/>
  <c r="E110" i="5"/>
  <c r="E99" i="5"/>
  <c r="F13" i="5"/>
  <c r="G94" i="5"/>
  <c r="E5" i="5"/>
  <c r="F93" i="5"/>
  <c r="H100" i="5"/>
  <c r="F111" i="5"/>
  <c r="E79" i="5"/>
  <c r="H80" i="5"/>
  <c r="E43" i="5"/>
  <c r="G16" i="5"/>
  <c r="E104" i="5"/>
  <c r="F89" i="5"/>
  <c r="G115" i="5"/>
  <c r="G80" i="5"/>
  <c r="F96" i="5"/>
  <c r="H27" i="5"/>
  <c r="E105" i="5"/>
  <c r="E73" i="5"/>
  <c r="F50" i="5"/>
  <c r="G123" i="5"/>
  <c r="G87" i="5"/>
  <c r="F55" i="5"/>
  <c r="H77" i="5"/>
  <c r="G90" i="5"/>
  <c r="F60" i="5"/>
  <c r="H116" i="5"/>
  <c r="F118" i="5"/>
  <c r="E120" i="5"/>
  <c r="E46" i="5"/>
  <c r="E61" i="5"/>
  <c r="E39" i="5"/>
  <c r="G91" i="5"/>
  <c r="E21" i="5"/>
  <c r="H125" i="5"/>
  <c r="H73" i="5"/>
  <c r="E103" i="5"/>
  <c r="H72" i="5"/>
  <c r="F28" i="5"/>
  <c r="F76" i="5"/>
  <c r="G51" i="5"/>
  <c r="E75" i="5"/>
  <c r="E12" i="5"/>
  <c r="F47" i="5"/>
  <c r="F56" i="5"/>
  <c r="E107" i="5"/>
  <c r="E35" i="5"/>
  <c r="G28" i="5"/>
  <c r="F7" i="5"/>
  <c r="F57" i="5"/>
  <c r="H85" i="5"/>
  <c r="E125" i="5"/>
  <c r="F115" i="5"/>
  <c r="G73" i="5"/>
  <c r="G113" i="5"/>
  <c r="G125" i="5"/>
  <c r="E10" i="5"/>
  <c r="E52" i="5"/>
  <c r="F64" i="5"/>
  <c r="F123" i="5"/>
  <c r="H117" i="5"/>
  <c r="F121" i="5"/>
  <c r="F85" i="5"/>
  <c r="F51" i="5"/>
  <c r="G35" i="5"/>
  <c r="G30" i="5"/>
  <c r="G117" i="5"/>
  <c r="H58" i="5"/>
  <c r="E7" i="5"/>
  <c r="F19" i="5"/>
  <c r="H45" i="5"/>
  <c r="G24" i="5"/>
  <c r="E8" i="5"/>
  <c r="H71" i="5"/>
  <c r="H68" i="5"/>
  <c r="E60" i="5"/>
  <c r="F29" i="5"/>
  <c r="E28" i="5"/>
  <c r="F101" i="5"/>
  <c r="E53" i="5"/>
  <c r="F119" i="5"/>
  <c r="F80" i="5"/>
  <c r="F3" i="5"/>
  <c r="E49" i="5"/>
  <c r="E69" i="5"/>
  <c r="F95" i="5"/>
  <c r="H26" i="5"/>
  <c r="G111" i="5"/>
  <c r="F122" i="5"/>
  <c r="G98" i="5"/>
  <c r="H20" i="5"/>
  <c r="F16" i="5"/>
  <c r="F32" i="5"/>
  <c r="G15" i="5"/>
  <c r="F107" i="5"/>
  <c r="G37" i="5"/>
  <c r="F39" i="5"/>
  <c r="G62" i="5"/>
  <c r="G12" i="5"/>
  <c r="G83" i="5"/>
  <c r="F40" i="5"/>
  <c r="H74" i="5"/>
  <c r="H60" i="5"/>
  <c r="E84" i="5"/>
  <c r="G26" i="5"/>
  <c r="H67" i="5"/>
  <c r="G54" i="5"/>
  <c r="F14" i="5"/>
  <c r="E36" i="5"/>
  <c r="E59" i="5"/>
  <c r="H11" i="5"/>
  <c r="E123" i="5"/>
  <c r="H75" i="5"/>
  <c r="H54" i="5"/>
  <c r="E94" i="5"/>
  <c r="E3" i="5"/>
  <c r="G108" i="5"/>
  <c r="H61" i="5"/>
  <c r="G114" i="5"/>
  <c r="E68" i="5"/>
  <c r="F17" i="5"/>
  <c r="E85" i="5"/>
  <c r="F114" i="5"/>
  <c r="H7" i="5"/>
  <c r="E115" i="5"/>
  <c r="E47" i="5"/>
  <c r="H99" i="5"/>
  <c r="E45" i="5"/>
  <c r="E93" i="5"/>
  <c r="G66" i="5"/>
  <c r="E70" i="5"/>
  <c r="H13" i="5"/>
  <c r="F92" i="5"/>
  <c r="G82" i="5"/>
  <c r="E57" i="5"/>
  <c r="F22" i="5"/>
  <c r="H93" i="5"/>
  <c r="H123" i="5"/>
  <c r="E89" i="5"/>
  <c r="H103" i="5"/>
  <c r="G19" i="5"/>
  <c r="F105" i="5"/>
  <c r="G7" i="5"/>
  <c r="H121" i="5"/>
  <c r="H8" i="5"/>
  <c r="G124" i="5"/>
  <c r="E27" i="5"/>
  <c r="E13" i="5"/>
  <c r="E18" i="5"/>
  <c r="G101" i="5"/>
  <c r="G112" i="5"/>
  <c r="F61" i="5"/>
  <c r="F91" i="5"/>
  <c r="E86" i="5"/>
  <c r="G9" i="5"/>
  <c r="H70" i="5"/>
  <c r="G110" i="5"/>
  <c r="H64" i="5"/>
  <c r="H49" i="5"/>
  <c r="G38" i="5"/>
  <c r="F42" i="5"/>
  <c r="H59" i="5"/>
  <c r="H17" i="5"/>
  <c r="G119" i="5"/>
  <c r="H48" i="5"/>
  <c r="H101" i="5"/>
  <c r="G104" i="5"/>
  <c r="G18" i="5"/>
  <c r="B6" i="5"/>
  <c r="G116" i="5"/>
  <c r="H38" i="5"/>
  <c r="G70" i="5"/>
  <c r="H109" i="5"/>
  <c r="F49" i="5"/>
  <c r="H96" i="5"/>
  <c r="G27" i="5"/>
  <c r="G39" i="5"/>
  <c r="G50" i="5"/>
  <c r="G74" i="5"/>
  <c r="E19" i="5"/>
  <c r="E2" i="5"/>
  <c r="H76" i="5"/>
  <c r="G120" i="5"/>
  <c r="F52" i="5"/>
  <c r="G96" i="5"/>
  <c r="E80" i="5"/>
  <c r="G71" i="5"/>
  <c r="G41" i="5"/>
  <c r="G85" i="5"/>
  <c r="E122" i="5"/>
  <c r="G31" i="5"/>
  <c r="H41" i="5"/>
  <c r="H122" i="5"/>
  <c r="F30" i="5"/>
  <c r="E97" i="5"/>
  <c r="F21" i="5"/>
  <c r="E71" i="5"/>
  <c r="H28" i="5"/>
  <c r="F38" i="5"/>
  <c r="F67" i="5"/>
  <c r="F8" i="5"/>
  <c r="G47" i="5"/>
  <c r="H4" i="5"/>
  <c r="H3" i="5"/>
  <c r="G48" i="5"/>
  <c r="H30" i="5"/>
  <c r="F6" i="5"/>
  <c r="F99" i="5"/>
  <c r="F116" i="5"/>
  <c r="H113" i="5"/>
  <c r="F33" i="5"/>
  <c r="F82" i="5"/>
  <c r="G43" i="5"/>
  <c r="H6" i="5"/>
  <c r="G45" i="5"/>
  <c r="E24" i="5"/>
  <c r="H34" i="5"/>
  <c r="H47" i="5"/>
  <c r="E15" i="5"/>
  <c r="F25" i="5"/>
  <c r="G11" i="5"/>
  <c r="H16" i="5"/>
  <c r="G77" i="5"/>
  <c r="F5" i="5"/>
  <c r="F94" i="5"/>
  <c r="F18" i="5"/>
  <c r="E26" i="5"/>
  <c r="H21" i="5"/>
  <c r="E87" i="5"/>
  <c r="F35" i="5"/>
  <c r="H18" i="5"/>
  <c r="G55" i="5"/>
  <c r="E83" i="5"/>
  <c r="F81" i="5"/>
  <c r="E119" i="5"/>
  <c r="H10" i="5"/>
  <c r="H37" i="5"/>
  <c r="E64" i="5"/>
  <c r="G121" i="5"/>
  <c r="G84" i="5"/>
  <c r="F65" i="5"/>
  <c r="H43" i="5"/>
  <c r="E41" i="5"/>
  <c r="H92" i="5"/>
  <c r="G17" i="5"/>
  <c r="F66" i="5"/>
  <c r="F84" i="5"/>
  <c r="F79" i="5"/>
  <c r="G29" i="5"/>
  <c r="H94" i="5"/>
  <c r="E72" i="5"/>
  <c r="F26" i="5"/>
  <c r="G59" i="5"/>
  <c r="G25" i="5"/>
  <c r="E9" i="5"/>
  <c r="H29" i="5"/>
  <c r="H55" i="5"/>
  <c r="H124" i="5"/>
  <c r="E118" i="5"/>
  <c r="G102" i="5"/>
  <c r="H107" i="5"/>
  <c r="G22" i="5"/>
  <c r="E56" i="5"/>
  <c r="F98" i="5"/>
  <c r="F72" i="5"/>
  <c r="F77" i="5"/>
  <c r="G4" i="5"/>
  <c r="H42" i="5"/>
  <c r="E100" i="5"/>
  <c r="F43" i="5"/>
  <c r="G10" i="5"/>
  <c r="E67" i="5"/>
  <c r="H66" i="5"/>
  <c r="F12" i="5"/>
  <c r="H119" i="5"/>
  <c r="G46" i="5"/>
  <c r="E101" i="5"/>
  <c r="F88" i="5"/>
  <c r="E62" i="5"/>
  <c r="F9" i="5"/>
  <c r="H106" i="5"/>
  <c r="E74" i="5"/>
  <c r="E92" i="5"/>
  <c r="F68" i="5"/>
  <c r="H91" i="5"/>
  <c r="G79" i="5"/>
  <c r="E14" i="5"/>
  <c r="E65" i="5"/>
  <c r="H53" i="5"/>
  <c r="G76" i="5"/>
  <c r="G118" i="5"/>
  <c r="F83" i="5"/>
  <c r="F15" i="5"/>
  <c r="E11" i="5"/>
  <c r="H44" i="5"/>
  <c r="F125" i="5"/>
  <c r="F62" i="5"/>
  <c r="E50" i="5"/>
  <c r="H32" i="5"/>
  <c r="G60" i="5"/>
  <c r="F24" i="5"/>
  <c r="G6" i="5"/>
  <c r="G8" i="5"/>
  <c r="G69" i="5"/>
  <c r="G52" i="5"/>
  <c r="F4" i="5"/>
  <c r="E44" i="5"/>
  <c r="E108" i="5"/>
  <c r="H81" i="5"/>
  <c r="G86" i="5"/>
  <c r="H111" i="5"/>
  <c r="H126" i="5"/>
  <c r="H112" i="5"/>
  <c r="H51" i="5"/>
  <c r="E82" i="5"/>
  <c r="F20" i="5"/>
  <c r="H87" i="5"/>
  <c r="H98" i="5"/>
  <c r="F112" i="5"/>
  <c r="G61" i="5"/>
  <c r="F69" i="5"/>
  <c r="F46" i="5"/>
  <c r="G56" i="5"/>
  <c r="H79" i="5"/>
  <c r="E38" i="5"/>
  <c r="F34" i="5"/>
  <c r="E31" i="5"/>
  <c r="H110" i="5"/>
  <c r="H114" i="5"/>
  <c r="G106" i="5"/>
  <c r="H33" i="5"/>
  <c r="H25" i="5"/>
  <c r="G97" i="5"/>
  <c r="G122" i="5"/>
  <c r="F126" i="5"/>
  <c r="G36" i="5"/>
  <c r="H118" i="5"/>
  <c r="G109" i="5"/>
  <c r="H22" i="5"/>
  <c r="G88" i="5"/>
  <c r="F102" i="5"/>
  <c r="E17" i="5"/>
  <c r="E111" i="5"/>
  <c r="E25" i="5"/>
  <c r="H5" i="5"/>
  <c r="G21" i="5"/>
  <c r="H88" i="5"/>
  <c r="E96" i="5"/>
  <c r="G126" i="5"/>
  <c r="F117" i="5"/>
  <c r="G95" i="5"/>
  <c r="G40" i="5"/>
  <c r="G33" i="5"/>
  <c r="G81" i="5"/>
  <c r="H105" i="5"/>
  <c r="E16" i="5"/>
  <c r="H97" i="5"/>
  <c r="G78" i="5"/>
  <c r="G64" i="5"/>
  <c r="F74" i="5"/>
  <c r="E63" i="5"/>
  <c r="H86" i="5"/>
  <c r="H78" i="5"/>
  <c r="G65" i="5"/>
  <c r="H90" i="5"/>
  <c r="E95" i="5"/>
  <c r="H62" i="5"/>
  <c r="F44" i="5"/>
  <c r="H102" i="5"/>
  <c r="H82" i="5"/>
  <c r="E40" i="5"/>
  <c r="G2" i="5"/>
  <c r="F45" i="5"/>
  <c r="H95" i="5"/>
  <c r="E124" i="5"/>
  <c r="H39" i="5"/>
  <c r="F110" i="5"/>
  <c r="F63" i="5"/>
  <c r="G100" i="5"/>
  <c r="G44" i="5"/>
  <c r="H52" i="5"/>
  <c r="H46" i="5"/>
  <c r="G42" i="5"/>
  <c r="H19" i="5"/>
  <c r="F120" i="5"/>
  <c r="E102" i="5"/>
  <c r="F90" i="5"/>
  <c r="G20" i="5"/>
  <c r="H36" i="5"/>
  <c r="G99" i="5"/>
  <c r="F54" i="5"/>
  <c r="E109" i="5"/>
  <c r="F100" i="5"/>
  <c r="H63" i="5"/>
  <c r="F87" i="5"/>
  <c r="E54" i="5"/>
  <c r="G93" i="5"/>
  <c r="H104" i="5"/>
  <c r="E22" i="5"/>
  <c r="H40" i="5"/>
  <c r="E126" i="5"/>
  <c r="H69" i="5"/>
  <c r="H2" i="5"/>
  <c r="H12" i="5"/>
  <c r="F36" i="5"/>
  <c r="E77" i="5"/>
  <c r="E66" i="5"/>
  <c r="E76" i="5"/>
  <c r="H9" i="5"/>
  <c r="F70" i="5"/>
  <c r="G32" i="5"/>
  <c r="G67" i="5"/>
  <c r="F124" i="5"/>
  <c r="H89" i="5"/>
  <c r="E113" i="5"/>
  <c r="G49" i="5"/>
  <c r="H24" i="5"/>
  <c r="G72" i="5"/>
  <c r="G23" i="5"/>
  <c r="G58" i="5"/>
  <c r="F23" i="5"/>
  <c r="G57" i="5"/>
  <c r="F104" i="5"/>
  <c r="F71" i="5"/>
  <c r="E51" i="5"/>
  <c r="E112" i="5"/>
  <c r="H115" i="5"/>
  <c r="H83" i="5"/>
  <c r="E78" i="5"/>
  <c r="F103" i="5"/>
  <c r="F108" i="5"/>
  <c r="F58" i="5"/>
  <c r="A7" i="5"/>
  <c r="G103" i="5"/>
  <c r="E58" i="5"/>
  <c r="H57" i="5"/>
  <c r="G14" i="5"/>
  <c r="E117" i="5"/>
  <c r="F109" i="5"/>
  <c r="H31" i="5"/>
  <c r="H15" i="5"/>
  <c r="E23" i="5"/>
  <c r="E116" i="5"/>
  <c r="H120" i="5"/>
  <c r="F59" i="5"/>
  <c r="G34" i="5"/>
  <c r="G63" i="5"/>
  <c r="G75" i="5"/>
  <c r="E34" i="5"/>
  <c r="H35" i="5"/>
  <c r="E29" i="5"/>
  <c r="H108" i="5"/>
  <c r="F73" i="5"/>
  <c r="E114" i="5"/>
  <c r="H23" i="5"/>
  <c r="G105" i="5"/>
  <c r="G89" i="5"/>
  <c r="F53" i="5"/>
  <c r="F113" i="5"/>
  <c r="F27" i="5"/>
  <c r="F37" i="5"/>
  <c r="G68" i="5"/>
  <c r="F11" i="5"/>
  <c r="F86" i="5"/>
  <c r="E121" i="5"/>
  <c r="F2" i="5"/>
  <c r="E98" i="5"/>
  <c r="H56" i="5"/>
  <c r="G92" i="5"/>
  <c r="F10" i="5"/>
  <c r="H84" i="5"/>
  <c r="F31" i="5"/>
  <c r="E33" i="5"/>
  <c r="F97" i="5"/>
  <c r="E81" i="5"/>
  <c r="E42" i="5"/>
  <c r="G53" i="5"/>
  <c r="F75" i="5"/>
  <c r="F106" i="5"/>
  <c r="E90" i="5"/>
  <c r="F41" i="5"/>
  <c r="H65" i="5"/>
  <c r="E55" i="5"/>
  <c r="E37" i="5"/>
  <c r="E48" i="5"/>
  <c r="H14" i="5"/>
  <c r="G13" i="5"/>
  <c r="E91" i="5"/>
  <c r="E30" i="5"/>
  <c r="E32" i="5"/>
  <c r="F78" i="5"/>
  <c r="C28" i="6"/>
  <c r="B7" i="5"/>
  <c r="D14" i="6" l="1"/>
  <c r="D15" i="6"/>
  <c r="C27" i="6"/>
  <c r="D30" i="6"/>
  <c r="P49" i="12"/>
  <c r="P33" i="12"/>
  <c r="P34" i="12"/>
  <c r="P50" i="12"/>
  <c r="P66" i="12"/>
  <c r="P43" i="12"/>
  <c r="P59" i="12"/>
  <c r="P40" i="12"/>
  <c r="P56" i="12"/>
  <c r="P61" i="12"/>
  <c r="P38" i="12"/>
  <c r="P54" i="12"/>
  <c r="P31" i="12"/>
  <c r="P47" i="12"/>
  <c r="P63" i="12"/>
  <c r="P44" i="12"/>
  <c r="P60" i="12"/>
  <c r="P65" i="12"/>
  <c r="P45" i="12"/>
  <c r="P42" i="12"/>
  <c r="P58" i="12"/>
  <c r="P35" i="12"/>
  <c r="P51" i="12"/>
  <c r="P32" i="12"/>
  <c r="P48" i="12"/>
  <c r="P64" i="12"/>
  <c r="P30" i="12"/>
  <c r="P46" i="12"/>
  <c r="P62" i="12"/>
  <c r="P39" i="12"/>
  <c r="P55" i="12"/>
  <c r="P36" i="12"/>
  <c r="P52" i="12"/>
  <c r="P41" i="12"/>
  <c r="P57" i="12"/>
  <c r="P37" i="12"/>
  <c r="P53" i="12"/>
  <c r="AA17" i="12"/>
  <c r="Z17" i="12"/>
  <c r="I1" i="5" a="1"/>
  <c r="R35" i="12"/>
  <c r="S35" i="12"/>
  <c r="R38" i="12"/>
  <c r="S38" i="12"/>
  <c r="R40" i="12"/>
  <c r="S40" i="12"/>
  <c r="R36" i="12"/>
  <c r="S36" i="12"/>
  <c r="R46" i="12"/>
  <c r="S46" i="12"/>
  <c r="R48" i="12"/>
  <c r="S48" i="12"/>
  <c r="R47" i="12"/>
  <c r="S47" i="12"/>
  <c r="R34" i="12"/>
  <c r="S34" i="12"/>
  <c r="R30" i="12"/>
  <c r="S30" i="12"/>
  <c r="R32" i="12"/>
  <c r="S32" i="12"/>
  <c r="R42" i="12"/>
  <c r="S42" i="12"/>
  <c r="R31" i="12"/>
  <c r="S31" i="12"/>
  <c r="R43" i="12"/>
  <c r="S43" i="12"/>
  <c r="R33" i="12"/>
  <c r="S33" i="12"/>
  <c r="R41" i="12"/>
  <c r="S41" i="12"/>
  <c r="R39" i="12"/>
  <c r="S39" i="12"/>
  <c r="R45" i="12"/>
  <c r="S45" i="12"/>
  <c r="R44" i="12"/>
  <c r="S44" i="12"/>
  <c r="R20" i="12"/>
  <c r="S20" i="12"/>
  <c r="R26" i="12"/>
  <c r="S26" i="12"/>
  <c r="R22" i="12"/>
  <c r="S22" i="12"/>
  <c r="R37" i="12"/>
  <c r="S37" i="12"/>
  <c r="R24" i="12"/>
  <c r="S24" i="12"/>
  <c r="R21" i="12"/>
  <c r="S21" i="12"/>
  <c r="R25" i="12"/>
  <c r="S25" i="12"/>
  <c r="R23" i="12"/>
  <c r="S23" i="12"/>
  <c r="R27" i="12"/>
  <c r="S27" i="12"/>
  <c r="R19" i="12"/>
  <c r="S19" i="12"/>
  <c r="T21" i="12"/>
  <c r="T61" i="12"/>
  <c r="I96" i="5"/>
  <c r="T27" i="12"/>
  <c r="T24" i="12"/>
  <c r="T20" i="12"/>
  <c r="T41" i="12"/>
  <c r="T42" i="12"/>
  <c r="T47" i="12"/>
  <c r="T40" i="12"/>
  <c r="T57" i="12"/>
  <c r="T64" i="12"/>
  <c r="T60" i="12"/>
  <c r="T56" i="12"/>
  <c r="T49" i="12"/>
  <c r="I66" i="5"/>
  <c r="I74" i="5"/>
  <c r="I34" i="5"/>
  <c r="I114" i="5"/>
  <c r="I40" i="5"/>
  <c r="I60" i="5"/>
  <c r="I2" i="5"/>
  <c r="I93" i="5"/>
  <c r="I65" i="5"/>
  <c r="I95" i="5"/>
  <c r="I102" i="5"/>
  <c r="I27" i="5"/>
  <c r="I15" i="5"/>
  <c r="I83" i="5"/>
  <c r="I113" i="5"/>
  <c r="I124" i="5"/>
  <c r="I30" i="5"/>
  <c r="I59" i="5"/>
  <c r="I100" i="5"/>
  <c r="I71" i="5"/>
  <c r="I7" i="5"/>
  <c r="I44" i="5"/>
  <c r="I24" i="5"/>
  <c r="I28" i="5"/>
  <c r="I92" i="5"/>
  <c r="I1" i="5"/>
  <c r="I76" i="5"/>
  <c r="I112" i="5"/>
  <c r="I84" i="5"/>
  <c r="I32" i="5"/>
  <c r="I88" i="5"/>
  <c r="T23" i="12"/>
  <c r="T44" i="12"/>
  <c r="T33" i="12"/>
  <c r="T32" i="12"/>
  <c r="T48" i="12"/>
  <c r="T38" i="12"/>
  <c r="T52" i="12"/>
  <c r="T51" i="12"/>
  <c r="T63" i="12"/>
  <c r="I73" i="5"/>
  <c r="I18" i="5"/>
  <c r="I94" i="5"/>
  <c r="I57" i="5"/>
  <c r="I26" i="5"/>
  <c r="I89" i="5"/>
  <c r="I90" i="5"/>
  <c r="I54" i="5"/>
  <c r="I86" i="5"/>
  <c r="I35" i="5"/>
  <c r="I45" i="5"/>
  <c r="I111" i="5"/>
  <c r="I126" i="5"/>
  <c r="I9" i="5"/>
  <c r="I39" i="5"/>
  <c r="I17" i="5"/>
  <c r="I99" i="5"/>
  <c r="I117" i="5"/>
  <c r="I42" i="5"/>
  <c r="I123" i="5"/>
  <c r="I110" i="5"/>
  <c r="I115" i="5"/>
  <c r="I10" i="5"/>
  <c r="I56" i="5"/>
  <c r="I63" i="5"/>
  <c r="I29" i="5"/>
  <c r="I67" i="5"/>
  <c r="I46" i="5"/>
  <c r="I80" i="5"/>
  <c r="I70" i="5"/>
  <c r="I16" i="5"/>
  <c r="I52" i="5"/>
  <c r="I68" i="5"/>
  <c r="T37" i="12"/>
  <c r="T59" i="12"/>
  <c r="I121" i="5"/>
  <c r="T25" i="12"/>
  <c r="T22" i="12"/>
  <c r="T45" i="12"/>
  <c r="T43" i="12"/>
  <c r="T30" i="12"/>
  <c r="T46" i="12"/>
  <c r="T35" i="12"/>
  <c r="T55" i="12"/>
  <c r="T58" i="12"/>
  <c r="T54" i="12"/>
  <c r="T66" i="12"/>
  <c r="I58" i="5"/>
  <c r="I69" i="5"/>
  <c r="I38" i="5"/>
  <c r="I122" i="5"/>
  <c r="I62" i="5"/>
  <c r="I85" i="5"/>
  <c r="I36" i="5"/>
  <c r="I5" i="5"/>
  <c r="I55" i="5"/>
  <c r="I98" i="5"/>
  <c r="I21" i="5"/>
  <c r="I41" i="5"/>
  <c r="I106" i="5"/>
  <c r="I14" i="5"/>
  <c r="I37" i="5"/>
  <c r="I19" i="5"/>
  <c r="I119" i="5"/>
  <c r="I20" i="5"/>
  <c r="I3" i="5"/>
  <c r="I101" i="5"/>
  <c r="I120" i="5"/>
  <c r="I50" i="5"/>
  <c r="I105" i="5"/>
  <c r="I13" i="5"/>
  <c r="I22" i="5"/>
  <c r="I23" i="5"/>
  <c r="I82" i="5"/>
  <c r="I78" i="5"/>
  <c r="I33" i="5"/>
  <c r="I75" i="5"/>
  <c r="I118" i="5"/>
  <c r="I11" i="5"/>
  <c r="T19" i="12"/>
  <c r="T26" i="12"/>
  <c r="T39" i="12"/>
  <c r="T31" i="12"/>
  <c r="T34" i="12"/>
  <c r="T36" i="12"/>
  <c r="T53" i="12"/>
  <c r="T62" i="12"/>
  <c r="T65" i="12"/>
  <c r="T50" i="12"/>
  <c r="I108" i="5"/>
  <c r="I91" i="5"/>
  <c r="I4" i="5"/>
  <c r="I107" i="5"/>
  <c r="I72" i="5"/>
  <c r="I116" i="5"/>
  <c r="I103" i="5"/>
  <c r="I12" i="5"/>
  <c r="I47" i="5"/>
  <c r="I31" i="5"/>
  <c r="I49" i="5"/>
  <c r="I6" i="5"/>
  <c r="I125" i="5"/>
  <c r="I81" i="5"/>
  <c r="I25" i="5"/>
  <c r="I61" i="5"/>
  <c r="I79" i="5"/>
  <c r="I97" i="5"/>
  <c r="I48" i="5"/>
  <c r="I77" i="5"/>
  <c r="I87" i="5"/>
  <c r="I109" i="5"/>
  <c r="I104" i="5"/>
  <c r="I64" i="5"/>
  <c r="I53" i="5"/>
  <c r="I8" i="5"/>
  <c r="I43" i="5"/>
  <c r="I51" i="5"/>
  <c r="D29" i="6"/>
  <c r="D28" i="6"/>
  <c r="D27" i="6"/>
  <c r="Z19" i="12" a="1"/>
  <c r="Z20" i="12"/>
  <c r="Z84" i="12"/>
  <c r="Z148" i="12"/>
  <c r="Z212" i="12"/>
  <c r="Z276" i="12"/>
  <c r="Z340" i="12"/>
  <c r="Z404" i="12"/>
  <c r="Z468" i="12"/>
  <c r="Z532" i="12"/>
  <c r="Z596" i="12"/>
  <c r="Z660" i="12"/>
  <c r="Z724" i="12"/>
  <c r="Z788" i="12"/>
  <c r="Z852" i="12"/>
  <c r="Z916" i="12"/>
  <c r="Z980" i="12"/>
  <c r="Z1044" i="12"/>
  <c r="Z1108" i="12"/>
  <c r="Z1172" i="12"/>
  <c r="Z1236" i="12"/>
  <c r="Z1300" i="12"/>
  <c r="Z1364" i="12"/>
  <c r="Z1428" i="12"/>
  <c r="Z1492" i="12"/>
  <c r="Z1556" i="12"/>
  <c r="Z1620" i="12"/>
  <c r="Z1684" i="12"/>
  <c r="Z1748" i="12"/>
  <c r="Z1812" i="12"/>
  <c r="Z1876" i="12"/>
  <c r="Z1940" i="12"/>
  <c r="Z2004" i="12"/>
  <c r="Z2068" i="12"/>
  <c r="Z2132" i="12"/>
  <c r="Z2196" i="12"/>
  <c r="Z2260" i="12"/>
  <c r="Z2324" i="12"/>
  <c r="Z2388" i="12"/>
  <c r="Z2452" i="12"/>
  <c r="Z2516" i="12"/>
  <c r="Z2580" i="12"/>
  <c r="Z2644" i="12"/>
  <c r="Z2708" i="12"/>
  <c r="Z2772" i="12"/>
  <c r="Z2836" i="12"/>
  <c r="Z2900" i="12"/>
  <c r="Z2964" i="12"/>
  <c r="Z3028" i="12"/>
  <c r="Z3092" i="12"/>
  <c r="Z3156" i="12"/>
  <c r="Z3220" i="12"/>
  <c r="Z3284" i="12"/>
  <c r="Z3348" i="12"/>
  <c r="Z3412" i="12"/>
  <c r="Z3476" i="12"/>
  <c r="Z3540" i="12"/>
  <c r="Z72" i="12"/>
  <c r="Z136" i="12"/>
  <c r="Z200" i="12"/>
  <c r="Z264" i="12"/>
  <c r="Z328" i="12"/>
  <c r="Z392" i="12"/>
  <c r="Z456" i="12"/>
  <c r="Z520" i="12"/>
  <c r="Z584" i="12"/>
  <c r="Z648" i="12"/>
  <c r="Z712" i="12"/>
  <c r="Z776" i="12"/>
  <c r="Z840" i="12"/>
  <c r="Z904" i="12"/>
  <c r="Z968" i="12"/>
  <c r="Z1032" i="12"/>
  <c r="Z1096" i="12"/>
  <c r="Z1160" i="12"/>
  <c r="Z1224" i="12"/>
  <c r="Z1288" i="12"/>
  <c r="Z1352" i="12"/>
  <c r="Z1416" i="12"/>
  <c r="Z1480" i="12"/>
  <c r="Z1544" i="12"/>
  <c r="Z1608" i="12"/>
  <c r="Z1672" i="12"/>
  <c r="Z1736" i="12"/>
  <c r="Z1800" i="12"/>
  <c r="Z1864" i="12"/>
  <c r="Z36" i="12"/>
  <c r="Z100" i="12"/>
  <c r="Z164" i="12"/>
  <c r="Z228" i="12"/>
  <c r="Z292" i="12"/>
  <c r="Z356" i="12"/>
  <c r="Z420" i="12"/>
  <c r="Z484" i="12"/>
  <c r="Z548" i="12"/>
  <c r="Z612" i="12"/>
  <c r="Z676" i="12"/>
  <c r="Z740" i="12"/>
  <c r="Z804" i="12"/>
  <c r="Z868" i="12"/>
  <c r="Z932" i="12"/>
  <c r="Z996" i="12"/>
  <c r="Z1060" i="12"/>
  <c r="Z1124" i="12"/>
  <c r="Z1188" i="12"/>
  <c r="Z1252" i="12"/>
  <c r="Z1316" i="12"/>
  <c r="Z1380" i="12"/>
  <c r="Z1444" i="12"/>
  <c r="Z1508" i="12"/>
  <c r="Z1572" i="12"/>
  <c r="Z1636" i="12"/>
  <c r="Z1700" i="12"/>
  <c r="Z1764" i="12"/>
  <c r="Z1828" i="12"/>
  <c r="Z1892" i="12"/>
  <c r="Z1956" i="12"/>
  <c r="Z2020" i="12"/>
  <c r="Z2084" i="12"/>
  <c r="Z2148" i="12"/>
  <c r="Z2212" i="12"/>
  <c r="Z2276" i="12"/>
  <c r="Z2340" i="12"/>
  <c r="Z2404" i="12"/>
  <c r="Z2468" i="12"/>
  <c r="Z2532" i="12"/>
  <c r="Z2596" i="12"/>
  <c r="Z2660" i="12"/>
  <c r="Z2724" i="12"/>
  <c r="Z2788" i="12"/>
  <c r="Z2852" i="12"/>
  <c r="Z2916" i="12"/>
  <c r="Z2980" i="12"/>
  <c r="Z3044" i="12"/>
  <c r="Z3108" i="12"/>
  <c r="Z3172" i="12"/>
  <c r="Z3236" i="12"/>
  <c r="Z3300" i="12"/>
  <c r="Z3364" i="12"/>
  <c r="Z3428" i="12"/>
  <c r="Z3492" i="12"/>
  <c r="Z24" i="12"/>
  <c r="Z88" i="12"/>
  <c r="Z152" i="12"/>
  <c r="Z216" i="12"/>
  <c r="Z280" i="12"/>
  <c r="Z344" i="12"/>
  <c r="Z408" i="12"/>
  <c r="Z472" i="12"/>
  <c r="Z536" i="12"/>
  <c r="Z600" i="12"/>
  <c r="Z664" i="12"/>
  <c r="Z728" i="12"/>
  <c r="Z792" i="12"/>
  <c r="Z856" i="12"/>
  <c r="Z920" i="12"/>
  <c r="Z984" i="12"/>
  <c r="Z1048" i="12"/>
  <c r="Z1112" i="12"/>
  <c r="Z1176" i="12"/>
  <c r="Z1240" i="12"/>
  <c r="Z1304" i="12"/>
  <c r="Z1368" i="12"/>
  <c r="Z1432" i="12"/>
  <c r="Z1496" i="12"/>
  <c r="Z1560" i="12"/>
  <c r="Z1624" i="12"/>
  <c r="Z1688" i="12"/>
  <c r="Z52" i="12"/>
  <c r="Z116" i="12"/>
  <c r="Z180" i="12"/>
  <c r="Z244" i="12"/>
  <c r="Z308" i="12"/>
  <c r="Z372" i="12"/>
  <c r="Z436" i="12"/>
  <c r="Z500" i="12"/>
  <c r="Z564" i="12"/>
  <c r="Z628" i="12"/>
  <c r="Z692" i="12"/>
  <c r="Z756" i="12"/>
  <c r="Z820" i="12"/>
  <c r="Z884" i="12"/>
  <c r="Z948" i="12"/>
  <c r="Z1012" i="12"/>
  <c r="Z1076" i="12"/>
  <c r="Z1140" i="12"/>
  <c r="Z1204" i="12"/>
  <c r="Z1268" i="12"/>
  <c r="Z1332" i="12"/>
  <c r="Z1396" i="12"/>
  <c r="Z1460" i="12"/>
  <c r="Z1524" i="12"/>
  <c r="Z1588" i="12"/>
  <c r="Z1652" i="12"/>
  <c r="Z1716" i="12"/>
  <c r="Z1780" i="12"/>
  <c r="Z1844" i="12"/>
  <c r="Z1908" i="12"/>
  <c r="Z1972" i="12"/>
  <c r="Z2036" i="12"/>
  <c r="Z2100" i="12"/>
  <c r="Z2164" i="12"/>
  <c r="Z2228" i="12"/>
  <c r="Z2292" i="12"/>
  <c r="Z2356" i="12"/>
  <c r="Z2420" i="12"/>
  <c r="Z2484" i="12"/>
  <c r="Z2548" i="12"/>
  <c r="Z2612" i="12"/>
  <c r="Z2676" i="12"/>
  <c r="Z2740" i="12"/>
  <c r="Z2804" i="12"/>
  <c r="Z2868" i="12"/>
  <c r="Z2932" i="12"/>
  <c r="Z2996" i="12"/>
  <c r="Z3060" i="12"/>
  <c r="Z3124" i="12"/>
  <c r="Z3188" i="12"/>
  <c r="Z3252" i="12"/>
  <c r="Z3316" i="12"/>
  <c r="Z3380" i="12"/>
  <c r="Z3444" i="12"/>
  <c r="Z3508" i="12"/>
  <c r="Z40" i="12"/>
  <c r="Z104" i="12"/>
  <c r="Z168" i="12"/>
  <c r="Z232" i="12"/>
  <c r="Z296" i="12"/>
  <c r="Z360" i="12"/>
  <c r="Z424" i="12"/>
  <c r="Z488" i="12"/>
  <c r="Z552" i="12"/>
  <c r="Z616" i="12"/>
  <c r="Z680" i="12"/>
  <c r="Z744" i="12"/>
  <c r="Z808" i="12"/>
  <c r="Z872" i="12"/>
  <c r="Z936" i="12"/>
  <c r="Z1000" i="12"/>
  <c r="Z1064" i="12"/>
  <c r="Z1128" i="12"/>
  <c r="Z1192" i="12"/>
  <c r="Z1256" i="12"/>
  <c r="Z1320" i="12"/>
  <c r="Z1384" i="12"/>
  <c r="Z1448" i="12"/>
  <c r="Z1512" i="12"/>
  <c r="Z1576" i="12"/>
  <c r="Z1640" i="12"/>
  <c r="Z1704" i="12"/>
  <c r="Z1768" i="12"/>
  <c r="Z1832" i="12"/>
  <c r="Z1896" i="12"/>
  <c r="Z68" i="12"/>
  <c r="Z324" i="12"/>
  <c r="Z580" i="12"/>
  <c r="Z836" i="12"/>
  <c r="Z1092" i="12"/>
  <c r="Z1348" i="12"/>
  <c r="Z1604" i="12"/>
  <c r="Z1860" i="12"/>
  <c r="Z2116" i="12"/>
  <c r="Z2372" i="12"/>
  <c r="Z2628" i="12"/>
  <c r="Z2884" i="12"/>
  <c r="Z3140" i="12"/>
  <c r="Z3396" i="12"/>
  <c r="Z120" i="12"/>
  <c r="Z376" i="12"/>
  <c r="Z632" i="12"/>
  <c r="Z888" i="12"/>
  <c r="Z1144" i="12"/>
  <c r="Z1400" i="12"/>
  <c r="Z1656" i="12"/>
  <c r="Z1816" i="12"/>
  <c r="Z1928" i="12"/>
  <c r="Z1992" i="12"/>
  <c r="Z2056" i="12"/>
  <c r="Z2120" i="12"/>
  <c r="Z2184" i="12"/>
  <c r="Z2248" i="12"/>
  <c r="Z2312" i="12"/>
  <c r="Z2376" i="12"/>
  <c r="Z2440" i="12"/>
  <c r="Z2504" i="12"/>
  <c r="Z2568" i="12"/>
  <c r="Z2632" i="12"/>
  <c r="Z2696" i="12"/>
  <c r="Z2760" i="12"/>
  <c r="Z2824" i="12"/>
  <c r="Z2888" i="12"/>
  <c r="Z2952" i="12"/>
  <c r="Z3016" i="12"/>
  <c r="Z3080" i="12"/>
  <c r="Z3144" i="12"/>
  <c r="Z3208" i="12"/>
  <c r="Z3272" i="12"/>
  <c r="Z3336" i="12"/>
  <c r="Z3400" i="12"/>
  <c r="Z3464" i="12"/>
  <c r="Z3528" i="12"/>
  <c r="Z60" i="12"/>
  <c r="Z124" i="12"/>
  <c r="Z188" i="12"/>
  <c r="Z252" i="12"/>
  <c r="Z316" i="12"/>
  <c r="Z380" i="12"/>
  <c r="Z444" i="12"/>
  <c r="Z508" i="12"/>
  <c r="Z572" i="12"/>
  <c r="Z636" i="12"/>
  <c r="Z700" i="12"/>
  <c r="Z764" i="12"/>
  <c r="Z828" i="12"/>
  <c r="Z892" i="12"/>
  <c r="Z956" i="12"/>
  <c r="Z1020" i="12"/>
  <c r="Z1084" i="12"/>
  <c r="Z1148" i="12"/>
  <c r="Z1212" i="12"/>
  <c r="Z1276" i="12"/>
  <c r="Z1340" i="12"/>
  <c r="Z1404" i="12"/>
  <c r="Z1468" i="12"/>
  <c r="Z1532" i="12"/>
  <c r="Z1596" i="12"/>
  <c r="Z1660" i="12"/>
  <c r="Z1724" i="12"/>
  <c r="Z1788" i="12"/>
  <c r="Z1852" i="12"/>
  <c r="Z1916" i="12"/>
  <c r="Z1980" i="12"/>
  <c r="Z2044" i="12"/>
  <c r="Z2108" i="12"/>
  <c r="Z2172" i="12"/>
  <c r="Z2236" i="12"/>
  <c r="Z2300" i="12"/>
  <c r="Z2364" i="12"/>
  <c r="Z2428" i="12"/>
  <c r="Z132" i="12"/>
  <c r="Z388" i="12"/>
  <c r="Z644" i="12"/>
  <c r="Z900" i="12"/>
  <c r="Z1156" i="12"/>
  <c r="Z1412" i="12"/>
  <c r="Z1668" i="12"/>
  <c r="Z1924" i="12"/>
  <c r="Z2180" i="12"/>
  <c r="Z2436" i="12"/>
  <c r="Z2692" i="12"/>
  <c r="Z2948" i="12"/>
  <c r="Z3204" i="12"/>
  <c r="Z3460" i="12"/>
  <c r="Z184" i="12"/>
  <c r="Z440" i="12"/>
  <c r="Z696" i="12"/>
  <c r="Z952" i="12"/>
  <c r="Z1208" i="12"/>
  <c r="Z1464" i="12"/>
  <c r="Z1720" i="12"/>
  <c r="Z1848" i="12"/>
  <c r="Z1944" i="12"/>
  <c r="Z2008" i="12"/>
  <c r="Z2072" i="12"/>
  <c r="Z2136" i="12"/>
  <c r="Z2200" i="12"/>
  <c r="Z2264" i="12"/>
  <c r="Z2328" i="12"/>
  <c r="Z2392" i="12"/>
  <c r="Z2456" i="12"/>
  <c r="Z2520" i="12"/>
  <c r="Z2584" i="12"/>
  <c r="Z2648" i="12"/>
  <c r="Z2712" i="12"/>
  <c r="Z2776" i="12"/>
  <c r="Z2840" i="12"/>
  <c r="Z2904" i="12"/>
  <c r="Z2968" i="12"/>
  <c r="Z3032" i="12"/>
  <c r="Z3096" i="12"/>
  <c r="Z3160" i="12"/>
  <c r="Z3224" i="12"/>
  <c r="Z3288" i="12"/>
  <c r="Z3352" i="12"/>
  <c r="Z3416" i="12"/>
  <c r="Z3480" i="12"/>
  <c r="Z3544" i="12"/>
  <c r="Z76" i="12"/>
  <c r="Z140" i="12"/>
  <c r="Z204" i="12"/>
  <c r="Z268" i="12"/>
  <c r="Z332" i="12"/>
  <c r="Z396" i="12"/>
  <c r="Z460" i="12"/>
  <c r="Z524" i="12"/>
  <c r="Z588" i="12"/>
  <c r="Z652" i="12"/>
  <c r="Z716" i="12"/>
  <c r="Z780" i="12"/>
  <c r="Z844" i="12"/>
  <c r="Z908" i="12"/>
  <c r="Z972" i="12"/>
  <c r="Z1036" i="12"/>
  <c r="Z1100" i="12"/>
  <c r="Z1164" i="12"/>
  <c r="Z196" i="12"/>
  <c r="Z452" i="12"/>
  <c r="Z708" i="12"/>
  <c r="Z964" i="12"/>
  <c r="Z1220" i="12"/>
  <c r="Z1476" i="12"/>
  <c r="Z1732" i="12"/>
  <c r="Z1988" i="12"/>
  <c r="Z2244" i="12"/>
  <c r="Z2500" i="12"/>
  <c r="Z2756" i="12"/>
  <c r="Z3012" i="12"/>
  <c r="Z3268" i="12"/>
  <c r="Z3524" i="12"/>
  <c r="Z248" i="12"/>
  <c r="Z504" i="12"/>
  <c r="Z760" i="12"/>
  <c r="Z1016" i="12"/>
  <c r="Z1272" i="12"/>
  <c r="Z1528" i="12"/>
  <c r="Z1752" i="12"/>
  <c r="Z1880" i="12"/>
  <c r="Z1960" i="12"/>
  <c r="Z2024" i="12"/>
  <c r="Z2088" i="12"/>
  <c r="Z2152" i="12"/>
  <c r="Z2216" i="12"/>
  <c r="Z2280" i="12"/>
  <c r="Z2344" i="12"/>
  <c r="Z2408" i="12"/>
  <c r="Z2472" i="12"/>
  <c r="Z2536" i="12"/>
  <c r="Z2600" i="12"/>
  <c r="Z2664" i="12"/>
  <c r="Z2728" i="12"/>
  <c r="Z2792" i="12"/>
  <c r="Z2856" i="12"/>
  <c r="Z2920" i="12"/>
  <c r="Z2984" i="12"/>
  <c r="Z3048" i="12"/>
  <c r="Z3112" i="12"/>
  <c r="Z3176" i="12"/>
  <c r="Z3240" i="12"/>
  <c r="Z3304" i="12"/>
  <c r="Z3368" i="12"/>
  <c r="Z3432" i="12"/>
  <c r="Z3496" i="12"/>
  <c r="Z28" i="12"/>
  <c r="Z92" i="12"/>
  <c r="Z156" i="12"/>
  <c r="Z220" i="12"/>
  <c r="Z284" i="12"/>
  <c r="Z348" i="12"/>
  <c r="Z412" i="12"/>
  <c r="Z476" i="12"/>
  <c r="Z540" i="12"/>
  <c r="Z604" i="12"/>
  <c r="Z668" i="12"/>
  <c r="Z732" i="12"/>
  <c r="Z796" i="12"/>
  <c r="Z860" i="12"/>
  <c r="Z924" i="12"/>
  <c r="Z988" i="12"/>
  <c r="Z1052" i="12"/>
  <c r="Z1116" i="12"/>
  <c r="Z1180" i="12"/>
  <c r="Z1244" i="12"/>
  <c r="Z1308" i="12"/>
  <c r="Z1372" i="12"/>
  <c r="Z1436" i="12"/>
  <c r="Z1500" i="12"/>
  <c r="Z1564" i="12"/>
  <c r="Z1628" i="12"/>
  <c r="Z1692" i="12"/>
  <c r="Z1756" i="12"/>
  <c r="Z1820" i="12"/>
  <c r="Z1884" i="12"/>
  <c r="Z1948" i="12"/>
  <c r="Z2012" i="12"/>
  <c r="Z2076" i="12"/>
  <c r="Z2140" i="12"/>
  <c r="Z2204" i="12"/>
  <c r="Z2268" i="12"/>
  <c r="Z2332" i="12"/>
  <c r="Z2396" i="12"/>
  <c r="Z260" i="12"/>
  <c r="Z1284" i="12"/>
  <c r="Z2308" i="12"/>
  <c r="Z3332" i="12"/>
  <c r="Z824" i="12"/>
  <c r="Z1784" i="12"/>
  <c r="Z2104" i="12"/>
  <c r="Z2360" i="12"/>
  <c r="Z2616" i="12"/>
  <c r="Z2872" i="12"/>
  <c r="Z3128" i="12"/>
  <c r="Z3384" i="12"/>
  <c r="Z108" i="12"/>
  <c r="Z364" i="12"/>
  <c r="Z620" i="12"/>
  <c r="Z876" i="12"/>
  <c r="Z1132" i="12"/>
  <c r="Z1292" i="12"/>
  <c r="Z1420" i="12"/>
  <c r="Z1548" i="12"/>
  <c r="Z1676" i="12"/>
  <c r="Z1804" i="12"/>
  <c r="Z1932" i="12"/>
  <c r="Z2060" i="12"/>
  <c r="Z2188" i="12"/>
  <c r="Z2316" i="12"/>
  <c r="Z2444" i="12"/>
  <c r="Z2508" i="12"/>
  <c r="Z2572" i="12"/>
  <c r="Z2636" i="12"/>
  <c r="Z2700" i="12"/>
  <c r="Z2764" i="12"/>
  <c r="Z2828" i="12"/>
  <c r="Z2892" i="12"/>
  <c r="Z2956" i="12"/>
  <c r="Z3020" i="12"/>
  <c r="Z3084" i="12"/>
  <c r="Z3148" i="12"/>
  <c r="Z3212" i="12"/>
  <c r="Z3276" i="12"/>
  <c r="Z3340" i="12"/>
  <c r="Z3404" i="12"/>
  <c r="Z3468" i="12"/>
  <c r="Z3532" i="12"/>
  <c r="Z64" i="12"/>
  <c r="Z128" i="12"/>
  <c r="Z192" i="12"/>
  <c r="Z256" i="12"/>
  <c r="Z320" i="12"/>
  <c r="Z384" i="12"/>
  <c r="Z448" i="12"/>
  <c r="Z512" i="12"/>
  <c r="Z576" i="12"/>
  <c r="Z640" i="12"/>
  <c r="Z704" i="12"/>
  <c r="Z768" i="12"/>
  <c r="Z832" i="12"/>
  <c r="Z896" i="12"/>
  <c r="Z960" i="12"/>
  <c r="Z1024" i="12"/>
  <c r="Z1088" i="12"/>
  <c r="Z1152" i="12"/>
  <c r="Z1216" i="12"/>
  <c r="Z1280" i="12"/>
  <c r="Z1344" i="12"/>
  <c r="Z1408" i="12"/>
  <c r="Z1472" i="12"/>
  <c r="Z1536" i="12"/>
  <c r="Z1600" i="12"/>
  <c r="Z1664" i="12"/>
  <c r="Z1728" i="12"/>
  <c r="Z1792" i="12"/>
  <c r="Z1856" i="12"/>
  <c r="Z1920" i="12"/>
  <c r="Z1984" i="12"/>
  <c r="Z2048" i="12"/>
  <c r="Z2112" i="12"/>
  <c r="Z2176" i="12"/>
  <c r="Z2240" i="12"/>
  <c r="Z2304" i="12"/>
  <c r="Z2368" i="12"/>
  <c r="Z2432" i="12"/>
  <c r="Z2496" i="12"/>
  <c r="Z2560" i="12"/>
  <c r="Z2624" i="12"/>
  <c r="Z2688" i="12"/>
  <c r="Z2752" i="12"/>
  <c r="Z2816" i="12"/>
  <c r="Z2880" i="12"/>
  <c r="Z2944" i="12"/>
  <c r="Z3008" i="12"/>
  <c r="Z3072" i="12"/>
  <c r="Z3136" i="12"/>
  <c r="Z3200" i="12"/>
  <c r="Z3264" i="12"/>
  <c r="Z3328" i="12"/>
  <c r="Z3392" i="12"/>
  <c r="Z3456" i="12"/>
  <c r="Z3520" i="12"/>
  <c r="Z25" i="12"/>
  <c r="Z41" i="12"/>
  <c r="Z57" i="12"/>
  <c r="Z73" i="12"/>
  <c r="Z89" i="12"/>
  <c r="Z105" i="12"/>
  <c r="Z121" i="12"/>
  <c r="Z137" i="12"/>
  <c r="Z153" i="12"/>
  <c r="Z169" i="12"/>
  <c r="Z185" i="12"/>
  <c r="Z201" i="12"/>
  <c r="Z217" i="12"/>
  <c r="Z233" i="12"/>
  <c r="Z249" i="12"/>
  <c r="Z265" i="12"/>
  <c r="Z281" i="12"/>
  <c r="Z297" i="12"/>
  <c r="Z313" i="12"/>
  <c r="Z329" i="12"/>
  <c r="Z345" i="12"/>
  <c r="Z361" i="12"/>
  <c r="Z377" i="12"/>
  <c r="Z393" i="12"/>
  <c r="Z409" i="12"/>
  <c r="Z425" i="12"/>
  <c r="Z441" i="12"/>
  <c r="Z457" i="12"/>
  <c r="Z473" i="12"/>
  <c r="Z489" i="12"/>
  <c r="Z505" i="12"/>
  <c r="Z521" i="12"/>
  <c r="Z537" i="12"/>
  <c r="Z553" i="12"/>
  <c r="Z516" i="12"/>
  <c r="Z1540" i="12"/>
  <c r="Z2564" i="12"/>
  <c r="Z56" i="12"/>
  <c r="Z1080" i="12"/>
  <c r="Z1912" i="12"/>
  <c r="Z2168" i="12"/>
  <c r="Z2424" i="12"/>
  <c r="Z2680" i="12"/>
  <c r="Z2936" i="12"/>
  <c r="Z3192" i="12"/>
  <c r="Z3448" i="12"/>
  <c r="Z172" i="12"/>
  <c r="Z428" i="12"/>
  <c r="Z684" i="12"/>
  <c r="Z940" i="12"/>
  <c r="Z1196" i="12"/>
  <c r="Z1324" i="12"/>
  <c r="Z1452" i="12"/>
  <c r="Z1580" i="12"/>
  <c r="Z1708" i="12"/>
  <c r="Z1836" i="12"/>
  <c r="Z1964" i="12"/>
  <c r="Z2092" i="12"/>
  <c r="Z2220" i="12"/>
  <c r="Z2348" i="12"/>
  <c r="Z2460" i="12"/>
  <c r="Z2524" i="12"/>
  <c r="Z2588" i="12"/>
  <c r="Z2652" i="12"/>
  <c r="Z2716" i="12"/>
  <c r="Z2780" i="12"/>
  <c r="Z2844" i="12"/>
  <c r="Z2908" i="12"/>
  <c r="Z2972" i="12"/>
  <c r="Z3036" i="12"/>
  <c r="Z3100" i="12"/>
  <c r="Z3164" i="12"/>
  <c r="Z3228" i="12"/>
  <c r="Z3292" i="12"/>
  <c r="Z3356" i="12"/>
  <c r="Z3420" i="12"/>
  <c r="Z3484" i="12"/>
  <c r="Z3548" i="12"/>
  <c r="Z80" i="12"/>
  <c r="Z144" i="12"/>
  <c r="Z208" i="12"/>
  <c r="Z272" i="12"/>
  <c r="Z336" i="12"/>
  <c r="Z400" i="12"/>
  <c r="Z464" i="12"/>
  <c r="Z528" i="12"/>
  <c r="Z592" i="12"/>
  <c r="Z656" i="12"/>
  <c r="Z720" i="12"/>
  <c r="Z784" i="12"/>
  <c r="Z848" i="12"/>
  <c r="Z912" i="12"/>
  <c r="Z976" i="12"/>
  <c r="Z1040" i="12"/>
  <c r="Z1104" i="12"/>
  <c r="Z1168" i="12"/>
  <c r="Z1232" i="12"/>
  <c r="Z1296" i="12"/>
  <c r="Z1360" i="12"/>
  <c r="Z1424" i="12"/>
  <c r="Z1488" i="12"/>
  <c r="Z1552" i="12"/>
  <c r="Z1616" i="12"/>
  <c r="Z1680" i="12"/>
  <c r="Z1744" i="12"/>
  <c r="Z1808" i="12"/>
  <c r="Z1872" i="12"/>
  <c r="Z1936" i="12"/>
  <c r="Z2000" i="12"/>
  <c r="Z2064" i="12"/>
  <c r="Z2128" i="12"/>
  <c r="Z2192" i="12"/>
  <c r="Z2256" i="12"/>
  <c r="Z2320" i="12"/>
  <c r="Z2384" i="12"/>
  <c r="Z2448" i="12"/>
  <c r="Z2512" i="12"/>
  <c r="Z2576" i="12"/>
  <c r="Z2640" i="12"/>
  <c r="Z772" i="12"/>
  <c r="Z1796" i="12"/>
  <c r="Z2820" i="12"/>
  <c r="Z312" i="12"/>
  <c r="Z1336" i="12"/>
  <c r="Z1976" i="12"/>
  <c r="Z2232" i="12"/>
  <c r="Z2488" i="12"/>
  <c r="Z2744" i="12"/>
  <c r="Z3000" i="12"/>
  <c r="Z3256" i="12"/>
  <c r="Z3512" i="12"/>
  <c r="Z236" i="12"/>
  <c r="Z492" i="12"/>
  <c r="Z748" i="12"/>
  <c r="Z1004" i="12"/>
  <c r="Z1228" i="12"/>
  <c r="Z1356" i="12"/>
  <c r="Z1484" i="12"/>
  <c r="Z1612" i="12"/>
  <c r="Z1740" i="12"/>
  <c r="Z1868" i="12"/>
  <c r="Z1996" i="12"/>
  <c r="Z2124" i="12"/>
  <c r="Z2252" i="12"/>
  <c r="Z2380" i="12"/>
  <c r="Z2476" i="12"/>
  <c r="Z2540" i="12"/>
  <c r="Z2604" i="12"/>
  <c r="Z2668" i="12"/>
  <c r="Z2732" i="12"/>
  <c r="Z2796" i="12"/>
  <c r="Z2860" i="12"/>
  <c r="Z2924" i="12"/>
  <c r="Z2988" i="12"/>
  <c r="Z3052" i="12"/>
  <c r="Z3116" i="12"/>
  <c r="Z3180" i="12"/>
  <c r="Z3244" i="12"/>
  <c r="Z3308" i="12"/>
  <c r="Z3372" i="12"/>
  <c r="Z3436" i="12"/>
  <c r="Z3500" i="12"/>
  <c r="Z32" i="12"/>
  <c r="Z96" i="12"/>
  <c r="Z160" i="12"/>
  <c r="Z224" i="12"/>
  <c r="Z288" i="12"/>
  <c r="Z352" i="12"/>
  <c r="Z416" i="12"/>
  <c r="Z480" i="12"/>
  <c r="Z544" i="12"/>
  <c r="Z608" i="12"/>
  <c r="Z672" i="12"/>
  <c r="Z736" i="12"/>
  <c r="Z800" i="12"/>
  <c r="Z864" i="12"/>
  <c r="Z928" i="12"/>
  <c r="Z992" i="12"/>
  <c r="Z1056" i="12"/>
  <c r="Z1120" i="12"/>
  <c r="Z1184" i="12"/>
  <c r="Z1248" i="12"/>
  <c r="Z1312" i="12"/>
  <c r="Z1376" i="12"/>
  <c r="Z1440" i="12"/>
  <c r="Z1504" i="12"/>
  <c r="Z1568" i="12"/>
  <c r="Z1632" i="12"/>
  <c r="Z1696" i="12"/>
  <c r="Z1760" i="12"/>
  <c r="Z1824" i="12"/>
  <c r="Z1888" i="12"/>
  <c r="Z1952" i="12"/>
  <c r="Z2016" i="12"/>
  <c r="Z2080" i="12"/>
  <c r="Z2144" i="12"/>
  <c r="Z2208" i="12"/>
  <c r="Z2272" i="12"/>
  <c r="Z2336" i="12"/>
  <c r="Z2400" i="12"/>
  <c r="Z2464" i="12"/>
  <c r="Z2528" i="12"/>
  <c r="Z2592" i="12"/>
  <c r="Z2656" i="12"/>
  <c r="Z2720" i="12"/>
  <c r="Z2784" i="12"/>
  <c r="Z2848" i="12"/>
  <c r="Z2912" i="12"/>
  <c r="Z2976" i="12"/>
  <c r="Z3040" i="12"/>
  <c r="Z3104" i="12"/>
  <c r="Z3168" i="12"/>
  <c r="Z3232" i="12"/>
  <c r="Z3296" i="12"/>
  <c r="Z3360" i="12"/>
  <c r="Z3424" i="12"/>
  <c r="Z3488" i="12"/>
  <c r="Z3552" i="12"/>
  <c r="Z33" i="12"/>
  <c r="Z49" i="12"/>
  <c r="Z65" i="12"/>
  <c r="Z81" i="12"/>
  <c r="Z97" i="12"/>
  <c r="Z113" i="12"/>
  <c r="Z129" i="12"/>
  <c r="Z145" i="12"/>
  <c r="Z161" i="12"/>
  <c r="Z177" i="12"/>
  <c r="Z193" i="12"/>
  <c r="Z209" i="12"/>
  <c r="Z225" i="12"/>
  <c r="Z241" i="12"/>
  <c r="Z257" i="12"/>
  <c r="Z273" i="12"/>
  <c r="Z289" i="12"/>
  <c r="Z305" i="12"/>
  <c r="Z321" i="12"/>
  <c r="Z337" i="12"/>
  <c r="Z353" i="12"/>
  <c r="Z369" i="12"/>
  <c r="Z385" i="12"/>
  <c r="Z401" i="12"/>
  <c r="Z417" i="12"/>
  <c r="Z433" i="12"/>
  <c r="Z449" i="12"/>
  <c r="Z465" i="12"/>
  <c r="Z481" i="12"/>
  <c r="Z497" i="12"/>
  <c r="Z513" i="12"/>
  <c r="Z529" i="12"/>
  <c r="Z545" i="12"/>
  <c r="Z1028" i="12"/>
  <c r="Z1592" i="12"/>
  <c r="Z2808" i="12"/>
  <c r="Z300" i="12"/>
  <c r="Z1260" i="12"/>
  <c r="Z1772" i="12"/>
  <c r="Z2284" i="12"/>
  <c r="Z2620" i="12"/>
  <c r="Z2876" i="12"/>
  <c r="Z3132" i="12"/>
  <c r="Z3388" i="12"/>
  <c r="Z112" i="12"/>
  <c r="Z368" i="12"/>
  <c r="Z624" i="12"/>
  <c r="Z880" i="12"/>
  <c r="Z1136" i="12"/>
  <c r="Z1392" i="12"/>
  <c r="Z1648" i="12"/>
  <c r="Z1904" i="12"/>
  <c r="Z2160" i="12"/>
  <c r="Z2416" i="12"/>
  <c r="Z2672" i="12"/>
  <c r="Z2800" i="12"/>
  <c r="Z2928" i="12"/>
  <c r="Z3056" i="12"/>
  <c r="Z3184" i="12"/>
  <c r="Z3312" i="12"/>
  <c r="Z3440" i="12"/>
  <c r="Z21" i="12"/>
  <c r="Z53" i="12"/>
  <c r="Z85" i="12"/>
  <c r="Z117" i="12"/>
  <c r="Z149" i="12"/>
  <c r="Z181" i="12"/>
  <c r="Z213" i="12"/>
  <c r="Z245" i="12"/>
  <c r="Z277" i="12"/>
  <c r="Z309" i="12"/>
  <c r="Z341" i="12"/>
  <c r="Z373" i="12"/>
  <c r="Z405" i="12"/>
  <c r="Z437" i="12"/>
  <c r="Z469" i="12"/>
  <c r="Z501" i="12"/>
  <c r="Z533" i="12"/>
  <c r="Z561" i="12"/>
  <c r="Z577" i="12"/>
  <c r="Z593" i="12"/>
  <c r="Z609" i="12"/>
  <c r="Z625" i="12"/>
  <c r="Z641" i="12"/>
  <c r="Z657" i="12"/>
  <c r="Z673" i="12"/>
  <c r="Z689" i="12"/>
  <c r="Z705" i="12"/>
  <c r="Z721" i="12"/>
  <c r="Z737" i="12"/>
  <c r="Z753" i="12"/>
  <c r="Z769" i="12"/>
  <c r="Z785" i="12"/>
  <c r="Z801" i="12"/>
  <c r="Z817" i="12"/>
  <c r="Z833" i="12"/>
  <c r="Z849" i="12"/>
  <c r="Z865" i="12"/>
  <c r="Z881" i="12"/>
  <c r="Z897" i="12"/>
  <c r="Z913" i="12"/>
  <c r="Z929" i="12"/>
  <c r="Z945" i="12"/>
  <c r="Z961" i="12"/>
  <c r="Z977" i="12"/>
  <c r="Z993" i="12"/>
  <c r="Z1009" i="12"/>
  <c r="Z1025" i="12"/>
  <c r="Z1041" i="12"/>
  <c r="Z1057" i="12"/>
  <c r="Z1073" i="12"/>
  <c r="Z1089" i="12"/>
  <c r="Z1105" i="12"/>
  <c r="Z1121" i="12"/>
  <c r="Z1137" i="12"/>
  <c r="Z1153" i="12"/>
  <c r="Z1169" i="12"/>
  <c r="Z1185" i="12"/>
  <c r="Z1201" i="12"/>
  <c r="Z1217" i="12"/>
  <c r="Z1233" i="12"/>
  <c r="Z1249" i="12"/>
  <c r="Z1265" i="12"/>
  <c r="Z1281" i="12"/>
  <c r="Z1297" i="12"/>
  <c r="Z1313" i="12"/>
  <c r="Z1329" i="12"/>
  <c r="Z1345" i="12"/>
  <c r="Z1361" i="12"/>
  <c r="Z1377" i="12"/>
  <c r="Z1393" i="12"/>
  <c r="Z1409" i="12"/>
  <c r="Z1425" i="12"/>
  <c r="Z1441" i="12"/>
  <c r="Z1457" i="12"/>
  <c r="Z1473" i="12"/>
  <c r="Z1489" i="12"/>
  <c r="Z1505" i="12"/>
  <c r="Z1521" i="12"/>
  <c r="Z1537" i="12"/>
  <c r="Z1553" i="12"/>
  <c r="Z1569" i="12"/>
  <c r="Z1585" i="12"/>
  <c r="Z1601" i="12"/>
  <c r="Z1617" i="12"/>
  <c r="Z1633" i="12"/>
  <c r="Z1649" i="12"/>
  <c r="Z1665" i="12"/>
  <c r="Z1681" i="12"/>
  <c r="Z1697" i="12"/>
  <c r="Z1713" i="12"/>
  <c r="Z1729" i="12"/>
  <c r="Z1745" i="12"/>
  <c r="Z1761" i="12"/>
  <c r="Z1777" i="12"/>
  <c r="Z1793" i="12"/>
  <c r="Z1809" i="12"/>
  <c r="Z1825" i="12"/>
  <c r="Z1841" i="12"/>
  <c r="Z1857" i="12"/>
  <c r="Z1873" i="12"/>
  <c r="Z1889" i="12"/>
  <c r="Z1905" i="12"/>
  <c r="Z1921" i="12"/>
  <c r="Z1937" i="12"/>
  <c r="Z1953" i="12"/>
  <c r="Z1969" i="12"/>
  <c r="Z1985" i="12"/>
  <c r="Z2001" i="12"/>
  <c r="Z2017" i="12"/>
  <c r="Z2033" i="12"/>
  <c r="Z2049" i="12"/>
  <c r="Z2065" i="12"/>
  <c r="Z2081" i="12"/>
  <c r="Z2097" i="12"/>
  <c r="Z2113" i="12"/>
  <c r="Z2129" i="12"/>
  <c r="Z2145" i="12"/>
  <c r="Z2161" i="12"/>
  <c r="Z2177" i="12"/>
  <c r="Z2193" i="12"/>
  <c r="Z2209" i="12"/>
  <c r="Z2225" i="12"/>
  <c r="Z2241" i="12"/>
  <c r="Z2257" i="12"/>
  <c r="Z2273" i="12"/>
  <c r="Z2289" i="12"/>
  <c r="Z2305" i="12"/>
  <c r="Z2321" i="12"/>
  <c r="Z2337" i="12"/>
  <c r="Z2353" i="12"/>
  <c r="Z2369" i="12"/>
  <c r="Z2385" i="12"/>
  <c r="Z2401" i="12"/>
  <c r="Z2417" i="12"/>
  <c r="Z2433" i="12"/>
  <c r="Z2449" i="12"/>
  <c r="Z2465" i="12"/>
  <c r="Z2481" i="12"/>
  <c r="Z2497" i="12"/>
  <c r="Z2513" i="12"/>
  <c r="Z2529" i="12"/>
  <c r="Z2545" i="12"/>
  <c r="Z2052" i="12"/>
  <c r="Z2040" i="12"/>
  <c r="Z3064" i="12"/>
  <c r="Z556" i="12"/>
  <c r="Z1388" i="12"/>
  <c r="Z1900" i="12"/>
  <c r="Z2412" i="12"/>
  <c r="Z2684" i="12"/>
  <c r="Z2940" i="12"/>
  <c r="Z3196" i="12"/>
  <c r="Z3452" i="12"/>
  <c r="Z176" i="12"/>
  <c r="Z432" i="12"/>
  <c r="Z688" i="12"/>
  <c r="Z944" i="12"/>
  <c r="Z1200" i="12"/>
  <c r="Z1456" i="12"/>
  <c r="Z1712" i="12"/>
  <c r="Z1968" i="12"/>
  <c r="Z2224" i="12"/>
  <c r="Z2480" i="12"/>
  <c r="Z2704" i="12"/>
  <c r="Z2832" i="12"/>
  <c r="Z2960" i="12"/>
  <c r="Z3088" i="12"/>
  <c r="Z3216" i="12"/>
  <c r="Z3344" i="12"/>
  <c r="Z3472" i="12"/>
  <c r="Z29" i="12"/>
  <c r="Z61" i="12"/>
  <c r="Z93" i="12"/>
  <c r="Z125" i="12"/>
  <c r="Z157" i="12"/>
  <c r="Z189" i="12"/>
  <c r="Z221" i="12"/>
  <c r="Z253" i="12"/>
  <c r="Z285" i="12"/>
  <c r="Z317" i="12"/>
  <c r="Z349" i="12"/>
  <c r="Z381" i="12"/>
  <c r="Z413" i="12"/>
  <c r="Z445" i="12"/>
  <c r="Z477" i="12"/>
  <c r="Z509" i="12"/>
  <c r="Z541" i="12"/>
  <c r="Z565" i="12"/>
  <c r="Z581" i="12"/>
  <c r="Z597" i="12"/>
  <c r="Z613" i="12"/>
  <c r="Z629" i="12"/>
  <c r="Z645" i="12"/>
  <c r="Z661" i="12"/>
  <c r="Z677" i="12"/>
  <c r="Z693" i="12"/>
  <c r="Z709" i="12"/>
  <c r="Z725" i="12"/>
  <c r="Z741" i="12"/>
  <c r="Z757" i="12"/>
  <c r="Z773" i="12"/>
  <c r="Z789" i="12"/>
  <c r="Z805" i="12"/>
  <c r="Z821" i="12"/>
  <c r="Z837" i="12"/>
  <c r="Z853" i="12"/>
  <c r="Z869" i="12"/>
  <c r="Z885" i="12"/>
  <c r="Z901" i="12"/>
  <c r="Z917" i="12"/>
  <c r="Z933" i="12"/>
  <c r="Z949" i="12"/>
  <c r="Z965" i="12"/>
  <c r="Z981" i="12"/>
  <c r="Z997" i="12"/>
  <c r="Z1013" i="12"/>
  <c r="Z1029" i="12"/>
  <c r="Z1045" i="12"/>
  <c r="Z1061" i="12"/>
  <c r="Z1077" i="12"/>
  <c r="Z1093" i="12"/>
  <c r="Z1109" i="12"/>
  <c r="Z1125" i="12"/>
  <c r="Z1141" i="12"/>
  <c r="Z1157" i="12"/>
  <c r="Z1173" i="12"/>
  <c r="Z1189" i="12"/>
  <c r="Z1205" i="12"/>
  <c r="Z1221" i="12"/>
  <c r="Z1237" i="12"/>
  <c r="Z1253" i="12"/>
  <c r="Z1269" i="12"/>
  <c r="Z1285" i="12"/>
  <c r="Z1301" i="12"/>
  <c r="Z1317" i="12"/>
  <c r="Z1333" i="12"/>
  <c r="Z1349" i="12"/>
  <c r="Z1365" i="12"/>
  <c r="Z1381" i="12"/>
  <c r="Z1397" i="12"/>
  <c r="Z1413" i="12"/>
  <c r="Z1429" i="12"/>
  <c r="Z1445" i="12"/>
  <c r="Z3076" i="12"/>
  <c r="Z2296" i="12"/>
  <c r="Z3320" i="12"/>
  <c r="Z812" i="12"/>
  <c r="Z1516" i="12"/>
  <c r="Z2028" i="12"/>
  <c r="Z2492" i="12"/>
  <c r="Z2748" i="12"/>
  <c r="Z3004" i="12"/>
  <c r="Z3260" i="12"/>
  <c r="Z3516" i="12"/>
  <c r="Z240" i="12"/>
  <c r="Z496" i="12"/>
  <c r="Z752" i="12"/>
  <c r="Z1008" i="12"/>
  <c r="Z1264" i="12"/>
  <c r="Z1520" i="12"/>
  <c r="Z1776" i="12"/>
  <c r="Z2032" i="12"/>
  <c r="Z2288" i="12"/>
  <c r="Z2544" i="12"/>
  <c r="Z2736" i="12"/>
  <c r="Z2864" i="12"/>
  <c r="Z2992" i="12"/>
  <c r="Z3120" i="12"/>
  <c r="Z3248" i="12"/>
  <c r="Z3376" i="12"/>
  <c r="Z3504" i="12"/>
  <c r="Z37" i="12"/>
  <c r="Z69" i="12"/>
  <c r="Z101" i="12"/>
  <c r="Z133" i="12"/>
  <c r="Z165" i="12"/>
  <c r="Z197" i="12"/>
  <c r="Z229" i="12"/>
  <c r="Z261" i="12"/>
  <c r="Z293" i="12"/>
  <c r="Z325" i="12"/>
  <c r="Z357" i="12"/>
  <c r="Z389" i="12"/>
  <c r="Z421" i="12"/>
  <c r="Z453" i="12"/>
  <c r="Z485" i="12"/>
  <c r="Z517" i="12"/>
  <c r="Z549" i="12"/>
  <c r="Z569" i="12"/>
  <c r="Z585" i="12"/>
  <c r="Z601" i="12"/>
  <c r="Z617" i="12"/>
  <c r="Z633" i="12"/>
  <c r="Z649" i="12"/>
  <c r="Z665" i="12"/>
  <c r="Z681" i="12"/>
  <c r="Z697" i="12"/>
  <c r="Z713" i="12"/>
  <c r="Z729" i="12"/>
  <c r="Z745" i="12"/>
  <c r="Z761" i="12"/>
  <c r="Z777" i="12"/>
  <c r="Z793" i="12"/>
  <c r="Z809" i="12"/>
  <c r="Z825" i="12"/>
  <c r="Z841" i="12"/>
  <c r="Z857" i="12"/>
  <c r="Z873" i="12"/>
  <c r="Z889" i="12"/>
  <c r="Z905" i="12"/>
  <c r="Z921" i="12"/>
  <c r="Z937" i="12"/>
  <c r="Z953" i="12"/>
  <c r="Z969" i="12"/>
  <c r="Z985" i="12"/>
  <c r="Z1001" i="12"/>
  <c r="Z1017" i="12"/>
  <c r="Z1033" i="12"/>
  <c r="Z1049" i="12"/>
  <c r="Z1065" i="12"/>
  <c r="Z1081" i="12"/>
  <c r="Z1097" i="12"/>
  <c r="Z1113" i="12"/>
  <c r="Z1129" i="12"/>
  <c r="Z1145" i="12"/>
  <c r="Z1161" i="12"/>
  <c r="Z1177" i="12"/>
  <c r="Z1193" i="12"/>
  <c r="Z1209" i="12"/>
  <c r="Z1225" i="12"/>
  <c r="Z1241" i="12"/>
  <c r="Z1257" i="12"/>
  <c r="Z1273" i="12"/>
  <c r="Z1289" i="12"/>
  <c r="Z1305" i="12"/>
  <c r="Z1321" i="12"/>
  <c r="Z1337" i="12"/>
  <c r="Z1353" i="12"/>
  <c r="Z1369" i="12"/>
  <c r="Z1385" i="12"/>
  <c r="Z1401" i="12"/>
  <c r="Z1417" i="12"/>
  <c r="Z1433" i="12"/>
  <c r="Z1449" i="12"/>
  <c r="Z1465" i="12"/>
  <c r="Z1481" i="12"/>
  <c r="Z1497" i="12"/>
  <c r="Z1513" i="12"/>
  <c r="Z1529" i="12"/>
  <c r="Z1545" i="12"/>
  <c r="Z1561" i="12"/>
  <c r="Z1577" i="12"/>
  <c r="Z1593" i="12"/>
  <c r="Z1609" i="12"/>
  <c r="Z1625" i="12"/>
  <c r="Z1641" i="12"/>
  <c r="Z1657" i="12"/>
  <c r="Z1673" i="12"/>
  <c r="Z1689" i="12"/>
  <c r="Z1705" i="12"/>
  <c r="Z1721" i="12"/>
  <c r="Z1737" i="12"/>
  <c r="Z1753" i="12"/>
  <c r="Z1769" i="12"/>
  <c r="Z1785" i="12"/>
  <c r="Z1801" i="12"/>
  <c r="Z1817" i="12"/>
  <c r="Z1833" i="12"/>
  <c r="Z1849" i="12"/>
  <c r="Z1865" i="12"/>
  <c r="Z1881" i="12"/>
  <c r="Z1897" i="12"/>
  <c r="Z1913" i="12"/>
  <c r="Z1929" i="12"/>
  <c r="Z1945" i="12"/>
  <c r="Z1961" i="12"/>
  <c r="Z1977" i="12"/>
  <c r="Z1993" i="12"/>
  <c r="Z2009" i="12"/>
  <c r="Z2025" i="12"/>
  <c r="Z2041" i="12"/>
  <c r="Z2057" i="12"/>
  <c r="Z2073" i="12"/>
  <c r="Z2089" i="12"/>
  <c r="Z2105" i="12"/>
  <c r="Z2121" i="12"/>
  <c r="Z2137" i="12"/>
  <c r="Z2153" i="12"/>
  <c r="Z2169" i="12"/>
  <c r="Z2185" i="12"/>
  <c r="Z2201" i="12"/>
  <c r="Z2217" i="12"/>
  <c r="Z2233" i="12"/>
  <c r="Z2249" i="12"/>
  <c r="Z2265" i="12"/>
  <c r="Z2281" i="12"/>
  <c r="Z2297" i="12"/>
  <c r="Z2313" i="12"/>
  <c r="Z2329" i="12"/>
  <c r="Z2345" i="12"/>
  <c r="Z2361" i="12"/>
  <c r="Z2377" i="12"/>
  <c r="Z2393" i="12"/>
  <c r="Z2409" i="12"/>
  <c r="Z2425" i="12"/>
  <c r="Z2441" i="12"/>
  <c r="Z2457" i="12"/>
  <c r="Z2473" i="12"/>
  <c r="Z2489" i="12"/>
  <c r="Z2505" i="12"/>
  <c r="Z2521" i="12"/>
  <c r="Z2537" i="12"/>
  <c r="Z2553" i="12"/>
  <c r="Z568" i="12"/>
  <c r="Z1644" i="12"/>
  <c r="Z3068" i="12"/>
  <c r="Z560" i="12"/>
  <c r="Z1584" i="12"/>
  <c r="Z2608" i="12"/>
  <c r="Z3152" i="12"/>
  <c r="Z45" i="12"/>
  <c r="Z173" i="12"/>
  <c r="Z301" i="12"/>
  <c r="Z429" i="12"/>
  <c r="Z557" i="12"/>
  <c r="Z621" i="12"/>
  <c r="Z685" i="12"/>
  <c r="Z749" i="12"/>
  <c r="Z813" i="12"/>
  <c r="Z877" i="12"/>
  <c r="Z941" i="12"/>
  <c r="Z1005" i="12"/>
  <c r="Z1069" i="12"/>
  <c r="Z1133" i="12"/>
  <c r="Z1197" i="12"/>
  <c r="Z1261" i="12"/>
  <c r="Z1325" i="12"/>
  <c r="Z1389" i="12"/>
  <c r="Z1453" i="12"/>
  <c r="Z1485" i="12"/>
  <c r="Z1517" i="12"/>
  <c r="Z1549" i="12"/>
  <c r="Z1581" i="12"/>
  <c r="Z1613" i="12"/>
  <c r="Z1645" i="12"/>
  <c r="Z1677" i="12"/>
  <c r="Z1709" i="12"/>
  <c r="Z1741" i="12"/>
  <c r="Z1773" i="12"/>
  <c r="Z1805" i="12"/>
  <c r="Z1837" i="12"/>
  <c r="Z1869" i="12"/>
  <c r="Z1901" i="12"/>
  <c r="Z1933" i="12"/>
  <c r="Z1965" i="12"/>
  <c r="Z1997" i="12"/>
  <c r="Z2029" i="12"/>
  <c r="Z2061" i="12"/>
  <c r="Z2093" i="12"/>
  <c r="Z2125" i="12"/>
  <c r="Z2157" i="12"/>
  <c r="Z2189" i="12"/>
  <c r="Z2221" i="12"/>
  <c r="Z2253" i="12"/>
  <c r="Z2285" i="12"/>
  <c r="Z2317" i="12"/>
  <c r="Z2349" i="12"/>
  <c r="Z2381" i="12"/>
  <c r="Z2413" i="12"/>
  <c r="Z2445" i="12"/>
  <c r="Z2477" i="12"/>
  <c r="Z2509" i="12"/>
  <c r="Z2541" i="12"/>
  <c r="Z2565" i="12"/>
  <c r="Z2581" i="12"/>
  <c r="Z2597" i="12"/>
  <c r="Z2613" i="12"/>
  <c r="Z2629" i="12"/>
  <c r="Z2645" i="12"/>
  <c r="Z2661" i="12"/>
  <c r="Z2677" i="12"/>
  <c r="Z2693" i="12"/>
  <c r="Z2709" i="12"/>
  <c r="Z2725" i="12"/>
  <c r="Z2741" i="12"/>
  <c r="Z2757" i="12"/>
  <c r="Z2773" i="12"/>
  <c r="Z2789" i="12"/>
  <c r="Z2805" i="12"/>
  <c r="Z2821" i="12"/>
  <c r="Z2837" i="12"/>
  <c r="Z2853" i="12"/>
  <c r="Z2869" i="12"/>
  <c r="Z2885" i="12"/>
  <c r="Z2901" i="12"/>
  <c r="Z2917" i="12"/>
  <c r="Z2933" i="12"/>
  <c r="Z2949" i="12"/>
  <c r="Z2965" i="12"/>
  <c r="Z2981" i="12"/>
  <c r="Z2997" i="12"/>
  <c r="Z3013" i="12"/>
  <c r="Z3029" i="12"/>
  <c r="Z3045" i="12"/>
  <c r="Z3061" i="12"/>
  <c r="Z3077" i="12"/>
  <c r="Z3093" i="12"/>
  <c r="Z3109" i="12"/>
  <c r="Z3125" i="12"/>
  <c r="Z3141" i="12"/>
  <c r="Z3157" i="12"/>
  <c r="Z3173" i="12"/>
  <c r="Z3189" i="12"/>
  <c r="Z3205" i="12"/>
  <c r="Z3221" i="12"/>
  <c r="Z3237" i="12"/>
  <c r="Z3253" i="12"/>
  <c r="Z3269" i="12"/>
  <c r="Z3285" i="12"/>
  <c r="Z3301" i="12"/>
  <c r="Z3317" i="12"/>
  <c r="Z3333" i="12"/>
  <c r="Z3349" i="12"/>
  <c r="Z3365" i="12"/>
  <c r="Z3381" i="12"/>
  <c r="Z3397" i="12"/>
  <c r="Z3413" i="12"/>
  <c r="Z3429" i="12"/>
  <c r="Z3445" i="12"/>
  <c r="Z3461" i="12"/>
  <c r="Z3477" i="12"/>
  <c r="Z3493" i="12"/>
  <c r="Z3509" i="12"/>
  <c r="Z3525" i="12"/>
  <c r="Z3541" i="12"/>
  <c r="Z26" i="12"/>
  <c r="Z42" i="12"/>
  <c r="Z58" i="12"/>
  <c r="Z74" i="12"/>
  <c r="Z90" i="12"/>
  <c r="Z106" i="12"/>
  <c r="Z122" i="12"/>
  <c r="Z138" i="12"/>
  <c r="Z154" i="12"/>
  <c r="Z170" i="12"/>
  <c r="Z186" i="12"/>
  <c r="Z202" i="12"/>
  <c r="Z218" i="12"/>
  <c r="Z234" i="12"/>
  <c r="Z250" i="12"/>
  <c r="Z266" i="12"/>
  <c r="Z282" i="12"/>
  <c r="Z298" i="12"/>
  <c r="Z314" i="12"/>
  <c r="Z330" i="12"/>
  <c r="Z346" i="12"/>
  <c r="Z362" i="12"/>
  <c r="Z378" i="12"/>
  <c r="Z394" i="12"/>
  <c r="Z410" i="12"/>
  <c r="Z426" i="12"/>
  <c r="Z442" i="12"/>
  <c r="Z458" i="12"/>
  <c r="Z474" i="12"/>
  <c r="Z490" i="12"/>
  <c r="Z506" i="12"/>
  <c r="Z522" i="12"/>
  <c r="Z538" i="12"/>
  <c r="Z554" i="12"/>
  <c r="Z570" i="12"/>
  <c r="Z586" i="12"/>
  <c r="Z602" i="12"/>
  <c r="Z618" i="12"/>
  <c r="Z634" i="12"/>
  <c r="Z650" i="12"/>
  <c r="Z666" i="12"/>
  <c r="Z682" i="12"/>
  <c r="Z698" i="12"/>
  <c r="Z714" i="12"/>
  <c r="Z730" i="12"/>
  <c r="Z746" i="12"/>
  <c r="Z762" i="12"/>
  <c r="Z778" i="12"/>
  <c r="Z794" i="12"/>
  <c r="Z2552" i="12"/>
  <c r="Z2156" i="12"/>
  <c r="Z3324" i="12"/>
  <c r="Z816" i="12"/>
  <c r="Z1840" i="12"/>
  <c r="Z2768" i="12"/>
  <c r="Z3280" i="12"/>
  <c r="Z77" i="12"/>
  <c r="Z205" i="12"/>
  <c r="Z333" i="12"/>
  <c r="Z461" i="12"/>
  <c r="Z573" i="12"/>
  <c r="Z637" i="12"/>
  <c r="Z701" i="12"/>
  <c r="Z765" i="12"/>
  <c r="Z829" i="12"/>
  <c r="Z893" i="12"/>
  <c r="Z957" i="12"/>
  <c r="Z1021" i="12"/>
  <c r="Z1085" i="12"/>
  <c r="Z1149" i="12"/>
  <c r="Z1213" i="12"/>
  <c r="Z1277" i="12"/>
  <c r="Z1341" i="12"/>
  <c r="Z1405" i="12"/>
  <c r="Z1461" i="12"/>
  <c r="Z1493" i="12"/>
  <c r="Z1525" i="12"/>
  <c r="Z1557" i="12"/>
  <c r="Z1589" i="12"/>
  <c r="Z1621" i="12"/>
  <c r="Z1653" i="12"/>
  <c r="Z1685" i="12"/>
  <c r="Z1717" i="12"/>
  <c r="Z1749" i="12"/>
  <c r="Z1781" i="12"/>
  <c r="Z1813" i="12"/>
  <c r="Z1845" i="12"/>
  <c r="Z1877" i="12"/>
  <c r="Z1909" i="12"/>
  <c r="Z1941" i="12"/>
  <c r="Z1973" i="12"/>
  <c r="Z2005" i="12"/>
  <c r="Z2037" i="12"/>
  <c r="Z2069" i="12"/>
  <c r="Z2101" i="12"/>
  <c r="Z2133" i="12"/>
  <c r="Z2165" i="12"/>
  <c r="Z2197" i="12"/>
  <c r="Z2229" i="12"/>
  <c r="Z2261" i="12"/>
  <c r="Z2293" i="12"/>
  <c r="Z2325" i="12"/>
  <c r="Z2357" i="12"/>
  <c r="Z2389" i="12"/>
  <c r="Z2421" i="12"/>
  <c r="Z2453" i="12"/>
  <c r="Z2485" i="12"/>
  <c r="Z2517" i="12"/>
  <c r="Z2549" i="12"/>
  <c r="Z2569" i="12"/>
  <c r="Z2585" i="12"/>
  <c r="Z2601" i="12"/>
  <c r="Z2617" i="12"/>
  <c r="Z2633" i="12"/>
  <c r="Z2649" i="12"/>
  <c r="Z2665" i="12"/>
  <c r="Z2681" i="12"/>
  <c r="Z2697" i="12"/>
  <c r="Z2713" i="12"/>
  <c r="Z2729" i="12"/>
  <c r="Z2745" i="12"/>
  <c r="Z2761" i="12"/>
  <c r="Z2777" i="12"/>
  <c r="Z2793" i="12"/>
  <c r="Z2809" i="12"/>
  <c r="Z2825" i="12"/>
  <c r="Z2841" i="12"/>
  <c r="Z2857" i="12"/>
  <c r="Z2873" i="12"/>
  <c r="Z2889" i="12"/>
  <c r="Z2905" i="12"/>
  <c r="Z2921" i="12"/>
  <c r="Z2937" i="12"/>
  <c r="Z2953" i="12"/>
  <c r="Z2969" i="12"/>
  <c r="Z2985" i="12"/>
  <c r="Z3001" i="12"/>
  <c r="Z3017" i="12"/>
  <c r="Z3033" i="12"/>
  <c r="Z44" i="12"/>
  <c r="Z2556" i="12"/>
  <c r="Z48" i="12"/>
  <c r="Z1072" i="12"/>
  <c r="Z2096" i="12"/>
  <c r="Z2896" i="12"/>
  <c r="Z3408" i="12"/>
  <c r="Z109" i="12"/>
  <c r="Z237" i="12"/>
  <c r="Z365" i="12"/>
  <c r="Z493" i="12"/>
  <c r="Z589" i="12"/>
  <c r="Z653" i="12"/>
  <c r="Z717" i="12"/>
  <c r="Z781" i="12"/>
  <c r="Z845" i="12"/>
  <c r="Z909" i="12"/>
  <c r="Z973" i="12"/>
  <c r="Z1037" i="12"/>
  <c r="Z1101" i="12"/>
  <c r="Z1165" i="12"/>
  <c r="Z1229" i="12"/>
  <c r="Z1293" i="12"/>
  <c r="Z1357" i="12"/>
  <c r="Z1421" i="12"/>
  <c r="Z1469" i="12"/>
  <c r="Z1501" i="12"/>
  <c r="Z1533" i="12"/>
  <c r="Z1565" i="12"/>
  <c r="Z1597" i="12"/>
  <c r="Z1629" i="12"/>
  <c r="Z1661" i="12"/>
  <c r="Z1693" i="12"/>
  <c r="Z1725" i="12"/>
  <c r="Z1757" i="12"/>
  <c r="Z1789" i="12"/>
  <c r="Z1821" i="12"/>
  <c r="Z1853" i="12"/>
  <c r="Z1885" i="12"/>
  <c r="Z1917" i="12"/>
  <c r="Z1949" i="12"/>
  <c r="Z1981" i="12"/>
  <c r="Z2013" i="12"/>
  <c r="Z2045" i="12"/>
  <c r="Z2077" i="12"/>
  <c r="Z2109" i="12"/>
  <c r="Z2141" i="12"/>
  <c r="Z2173" i="12"/>
  <c r="Z2205" i="12"/>
  <c r="Z2237" i="12"/>
  <c r="Z2269" i="12"/>
  <c r="Z2301" i="12"/>
  <c r="Z2333" i="12"/>
  <c r="Z2365" i="12"/>
  <c r="Z2397" i="12"/>
  <c r="Z2429" i="12"/>
  <c r="Z2461" i="12"/>
  <c r="Z2493" i="12"/>
  <c r="Z2525" i="12"/>
  <c r="Z2557" i="12"/>
  <c r="Z2573" i="12"/>
  <c r="Z2589" i="12"/>
  <c r="Z2605" i="12"/>
  <c r="Z2621" i="12"/>
  <c r="Z2637" i="12"/>
  <c r="Z2653" i="12"/>
  <c r="Z2669" i="12"/>
  <c r="Z2685" i="12"/>
  <c r="Z2701" i="12"/>
  <c r="Z2717" i="12"/>
  <c r="Z2733" i="12"/>
  <c r="Z2749" i="12"/>
  <c r="Z2765" i="12"/>
  <c r="Z2781" i="12"/>
  <c r="Z2797" i="12"/>
  <c r="Z2813" i="12"/>
  <c r="Z2829" i="12"/>
  <c r="Z2845" i="12"/>
  <c r="Z2861" i="12"/>
  <c r="Z2877" i="12"/>
  <c r="Z2893" i="12"/>
  <c r="Z2909" i="12"/>
  <c r="Z2925" i="12"/>
  <c r="Z2941" i="12"/>
  <c r="Z2957" i="12"/>
  <c r="Z2973" i="12"/>
  <c r="Z2989" i="12"/>
  <c r="Z3005" i="12"/>
  <c r="Z3021" i="12"/>
  <c r="Z3037" i="12"/>
  <c r="Z3053" i="12"/>
  <c r="Z3069" i="12"/>
  <c r="Z3085" i="12"/>
  <c r="Z3101" i="12"/>
  <c r="Z3117" i="12"/>
  <c r="Z3133" i="12"/>
  <c r="Z3149" i="12"/>
  <c r="Z3165" i="12"/>
  <c r="Z3181" i="12"/>
  <c r="Z3197" i="12"/>
  <c r="Z3213" i="12"/>
  <c r="Z3229" i="12"/>
  <c r="Z3245" i="12"/>
  <c r="Z3261" i="12"/>
  <c r="Z3277" i="12"/>
  <c r="Z3293" i="12"/>
  <c r="Z3309" i="12"/>
  <c r="Z3325" i="12"/>
  <c r="Z3341" i="12"/>
  <c r="Z3357" i="12"/>
  <c r="Z3373" i="12"/>
  <c r="Z3389" i="12"/>
  <c r="Z3405" i="12"/>
  <c r="Z3421" i="12"/>
  <c r="Z3437" i="12"/>
  <c r="Z3453" i="12"/>
  <c r="Z3469" i="12"/>
  <c r="Z3485" i="12"/>
  <c r="Z3501" i="12"/>
  <c r="Z3517" i="12"/>
  <c r="Z3533" i="12"/>
  <c r="Z3549" i="12"/>
  <c r="Z34" i="12"/>
  <c r="Z50" i="12"/>
  <c r="Z66" i="12"/>
  <c r="Z82" i="12"/>
  <c r="Z98" i="12"/>
  <c r="Z114" i="12"/>
  <c r="Z130" i="12"/>
  <c r="Z146" i="12"/>
  <c r="Z162" i="12"/>
  <c r="Z178" i="12"/>
  <c r="Z194" i="12"/>
  <c r="Z210" i="12"/>
  <c r="Z226" i="12"/>
  <c r="Z242" i="12"/>
  <c r="Z258" i="12"/>
  <c r="Z274" i="12"/>
  <c r="Z290" i="12"/>
  <c r="Z306" i="12"/>
  <c r="Z322" i="12"/>
  <c r="Z338" i="12"/>
  <c r="Z354" i="12"/>
  <c r="Z370" i="12"/>
  <c r="Z386" i="12"/>
  <c r="Z402" i="12"/>
  <c r="Z418" i="12"/>
  <c r="Z434" i="12"/>
  <c r="Z450" i="12"/>
  <c r="Z466" i="12"/>
  <c r="Z482" i="12"/>
  <c r="Z498" i="12"/>
  <c r="Z514" i="12"/>
  <c r="Z530" i="12"/>
  <c r="Z546" i="12"/>
  <c r="Z562" i="12"/>
  <c r="Z578" i="12"/>
  <c r="Z594" i="12"/>
  <c r="Z610" i="12"/>
  <c r="Z626" i="12"/>
  <c r="Z642" i="12"/>
  <c r="Z658" i="12"/>
  <c r="Z674" i="12"/>
  <c r="Z690" i="12"/>
  <c r="Z706" i="12"/>
  <c r="Z722" i="12"/>
  <c r="Z738" i="12"/>
  <c r="Z754" i="12"/>
  <c r="Z770" i="12"/>
  <c r="Z786" i="12"/>
  <c r="Z1068" i="12"/>
  <c r="Z2352" i="12"/>
  <c r="Z269" i="12"/>
  <c r="Z669" i="12"/>
  <c r="Z925" i="12"/>
  <c r="Z1181" i="12"/>
  <c r="Z1437" i="12"/>
  <c r="Z1573" i="12"/>
  <c r="Z1701" i="12"/>
  <c r="Z1829" i="12"/>
  <c r="Z1957" i="12"/>
  <c r="Z2085" i="12"/>
  <c r="Z2213" i="12"/>
  <c r="Z2341" i="12"/>
  <c r="Z2469" i="12"/>
  <c r="Z2577" i="12"/>
  <c r="Z2641" i="12"/>
  <c r="Z2705" i="12"/>
  <c r="Z2769" i="12"/>
  <c r="Z2833" i="12"/>
  <c r="Z2897" i="12"/>
  <c r="Z2961" i="12"/>
  <c r="Z3025" i="12"/>
  <c r="Z3065" i="12"/>
  <c r="Z3097" i="12"/>
  <c r="Z3129" i="12"/>
  <c r="Z3161" i="12"/>
  <c r="Z3193" i="12"/>
  <c r="Z3225" i="12"/>
  <c r="Z3257" i="12"/>
  <c r="Z3289" i="12"/>
  <c r="Z3321" i="12"/>
  <c r="Z3353" i="12"/>
  <c r="Z3385" i="12"/>
  <c r="Z3417" i="12"/>
  <c r="Z3449" i="12"/>
  <c r="Z3481" i="12"/>
  <c r="Z3513" i="12"/>
  <c r="Z3545" i="12"/>
  <c r="Z46" i="12"/>
  <c r="Z78" i="12"/>
  <c r="Z110" i="12"/>
  <c r="Z142" i="12"/>
  <c r="Z174" i="12"/>
  <c r="Z206" i="12"/>
  <c r="Z238" i="12"/>
  <c r="Z270" i="12"/>
  <c r="Z302" i="12"/>
  <c r="Z334" i="12"/>
  <c r="Z366" i="12"/>
  <c r="Z398" i="12"/>
  <c r="Z430" i="12"/>
  <c r="Z462" i="12"/>
  <c r="Z494" i="12"/>
  <c r="Z526" i="12"/>
  <c r="Z558" i="12"/>
  <c r="Z590" i="12"/>
  <c r="Z622" i="12"/>
  <c r="Z654" i="12"/>
  <c r="Z686" i="12"/>
  <c r="Z718" i="12"/>
  <c r="Z750" i="12"/>
  <c r="Z782" i="12"/>
  <c r="Z806" i="12"/>
  <c r="Z822" i="12"/>
  <c r="Z838" i="12"/>
  <c r="Z854" i="12"/>
  <c r="Z870" i="12"/>
  <c r="Z886" i="12"/>
  <c r="Z902" i="12"/>
  <c r="Z918" i="12"/>
  <c r="Z934" i="12"/>
  <c r="Z950" i="12"/>
  <c r="Z966" i="12"/>
  <c r="Z982" i="12"/>
  <c r="Z998" i="12"/>
  <c r="Z1014" i="12"/>
  <c r="Z1030" i="12"/>
  <c r="Z1046" i="12"/>
  <c r="Z1062" i="12"/>
  <c r="Z1078" i="12"/>
  <c r="Z1094" i="12"/>
  <c r="Z1110" i="12"/>
  <c r="Z1126" i="12"/>
  <c r="Z1142" i="12"/>
  <c r="Z1158" i="12"/>
  <c r="Z1174" i="12"/>
  <c r="Z1190" i="12"/>
  <c r="Z1206" i="12"/>
  <c r="Z1222" i="12"/>
  <c r="Z1238" i="12"/>
  <c r="Z1254" i="12"/>
  <c r="Z1270" i="12"/>
  <c r="Z1286" i="12"/>
  <c r="Z1302" i="12"/>
  <c r="Z1318" i="12"/>
  <c r="Z1334" i="12"/>
  <c r="Z1350" i="12"/>
  <c r="Z1366" i="12"/>
  <c r="Z1382" i="12"/>
  <c r="Z1398" i="12"/>
  <c r="Z1414" i="12"/>
  <c r="Z1430" i="12"/>
  <c r="Z1446" i="12"/>
  <c r="Z1462" i="12"/>
  <c r="Z1478" i="12"/>
  <c r="Z1494" i="12"/>
  <c r="Z1510" i="12"/>
  <c r="Z1526" i="12"/>
  <c r="Z1542" i="12"/>
  <c r="Z1558" i="12"/>
  <c r="Z1574" i="12"/>
  <c r="Z1590" i="12"/>
  <c r="Z1606" i="12"/>
  <c r="Z1622" i="12"/>
  <c r="Z1638" i="12"/>
  <c r="Z1654" i="12"/>
  <c r="Z1670" i="12"/>
  <c r="Z1686" i="12"/>
  <c r="Z1702" i="12"/>
  <c r="Z1718" i="12"/>
  <c r="Z1734" i="12"/>
  <c r="Z1750" i="12"/>
  <c r="Z1766" i="12"/>
  <c r="Z1782" i="12"/>
  <c r="Z1798" i="12"/>
  <c r="Z1814" i="12"/>
  <c r="Z1830" i="12"/>
  <c r="Z1846" i="12"/>
  <c r="Z1862" i="12"/>
  <c r="Z1878" i="12"/>
  <c r="Z1894" i="12"/>
  <c r="Z1910" i="12"/>
  <c r="Z1926" i="12"/>
  <c r="Z1942" i="12"/>
  <c r="Z1958" i="12"/>
  <c r="Z1974" i="12"/>
  <c r="Z1990" i="12"/>
  <c r="Z2006" i="12"/>
  <c r="Z2022" i="12"/>
  <c r="Z2038" i="12"/>
  <c r="Z2054" i="12"/>
  <c r="Z2070" i="12"/>
  <c r="Z2086" i="12"/>
  <c r="Z2102" i="12"/>
  <c r="Z2118" i="12"/>
  <c r="Z2134" i="12"/>
  <c r="Z2150" i="12"/>
  <c r="Z2166" i="12"/>
  <c r="Z2182" i="12"/>
  <c r="Z2198" i="12"/>
  <c r="Z2214" i="12"/>
  <c r="Z2230" i="12"/>
  <c r="Z2246" i="12"/>
  <c r="Z2262" i="12"/>
  <c r="Z2278" i="12"/>
  <c r="Z2294" i="12"/>
  <c r="Z2310" i="12"/>
  <c r="Z2326" i="12"/>
  <c r="Z2342" i="12"/>
  <c r="Z2358" i="12"/>
  <c r="Z2374" i="12"/>
  <c r="Z2390" i="12"/>
  <c r="Z2406" i="12"/>
  <c r="Z2422" i="12"/>
  <c r="Z2438" i="12"/>
  <c r="Z2454" i="12"/>
  <c r="Z2470" i="12"/>
  <c r="Z2486" i="12"/>
  <c r="Z2502" i="12"/>
  <c r="Z2518" i="12"/>
  <c r="Z2534" i="12"/>
  <c r="Z2550" i="12"/>
  <c r="Z2566" i="12"/>
  <c r="Z2582" i="12"/>
  <c r="Z2598" i="12"/>
  <c r="Z2614" i="12"/>
  <c r="Z2630" i="12"/>
  <c r="Z2646" i="12"/>
  <c r="Z2662" i="12"/>
  <c r="Z2678" i="12"/>
  <c r="Z2694" i="12"/>
  <c r="Z2710" i="12"/>
  <c r="Z2726" i="12"/>
  <c r="Z2742" i="12"/>
  <c r="Z2758" i="12"/>
  <c r="Z2774" i="12"/>
  <c r="Z2790" i="12"/>
  <c r="Z2806" i="12"/>
  <c r="Z2822" i="12"/>
  <c r="Z2838" i="12"/>
  <c r="Z2854" i="12"/>
  <c r="Z2870" i="12"/>
  <c r="Z2886" i="12"/>
  <c r="Z2902" i="12"/>
  <c r="Z2918" i="12"/>
  <c r="Z2934" i="12"/>
  <c r="Z2950" i="12"/>
  <c r="Z2966" i="12"/>
  <c r="Z2982" i="12"/>
  <c r="Z2998" i="12"/>
  <c r="Z3014" i="12"/>
  <c r="Z3030" i="12"/>
  <c r="Z3046" i="12"/>
  <c r="Z3062" i="12"/>
  <c r="Z3078" i="12"/>
  <c r="Z3094" i="12"/>
  <c r="Z3110" i="12"/>
  <c r="Z3126" i="12"/>
  <c r="Z3142" i="12"/>
  <c r="Z3158" i="12"/>
  <c r="Z3174" i="12"/>
  <c r="Z3190" i="12"/>
  <c r="Z3206" i="12"/>
  <c r="Z3222" i="12"/>
  <c r="Z3238" i="12"/>
  <c r="Z3254" i="12"/>
  <c r="Z3270" i="12"/>
  <c r="Z3286" i="12"/>
  <c r="Z3302" i="12"/>
  <c r="Z3318" i="12"/>
  <c r="Z3334" i="12"/>
  <c r="Z3350" i="12"/>
  <c r="Z3366" i="12"/>
  <c r="Z3382" i="12"/>
  <c r="Z3398" i="12"/>
  <c r="Z3414" i="12"/>
  <c r="Z3430" i="12"/>
  <c r="Z3446" i="12"/>
  <c r="Z3462" i="12"/>
  <c r="Z3478" i="12"/>
  <c r="Z3494" i="12"/>
  <c r="Z3510" i="12"/>
  <c r="Z3526" i="12"/>
  <c r="Z3542" i="12"/>
  <c r="Z23" i="12"/>
  <c r="Z39" i="12"/>
  <c r="Z55" i="12"/>
  <c r="Z71" i="12"/>
  <c r="Z87" i="12"/>
  <c r="Z103" i="12"/>
  <c r="Z119" i="12"/>
  <c r="Z135" i="12"/>
  <c r="Z151" i="12"/>
  <c r="Z167" i="12"/>
  <c r="Z183" i="12"/>
  <c r="Z199" i="12"/>
  <c r="Z215" i="12"/>
  <c r="Z231" i="12"/>
  <c r="Z247" i="12"/>
  <c r="Z263" i="12"/>
  <c r="Z279" i="12"/>
  <c r="Z295" i="12"/>
  <c r="Z311" i="12"/>
  <c r="Z327" i="12"/>
  <c r="Z343" i="12"/>
  <c r="Z359" i="12"/>
  <c r="Z375" i="12"/>
  <c r="Z391" i="12"/>
  <c r="Z407" i="12"/>
  <c r="Z423" i="12"/>
  <c r="Z439" i="12"/>
  <c r="Z455" i="12"/>
  <c r="Z471" i="12"/>
  <c r="Z487" i="12"/>
  <c r="Z503" i="12"/>
  <c r="Z519" i="12"/>
  <c r="Z535" i="12"/>
  <c r="Z551" i="12"/>
  <c r="Z567" i="12"/>
  <c r="Z583" i="12"/>
  <c r="Z599" i="12"/>
  <c r="Z615" i="12"/>
  <c r="Z631" i="12"/>
  <c r="Z647" i="12"/>
  <c r="Z663" i="12"/>
  <c r="Z679" i="12"/>
  <c r="Z695" i="12"/>
  <c r="Z711" i="12"/>
  <c r="Z727" i="12"/>
  <c r="Z743" i="12"/>
  <c r="Z759" i="12"/>
  <c r="Z775" i="12"/>
  <c r="Z791" i="12"/>
  <c r="Z807" i="12"/>
  <c r="Z823" i="12"/>
  <c r="Z839" i="12"/>
  <c r="Z855" i="12"/>
  <c r="Z2812" i="12"/>
  <c r="Z3024" i="12"/>
  <c r="Z397" i="12"/>
  <c r="Z733" i="12"/>
  <c r="Z989" i="12"/>
  <c r="Z1245" i="12"/>
  <c r="Z1477" i="12"/>
  <c r="Z1605" i="12"/>
  <c r="Z1733" i="12"/>
  <c r="Z1861" i="12"/>
  <c r="Z1989" i="12"/>
  <c r="Z2117" i="12"/>
  <c r="Z2245" i="12"/>
  <c r="Z2373" i="12"/>
  <c r="Z2501" i="12"/>
  <c r="Z2593" i="12"/>
  <c r="Z2657" i="12"/>
  <c r="Z2721" i="12"/>
  <c r="Z2785" i="12"/>
  <c r="Z2849" i="12"/>
  <c r="Z2913" i="12"/>
  <c r="Z2977" i="12"/>
  <c r="Z3041" i="12"/>
  <c r="Z3073" i="12"/>
  <c r="Z3105" i="12"/>
  <c r="Z3137" i="12"/>
  <c r="Z3169" i="12"/>
  <c r="Z3201" i="12"/>
  <c r="Z3233" i="12"/>
  <c r="Z3265" i="12"/>
  <c r="Z3297" i="12"/>
  <c r="Z3329" i="12"/>
  <c r="Z3361" i="12"/>
  <c r="Z3393" i="12"/>
  <c r="Z3425" i="12"/>
  <c r="Z3457" i="12"/>
  <c r="Z3489" i="12"/>
  <c r="Z3521" i="12"/>
  <c r="Z22" i="12"/>
  <c r="Z54" i="12"/>
  <c r="Z86" i="12"/>
  <c r="Z118" i="12"/>
  <c r="Z150" i="12"/>
  <c r="Z182" i="12"/>
  <c r="Z214" i="12"/>
  <c r="Z246" i="12"/>
  <c r="Z278" i="12"/>
  <c r="Z310" i="12"/>
  <c r="Z342" i="12"/>
  <c r="Z374" i="12"/>
  <c r="Z406" i="12"/>
  <c r="Z438" i="12"/>
  <c r="Z470" i="12"/>
  <c r="Z502" i="12"/>
  <c r="Z534" i="12"/>
  <c r="Z566" i="12"/>
  <c r="Z598" i="12"/>
  <c r="Z630" i="12"/>
  <c r="Z662" i="12"/>
  <c r="Z694" i="12"/>
  <c r="Z726" i="12"/>
  <c r="Z758" i="12"/>
  <c r="Z790" i="12"/>
  <c r="Z810" i="12"/>
  <c r="Z826" i="12"/>
  <c r="Z842" i="12"/>
  <c r="Z858" i="12"/>
  <c r="Z874" i="12"/>
  <c r="Z890" i="12"/>
  <c r="Z906" i="12"/>
  <c r="Z922" i="12"/>
  <c r="Z938" i="12"/>
  <c r="Z954" i="12"/>
  <c r="Z970" i="12"/>
  <c r="Z986" i="12"/>
  <c r="Z1002" i="12"/>
  <c r="Z1018" i="12"/>
  <c r="Z1034" i="12"/>
  <c r="Z1050" i="12"/>
  <c r="Z1066" i="12"/>
  <c r="Z1082" i="12"/>
  <c r="Z1098" i="12"/>
  <c r="Z1114" i="12"/>
  <c r="Z1130" i="12"/>
  <c r="Z1146" i="12"/>
  <c r="Z1162" i="12"/>
  <c r="Z1178" i="12"/>
  <c r="Z1194" i="12"/>
  <c r="Z1210" i="12"/>
  <c r="Z1226" i="12"/>
  <c r="Z1242" i="12"/>
  <c r="Z1258" i="12"/>
  <c r="Z1274" i="12"/>
  <c r="Z1290" i="12"/>
  <c r="Z1306" i="12"/>
  <c r="Z1322" i="12"/>
  <c r="Z1338" i="12"/>
  <c r="Z1354" i="12"/>
  <c r="Z1370" i="12"/>
  <c r="Z1386" i="12"/>
  <c r="Z1402" i="12"/>
  <c r="Z1418" i="12"/>
  <c r="Z1434" i="12"/>
  <c r="Z1450" i="12"/>
  <c r="Z1466" i="12"/>
  <c r="Z1482" i="12"/>
  <c r="Z1498" i="12"/>
  <c r="Z1514" i="12"/>
  <c r="Z1530" i="12"/>
  <c r="Z1546" i="12"/>
  <c r="Z1562" i="12"/>
  <c r="Z1578" i="12"/>
  <c r="Z1594" i="12"/>
  <c r="Z1610" i="12"/>
  <c r="Z1626" i="12"/>
  <c r="Z1642" i="12"/>
  <c r="Z1658" i="12"/>
  <c r="Z1674" i="12"/>
  <c r="Z1690" i="12"/>
  <c r="Z1706" i="12"/>
  <c r="Z1722" i="12"/>
  <c r="Z1738" i="12"/>
  <c r="Z1754" i="12"/>
  <c r="Z1770" i="12"/>
  <c r="Z1786" i="12"/>
  <c r="Z1802" i="12"/>
  <c r="Z1818" i="12"/>
  <c r="Z1834" i="12"/>
  <c r="Z1850" i="12"/>
  <c r="Z1866" i="12"/>
  <c r="Z1882" i="12"/>
  <c r="Z1898" i="12"/>
  <c r="Z1914" i="12"/>
  <c r="Z1930" i="12"/>
  <c r="Z1946" i="12"/>
  <c r="Z1962" i="12"/>
  <c r="Z1978" i="12"/>
  <c r="Z1994" i="12"/>
  <c r="Z2010" i="12"/>
  <c r="Z2026" i="12"/>
  <c r="Z2042" i="12"/>
  <c r="Z2058" i="12"/>
  <c r="Z2074" i="12"/>
  <c r="Z2090" i="12"/>
  <c r="Z2106" i="12"/>
  <c r="Z2122" i="12"/>
  <c r="Z2138" i="12"/>
  <c r="Z2154" i="12"/>
  <c r="Z2170" i="12"/>
  <c r="Z2186" i="12"/>
  <c r="Z2202" i="12"/>
  <c r="Z2218" i="12"/>
  <c r="Z2234" i="12"/>
  <c r="Z2250" i="12"/>
  <c r="Z2266" i="12"/>
  <c r="Z2282" i="12"/>
  <c r="Z2298" i="12"/>
  <c r="Z2314" i="12"/>
  <c r="Z2330" i="12"/>
  <c r="Z2346" i="12"/>
  <c r="Z2362" i="12"/>
  <c r="Z2378" i="12"/>
  <c r="Z2394" i="12"/>
  <c r="Z2410" i="12"/>
  <c r="Z2426" i="12"/>
  <c r="Z2442" i="12"/>
  <c r="Z2458" i="12"/>
  <c r="Z2474" i="12"/>
  <c r="Z2490" i="12"/>
  <c r="Z2506" i="12"/>
  <c r="Z304" i="12"/>
  <c r="Z3536" i="12"/>
  <c r="Z525" i="12"/>
  <c r="Z797" i="12"/>
  <c r="Z1053" i="12"/>
  <c r="Z1309" i="12"/>
  <c r="Z1509" i="12"/>
  <c r="Z1637" i="12"/>
  <c r="Z1765" i="12"/>
  <c r="Z1893" i="12"/>
  <c r="Z2021" i="12"/>
  <c r="Z2149" i="12"/>
  <c r="Z2277" i="12"/>
  <c r="Z2405" i="12"/>
  <c r="Z2533" i="12"/>
  <c r="Z2609" i="12"/>
  <c r="Z2673" i="12"/>
  <c r="Z2737" i="12"/>
  <c r="Z2801" i="12"/>
  <c r="Z2865" i="12"/>
  <c r="Z2929" i="12"/>
  <c r="Z2993" i="12"/>
  <c r="Z3049" i="12"/>
  <c r="Z3081" i="12"/>
  <c r="Z3113" i="12"/>
  <c r="Z3145" i="12"/>
  <c r="Z3177" i="12"/>
  <c r="Z3209" i="12"/>
  <c r="Z3241" i="12"/>
  <c r="Z3273" i="12"/>
  <c r="Z3305" i="12"/>
  <c r="Z3337" i="12"/>
  <c r="Z3369" i="12"/>
  <c r="Z3401" i="12"/>
  <c r="Z3433" i="12"/>
  <c r="Z3465" i="12"/>
  <c r="Z3497" i="12"/>
  <c r="Z3529" i="12"/>
  <c r="Z30" i="12"/>
  <c r="Z62" i="12"/>
  <c r="Z94" i="12"/>
  <c r="Z126" i="12"/>
  <c r="Z158" i="12"/>
  <c r="Z190" i="12"/>
  <c r="Z222" i="12"/>
  <c r="Z254" i="12"/>
  <c r="Z286" i="12"/>
  <c r="Z318" i="12"/>
  <c r="Z350" i="12"/>
  <c r="Z382" i="12"/>
  <c r="Z414" i="12"/>
  <c r="Z446" i="12"/>
  <c r="Z478" i="12"/>
  <c r="Z510" i="12"/>
  <c r="Z542" i="12"/>
  <c r="Z574" i="12"/>
  <c r="Z606" i="12"/>
  <c r="Z638" i="12"/>
  <c r="Z670" i="12"/>
  <c r="Z702" i="12"/>
  <c r="Z734" i="12"/>
  <c r="Z766" i="12"/>
  <c r="Z798" i="12"/>
  <c r="Z814" i="12"/>
  <c r="Z830" i="12"/>
  <c r="Z846" i="12"/>
  <c r="Z862" i="12"/>
  <c r="Z878" i="12"/>
  <c r="Z894" i="12"/>
  <c r="Z910" i="12"/>
  <c r="Z926" i="12"/>
  <c r="Z942" i="12"/>
  <c r="Z958" i="12"/>
  <c r="Z974" i="12"/>
  <c r="Z990" i="12"/>
  <c r="Z1006" i="12"/>
  <c r="Z1022" i="12"/>
  <c r="Z1038" i="12"/>
  <c r="Z1054" i="12"/>
  <c r="Z1070" i="12"/>
  <c r="Z1086" i="12"/>
  <c r="Z1102" i="12"/>
  <c r="Z1118" i="12"/>
  <c r="Z1134" i="12"/>
  <c r="Z1150" i="12"/>
  <c r="Z1166" i="12"/>
  <c r="Z1182" i="12"/>
  <c r="Z1198" i="12"/>
  <c r="Z1214" i="12"/>
  <c r="Z1230" i="12"/>
  <c r="Z1246" i="12"/>
  <c r="Z1262" i="12"/>
  <c r="Z1278" i="12"/>
  <c r="Z1294" i="12"/>
  <c r="Z1310" i="12"/>
  <c r="Z1326" i="12"/>
  <c r="Z1342" i="12"/>
  <c r="Z1358" i="12"/>
  <c r="Z1374" i="12"/>
  <c r="Z1390" i="12"/>
  <c r="Z1406" i="12"/>
  <c r="Z1422" i="12"/>
  <c r="Z1438" i="12"/>
  <c r="Z1454" i="12"/>
  <c r="Z1470" i="12"/>
  <c r="Z1486" i="12"/>
  <c r="Z1502" i="12"/>
  <c r="Z1518" i="12"/>
  <c r="Z1534" i="12"/>
  <c r="Z1550" i="12"/>
  <c r="Z1566" i="12"/>
  <c r="Z1582" i="12"/>
  <c r="Z1598" i="12"/>
  <c r="Z1614" i="12"/>
  <c r="Z1630" i="12"/>
  <c r="Z1646" i="12"/>
  <c r="Z1662" i="12"/>
  <c r="Z1678" i="12"/>
  <c r="Z1694" i="12"/>
  <c r="Z1710" i="12"/>
  <c r="Z1726" i="12"/>
  <c r="Z1742" i="12"/>
  <c r="Z1758" i="12"/>
  <c r="Z1774" i="12"/>
  <c r="Z1790" i="12"/>
  <c r="Z1806" i="12"/>
  <c r="Z1822" i="12"/>
  <c r="Z1838" i="12"/>
  <c r="Z1854" i="12"/>
  <c r="Z1870" i="12"/>
  <c r="Z1886" i="12"/>
  <c r="Z1902" i="12"/>
  <c r="Z1918" i="12"/>
  <c r="Z1934" i="12"/>
  <c r="Z1950" i="12"/>
  <c r="Z1966" i="12"/>
  <c r="Z1982" i="12"/>
  <c r="Z1998" i="12"/>
  <c r="Z2014" i="12"/>
  <c r="Z2030" i="12"/>
  <c r="Z2046" i="12"/>
  <c r="Z2062" i="12"/>
  <c r="Z2078" i="12"/>
  <c r="Z2094" i="12"/>
  <c r="Z2110" i="12"/>
  <c r="Z2126" i="12"/>
  <c r="Z2142" i="12"/>
  <c r="Z2158" i="12"/>
  <c r="Z2174" i="12"/>
  <c r="Z2190" i="12"/>
  <c r="Z2206" i="12"/>
  <c r="Z2222" i="12"/>
  <c r="Z2238" i="12"/>
  <c r="Z2254" i="12"/>
  <c r="Z2270" i="12"/>
  <c r="Z2286" i="12"/>
  <c r="Z2302" i="12"/>
  <c r="Z2318" i="12"/>
  <c r="Z2334" i="12"/>
  <c r="Z2350" i="12"/>
  <c r="Z2366" i="12"/>
  <c r="Z2382" i="12"/>
  <c r="Z2398" i="12"/>
  <c r="Z2414" i="12"/>
  <c r="Z2430" i="12"/>
  <c r="Z2446" i="12"/>
  <c r="Z2462" i="12"/>
  <c r="Z2478" i="12"/>
  <c r="Z2494" i="12"/>
  <c r="Z2510" i="12"/>
  <c r="Z2526" i="12"/>
  <c r="Z2542" i="12"/>
  <c r="Z2558" i="12"/>
  <c r="Z2574" i="12"/>
  <c r="Z2590" i="12"/>
  <c r="Z2606" i="12"/>
  <c r="Z2622" i="12"/>
  <c r="Z2638" i="12"/>
  <c r="Z2654" i="12"/>
  <c r="Z2670" i="12"/>
  <c r="Z2686" i="12"/>
  <c r="Z2702" i="12"/>
  <c r="Z2718" i="12"/>
  <c r="Z2734" i="12"/>
  <c r="Z2750" i="12"/>
  <c r="Z2766" i="12"/>
  <c r="Z2782" i="12"/>
  <c r="Z2798" i="12"/>
  <c r="Z2814" i="12"/>
  <c r="Z2830" i="12"/>
  <c r="Z2846" i="12"/>
  <c r="Z2862" i="12"/>
  <c r="Z2878" i="12"/>
  <c r="Z2894" i="12"/>
  <c r="Z2910" i="12"/>
  <c r="Z2926" i="12"/>
  <c r="Z2942" i="12"/>
  <c r="Z2958" i="12"/>
  <c r="Z2974" i="12"/>
  <c r="Z2990" i="12"/>
  <c r="Z3006" i="12"/>
  <c r="Z3022" i="12"/>
  <c r="Z3038" i="12"/>
  <c r="Z3054" i="12"/>
  <c r="Z3070" i="12"/>
  <c r="Z3086" i="12"/>
  <c r="Z3102" i="12"/>
  <c r="Z3118" i="12"/>
  <c r="Z3134" i="12"/>
  <c r="Z3150" i="12"/>
  <c r="Z3166" i="12"/>
  <c r="Z3182" i="12"/>
  <c r="Z3198" i="12"/>
  <c r="Z3214" i="12"/>
  <c r="Z3230" i="12"/>
  <c r="Z3246" i="12"/>
  <c r="Z3262" i="12"/>
  <c r="Z3278" i="12"/>
  <c r="Z3294" i="12"/>
  <c r="Z3310" i="12"/>
  <c r="Z3326" i="12"/>
  <c r="Z3342" i="12"/>
  <c r="Z3358" i="12"/>
  <c r="Z3374" i="12"/>
  <c r="Z3390" i="12"/>
  <c r="Z3406" i="12"/>
  <c r="Z3422" i="12"/>
  <c r="Z3438" i="12"/>
  <c r="Z3454" i="12"/>
  <c r="Z3470" i="12"/>
  <c r="Z3486" i="12"/>
  <c r="Z3502" i="12"/>
  <c r="Z3518" i="12"/>
  <c r="Z3534" i="12"/>
  <c r="Z3550" i="12"/>
  <c r="Z31" i="12"/>
  <c r="Z47" i="12"/>
  <c r="Z63" i="12"/>
  <c r="Z79" i="12"/>
  <c r="Z95" i="12"/>
  <c r="Z111" i="12"/>
  <c r="Z127" i="12"/>
  <c r="Z143" i="12"/>
  <c r="Z159" i="12"/>
  <c r="Z175" i="12"/>
  <c r="Z191" i="12"/>
  <c r="Z207" i="12"/>
  <c r="Z223" i="12"/>
  <c r="Z239" i="12"/>
  <c r="Z255" i="12"/>
  <c r="Z271" i="12"/>
  <c r="Z287" i="12"/>
  <c r="Z303" i="12"/>
  <c r="Z319" i="12"/>
  <c r="Z335" i="12"/>
  <c r="Z351" i="12"/>
  <c r="Z367" i="12"/>
  <c r="Z383" i="12"/>
  <c r="Z399" i="12"/>
  <c r="Z415" i="12"/>
  <c r="Z431" i="12"/>
  <c r="Z447" i="12"/>
  <c r="Z463" i="12"/>
  <c r="Z479" i="12"/>
  <c r="Z495" i="12"/>
  <c r="Z511" i="12"/>
  <c r="Z527" i="12"/>
  <c r="Z543" i="12"/>
  <c r="Z559" i="12"/>
  <c r="Z575" i="12"/>
  <c r="Z591" i="12"/>
  <c r="Z607" i="12"/>
  <c r="Z623" i="12"/>
  <c r="Z639" i="12"/>
  <c r="Z655" i="12"/>
  <c r="Z671" i="12"/>
  <c r="Z687" i="12"/>
  <c r="Z703" i="12"/>
  <c r="Z719" i="12"/>
  <c r="Z735" i="12"/>
  <c r="Z751" i="12"/>
  <c r="Z767" i="12"/>
  <c r="Z783" i="12"/>
  <c r="Z799" i="12"/>
  <c r="Z1328" i="12"/>
  <c r="Z1117" i="12"/>
  <c r="Z1797" i="12"/>
  <c r="Z2309" i="12"/>
  <c r="Z2689" i="12"/>
  <c r="Z2945" i="12"/>
  <c r="Z3121" i="12"/>
  <c r="Z3249" i="12"/>
  <c r="Z3377" i="12"/>
  <c r="Z3505" i="12"/>
  <c r="Z102" i="12"/>
  <c r="Z230" i="12"/>
  <c r="Z358" i="12"/>
  <c r="Z486" i="12"/>
  <c r="Z614" i="12"/>
  <c r="Z742" i="12"/>
  <c r="Z834" i="12"/>
  <c r="Z898" i="12"/>
  <c r="Z962" i="12"/>
  <c r="Z1026" i="12"/>
  <c r="Z1090" i="12"/>
  <c r="Z1154" i="12"/>
  <c r="Z1218" i="12"/>
  <c r="Z1282" i="12"/>
  <c r="Z1346" i="12"/>
  <c r="Z1410" i="12"/>
  <c r="Z1474" i="12"/>
  <c r="Z1538" i="12"/>
  <c r="Z1602" i="12"/>
  <c r="Z1666" i="12"/>
  <c r="Z1730" i="12"/>
  <c r="Z1794" i="12"/>
  <c r="Z1858" i="12"/>
  <c r="Z1922" i="12"/>
  <c r="Z1986" i="12"/>
  <c r="Z2050" i="12"/>
  <c r="Z2114" i="12"/>
  <c r="Z2178" i="12"/>
  <c r="Z2242" i="12"/>
  <c r="Z2306" i="12"/>
  <c r="Z2370" i="12"/>
  <c r="Z2434" i="12"/>
  <c r="Z2498" i="12"/>
  <c r="Z2538" i="12"/>
  <c r="Z2570" i="12"/>
  <c r="Z2602" i="12"/>
  <c r="Z2634" i="12"/>
  <c r="Z2666" i="12"/>
  <c r="Z2698" i="12"/>
  <c r="Z2730" i="12"/>
  <c r="Z2762" i="12"/>
  <c r="Z2794" i="12"/>
  <c r="Z2826" i="12"/>
  <c r="Z2858" i="12"/>
  <c r="Z2890" i="12"/>
  <c r="Z2922" i="12"/>
  <c r="Z2954" i="12"/>
  <c r="Z2986" i="12"/>
  <c r="Z3018" i="12"/>
  <c r="Z3050" i="12"/>
  <c r="Z3082" i="12"/>
  <c r="Z3114" i="12"/>
  <c r="Z3146" i="12"/>
  <c r="Z3178" i="12"/>
  <c r="Z3210" i="12"/>
  <c r="Z3242" i="12"/>
  <c r="Z3274" i="12"/>
  <c r="Z3306" i="12"/>
  <c r="Z3338" i="12"/>
  <c r="Z3370" i="12"/>
  <c r="Z3402" i="12"/>
  <c r="Z3434" i="12"/>
  <c r="Z3466" i="12"/>
  <c r="Z3498" i="12"/>
  <c r="Z3530" i="12"/>
  <c r="Z27" i="12"/>
  <c r="Z59" i="12"/>
  <c r="Z91" i="12"/>
  <c r="Z123" i="12"/>
  <c r="Z155" i="12"/>
  <c r="Z187" i="12"/>
  <c r="Z219" i="12"/>
  <c r="Z251" i="12"/>
  <c r="Z283" i="12"/>
  <c r="Z315" i="12"/>
  <c r="Z347" i="12"/>
  <c r="Z379" i="12"/>
  <c r="Z411" i="12"/>
  <c r="Z443" i="12"/>
  <c r="Z475" i="12"/>
  <c r="Z507" i="12"/>
  <c r="Z539" i="12"/>
  <c r="Z571" i="12"/>
  <c r="Z603" i="12"/>
  <c r="Z635" i="12"/>
  <c r="Z667" i="12"/>
  <c r="Z699" i="12"/>
  <c r="Z731" i="12"/>
  <c r="Z763" i="12"/>
  <c r="Z795" i="12"/>
  <c r="Z819" i="12"/>
  <c r="Z843" i="12"/>
  <c r="Z863" i="12"/>
  <c r="Z879" i="12"/>
  <c r="Z895" i="12"/>
  <c r="Z911" i="12"/>
  <c r="Z927" i="12"/>
  <c r="Z943" i="12"/>
  <c r="Z959" i="12"/>
  <c r="Z975" i="12"/>
  <c r="Z991" i="12"/>
  <c r="Z1007" i="12"/>
  <c r="Z1023" i="12"/>
  <c r="Z1039" i="12"/>
  <c r="Z1055" i="12"/>
  <c r="Z1071" i="12"/>
  <c r="Z1087" i="12"/>
  <c r="Z1103" i="12"/>
  <c r="Z1119" i="12"/>
  <c r="Z1135" i="12"/>
  <c r="Z1151" i="12"/>
  <c r="Z1167" i="12"/>
  <c r="Z1183" i="12"/>
  <c r="Z1199" i="12"/>
  <c r="Z1215" i="12"/>
  <c r="Z1231" i="12"/>
  <c r="Z1247" i="12"/>
  <c r="Z1263" i="12"/>
  <c r="Z1279" i="12"/>
  <c r="Z1295" i="12"/>
  <c r="Z1311" i="12"/>
  <c r="Z1327" i="12"/>
  <c r="Z1343" i="12"/>
  <c r="Z1359" i="12"/>
  <c r="Z1375" i="12"/>
  <c r="Z1391" i="12"/>
  <c r="Z1407" i="12"/>
  <c r="Z1423" i="12"/>
  <c r="Z1439" i="12"/>
  <c r="Z1455" i="12"/>
  <c r="Z1471" i="12"/>
  <c r="Z1487" i="12"/>
  <c r="Z1503" i="12"/>
  <c r="Z1519" i="12"/>
  <c r="Z1535" i="12"/>
  <c r="Z1551" i="12"/>
  <c r="Z1567" i="12"/>
  <c r="Z1583" i="12"/>
  <c r="Z1599" i="12"/>
  <c r="Z1615" i="12"/>
  <c r="Z1631" i="12"/>
  <c r="Z1647" i="12"/>
  <c r="Z1663" i="12"/>
  <c r="Z1679" i="12"/>
  <c r="Z1695" i="12"/>
  <c r="Z1711" i="12"/>
  <c r="Z1727" i="12"/>
  <c r="Z1743" i="12"/>
  <c r="Z1759" i="12"/>
  <c r="Z1775" i="12"/>
  <c r="Z1791" i="12"/>
  <c r="Z1807" i="12"/>
  <c r="Z1823" i="12"/>
  <c r="Z1839" i="12"/>
  <c r="Z1855" i="12"/>
  <c r="Z1871" i="12"/>
  <c r="Z1887" i="12"/>
  <c r="Z1903" i="12"/>
  <c r="Z1919" i="12"/>
  <c r="Z1935" i="12"/>
  <c r="Z1951" i="12"/>
  <c r="Z1967" i="12"/>
  <c r="Z1983" i="12"/>
  <c r="Z1999" i="12"/>
  <c r="Z2015" i="12"/>
  <c r="Z2031" i="12"/>
  <c r="Z2047" i="12"/>
  <c r="Z2063" i="12"/>
  <c r="Z2079" i="12"/>
  <c r="Z2095" i="12"/>
  <c r="Z2111" i="12"/>
  <c r="Z2127" i="12"/>
  <c r="Z2143" i="12"/>
  <c r="Z2159" i="12"/>
  <c r="Z2175" i="12"/>
  <c r="Z2191" i="12"/>
  <c r="Z2207" i="12"/>
  <c r="Z2223" i="12"/>
  <c r="Z2239" i="12"/>
  <c r="Z2255" i="12"/>
  <c r="Z2271" i="12"/>
  <c r="Z2287" i="12"/>
  <c r="Z2303" i="12"/>
  <c r="Z2319" i="12"/>
  <c r="Z2335" i="12"/>
  <c r="Z2351" i="12"/>
  <c r="Z2367" i="12"/>
  <c r="Z2383" i="12"/>
  <c r="Z2399" i="12"/>
  <c r="Z2415" i="12"/>
  <c r="Z2431" i="12"/>
  <c r="Z2447" i="12"/>
  <c r="Z2463" i="12"/>
  <c r="Z2479" i="12"/>
  <c r="Z2495" i="12"/>
  <c r="Z2511" i="12"/>
  <c r="Z2527" i="12"/>
  <c r="Z2543" i="12"/>
  <c r="Z2559" i="12"/>
  <c r="Z2575" i="12"/>
  <c r="Z2591" i="12"/>
  <c r="Z2607" i="12"/>
  <c r="Z2623" i="12"/>
  <c r="Z2639" i="12"/>
  <c r="Z2655" i="12"/>
  <c r="Z2671" i="12"/>
  <c r="Z2687" i="12"/>
  <c r="Z2703" i="12"/>
  <c r="Z2719" i="12"/>
  <c r="Z2735" i="12"/>
  <c r="Z2751" i="12"/>
  <c r="Z2767" i="12"/>
  <c r="Z2783" i="12"/>
  <c r="Z2799" i="12"/>
  <c r="Z2815" i="12"/>
  <c r="Z2831" i="12"/>
  <c r="Z2847" i="12"/>
  <c r="Z2863" i="12"/>
  <c r="Z2879" i="12"/>
  <c r="Z2895" i="12"/>
  <c r="Z2911" i="12"/>
  <c r="Z2927" i="12"/>
  <c r="Z2943" i="12"/>
  <c r="Z2959" i="12"/>
  <c r="Z2975" i="12"/>
  <c r="Z2991" i="12"/>
  <c r="Z3007" i="12"/>
  <c r="Z3023" i="12"/>
  <c r="Z3039" i="12"/>
  <c r="Z3055" i="12"/>
  <c r="Z3071" i="12"/>
  <c r="Z3087" i="12"/>
  <c r="Z3103" i="12"/>
  <c r="Z3119" i="12"/>
  <c r="Z3135" i="12"/>
  <c r="Z3151" i="12"/>
  <c r="Z3167" i="12"/>
  <c r="Z3183" i="12"/>
  <c r="Z3199" i="12"/>
  <c r="Z3215" i="12"/>
  <c r="Z3231" i="12"/>
  <c r="Z3247" i="12"/>
  <c r="Z3263" i="12"/>
  <c r="Z3279" i="12"/>
  <c r="Z3295" i="12"/>
  <c r="Z3311" i="12"/>
  <c r="Z3327" i="12"/>
  <c r="Z3343" i="12"/>
  <c r="Z3359" i="12"/>
  <c r="Z3375" i="12"/>
  <c r="Z3391" i="12"/>
  <c r="Z3407" i="12"/>
  <c r="Z3423" i="12"/>
  <c r="Z3439" i="12"/>
  <c r="Z3455" i="12"/>
  <c r="Z3471" i="12"/>
  <c r="Z3487" i="12"/>
  <c r="Z3503" i="12"/>
  <c r="Z3519" i="12"/>
  <c r="Z3535" i="12"/>
  <c r="Z3551" i="12"/>
  <c r="Z1523" i="12"/>
  <c r="Z1763" i="12"/>
  <c r="Z1795" i="12"/>
  <c r="Z1827" i="12"/>
  <c r="Z1843" i="12"/>
  <c r="Z1875" i="12"/>
  <c r="Z1891" i="12"/>
  <c r="Z1923" i="12"/>
  <c r="Z1939" i="12"/>
  <c r="Z1955" i="12"/>
  <c r="Z1971" i="12"/>
  <c r="Z2003" i="12"/>
  <c r="Z2019" i="12"/>
  <c r="Z2035" i="12"/>
  <c r="Z2051" i="12"/>
  <c r="Z2083" i="12"/>
  <c r="Z2099" i="12"/>
  <c r="Z2115" i="12"/>
  <c r="Z2131" i="12"/>
  <c r="Z2147" i="12"/>
  <c r="Z2163" i="12"/>
  <c r="Z2195" i="12"/>
  <c r="Z2211" i="12"/>
  <c r="Z2227" i="12"/>
  <c r="Z2243" i="12"/>
  <c r="Z2259" i="12"/>
  <c r="Z2275" i="12"/>
  <c r="Z2291" i="12"/>
  <c r="Z2307" i="12"/>
  <c r="Z2339" i="12"/>
  <c r="Z2355" i="12"/>
  <c r="Z2371" i="12"/>
  <c r="Z2387" i="12"/>
  <c r="Z2403" i="12"/>
  <c r="Z2419" i="12"/>
  <c r="Z2435" i="12"/>
  <c r="Z2451" i="12"/>
  <c r="Z2467" i="12"/>
  <c r="Z2483" i="12"/>
  <c r="Z2499" i="12"/>
  <c r="Z2531" i="12"/>
  <c r="Z2547" i="12"/>
  <c r="Z2563" i="12"/>
  <c r="Z2579" i="12"/>
  <c r="Z2595" i="12"/>
  <c r="Z2611" i="12"/>
  <c r="Z2627" i="12"/>
  <c r="Z2643" i="12"/>
  <c r="Z2659" i="12"/>
  <c r="Z2675" i="12"/>
  <c r="Z2707" i="12"/>
  <c r="Z2723" i="12"/>
  <c r="Z2739" i="12"/>
  <c r="Z2755" i="12"/>
  <c r="Z2771" i="12"/>
  <c r="Z2787" i="12"/>
  <c r="Z2803" i="12"/>
  <c r="Z2819" i="12"/>
  <c r="Z2851" i="12"/>
  <c r="Z2867" i="12"/>
  <c r="Z2883" i="12"/>
  <c r="Z2899" i="12"/>
  <c r="Z2915" i="12"/>
  <c r="Z2931" i="12"/>
  <c r="Z2947" i="12"/>
  <c r="Z2979" i="12"/>
  <c r="Z2995" i="12"/>
  <c r="Z3011" i="12"/>
  <c r="Z3027" i="12"/>
  <c r="Z3043" i="12"/>
  <c r="Z141" i="12"/>
  <c r="Z1373" i="12"/>
  <c r="Z1925" i="12"/>
  <c r="Z2437" i="12"/>
  <c r="Z2753" i="12"/>
  <c r="Z3009" i="12"/>
  <c r="Z3153" i="12"/>
  <c r="Z3281" i="12"/>
  <c r="Z3409" i="12"/>
  <c r="Z3537" i="12"/>
  <c r="Z134" i="12"/>
  <c r="Z262" i="12"/>
  <c r="Z390" i="12"/>
  <c r="Z518" i="12"/>
  <c r="Z646" i="12"/>
  <c r="Z774" i="12"/>
  <c r="Z850" i="12"/>
  <c r="Z914" i="12"/>
  <c r="Z978" i="12"/>
  <c r="Z1042" i="12"/>
  <c r="Z1106" i="12"/>
  <c r="Z1170" i="12"/>
  <c r="Z1234" i="12"/>
  <c r="Z1298" i="12"/>
  <c r="Z1362" i="12"/>
  <c r="Z1426" i="12"/>
  <c r="Z1490" i="12"/>
  <c r="Z1554" i="12"/>
  <c r="Z1618" i="12"/>
  <c r="Z1682" i="12"/>
  <c r="Z1746" i="12"/>
  <c r="Z1810" i="12"/>
  <c r="Z1874" i="12"/>
  <c r="Z1938" i="12"/>
  <c r="Z2002" i="12"/>
  <c r="Z2066" i="12"/>
  <c r="Z2130" i="12"/>
  <c r="Z2194" i="12"/>
  <c r="Z2258" i="12"/>
  <c r="Z2322" i="12"/>
  <c r="Z2386" i="12"/>
  <c r="Z2450" i="12"/>
  <c r="Z2514" i="12"/>
  <c r="Z2546" i="12"/>
  <c r="Z2578" i="12"/>
  <c r="Z2610" i="12"/>
  <c r="Z2642" i="12"/>
  <c r="Z2674" i="12"/>
  <c r="Z2706" i="12"/>
  <c r="Z2738" i="12"/>
  <c r="Z2770" i="12"/>
  <c r="Z2802" i="12"/>
  <c r="Z2834" i="12"/>
  <c r="Z2866" i="12"/>
  <c r="Z2898" i="12"/>
  <c r="Z2930" i="12"/>
  <c r="Z2962" i="12"/>
  <c r="Z2994" i="12"/>
  <c r="Z3026" i="12"/>
  <c r="Z3058" i="12"/>
  <c r="Z3090" i="12"/>
  <c r="Z3122" i="12"/>
  <c r="Z3154" i="12"/>
  <c r="Z3186" i="12"/>
  <c r="Z3218" i="12"/>
  <c r="Z3250" i="12"/>
  <c r="Z3282" i="12"/>
  <c r="Z3314" i="12"/>
  <c r="Z3346" i="12"/>
  <c r="Z3378" i="12"/>
  <c r="Z3410" i="12"/>
  <c r="Z3442" i="12"/>
  <c r="Z3474" i="12"/>
  <c r="Z3506" i="12"/>
  <c r="Z3538" i="12"/>
  <c r="Z35" i="12"/>
  <c r="Z67" i="12"/>
  <c r="Z99" i="12"/>
  <c r="Z131" i="12"/>
  <c r="Z163" i="12"/>
  <c r="Z195" i="12"/>
  <c r="Z227" i="12"/>
  <c r="Z259" i="12"/>
  <c r="Z291" i="12"/>
  <c r="Z323" i="12"/>
  <c r="Z355" i="12"/>
  <c r="Z387" i="12"/>
  <c r="Z419" i="12"/>
  <c r="Z451" i="12"/>
  <c r="Z483" i="12"/>
  <c r="Z515" i="12"/>
  <c r="Z547" i="12"/>
  <c r="Z579" i="12"/>
  <c r="Z611" i="12"/>
  <c r="Z643" i="12"/>
  <c r="Z675" i="12"/>
  <c r="Z707" i="12"/>
  <c r="Z739" i="12"/>
  <c r="Z771" i="12"/>
  <c r="Z803" i="12"/>
  <c r="Z827" i="12"/>
  <c r="Z847" i="12"/>
  <c r="Z867" i="12"/>
  <c r="Z883" i="12"/>
  <c r="Z899" i="12"/>
  <c r="Z915" i="12"/>
  <c r="Z931" i="12"/>
  <c r="Z947" i="12"/>
  <c r="Z963" i="12"/>
  <c r="Z979" i="12"/>
  <c r="Z995" i="12"/>
  <c r="Z1011" i="12"/>
  <c r="Z1027" i="12"/>
  <c r="Z1043" i="12"/>
  <c r="Z1059" i="12"/>
  <c r="Z1075" i="12"/>
  <c r="Z1091" i="12"/>
  <c r="Z1107" i="12"/>
  <c r="Z1123" i="12"/>
  <c r="Z1139" i="12"/>
  <c r="Z1155" i="12"/>
  <c r="Z1171" i="12"/>
  <c r="Z1187" i="12"/>
  <c r="Z1203" i="12"/>
  <c r="Z1219" i="12"/>
  <c r="Z1235" i="12"/>
  <c r="Z1251" i="12"/>
  <c r="Z1267" i="12"/>
  <c r="Z1283" i="12"/>
  <c r="Z1299" i="12"/>
  <c r="Z1315" i="12"/>
  <c r="Z1331" i="12"/>
  <c r="Z1347" i="12"/>
  <c r="Z1363" i="12"/>
  <c r="Z1379" i="12"/>
  <c r="Z1395" i="12"/>
  <c r="Z1411" i="12"/>
  <c r="Z1427" i="12"/>
  <c r="Z1443" i="12"/>
  <c r="Z1459" i="12"/>
  <c r="Z1475" i="12"/>
  <c r="Z1491" i="12"/>
  <c r="Z1507" i="12"/>
  <c r="Z1539" i="12"/>
  <c r="Z1555" i="12"/>
  <c r="Z1571" i="12"/>
  <c r="Z1587" i="12"/>
  <c r="Z1603" i="12"/>
  <c r="Z1619" i="12"/>
  <c r="Z1635" i="12"/>
  <c r="Z1651" i="12"/>
  <c r="Z1667" i="12"/>
  <c r="Z1683" i="12"/>
  <c r="Z1699" i="12"/>
  <c r="Z1715" i="12"/>
  <c r="Z1731" i="12"/>
  <c r="Z1747" i="12"/>
  <c r="Z1779" i="12"/>
  <c r="Z1811" i="12"/>
  <c r="Z1859" i="12"/>
  <c r="Z1907" i="12"/>
  <c r="Z1987" i="12"/>
  <c r="Z2067" i="12"/>
  <c r="Z2179" i="12"/>
  <c r="Z2323" i="12"/>
  <c r="Z2515" i="12"/>
  <c r="Z2691" i="12"/>
  <c r="Z2835" i="12"/>
  <c r="Z2963" i="12"/>
  <c r="Z605" i="12"/>
  <c r="Z1541" i="12"/>
  <c r="Z2053" i="12"/>
  <c r="Z2561" i="12"/>
  <c r="Z2817" i="12"/>
  <c r="Z3057" i="12"/>
  <c r="Z3185" i="12"/>
  <c r="Z3313" i="12"/>
  <c r="Z3441" i="12"/>
  <c r="Z38" i="12"/>
  <c r="Z166" i="12"/>
  <c r="Z294" i="12"/>
  <c r="Z422" i="12"/>
  <c r="Z550" i="12"/>
  <c r="Z678" i="12"/>
  <c r="Z802" i="12"/>
  <c r="Z866" i="12"/>
  <c r="Z930" i="12"/>
  <c r="Z994" i="12"/>
  <c r="Z1058" i="12"/>
  <c r="Z1122" i="12"/>
  <c r="Z1186" i="12"/>
  <c r="Z1250" i="12"/>
  <c r="Z1314" i="12"/>
  <c r="Z1378" i="12"/>
  <c r="Z1442" i="12"/>
  <c r="Z1506" i="12"/>
  <c r="Z1570" i="12"/>
  <c r="Z1634" i="12"/>
  <c r="Z1698" i="12"/>
  <c r="Z1762" i="12"/>
  <c r="Z1826" i="12"/>
  <c r="Z1890" i="12"/>
  <c r="Z1954" i="12"/>
  <c r="Z2018" i="12"/>
  <c r="Z2082" i="12"/>
  <c r="Z2146" i="12"/>
  <c r="Z2210" i="12"/>
  <c r="Z2274" i="12"/>
  <c r="Z2338" i="12"/>
  <c r="Z2402" i="12"/>
  <c r="Z2466" i="12"/>
  <c r="Z2522" i="12"/>
  <c r="Z2554" i="12"/>
  <c r="Z2586" i="12"/>
  <c r="Z2618" i="12"/>
  <c r="Z2650" i="12"/>
  <c r="Z2682" i="12"/>
  <c r="Z2714" i="12"/>
  <c r="Z2746" i="12"/>
  <c r="Z2778" i="12"/>
  <c r="Z2810" i="12"/>
  <c r="Z2842" i="12"/>
  <c r="Z2874" i="12"/>
  <c r="Z2906" i="12"/>
  <c r="Z2938" i="12"/>
  <c r="Z2970" i="12"/>
  <c r="Z3002" i="12"/>
  <c r="Z3034" i="12"/>
  <c r="Z3066" i="12"/>
  <c r="Z3098" i="12"/>
  <c r="Z3130" i="12"/>
  <c r="Z3162" i="12"/>
  <c r="Z3194" i="12"/>
  <c r="Z3226" i="12"/>
  <c r="Z3258" i="12"/>
  <c r="Z3290" i="12"/>
  <c r="Z3322" i="12"/>
  <c r="Z3354" i="12"/>
  <c r="Z3386" i="12"/>
  <c r="Z3418" i="12"/>
  <c r="Z3450" i="12"/>
  <c r="Z3482" i="12"/>
  <c r="Z3514" i="12"/>
  <c r="Z3546" i="12"/>
  <c r="Z43" i="12"/>
  <c r="Z75" i="12"/>
  <c r="Z107" i="12"/>
  <c r="Z139" i="12"/>
  <c r="Z171" i="12"/>
  <c r="Z203" i="12"/>
  <c r="Z235" i="12"/>
  <c r="Z267" i="12"/>
  <c r="Z299" i="12"/>
  <c r="Z331" i="12"/>
  <c r="Z363" i="12"/>
  <c r="Z395" i="12"/>
  <c r="Z427" i="12"/>
  <c r="Z459" i="12"/>
  <c r="Z491" i="12"/>
  <c r="Z523" i="12"/>
  <c r="Z555" i="12"/>
  <c r="Z587" i="12"/>
  <c r="Z619" i="12"/>
  <c r="Z651" i="12"/>
  <c r="Z683" i="12"/>
  <c r="Z715" i="12"/>
  <c r="Z747" i="12"/>
  <c r="Z779" i="12"/>
  <c r="Z811" i="12"/>
  <c r="Z831" i="12"/>
  <c r="Z851" i="12"/>
  <c r="Z871" i="12"/>
  <c r="Z887" i="12"/>
  <c r="Z903" i="12"/>
  <c r="Z919" i="12"/>
  <c r="Z935" i="12"/>
  <c r="Z951" i="12"/>
  <c r="Z967" i="12"/>
  <c r="Z983" i="12"/>
  <c r="Z999" i="12"/>
  <c r="Z1015" i="12"/>
  <c r="Z1031" i="12"/>
  <c r="Z1047" i="12"/>
  <c r="Z1063" i="12"/>
  <c r="Z1079" i="12"/>
  <c r="Z1095" i="12"/>
  <c r="Z1111" i="12"/>
  <c r="Z1127" i="12"/>
  <c r="Z1143" i="12"/>
  <c r="Z1159" i="12"/>
  <c r="Z1175" i="12"/>
  <c r="Z1191" i="12"/>
  <c r="Z1207" i="12"/>
  <c r="Z1223" i="12"/>
  <c r="Z1239" i="12"/>
  <c r="Z1255" i="12"/>
  <c r="Z1271" i="12"/>
  <c r="Z1287" i="12"/>
  <c r="Z1303" i="12"/>
  <c r="Z1319" i="12"/>
  <c r="Z1335" i="12"/>
  <c r="Z1351" i="12"/>
  <c r="Z1367" i="12"/>
  <c r="Z1383" i="12"/>
  <c r="Z1399" i="12"/>
  <c r="Z1415" i="12"/>
  <c r="Z1431" i="12"/>
  <c r="Z1447" i="12"/>
  <c r="Z1463" i="12"/>
  <c r="Z1479" i="12"/>
  <c r="Z1495" i="12"/>
  <c r="Z1511" i="12"/>
  <c r="Z1527" i="12"/>
  <c r="Z1543" i="12"/>
  <c r="Z1559" i="12"/>
  <c r="Z1575" i="12"/>
  <c r="Z1591" i="12"/>
  <c r="Z1607" i="12"/>
  <c r="Z1623" i="12"/>
  <c r="Z1639" i="12"/>
  <c r="Z1655" i="12"/>
  <c r="Z1671" i="12"/>
  <c r="Z1687" i="12"/>
  <c r="Z1703" i="12"/>
  <c r="Z1719" i="12"/>
  <c r="Z1735" i="12"/>
  <c r="Z1751" i="12"/>
  <c r="Z1767" i="12"/>
  <c r="Z1783" i="12"/>
  <c r="Z1799" i="12"/>
  <c r="Z1815" i="12"/>
  <c r="Z1831" i="12"/>
  <c r="Z1847" i="12"/>
  <c r="Z1863" i="12"/>
  <c r="Z1879" i="12"/>
  <c r="Z1895" i="12"/>
  <c r="Z1911" i="12"/>
  <c r="Z1927" i="12"/>
  <c r="Z1943" i="12"/>
  <c r="Z1959" i="12"/>
  <c r="Z1975" i="12"/>
  <c r="Z1991" i="12"/>
  <c r="Z2007" i="12"/>
  <c r="Z2023" i="12"/>
  <c r="Z2039" i="12"/>
  <c r="Z2055" i="12"/>
  <c r="Z2071" i="12"/>
  <c r="Z2087" i="12"/>
  <c r="Z2103" i="12"/>
  <c r="Z2119" i="12"/>
  <c r="Z2135" i="12"/>
  <c r="Z2151" i="12"/>
  <c r="Z2167" i="12"/>
  <c r="Z2183" i="12"/>
  <c r="Z2199" i="12"/>
  <c r="Z2215" i="12"/>
  <c r="Z2231" i="12"/>
  <c r="Z2247" i="12"/>
  <c r="Z2263" i="12"/>
  <c r="Z2279" i="12"/>
  <c r="Z2295" i="12"/>
  <c r="Z2311" i="12"/>
  <c r="Z2327" i="12"/>
  <c r="Z2343" i="12"/>
  <c r="Z2359" i="12"/>
  <c r="Z2375" i="12"/>
  <c r="Z2391" i="12"/>
  <c r="Z2407" i="12"/>
  <c r="Z2423" i="12"/>
  <c r="Z2439" i="12"/>
  <c r="Z2455" i="12"/>
  <c r="Z2471" i="12"/>
  <c r="Z2487" i="12"/>
  <c r="Z2503" i="12"/>
  <c r="Z2519" i="12"/>
  <c r="Z2535" i="12"/>
  <c r="Z2551" i="12"/>
  <c r="Z2567" i="12"/>
  <c r="Z2583" i="12"/>
  <c r="Z2599" i="12"/>
  <c r="Z2615" i="12"/>
  <c r="Z2631" i="12"/>
  <c r="Z2647" i="12"/>
  <c r="Z2663" i="12"/>
  <c r="Z2679" i="12"/>
  <c r="Z2695" i="12"/>
  <c r="Z2711" i="12"/>
  <c r="Z2727" i="12"/>
  <c r="Z2743" i="12"/>
  <c r="Z2759" i="12"/>
  <c r="Z2775" i="12"/>
  <c r="Z2791" i="12"/>
  <c r="Z2807" i="12"/>
  <c r="Z2823" i="12"/>
  <c r="Z2839" i="12"/>
  <c r="Z2855" i="12"/>
  <c r="Z2871" i="12"/>
  <c r="Z2887" i="12"/>
  <c r="Z2903" i="12"/>
  <c r="Z2919" i="12"/>
  <c r="Z2935" i="12"/>
  <c r="Z2951" i="12"/>
  <c r="Z2967" i="12"/>
  <c r="Z2983" i="12"/>
  <c r="Z2999" i="12"/>
  <c r="Z3015" i="12"/>
  <c r="Z3031" i="12"/>
  <c r="Z3047" i="12"/>
  <c r="Z3063" i="12"/>
  <c r="Z3079" i="12"/>
  <c r="Z3095" i="12"/>
  <c r="Z3111" i="12"/>
  <c r="Z3127" i="12"/>
  <c r="Z3143" i="12"/>
  <c r="Z3159" i="12"/>
  <c r="Z3175" i="12"/>
  <c r="Z3191" i="12"/>
  <c r="Z3207" i="12"/>
  <c r="Z3223" i="12"/>
  <c r="Z3239" i="12"/>
  <c r="Z3255" i="12"/>
  <c r="Z3271" i="12"/>
  <c r="Z3287" i="12"/>
  <c r="Z3303" i="12"/>
  <c r="Z3319" i="12"/>
  <c r="Z3335" i="12"/>
  <c r="Z3351" i="12"/>
  <c r="Z3367" i="12"/>
  <c r="Z3383" i="12"/>
  <c r="Z3399" i="12"/>
  <c r="Z3415" i="12"/>
  <c r="Z3431" i="12"/>
  <c r="Z3447" i="12"/>
  <c r="Z3463" i="12"/>
  <c r="Z3479" i="12"/>
  <c r="Z3495" i="12"/>
  <c r="Z3511" i="12"/>
  <c r="Z3527" i="12"/>
  <c r="Z3543" i="12"/>
  <c r="Z861" i="12"/>
  <c r="Z1669" i="12"/>
  <c r="Z2181" i="12"/>
  <c r="Z2625" i="12"/>
  <c r="Z2881" i="12"/>
  <c r="Z3089" i="12"/>
  <c r="Z3217" i="12"/>
  <c r="Z3345" i="12"/>
  <c r="Z3473" i="12"/>
  <c r="Z70" i="12"/>
  <c r="Z198" i="12"/>
  <c r="Z326" i="12"/>
  <c r="Z454" i="12"/>
  <c r="Z582" i="12"/>
  <c r="Z710" i="12"/>
  <c r="Z818" i="12"/>
  <c r="Z882" i="12"/>
  <c r="Z946" i="12"/>
  <c r="Z1010" i="12"/>
  <c r="Z1074" i="12"/>
  <c r="Z1138" i="12"/>
  <c r="Z1202" i="12"/>
  <c r="Z1266" i="12"/>
  <c r="Z1330" i="12"/>
  <c r="Z1394" i="12"/>
  <c r="Z1458" i="12"/>
  <c r="Z1522" i="12"/>
  <c r="Z1586" i="12"/>
  <c r="Z1650" i="12"/>
  <c r="Z1714" i="12"/>
  <c r="Z1778" i="12"/>
  <c r="Z1842" i="12"/>
  <c r="Z1906" i="12"/>
  <c r="Z1970" i="12"/>
  <c r="Z2034" i="12"/>
  <c r="Z2098" i="12"/>
  <c r="Z2162" i="12"/>
  <c r="Z2226" i="12"/>
  <c r="Z2290" i="12"/>
  <c r="Z2354" i="12"/>
  <c r="Z2418" i="12"/>
  <c r="Z2482" i="12"/>
  <c r="Z2530" i="12"/>
  <c r="Z2562" i="12"/>
  <c r="Z2594" i="12"/>
  <c r="Z2626" i="12"/>
  <c r="Z2658" i="12"/>
  <c r="Z2690" i="12"/>
  <c r="Z2722" i="12"/>
  <c r="Z2754" i="12"/>
  <c r="Z2786" i="12"/>
  <c r="Z2818" i="12"/>
  <c r="Z2850" i="12"/>
  <c r="Z2882" i="12"/>
  <c r="Z2914" i="12"/>
  <c r="Z2946" i="12"/>
  <c r="Z3074" i="12"/>
  <c r="Z3202" i="12"/>
  <c r="Z3330" i="12"/>
  <c r="Z3458" i="12"/>
  <c r="Z51" i="12"/>
  <c r="Z179" i="12"/>
  <c r="Z307" i="12"/>
  <c r="Z435" i="12"/>
  <c r="Z563" i="12"/>
  <c r="Z691" i="12"/>
  <c r="Z815" i="12"/>
  <c r="Z891" i="12"/>
  <c r="Z955" i="12"/>
  <c r="Z1019" i="12"/>
  <c r="Z1083" i="12"/>
  <c r="Z1147" i="12"/>
  <c r="Z1211" i="12"/>
  <c r="Z1275" i="12"/>
  <c r="Z1339" i="12"/>
  <c r="Z1403" i="12"/>
  <c r="Z1467" i="12"/>
  <c r="Z1531" i="12"/>
  <c r="Z1595" i="12"/>
  <c r="Z1659" i="12"/>
  <c r="Z1723" i="12"/>
  <c r="Z1787" i="12"/>
  <c r="Z1851" i="12"/>
  <c r="Z1915" i="12"/>
  <c r="Z1979" i="12"/>
  <c r="Z2043" i="12"/>
  <c r="Z2107" i="12"/>
  <c r="Z2171" i="12"/>
  <c r="Z2235" i="12"/>
  <c r="Z2299" i="12"/>
  <c r="Z2363" i="12"/>
  <c r="Z2427" i="12"/>
  <c r="Z2491" i="12"/>
  <c r="Z2555" i="12"/>
  <c r="Z2619" i="12"/>
  <c r="Z2683" i="12"/>
  <c r="Z2747" i="12"/>
  <c r="Z2811" i="12"/>
  <c r="Z2875" i="12"/>
  <c r="Z2939" i="12"/>
  <c r="Z3003" i="12"/>
  <c r="Z3059" i="12"/>
  <c r="Z3091" i="12"/>
  <c r="Z3123" i="12"/>
  <c r="Z3155" i="12"/>
  <c r="Z3187" i="12"/>
  <c r="Z3219" i="12"/>
  <c r="Z3251" i="12"/>
  <c r="Z3283" i="12"/>
  <c r="Z3315" i="12"/>
  <c r="Z3347" i="12"/>
  <c r="Z3379" i="12"/>
  <c r="Z3411" i="12"/>
  <c r="Z3443" i="12"/>
  <c r="Z3475" i="12"/>
  <c r="Z3507" i="12"/>
  <c r="Z3539" i="12"/>
  <c r="Z1675" i="12"/>
  <c r="Z1867" i="12"/>
  <c r="Z1931" i="12"/>
  <c r="Z1995" i="12"/>
  <c r="Z2059" i="12"/>
  <c r="Z2187" i="12"/>
  <c r="Z2251" i="12"/>
  <c r="Z2315" i="12"/>
  <c r="Z2379" i="12"/>
  <c r="Z2443" i="12"/>
  <c r="Z2507" i="12"/>
  <c r="Z2571" i="12"/>
  <c r="Z2635" i="12"/>
  <c r="Z2763" i="12"/>
  <c r="Z2827" i="12"/>
  <c r="Z2891" i="12"/>
  <c r="Z2955" i="12"/>
  <c r="Z3019" i="12"/>
  <c r="Z3067" i="12"/>
  <c r="Z3099" i="12"/>
  <c r="Z3131" i="12"/>
  <c r="Z3163" i="12"/>
  <c r="Z3195" i="12"/>
  <c r="Z3227" i="12"/>
  <c r="Z3259" i="12"/>
  <c r="Z3291" i="12"/>
  <c r="Z3323" i="12"/>
  <c r="Z3355" i="12"/>
  <c r="Z3419" i="12"/>
  <c r="Z3451" i="12"/>
  <c r="Z3483" i="12"/>
  <c r="Z3515" i="12"/>
  <c r="Z3547" i="12"/>
  <c r="Z2731" i="12"/>
  <c r="Z2923" i="12"/>
  <c r="Z3083" i="12"/>
  <c r="Z3179" i="12"/>
  <c r="Z3243" i="12"/>
  <c r="Z3307" i="12"/>
  <c r="Z3371" i="12"/>
  <c r="Z3435" i="12"/>
  <c r="Z3499" i="12"/>
  <c r="Z2978" i="12"/>
  <c r="Z3106" i="12"/>
  <c r="Z3234" i="12"/>
  <c r="Z3362" i="12"/>
  <c r="Z3490" i="12"/>
  <c r="Z83" i="12"/>
  <c r="Z211" i="12"/>
  <c r="Z339" i="12"/>
  <c r="Z467" i="12"/>
  <c r="Z595" i="12"/>
  <c r="Z723" i="12"/>
  <c r="Z835" i="12"/>
  <c r="Z907" i="12"/>
  <c r="Z971" i="12"/>
  <c r="Z1035" i="12"/>
  <c r="Z1099" i="12"/>
  <c r="Z1163" i="12"/>
  <c r="Z1227" i="12"/>
  <c r="Z1291" i="12"/>
  <c r="Z1355" i="12"/>
  <c r="Z1419" i="12"/>
  <c r="Z1483" i="12"/>
  <c r="Z1547" i="12"/>
  <c r="Z1611" i="12"/>
  <c r="Z1739" i="12"/>
  <c r="Z1803" i="12"/>
  <c r="Z2123" i="12"/>
  <c r="Z2699" i="12"/>
  <c r="Z3387" i="12"/>
  <c r="Z3010" i="12"/>
  <c r="Z3138" i="12"/>
  <c r="Z3266" i="12"/>
  <c r="Z3394" i="12"/>
  <c r="Z3522" i="12"/>
  <c r="Z115" i="12"/>
  <c r="Z243" i="12"/>
  <c r="Z371" i="12"/>
  <c r="Z499" i="12"/>
  <c r="Z627" i="12"/>
  <c r="Z755" i="12"/>
  <c r="Z859" i="12"/>
  <c r="Z923" i="12"/>
  <c r="Z987" i="12"/>
  <c r="Z1051" i="12"/>
  <c r="Z1115" i="12"/>
  <c r="Z1179" i="12"/>
  <c r="Z1243" i="12"/>
  <c r="Z1307" i="12"/>
  <c r="Z1371" i="12"/>
  <c r="Z1435" i="12"/>
  <c r="Z1499" i="12"/>
  <c r="Z1563" i="12"/>
  <c r="Z1627" i="12"/>
  <c r="Z1691" i="12"/>
  <c r="Z1755" i="12"/>
  <c r="Z1819" i="12"/>
  <c r="Z1883" i="12"/>
  <c r="Z1947" i="12"/>
  <c r="Z2011" i="12"/>
  <c r="Z2075" i="12"/>
  <c r="Z2139" i="12"/>
  <c r="Z2203" i="12"/>
  <c r="Z2267" i="12"/>
  <c r="Z2331" i="12"/>
  <c r="Z2395" i="12"/>
  <c r="Z2459" i="12"/>
  <c r="Z2523" i="12"/>
  <c r="Z2587" i="12"/>
  <c r="Z2651" i="12"/>
  <c r="Z2715" i="12"/>
  <c r="Z2779" i="12"/>
  <c r="Z2843" i="12"/>
  <c r="Z2907" i="12"/>
  <c r="Z2971" i="12"/>
  <c r="Z3035" i="12"/>
  <c r="Z3075" i="12"/>
  <c r="Z3107" i="12"/>
  <c r="Z3139" i="12"/>
  <c r="Z3171" i="12"/>
  <c r="Z3203" i="12"/>
  <c r="Z3235" i="12"/>
  <c r="Z3267" i="12"/>
  <c r="Z3299" i="12"/>
  <c r="Z3331" i="12"/>
  <c r="Z3363" i="12"/>
  <c r="Z3395" i="12"/>
  <c r="Z3427" i="12"/>
  <c r="Z3459" i="12"/>
  <c r="Z3491" i="12"/>
  <c r="Z3523" i="12"/>
  <c r="Z3042" i="12"/>
  <c r="Z3170" i="12"/>
  <c r="Z3298" i="12"/>
  <c r="Z3426" i="12"/>
  <c r="Z19" i="12"/>
  <c r="Z147" i="12"/>
  <c r="Z275" i="12"/>
  <c r="Z403" i="12"/>
  <c r="Z531" i="12"/>
  <c r="Z659" i="12"/>
  <c r="Z787" i="12"/>
  <c r="Z875" i="12"/>
  <c r="Z939" i="12"/>
  <c r="Z1003" i="12"/>
  <c r="Z1067" i="12"/>
  <c r="Z1131" i="12"/>
  <c r="Z1195" i="12"/>
  <c r="Z1259" i="12"/>
  <c r="Z1323" i="12"/>
  <c r="Z1387" i="12"/>
  <c r="Z1451" i="12"/>
  <c r="Z1515" i="12"/>
  <c r="Z1579" i="12"/>
  <c r="Z1643" i="12"/>
  <c r="Z1707" i="12"/>
  <c r="Z1771" i="12"/>
  <c r="Z1835" i="12"/>
  <c r="Z1899" i="12"/>
  <c r="Z1963" i="12"/>
  <c r="Z2027" i="12"/>
  <c r="Z2091" i="12"/>
  <c r="Z2155" i="12"/>
  <c r="Z2219" i="12"/>
  <c r="Z2283" i="12"/>
  <c r="Z2347" i="12"/>
  <c r="Z2411" i="12"/>
  <c r="Z2475" i="12"/>
  <c r="Z2539" i="12"/>
  <c r="Z2603" i="12"/>
  <c r="Z2667" i="12"/>
  <c r="Z2795" i="12"/>
  <c r="Z2859" i="12"/>
  <c r="Z2987" i="12"/>
  <c r="Z3051" i="12"/>
  <c r="Z3115" i="12"/>
  <c r="Z3147" i="12"/>
  <c r="Z3211" i="12"/>
  <c r="Z3275" i="12"/>
  <c r="Z3339" i="12"/>
  <c r="Z3403" i="12"/>
  <c r="Z3467" i="12"/>
  <c r="Z3531" i="12"/>
  <c r="AA19" i="12" a="1"/>
  <c r="AA21" i="12"/>
  <c r="AA85" i="12"/>
  <c r="AA149" i="12"/>
  <c r="AA213" i="12"/>
  <c r="AA277" i="12"/>
  <c r="AA341" i="12"/>
  <c r="AA421" i="12"/>
  <c r="AA506" i="12"/>
  <c r="AA591" i="12"/>
  <c r="AA677" i="12"/>
  <c r="AA762" i="12"/>
  <c r="AA847" i="12"/>
  <c r="AA41" i="12"/>
  <c r="AA105" i="12"/>
  <c r="AA169" i="12"/>
  <c r="AA233" i="12"/>
  <c r="AA297" i="12"/>
  <c r="AA362" i="12"/>
  <c r="AA447" i="12"/>
  <c r="AA533" i="12"/>
  <c r="AA618" i="12"/>
  <c r="AA703" i="12"/>
  <c r="AA789" i="12"/>
  <c r="AA874" i="12"/>
  <c r="AA77" i="12"/>
  <c r="AA141" i="12"/>
  <c r="AA205" i="12"/>
  <c r="AA269" i="12"/>
  <c r="AA333" i="12"/>
  <c r="AA410" i="12"/>
  <c r="AA495" i="12"/>
  <c r="AA581" i="12"/>
  <c r="AA666" i="12"/>
  <c r="AA751" i="12"/>
  <c r="AA837" i="12"/>
  <c r="AA49" i="12"/>
  <c r="AA113" i="12"/>
  <c r="AA177" i="12"/>
  <c r="AA241" i="12"/>
  <c r="AA305" i="12"/>
  <c r="AA373" i="12"/>
  <c r="AA458" i="12"/>
  <c r="AA543" i="12"/>
  <c r="AA629" i="12"/>
  <c r="AA714" i="12"/>
  <c r="AA799" i="12"/>
  <c r="AA885" i="12"/>
  <c r="AA975" i="12"/>
  <c r="AA1103" i="12"/>
  <c r="AA1231" i="12"/>
  <c r="AA1391" i="12"/>
  <c r="AA1519" i="12"/>
  <c r="AA1647" i="12"/>
  <c r="AA1823" i="12"/>
  <c r="AA1951" i="12"/>
  <c r="AA2079" i="12"/>
  <c r="AA2207" i="12"/>
  <c r="AA2335" i="12"/>
  <c r="AA2495" i="12"/>
  <c r="AA2655" i="12"/>
  <c r="AA2783" i="12"/>
  <c r="AA2927" i="12"/>
  <c r="AA3101" i="12"/>
  <c r="AA3293" i="12"/>
  <c r="AA3421" i="12"/>
  <c r="AA3549" i="12"/>
  <c r="AA34" i="12"/>
  <c r="AA50" i="12"/>
  <c r="AA66" i="12"/>
  <c r="AA82" i="12"/>
  <c r="AA98" i="12"/>
  <c r="AA114" i="12"/>
  <c r="AA130" i="12"/>
  <c r="AA146" i="12"/>
  <c r="AA162" i="12"/>
  <c r="AA178" i="12"/>
  <c r="AA194" i="12"/>
  <c r="AA210" i="12"/>
  <c r="AA226" i="12"/>
  <c r="AA242" i="12"/>
  <c r="AA258" i="12"/>
  <c r="AA274" i="12"/>
  <c r="AA290" i="12"/>
  <c r="AA306" i="12"/>
  <c r="AA322" i="12"/>
  <c r="AA338" i="12"/>
  <c r="AA354" i="12"/>
  <c r="AA374" i="12"/>
  <c r="AA395" i="12"/>
  <c r="AA417" i="12"/>
  <c r="AA438" i="12"/>
  <c r="AA459" i="12"/>
  <c r="AA481" i="12"/>
  <c r="AA502" i="12"/>
  <c r="AA523" i="12"/>
  <c r="AA545" i="12"/>
  <c r="AA566" i="12"/>
  <c r="AA587" i="12"/>
  <c r="AA609" i="12"/>
  <c r="AA630" i="12"/>
  <c r="AA651" i="12"/>
  <c r="AA673" i="12"/>
  <c r="AA694" i="12"/>
  <c r="AA715" i="12"/>
  <c r="AA737" i="12"/>
  <c r="AA758" i="12"/>
  <c r="AA779" i="12"/>
  <c r="AA801" i="12"/>
  <c r="AA822" i="12"/>
  <c r="AA843" i="12"/>
  <c r="AA865" i="12"/>
  <c r="AA886" i="12"/>
  <c r="AA911" i="12"/>
  <c r="AA963" i="12"/>
  <c r="AA1027" i="12"/>
  <c r="AA1091" i="12"/>
  <c r="AA1155" i="12"/>
  <c r="AA1219" i="12"/>
  <c r="AA1283" i="12"/>
  <c r="AA1347" i="12"/>
  <c r="AA1411" i="12"/>
  <c r="AA1475" i="12"/>
  <c r="AA1539" i="12"/>
  <c r="AA1603" i="12"/>
  <c r="AA1667" i="12"/>
  <c r="AA1731" i="12"/>
  <c r="AA1795" i="12"/>
  <c r="AA1859" i="12"/>
  <c r="AA1923" i="12"/>
  <c r="AA1987" i="12"/>
  <c r="AA2051" i="12"/>
  <c r="AA2115" i="12"/>
  <c r="AA2179" i="12"/>
  <c r="AA2243" i="12"/>
  <c r="AA2307" i="12"/>
  <c r="AA2371" i="12"/>
  <c r="AA2435" i="12"/>
  <c r="AA2499" i="12"/>
  <c r="AA2563" i="12"/>
  <c r="AA2627" i="12"/>
  <c r="AA2691" i="12"/>
  <c r="AA2755" i="12"/>
  <c r="AA2819" i="12"/>
  <c r="AA2883" i="12"/>
  <c r="AA2947" i="12"/>
  <c r="AA3013" i="12"/>
  <c r="AA3141" i="12"/>
  <c r="AA3269" i="12"/>
  <c r="AA3397" i="12"/>
  <c r="AA3525" i="12"/>
  <c r="AA959" i="12"/>
  <c r="AA1087" i="12"/>
  <c r="AA1215" i="12"/>
  <c r="AA1327" i="12"/>
  <c r="AA1439" i="12"/>
  <c r="AA1567" i="12"/>
  <c r="AA1679" i="12"/>
  <c r="AA1791" i="12"/>
  <c r="AA1903" i="12"/>
  <c r="AA2031" i="12"/>
  <c r="AA2159" i="12"/>
  <c r="AA2287" i="12"/>
  <c r="AA2399" i="12"/>
  <c r="AA2511" i="12"/>
  <c r="AA2623" i="12"/>
  <c r="AA2735" i="12"/>
  <c r="AA2847" i="12"/>
  <c r="AA2975" i="12"/>
  <c r="AA3261" i="12"/>
  <c r="AA31" i="12"/>
  <c r="AA47" i="12"/>
  <c r="AA63" i="12"/>
  <c r="AA79" i="12"/>
  <c r="AA95" i="12"/>
  <c r="AA111" i="12"/>
  <c r="AA127" i="12"/>
  <c r="AA143" i="12"/>
  <c r="AA159" i="12"/>
  <c r="AA175" i="12"/>
  <c r="AA191" i="12"/>
  <c r="AA207" i="12"/>
  <c r="AA223" i="12"/>
  <c r="AA239" i="12"/>
  <c r="AA255" i="12"/>
  <c r="AA271" i="12"/>
  <c r="AA287" i="12"/>
  <c r="AA303" i="12"/>
  <c r="AA319" i="12"/>
  <c r="AA335" i="12"/>
  <c r="AA351" i="12"/>
  <c r="AA370" i="12"/>
  <c r="AA391" i="12"/>
  <c r="AA413" i="12"/>
  <c r="AA434" i="12"/>
  <c r="AA455" i="12"/>
  <c r="AA477" i="12"/>
  <c r="AA498" i="12"/>
  <c r="AA519" i="12"/>
  <c r="AA541" i="12"/>
  <c r="AA562" i="12"/>
  <c r="AA583" i="12"/>
  <c r="AA605" i="12"/>
  <c r="AA626" i="12"/>
  <c r="AA647" i="12"/>
  <c r="AA669" i="12"/>
  <c r="AA690" i="12"/>
  <c r="AA711" i="12"/>
  <c r="AA733" i="12"/>
  <c r="AA754" i="12"/>
  <c r="AA775" i="12"/>
  <c r="AA797" i="12"/>
  <c r="AA818" i="12"/>
  <c r="AA839" i="12"/>
  <c r="AA861" i="12"/>
  <c r="AA882" i="12"/>
  <c r="AA905" i="12"/>
  <c r="AA951" i="12"/>
  <c r="AA1015" i="12"/>
  <c r="AA1079" i="12"/>
  <c r="AA1143" i="12"/>
  <c r="AA1207" i="12"/>
  <c r="AA1271" i="12"/>
  <c r="AA1335" i="12"/>
  <c r="AA1399" i="12"/>
  <c r="AA1463" i="12"/>
  <c r="AA1527" i="12"/>
  <c r="AA1591" i="12"/>
  <c r="AA1655" i="12"/>
  <c r="AA1719" i="12"/>
  <c r="AA1783" i="12"/>
  <c r="AA1847" i="12"/>
  <c r="AA1911" i="12"/>
  <c r="AA1975" i="12"/>
  <c r="AA2039" i="12"/>
  <c r="AA2103" i="12"/>
  <c r="AA2167" i="12"/>
  <c r="AA2231" i="12"/>
  <c r="AA2295" i="12"/>
  <c r="AA2359" i="12"/>
  <c r="AA2423" i="12"/>
  <c r="AA2487" i="12"/>
  <c r="AA2551" i="12"/>
  <c r="AA2615" i="12"/>
  <c r="AA2679" i="12"/>
  <c r="AA2743" i="12"/>
  <c r="AA2807" i="12"/>
  <c r="AA2871" i="12"/>
  <c r="AA2935" i="12"/>
  <c r="AA2999" i="12"/>
  <c r="AA3117" i="12"/>
  <c r="AA3245" i="12"/>
  <c r="AA3373" i="12"/>
  <c r="AA3501" i="12"/>
  <c r="AA28" i="12"/>
  <c r="AA44" i="12"/>
  <c r="AA60" i="12"/>
  <c r="AA76" i="12"/>
  <c r="AA92" i="12"/>
  <c r="AA108" i="12"/>
  <c r="AA124" i="12"/>
  <c r="AA140" i="12"/>
  <c r="AA156" i="12"/>
  <c r="AA172" i="12"/>
  <c r="AA188" i="12"/>
  <c r="AA204" i="12"/>
  <c r="AA220" i="12"/>
  <c r="AA236" i="12"/>
  <c r="AA252" i="12"/>
  <c r="AA268" i="12"/>
  <c r="AA284" i="12"/>
  <c r="AA300" i="12"/>
  <c r="AA316" i="12"/>
  <c r="AA332" i="12"/>
  <c r="AA348" i="12"/>
  <c r="AA366" i="12"/>
  <c r="AA387" i="12"/>
  <c r="AA409" i="12"/>
  <c r="AA430" i="12"/>
  <c r="AA451" i="12"/>
  <c r="AA473" i="12"/>
  <c r="AA494" i="12"/>
  <c r="AA515" i="12"/>
  <c r="AA537" i="12"/>
  <c r="AA558" i="12"/>
  <c r="AA579" i="12"/>
  <c r="AA601" i="12"/>
  <c r="AA622" i="12"/>
  <c r="AA643" i="12"/>
  <c r="AA665" i="12"/>
  <c r="AA686" i="12"/>
  <c r="AA707" i="12"/>
  <c r="AA729" i="12"/>
  <c r="AA750" i="12"/>
  <c r="AA771" i="12"/>
  <c r="AA793" i="12"/>
  <c r="AA814" i="12"/>
  <c r="AA835" i="12"/>
  <c r="AA857" i="12"/>
  <c r="AA878" i="12"/>
  <c r="AA899" i="12"/>
  <c r="AA939" i="12"/>
  <c r="AA1003" i="12"/>
  <c r="AA1067" i="12"/>
  <c r="AA1131" i="12"/>
  <c r="AA1195" i="12"/>
  <c r="AA1259" i="12"/>
  <c r="AA1323" i="12"/>
  <c r="AA1387" i="12"/>
  <c r="AA1451" i="12"/>
  <c r="AA1515" i="12"/>
  <c r="AA1579" i="12"/>
  <c r="AA1643" i="12"/>
  <c r="AA1707" i="12"/>
  <c r="AA1771" i="12"/>
  <c r="AA1835" i="12"/>
  <c r="AA1899" i="12"/>
  <c r="AA1963" i="12"/>
  <c r="AA2027" i="12"/>
  <c r="AA2091" i="12"/>
  <c r="AA2155" i="12"/>
  <c r="AA2219" i="12"/>
  <c r="AA2283" i="12"/>
  <c r="AA2347" i="12"/>
  <c r="AA2411" i="12"/>
  <c r="AA2475" i="12"/>
  <c r="AA2539" i="12"/>
  <c r="AA2603" i="12"/>
  <c r="AA2667" i="12"/>
  <c r="AA2731" i="12"/>
  <c r="AA2795" i="12"/>
  <c r="AA2859" i="12"/>
  <c r="AA2923" i="12"/>
  <c r="AA2987" i="12"/>
  <c r="AA3093" i="12"/>
  <c r="AA3221" i="12"/>
  <c r="AA3349" i="12"/>
  <c r="AA3477" i="12"/>
  <c r="AA364" i="12"/>
  <c r="AA380" i="12"/>
  <c r="AA396" i="12"/>
  <c r="AA412" i="12"/>
  <c r="AA428" i="12"/>
  <c r="AA444" i="12"/>
  <c r="AA37" i="12"/>
  <c r="AA101" i="12"/>
  <c r="AA165" i="12"/>
  <c r="AA229" i="12"/>
  <c r="AA293" i="12"/>
  <c r="AA357" i="12"/>
  <c r="AA442" i="12"/>
  <c r="AA527" i="12"/>
  <c r="AA613" i="12"/>
  <c r="AA698" i="12"/>
  <c r="AA783" i="12"/>
  <c r="AA869" i="12"/>
  <c r="AA57" i="12"/>
  <c r="AA121" i="12"/>
  <c r="AA185" i="12"/>
  <c r="AA249" i="12"/>
  <c r="AA313" i="12"/>
  <c r="AA383" i="12"/>
  <c r="AA469" i="12"/>
  <c r="AA554" i="12"/>
  <c r="AA639" i="12"/>
  <c r="AA725" i="12"/>
  <c r="AA810" i="12"/>
  <c r="AA29" i="12"/>
  <c r="AA93" i="12"/>
  <c r="AA157" i="12"/>
  <c r="AA221" i="12"/>
  <c r="AA285" i="12"/>
  <c r="AA349" i="12"/>
  <c r="AA431" i="12"/>
  <c r="AA517" i="12"/>
  <c r="AA602" i="12"/>
  <c r="AA687" i="12"/>
  <c r="AA773" i="12"/>
  <c r="AA858" i="12"/>
  <c r="AA65" i="12"/>
  <c r="AA129" i="12"/>
  <c r="AA193" i="12"/>
  <c r="AA257" i="12"/>
  <c r="AA321" i="12"/>
  <c r="AA394" i="12"/>
  <c r="AA479" i="12"/>
  <c r="AA565" i="12"/>
  <c r="AA650" i="12"/>
  <c r="AA735" i="12"/>
  <c r="AA821" i="12"/>
  <c r="AA909" i="12"/>
  <c r="AA1007" i="12"/>
  <c r="AA1135" i="12"/>
  <c r="AA1263" i="12"/>
  <c r="AA1423" i="12"/>
  <c r="AA1551" i="12"/>
  <c r="AA1695" i="12"/>
  <c r="AA1855" i="12"/>
  <c r="AA1983" i="12"/>
  <c r="AA2111" i="12"/>
  <c r="AA2239" i="12"/>
  <c r="AA2367" i="12"/>
  <c r="AA2527" i="12"/>
  <c r="AA2687" i="12"/>
  <c r="AA2815" i="12"/>
  <c r="AA2959" i="12"/>
  <c r="AA3133" i="12"/>
  <c r="AA3325" i="12"/>
  <c r="AA3453" i="12"/>
  <c r="AA22" i="12"/>
  <c r="AA38" i="12"/>
  <c r="AA54" i="12"/>
  <c r="AA70" i="12"/>
  <c r="AA86" i="12"/>
  <c r="AA102" i="12"/>
  <c r="AA118" i="12"/>
  <c r="AA134" i="12"/>
  <c r="AA150" i="12"/>
  <c r="AA166" i="12"/>
  <c r="AA182" i="12"/>
  <c r="AA198" i="12"/>
  <c r="AA214" i="12"/>
  <c r="AA230" i="12"/>
  <c r="AA246" i="12"/>
  <c r="AA262" i="12"/>
  <c r="AA278" i="12"/>
  <c r="AA294" i="12"/>
  <c r="AA310" i="12"/>
  <c r="AA326" i="12"/>
  <c r="AA342" i="12"/>
  <c r="AA358" i="12"/>
  <c r="AA379" i="12"/>
  <c r="AA401" i="12"/>
  <c r="AA422" i="12"/>
  <c r="AA443" i="12"/>
  <c r="AA465" i="12"/>
  <c r="AA486" i="12"/>
  <c r="AA507" i="12"/>
  <c r="AA529" i="12"/>
  <c r="AA550" i="12"/>
  <c r="AA571" i="12"/>
  <c r="AA593" i="12"/>
  <c r="AA614" i="12"/>
  <c r="AA635" i="12"/>
  <c r="AA657" i="12"/>
  <c r="AA678" i="12"/>
  <c r="AA699" i="12"/>
  <c r="AA721" i="12"/>
  <c r="AA742" i="12"/>
  <c r="AA763" i="12"/>
  <c r="AA785" i="12"/>
  <c r="AA806" i="12"/>
  <c r="AA827" i="12"/>
  <c r="AA849" i="12"/>
  <c r="AA870" i="12"/>
  <c r="AA891" i="12"/>
  <c r="AA919" i="12"/>
  <c r="AA979" i="12"/>
  <c r="AA1043" i="12"/>
  <c r="AA1107" i="12"/>
  <c r="AA1171" i="12"/>
  <c r="AA1235" i="12"/>
  <c r="AA1299" i="12"/>
  <c r="AA1363" i="12"/>
  <c r="AA1427" i="12"/>
  <c r="AA1491" i="12"/>
  <c r="AA1555" i="12"/>
  <c r="AA1619" i="12"/>
  <c r="AA1683" i="12"/>
  <c r="AA1747" i="12"/>
  <c r="AA1811" i="12"/>
  <c r="AA1875" i="12"/>
  <c r="AA1939" i="12"/>
  <c r="AA2003" i="12"/>
  <c r="AA2067" i="12"/>
  <c r="AA2131" i="12"/>
  <c r="AA2195" i="12"/>
  <c r="AA2259" i="12"/>
  <c r="AA2323" i="12"/>
  <c r="AA2387" i="12"/>
  <c r="AA2451" i="12"/>
  <c r="AA2515" i="12"/>
  <c r="AA2579" i="12"/>
  <c r="AA2643" i="12"/>
  <c r="AA2707" i="12"/>
  <c r="AA2771" i="12"/>
  <c r="AA2835" i="12"/>
  <c r="AA2899" i="12"/>
  <c r="AA2963" i="12"/>
  <c r="AA3045" i="12"/>
  <c r="AA3173" i="12"/>
  <c r="AA3301" i="12"/>
  <c r="AA3429" i="12"/>
  <c r="AA890" i="12"/>
  <c r="AA991" i="12"/>
  <c r="AA1119" i="12"/>
  <c r="AA1247" i="12"/>
  <c r="AA1343" i="12"/>
  <c r="AA1471" i="12"/>
  <c r="AA1599" i="12"/>
  <c r="AA1711" i="12"/>
  <c r="AA1807" i="12"/>
  <c r="AA1935" i="12"/>
  <c r="AA2063" i="12"/>
  <c r="AA2191" i="12"/>
  <c r="AA2319" i="12"/>
  <c r="AA2431" i="12"/>
  <c r="AA2543" i="12"/>
  <c r="AA2639" i="12"/>
  <c r="AA2767" i="12"/>
  <c r="AA2879" i="12"/>
  <c r="AA3007" i="12"/>
  <c r="AA19" i="12"/>
  <c r="AA35" i="12"/>
  <c r="AA51" i="12"/>
  <c r="AA67" i="12"/>
  <c r="AA83" i="12"/>
  <c r="AA99" i="12"/>
  <c r="AA115" i="12"/>
  <c r="AA131" i="12"/>
  <c r="AA147" i="12"/>
  <c r="AA163" i="12"/>
  <c r="AA179" i="12"/>
  <c r="AA195" i="12"/>
  <c r="AA211" i="12"/>
  <c r="AA227" i="12"/>
  <c r="AA243" i="12"/>
  <c r="AA259" i="12"/>
  <c r="AA275" i="12"/>
  <c r="AA291" i="12"/>
  <c r="AA307" i="12"/>
  <c r="AA323" i="12"/>
  <c r="AA339" i="12"/>
  <c r="AA355" i="12"/>
  <c r="AA375" i="12"/>
  <c r="AA397" i="12"/>
  <c r="AA418" i="12"/>
  <c r="AA439" i="12"/>
  <c r="AA461" i="12"/>
  <c r="AA482" i="12"/>
  <c r="AA503" i="12"/>
  <c r="AA525" i="12"/>
  <c r="AA546" i="12"/>
  <c r="AA567" i="12"/>
  <c r="AA589" i="12"/>
  <c r="AA610" i="12"/>
  <c r="AA631" i="12"/>
  <c r="AA653" i="12"/>
  <c r="AA674" i="12"/>
  <c r="AA695" i="12"/>
  <c r="AA717" i="12"/>
  <c r="AA738" i="12"/>
  <c r="AA759" i="12"/>
  <c r="AA781" i="12"/>
  <c r="AA802" i="12"/>
  <c r="AA823" i="12"/>
  <c r="AA845" i="12"/>
  <c r="AA866" i="12"/>
  <c r="AA887" i="12"/>
  <c r="AA913" i="12"/>
  <c r="AA967" i="12"/>
  <c r="AA1031" i="12"/>
  <c r="AA1095" i="12"/>
  <c r="AA1159" i="12"/>
  <c r="AA1223" i="12"/>
  <c r="AA1287" i="12"/>
  <c r="AA1351" i="12"/>
  <c r="AA1415" i="12"/>
  <c r="AA1479" i="12"/>
  <c r="AA1543" i="12"/>
  <c r="AA1607" i="12"/>
  <c r="AA1671" i="12"/>
  <c r="AA1735" i="12"/>
  <c r="AA1799" i="12"/>
  <c r="AA1863" i="12"/>
  <c r="AA1927" i="12"/>
  <c r="AA1991" i="12"/>
  <c r="AA2055" i="12"/>
  <c r="AA2119" i="12"/>
  <c r="AA2183" i="12"/>
  <c r="AA2247" i="12"/>
  <c r="AA2311" i="12"/>
  <c r="AA2375" i="12"/>
  <c r="AA2439" i="12"/>
  <c r="AA2503" i="12"/>
  <c r="AA2567" i="12"/>
  <c r="AA2631" i="12"/>
  <c r="AA2695" i="12"/>
  <c r="AA2759" i="12"/>
  <c r="AA2823" i="12"/>
  <c r="AA2887" i="12"/>
  <c r="AA2951" i="12"/>
  <c r="AA3021" i="12"/>
  <c r="AA3149" i="12"/>
  <c r="AA3277" i="12"/>
  <c r="AA3405" i="12"/>
  <c r="AA3533" i="12"/>
  <c r="AA32" i="12"/>
  <c r="AA48" i="12"/>
  <c r="AA64" i="12"/>
  <c r="AA80" i="12"/>
  <c r="AA96" i="12"/>
  <c r="AA112" i="12"/>
  <c r="AA128" i="12"/>
  <c r="AA144" i="12"/>
  <c r="AA160" i="12"/>
  <c r="AA176" i="12"/>
  <c r="AA192" i="12"/>
  <c r="AA208" i="12"/>
  <c r="AA224" i="12"/>
  <c r="AA240" i="12"/>
  <c r="AA256" i="12"/>
  <c r="AA272" i="12"/>
  <c r="AA288" i="12"/>
  <c r="AA304" i="12"/>
  <c r="AA320" i="12"/>
  <c r="AA336" i="12"/>
  <c r="AA352" i="12"/>
  <c r="AA371" i="12"/>
  <c r="AA393" i="12"/>
  <c r="AA414" i="12"/>
  <c r="AA435" i="12"/>
  <c r="AA457" i="12"/>
  <c r="AA478" i="12"/>
  <c r="AA499" i="12"/>
  <c r="AA521" i="12"/>
  <c r="AA542" i="12"/>
  <c r="AA563" i="12"/>
  <c r="AA585" i="12"/>
  <c r="AA606" i="12"/>
  <c r="AA627" i="12"/>
  <c r="AA649" i="12"/>
  <c r="AA670" i="12"/>
  <c r="AA691" i="12"/>
  <c r="AA713" i="12"/>
  <c r="AA734" i="12"/>
  <c r="AA755" i="12"/>
  <c r="AA777" i="12"/>
  <c r="AA798" i="12"/>
  <c r="AA819" i="12"/>
  <c r="AA841" i="12"/>
  <c r="AA862" i="12"/>
  <c r="AA883" i="12"/>
  <c r="AA907" i="12"/>
  <c r="AA955" i="12"/>
  <c r="AA1019" i="12"/>
  <c r="AA1083" i="12"/>
  <c r="AA1147" i="12"/>
  <c r="AA1211" i="12"/>
  <c r="AA1275" i="12"/>
  <c r="AA1339" i="12"/>
  <c r="AA1403" i="12"/>
  <c r="AA1467" i="12"/>
  <c r="AA1531" i="12"/>
  <c r="AA1595" i="12"/>
  <c r="AA1659" i="12"/>
  <c r="AA1723" i="12"/>
  <c r="AA1787" i="12"/>
  <c r="AA1851" i="12"/>
  <c r="AA1915" i="12"/>
  <c r="AA1979" i="12"/>
  <c r="AA2043" i="12"/>
  <c r="AA2107" i="12"/>
  <c r="AA2171" i="12"/>
  <c r="AA2235" i="12"/>
  <c r="AA2299" i="12"/>
  <c r="AA2363" i="12"/>
  <c r="AA2427" i="12"/>
  <c r="AA2491" i="12"/>
  <c r="AA2555" i="12"/>
  <c r="AA2619" i="12"/>
  <c r="AA2683" i="12"/>
  <c r="AA2747" i="12"/>
  <c r="AA2811" i="12"/>
  <c r="AA2875" i="12"/>
  <c r="AA2939" i="12"/>
  <c r="AA53" i="12"/>
  <c r="AA117" i="12"/>
  <c r="AA181" i="12"/>
  <c r="AA245" i="12"/>
  <c r="AA309" i="12"/>
  <c r="AA378" i="12"/>
  <c r="AA463" i="12"/>
  <c r="AA549" i="12"/>
  <c r="AA634" i="12"/>
  <c r="AA719" i="12"/>
  <c r="AA805" i="12"/>
  <c r="AA895" i="12"/>
  <c r="AA73" i="12"/>
  <c r="AA137" i="12"/>
  <c r="AA201" i="12"/>
  <c r="AA265" i="12"/>
  <c r="AA329" i="12"/>
  <c r="AA405" i="12"/>
  <c r="AA490" i="12"/>
  <c r="AA575" i="12"/>
  <c r="AA661" i="12"/>
  <c r="AA746" i="12"/>
  <c r="AA831" i="12"/>
  <c r="AA45" i="12"/>
  <c r="AA109" i="12"/>
  <c r="AA173" i="12"/>
  <c r="AA237" i="12"/>
  <c r="AA301" i="12"/>
  <c r="AA367" i="12"/>
  <c r="AA453" i="12"/>
  <c r="AA538" i="12"/>
  <c r="AA623" i="12"/>
  <c r="AA709" i="12"/>
  <c r="AA794" i="12"/>
  <c r="AA879" i="12"/>
  <c r="AA81" i="12"/>
  <c r="AA145" i="12"/>
  <c r="AA209" i="12"/>
  <c r="AA273" i="12"/>
  <c r="AA337" i="12"/>
  <c r="AA415" i="12"/>
  <c r="AA501" i="12"/>
  <c r="AA586" i="12"/>
  <c r="AA671" i="12"/>
  <c r="AA757" i="12"/>
  <c r="AA842" i="12"/>
  <c r="AA927" i="12"/>
  <c r="AA1039" i="12"/>
  <c r="AA1167" i="12"/>
  <c r="AA1311" i="12"/>
  <c r="AA1455" i="12"/>
  <c r="AA1583" i="12"/>
  <c r="AA1743" i="12"/>
  <c r="AA1887" i="12"/>
  <c r="AA2015" i="12"/>
  <c r="AA2143" i="12"/>
  <c r="AA2271" i="12"/>
  <c r="AA2415" i="12"/>
  <c r="AA2559" i="12"/>
  <c r="AA2719" i="12"/>
  <c r="AA2863" i="12"/>
  <c r="AA2991" i="12"/>
  <c r="AA3197" i="12"/>
  <c r="AA3357" i="12"/>
  <c r="AA3485" i="12"/>
  <c r="AA26" i="12"/>
  <c r="AA42" i="12"/>
  <c r="AA58" i="12"/>
  <c r="AA74" i="12"/>
  <c r="AA90" i="12"/>
  <c r="AA106" i="12"/>
  <c r="AA122" i="12"/>
  <c r="AA138" i="12"/>
  <c r="AA154" i="12"/>
  <c r="AA170" i="12"/>
  <c r="AA186" i="12"/>
  <c r="AA202" i="12"/>
  <c r="AA218" i="12"/>
  <c r="AA234" i="12"/>
  <c r="AA250" i="12"/>
  <c r="AA266" i="12"/>
  <c r="AA282" i="12"/>
  <c r="AA298" i="12"/>
  <c r="AA314" i="12"/>
  <c r="AA330" i="12"/>
  <c r="AA346" i="12"/>
  <c r="AA363" i="12"/>
  <c r="AA385" i="12"/>
  <c r="AA406" i="12"/>
  <c r="AA427" i="12"/>
  <c r="AA449" i="12"/>
  <c r="AA470" i="12"/>
  <c r="AA491" i="12"/>
  <c r="AA513" i="12"/>
  <c r="AA534" i="12"/>
  <c r="AA555" i="12"/>
  <c r="AA577" i="12"/>
  <c r="AA598" i="12"/>
  <c r="AA619" i="12"/>
  <c r="AA641" i="12"/>
  <c r="AA662" i="12"/>
  <c r="AA683" i="12"/>
  <c r="AA705" i="12"/>
  <c r="AA726" i="12"/>
  <c r="AA747" i="12"/>
  <c r="AA769" i="12"/>
  <c r="AA790" i="12"/>
  <c r="AA811" i="12"/>
  <c r="AA833" i="12"/>
  <c r="AA854" i="12"/>
  <c r="AA875" i="12"/>
  <c r="AA897" i="12"/>
  <c r="AA931" i="12"/>
  <c r="AA995" i="12"/>
  <c r="AA1059" i="12"/>
  <c r="AA1123" i="12"/>
  <c r="AA1187" i="12"/>
  <c r="AA1251" i="12"/>
  <c r="AA1315" i="12"/>
  <c r="AA1379" i="12"/>
  <c r="AA1443" i="12"/>
  <c r="AA1507" i="12"/>
  <c r="AA1571" i="12"/>
  <c r="AA1635" i="12"/>
  <c r="AA1699" i="12"/>
  <c r="AA1763" i="12"/>
  <c r="AA1827" i="12"/>
  <c r="AA1891" i="12"/>
  <c r="AA1955" i="12"/>
  <c r="AA2019" i="12"/>
  <c r="AA2083" i="12"/>
  <c r="AA2147" i="12"/>
  <c r="AA2211" i="12"/>
  <c r="AA2275" i="12"/>
  <c r="AA2339" i="12"/>
  <c r="AA2403" i="12"/>
  <c r="AA2467" i="12"/>
  <c r="AA2531" i="12"/>
  <c r="AA2595" i="12"/>
  <c r="AA2659" i="12"/>
  <c r="AA2723" i="12"/>
  <c r="AA2787" i="12"/>
  <c r="AA2851" i="12"/>
  <c r="AA2915" i="12"/>
  <c r="AA2979" i="12"/>
  <c r="AA3077" i="12"/>
  <c r="AA3205" i="12"/>
  <c r="AA3333" i="12"/>
  <c r="AA3461" i="12"/>
  <c r="AA901" i="12"/>
  <c r="AA1023" i="12"/>
  <c r="AA1151" i="12"/>
  <c r="AA1279" i="12"/>
  <c r="AA1375" i="12"/>
  <c r="AA1503" i="12"/>
  <c r="AA1631" i="12"/>
  <c r="AA1727" i="12"/>
  <c r="AA1839" i="12"/>
  <c r="AA1967" i="12"/>
  <c r="AA2095" i="12"/>
  <c r="AA2223" i="12"/>
  <c r="AA2351" i="12"/>
  <c r="AA2447" i="12"/>
  <c r="AA2575" i="12"/>
  <c r="AA2671" i="12"/>
  <c r="AA2799" i="12"/>
  <c r="AA2911" i="12"/>
  <c r="AA3069" i="12"/>
  <c r="AA23" i="12"/>
  <c r="AA39" i="12"/>
  <c r="AA55" i="12"/>
  <c r="AA71" i="12"/>
  <c r="AA87" i="12"/>
  <c r="AA103" i="12"/>
  <c r="AA119" i="12"/>
  <c r="AA135" i="12"/>
  <c r="AA151" i="12"/>
  <c r="AA167" i="12"/>
  <c r="AA183" i="12"/>
  <c r="AA199" i="12"/>
  <c r="AA215" i="12"/>
  <c r="AA231" i="12"/>
  <c r="AA247" i="12"/>
  <c r="AA263" i="12"/>
  <c r="AA279" i="12"/>
  <c r="AA295" i="12"/>
  <c r="AA311" i="12"/>
  <c r="AA327" i="12"/>
  <c r="AA343" i="12"/>
  <c r="AA359" i="12"/>
  <c r="AA381" i="12"/>
  <c r="AA402" i="12"/>
  <c r="AA423" i="12"/>
  <c r="AA445" i="12"/>
  <c r="AA466" i="12"/>
  <c r="AA487" i="12"/>
  <c r="AA509" i="12"/>
  <c r="AA530" i="12"/>
  <c r="AA551" i="12"/>
  <c r="AA573" i="12"/>
  <c r="AA594" i="12"/>
  <c r="AA615" i="12"/>
  <c r="AA637" i="12"/>
  <c r="AA658" i="12"/>
  <c r="AA679" i="12"/>
  <c r="AA701" i="12"/>
  <c r="AA722" i="12"/>
  <c r="AA743" i="12"/>
  <c r="AA765" i="12"/>
  <c r="AA786" i="12"/>
  <c r="AA807" i="12"/>
  <c r="AA829" i="12"/>
  <c r="AA850" i="12"/>
  <c r="AA871" i="12"/>
  <c r="AA893" i="12"/>
  <c r="AA921" i="12"/>
  <c r="AA983" i="12"/>
  <c r="AA1047" i="12"/>
  <c r="AA1111" i="12"/>
  <c r="AA1175" i="12"/>
  <c r="AA1239" i="12"/>
  <c r="AA1303" i="12"/>
  <c r="AA1367" i="12"/>
  <c r="AA1431" i="12"/>
  <c r="AA1495" i="12"/>
  <c r="AA1559" i="12"/>
  <c r="AA1623" i="12"/>
  <c r="AA1687" i="12"/>
  <c r="AA1751" i="12"/>
  <c r="AA1815" i="12"/>
  <c r="AA1879" i="12"/>
  <c r="AA1943" i="12"/>
  <c r="AA2007" i="12"/>
  <c r="AA2071" i="12"/>
  <c r="AA2135" i="12"/>
  <c r="AA2199" i="12"/>
  <c r="AA2263" i="12"/>
  <c r="AA2327" i="12"/>
  <c r="AA2391" i="12"/>
  <c r="AA2455" i="12"/>
  <c r="AA2519" i="12"/>
  <c r="AA2583" i="12"/>
  <c r="AA2647" i="12"/>
  <c r="AA2711" i="12"/>
  <c r="AA2775" i="12"/>
  <c r="AA2839" i="12"/>
  <c r="AA2903" i="12"/>
  <c r="AA2967" i="12"/>
  <c r="AA3053" i="12"/>
  <c r="AA3181" i="12"/>
  <c r="AA3309" i="12"/>
  <c r="AA3437" i="12"/>
  <c r="AA20" i="12"/>
  <c r="AA36" i="12"/>
  <c r="AA52" i="12"/>
  <c r="AA68" i="12"/>
  <c r="AA84" i="12"/>
  <c r="AA100" i="12"/>
  <c r="AA116" i="12"/>
  <c r="AA132" i="12"/>
  <c r="AA148" i="12"/>
  <c r="AA164" i="12"/>
  <c r="AA180" i="12"/>
  <c r="AA196" i="12"/>
  <c r="AA212" i="12"/>
  <c r="AA228" i="12"/>
  <c r="AA244" i="12"/>
  <c r="AA260" i="12"/>
  <c r="AA276" i="12"/>
  <c r="AA292" i="12"/>
  <c r="AA308" i="12"/>
  <c r="AA324" i="12"/>
  <c r="AA340" i="12"/>
  <c r="AA356" i="12"/>
  <c r="AA377" i="12"/>
  <c r="AA398" i="12"/>
  <c r="AA419" i="12"/>
  <c r="AA441" i="12"/>
  <c r="AA462" i="12"/>
  <c r="AA483" i="12"/>
  <c r="AA505" i="12"/>
  <c r="AA526" i="12"/>
  <c r="AA547" i="12"/>
  <c r="AA569" i="12"/>
  <c r="AA590" i="12"/>
  <c r="AA611" i="12"/>
  <c r="AA633" i="12"/>
  <c r="AA654" i="12"/>
  <c r="AA675" i="12"/>
  <c r="AA697" i="12"/>
  <c r="AA718" i="12"/>
  <c r="AA739" i="12"/>
  <c r="AA761" i="12"/>
  <c r="AA782" i="12"/>
  <c r="AA803" i="12"/>
  <c r="AA825" i="12"/>
  <c r="AA846" i="12"/>
  <c r="AA867" i="12"/>
  <c r="AA889" i="12"/>
  <c r="AA915" i="12"/>
  <c r="AA971" i="12"/>
  <c r="AA1035" i="12"/>
  <c r="AA1099" i="12"/>
  <c r="AA1163" i="12"/>
  <c r="AA1227" i="12"/>
  <c r="AA1291" i="12"/>
  <c r="AA1355" i="12"/>
  <c r="AA1419" i="12"/>
  <c r="AA1483" i="12"/>
  <c r="AA1547" i="12"/>
  <c r="AA1611" i="12"/>
  <c r="AA1675" i="12"/>
  <c r="AA1739" i="12"/>
  <c r="AA1803" i="12"/>
  <c r="AA1867" i="12"/>
  <c r="AA1931" i="12"/>
  <c r="AA1995" i="12"/>
  <c r="AA2059" i="12"/>
  <c r="AA2123" i="12"/>
  <c r="AA2187" i="12"/>
  <c r="AA2251" i="12"/>
  <c r="AA2315" i="12"/>
  <c r="AA2379" i="12"/>
  <c r="AA2443" i="12"/>
  <c r="AA2507" i="12"/>
  <c r="AA2571" i="12"/>
  <c r="AA2635" i="12"/>
  <c r="AA2699" i="12"/>
  <c r="AA2763" i="12"/>
  <c r="AA2827" i="12"/>
  <c r="AA2891" i="12"/>
  <c r="AA2955" i="12"/>
  <c r="AA3029" i="12"/>
  <c r="AA3157" i="12"/>
  <c r="AA3285" i="12"/>
  <c r="AA3413" i="12"/>
  <c r="AA3541" i="12"/>
  <c r="AA372" i="12"/>
  <c r="AA388" i="12"/>
  <c r="AA404" i="12"/>
  <c r="AA420" i="12"/>
  <c r="AA69" i="12"/>
  <c r="AA325" i="12"/>
  <c r="AA655" i="12"/>
  <c r="AA89" i="12"/>
  <c r="AA345" i="12"/>
  <c r="AA682" i="12"/>
  <c r="AA125" i="12"/>
  <c r="AA389" i="12"/>
  <c r="AA730" i="12"/>
  <c r="AA161" i="12"/>
  <c r="AA437" i="12"/>
  <c r="AA778" i="12"/>
  <c r="AA1199" i="12"/>
  <c r="AA1775" i="12"/>
  <c r="AA2303" i="12"/>
  <c r="AA2895" i="12"/>
  <c r="AA3517" i="12"/>
  <c r="AA78" i="12"/>
  <c r="AA142" i="12"/>
  <c r="AA206" i="12"/>
  <c r="AA270" i="12"/>
  <c r="AA334" i="12"/>
  <c r="AA411" i="12"/>
  <c r="AA497" i="12"/>
  <c r="AA582" i="12"/>
  <c r="AA667" i="12"/>
  <c r="AA753" i="12"/>
  <c r="AA838" i="12"/>
  <c r="AA947" i="12"/>
  <c r="AA1203" i="12"/>
  <c r="AA1459" i="12"/>
  <c r="AA1715" i="12"/>
  <c r="AA1971" i="12"/>
  <c r="AA2227" i="12"/>
  <c r="AA2483" i="12"/>
  <c r="AA2739" i="12"/>
  <c r="AA2995" i="12"/>
  <c r="AA3493" i="12"/>
  <c r="AA1295" i="12"/>
  <c r="AA1759" i="12"/>
  <c r="AA2255" i="12"/>
  <c r="AA2703" i="12"/>
  <c r="AA27" i="12"/>
  <c r="AA91" i="12"/>
  <c r="AA155" i="12"/>
  <c r="AA219" i="12"/>
  <c r="AA283" i="12"/>
  <c r="AA347" i="12"/>
  <c r="AA429" i="12"/>
  <c r="AA514" i="12"/>
  <c r="AA599" i="12"/>
  <c r="AA685" i="12"/>
  <c r="AA770" i="12"/>
  <c r="AA855" i="12"/>
  <c r="AA999" i="12"/>
  <c r="AA1255" i="12"/>
  <c r="AA1511" i="12"/>
  <c r="AA1767" i="12"/>
  <c r="AA2023" i="12"/>
  <c r="AA2279" i="12"/>
  <c r="AA2535" i="12"/>
  <c r="AA2791" i="12"/>
  <c r="AA3085" i="12"/>
  <c r="AA24" i="12"/>
  <c r="AA88" i="12"/>
  <c r="AA152" i="12"/>
  <c r="AA216" i="12"/>
  <c r="AA280" i="12"/>
  <c r="AA344" i="12"/>
  <c r="AA425" i="12"/>
  <c r="AA510" i="12"/>
  <c r="AA595" i="12"/>
  <c r="AA681" i="12"/>
  <c r="AA766" i="12"/>
  <c r="AA851" i="12"/>
  <c r="AA987" i="12"/>
  <c r="AA1243" i="12"/>
  <c r="AA1499" i="12"/>
  <c r="AA1755" i="12"/>
  <c r="AA2011" i="12"/>
  <c r="AA2267" i="12"/>
  <c r="AA2523" i="12"/>
  <c r="AA2779" i="12"/>
  <c r="AA3003" i="12"/>
  <c r="AA3253" i="12"/>
  <c r="AA3509" i="12"/>
  <c r="AA384" i="12"/>
  <c r="AA416" i="12"/>
  <c r="AA440" i="12"/>
  <c r="AA460" i="12"/>
  <c r="AA476" i="12"/>
  <c r="AA492" i="12"/>
  <c r="AA508" i="12"/>
  <c r="AA524" i="12"/>
  <c r="AA540" i="12"/>
  <c r="AA556" i="12"/>
  <c r="AA572" i="12"/>
  <c r="AA588" i="12"/>
  <c r="AA604" i="12"/>
  <c r="AA620" i="12"/>
  <c r="AA636" i="12"/>
  <c r="AA652" i="12"/>
  <c r="AA668" i="12"/>
  <c r="AA684" i="12"/>
  <c r="AA700" i="12"/>
  <c r="AA716" i="12"/>
  <c r="AA732" i="12"/>
  <c r="AA748" i="12"/>
  <c r="AA764" i="12"/>
  <c r="AA780" i="12"/>
  <c r="AA796" i="12"/>
  <c r="AA812" i="12"/>
  <c r="AA828" i="12"/>
  <c r="AA844" i="12"/>
  <c r="AA860" i="12"/>
  <c r="AA876" i="12"/>
  <c r="AA892" i="12"/>
  <c r="AA908" i="12"/>
  <c r="AA924" i="12"/>
  <c r="AA940" i="12"/>
  <c r="AA956" i="12"/>
  <c r="AA972" i="12"/>
  <c r="AA988" i="12"/>
  <c r="AA1004" i="12"/>
  <c r="AA1020" i="12"/>
  <c r="AA1036" i="12"/>
  <c r="AA1052" i="12"/>
  <c r="AA1068" i="12"/>
  <c r="AA1084" i="12"/>
  <c r="AA1100" i="12"/>
  <c r="AA1116" i="12"/>
  <c r="AA1132" i="12"/>
  <c r="AA1148" i="12"/>
  <c r="AA1164" i="12"/>
  <c r="AA1180" i="12"/>
  <c r="AA1196" i="12"/>
  <c r="AA1212" i="12"/>
  <c r="AA1228" i="12"/>
  <c r="AA1244" i="12"/>
  <c r="AA1260" i="12"/>
  <c r="AA1276" i="12"/>
  <c r="AA1292" i="12"/>
  <c r="AA1308" i="12"/>
  <c r="AA1324" i="12"/>
  <c r="AA1340" i="12"/>
  <c r="AA1356" i="12"/>
  <c r="AA1372" i="12"/>
  <c r="AA1388" i="12"/>
  <c r="AA1404" i="12"/>
  <c r="AA1420" i="12"/>
  <c r="AA1436" i="12"/>
  <c r="AA1452" i="12"/>
  <c r="AA1468" i="12"/>
  <c r="AA1484" i="12"/>
  <c r="AA1500" i="12"/>
  <c r="AA1516" i="12"/>
  <c r="AA1532" i="12"/>
  <c r="AA1548" i="12"/>
  <c r="AA1564" i="12"/>
  <c r="AA1580" i="12"/>
  <c r="AA1596" i="12"/>
  <c r="AA1612" i="12"/>
  <c r="AA1628" i="12"/>
  <c r="AA1644" i="12"/>
  <c r="AA1660" i="12"/>
  <c r="AA1676" i="12"/>
  <c r="AA1692" i="12"/>
  <c r="AA1708" i="12"/>
  <c r="AA1724" i="12"/>
  <c r="AA1740" i="12"/>
  <c r="AA1756" i="12"/>
  <c r="AA1772" i="12"/>
  <c r="AA1788" i="12"/>
  <c r="AA1804" i="12"/>
  <c r="AA1820" i="12"/>
  <c r="AA1836" i="12"/>
  <c r="AA1852" i="12"/>
  <c r="AA1868" i="12"/>
  <c r="AA1884" i="12"/>
  <c r="AA1900" i="12"/>
  <c r="AA1916" i="12"/>
  <c r="AA1932" i="12"/>
  <c r="AA1948" i="12"/>
  <c r="AA1964" i="12"/>
  <c r="AA1980" i="12"/>
  <c r="AA1996" i="12"/>
  <c r="AA2012" i="12"/>
  <c r="AA2028" i="12"/>
  <c r="AA2044" i="12"/>
  <c r="AA2060" i="12"/>
  <c r="AA2076" i="12"/>
  <c r="AA2092" i="12"/>
  <c r="AA2108" i="12"/>
  <c r="AA2124" i="12"/>
  <c r="AA2140" i="12"/>
  <c r="AA2156" i="12"/>
  <c r="AA2172" i="12"/>
  <c r="AA2188" i="12"/>
  <c r="AA2204" i="12"/>
  <c r="AA2220" i="12"/>
  <c r="AA2236" i="12"/>
  <c r="AA2252" i="12"/>
  <c r="AA2268" i="12"/>
  <c r="AA2284" i="12"/>
  <c r="AA2300" i="12"/>
  <c r="AA2316" i="12"/>
  <c r="AA2332" i="12"/>
  <c r="AA2348" i="12"/>
  <c r="AA2364" i="12"/>
  <c r="AA2380" i="12"/>
  <c r="AA2396" i="12"/>
  <c r="AA2412" i="12"/>
  <c r="AA2428" i="12"/>
  <c r="AA2444" i="12"/>
  <c r="AA2460" i="12"/>
  <c r="AA2476" i="12"/>
  <c r="AA2492" i="12"/>
  <c r="AA2508" i="12"/>
  <c r="AA2524" i="12"/>
  <c r="AA2540" i="12"/>
  <c r="AA2556" i="12"/>
  <c r="AA2572" i="12"/>
  <c r="AA2588" i="12"/>
  <c r="AA2604" i="12"/>
  <c r="AA2620" i="12"/>
  <c r="AA2636" i="12"/>
  <c r="AA2652" i="12"/>
  <c r="AA2668" i="12"/>
  <c r="AA2684" i="12"/>
  <c r="AA2700" i="12"/>
  <c r="AA2716" i="12"/>
  <c r="AA2732" i="12"/>
  <c r="AA2748" i="12"/>
  <c r="AA2764" i="12"/>
  <c r="AA2780" i="12"/>
  <c r="AA2796" i="12"/>
  <c r="AA2812" i="12"/>
  <c r="AA2828" i="12"/>
  <c r="AA2844" i="12"/>
  <c r="AA2860" i="12"/>
  <c r="AA2876" i="12"/>
  <c r="AA2892" i="12"/>
  <c r="AA2908" i="12"/>
  <c r="AA2924" i="12"/>
  <c r="AA2940" i="12"/>
  <c r="AA2956" i="12"/>
  <c r="AA2972" i="12"/>
  <c r="AA2988" i="12"/>
  <c r="AA3004" i="12"/>
  <c r="AA3031" i="12"/>
  <c r="AA3063" i="12"/>
  <c r="AA3095" i="12"/>
  <c r="AA3127" i="12"/>
  <c r="AA3159" i="12"/>
  <c r="AA3191" i="12"/>
  <c r="AA3223" i="12"/>
  <c r="AA3255" i="12"/>
  <c r="AA3287" i="12"/>
  <c r="AA3319" i="12"/>
  <c r="AA3351" i="12"/>
  <c r="AA3383" i="12"/>
  <c r="AA3415" i="12"/>
  <c r="AA3447" i="12"/>
  <c r="AA3479" i="12"/>
  <c r="AA3511" i="12"/>
  <c r="AA3543" i="12"/>
  <c r="AA933" i="12"/>
  <c r="AA949" i="12"/>
  <c r="AA965" i="12"/>
  <c r="AA981" i="12"/>
  <c r="AA997" i="12"/>
  <c r="AA1013" i="12"/>
  <c r="AA1029" i="12"/>
  <c r="AA1045" i="12"/>
  <c r="AA1061" i="12"/>
  <c r="AA1077" i="12"/>
  <c r="AA1093" i="12"/>
  <c r="AA1109" i="12"/>
  <c r="AA1125" i="12"/>
  <c r="AA1141" i="12"/>
  <c r="AA1157" i="12"/>
  <c r="AA1173" i="12"/>
  <c r="AA1189" i="12"/>
  <c r="AA1205" i="12"/>
  <c r="AA1221" i="12"/>
  <c r="AA1237" i="12"/>
  <c r="AA1253" i="12"/>
  <c r="AA1269" i="12"/>
  <c r="AA1285" i="12"/>
  <c r="AA1301" i="12"/>
  <c r="AA1317" i="12"/>
  <c r="AA1333" i="12"/>
  <c r="AA1349" i="12"/>
  <c r="AA1365" i="12"/>
  <c r="AA1381" i="12"/>
  <c r="AA1397" i="12"/>
  <c r="AA1413" i="12"/>
  <c r="AA1429" i="12"/>
  <c r="AA1445" i="12"/>
  <c r="AA1461" i="12"/>
  <c r="AA1477" i="12"/>
  <c r="AA1493" i="12"/>
  <c r="AA1509" i="12"/>
  <c r="AA1525" i="12"/>
  <c r="AA1541" i="12"/>
  <c r="AA1557" i="12"/>
  <c r="AA1573" i="12"/>
  <c r="AA1589" i="12"/>
  <c r="AA1605" i="12"/>
  <c r="AA1621" i="12"/>
  <c r="AA1637" i="12"/>
  <c r="AA1653" i="12"/>
  <c r="AA1669" i="12"/>
  <c r="AA1685" i="12"/>
  <c r="AA1701" i="12"/>
  <c r="AA1717" i="12"/>
  <c r="AA1733" i="12"/>
  <c r="AA1749" i="12"/>
  <c r="AA1765" i="12"/>
  <c r="AA1781" i="12"/>
  <c r="AA1797" i="12"/>
  <c r="AA1813" i="12"/>
  <c r="AA1829" i="12"/>
  <c r="AA1845" i="12"/>
  <c r="AA1861" i="12"/>
  <c r="AA1877" i="12"/>
  <c r="AA1893" i="12"/>
  <c r="AA1909" i="12"/>
  <c r="AA1925" i="12"/>
  <c r="AA1941" i="12"/>
  <c r="AA1957" i="12"/>
  <c r="AA1973" i="12"/>
  <c r="AA1989" i="12"/>
  <c r="AA2005" i="12"/>
  <c r="AA2021" i="12"/>
  <c r="AA2037" i="12"/>
  <c r="AA2053" i="12"/>
  <c r="AA2069" i="12"/>
  <c r="AA2085" i="12"/>
  <c r="AA2101" i="12"/>
  <c r="AA2117" i="12"/>
  <c r="AA2133" i="12"/>
  <c r="AA2149" i="12"/>
  <c r="AA2165" i="12"/>
  <c r="AA2181" i="12"/>
  <c r="AA2197" i="12"/>
  <c r="AA2213" i="12"/>
  <c r="AA2229" i="12"/>
  <c r="AA2245" i="12"/>
  <c r="AA2261" i="12"/>
  <c r="AA2277" i="12"/>
  <c r="AA2293" i="12"/>
  <c r="AA2309" i="12"/>
  <c r="AA2325" i="12"/>
  <c r="AA2341" i="12"/>
  <c r="AA2357" i="12"/>
  <c r="AA2373" i="12"/>
  <c r="AA2389" i="12"/>
  <c r="AA2405" i="12"/>
  <c r="AA2421" i="12"/>
  <c r="AA2437" i="12"/>
  <c r="AA2453" i="12"/>
  <c r="AA2469" i="12"/>
  <c r="AA2485" i="12"/>
  <c r="AA2501" i="12"/>
  <c r="AA2517" i="12"/>
  <c r="AA2533" i="12"/>
  <c r="AA2549" i="12"/>
  <c r="AA2565" i="12"/>
  <c r="AA2581" i="12"/>
  <c r="AA2597" i="12"/>
  <c r="AA2613" i="12"/>
  <c r="AA2629" i="12"/>
  <c r="AA2645" i="12"/>
  <c r="AA2661" i="12"/>
  <c r="AA2677" i="12"/>
  <c r="AA2693" i="12"/>
  <c r="AA2709" i="12"/>
  <c r="AA2725" i="12"/>
  <c r="AA2741" i="12"/>
  <c r="AA2757" i="12"/>
  <c r="AA2773" i="12"/>
  <c r="AA2789" i="12"/>
  <c r="AA2805" i="12"/>
  <c r="AA2821" i="12"/>
  <c r="AA2837" i="12"/>
  <c r="AA2853" i="12"/>
  <c r="AA2869" i="12"/>
  <c r="AA2885" i="12"/>
  <c r="AA2901" i="12"/>
  <c r="AA2917" i="12"/>
  <c r="AA2933" i="12"/>
  <c r="AA2949" i="12"/>
  <c r="AA2965" i="12"/>
  <c r="AA2981" i="12"/>
  <c r="AA2997" i="12"/>
  <c r="AA3017" i="12"/>
  <c r="AA3049" i="12"/>
  <c r="AA3081" i="12"/>
  <c r="AA3113" i="12"/>
  <c r="AA3145" i="12"/>
  <c r="AA3177" i="12"/>
  <c r="AA3209" i="12"/>
  <c r="AA3241" i="12"/>
  <c r="AA3273" i="12"/>
  <c r="AA3305" i="12"/>
  <c r="AA3337" i="12"/>
  <c r="AA3369" i="12"/>
  <c r="AA3401" i="12"/>
  <c r="AA3433" i="12"/>
  <c r="AA3465" i="12"/>
  <c r="AA3497" i="12"/>
  <c r="AA3529" i="12"/>
  <c r="AA906" i="12"/>
  <c r="AA922" i="12"/>
  <c r="AA938" i="12"/>
  <c r="AA954" i="12"/>
  <c r="AA970" i="12"/>
  <c r="AA986" i="12"/>
  <c r="AA1002" i="12"/>
  <c r="AA1018" i="12"/>
  <c r="AA1034" i="12"/>
  <c r="AA1050" i="12"/>
  <c r="AA1066" i="12"/>
  <c r="AA1082" i="12"/>
  <c r="AA1098" i="12"/>
  <c r="AA1114" i="12"/>
  <c r="AA1130" i="12"/>
  <c r="AA1146" i="12"/>
  <c r="AA1162" i="12"/>
  <c r="AA1178" i="12"/>
  <c r="AA1194" i="12"/>
  <c r="AA1210" i="12"/>
  <c r="AA1226" i="12"/>
  <c r="AA1242" i="12"/>
  <c r="AA1258" i="12"/>
  <c r="AA1274" i="12"/>
  <c r="AA1290" i="12"/>
  <c r="AA1306" i="12"/>
  <c r="AA1322" i="12"/>
  <c r="AA1338" i="12"/>
  <c r="AA1354" i="12"/>
  <c r="AA1370" i="12"/>
  <c r="AA1386" i="12"/>
  <c r="AA1402" i="12"/>
  <c r="AA1418" i="12"/>
  <c r="AA1434" i="12"/>
  <c r="AA1450" i="12"/>
  <c r="AA1466" i="12"/>
  <c r="AA1482" i="12"/>
  <c r="AA1498" i="12"/>
  <c r="AA1514" i="12"/>
  <c r="AA1530" i="12"/>
  <c r="AA1546" i="12"/>
  <c r="AA1562" i="12"/>
  <c r="AA1578" i="12"/>
  <c r="AA1594" i="12"/>
  <c r="AA1610" i="12"/>
  <c r="AA1626" i="12"/>
  <c r="AA1642" i="12"/>
  <c r="AA1658" i="12"/>
  <c r="AA1674" i="12"/>
  <c r="AA1690" i="12"/>
  <c r="AA1706" i="12"/>
  <c r="AA1722" i="12"/>
  <c r="AA1738" i="12"/>
  <c r="AA1754" i="12"/>
  <c r="AA1770" i="12"/>
  <c r="AA1786" i="12"/>
  <c r="AA1802" i="12"/>
  <c r="AA1818" i="12"/>
  <c r="AA1834" i="12"/>
  <c r="AA1850" i="12"/>
  <c r="AA1866" i="12"/>
  <c r="AA1882" i="12"/>
  <c r="AA1898" i="12"/>
  <c r="AA1914" i="12"/>
  <c r="AA1930" i="12"/>
  <c r="AA1946" i="12"/>
  <c r="AA1962" i="12"/>
  <c r="AA1978" i="12"/>
  <c r="AA1994" i="12"/>
  <c r="AA2010" i="12"/>
  <c r="AA2026" i="12"/>
  <c r="AA2042" i="12"/>
  <c r="AA2058" i="12"/>
  <c r="AA2074" i="12"/>
  <c r="AA2090" i="12"/>
  <c r="AA2106" i="12"/>
  <c r="AA2122" i="12"/>
  <c r="AA2138" i="12"/>
  <c r="AA2154" i="12"/>
  <c r="AA2170" i="12"/>
  <c r="AA2186" i="12"/>
  <c r="AA2202" i="12"/>
  <c r="AA2218" i="12"/>
  <c r="AA2234" i="12"/>
  <c r="AA2250" i="12"/>
  <c r="AA2266" i="12"/>
  <c r="AA2282" i="12"/>
  <c r="AA2298" i="12"/>
  <c r="AA2314" i="12"/>
  <c r="AA2330" i="12"/>
  <c r="AA2346" i="12"/>
  <c r="AA2362" i="12"/>
  <c r="AA2378" i="12"/>
  <c r="AA2394" i="12"/>
  <c r="AA2410" i="12"/>
  <c r="AA2426" i="12"/>
  <c r="AA2442" i="12"/>
  <c r="AA2458" i="12"/>
  <c r="AA2474" i="12"/>
  <c r="AA2490" i="12"/>
  <c r="AA2506" i="12"/>
  <c r="AA2522" i="12"/>
  <c r="AA2538" i="12"/>
  <c r="AA2554" i="12"/>
  <c r="AA2570" i="12"/>
  <c r="AA2586" i="12"/>
  <c r="AA2602" i="12"/>
  <c r="AA2618" i="12"/>
  <c r="AA2634" i="12"/>
  <c r="AA2650" i="12"/>
  <c r="AA2666" i="12"/>
  <c r="AA2682" i="12"/>
  <c r="AA2698" i="12"/>
  <c r="AA2714" i="12"/>
  <c r="AA2730" i="12"/>
  <c r="AA2746" i="12"/>
  <c r="AA2762" i="12"/>
  <c r="AA2778" i="12"/>
  <c r="AA2794" i="12"/>
  <c r="AA2810" i="12"/>
  <c r="AA2826" i="12"/>
  <c r="AA133" i="12"/>
  <c r="AA399" i="12"/>
  <c r="AA741" i="12"/>
  <c r="AA153" i="12"/>
  <c r="AA426" i="12"/>
  <c r="AA767" i="12"/>
  <c r="AA189" i="12"/>
  <c r="AA474" i="12"/>
  <c r="AA815" i="12"/>
  <c r="AA225" i="12"/>
  <c r="AA522" i="12"/>
  <c r="AA863" i="12"/>
  <c r="AA1359" i="12"/>
  <c r="AA1919" i="12"/>
  <c r="AA2463" i="12"/>
  <c r="AA3037" i="12"/>
  <c r="AA30" i="12"/>
  <c r="AA94" i="12"/>
  <c r="AA158" i="12"/>
  <c r="AA222" i="12"/>
  <c r="AA286" i="12"/>
  <c r="AA350" i="12"/>
  <c r="AA433" i="12"/>
  <c r="AA518" i="12"/>
  <c r="AA603" i="12"/>
  <c r="AA689" i="12"/>
  <c r="AA774" i="12"/>
  <c r="AA859" i="12"/>
  <c r="AA1011" i="12"/>
  <c r="AA1267" i="12"/>
  <c r="AA1523" i="12"/>
  <c r="AA1779" i="12"/>
  <c r="AA2035" i="12"/>
  <c r="AA2291" i="12"/>
  <c r="AA2547" i="12"/>
  <c r="AA2803" i="12"/>
  <c r="AA3109" i="12"/>
  <c r="AA917" i="12"/>
  <c r="AA1407" i="12"/>
  <c r="AA1871" i="12"/>
  <c r="AA2383" i="12"/>
  <c r="AA2831" i="12"/>
  <c r="AA43" i="12"/>
  <c r="AA107" i="12"/>
  <c r="AA171" i="12"/>
  <c r="AA235" i="12"/>
  <c r="AA299" i="12"/>
  <c r="AA365" i="12"/>
  <c r="AA450" i="12"/>
  <c r="AA535" i="12"/>
  <c r="AA621" i="12"/>
  <c r="AA706" i="12"/>
  <c r="AA791" i="12"/>
  <c r="AA877" i="12"/>
  <c r="AA1063" i="12"/>
  <c r="AA1319" i="12"/>
  <c r="AA1575" i="12"/>
  <c r="AA1831" i="12"/>
  <c r="AA2087" i="12"/>
  <c r="AA2343" i="12"/>
  <c r="AA2599" i="12"/>
  <c r="AA2855" i="12"/>
  <c r="AA3213" i="12"/>
  <c r="AA40" i="12"/>
  <c r="AA104" i="12"/>
  <c r="AA168" i="12"/>
  <c r="AA232" i="12"/>
  <c r="AA296" i="12"/>
  <c r="AA361" i="12"/>
  <c r="AA446" i="12"/>
  <c r="AA531" i="12"/>
  <c r="AA617" i="12"/>
  <c r="AA702" i="12"/>
  <c r="AA787" i="12"/>
  <c r="AA873" i="12"/>
  <c r="AA1051" i="12"/>
  <c r="AA1307" i="12"/>
  <c r="AA1563" i="12"/>
  <c r="AA1819" i="12"/>
  <c r="AA2075" i="12"/>
  <c r="AA2331" i="12"/>
  <c r="AA2587" i="12"/>
  <c r="AA2843" i="12"/>
  <c r="AA3061" i="12"/>
  <c r="AA3317" i="12"/>
  <c r="AA360" i="12"/>
  <c r="AA392" i="12"/>
  <c r="AA424" i="12"/>
  <c r="AA448" i="12"/>
  <c r="AA464" i="12"/>
  <c r="AA480" i="12"/>
  <c r="AA496" i="12"/>
  <c r="AA512" i="12"/>
  <c r="AA528" i="12"/>
  <c r="AA544" i="12"/>
  <c r="AA560" i="12"/>
  <c r="AA576" i="12"/>
  <c r="AA592" i="12"/>
  <c r="AA608" i="12"/>
  <c r="AA624" i="12"/>
  <c r="AA640" i="12"/>
  <c r="AA656" i="12"/>
  <c r="AA672" i="12"/>
  <c r="AA688" i="12"/>
  <c r="AA704" i="12"/>
  <c r="AA720" i="12"/>
  <c r="AA736" i="12"/>
  <c r="AA752" i="12"/>
  <c r="AA768" i="12"/>
  <c r="AA784" i="12"/>
  <c r="AA800" i="12"/>
  <c r="AA816" i="12"/>
  <c r="AA832" i="12"/>
  <c r="AA848" i="12"/>
  <c r="AA864" i="12"/>
  <c r="AA880" i="12"/>
  <c r="AA896" i="12"/>
  <c r="AA912" i="12"/>
  <c r="AA928" i="12"/>
  <c r="AA944" i="12"/>
  <c r="AA960" i="12"/>
  <c r="AA976" i="12"/>
  <c r="AA992" i="12"/>
  <c r="AA1008" i="12"/>
  <c r="AA1024" i="12"/>
  <c r="AA1040" i="12"/>
  <c r="AA1056" i="12"/>
  <c r="AA1072" i="12"/>
  <c r="AA1088" i="12"/>
  <c r="AA1104" i="12"/>
  <c r="AA1120" i="12"/>
  <c r="AA1136" i="12"/>
  <c r="AA1152" i="12"/>
  <c r="AA1168" i="12"/>
  <c r="AA1184" i="12"/>
  <c r="AA1200" i="12"/>
  <c r="AA1216" i="12"/>
  <c r="AA1232" i="12"/>
  <c r="AA1248" i="12"/>
  <c r="AA1264" i="12"/>
  <c r="AA1280" i="12"/>
  <c r="AA1296" i="12"/>
  <c r="AA1312" i="12"/>
  <c r="AA1328" i="12"/>
  <c r="AA1344" i="12"/>
  <c r="AA1360" i="12"/>
  <c r="AA1376" i="12"/>
  <c r="AA1392" i="12"/>
  <c r="AA1408" i="12"/>
  <c r="AA1424" i="12"/>
  <c r="AA1440" i="12"/>
  <c r="AA1456" i="12"/>
  <c r="AA1472" i="12"/>
  <c r="AA1488" i="12"/>
  <c r="AA1504" i="12"/>
  <c r="AA1520" i="12"/>
  <c r="AA1536" i="12"/>
  <c r="AA1552" i="12"/>
  <c r="AA1568" i="12"/>
  <c r="AA1584" i="12"/>
  <c r="AA1600" i="12"/>
  <c r="AA1616" i="12"/>
  <c r="AA1632" i="12"/>
  <c r="AA1648" i="12"/>
  <c r="AA1664" i="12"/>
  <c r="AA1680" i="12"/>
  <c r="AA1696" i="12"/>
  <c r="AA1712" i="12"/>
  <c r="AA1728" i="12"/>
  <c r="AA1744" i="12"/>
  <c r="AA1760" i="12"/>
  <c r="AA1776" i="12"/>
  <c r="AA1792" i="12"/>
  <c r="AA1808" i="12"/>
  <c r="AA1824" i="12"/>
  <c r="AA1840" i="12"/>
  <c r="AA1856" i="12"/>
  <c r="AA1872" i="12"/>
  <c r="AA1888" i="12"/>
  <c r="AA1904" i="12"/>
  <c r="AA1920" i="12"/>
  <c r="AA1936" i="12"/>
  <c r="AA1952" i="12"/>
  <c r="AA1968" i="12"/>
  <c r="AA1984" i="12"/>
  <c r="AA2000" i="12"/>
  <c r="AA2016" i="12"/>
  <c r="AA2032" i="12"/>
  <c r="AA2048" i="12"/>
  <c r="AA2064" i="12"/>
  <c r="AA2080" i="12"/>
  <c r="AA2096" i="12"/>
  <c r="AA2112" i="12"/>
  <c r="AA2128" i="12"/>
  <c r="AA2144" i="12"/>
  <c r="AA2160" i="12"/>
  <c r="AA2176" i="12"/>
  <c r="AA2192" i="12"/>
  <c r="AA2208" i="12"/>
  <c r="AA2224" i="12"/>
  <c r="AA2240" i="12"/>
  <c r="AA2256" i="12"/>
  <c r="AA2272" i="12"/>
  <c r="AA2288" i="12"/>
  <c r="AA2304" i="12"/>
  <c r="AA2320" i="12"/>
  <c r="AA2336" i="12"/>
  <c r="AA2352" i="12"/>
  <c r="AA2368" i="12"/>
  <c r="AA2384" i="12"/>
  <c r="AA2400" i="12"/>
  <c r="AA2416" i="12"/>
  <c r="AA2432" i="12"/>
  <c r="AA2448" i="12"/>
  <c r="AA2464" i="12"/>
  <c r="AA2480" i="12"/>
  <c r="AA2496" i="12"/>
  <c r="AA2512" i="12"/>
  <c r="AA2528" i="12"/>
  <c r="AA2544" i="12"/>
  <c r="AA2560" i="12"/>
  <c r="AA2576" i="12"/>
  <c r="AA2592" i="12"/>
  <c r="AA2608" i="12"/>
  <c r="AA2624" i="12"/>
  <c r="AA2640" i="12"/>
  <c r="AA2656" i="12"/>
  <c r="AA2672" i="12"/>
  <c r="AA2688" i="12"/>
  <c r="AA2704" i="12"/>
  <c r="AA2720" i="12"/>
  <c r="AA2736" i="12"/>
  <c r="AA2752" i="12"/>
  <c r="AA2768" i="12"/>
  <c r="AA2784" i="12"/>
  <c r="AA2800" i="12"/>
  <c r="AA2816" i="12"/>
  <c r="AA2832" i="12"/>
  <c r="AA2848" i="12"/>
  <c r="AA2864" i="12"/>
  <c r="AA2880" i="12"/>
  <c r="AA2896" i="12"/>
  <c r="AA2912" i="12"/>
  <c r="AA2928" i="12"/>
  <c r="AA2944" i="12"/>
  <c r="AA2960" i="12"/>
  <c r="AA2976" i="12"/>
  <c r="AA2992" i="12"/>
  <c r="AA3008" i="12"/>
  <c r="AA3039" i="12"/>
  <c r="AA3071" i="12"/>
  <c r="AA3103" i="12"/>
  <c r="AA3135" i="12"/>
  <c r="AA3167" i="12"/>
  <c r="AA3199" i="12"/>
  <c r="AA3231" i="12"/>
  <c r="AA3263" i="12"/>
  <c r="AA3295" i="12"/>
  <c r="AA3327" i="12"/>
  <c r="AA3359" i="12"/>
  <c r="AA3391" i="12"/>
  <c r="AA3423" i="12"/>
  <c r="AA3455" i="12"/>
  <c r="AA3487" i="12"/>
  <c r="AA3519" i="12"/>
  <c r="AA3551" i="12"/>
  <c r="AA937" i="12"/>
  <c r="AA953" i="12"/>
  <c r="AA969" i="12"/>
  <c r="AA985" i="12"/>
  <c r="AA1001" i="12"/>
  <c r="AA1017" i="12"/>
  <c r="AA1033" i="12"/>
  <c r="AA1049" i="12"/>
  <c r="AA1065" i="12"/>
  <c r="AA1081" i="12"/>
  <c r="AA1097" i="12"/>
  <c r="AA1113" i="12"/>
  <c r="AA1129" i="12"/>
  <c r="AA1145" i="12"/>
  <c r="AA1161" i="12"/>
  <c r="AA1177" i="12"/>
  <c r="AA1193" i="12"/>
  <c r="AA1209" i="12"/>
  <c r="AA1225" i="12"/>
  <c r="AA1241" i="12"/>
  <c r="AA1257" i="12"/>
  <c r="AA1273" i="12"/>
  <c r="AA1289" i="12"/>
  <c r="AA1305" i="12"/>
  <c r="AA1321" i="12"/>
  <c r="AA1337" i="12"/>
  <c r="AA1353" i="12"/>
  <c r="AA1369" i="12"/>
  <c r="AA1385" i="12"/>
  <c r="AA1401" i="12"/>
  <c r="AA1417" i="12"/>
  <c r="AA1433" i="12"/>
  <c r="AA1449" i="12"/>
  <c r="AA1465" i="12"/>
  <c r="AA1481" i="12"/>
  <c r="AA1497" i="12"/>
  <c r="AA1513" i="12"/>
  <c r="AA1529" i="12"/>
  <c r="AA1545" i="12"/>
  <c r="AA1561" i="12"/>
  <c r="AA1577" i="12"/>
  <c r="AA1593" i="12"/>
  <c r="AA1609" i="12"/>
  <c r="AA1625" i="12"/>
  <c r="AA1641" i="12"/>
  <c r="AA1657" i="12"/>
  <c r="AA1673" i="12"/>
  <c r="AA1689" i="12"/>
  <c r="AA1705" i="12"/>
  <c r="AA1721" i="12"/>
  <c r="AA1737" i="12"/>
  <c r="AA1753" i="12"/>
  <c r="AA1769" i="12"/>
  <c r="AA1785" i="12"/>
  <c r="AA1801" i="12"/>
  <c r="AA1817" i="12"/>
  <c r="AA1833" i="12"/>
  <c r="AA1849" i="12"/>
  <c r="AA1865" i="12"/>
  <c r="AA1881" i="12"/>
  <c r="AA1897" i="12"/>
  <c r="AA1913" i="12"/>
  <c r="AA1929" i="12"/>
  <c r="AA1945" i="12"/>
  <c r="AA1961" i="12"/>
  <c r="AA1977" i="12"/>
  <c r="AA1993" i="12"/>
  <c r="AA2009" i="12"/>
  <c r="AA2025" i="12"/>
  <c r="AA2041" i="12"/>
  <c r="AA2057" i="12"/>
  <c r="AA2073" i="12"/>
  <c r="AA2089" i="12"/>
  <c r="AA2105" i="12"/>
  <c r="AA2121" i="12"/>
  <c r="AA197" i="12"/>
  <c r="AA485" i="12"/>
  <c r="AA826" i="12"/>
  <c r="AA217" i="12"/>
  <c r="AA511" i="12"/>
  <c r="AA853" i="12"/>
  <c r="AA253" i="12"/>
  <c r="AA559" i="12"/>
  <c r="AA33" i="12"/>
  <c r="AA289" i="12"/>
  <c r="AA607" i="12"/>
  <c r="AA943" i="12"/>
  <c r="AA1487" i="12"/>
  <c r="AA2047" i="12"/>
  <c r="AA2607" i="12"/>
  <c r="AA3229" i="12"/>
  <c r="AA46" i="12"/>
  <c r="AA110" i="12"/>
  <c r="AA174" i="12"/>
  <c r="AA238" i="12"/>
  <c r="AA302" i="12"/>
  <c r="AA369" i="12"/>
  <c r="AA454" i="12"/>
  <c r="AA539" i="12"/>
  <c r="AA625" i="12"/>
  <c r="AA710" i="12"/>
  <c r="AA795" i="12"/>
  <c r="AA881" i="12"/>
  <c r="AA1075" i="12"/>
  <c r="AA1331" i="12"/>
  <c r="AA1587" i="12"/>
  <c r="AA1843" i="12"/>
  <c r="AA2099" i="12"/>
  <c r="AA2355" i="12"/>
  <c r="AA2611" i="12"/>
  <c r="AA2867" i="12"/>
  <c r="AA3237" i="12"/>
  <c r="AA1055" i="12"/>
  <c r="AA1535" i="12"/>
  <c r="AA1999" i="12"/>
  <c r="AA2479" i="12"/>
  <c r="AA2943" i="12"/>
  <c r="AA59" i="12"/>
  <c r="AA123" i="12"/>
  <c r="AA187" i="12"/>
  <c r="AA251" i="12"/>
  <c r="AA315" i="12"/>
  <c r="AA386" i="12"/>
  <c r="AA471" i="12"/>
  <c r="AA557" i="12"/>
  <c r="AA642" i="12"/>
  <c r="AA727" i="12"/>
  <c r="AA813" i="12"/>
  <c r="AA898" i="12"/>
  <c r="AA1127" i="12"/>
  <c r="AA1383" i="12"/>
  <c r="AA1639" i="12"/>
  <c r="AA1895" i="12"/>
  <c r="AA2151" i="12"/>
  <c r="AA2407" i="12"/>
  <c r="AA2663" i="12"/>
  <c r="AA2919" i="12"/>
  <c r="AA3341" i="12"/>
  <c r="AA56" i="12"/>
  <c r="AA120" i="12"/>
  <c r="AA184" i="12"/>
  <c r="AA248" i="12"/>
  <c r="AA312" i="12"/>
  <c r="AA382" i="12"/>
  <c r="AA467" i="12"/>
  <c r="AA553" i="12"/>
  <c r="AA638" i="12"/>
  <c r="AA723" i="12"/>
  <c r="AA809" i="12"/>
  <c r="AA894" i="12"/>
  <c r="AA1115" i="12"/>
  <c r="AA1371" i="12"/>
  <c r="AA1627" i="12"/>
  <c r="AA1883" i="12"/>
  <c r="AA2139" i="12"/>
  <c r="AA2395" i="12"/>
  <c r="AA2651" i="12"/>
  <c r="AA2907" i="12"/>
  <c r="AA3125" i="12"/>
  <c r="AA3381" i="12"/>
  <c r="AA368" i="12"/>
  <c r="AA400" i="12"/>
  <c r="AA432" i="12"/>
  <c r="AA452" i="12"/>
  <c r="AA468" i="12"/>
  <c r="AA484" i="12"/>
  <c r="AA500" i="12"/>
  <c r="AA516" i="12"/>
  <c r="AA532" i="12"/>
  <c r="AA548" i="12"/>
  <c r="AA564" i="12"/>
  <c r="AA580" i="12"/>
  <c r="AA596" i="12"/>
  <c r="AA612" i="12"/>
  <c r="AA628" i="12"/>
  <c r="AA644" i="12"/>
  <c r="AA660" i="12"/>
  <c r="AA676" i="12"/>
  <c r="AA692" i="12"/>
  <c r="AA708" i="12"/>
  <c r="AA724" i="12"/>
  <c r="AA740" i="12"/>
  <c r="AA756" i="12"/>
  <c r="AA772" i="12"/>
  <c r="AA788" i="12"/>
  <c r="AA804" i="12"/>
  <c r="AA820" i="12"/>
  <c r="AA836" i="12"/>
  <c r="AA852" i="12"/>
  <c r="AA868" i="12"/>
  <c r="AA884" i="12"/>
  <c r="AA900" i="12"/>
  <c r="AA916" i="12"/>
  <c r="AA932" i="12"/>
  <c r="AA948" i="12"/>
  <c r="AA964" i="12"/>
  <c r="AA980" i="12"/>
  <c r="AA996" i="12"/>
  <c r="AA1012" i="12"/>
  <c r="AA1028" i="12"/>
  <c r="AA1044" i="12"/>
  <c r="AA1060" i="12"/>
  <c r="AA1076" i="12"/>
  <c r="AA1092" i="12"/>
  <c r="AA1108" i="12"/>
  <c r="AA1124" i="12"/>
  <c r="AA1140" i="12"/>
  <c r="AA1156" i="12"/>
  <c r="AA1172" i="12"/>
  <c r="AA1188" i="12"/>
  <c r="AA1204" i="12"/>
  <c r="AA1220" i="12"/>
  <c r="AA1236" i="12"/>
  <c r="AA1252" i="12"/>
  <c r="AA1268" i="12"/>
  <c r="AA1284" i="12"/>
  <c r="AA1300" i="12"/>
  <c r="AA1316" i="12"/>
  <c r="AA1332" i="12"/>
  <c r="AA1348" i="12"/>
  <c r="AA1364" i="12"/>
  <c r="AA1380" i="12"/>
  <c r="AA1396" i="12"/>
  <c r="AA1412" i="12"/>
  <c r="AA1428" i="12"/>
  <c r="AA1444" i="12"/>
  <c r="AA1460" i="12"/>
  <c r="AA1476" i="12"/>
  <c r="AA1492" i="12"/>
  <c r="AA1508" i="12"/>
  <c r="AA1524" i="12"/>
  <c r="AA1540" i="12"/>
  <c r="AA1556" i="12"/>
  <c r="AA1572" i="12"/>
  <c r="AA1588" i="12"/>
  <c r="AA1604" i="12"/>
  <c r="AA1620" i="12"/>
  <c r="AA1636" i="12"/>
  <c r="AA1652" i="12"/>
  <c r="AA1668" i="12"/>
  <c r="AA1684" i="12"/>
  <c r="AA1700" i="12"/>
  <c r="AA1716" i="12"/>
  <c r="AA1732" i="12"/>
  <c r="AA1748" i="12"/>
  <c r="AA1764" i="12"/>
  <c r="AA1780" i="12"/>
  <c r="AA1796" i="12"/>
  <c r="AA1812" i="12"/>
  <c r="AA1828" i="12"/>
  <c r="AA1844" i="12"/>
  <c r="AA1860" i="12"/>
  <c r="AA1876" i="12"/>
  <c r="AA1892" i="12"/>
  <c r="AA1908" i="12"/>
  <c r="AA1924" i="12"/>
  <c r="AA1940" i="12"/>
  <c r="AA1956" i="12"/>
  <c r="AA1972" i="12"/>
  <c r="AA1988" i="12"/>
  <c r="AA2004" i="12"/>
  <c r="AA2020" i="12"/>
  <c r="AA2036" i="12"/>
  <c r="AA2052" i="12"/>
  <c r="AA2068" i="12"/>
  <c r="AA2084" i="12"/>
  <c r="AA2100" i="12"/>
  <c r="AA2116" i="12"/>
  <c r="AA2132" i="12"/>
  <c r="AA2148" i="12"/>
  <c r="AA2164" i="12"/>
  <c r="AA2180" i="12"/>
  <c r="AA2196" i="12"/>
  <c r="AA2212" i="12"/>
  <c r="AA2228" i="12"/>
  <c r="AA2244" i="12"/>
  <c r="AA2260" i="12"/>
  <c r="AA2276" i="12"/>
  <c r="AA2292" i="12"/>
  <c r="AA2308" i="12"/>
  <c r="AA2324" i="12"/>
  <c r="AA2340" i="12"/>
  <c r="AA2356" i="12"/>
  <c r="AA2372" i="12"/>
  <c r="AA2388" i="12"/>
  <c r="AA2404" i="12"/>
  <c r="AA2420" i="12"/>
  <c r="AA2436" i="12"/>
  <c r="AA2452" i="12"/>
  <c r="AA2468" i="12"/>
  <c r="AA2484" i="12"/>
  <c r="AA2500" i="12"/>
  <c r="AA2516" i="12"/>
  <c r="AA2532" i="12"/>
  <c r="AA2548" i="12"/>
  <c r="AA2564" i="12"/>
  <c r="AA2580" i="12"/>
  <c r="AA2596" i="12"/>
  <c r="AA2612" i="12"/>
  <c r="AA2628" i="12"/>
  <c r="AA2644" i="12"/>
  <c r="AA2660" i="12"/>
  <c r="AA2676" i="12"/>
  <c r="AA2692" i="12"/>
  <c r="AA2708" i="12"/>
  <c r="AA2724" i="12"/>
  <c r="AA2740" i="12"/>
  <c r="AA2756" i="12"/>
  <c r="AA2772" i="12"/>
  <c r="AA2788" i="12"/>
  <c r="AA2804" i="12"/>
  <c r="AA2820" i="12"/>
  <c r="AA2836" i="12"/>
  <c r="AA2852" i="12"/>
  <c r="AA2868" i="12"/>
  <c r="AA2884" i="12"/>
  <c r="AA2900" i="12"/>
  <c r="AA2916" i="12"/>
  <c r="AA2932" i="12"/>
  <c r="AA2948" i="12"/>
  <c r="AA2964" i="12"/>
  <c r="AA2980" i="12"/>
  <c r="AA2996" i="12"/>
  <c r="AA3015" i="12"/>
  <c r="AA3047" i="12"/>
  <c r="AA3079" i="12"/>
  <c r="AA3111" i="12"/>
  <c r="AA3143" i="12"/>
  <c r="AA3175" i="12"/>
  <c r="AA3207" i="12"/>
  <c r="AA3239" i="12"/>
  <c r="AA3271" i="12"/>
  <c r="AA3303" i="12"/>
  <c r="AA3335" i="12"/>
  <c r="AA3367" i="12"/>
  <c r="AA3399" i="12"/>
  <c r="AA3431" i="12"/>
  <c r="AA3463" i="12"/>
  <c r="AA3495" i="12"/>
  <c r="AA3527" i="12"/>
  <c r="AA925" i="12"/>
  <c r="AA941" i="12"/>
  <c r="AA957" i="12"/>
  <c r="AA973" i="12"/>
  <c r="AA989" i="12"/>
  <c r="AA1005" i="12"/>
  <c r="AA1021" i="12"/>
  <c r="AA1037" i="12"/>
  <c r="AA1053" i="12"/>
  <c r="AA1069" i="12"/>
  <c r="AA1085" i="12"/>
  <c r="AA1101" i="12"/>
  <c r="AA1117" i="12"/>
  <c r="AA1133" i="12"/>
  <c r="AA1149" i="12"/>
  <c r="AA1165" i="12"/>
  <c r="AA1181" i="12"/>
  <c r="AA1197" i="12"/>
  <c r="AA1213" i="12"/>
  <c r="AA1229" i="12"/>
  <c r="AA1245" i="12"/>
  <c r="AA1261" i="12"/>
  <c r="AA1277" i="12"/>
  <c r="AA1293" i="12"/>
  <c r="AA1309" i="12"/>
  <c r="AA1325" i="12"/>
  <c r="AA1341" i="12"/>
  <c r="AA1357" i="12"/>
  <c r="AA1373" i="12"/>
  <c r="AA1389" i="12"/>
  <c r="AA1405" i="12"/>
  <c r="AA1421" i="12"/>
  <c r="AA1437" i="12"/>
  <c r="AA1453" i="12"/>
  <c r="AA1469" i="12"/>
  <c r="AA1485" i="12"/>
  <c r="AA1501" i="12"/>
  <c r="AA1517" i="12"/>
  <c r="AA1533" i="12"/>
  <c r="AA1549" i="12"/>
  <c r="AA1565" i="12"/>
  <c r="AA1581" i="12"/>
  <c r="AA1597" i="12"/>
  <c r="AA1613" i="12"/>
  <c r="AA1629" i="12"/>
  <c r="AA1645" i="12"/>
  <c r="AA1661" i="12"/>
  <c r="AA1677" i="12"/>
  <c r="AA1693" i="12"/>
  <c r="AA1709" i="12"/>
  <c r="AA1725" i="12"/>
  <c r="AA1741" i="12"/>
  <c r="AA1757" i="12"/>
  <c r="AA1773" i="12"/>
  <c r="AA1789" i="12"/>
  <c r="AA1805" i="12"/>
  <c r="AA1821" i="12"/>
  <c r="AA1837" i="12"/>
  <c r="AA1853" i="12"/>
  <c r="AA1869" i="12"/>
  <c r="AA1885" i="12"/>
  <c r="AA1901" i="12"/>
  <c r="AA1917" i="12"/>
  <c r="AA1933" i="12"/>
  <c r="AA1949" i="12"/>
  <c r="AA1965" i="12"/>
  <c r="AA1981" i="12"/>
  <c r="AA1997" i="12"/>
  <c r="AA2013" i="12"/>
  <c r="AA2029" i="12"/>
  <c r="AA2045" i="12"/>
  <c r="AA2061" i="12"/>
  <c r="AA2077" i="12"/>
  <c r="AA2093" i="12"/>
  <c r="AA2109" i="12"/>
  <c r="AA2125" i="12"/>
  <c r="AA2141" i="12"/>
  <c r="AA2157" i="12"/>
  <c r="AA2173" i="12"/>
  <c r="AA2189" i="12"/>
  <c r="AA2205" i="12"/>
  <c r="AA2221" i="12"/>
  <c r="AA2237" i="12"/>
  <c r="AA2253" i="12"/>
  <c r="AA2269" i="12"/>
  <c r="AA2285" i="12"/>
  <c r="AA2301" i="12"/>
  <c r="AA2317" i="12"/>
  <c r="AA2333" i="12"/>
  <c r="AA2349" i="12"/>
  <c r="AA2365" i="12"/>
  <c r="AA2381" i="12"/>
  <c r="AA2397" i="12"/>
  <c r="AA2413" i="12"/>
  <c r="AA2429" i="12"/>
  <c r="AA2445" i="12"/>
  <c r="AA2461" i="12"/>
  <c r="AA2477" i="12"/>
  <c r="AA2493" i="12"/>
  <c r="AA2509" i="12"/>
  <c r="AA2525" i="12"/>
  <c r="AA2541" i="12"/>
  <c r="AA2557" i="12"/>
  <c r="AA2573" i="12"/>
  <c r="AA2589" i="12"/>
  <c r="AA2605" i="12"/>
  <c r="AA2621" i="12"/>
  <c r="AA2637" i="12"/>
  <c r="AA2653" i="12"/>
  <c r="AA2669" i="12"/>
  <c r="AA2685" i="12"/>
  <c r="AA2701" i="12"/>
  <c r="AA2717" i="12"/>
  <c r="AA2733" i="12"/>
  <c r="AA2749" i="12"/>
  <c r="AA2765" i="12"/>
  <c r="AA2781" i="12"/>
  <c r="AA2797" i="12"/>
  <c r="AA2813" i="12"/>
  <c r="AA2829" i="12"/>
  <c r="AA2845" i="12"/>
  <c r="AA2861" i="12"/>
  <c r="AA2877" i="12"/>
  <c r="AA2893" i="12"/>
  <c r="AA2909" i="12"/>
  <c r="AA2925" i="12"/>
  <c r="AA2941" i="12"/>
  <c r="AA2957" i="12"/>
  <c r="AA2973" i="12"/>
  <c r="AA2989" i="12"/>
  <c r="AA3005" i="12"/>
  <c r="AA3033" i="12"/>
  <c r="AA3065" i="12"/>
  <c r="AA3097" i="12"/>
  <c r="AA3129" i="12"/>
  <c r="AA3161" i="12"/>
  <c r="AA3193" i="12"/>
  <c r="AA3225" i="12"/>
  <c r="AA3257" i="12"/>
  <c r="AA3289" i="12"/>
  <c r="AA3321" i="12"/>
  <c r="AA3353" i="12"/>
  <c r="AA3385" i="12"/>
  <c r="AA3417" i="12"/>
  <c r="AA3449" i="12"/>
  <c r="AA3481" i="12"/>
  <c r="AA3513" i="12"/>
  <c r="AA3545" i="12"/>
  <c r="AA914" i="12"/>
  <c r="AA930" i="12"/>
  <c r="AA946" i="12"/>
  <c r="AA962" i="12"/>
  <c r="AA978" i="12"/>
  <c r="AA994" i="12"/>
  <c r="AA1010" i="12"/>
  <c r="AA1026" i="12"/>
  <c r="AA1042" i="12"/>
  <c r="AA1058" i="12"/>
  <c r="AA1074" i="12"/>
  <c r="AA1090" i="12"/>
  <c r="AA1106" i="12"/>
  <c r="AA1122" i="12"/>
  <c r="AA1138" i="12"/>
  <c r="AA1154" i="12"/>
  <c r="AA1170" i="12"/>
  <c r="AA1186" i="12"/>
  <c r="AA1202" i="12"/>
  <c r="AA1218" i="12"/>
  <c r="AA1234" i="12"/>
  <c r="AA1250" i="12"/>
  <c r="AA1266" i="12"/>
  <c r="AA1282" i="12"/>
  <c r="AA1298" i="12"/>
  <c r="AA1314" i="12"/>
  <c r="AA1330" i="12"/>
  <c r="AA1346" i="12"/>
  <c r="AA1362" i="12"/>
  <c r="AA1378" i="12"/>
  <c r="AA1394" i="12"/>
  <c r="AA1410" i="12"/>
  <c r="AA1426" i="12"/>
  <c r="AA1442" i="12"/>
  <c r="AA1458" i="12"/>
  <c r="AA1474" i="12"/>
  <c r="AA1490" i="12"/>
  <c r="AA1506" i="12"/>
  <c r="AA1522" i="12"/>
  <c r="AA1538" i="12"/>
  <c r="AA1554" i="12"/>
  <c r="AA1570" i="12"/>
  <c r="AA1586" i="12"/>
  <c r="AA1602" i="12"/>
  <c r="AA1618" i="12"/>
  <c r="AA1634" i="12"/>
  <c r="AA1650" i="12"/>
  <c r="AA1666" i="12"/>
  <c r="AA1682" i="12"/>
  <c r="AA1698" i="12"/>
  <c r="AA1714" i="12"/>
  <c r="AA1730" i="12"/>
  <c r="AA1746" i="12"/>
  <c r="AA1762" i="12"/>
  <c r="AA1778" i="12"/>
  <c r="AA1794" i="12"/>
  <c r="AA1810" i="12"/>
  <c r="AA1826" i="12"/>
  <c r="AA1842" i="12"/>
  <c r="AA1858" i="12"/>
  <c r="AA1874" i="12"/>
  <c r="AA1890" i="12"/>
  <c r="AA1906" i="12"/>
  <c r="AA1922" i="12"/>
  <c r="AA1938" i="12"/>
  <c r="AA1954" i="12"/>
  <c r="AA1970" i="12"/>
  <c r="AA1986" i="12"/>
  <c r="AA2002" i="12"/>
  <c r="AA2018" i="12"/>
  <c r="AA2034" i="12"/>
  <c r="AA2050" i="12"/>
  <c r="AA2066" i="12"/>
  <c r="AA2082" i="12"/>
  <c r="AA2098" i="12"/>
  <c r="AA2114" i="12"/>
  <c r="AA2130" i="12"/>
  <c r="AA2146" i="12"/>
  <c r="AA2162" i="12"/>
  <c r="AA2178" i="12"/>
  <c r="AA2194" i="12"/>
  <c r="AA2210" i="12"/>
  <c r="AA2226" i="12"/>
  <c r="AA2242" i="12"/>
  <c r="AA2258" i="12"/>
  <c r="AA2274" i="12"/>
  <c r="AA2290" i="12"/>
  <c r="AA2306" i="12"/>
  <c r="AA2322" i="12"/>
  <c r="AA2338" i="12"/>
  <c r="AA2354" i="12"/>
  <c r="AA2370" i="12"/>
  <c r="AA2386" i="12"/>
  <c r="AA2402" i="12"/>
  <c r="AA2418" i="12"/>
  <c r="AA2434" i="12"/>
  <c r="AA2450" i="12"/>
  <c r="AA2466" i="12"/>
  <c r="AA2482" i="12"/>
  <c r="AA2498" i="12"/>
  <c r="AA2514" i="12"/>
  <c r="AA2530" i="12"/>
  <c r="AA2546" i="12"/>
  <c r="AA2562" i="12"/>
  <c r="AA2578" i="12"/>
  <c r="AA2594" i="12"/>
  <c r="AA2610" i="12"/>
  <c r="AA2626" i="12"/>
  <c r="AA2642" i="12"/>
  <c r="AA2658" i="12"/>
  <c r="AA2674" i="12"/>
  <c r="AA2690" i="12"/>
  <c r="AA2706" i="12"/>
  <c r="AA2722" i="12"/>
  <c r="AA2738" i="12"/>
  <c r="AA2754" i="12"/>
  <c r="AA2770" i="12"/>
  <c r="AA2786" i="12"/>
  <c r="AA2802" i="12"/>
  <c r="AA2818" i="12"/>
  <c r="AA2834" i="12"/>
  <c r="AA261" i="12"/>
  <c r="AA597" i="12"/>
  <c r="AA97" i="12"/>
  <c r="AA1615" i="12"/>
  <c r="AA62" i="12"/>
  <c r="AA318" i="12"/>
  <c r="AA646" i="12"/>
  <c r="AA1139" i="12"/>
  <c r="AA2163" i="12"/>
  <c r="AA3365" i="12"/>
  <c r="AA2591" i="12"/>
  <c r="AA203" i="12"/>
  <c r="AA493" i="12"/>
  <c r="AA834" i="12"/>
  <c r="AA1703" i="12"/>
  <c r="AA2727" i="12"/>
  <c r="AA136" i="12"/>
  <c r="AA403" i="12"/>
  <c r="AA745" i="12"/>
  <c r="AA1435" i="12"/>
  <c r="AA2459" i="12"/>
  <c r="AA3445" i="12"/>
  <c r="AA456" i="12"/>
  <c r="AA520" i="12"/>
  <c r="AA584" i="12"/>
  <c r="AA648" i="12"/>
  <c r="AA712" i="12"/>
  <c r="AA776" i="12"/>
  <c r="AA840" i="12"/>
  <c r="AA904" i="12"/>
  <c r="AA968" i="12"/>
  <c r="AA1032" i="12"/>
  <c r="AA1096" i="12"/>
  <c r="AA1160" i="12"/>
  <c r="AA1224" i="12"/>
  <c r="AA1288" i="12"/>
  <c r="AA1352" i="12"/>
  <c r="AA1416" i="12"/>
  <c r="AA1480" i="12"/>
  <c r="AA1544" i="12"/>
  <c r="AA1608" i="12"/>
  <c r="AA1672" i="12"/>
  <c r="AA1736" i="12"/>
  <c r="AA1800" i="12"/>
  <c r="AA1864" i="12"/>
  <c r="AA1928" i="12"/>
  <c r="AA1992" i="12"/>
  <c r="AA2056" i="12"/>
  <c r="AA2120" i="12"/>
  <c r="AA2184" i="12"/>
  <c r="AA2248" i="12"/>
  <c r="AA2312" i="12"/>
  <c r="AA2376" i="12"/>
  <c r="AA2440" i="12"/>
  <c r="AA2504" i="12"/>
  <c r="AA2568" i="12"/>
  <c r="AA2632" i="12"/>
  <c r="AA2696" i="12"/>
  <c r="AA2760" i="12"/>
  <c r="AA2824" i="12"/>
  <c r="AA2888" i="12"/>
  <c r="AA2952" i="12"/>
  <c r="AA3023" i="12"/>
  <c r="AA3151" i="12"/>
  <c r="AA3279" i="12"/>
  <c r="AA3407" i="12"/>
  <c r="AA3535" i="12"/>
  <c r="AA977" i="12"/>
  <c r="AA1041" i="12"/>
  <c r="AA1105" i="12"/>
  <c r="AA1169" i="12"/>
  <c r="AA1233" i="12"/>
  <c r="AA1297" i="12"/>
  <c r="AA1361" i="12"/>
  <c r="AA1425" i="12"/>
  <c r="AA1489" i="12"/>
  <c r="AA1553" i="12"/>
  <c r="AA1617" i="12"/>
  <c r="AA1681" i="12"/>
  <c r="AA1745" i="12"/>
  <c r="AA1809" i="12"/>
  <c r="AA1873" i="12"/>
  <c r="AA1937" i="12"/>
  <c r="AA2001" i="12"/>
  <c r="AA2065" i="12"/>
  <c r="AA2129" i="12"/>
  <c r="AA2161" i="12"/>
  <c r="AA2193" i="12"/>
  <c r="AA2225" i="12"/>
  <c r="AA2257" i="12"/>
  <c r="AA2289" i="12"/>
  <c r="AA2321" i="12"/>
  <c r="AA2353" i="12"/>
  <c r="AA2385" i="12"/>
  <c r="AA2417" i="12"/>
  <c r="AA2449" i="12"/>
  <c r="AA2481" i="12"/>
  <c r="AA2513" i="12"/>
  <c r="AA2545" i="12"/>
  <c r="AA2577" i="12"/>
  <c r="AA2609" i="12"/>
  <c r="AA2641" i="12"/>
  <c r="AA2673" i="12"/>
  <c r="AA2705" i="12"/>
  <c r="AA2737" i="12"/>
  <c r="AA2769" i="12"/>
  <c r="AA2801" i="12"/>
  <c r="AA2833" i="12"/>
  <c r="AA2865" i="12"/>
  <c r="AA2897" i="12"/>
  <c r="AA2929" i="12"/>
  <c r="AA2961" i="12"/>
  <c r="AA2993" i="12"/>
  <c r="AA3041" i="12"/>
  <c r="AA3105" i="12"/>
  <c r="AA3169" i="12"/>
  <c r="AA3233" i="12"/>
  <c r="AA3297" i="12"/>
  <c r="AA3361" i="12"/>
  <c r="AA3425" i="12"/>
  <c r="AA3489" i="12"/>
  <c r="AA902" i="12"/>
  <c r="AA934" i="12"/>
  <c r="AA966" i="12"/>
  <c r="AA998" i="12"/>
  <c r="AA1030" i="12"/>
  <c r="AA1062" i="12"/>
  <c r="AA1094" i="12"/>
  <c r="AA1126" i="12"/>
  <c r="AA1158" i="12"/>
  <c r="AA1190" i="12"/>
  <c r="AA1222" i="12"/>
  <c r="AA1254" i="12"/>
  <c r="AA1286" i="12"/>
  <c r="AA1318" i="12"/>
  <c r="AA1350" i="12"/>
  <c r="AA1382" i="12"/>
  <c r="AA1414" i="12"/>
  <c r="AA1446" i="12"/>
  <c r="AA1478" i="12"/>
  <c r="AA1510" i="12"/>
  <c r="AA1542" i="12"/>
  <c r="AA1574" i="12"/>
  <c r="AA1606" i="12"/>
  <c r="AA1638" i="12"/>
  <c r="AA1670" i="12"/>
  <c r="AA1702" i="12"/>
  <c r="AA1734" i="12"/>
  <c r="AA1766" i="12"/>
  <c r="AA1798" i="12"/>
  <c r="AA1830" i="12"/>
  <c r="AA1862" i="12"/>
  <c r="AA1894" i="12"/>
  <c r="AA1926" i="12"/>
  <c r="AA1958" i="12"/>
  <c r="AA1990" i="12"/>
  <c r="AA2022" i="12"/>
  <c r="AA2054" i="12"/>
  <c r="AA2086" i="12"/>
  <c r="AA2118" i="12"/>
  <c r="AA2150" i="12"/>
  <c r="AA2182" i="12"/>
  <c r="AA2214" i="12"/>
  <c r="AA2246" i="12"/>
  <c r="AA2278" i="12"/>
  <c r="AA2310" i="12"/>
  <c r="AA2342" i="12"/>
  <c r="AA2374" i="12"/>
  <c r="AA2406" i="12"/>
  <c r="AA2438" i="12"/>
  <c r="AA2470" i="12"/>
  <c r="AA2502" i="12"/>
  <c r="AA2534" i="12"/>
  <c r="AA2566" i="12"/>
  <c r="AA2598" i="12"/>
  <c r="AA2630" i="12"/>
  <c r="AA2662" i="12"/>
  <c r="AA2694" i="12"/>
  <c r="AA2726" i="12"/>
  <c r="AA2758" i="12"/>
  <c r="AA2790" i="12"/>
  <c r="AA2822" i="12"/>
  <c r="AA2846" i="12"/>
  <c r="AA2862" i="12"/>
  <c r="AA2878" i="12"/>
  <c r="AA2894" i="12"/>
  <c r="AA2910" i="12"/>
  <c r="AA2926" i="12"/>
  <c r="AA2942" i="12"/>
  <c r="AA2958" i="12"/>
  <c r="AA2974" i="12"/>
  <c r="AA2990" i="12"/>
  <c r="AA3006" i="12"/>
  <c r="AA3035" i="12"/>
  <c r="AA3067" i="12"/>
  <c r="AA3099" i="12"/>
  <c r="AA3131" i="12"/>
  <c r="AA3163" i="12"/>
  <c r="AA3195" i="12"/>
  <c r="AA3227" i="12"/>
  <c r="AA3259" i="12"/>
  <c r="AA3291" i="12"/>
  <c r="AA3323" i="12"/>
  <c r="AA3355" i="12"/>
  <c r="AA3387" i="12"/>
  <c r="AA3419" i="12"/>
  <c r="AA3451" i="12"/>
  <c r="AA3483" i="12"/>
  <c r="AA3515" i="12"/>
  <c r="AA3547" i="12"/>
  <c r="AA3024" i="12"/>
  <c r="AA3040" i="12"/>
  <c r="AA3056" i="12"/>
  <c r="AA3072" i="12"/>
  <c r="AA3088" i="12"/>
  <c r="AA3104" i="12"/>
  <c r="AA3120" i="12"/>
  <c r="AA3136" i="12"/>
  <c r="AA3152" i="12"/>
  <c r="AA3168" i="12"/>
  <c r="AA3184" i="12"/>
  <c r="AA3200" i="12"/>
  <c r="AA3216" i="12"/>
  <c r="AA3232" i="12"/>
  <c r="AA3248" i="12"/>
  <c r="AA3264" i="12"/>
  <c r="AA3280" i="12"/>
  <c r="AA3296" i="12"/>
  <c r="AA3312" i="12"/>
  <c r="AA3328" i="12"/>
  <c r="AA3344" i="12"/>
  <c r="AA3360" i="12"/>
  <c r="AA3376" i="12"/>
  <c r="AA3392" i="12"/>
  <c r="AA3408" i="12"/>
  <c r="AA3424" i="12"/>
  <c r="AA3440" i="12"/>
  <c r="AA3456" i="12"/>
  <c r="AA3472" i="12"/>
  <c r="AA3488" i="12"/>
  <c r="AA3504" i="12"/>
  <c r="AA3520" i="12"/>
  <c r="AA3536" i="12"/>
  <c r="AA3552" i="12"/>
  <c r="AA3022" i="12"/>
  <c r="AA3038" i="12"/>
  <c r="AA3054" i="12"/>
  <c r="AA3070" i="12"/>
  <c r="AA3086" i="12"/>
  <c r="AA3102" i="12"/>
  <c r="AA3118" i="12"/>
  <c r="AA3134" i="12"/>
  <c r="AA3150" i="12"/>
  <c r="AA3166" i="12"/>
  <c r="AA3182" i="12"/>
  <c r="AA3198" i="12"/>
  <c r="AA3214" i="12"/>
  <c r="AA3230" i="12"/>
  <c r="AA3246" i="12"/>
  <c r="AA3262" i="12"/>
  <c r="AA3278" i="12"/>
  <c r="AA3294" i="12"/>
  <c r="AA3310" i="12"/>
  <c r="AA3326" i="12"/>
  <c r="AA3342" i="12"/>
  <c r="AA3358" i="12"/>
  <c r="AA3374" i="12"/>
  <c r="AA3390" i="12"/>
  <c r="AA3406" i="12"/>
  <c r="AA3422" i="12"/>
  <c r="AA3438" i="12"/>
  <c r="AA3454" i="12"/>
  <c r="AA3470" i="12"/>
  <c r="AA3486" i="12"/>
  <c r="AA3502" i="12"/>
  <c r="AA3518" i="12"/>
  <c r="AA3534" i="12"/>
  <c r="AA3550" i="12"/>
  <c r="AA1166" i="12"/>
  <c r="AA1614" i="12"/>
  <c r="AA1678" i="12"/>
  <c r="AA1710" i="12"/>
  <c r="AA1774" i="12"/>
  <c r="AA1806" i="12"/>
  <c r="AA1838" i="12"/>
  <c r="AA1902" i="12"/>
  <c r="AA1934" i="12"/>
  <c r="AA1966" i="12"/>
  <c r="AA1998" i="12"/>
  <c r="AA2062" i="12"/>
  <c r="AA2094" i="12"/>
  <c r="AA2126" i="12"/>
  <c r="AA2158" i="12"/>
  <c r="AA2190" i="12"/>
  <c r="AA2254" i="12"/>
  <c r="AA2286" i="12"/>
  <c r="AA2318" i="12"/>
  <c r="AA2350" i="12"/>
  <c r="AA2382" i="12"/>
  <c r="AA2414" i="12"/>
  <c r="AA2446" i="12"/>
  <c r="AA2478" i="12"/>
  <c r="AA2542" i="12"/>
  <c r="AA2574" i="12"/>
  <c r="AA2606" i="12"/>
  <c r="AA2638" i="12"/>
  <c r="AA2670" i="12"/>
  <c r="AA2702" i="12"/>
  <c r="AA2734" i="12"/>
  <c r="AA2766" i="12"/>
  <c r="AA2798" i="12"/>
  <c r="AA2830" i="12"/>
  <c r="AA2866" i="12"/>
  <c r="AA2882" i="12"/>
  <c r="AA2898" i="12"/>
  <c r="AA2914" i="12"/>
  <c r="AA2930" i="12"/>
  <c r="AA2946" i="12"/>
  <c r="AA2962" i="12"/>
  <c r="AA2978" i="12"/>
  <c r="AA2994" i="12"/>
  <c r="AA3011" i="12"/>
  <c r="AA3043" i="12"/>
  <c r="AA3075" i="12"/>
  <c r="AA3107" i="12"/>
  <c r="AA3139" i="12"/>
  <c r="AA3203" i="12"/>
  <c r="AA3235" i="12"/>
  <c r="AA3267" i="12"/>
  <c r="AA3299" i="12"/>
  <c r="AA3331" i="12"/>
  <c r="AA3363" i="12"/>
  <c r="AA3395" i="12"/>
  <c r="AA3427" i="12"/>
  <c r="AA3459" i="12"/>
  <c r="AA3491" i="12"/>
  <c r="AA3523" i="12"/>
  <c r="AA3012" i="12"/>
  <c r="AA3028" i="12"/>
  <c r="AA3044" i="12"/>
  <c r="AA3060" i="12"/>
  <c r="AA3092" i="12"/>
  <c r="AA3108" i="12"/>
  <c r="AA3124" i="12"/>
  <c r="AA3140" i="12"/>
  <c r="AA3156" i="12"/>
  <c r="AA3172" i="12"/>
  <c r="AA3188" i="12"/>
  <c r="AA3204" i="12"/>
  <c r="AA3220" i="12"/>
  <c r="AA3236" i="12"/>
  <c r="AA3252" i="12"/>
  <c r="AA3268" i="12"/>
  <c r="AA3284" i="12"/>
  <c r="AA3300" i="12"/>
  <c r="AA3316" i="12"/>
  <c r="AA3332" i="12"/>
  <c r="AA3364" i="12"/>
  <c r="AA3380" i="12"/>
  <c r="AA3396" i="12"/>
  <c r="AA3412" i="12"/>
  <c r="AA3428" i="12"/>
  <c r="AA3444" i="12"/>
  <c r="AA3460" i="12"/>
  <c r="AA3476" i="12"/>
  <c r="AA3492" i="12"/>
  <c r="AA3508" i="12"/>
  <c r="AA3524" i="12"/>
  <c r="AA3540" i="12"/>
  <c r="AA3010" i="12"/>
  <c r="AA3026" i="12"/>
  <c r="AA3058" i="12"/>
  <c r="AA3074" i="12"/>
  <c r="AA3090" i="12"/>
  <c r="AA3106" i="12"/>
  <c r="AA3122" i="12"/>
  <c r="AA3138" i="12"/>
  <c r="AA3154" i="12"/>
  <c r="AA3170" i="12"/>
  <c r="AA3186" i="12"/>
  <c r="AA3202" i="12"/>
  <c r="AA3218" i="12"/>
  <c r="AA3250" i="12"/>
  <c r="AA3266" i="12"/>
  <c r="AA3282" i="12"/>
  <c r="AA3298" i="12"/>
  <c r="AA3314" i="12"/>
  <c r="AA3330" i="12"/>
  <c r="AA3346" i="12"/>
  <c r="AA3362" i="12"/>
  <c r="AA3378" i="12"/>
  <c r="AA3410" i="12"/>
  <c r="AA3426" i="12"/>
  <c r="AA3442" i="12"/>
  <c r="AA3474" i="12"/>
  <c r="AA3506" i="12"/>
  <c r="AA3538" i="12"/>
  <c r="AA3217" i="12"/>
  <c r="AA1630" i="12"/>
  <c r="AA1822" i="12"/>
  <c r="AA1950" i="12"/>
  <c r="AA2046" i="12"/>
  <c r="AA2142" i="12"/>
  <c r="AA2206" i="12"/>
  <c r="AA2302" i="12"/>
  <c r="AA2366" i="12"/>
  <c r="AA2462" i="12"/>
  <c r="AA2590" i="12"/>
  <c r="AA2686" i="12"/>
  <c r="AA2782" i="12"/>
  <c r="AA2842" i="12"/>
  <c r="AA2890" i="12"/>
  <c r="AA2954" i="12"/>
  <c r="AA3059" i="12"/>
  <c r="AA3187" i="12"/>
  <c r="AA3283" i="12"/>
  <c r="AA3379" i="12"/>
  <c r="AA3475" i="12"/>
  <c r="AA3036" i="12"/>
  <c r="AA3068" i="12"/>
  <c r="AA3132" i="12"/>
  <c r="AA3164" i="12"/>
  <c r="AA3228" i="12"/>
  <c r="AA3260" i="12"/>
  <c r="AA3308" i="12"/>
  <c r="AA3372" i="12"/>
  <c r="AA3404" i="12"/>
  <c r="AA3452" i="12"/>
  <c r="AA3516" i="12"/>
  <c r="AA3548" i="12"/>
  <c r="AA3082" i="12"/>
  <c r="AA3162" i="12"/>
  <c r="AA3226" i="12"/>
  <c r="AA3274" i="12"/>
  <c r="AA3322" i="12"/>
  <c r="AA3370" i="12"/>
  <c r="AA3402" i="12"/>
  <c r="AA3450" i="12"/>
  <c r="AA3498" i="12"/>
  <c r="AA3530" i="12"/>
  <c r="AA570" i="12"/>
  <c r="AA61" i="12"/>
  <c r="AA353" i="12"/>
  <c r="AA2175" i="12"/>
  <c r="AA126" i="12"/>
  <c r="AA390" i="12"/>
  <c r="AA731" i="12"/>
  <c r="AA1395" i="12"/>
  <c r="AA2419" i="12"/>
  <c r="AA1183" i="12"/>
  <c r="AA3165" i="12"/>
  <c r="AA267" i="12"/>
  <c r="AA578" i="12"/>
  <c r="AA935" i="12"/>
  <c r="AA1959" i="12"/>
  <c r="AA2983" i="12"/>
  <c r="AA200" i="12"/>
  <c r="AA489" i="12"/>
  <c r="AA830" i="12"/>
  <c r="AA1691" i="12"/>
  <c r="AA2715" i="12"/>
  <c r="AA376" i="12"/>
  <c r="AA472" i="12"/>
  <c r="AA536" i="12"/>
  <c r="AA600" i="12"/>
  <c r="AA664" i="12"/>
  <c r="AA728" i="12"/>
  <c r="AA792" i="12"/>
  <c r="AA856" i="12"/>
  <c r="AA920" i="12"/>
  <c r="AA984" i="12"/>
  <c r="AA1048" i="12"/>
  <c r="AA1112" i="12"/>
  <c r="AA1176" i="12"/>
  <c r="AA1240" i="12"/>
  <c r="AA1304" i="12"/>
  <c r="AA1368" i="12"/>
  <c r="AA1432" i="12"/>
  <c r="AA1496" i="12"/>
  <c r="AA1560" i="12"/>
  <c r="AA1624" i="12"/>
  <c r="AA1688" i="12"/>
  <c r="AA1752" i="12"/>
  <c r="AA1816" i="12"/>
  <c r="AA1880" i="12"/>
  <c r="AA1944" i="12"/>
  <c r="AA2008" i="12"/>
  <c r="AA2072" i="12"/>
  <c r="AA2136" i="12"/>
  <c r="AA2200" i="12"/>
  <c r="AA2264" i="12"/>
  <c r="AA2328" i="12"/>
  <c r="AA2392" i="12"/>
  <c r="AA2456" i="12"/>
  <c r="AA2520" i="12"/>
  <c r="AA2584" i="12"/>
  <c r="AA2648" i="12"/>
  <c r="AA2712" i="12"/>
  <c r="AA2776" i="12"/>
  <c r="AA2840" i="12"/>
  <c r="AA2904" i="12"/>
  <c r="AA2968" i="12"/>
  <c r="AA3055" i="12"/>
  <c r="AA3183" i="12"/>
  <c r="AA3311" i="12"/>
  <c r="AA3439" i="12"/>
  <c r="AA929" i="12"/>
  <c r="AA993" i="12"/>
  <c r="AA1057" i="12"/>
  <c r="AA1121" i="12"/>
  <c r="AA1185" i="12"/>
  <c r="AA1249" i="12"/>
  <c r="AA1313" i="12"/>
  <c r="AA1377" i="12"/>
  <c r="AA1441" i="12"/>
  <c r="AA1505" i="12"/>
  <c r="AA1569" i="12"/>
  <c r="AA1633" i="12"/>
  <c r="AA1697" i="12"/>
  <c r="AA1761" i="12"/>
  <c r="AA1825" i="12"/>
  <c r="AA1889" i="12"/>
  <c r="AA1953" i="12"/>
  <c r="AA2017" i="12"/>
  <c r="AA2081" i="12"/>
  <c r="AA2137" i="12"/>
  <c r="AA2169" i="12"/>
  <c r="AA2201" i="12"/>
  <c r="AA2233" i="12"/>
  <c r="AA2265" i="12"/>
  <c r="AA2297" i="12"/>
  <c r="AA2329" i="12"/>
  <c r="AA2361" i="12"/>
  <c r="AA2393" i="12"/>
  <c r="AA2425" i="12"/>
  <c r="AA2457" i="12"/>
  <c r="AA2489" i="12"/>
  <c r="AA2521" i="12"/>
  <c r="AA2553" i="12"/>
  <c r="AA2585" i="12"/>
  <c r="AA2617" i="12"/>
  <c r="AA2649" i="12"/>
  <c r="AA2681" i="12"/>
  <c r="AA2713" i="12"/>
  <c r="AA2745" i="12"/>
  <c r="AA2777" i="12"/>
  <c r="AA2809" i="12"/>
  <c r="AA2841" i="12"/>
  <c r="AA2873" i="12"/>
  <c r="AA2905" i="12"/>
  <c r="AA2937" i="12"/>
  <c r="AA2969" i="12"/>
  <c r="AA3001" i="12"/>
  <c r="AA3057" i="12"/>
  <c r="AA3121" i="12"/>
  <c r="AA3185" i="12"/>
  <c r="AA3249" i="12"/>
  <c r="AA3313" i="12"/>
  <c r="AA3377" i="12"/>
  <c r="AA3441" i="12"/>
  <c r="AA3505" i="12"/>
  <c r="AA910" i="12"/>
  <c r="AA942" i="12"/>
  <c r="AA974" i="12"/>
  <c r="AA1006" i="12"/>
  <c r="AA1038" i="12"/>
  <c r="AA1070" i="12"/>
  <c r="AA1102" i="12"/>
  <c r="AA1134" i="12"/>
  <c r="AA1198" i="12"/>
  <c r="AA1230" i="12"/>
  <c r="AA1262" i="12"/>
  <c r="AA1294" i="12"/>
  <c r="AA1326" i="12"/>
  <c r="AA1358" i="12"/>
  <c r="AA1390" i="12"/>
  <c r="AA1422" i="12"/>
  <c r="AA1454" i="12"/>
  <c r="AA1486" i="12"/>
  <c r="AA1518" i="12"/>
  <c r="AA1550" i="12"/>
  <c r="AA1582" i="12"/>
  <c r="AA1646" i="12"/>
  <c r="AA1742" i="12"/>
  <c r="AA1870" i="12"/>
  <c r="AA2030" i="12"/>
  <c r="AA2222" i="12"/>
  <c r="AA2510" i="12"/>
  <c r="AA2850" i="12"/>
  <c r="AA3171" i="12"/>
  <c r="AA3076" i="12"/>
  <c r="AA3348" i="12"/>
  <c r="AA3042" i="12"/>
  <c r="AA3234" i="12"/>
  <c r="AA3394" i="12"/>
  <c r="AA3458" i="12"/>
  <c r="AA3490" i="12"/>
  <c r="AA3522" i="12"/>
  <c r="AA3345" i="12"/>
  <c r="AA1726" i="12"/>
  <c r="AA1886" i="12"/>
  <c r="AA1982" i="12"/>
  <c r="AA2078" i="12"/>
  <c r="AA2174" i="12"/>
  <c r="AA2238" i="12"/>
  <c r="AA2334" i="12"/>
  <c r="AA2430" i="12"/>
  <c r="AA2526" i="12"/>
  <c r="AA2622" i="12"/>
  <c r="AA2718" i="12"/>
  <c r="AA2814" i="12"/>
  <c r="AA2858" i="12"/>
  <c r="AA2906" i="12"/>
  <c r="AA2938" i="12"/>
  <c r="AA2986" i="12"/>
  <c r="AA3027" i="12"/>
  <c r="AA3123" i="12"/>
  <c r="AA3219" i="12"/>
  <c r="AA3315" i="12"/>
  <c r="AA3411" i="12"/>
  <c r="AA3507" i="12"/>
  <c r="AA3539" i="12"/>
  <c r="AA3052" i="12"/>
  <c r="AA3100" i="12"/>
  <c r="AA3148" i="12"/>
  <c r="AA3196" i="12"/>
  <c r="AA3244" i="12"/>
  <c r="AA3292" i="12"/>
  <c r="AA3340" i="12"/>
  <c r="AA3388" i="12"/>
  <c r="AA3436" i="12"/>
  <c r="AA3484" i="12"/>
  <c r="AA3532" i="12"/>
  <c r="AA3034" i="12"/>
  <c r="AA3066" i="12"/>
  <c r="AA3114" i="12"/>
  <c r="AA3146" i="12"/>
  <c r="AA3194" i="12"/>
  <c r="AA3242" i="12"/>
  <c r="AA3290" i="12"/>
  <c r="AA3338" i="12"/>
  <c r="AA3386" i="12"/>
  <c r="AA3434" i="12"/>
  <c r="AA3466" i="12"/>
  <c r="AA3514" i="12"/>
  <c r="AA3546" i="12"/>
  <c r="AA25" i="12"/>
  <c r="AA317" i="12"/>
  <c r="AA693" i="12"/>
  <c r="AA2751" i="12"/>
  <c r="AA190" i="12"/>
  <c r="AA475" i="12"/>
  <c r="AA817" i="12"/>
  <c r="AA1651" i="12"/>
  <c r="AA2675" i="12"/>
  <c r="AA1663" i="12"/>
  <c r="AA75" i="12"/>
  <c r="AA331" i="12"/>
  <c r="AA663" i="12"/>
  <c r="AA1191" i="12"/>
  <c r="AA2215" i="12"/>
  <c r="AA3469" i="12"/>
  <c r="AA264" i="12"/>
  <c r="AA574" i="12"/>
  <c r="AA923" i="12"/>
  <c r="AA1947" i="12"/>
  <c r="AA2971" i="12"/>
  <c r="AA408" i="12"/>
  <c r="AA488" i="12"/>
  <c r="AA552" i="12"/>
  <c r="AA616" i="12"/>
  <c r="AA680" i="12"/>
  <c r="AA744" i="12"/>
  <c r="AA808" i="12"/>
  <c r="AA872" i="12"/>
  <c r="AA936" i="12"/>
  <c r="AA1000" i="12"/>
  <c r="AA1064" i="12"/>
  <c r="AA1128" i="12"/>
  <c r="AA1192" i="12"/>
  <c r="AA1256" i="12"/>
  <c r="AA1320" i="12"/>
  <c r="AA1384" i="12"/>
  <c r="AA1448" i="12"/>
  <c r="AA1512" i="12"/>
  <c r="AA1576" i="12"/>
  <c r="AA1640" i="12"/>
  <c r="AA1704" i="12"/>
  <c r="AA1768" i="12"/>
  <c r="AA1832" i="12"/>
  <c r="AA1896" i="12"/>
  <c r="AA1960" i="12"/>
  <c r="AA2024" i="12"/>
  <c r="AA2088" i="12"/>
  <c r="AA2152" i="12"/>
  <c r="AA2216" i="12"/>
  <c r="AA2280" i="12"/>
  <c r="AA2344" i="12"/>
  <c r="AA2408" i="12"/>
  <c r="AA2472" i="12"/>
  <c r="AA2536" i="12"/>
  <c r="AA2600" i="12"/>
  <c r="AA2664" i="12"/>
  <c r="AA2728" i="12"/>
  <c r="AA2792" i="12"/>
  <c r="AA2856" i="12"/>
  <c r="AA2920" i="12"/>
  <c r="AA2984" i="12"/>
  <c r="AA3087" i="12"/>
  <c r="AA3215" i="12"/>
  <c r="AA3343" i="12"/>
  <c r="AA3471" i="12"/>
  <c r="AA945" i="12"/>
  <c r="AA1009" i="12"/>
  <c r="AA1073" i="12"/>
  <c r="AA1137" i="12"/>
  <c r="AA1201" i="12"/>
  <c r="AA1265" i="12"/>
  <c r="AA1329" i="12"/>
  <c r="AA1393" i="12"/>
  <c r="AA1457" i="12"/>
  <c r="AA1521" i="12"/>
  <c r="AA1585" i="12"/>
  <c r="AA1649" i="12"/>
  <c r="AA1713" i="12"/>
  <c r="AA1777" i="12"/>
  <c r="AA1841" i="12"/>
  <c r="AA1905" i="12"/>
  <c r="AA1969" i="12"/>
  <c r="AA2033" i="12"/>
  <c r="AA2097" i="12"/>
  <c r="AA2145" i="12"/>
  <c r="AA2177" i="12"/>
  <c r="AA2209" i="12"/>
  <c r="AA2241" i="12"/>
  <c r="AA2273" i="12"/>
  <c r="AA2305" i="12"/>
  <c r="AA2337" i="12"/>
  <c r="AA2369" i="12"/>
  <c r="AA2401" i="12"/>
  <c r="AA2433" i="12"/>
  <c r="AA2465" i="12"/>
  <c r="AA2497" i="12"/>
  <c r="AA2529" i="12"/>
  <c r="AA2561" i="12"/>
  <c r="AA2593" i="12"/>
  <c r="AA2625" i="12"/>
  <c r="AA2657" i="12"/>
  <c r="AA2689" i="12"/>
  <c r="AA2721" i="12"/>
  <c r="AA2753" i="12"/>
  <c r="AA2785" i="12"/>
  <c r="AA2817" i="12"/>
  <c r="AA2849" i="12"/>
  <c r="AA2881" i="12"/>
  <c r="AA2913" i="12"/>
  <c r="AA2945" i="12"/>
  <c r="AA2977" i="12"/>
  <c r="AA3009" i="12"/>
  <c r="AA3073" i="12"/>
  <c r="AA3137" i="12"/>
  <c r="AA3201" i="12"/>
  <c r="AA3265" i="12"/>
  <c r="AA3329" i="12"/>
  <c r="AA3393" i="12"/>
  <c r="AA3457" i="12"/>
  <c r="AA3521" i="12"/>
  <c r="AA918" i="12"/>
  <c r="AA950" i="12"/>
  <c r="AA982" i="12"/>
  <c r="AA1014" i="12"/>
  <c r="AA1046" i="12"/>
  <c r="AA1078" i="12"/>
  <c r="AA1110" i="12"/>
  <c r="AA1142" i="12"/>
  <c r="AA1174" i="12"/>
  <c r="AA1206" i="12"/>
  <c r="AA1238" i="12"/>
  <c r="AA1270" i="12"/>
  <c r="AA1302" i="12"/>
  <c r="AA1334" i="12"/>
  <c r="AA1366" i="12"/>
  <c r="AA1398" i="12"/>
  <c r="AA1430" i="12"/>
  <c r="AA1462" i="12"/>
  <c r="AA1494" i="12"/>
  <c r="AA1526" i="12"/>
  <c r="AA1558" i="12"/>
  <c r="AA1590" i="12"/>
  <c r="AA1622" i="12"/>
  <c r="AA1654" i="12"/>
  <c r="AA1686" i="12"/>
  <c r="AA1718" i="12"/>
  <c r="AA1750" i="12"/>
  <c r="AA1782" i="12"/>
  <c r="AA1814" i="12"/>
  <c r="AA1846" i="12"/>
  <c r="AA1878" i="12"/>
  <c r="AA1910" i="12"/>
  <c r="AA1942" i="12"/>
  <c r="AA1974" i="12"/>
  <c r="AA2006" i="12"/>
  <c r="AA2038" i="12"/>
  <c r="AA2070" i="12"/>
  <c r="AA2102" i="12"/>
  <c r="AA2134" i="12"/>
  <c r="AA2166" i="12"/>
  <c r="AA2198" i="12"/>
  <c r="AA2230" i="12"/>
  <c r="AA2262" i="12"/>
  <c r="AA2294" i="12"/>
  <c r="AA2326" i="12"/>
  <c r="AA2358" i="12"/>
  <c r="AA2390" i="12"/>
  <c r="AA2422" i="12"/>
  <c r="AA2454" i="12"/>
  <c r="AA2486" i="12"/>
  <c r="AA2518" i="12"/>
  <c r="AA2550" i="12"/>
  <c r="AA2582" i="12"/>
  <c r="AA2614" i="12"/>
  <c r="AA2646" i="12"/>
  <c r="AA2678" i="12"/>
  <c r="AA2710" i="12"/>
  <c r="AA2742" i="12"/>
  <c r="AA2774" i="12"/>
  <c r="AA2806" i="12"/>
  <c r="AA2838" i="12"/>
  <c r="AA2854" i="12"/>
  <c r="AA2870" i="12"/>
  <c r="AA2886" i="12"/>
  <c r="AA2902" i="12"/>
  <c r="AA2918" i="12"/>
  <c r="AA2934" i="12"/>
  <c r="AA2950" i="12"/>
  <c r="AA2966" i="12"/>
  <c r="AA2982" i="12"/>
  <c r="AA2998" i="12"/>
  <c r="AA3019" i="12"/>
  <c r="AA3051" i="12"/>
  <c r="AA3083" i="12"/>
  <c r="AA3115" i="12"/>
  <c r="AA3147" i="12"/>
  <c r="AA3179" i="12"/>
  <c r="AA3211" i="12"/>
  <c r="AA3243" i="12"/>
  <c r="AA3275" i="12"/>
  <c r="AA3307" i="12"/>
  <c r="AA3339" i="12"/>
  <c r="AA3371" i="12"/>
  <c r="AA3403" i="12"/>
  <c r="AA3435" i="12"/>
  <c r="AA3467" i="12"/>
  <c r="AA3499" i="12"/>
  <c r="AA3531" i="12"/>
  <c r="AA3016" i="12"/>
  <c r="AA3032" i="12"/>
  <c r="AA3048" i="12"/>
  <c r="AA3064" i="12"/>
  <c r="AA3080" i="12"/>
  <c r="AA3096" i="12"/>
  <c r="AA3112" i="12"/>
  <c r="AA3128" i="12"/>
  <c r="AA3144" i="12"/>
  <c r="AA3160" i="12"/>
  <c r="AA3176" i="12"/>
  <c r="AA3192" i="12"/>
  <c r="AA3208" i="12"/>
  <c r="AA3224" i="12"/>
  <c r="AA3240" i="12"/>
  <c r="AA3256" i="12"/>
  <c r="AA3272" i="12"/>
  <c r="AA3288" i="12"/>
  <c r="AA3304" i="12"/>
  <c r="AA3320" i="12"/>
  <c r="AA3336" i="12"/>
  <c r="AA3352" i="12"/>
  <c r="AA3368" i="12"/>
  <c r="AA3384" i="12"/>
  <c r="AA3400" i="12"/>
  <c r="AA3416" i="12"/>
  <c r="AA3432" i="12"/>
  <c r="AA3448" i="12"/>
  <c r="AA3464" i="12"/>
  <c r="AA3480" i="12"/>
  <c r="AA3496" i="12"/>
  <c r="AA3512" i="12"/>
  <c r="AA3528" i="12"/>
  <c r="AA3544" i="12"/>
  <c r="AA3014" i="12"/>
  <c r="AA3030" i="12"/>
  <c r="AA3046" i="12"/>
  <c r="AA3062" i="12"/>
  <c r="AA3078" i="12"/>
  <c r="AA3094" i="12"/>
  <c r="AA3110" i="12"/>
  <c r="AA3126" i="12"/>
  <c r="AA3142" i="12"/>
  <c r="AA3158" i="12"/>
  <c r="AA3174" i="12"/>
  <c r="AA3190" i="12"/>
  <c r="AA3206" i="12"/>
  <c r="AA3222" i="12"/>
  <c r="AA3238" i="12"/>
  <c r="AA3254" i="12"/>
  <c r="AA3270" i="12"/>
  <c r="AA3286" i="12"/>
  <c r="AA3302" i="12"/>
  <c r="AA3318" i="12"/>
  <c r="AA3334" i="12"/>
  <c r="AA3350" i="12"/>
  <c r="AA3366" i="12"/>
  <c r="AA3382" i="12"/>
  <c r="AA3398" i="12"/>
  <c r="AA3414" i="12"/>
  <c r="AA3430" i="12"/>
  <c r="AA3446" i="12"/>
  <c r="AA3462" i="12"/>
  <c r="AA3478" i="12"/>
  <c r="AA3494" i="12"/>
  <c r="AA3510" i="12"/>
  <c r="AA3526" i="12"/>
  <c r="AA3542" i="12"/>
  <c r="AA281" i="12"/>
  <c r="AA645" i="12"/>
  <c r="AA1071" i="12"/>
  <c r="AA3389" i="12"/>
  <c r="AA254" i="12"/>
  <c r="AA561" i="12"/>
  <c r="AA903" i="12"/>
  <c r="AA1907" i="12"/>
  <c r="AA2931" i="12"/>
  <c r="AA2127" i="12"/>
  <c r="AA139" i="12"/>
  <c r="AA407" i="12"/>
  <c r="AA749" i="12"/>
  <c r="AA1447" i="12"/>
  <c r="AA2471" i="12"/>
  <c r="AA72" i="12"/>
  <c r="AA328" i="12"/>
  <c r="AA659" i="12"/>
  <c r="AA1179" i="12"/>
  <c r="AA2203" i="12"/>
  <c r="AA3189" i="12"/>
  <c r="AA436" i="12"/>
  <c r="AA504" i="12"/>
  <c r="AA568" i="12"/>
  <c r="AA632" i="12"/>
  <c r="AA696" i="12"/>
  <c r="AA760" i="12"/>
  <c r="AA824" i="12"/>
  <c r="AA888" i="12"/>
  <c r="AA952" i="12"/>
  <c r="AA1016" i="12"/>
  <c r="AA1080" i="12"/>
  <c r="AA1144" i="12"/>
  <c r="AA1208" i="12"/>
  <c r="AA1272" i="12"/>
  <c r="AA1336" i="12"/>
  <c r="AA1400" i="12"/>
  <c r="AA1464" i="12"/>
  <c r="AA1528" i="12"/>
  <c r="AA1592" i="12"/>
  <c r="AA1656" i="12"/>
  <c r="AA1720" i="12"/>
  <c r="AA1784" i="12"/>
  <c r="AA1848" i="12"/>
  <c r="AA1912" i="12"/>
  <c r="AA1976" i="12"/>
  <c r="AA2040" i="12"/>
  <c r="AA2104" i="12"/>
  <c r="AA2168" i="12"/>
  <c r="AA2232" i="12"/>
  <c r="AA2296" i="12"/>
  <c r="AA2360" i="12"/>
  <c r="AA2424" i="12"/>
  <c r="AA2488" i="12"/>
  <c r="AA2552" i="12"/>
  <c r="AA2616" i="12"/>
  <c r="AA2680" i="12"/>
  <c r="AA2744" i="12"/>
  <c r="AA2808" i="12"/>
  <c r="AA2872" i="12"/>
  <c r="AA2936" i="12"/>
  <c r="AA3000" i="12"/>
  <c r="AA3119" i="12"/>
  <c r="AA3247" i="12"/>
  <c r="AA3375" i="12"/>
  <c r="AA3503" i="12"/>
  <c r="AA961" i="12"/>
  <c r="AA1025" i="12"/>
  <c r="AA1089" i="12"/>
  <c r="AA1153" i="12"/>
  <c r="AA1217" i="12"/>
  <c r="AA1281" i="12"/>
  <c r="AA1345" i="12"/>
  <c r="AA1409" i="12"/>
  <c r="AA1473" i="12"/>
  <c r="AA1537" i="12"/>
  <c r="AA1601" i="12"/>
  <c r="AA1665" i="12"/>
  <c r="AA1729" i="12"/>
  <c r="AA1793" i="12"/>
  <c r="AA1857" i="12"/>
  <c r="AA1921" i="12"/>
  <c r="AA1985" i="12"/>
  <c r="AA2049" i="12"/>
  <c r="AA2113" i="12"/>
  <c r="AA2153" i="12"/>
  <c r="AA2185" i="12"/>
  <c r="AA2217" i="12"/>
  <c r="AA2249" i="12"/>
  <c r="AA2281" i="12"/>
  <c r="AA2313" i="12"/>
  <c r="AA2345" i="12"/>
  <c r="AA2377" i="12"/>
  <c r="AA2409" i="12"/>
  <c r="AA2441" i="12"/>
  <c r="AA2473" i="12"/>
  <c r="AA2505" i="12"/>
  <c r="AA2537" i="12"/>
  <c r="AA2569" i="12"/>
  <c r="AA2601" i="12"/>
  <c r="AA2633" i="12"/>
  <c r="AA2665" i="12"/>
  <c r="AA2697" i="12"/>
  <c r="AA2729" i="12"/>
  <c r="AA2761" i="12"/>
  <c r="AA2793" i="12"/>
  <c r="AA2825" i="12"/>
  <c r="AA2857" i="12"/>
  <c r="AA2889" i="12"/>
  <c r="AA2921" i="12"/>
  <c r="AA2953" i="12"/>
  <c r="AA2985" i="12"/>
  <c r="AA3025" i="12"/>
  <c r="AA3089" i="12"/>
  <c r="AA3153" i="12"/>
  <c r="AA3281" i="12"/>
  <c r="AA3409" i="12"/>
  <c r="AA3473" i="12"/>
  <c r="AA3537" i="12"/>
  <c r="AA926" i="12"/>
  <c r="AA958" i="12"/>
  <c r="AA990" i="12"/>
  <c r="AA1022" i="12"/>
  <c r="AA1054" i="12"/>
  <c r="AA1086" i="12"/>
  <c r="AA1118" i="12"/>
  <c r="AA1150" i="12"/>
  <c r="AA1182" i="12"/>
  <c r="AA1214" i="12"/>
  <c r="AA1246" i="12"/>
  <c r="AA1278" i="12"/>
  <c r="AA1310" i="12"/>
  <c r="AA1342" i="12"/>
  <c r="AA1374" i="12"/>
  <c r="AA1406" i="12"/>
  <c r="AA1438" i="12"/>
  <c r="AA1470" i="12"/>
  <c r="AA1502" i="12"/>
  <c r="AA1534" i="12"/>
  <c r="AA1566" i="12"/>
  <c r="AA1598" i="12"/>
  <c r="AA1662" i="12"/>
  <c r="AA1694" i="12"/>
  <c r="AA1758" i="12"/>
  <c r="AA1790" i="12"/>
  <c r="AA1854" i="12"/>
  <c r="AA1918" i="12"/>
  <c r="AA2014" i="12"/>
  <c r="AA2110" i="12"/>
  <c r="AA2270" i="12"/>
  <c r="AA2398" i="12"/>
  <c r="AA2494" i="12"/>
  <c r="AA2558" i="12"/>
  <c r="AA2654" i="12"/>
  <c r="AA2750" i="12"/>
  <c r="AA2874" i="12"/>
  <c r="AA2922" i="12"/>
  <c r="AA2970" i="12"/>
  <c r="AA3002" i="12"/>
  <c r="AA3091" i="12"/>
  <c r="AA3155" i="12"/>
  <c r="AA3251" i="12"/>
  <c r="AA3347" i="12"/>
  <c r="AA3443" i="12"/>
  <c r="AA3020" i="12"/>
  <c r="AA3084" i="12"/>
  <c r="AA3116" i="12"/>
  <c r="AA3180" i="12"/>
  <c r="AA3212" i="12"/>
  <c r="AA3276" i="12"/>
  <c r="AA3324" i="12"/>
  <c r="AA3356" i="12"/>
  <c r="AA3420" i="12"/>
  <c r="AA3468" i="12"/>
  <c r="AA3500" i="12"/>
  <c r="AA3018" i="12"/>
  <c r="AA3050" i="12"/>
  <c r="AA3098" i="12"/>
  <c r="AA3130" i="12"/>
  <c r="AA3178" i="12"/>
  <c r="AA3210" i="12"/>
  <c r="AA3258" i="12"/>
  <c r="AA3306" i="12"/>
  <c r="AA3354" i="12"/>
  <c r="AA3418" i="12"/>
  <c r="AA3482" i="12"/>
  <c r="K12" i="12"/>
  <c r="J12" i="12"/>
  <c r="G12" i="12"/>
  <c r="H12" i="12"/>
  <c r="I12" i="12"/>
  <c r="J10" i="12"/>
  <c r="G10" i="12"/>
  <c r="J14" i="12"/>
  <c r="G14" i="12"/>
  <c r="K9" i="12"/>
  <c r="J9" i="12"/>
  <c r="H9" i="12"/>
  <c r="G9" i="12"/>
  <c r="K10" i="12"/>
  <c r="I9" i="12"/>
  <c r="H10" i="12"/>
  <c r="I10" i="12"/>
  <c r="K14" i="12"/>
  <c r="H14" i="12"/>
  <c r="I14" i="12"/>
  <c r="J6" i="12"/>
  <c r="G6" i="12"/>
  <c r="J8" i="12"/>
  <c r="G8" i="12"/>
  <c r="K13" i="12"/>
  <c r="J13" i="12"/>
  <c r="H13" i="12"/>
  <c r="G13" i="12"/>
  <c r="K15" i="12"/>
  <c r="J15" i="12"/>
  <c r="I13" i="12"/>
  <c r="H15" i="12"/>
  <c r="G15" i="12"/>
  <c r="I15" i="12"/>
  <c r="K16" i="12"/>
  <c r="J16" i="12"/>
  <c r="G16" i="12"/>
  <c r="H16" i="12"/>
  <c r="I16" i="12"/>
  <c r="K4" i="12"/>
  <c r="J4" i="12"/>
  <c r="H4" i="12"/>
  <c r="G4" i="12"/>
  <c r="J3" i="12"/>
  <c r="G3" i="12"/>
  <c r="I4" i="12"/>
  <c r="K5" i="12"/>
  <c r="J5" i="12"/>
  <c r="H5" i="12"/>
  <c r="G5" i="12"/>
  <c r="I5" i="12"/>
  <c r="J7" i="12"/>
  <c r="G7" i="12"/>
  <c r="K8" i="12"/>
  <c r="H8" i="12"/>
  <c r="I8" i="12"/>
  <c r="J11" i="12"/>
  <c r="G11" i="12"/>
  <c r="K3" i="12"/>
  <c r="H3" i="12"/>
  <c r="I3" i="12"/>
  <c r="K7" i="12"/>
  <c r="H7" i="12"/>
  <c r="I7" i="12"/>
  <c r="K6" i="12"/>
  <c r="H6" i="12"/>
  <c r="I6" i="12"/>
  <c r="K11" i="12"/>
  <c r="H11" i="12"/>
  <c r="I11" i="12"/>
  <c r="U19" i="12" a="1"/>
  <c r="U19" i="12"/>
  <c r="U30" i="12" a="1"/>
  <c r="U30" i="12"/>
</calcChain>
</file>

<file path=xl/comments1.xml><?xml version="1.0" encoding="utf-8"?>
<comments xmlns="http://schemas.openxmlformats.org/spreadsheetml/2006/main">
  <authors>
    <author>Ferdinando Ametrano</author>
  </authors>
  <commentList>
    <comment ref="D10" authorId="0" shapeId="0">
      <text>
        <r>
          <rPr>
            <sz val="8"/>
            <color indexed="81"/>
            <rFont val="Tahoma"/>
            <family val="2"/>
          </rPr>
          <t>TRUE if the object must be permanent (i.e. resistant to garbage collection). Default is FALSE.</t>
        </r>
      </text>
    </comment>
    <comment ref="D16" authorId="0" shapeId="0">
      <text>
        <r>
          <rPr>
            <sz val="8"/>
            <color indexed="81"/>
            <rFont val="Tahoma"/>
            <family val="2"/>
          </rPr>
          <t>id of the object to be created. If missing a unique id will be automatically assigned.</t>
        </r>
      </text>
    </comment>
    <comment ref="D17" authorId="0" shapeId="0">
      <text>
        <r>
          <rPr>
            <sz val="8"/>
            <color indexed="81"/>
            <rFont val="Tahoma"/>
            <family val="2"/>
          </rPr>
          <t>number of days to advance from EvaluationDate (usually zero or two): it fixes the date at which the discount factor = 1.0. If omitted, default = 0 is used.</t>
        </r>
      </text>
    </comment>
    <comment ref="D24" authorId="0" shapeId="0">
      <text>
        <r>
          <rPr>
            <sz val="8"/>
            <color indexed="81"/>
            <rFont val="Tahoma"/>
            <family val="2"/>
          </rPr>
          <t>Discount, ZeroRate, or ForwardRate. If omitted, default = Discount is used.</t>
        </r>
      </text>
    </comment>
    <comment ref="D25" authorId="0" shape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shape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shapeId="0">
      <text>
        <r>
          <rPr>
            <sz val="8"/>
            <color indexed="81"/>
            <rFont val="Tahoma"/>
            <family val="2"/>
          </rPr>
          <t>max number of Futures to be included</t>
        </r>
      </text>
    </comment>
    <comment ref="B3" authorId="0" shapeId="0">
      <text>
        <r>
          <rPr>
            <sz val="8"/>
            <color indexed="81"/>
            <rFont val="Tahoma"/>
            <family val="2"/>
          </rPr>
          <t>max number of Futures to be included</t>
        </r>
      </text>
    </comment>
    <comment ref="B4" authorId="0" shapeId="0">
      <text>
        <r>
          <rPr>
            <sz val="8"/>
            <color indexed="81"/>
            <rFont val="Tahoma"/>
            <family val="2"/>
          </rPr>
          <t>discard the front Futures the given number of days before its expiry (e.g zero implies the use of the front Futures during its expiry day)</t>
        </r>
      </text>
    </comment>
    <comment ref="B5" authorId="0" shape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<sst xmlns="http://schemas.openxmlformats.org/spreadsheetml/2006/main" count="412" uniqueCount="192">
  <si>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</si>
  <si>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</si>
  <si>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</si>
  <si>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</si>
  <si>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</si>
  <si>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</si>
  <si>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</si>
  <si>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</si>
  <si>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</si>
  <si>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</si>
  <si>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</si>
  <si>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</si>
  <si>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</si>
  <si>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</si>
  <si>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</si>
  <si>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</si>
  <si>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</si>
  <si>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</si>
  <si>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</si>
  <si>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</si>
  <si>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</si>
  <si>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</si>
  <si>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</si>
  <si>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</si>
  <si>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</si>
  <si>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</si>
  <si>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</si>
  <si>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</si>
  <si>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</si>
  <si>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</si>
  <si>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</si>
  <si>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</si>
  <si>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</si>
  <si>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</si>
  <si>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</si>
  <si>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</si>
  <si>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</si>
  <si>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</si>
  <si>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</si>
  <si>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</si>
  <si>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</si>
  <si>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</si>
  <si>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</si>
  <si>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</si>
  <si>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</si>
  <si>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</si>
  <si>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</si>
  <si>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</si>
  <si>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</si>
  <si>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</si>
  <si>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</si>
  <si>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</si>
  <si>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</si>
  <si>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</si>
  <si>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</si>
  <si>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</si>
  <si>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</si>
  <si>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</si>
  <si>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</si>
  <si>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</si>
  <si>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</si>
  <si>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</si>
  <si>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</si>
  <si>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</si>
  <si>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</si>
  <si>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</si>
  <si>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</si>
  <si>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</si>
  <si>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</si>
  <si>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</si>
  <si>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</si>
  <si>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</si>
  <si>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</si>
  <si>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</si>
  <si>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</si>
  <si>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</si>
  <si>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</si>
  <si>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</si>
  <si>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</si>
  <si>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</si>
  <si>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</si>
  <si>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</si>
  <si>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</si>
  <si>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</si>
  <si>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</si>
  <si>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</si>
  <si>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</si>
  <si>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</si>
  <si>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</si>
  <si>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</si>
  <si>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</si>
  <si>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</si>
  <si>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</si>
  <si>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</si>
  <si>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</si>
  <si>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</si>
  <si>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</si>
  <si>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</si>
  <si>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</si>
  <si>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</si>
  <si>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</si>
  <si>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</si>
  <si>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</si>
  <si>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</si>
  <si>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</si>
  <si>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</si>
  <si>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</si>
  <si>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</si>
  <si>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</si>
  <si>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</si>
  <si>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</si>
  <si>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</si>
  <si>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</si>
  <si>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</si>
  <si>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</si>
  <si>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</si>
  <si>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</si>
  <si>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1M</t>
  </si>
  <si>
    <t>SW</t>
  </si>
  <si>
    <t>Quote Object ID</t>
  </si>
  <si>
    <t>Index</t>
  </si>
  <si>
    <t>_Quote</t>
  </si>
  <si>
    <t>QuoteSuffix</t>
  </si>
  <si>
    <t>Libor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</si>
  <si>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</si>
  <si>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</si>
  <si>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</si>
  <si>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</si>
  <si>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</si>
  <si>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</si>
  <si>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</si>
  <si>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</si>
  <si>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</si>
  <si>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</si>
  <si>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</si>
  <si>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</si>
  <si>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</si>
  <si>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</si>
  <si>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</si>
  <si>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</si>
  <si>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</si>
  <si>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</si>
  <si>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</si>
  <si>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</si>
  <si>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</si>
  <si>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</si>
  <si>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</si>
  <si>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</si>
  <si>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</si>
  <si>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</si>
  <si>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Discounting2</t>
  </si>
  <si>
    <t>Discounting</t>
  </si>
  <si>
    <t>Actual/365 (Fixed)</t>
  </si>
  <si>
    <t>MoneyMarketDayCounter</t>
  </si>
  <si>
    <t>BondBasisDayCounter</t>
  </si>
  <si>
    <t>1L</t>
  </si>
  <si>
    <t>1E</t>
  </si>
  <si>
    <t>0d</t>
  </si>
  <si>
    <t>6L</t>
  </si>
  <si>
    <t>GBP1M</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</si>
  <si>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</si>
  <si>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</si>
  <si>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</si>
  <si>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</si>
  <si>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</si>
  <si>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</si>
  <si>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</si>
  <si>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</si>
  <si>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</si>
  <si>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</si>
  <si>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</si>
  <si>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</si>
  <si>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</si>
  <si>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</si>
  <si>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</si>
  <si>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</si>
  <si>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</si>
  <si>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</si>
  <si>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</si>
  <si>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</si>
  <si>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</si>
  <si>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</si>
  <si>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</si>
  <si>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</si>
  <si>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</si>
  <si>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</si>
  <si>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</si>
  <si>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1D</t>
  </si>
  <si>
    <t>Mkt Swaps</t>
  </si>
  <si>
    <t>Tenor</t>
  </si>
  <si>
    <t>Swap Index</t>
  </si>
  <si>
    <t>1w</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</si>
</sst>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1" fillId="0" borderId="0" applyFont="0" applyFill="0" applyBorder="0" applyAlignment="0" applyProtection="0"/>
  </cellStyleXfs>
  <cellXfs count="24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165" fontId="2" fillId="0" borderId="0" xfId="1" applyNumberFormat="1" applyFont="1"/>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9"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10" fontId="6" fillId="0" borderId="0" xfId="1" applyNumberFormat="1" applyFont="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0" fontId="3" fillId="2" borderId="12" xfId="1" applyFont="1" applyFill="1" applyBorder="1" applyAlignment="1">
      <alignment horizontal="center"/>
    </xf>
    <xf numFmtId="0" fontId="2" fillId="2" borderId="17" xfId="1" applyFont="1" applyFill="1" applyBorder="1" applyAlignment="1">
      <alignment horizontal="center"/>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10" fillId="4" borderId="9" xfId="1" applyNumberFormat="1" applyFont="1" applyFill="1" applyBorder="1" applyAlignment="1" applyProtection="1">
      <alignment horizontal="left"/>
    </xf>
    <xf numFmtId="0" fontId="2" fillId="2" borderId="9" xfId="1" applyFont="1" applyFill="1" applyBorder="1"/>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0" fillId="2" borderId="32" xfId="1" applyFont="1" applyFill="1" applyBorder="1"/>
    <xf numFmtId="0" fontId="2" fillId="2" borderId="34" xfId="1" applyFont="1" applyFill="1" applyBorder="1"/>
    <xf numFmtId="0" fontId="13"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9" fontId="2" fillId="2" borderId="30" xfId="1" applyNumberFormat="1" applyFont="1" applyFill="1" applyBorder="1" applyAlignment="1">
      <alignment horizontal="right"/>
    </xf>
    <xf numFmtId="168" fontId="2" fillId="2" borderId="31" xfId="1" applyNumberFormat="1" applyFont="1" applyFill="1" applyBorder="1" applyAlignment="1">
      <alignment horizontal="center"/>
    </xf>
    <xf numFmtId="0" fontId="2" fillId="2" borderId="30" xfId="1" applyFont="1" applyFill="1" applyBorder="1" applyAlignment="1">
      <alignment horizontal="center"/>
    </xf>
    <xf numFmtId="0" fontId="2" fillId="2" borderId="30" xfId="1" applyFont="1" applyFill="1" applyBorder="1" applyAlignment="1">
      <alignment horizontal="left"/>
    </xf>
    <xf numFmtId="0" fontId="3" fillId="2" borderId="12" xfId="1" applyFont="1" applyFill="1" applyBorder="1" applyAlignment="1">
      <alignment horizontal="center" vertical="center" wrapText="1"/>
    </xf>
    <xf numFmtId="0" fontId="12" fillId="4" borderId="10" xfId="1" applyNumberFormat="1" applyFont="1" applyFill="1" applyBorder="1" applyAlignment="1" applyProtection="1">
      <alignment horizontal="left" vertical="center"/>
    </xf>
    <xf numFmtId="0" fontId="2" fillId="2" borderId="29" xfId="1" applyFont="1" applyFill="1" applyBorder="1" applyAlignment="1">
      <alignment horizontal="center" vertical="center" wrapText="1"/>
    </xf>
    <xf numFmtId="0" fontId="11" fillId="7" borderId="28" xfId="3" applyFont="1" applyFill="1" applyBorder="1" applyAlignment="1">
      <alignment horizontal="center"/>
    </xf>
    <xf numFmtId="0" fontId="11" fillId="7" borderId="35"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xf numFmtId="0" fontId="8" fillId="12" borderId="28" xfId="1" applyFont="1" applyFill="1" applyBorder="1" applyAlignment="1">
      <alignment horizontal="centerContinuous"/>
    </xf>
    <xf numFmtId="0" fontId="8" fillId="12" borderId="33" xfId="1" applyFont="1" applyFill="1" applyBorder="1" applyAlignment="1">
      <alignment horizontal="centerContinuous"/>
    </xf>
    <xf numFmtId="0" fontId="8" fillId="12" borderId="32" xfId="1" applyFont="1" applyFill="1" applyBorder="1" applyAlignment="1">
      <alignment horizontal="centerContinuous"/>
    </xf>
    <xf numFmtId="0" fontId="8" fillId="12" borderId="34" xfId="1" applyFont="1" applyFill="1" applyBorder="1" applyAlignment="1">
      <alignment horizontal="centerContinuous"/>
    </xf>
    <xf numFmtId="0" fontId="8" fillId="12" borderId="36" xfId="1" applyFont="1" applyFill="1" applyBorder="1" applyAlignment="1">
      <alignment horizontal="centerContinuous"/>
    </xf>
    <xf numFmtId="0" fontId="8" fillId="12" borderId="35" xfId="1" applyFont="1" applyFill="1" applyBorder="1" applyAlignment="1">
      <alignment horizontal="centerContinuous"/>
    </xf>
    <xf numFmtId="0" fontId="24" fillId="0" borderId="0" xfId="0" applyFont="1"/>
    <xf numFmtId="0" fontId="8" fillId="13" borderId="36"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8" fillId="13" borderId="39" xfId="1" applyFont="1" applyFill="1" applyBorder="1" applyAlignment="1">
      <alignment horizontal="center"/>
    </xf>
    <xf numFmtId="0" fontId="6" fillId="0" borderId="0" xfId="1" applyFont="1" applyAlignment="1">
      <alignment horizontal="right"/>
    </xf>
    <xf numFmtId="0" fontId="6" fillId="14" borderId="17" xfId="1" applyFont="1" applyFill="1" applyBorder="1" applyAlignment="1">
      <alignment vertical="center"/>
    </xf>
    <xf numFmtId="0" fontId="6" fillId="14" borderId="40" xfId="1" applyFont="1" applyFill="1" applyBorder="1"/>
    <xf numFmtId="169" fontId="6" fillId="14" borderId="30" xfId="1" applyNumberFormat="1" applyFont="1" applyFill="1" applyBorder="1"/>
    <xf numFmtId="0" fontId="6" fillId="11" borderId="30" xfId="1" applyFont="1" applyFill="1" applyBorder="1"/>
    <xf numFmtId="0" fontId="6" fillId="14" borderId="41" xfId="1" applyNumberFormat="1" applyFont="1" applyFill="1" applyBorder="1"/>
    <xf numFmtId="9" fontId="6" fillId="14" borderId="40" xfId="1" applyNumberFormat="1" applyFont="1" applyFill="1" applyBorder="1"/>
    <xf numFmtId="10" fontId="6" fillId="14" borderId="30" xfId="1" applyNumberFormat="1" applyFont="1" applyFill="1" applyBorder="1"/>
    <xf numFmtId="10" fontId="6" fillId="14" borderId="41" xfId="1" applyNumberFormat="1" applyFont="1" applyFill="1" applyBorder="1"/>
    <xf numFmtId="178" fontId="6" fillId="0" borderId="0" xfId="1" applyNumberFormat="1" applyFont="1"/>
    <xf numFmtId="0" fontId="6" fillId="14" borderId="33" xfId="1" applyFont="1" applyFill="1" applyBorder="1"/>
    <xf numFmtId="0" fontId="6" fillId="14" borderId="37" xfId="1" applyFont="1" applyFill="1" applyBorder="1"/>
    <xf numFmtId="169" fontId="6" fillId="14" borderId="38" xfId="1" applyNumberFormat="1" applyFont="1" applyFill="1" applyBorder="1"/>
    <xf numFmtId="0" fontId="6" fillId="11" borderId="38" xfId="1" applyFont="1" applyFill="1" applyBorder="1"/>
    <xf numFmtId="0" fontId="6" fillId="14" borderId="39" xfId="1" applyFont="1" applyFill="1" applyBorder="1"/>
    <xf numFmtId="9" fontId="6" fillId="14" borderId="37" xfId="1" applyNumberFormat="1" applyFont="1" applyFill="1" applyBorder="1"/>
    <xf numFmtId="10" fontId="6" fillId="14" borderId="38" xfId="1" applyNumberFormat="1" applyFont="1" applyFill="1" applyBorder="1"/>
    <xf numFmtId="10" fontId="6" fillId="14" borderId="39" xfId="1" applyNumberFormat="1" applyFont="1" applyFill="1" applyBorder="1"/>
    <xf numFmtId="0" fontId="6" fillId="14" borderId="17" xfId="1" applyFont="1" applyFill="1" applyBorder="1"/>
    <xf numFmtId="0" fontId="8" fillId="13" borderId="9" xfId="1" applyFont="1" applyFill="1" applyBorder="1" applyAlignment="1">
      <alignment horizontal="center" vertical="center"/>
    </xf>
    <xf numFmtId="0" fontId="6" fillId="0" borderId="34" xfId="1" applyFont="1" applyBorder="1"/>
    <xf numFmtId="0" fontId="24" fillId="0" borderId="34" xfId="0" applyFont="1" applyBorder="1"/>
    <xf numFmtId="0" fontId="6" fillId="0" borderId="0" xfId="1" applyFont="1" applyBorder="1"/>
    <xf numFmtId="0" fontId="6" fillId="0" borderId="9" xfId="1" applyFont="1" applyBorder="1" applyAlignment="1">
      <alignment horizontal="center" vertical="center"/>
    </xf>
    <xf numFmtId="0" fontId="8" fillId="12" borderId="33"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32" xfId="1" applyFont="1" applyFill="1" applyBorder="1" applyAlignment="1">
      <alignment horizontal="center"/>
    </xf>
    <xf numFmtId="0" fontId="8" fillId="13" borderId="0" xfId="1" applyFont="1" applyFill="1" applyBorder="1" applyAlignment="1">
      <alignment horizontal="center" vertical="center"/>
    </xf>
    <xf numFmtId="0" fontId="8" fillId="12" borderId="28" xfId="1" applyFont="1" applyFill="1" applyBorder="1" applyAlignment="1">
      <alignment horizontal="center"/>
    </xf>
    <xf numFmtId="0" fontId="8" fillId="12" borderId="35" xfId="1" applyFont="1" applyFill="1" applyBorder="1" applyAlignment="1">
      <alignment horizontal="center"/>
    </xf>
    <xf numFmtId="0" fontId="8" fillId="12" borderId="14" xfId="1" applyFont="1" applyFill="1" applyBorder="1" applyAlignment="1">
      <alignment horizontal="center" vertical="center"/>
    </xf>
    <xf numFmtId="0" fontId="8" fillId="12" borderId="13" xfId="1" applyFont="1" applyFill="1" applyBorder="1" applyAlignment="1">
      <alignment horizontal="center" vertical="center"/>
    </xf>
    <xf numFmtId="0" fontId="8" fillId="12" borderId="42" xfId="1" applyFont="1" applyFill="1" applyBorder="1" applyAlignment="1">
      <alignment horizontal="center"/>
    </xf>
    <xf numFmtId="0" fontId="6" fillId="0" borderId="17" xfId="1" applyFont="1" applyBorder="1"/>
    <xf numFmtId="169" fontId="6" fillId="0" borderId="0" xfId="1" applyNumberFormat="1" applyFont="1" applyBorder="1"/>
    <xf numFmtId="165" fontId="6" fillId="0" borderId="0" xfId="1" applyNumberFormat="1" applyFont="1" applyBorder="1"/>
    <xf numFmtId="165" fontId="6" fillId="0" borderId="16" xfId="1" applyNumberFormat="1" applyFont="1" applyBorder="1" applyAlignment="1">
      <alignment horizontal="right"/>
    </xf>
    <xf numFmtId="165" fontId="25" fillId="0" borderId="17" xfId="2" applyNumberFormat="1" applyFont="1" applyBorder="1"/>
    <xf numFmtId="0" fontId="6" fillId="0" borderId="0" xfId="1" applyFont="1" applyAlignment="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2" xfId="1" applyFont="1" applyBorder="1" applyAlignment="1">
      <alignment horizontal="center"/>
    </xf>
    <xf numFmtId="165" fontId="6" fillId="0" borderId="0" xfId="2" applyNumberFormat="1" applyFont="1"/>
    <xf numFmtId="0" fontId="6" fillId="0" borderId="35" xfId="1" applyFont="1" applyBorder="1"/>
    <xf numFmtId="0" fontId="6" fillId="0" borderId="34" xfId="1" applyFont="1" applyBorder="1" applyAlignment="1">
      <alignment horizontal="right"/>
    </xf>
    <xf numFmtId="0" fontId="8" fillId="12" borderId="34"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24" fillId="14" borderId="0" xfId="0" applyFont="1" applyFill="1"/>
    <xf numFmtId="0" fontId="6" fillId="0" borderId="15" xfId="1" applyFont="1" applyBorder="1"/>
    <xf numFmtId="169" fontId="6" fillId="0" borderId="14" xfId="1" applyNumberFormat="1" applyFont="1" applyBorder="1"/>
    <xf numFmtId="169" fontId="6" fillId="0" borderId="14" xfId="1" applyNumberFormat="1" applyFont="1" applyBorder="1" applyAlignment="1"/>
    <xf numFmtId="0" fontId="2" fillId="2" borderId="8" xfId="3" applyFont="1" applyFill="1" applyBorder="1"/>
    <xf numFmtId="174" fontId="2" fillId="11" borderId="29" xfId="1" applyNumberFormat="1" applyFont="1" applyFill="1" applyBorder="1" applyAlignment="1">
      <alignment horizontal="left"/>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3">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41817</c:v>
                </c:pt>
                <c:pt idx="1">
                  <c:v>41820</c:v>
                </c:pt>
                <c:pt idx="2">
                  <c:v>41821</c:v>
                </c:pt>
                <c:pt idx="3">
                  <c:v>41822</c:v>
                </c:pt>
                <c:pt idx="4">
                  <c:v>41823</c:v>
                </c:pt>
                <c:pt idx="5">
                  <c:v>41824</c:v>
                </c:pt>
                <c:pt idx="6">
                  <c:v>41827</c:v>
                </c:pt>
                <c:pt idx="7">
                  <c:v>41828</c:v>
                </c:pt>
                <c:pt idx="8">
                  <c:v>41829</c:v>
                </c:pt>
                <c:pt idx="9">
                  <c:v>41830</c:v>
                </c:pt>
                <c:pt idx="10">
                  <c:v>41831</c:v>
                </c:pt>
                <c:pt idx="11">
                  <c:v>41834</c:v>
                </c:pt>
                <c:pt idx="12">
                  <c:v>41835</c:v>
                </c:pt>
                <c:pt idx="13">
                  <c:v>41836</c:v>
                </c:pt>
                <c:pt idx="14">
                  <c:v>41837</c:v>
                </c:pt>
                <c:pt idx="15">
                  <c:v>41838</c:v>
                </c:pt>
                <c:pt idx="16">
                  <c:v>41841</c:v>
                </c:pt>
                <c:pt idx="17">
                  <c:v>41842</c:v>
                </c:pt>
                <c:pt idx="18">
                  <c:v>41843</c:v>
                </c:pt>
                <c:pt idx="19">
                  <c:v>41844</c:v>
                </c:pt>
                <c:pt idx="20">
                  <c:v>41845</c:v>
                </c:pt>
                <c:pt idx="21">
                  <c:v>41848</c:v>
                </c:pt>
                <c:pt idx="22">
                  <c:v>41849</c:v>
                </c:pt>
                <c:pt idx="23">
                  <c:v>41850</c:v>
                </c:pt>
                <c:pt idx="24">
                  <c:v>41851</c:v>
                </c:pt>
                <c:pt idx="25">
                  <c:v>41852</c:v>
                </c:pt>
                <c:pt idx="26">
                  <c:v>41855</c:v>
                </c:pt>
                <c:pt idx="27">
                  <c:v>41856</c:v>
                </c:pt>
                <c:pt idx="28">
                  <c:v>41857</c:v>
                </c:pt>
                <c:pt idx="29">
                  <c:v>41858</c:v>
                </c:pt>
                <c:pt idx="30">
                  <c:v>41859</c:v>
                </c:pt>
                <c:pt idx="31">
                  <c:v>41862</c:v>
                </c:pt>
                <c:pt idx="32">
                  <c:v>41863</c:v>
                </c:pt>
                <c:pt idx="33">
                  <c:v>41864</c:v>
                </c:pt>
                <c:pt idx="34">
                  <c:v>41865</c:v>
                </c:pt>
                <c:pt idx="35">
                  <c:v>41866</c:v>
                </c:pt>
                <c:pt idx="36">
                  <c:v>41869</c:v>
                </c:pt>
                <c:pt idx="37">
                  <c:v>41870</c:v>
                </c:pt>
                <c:pt idx="38">
                  <c:v>41871</c:v>
                </c:pt>
                <c:pt idx="39">
                  <c:v>41872</c:v>
                </c:pt>
                <c:pt idx="40">
                  <c:v>41873</c:v>
                </c:pt>
                <c:pt idx="41">
                  <c:v>41877</c:v>
                </c:pt>
                <c:pt idx="42">
                  <c:v>41878</c:v>
                </c:pt>
                <c:pt idx="43">
                  <c:v>41879</c:v>
                </c:pt>
                <c:pt idx="44">
                  <c:v>41880</c:v>
                </c:pt>
                <c:pt idx="45">
                  <c:v>41883</c:v>
                </c:pt>
                <c:pt idx="46">
                  <c:v>41884</c:v>
                </c:pt>
                <c:pt idx="47">
                  <c:v>41885</c:v>
                </c:pt>
                <c:pt idx="48">
                  <c:v>41886</c:v>
                </c:pt>
                <c:pt idx="49">
                  <c:v>41887</c:v>
                </c:pt>
                <c:pt idx="50">
                  <c:v>41890</c:v>
                </c:pt>
                <c:pt idx="51">
                  <c:v>41891</c:v>
                </c:pt>
                <c:pt idx="52">
                  <c:v>41892</c:v>
                </c:pt>
                <c:pt idx="53">
                  <c:v>41893</c:v>
                </c:pt>
                <c:pt idx="54">
                  <c:v>41894</c:v>
                </c:pt>
                <c:pt idx="55">
                  <c:v>41897</c:v>
                </c:pt>
                <c:pt idx="56">
                  <c:v>41898</c:v>
                </c:pt>
                <c:pt idx="57">
                  <c:v>41899</c:v>
                </c:pt>
                <c:pt idx="58">
                  <c:v>41900</c:v>
                </c:pt>
                <c:pt idx="59">
                  <c:v>41901</c:v>
                </c:pt>
                <c:pt idx="60">
                  <c:v>41904</c:v>
                </c:pt>
                <c:pt idx="61">
                  <c:v>41905</c:v>
                </c:pt>
                <c:pt idx="62">
                  <c:v>41906</c:v>
                </c:pt>
                <c:pt idx="63">
                  <c:v>41907</c:v>
                </c:pt>
                <c:pt idx="64">
                  <c:v>41908</c:v>
                </c:pt>
                <c:pt idx="65">
                  <c:v>41911</c:v>
                </c:pt>
                <c:pt idx="66">
                  <c:v>41912</c:v>
                </c:pt>
                <c:pt idx="67">
                  <c:v>41913</c:v>
                </c:pt>
                <c:pt idx="68">
                  <c:v>41914</c:v>
                </c:pt>
                <c:pt idx="69">
                  <c:v>41915</c:v>
                </c:pt>
                <c:pt idx="70">
                  <c:v>41918</c:v>
                </c:pt>
                <c:pt idx="71">
                  <c:v>41919</c:v>
                </c:pt>
                <c:pt idx="72">
                  <c:v>41920</c:v>
                </c:pt>
                <c:pt idx="73">
                  <c:v>41921</c:v>
                </c:pt>
                <c:pt idx="74">
                  <c:v>41922</c:v>
                </c:pt>
                <c:pt idx="75">
                  <c:v>41925</c:v>
                </c:pt>
                <c:pt idx="76">
                  <c:v>41926</c:v>
                </c:pt>
                <c:pt idx="77">
                  <c:v>41927</c:v>
                </c:pt>
                <c:pt idx="78">
                  <c:v>41928</c:v>
                </c:pt>
                <c:pt idx="79">
                  <c:v>41929</c:v>
                </c:pt>
                <c:pt idx="80">
                  <c:v>41932</c:v>
                </c:pt>
                <c:pt idx="81">
                  <c:v>41933</c:v>
                </c:pt>
                <c:pt idx="82">
                  <c:v>41934</c:v>
                </c:pt>
                <c:pt idx="83">
                  <c:v>41935</c:v>
                </c:pt>
                <c:pt idx="84">
                  <c:v>41936</c:v>
                </c:pt>
                <c:pt idx="85">
                  <c:v>41939</c:v>
                </c:pt>
                <c:pt idx="86">
                  <c:v>41940</c:v>
                </c:pt>
                <c:pt idx="87">
                  <c:v>41941</c:v>
                </c:pt>
                <c:pt idx="88">
                  <c:v>41942</c:v>
                </c:pt>
                <c:pt idx="89">
                  <c:v>41943</c:v>
                </c:pt>
                <c:pt idx="90">
                  <c:v>41946</c:v>
                </c:pt>
                <c:pt idx="91">
                  <c:v>41947</c:v>
                </c:pt>
                <c:pt idx="92">
                  <c:v>41948</c:v>
                </c:pt>
                <c:pt idx="93">
                  <c:v>41949</c:v>
                </c:pt>
                <c:pt idx="94">
                  <c:v>41950</c:v>
                </c:pt>
                <c:pt idx="95">
                  <c:v>41953</c:v>
                </c:pt>
                <c:pt idx="96">
                  <c:v>41954</c:v>
                </c:pt>
                <c:pt idx="97">
                  <c:v>41955</c:v>
                </c:pt>
                <c:pt idx="98">
                  <c:v>41956</c:v>
                </c:pt>
                <c:pt idx="99">
                  <c:v>41957</c:v>
                </c:pt>
                <c:pt idx="100">
                  <c:v>41960</c:v>
                </c:pt>
                <c:pt idx="101">
                  <c:v>41961</c:v>
                </c:pt>
                <c:pt idx="102">
                  <c:v>41962</c:v>
                </c:pt>
                <c:pt idx="103">
                  <c:v>41963</c:v>
                </c:pt>
                <c:pt idx="104">
                  <c:v>41964</c:v>
                </c:pt>
                <c:pt idx="105">
                  <c:v>41967</c:v>
                </c:pt>
                <c:pt idx="106">
                  <c:v>41968</c:v>
                </c:pt>
                <c:pt idx="107">
                  <c:v>41969</c:v>
                </c:pt>
                <c:pt idx="108">
                  <c:v>41970</c:v>
                </c:pt>
                <c:pt idx="109">
                  <c:v>41971</c:v>
                </c:pt>
                <c:pt idx="110">
                  <c:v>41974</c:v>
                </c:pt>
                <c:pt idx="111">
                  <c:v>41975</c:v>
                </c:pt>
                <c:pt idx="112">
                  <c:v>41976</c:v>
                </c:pt>
                <c:pt idx="113">
                  <c:v>41977</c:v>
                </c:pt>
                <c:pt idx="114">
                  <c:v>41978</c:v>
                </c:pt>
                <c:pt idx="115">
                  <c:v>41981</c:v>
                </c:pt>
                <c:pt idx="116">
                  <c:v>41982</c:v>
                </c:pt>
                <c:pt idx="117">
                  <c:v>41983</c:v>
                </c:pt>
                <c:pt idx="118">
                  <c:v>41984</c:v>
                </c:pt>
                <c:pt idx="119">
                  <c:v>41985</c:v>
                </c:pt>
                <c:pt idx="120">
                  <c:v>41988</c:v>
                </c:pt>
                <c:pt idx="121">
                  <c:v>41989</c:v>
                </c:pt>
                <c:pt idx="122">
                  <c:v>41990</c:v>
                </c:pt>
                <c:pt idx="123">
                  <c:v>41991</c:v>
                </c:pt>
                <c:pt idx="124">
                  <c:v>41992</c:v>
                </c:pt>
                <c:pt idx="125">
                  <c:v>41995</c:v>
                </c:pt>
                <c:pt idx="126">
                  <c:v>41996</c:v>
                </c:pt>
                <c:pt idx="127">
                  <c:v>41997</c:v>
                </c:pt>
                <c:pt idx="128">
                  <c:v>42002</c:v>
                </c:pt>
                <c:pt idx="129">
                  <c:v>42003</c:v>
                </c:pt>
                <c:pt idx="130">
                  <c:v>42004</c:v>
                </c:pt>
                <c:pt idx="131">
                  <c:v>42006</c:v>
                </c:pt>
                <c:pt idx="132">
                  <c:v>42009</c:v>
                </c:pt>
                <c:pt idx="133">
                  <c:v>42010</c:v>
                </c:pt>
                <c:pt idx="134">
                  <c:v>42011</c:v>
                </c:pt>
                <c:pt idx="135">
                  <c:v>42012</c:v>
                </c:pt>
                <c:pt idx="136">
                  <c:v>42013</c:v>
                </c:pt>
                <c:pt idx="137">
                  <c:v>42016</c:v>
                </c:pt>
                <c:pt idx="138">
                  <c:v>42017</c:v>
                </c:pt>
                <c:pt idx="139">
                  <c:v>42018</c:v>
                </c:pt>
                <c:pt idx="140">
                  <c:v>42019</c:v>
                </c:pt>
                <c:pt idx="141">
                  <c:v>42020</c:v>
                </c:pt>
                <c:pt idx="142">
                  <c:v>42023</c:v>
                </c:pt>
                <c:pt idx="143">
                  <c:v>42024</c:v>
                </c:pt>
                <c:pt idx="144">
                  <c:v>42025</c:v>
                </c:pt>
                <c:pt idx="145">
                  <c:v>42026</c:v>
                </c:pt>
                <c:pt idx="146">
                  <c:v>42027</c:v>
                </c:pt>
                <c:pt idx="147">
                  <c:v>42030</c:v>
                </c:pt>
                <c:pt idx="148">
                  <c:v>42031</c:v>
                </c:pt>
                <c:pt idx="149">
                  <c:v>42032</c:v>
                </c:pt>
                <c:pt idx="150">
                  <c:v>42033</c:v>
                </c:pt>
                <c:pt idx="151">
                  <c:v>42034</c:v>
                </c:pt>
                <c:pt idx="152">
                  <c:v>42037</c:v>
                </c:pt>
                <c:pt idx="153">
                  <c:v>42038</c:v>
                </c:pt>
                <c:pt idx="154">
                  <c:v>42039</c:v>
                </c:pt>
                <c:pt idx="155">
                  <c:v>42040</c:v>
                </c:pt>
                <c:pt idx="156">
                  <c:v>42041</c:v>
                </c:pt>
                <c:pt idx="157">
                  <c:v>42044</c:v>
                </c:pt>
                <c:pt idx="158">
                  <c:v>42045</c:v>
                </c:pt>
                <c:pt idx="159">
                  <c:v>42046</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42123</c:v>
                </c:pt>
                <c:pt idx="213">
                  <c:v>42124</c:v>
                </c:pt>
                <c:pt idx="214">
                  <c:v>42125</c:v>
                </c:pt>
                <c:pt idx="215">
                  <c:v>42129</c:v>
                </c:pt>
                <c:pt idx="216">
                  <c:v>42130</c:v>
                </c:pt>
                <c:pt idx="217">
                  <c:v>42131</c:v>
                </c:pt>
                <c:pt idx="218">
                  <c:v>42132</c:v>
                </c:pt>
                <c:pt idx="219">
                  <c:v>42135</c:v>
                </c:pt>
                <c:pt idx="220">
                  <c:v>42136</c:v>
                </c:pt>
                <c:pt idx="221">
                  <c:v>42137</c:v>
                </c:pt>
                <c:pt idx="222">
                  <c:v>42138</c:v>
                </c:pt>
                <c:pt idx="223">
                  <c:v>42139</c:v>
                </c:pt>
                <c:pt idx="224">
                  <c:v>42142</c:v>
                </c:pt>
                <c:pt idx="225">
                  <c:v>42143</c:v>
                </c:pt>
                <c:pt idx="226">
                  <c:v>42144</c:v>
                </c:pt>
                <c:pt idx="227">
                  <c:v>42145</c:v>
                </c:pt>
                <c:pt idx="228">
                  <c:v>42146</c:v>
                </c:pt>
                <c:pt idx="229">
                  <c:v>42150</c:v>
                </c:pt>
                <c:pt idx="230">
                  <c:v>42151</c:v>
                </c:pt>
                <c:pt idx="231">
                  <c:v>42152</c:v>
                </c:pt>
                <c:pt idx="232">
                  <c:v>42153</c:v>
                </c:pt>
                <c:pt idx="233">
                  <c:v>42156</c:v>
                </c:pt>
                <c:pt idx="234">
                  <c:v>42157</c:v>
                </c:pt>
                <c:pt idx="235">
                  <c:v>42158</c:v>
                </c:pt>
                <c:pt idx="236">
                  <c:v>42159</c:v>
                </c:pt>
                <c:pt idx="237">
                  <c:v>42160</c:v>
                </c:pt>
                <c:pt idx="238">
                  <c:v>42163</c:v>
                </c:pt>
                <c:pt idx="239">
                  <c:v>42164</c:v>
                </c:pt>
                <c:pt idx="240">
                  <c:v>42165</c:v>
                </c:pt>
                <c:pt idx="241">
                  <c:v>42166</c:v>
                </c:pt>
                <c:pt idx="242">
                  <c:v>42167</c:v>
                </c:pt>
                <c:pt idx="243">
                  <c:v>42170</c:v>
                </c:pt>
                <c:pt idx="244">
                  <c:v>42171</c:v>
                </c:pt>
                <c:pt idx="245">
                  <c:v>42172</c:v>
                </c:pt>
                <c:pt idx="246">
                  <c:v>42173</c:v>
                </c:pt>
                <c:pt idx="247">
                  <c:v>42174</c:v>
                </c:pt>
                <c:pt idx="248">
                  <c:v>42177</c:v>
                </c:pt>
                <c:pt idx="249">
                  <c:v>42178</c:v>
                </c:pt>
                <c:pt idx="250">
                  <c:v>42179</c:v>
                </c:pt>
                <c:pt idx="251">
                  <c:v>42180</c:v>
                </c:pt>
                <c:pt idx="252">
                  <c:v>42181</c:v>
                </c:pt>
                <c:pt idx="253">
                  <c:v>42184</c:v>
                </c:pt>
                <c:pt idx="254">
                  <c:v>42185</c:v>
                </c:pt>
                <c:pt idx="255">
                  <c:v>42186</c:v>
                </c:pt>
                <c:pt idx="256">
                  <c:v>42187</c:v>
                </c:pt>
                <c:pt idx="257">
                  <c:v>42188</c:v>
                </c:pt>
                <c:pt idx="258">
                  <c:v>42191</c:v>
                </c:pt>
                <c:pt idx="259">
                  <c:v>42192</c:v>
                </c:pt>
                <c:pt idx="260">
                  <c:v>42193</c:v>
                </c:pt>
                <c:pt idx="261">
                  <c:v>42194</c:v>
                </c:pt>
                <c:pt idx="262">
                  <c:v>42195</c:v>
                </c:pt>
                <c:pt idx="263">
                  <c:v>42198</c:v>
                </c:pt>
                <c:pt idx="264">
                  <c:v>42199</c:v>
                </c:pt>
                <c:pt idx="265">
                  <c:v>42200</c:v>
                </c:pt>
                <c:pt idx="266">
                  <c:v>42201</c:v>
                </c:pt>
                <c:pt idx="267">
                  <c:v>42202</c:v>
                </c:pt>
                <c:pt idx="268">
                  <c:v>42205</c:v>
                </c:pt>
                <c:pt idx="269">
                  <c:v>42206</c:v>
                </c:pt>
                <c:pt idx="270">
                  <c:v>42207</c:v>
                </c:pt>
                <c:pt idx="271">
                  <c:v>42208</c:v>
                </c:pt>
                <c:pt idx="272">
                  <c:v>42209</c:v>
                </c:pt>
                <c:pt idx="273">
                  <c:v>42212</c:v>
                </c:pt>
                <c:pt idx="274">
                  <c:v>42213</c:v>
                </c:pt>
                <c:pt idx="275">
                  <c:v>42214</c:v>
                </c:pt>
                <c:pt idx="276">
                  <c:v>42215</c:v>
                </c:pt>
                <c:pt idx="277">
                  <c:v>42216</c:v>
                </c:pt>
                <c:pt idx="278">
                  <c:v>42219</c:v>
                </c:pt>
                <c:pt idx="279">
                  <c:v>42220</c:v>
                </c:pt>
                <c:pt idx="280">
                  <c:v>42221</c:v>
                </c:pt>
                <c:pt idx="281">
                  <c:v>42222</c:v>
                </c:pt>
                <c:pt idx="282">
                  <c:v>42223</c:v>
                </c:pt>
                <c:pt idx="283">
                  <c:v>42226</c:v>
                </c:pt>
                <c:pt idx="284">
                  <c:v>42227</c:v>
                </c:pt>
                <c:pt idx="285">
                  <c:v>42228</c:v>
                </c:pt>
                <c:pt idx="286">
                  <c:v>42229</c:v>
                </c:pt>
                <c:pt idx="287">
                  <c:v>42230</c:v>
                </c:pt>
                <c:pt idx="288">
                  <c:v>42233</c:v>
                </c:pt>
                <c:pt idx="289">
                  <c:v>42234</c:v>
                </c:pt>
                <c:pt idx="290">
                  <c:v>42235</c:v>
                </c:pt>
                <c:pt idx="291">
                  <c:v>42236</c:v>
                </c:pt>
                <c:pt idx="292">
                  <c:v>42237</c:v>
                </c:pt>
                <c:pt idx="293">
                  <c:v>42240</c:v>
                </c:pt>
                <c:pt idx="294">
                  <c:v>42241</c:v>
                </c:pt>
                <c:pt idx="295">
                  <c:v>42242</c:v>
                </c:pt>
                <c:pt idx="296">
                  <c:v>42243</c:v>
                </c:pt>
                <c:pt idx="297">
                  <c:v>42244</c:v>
                </c:pt>
                <c:pt idx="298">
                  <c:v>42248</c:v>
                </c:pt>
                <c:pt idx="299">
                  <c:v>42249</c:v>
                </c:pt>
                <c:pt idx="300">
                  <c:v>42250</c:v>
                </c:pt>
                <c:pt idx="301">
                  <c:v>42251</c:v>
                </c:pt>
                <c:pt idx="302">
                  <c:v>42254</c:v>
                </c:pt>
                <c:pt idx="303">
                  <c:v>42255</c:v>
                </c:pt>
                <c:pt idx="304">
                  <c:v>42256</c:v>
                </c:pt>
                <c:pt idx="305">
                  <c:v>42257</c:v>
                </c:pt>
                <c:pt idx="306">
                  <c:v>42258</c:v>
                </c:pt>
                <c:pt idx="307">
                  <c:v>42261</c:v>
                </c:pt>
                <c:pt idx="308">
                  <c:v>42262</c:v>
                </c:pt>
                <c:pt idx="309">
                  <c:v>42263</c:v>
                </c:pt>
                <c:pt idx="310">
                  <c:v>42264</c:v>
                </c:pt>
                <c:pt idx="311">
                  <c:v>42265</c:v>
                </c:pt>
                <c:pt idx="312">
                  <c:v>42268</c:v>
                </c:pt>
                <c:pt idx="313">
                  <c:v>42269</c:v>
                </c:pt>
                <c:pt idx="314">
                  <c:v>42270</c:v>
                </c:pt>
                <c:pt idx="315">
                  <c:v>42271</c:v>
                </c:pt>
                <c:pt idx="316">
                  <c:v>42272</c:v>
                </c:pt>
                <c:pt idx="317">
                  <c:v>42275</c:v>
                </c:pt>
                <c:pt idx="318">
                  <c:v>42276</c:v>
                </c:pt>
                <c:pt idx="319">
                  <c:v>42277</c:v>
                </c:pt>
                <c:pt idx="320">
                  <c:v>42278</c:v>
                </c:pt>
                <c:pt idx="321">
                  <c:v>42279</c:v>
                </c:pt>
                <c:pt idx="322">
                  <c:v>42282</c:v>
                </c:pt>
                <c:pt idx="323">
                  <c:v>42283</c:v>
                </c:pt>
                <c:pt idx="324">
                  <c:v>42284</c:v>
                </c:pt>
                <c:pt idx="325">
                  <c:v>42285</c:v>
                </c:pt>
                <c:pt idx="326">
                  <c:v>42286</c:v>
                </c:pt>
                <c:pt idx="327">
                  <c:v>42289</c:v>
                </c:pt>
                <c:pt idx="328">
                  <c:v>42290</c:v>
                </c:pt>
                <c:pt idx="329">
                  <c:v>42291</c:v>
                </c:pt>
                <c:pt idx="330">
                  <c:v>42292</c:v>
                </c:pt>
                <c:pt idx="331">
                  <c:v>42293</c:v>
                </c:pt>
                <c:pt idx="332">
                  <c:v>42296</c:v>
                </c:pt>
                <c:pt idx="333">
                  <c:v>42297</c:v>
                </c:pt>
                <c:pt idx="334">
                  <c:v>42298</c:v>
                </c:pt>
                <c:pt idx="335">
                  <c:v>42299</c:v>
                </c:pt>
                <c:pt idx="336">
                  <c:v>42300</c:v>
                </c:pt>
                <c:pt idx="337">
                  <c:v>42303</c:v>
                </c:pt>
                <c:pt idx="338">
                  <c:v>42304</c:v>
                </c:pt>
                <c:pt idx="339">
                  <c:v>42305</c:v>
                </c:pt>
                <c:pt idx="340">
                  <c:v>42306</c:v>
                </c:pt>
                <c:pt idx="341">
                  <c:v>42307</c:v>
                </c:pt>
                <c:pt idx="342">
                  <c:v>42310</c:v>
                </c:pt>
                <c:pt idx="343">
                  <c:v>42311</c:v>
                </c:pt>
                <c:pt idx="344">
                  <c:v>42312</c:v>
                </c:pt>
                <c:pt idx="345">
                  <c:v>42313</c:v>
                </c:pt>
                <c:pt idx="346">
                  <c:v>42314</c:v>
                </c:pt>
                <c:pt idx="347">
                  <c:v>42317</c:v>
                </c:pt>
                <c:pt idx="348">
                  <c:v>42318</c:v>
                </c:pt>
                <c:pt idx="349">
                  <c:v>42319</c:v>
                </c:pt>
                <c:pt idx="350">
                  <c:v>42320</c:v>
                </c:pt>
                <c:pt idx="351">
                  <c:v>42321</c:v>
                </c:pt>
                <c:pt idx="352">
                  <c:v>42324</c:v>
                </c:pt>
                <c:pt idx="353">
                  <c:v>42325</c:v>
                </c:pt>
                <c:pt idx="354">
                  <c:v>42326</c:v>
                </c:pt>
                <c:pt idx="355">
                  <c:v>42327</c:v>
                </c:pt>
                <c:pt idx="356">
                  <c:v>42328</c:v>
                </c:pt>
                <c:pt idx="357">
                  <c:v>42331</c:v>
                </c:pt>
                <c:pt idx="358">
                  <c:v>42332</c:v>
                </c:pt>
                <c:pt idx="359">
                  <c:v>42333</c:v>
                </c:pt>
                <c:pt idx="360">
                  <c:v>42334</c:v>
                </c:pt>
                <c:pt idx="361">
                  <c:v>42335</c:v>
                </c:pt>
                <c:pt idx="362">
                  <c:v>42338</c:v>
                </c:pt>
                <c:pt idx="363">
                  <c:v>42339</c:v>
                </c:pt>
                <c:pt idx="364">
                  <c:v>42340</c:v>
                </c:pt>
                <c:pt idx="365">
                  <c:v>42341</c:v>
                </c:pt>
                <c:pt idx="366">
                  <c:v>42342</c:v>
                </c:pt>
                <c:pt idx="367">
                  <c:v>42345</c:v>
                </c:pt>
                <c:pt idx="368">
                  <c:v>42346</c:v>
                </c:pt>
                <c:pt idx="369">
                  <c:v>42347</c:v>
                </c:pt>
                <c:pt idx="370">
                  <c:v>42348</c:v>
                </c:pt>
                <c:pt idx="371">
                  <c:v>42349</c:v>
                </c:pt>
                <c:pt idx="372">
                  <c:v>42352</c:v>
                </c:pt>
                <c:pt idx="373">
                  <c:v>42353</c:v>
                </c:pt>
                <c:pt idx="374">
                  <c:v>42354</c:v>
                </c:pt>
                <c:pt idx="375">
                  <c:v>42355</c:v>
                </c:pt>
                <c:pt idx="376">
                  <c:v>42356</c:v>
                </c:pt>
                <c:pt idx="377">
                  <c:v>42359</c:v>
                </c:pt>
                <c:pt idx="378">
                  <c:v>42360</c:v>
                </c:pt>
                <c:pt idx="379">
                  <c:v>42361</c:v>
                </c:pt>
                <c:pt idx="380">
                  <c:v>42362</c:v>
                </c:pt>
                <c:pt idx="381">
                  <c:v>42367</c:v>
                </c:pt>
                <c:pt idx="382">
                  <c:v>42368</c:v>
                </c:pt>
                <c:pt idx="383">
                  <c:v>42369</c:v>
                </c:pt>
                <c:pt idx="384">
                  <c:v>42373</c:v>
                </c:pt>
                <c:pt idx="385">
                  <c:v>42374</c:v>
                </c:pt>
                <c:pt idx="386">
                  <c:v>42375</c:v>
                </c:pt>
                <c:pt idx="387">
                  <c:v>42376</c:v>
                </c:pt>
                <c:pt idx="388">
                  <c:v>42377</c:v>
                </c:pt>
                <c:pt idx="389">
                  <c:v>42380</c:v>
                </c:pt>
                <c:pt idx="390">
                  <c:v>42381</c:v>
                </c:pt>
                <c:pt idx="391">
                  <c:v>42382</c:v>
                </c:pt>
                <c:pt idx="392">
                  <c:v>42383</c:v>
                </c:pt>
                <c:pt idx="393">
                  <c:v>42384</c:v>
                </c:pt>
                <c:pt idx="394">
                  <c:v>42387</c:v>
                </c:pt>
                <c:pt idx="395">
                  <c:v>42388</c:v>
                </c:pt>
                <c:pt idx="396">
                  <c:v>42389</c:v>
                </c:pt>
                <c:pt idx="397">
                  <c:v>42390</c:v>
                </c:pt>
                <c:pt idx="398">
                  <c:v>42391</c:v>
                </c:pt>
                <c:pt idx="399">
                  <c:v>42394</c:v>
                </c:pt>
                <c:pt idx="400">
                  <c:v>42395</c:v>
                </c:pt>
                <c:pt idx="401">
                  <c:v>42396</c:v>
                </c:pt>
                <c:pt idx="402">
                  <c:v>42397</c:v>
                </c:pt>
                <c:pt idx="403">
                  <c:v>42398</c:v>
                </c:pt>
                <c:pt idx="404">
                  <c:v>42401</c:v>
                </c:pt>
                <c:pt idx="405">
                  <c:v>42402</c:v>
                </c:pt>
                <c:pt idx="406">
                  <c:v>42403</c:v>
                </c:pt>
                <c:pt idx="407">
                  <c:v>42404</c:v>
                </c:pt>
                <c:pt idx="408">
                  <c:v>42405</c:v>
                </c:pt>
                <c:pt idx="409">
                  <c:v>42408</c:v>
                </c:pt>
                <c:pt idx="410">
                  <c:v>42409</c:v>
                </c:pt>
                <c:pt idx="411">
                  <c:v>42410</c:v>
                </c:pt>
                <c:pt idx="412">
                  <c:v>42411</c:v>
                </c:pt>
                <c:pt idx="413">
                  <c:v>42412</c:v>
                </c:pt>
                <c:pt idx="414">
                  <c:v>42415</c:v>
                </c:pt>
                <c:pt idx="415">
                  <c:v>42416</c:v>
                </c:pt>
                <c:pt idx="416">
                  <c:v>42417</c:v>
                </c:pt>
                <c:pt idx="417">
                  <c:v>42418</c:v>
                </c:pt>
                <c:pt idx="418">
                  <c:v>42419</c:v>
                </c:pt>
                <c:pt idx="419">
                  <c:v>42422</c:v>
                </c:pt>
                <c:pt idx="420">
                  <c:v>42423</c:v>
                </c:pt>
                <c:pt idx="421">
                  <c:v>42424</c:v>
                </c:pt>
                <c:pt idx="422">
                  <c:v>42425</c:v>
                </c:pt>
                <c:pt idx="423">
                  <c:v>42426</c:v>
                </c:pt>
                <c:pt idx="424">
                  <c:v>42429</c:v>
                </c:pt>
                <c:pt idx="425">
                  <c:v>42430</c:v>
                </c:pt>
                <c:pt idx="426">
                  <c:v>42431</c:v>
                </c:pt>
                <c:pt idx="427">
                  <c:v>42432</c:v>
                </c:pt>
                <c:pt idx="428">
                  <c:v>42433</c:v>
                </c:pt>
                <c:pt idx="429">
                  <c:v>42436</c:v>
                </c:pt>
                <c:pt idx="430">
                  <c:v>42437</c:v>
                </c:pt>
                <c:pt idx="431">
                  <c:v>42438</c:v>
                </c:pt>
                <c:pt idx="432">
                  <c:v>42439</c:v>
                </c:pt>
                <c:pt idx="433">
                  <c:v>42440</c:v>
                </c:pt>
                <c:pt idx="434">
                  <c:v>42443</c:v>
                </c:pt>
                <c:pt idx="435">
                  <c:v>42444</c:v>
                </c:pt>
                <c:pt idx="436">
                  <c:v>42445</c:v>
                </c:pt>
                <c:pt idx="437">
                  <c:v>42446</c:v>
                </c:pt>
                <c:pt idx="438">
                  <c:v>42447</c:v>
                </c:pt>
                <c:pt idx="439">
                  <c:v>42450</c:v>
                </c:pt>
                <c:pt idx="440">
                  <c:v>42451</c:v>
                </c:pt>
                <c:pt idx="441">
                  <c:v>42452</c:v>
                </c:pt>
                <c:pt idx="442">
                  <c:v>42453</c:v>
                </c:pt>
                <c:pt idx="443">
                  <c:v>42458</c:v>
                </c:pt>
                <c:pt idx="444">
                  <c:v>42459</c:v>
                </c:pt>
                <c:pt idx="445">
                  <c:v>42460</c:v>
                </c:pt>
                <c:pt idx="446">
                  <c:v>42461</c:v>
                </c:pt>
                <c:pt idx="447">
                  <c:v>42464</c:v>
                </c:pt>
                <c:pt idx="448">
                  <c:v>42465</c:v>
                </c:pt>
                <c:pt idx="449">
                  <c:v>42466</c:v>
                </c:pt>
                <c:pt idx="450">
                  <c:v>42467</c:v>
                </c:pt>
                <c:pt idx="451">
                  <c:v>42468</c:v>
                </c:pt>
                <c:pt idx="452">
                  <c:v>42471</c:v>
                </c:pt>
                <c:pt idx="453">
                  <c:v>42472</c:v>
                </c:pt>
                <c:pt idx="454">
                  <c:v>42473</c:v>
                </c:pt>
                <c:pt idx="455">
                  <c:v>42474</c:v>
                </c:pt>
                <c:pt idx="456">
                  <c:v>42475</c:v>
                </c:pt>
                <c:pt idx="457">
                  <c:v>42478</c:v>
                </c:pt>
                <c:pt idx="458">
                  <c:v>42479</c:v>
                </c:pt>
                <c:pt idx="459">
                  <c:v>42480</c:v>
                </c:pt>
                <c:pt idx="460">
                  <c:v>42481</c:v>
                </c:pt>
                <c:pt idx="461">
                  <c:v>42482</c:v>
                </c:pt>
                <c:pt idx="462">
                  <c:v>42485</c:v>
                </c:pt>
                <c:pt idx="463">
                  <c:v>42486</c:v>
                </c:pt>
                <c:pt idx="464">
                  <c:v>42487</c:v>
                </c:pt>
                <c:pt idx="465">
                  <c:v>42488</c:v>
                </c:pt>
                <c:pt idx="466">
                  <c:v>42489</c:v>
                </c:pt>
                <c:pt idx="467">
                  <c:v>42493</c:v>
                </c:pt>
                <c:pt idx="468">
                  <c:v>42494</c:v>
                </c:pt>
                <c:pt idx="469">
                  <c:v>42495</c:v>
                </c:pt>
                <c:pt idx="470">
                  <c:v>42496</c:v>
                </c:pt>
                <c:pt idx="471">
                  <c:v>42499</c:v>
                </c:pt>
                <c:pt idx="472">
                  <c:v>42500</c:v>
                </c:pt>
                <c:pt idx="473">
                  <c:v>42501</c:v>
                </c:pt>
                <c:pt idx="474">
                  <c:v>42502</c:v>
                </c:pt>
                <c:pt idx="475">
                  <c:v>42503</c:v>
                </c:pt>
                <c:pt idx="476">
                  <c:v>42506</c:v>
                </c:pt>
                <c:pt idx="477">
                  <c:v>42507</c:v>
                </c:pt>
                <c:pt idx="478">
                  <c:v>42508</c:v>
                </c:pt>
                <c:pt idx="479">
                  <c:v>42509</c:v>
                </c:pt>
                <c:pt idx="480">
                  <c:v>42510</c:v>
                </c:pt>
                <c:pt idx="481">
                  <c:v>42513</c:v>
                </c:pt>
                <c:pt idx="482">
                  <c:v>42514</c:v>
                </c:pt>
                <c:pt idx="483">
                  <c:v>42515</c:v>
                </c:pt>
                <c:pt idx="484">
                  <c:v>42516</c:v>
                </c:pt>
                <c:pt idx="485">
                  <c:v>42517</c:v>
                </c:pt>
                <c:pt idx="486">
                  <c:v>42521</c:v>
                </c:pt>
                <c:pt idx="487">
                  <c:v>42522</c:v>
                </c:pt>
                <c:pt idx="488">
                  <c:v>42523</c:v>
                </c:pt>
                <c:pt idx="489">
                  <c:v>42524</c:v>
                </c:pt>
                <c:pt idx="490">
                  <c:v>42527</c:v>
                </c:pt>
                <c:pt idx="491">
                  <c:v>42528</c:v>
                </c:pt>
                <c:pt idx="492">
                  <c:v>42529</c:v>
                </c:pt>
                <c:pt idx="493">
                  <c:v>42530</c:v>
                </c:pt>
                <c:pt idx="494">
                  <c:v>42531</c:v>
                </c:pt>
                <c:pt idx="495">
                  <c:v>42534</c:v>
                </c:pt>
                <c:pt idx="496">
                  <c:v>42535</c:v>
                </c:pt>
                <c:pt idx="497">
                  <c:v>42536</c:v>
                </c:pt>
                <c:pt idx="498">
                  <c:v>42537</c:v>
                </c:pt>
                <c:pt idx="499">
                  <c:v>42538</c:v>
                </c:pt>
                <c:pt idx="500">
                  <c:v>42541</c:v>
                </c:pt>
                <c:pt idx="501">
                  <c:v>42542</c:v>
                </c:pt>
                <c:pt idx="502">
                  <c:v>42543</c:v>
                </c:pt>
                <c:pt idx="503">
                  <c:v>42544</c:v>
                </c:pt>
                <c:pt idx="504">
                  <c:v>42545</c:v>
                </c:pt>
                <c:pt idx="505">
                  <c:v>42548</c:v>
                </c:pt>
                <c:pt idx="506">
                  <c:v>42549</c:v>
                </c:pt>
                <c:pt idx="507">
                  <c:v>42550</c:v>
                </c:pt>
                <c:pt idx="508">
                  <c:v>42551</c:v>
                </c:pt>
                <c:pt idx="509">
                  <c:v>42552</c:v>
                </c:pt>
                <c:pt idx="510">
                  <c:v>42555</c:v>
                </c:pt>
                <c:pt idx="511">
                  <c:v>42556</c:v>
                </c:pt>
                <c:pt idx="512">
                  <c:v>42557</c:v>
                </c:pt>
                <c:pt idx="513">
                  <c:v>42558</c:v>
                </c:pt>
                <c:pt idx="514">
                  <c:v>42559</c:v>
                </c:pt>
                <c:pt idx="515">
                  <c:v>42562</c:v>
                </c:pt>
                <c:pt idx="516">
                  <c:v>42563</c:v>
                </c:pt>
                <c:pt idx="517">
                  <c:v>42564</c:v>
                </c:pt>
                <c:pt idx="518">
                  <c:v>42571</c:v>
                </c:pt>
                <c:pt idx="519">
                  <c:v>42578</c:v>
                </c:pt>
                <c:pt idx="520">
                  <c:v>42585</c:v>
                </c:pt>
                <c:pt idx="521">
                  <c:v>42592</c:v>
                </c:pt>
                <c:pt idx="522">
                  <c:v>42599</c:v>
                </c:pt>
                <c:pt idx="523">
                  <c:v>42606</c:v>
                </c:pt>
                <c:pt idx="524">
                  <c:v>42613</c:v>
                </c:pt>
                <c:pt idx="525">
                  <c:v>42620</c:v>
                </c:pt>
                <c:pt idx="526">
                  <c:v>42627</c:v>
                </c:pt>
                <c:pt idx="527">
                  <c:v>42634</c:v>
                </c:pt>
                <c:pt idx="528">
                  <c:v>42641</c:v>
                </c:pt>
                <c:pt idx="529">
                  <c:v>42648</c:v>
                </c:pt>
                <c:pt idx="530">
                  <c:v>42655</c:v>
                </c:pt>
                <c:pt idx="531">
                  <c:v>42662</c:v>
                </c:pt>
                <c:pt idx="532">
                  <c:v>42669</c:v>
                </c:pt>
                <c:pt idx="533">
                  <c:v>42676</c:v>
                </c:pt>
                <c:pt idx="534">
                  <c:v>42683</c:v>
                </c:pt>
                <c:pt idx="535">
                  <c:v>42690</c:v>
                </c:pt>
                <c:pt idx="536">
                  <c:v>42697</c:v>
                </c:pt>
                <c:pt idx="537">
                  <c:v>42704</c:v>
                </c:pt>
                <c:pt idx="538">
                  <c:v>42711</c:v>
                </c:pt>
                <c:pt idx="539">
                  <c:v>42718</c:v>
                </c:pt>
                <c:pt idx="540">
                  <c:v>42725</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43215</c:v>
                </c:pt>
                <c:pt idx="611">
                  <c:v>43222</c:v>
                </c:pt>
                <c:pt idx="612">
                  <c:v>43229</c:v>
                </c:pt>
                <c:pt idx="613">
                  <c:v>43236</c:v>
                </c:pt>
                <c:pt idx="614">
                  <c:v>43243</c:v>
                </c:pt>
                <c:pt idx="615">
                  <c:v>43250</c:v>
                </c:pt>
                <c:pt idx="616">
                  <c:v>43257</c:v>
                </c:pt>
                <c:pt idx="617">
                  <c:v>43264</c:v>
                </c:pt>
                <c:pt idx="618">
                  <c:v>43271</c:v>
                </c:pt>
                <c:pt idx="619">
                  <c:v>43278</c:v>
                </c:pt>
                <c:pt idx="620">
                  <c:v>43285</c:v>
                </c:pt>
                <c:pt idx="621">
                  <c:v>43292</c:v>
                </c:pt>
                <c:pt idx="622">
                  <c:v>43299</c:v>
                </c:pt>
                <c:pt idx="623">
                  <c:v>43306</c:v>
                </c:pt>
                <c:pt idx="624">
                  <c:v>43313</c:v>
                </c:pt>
                <c:pt idx="625">
                  <c:v>43320</c:v>
                </c:pt>
                <c:pt idx="626">
                  <c:v>43327</c:v>
                </c:pt>
                <c:pt idx="627">
                  <c:v>43334</c:v>
                </c:pt>
                <c:pt idx="628">
                  <c:v>43341</c:v>
                </c:pt>
                <c:pt idx="629">
                  <c:v>43348</c:v>
                </c:pt>
                <c:pt idx="630">
                  <c:v>43355</c:v>
                </c:pt>
                <c:pt idx="631">
                  <c:v>43362</c:v>
                </c:pt>
                <c:pt idx="632">
                  <c:v>43369</c:v>
                </c:pt>
                <c:pt idx="633">
                  <c:v>43376</c:v>
                </c:pt>
                <c:pt idx="634">
                  <c:v>43383</c:v>
                </c:pt>
                <c:pt idx="635">
                  <c:v>43390</c:v>
                </c:pt>
                <c:pt idx="636">
                  <c:v>43397</c:v>
                </c:pt>
                <c:pt idx="637">
                  <c:v>43404</c:v>
                </c:pt>
                <c:pt idx="638">
                  <c:v>43411</c:v>
                </c:pt>
                <c:pt idx="639">
                  <c:v>43418</c:v>
                </c:pt>
                <c:pt idx="640">
                  <c:v>43425</c:v>
                </c:pt>
                <c:pt idx="641">
                  <c:v>43432</c:v>
                </c:pt>
                <c:pt idx="642">
                  <c:v>43439</c:v>
                </c:pt>
                <c:pt idx="643">
                  <c:v>43446</c:v>
                </c:pt>
                <c:pt idx="644">
                  <c:v>43453</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Monitor!$Z$19:$Z$3552</c:f>
              <c:numCache>
                <c:formatCode>0.0000%</c:formatCode>
                <c:ptCount val="3534"/>
                <c:pt idx="0">
                  <c:v>4.9249999999998531E-3</c:v>
                </c:pt>
                <c:pt idx="1">
                  <c:v>4.9373852894535513E-3</c:v>
                </c:pt>
                <c:pt idx="2">
                  <c:v>4.941949218256067E-3</c:v>
                </c:pt>
                <c:pt idx="3">
                  <c:v>4.9528329823818121E-3</c:v>
                </c:pt>
                <c:pt idx="4">
                  <c:v>4.9547719736037915E-3</c:v>
                </c:pt>
                <c:pt idx="5">
                  <c:v>4.9567909800412608E-3</c:v>
                </c:pt>
                <c:pt idx="6">
                  <c:v>4.9731229220554181E-3</c:v>
                </c:pt>
                <c:pt idx="7">
                  <c:v>4.9788458798084188E-3</c:v>
                </c:pt>
                <c:pt idx="8">
                  <c:v>4.9913024949396166E-3</c:v>
                </c:pt>
                <c:pt idx="9">
                  <c:v>4.9939630671817781E-3</c:v>
                </c:pt>
                <c:pt idx="10">
                  <c:v>4.9966951615020693E-3</c:v>
                </c:pt>
                <c:pt idx="11">
                  <c:v>5.0153302706506904E-3</c:v>
                </c:pt>
                <c:pt idx="12">
                  <c:v>5.0216644273354798E-3</c:v>
                </c:pt>
                <c:pt idx="13">
                  <c:v>5.0345153600079243E-3</c:v>
                </c:pt>
                <c:pt idx="14">
                  <c:v>5.0376722924369566E-3</c:v>
                </c:pt>
                <c:pt idx="15">
                  <c:v>5.0408777334461667E-3</c:v>
                </c:pt>
                <c:pt idx="16">
                  <c:v>5.0601725051057488E-3</c:v>
                </c:pt>
                <c:pt idx="17">
                  <c:v>5.066570023657832E-3</c:v>
                </c:pt>
                <c:pt idx="18">
                  <c:v>5.0817869989850479E-3</c:v>
                </c:pt>
                <c:pt idx="19">
                  <c:v>5.0850883520445278E-3</c:v>
                </c:pt>
                <c:pt idx="20">
                  <c:v>5.0883924142303485E-3</c:v>
                </c:pt>
                <c:pt idx="21">
                  <c:v>5.1038152999438591E-3</c:v>
                </c:pt>
                <c:pt idx="22">
                  <c:v>5.1097341067978114E-3</c:v>
                </c:pt>
                <c:pt idx="23">
                  <c:v>5.1128785404909172E-3</c:v>
                </c:pt>
                <c:pt idx="24">
                  <c:v>5.1159886452019302E-3</c:v>
                </c:pt>
                <c:pt idx="25">
                  <c:v>5.1269276020502533E-3</c:v>
                </c:pt>
                <c:pt idx="26">
                  <c:v>5.1433470548789195E-3</c:v>
                </c:pt>
                <c:pt idx="27">
                  <c:v>5.1486638288164846E-3</c:v>
                </c:pt>
                <c:pt idx="28">
                  <c:v>5.1587709536055574E-3</c:v>
                </c:pt>
                <c:pt idx="29">
                  <c:v>5.1614976865281201E-3</c:v>
                </c:pt>
                <c:pt idx="30">
                  <c:v>5.1641919171298697E-3</c:v>
                </c:pt>
                <c:pt idx="31">
                  <c:v>5.1791570018797353E-3</c:v>
                </c:pt>
                <c:pt idx="32">
                  <c:v>5.1840358842183696E-3</c:v>
                </c:pt>
                <c:pt idx="33">
                  <c:v>5.1935166787878718E-3</c:v>
                </c:pt>
                <c:pt idx="34">
                  <c:v>5.1959673700064171E-3</c:v>
                </c:pt>
                <c:pt idx="35">
                  <c:v>5.1983909916914822E-3</c:v>
                </c:pt>
                <c:pt idx="36">
                  <c:v>5.2123941374652757E-3</c:v>
                </c:pt>
                <c:pt idx="37">
                  <c:v>5.2169992718701626E-3</c:v>
                </c:pt>
                <c:pt idx="38">
                  <c:v>5.226157101008256E-3</c:v>
                </c:pt>
                <c:pt idx="39">
                  <c:v>5.2284233323150048E-3</c:v>
                </c:pt>
                <c:pt idx="40">
                  <c:v>5.2306738312815713E-3</c:v>
                </c:pt>
                <c:pt idx="41">
                  <c:v>5.2487030055536898E-3</c:v>
                </c:pt>
                <c:pt idx="42">
                  <c:v>5.2577716291306179E-3</c:v>
                </c:pt>
                <c:pt idx="43">
                  <c:v>5.259978159176705E-3</c:v>
                </c:pt>
                <c:pt idx="44">
                  <c:v>5.2644790122047258E-3</c:v>
                </c:pt>
                <c:pt idx="45">
                  <c:v>5.2734317383269502E-3</c:v>
                </c:pt>
                <c:pt idx="46">
                  <c:v>5.2780386490568123E-3</c:v>
                </c:pt>
                <c:pt idx="47">
                  <c:v>5.2827492069061899E-3</c:v>
                </c:pt>
                <c:pt idx="48">
                  <c:v>5.2933018326127221E-3</c:v>
                </c:pt>
                <c:pt idx="49">
                  <c:v>5.2955711047810291E-3</c:v>
                </c:pt>
                <c:pt idx="50">
                  <c:v>5.3090531831404926E-3</c:v>
                </c:pt>
                <c:pt idx="51">
                  <c:v>5.3151035127649848E-3</c:v>
                </c:pt>
                <c:pt idx="52">
                  <c:v>5.3214967865361507E-3</c:v>
                </c:pt>
                <c:pt idx="53">
                  <c:v>5.337672005200321E-3</c:v>
                </c:pt>
                <c:pt idx="54">
                  <c:v>5.3403581648915309E-3</c:v>
                </c:pt>
                <c:pt idx="55">
                  <c:v>5.3598038184778565E-3</c:v>
                </c:pt>
                <c:pt idx="56">
                  <c:v>5.3689726594435463E-3</c:v>
                </c:pt>
                <c:pt idx="57">
                  <c:v>5.3787237466268456E-3</c:v>
                </c:pt>
                <c:pt idx="58">
                  <c:v>5.4040818348254083E-3</c:v>
                </c:pt>
                <c:pt idx="59">
                  <c:v>5.4078937778576355E-3</c:v>
                </c:pt>
                <c:pt idx="60">
                  <c:v>5.4374094162681725E-3</c:v>
                </c:pt>
                <c:pt idx="61">
                  <c:v>5.4513719083418479E-3</c:v>
                </c:pt>
                <c:pt idx="62">
                  <c:v>5.4661559581972909E-3</c:v>
                </c:pt>
                <c:pt idx="63">
                  <c:v>5.5035248311071511E-3</c:v>
                </c:pt>
                <c:pt idx="64">
                  <c:v>5.5095259114791616E-3</c:v>
                </c:pt>
                <c:pt idx="65">
                  <c:v>5.5535123824666339E-3</c:v>
                </c:pt>
                <c:pt idx="66">
                  <c:v>5.5866230955016879E-3</c:v>
                </c:pt>
                <c:pt idx="67">
                  <c:v>5.6345269108750169E-3</c:v>
                </c:pt>
                <c:pt idx="68">
                  <c:v>5.643482304355657E-3</c:v>
                </c:pt>
                <c:pt idx="69">
                  <c:v>5.6527730703096364E-3</c:v>
                </c:pt>
                <c:pt idx="70">
                  <c:v>5.7243316054139144E-3</c:v>
                </c:pt>
                <c:pt idx="71">
                  <c:v>5.7491025139757498E-3</c:v>
                </c:pt>
                <c:pt idx="72">
                  <c:v>5.8013649960166353E-3</c:v>
                </c:pt>
                <c:pt idx="73">
                  <c:v>5.8131968559064356E-3</c:v>
                </c:pt>
                <c:pt idx="74">
                  <c:v>5.8253178984970797E-3</c:v>
                </c:pt>
                <c:pt idx="75">
                  <c:v>5.9031099477519127E-3</c:v>
                </c:pt>
                <c:pt idx="76">
                  <c:v>5.9291071462341093E-3</c:v>
                </c:pt>
                <c:pt idx="77">
                  <c:v>5.9793163342286735E-3</c:v>
                </c:pt>
                <c:pt idx="78">
                  <c:v>5.9927995226432412E-3</c:v>
                </c:pt>
                <c:pt idx="79">
                  <c:v>6.006446705596003E-3</c:v>
                </c:pt>
                <c:pt idx="80">
                  <c:v>6.0815308096408326E-3</c:v>
                </c:pt>
                <c:pt idx="81">
                  <c:v>6.1057737603607788E-3</c:v>
                </c:pt>
                <c:pt idx="82">
                  <c:v>6.1487811817236802E-3</c:v>
                </c:pt>
                <c:pt idx="83">
                  <c:v>6.1620782995468193E-3</c:v>
                </c:pt>
                <c:pt idx="84">
                  <c:v>6.1752957291222503E-3</c:v>
                </c:pt>
                <c:pt idx="85">
                  <c:v>6.238729904044075E-3</c:v>
                </c:pt>
                <c:pt idx="86">
                  <c:v>6.2582585086761395E-3</c:v>
                </c:pt>
                <c:pt idx="87">
                  <c:v>6.2698251657843374E-3</c:v>
                </c:pt>
                <c:pt idx="88">
                  <c:v>6.2811051506645853E-3</c:v>
                </c:pt>
                <c:pt idx="89">
                  <c:v>6.2920984788230761E-3</c:v>
                </c:pt>
                <c:pt idx="90">
                  <c:v>6.354709160387495E-3</c:v>
                </c:pt>
                <c:pt idx="91">
                  <c:v>6.3700179511256101E-3</c:v>
                </c:pt>
                <c:pt idx="92">
                  <c:v>6.3849221949198922E-3</c:v>
                </c:pt>
                <c:pt idx="93">
                  <c:v>6.4121323926391582E-3</c:v>
                </c:pt>
                <c:pt idx="94">
                  <c:v>6.420123352714021E-3</c:v>
                </c:pt>
                <c:pt idx="95">
                  <c:v>6.4556470850047898E-3</c:v>
                </c:pt>
                <c:pt idx="96">
                  <c:v>6.46948717679241E-3</c:v>
                </c:pt>
                <c:pt idx="97">
                  <c:v>6.4833771011014729E-3</c:v>
                </c:pt>
                <c:pt idx="98">
                  <c:v>6.5132433461950745E-3</c:v>
                </c:pt>
                <c:pt idx="99">
                  <c:v>6.5196988414015136E-3</c:v>
                </c:pt>
                <c:pt idx="100">
                  <c:v>6.5558461610692271E-3</c:v>
                </c:pt>
                <c:pt idx="101">
                  <c:v>6.5713982553033592E-3</c:v>
                </c:pt>
                <c:pt idx="102">
                  <c:v>6.5874545767447001E-3</c:v>
                </c:pt>
                <c:pt idx="103">
                  <c:v>6.6259412916788371E-3</c:v>
                </c:pt>
                <c:pt idx="104">
                  <c:v>6.6325925467188964E-3</c:v>
                </c:pt>
                <c:pt idx="105">
                  <c:v>6.6775716313736133E-3</c:v>
                </c:pt>
                <c:pt idx="106">
                  <c:v>6.7536307209336462E-3</c:v>
                </c:pt>
                <c:pt idx="107">
                  <c:v>6.7622130482062372E-3</c:v>
                </c:pt>
                <c:pt idx="108">
                  <c:v>6.7711011889736925E-3</c:v>
                </c:pt>
                <c:pt idx="109">
                  <c:v>6.8113401403427616E-3</c:v>
                </c:pt>
                <c:pt idx="110">
                  <c:v>6.8754147600446486E-3</c:v>
                </c:pt>
                <c:pt idx="111">
                  <c:v>6.8868114595284939E-3</c:v>
                </c:pt>
                <c:pt idx="112">
                  <c:v>6.9503460587069547E-3</c:v>
                </c:pt>
                <c:pt idx="113">
                  <c:v>6.9629341789664498E-3</c:v>
                </c:pt>
                <c:pt idx="114">
                  <c:v>6.9758784292382348E-3</c:v>
                </c:pt>
                <c:pt idx="115">
                  <c:v>7.0711182323075642E-3</c:v>
                </c:pt>
                <c:pt idx="116">
                  <c:v>7.1039681377020741E-3</c:v>
                </c:pt>
                <c:pt idx="117">
                  <c:v>7.1732739086768325E-3</c:v>
                </c:pt>
                <c:pt idx="118">
                  <c:v>7.1889919708620006E-3</c:v>
                </c:pt>
                <c:pt idx="119">
                  <c:v>7.2050224387848298E-3</c:v>
                </c:pt>
                <c:pt idx="120">
                  <c:v>7.3086255929669559E-3</c:v>
                </c:pt>
                <c:pt idx="121">
                  <c:v>7.3434579336449602E-3</c:v>
                </c:pt>
                <c:pt idx="122">
                  <c:v>7.4124712055311003E-3</c:v>
                </c:pt>
                <c:pt idx="123">
                  <c:v>7.4301603333152416E-3</c:v>
                </c:pt>
                <c:pt idx="124">
                  <c:v>7.4480434325808363E-3</c:v>
                </c:pt>
                <c:pt idx="125">
                  <c:v>7.5515535248167846E-3</c:v>
                </c:pt>
                <c:pt idx="126">
                  <c:v>7.5855494317773756E-3</c:v>
                </c:pt>
                <c:pt idx="127">
                  <c:v>7.6494012755338884E-3</c:v>
                </c:pt>
                <c:pt idx="128">
                  <c:v>7.780196498326025E-3</c:v>
                </c:pt>
                <c:pt idx="129">
                  <c:v>7.8106111574648817E-3</c:v>
                </c:pt>
                <c:pt idx="130">
                  <c:v>7.8272109579210873E-3</c:v>
                </c:pt>
                <c:pt idx="131">
                  <c:v>7.8981355839946223E-3</c:v>
                </c:pt>
                <c:pt idx="132">
                  <c:v>7.9805096051972294E-3</c:v>
                </c:pt>
                <c:pt idx="133">
                  <c:v>8.0069183961367103E-3</c:v>
                </c:pt>
                <c:pt idx="134">
                  <c:v>8.0558997608041905E-3</c:v>
                </c:pt>
                <c:pt idx="135">
                  <c:v>8.069700457022759E-3</c:v>
                </c:pt>
                <c:pt idx="136">
                  <c:v>8.0832830847988833E-3</c:v>
                </c:pt>
                <c:pt idx="137">
                  <c:v>8.155784205984248E-3</c:v>
                </c:pt>
                <c:pt idx="138">
                  <c:v>8.1791880020409113E-3</c:v>
                </c:pt>
                <c:pt idx="139">
                  <c:v>8.2236864087428044E-3</c:v>
                </c:pt>
                <c:pt idx="140">
                  <c:v>8.2356313169607356E-3</c:v>
                </c:pt>
                <c:pt idx="141">
                  <c:v>8.2473956429555736E-3</c:v>
                </c:pt>
                <c:pt idx="142">
                  <c:v>8.3130266514836078E-3</c:v>
                </c:pt>
                <c:pt idx="143">
                  <c:v>8.3344264017679651E-3</c:v>
                </c:pt>
                <c:pt idx="144">
                  <c:v>8.3762309137884339E-3</c:v>
                </c:pt>
                <c:pt idx="145">
                  <c:v>8.3869080041058808E-3</c:v>
                </c:pt>
                <c:pt idx="146">
                  <c:v>8.3974798979742152E-3</c:v>
                </c:pt>
                <c:pt idx="147">
                  <c:v>8.4592437749760278E-3</c:v>
                </c:pt>
                <c:pt idx="148">
                  <c:v>8.4796404894931093E-3</c:v>
                </c:pt>
                <c:pt idx="149">
                  <c:v>8.4898719265243221E-3</c:v>
                </c:pt>
                <c:pt idx="150">
                  <c:v>8.5000823584491618E-3</c:v>
                </c:pt>
                <c:pt idx="151">
                  <c:v>8.5102717857925472E-3</c:v>
                </c:pt>
                <c:pt idx="152">
                  <c:v>8.5709221533607806E-3</c:v>
                </c:pt>
                <c:pt idx="153">
                  <c:v>8.5911414878771433E-3</c:v>
                </c:pt>
                <c:pt idx="154">
                  <c:v>8.6114069847080723E-3</c:v>
                </c:pt>
                <c:pt idx="155">
                  <c:v>8.6317455778888077E-3</c:v>
                </c:pt>
                <c:pt idx="156">
                  <c:v>8.6521842016311547E-3</c:v>
                </c:pt>
                <c:pt idx="157">
                  <c:v>8.7143696008786155E-3</c:v>
                </c:pt>
                <c:pt idx="158">
                  <c:v>8.7354776924009839E-3</c:v>
                </c:pt>
                <c:pt idx="159">
                  <c:v>8.7568204881403669E-3</c:v>
                </c:pt>
                <c:pt idx="160">
                  <c:v>8.7784249233795377E-3</c:v>
                </c:pt>
                <c:pt idx="161">
                  <c:v>8.8003179335923078E-3</c:v>
                </c:pt>
                <c:pt idx="162">
                  <c:v>8.8679977717974669E-3</c:v>
                </c:pt>
                <c:pt idx="163">
                  <c:v>8.8913144406921728E-3</c:v>
                </c:pt>
                <c:pt idx="164">
                  <c:v>8.9150543650353443E-3</c:v>
                </c:pt>
                <c:pt idx="165">
                  <c:v>8.9392444816004304E-3</c:v>
                </c:pt>
                <c:pt idx="166">
                  <c:v>8.9639117273982282E-3</c:v>
                </c:pt>
                <c:pt idx="167">
                  <c:v>9.041045614220802E-3</c:v>
                </c:pt>
                <c:pt idx="168">
                  <c:v>9.0678907523427821E-3</c:v>
                </c:pt>
                <c:pt idx="169">
                  <c:v>9.0953477087979805E-3</c:v>
                </c:pt>
                <c:pt idx="170">
                  <c:v>9.123443422287587E-3</c:v>
                </c:pt>
                <c:pt idx="171">
                  <c:v>9.2186796398267129E-3</c:v>
                </c:pt>
                <c:pt idx="172">
                  <c:v>9.2938744982595436E-3</c:v>
                </c:pt>
                <c:pt idx="173">
                  <c:v>9.3938685982915323E-3</c:v>
                </c:pt>
                <c:pt idx="174">
                  <c:v>9.4087103273584657E-3</c:v>
                </c:pt>
                <c:pt idx="175">
                  <c:v>9.423764972266796E-3</c:v>
                </c:pt>
                <c:pt idx="176">
                  <c:v>9.4390309004881157E-3</c:v>
                </c:pt>
                <c:pt idx="177">
                  <c:v>9.5201650621271876E-3</c:v>
                </c:pt>
                <c:pt idx="178">
                  <c:v>9.5530990218142906E-3</c:v>
                </c:pt>
                <c:pt idx="179">
                  <c:v>9.6186210307442968E-3</c:v>
                </c:pt>
                <c:pt idx="180">
                  <c:v>9.6350980996013497E-3</c:v>
                </c:pt>
                <c:pt idx="181">
                  <c:v>9.6517289226076327E-3</c:v>
                </c:pt>
                <c:pt idx="182">
                  <c:v>9.749067918755466E-3</c:v>
                </c:pt>
                <c:pt idx="183">
                  <c:v>9.7809978364569606E-3</c:v>
                </c:pt>
                <c:pt idx="184">
                  <c:v>9.8410317601525504E-3</c:v>
                </c:pt>
                <c:pt idx="185">
                  <c:v>9.8577830409646641E-3</c:v>
                </c:pt>
                <c:pt idx="186">
                  <c:v>9.8745496883354614E-3</c:v>
                </c:pt>
                <c:pt idx="187">
                  <c:v>9.963711675536174E-3</c:v>
                </c:pt>
                <c:pt idx="188">
                  <c:v>9.9922272498677699E-3</c:v>
                </c:pt>
                <c:pt idx="189">
                  <c:v>1.0043047039773946E-2</c:v>
                </c:pt>
                <c:pt idx="190">
                  <c:v>1.0058374769558627E-2</c:v>
                </c:pt>
                <c:pt idx="191">
                  <c:v>1.0073470006993983E-2</c:v>
                </c:pt>
                <c:pt idx="192">
                  <c:v>1.0147589374329441E-2</c:v>
                </c:pt>
                <c:pt idx="193">
                  <c:v>1.0161168971076292E-2</c:v>
                </c:pt>
                <c:pt idx="194">
                  <c:v>1.0183950693218091E-2</c:v>
                </c:pt>
                <c:pt idx="195">
                  <c:v>1.0232847364345444E-2</c:v>
                </c:pt>
                <c:pt idx="196">
                  <c:v>1.0307108978111009E-2</c:v>
                </c:pt>
                <c:pt idx="197">
                  <c:v>1.032568920225178E-2</c:v>
                </c:pt>
                <c:pt idx="198">
                  <c:v>1.0359547474745427E-2</c:v>
                </c:pt>
                <c:pt idx="199">
                  <c:v>1.0369275513412516E-2</c:v>
                </c:pt>
                <c:pt idx="200">
                  <c:v>1.0412237322742842E-2</c:v>
                </c:pt>
                <c:pt idx="201">
                  <c:v>1.0428508247414555E-2</c:v>
                </c:pt>
                <c:pt idx="202">
                  <c:v>1.0444510240159651E-2</c:v>
                </c:pt>
                <c:pt idx="203">
                  <c:v>1.0475607814831311E-2</c:v>
                </c:pt>
                <c:pt idx="204">
                  <c:v>1.0483508242076509E-2</c:v>
                </c:pt>
                <c:pt idx="205">
                  <c:v>1.0521645763594156E-2</c:v>
                </c:pt>
                <c:pt idx="206">
                  <c:v>1.0536729890446147E-2</c:v>
                </c:pt>
                <c:pt idx="207">
                  <c:v>1.0551776995554282E-2</c:v>
                </c:pt>
                <c:pt idx="208">
                  <c:v>1.0590949763716917E-2</c:v>
                </c:pt>
                <c:pt idx="209">
                  <c:v>1.0598075196818386E-2</c:v>
                </c:pt>
                <c:pt idx="210">
                  <c:v>1.0627616775386891E-2</c:v>
                </c:pt>
                <c:pt idx="211">
                  <c:v>1.0643132874687619E-2</c:v>
                </c:pt>
                <c:pt idx="212">
                  <c:v>1.0658816115065955E-2</c:v>
                </c:pt>
                <c:pt idx="213">
                  <c:v>1.0666162080892978E-2</c:v>
                </c:pt>
                <c:pt idx="214">
                  <c:v>1.0699385349974009E-2</c:v>
                </c:pt>
                <c:pt idx="215">
                  <c:v>1.07658542162915E-2</c:v>
                </c:pt>
                <c:pt idx="216">
                  <c:v>1.0801755071744537E-2</c:v>
                </c:pt>
                <c:pt idx="217">
                  <c:v>1.0809788359767737E-2</c:v>
                </c:pt>
                <c:pt idx="218">
                  <c:v>1.0817877926974084E-2</c:v>
                </c:pt>
                <c:pt idx="219">
                  <c:v>1.0871919502002858E-2</c:v>
                </c:pt>
                <c:pt idx="220">
                  <c:v>1.0890406057088737E-2</c:v>
                </c:pt>
                <c:pt idx="221">
                  <c:v>1.0929839337661689E-2</c:v>
                </c:pt>
                <c:pt idx="222">
                  <c:v>1.093856566988672E-2</c:v>
                </c:pt>
                <c:pt idx="223">
                  <c:v>1.0947356661500552E-2</c:v>
                </c:pt>
                <c:pt idx="224">
                  <c:v>1.1006652950649929E-2</c:v>
                </c:pt>
                <c:pt idx="225">
                  <c:v>1.1026963927676497E-2</c:v>
                </c:pt>
                <c:pt idx="226">
                  <c:v>1.107040181299839E-2</c:v>
                </c:pt>
                <c:pt idx="227">
                  <c:v>1.1079962982236402E-2</c:v>
                </c:pt>
                <c:pt idx="228">
                  <c:v>1.1089606354665479E-2</c:v>
                </c:pt>
                <c:pt idx="229">
                  <c:v>1.1177312697684943E-2</c:v>
                </c:pt>
                <c:pt idx="230">
                  <c:v>1.122511938646357E-2</c:v>
                </c:pt>
                <c:pt idx="231">
                  <c:v>1.1235708675552125E-2</c:v>
                </c:pt>
                <c:pt idx="232">
                  <c:v>1.1259222667196409E-2</c:v>
                </c:pt>
                <c:pt idx="233">
                  <c:v>1.1305190656681008E-2</c:v>
                </c:pt>
                <c:pt idx="234">
                  <c:v>1.1329637097769574E-2</c:v>
                </c:pt>
                <c:pt idx="235">
                  <c:v>1.1354371416130937E-2</c:v>
                </c:pt>
                <c:pt idx="236">
                  <c:v>1.1406475640619862E-2</c:v>
                </c:pt>
                <c:pt idx="237">
                  <c:v>1.1418277181606621E-2</c:v>
                </c:pt>
                <c:pt idx="238">
                  <c:v>1.1481950543060154E-2</c:v>
                </c:pt>
                <c:pt idx="239">
                  <c:v>1.1508165749540833E-2</c:v>
                </c:pt>
                <c:pt idx="240">
                  <c:v>1.153458670734738E-2</c:v>
                </c:pt>
                <c:pt idx="241">
                  <c:v>1.1589301457420147E-2</c:v>
                </c:pt>
                <c:pt idx="242">
                  <c:v>1.1602086082873574E-2</c:v>
                </c:pt>
                <c:pt idx="243">
                  <c:v>1.1669367121080614E-2</c:v>
                </c:pt>
                <c:pt idx="244">
                  <c:v>1.1696776198398004E-2</c:v>
                </c:pt>
                <c:pt idx="245">
                  <c:v>1.1724308896652991E-2</c:v>
                </c:pt>
                <c:pt idx="246">
                  <c:v>1.1780413190559426E-2</c:v>
                </c:pt>
                <c:pt idx="247">
                  <c:v>1.1793937137428068E-2</c:v>
                </c:pt>
                <c:pt idx="248">
                  <c:v>1.1863416032563467E-2</c:v>
                </c:pt>
                <c:pt idx="249">
                  <c:v>1.1891444053311403E-2</c:v>
                </c:pt>
                <c:pt idx="250">
                  <c:v>1.1919513559635128E-2</c:v>
                </c:pt>
                <c:pt idx="251">
                  <c:v>1.1976037676759733E-2</c:v>
                </c:pt>
                <c:pt idx="252">
                  <c:v>1.1989935553385506E-2</c:v>
                </c:pt>
                <c:pt idx="253">
                  <c:v>1.2060072679346353E-2</c:v>
                </c:pt>
                <c:pt idx="254">
                  <c:v>1.2102299665386269E-2</c:v>
                </c:pt>
                <c:pt idx="255">
                  <c:v>1.2158584022944273E-2</c:v>
                </c:pt>
                <c:pt idx="256">
                  <c:v>1.2172451012171098E-2</c:v>
                </c:pt>
                <c:pt idx="257">
                  <c:v>1.2186307423208734E-2</c:v>
                </c:pt>
                <c:pt idx="258">
                  <c:v>1.2270054900474271E-2</c:v>
                </c:pt>
                <c:pt idx="259">
                  <c:v>1.2297912885145042E-2</c:v>
                </c:pt>
                <c:pt idx="260">
                  <c:v>1.2353805457784238E-2</c:v>
                </c:pt>
                <c:pt idx="261">
                  <c:v>1.2367564678679895E-2</c:v>
                </c:pt>
                <c:pt idx="262">
                  <c:v>1.2381313313023071E-2</c:v>
                </c:pt>
                <c:pt idx="263">
                  <c:v>1.2464453447405526E-2</c:v>
                </c:pt>
                <c:pt idx="264">
                  <c:v>1.2492108981577996E-2</c:v>
                </c:pt>
                <c:pt idx="265">
                  <c:v>1.2547609860431876E-2</c:v>
                </c:pt>
                <c:pt idx="266">
                  <c:v>1.2561261252197302E-2</c:v>
                </c:pt>
                <c:pt idx="267">
                  <c:v>1.2574902049385904E-2</c:v>
                </c:pt>
                <c:pt idx="268">
                  <c:v>1.2657434810848477E-2</c:v>
                </c:pt>
                <c:pt idx="269">
                  <c:v>1.2684887884538268E-2</c:v>
                </c:pt>
                <c:pt idx="270">
                  <c:v>1.2739997156363906E-2</c:v>
                </c:pt>
                <c:pt idx="271">
                  <c:v>1.2753540660498421E-2</c:v>
                </c:pt>
                <c:pt idx="272">
                  <c:v>1.2767073562362131E-2</c:v>
                </c:pt>
                <c:pt idx="273">
                  <c:v>1.2848998921095482E-2</c:v>
                </c:pt>
                <c:pt idx="274">
                  <c:v>1.287624952437573E-2</c:v>
                </c:pt>
                <c:pt idx="275">
                  <c:v>1.2889710139501725E-2</c:v>
                </c:pt>
                <c:pt idx="276">
                  <c:v>1.2903160147104437E-2</c:v>
                </c:pt>
                <c:pt idx="277">
                  <c:v>1.2916599546683449E-2</c:v>
                </c:pt>
                <c:pt idx="278">
                  <c:v>1.3039145708933013E-2</c:v>
                </c:pt>
                <c:pt idx="279">
                  <c:v>1.3066193831968363E-2</c:v>
                </c:pt>
                <c:pt idx="280">
                  <c:v>1.3120520132699369E-2</c:v>
                </c:pt>
                <c:pt idx="281">
                  <c:v>1.3133847695181132E-2</c:v>
                </c:pt>
                <c:pt idx="282">
                  <c:v>1.3147164640979115E-2</c:v>
                </c:pt>
                <c:pt idx="283">
                  <c:v>1.3227875105675659E-2</c:v>
                </c:pt>
                <c:pt idx="284">
                  <c:v>1.3254720738690879E-2</c:v>
                </c:pt>
                <c:pt idx="285">
                  <c:v>1.3308655666772515E-2</c:v>
                </c:pt>
                <c:pt idx="286">
                  <c:v>1.3321875179741864E-2</c:v>
                </c:pt>
                <c:pt idx="287">
                  <c:v>1.3335084069311781E-2</c:v>
                </c:pt>
                <c:pt idx="288">
                  <c:v>1.3415187043142578E-2</c:v>
                </c:pt>
                <c:pt idx="289">
                  <c:v>1.3441830176440876E-2</c:v>
                </c:pt>
                <c:pt idx="290">
                  <c:v>1.3495373801471932E-2</c:v>
                </c:pt>
                <c:pt idx="291">
                  <c:v>1.3508485215452185E-2</c:v>
                </c:pt>
                <c:pt idx="292">
                  <c:v>1.352158599963383E-2</c:v>
                </c:pt>
                <c:pt idx="293">
                  <c:v>1.3601081453665356E-2</c:v>
                </c:pt>
                <c:pt idx="294">
                  <c:v>1.362752207761791E-2</c:v>
                </c:pt>
                <c:pt idx="295">
                  <c:v>1.3680674464990614E-2</c:v>
                </c:pt>
                <c:pt idx="296">
                  <c:v>1.3693677732718665E-2</c:v>
                </c:pt>
                <c:pt idx="297">
                  <c:v>1.3733357149875681E-2</c:v>
                </c:pt>
                <c:pt idx="298">
                  <c:v>1.3798493898402747E-2</c:v>
                </c:pt>
                <c:pt idx="299">
                  <c:v>1.3824716545901857E-2</c:v>
                </c:pt>
                <c:pt idx="300">
                  <c:v>1.3877452662487341E-2</c:v>
                </c:pt>
                <c:pt idx="301">
                  <c:v>1.3890337097256081E-2</c:v>
                </c:pt>
                <c:pt idx="302">
                  <c:v>1.3955395785750706E-2</c:v>
                </c:pt>
                <c:pt idx="303">
                  <c:v>1.3981444832886289E-2</c:v>
                </c:pt>
                <c:pt idx="304">
                  <c:v>1.4007464945972825E-2</c:v>
                </c:pt>
                <c:pt idx="305">
                  <c:v>1.4059809936215854E-2</c:v>
                </c:pt>
                <c:pt idx="306">
                  <c:v>1.4072586131337113E-2</c:v>
                </c:pt>
                <c:pt idx="307">
                  <c:v>1.4137131494234753E-2</c:v>
                </c:pt>
                <c:pt idx="308">
                  <c:v>1.4162977999155706E-2</c:v>
                </c:pt>
                <c:pt idx="309">
                  <c:v>1.4188795568733575E-2</c:v>
                </c:pt>
                <c:pt idx="310">
                  <c:v>1.4240749485903842E-2</c:v>
                </c:pt>
                <c:pt idx="311">
                  <c:v>1.4253417400969186E-2</c:v>
                </c:pt>
                <c:pt idx="312">
                  <c:v>1.4317449380068589E-2</c:v>
                </c:pt>
                <c:pt idx="313">
                  <c:v>1.4343093333738252E-2</c:v>
                </c:pt>
                <c:pt idx="314">
                  <c:v>1.4368708350781597E-2</c:v>
                </c:pt>
                <c:pt idx="315">
                  <c:v>1.4420271244070144E-2</c:v>
                </c:pt>
                <c:pt idx="316">
                  <c:v>1.4432830840823767E-2</c:v>
                </c:pt>
                <c:pt idx="317">
                  <c:v>1.4496349380211715E-2</c:v>
                </c:pt>
                <c:pt idx="318">
                  <c:v>1.4521790773663668E-2</c:v>
                </c:pt>
                <c:pt idx="319">
                  <c:v>1.4547203229214175E-2</c:v>
                </c:pt>
                <c:pt idx="320">
                  <c:v>1.4598375143770534E-2</c:v>
                </c:pt>
                <c:pt idx="321">
                  <c:v>1.4610826386076907E-2</c:v>
                </c:pt>
                <c:pt idx="322">
                  <c:v>1.4686676125863173E-2</c:v>
                </c:pt>
                <c:pt idx="323">
                  <c:v>1.4711901495713825E-2</c:v>
                </c:pt>
                <c:pt idx="324">
                  <c:v>1.4762707598920854E-2</c:v>
                </c:pt>
                <c:pt idx="325">
                  <c:v>1.4775061118577452E-2</c:v>
                </c:pt>
                <c:pt idx="326">
                  <c:v>1.47874039724223E-2</c:v>
                </c:pt>
                <c:pt idx="327">
                  <c:v>1.4862645995974028E-2</c:v>
                </c:pt>
                <c:pt idx="328">
                  <c:v>1.4887668791150404E-2</c:v>
                </c:pt>
                <c:pt idx="329">
                  <c:v>1.4938083999401337E-2</c:v>
                </c:pt>
                <c:pt idx="330">
                  <c:v>1.4950329102600274E-2</c:v>
                </c:pt>
                <c:pt idx="331">
                  <c:v>1.4962563536066068E-2</c:v>
                </c:pt>
                <c:pt idx="332">
                  <c:v>1.5037197816198765E-2</c:v>
                </c:pt>
                <c:pt idx="333">
                  <c:v>1.5062018027657669E-2</c:v>
                </c:pt>
                <c:pt idx="334">
                  <c:v>1.5112042373872984E-2</c:v>
                </c:pt>
                <c:pt idx="335">
                  <c:v>1.5124179030470107E-2</c:v>
                </c:pt>
                <c:pt idx="336">
                  <c:v>1.5136305013716295E-2</c:v>
                </c:pt>
                <c:pt idx="337">
                  <c:v>1.5210331523467692E-2</c:v>
                </c:pt>
                <c:pt idx="338">
                  <c:v>1.5234949142244361E-2</c:v>
                </c:pt>
                <c:pt idx="339">
                  <c:v>1.5284582655425948E-2</c:v>
                </c:pt>
                <c:pt idx="340">
                  <c:v>1.5296610837357526E-2</c:v>
                </c:pt>
                <c:pt idx="341">
                  <c:v>1.5308628342609168E-2</c:v>
                </c:pt>
                <c:pt idx="342">
                  <c:v>1.5369578923564203E-2</c:v>
                </c:pt>
                <c:pt idx="343">
                  <c:v>1.5394007383916719E-2</c:v>
                </c:pt>
                <c:pt idx="344">
                  <c:v>1.5418406900146139E-2</c:v>
                </c:pt>
                <c:pt idx="345">
                  <c:v>1.5467624458944708E-2</c:v>
                </c:pt>
                <c:pt idx="346">
                  <c:v>1.547953346047762E-2</c:v>
                </c:pt>
                <c:pt idx="347">
                  <c:v>1.5539970313308856E-2</c:v>
                </c:pt>
                <c:pt idx="348">
                  <c:v>1.5564196161133692E-2</c:v>
                </c:pt>
                <c:pt idx="349">
                  <c:v>1.5588393063617034E-2</c:v>
                </c:pt>
                <c:pt idx="350">
                  <c:v>1.5637219831455829E-2</c:v>
                </c:pt>
                <c:pt idx="351">
                  <c:v>1.5649020305569607E-2</c:v>
                </c:pt>
                <c:pt idx="352">
                  <c:v>1.5708943389903106E-2</c:v>
                </c:pt>
                <c:pt idx="353">
                  <c:v>1.5732966616728222E-2</c:v>
                </c:pt>
                <c:pt idx="354">
                  <c:v>1.5756960897012361E-2</c:v>
                </c:pt>
                <c:pt idx="355">
                  <c:v>1.5805396891639331E-2</c:v>
                </c:pt>
                <c:pt idx="356">
                  <c:v>1.5817088816655979E-2</c:v>
                </c:pt>
                <c:pt idx="357">
                  <c:v>1.5876498094264207E-2</c:v>
                </c:pt>
                <c:pt idx="358">
                  <c:v>1.5900318691690507E-2</c:v>
                </c:pt>
                <c:pt idx="359">
                  <c:v>1.5972694704715139E-2</c:v>
                </c:pt>
                <c:pt idx="360">
                  <c:v>1.5984283924460201E-2</c:v>
                </c:pt>
                <c:pt idx="361">
                  <c:v>1.5995862456721771E-2</c:v>
                </c:pt>
                <c:pt idx="362">
                  <c:v>1.6054726194028323E-2</c:v>
                </c:pt>
                <c:pt idx="363">
                  <c:v>1.611451421816747E-2</c:v>
                </c:pt>
                <c:pt idx="364">
                  <c:v>1.6126010365962274E-2</c:v>
                </c:pt>
                <c:pt idx="365">
                  <c:v>1.6137495824651259E-2</c:v>
                </c:pt>
                <c:pt idx="366">
                  <c:v>1.6148970594402436E-2</c:v>
                </c:pt>
                <c:pt idx="367">
                  <c:v>1.6219349927854582E-2</c:v>
                </c:pt>
                <c:pt idx="368">
                  <c:v>1.6242751806309182E-2</c:v>
                </c:pt>
                <c:pt idx="369">
                  <c:v>1.6290040715549098E-2</c:v>
                </c:pt>
                <c:pt idx="370">
                  <c:v>1.6301417573618172E-2</c:v>
                </c:pt>
                <c:pt idx="371">
                  <c:v>1.6312783741148012E-2</c:v>
                </c:pt>
                <c:pt idx="372">
                  <c:v>1.638255512160329E-2</c:v>
                </c:pt>
                <c:pt idx="373">
                  <c:v>1.6405754346645846E-2</c:v>
                </c:pt>
                <c:pt idx="374">
                  <c:v>1.6452652519148882E-2</c:v>
                </c:pt>
                <c:pt idx="375">
                  <c:v>1.6463920762526847E-2</c:v>
                </c:pt>
                <c:pt idx="376">
                  <c:v>1.6475178314051112E-2</c:v>
                </c:pt>
                <c:pt idx="377">
                  <c:v>1.6544341716296283E-2</c:v>
                </c:pt>
                <c:pt idx="378">
                  <c:v>1.6567338279547657E-2</c:v>
                </c:pt>
                <c:pt idx="379">
                  <c:v>1.6613845714216001E-2</c:v>
                </c:pt>
                <c:pt idx="380">
                  <c:v>1.6625005330774927E-2</c:v>
                </c:pt>
                <c:pt idx="381">
                  <c:v>1.67275035466273E-2</c:v>
                </c:pt>
                <c:pt idx="382">
                  <c:v>1.6738579699564642E-2</c:v>
                </c:pt>
                <c:pt idx="383">
                  <c:v>1.6749645159711939E-2</c:v>
                </c:pt>
                <c:pt idx="384">
                  <c:v>1.6863658875203795E-2</c:v>
                </c:pt>
                <c:pt idx="385">
                  <c:v>1.6886250090017735E-2</c:v>
                </c:pt>
                <c:pt idx="386">
                  <c:v>1.6931976031295849E-2</c:v>
                </c:pt>
                <c:pt idx="387">
                  <c:v>1.6942918365473354E-2</c:v>
                </c:pt>
                <c:pt idx="388">
                  <c:v>1.6953850005495184E-2</c:v>
                </c:pt>
                <c:pt idx="389">
                  <c:v>1.7021189324039784E-2</c:v>
                </c:pt>
                <c:pt idx="390">
                  <c:v>1.7043577852351263E-2</c:v>
                </c:pt>
                <c:pt idx="391">
                  <c:v>1.7088913030945882E-2</c:v>
                </c:pt>
                <c:pt idx="392">
                  <c:v>1.7099746713350461E-2</c:v>
                </c:pt>
                <c:pt idx="393">
                  <c:v>1.7110569701372279E-2</c:v>
                </c:pt>
                <c:pt idx="394">
                  <c:v>1.7177300943057763E-2</c:v>
                </c:pt>
                <c:pt idx="395">
                  <c:v>1.7199486776783075E-2</c:v>
                </c:pt>
                <c:pt idx="396">
                  <c:v>1.7244431177332958E-2</c:v>
                </c:pt>
                <c:pt idx="397">
                  <c:v>1.7255156203407826E-2</c:v>
                </c:pt>
                <c:pt idx="398">
                  <c:v>1.7265870535138349E-2</c:v>
                </c:pt>
                <c:pt idx="399">
                  <c:v>1.7331993675857367E-2</c:v>
                </c:pt>
                <c:pt idx="400">
                  <c:v>1.735397680697293E-2</c:v>
                </c:pt>
                <c:pt idx="401">
                  <c:v>1.7398530410640007E-2</c:v>
                </c:pt>
                <c:pt idx="402">
                  <c:v>1.7409146777677097E-2</c:v>
                </c:pt>
                <c:pt idx="403">
                  <c:v>1.7419752450680604E-2</c:v>
                </c:pt>
                <c:pt idx="404">
                  <c:v>1.7462767968464188E-2</c:v>
                </c:pt>
                <c:pt idx="405">
                  <c:v>1.7484575261812883E-2</c:v>
                </c:pt>
                <c:pt idx="406">
                  <c:v>1.7506353596204772E-2</c:v>
                </c:pt>
                <c:pt idx="407">
                  <c:v>1.7528102971483356E-2</c:v>
                </c:pt>
                <c:pt idx="408">
                  <c:v>1.7572215392385612E-2</c:v>
                </c:pt>
                <c:pt idx="409">
                  <c:v>1.7614810878499452E-2</c:v>
                </c:pt>
                <c:pt idx="410">
                  <c:v>1.7636415455981332E-2</c:v>
                </c:pt>
                <c:pt idx="411">
                  <c:v>1.7657991073452808E-2</c:v>
                </c:pt>
                <c:pt idx="412">
                  <c:v>1.7679537730768555E-2</c:v>
                </c:pt>
                <c:pt idx="413">
                  <c:v>1.7723259305170661E-2</c:v>
                </c:pt>
                <c:pt idx="414">
                  <c:v>1.7765434755495097E-2</c:v>
                </c:pt>
                <c:pt idx="415">
                  <c:v>1.7786836609802025E-2</c:v>
                </c:pt>
                <c:pt idx="416">
                  <c:v>1.7808209503061716E-2</c:v>
                </c:pt>
                <c:pt idx="417">
                  <c:v>1.7829553435131641E-2</c:v>
                </c:pt>
                <c:pt idx="418">
                  <c:v>1.7872884134444541E-2</c:v>
                </c:pt>
                <c:pt idx="419">
                  <c:v>1.7914639548528909E-2</c:v>
                </c:pt>
                <c:pt idx="420">
                  <c:v>1.793583867242541E-2</c:v>
                </c:pt>
                <c:pt idx="421">
                  <c:v>1.7957008834249017E-2</c:v>
                </c:pt>
                <c:pt idx="422">
                  <c:v>1.8021824468501535E-2</c:v>
                </c:pt>
                <c:pt idx="423">
                  <c:v>1.8031990687617724E-2</c:v>
                </c:pt>
                <c:pt idx="424">
                  <c:v>1.8084172108002405E-2</c:v>
                </c:pt>
                <c:pt idx="425">
                  <c:v>1.8105141608392626E-2</c:v>
                </c:pt>
                <c:pt idx="426">
                  <c:v>1.8147740825444666E-2</c:v>
                </c:pt>
                <c:pt idx="427">
                  <c:v>1.8157813920395977E-2</c:v>
                </c:pt>
                <c:pt idx="428">
                  <c:v>1.8167876326718835E-2</c:v>
                </c:pt>
                <c:pt idx="429">
                  <c:v>1.8230350367536501E-2</c:v>
                </c:pt>
                <c:pt idx="430">
                  <c:v>1.8251117118757189E-2</c:v>
                </c:pt>
                <c:pt idx="431">
                  <c:v>1.8293325354593905E-2</c:v>
                </c:pt>
                <c:pt idx="432">
                  <c:v>1.8303289812249025E-2</c:v>
                </c:pt>
                <c:pt idx="433">
                  <c:v>1.8313243583119858E-2</c:v>
                </c:pt>
                <c:pt idx="434">
                  <c:v>1.8375109360321631E-2</c:v>
                </c:pt>
                <c:pt idx="435">
                  <c:v>1.8395673354866859E-2</c:v>
                </c:pt>
                <c:pt idx="436">
                  <c:v>1.8437490567195083E-2</c:v>
                </c:pt>
                <c:pt idx="437">
                  <c:v>1.8447346397354319E-2</c:v>
                </c:pt>
                <c:pt idx="438">
                  <c:v>1.8457191542813549E-2</c:v>
                </c:pt>
                <c:pt idx="439">
                  <c:v>1.8518449034048961E-2</c:v>
                </c:pt>
                <c:pt idx="440">
                  <c:v>1.8538810264488611E-2</c:v>
                </c:pt>
                <c:pt idx="441">
                  <c:v>1.858023640779044E-2</c:v>
                </c:pt>
                <c:pt idx="442">
                  <c:v>1.8589983621973109E-2</c:v>
                </c:pt>
                <c:pt idx="443">
                  <c:v>1.8680527795888774E-2</c:v>
                </c:pt>
                <c:pt idx="444">
                  <c:v>1.8690191588463856E-2</c:v>
                </c:pt>
                <c:pt idx="445">
                  <c:v>1.8699844701497513E-2</c:v>
                </c:pt>
                <c:pt idx="446">
                  <c:v>1.8751259532301945E-2</c:v>
                </c:pt>
                <c:pt idx="447">
                  <c:v>1.8790471795991436E-2</c:v>
                </c:pt>
                <c:pt idx="448">
                  <c:v>1.8810440932971611E-2</c:v>
                </c:pt>
                <c:pt idx="449">
                  <c:v>1.8830381101447267E-2</c:v>
                </c:pt>
                <c:pt idx="450">
                  <c:v>1.8870999777450444E-2</c:v>
                </c:pt>
                <c:pt idx="451">
                  <c:v>1.8880519124052499E-2</c:v>
                </c:pt>
                <c:pt idx="452">
                  <c:v>1.8929647411240962E-2</c:v>
                </c:pt>
                <c:pt idx="453">
                  <c:v>1.8949413765693479E-2</c:v>
                </c:pt>
                <c:pt idx="454">
                  <c:v>1.8969151150644608E-2</c:v>
                </c:pt>
                <c:pt idx="455">
                  <c:v>1.9009378603483222E-2</c:v>
                </c:pt>
                <c:pt idx="456">
                  <c:v>1.9018789381872986E-2</c:v>
                </c:pt>
                <c:pt idx="457">
                  <c:v>1.90674035279896E-2</c:v>
                </c:pt>
                <c:pt idx="458">
                  <c:v>1.9086967092993106E-2</c:v>
                </c:pt>
                <c:pt idx="459">
                  <c:v>1.9106501687519966E-2</c:v>
                </c:pt>
                <c:pt idx="460">
                  <c:v>1.9146337859375431E-2</c:v>
                </c:pt>
                <c:pt idx="461">
                  <c:v>1.915564008802239E-2</c:v>
                </c:pt>
                <c:pt idx="462">
                  <c:v>1.9203740098055332E-2</c:v>
                </c:pt>
                <c:pt idx="463">
                  <c:v>1.9223100866774923E-2</c:v>
                </c:pt>
                <c:pt idx="464">
                  <c:v>1.924243266403991E-2</c:v>
                </c:pt>
                <c:pt idx="465">
                  <c:v>1.9291935545479505E-2</c:v>
                </c:pt>
                <c:pt idx="466">
                  <c:v>1.9301124408586598E-2</c:v>
                </c:pt>
                <c:pt idx="467">
                  <c:v>1.9367823005122825E-2</c:v>
                </c:pt>
                <c:pt idx="468">
                  <c:v>1.9406901602443571E-2</c:v>
                </c:pt>
                <c:pt idx="469">
                  <c:v>1.9415997456906746E-2</c:v>
                </c:pt>
                <c:pt idx="470">
                  <c:v>1.9425082647996843E-2</c:v>
                </c:pt>
                <c:pt idx="471">
                  <c:v>1.9482081529913414E-2</c:v>
                </c:pt>
                <c:pt idx="472">
                  <c:v>1.9501023209688519E-2</c:v>
                </c:pt>
                <c:pt idx="473">
                  <c:v>1.9539710332050653E-2</c:v>
                </c:pt>
                <c:pt idx="474">
                  <c:v>1.9548697697949688E-2</c:v>
                </c:pt>
                <c:pt idx="475">
                  <c:v>1.9557674404448715E-2</c:v>
                </c:pt>
                <c:pt idx="476">
                  <c:v>1.9614064829454013E-2</c:v>
                </c:pt>
                <c:pt idx="477">
                  <c:v>1.9632803688307481E-2</c:v>
                </c:pt>
                <c:pt idx="478">
                  <c:v>1.9671099265644788E-2</c:v>
                </c:pt>
                <c:pt idx="479">
                  <c:v>1.9679978167664799E-2</c:v>
                </c:pt>
                <c:pt idx="480">
                  <c:v>1.968884641448574E-2</c:v>
                </c:pt>
                <c:pt idx="481">
                  <c:v>1.9744628362197935E-2</c:v>
                </c:pt>
                <c:pt idx="482">
                  <c:v>1.9763164393358484E-2</c:v>
                </c:pt>
                <c:pt idx="483">
                  <c:v>1.9801068352680112E-2</c:v>
                </c:pt>
                <c:pt idx="484">
                  <c:v>1.98098388170748E-2</c:v>
                </c:pt>
                <c:pt idx="485">
                  <c:v>1.9818598630695853E-2</c:v>
                </c:pt>
                <c:pt idx="486">
                  <c:v>1.9882475031097191E-2</c:v>
                </c:pt>
                <c:pt idx="487">
                  <c:v>1.9900793080939432E-2</c:v>
                </c:pt>
                <c:pt idx="488">
                  <c:v>1.9938282543108081E-2</c:v>
                </c:pt>
                <c:pt idx="489">
                  <c:v>1.994693404641101E-2</c:v>
                </c:pt>
                <c:pt idx="490">
                  <c:v>1.9991953079335621E-2</c:v>
                </c:pt>
                <c:pt idx="491">
                  <c:v>2.0010099412613558E-2</c:v>
                </c:pt>
                <c:pt idx="492">
                  <c:v>2.0028217318343887E-2</c:v>
                </c:pt>
                <c:pt idx="493">
                  <c:v>2.0065324024955665E-2</c:v>
                </c:pt>
                <c:pt idx="494">
                  <c:v>2.0073867816598139E-2</c:v>
                </c:pt>
                <c:pt idx="495">
                  <c:v>2.0118382352722231E-2</c:v>
                </c:pt>
                <c:pt idx="496">
                  <c:v>2.0136330844526561E-2</c:v>
                </c:pt>
                <c:pt idx="497">
                  <c:v>2.0154251292569834E-2</c:v>
                </c:pt>
                <c:pt idx="498">
                  <c:v>2.0190980888415803E-2</c:v>
                </c:pt>
                <c:pt idx="499">
                  <c:v>2.019941813766624E-2</c:v>
                </c:pt>
                <c:pt idx="500">
                  <c:v>2.0243434795422049E-2</c:v>
                </c:pt>
                <c:pt idx="501">
                  <c:v>2.0261188132328911E-2</c:v>
                </c:pt>
                <c:pt idx="502">
                  <c:v>2.0278913809285593E-2</c:v>
                </c:pt>
                <c:pt idx="503">
                  <c:v>2.031527076057589E-2</c:v>
                </c:pt>
                <c:pt idx="504">
                  <c:v>2.03236032072923E-2</c:v>
                </c:pt>
                <c:pt idx="505">
                  <c:v>2.0367129213997602E-2</c:v>
                </c:pt>
                <c:pt idx="506">
                  <c:v>2.0384690073597816E-2</c:v>
                </c:pt>
                <c:pt idx="507">
                  <c:v>2.0402223602133656E-2</c:v>
                </c:pt>
                <c:pt idx="508">
                  <c:v>2.0410476998037407E-2</c:v>
                </c:pt>
                <c:pt idx="509">
                  <c:v>2.0446440657110394E-2</c:v>
                </c:pt>
                <c:pt idx="510">
                  <c:v>2.0498675195702837E-2</c:v>
                </c:pt>
                <c:pt idx="511">
                  <c:v>2.051603204365321E-2</c:v>
                </c:pt>
                <c:pt idx="512">
                  <c:v>2.0551674253093559E-2</c:v>
                </c:pt>
                <c:pt idx="513">
                  <c:v>2.0559811458094358E-2</c:v>
                </c:pt>
                <c:pt idx="514">
                  <c:v>2.0567938591066239E-2</c:v>
                </c:pt>
                <c:pt idx="515">
                  <c:v>2.0619599141299263E-2</c:v>
                </c:pt>
                <c:pt idx="516">
                  <c:v>2.063676465811282E-2</c:v>
                </c:pt>
                <c:pt idx="517">
                  <c:v>2.0672037781906117E-2</c:v>
                </c:pt>
                <c:pt idx="518">
                  <c:v>2.0791061884436735E-2</c:v>
                </c:pt>
                <c:pt idx="519">
                  <c:v>2.0917623899253765E-2</c:v>
                </c:pt>
                <c:pt idx="520">
                  <c:v>2.1025091638367403E-2</c:v>
                </c:pt>
                <c:pt idx="521">
                  <c:v>2.1140097204845686E-2</c:v>
                </c:pt>
                <c:pt idx="522">
                  <c:v>2.1253763175205859E-2</c:v>
                </c:pt>
                <c:pt idx="523">
                  <c:v>2.1366089508190456E-2</c:v>
                </c:pt>
                <c:pt idx="524">
                  <c:v>2.145173143942547E-2</c:v>
                </c:pt>
                <c:pt idx="525">
                  <c:v>2.1561646050025567E-2</c:v>
                </c:pt>
                <c:pt idx="526">
                  <c:v>2.1670221050170468E-2</c:v>
                </c:pt>
                <c:pt idx="527">
                  <c:v>2.1777456404040423E-2</c:v>
                </c:pt>
                <c:pt idx="528">
                  <c:v>2.1883352076261429E-2</c:v>
                </c:pt>
                <c:pt idx="529">
                  <c:v>2.2011912872812758E-2</c:v>
                </c:pt>
                <c:pt idx="530">
                  <c:v>2.2114860630150359E-2</c:v>
                </c:pt>
                <c:pt idx="531">
                  <c:v>2.2216468437649496E-2</c:v>
                </c:pt>
                <c:pt idx="532">
                  <c:v>2.2316736258436578E-2</c:v>
                </c:pt>
                <c:pt idx="533">
                  <c:v>2.2392734005369529E-2</c:v>
                </c:pt>
                <c:pt idx="534">
                  <c:v>2.2490590869529536E-2</c:v>
                </c:pt>
                <c:pt idx="535">
                  <c:v>2.2587107816774053E-2</c:v>
                </c:pt>
                <c:pt idx="536">
                  <c:v>2.2682284815262688E-2</c:v>
                </c:pt>
                <c:pt idx="537">
                  <c:v>2.2776121833595418E-2</c:v>
                </c:pt>
                <c:pt idx="538">
                  <c:v>2.289020145860662E-2</c:v>
                </c:pt>
                <c:pt idx="539">
                  <c:v>2.2981088380822759E-2</c:v>
                </c:pt>
                <c:pt idx="540">
                  <c:v>2.3070635038851386E-2</c:v>
                </c:pt>
                <c:pt idx="541">
                  <c:v>2.3158841400192944E-2</c:v>
                </c:pt>
                <c:pt idx="542">
                  <c:v>2.3245707432836608E-2</c:v>
                </c:pt>
                <c:pt idx="543">
                  <c:v>2.3331233105262739E-2</c:v>
                </c:pt>
                <c:pt idx="544">
                  <c:v>2.3415418386430614E-2</c:v>
                </c:pt>
                <c:pt idx="545">
                  <c:v>2.3498263245788242E-2</c:v>
                </c:pt>
                <c:pt idx="546">
                  <c:v>2.3547364707164418E-2</c:v>
                </c:pt>
                <c:pt idx="547">
                  <c:v>2.3627981353045325E-2</c:v>
                </c:pt>
                <c:pt idx="548">
                  <c:v>2.3707257844690632E-2</c:v>
                </c:pt>
                <c:pt idx="549">
                  <c:v>2.3785194157682248E-2</c:v>
                </c:pt>
                <c:pt idx="550">
                  <c:v>2.3892380180154667E-2</c:v>
                </c:pt>
                <c:pt idx="551">
                  <c:v>2.3967181894300353E-2</c:v>
                </c:pt>
                <c:pt idx="552">
                  <c:v>2.4046553996484588E-2</c:v>
                </c:pt>
                <c:pt idx="553">
                  <c:v>2.4112763429762072E-2</c:v>
                </c:pt>
                <c:pt idx="554">
                  <c:v>2.4166305896248502E-2</c:v>
                </c:pt>
                <c:pt idx="555">
                  <c:v>2.4236018406253262E-2</c:v>
                </c:pt>
                <c:pt idx="556">
                  <c:v>2.4304390423487088E-2</c:v>
                </c:pt>
                <c:pt idx="557">
                  <c:v>2.4371421925394803E-2</c:v>
                </c:pt>
                <c:pt idx="558">
                  <c:v>2.4437112889848067E-2</c:v>
                </c:pt>
                <c:pt idx="559">
                  <c:v>2.4517331035261249E-2</c:v>
                </c:pt>
                <c:pt idx="560">
                  <c:v>2.4580066231985827E-2</c:v>
                </c:pt>
                <c:pt idx="561">
                  <c:v>2.4641460584216787E-2</c:v>
                </c:pt>
                <c:pt idx="562">
                  <c:v>2.4701514069681137E-2</c:v>
                </c:pt>
                <c:pt idx="563">
                  <c:v>2.4745461446937012E-2</c:v>
                </c:pt>
                <c:pt idx="564">
                  <c:v>2.4803200268281277E-2</c:v>
                </c:pt>
                <c:pt idx="565">
                  <c:v>2.4859874950867243E-2</c:v>
                </c:pt>
                <c:pt idx="566">
                  <c:v>2.4915679058934846E-2</c:v>
                </c:pt>
                <c:pt idx="567">
                  <c:v>2.4970806066419549E-2</c:v>
                </c:pt>
                <c:pt idx="568">
                  <c:v>2.503952655331149E-2</c:v>
                </c:pt>
                <c:pt idx="569">
                  <c:v>2.5093512644576457E-2</c:v>
                </c:pt>
                <c:pt idx="570">
                  <c:v>2.5146987549623554E-2</c:v>
                </c:pt>
                <c:pt idx="571">
                  <c:v>2.5204555215379072E-2</c:v>
                </c:pt>
                <c:pt idx="572">
                  <c:v>2.5252403771533836E-2</c:v>
                </c:pt>
                <c:pt idx="573">
                  <c:v>2.5304345073808684E-2</c:v>
                </c:pt>
                <c:pt idx="574">
                  <c:v>2.5355775160686551E-2</c:v>
                </c:pt>
                <c:pt idx="575">
                  <c:v>2.5406694025055007E-2</c:v>
                </c:pt>
                <c:pt idx="576">
                  <c:v>2.5443766440914728E-2</c:v>
                </c:pt>
                <c:pt idx="577">
                  <c:v>2.5493761935005931E-2</c:v>
                </c:pt>
                <c:pt idx="578">
                  <c:v>2.5543246273835012E-2</c:v>
                </c:pt>
                <c:pt idx="579">
                  <c:v>2.5592219451177622E-2</c:v>
                </c:pt>
                <c:pt idx="580">
                  <c:v>2.5640681460874247E-2</c:v>
                </c:pt>
                <c:pt idx="581">
                  <c:v>2.5701471148863252E-2</c:v>
                </c:pt>
                <c:pt idx="582">
                  <c:v>2.574881126231152E-2</c:v>
                </c:pt>
                <c:pt idx="583">
                  <c:v>2.5795640098851134E-2</c:v>
                </c:pt>
                <c:pt idx="584">
                  <c:v>2.584195765201067E-2</c:v>
                </c:pt>
                <c:pt idx="585">
                  <c:v>2.5875323783493331E-2</c:v>
                </c:pt>
                <c:pt idx="586">
                  <c:v>2.5920718661519387E-2</c:v>
                </c:pt>
                <c:pt idx="587">
                  <c:v>2.5965602330568549E-2</c:v>
                </c:pt>
                <c:pt idx="588">
                  <c:v>2.6009974784997301E-2</c:v>
                </c:pt>
                <c:pt idx="589">
                  <c:v>2.6053836019218846E-2</c:v>
                </c:pt>
                <c:pt idx="590">
                  <c:v>2.610912566590487E-2</c:v>
                </c:pt>
                <c:pt idx="591">
                  <c:v>2.6151864059862528E-2</c:v>
                </c:pt>
                <c:pt idx="592">
                  <c:v>2.619409112113941E-2</c:v>
                </c:pt>
                <c:pt idx="593">
                  <c:v>2.6235806843890361E-2</c:v>
                </c:pt>
                <c:pt idx="594">
                  <c:v>2.6277011222338987E-2</c:v>
                </c:pt>
                <c:pt idx="595">
                  <c:v>2.6317704250789952E-2</c:v>
                </c:pt>
                <c:pt idx="596">
                  <c:v>2.6357885923609305E-2</c:v>
                </c:pt>
                <c:pt idx="597">
                  <c:v>2.6397556235231871E-2</c:v>
                </c:pt>
                <c:pt idx="598">
                  <c:v>2.641814359507523E-2</c:v>
                </c:pt>
                <c:pt idx="599">
                  <c:v>2.6456959755991008E-2</c:v>
                </c:pt>
                <c:pt idx="600">
                  <c:v>2.6495264706135491E-2</c:v>
                </c:pt>
                <c:pt idx="601">
                  <c:v>2.6533058441010615E-2</c:v>
                </c:pt>
                <c:pt idx="602">
                  <c:v>2.6573926304576837E-2</c:v>
                </c:pt>
                <c:pt idx="603">
                  <c:v>2.6624839217404397E-2</c:v>
                </c:pt>
                <c:pt idx="604">
                  <c:v>2.6660929850910311E-2</c:v>
                </c:pt>
                <c:pt idx="605">
                  <c:v>2.6696509081279209E-2</c:v>
                </c:pt>
                <c:pt idx="606">
                  <c:v>2.6731576903594297E-2</c:v>
                </c:pt>
                <c:pt idx="607">
                  <c:v>2.6755913600871855E-2</c:v>
                </c:pt>
                <c:pt idx="608">
                  <c:v>2.67900606760401E-2</c:v>
                </c:pt>
                <c:pt idx="609">
                  <c:v>2.6823696432854094E-2</c:v>
                </c:pt>
                <c:pt idx="610">
                  <c:v>2.6856820867085927E-2</c:v>
                </c:pt>
                <c:pt idx="611">
                  <c:v>2.6899244726903651E-2</c:v>
                </c:pt>
                <c:pt idx="612">
                  <c:v>2.6931244001425027E-2</c:v>
                </c:pt>
                <c:pt idx="613">
                  <c:v>2.6962731835405311E-2</c:v>
                </c:pt>
                <c:pt idx="614">
                  <c:v>2.6993708224482733E-2</c:v>
                </c:pt>
                <c:pt idx="615">
                  <c:v>2.7014773422595211E-2</c:v>
                </c:pt>
                <c:pt idx="616">
                  <c:v>2.7044862886257702E-2</c:v>
                </c:pt>
                <c:pt idx="617">
                  <c:v>2.7074562290979709E-2</c:v>
                </c:pt>
                <c:pt idx="618">
                  <c:v>2.7103965971817079E-2</c:v>
                </c:pt>
                <c:pt idx="619">
                  <c:v>2.7133168264768491E-2</c:v>
                </c:pt>
                <c:pt idx="620">
                  <c:v>2.717147932434736E-2</c:v>
                </c:pt>
                <c:pt idx="621">
                  <c:v>2.7200435313080414E-2</c:v>
                </c:pt>
                <c:pt idx="622">
                  <c:v>2.7229284232011524E-2</c:v>
                </c:pt>
                <c:pt idx="623">
                  <c:v>2.726108601875897E-2</c:v>
                </c:pt>
                <c:pt idx="624">
                  <c:v>2.7286660857132723E-2</c:v>
                </c:pt>
                <c:pt idx="625">
                  <c:v>2.7315188561657679E-2</c:v>
                </c:pt>
                <c:pt idx="626">
                  <c:v>2.7343609193057793E-2</c:v>
                </c:pt>
                <c:pt idx="627">
                  <c:v>2.7371922750510317E-2</c:v>
                </c:pt>
                <c:pt idx="628">
                  <c:v>2.7391030005858186E-2</c:v>
                </c:pt>
                <c:pt idx="629">
                  <c:v>2.7419146031182895E-2</c:v>
                </c:pt>
                <c:pt idx="630">
                  <c:v>2.74471549979232E-2</c:v>
                </c:pt>
                <c:pt idx="631">
                  <c:v>2.7475056905338878E-2</c:v>
                </c:pt>
                <c:pt idx="632">
                  <c:v>2.7502851752697809E-2</c:v>
                </c:pt>
                <c:pt idx="633">
                  <c:v>2.7539555496534994E-2</c:v>
                </c:pt>
                <c:pt idx="634">
                  <c:v>2.7567119513533741E-2</c:v>
                </c:pt>
                <c:pt idx="635">
                  <c:v>2.7594576450106111E-2</c:v>
                </c:pt>
                <c:pt idx="636">
                  <c:v>2.7621926305453921E-2</c:v>
                </c:pt>
                <c:pt idx="637">
                  <c:v>2.764022006308468E-2</c:v>
                </c:pt>
                <c:pt idx="638">
                  <c:v>2.7667372534812405E-2</c:v>
                </c:pt>
                <c:pt idx="639">
                  <c:v>2.7694417941415288E-2</c:v>
                </c:pt>
                <c:pt idx="640">
                  <c:v>2.7721356282177423E-2</c:v>
                </c:pt>
                <c:pt idx="641">
                  <c:v>2.7748187556393709E-2</c:v>
                </c:pt>
                <c:pt idx="642">
                  <c:v>2.7783776687671968E-2</c:v>
                </c:pt>
                <c:pt idx="643">
                  <c:v>2.7810376952432735E-2</c:v>
                </c:pt>
                <c:pt idx="644">
                  <c:v>2.7836870129716095E-2</c:v>
                </c:pt>
                <c:pt idx="645">
                  <c:v>2.7864080030918642E-2</c:v>
                </c:pt>
                <c:pt idx="646">
                  <c:v>2.789034937773844E-2</c:v>
                </c:pt>
                <c:pt idx="647">
                  <c:v>2.7916511641025085E-2</c:v>
                </c:pt>
                <c:pt idx="648">
                  <c:v>2.794256682004663E-2</c:v>
                </c:pt>
                <c:pt idx="649">
                  <c:v>2.7968514914063526E-2</c:v>
                </c:pt>
                <c:pt idx="650">
                  <c:v>2.7982717610445993E-2</c:v>
                </c:pt>
                <c:pt idx="651">
                  <c:v>2.8008474233635772E-2</c:v>
                </c:pt>
                <c:pt idx="652">
                  <c:v>2.8034123795458561E-2</c:v>
                </c:pt>
                <c:pt idx="653">
                  <c:v>2.8059666295280457E-2</c:v>
                </c:pt>
                <c:pt idx="654">
                  <c:v>2.8087989163281982E-2</c:v>
                </c:pt>
                <c:pt idx="655">
                  <c:v>2.812195465253655E-2</c:v>
                </c:pt>
                <c:pt idx="656">
                  <c:v>2.8147153131299861E-2</c:v>
                </c:pt>
                <c:pt idx="657">
                  <c:v>2.8175113239067968E-2</c:v>
                </c:pt>
                <c:pt idx="658">
                  <c:v>2.8197228815870917E-2</c:v>
                </c:pt>
                <c:pt idx="659">
                  <c:v>2.8224963287498246E-2</c:v>
                </c:pt>
                <c:pt idx="660">
                  <c:v>2.824687613181151E-2</c:v>
                </c:pt>
                <c:pt idx="661">
                  <c:v>2.8271539149800039E-2</c:v>
                </c:pt>
                <c:pt idx="662">
                  <c:v>2.8298935112145596E-2</c:v>
                </c:pt>
                <c:pt idx="663">
                  <c:v>2.8320543902346298E-2</c:v>
                </c:pt>
                <c:pt idx="664">
                  <c:v>2.8344885635526243E-2</c:v>
                </c:pt>
                <c:pt idx="665">
                  <c:v>2.8369120272398116E-2</c:v>
                </c:pt>
                <c:pt idx="666">
                  <c:v>2.8393247812280621E-2</c:v>
                </c:pt>
                <c:pt idx="667">
                  <c:v>2.8408832281776517E-2</c:v>
                </c:pt>
                <c:pt idx="668">
                  <c:v>2.8441220948119891E-2</c:v>
                </c:pt>
                <c:pt idx="669">
                  <c:v>2.8465160261138059E-2</c:v>
                </c:pt>
                <c:pt idx="670">
                  <c:v>2.8489148928643911E-2</c:v>
                </c:pt>
                <c:pt idx="671">
                  <c:v>2.8513247794152187E-2</c:v>
                </c:pt>
                <c:pt idx="672">
                  <c:v>2.8537507561135524E-2</c:v>
                </c:pt>
                <c:pt idx="673">
                  <c:v>2.8561938371196166E-2</c:v>
                </c:pt>
                <c:pt idx="674">
                  <c:v>2.8586540225430772E-2</c:v>
                </c:pt>
                <c:pt idx="675">
                  <c:v>2.8614219226374769E-2</c:v>
                </c:pt>
                <c:pt idx="676">
                  <c:v>2.8636257070836363E-2</c:v>
                </c:pt>
                <c:pt idx="677">
                  <c:v>2.8661372064241186E-2</c:v>
                </c:pt>
                <c:pt idx="678">
                  <c:v>2.8686658106280051E-2</c:v>
                </c:pt>
                <c:pt idx="679">
                  <c:v>2.8712115198087605E-2</c:v>
                </c:pt>
                <c:pt idx="680">
                  <c:v>2.8737743340803562E-2</c:v>
                </c:pt>
                <c:pt idx="681">
                  <c:v>2.8763542535580298E-2</c:v>
                </c:pt>
                <c:pt idx="682">
                  <c:v>2.8789512783577789E-2</c:v>
                </c:pt>
                <c:pt idx="683">
                  <c:v>2.8815654085953477E-2</c:v>
                </c:pt>
                <c:pt idx="684">
                  <c:v>2.8841966443887597E-2</c:v>
                </c:pt>
                <c:pt idx="685">
                  <c:v>2.8868449858557854E-2</c:v>
                </c:pt>
                <c:pt idx="686">
                  <c:v>2.8895104331152083E-2</c:v>
                </c:pt>
                <c:pt idx="687">
                  <c:v>2.8921929862868248E-2</c:v>
                </c:pt>
                <c:pt idx="688">
                  <c:v>2.8948926454906848E-2</c:v>
                </c:pt>
                <c:pt idx="689">
                  <c:v>2.8966785575493887E-2</c:v>
                </c:pt>
                <c:pt idx="690">
                  <c:v>2.9003432824806531E-2</c:v>
                </c:pt>
                <c:pt idx="691">
                  <c:v>2.9030942605116732E-2</c:v>
                </c:pt>
                <c:pt idx="692">
                  <c:v>2.9058623450642536E-2</c:v>
                </c:pt>
                <c:pt idx="693">
                  <c:v>2.9086475362622433E-2</c:v>
                </c:pt>
                <c:pt idx="694">
                  <c:v>2.9114498342310106E-2</c:v>
                </c:pt>
                <c:pt idx="695">
                  <c:v>2.9142692390959242E-2</c:v>
                </c:pt>
                <c:pt idx="696">
                  <c:v>2.9171057509841253E-2</c:v>
                </c:pt>
                <c:pt idx="697">
                  <c:v>2.9200462281217442E-2</c:v>
                </c:pt>
                <c:pt idx="698">
                  <c:v>2.9229179468107228E-2</c:v>
                </c:pt>
                <c:pt idx="699">
                  <c:v>2.9258067713209306E-2</c:v>
                </c:pt>
                <c:pt idx="700">
                  <c:v>2.9287127017775968E-2</c:v>
                </c:pt>
                <c:pt idx="701">
                  <c:v>2.931635738307781E-2</c:v>
                </c:pt>
                <c:pt idx="702">
                  <c:v>2.9335884046362559E-2</c:v>
                </c:pt>
                <c:pt idx="703">
                  <c:v>2.937533130096159E-2</c:v>
                </c:pt>
                <c:pt idx="704">
                  <c:v>2.9405074856110863E-2</c:v>
                </c:pt>
                <c:pt idx="705">
                  <c:v>2.9434989477114305E-2</c:v>
                </c:pt>
                <c:pt idx="706">
                  <c:v>2.9468428367138699E-2</c:v>
                </c:pt>
                <c:pt idx="707">
                  <c:v>2.9495331921907262E-2</c:v>
                </c:pt>
                <c:pt idx="708">
                  <c:v>2.9529142289055864E-2</c:v>
                </c:pt>
                <c:pt idx="709">
                  <c:v>2.9556358645834654E-2</c:v>
                </c:pt>
                <c:pt idx="710">
                  <c:v>2.9587128615782277E-2</c:v>
                </c:pt>
                <c:pt idx="711">
                  <c:v>2.9621496332138605E-2</c:v>
                </c:pt>
                <c:pt idx="712">
                  <c:v>2.966358868607244E-2</c:v>
                </c:pt>
                <c:pt idx="713">
                  <c:v>2.9694954872617606E-2</c:v>
                </c:pt>
                <c:pt idx="714">
                  <c:v>2.9726492121064929E-2</c:v>
                </c:pt>
                <c:pt idx="715">
                  <c:v>2.976169304058866E-2</c:v>
                </c:pt>
                <c:pt idx="716">
                  <c:v>2.9793587234430763E-2</c:v>
                </c:pt>
                <c:pt idx="717">
                  <c:v>2.9825652511018649E-2</c:v>
                </c:pt>
                <c:pt idx="718">
                  <c:v>2.985788887174318E-2</c:v>
                </c:pt>
                <c:pt idx="719">
                  <c:v>2.9886743779048763E-2</c:v>
                </c:pt>
                <c:pt idx="720">
                  <c:v>2.9919287262674232E-2</c:v>
                </c:pt>
                <c:pt idx="721">
                  <c:v>2.9951940889062501E-2</c:v>
                </c:pt>
                <c:pt idx="722">
                  <c:v>2.9984662009048223E-2</c:v>
                </c:pt>
                <c:pt idx="723">
                  <c:v>3.0020979771982249E-2</c:v>
                </c:pt>
                <c:pt idx="724">
                  <c:v>3.0053720374043493E-2</c:v>
                </c:pt>
                <c:pt idx="725">
                  <c:v>3.0086449264796897E-2</c:v>
                </c:pt>
                <c:pt idx="726">
                  <c:v>3.0119166444140505E-2</c:v>
                </c:pt>
                <c:pt idx="727">
                  <c:v>3.0151871911977584E-2</c:v>
                </c:pt>
                <c:pt idx="728">
                  <c:v>3.0184565668211392E-2</c:v>
                </c:pt>
                <c:pt idx="729">
                  <c:v>3.0217247712739981E-2</c:v>
                </c:pt>
                <c:pt idx="730">
                  <c:v>3.0249918045471835E-2</c:v>
                </c:pt>
                <c:pt idx="731">
                  <c:v>3.0282576666305003E-2</c:v>
                </c:pt>
                <c:pt idx="732">
                  <c:v>3.0311635039256345E-2</c:v>
                </c:pt>
                <c:pt idx="733">
                  <c:v>3.0344268364334719E-2</c:v>
                </c:pt>
                <c:pt idx="734">
                  <c:v>3.0376889975288944E-2</c:v>
                </c:pt>
                <c:pt idx="735">
                  <c:v>3.0409499872032564E-2</c:v>
                </c:pt>
                <c:pt idx="736">
                  <c:v>3.0442098054462928E-2</c:v>
                </c:pt>
                <c:pt idx="737">
                  <c:v>3.0478282435983078E-2</c:v>
                </c:pt>
                <c:pt idx="738">
                  <c:v>3.0510859070795978E-2</c:v>
                </c:pt>
                <c:pt idx="739">
                  <c:v>3.0543423992933711E-2</c:v>
                </c:pt>
                <c:pt idx="740">
                  <c:v>3.057597720229693E-2</c:v>
                </c:pt>
                <c:pt idx="741">
                  <c:v>3.0604913248676684E-2</c:v>
                </c:pt>
                <c:pt idx="742">
                  <c:v>3.0637441143268867E-2</c:v>
                </c:pt>
                <c:pt idx="743">
                  <c:v>3.0669957322894015E-2</c:v>
                </c:pt>
                <c:pt idx="744">
                  <c:v>3.0702461787452173E-2</c:v>
                </c:pt>
                <c:pt idx="745">
                  <c:v>3.0749408903612385E-2</c:v>
                </c:pt>
                <c:pt idx="746">
                  <c:v>3.0771050484718603E-2</c:v>
                </c:pt>
                <c:pt idx="747">
                  <c:v>3.0803521701922954E-2</c:v>
                </c:pt>
                <c:pt idx="748">
                  <c:v>3.0835981205573699E-2</c:v>
                </c:pt>
                <c:pt idx="749">
                  <c:v>3.0868428995574109E-2</c:v>
                </c:pt>
                <c:pt idx="750">
                  <c:v>3.0900865071827446E-2</c:v>
                </c:pt>
                <c:pt idx="751">
                  <c:v>3.093328943423437E-2</c:v>
                </c:pt>
                <c:pt idx="752">
                  <c:v>3.0965702082698148E-2</c:v>
                </c:pt>
                <c:pt idx="753">
                  <c:v>3.0998103017122039E-2</c:v>
                </c:pt>
                <c:pt idx="754">
                  <c:v>3.1019602938797686E-2</c:v>
                </c:pt>
                <c:pt idx="755">
                  <c:v>3.1051974706151775E-2</c:v>
                </c:pt>
                <c:pt idx="756">
                  <c:v>3.1084334753594241E-2</c:v>
                </c:pt>
                <c:pt idx="757">
                  <c:v>3.1116683081032451E-2</c:v>
                </c:pt>
                <c:pt idx="758">
                  <c:v>3.117448714369301E-2</c:v>
                </c:pt>
                <c:pt idx="759">
                  <c:v>3.1192262623423936E-2</c:v>
                </c:pt>
                <c:pt idx="760">
                  <c:v>3.1224581556865371E-2</c:v>
                </c:pt>
                <c:pt idx="761">
                  <c:v>3.1256888775487837E-2</c:v>
                </c:pt>
                <c:pt idx="762">
                  <c:v>3.1289184279199828E-2</c:v>
                </c:pt>
                <c:pt idx="763">
                  <c:v>3.1317820627025594E-2</c:v>
                </c:pt>
                <c:pt idx="764">
                  <c:v>3.135009077059292E-2</c:v>
                </c:pt>
                <c:pt idx="765">
                  <c:v>3.1382349197126534E-2</c:v>
                </c:pt>
                <c:pt idx="766">
                  <c:v>3.1414595906531881E-2</c:v>
                </c:pt>
                <c:pt idx="767">
                  <c:v>3.1450486070735313E-2</c:v>
                </c:pt>
                <c:pt idx="768">
                  <c:v>3.1482711282960908E-2</c:v>
                </c:pt>
                <c:pt idx="769">
                  <c:v>3.1514924779596283E-2</c:v>
                </c:pt>
                <c:pt idx="770">
                  <c:v>3.1547126560552551E-2</c:v>
                </c:pt>
                <c:pt idx="771">
                  <c:v>3.1575652244739093E-2</c:v>
                </c:pt>
                <c:pt idx="772">
                  <c:v>3.1607776443635438E-2</c:v>
                </c:pt>
                <c:pt idx="773">
                  <c:v>3.1639731179956408E-2</c:v>
                </c:pt>
                <c:pt idx="774">
                  <c:v>3.1671406030918892E-2</c:v>
                </c:pt>
                <c:pt idx="775">
                  <c:v>3.1702690626268591E-2</c:v>
                </c:pt>
                <c:pt idx="776">
                  <c:v>3.1737037438794892E-2</c:v>
                </c:pt>
                <c:pt idx="777">
                  <c:v>3.1767331691843023E-2</c:v>
                </c:pt>
                <c:pt idx="778">
                  <c:v>3.1797140938004211E-2</c:v>
                </c:pt>
                <c:pt idx="779">
                  <c:v>3.1826465173599994E-2</c:v>
                </c:pt>
                <c:pt idx="780">
                  <c:v>3.1855304395014668E-2</c:v>
                </c:pt>
                <c:pt idx="781">
                  <c:v>3.1883658598697878E-2</c:v>
                </c:pt>
                <c:pt idx="782">
                  <c:v>3.1911527781154178E-2</c:v>
                </c:pt>
                <c:pt idx="783">
                  <c:v>3.193891193894826E-2</c:v>
                </c:pt>
                <c:pt idx="784">
                  <c:v>3.1962532675800182E-2</c:v>
                </c:pt>
                <c:pt idx="785">
                  <c:v>3.1988979105566681E-2</c:v>
                </c:pt>
                <c:pt idx="786">
                  <c:v>3.2014940541529535E-2</c:v>
                </c:pt>
                <c:pt idx="787">
                  <c:v>3.2040416980587391E-2</c:v>
                </c:pt>
                <c:pt idx="788">
                  <c:v>3.2065408419706398E-2</c:v>
                </c:pt>
                <c:pt idx="789">
                  <c:v>3.2093031182957713E-2</c:v>
                </c:pt>
                <c:pt idx="790">
                  <c:v>3.2117020076949603E-2</c:v>
                </c:pt>
                <c:pt idx="791">
                  <c:v>3.2140523920951E-2</c:v>
                </c:pt>
                <c:pt idx="792">
                  <c:v>3.216354271206253E-2</c:v>
                </c:pt>
                <c:pt idx="793">
                  <c:v>3.218309051387902E-2</c:v>
                </c:pt>
                <c:pt idx="794">
                  <c:v>3.2205171892777495E-2</c:v>
                </c:pt>
                <c:pt idx="795">
                  <c:v>3.2226768252080706E-2</c:v>
                </c:pt>
                <c:pt idx="796">
                  <c:v>3.2247879589216787E-2</c:v>
                </c:pt>
                <c:pt idx="797">
                  <c:v>3.227136077707949E-2</c:v>
                </c:pt>
                <c:pt idx="798">
                  <c:v>3.2291469193369129E-2</c:v>
                </c:pt>
                <c:pt idx="799">
                  <c:v>3.231109253816225E-2</c:v>
                </c:pt>
                <c:pt idx="800">
                  <c:v>3.2330230809043153E-2</c:v>
                </c:pt>
                <c:pt idx="801">
                  <c:v>3.23569370436032E-2</c:v>
                </c:pt>
                <c:pt idx="802">
                  <c:v>3.2374969758376629E-2</c:v>
                </c:pt>
                <c:pt idx="803">
                  <c:v>3.2392517307511109E-2</c:v>
                </c:pt>
                <c:pt idx="804">
                  <c:v>3.2409579688695608E-2</c:v>
                </c:pt>
                <c:pt idx="805">
                  <c:v>3.2426156899700111E-2</c:v>
                </c:pt>
                <c:pt idx="806">
                  <c:v>3.242948498687729E-2</c:v>
                </c:pt>
                <c:pt idx="807">
                  <c:v>3.2445258126461152E-2</c:v>
                </c:pt>
                <c:pt idx="808">
                  <c:v>3.2460546302273845E-2</c:v>
                </c:pt>
                <c:pt idx="809">
                  <c:v>3.2475349512613397E-2</c:v>
                </c:pt>
                <c:pt idx="810">
                  <c:v>3.2501765328064355E-2</c:v>
                </c:pt>
                <c:pt idx="811">
                  <c:v>3.2515431474518637E-2</c:v>
                </c:pt>
                <c:pt idx="812">
                  <c:v>3.2530955895604001E-2</c:v>
                </c:pt>
                <c:pt idx="813">
                  <c:v>3.2541308213478344E-2</c:v>
                </c:pt>
                <c:pt idx="814">
                  <c:v>3.2546671331344854E-2</c:v>
                </c:pt>
                <c:pt idx="815">
                  <c:v>3.2558497540323215E-2</c:v>
                </c:pt>
                <c:pt idx="816">
                  <c:v>3.2569838687559548E-2</c:v>
                </c:pt>
                <c:pt idx="817">
                  <c:v>3.2580694771703077E-2</c:v>
                </c:pt>
                <c:pt idx="818">
                  <c:v>3.2591065791462467E-2</c:v>
                </c:pt>
                <c:pt idx="819">
                  <c:v>3.2607293882271231E-2</c:v>
                </c:pt>
                <c:pt idx="820">
                  <c:v>3.2616593315156692E-2</c:v>
                </c:pt>
                <c:pt idx="821">
                  <c:v>3.2625407550694471E-2</c:v>
                </c:pt>
                <c:pt idx="822">
                  <c:v>3.2633736587727807E-2</c:v>
                </c:pt>
                <c:pt idx="823">
                  <c:v>3.2635649765580754E-2</c:v>
                </c:pt>
                <c:pt idx="824">
                  <c:v>3.2643207031950415E-2</c:v>
                </c:pt>
                <c:pt idx="825">
                  <c:v>3.2650525942121367E-2</c:v>
                </c:pt>
                <c:pt idx="826">
                  <c:v>3.2657763496552514E-2</c:v>
                </c:pt>
                <c:pt idx="827">
                  <c:v>3.2665076085767339E-2</c:v>
                </c:pt>
                <c:pt idx="828">
                  <c:v>3.2678610607536206E-2</c:v>
                </c:pt>
                <c:pt idx="829">
                  <c:v>3.2686331550053828E-2</c:v>
                </c:pt>
                <c:pt idx="830">
                  <c:v>3.2694240333069821E-2</c:v>
                </c:pt>
                <c:pt idx="831">
                  <c:v>3.2704396822071734E-2</c:v>
                </c:pt>
                <c:pt idx="832">
                  <c:v>3.2710621422220316E-2</c:v>
                </c:pt>
                <c:pt idx="833">
                  <c:v>3.2719093729184925E-2</c:v>
                </c:pt>
                <c:pt idx="834">
                  <c:v>3.2727753878310589E-2</c:v>
                </c:pt>
                <c:pt idx="835">
                  <c:v>3.2736601870041827E-2</c:v>
                </c:pt>
                <c:pt idx="836">
                  <c:v>3.2739254105642088E-2</c:v>
                </c:pt>
                <c:pt idx="837">
                  <c:v>3.2748435063831814E-2</c:v>
                </c:pt>
                <c:pt idx="838">
                  <c:v>3.2757803814709982E-2</c:v>
                </c:pt>
                <c:pt idx="839">
                  <c:v>3.276736035870613E-2</c:v>
                </c:pt>
                <c:pt idx="840">
                  <c:v>3.2777104696266011E-2</c:v>
                </c:pt>
                <c:pt idx="841">
                  <c:v>3.2793634540941224E-2</c:v>
                </c:pt>
                <c:pt idx="842">
                  <c:v>3.2803797444018901E-2</c:v>
                </c:pt>
                <c:pt idx="843">
                  <c:v>3.2814148193560454E-2</c:v>
                </c:pt>
                <c:pt idx="844">
                  <c:v>3.2824686790093906E-2</c:v>
                </c:pt>
                <c:pt idx="845">
                  <c:v>3.2828643303530823E-2</c:v>
                </c:pt>
                <c:pt idx="846">
                  <c:v>3.2839514412209489E-2</c:v>
                </c:pt>
                <c:pt idx="847">
                  <c:v>3.2850573317782891E-2</c:v>
                </c:pt>
                <c:pt idx="848">
                  <c:v>3.2861820020761622E-2</c:v>
                </c:pt>
                <c:pt idx="849">
                  <c:v>3.2873254521661677E-2</c:v>
                </c:pt>
                <c:pt idx="850">
                  <c:v>3.2891863186782125E-2</c:v>
                </c:pt>
                <c:pt idx="851">
                  <c:v>3.2903716727785387E-2</c:v>
                </c:pt>
                <c:pt idx="852">
                  <c:v>3.2915758120328965E-2</c:v>
                </c:pt>
                <c:pt idx="853">
                  <c:v>3.2927987365026848E-2</c:v>
                </c:pt>
                <c:pt idx="854">
                  <c:v>3.2940404462502841E-2</c:v>
                </c:pt>
                <c:pt idx="855">
                  <c:v>3.2953009413383215E-2</c:v>
                </c:pt>
                <c:pt idx="856">
                  <c:v>3.2965802218308971E-2</c:v>
                </c:pt>
                <c:pt idx="857">
                  <c:v>3.2978782877930941E-2</c:v>
                </c:pt>
                <c:pt idx="858">
                  <c:v>3.2979733479087947E-2</c:v>
                </c:pt>
                <c:pt idx="859">
                  <c:v>3.2993016762453614E-2</c:v>
                </c:pt>
                <c:pt idx="860">
                  <c:v>3.3006487815052547E-2</c:v>
                </c:pt>
                <c:pt idx="861">
                  <c:v>3.3020146637472318E-2</c:v>
                </c:pt>
                <c:pt idx="862">
                  <c:v>3.3046504019891558E-2</c:v>
                </c:pt>
                <c:pt idx="863">
                  <c:v>3.3063133326475258E-2</c:v>
                </c:pt>
                <c:pt idx="864">
                  <c:v>3.3074907483361157E-2</c:v>
                </c:pt>
                <c:pt idx="865">
                  <c:v>3.308939100509263E-2</c:v>
                </c:pt>
                <c:pt idx="866">
                  <c:v>3.3096374664539741E-2</c:v>
                </c:pt>
                <c:pt idx="867">
                  <c:v>3.311118962675963E-2</c:v>
                </c:pt>
                <c:pt idx="868">
                  <c:v>3.3126192398422925E-2</c:v>
                </c:pt>
                <c:pt idx="869">
                  <c:v>3.3141382980215815E-2</c:v>
                </c:pt>
                <c:pt idx="870">
                  <c:v>3.3156761372843402E-2</c:v>
                </c:pt>
                <c:pt idx="871">
                  <c:v>3.3180237242341051E-2</c:v>
                </c:pt>
                <c:pt idx="872">
                  <c:v>3.3196035806873574E-2</c:v>
                </c:pt>
                <c:pt idx="873">
                  <c:v>3.3212022237797532E-2</c:v>
                </c:pt>
                <c:pt idx="874">
                  <c:v>3.3228196535925847E-2</c:v>
                </c:pt>
                <c:pt idx="875">
                  <c:v>3.3236470079814048E-2</c:v>
                </c:pt>
                <c:pt idx="876">
                  <c:v>3.3252959358475873E-2</c:v>
                </c:pt>
                <c:pt idx="877">
                  <c:v>3.3269588125267521E-2</c:v>
                </c:pt>
                <c:pt idx="878">
                  <c:v>3.3286322551247159E-2</c:v>
                </c:pt>
                <c:pt idx="879">
                  <c:v>3.3303128823720038E-2</c:v>
                </c:pt>
                <c:pt idx="880">
                  <c:v>3.332816501723581E-2</c:v>
                </c:pt>
                <c:pt idx="881">
                  <c:v>3.3345074311849146E-2</c:v>
                </c:pt>
                <c:pt idx="882">
                  <c:v>3.3362026454484203E-2</c:v>
                </c:pt>
                <c:pt idx="883">
                  <c:v>3.338176432251793E-2</c:v>
                </c:pt>
                <c:pt idx="884">
                  <c:v>3.339605928461279E-2</c:v>
                </c:pt>
                <c:pt idx="885">
                  <c:v>3.3413139972496807E-2</c:v>
                </c:pt>
                <c:pt idx="886">
                  <c:v>3.3430263509190913E-2</c:v>
                </c:pt>
                <c:pt idx="887">
                  <c:v>3.3447429894894042E-2</c:v>
                </c:pt>
                <c:pt idx="888">
                  <c:v>3.3456344763001522E-2</c:v>
                </c:pt>
                <c:pt idx="889">
                  <c:v>3.3473582929699972E-2</c:v>
                </c:pt>
                <c:pt idx="890">
                  <c:v>3.3490863931754086E-2</c:v>
                </c:pt>
                <c:pt idx="891">
                  <c:v>3.350818776933677E-2</c:v>
                </c:pt>
                <c:pt idx="892">
                  <c:v>3.3525554442637127E-2</c:v>
                </c:pt>
                <c:pt idx="893">
                  <c:v>3.3551328049484193E-2</c:v>
                </c:pt>
                <c:pt idx="894">
                  <c:v>3.3568794383850027E-2</c:v>
                </c:pt>
                <c:pt idx="895">
                  <c:v>3.3586303568826165E-2</c:v>
                </c:pt>
                <c:pt idx="896">
                  <c:v>3.3603855604621355E-2</c:v>
                </c:pt>
                <c:pt idx="897">
                  <c:v>3.3613030351293226E-2</c:v>
                </c:pt>
                <c:pt idx="898">
                  <c:v>3.3630654042743943E-2</c:v>
                </c:pt>
                <c:pt idx="899">
                  <c:v>3.3648320571198265E-2</c:v>
                </c:pt>
                <c:pt idx="900">
                  <c:v>3.366602993684531E-2</c:v>
                </c:pt>
                <c:pt idx="901">
                  <c:v>3.3683782139871485E-2</c:v>
                </c:pt>
                <c:pt idx="902">
                  <c:v>3.3710067697956328E-2</c:v>
                </c:pt>
                <c:pt idx="903">
                  <c:v>3.3727919695187611E-2</c:v>
                </c:pt>
                <c:pt idx="904">
                  <c:v>3.3745814544876067E-2</c:v>
                </c:pt>
                <c:pt idx="905">
                  <c:v>3.3763752247227996E-2</c:v>
                </c:pt>
                <c:pt idx="906">
                  <c:v>3.3781732802452155E-2</c:v>
                </c:pt>
                <c:pt idx="907">
                  <c:v>3.3799756210754837E-2</c:v>
                </c:pt>
                <c:pt idx="908">
                  <c:v>3.3817822472347256E-2</c:v>
                </c:pt>
                <c:pt idx="909">
                  <c:v>3.3835931587438174E-2</c:v>
                </c:pt>
                <c:pt idx="910">
                  <c:v>3.384261297915634E-2</c:v>
                </c:pt>
                <c:pt idx="911">
                  <c:v>3.3860788822835941E-2</c:v>
                </c:pt>
                <c:pt idx="912">
                  <c:v>3.3879007501084683E-2</c:v>
                </c:pt>
                <c:pt idx="913">
                  <c:v>3.3897269014092624E-2</c:v>
                </c:pt>
                <c:pt idx="914">
                  <c:v>3.3915573362041401E-2</c:v>
                </c:pt>
                <c:pt idx="915">
                  <c:v>3.3945486213225851E-2</c:v>
                </c:pt>
                <c:pt idx="916">
                  <c:v>3.3963895308705409E-2</c:v>
                </c:pt>
                <c:pt idx="917">
                  <c:v>3.3982347259373151E-2</c:v>
                </c:pt>
                <c:pt idx="918">
                  <c:v>3.4000842065447665E-2</c:v>
                </c:pt>
                <c:pt idx="919">
                  <c:v>3.4010647201196884E-2</c:v>
                </c:pt>
                <c:pt idx="920">
                  <c:v>3.4029213350429896E-2</c:v>
                </c:pt>
                <c:pt idx="921">
                  <c:v>3.4047822340864717E-2</c:v>
                </c:pt>
                <c:pt idx="922">
                  <c:v>3.4066474172695857E-2</c:v>
                </c:pt>
                <c:pt idx="923">
                  <c:v>3.4093958934382863E-2</c:v>
                </c:pt>
                <c:pt idx="924">
                  <c:v>3.4112710877392351E-2</c:v>
                </c:pt>
                <c:pt idx="925">
                  <c:v>3.4131505677319013E-2</c:v>
                </c:pt>
                <c:pt idx="926">
                  <c:v>3.4150343334374056E-2</c:v>
                </c:pt>
                <c:pt idx="927">
                  <c:v>3.4160375946704367E-2</c:v>
                </c:pt>
                <c:pt idx="928">
                  <c:v>3.4179278185808279E-2</c:v>
                </c:pt>
                <c:pt idx="929">
                  <c:v>3.4198192681254867E-2</c:v>
                </c:pt>
                <c:pt idx="930">
                  <c:v>3.4217092669930491E-2</c:v>
                </c:pt>
                <c:pt idx="931">
                  <c:v>3.4235951388570204E-2</c:v>
                </c:pt>
                <c:pt idx="932">
                  <c:v>3.4263570360643897E-2</c:v>
                </c:pt>
                <c:pt idx="933">
                  <c:v>3.4282281874730515E-2</c:v>
                </c:pt>
                <c:pt idx="934">
                  <c:v>3.4300921513952053E-2</c:v>
                </c:pt>
                <c:pt idx="935">
                  <c:v>3.4322420669994712E-2</c:v>
                </c:pt>
                <c:pt idx="936">
                  <c:v>3.4329200336967035E-2</c:v>
                </c:pt>
                <c:pt idx="937">
                  <c:v>3.4356409178806085E-2</c:v>
                </c:pt>
                <c:pt idx="938">
                  <c:v>3.437476131495705E-2</c:v>
                </c:pt>
                <c:pt idx="939">
                  <c:v>3.4393041574445171E-2</c:v>
                </c:pt>
                <c:pt idx="940">
                  <c:v>3.4411249956911881E-2</c:v>
                </c:pt>
                <c:pt idx="941">
                  <c:v>3.4420652837960773E-2</c:v>
                </c:pt>
                <c:pt idx="942">
                  <c:v>3.4438727759342647E-2</c:v>
                </c:pt>
                <c:pt idx="943">
                  <c:v>3.4456730820366974E-2</c:v>
                </c:pt>
                <c:pt idx="944">
                  <c:v>3.4474662020720359E-2</c:v>
                </c:pt>
                <c:pt idx="945">
                  <c:v>3.4501213701627453E-2</c:v>
                </c:pt>
                <c:pt idx="946">
                  <c:v>3.4518990814600345E-2</c:v>
                </c:pt>
                <c:pt idx="947">
                  <c:v>3.4536696048103256E-2</c:v>
                </c:pt>
                <c:pt idx="948">
                  <c:v>3.4554329401792344E-2</c:v>
                </c:pt>
                <c:pt idx="949">
                  <c:v>3.4563240101352408E-2</c:v>
                </c:pt>
                <c:pt idx="950">
                  <c:v>3.4580740131061424E-2</c:v>
                </c:pt>
                <c:pt idx="951">
                  <c:v>3.4598168297903152E-2</c:v>
                </c:pt>
                <c:pt idx="952">
                  <c:v>3.4615524601572321E-2</c:v>
                </c:pt>
                <c:pt idx="953">
                  <c:v>3.4632809041763656E-2</c:v>
                </c:pt>
                <c:pt idx="954">
                  <c:v>3.4658620028803114E-2</c:v>
                </c:pt>
                <c:pt idx="955">
                  <c:v>3.4675750214295878E-2</c:v>
                </c:pt>
                <c:pt idx="956">
                  <c:v>3.4692808517273271E-2</c:v>
                </c:pt>
                <c:pt idx="957">
                  <c:v>3.4708925983264541E-2</c:v>
                </c:pt>
                <c:pt idx="958">
                  <c:v>3.4725827040476893E-2</c:v>
                </c:pt>
                <c:pt idx="959">
                  <c:v>3.4742656226242209E-2</c:v>
                </c:pt>
                <c:pt idx="960">
                  <c:v>3.4759413540249369E-2</c:v>
                </c:pt>
                <c:pt idx="961">
                  <c:v>3.4776098982189883E-2</c:v>
                </c:pt>
                <c:pt idx="962">
                  <c:v>3.478420095779957E-2</c:v>
                </c:pt>
                <c:pt idx="963">
                  <c:v>3.4800753328251631E-2</c:v>
                </c:pt>
                <c:pt idx="964">
                  <c:v>3.4817233844090002E-2</c:v>
                </c:pt>
                <c:pt idx="965">
                  <c:v>3.4833642505033922E-2</c:v>
                </c:pt>
                <c:pt idx="966">
                  <c:v>3.4858448100338391E-2</c:v>
                </c:pt>
                <c:pt idx="967">
                  <c:v>3.4874702303549554E-2</c:v>
                </c:pt>
                <c:pt idx="968">
                  <c:v>3.4890884632589478E-2</c:v>
                </c:pt>
                <c:pt idx="969">
                  <c:v>3.4909806923036843E-2</c:v>
                </c:pt>
                <c:pt idx="970">
                  <c:v>3.4923033666986979E-2</c:v>
                </c:pt>
                <c:pt idx="971">
                  <c:v>3.4941804996726639E-2</c:v>
                </c:pt>
                <c:pt idx="972">
                  <c:v>3.4954895201177935E-2</c:v>
                </c:pt>
                <c:pt idx="973">
                  <c:v>3.4976932087059286E-2</c:v>
                </c:pt>
                <c:pt idx="974">
                  <c:v>3.4992645722818648E-2</c:v>
                </c:pt>
                <c:pt idx="975">
                  <c:v>3.50110757072414E-2</c:v>
                </c:pt>
                <c:pt idx="976">
                  <c:v>3.5026641959992201E-2</c:v>
                </c:pt>
                <c:pt idx="977">
                  <c:v>3.50421363358005E-2</c:v>
                </c:pt>
                <c:pt idx="978">
                  <c:v>3.5057558834378721E-2</c:v>
                </c:pt>
                <c:pt idx="979">
                  <c:v>3.5070135843955394E-2</c:v>
                </c:pt>
                <c:pt idx="980">
                  <c:v>3.5085418254731549E-2</c:v>
                </c:pt>
                <c:pt idx="981">
                  <c:v>3.5100628793722631E-2</c:v>
                </c:pt>
                <c:pt idx="982">
                  <c:v>3.5115767460658476E-2</c:v>
                </c:pt>
                <c:pt idx="983">
                  <c:v>3.5133593159072135E-2</c:v>
                </c:pt>
                <c:pt idx="984">
                  <c:v>3.5148584388424074E-2</c:v>
                </c:pt>
                <c:pt idx="985">
                  <c:v>3.516350373860605E-2</c:v>
                </c:pt>
                <c:pt idx="986">
                  <c:v>3.5178351209346169E-2</c:v>
                </c:pt>
                <c:pt idx="987">
                  <c:v>3.5193126800369914E-2</c:v>
                </c:pt>
                <c:pt idx="988">
                  <c:v>3.5207830511408002E-2</c:v>
                </c:pt>
                <c:pt idx="989">
                  <c:v>3.5222462342196378E-2</c:v>
                </c:pt>
                <c:pt idx="990">
                  <c:v>3.5237022292465767E-2</c:v>
                </c:pt>
                <c:pt idx="991">
                  <c:v>3.5251510361946875E-2</c:v>
                </c:pt>
                <c:pt idx="992">
                  <c:v>3.5263201108917563E-2</c:v>
                </c:pt>
                <c:pt idx="993">
                  <c:v>3.5277549165899244E-2</c:v>
                </c:pt>
                <c:pt idx="994">
                  <c:v>3.52918253477E-2</c:v>
                </c:pt>
                <c:pt idx="995">
                  <c:v>3.5306029654068594E-2</c:v>
                </c:pt>
                <c:pt idx="996">
                  <c:v>3.5322872488351781E-2</c:v>
                </c:pt>
                <c:pt idx="997">
                  <c:v>3.5336929267607779E-2</c:v>
                </c:pt>
                <c:pt idx="998">
                  <c:v>3.5350914164253275E-2</c:v>
                </c:pt>
                <c:pt idx="999">
                  <c:v>3.5364827178034658E-2</c:v>
                </c:pt>
                <c:pt idx="1000">
                  <c:v>3.5378668308693115E-2</c:v>
                </c:pt>
                <c:pt idx="1001">
                  <c:v>3.5389746094237805E-2</c:v>
                </c:pt>
                <c:pt idx="1002">
                  <c:v>3.5403447265624798E-2</c:v>
                </c:pt>
                <c:pt idx="1003">
                  <c:v>3.5417076559607505E-2</c:v>
                </c:pt>
                <c:pt idx="1004">
                  <c:v>3.5441352902993238E-2</c:v>
                </c:pt>
                <c:pt idx="1005">
                  <c:v>3.5446795706393662E-2</c:v>
                </c:pt>
                <c:pt idx="1006">
                  <c:v>3.5460205533070055E-2</c:v>
                </c:pt>
                <c:pt idx="1007">
                  <c:v>3.547354347488494E-2</c:v>
                </c:pt>
                <c:pt idx="1008">
                  <c:v>3.5486809531597802E-2</c:v>
                </c:pt>
                <c:pt idx="1009">
                  <c:v>3.5500003702960262E-2</c:v>
                </c:pt>
                <c:pt idx="1010">
                  <c:v>3.551312598873442E-2</c:v>
                </c:pt>
                <c:pt idx="1011">
                  <c:v>3.5526176388677132E-2</c:v>
                </c:pt>
                <c:pt idx="1012">
                  <c:v>3.553915490255833E-2</c:v>
                </c:pt>
                <c:pt idx="1013">
                  <c:v>3.5552061530132267E-2</c:v>
                </c:pt>
                <c:pt idx="1014">
                  <c:v>3.5556971309404377E-2</c:v>
                </c:pt>
                <c:pt idx="1015">
                  <c:v>3.5569745838531786E-2</c:v>
                </c:pt>
                <c:pt idx="1016">
                  <c:v>3.5582448500355975E-2</c:v>
                </c:pt>
                <c:pt idx="1017">
                  <c:v>3.5595079294665648E-2</c:v>
                </c:pt>
                <c:pt idx="1018">
                  <c:v>3.5626017716467499E-2</c:v>
                </c:pt>
                <c:pt idx="1019">
                  <c:v>3.5627991670095768E-2</c:v>
                </c:pt>
                <c:pt idx="1020">
                  <c:v>3.5640395087016837E-2</c:v>
                </c:pt>
                <c:pt idx="1021">
                  <c:v>3.56527266157875E-2</c:v>
                </c:pt>
                <c:pt idx="1022">
                  <c:v>3.5662376125590464E-2</c:v>
                </c:pt>
                <c:pt idx="1023">
                  <c:v>3.5674567822581382E-2</c:v>
                </c:pt>
                <c:pt idx="1024">
                  <c:v>3.568668763737548E-2</c:v>
                </c:pt>
                <c:pt idx="1025">
                  <c:v>3.5698735569756633E-2</c:v>
                </c:pt>
                <c:pt idx="1026">
                  <c:v>3.5710711619516819E-2</c:v>
                </c:pt>
                <c:pt idx="1027">
                  <c:v>3.5725206124672275E-2</c:v>
                </c:pt>
                <c:pt idx="1028">
                  <c:v>3.5737034430141632E-2</c:v>
                </c:pt>
                <c:pt idx="1029">
                  <c:v>3.5748790845690617E-2</c:v>
                </c:pt>
                <c:pt idx="1030">
                  <c:v>3.5760475371107485E-2</c:v>
                </c:pt>
                <c:pt idx="1031">
                  <c:v>3.57695136492567E-2</c:v>
                </c:pt>
                <c:pt idx="1032">
                  <c:v>3.5781059395775736E-2</c:v>
                </c:pt>
                <c:pt idx="1033">
                  <c:v>3.5792536270440475E-2</c:v>
                </c:pt>
                <c:pt idx="1034">
                  <c:v>3.5803946381621286E-2</c:v>
                </c:pt>
                <c:pt idx="1035">
                  <c:v>3.5817852131023301E-2</c:v>
                </c:pt>
                <c:pt idx="1036">
                  <c:v>3.5829131132916622E-2</c:v>
                </c:pt>
                <c:pt idx="1037">
                  <c:v>3.5840347280857075E-2</c:v>
                </c:pt>
                <c:pt idx="1038">
                  <c:v>3.5851500574659044E-2</c:v>
                </c:pt>
                <c:pt idx="1039">
                  <c:v>3.5862591014149965E-2</c:v>
                </c:pt>
                <c:pt idx="1040">
                  <c:v>3.5873618599152078E-2</c:v>
                </c:pt>
                <c:pt idx="1041">
                  <c:v>3.5884583329490204E-2</c:v>
                </c:pt>
                <c:pt idx="1042">
                  <c:v>3.5895485204986567E-2</c:v>
                </c:pt>
                <c:pt idx="1043">
                  <c:v>3.5906324225466003E-2</c:v>
                </c:pt>
                <c:pt idx="1044">
                  <c:v>3.5914570761649653E-2</c:v>
                </c:pt>
                <c:pt idx="1045">
                  <c:v>3.5925287508120372E-2</c:v>
                </c:pt>
                <c:pt idx="1046">
                  <c:v>3.593594140493743E-2</c:v>
                </c:pt>
                <c:pt idx="1047">
                  <c:v>3.594653245193602E-2</c:v>
                </c:pt>
                <c:pt idx="1048">
                  <c:v>3.5957060648954063E-2</c:v>
                </c:pt>
                <c:pt idx="1049">
                  <c:v>3.5970038383428951E-2</c:v>
                </c:pt>
                <c:pt idx="1050">
                  <c:v>3.5980437414018636E-2</c:v>
                </c:pt>
                <c:pt idx="1051">
                  <c:v>3.5990773588239752E-2</c:v>
                </c:pt>
                <c:pt idx="1052">
                  <c:v>3.600104690592236E-2</c:v>
                </c:pt>
                <c:pt idx="1053">
                  <c:v>3.6008758878657329E-2</c:v>
                </c:pt>
                <c:pt idx="1054">
                  <c:v>3.6018909972401612E-2</c:v>
                </c:pt>
                <c:pt idx="1055">
                  <c:v>3.6028998215046903E-2</c:v>
                </c:pt>
                <c:pt idx="1056">
                  <c:v>3.6039023606433816E-2</c:v>
                </c:pt>
                <c:pt idx="1057">
                  <c:v>3.6058923094108783E-2</c:v>
                </c:pt>
                <c:pt idx="1058">
                  <c:v>3.6061366815640081E-2</c:v>
                </c:pt>
                <c:pt idx="1059">
                  <c:v>3.6071200133032867E-2</c:v>
                </c:pt>
                <c:pt idx="1060">
                  <c:v>3.6080970592603477E-2</c:v>
                </c:pt>
                <c:pt idx="1061">
                  <c:v>3.6090678194200282E-2</c:v>
                </c:pt>
                <c:pt idx="1062">
                  <c:v>3.6100322937666414E-2</c:v>
                </c:pt>
                <c:pt idx="1063">
                  <c:v>3.6109904822842397E-2</c:v>
                </c:pt>
                <c:pt idx="1064">
                  <c:v>3.6119423849581826E-2</c:v>
                </c:pt>
                <c:pt idx="1065">
                  <c:v>3.612888001773306E-2</c:v>
                </c:pt>
                <c:pt idx="1066">
                  <c:v>3.6130914814254317E-2</c:v>
                </c:pt>
                <c:pt idx="1067">
                  <c:v>3.6140255963616669E-2</c:v>
                </c:pt>
                <c:pt idx="1068">
                  <c:v>3.6149534271904295E-2</c:v>
                </c:pt>
                <c:pt idx="1069">
                  <c:v>3.6158749738978264E-2</c:v>
                </c:pt>
                <c:pt idx="1070">
                  <c:v>3.6175217974377449E-2</c:v>
                </c:pt>
                <c:pt idx="1071">
                  <c:v>3.6184296987846573E-2</c:v>
                </c:pt>
                <c:pt idx="1072">
                  <c:v>3.6193313141689595E-2</c:v>
                </c:pt>
                <c:pt idx="1073">
                  <c:v>3.620226643576533E-2</c:v>
                </c:pt>
                <c:pt idx="1074">
                  <c:v>3.6211156869927381E-2</c:v>
                </c:pt>
                <c:pt idx="1075">
                  <c:v>3.6217564103945686E-2</c:v>
                </c:pt>
                <c:pt idx="1076">
                  <c:v>3.6226332438970221E-2</c:v>
                </c:pt>
                <c:pt idx="1077">
                  <c:v>3.6235037919691737E-2</c:v>
                </c:pt>
                <c:pt idx="1078">
                  <c:v>3.6243680545972455E-2</c:v>
                </c:pt>
                <c:pt idx="1079">
                  <c:v>3.6254666137096284E-2</c:v>
                </c:pt>
                <c:pt idx="1080">
                  <c:v>3.6263179408829761E-2</c:v>
                </c:pt>
                <c:pt idx="1081">
                  <c:v>3.6271629819679616E-2</c:v>
                </c:pt>
                <c:pt idx="1082">
                  <c:v>3.628001736950727E-2</c:v>
                </c:pt>
                <c:pt idx="1083">
                  <c:v>3.6285950856136284E-2</c:v>
                </c:pt>
                <c:pt idx="1084">
                  <c:v>3.6294216353003117E-2</c:v>
                </c:pt>
                <c:pt idx="1085">
                  <c:v>3.6302418994521433E-2</c:v>
                </c:pt>
                <c:pt idx="1086">
                  <c:v>3.6310558780553448E-2</c:v>
                </c:pt>
                <c:pt idx="1087">
                  <c:v>3.6318635710983004E-2</c:v>
                </c:pt>
                <c:pt idx="1088">
                  <c:v>3.6329022579605783E-2</c:v>
                </c:pt>
                <c:pt idx="1089">
                  <c:v>3.6336970098591784E-2</c:v>
                </c:pt>
                <c:pt idx="1090">
                  <c:v>3.6344854755515063E-2</c:v>
                </c:pt>
                <c:pt idx="1091">
                  <c:v>3.6352676550247508E-2</c:v>
                </c:pt>
                <c:pt idx="1092">
                  <c:v>3.6360435482666251E-2</c:v>
                </c:pt>
                <c:pt idx="1093">
                  <c:v>3.6368131552643179E-2</c:v>
                </c:pt>
                <c:pt idx="1094">
                  <c:v>3.6375764760058035E-2</c:v>
                </c:pt>
                <c:pt idx="1095">
                  <c:v>3.6383335104793177E-2</c:v>
                </c:pt>
                <c:pt idx="1096">
                  <c:v>3.638849956223611E-2</c:v>
                </c:pt>
                <c:pt idx="1097">
                  <c:v>3.6395947929889871E-2</c:v>
                </c:pt>
                <c:pt idx="1098">
                  <c:v>3.6403333440614714E-2</c:v>
                </c:pt>
                <c:pt idx="1099">
                  <c:v>3.6410656094299873E-2</c:v>
                </c:pt>
                <c:pt idx="1100">
                  <c:v>3.6417915890829176E-2</c:v>
                </c:pt>
                <c:pt idx="1101">
                  <c:v>3.6427437050127187E-2</c:v>
                </c:pt>
                <c:pt idx="1102">
                  <c:v>3.6434567352744779E-2</c:v>
                </c:pt>
                <c:pt idx="1103">
                  <c:v>3.6441634791738849E-2</c:v>
                </c:pt>
                <c:pt idx="1104">
                  <c:v>3.6448639366996979E-2</c:v>
                </c:pt>
                <c:pt idx="1105">
                  <c:v>3.6453272012285542E-2</c:v>
                </c:pt>
                <c:pt idx="1106">
                  <c:v>3.646015466356993E-2</c:v>
                </c:pt>
                <c:pt idx="1107">
                  <c:v>3.6466974456939326E-2</c:v>
                </c:pt>
                <c:pt idx="1108">
                  <c:v>3.6473731392280273E-2</c:v>
                </c:pt>
                <c:pt idx="1109">
                  <c:v>3.6482719283374057E-2</c:v>
                </c:pt>
                <c:pt idx="1110">
                  <c:v>3.6489346673905444E-2</c:v>
                </c:pt>
                <c:pt idx="1111">
                  <c:v>3.6495911199940098E-2</c:v>
                </c:pt>
                <c:pt idx="1112">
                  <c:v>3.6502412861370841E-2</c:v>
                </c:pt>
                <c:pt idx="1113">
                  <c:v>3.6514321533656614E-2</c:v>
                </c:pt>
                <c:pt idx="1114">
                  <c:v>3.6520680774410431E-2</c:v>
                </c:pt>
                <c:pt idx="1115">
                  <c:v>3.6526977137882888E-2</c:v>
                </c:pt>
                <c:pt idx="1116">
                  <c:v>3.6533210623965917E-2</c:v>
                </c:pt>
                <c:pt idx="1117">
                  <c:v>3.6539381232556373E-2</c:v>
                </c:pt>
                <c:pt idx="1118">
                  <c:v>3.6536455078291216E-2</c:v>
                </c:pt>
                <c:pt idx="1119">
                  <c:v>3.6542515472905948E-2</c:v>
                </c:pt>
                <c:pt idx="1120">
                  <c:v>3.6548513014483842E-2</c:v>
                </c:pt>
                <c:pt idx="1121">
                  <c:v>3.6554447702935471E-2</c:v>
                </c:pt>
                <c:pt idx="1122">
                  <c:v>3.6569291109445977E-2</c:v>
                </c:pt>
                <c:pt idx="1123">
                  <c:v>3.6575084450902573E-2</c:v>
                </c:pt>
                <c:pt idx="1124">
                  <c:v>3.6583049418734234E-2</c:v>
                </c:pt>
                <c:pt idx="1125">
                  <c:v>3.6586482499095761E-2</c:v>
                </c:pt>
                <c:pt idx="1126">
                  <c:v>3.6585405899704868E-2</c:v>
                </c:pt>
                <c:pt idx="1127">
                  <c:v>3.659095953387189E-2</c:v>
                </c:pt>
                <c:pt idx="1128">
                  <c:v>3.6596450308095073E-2</c:v>
                </c:pt>
                <c:pt idx="1129">
                  <c:v>3.6601878222298767E-2</c:v>
                </c:pt>
                <c:pt idx="1130">
                  <c:v>3.660724327639113E-2</c:v>
                </c:pt>
                <c:pt idx="1131">
                  <c:v>3.6619167559063248E-2</c:v>
                </c:pt>
                <c:pt idx="1132">
                  <c:v>3.6624394993245706E-2</c:v>
                </c:pt>
                <c:pt idx="1133">
                  <c:v>3.6629559548378515E-2</c:v>
                </c:pt>
                <c:pt idx="1134">
                  <c:v>3.6634661224380638E-2</c:v>
                </c:pt>
                <c:pt idx="1135">
                  <c:v>3.663312564234622E-2</c:v>
                </c:pt>
                <c:pt idx="1136">
                  <c:v>3.6638113534076686E-2</c:v>
                </c:pt>
                <c:pt idx="1137">
                  <c:v>3.6643038565139285E-2</c:v>
                </c:pt>
                <c:pt idx="1138">
                  <c:v>3.6647900735455693E-2</c:v>
                </c:pt>
                <c:pt idx="1139">
                  <c:v>3.6652700044952954E-2</c:v>
                </c:pt>
                <c:pt idx="1140">
                  <c:v>3.6663950813832759E-2</c:v>
                </c:pt>
                <c:pt idx="1141">
                  <c:v>3.666861233354024E-2</c:v>
                </c:pt>
                <c:pt idx="1142">
                  <c:v>3.6673210973449007E-2</c:v>
                </c:pt>
                <c:pt idx="1143">
                  <c:v>3.6679905605506123E-2</c:v>
                </c:pt>
                <c:pt idx="1144">
                  <c:v>3.6682219613568344E-2</c:v>
                </c:pt>
                <c:pt idx="1145">
                  <c:v>3.6686629613626634E-2</c:v>
                </c:pt>
                <c:pt idx="1146">
                  <c:v>3.6690976733579232E-2</c:v>
                </c:pt>
                <c:pt idx="1147">
                  <c:v>3.669526097335736E-2</c:v>
                </c:pt>
                <c:pt idx="1148">
                  <c:v>3.6693065081599051E-2</c:v>
                </c:pt>
                <c:pt idx="1149">
                  <c:v>3.6697235778976843E-2</c:v>
                </c:pt>
                <c:pt idx="1150">
                  <c:v>3.6701343614768255E-2</c:v>
                </c:pt>
                <c:pt idx="1151">
                  <c:v>3.6705388588916553E-2</c:v>
                </c:pt>
                <c:pt idx="1152">
                  <c:v>3.6709370701354202E-2</c:v>
                </c:pt>
                <c:pt idx="1153">
                  <c:v>3.6719645924309971E-2</c:v>
                </c:pt>
                <c:pt idx="1154">
                  <c:v>3.6723490000870135E-2</c:v>
                </c:pt>
                <c:pt idx="1155">
                  <c:v>3.6727271196705699E-2</c:v>
                </c:pt>
                <c:pt idx="1156">
                  <c:v>3.6730989511745436E-2</c:v>
                </c:pt>
                <c:pt idx="1157">
                  <c:v>3.6728338335799769E-2</c:v>
                </c:pt>
                <c:pt idx="1158">
                  <c:v>3.6731943276730794E-2</c:v>
                </c:pt>
                <c:pt idx="1159">
                  <c:v>3.673548535554054E-2</c:v>
                </c:pt>
                <c:pt idx="1160">
                  <c:v>3.6738964572177665E-2</c:v>
                </c:pt>
                <c:pt idx="1161">
                  <c:v>3.6742380926585438E-2</c:v>
                </c:pt>
                <c:pt idx="1162">
                  <c:v>3.6751978901850474E-2</c:v>
                </c:pt>
                <c:pt idx="1163">
                  <c:v>3.6755257049622396E-2</c:v>
                </c:pt>
                <c:pt idx="1164">
                  <c:v>3.6758472316131864E-2</c:v>
                </c:pt>
                <c:pt idx="1165">
                  <c:v>3.676162470131257E-2</c:v>
                </c:pt>
                <c:pt idx="1166">
                  <c:v>3.6764714205115387E-2</c:v>
                </c:pt>
                <c:pt idx="1167">
                  <c:v>3.6767740827488751E-2</c:v>
                </c:pt>
                <c:pt idx="1168">
                  <c:v>3.6770704568383543E-2</c:v>
                </c:pt>
                <c:pt idx="1169">
                  <c:v>3.6773605427743272E-2</c:v>
                </c:pt>
                <c:pt idx="1170">
                  <c:v>3.6766201923870735E-2</c:v>
                </c:pt>
                <c:pt idx="1171">
                  <c:v>3.6768998071061668E-2</c:v>
                </c:pt>
                <c:pt idx="1172">
                  <c:v>3.6771731368103584E-2</c:v>
                </c:pt>
                <c:pt idx="1173">
                  <c:v>3.6774401814967543E-2</c:v>
                </c:pt>
                <c:pt idx="1174">
                  <c:v>3.6779041363580067E-2</c:v>
                </c:pt>
                <c:pt idx="1175">
                  <c:v>3.6789690069052167E-2</c:v>
                </c:pt>
                <c:pt idx="1176">
                  <c:v>3.6792150756367256E-2</c:v>
                </c:pt>
                <c:pt idx="1177">
                  <c:v>3.679454856178626E-2</c:v>
                </c:pt>
                <c:pt idx="1178">
                  <c:v>3.6796883485272332E-2</c:v>
                </c:pt>
                <c:pt idx="1179">
                  <c:v>3.6793125809573876E-2</c:v>
                </c:pt>
                <c:pt idx="1180">
                  <c:v>3.6795347772733265E-2</c:v>
                </c:pt>
                <c:pt idx="1181">
                  <c:v>3.6797506872798813E-2</c:v>
                </c:pt>
                <c:pt idx="1182">
                  <c:v>3.6799603109732702E-2</c:v>
                </c:pt>
                <c:pt idx="1183">
                  <c:v>3.6807614872274526E-2</c:v>
                </c:pt>
                <c:pt idx="1184">
                  <c:v>3.6809572503340292E-2</c:v>
                </c:pt>
                <c:pt idx="1185">
                  <c:v>3.681146725221035E-2</c:v>
                </c:pt>
                <c:pt idx="1186">
                  <c:v>3.6813299118857681E-2</c:v>
                </c:pt>
                <c:pt idx="1187">
                  <c:v>3.6809141349558705E-2</c:v>
                </c:pt>
                <c:pt idx="1188">
                  <c:v>3.6810860699336853E-2</c:v>
                </c:pt>
                <c:pt idx="1189">
                  <c:v>3.6812518258422841E-2</c:v>
                </c:pt>
                <c:pt idx="1190">
                  <c:v>3.681411486108007E-2</c:v>
                </c:pt>
                <c:pt idx="1191">
                  <c:v>3.6815651341566544E-2</c:v>
                </c:pt>
                <c:pt idx="1192">
                  <c:v>3.6822993257101776E-2</c:v>
                </c:pt>
                <c:pt idx="1193">
                  <c:v>3.6824398742753277E-2</c:v>
                </c:pt>
                <c:pt idx="1194">
                  <c:v>3.6825744922548115E-2</c:v>
                </c:pt>
                <c:pt idx="1195">
                  <c:v>3.6828973930025932E-2</c:v>
                </c:pt>
                <c:pt idx="1196">
                  <c:v>3.6828259364476958E-2</c:v>
                </c:pt>
                <c:pt idx="1197">
                  <c:v>3.6829427626569211E-2</c:v>
                </c:pt>
                <c:pt idx="1198">
                  <c:v>3.6830536582726218E-2</c:v>
                </c:pt>
                <c:pt idx="1199">
                  <c:v>3.683158623292096E-2</c:v>
                </c:pt>
                <c:pt idx="1200">
                  <c:v>3.6826810456176272E-2</c:v>
                </c:pt>
                <c:pt idx="1201">
                  <c:v>3.6827753917651918E-2</c:v>
                </c:pt>
                <c:pt idx="1202">
                  <c:v>3.6828638091041907E-2</c:v>
                </c:pt>
                <c:pt idx="1203">
                  <c:v>3.6829462976332716E-2</c:v>
                </c:pt>
                <c:pt idx="1204">
                  <c:v>3.6830228573510856E-2</c:v>
                </c:pt>
                <c:pt idx="1205">
                  <c:v>3.6836638708147573E-2</c:v>
                </c:pt>
                <c:pt idx="1206">
                  <c:v>3.6837273216233174E-2</c:v>
                </c:pt>
                <c:pt idx="1207">
                  <c:v>3.6837848418248449E-2</c:v>
                </c:pt>
                <c:pt idx="1208">
                  <c:v>3.6838364314198319E-2</c:v>
                </c:pt>
                <c:pt idx="1209">
                  <c:v>3.6833167237379061E-2</c:v>
                </c:pt>
                <c:pt idx="1210">
                  <c:v>3.6833577105686618E-2</c:v>
                </c:pt>
                <c:pt idx="1211">
                  <c:v>3.6833927685822054E-2</c:v>
                </c:pt>
                <c:pt idx="1212">
                  <c:v>3.6834218977782683E-2</c:v>
                </c:pt>
                <c:pt idx="1213">
                  <c:v>3.6834450981563092E-2</c:v>
                </c:pt>
                <c:pt idx="1214">
                  <c:v>3.6840214261922147E-2</c:v>
                </c:pt>
                <c:pt idx="1215">
                  <c:v>3.6840315015173444E-2</c:v>
                </c:pt>
                <c:pt idx="1216">
                  <c:v>3.6840356462310209E-2</c:v>
                </c:pt>
                <c:pt idx="1217">
                  <c:v>3.6838481266937319E-2</c:v>
                </c:pt>
                <c:pt idx="1218">
                  <c:v>3.6838399873897476E-2</c:v>
                </c:pt>
                <c:pt idx="1219">
                  <c:v>3.6838259180722414E-2</c:v>
                </c:pt>
                <c:pt idx="1220">
                  <c:v>3.6838059187409601E-2</c:v>
                </c:pt>
                <c:pt idx="1221">
                  <c:v>3.6837799893966634E-2</c:v>
                </c:pt>
                <c:pt idx="1222">
                  <c:v>3.6830163809460477E-2</c:v>
                </c:pt>
                <c:pt idx="1223">
                  <c:v>3.6829803004110789E-2</c:v>
                </c:pt>
                <c:pt idx="1224">
                  <c:v>3.6829382922538879E-2</c:v>
                </c:pt>
                <c:pt idx="1225">
                  <c:v>3.6828903564741854E-2</c:v>
                </c:pt>
                <c:pt idx="1226">
                  <c:v>3.6830177610486389E-2</c:v>
                </c:pt>
                <c:pt idx="1227">
                  <c:v>3.6834998830841542E-2</c:v>
                </c:pt>
                <c:pt idx="1228">
                  <c:v>3.6834324436639462E-2</c:v>
                </c:pt>
                <c:pt idx="1229">
                  <c:v>3.6835389359597674E-2</c:v>
                </c:pt>
                <c:pt idx="1230">
                  <c:v>3.6832797748037327E-2</c:v>
                </c:pt>
                <c:pt idx="1231">
                  <c:v>3.6833735432820321E-2</c:v>
                </c:pt>
                <c:pt idx="1232">
                  <c:v>3.6831033859231165E-2</c:v>
                </c:pt>
                <c:pt idx="1233">
                  <c:v>3.6830062964788614E-2</c:v>
                </c:pt>
                <c:pt idx="1234">
                  <c:v>3.6830809747634016E-2</c:v>
                </c:pt>
                <c:pt idx="1235">
                  <c:v>3.6827943275898022E-2</c:v>
                </c:pt>
                <c:pt idx="1236">
                  <c:v>3.6826794481482905E-2</c:v>
                </c:pt>
                <c:pt idx="1237">
                  <c:v>3.6825586387109858E-2</c:v>
                </c:pt>
                <c:pt idx="1238">
                  <c:v>3.6824318992801676E-2</c:v>
                </c:pt>
                <c:pt idx="1239">
                  <c:v>3.6817724941001773E-2</c:v>
                </c:pt>
                <c:pt idx="1240">
                  <c:v>3.6821606304450819E-2</c:v>
                </c:pt>
                <c:pt idx="1241">
                  <c:v>3.6820161010451199E-2</c:v>
                </c:pt>
                <c:pt idx="1242">
                  <c:v>3.6818656416594958E-2</c:v>
                </c:pt>
                <c:pt idx="1243">
                  <c:v>3.6817092522915019E-2</c:v>
                </c:pt>
                <c:pt idx="1244">
                  <c:v>3.681546932942658E-2</c:v>
                </c:pt>
                <c:pt idx="1245">
                  <c:v>3.6813786836154966E-2</c:v>
                </c:pt>
                <c:pt idx="1246">
                  <c:v>3.6812045043133103E-2</c:v>
                </c:pt>
                <c:pt idx="1247">
                  <c:v>3.6811963965610726E-2</c:v>
                </c:pt>
                <c:pt idx="1248">
                  <c:v>3.6808383557932339E-2</c:v>
                </c:pt>
                <c:pt idx="1249">
                  <c:v>3.6806463865814223E-2</c:v>
                </c:pt>
                <c:pt idx="1250">
                  <c:v>3.6804484874054764E-2</c:v>
                </c:pt>
                <c:pt idx="1251">
                  <c:v>3.6802446582684355E-2</c:v>
                </c:pt>
                <c:pt idx="1252">
                  <c:v>3.6800348991735919E-2</c:v>
                </c:pt>
                <c:pt idx="1253">
                  <c:v>3.6798192101247448E-2</c:v>
                </c:pt>
                <c:pt idx="1254">
                  <c:v>3.6795975911241736E-2</c:v>
                </c:pt>
                <c:pt idx="1255">
                  <c:v>3.6793700421759307E-2</c:v>
                </c:pt>
                <c:pt idx="1256">
                  <c:v>3.6791365632835617E-2</c:v>
                </c:pt>
                <c:pt idx="1257">
                  <c:v>3.6788971544508657E-2</c:v>
                </c:pt>
                <c:pt idx="1258">
                  <c:v>3.678651815680882E-2</c:v>
                </c:pt>
                <c:pt idx="1259">
                  <c:v>3.6784005469784227E-2</c:v>
                </c:pt>
                <c:pt idx="1260">
                  <c:v>3.678143348346527E-2</c:v>
                </c:pt>
                <c:pt idx="1261">
                  <c:v>3.6773827654055881E-2</c:v>
                </c:pt>
                <c:pt idx="1262">
                  <c:v>3.6776111613116488E-2</c:v>
                </c:pt>
                <c:pt idx="1263">
                  <c:v>3.677336172916771E-2</c:v>
                </c:pt>
                <c:pt idx="1264">
                  <c:v>3.6770552546091725E-2</c:v>
                </c:pt>
                <c:pt idx="1265">
                  <c:v>3.6767684063936656E-2</c:v>
                </c:pt>
                <c:pt idx="1266">
                  <c:v>3.6764756282743026E-2</c:v>
                </c:pt>
                <c:pt idx="1267">
                  <c:v>3.6761769202558955E-2</c:v>
                </c:pt>
                <c:pt idx="1268">
                  <c:v>3.67587228234275E-2</c:v>
                </c:pt>
                <c:pt idx="1269">
                  <c:v>3.6753547636548201E-2</c:v>
                </c:pt>
                <c:pt idx="1270">
                  <c:v>3.6750378742631866E-2</c:v>
                </c:pt>
                <c:pt idx="1271">
                  <c:v>3.6747150555852572E-2</c:v>
                </c:pt>
                <c:pt idx="1272">
                  <c:v>3.6743863076262623E-2</c:v>
                </c:pt>
                <c:pt idx="1273">
                  <c:v>3.674051630390384E-2</c:v>
                </c:pt>
                <c:pt idx="1274">
                  <c:v>3.6732313753756345E-2</c:v>
                </c:pt>
                <c:pt idx="1275">
                  <c:v>3.672886214229755E-2</c:v>
                </c:pt>
                <c:pt idx="1276">
                  <c:v>3.6725351255991426E-2</c:v>
                </c:pt>
                <c:pt idx="1277">
                  <c:v>3.6721781094875595E-2</c:v>
                </c:pt>
                <c:pt idx="1278">
                  <c:v>3.6722893052412775E-2</c:v>
                </c:pt>
                <c:pt idx="1279">
                  <c:v>3.6719190524546898E-2</c:v>
                </c:pt>
                <c:pt idx="1280">
                  <c:v>3.6716999281809215E-2</c:v>
                </c:pt>
                <c:pt idx="1281">
                  <c:v>3.6711607591690357E-2</c:v>
                </c:pt>
                <c:pt idx="1282">
                  <c:v>3.670772718681211E-2</c:v>
                </c:pt>
                <c:pt idx="1283">
                  <c:v>3.6705344191445485E-2</c:v>
                </c:pt>
                <c:pt idx="1284">
                  <c:v>3.6695926991667648E-2</c:v>
                </c:pt>
                <c:pt idx="1285">
                  <c:v>3.6691839474597573E-2</c:v>
                </c:pt>
                <c:pt idx="1286">
                  <c:v>3.6687692671424764E-2</c:v>
                </c:pt>
                <c:pt idx="1287">
                  <c:v>3.6685022379217287E-2</c:v>
                </c:pt>
                <c:pt idx="1288">
                  <c:v>3.6680752340851275E-2</c:v>
                </c:pt>
                <c:pt idx="1289">
                  <c:v>3.6676423010668077E-2</c:v>
                </c:pt>
                <c:pt idx="1290">
                  <c:v>3.6672034388735654E-2</c:v>
                </c:pt>
                <c:pt idx="1291">
                  <c:v>3.6666069366124265E-2</c:v>
                </c:pt>
                <c:pt idx="1292">
                  <c:v>3.6661566847621008E-2</c:v>
                </c:pt>
                <c:pt idx="1293">
                  <c:v>3.6657005043447266E-2</c:v>
                </c:pt>
                <c:pt idx="1294">
                  <c:v>3.6652383953684087E-2</c:v>
                </c:pt>
                <c:pt idx="1295">
                  <c:v>3.6649201905169966E-2</c:v>
                </c:pt>
                <c:pt idx="1296">
                  <c:v>3.6644457534154018E-2</c:v>
                </c:pt>
                <c:pt idx="1297">
                  <c:v>3.6639653871869904E-2</c:v>
                </c:pt>
                <c:pt idx="1298">
                  <c:v>3.6634790918393445E-2</c:v>
                </c:pt>
                <c:pt idx="1299">
                  <c:v>3.6629868673789992E-2</c:v>
                </c:pt>
                <c:pt idx="1300">
                  <c:v>3.6624887138135366E-2</c:v>
                </c:pt>
                <c:pt idx="1301">
                  <c:v>3.6619846311515845E-2</c:v>
                </c:pt>
                <c:pt idx="1302">
                  <c:v>3.6614746193991556E-2</c:v>
                </c:pt>
                <c:pt idx="1303">
                  <c:v>3.6609586785643543E-2</c:v>
                </c:pt>
                <c:pt idx="1304">
                  <c:v>3.6602912363378245E-2</c:v>
                </c:pt>
                <c:pt idx="1305">
                  <c:v>3.6597639136672543E-2</c:v>
                </c:pt>
                <c:pt idx="1306">
                  <c:v>3.6592306625236493E-2</c:v>
                </c:pt>
                <c:pt idx="1307">
                  <c:v>3.6586914829140338E-2</c:v>
                </c:pt>
                <c:pt idx="1308">
                  <c:v>3.6582900384350324E-2</c:v>
                </c:pt>
                <c:pt idx="1309">
                  <c:v>3.6577385232738437E-2</c:v>
                </c:pt>
                <c:pt idx="1310">
                  <c:v>3.657181079087015E-2</c:v>
                </c:pt>
                <c:pt idx="1311">
                  <c:v>3.6566177058823902E-2</c:v>
                </c:pt>
                <c:pt idx="1312">
                  <c:v>3.656048403668858E-2</c:v>
                </c:pt>
                <c:pt idx="1313">
                  <c:v>3.6553319079293788E-2</c:v>
                </c:pt>
                <c:pt idx="1314">
                  <c:v>3.6547512292865091E-2</c:v>
                </c:pt>
                <c:pt idx="1315">
                  <c:v>3.6541646222438162E-2</c:v>
                </c:pt>
                <c:pt idx="1316">
                  <c:v>3.654131138737314E-2</c:v>
                </c:pt>
                <c:pt idx="1317">
                  <c:v>3.653112957770592E-2</c:v>
                </c:pt>
                <c:pt idx="1318">
                  <c:v>3.6525080816863606E-2</c:v>
                </c:pt>
                <c:pt idx="1319">
                  <c:v>3.6518972766551833E-2</c:v>
                </c:pt>
                <c:pt idx="1320">
                  <c:v>3.6512805426859488E-2</c:v>
                </c:pt>
                <c:pt idx="1321">
                  <c:v>3.6506578797880683E-2</c:v>
                </c:pt>
                <c:pt idx="1322">
                  <c:v>3.6500292879712161E-2</c:v>
                </c:pt>
                <c:pt idx="1323">
                  <c:v>3.6493947672448027E-2</c:v>
                </c:pt>
                <c:pt idx="1324">
                  <c:v>3.6487543176177188E-2</c:v>
                </c:pt>
                <c:pt idx="1325">
                  <c:v>3.6481079391004201E-2</c:v>
                </c:pt>
                <c:pt idx="1326">
                  <c:v>3.6471856764202178E-2</c:v>
                </c:pt>
                <c:pt idx="1327">
                  <c:v>3.6465284182932593E-2</c:v>
                </c:pt>
                <c:pt idx="1328">
                  <c:v>3.6458652324622837E-2</c:v>
                </c:pt>
                <c:pt idx="1329">
                  <c:v>3.6451961189376311E-2</c:v>
                </c:pt>
                <c:pt idx="1330">
                  <c:v>3.644787113497977E-2</c:v>
                </c:pt>
                <c:pt idx="1331">
                  <c:v>3.6441051618448864E-2</c:v>
                </c:pt>
                <c:pt idx="1332">
                  <c:v>3.6434172813708643E-2</c:v>
                </c:pt>
                <c:pt idx="1333">
                  <c:v>3.6427234720868895E-2</c:v>
                </c:pt>
                <c:pt idx="1334">
                  <c:v>3.6420237340031587E-2</c:v>
                </c:pt>
                <c:pt idx="1335">
                  <c:v>3.6411875311447781E-2</c:v>
                </c:pt>
                <c:pt idx="1336">
                  <c:v>3.6404764298059833E-2</c:v>
                </c:pt>
                <c:pt idx="1337">
                  <c:v>3.6397594002748446E-2</c:v>
                </c:pt>
                <c:pt idx="1338">
                  <c:v>3.6390364425627084E-2</c:v>
                </c:pt>
                <c:pt idx="1339">
                  <c:v>3.6384361119604601E-2</c:v>
                </c:pt>
                <c:pt idx="1340">
                  <c:v>3.6377008013025104E-2</c:v>
                </c:pt>
                <c:pt idx="1341">
                  <c:v>3.6369595619206219E-2</c:v>
                </c:pt>
                <c:pt idx="1342">
                  <c:v>3.6362123938257759E-2</c:v>
                </c:pt>
                <c:pt idx="1343">
                  <c:v>3.635332731646361E-2</c:v>
                </c:pt>
                <c:pt idx="1344">
                  <c:v>3.6345742050678718E-2</c:v>
                </c:pt>
                <c:pt idx="1345">
                  <c:v>3.6338097503832177E-2</c:v>
                </c:pt>
                <c:pt idx="1346">
                  <c:v>3.6330393676037451E-2</c:v>
                </c:pt>
                <c:pt idx="1347">
                  <c:v>3.6322630567405298E-2</c:v>
                </c:pt>
                <c:pt idx="1348">
                  <c:v>3.6316048829222354E-2</c:v>
                </c:pt>
                <c:pt idx="1349">
                  <c:v>3.6308162141569476E-2</c:v>
                </c:pt>
                <c:pt idx="1350">
                  <c:v>3.6300216167712521E-2</c:v>
                </c:pt>
                <c:pt idx="1351">
                  <c:v>3.6292210907771738E-2</c:v>
                </c:pt>
                <c:pt idx="1352">
                  <c:v>3.6284146361867407E-2</c:v>
                </c:pt>
                <c:pt idx="1353">
                  <c:v>3.6276022530122388E-2</c:v>
                </c:pt>
                <c:pt idx="1354">
                  <c:v>3.6267839412654337E-2</c:v>
                </c:pt>
                <c:pt idx="1355">
                  <c:v>3.625959700959136E-2</c:v>
                </c:pt>
                <c:pt idx="1356">
                  <c:v>3.6250094970985858E-2</c:v>
                </c:pt>
                <c:pt idx="1357">
                  <c:v>3.6241739060347E-2</c:v>
                </c:pt>
                <c:pt idx="1358">
                  <c:v>3.6233323870159359E-2</c:v>
                </c:pt>
                <c:pt idx="1359">
                  <c:v>3.6224849400549895E-2</c:v>
                </c:pt>
                <c:pt idx="1360">
                  <c:v>3.6216315651642891E-2</c:v>
                </c:pt>
                <c:pt idx="1361">
                  <c:v>3.6208897600689988E-2</c:v>
                </c:pt>
                <c:pt idx="1362">
                  <c:v>3.6200240201973648E-2</c:v>
                </c:pt>
                <c:pt idx="1363">
                  <c:v>3.619152351867938E-2</c:v>
                </c:pt>
                <c:pt idx="1364">
                  <c:v>3.6182747550937908E-2</c:v>
                </c:pt>
                <c:pt idx="1365">
                  <c:v>3.6172757721996872E-2</c:v>
                </c:pt>
                <c:pt idx="1366">
                  <c:v>3.6163868299938604E-2</c:v>
                </c:pt>
                <c:pt idx="1367">
                  <c:v>3.6154919599466193E-2</c:v>
                </c:pt>
                <c:pt idx="1368">
                  <c:v>3.6145911620717418E-2</c:v>
                </c:pt>
                <c:pt idx="1369">
                  <c:v>3.6137978450173421E-2</c:v>
                </c:pt>
                <c:pt idx="1370">
                  <c:v>3.6128846778551334E-2</c:v>
                </c:pt>
                <c:pt idx="1371">
                  <c:v>3.6119655823428444E-2</c:v>
                </c:pt>
                <c:pt idx="1372">
                  <c:v>3.6110405584938096E-2</c:v>
                </c:pt>
                <c:pt idx="1373">
                  <c:v>3.6101985575260155E-2</c:v>
                </c:pt>
                <c:pt idx="1374">
                  <c:v>3.6092597978869843E-2</c:v>
                </c:pt>
                <c:pt idx="1375">
                  <c:v>3.6083151088352486E-2</c:v>
                </c:pt>
                <c:pt idx="1376">
                  <c:v>3.607364490386035E-2</c:v>
                </c:pt>
                <c:pt idx="1377">
                  <c:v>3.6064079425545695E-2</c:v>
                </c:pt>
                <c:pt idx="1378">
                  <c:v>3.604902008712825E-2</c:v>
                </c:pt>
                <c:pt idx="1379">
                  <c:v>3.6039361961205739E-2</c:v>
                </c:pt>
                <c:pt idx="1380">
                  <c:v>3.6029644569808318E-2</c:v>
                </c:pt>
                <c:pt idx="1381">
                  <c:v>3.6019867913074932E-2</c:v>
                </c:pt>
                <c:pt idx="1382">
                  <c:v>3.6015362632040304E-2</c:v>
                </c:pt>
                <c:pt idx="1383">
                  <c:v>3.6005441394049625E-2</c:v>
                </c:pt>
                <c:pt idx="1384">
                  <c:v>3.5996515280831795E-2</c:v>
                </c:pt>
                <c:pt idx="1385">
                  <c:v>3.5985421040039059E-2</c:v>
                </c:pt>
                <c:pt idx="1386">
                  <c:v>3.597218745169236E-2</c:v>
                </c:pt>
                <c:pt idx="1387">
                  <c:v>3.5962044743614939E-2</c:v>
                </c:pt>
                <c:pt idx="1388">
                  <c:v>3.5951842760068062E-2</c:v>
                </c:pt>
                <c:pt idx="1389">
                  <c:v>3.5941581501197604E-2</c:v>
                </c:pt>
                <c:pt idx="1390">
                  <c:v>3.5931260967157562E-2</c:v>
                </c:pt>
                <c:pt idx="1391">
                  <c:v>3.5923936965427158E-2</c:v>
                </c:pt>
                <c:pt idx="1392">
                  <c:v>3.5913482098715102E-2</c:v>
                </c:pt>
                <c:pt idx="1393">
                  <c:v>3.5902967940751908E-2</c:v>
                </c:pt>
                <c:pt idx="1394">
                  <c:v>3.5892394491697212E-2</c:v>
                </c:pt>
                <c:pt idx="1395">
                  <c:v>3.5878769174705859E-2</c:v>
                </c:pt>
                <c:pt idx="1396">
                  <c:v>3.5868092992828005E-2</c:v>
                </c:pt>
                <c:pt idx="1397">
                  <c:v>3.5857357536855781E-2</c:v>
                </c:pt>
                <c:pt idx="1398">
                  <c:v>3.5846562806940471E-2</c:v>
                </c:pt>
                <c:pt idx="1399">
                  <c:v>3.5835708803233356E-2</c:v>
                </c:pt>
                <c:pt idx="1400">
                  <c:v>3.5827708694136332E-2</c:v>
                </c:pt>
                <c:pt idx="1401">
                  <c:v>3.5816720212281827E-2</c:v>
                </c:pt>
                <c:pt idx="1402">
                  <c:v>3.5805672440725897E-2</c:v>
                </c:pt>
                <c:pt idx="1403">
                  <c:v>3.5795519597848505E-2</c:v>
                </c:pt>
                <c:pt idx="1404">
                  <c:v>3.5783399029212133E-2</c:v>
                </c:pt>
                <c:pt idx="1405">
                  <c:v>3.5772173389610425E-2</c:v>
                </c:pt>
                <c:pt idx="1406">
                  <c:v>3.5760888461019505E-2</c:v>
                </c:pt>
                <c:pt idx="1407">
                  <c:v>3.5749544243621117E-2</c:v>
                </c:pt>
                <c:pt idx="1408">
                  <c:v>3.5735355475929542E-2</c:v>
                </c:pt>
                <c:pt idx="1409">
                  <c:v>3.5723908743211408E-2</c:v>
                </c:pt>
                <c:pt idx="1410">
                  <c:v>3.5712402738492598E-2</c:v>
                </c:pt>
                <c:pt idx="1411">
                  <c:v>3.5700837461946008E-2</c:v>
                </c:pt>
                <c:pt idx="1412">
                  <c:v>3.5689212913733726E-2</c:v>
                </c:pt>
                <c:pt idx="1413">
                  <c:v>3.5680233884515314E-2</c:v>
                </c:pt>
                <c:pt idx="1414">
                  <c:v>3.5668474650602501E-2</c:v>
                </c:pt>
                <c:pt idx="1415">
                  <c:v>3.5656656129368081E-2</c:v>
                </c:pt>
                <c:pt idx="1416">
                  <c:v>3.5644778320993775E-2</c:v>
                </c:pt>
                <c:pt idx="1417">
                  <c:v>3.5630201103711477E-2</c:v>
                </c:pt>
                <c:pt idx="1418">
                  <c:v>3.5618220929119745E-2</c:v>
                </c:pt>
                <c:pt idx="1419">
                  <c:v>3.5606181484061805E-2</c:v>
                </c:pt>
                <c:pt idx="1420">
                  <c:v>3.5594082768729482E-2</c:v>
                </c:pt>
                <c:pt idx="1421">
                  <c:v>3.5581924783284855E-2</c:v>
                </c:pt>
                <c:pt idx="1422">
                  <c:v>3.5572266451601969E-2</c:v>
                </c:pt>
                <c:pt idx="1423">
                  <c:v>3.5559973638651612E-2</c:v>
                </c:pt>
                <c:pt idx="1424">
                  <c:v>3.5547621540113532E-2</c:v>
                </c:pt>
                <c:pt idx="1425">
                  <c:v>3.5535210156189122E-2</c:v>
                </c:pt>
                <c:pt idx="1426">
                  <c:v>3.5522739487072401E-2</c:v>
                </c:pt>
                <c:pt idx="1427">
                  <c:v>3.5510209532967213E-2</c:v>
                </c:pt>
                <c:pt idx="1428">
                  <c:v>3.549762029407004E-2</c:v>
                </c:pt>
                <c:pt idx="1429">
                  <c:v>3.5484971770587168E-2</c:v>
                </c:pt>
                <c:pt idx="1430">
                  <c:v>3.5468214662742352E-2</c:v>
                </c:pt>
                <c:pt idx="1431">
                  <c:v>3.5455474925364973E-2</c:v>
                </c:pt>
                <c:pt idx="1432">
                  <c:v>3.5442675930455227E-2</c:v>
                </c:pt>
                <c:pt idx="1433">
                  <c:v>3.5429817678189673E-2</c:v>
                </c:pt>
                <c:pt idx="1434">
                  <c:v>3.5420839891485124E-2</c:v>
                </c:pt>
                <c:pt idx="1435">
                  <c:v>3.5408616697296114E-2</c:v>
                </c:pt>
                <c:pt idx="1436">
                  <c:v>3.5394772154898647E-2</c:v>
                </c:pt>
                <c:pt idx="1437">
                  <c:v>3.5381649362095625E-2</c:v>
                </c:pt>
                <c:pt idx="1438">
                  <c:v>3.5366170879552558E-2</c:v>
                </c:pt>
                <c:pt idx="1439">
                  <c:v>3.5352946063335278E-2</c:v>
                </c:pt>
                <c:pt idx="1440">
                  <c:v>3.5339661980523115E-2</c:v>
                </c:pt>
                <c:pt idx="1441">
                  <c:v>3.5326318631313268E-2</c:v>
                </c:pt>
                <c:pt idx="1442">
                  <c:v>3.5312916015900253E-2</c:v>
                </c:pt>
                <c:pt idx="1443">
                  <c:v>3.5301667675392959E-2</c:v>
                </c:pt>
                <c:pt idx="1444">
                  <c:v>3.5288129907959258E-2</c:v>
                </c:pt>
                <c:pt idx="1445">
                  <c:v>3.5274532859294688E-2</c:v>
                </c:pt>
                <c:pt idx="1446">
                  <c:v>3.5260876529617832E-2</c:v>
                </c:pt>
                <c:pt idx="1447">
                  <c:v>3.5245014286781805E-2</c:v>
                </c:pt>
                <c:pt idx="1448">
                  <c:v>3.5231268119553315E-2</c:v>
                </c:pt>
                <c:pt idx="1449">
                  <c:v>3.5217499071165934E-2</c:v>
                </c:pt>
                <c:pt idx="1450">
                  <c:v>3.5203732610237792E-2</c:v>
                </c:pt>
                <c:pt idx="1451">
                  <c:v>3.518999419291402E-2</c:v>
                </c:pt>
                <c:pt idx="1452">
                  <c:v>3.5178463508323154E-2</c:v>
                </c:pt>
                <c:pt idx="1453">
                  <c:v>3.5164828944902096E-2</c:v>
                </c:pt>
                <c:pt idx="1454">
                  <c:v>3.5151244283044093E-2</c:v>
                </c:pt>
                <c:pt idx="1455">
                  <c:v>3.5138436992227906E-2</c:v>
                </c:pt>
                <c:pt idx="1456">
                  <c:v>3.5124224663300098E-2</c:v>
                </c:pt>
                <c:pt idx="1457">
                  <c:v>3.5110789705043256E-2</c:v>
                </c:pt>
                <c:pt idx="1458">
                  <c:v>3.5097404647629872E-2</c:v>
                </c:pt>
                <c:pt idx="1459">
                  <c:v>3.5084069490868383E-2</c:v>
                </c:pt>
                <c:pt idx="1460">
                  <c:v>3.5068569230218581E-2</c:v>
                </c:pt>
                <c:pt idx="1461">
                  <c:v>3.5055326992552135E-2</c:v>
                </c:pt>
                <c:pt idx="1462">
                  <c:v>3.5042134639255137E-2</c:v>
                </c:pt>
                <c:pt idx="1463">
                  <c:v>3.5028992170165495E-2</c:v>
                </c:pt>
                <c:pt idx="1464">
                  <c:v>3.501589958512652E-2</c:v>
                </c:pt>
                <c:pt idx="1465">
                  <c:v>3.5005106454079463E-2</c:v>
                </c:pt>
                <c:pt idx="1466">
                  <c:v>3.4992120596922666E-2</c:v>
                </c:pt>
                <c:pt idx="1467">
                  <c:v>3.4979184638998233E-2</c:v>
                </c:pt>
                <c:pt idx="1468">
                  <c:v>3.4966298580139145E-2</c:v>
                </c:pt>
                <c:pt idx="1469">
                  <c:v>3.4951184915053557E-2</c:v>
                </c:pt>
                <c:pt idx="1470">
                  <c:v>3.4938391630949771E-2</c:v>
                </c:pt>
                <c:pt idx="1471">
                  <c:v>3.4925648229789018E-2</c:v>
                </c:pt>
                <c:pt idx="1472">
                  <c:v>3.4912954711403807E-2</c:v>
                </c:pt>
                <c:pt idx="1473">
                  <c:v>3.4900311075645549E-2</c:v>
                </c:pt>
                <c:pt idx="1474">
                  <c:v>3.4890030097592138E-2</c:v>
                </c:pt>
                <c:pt idx="1475">
                  <c:v>3.4877493327337555E-2</c:v>
                </c:pt>
                <c:pt idx="1476">
                  <c:v>3.4865006454777907E-2</c:v>
                </c:pt>
                <c:pt idx="1477">
                  <c:v>3.4852569479733905E-2</c:v>
                </c:pt>
                <c:pt idx="1478">
                  <c:v>3.4840182402048371E-2</c:v>
                </c:pt>
                <c:pt idx="1479">
                  <c:v>3.482784522154693E-2</c:v>
                </c:pt>
                <c:pt idx="1480">
                  <c:v>3.4815557938072401E-2</c:v>
                </c:pt>
                <c:pt idx="1481">
                  <c:v>3.4803320551445506E-2</c:v>
                </c:pt>
                <c:pt idx="1482">
                  <c:v>3.4787184433968783E-2</c:v>
                </c:pt>
                <c:pt idx="1483">
                  <c:v>3.4775034802808358E-2</c:v>
                </c:pt>
                <c:pt idx="1484">
                  <c:v>3.4762935042324805E-2</c:v>
                </c:pt>
                <c:pt idx="1485">
                  <c:v>3.4750885152384975E-2</c:v>
                </c:pt>
                <c:pt idx="1486">
                  <c:v>3.4740483059962989E-2</c:v>
                </c:pt>
                <c:pt idx="1487">
                  <c:v>3.4730944056468573E-2</c:v>
                </c:pt>
                <c:pt idx="1488">
                  <c:v>3.4719055943243864E-2</c:v>
                </c:pt>
                <c:pt idx="1489">
                  <c:v>3.4707217725577416E-2</c:v>
                </c:pt>
                <c:pt idx="1490">
                  <c:v>3.4695429403299761E-2</c:v>
                </c:pt>
                <c:pt idx="1491">
                  <c:v>3.4681255387105279E-2</c:v>
                </c:pt>
                <c:pt idx="1492">
                  <c:v>3.4669559492460721E-2</c:v>
                </c:pt>
                <c:pt idx="1493">
                  <c:v>3.4657913477460611E-2</c:v>
                </c:pt>
                <c:pt idx="1494">
                  <c:v>3.4646317341956376E-2</c:v>
                </c:pt>
                <c:pt idx="1495">
                  <c:v>3.4637236217293692E-2</c:v>
                </c:pt>
                <c:pt idx="1496">
                  <c:v>3.4625747264067676E-2</c:v>
                </c:pt>
                <c:pt idx="1497">
                  <c:v>3.4614308205130187E-2</c:v>
                </c:pt>
                <c:pt idx="1498">
                  <c:v>3.4602919040341247E-2</c:v>
                </c:pt>
                <c:pt idx="1499">
                  <c:v>3.4589084851948268E-2</c:v>
                </c:pt>
                <c:pt idx="1500">
                  <c:v>3.4577787990466444E-2</c:v>
                </c:pt>
                <c:pt idx="1501">
                  <c:v>3.4566541007502526E-2</c:v>
                </c:pt>
                <c:pt idx="1502">
                  <c:v>3.4555343902907931E-2</c:v>
                </c:pt>
                <c:pt idx="1503">
                  <c:v>3.4544196676561098E-2</c:v>
                </c:pt>
                <c:pt idx="1504">
                  <c:v>3.4535631819983821E-2</c:v>
                </c:pt>
                <c:pt idx="1505">
                  <c:v>3.4524591909914672E-2</c:v>
                </c:pt>
                <c:pt idx="1506">
                  <c:v>3.4513601892771001E-2</c:v>
                </c:pt>
                <c:pt idx="1507">
                  <c:v>3.4503514098034344E-2</c:v>
                </c:pt>
                <c:pt idx="1508">
                  <c:v>3.4491771536687865E-2</c:v>
                </c:pt>
                <c:pt idx="1509">
                  <c:v>3.4480931197451235E-2</c:v>
                </c:pt>
                <c:pt idx="1510">
                  <c:v>3.4470140750555565E-2</c:v>
                </c:pt>
                <c:pt idx="1511">
                  <c:v>3.4459400195853508E-2</c:v>
                </c:pt>
                <c:pt idx="1512">
                  <c:v>3.4446116137860416E-2</c:v>
                </c:pt>
                <c:pt idx="1513">
                  <c:v>3.4435467686491639E-2</c:v>
                </c:pt>
                <c:pt idx="1514">
                  <c:v>3.4424869111895573E-2</c:v>
                </c:pt>
                <c:pt idx="1515">
                  <c:v>3.4414320413934441E-2</c:v>
                </c:pt>
                <c:pt idx="1516">
                  <c:v>3.4403821592492077E-2</c:v>
                </c:pt>
                <c:pt idx="1517">
                  <c:v>3.4396004595707928E-2</c:v>
                </c:pt>
                <c:pt idx="1518">
                  <c:v>3.4385613282360394E-2</c:v>
                </c:pt>
                <c:pt idx="1519">
                  <c:v>3.4375271860071818E-2</c:v>
                </c:pt>
                <c:pt idx="1520">
                  <c:v>3.4364980328694845E-2</c:v>
                </c:pt>
                <c:pt idx="1521">
                  <c:v>3.4352075628434009E-2</c:v>
                </c:pt>
                <c:pt idx="1522">
                  <c:v>3.4341876063370289E-2</c:v>
                </c:pt>
                <c:pt idx="1523">
                  <c:v>3.4331726373928416E-2</c:v>
                </c:pt>
                <c:pt idx="1524">
                  <c:v>3.4321626559984129E-2</c:v>
                </c:pt>
                <c:pt idx="1525">
                  <c:v>3.4311576621413153E-2</c:v>
                </c:pt>
                <c:pt idx="1526">
                  <c:v>3.430427884196327E-2</c:v>
                </c:pt>
                <c:pt idx="1527">
                  <c:v>3.4294336543155904E-2</c:v>
                </c:pt>
                <c:pt idx="1528">
                  <c:v>3.4284444134169693E-2</c:v>
                </c:pt>
                <c:pt idx="1529">
                  <c:v>3.4272290261451524E-2</c:v>
                </c:pt>
                <c:pt idx="1530">
                  <c:v>3.4262502112861332E-2</c:v>
                </c:pt>
                <c:pt idx="1531">
                  <c:v>3.4252763848755911E-2</c:v>
                </c:pt>
                <c:pt idx="1532">
                  <c:v>3.4243075468998498E-2</c:v>
                </c:pt>
                <c:pt idx="1533">
                  <c:v>3.4233436973470054E-2</c:v>
                </c:pt>
                <c:pt idx="1534">
                  <c:v>3.4221082341569828E-2</c:v>
                </c:pt>
                <c:pt idx="1535">
                  <c:v>3.4211535606269682E-2</c:v>
                </c:pt>
                <c:pt idx="1536">
                  <c:v>3.420203874009875E-2</c:v>
                </c:pt>
                <c:pt idx="1537">
                  <c:v>3.4192591742948024E-2</c:v>
                </c:pt>
                <c:pt idx="1538">
                  <c:v>3.4183194614694552E-2</c:v>
                </c:pt>
                <c:pt idx="1539">
                  <c:v>3.4176653562041533E-2</c:v>
                </c:pt>
                <c:pt idx="1540">
                  <c:v>3.4168302979947572E-2</c:v>
                </c:pt>
                <c:pt idx="1541">
                  <c:v>3.4158124826408273E-2</c:v>
                </c:pt>
                <c:pt idx="1542">
                  <c:v>3.4148935283323037E-2</c:v>
                </c:pt>
                <c:pt idx="1543">
                  <c:v>3.4140742464946333E-2</c:v>
                </c:pt>
                <c:pt idx="1544">
                  <c:v>3.4130705846022701E-2</c:v>
                </c:pt>
                <c:pt idx="1545">
                  <c:v>3.4121665951566994E-2</c:v>
                </c:pt>
                <c:pt idx="1546">
                  <c:v>3.4113630939714576E-2</c:v>
                </c:pt>
                <c:pt idx="1547">
                  <c:v>3.4103735810449322E-2</c:v>
                </c:pt>
                <c:pt idx="1548">
                  <c:v>3.4094845563559413E-2</c:v>
                </c:pt>
                <c:pt idx="1549">
                  <c:v>3.4086005198953363E-2</c:v>
                </c:pt>
                <c:pt idx="1550">
                  <c:v>3.4077214716522267E-2</c:v>
                </c:pt>
                <c:pt idx="1551">
                  <c:v>3.4068474116147086E-2</c:v>
                </c:pt>
                <c:pt idx="1552">
                  <c:v>3.4059783397718917E-2</c:v>
                </c:pt>
                <c:pt idx="1553">
                  <c:v>3.4051142561111122E-2</c:v>
                </c:pt>
                <c:pt idx="1554">
                  <c:v>3.4042551606227461E-2</c:v>
                </c:pt>
                <c:pt idx="1555">
                  <c:v>3.4034010532943831E-2</c:v>
                </c:pt>
                <c:pt idx="1556">
                  <c:v>3.4025519341153859E-2</c:v>
                </c:pt>
                <c:pt idx="1557">
                  <c:v>3.4017078030741041E-2</c:v>
                </c:pt>
                <c:pt idx="1558">
                  <c:v>3.4008686601604068E-2</c:v>
                </c:pt>
                <c:pt idx="1559">
                  <c:v>3.4001335910900141E-2</c:v>
                </c:pt>
                <c:pt idx="1560">
                  <c:v>3.3989074406566053E-2</c:v>
                </c:pt>
                <c:pt idx="1561">
                  <c:v>3.3983811600716111E-2</c:v>
                </c:pt>
                <c:pt idx="1562">
                  <c:v>3.3975619695570669E-2</c:v>
                </c:pt>
                <c:pt idx="1563">
                  <c:v>3.3967477671151478E-2</c:v>
                </c:pt>
                <c:pt idx="1564">
                  <c:v>3.3959385527352164E-2</c:v>
                </c:pt>
                <c:pt idx="1565">
                  <c:v>3.3951343264073952E-2</c:v>
                </c:pt>
                <c:pt idx="1566">
                  <c:v>3.3943350881202872E-2</c:v>
                </c:pt>
                <c:pt idx="1567">
                  <c:v>3.3935408378640147E-2</c:v>
                </c:pt>
                <c:pt idx="1568">
                  <c:v>3.3927515756279406E-2</c:v>
                </c:pt>
                <c:pt idx="1569">
                  <c:v>3.3919673014016806E-2</c:v>
                </c:pt>
                <c:pt idx="1570">
                  <c:v>3.3911880151751041E-2</c:v>
                </c:pt>
                <c:pt idx="1571">
                  <c:v>3.3904137169380802E-2</c:v>
                </c:pt>
                <c:pt idx="1572">
                  <c:v>3.3896444066804782E-2</c:v>
                </c:pt>
                <c:pt idx="1573">
                  <c:v>3.3885711708618406E-2</c:v>
                </c:pt>
                <c:pt idx="1574">
                  <c:v>3.3881207500627633E-2</c:v>
                </c:pt>
                <c:pt idx="1575">
                  <c:v>3.3873664036831487E-2</c:v>
                </c:pt>
                <c:pt idx="1576">
                  <c:v>3.3866170452429394E-2</c:v>
                </c:pt>
                <c:pt idx="1577">
                  <c:v>3.3858726747322578E-2</c:v>
                </c:pt>
                <c:pt idx="1578">
                  <c:v>3.3851332921414796E-2</c:v>
                </c:pt>
                <c:pt idx="1579">
                  <c:v>3.3843988974614873E-2</c:v>
                </c:pt>
                <c:pt idx="1580">
                  <c:v>3.3836694906816435E-2</c:v>
                </c:pt>
                <c:pt idx="1581">
                  <c:v>3.3824278871115665E-2</c:v>
                </c:pt>
                <c:pt idx="1582">
                  <c:v>3.3817110163747985E-2</c:v>
                </c:pt>
                <c:pt idx="1583">
                  <c:v>3.3809991330303317E-2</c:v>
                </c:pt>
                <c:pt idx="1584">
                  <c:v>3.3802922370690165E-2</c:v>
                </c:pt>
                <c:pt idx="1585">
                  <c:v>3.3795903284817026E-2</c:v>
                </c:pt>
                <c:pt idx="1586">
                  <c:v>3.3785728389868444E-2</c:v>
                </c:pt>
                <c:pt idx="1587">
                  <c:v>3.3778800285487937E-2</c:v>
                </c:pt>
                <c:pt idx="1588">
                  <c:v>3.3771922040385725E-2</c:v>
                </c:pt>
                <c:pt idx="1589">
                  <c:v>3.3765093654483658E-2</c:v>
                </c:pt>
                <c:pt idx="1590">
                  <c:v>3.376155595850576E-2</c:v>
                </c:pt>
                <c:pt idx="1591">
                  <c:v>3.3754836113240004E-2</c:v>
                </c:pt>
                <c:pt idx="1592">
                  <c:v>3.3748166141110335E-2</c:v>
                </c:pt>
                <c:pt idx="1593">
                  <c:v>3.3741546042025249E-2</c:v>
                </c:pt>
                <c:pt idx="1594">
                  <c:v>3.3734975815906315E-2</c:v>
                </c:pt>
                <c:pt idx="1595">
                  <c:v>3.3726432253552319E-2</c:v>
                </c:pt>
                <c:pt idx="1596">
                  <c:v>3.3719965932092887E-2</c:v>
                </c:pt>
                <c:pt idx="1597">
                  <c:v>3.3713549478631553E-2</c:v>
                </c:pt>
                <c:pt idx="1598">
                  <c:v>3.3707182893089979E-2</c:v>
                </c:pt>
                <c:pt idx="1599">
                  <c:v>3.3701973867754392E-2</c:v>
                </c:pt>
                <c:pt idx="1600">
                  <c:v>3.369571000233116E-2</c:v>
                </c:pt>
                <c:pt idx="1601">
                  <c:v>3.3689496009291067E-2</c:v>
                </c:pt>
                <c:pt idx="1602">
                  <c:v>3.3683331888553068E-2</c:v>
                </c:pt>
                <c:pt idx="1603">
                  <c:v>3.3676097981428274E-2</c:v>
                </c:pt>
                <c:pt idx="1604">
                  <c:v>3.3670030601778908E-2</c:v>
                </c:pt>
                <c:pt idx="1605">
                  <c:v>3.366401308950899E-2</c:v>
                </c:pt>
                <c:pt idx="1606">
                  <c:v>3.3658045444548278E-2</c:v>
                </c:pt>
                <c:pt idx="1607">
                  <c:v>3.3653259366738277E-2</c:v>
                </c:pt>
                <c:pt idx="1608">
                  <c:v>3.3647394478212841E-2</c:v>
                </c:pt>
                <c:pt idx="1609">
                  <c:v>3.3641579461461388E-2</c:v>
                </c:pt>
                <c:pt idx="1610">
                  <c:v>3.3635814316405485E-2</c:v>
                </c:pt>
                <c:pt idx="1611">
                  <c:v>3.3630099042977167E-2</c:v>
                </c:pt>
                <c:pt idx="1612">
                  <c:v>3.3624433641097996E-2</c:v>
                </c:pt>
                <c:pt idx="1613">
                  <c:v>3.3618818110702615E-2</c:v>
                </c:pt>
                <c:pt idx="1614">
                  <c:v>3.3613252451715203E-2</c:v>
                </c:pt>
                <c:pt idx="1615">
                  <c:v>3.3607736664065177E-2</c:v>
                </c:pt>
                <c:pt idx="1616">
                  <c:v>3.3601111681243544E-2</c:v>
                </c:pt>
                <c:pt idx="1617">
                  <c:v>3.3595692572005051E-2</c:v>
                </c:pt>
                <c:pt idx="1618">
                  <c:v>3.3590323329238281E-2</c:v>
                </c:pt>
                <c:pt idx="1619">
                  <c:v>3.358500395288111E-2</c:v>
                </c:pt>
                <c:pt idx="1620">
                  <c:v>3.3579734442865994E-2</c:v>
                </c:pt>
                <c:pt idx="1621">
                  <c:v>3.3575689232422559E-2</c:v>
                </c:pt>
                <c:pt idx="1622">
                  <c:v>3.35705225422257E-2</c:v>
                </c:pt>
                <c:pt idx="1623">
                  <c:v>3.3565405722827651E-2</c:v>
                </c:pt>
                <c:pt idx="1624">
                  <c:v>3.3560338774157837E-2</c:v>
                </c:pt>
                <c:pt idx="1625">
                  <c:v>3.3554134885668163E-2</c:v>
                </c:pt>
                <c:pt idx="1626">
                  <c:v>3.3549164572365418E-2</c:v>
                </c:pt>
                <c:pt idx="1627">
                  <c:v>3.3544244124967079E-2</c:v>
                </c:pt>
                <c:pt idx="1628">
                  <c:v>3.3539373543408302E-2</c:v>
                </c:pt>
                <c:pt idx="1629">
                  <c:v>3.3539352102312937E-2</c:v>
                </c:pt>
                <c:pt idx="1630">
                  <c:v>3.3530984363993793E-2</c:v>
                </c:pt>
                <c:pt idx="1631">
                  <c:v>3.3526266508690845E-2</c:v>
                </c:pt>
                <c:pt idx="1632">
                  <c:v>3.3521598523627232E-2</c:v>
                </c:pt>
                <c:pt idx="1633">
                  <c:v>3.351698040874021E-2</c:v>
                </c:pt>
                <c:pt idx="1634">
                  <c:v>3.351241216397749E-2</c:v>
                </c:pt>
                <c:pt idx="1635">
                  <c:v>3.3507893789271097E-2</c:v>
                </c:pt>
                <c:pt idx="1636">
                  <c:v>3.3503425284571356E-2</c:v>
                </c:pt>
                <c:pt idx="1637">
                  <c:v>3.349900664981291E-2</c:v>
                </c:pt>
                <c:pt idx="1638">
                  <c:v>3.3490956368699656E-2</c:v>
                </c:pt>
                <c:pt idx="1639">
                  <c:v>3.3486627977317912E-2</c:v>
                </c:pt>
                <c:pt idx="1640">
                  <c:v>3.3482349441865518E-2</c:v>
                </c:pt>
                <c:pt idx="1641">
                  <c:v>3.347812076229905E-2</c:v>
                </c:pt>
                <c:pt idx="1642">
                  <c:v>3.3477661523317881E-2</c:v>
                </c:pt>
                <c:pt idx="1643">
                  <c:v>3.3473542107096091E-2</c:v>
                </c:pt>
                <c:pt idx="1644">
                  <c:v>3.3469472560441735E-2</c:v>
                </c:pt>
                <c:pt idx="1645">
                  <c:v>3.3470455926963946E-2</c:v>
                </c:pt>
                <c:pt idx="1646">
                  <c:v>3.346148307563402E-2</c:v>
                </c:pt>
                <c:pt idx="1647">
                  <c:v>3.345630692802308E-2</c:v>
                </c:pt>
                <c:pt idx="1648">
                  <c:v>3.3452433651576907E-2</c:v>
                </c:pt>
                <c:pt idx="1649">
                  <c:v>3.3448610239846466E-2</c:v>
                </c:pt>
                <c:pt idx="1650">
                  <c:v>3.3444836692785827E-2</c:v>
                </c:pt>
                <c:pt idx="1651">
                  <c:v>3.3442382077535041E-2</c:v>
                </c:pt>
                <c:pt idx="1652">
                  <c:v>3.3438711485629311E-2</c:v>
                </c:pt>
                <c:pt idx="1653">
                  <c:v>3.343509076284918E-2</c:v>
                </c:pt>
                <c:pt idx="1654">
                  <c:v>3.3431519909150213E-2</c:v>
                </c:pt>
                <c:pt idx="1655">
                  <c:v>3.3426716925924915E-2</c:v>
                </c:pt>
                <c:pt idx="1656">
                  <c:v>3.342324256593214E-2</c:v>
                </c:pt>
                <c:pt idx="1657">
                  <c:v>3.3419818070290375E-2</c:v>
                </c:pt>
                <c:pt idx="1658">
                  <c:v>3.3416443438972619E-2</c:v>
                </c:pt>
                <c:pt idx="1659">
                  <c:v>3.3413118671927533E-2</c:v>
                </c:pt>
                <c:pt idx="1660">
                  <c:v>3.3411142035184908E-2</c:v>
                </c:pt>
                <c:pt idx="1661">
                  <c:v>3.3407920263827898E-2</c:v>
                </c:pt>
                <c:pt idx="1662">
                  <c:v>3.3404748361206944E-2</c:v>
                </c:pt>
                <c:pt idx="1663">
                  <c:v>3.3401626327282836E-2</c:v>
                </c:pt>
                <c:pt idx="1664">
                  <c:v>3.3398554162013733E-2</c:v>
                </c:pt>
                <c:pt idx="1665">
                  <c:v>3.3395531865368276E-2</c:v>
                </c:pt>
                <c:pt idx="1666">
                  <c:v>3.33925594372994E-2</c:v>
                </c:pt>
                <c:pt idx="1667">
                  <c:v>3.3389636877775727E-2</c:v>
                </c:pt>
                <c:pt idx="1668">
                  <c:v>3.3385439654362435E-2</c:v>
                </c:pt>
                <c:pt idx="1669">
                  <c:v>3.3382613527928783E-2</c:v>
                </c:pt>
                <c:pt idx="1670">
                  <c:v>3.3379837265351764E-2</c:v>
                </c:pt>
                <c:pt idx="1671">
                  <c:v>3.3377110866598968E-2</c:v>
                </c:pt>
                <c:pt idx="1672">
                  <c:v>3.3374434331643374E-2</c:v>
                </c:pt>
                <c:pt idx="1673">
                  <c:v>3.3373148757991536E-2</c:v>
                </c:pt>
                <c:pt idx="1674">
                  <c:v>3.3370575277267313E-2</c:v>
                </c:pt>
                <c:pt idx="1675">
                  <c:v>3.3368051664803333E-2</c:v>
                </c:pt>
                <c:pt idx="1676">
                  <c:v>3.3365577920573444E-2</c:v>
                </c:pt>
                <c:pt idx="1677">
                  <c:v>3.3361799612610432E-2</c:v>
                </c:pt>
                <c:pt idx="1678">
                  <c:v>3.3359422259741055E-2</c:v>
                </c:pt>
                <c:pt idx="1679">
                  <c:v>3.3357094770444649E-2</c:v>
                </c:pt>
                <c:pt idx="1680">
                  <c:v>3.3354817144699608E-2</c:v>
                </c:pt>
                <c:pt idx="1681">
                  <c:v>3.3353957221829524E-2</c:v>
                </c:pt>
                <c:pt idx="1682">
                  <c:v>3.3351782686353214E-2</c:v>
                </c:pt>
                <c:pt idx="1683">
                  <c:v>3.3349658018907075E-2</c:v>
                </c:pt>
                <c:pt idx="1684">
                  <c:v>3.3347583219457126E-2</c:v>
                </c:pt>
                <c:pt idx="1685">
                  <c:v>3.3348037907074295E-2</c:v>
                </c:pt>
                <c:pt idx="1686">
                  <c:v>3.3346076733743291E-2</c:v>
                </c:pt>
                <c:pt idx="1687">
                  <c:v>3.3344165437450238E-2</c:v>
                </c:pt>
                <c:pt idx="1688">
                  <c:v>3.3342304018160754E-2</c:v>
                </c:pt>
                <c:pt idx="1689">
                  <c:v>3.3340492475860108E-2</c:v>
                </c:pt>
                <c:pt idx="1690">
                  <c:v>3.3331737015602846E-2</c:v>
                </c:pt>
                <c:pt idx="1691">
                  <c:v>3.3330008202529633E-2</c:v>
                </c:pt>
                <c:pt idx="1692">
                  <c:v>3.3328329243608533E-2</c:v>
                </c:pt>
                <c:pt idx="1693">
                  <c:v>3.3326700138804816E-2</c:v>
                </c:pt>
                <c:pt idx="1694">
                  <c:v>3.3332182918268435E-2</c:v>
                </c:pt>
                <c:pt idx="1695">
                  <c:v>3.3332087704780793E-2</c:v>
                </c:pt>
                <c:pt idx="1696">
                  <c:v>3.332920823331368E-2</c:v>
                </c:pt>
                <c:pt idx="1697">
                  <c:v>3.3327795706056769E-2</c:v>
                </c:pt>
                <c:pt idx="1698">
                  <c:v>3.3322153434252121E-2</c:v>
                </c:pt>
                <c:pt idx="1699">
                  <c:v>3.3320830334596582E-2</c:v>
                </c:pt>
                <c:pt idx="1700">
                  <c:v>3.3319557098041241E-2</c:v>
                </c:pt>
                <c:pt idx="1701">
                  <c:v>3.3318333724575308E-2</c:v>
                </c:pt>
                <c:pt idx="1702">
                  <c:v>3.3317160214174454E-2</c:v>
                </c:pt>
                <c:pt idx="1703">
                  <c:v>3.3320367954442619E-2</c:v>
                </c:pt>
                <c:pt idx="1704">
                  <c:v>3.3319304564339271E-2</c:v>
                </c:pt>
                <c:pt idx="1705">
                  <c:v>3.3318291050910401E-2</c:v>
                </c:pt>
                <c:pt idx="1706">
                  <c:v>3.3317327414138807E-2</c:v>
                </c:pt>
                <c:pt idx="1707">
                  <c:v>3.331203986745368E-2</c:v>
                </c:pt>
                <c:pt idx="1708">
                  <c:v>3.3311150878785376E-2</c:v>
                </c:pt>
                <c:pt idx="1709">
                  <c:v>3.3310274342780853E-2</c:v>
                </c:pt>
                <c:pt idx="1710">
                  <c:v>3.3309386452870481E-2</c:v>
                </c:pt>
                <c:pt idx="1711">
                  <c:v>3.3308463495039464E-2</c:v>
                </c:pt>
                <c:pt idx="1712">
                  <c:v>3.3311821334200492E-2</c:v>
                </c:pt>
                <c:pt idx="1713">
                  <c:v>3.3310784030286714E-2</c:v>
                </c:pt>
                <c:pt idx="1714">
                  <c:v>3.3309694547011541E-2</c:v>
                </c:pt>
                <c:pt idx="1715">
                  <c:v>3.3309984690302101E-2</c:v>
                </c:pt>
                <c:pt idx="1716">
                  <c:v>3.3307359042403985E-2</c:v>
                </c:pt>
                <c:pt idx="1717">
                  <c:v>3.3306113021108447E-2</c:v>
                </c:pt>
                <c:pt idx="1718">
                  <c:v>3.3304814820515359E-2</c:v>
                </c:pt>
                <c:pt idx="1719">
                  <c:v>3.3303464440634548E-2</c:v>
                </c:pt>
                <c:pt idx="1720">
                  <c:v>3.3297822458486857E-2</c:v>
                </c:pt>
                <c:pt idx="1721">
                  <c:v>3.3296379295828148E-2</c:v>
                </c:pt>
                <c:pt idx="1722">
                  <c:v>3.3294883968181962E-2</c:v>
                </c:pt>
                <c:pt idx="1723">
                  <c:v>3.3293336475564504E-2</c:v>
                </c:pt>
                <c:pt idx="1724">
                  <c:v>3.3291736817994688E-2</c:v>
                </c:pt>
                <c:pt idx="1725">
                  <c:v>3.3294266397474022E-2</c:v>
                </c:pt>
                <c:pt idx="1726">
                  <c:v>3.3292550763171017E-2</c:v>
                </c:pt>
                <c:pt idx="1727">
                  <c:v>3.3290782949754655E-2</c:v>
                </c:pt>
                <c:pt idx="1728">
                  <c:v>3.3288962957251957E-2</c:v>
                </c:pt>
                <c:pt idx="1729">
                  <c:v>3.3282956056632895E-2</c:v>
                </c:pt>
                <c:pt idx="1730">
                  <c:v>3.3281043409816302E-2</c:v>
                </c:pt>
                <c:pt idx="1731">
                  <c:v>3.3279078598204045E-2</c:v>
                </c:pt>
                <c:pt idx="1732">
                  <c:v>3.3277061621825831E-2</c:v>
                </c:pt>
                <c:pt idx="1733">
                  <c:v>3.3274992480705978E-2</c:v>
                </c:pt>
                <c:pt idx="1734">
                  <c:v>3.3276947242896239E-2</c:v>
                </c:pt>
                <c:pt idx="1735">
                  <c:v>3.3274761997543152E-2</c:v>
                </c:pt>
                <c:pt idx="1736">
                  <c:v>3.3272524573329673E-2</c:v>
                </c:pt>
                <c:pt idx="1737">
                  <c:v>3.3270234970285271E-2</c:v>
                </c:pt>
                <c:pt idx="1738">
                  <c:v>3.3267893188444336E-2</c:v>
                </c:pt>
                <c:pt idx="1739">
                  <c:v>3.326549922784125E-2</c:v>
                </c:pt>
                <c:pt idx="1740">
                  <c:v>3.3263053088505481E-2</c:v>
                </c:pt>
                <c:pt idx="1741">
                  <c:v>3.3260554770476333E-2</c:v>
                </c:pt>
                <c:pt idx="1742">
                  <c:v>3.3252695050670321E-2</c:v>
                </c:pt>
                <c:pt idx="1743">
                  <c:v>3.325010822509359E-2</c:v>
                </c:pt>
                <c:pt idx="1744">
                  <c:v>3.3247469239824121E-2</c:v>
                </c:pt>
                <c:pt idx="1745">
                  <c:v>3.3244778094901048E-2</c:v>
                </c:pt>
                <c:pt idx="1746">
                  <c:v>3.3242034790357901E-2</c:v>
                </c:pt>
                <c:pt idx="1747">
                  <c:v>3.3244469111700141E-2</c:v>
                </c:pt>
                <c:pt idx="1748">
                  <c:v>3.3241605543826679E-2</c:v>
                </c:pt>
                <c:pt idx="1749">
                  <c:v>3.3238689797557001E-2</c:v>
                </c:pt>
                <c:pt idx="1750">
                  <c:v>3.3235721872937767E-2</c:v>
                </c:pt>
                <c:pt idx="1751">
                  <c:v>3.3228827803179192E-2</c:v>
                </c:pt>
                <c:pt idx="1752">
                  <c:v>3.3225767537768444E-2</c:v>
                </c:pt>
                <c:pt idx="1753">
                  <c:v>3.3222655108272534E-2</c:v>
                </c:pt>
                <c:pt idx="1754">
                  <c:v>3.3219490514737382E-2</c:v>
                </c:pt>
                <c:pt idx="1755">
                  <c:v>3.3220099576047303E-2</c:v>
                </c:pt>
                <c:pt idx="1756">
                  <c:v>3.3216818582219802E-2</c:v>
                </c:pt>
                <c:pt idx="1757">
                  <c:v>3.3213485410349741E-2</c:v>
                </c:pt>
                <c:pt idx="1758">
                  <c:v>3.3210100060481328E-2</c:v>
                </c:pt>
                <c:pt idx="1759">
                  <c:v>3.3202885087831979E-2</c:v>
                </c:pt>
                <c:pt idx="1760">
                  <c:v>3.3199407510906997E-2</c:v>
                </c:pt>
                <c:pt idx="1761">
                  <c:v>3.3195877770234548E-2</c:v>
                </c:pt>
                <c:pt idx="1762">
                  <c:v>3.3192295865863253E-2</c:v>
                </c:pt>
                <c:pt idx="1763">
                  <c:v>3.3188661797836347E-2</c:v>
                </c:pt>
                <c:pt idx="1764">
                  <c:v>3.3188692226073284E-2</c:v>
                </c:pt>
                <c:pt idx="1765">
                  <c:v>3.3184941631611377E-2</c:v>
                </c:pt>
                <c:pt idx="1766">
                  <c:v>3.3181138859551436E-2</c:v>
                </c:pt>
                <c:pt idx="1767">
                  <c:v>3.3178509954084529E-2</c:v>
                </c:pt>
                <c:pt idx="1768">
                  <c:v>3.3173376782870773E-2</c:v>
                </c:pt>
                <c:pt idx="1769">
                  <c:v>3.3169417478355653E-2</c:v>
                </c:pt>
                <c:pt idx="1770">
                  <c:v>3.3165405996465988E-2</c:v>
                </c:pt>
                <c:pt idx="1771">
                  <c:v>3.3161342337255817E-2</c:v>
                </c:pt>
                <c:pt idx="1772">
                  <c:v>3.3153607829058226E-2</c:v>
                </c:pt>
                <c:pt idx="1773">
                  <c:v>3.3149452127163179E-2</c:v>
                </c:pt>
                <c:pt idx="1774">
                  <c:v>3.3145244262158223E-2</c:v>
                </c:pt>
                <c:pt idx="1775">
                  <c:v>3.3140984234105497E-2</c:v>
                </c:pt>
                <c:pt idx="1776">
                  <c:v>3.3136672043056335E-2</c:v>
                </c:pt>
                <c:pt idx="1777">
                  <c:v>3.3135864661594308E-2</c:v>
                </c:pt>
                <c:pt idx="1778">
                  <c:v>3.3131435762808144E-2</c:v>
                </c:pt>
                <c:pt idx="1779">
                  <c:v>3.3126954687182832E-2</c:v>
                </c:pt>
                <c:pt idx="1780">
                  <c:v>3.3122421434779774E-2</c:v>
                </c:pt>
                <c:pt idx="1781">
                  <c:v>3.3114328644825219E-2</c:v>
                </c:pt>
                <c:pt idx="1782">
                  <c:v>3.3109703476986094E-2</c:v>
                </c:pt>
                <c:pt idx="1783">
                  <c:v>3.3105026146544946E-2</c:v>
                </c:pt>
                <c:pt idx="1784">
                  <c:v>3.3100296653572024E-2</c:v>
                </c:pt>
                <c:pt idx="1785">
                  <c:v>3.3095514998124062E-2</c:v>
                </c:pt>
                <c:pt idx="1786">
                  <c:v>3.3094126211715126E-2</c:v>
                </c:pt>
                <c:pt idx="1787">
                  <c:v>3.3089227723714719E-2</c:v>
                </c:pt>
                <c:pt idx="1788">
                  <c:v>3.3084277059474414E-2</c:v>
                </c:pt>
                <c:pt idx="1789">
                  <c:v>3.3077420373629485E-2</c:v>
                </c:pt>
                <c:pt idx="1790">
                  <c:v>3.3072362087967211E-2</c:v>
                </c:pt>
                <c:pt idx="1791">
                  <c:v>3.3067251630932194E-2</c:v>
                </c:pt>
                <c:pt idx="1792">
                  <c:v>3.306208900258522E-2</c:v>
                </c:pt>
                <c:pt idx="1793">
                  <c:v>3.3056874203007333E-2</c:v>
                </c:pt>
                <c:pt idx="1794">
                  <c:v>3.3047148195347514E-2</c:v>
                </c:pt>
                <c:pt idx="1795">
                  <c:v>3.304184587757969E-2</c:v>
                </c:pt>
                <c:pt idx="1796">
                  <c:v>3.303649140732326E-2</c:v>
                </c:pt>
                <c:pt idx="1797">
                  <c:v>3.303108478464481E-2</c:v>
                </c:pt>
                <c:pt idx="1798">
                  <c:v>3.3026724421350094E-2</c:v>
                </c:pt>
                <c:pt idx="1799">
                  <c:v>3.3024489813619079E-2</c:v>
                </c:pt>
                <c:pt idx="1800">
                  <c:v>3.3018909817428173E-2</c:v>
                </c:pt>
                <c:pt idx="1801">
                  <c:v>3.3014362024242565E-2</c:v>
                </c:pt>
                <c:pt idx="1802">
                  <c:v>3.3007593313182232E-2</c:v>
                </c:pt>
                <c:pt idx="1803">
                  <c:v>3.300293269399502E-2</c:v>
                </c:pt>
                <c:pt idx="1804">
                  <c:v>3.2996068126978431E-2</c:v>
                </c:pt>
                <c:pt idx="1805">
                  <c:v>3.2990227278340833E-2</c:v>
                </c:pt>
                <c:pt idx="1806">
                  <c:v>3.2985397386137448E-2</c:v>
                </c:pt>
                <c:pt idx="1807">
                  <c:v>3.2978389070379213E-2</c:v>
                </c:pt>
                <c:pt idx="1808">
                  <c:v>3.2972391711224881E-2</c:v>
                </c:pt>
                <c:pt idx="1809">
                  <c:v>3.296634218206293E-2</c:v>
                </c:pt>
                <c:pt idx="1810">
                  <c:v>3.2960240482971873E-2</c:v>
                </c:pt>
                <c:pt idx="1811">
                  <c:v>3.295095924674684E-2</c:v>
                </c:pt>
                <c:pt idx="1812">
                  <c:v>3.294788057534942E-2</c:v>
                </c:pt>
                <c:pt idx="1813">
                  <c:v>3.2941622366987715E-2</c:v>
                </c:pt>
                <c:pt idx="1814">
                  <c:v>3.2935311989036285E-2</c:v>
                </c:pt>
                <c:pt idx="1815">
                  <c:v>3.2928949441583776E-2</c:v>
                </c:pt>
                <c:pt idx="1816">
                  <c:v>3.2922534724716297E-2</c:v>
                </c:pt>
                <c:pt idx="1817">
                  <c:v>3.2916067838525027E-2</c:v>
                </c:pt>
                <c:pt idx="1818">
                  <c:v>3.2909548783093545E-2</c:v>
                </c:pt>
                <c:pt idx="1819">
                  <c:v>3.2903984905019106E-2</c:v>
                </c:pt>
                <c:pt idx="1820">
                  <c:v>3.2896354164877184E-2</c:v>
                </c:pt>
                <c:pt idx="1821">
                  <c:v>3.2889678602269594E-2</c:v>
                </c:pt>
                <c:pt idx="1822">
                  <c:v>3.2882950870789032E-2</c:v>
                </c:pt>
                <c:pt idx="1823">
                  <c:v>3.2876170970519078E-2</c:v>
                </c:pt>
                <c:pt idx="1824">
                  <c:v>3.2869338901558506E-2</c:v>
                </c:pt>
                <c:pt idx="1825">
                  <c:v>3.286245466400356E-2</c:v>
                </c:pt>
                <c:pt idx="1826">
                  <c:v>3.285551825794035E-2</c:v>
                </c:pt>
                <c:pt idx="1827">
                  <c:v>3.2848529683470185E-2</c:v>
                </c:pt>
                <c:pt idx="1828">
                  <c:v>3.2841488940681708E-2</c:v>
                </c:pt>
                <c:pt idx="1829">
                  <c:v>3.2834396029676229E-2</c:v>
                </c:pt>
                <c:pt idx="1830">
                  <c:v>3.2827250950555054E-2</c:v>
                </c:pt>
                <c:pt idx="1831">
                  <c:v>3.282005370340936E-2</c:v>
                </c:pt>
                <c:pt idx="1832">
                  <c:v>3.2812804288337924E-2</c:v>
                </c:pt>
                <c:pt idx="1833">
                  <c:v>3.2802661302850575E-2</c:v>
                </c:pt>
                <c:pt idx="1834">
                  <c:v>3.279814895482052E-2</c:v>
                </c:pt>
                <c:pt idx="1835">
                  <c:v>3.2790743036574636E-2</c:v>
                </c:pt>
                <c:pt idx="1836">
                  <c:v>3.2783284950805708E-2</c:v>
                </c:pt>
                <c:pt idx="1837">
                  <c:v>3.2775774697615043E-2</c:v>
                </c:pt>
                <c:pt idx="1838">
                  <c:v>3.2768212277109014E-2</c:v>
                </c:pt>
                <c:pt idx="1839">
                  <c:v>3.2760597689386398E-2</c:v>
                </c:pt>
                <c:pt idx="1840">
                  <c:v>3.2752930934553566E-2</c:v>
                </c:pt>
                <c:pt idx="1841">
                  <c:v>3.2743194122497168E-2</c:v>
                </c:pt>
                <c:pt idx="1842">
                  <c:v>3.2735420003932217E-2</c:v>
                </c:pt>
                <c:pt idx="1843">
                  <c:v>3.2727593723081587E-2</c:v>
                </c:pt>
                <c:pt idx="1844">
                  <c:v>3.2719715280055094E-2</c:v>
                </c:pt>
                <c:pt idx="1845">
                  <c:v>3.2711784674959915E-2</c:v>
                </c:pt>
                <c:pt idx="1846">
                  <c:v>3.2701133373799401E-2</c:v>
                </c:pt>
                <c:pt idx="1847">
                  <c:v>3.2693111775744202E-2</c:v>
                </c:pt>
                <c:pt idx="1848">
                  <c:v>3.2685038029377181E-2</c:v>
                </c:pt>
                <c:pt idx="1849">
                  <c:v>3.2676912134790966E-2</c:v>
                </c:pt>
                <c:pt idx="1850">
                  <c:v>3.2671349222087871E-2</c:v>
                </c:pt>
                <c:pt idx="1851">
                  <c:v>3.2663972147584236E-2</c:v>
                </c:pt>
                <c:pt idx="1852">
                  <c:v>3.2654809910160287E-2</c:v>
                </c:pt>
                <c:pt idx="1853">
                  <c:v>3.2646462012327473E-2</c:v>
                </c:pt>
                <c:pt idx="1854">
                  <c:v>3.2638061953390696E-2</c:v>
                </c:pt>
                <c:pt idx="1855">
                  <c:v>3.2623910055223103E-2</c:v>
                </c:pt>
                <c:pt idx="1856">
                  <c:v>3.261538035532615E-2</c:v>
                </c:pt>
                <c:pt idx="1857">
                  <c:v>3.2606798499170406E-2</c:v>
                </c:pt>
                <c:pt idx="1858">
                  <c:v>3.2598164486874734E-2</c:v>
                </c:pt>
                <c:pt idx="1859">
                  <c:v>3.2590306762703421E-2</c:v>
                </c:pt>
                <c:pt idx="1860">
                  <c:v>3.2581563933614915E-2</c:v>
                </c:pt>
                <c:pt idx="1861">
                  <c:v>3.2572768944285194E-2</c:v>
                </c:pt>
                <c:pt idx="1862">
                  <c:v>3.256392179483452E-2</c:v>
                </c:pt>
                <c:pt idx="1863">
                  <c:v>3.2554212087120171E-2</c:v>
                </c:pt>
                <c:pt idx="1864">
                  <c:v>3.2545265140305576E-2</c:v>
                </c:pt>
                <c:pt idx="1865">
                  <c:v>3.2536266038137196E-2</c:v>
                </c:pt>
                <c:pt idx="1866">
                  <c:v>3.2527214780728508E-2</c:v>
                </c:pt>
                <c:pt idx="1867">
                  <c:v>3.2518903649829609E-2</c:v>
                </c:pt>
                <c:pt idx="1868">
                  <c:v>3.2509743542113355E-2</c:v>
                </c:pt>
                <c:pt idx="1869">
                  <c:v>3.2500531275110142E-2</c:v>
                </c:pt>
                <c:pt idx="1870">
                  <c:v>3.2491266848940235E-2</c:v>
                </c:pt>
                <c:pt idx="1871">
                  <c:v>3.2481950263723885E-2</c:v>
                </c:pt>
                <c:pt idx="1872">
                  <c:v>3.2472581519589205E-2</c:v>
                </c:pt>
                <c:pt idx="1873">
                  <c:v>3.246316061665646E-2</c:v>
                </c:pt>
                <c:pt idx="1874">
                  <c:v>3.2453687555051132E-2</c:v>
                </c:pt>
                <c:pt idx="1875">
                  <c:v>3.2444162334898718E-2</c:v>
                </c:pt>
                <c:pt idx="1876">
                  <c:v>3.2433833694345791E-2</c:v>
                </c:pt>
                <c:pt idx="1877">
                  <c:v>3.2424208737111937E-2</c:v>
                </c:pt>
                <c:pt idx="1878">
                  <c:v>3.24145316260777E-2</c:v>
                </c:pt>
                <c:pt idx="1879">
                  <c:v>3.2404802361367335E-2</c:v>
                </c:pt>
                <c:pt idx="1880">
                  <c:v>3.2395753860395733E-2</c:v>
                </c:pt>
                <c:pt idx="1881">
                  <c:v>3.2385915691643168E-2</c:v>
                </c:pt>
                <c:pt idx="1882">
                  <c:v>3.237602536524025E-2</c:v>
                </c:pt>
                <c:pt idx="1883">
                  <c:v>3.2366082881322936E-2</c:v>
                </c:pt>
                <c:pt idx="1884">
                  <c:v>3.2356088240016706E-2</c:v>
                </c:pt>
                <c:pt idx="1885">
                  <c:v>3.2345331552884771E-2</c:v>
                </c:pt>
                <c:pt idx="1886">
                  <c:v>3.233523721595899E-2</c:v>
                </c:pt>
                <c:pt idx="1887">
                  <c:v>3.2325090726367467E-2</c:v>
                </c:pt>
                <c:pt idx="1888">
                  <c:v>3.2317673759800568E-2</c:v>
                </c:pt>
                <c:pt idx="1889">
                  <c:v>3.2305332677381379E-2</c:v>
                </c:pt>
                <c:pt idx="1890">
                  <c:v>3.2295025094575699E-2</c:v>
                </c:pt>
                <c:pt idx="1891">
                  <c:v>3.2284665355322296E-2</c:v>
                </c:pt>
                <c:pt idx="1892">
                  <c:v>3.2274253459767567E-2</c:v>
                </c:pt>
                <c:pt idx="1893">
                  <c:v>3.2263789408039631E-2</c:v>
                </c:pt>
                <c:pt idx="1894">
                  <c:v>3.2253273200284878E-2</c:v>
                </c:pt>
                <c:pt idx="1895">
                  <c:v>3.2242704836641878E-2</c:v>
                </c:pt>
                <c:pt idx="1896">
                  <c:v>3.2232084317243968E-2</c:v>
                </c:pt>
                <c:pt idx="1897">
                  <c:v>3.2221411642240169E-2</c:v>
                </c:pt>
                <c:pt idx="1898">
                  <c:v>3.2208737064193367E-2</c:v>
                </c:pt>
                <c:pt idx="1899">
                  <c:v>3.2197974100177738E-2</c:v>
                </c:pt>
                <c:pt idx="1900">
                  <c:v>3.2187158993781141E-2</c:v>
                </c:pt>
                <c:pt idx="1901">
                  <c:v>3.2176291745125152E-2</c:v>
                </c:pt>
                <c:pt idx="1902">
                  <c:v>3.2167265938060935E-2</c:v>
                </c:pt>
                <c:pt idx="1903">
                  <c:v>3.2156280332396966E-2</c:v>
                </c:pt>
                <c:pt idx="1904">
                  <c:v>3.2145242572125809E-2</c:v>
                </c:pt>
                <c:pt idx="1905">
                  <c:v>3.2134152657401709E-2</c:v>
                </c:pt>
                <c:pt idx="1906">
                  <c:v>3.2122398595723342E-2</c:v>
                </c:pt>
                <c:pt idx="1907">
                  <c:v>3.2111209081134559E-2</c:v>
                </c:pt>
                <c:pt idx="1908">
                  <c:v>3.2099967416767981E-2</c:v>
                </c:pt>
                <c:pt idx="1909">
                  <c:v>3.2088673602747884E-2</c:v>
                </c:pt>
                <c:pt idx="1910">
                  <c:v>3.2077327639236361E-2</c:v>
                </c:pt>
                <c:pt idx="1911">
                  <c:v>3.2066517933704838E-2</c:v>
                </c:pt>
                <c:pt idx="1912">
                  <c:v>3.2055062941925193E-2</c:v>
                </c:pt>
                <c:pt idx="1913">
                  <c:v>3.2043555796884775E-2</c:v>
                </c:pt>
                <c:pt idx="1914">
                  <c:v>3.2031996498732597E-2</c:v>
                </c:pt>
                <c:pt idx="1915">
                  <c:v>3.2019815584305153E-2</c:v>
                </c:pt>
                <c:pt idx="1916">
                  <c:v>3.2008156726878886E-2</c:v>
                </c:pt>
                <c:pt idx="1917">
                  <c:v>3.199644572099318E-2</c:v>
                </c:pt>
                <c:pt idx="1918">
                  <c:v>3.1984682566785813E-2</c:v>
                </c:pt>
                <c:pt idx="1919">
                  <c:v>3.1973417716709765E-2</c:v>
                </c:pt>
                <c:pt idx="1920">
                  <c:v>3.1961545503136742E-2</c:v>
                </c:pt>
                <c:pt idx="1921">
                  <c:v>3.1949621137539547E-2</c:v>
                </c:pt>
                <c:pt idx="1922">
                  <c:v>3.1937644620080273E-2</c:v>
                </c:pt>
                <c:pt idx="1923">
                  <c:v>3.1925615950913172E-2</c:v>
                </c:pt>
                <c:pt idx="1924">
                  <c:v>3.1913535130200343E-2</c:v>
                </c:pt>
                <c:pt idx="1925">
                  <c:v>3.1901402158098634E-2</c:v>
                </c:pt>
                <c:pt idx="1926">
                  <c:v>3.1889217034770156E-2</c:v>
                </c:pt>
                <c:pt idx="1927">
                  <c:v>3.1876979760382215E-2</c:v>
                </c:pt>
                <c:pt idx="1928">
                  <c:v>3.1864182900917047E-2</c:v>
                </c:pt>
                <c:pt idx="1929">
                  <c:v>3.1851846125345418E-2</c:v>
                </c:pt>
                <c:pt idx="1930">
                  <c:v>3.1839457203318898E-2</c:v>
                </c:pt>
                <c:pt idx="1931">
                  <c:v>3.182701613498877E-2</c:v>
                </c:pt>
                <c:pt idx="1932">
                  <c:v>3.1814522920514419E-2</c:v>
                </c:pt>
                <c:pt idx="1933">
                  <c:v>3.1802460950802136E-2</c:v>
                </c:pt>
                <c:pt idx="1934">
                  <c:v>3.1789858623536595E-2</c:v>
                </c:pt>
                <c:pt idx="1935">
                  <c:v>3.1777204146526641E-2</c:v>
                </c:pt>
                <c:pt idx="1936">
                  <c:v>3.1764497519934362E-2</c:v>
                </c:pt>
                <c:pt idx="1937">
                  <c:v>3.1751274661649953E-2</c:v>
                </c:pt>
                <c:pt idx="1938">
                  <c:v>3.1738468573711542E-2</c:v>
                </c:pt>
                <c:pt idx="1939">
                  <c:v>3.172561034076897E-2</c:v>
                </c:pt>
                <c:pt idx="1940">
                  <c:v>3.1712699962984314E-2</c:v>
                </c:pt>
                <c:pt idx="1941">
                  <c:v>3.1701513654556361E-2</c:v>
                </c:pt>
                <c:pt idx="1942">
                  <c:v>3.168716262867876E-2</c:v>
                </c:pt>
                <c:pt idx="1943">
                  <c:v>3.1674090959778876E-2</c:v>
                </c:pt>
                <c:pt idx="1944">
                  <c:v>3.166096714266662E-2</c:v>
                </c:pt>
                <c:pt idx="1945">
                  <c:v>3.1647791177514532E-2</c:v>
                </c:pt>
                <c:pt idx="1946">
                  <c:v>3.1634563064503005E-2</c:v>
                </c:pt>
                <c:pt idx="1947">
                  <c:v>3.1621282803796752E-2</c:v>
                </c:pt>
                <c:pt idx="1948">
                  <c:v>3.1607950395576165E-2</c:v>
                </c:pt>
                <c:pt idx="1949">
                  <c:v>3.1594565840021634E-2</c:v>
                </c:pt>
                <c:pt idx="1950">
                  <c:v>3.1580326931260047E-2</c:v>
                </c:pt>
                <c:pt idx="1951">
                  <c:v>3.1566847860355213E-2</c:v>
                </c:pt>
                <c:pt idx="1952">
                  <c:v>3.1553316650636848E-2</c:v>
                </c:pt>
                <c:pt idx="1953">
                  <c:v>3.1539733302264242E-2</c:v>
                </c:pt>
                <c:pt idx="1954">
                  <c:v>3.1526860858422899E-2</c:v>
                </c:pt>
                <c:pt idx="1955">
                  <c:v>3.1513163422595462E-2</c:v>
                </c:pt>
                <c:pt idx="1956">
                  <c:v>3.1500895305782581E-2</c:v>
                </c:pt>
                <c:pt idx="1957">
                  <c:v>3.1485612112883879E-2</c:v>
                </c:pt>
                <c:pt idx="1958">
                  <c:v>3.1471758239363136E-2</c:v>
                </c:pt>
                <c:pt idx="1959">
                  <c:v>3.1457495489445028E-2</c:v>
                </c:pt>
                <c:pt idx="1960">
                  <c:v>3.144354225049547E-2</c:v>
                </c:pt>
                <c:pt idx="1961">
                  <c:v>3.1429536870321205E-2</c:v>
                </c:pt>
                <c:pt idx="1962">
                  <c:v>3.1415479349103236E-2</c:v>
                </c:pt>
                <c:pt idx="1963">
                  <c:v>3.1401706692477299E-2</c:v>
                </c:pt>
                <c:pt idx="1964">
                  <c:v>3.1387539948545158E-2</c:v>
                </c:pt>
                <c:pt idx="1965">
                  <c:v>3.1373321060196732E-2</c:v>
                </c:pt>
                <c:pt idx="1966">
                  <c:v>3.1359050027620267E-2</c:v>
                </c:pt>
                <c:pt idx="1967">
                  <c:v>3.1344409900505396E-2</c:v>
                </c:pt>
                <c:pt idx="1968">
                  <c:v>3.1330049151927386E-2</c:v>
                </c:pt>
                <c:pt idx="1969">
                  <c:v>3.1315665316303219E-2</c:v>
                </c:pt>
                <c:pt idx="1970">
                  <c:v>3.1301278730622051E-2</c:v>
                </c:pt>
                <c:pt idx="1971">
                  <c:v>3.1286909721885456E-2</c:v>
                </c:pt>
                <c:pt idx="1972">
                  <c:v>3.1272891238341621E-2</c:v>
                </c:pt>
                <c:pt idx="1973">
                  <c:v>3.1258591409773225E-2</c:v>
                </c:pt>
                <c:pt idx="1974">
                  <c:v>3.1244326602860941E-2</c:v>
                </c:pt>
                <c:pt idx="1975">
                  <c:v>3.1230096817479281E-2</c:v>
                </c:pt>
                <c:pt idx="1976">
                  <c:v>3.1215902053502748E-2</c:v>
                </c:pt>
                <c:pt idx="1977">
                  <c:v>3.1201742310800626E-2</c:v>
                </c:pt>
                <c:pt idx="1978">
                  <c:v>3.1187617589250038E-2</c:v>
                </c:pt>
                <c:pt idx="1979">
                  <c:v>3.1173527888725495E-2</c:v>
                </c:pt>
                <c:pt idx="1980">
                  <c:v>3.1159473209101504E-2</c:v>
                </c:pt>
                <c:pt idx="1981">
                  <c:v>3.1145124279215307E-2</c:v>
                </c:pt>
                <c:pt idx="1982">
                  <c:v>3.113113833121332E-2</c:v>
                </c:pt>
                <c:pt idx="1983">
                  <c:v>3.1117187400232209E-2</c:v>
                </c:pt>
                <c:pt idx="1984">
                  <c:v>3.1103271486150406E-2</c:v>
                </c:pt>
                <c:pt idx="1985">
                  <c:v>3.108972512011856E-2</c:v>
                </c:pt>
                <c:pt idx="1986">
                  <c:v>3.1075880563278258E-2</c:v>
                </c:pt>
                <c:pt idx="1987">
                  <c:v>3.1062071026473143E-2</c:v>
                </c:pt>
                <c:pt idx="1988">
                  <c:v>3.1048296509577723E-2</c:v>
                </c:pt>
                <c:pt idx="1989">
                  <c:v>3.1034217165030076E-2</c:v>
                </c:pt>
                <c:pt idx="1990">
                  <c:v>3.1020511349831675E-2</c:v>
                </c:pt>
                <c:pt idx="1991">
                  <c:v>3.1006840550703206E-2</c:v>
                </c:pt>
                <c:pt idx="1992">
                  <c:v>3.0993204767517695E-2</c:v>
                </c:pt>
                <c:pt idx="1993">
                  <c:v>3.0979604000172488E-2</c:v>
                </c:pt>
                <c:pt idx="1994">
                  <c:v>3.096638481943035E-2</c:v>
                </c:pt>
                <c:pt idx="1995">
                  <c:v>3.0952855438477943E-2</c:v>
                </c:pt>
                <c:pt idx="1996">
                  <c:v>3.0939361076465294E-2</c:v>
                </c:pt>
                <c:pt idx="1997">
                  <c:v>3.0924683961248228E-2</c:v>
                </c:pt>
                <c:pt idx="1998">
                  <c:v>3.0911267372472309E-2</c:v>
                </c:pt>
                <c:pt idx="1999">
                  <c:v>3.089788580914583E-2</c:v>
                </c:pt>
                <c:pt idx="2000">
                  <c:v>3.0884539271143544E-2</c:v>
                </c:pt>
                <c:pt idx="2001">
                  <c:v>3.0871227758332825E-2</c:v>
                </c:pt>
                <c:pt idx="2002">
                  <c:v>3.0856162742982678E-2</c:v>
                </c:pt>
                <c:pt idx="2003">
                  <c:v>3.0842914364585805E-2</c:v>
                </c:pt>
                <c:pt idx="2004">
                  <c:v>3.0829700993880993E-2</c:v>
                </c:pt>
                <c:pt idx="2005">
                  <c:v>3.0816522630766934E-2</c:v>
                </c:pt>
                <c:pt idx="2006">
                  <c:v>3.0805195567815555E-2</c:v>
                </c:pt>
                <c:pt idx="2007">
                  <c:v>3.0792459320664125E-2</c:v>
                </c:pt>
                <c:pt idx="2008">
                  <c:v>3.0779027863588847E-2</c:v>
                </c:pt>
                <c:pt idx="2009">
                  <c:v>3.0765996547831027E-2</c:v>
                </c:pt>
                <c:pt idx="2010">
                  <c:v>3.0751893192499567E-2</c:v>
                </c:pt>
                <c:pt idx="2011">
                  <c:v>3.0738927692337846E-2</c:v>
                </c:pt>
                <c:pt idx="2012">
                  <c:v>3.0725997205814669E-2</c:v>
                </c:pt>
                <c:pt idx="2013">
                  <c:v>3.0713101732824676E-2</c:v>
                </c:pt>
                <c:pt idx="2014">
                  <c:v>3.0700241273254401E-2</c:v>
                </c:pt>
                <c:pt idx="2015">
                  <c:v>3.0688544154503269E-2</c:v>
                </c:pt>
                <c:pt idx="2016">
                  <c:v>3.067575800468058E-2</c:v>
                </c:pt>
                <c:pt idx="2017">
                  <c:v>3.0663006878074876E-2</c:v>
                </c:pt>
                <c:pt idx="2018">
                  <c:v>3.0650290774565818E-2</c:v>
                </c:pt>
                <c:pt idx="2019">
                  <c:v>3.0636464172822103E-2</c:v>
                </c:pt>
                <c:pt idx="2020">
                  <c:v>3.0623813791454922E-2</c:v>
                </c:pt>
                <c:pt idx="2021">
                  <c:v>3.0611198422737518E-2</c:v>
                </c:pt>
                <c:pt idx="2022">
                  <c:v>3.0598618066564536E-2</c:v>
                </c:pt>
                <c:pt idx="2023">
                  <c:v>3.0586072722822509E-2</c:v>
                </c:pt>
                <c:pt idx="2024">
                  <c:v>3.0574729631826451E-2</c:v>
                </c:pt>
                <c:pt idx="2025">
                  <c:v>3.0562258686643994E-2</c:v>
                </c:pt>
                <c:pt idx="2026">
                  <c:v>3.0549822763602821E-2</c:v>
                </c:pt>
                <c:pt idx="2027">
                  <c:v>3.0537815650402405E-2</c:v>
                </c:pt>
                <c:pt idx="2028">
                  <c:v>3.052505598348014E-2</c:v>
                </c:pt>
                <c:pt idx="2029">
                  <c:v>3.0512725126165322E-2</c:v>
                </c:pt>
                <c:pt idx="2030">
                  <c:v>3.0500429290520239E-2</c:v>
                </c:pt>
                <c:pt idx="2031">
                  <c:v>3.0488168476436837E-2</c:v>
                </c:pt>
                <c:pt idx="2032">
                  <c:v>3.0474740170955566E-2</c:v>
                </c:pt>
                <c:pt idx="2033">
                  <c:v>3.0462544945660735E-2</c:v>
                </c:pt>
                <c:pt idx="2034">
                  <c:v>3.0450384731632495E-2</c:v>
                </c:pt>
                <c:pt idx="2035">
                  <c:v>3.043825952876008E-2</c:v>
                </c:pt>
                <c:pt idx="2036">
                  <c:v>3.0426169336943532E-2</c:v>
                </c:pt>
                <c:pt idx="2037">
                  <c:v>3.0415339038149709E-2</c:v>
                </c:pt>
                <c:pt idx="2038">
                  <c:v>3.0403323371736551E-2</c:v>
                </c:pt>
                <c:pt idx="2039">
                  <c:v>3.039134272595672E-2</c:v>
                </c:pt>
                <c:pt idx="2040">
                  <c:v>3.0379397100702161E-2</c:v>
                </c:pt>
                <c:pt idx="2041">
                  <c:v>3.0366243540013937E-2</c:v>
                </c:pt>
                <c:pt idx="2042">
                  <c:v>3.0354363412341656E-2</c:v>
                </c:pt>
                <c:pt idx="2043">
                  <c:v>3.0342518294998531E-2</c:v>
                </c:pt>
                <c:pt idx="2044">
                  <c:v>3.0330708187881899E-2</c:v>
                </c:pt>
                <c:pt idx="2045">
                  <c:v>3.0318933090894506E-2</c:v>
                </c:pt>
                <c:pt idx="2046">
                  <c:v>3.0308458773876432E-2</c:v>
                </c:pt>
                <c:pt idx="2047">
                  <c:v>3.0296758289142849E-2</c:v>
                </c:pt>
                <c:pt idx="2048">
                  <c:v>3.0285092824038115E-2</c:v>
                </c:pt>
                <c:pt idx="2049">
                  <c:v>3.0273462378454165E-2</c:v>
                </c:pt>
                <c:pt idx="2050">
                  <c:v>3.0261866952273113E-2</c:v>
                </c:pt>
                <c:pt idx="2051">
                  <c:v>3.0250306545391813E-2</c:v>
                </c:pt>
                <c:pt idx="2052">
                  <c:v>3.0238781157699745E-2</c:v>
                </c:pt>
                <c:pt idx="2053">
                  <c:v>3.0227290789088843E-2</c:v>
                </c:pt>
                <c:pt idx="2054">
                  <c:v>3.0213664996530505E-2</c:v>
                </c:pt>
                <c:pt idx="2055">
                  <c:v>3.0202236883581167E-2</c:v>
                </c:pt>
                <c:pt idx="2056">
                  <c:v>3.0190843773174561E-2</c:v>
                </c:pt>
                <c:pt idx="2057">
                  <c:v>3.0179485665226744E-2</c:v>
                </c:pt>
                <c:pt idx="2058">
                  <c:v>3.0169042705955183E-2</c:v>
                </c:pt>
                <c:pt idx="2059">
                  <c:v>3.0159083972015173E-2</c:v>
                </c:pt>
                <c:pt idx="2060">
                  <c:v>3.0147838733932002E-2</c:v>
                </c:pt>
                <c:pt idx="2061">
                  <c:v>3.0136628514063051E-2</c:v>
                </c:pt>
                <c:pt idx="2062">
                  <c:v>3.012545331231254E-2</c:v>
                </c:pt>
                <c:pt idx="2063">
                  <c:v>3.0112967962822E-2</c:v>
                </c:pt>
                <c:pt idx="2064">
                  <c:v>3.0101858039336148E-2</c:v>
                </c:pt>
                <c:pt idx="2065">
                  <c:v>3.009078312401281E-2</c:v>
                </c:pt>
                <c:pt idx="2066">
                  <c:v>3.0079743216749333E-2</c:v>
                </c:pt>
                <c:pt idx="2067">
                  <c:v>3.0070102571534755E-2</c:v>
                </c:pt>
                <c:pt idx="2068">
                  <c:v>3.0059137476240314E-2</c:v>
                </c:pt>
                <c:pt idx="2069">
                  <c:v>3.0048207398325071E-2</c:v>
                </c:pt>
                <c:pt idx="2070">
                  <c:v>3.0037312337688336E-2</c:v>
                </c:pt>
                <c:pt idx="2071">
                  <c:v>3.0025068798042048E-2</c:v>
                </c:pt>
                <c:pt idx="2072">
                  <c:v>3.0014238937162895E-2</c:v>
                </c:pt>
                <c:pt idx="2073">
                  <c:v>3.0003444083689823E-2</c:v>
                </c:pt>
                <c:pt idx="2074">
                  <c:v>2.9992684237520183E-2</c:v>
                </c:pt>
                <c:pt idx="2075">
                  <c:v>2.9981959398570217E-2</c:v>
                </c:pt>
                <c:pt idx="2076">
                  <c:v>2.9972677330866438E-2</c:v>
                </c:pt>
                <c:pt idx="2077">
                  <c:v>2.9962027388283671E-2</c:v>
                </c:pt>
                <c:pt idx="2078">
                  <c:v>2.9951412462154207E-2</c:v>
                </c:pt>
                <c:pt idx="2079">
                  <c:v>2.994130706258424E-2</c:v>
                </c:pt>
                <c:pt idx="2080">
                  <c:v>2.9930287658872075E-2</c:v>
                </c:pt>
                <c:pt idx="2081">
                  <c:v>2.9919777781520468E-2</c:v>
                </c:pt>
                <c:pt idx="2082">
                  <c:v>2.9909302920224309E-2</c:v>
                </c:pt>
                <c:pt idx="2083">
                  <c:v>2.9898863074887806E-2</c:v>
                </c:pt>
                <c:pt idx="2084">
                  <c:v>2.9887011157682886E-2</c:v>
                </c:pt>
                <c:pt idx="2085">
                  <c:v>2.9876636385880527E-2</c:v>
                </c:pt>
                <c:pt idx="2086">
                  <c:v>2.986629662029287E-2</c:v>
                </c:pt>
                <c:pt idx="2087">
                  <c:v>2.9855991860841573E-2</c:v>
                </c:pt>
                <c:pt idx="2088">
                  <c:v>2.9845722107421278E-2</c:v>
                </c:pt>
                <c:pt idx="2089">
                  <c:v>2.9836959332500697E-2</c:v>
                </c:pt>
                <c:pt idx="2090">
                  <c:v>2.9826764596133613E-2</c:v>
                </c:pt>
                <c:pt idx="2091">
                  <c:v>2.9816604874937831E-2</c:v>
                </c:pt>
                <c:pt idx="2092">
                  <c:v>2.9806480168829846E-2</c:v>
                </c:pt>
                <c:pt idx="2093">
                  <c:v>2.979489842786983E-2</c:v>
                </c:pt>
                <c:pt idx="2094">
                  <c:v>2.978483870884711E-2</c:v>
                </c:pt>
                <c:pt idx="2095">
                  <c:v>2.9774813995258352E-2</c:v>
                </c:pt>
                <c:pt idx="2096">
                  <c:v>2.9764824287008995E-2</c:v>
                </c:pt>
                <c:pt idx="2097">
                  <c:v>2.9754869584012598E-2</c:v>
                </c:pt>
                <c:pt idx="2098">
                  <c:v>2.9746467243519488E-2</c:v>
                </c:pt>
                <c:pt idx="2099">
                  <c:v>2.973658764031473E-2</c:v>
                </c:pt>
                <c:pt idx="2100">
                  <c:v>2.9726743051429059E-2</c:v>
                </c:pt>
                <c:pt idx="2101">
                  <c:v>2.9715023648865246E-2</c:v>
                </c:pt>
                <c:pt idx="2102">
                  <c:v>2.97052523837147E-2</c:v>
                </c:pt>
                <c:pt idx="2103">
                  <c:v>2.9695516129498792E-2</c:v>
                </c:pt>
                <c:pt idx="2104">
                  <c:v>2.9685814886118746E-2</c:v>
                </c:pt>
                <c:pt idx="2105">
                  <c:v>2.9676148653496048E-2</c:v>
                </c:pt>
                <c:pt idx="2106">
                  <c:v>2.9664439822405082E-2</c:v>
                </c:pt>
                <c:pt idx="2107">
                  <c:v>2.9654836726342802E-2</c:v>
                </c:pt>
                <c:pt idx="2108">
                  <c:v>2.9645268628426494E-2</c:v>
                </c:pt>
                <c:pt idx="2109">
                  <c:v>2.9635735528578001E-2</c:v>
                </c:pt>
                <c:pt idx="2110">
                  <c:v>2.9626763441838892E-2</c:v>
                </c:pt>
                <c:pt idx="2111">
                  <c:v>2.9618886478657049E-2</c:v>
                </c:pt>
                <c:pt idx="2112">
                  <c:v>2.9609995580370165E-2</c:v>
                </c:pt>
                <c:pt idx="2113">
                  <c:v>2.9600079169088515E-2</c:v>
                </c:pt>
                <c:pt idx="2114">
                  <c:v>2.9590728029298026E-2</c:v>
                </c:pt>
                <c:pt idx="2115">
                  <c:v>2.9581947391882996E-2</c:v>
                </c:pt>
                <c:pt idx="2116">
                  <c:v>2.957213077927151E-2</c:v>
                </c:pt>
                <c:pt idx="2117">
                  <c:v>2.9562884668868326E-2</c:v>
                </c:pt>
                <c:pt idx="2118">
                  <c:v>2.9554214319125832E-2</c:v>
                </c:pt>
                <c:pt idx="2119">
                  <c:v>2.9544497476849015E-2</c:v>
                </c:pt>
                <c:pt idx="2120">
                  <c:v>2.9535356395070794E-2</c:v>
                </c:pt>
                <c:pt idx="2121">
                  <c:v>2.9526250322662005E-2</c:v>
                </c:pt>
                <c:pt idx="2122">
                  <c:v>2.9517179259536536E-2</c:v>
                </c:pt>
                <c:pt idx="2123">
                  <c:v>2.9506495667897821E-2</c:v>
                </c:pt>
                <c:pt idx="2124">
                  <c:v>2.9499142160834164E-2</c:v>
                </c:pt>
                <c:pt idx="2125">
                  <c:v>2.9490176125082507E-2</c:v>
                </c:pt>
                <c:pt idx="2126">
                  <c:v>2.9481245098287451E-2</c:v>
                </c:pt>
                <c:pt idx="2127">
                  <c:v>2.9472349080365418E-2</c:v>
                </c:pt>
                <c:pt idx="2128">
                  <c:v>2.9463488071240426E-2</c:v>
                </c:pt>
                <c:pt idx="2129">
                  <c:v>2.9454662070831431E-2</c:v>
                </c:pt>
                <c:pt idx="2130">
                  <c:v>2.9445871079047253E-2</c:v>
                </c:pt>
                <c:pt idx="2131">
                  <c:v>2.9437678950783776E-2</c:v>
                </c:pt>
                <c:pt idx="2132">
                  <c:v>2.9428394121059562E-2</c:v>
                </c:pt>
                <c:pt idx="2133">
                  <c:v>2.9419708154686357E-2</c:v>
                </c:pt>
                <c:pt idx="2134">
                  <c:v>2.9411057196626449E-2</c:v>
                </c:pt>
                <c:pt idx="2135">
                  <c:v>2.9402441246801324E-2</c:v>
                </c:pt>
                <c:pt idx="2136">
                  <c:v>2.9393860305124871E-2</c:v>
                </c:pt>
                <c:pt idx="2137">
                  <c:v>2.9385314371518576E-2</c:v>
                </c:pt>
                <c:pt idx="2138">
                  <c:v>2.937680344590899E-2</c:v>
                </c:pt>
                <c:pt idx="2139">
                  <c:v>2.9368327528220134E-2</c:v>
                </c:pt>
                <c:pt idx="2140">
                  <c:v>2.9359886618368428E-2</c:v>
                </c:pt>
                <c:pt idx="2141">
                  <c:v>2.9351480716270292E-2</c:v>
                </c:pt>
                <c:pt idx="2142">
                  <c:v>2.9343109821867476E-2</c:v>
                </c:pt>
                <c:pt idx="2143">
                  <c:v>2.9334773935068802E-2</c:v>
                </c:pt>
                <c:pt idx="2144">
                  <c:v>2.9326473055793223E-2</c:v>
                </c:pt>
                <c:pt idx="2145">
                  <c:v>2.9316440502991165E-2</c:v>
                </c:pt>
                <c:pt idx="2146">
                  <c:v>2.9309976319542887E-2</c:v>
                </c:pt>
                <c:pt idx="2147">
                  <c:v>2.9301780462408569E-2</c:v>
                </c:pt>
                <c:pt idx="2148">
                  <c:v>2.9293619612495957E-2</c:v>
                </c:pt>
                <c:pt idx="2149">
                  <c:v>2.9285493769744264E-2</c:v>
                </c:pt>
                <c:pt idx="2150">
                  <c:v>2.9277402934069913E-2</c:v>
                </c:pt>
                <c:pt idx="2151">
                  <c:v>2.9269347105394389E-2</c:v>
                </c:pt>
                <c:pt idx="2152">
                  <c:v>2.926132628364931E-2</c:v>
                </c:pt>
                <c:pt idx="2153">
                  <c:v>2.9251598324598428E-2</c:v>
                </c:pt>
                <c:pt idx="2154">
                  <c:v>2.9243650653065025E-2</c:v>
                </c:pt>
                <c:pt idx="2155">
                  <c:v>2.9235737985263438E-2</c:v>
                </c:pt>
                <c:pt idx="2156">
                  <c:v>2.9227860321117845E-2</c:v>
                </c:pt>
                <c:pt idx="2157">
                  <c:v>2.9220017660568115E-2</c:v>
                </c:pt>
                <c:pt idx="2158">
                  <c:v>2.9210370705180629E-2</c:v>
                </c:pt>
                <c:pt idx="2159">
                  <c:v>2.9204437349963436E-2</c:v>
                </c:pt>
                <c:pt idx="2160">
                  <c:v>2.9196699699764694E-2</c:v>
                </c:pt>
                <c:pt idx="2161">
                  <c:v>2.9188997052884691E-2</c:v>
                </c:pt>
                <c:pt idx="2162">
                  <c:v>2.9181950466613781E-2</c:v>
                </c:pt>
                <c:pt idx="2163">
                  <c:v>2.9174319717176246E-2</c:v>
                </c:pt>
                <c:pt idx="2164">
                  <c:v>2.9166099131440765E-2</c:v>
                </c:pt>
                <c:pt idx="2165">
                  <c:v>2.9158536497137674E-2</c:v>
                </c:pt>
                <c:pt idx="2166">
                  <c:v>2.9151008865800371E-2</c:v>
                </c:pt>
                <c:pt idx="2167">
                  <c:v>2.9138619035684786E-2</c:v>
                </c:pt>
                <c:pt idx="2168">
                  <c:v>2.9131179504647498E-2</c:v>
                </c:pt>
                <c:pt idx="2169">
                  <c:v>2.9123774973406052E-2</c:v>
                </c:pt>
                <c:pt idx="2170">
                  <c:v>2.9116405441906412E-2</c:v>
                </c:pt>
                <c:pt idx="2171">
                  <c:v>2.9109709971175752E-2</c:v>
                </c:pt>
                <c:pt idx="2172">
                  <c:v>2.910241235773766E-2</c:v>
                </c:pt>
                <c:pt idx="2173">
                  <c:v>2.9095149746776471E-2</c:v>
                </c:pt>
                <c:pt idx="2174">
                  <c:v>2.9087922138221596E-2</c:v>
                </c:pt>
                <c:pt idx="2175">
                  <c:v>2.908008277824714E-2</c:v>
                </c:pt>
                <c:pt idx="2176">
                  <c:v>2.907292324384218E-2</c:v>
                </c:pt>
                <c:pt idx="2177">
                  <c:v>2.9065798708741375E-2</c:v>
                </c:pt>
                <c:pt idx="2178">
                  <c:v>2.9058709172871788E-2</c:v>
                </c:pt>
                <c:pt idx="2179">
                  <c:v>2.9052309129374593E-2</c:v>
                </c:pt>
                <c:pt idx="2180">
                  <c:v>2.904529153394779E-2</c:v>
                </c:pt>
                <c:pt idx="2181">
                  <c:v>2.9038308940485466E-2</c:v>
                </c:pt>
                <c:pt idx="2182">
                  <c:v>2.9031361348930106E-2</c:v>
                </c:pt>
                <c:pt idx="2183">
                  <c:v>2.9024448759216351E-2</c:v>
                </c:pt>
                <c:pt idx="2184">
                  <c:v>2.9017571171281453E-2</c:v>
                </c:pt>
                <c:pt idx="2185">
                  <c:v>2.9010728585070516E-2</c:v>
                </c:pt>
                <c:pt idx="2186">
                  <c:v>2.9003921000520787E-2</c:v>
                </c:pt>
                <c:pt idx="2187">
                  <c:v>2.8997148417564293E-2</c:v>
                </c:pt>
                <c:pt idx="2188">
                  <c:v>2.8989738759033511E-2</c:v>
                </c:pt>
                <c:pt idx="2189">
                  <c:v>2.8983034210822489E-2</c:v>
                </c:pt>
                <c:pt idx="2190">
                  <c:v>2.8976364661137587E-2</c:v>
                </c:pt>
                <c:pt idx="2191">
                  <c:v>2.8969730109919361E-2</c:v>
                </c:pt>
                <c:pt idx="2192">
                  <c:v>2.8963130557113786E-2</c:v>
                </c:pt>
                <c:pt idx="2193">
                  <c:v>2.8957247950070219E-2</c:v>
                </c:pt>
                <c:pt idx="2194">
                  <c:v>2.8950720376642841E-2</c:v>
                </c:pt>
                <c:pt idx="2195">
                  <c:v>2.8944227804340725E-2</c:v>
                </c:pt>
                <c:pt idx="2196">
                  <c:v>2.8937770233103739E-2</c:v>
                </c:pt>
                <c:pt idx="2197">
                  <c:v>2.8930657767268407E-2</c:v>
                </c:pt>
                <c:pt idx="2198">
                  <c:v>2.8924268203739244E-2</c:v>
                </c:pt>
                <c:pt idx="2199">
                  <c:v>2.8917913638236408E-2</c:v>
                </c:pt>
                <c:pt idx="2200">
                  <c:v>2.8911594070695067E-2</c:v>
                </c:pt>
                <c:pt idx="2201">
                  <c:v>2.8908102428265123E-2</c:v>
                </c:pt>
                <c:pt idx="2202">
                  <c:v>2.8899759824920088E-2</c:v>
                </c:pt>
                <c:pt idx="2203">
                  <c:v>2.8893547259570364E-2</c:v>
                </c:pt>
                <c:pt idx="2204">
                  <c:v>2.8887369694833478E-2</c:v>
                </c:pt>
                <c:pt idx="2205">
                  <c:v>2.8881227130659756E-2</c:v>
                </c:pt>
                <c:pt idx="2206">
                  <c:v>2.8875119566999525E-2</c:v>
                </c:pt>
                <c:pt idx="2207">
                  <c:v>2.8869047003790043E-2</c:v>
                </c:pt>
                <c:pt idx="2208">
                  <c:v>2.88630094409764E-2</c:v>
                </c:pt>
                <c:pt idx="2209">
                  <c:v>2.8857006878508926E-2</c:v>
                </c:pt>
                <c:pt idx="2210">
                  <c:v>2.8848891875485137E-2</c:v>
                </c:pt>
                <c:pt idx="2211">
                  <c:v>2.8842953220111212E-2</c:v>
                </c:pt>
                <c:pt idx="2212">
                  <c:v>2.8837049556361918E-2</c:v>
                </c:pt>
                <c:pt idx="2213">
                  <c:v>2.8831180884185164E-2</c:v>
                </c:pt>
                <c:pt idx="2214">
                  <c:v>2.8827519069505279E-2</c:v>
                </c:pt>
                <c:pt idx="2215">
                  <c:v>2.8821726508001091E-2</c:v>
                </c:pt>
                <c:pt idx="2216">
                  <c:v>2.8818884388558556E-2</c:v>
                </c:pt>
                <c:pt idx="2217">
                  <c:v>2.881024638487828E-2</c:v>
                </c:pt>
                <c:pt idx="2218">
                  <c:v>2.880455882315508E-2</c:v>
                </c:pt>
                <c:pt idx="2219">
                  <c:v>2.8798171830185182E-2</c:v>
                </c:pt>
                <c:pt idx="2220">
                  <c:v>2.8792552210913518E-2</c:v>
                </c:pt>
                <c:pt idx="2221">
                  <c:v>2.8786967588528133E-2</c:v>
                </c:pt>
                <c:pt idx="2222">
                  <c:v>2.8781417962985799E-2</c:v>
                </c:pt>
                <c:pt idx="2223">
                  <c:v>2.8776646010926329E-2</c:v>
                </c:pt>
                <c:pt idx="2224">
                  <c:v>2.8771168447410841E-2</c:v>
                </c:pt>
                <c:pt idx="2225">
                  <c:v>2.8765725883423212E-2</c:v>
                </c:pt>
                <c:pt idx="2226">
                  <c:v>2.8760318318913777E-2</c:v>
                </c:pt>
                <c:pt idx="2227">
                  <c:v>2.8754194786150416E-2</c:v>
                </c:pt>
                <c:pt idx="2228">
                  <c:v>2.8748855140637113E-2</c:v>
                </c:pt>
                <c:pt idx="2229">
                  <c:v>2.8743550491631874E-2</c:v>
                </c:pt>
                <c:pt idx="2230">
                  <c:v>2.8738280839091468E-2</c:v>
                </c:pt>
                <c:pt idx="2231">
                  <c:v>2.8733046182967275E-2</c:v>
                </c:pt>
                <c:pt idx="2232">
                  <c:v>2.8728607918274304E-2</c:v>
                </c:pt>
                <c:pt idx="2233">
                  <c:v>2.8723445348797158E-2</c:v>
                </c:pt>
                <c:pt idx="2234">
                  <c:v>2.8718317778424342E-2</c:v>
                </c:pt>
                <c:pt idx="2235">
                  <c:v>2.8713225207111413E-2</c:v>
                </c:pt>
                <c:pt idx="2236">
                  <c:v>2.8708167634811314E-2</c:v>
                </c:pt>
                <c:pt idx="2237">
                  <c:v>2.8703145061479599E-2</c:v>
                </c:pt>
                <c:pt idx="2238">
                  <c:v>2.869815748706659E-2</c:v>
                </c:pt>
                <c:pt idx="2239">
                  <c:v>2.8693204911540919E-2</c:v>
                </c:pt>
                <c:pt idx="2240">
                  <c:v>2.8687509109352326E-2</c:v>
                </c:pt>
                <c:pt idx="2241">
                  <c:v>2.8682624414983149E-2</c:v>
                </c:pt>
                <c:pt idx="2242">
                  <c:v>2.8677774716554714E-2</c:v>
                </c:pt>
                <c:pt idx="2243">
                  <c:v>2.8672960014021087E-2</c:v>
                </c:pt>
                <c:pt idx="2244">
                  <c:v>2.8668180307349855E-2</c:v>
                </c:pt>
                <c:pt idx="2245">
                  <c:v>2.8664224432369965E-2</c:v>
                </c:pt>
                <c:pt idx="2246">
                  <c:v>2.8659516847777212E-2</c:v>
                </c:pt>
                <c:pt idx="2247">
                  <c:v>2.8654844261716238E-2</c:v>
                </c:pt>
                <c:pt idx="2248">
                  <c:v>2.865020667415567E-2</c:v>
                </c:pt>
                <c:pt idx="2249">
                  <c:v>2.864480671037891E-2</c:v>
                </c:pt>
                <c:pt idx="2250">
                  <c:v>2.8640236977982424E-2</c:v>
                </c:pt>
                <c:pt idx="2251">
                  <c:v>2.863570224116737E-2</c:v>
                </c:pt>
                <c:pt idx="2252">
                  <c:v>2.8631202499882418E-2</c:v>
                </c:pt>
                <c:pt idx="2253">
                  <c:v>2.8627543712303347E-2</c:v>
                </c:pt>
                <c:pt idx="2254">
                  <c:v>2.8623116114848475E-2</c:v>
                </c:pt>
                <c:pt idx="2255">
                  <c:v>2.8618723515601199E-2</c:v>
                </c:pt>
                <c:pt idx="2256">
                  <c:v>2.8614365914530142E-2</c:v>
                </c:pt>
                <c:pt idx="2257">
                  <c:v>2.8611059191036688E-2</c:v>
                </c:pt>
                <c:pt idx="2258">
                  <c:v>2.8606780915889068E-2</c:v>
                </c:pt>
                <c:pt idx="2259">
                  <c:v>2.8602537644369794E-2</c:v>
                </c:pt>
                <c:pt idx="2260">
                  <c:v>2.8598329376432204E-2</c:v>
                </c:pt>
                <c:pt idx="2261">
                  <c:v>2.8594156112041913E-2</c:v>
                </c:pt>
                <c:pt idx="2262">
                  <c:v>2.8585889123827399E-2</c:v>
                </c:pt>
                <c:pt idx="2263">
                  <c:v>2.8581774974656336E-2</c:v>
                </c:pt>
                <c:pt idx="2264">
                  <c:v>2.8577695815022966E-2</c:v>
                </c:pt>
                <c:pt idx="2265">
                  <c:v>2.8573651644866509E-2</c:v>
                </c:pt>
                <c:pt idx="2266">
                  <c:v>2.8573814841877963E-2</c:v>
                </c:pt>
                <c:pt idx="2267">
                  <c:v>2.857068902050253E-2</c:v>
                </c:pt>
                <c:pt idx="2268">
                  <c:v>2.8565923357269624E-2</c:v>
                </c:pt>
                <c:pt idx="2269">
                  <c:v>2.8562030119843106E-2</c:v>
                </c:pt>
                <c:pt idx="2270">
                  <c:v>2.8555641374769146E-2</c:v>
                </c:pt>
                <c:pt idx="2271">
                  <c:v>2.8551811540904398E-2</c:v>
                </c:pt>
                <c:pt idx="2272">
                  <c:v>2.8548016701851142E-2</c:v>
                </c:pt>
                <c:pt idx="2273">
                  <c:v>2.8544256857574262E-2</c:v>
                </c:pt>
                <c:pt idx="2274">
                  <c:v>2.8540532008052143E-2</c:v>
                </c:pt>
                <c:pt idx="2275">
                  <c:v>2.853940576122568E-2</c:v>
                </c:pt>
                <c:pt idx="2276">
                  <c:v>2.8535757545444896E-2</c:v>
                </c:pt>
                <c:pt idx="2277">
                  <c:v>2.8532144332624437E-2</c:v>
                </c:pt>
                <c:pt idx="2278">
                  <c:v>2.8528566122712734E-2</c:v>
                </c:pt>
                <c:pt idx="2279">
                  <c:v>2.8522432680528342E-2</c:v>
                </c:pt>
                <c:pt idx="2280">
                  <c:v>2.8518917798832387E-2</c:v>
                </c:pt>
                <c:pt idx="2281">
                  <c:v>2.8515437911661556E-2</c:v>
                </c:pt>
                <c:pt idx="2282">
                  <c:v>2.8511993018991544E-2</c:v>
                </c:pt>
                <c:pt idx="2283">
                  <c:v>2.8508583120787228E-2</c:v>
                </c:pt>
                <c:pt idx="2284">
                  <c:v>2.850783192267594E-2</c:v>
                </c:pt>
                <c:pt idx="2285">
                  <c:v>2.8504498732263472E-2</c:v>
                </c:pt>
                <c:pt idx="2286">
                  <c:v>2.8501200544509248E-2</c:v>
                </c:pt>
                <c:pt idx="2287">
                  <c:v>2.8498819175178117E-2</c:v>
                </c:pt>
                <c:pt idx="2288">
                  <c:v>2.8494709176845382E-2</c:v>
                </c:pt>
                <c:pt idx="2289">
                  <c:v>2.8491515996871879E-2</c:v>
                </c:pt>
                <c:pt idx="2290">
                  <c:v>2.8488357819428916E-2</c:v>
                </c:pt>
                <c:pt idx="2291">
                  <c:v>2.8485234644494387E-2</c:v>
                </c:pt>
                <c:pt idx="2292">
                  <c:v>2.847946878341201E-2</c:v>
                </c:pt>
                <c:pt idx="2293">
                  <c:v>2.8476408828351785E-2</c:v>
                </c:pt>
                <c:pt idx="2294">
                  <c:v>2.8473383867454682E-2</c:v>
                </c:pt>
                <c:pt idx="2295">
                  <c:v>2.8470393900690987E-2</c:v>
                </c:pt>
                <c:pt idx="2296">
                  <c:v>2.8467438928047189E-2</c:v>
                </c:pt>
                <c:pt idx="2297">
                  <c:v>2.8467230645820591E-2</c:v>
                </c:pt>
                <c:pt idx="2298">
                  <c:v>2.8464352487597794E-2</c:v>
                </c:pt>
                <c:pt idx="2299">
                  <c:v>2.8461509331650117E-2</c:v>
                </c:pt>
                <c:pt idx="2300">
                  <c:v>2.8458701177957912E-2</c:v>
                </c:pt>
                <c:pt idx="2301">
                  <c:v>2.8453188975613591E-2</c:v>
                </c:pt>
                <c:pt idx="2302">
                  <c:v>2.8450443967116455E-2</c:v>
                </c:pt>
                <c:pt idx="2303">
                  <c:v>2.8447733952560915E-2</c:v>
                </c:pt>
                <c:pt idx="2304">
                  <c:v>2.8445058931917254E-2</c:v>
                </c:pt>
                <c:pt idx="2305">
                  <c:v>2.8442418905169263E-2</c:v>
                </c:pt>
                <c:pt idx="2306">
                  <c:v>2.8442587301546186E-2</c:v>
                </c:pt>
                <c:pt idx="2307">
                  <c:v>2.8440024162866197E-2</c:v>
                </c:pt>
                <c:pt idx="2308">
                  <c:v>2.8437496026232929E-2</c:v>
                </c:pt>
                <c:pt idx="2309">
                  <c:v>2.8435002891619356E-2</c:v>
                </c:pt>
                <c:pt idx="2310">
                  <c:v>2.8432544759008291E-2</c:v>
                </c:pt>
                <c:pt idx="2311">
                  <c:v>2.8430121628375177E-2</c:v>
                </c:pt>
                <c:pt idx="2312">
                  <c:v>2.842773349968563E-2</c:v>
                </c:pt>
                <c:pt idx="2313">
                  <c:v>2.8425380372929823E-2</c:v>
                </c:pt>
                <c:pt idx="2314">
                  <c:v>2.8418348828251734E-2</c:v>
                </c:pt>
                <c:pt idx="2315">
                  <c:v>2.8416054097102506E-2</c:v>
                </c:pt>
                <c:pt idx="2316">
                  <c:v>2.8413794354150819E-2</c:v>
                </c:pt>
                <c:pt idx="2317">
                  <c:v>2.8411569599367723E-2</c:v>
                </c:pt>
                <c:pt idx="2318">
                  <c:v>2.8415092569113287E-2</c:v>
                </c:pt>
                <c:pt idx="2319">
                  <c:v>2.8411996651679809E-2</c:v>
                </c:pt>
                <c:pt idx="2320">
                  <c:v>2.840988853782165E-2</c:v>
                </c:pt>
                <c:pt idx="2321">
                  <c:v>2.8407815425727772E-2</c:v>
                </c:pt>
                <c:pt idx="2322">
                  <c:v>2.8402892495448622E-2</c:v>
                </c:pt>
                <c:pt idx="2323">
                  <c:v>2.8400882355205326E-2</c:v>
                </c:pt>
                <c:pt idx="2324">
                  <c:v>2.8398907208468681E-2</c:v>
                </c:pt>
                <c:pt idx="2325">
                  <c:v>2.839696705523868E-2</c:v>
                </c:pt>
                <c:pt idx="2326">
                  <c:v>2.8395061895482909E-2</c:v>
                </c:pt>
                <c:pt idx="2327">
                  <c:v>2.8396111789038021E-2</c:v>
                </c:pt>
                <c:pt idx="2328">
                  <c:v>2.8394283688731699E-2</c:v>
                </c:pt>
                <c:pt idx="2329">
                  <c:v>2.8392490590042306E-2</c:v>
                </c:pt>
                <c:pt idx="2330">
                  <c:v>2.839073249294282E-2</c:v>
                </c:pt>
                <c:pt idx="2331">
                  <c:v>2.8386060998347434E-2</c:v>
                </c:pt>
                <c:pt idx="2332">
                  <c:v>2.8384365799142573E-2</c:v>
                </c:pt>
                <c:pt idx="2333">
                  <c:v>2.8382705593306579E-2</c:v>
                </c:pt>
                <c:pt idx="2334">
                  <c:v>2.838108038082595E-2</c:v>
                </c:pt>
                <c:pt idx="2335">
                  <c:v>2.8379490161692576E-2</c:v>
                </c:pt>
                <c:pt idx="2336">
                  <c:v>2.8380918942960381E-2</c:v>
                </c:pt>
                <c:pt idx="2337">
                  <c:v>2.8379405856582576E-2</c:v>
                </c:pt>
                <c:pt idx="2338">
                  <c:v>2.8377927771681705E-2</c:v>
                </c:pt>
                <c:pt idx="2339">
                  <c:v>2.8377487070781044E-2</c:v>
                </c:pt>
                <c:pt idx="2340">
                  <c:v>2.8375076606237087E-2</c:v>
                </c:pt>
                <c:pt idx="2341">
                  <c:v>2.8373703525658961E-2</c:v>
                </c:pt>
                <c:pt idx="2342">
                  <c:v>2.8372365446506197E-2</c:v>
                </c:pt>
                <c:pt idx="2343">
                  <c:v>2.8371062368759144E-2</c:v>
                </c:pt>
                <c:pt idx="2344">
                  <c:v>2.8366752887771129E-2</c:v>
                </c:pt>
                <c:pt idx="2345">
                  <c:v>2.8365512601367403E-2</c:v>
                </c:pt>
                <c:pt idx="2346">
                  <c:v>2.8364307308173152E-2</c:v>
                </c:pt>
                <c:pt idx="2347">
                  <c:v>2.8363137008177573E-2</c:v>
                </c:pt>
                <c:pt idx="2348">
                  <c:v>2.8362001701367157E-2</c:v>
                </c:pt>
                <c:pt idx="2349">
                  <c:v>2.8363978931104226E-2</c:v>
                </c:pt>
                <c:pt idx="2350">
                  <c:v>2.8362920862863159E-2</c:v>
                </c:pt>
                <c:pt idx="2351">
                  <c:v>2.8361897795939388E-2</c:v>
                </c:pt>
                <c:pt idx="2352">
                  <c:v>2.8360909730320637E-2</c:v>
                </c:pt>
                <c:pt idx="2353">
                  <c:v>2.8356850064835903E-2</c:v>
                </c:pt>
                <c:pt idx="2354">
                  <c:v>2.8355924716971681E-2</c:v>
                </c:pt>
                <c:pt idx="2355">
                  <c:v>2.8355034362227787E-2</c:v>
                </c:pt>
                <c:pt idx="2356">
                  <c:v>2.8354179000604218E-2</c:v>
                </c:pt>
                <c:pt idx="2357">
                  <c:v>2.8353358632098279E-2</c:v>
                </c:pt>
                <c:pt idx="2358">
                  <c:v>2.8355716363532173E-2</c:v>
                </c:pt>
                <c:pt idx="2359">
                  <c:v>2.8354973306810329E-2</c:v>
                </c:pt>
                <c:pt idx="2360">
                  <c:v>2.8354265251329652E-2</c:v>
                </c:pt>
                <c:pt idx="2361">
                  <c:v>2.8353592197080314E-2</c:v>
                </c:pt>
                <c:pt idx="2362">
                  <c:v>2.8352954144062317E-2</c:v>
                </c:pt>
                <c:pt idx="2363">
                  <c:v>2.8352351092263382E-2</c:v>
                </c:pt>
                <c:pt idx="2364">
                  <c:v>2.8351783041678597E-2</c:v>
                </c:pt>
                <c:pt idx="2365">
                  <c:v>2.835124999230796E-2</c:v>
                </c:pt>
                <c:pt idx="2366">
                  <c:v>2.8346483270947066E-2</c:v>
                </c:pt>
                <c:pt idx="2367">
                  <c:v>2.8346010370400871E-2</c:v>
                </c:pt>
                <c:pt idx="2368">
                  <c:v>2.8345572460191856E-2</c:v>
                </c:pt>
                <c:pt idx="2369">
                  <c:v>2.8345169540308843E-2</c:v>
                </c:pt>
                <c:pt idx="2370">
                  <c:v>2.834480161075742E-2</c:v>
                </c:pt>
                <c:pt idx="2371">
                  <c:v>2.8348786721222704E-2</c:v>
                </c:pt>
                <c:pt idx="2372">
                  <c:v>2.8348498680198845E-2</c:v>
                </c:pt>
                <c:pt idx="2373">
                  <c:v>2.8349330841003738E-2</c:v>
                </c:pt>
                <c:pt idx="2374">
                  <c:v>2.8348027601683052E-2</c:v>
                </c:pt>
                <c:pt idx="2375">
                  <c:v>2.8344575814438354E-2</c:v>
                </c:pt>
                <c:pt idx="2376">
                  <c:v>2.8344420314056967E-2</c:v>
                </c:pt>
                <c:pt idx="2377">
                  <c:v>2.8344299806698652E-2</c:v>
                </c:pt>
                <c:pt idx="2378">
                  <c:v>2.8344214292368813E-2</c:v>
                </c:pt>
                <c:pt idx="2379">
                  <c:v>2.8347462425922818E-2</c:v>
                </c:pt>
                <c:pt idx="2380">
                  <c:v>2.8347454394283055E-2</c:v>
                </c:pt>
                <c:pt idx="2381">
                  <c:v>2.8347481363810777E-2</c:v>
                </c:pt>
                <c:pt idx="2382">
                  <c:v>2.8347543334510898E-2</c:v>
                </c:pt>
                <c:pt idx="2383">
                  <c:v>2.8344311616108918E-2</c:v>
                </c:pt>
                <c:pt idx="2384">
                  <c:v>2.8344436059933718E-2</c:v>
                </c:pt>
                <c:pt idx="2385">
                  <c:v>2.8344595496786994E-2</c:v>
                </c:pt>
                <c:pt idx="2386">
                  <c:v>2.8344789926674146E-2</c:v>
                </c:pt>
                <c:pt idx="2387">
                  <c:v>2.8345019349587074E-2</c:v>
                </c:pt>
                <c:pt idx="2388">
                  <c:v>2.8348650183304965E-2</c:v>
                </c:pt>
                <c:pt idx="2389">
                  <c:v>2.8348957162224152E-2</c:v>
                </c:pt>
                <c:pt idx="2390">
                  <c:v>2.8349299142328015E-2</c:v>
                </c:pt>
                <c:pt idx="2391">
                  <c:v>2.835080644022854E-2</c:v>
                </c:pt>
                <c:pt idx="2392">
                  <c:v>2.83466913597058E-2</c:v>
                </c:pt>
                <c:pt idx="2393">
                  <c:v>2.8350535089764869E-2</c:v>
                </c:pt>
                <c:pt idx="2394">
                  <c:v>2.8351017074636917E-2</c:v>
                </c:pt>
                <c:pt idx="2395">
                  <c:v>2.8351534060705921E-2</c:v>
                </c:pt>
                <c:pt idx="2396">
                  <c:v>2.835208604798662E-2</c:v>
                </c:pt>
                <c:pt idx="2397">
                  <c:v>2.8349238196017278E-2</c:v>
                </c:pt>
                <c:pt idx="2398">
                  <c:v>2.8349852542464953E-2</c:v>
                </c:pt>
                <c:pt idx="2399">
                  <c:v>2.8350501881995137E-2</c:v>
                </c:pt>
                <c:pt idx="2400">
                  <c:v>2.835118621459972E-2</c:v>
                </c:pt>
                <c:pt idx="2401">
                  <c:v>2.8355371002710412E-2</c:v>
                </c:pt>
                <c:pt idx="2402">
                  <c:v>2.8356132997354597E-2</c:v>
                </c:pt>
                <c:pt idx="2403">
                  <c:v>2.8356929993257139E-2</c:v>
                </c:pt>
                <c:pt idx="2404">
                  <c:v>2.8357761990415578E-2</c:v>
                </c:pt>
                <c:pt idx="2405">
                  <c:v>2.8355132774054735E-2</c:v>
                </c:pt>
                <c:pt idx="2406">
                  <c:v>2.8356027065275922E-2</c:v>
                </c:pt>
                <c:pt idx="2407">
                  <c:v>2.8356956349625539E-2</c:v>
                </c:pt>
                <c:pt idx="2408">
                  <c:v>2.8357920627111698E-2</c:v>
                </c:pt>
                <c:pt idx="2409">
                  <c:v>2.8358919897739792E-2</c:v>
                </c:pt>
                <c:pt idx="2410">
                  <c:v>2.8363489000270616E-2</c:v>
                </c:pt>
                <c:pt idx="2411">
                  <c:v>2.8364566006480688E-2</c:v>
                </c:pt>
                <c:pt idx="2412">
                  <c:v>2.8365678014025252E-2</c:v>
                </c:pt>
                <c:pt idx="2413">
                  <c:v>2.8364785306030892E-2</c:v>
                </c:pt>
                <c:pt idx="2414">
                  <c:v>2.836597213220339E-2</c:v>
                </c:pt>
                <c:pt idx="2415">
                  <c:v>2.8367193954301116E-2</c:v>
                </c:pt>
                <c:pt idx="2416">
                  <c:v>2.8368450772334526E-2</c:v>
                </c:pt>
                <c:pt idx="2417">
                  <c:v>2.8369742586314077E-2</c:v>
                </c:pt>
                <c:pt idx="2418">
                  <c:v>2.836747196451106E-2</c:v>
                </c:pt>
                <c:pt idx="2419">
                  <c:v>2.836882595588238E-2</c:v>
                </c:pt>
                <c:pt idx="2420">
                  <c:v>2.8370214935069169E-2</c:v>
                </c:pt>
                <c:pt idx="2421">
                  <c:v>2.8371638902077206E-2</c:v>
                </c:pt>
                <c:pt idx="2422">
                  <c:v>2.8376726595806562E-2</c:v>
                </c:pt>
                <c:pt idx="2423">
                  <c:v>2.837944120556931E-2</c:v>
                </c:pt>
                <c:pt idx="2424">
                  <c:v>2.8379765171653734E-2</c:v>
                </c:pt>
                <c:pt idx="2425">
                  <c:v>2.8381336953644247E-2</c:v>
                </c:pt>
                <c:pt idx="2426">
                  <c:v>2.8382943731685473E-2</c:v>
                </c:pt>
                <c:pt idx="2427">
                  <c:v>2.8384314873231158E-2</c:v>
                </c:pt>
                <c:pt idx="2428">
                  <c:v>2.8386009009894964E-2</c:v>
                </c:pt>
                <c:pt idx="2429">
                  <c:v>2.8387738139938445E-2</c:v>
                </c:pt>
                <c:pt idx="2430">
                  <c:v>2.838950226338862E-2</c:v>
                </c:pt>
                <c:pt idx="2431">
                  <c:v>2.8392536423666657E-2</c:v>
                </c:pt>
                <c:pt idx="2432">
                  <c:v>2.8394373176197658E-2</c:v>
                </c:pt>
                <c:pt idx="2433">
                  <c:v>2.8396244924907485E-2</c:v>
                </c:pt>
                <c:pt idx="2434">
                  <c:v>2.8398151669809201E-2</c:v>
                </c:pt>
                <c:pt idx="2435">
                  <c:v>2.8398847782193704E-2</c:v>
                </c:pt>
                <c:pt idx="2436">
                  <c:v>2.8400821866370385E-2</c:v>
                </c:pt>
                <c:pt idx="2437">
                  <c:v>2.8402830944067224E-2</c:v>
                </c:pt>
                <c:pt idx="2438">
                  <c:v>2.8404875015297724E-2</c:v>
                </c:pt>
                <c:pt idx="2439">
                  <c:v>2.8408210337826277E-2</c:v>
                </c:pt>
                <c:pt idx="2440">
                  <c:v>2.841032706025845E-2</c:v>
                </c:pt>
                <c:pt idx="2441">
                  <c:v>2.8412478779005393E-2</c:v>
                </c:pt>
                <c:pt idx="2442">
                  <c:v>2.8414665494093248E-2</c:v>
                </c:pt>
                <c:pt idx="2443">
                  <c:v>2.8416887205535094E-2</c:v>
                </c:pt>
                <c:pt idx="2444">
                  <c:v>2.8419143913357068E-2</c:v>
                </c:pt>
                <c:pt idx="2445">
                  <c:v>2.8421435617572245E-2</c:v>
                </c:pt>
                <c:pt idx="2446">
                  <c:v>2.8423762318209384E-2</c:v>
                </c:pt>
                <c:pt idx="2447">
                  <c:v>2.8426124015278942E-2</c:v>
                </c:pt>
                <c:pt idx="2448">
                  <c:v>2.8427240375768791E-2</c:v>
                </c:pt>
                <c:pt idx="2449">
                  <c:v>2.8429669377060967E-2</c:v>
                </c:pt>
                <c:pt idx="2450">
                  <c:v>2.8432133372111035E-2</c:v>
                </c:pt>
                <c:pt idx="2451">
                  <c:v>2.8434632360946011E-2</c:v>
                </c:pt>
                <c:pt idx="2452">
                  <c:v>2.8438457447967913E-2</c:v>
                </c:pt>
                <c:pt idx="2453">
                  <c:v>2.8441029124123489E-2</c:v>
                </c:pt>
                <c:pt idx="2454">
                  <c:v>2.8443635796870963E-2</c:v>
                </c:pt>
                <c:pt idx="2455">
                  <c:v>2.8446277466231247E-2</c:v>
                </c:pt>
                <c:pt idx="2456">
                  <c:v>2.8448954132230485E-2</c:v>
                </c:pt>
                <c:pt idx="2457">
                  <c:v>2.8450361164624887E-2</c:v>
                </c:pt>
                <c:pt idx="2458">
                  <c:v>2.8453105110559356E-2</c:v>
                </c:pt>
                <c:pt idx="2459">
                  <c:v>2.8455884050459734E-2</c:v>
                </c:pt>
                <c:pt idx="2460">
                  <c:v>2.8463951064379905E-2</c:v>
                </c:pt>
                <c:pt idx="2461">
                  <c:v>2.8462862412652862E-2</c:v>
                </c:pt>
                <c:pt idx="2462">
                  <c:v>2.846574905899826E-2</c:v>
                </c:pt>
                <c:pt idx="2463">
                  <c:v>2.8468670702149937E-2</c:v>
                </c:pt>
                <c:pt idx="2464">
                  <c:v>2.8471627342139261E-2</c:v>
                </c:pt>
                <c:pt idx="2465">
                  <c:v>2.8474618978994996E-2</c:v>
                </c:pt>
                <c:pt idx="2466">
                  <c:v>2.8477645612740667E-2</c:v>
                </c:pt>
                <c:pt idx="2467">
                  <c:v>2.8480707243402421E-2</c:v>
                </c:pt>
                <c:pt idx="2468">
                  <c:v>2.8483803871011629E-2</c:v>
                </c:pt>
                <c:pt idx="2469">
                  <c:v>2.8486935495591822E-2</c:v>
                </c:pt>
                <c:pt idx="2470">
                  <c:v>2.8486082754096219E-2</c:v>
                </c:pt>
                <c:pt idx="2471">
                  <c:v>2.8489276126357724E-2</c:v>
                </c:pt>
                <c:pt idx="2472">
                  <c:v>2.849250448738988E-2</c:v>
                </c:pt>
                <c:pt idx="2473">
                  <c:v>2.8495767837238995E-2</c:v>
                </c:pt>
                <c:pt idx="2474">
                  <c:v>2.8503118574064089E-2</c:v>
                </c:pt>
                <c:pt idx="2475">
                  <c:v>2.8506460181071499E-2</c:v>
                </c:pt>
                <c:pt idx="2476">
                  <c:v>2.8509836785259045E-2</c:v>
                </c:pt>
                <c:pt idx="2477">
                  <c:v>2.8513248386645026E-2</c:v>
                </c:pt>
                <c:pt idx="2478">
                  <c:v>2.8515332795202686E-2</c:v>
                </c:pt>
                <c:pt idx="2479">
                  <c:v>2.8518811619791938E-2</c:v>
                </c:pt>
                <c:pt idx="2480">
                  <c:v>2.8522325438911721E-2</c:v>
                </c:pt>
                <c:pt idx="2481">
                  <c:v>2.8525874252591753E-2</c:v>
                </c:pt>
                <c:pt idx="2482">
                  <c:v>2.8529458060864453E-2</c:v>
                </c:pt>
                <c:pt idx="2483">
                  <c:v>2.8534452937973853E-2</c:v>
                </c:pt>
                <c:pt idx="2484">
                  <c:v>2.853810952065609E-2</c:v>
                </c:pt>
                <c:pt idx="2485">
                  <c:v>2.854180110079297E-2</c:v>
                </c:pt>
                <c:pt idx="2486">
                  <c:v>2.8545527678415873E-2</c:v>
                </c:pt>
                <c:pt idx="2487">
                  <c:v>2.854790193525214E-2</c:v>
                </c:pt>
                <c:pt idx="2488">
                  <c:v>2.8551692580389997E-2</c:v>
                </c:pt>
                <c:pt idx="2489">
                  <c:v>2.8555508758772295E-2</c:v>
                </c:pt>
                <c:pt idx="2490">
                  <c:v>2.8559343847313179E-2</c:v>
                </c:pt>
                <c:pt idx="2491">
                  <c:v>2.8564583472209248E-2</c:v>
                </c:pt>
                <c:pt idx="2492">
                  <c:v>2.8568438929852714E-2</c:v>
                </c:pt>
                <c:pt idx="2493">
                  <c:v>2.8572300998200781E-2</c:v>
                </c:pt>
                <c:pt idx="2494">
                  <c:v>2.8576169677263903E-2</c:v>
                </c:pt>
                <c:pt idx="2495">
                  <c:v>2.8580044967047313E-2</c:v>
                </c:pt>
                <c:pt idx="2496">
                  <c:v>2.858392686755885E-2</c:v>
                </c:pt>
                <c:pt idx="2497">
                  <c:v>2.8587815378806364E-2</c:v>
                </c:pt>
                <c:pt idx="2498">
                  <c:v>2.8591710500792462E-2</c:v>
                </c:pt>
                <c:pt idx="2499">
                  <c:v>2.8595612233524994E-2</c:v>
                </c:pt>
                <c:pt idx="2500">
                  <c:v>2.8598121349159771E-2</c:v>
                </c:pt>
                <c:pt idx="2501">
                  <c:v>2.8602035524852409E-2</c:v>
                </c:pt>
                <c:pt idx="2502">
                  <c:v>2.8605956310758057E-2</c:v>
                </c:pt>
                <c:pt idx="2503">
                  <c:v>2.8609883706876709E-2</c:v>
                </c:pt>
                <c:pt idx="2504">
                  <c:v>2.861381771321107E-2</c:v>
                </c:pt>
                <c:pt idx="2505">
                  <c:v>2.8619161455979533E-2</c:v>
                </c:pt>
                <c:pt idx="2506">
                  <c:v>2.8623109464127928E-2</c:v>
                </c:pt>
                <c:pt idx="2507">
                  <c:v>2.8627064083069812E-2</c:v>
                </c:pt>
                <c:pt idx="2508">
                  <c:v>2.8631025312826103E-2</c:v>
                </c:pt>
                <c:pt idx="2509">
                  <c:v>2.8633586898412965E-2</c:v>
                </c:pt>
                <c:pt idx="2510">
                  <c:v>2.8637560566206366E-2</c:v>
                </c:pt>
                <c:pt idx="2511">
                  <c:v>2.8641540844258705E-2</c:v>
                </c:pt>
                <c:pt idx="2512">
                  <c:v>2.864552773258348E-2</c:v>
                </c:pt>
                <c:pt idx="2513">
                  <c:v>2.8655159693406419E-2</c:v>
                </c:pt>
                <c:pt idx="2514">
                  <c:v>2.8654931518651963E-2</c:v>
                </c:pt>
                <c:pt idx="2515">
                  <c:v>2.8658939024231965E-2</c:v>
                </c:pt>
                <c:pt idx="2516">
                  <c:v>2.8662953140678658E-2</c:v>
                </c:pt>
                <c:pt idx="2517">
                  <c:v>2.8666973867989429E-2</c:v>
                </c:pt>
                <c:pt idx="2518">
                  <c:v>2.8671001206177351E-2</c:v>
                </c:pt>
                <c:pt idx="2519">
                  <c:v>2.8675035155242421E-2</c:v>
                </c:pt>
                <c:pt idx="2520">
                  <c:v>2.8679075715192487E-2</c:v>
                </c:pt>
                <c:pt idx="2521">
                  <c:v>2.8683122886038005E-2</c:v>
                </c:pt>
                <c:pt idx="2522">
                  <c:v>2.8682927659330098E-2</c:v>
                </c:pt>
                <c:pt idx="2523">
                  <c:v>2.8686985679552055E-2</c:v>
                </c:pt>
                <c:pt idx="2524">
                  <c:v>2.8691050308994007E-2</c:v>
                </c:pt>
                <c:pt idx="2525">
                  <c:v>2.869512154766464E-2</c:v>
                </c:pt>
                <c:pt idx="2526">
                  <c:v>2.8703457903914351E-2</c:v>
                </c:pt>
                <c:pt idx="2527">
                  <c:v>2.8707544740263293E-2</c:v>
                </c:pt>
                <c:pt idx="2528">
                  <c:v>2.8717324647249094E-2</c:v>
                </c:pt>
                <c:pt idx="2529">
                  <c:v>2.871573824579917E-2</c:v>
                </c:pt>
                <c:pt idx="2530">
                  <c:v>2.8719844914996559E-2</c:v>
                </c:pt>
                <c:pt idx="2531">
                  <c:v>2.8722534570962965E-2</c:v>
                </c:pt>
                <c:pt idx="2532">
                  <c:v>2.8726653666084623E-2</c:v>
                </c:pt>
                <c:pt idx="2533">
                  <c:v>2.8730779371616499E-2</c:v>
                </c:pt>
                <c:pt idx="2534">
                  <c:v>2.8734911687564001E-2</c:v>
                </c:pt>
                <c:pt idx="2535">
                  <c:v>2.8740477425557763E-2</c:v>
                </c:pt>
                <c:pt idx="2536">
                  <c:v>2.8744623760632439E-2</c:v>
                </c:pt>
                <c:pt idx="2537">
                  <c:v>2.8748776706712369E-2</c:v>
                </c:pt>
                <c:pt idx="2538">
                  <c:v>2.8752936263800169E-2</c:v>
                </c:pt>
                <c:pt idx="2539">
                  <c:v>2.8755672423792476E-2</c:v>
                </c:pt>
                <c:pt idx="2540">
                  <c:v>2.8759844402376888E-2</c:v>
                </c:pt>
                <c:pt idx="2541">
                  <c:v>2.8764022991425553E-2</c:v>
                </c:pt>
                <c:pt idx="2542">
                  <c:v>2.8768208190951976E-2</c:v>
                </c:pt>
                <c:pt idx="2543">
                  <c:v>2.8772400000950753E-2</c:v>
                </c:pt>
                <c:pt idx="2544">
                  <c:v>2.8778032437965454E-2</c:v>
                </c:pt>
                <c:pt idx="2545">
                  <c:v>2.8782238272327954E-2</c:v>
                </c:pt>
                <c:pt idx="2546">
                  <c:v>2.8786450717758455E-2</c:v>
                </c:pt>
                <c:pt idx="2547">
                  <c:v>2.879066977426219E-2</c:v>
                </c:pt>
                <c:pt idx="2548">
                  <c:v>2.8794895441846994E-2</c:v>
                </c:pt>
                <c:pt idx="2549">
                  <c:v>2.8799127720520717E-2</c:v>
                </c:pt>
                <c:pt idx="2550">
                  <c:v>2.8803366610288584E-2</c:v>
                </c:pt>
                <c:pt idx="2551">
                  <c:v>2.880761211115844E-2</c:v>
                </c:pt>
                <c:pt idx="2552">
                  <c:v>2.8810423763535674E-2</c:v>
                </c:pt>
                <c:pt idx="2553">
                  <c:v>2.881468167868214E-2</c:v>
                </c:pt>
                <c:pt idx="2554">
                  <c:v>2.8818946204382006E-2</c:v>
                </c:pt>
                <c:pt idx="2555">
                  <c:v>2.8823217340640677E-2</c:v>
                </c:pt>
                <c:pt idx="2556">
                  <c:v>2.8827495087460853E-2</c:v>
                </c:pt>
                <c:pt idx="2557">
                  <c:v>2.8833223949948094E-2</c:v>
                </c:pt>
                <c:pt idx="2558">
                  <c:v>2.8837515728738404E-2</c:v>
                </c:pt>
                <c:pt idx="2559">
                  <c:v>2.8841814118688223E-2</c:v>
                </c:pt>
                <c:pt idx="2560">
                  <c:v>2.8846119119808004E-2</c:v>
                </c:pt>
                <c:pt idx="2561">
                  <c:v>2.8848982980335523E-2</c:v>
                </c:pt>
                <c:pt idx="2562">
                  <c:v>2.8853300390700332E-2</c:v>
                </c:pt>
                <c:pt idx="2563">
                  <c:v>2.8857624411686083E-2</c:v>
                </c:pt>
                <c:pt idx="2564">
                  <c:v>2.8861955043295473E-2</c:v>
                </c:pt>
                <c:pt idx="2565">
                  <c:v>2.8867743293160268E-2</c:v>
                </c:pt>
                <c:pt idx="2566">
                  <c:v>2.8872087961433156E-2</c:v>
                </c:pt>
                <c:pt idx="2567">
                  <c:v>2.887643924092307E-2</c:v>
                </c:pt>
                <c:pt idx="2568">
                  <c:v>2.8880797131643075E-2</c:v>
                </c:pt>
                <c:pt idx="2569">
                  <c:v>2.8888694916130137E-2</c:v>
                </c:pt>
                <c:pt idx="2570">
                  <c:v>2.8893068609672355E-2</c:v>
                </c:pt>
                <c:pt idx="2571">
                  <c:v>2.8897448915611166E-2</c:v>
                </c:pt>
                <c:pt idx="2572">
                  <c:v>2.89018358339613E-2</c:v>
                </c:pt>
                <c:pt idx="2573">
                  <c:v>2.8906229364725217E-2</c:v>
                </c:pt>
                <c:pt idx="2574">
                  <c:v>2.8904795261250279E-2</c:v>
                </c:pt>
                <c:pt idx="2575">
                  <c:v>2.8909198734012948E-2</c:v>
                </c:pt>
                <c:pt idx="2576">
                  <c:v>2.8913608816901897E-2</c:v>
                </c:pt>
                <c:pt idx="2577">
                  <c:v>2.8918025509933894E-2</c:v>
                </c:pt>
                <c:pt idx="2578">
                  <c:v>2.892975844194123E-2</c:v>
                </c:pt>
                <c:pt idx="2579">
                  <c:v>2.8932729410477032E-2</c:v>
                </c:pt>
                <c:pt idx="2580">
                  <c:v>2.8937169228370734E-2</c:v>
                </c:pt>
                <c:pt idx="2581">
                  <c:v>2.8941615658742072E-2</c:v>
                </c:pt>
                <c:pt idx="2582">
                  <c:v>2.8941673036997427E-2</c:v>
                </c:pt>
                <c:pt idx="2583">
                  <c:v>2.8946130216179644E-2</c:v>
                </c:pt>
                <c:pt idx="2584">
                  <c:v>2.8950594006123286E-2</c:v>
                </c:pt>
                <c:pt idx="2585">
                  <c:v>2.8955064406841851E-2</c:v>
                </c:pt>
                <c:pt idx="2586">
                  <c:v>2.8959541418346151E-2</c:v>
                </c:pt>
                <c:pt idx="2587">
                  <c:v>2.8968433103462175E-2</c:v>
                </c:pt>
                <c:pt idx="2588">
                  <c:v>2.8972925821407824E-2</c:v>
                </c:pt>
                <c:pt idx="2589">
                  <c:v>2.897742515189251E-2</c:v>
                </c:pt>
                <c:pt idx="2590">
                  <c:v>2.8981931094928508E-2</c:v>
                </c:pt>
                <c:pt idx="2591">
                  <c:v>2.8982025637818452E-2</c:v>
                </c:pt>
                <c:pt idx="2592">
                  <c:v>2.8986542314158724E-2</c:v>
                </c:pt>
                <c:pt idx="2593">
                  <c:v>2.8991065601330655E-2</c:v>
                </c:pt>
                <c:pt idx="2594">
                  <c:v>2.8995595499339648E-2</c:v>
                </c:pt>
                <c:pt idx="2595">
                  <c:v>2.9000132008199214E-2</c:v>
                </c:pt>
                <c:pt idx="2596">
                  <c:v>2.9009105617156812E-2</c:v>
                </c:pt>
                <c:pt idx="2597">
                  <c:v>2.9013657848273051E-2</c:v>
                </c:pt>
                <c:pt idx="2598">
                  <c:v>2.9018216692004457E-2</c:v>
                </c:pt>
                <c:pt idx="2599">
                  <c:v>2.9024261796198943E-2</c:v>
                </c:pt>
                <c:pt idx="2600">
                  <c:v>2.9027354217344703E-2</c:v>
                </c:pt>
                <c:pt idx="2601">
                  <c:v>2.9031932898975647E-2</c:v>
                </c:pt>
                <c:pt idx="2602">
                  <c:v>2.9036518193246319E-2</c:v>
                </c:pt>
                <c:pt idx="2603">
                  <c:v>2.9041110100178825E-2</c:v>
                </c:pt>
                <c:pt idx="2604">
                  <c:v>2.9041258077245669E-2</c:v>
                </c:pt>
                <c:pt idx="2605">
                  <c:v>2.9045860694978352E-2</c:v>
                </c:pt>
                <c:pt idx="2606">
                  <c:v>2.9050469923642651E-2</c:v>
                </c:pt>
                <c:pt idx="2607">
                  <c:v>2.9055085763235865E-2</c:v>
                </c:pt>
                <c:pt idx="2608">
                  <c:v>2.9059708213779605E-2</c:v>
                </c:pt>
                <c:pt idx="2609">
                  <c:v>2.9068800408001434E-2</c:v>
                </c:pt>
                <c:pt idx="2610">
                  <c:v>2.9073438603758328E-2</c:v>
                </c:pt>
                <c:pt idx="2611">
                  <c:v>2.9078083412231084E-2</c:v>
                </c:pt>
                <c:pt idx="2612">
                  <c:v>2.9082734833436898E-2</c:v>
                </c:pt>
                <c:pt idx="2613">
                  <c:v>2.9082919630902114E-2</c:v>
                </c:pt>
                <c:pt idx="2614">
                  <c:v>2.9087581747259783E-2</c:v>
                </c:pt>
                <c:pt idx="2615">
                  <c:v>2.909225047461661E-2</c:v>
                </c:pt>
                <c:pt idx="2616">
                  <c:v>2.9096925812980699E-2</c:v>
                </c:pt>
                <c:pt idx="2617">
                  <c:v>2.9101607762354747E-2</c:v>
                </c:pt>
                <c:pt idx="2618">
                  <c:v>2.9110782228480979E-2</c:v>
                </c:pt>
                <c:pt idx="2619">
                  <c:v>2.9115479939039211E-2</c:v>
                </c:pt>
                <c:pt idx="2620">
                  <c:v>2.9120184262391897E-2</c:v>
                </c:pt>
                <c:pt idx="2621">
                  <c:v>2.9124895198546403E-2</c:v>
                </c:pt>
                <c:pt idx="2622">
                  <c:v>2.9129612747517467E-2</c:v>
                </c:pt>
                <c:pt idx="2623">
                  <c:v>2.9134336909314908E-2</c:v>
                </c:pt>
                <c:pt idx="2624">
                  <c:v>2.9139067683938733E-2</c:v>
                </c:pt>
                <c:pt idx="2625">
                  <c:v>2.9143805071403676E-2</c:v>
                </c:pt>
                <c:pt idx="2626">
                  <c:v>2.9141039429229392E-2</c:v>
                </c:pt>
                <c:pt idx="2627">
                  <c:v>2.9145785787535062E-2</c:v>
                </c:pt>
                <c:pt idx="2628">
                  <c:v>2.9150538755764097E-2</c:v>
                </c:pt>
                <c:pt idx="2629">
                  <c:v>2.9155298333910704E-2</c:v>
                </c:pt>
                <c:pt idx="2630">
                  <c:v>2.9163074709722347E-2</c:v>
                </c:pt>
                <c:pt idx="2631">
                  <c:v>2.9172368266296381E-2</c:v>
                </c:pt>
                <c:pt idx="2632">
                  <c:v>2.9177151943875084E-2</c:v>
                </c:pt>
                <c:pt idx="2633">
                  <c:v>2.9183450617293456E-2</c:v>
                </c:pt>
                <c:pt idx="2634">
                  <c:v>2.9186739137769507E-2</c:v>
                </c:pt>
                <c:pt idx="2635">
                  <c:v>2.9187013342765598E-2</c:v>
                </c:pt>
                <c:pt idx="2636">
                  <c:v>2.9191820902812065E-2</c:v>
                </c:pt>
                <c:pt idx="2637">
                  <c:v>2.9196635074027887E-2</c:v>
                </c:pt>
                <c:pt idx="2638">
                  <c:v>2.9201455856421164E-2</c:v>
                </c:pt>
                <c:pt idx="2639">
                  <c:v>2.9210822848825157E-2</c:v>
                </c:pt>
                <c:pt idx="2640">
                  <c:v>2.921565942990887E-2</c:v>
                </c:pt>
                <c:pt idx="2641">
                  <c:v>2.9220502623968778E-2</c:v>
                </c:pt>
                <c:pt idx="2642">
                  <c:v>2.9225352431012246E-2</c:v>
                </c:pt>
                <c:pt idx="2643">
                  <c:v>2.9225658936246623E-2</c:v>
                </c:pt>
                <c:pt idx="2644">
                  <c:v>2.9230519385847829E-2</c:v>
                </c:pt>
                <c:pt idx="2645">
                  <c:v>2.9235386446669714E-2</c:v>
                </c:pt>
                <c:pt idx="2646">
                  <c:v>2.9240260118736594E-2</c:v>
                </c:pt>
                <c:pt idx="2647">
                  <c:v>2.9245140402040369E-2</c:v>
                </c:pt>
                <c:pt idx="2648">
                  <c:v>2.9254590146448513E-2</c:v>
                </c:pt>
                <c:pt idx="2649">
                  <c:v>2.9259486244634789E-2</c:v>
                </c:pt>
                <c:pt idx="2650">
                  <c:v>2.9264388955870933E-2</c:v>
                </c:pt>
                <c:pt idx="2651">
                  <c:v>2.9270822151960429E-2</c:v>
                </c:pt>
                <c:pt idx="2652">
                  <c:v>2.9274214217546873E-2</c:v>
                </c:pt>
                <c:pt idx="2653">
                  <c:v>2.9279136768006316E-2</c:v>
                </c:pt>
                <c:pt idx="2654">
                  <c:v>2.9284065931550009E-2</c:v>
                </c:pt>
                <c:pt idx="2655">
                  <c:v>2.9289001708195154E-2</c:v>
                </c:pt>
                <c:pt idx="2656">
                  <c:v>2.9289360459125596E-2</c:v>
                </c:pt>
                <c:pt idx="2657">
                  <c:v>2.9294306855319679E-2</c:v>
                </c:pt>
                <c:pt idx="2658">
                  <c:v>2.9299259862839804E-2</c:v>
                </c:pt>
                <c:pt idx="2659">
                  <c:v>2.9304219481702181E-2</c:v>
                </c:pt>
                <c:pt idx="2660">
                  <c:v>2.9309185711914914E-2</c:v>
                </c:pt>
                <c:pt idx="2661">
                  <c:v>2.9318755243638465E-2</c:v>
                </c:pt>
                <c:pt idx="2662">
                  <c:v>2.9323737312224596E-2</c:v>
                </c:pt>
                <c:pt idx="2663">
                  <c:v>2.9328725993980939E-2</c:v>
                </c:pt>
                <c:pt idx="2664">
                  <c:v>2.9333721288912408E-2</c:v>
                </c:pt>
                <c:pt idx="2665">
                  <c:v>2.9334116033493268E-2</c:v>
                </c:pt>
                <c:pt idx="2666">
                  <c:v>2.9339121931967527E-2</c:v>
                </c:pt>
                <c:pt idx="2667">
                  <c:v>2.9344134441851577E-2</c:v>
                </c:pt>
                <c:pt idx="2668">
                  <c:v>2.9349153563140017E-2</c:v>
                </c:pt>
                <c:pt idx="2669">
                  <c:v>2.9354179295857152E-2</c:v>
                </c:pt>
                <c:pt idx="2670">
                  <c:v>2.9363831935770739E-2</c:v>
                </c:pt>
                <c:pt idx="2671">
                  <c:v>2.9368873523210517E-2</c:v>
                </c:pt>
                <c:pt idx="2672">
                  <c:v>2.9373921723894192E-2</c:v>
                </c:pt>
                <c:pt idx="2673">
                  <c:v>2.9378156169748322E-2</c:v>
                </c:pt>
                <c:pt idx="2674">
                  <c:v>2.9383217662422058E-2</c:v>
                </c:pt>
                <c:pt idx="2675">
                  <c:v>2.9388285767773283E-2</c:v>
                </c:pt>
                <c:pt idx="2676">
                  <c:v>2.9393360485809594E-2</c:v>
                </c:pt>
                <c:pt idx="2677">
                  <c:v>2.9398441816538591E-2</c:v>
                </c:pt>
                <c:pt idx="2678">
                  <c:v>2.9397341723190352E-2</c:v>
                </c:pt>
                <c:pt idx="2679">
                  <c:v>2.9402432751289564E-2</c:v>
                </c:pt>
                <c:pt idx="2680">
                  <c:v>2.9407530389702896E-2</c:v>
                </c:pt>
                <c:pt idx="2681">
                  <c:v>2.9412634638418769E-2</c:v>
                </c:pt>
                <c:pt idx="2682">
                  <c:v>2.9419295787135771E-2</c:v>
                </c:pt>
                <c:pt idx="2683">
                  <c:v>2.9429068667993358E-2</c:v>
                </c:pt>
                <c:pt idx="2684">
                  <c:v>2.9435749017476035E-2</c:v>
                </c:pt>
                <c:pt idx="2685">
                  <c:v>2.9439330520429213E-2</c:v>
                </c:pt>
                <c:pt idx="2686">
                  <c:v>2.9444471365807738E-2</c:v>
                </c:pt>
                <c:pt idx="2687">
                  <c:v>2.9451174213242552E-2</c:v>
                </c:pt>
                <c:pt idx="2688">
                  <c:v>2.9454772894913842E-2</c:v>
                </c:pt>
                <c:pt idx="2689">
                  <c:v>2.9459933578666747E-2</c:v>
                </c:pt>
                <c:pt idx="2690">
                  <c:v>2.9466658929584343E-2</c:v>
                </c:pt>
                <c:pt idx="2691">
                  <c:v>2.9470274784605191E-2</c:v>
                </c:pt>
                <c:pt idx="2692">
                  <c:v>2.9475455306813524E-2</c:v>
                </c:pt>
                <c:pt idx="2693">
                  <c:v>2.9480642441858905E-2</c:v>
                </c:pt>
                <c:pt idx="2694">
                  <c:v>2.9485836189746401E-2</c:v>
                </c:pt>
                <c:pt idx="2695">
                  <c:v>2.9486350039961751E-2</c:v>
                </c:pt>
                <c:pt idx="2696">
                  <c:v>2.9496243524098388E-2</c:v>
                </c:pt>
                <c:pt idx="2697">
                  <c:v>2.9501457110580609E-2</c:v>
                </c:pt>
                <c:pt idx="2698">
                  <c:v>2.9506677309942934E-2</c:v>
                </c:pt>
                <c:pt idx="2699">
                  <c:v>2.951190412219043E-2</c:v>
                </c:pt>
                <c:pt idx="2700">
                  <c:v>2.951713754734589E-2</c:v>
                </c:pt>
                <c:pt idx="2701">
                  <c:v>2.9522377585406781E-2</c:v>
                </c:pt>
                <c:pt idx="2702">
                  <c:v>2.9527624236380702E-2</c:v>
                </c:pt>
                <c:pt idx="2703">
                  <c:v>2.9534447166538629E-2</c:v>
                </c:pt>
                <c:pt idx="2704">
                  <c:v>2.9538137377133483E-2</c:v>
                </c:pt>
                <c:pt idx="2705">
                  <c:v>2.9543403866922474E-2</c:v>
                </c:pt>
                <c:pt idx="2706">
                  <c:v>2.954867696965742E-2</c:v>
                </c:pt>
                <c:pt idx="2707">
                  <c:v>2.955395668536618E-2</c:v>
                </c:pt>
                <c:pt idx="2708">
                  <c:v>2.9559243014046221E-2</c:v>
                </c:pt>
                <c:pt idx="2709">
                  <c:v>2.9564535955707676E-2</c:v>
                </c:pt>
                <c:pt idx="2710">
                  <c:v>2.9569835510355608E-2</c:v>
                </c:pt>
                <c:pt idx="2711">
                  <c:v>2.9575141678005214E-2</c:v>
                </c:pt>
                <c:pt idx="2712">
                  <c:v>2.9580454458669157E-2</c:v>
                </c:pt>
                <c:pt idx="2713">
                  <c:v>2.9585773852344906E-2</c:v>
                </c:pt>
                <c:pt idx="2714">
                  <c:v>2.9591099859050188E-2</c:v>
                </c:pt>
                <c:pt idx="2715">
                  <c:v>2.9596432478797667E-2</c:v>
                </c:pt>
                <c:pt idx="2716">
                  <c:v>2.9601771711589876E-2</c:v>
                </c:pt>
                <c:pt idx="2717">
                  <c:v>2.9602371727514697E-2</c:v>
                </c:pt>
                <c:pt idx="2718">
                  <c:v>2.9612470016349007E-2</c:v>
                </c:pt>
                <c:pt idx="2719">
                  <c:v>2.9617829088333658E-2</c:v>
                </c:pt>
                <c:pt idx="2720">
                  <c:v>2.9623194773401029E-2</c:v>
                </c:pt>
                <c:pt idx="2721">
                  <c:v>2.9628567071561251E-2</c:v>
                </c:pt>
                <c:pt idx="2722">
                  <c:v>2.9633945982829521E-2</c:v>
                </c:pt>
                <c:pt idx="2723">
                  <c:v>2.9639331507205838E-2</c:v>
                </c:pt>
                <c:pt idx="2724">
                  <c:v>2.96447236446978E-2</c:v>
                </c:pt>
                <c:pt idx="2725">
                  <c:v>2.9649304675355034E-2</c:v>
                </c:pt>
                <c:pt idx="2726">
                  <c:v>2.96547100729013E-2</c:v>
                </c:pt>
                <c:pt idx="2727">
                  <c:v>2.9660122082974402E-2</c:v>
                </c:pt>
                <c:pt idx="2728">
                  <c:v>2.9665540705592641E-2</c:v>
                </c:pt>
                <c:pt idx="2729">
                  <c:v>2.9670965940758628E-2</c:v>
                </c:pt>
                <c:pt idx="2730">
                  <c:v>2.9671616615900166E-2</c:v>
                </c:pt>
                <c:pt idx="2731">
                  <c:v>2.9677052334801269E-2</c:v>
                </c:pt>
                <c:pt idx="2732">
                  <c:v>2.9682494664421726E-2</c:v>
                </c:pt>
                <c:pt idx="2733">
                  <c:v>2.9687943604778902E-2</c:v>
                </c:pt>
                <c:pt idx="2734">
                  <c:v>2.9691802120356516E-2</c:v>
                </c:pt>
                <c:pt idx="2735">
                  <c:v>2.9703656215855984E-2</c:v>
                </c:pt>
                <c:pt idx="2736">
                  <c:v>2.9709127739135959E-2</c:v>
                </c:pt>
                <c:pt idx="2737">
                  <c:v>2.9714605875039497E-2</c:v>
                </c:pt>
                <c:pt idx="2738">
                  <c:v>2.9721625983300748E-2</c:v>
                </c:pt>
                <c:pt idx="2739">
                  <c:v>2.9727120203903556E-2</c:v>
                </c:pt>
                <c:pt idx="2740">
                  <c:v>2.9732621036545615E-2</c:v>
                </c:pt>
                <c:pt idx="2741">
                  <c:v>2.9738128481232327E-2</c:v>
                </c:pt>
                <c:pt idx="2742">
                  <c:v>2.9743642537969094E-2</c:v>
                </c:pt>
                <c:pt idx="2743">
                  <c:v>2.9750769560412671E-2</c:v>
                </c:pt>
                <c:pt idx="2744">
                  <c:v>2.9756297763636575E-2</c:v>
                </c:pt>
                <c:pt idx="2745">
                  <c:v>2.9761832579554632E-2</c:v>
                </c:pt>
                <c:pt idx="2746">
                  <c:v>2.9767374008192987E-2</c:v>
                </c:pt>
                <c:pt idx="2747">
                  <c:v>2.977131200279548E-2</c:v>
                </c:pt>
                <c:pt idx="2748">
                  <c:v>2.9776865732056811E-2</c:v>
                </c:pt>
                <c:pt idx="2749">
                  <c:v>2.9782426073422224E-2</c:v>
                </c:pt>
                <c:pt idx="2750">
                  <c:v>2.978799302691874E-2</c:v>
                </c:pt>
                <c:pt idx="2751">
                  <c:v>2.9795180342395807E-2</c:v>
                </c:pt>
                <c:pt idx="2752">
                  <c:v>2.9800761447510211E-2</c:v>
                </c:pt>
                <c:pt idx="2753">
                  <c:v>2.980634916539459E-2</c:v>
                </c:pt>
                <c:pt idx="2754">
                  <c:v>2.9811943496072472E-2</c:v>
                </c:pt>
                <c:pt idx="2755">
                  <c:v>2.981754443954647E-2</c:v>
                </c:pt>
                <c:pt idx="2756">
                  <c:v>2.9823151995821813E-2</c:v>
                </c:pt>
                <c:pt idx="2757">
                  <c:v>2.9828766164924646E-2</c:v>
                </c:pt>
                <c:pt idx="2758">
                  <c:v>2.983438694684451E-2</c:v>
                </c:pt>
                <c:pt idx="2759">
                  <c:v>2.9840014341599712E-2</c:v>
                </c:pt>
                <c:pt idx="2760">
                  <c:v>2.9844026230820796E-2</c:v>
                </c:pt>
                <c:pt idx="2761">
                  <c:v>2.9849665918302442E-2</c:v>
                </c:pt>
                <c:pt idx="2762">
                  <c:v>2.9855312218025953E-2</c:v>
                </c:pt>
                <c:pt idx="2763">
                  <c:v>2.9860965129988631E-2</c:v>
                </c:pt>
                <c:pt idx="2764">
                  <c:v>2.9868250508235116E-2</c:v>
                </c:pt>
                <c:pt idx="2765">
                  <c:v>2.9873917580203621E-2</c:v>
                </c:pt>
                <c:pt idx="2766">
                  <c:v>2.9879591265070206E-2</c:v>
                </c:pt>
                <c:pt idx="2767">
                  <c:v>2.988527156284794E-2</c:v>
                </c:pt>
                <c:pt idx="2768">
                  <c:v>2.9890958473544671E-2</c:v>
                </c:pt>
                <c:pt idx="2769">
                  <c:v>2.9895021459424687E-2</c:v>
                </c:pt>
                <c:pt idx="2770">
                  <c:v>2.9900720657361379E-2</c:v>
                </c:pt>
                <c:pt idx="2771">
                  <c:v>2.990642646761018E-2</c:v>
                </c:pt>
                <c:pt idx="2772">
                  <c:v>2.9918673384822007E-2</c:v>
                </c:pt>
                <c:pt idx="2773">
                  <c:v>2.9919492221174009E-2</c:v>
                </c:pt>
                <c:pt idx="2774">
                  <c:v>2.9925218809591234E-2</c:v>
                </c:pt>
                <c:pt idx="2775">
                  <c:v>2.9930952011000662E-2</c:v>
                </c:pt>
                <c:pt idx="2776">
                  <c:v>2.9936691825410127E-2</c:v>
                </c:pt>
                <c:pt idx="2777">
                  <c:v>2.9942438252819632E-2</c:v>
                </c:pt>
                <c:pt idx="2778">
                  <c:v>2.9948191293250093E-2</c:v>
                </c:pt>
                <c:pt idx="2779">
                  <c:v>2.9953950946704125E-2</c:v>
                </c:pt>
                <c:pt idx="2780">
                  <c:v>2.9959717213194795E-2</c:v>
                </c:pt>
                <c:pt idx="2781">
                  <c:v>2.9965490092732569E-2</c:v>
                </c:pt>
                <c:pt idx="2782">
                  <c:v>2.9967984186831088E-2</c:v>
                </c:pt>
                <c:pt idx="2783">
                  <c:v>2.997376839890848E-2</c:v>
                </c:pt>
                <c:pt idx="2784">
                  <c:v>2.9979559222791767E-2</c:v>
                </c:pt>
                <c:pt idx="2785">
                  <c:v>2.9985356658486534E-2</c:v>
                </c:pt>
                <c:pt idx="2786">
                  <c:v>2.9994453686433796E-2</c:v>
                </c:pt>
                <c:pt idx="2787">
                  <c:v>3.0000266244447626E-2</c:v>
                </c:pt>
                <c:pt idx="2788">
                  <c:v>3.0012681143404531E-2</c:v>
                </c:pt>
                <c:pt idx="2789">
                  <c:v>3.0011911199823126E-2</c:v>
                </c:pt>
                <c:pt idx="2790">
                  <c:v>3.001774359720832E-2</c:v>
                </c:pt>
                <c:pt idx="2791">
                  <c:v>3.0021931273926866E-2</c:v>
                </c:pt>
                <c:pt idx="2792">
                  <c:v>3.0027775945028888E-2</c:v>
                </c:pt>
                <c:pt idx="2793">
                  <c:v>3.0033627228653735E-2</c:v>
                </c:pt>
                <c:pt idx="2794">
                  <c:v>3.0039485124814913E-2</c:v>
                </c:pt>
                <c:pt idx="2795">
                  <c:v>3.0047004781466942E-2</c:v>
                </c:pt>
                <c:pt idx="2796">
                  <c:v>3.0052876857856306E-2</c:v>
                </c:pt>
                <c:pt idx="2797">
                  <c:v>3.0058755547444405E-2</c:v>
                </c:pt>
                <c:pt idx="2798">
                  <c:v>3.0064640850246925E-2</c:v>
                </c:pt>
                <c:pt idx="2799">
                  <c:v>3.0068873793976492E-2</c:v>
                </c:pt>
                <c:pt idx="2800">
                  <c:v>3.0074771365542079E-2</c:v>
                </c:pt>
                <c:pt idx="2801">
                  <c:v>3.0080675549711538E-2</c:v>
                </c:pt>
                <c:pt idx="2802">
                  <c:v>3.0086586346495674E-2</c:v>
                </c:pt>
                <c:pt idx="2803">
                  <c:v>3.0092503755894489E-2</c:v>
                </c:pt>
                <c:pt idx="2804">
                  <c:v>3.0100091545069447E-2</c:v>
                </c:pt>
                <c:pt idx="2805">
                  <c:v>3.0106023140631735E-2</c:v>
                </c:pt>
                <c:pt idx="2806">
                  <c:v>3.0111961349486877E-2</c:v>
                </c:pt>
                <c:pt idx="2807">
                  <c:v>3.0117906171642714E-2</c:v>
                </c:pt>
                <c:pt idx="2808">
                  <c:v>3.0123857607107087E-2</c:v>
                </c:pt>
                <c:pt idx="2809">
                  <c:v>3.0129815655895686E-2</c:v>
                </c:pt>
                <c:pt idx="2810">
                  <c:v>3.013578031801897E-2</c:v>
                </c:pt>
                <c:pt idx="2811">
                  <c:v>3.0141751593479548E-2</c:v>
                </c:pt>
                <c:pt idx="2812">
                  <c:v>3.0146058010040815E-2</c:v>
                </c:pt>
                <c:pt idx="2813">
                  <c:v>3.0152041546178048E-2</c:v>
                </c:pt>
                <c:pt idx="2814">
                  <c:v>3.0158031695046127E-2</c:v>
                </c:pt>
                <c:pt idx="2815">
                  <c:v>3.0164028456650449E-2</c:v>
                </c:pt>
                <c:pt idx="2816">
                  <c:v>3.017003183100183E-2</c:v>
                </c:pt>
                <c:pt idx="2817">
                  <c:v>3.0177718126974638E-2</c:v>
                </c:pt>
                <c:pt idx="2818">
                  <c:v>3.0183735696104795E-2</c:v>
                </c:pt>
                <c:pt idx="2819">
                  <c:v>3.018975987866114E-2</c:v>
                </c:pt>
                <c:pt idx="2820">
                  <c:v>3.0195790674643674E-2</c:v>
                </c:pt>
                <c:pt idx="2821">
                  <c:v>3.0200147894296814E-2</c:v>
                </c:pt>
                <c:pt idx="2822">
                  <c:v>3.0206190945333132E-2</c:v>
                </c:pt>
                <c:pt idx="2823">
                  <c:v>3.0212240609186741E-2</c:v>
                </c:pt>
                <c:pt idx="2824">
                  <c:v>3.0218296885863048E-2</c:v>
                </c:pt>
                <c:pt idx="2825">
                  <c:v>3.0226043856406652E-2</c:v>
                </c:pt>
                <c:pt idx="2826">
                  <c:v>3.0232114333197283E-2</c:v>
                </c:pt>
                <c:pt idx="2827">
                  <c:v>3.0238191423492537E-2</c:v>
                </c:pt>
                <c:pt idx="2828">
                  <c:v>3.0244275127297635E-2</c:v>
                </c:pt>
                <c:pt idx="2829">
                  <c:v>3.0254612833002622E-2</c:v>
                </c:pt>
                <c:pt idx="2830">
                  <c:v>3.0260712663308736E-2</c:v>
                </c:pt>
                <c:pt idx="2831">
                  <c:v>3.0266819108462475E-2</c:v>
                </c:pt>
                <c:pt idx="2832">
                  <c:v>3.0272932168473664E-2</c:v>
                </c:pt>
                <c:pt idx="2833">
                  <c:v>3.0279051843352129E-2</c:v>
                </c:pt>
                <c:pt idx="2834">
                  <c:v>3.0276713061357968E-2</c:v>
                </c:pt>
                <c:pt idx="2835">
                  <c:v>3.0282841064118594E-2</c:v>
                </c:pt>
                <c:pt idx="2836">
                  <c:v>3.0288975678521922E-2</c:v>
                </c:pt>
                <c:pt idx="2837">
                  <c:v>3.0295116904576636E-2</c:v>
                </c:pt>
                <c:pt idx="2838">
                  <c:v>3.0309749441131757E-2</c:v>
                </c:pt>
                <c:pt idx="2839">
                  <c:v>3.0317607291034648E-2</c:v>
                </c:pt>
                <c:pt idx="2840">
                  <c:v>3.0322074784708459E-2</c:v>
                </c:pt>
                <c:pt idx="2841">
                  <c:v>3.0328247378918059E-2</c:v>
                </c:pt>
                <c:pt idx="2842">
                  <c:v>3.0329323397264352E-2</c:v>
                </c:pt>
                <c:pt idx="2843">
                  <c:v>3.0335506264219474E-2</c:v>
                </c:pt>
                <c:pt idx="2844">
                  <c:v>3.0341695744191804E-2</c:v>
                </c:pt>
                <c:pt idx="2845">
                  <c:v>3.0347891837205654E-2</c:v>
                </c:pt>
                <c:pt idx="2846">
                  <c:v>3.035409454326643E-2</c:v>
                </c:pt>
                <c:pt idx="2847">
                  <c:v>3.0365421858886115E-2</c:v>
                </c:pt>
                <c:pt idx="2848">
                  <c:v>3.0371640758097434E-2</c:v>
                </c:pt>
                <c:pt idx="2849">
                  <c:v>3.0377866272352855E-2</c:v>
                </c:pt>
                <c:pt idx="2850">
                  <c:v>3.0384098401664662E-2</c:v>
                </c:pt>
                <c:pt idx="2851">
                  <c:v>3.0385207269601072E-2</c:v>
                </c:pt>
                <c:pt idx="2852">
                  <c:v>3.039144965414331E-2</c:v>
                </c:pt>
                <c:pt idx="2853">
                  <c:v>3.0397698651805416E-2</c:v>
                </c:pt>
                <c:pt idx="2854">
                  <c:v>3.0403954262592792E-2</c:v>
                </c:pt>
                <c:pt idx="2855">
                  <c:v>3.0410216486516244E-2</c:v>
                </c:pt>
                <c:pt idx="2856">
                  <c:v>3.0421630094318745E-2</c:v>
                </c:pt>
                <c:pt idx="2857">
                  <c:v>3.0427908529329757E-2</c:v>
                </c:pt>
                <c:pt idx="2858">
                  <c:v>3.0434193579490475E-2</c:v>
                </c:pt>
                <c:pt idx="2859">
                  <c:v>3.0442203535861596E-2</c:v>
                </c:pt>
                <c:pt idx="2860">
                  <c:v>3.0446783525275769E-2</c:v>
                </c:pt>
                <c:pt idx="2861">
                  <c:v>3.0453088420934731E-2</c:v>
                </c:pt>
                <c:pt idx="2862">
                  <c:v>3.0459399931785151E-2</c:v>
                </c:pt>
                <c:pt idx="2863">
                  <c:v>3.046571805783194E-2</c:v>
                </c:pt>
                <c:pt idx="2864">
                  <c:v>3.0466874094674301E-2</c:v>
                </c:pt>
                <c:pt idx="2865">
                  <c:v>3.0473202450531239E-2</c:v>
                </c:pt>
                <c:pt idx="2866">
                  <c:v>3.0479537419632313E-2</c:v>
                </c:pt>
                <c:pt idx="2867">
                  <c:v>3.0485879001993732E-2</c:v>
                </c:pt>
                <c:pt idx="2868">
                  <c:v>3.0492227197626308E-2</c:v>
                </c:pt>
                <c:pt idx="2869">
                  <c:v>3.0503765733985517E-2</c:v>
                </c:pt>
                <c:pt idx="2870">
                  <c:v>3.05101301667581E-2</c:v>
                </c:pt>
                <c:pt idx="2871">
                  <c:v>3.0516501214827751E-2</c:v>
                </c:pt>
                <c:pt idx="2872">
                  <c:v>3.0522878878194461E-2</c:v>
                </c:pt>
                <c:pt idx="2873">
                  <c:v>3.0524067375202267E-2</c:v>
                </c:pt>
                <c:pt idx="2874">
                  <c:v>3.0530455250672477E-2</c:v>
                </c:pt>
                <c:pt idx="2875">
                  <c:v>3.0536849739486782E-2</c:v>
                </c:pt>
                <c:pt idx="2876">
                  <c:v>3.0543250841650587E-2</c:v>
                </c:pt>
                <c:pt idx="2877">
                  <c:v>3.0549658557180098E-2</c:v>
                </c:pt>
                <c:pt idx="2878">
                  <c:v>3.0561283780416532E-2</c:v>
                </c:pt>
                <c:pt idx="2879">
                  <c:v>3.0567707751231087E-2</c:v>
                </c:pt>
                <c:pt idx="2880">
                  <c:v>3.0574138337438488E-2</c:v>
                </c:pt>
                <c:pt idx="2881">
                  <c:v>3.0580575539048558E-2</c:v>
                </c:pt>
                <c:pt idx="2882">
                  <c:v>3.0587019356080946E-2</c:v>
                </c:pt>
                <c:pt idx="2883">
                  <c:v>3.0593469788543021E-2</c:v>
                </c:pt>
                <c:pt idx="2884">
                  <c:v>3.0599926836442148E-2</c:v>
                </c:pt>
                <c:pt idx="2885">
                  <c:v>3.0606390499800431E-2</c:v>
                </c:pt>
                <c:pt idx="2886">
                  <c:v>3.0604136451300244E-2</c:v>
                </c:pt>
                <c:pt idx="2887">
                  <c:v>3.0610608272040634E-2</c:v>
                </c:pt>
                <c:pt idx="2888">
                  <c:v>3.0617086704912897E-2</c:v>
                </c:pt>
                <c:pt idx="2889">
                  <c:v>3.0623571749937295E-2</c:v>
                </c:pt>
                <c:pt idx="2890">
                  <c:v>3.0638808048764097E-2</c:v>
                </c:pt>
                <c:pt idx="2891">
                  <c:v>3.0645311405076255E-2</c:v>
                </c:pt>
                <c:pt idx="2892">
                  <c:v>3.065182137692125E-2</c:v>
                </c:pt>
                <c:pt idx="2893">
                  <c:v>3.0658337964311357E-2</c:v>
                </c:pt>
                <c:pt idx="2894">
                  <c:v>3.0659601575882101E-2</c:v>
                </c:pt>
                <c:pt idx="2895">
                  <c:v>3.0666128333742236E-2</c:v>
                </c:pt>
                <c:pt idx="2896">
                  <c:v>3.0672661705162585E-2</c:v>
                </c:pt>
                <c:pt idx="2897">
                  <c:v>3.0679201690159363E-2</c:v>
                </c:pt>
                <c:pt idx="2898">
                  <c:v>3.0685748288740676E-2</c:v>
                </c:pt>
                <c:pt idx="2899">
                  <c:v>3.0697576415764986E-2</c:v>
                </c:pt>
                <c:pt idx="2900">
                  <c:v>3.0704139312299997E-2</c:v>
                </c:pt>
                <c:pt idx="2901">
                  <c:v>3.0710708824475904E-2</c:v>
                </c:pt>
                <c:pt idx="2902">
                  <c:v>3.0717284952302533E-2</c:v>
                </c:pt>
                <c:pt idx="2903">
                  <c:v>3.0718580485779912E-2</c:v>
                </c:pt>
                <c:pt idx="2904">
                  <c:v>3.0725166766092642E-2</c:v>
                </c:pt>
                <c:pt idx="2905">
                  <c:v>3.0731759660065548E-2</c:v>
                </c:pt>
                <c:pt idx="2906">
                  <c:v>3.0738359167701328E-2</c:v>
                </c:pt>
                <c:pt idx="2907">
                  <c:v>3.0744965289018898E-2</c:v>
                </c:pt>
                <c:pt idx="2908">
                  <c:v>3.0756880648575811E-2</c:v>
                </c:pt>
                <c:pt idx="2909">
                  <c:v>3.0763503086286583E-2</c:v>
                </c:pt>
                <c:pt idx="2910">
                  <c:v>3.0770132139741401E-2</c:v>
                </c:pt>
                <c:pt idx="2911">
                  <c:v>3.0778538836877565E-2</c:v>
                </c:pt>
                <c:pt idx="2912">
                  <c:v>3.0783410093934753E-2</c:v>
                </c:pt>
                <c:pt idx="2913">
                  <c:v>3.0790058994692934E-2</c:v>
                </c:pt>
                <c:pt idx="2914">
                  <c:v>3.0796714511246739E-2</c:v>
                </c:pt>
                <c:pt idx="2915">
                  <c:v>3.0803376643605988E-2</c:v>
                </c:pt>
                <c:pt idx="2916">
                  <c:v>3.0804717998299945E-2</c:v>
                </c:pt>
                <c:pt idx="2917">
                  <c:v>3.0811390257016218E-2</c:v>
                </c:pt>
                <c:pt idx="2918">
                  <c:v>3.0818069129533148E-2</c:v>
                </c:pt>
                <c:pt idx="2919">
                  <c:v>3.0824754615858839E-2</c:v>
                </c:pt>
                <c:pt idx="2920">
                  <c:v>3.0831446716006794E-2</c:v>
                </c:pt>
                <c:pt idx="2921">
                  <c:v>3.0843488370321751E-2</c:v>
                </c:pt>
                <c:pt idx="2922">
                  <c:v>3.0850196813645762E-2</c:v>
                </c:pt>
                <c:pt idx="2923">
                  <c:v>3.0856911872870998E-2</c:v>
                </c:pt>
                <c:pt idx="2924">
                  <c:v>3.0863633548007283E-2</c:v>
                </c:pt>
                <c:pt idx="2925">
                  <c:v>3.0865006424442603E-2</c:v>
                </c:pt>
                <c:pt idx="2926">
                  <c:v>3.0871738207751097E-2</c:v>
                </c:pt>
                <c:pt idx="2927">
                  <c:v>3.0878476604949395E-2</c:v>
                </c:pt>
                <c:pt idx="2928">
                  <c:v>3.0885221616053709E-2</c:v>
                </c:pt>
                <c:pt idx="2929">
                  <c:v>3.0891973241082948E-2</c:v>
                </c:pt>
                <c:pt idx="2930">
                  <c:v>3.0904102533654578E-2</c:v>
                </c:pt>
                <c:pt idx="2931">
                  <c:v>3.0910870520514513E-2</c:v>
                </c:pt>
                <c:pt idx="2932">
                  <c:v>3.0917645123381281E-2</c:v>
                </c:pt>
                <c:pt idx="2933">
                  <c:v>3.092442634226962E-2</c:v>
                </c:pt>
                <c:pt idx="2934">
                  <c:v>3.0931214177196718E-2</c:v>
                </c:pt>
                <c:pt idx="2935">
                  <c:v>3.0938008628160121E-2</c:v>
                </c:pt>
                <c:pt idx="2936">
                  <c:v>3.0944809695181933E-2</c:v>
                </c:pt>
                <c:pt idx="2937">
                  <c:v>3.0951617378274433E-2</c:v>
                </c:pt>
                <c:pt idx="2938">
                  <c:v>3.0949439047050695E-2</c:v>
                </c:pt>
                <c:pt idx="2939">
                  <c:v>3.0956254712316396E-2</c:v>
                </c:pt>
                <c:pt idx="2940">
                  <c:v>3.0963076990249454E-2</c:v>
                </c:pt>
                <c:pt idx="2941">
                  <c:v>3.0969905880858555E-2</c:v>
                </c:pt>
                <c:pt idx="2942">
                  <c:v>3.0980346238118628E-2</c:v>
                </c:pt>
                <c:pt idx="2943">
                  <c:v>3.0992602414974525E-2</c:v>
                </c:pt>
                <c:pt idx="2944">
                  <c:v>3.100126185476703E-2</c:v>
                </c:pt>
                <c:pt idx="2945">
                  <c:v>3.1006317022986098E-2</c:v>
                </c:pt>
                <c:pt idx="2946">
                  <c:v>3.1013184251250187E-2</c:v>
                </c:pt>
                <c:pt idx="2947">
                  <c:v>3.101463348436399E-2</c:v>
                </c:pt>
                <c:pt idx="2948">
                  <c:v>3.1021510775960569E-2</c:v>
                </c:pt>
                <c:pt idx="2949">
                  <c:v>3.1028394681690091E-2</c:v>
                </c:pt>
                <c:pt idx="2950">
                  <c:v>3.1035285201576873E-2</c:v>
                </c:pt>
                <c:pt idx="2951">
                  <c:v>3.1047619635708675E-2</c:v>
                </c:pt>
                <c:pt idx="2952">
                  <c:v>3.1054526561312957E-2</c:v>
                </c:pt>
                <c:pt idx="2953">
                  <c:v>3.1061440103177036E-2</c:v>
                </c:pt>
                <c:pt idx="2954">
                  <c:v>3.1068360261325471E-2</c:v>
                </c:pt>
                <c:pt idx="2955">
                  <c:v>3.1069837013691148E-2</c:v>
                </c:pt>
                <c:pt idx="2956">
                  <c:v>3.10767672187241E-2</c:v>
                </c:pt>
                <c:pt idx="2957">
                  <c:v>3.1083704037989955E-2</c:v>
                </c:pt>
                <c:pt idx="2958">
                  <c:v>3.1090647471499516E-2</c:v>
                </c:pt>
                <c:pt idx="2959">
                  <c:v>3.1097597519263592E-2</c:v>
                </c:pt>
                <c:pt idx="2960">
                  <c:v>3.111002015273031E-2</c:v>
                </c:pt>
                <c:pt idx="2961">
                  <c:v>3.1116986625168857E-2</c:v>
                </c:pt>
                <c:pt idx="2962">
                  <c:v>3.1123959713987542E-2</c:v>
                </c:pt>
                <c:pt idx="2963">
                  <c:v>3.1132765018575436E-2</c:v>
                </c:pt>
                <c:pt idx="2964">
                  <c:v>3.113792574079971E-2</c:v>
                </c:pt>
                <c:pt idx="2965">
                  <c:v>3.1144918678822662E-2</c:v>
                </c:pt>
                <c:pt idx="2966">
                  <c:v>3.1151918233274872E-2</c:v>
                </c:pt>
                <c:pt idx="2967">
                  <c:v>3.115892440416616E-2</c:v>
                </c:pt>
                <c:pt idx="2968">
                  <c:v>3.1160445592381847E-2</c:v>
                </c:pt>
                <c:pt idx="2969">
                  <c:v>3.1167461783301618E-2</c:v>
                </c:pt>
                <c:pt idx="2970">
                  <c:v>3.1174484588602874E-2</c:v>
                </c:pt>
                <c:pt idx="2971">
                  <c:v>3.1181514008285616E-2</c:v>
                </c:pt>
                <c:pt idx="2972">
                  <c:v>3.1188550042374162E-2</c:v>
                </c:pt>
                <c:pt idx="2973">
                  <c:v>3.1201100375449257E-2</c:v>
                </c:pt>
                <c:pt idx="2974">
                  <c:v>3.1208152861775133E-2</c:v>
                </c:pt>
                <c:pt idx="2975">
                  <c:v>3.1215211964635867E-2</c:v>
                </c:pt>
                <c:pt idx="2976">
                  <c:v>3.1222277684048658E-2</c:v>
                </c:pt>
                <c:pt idx="2977">
                  <c:v>3.1223829429233484E-2</c:v>
                </c:pt>
                <c:pt idx="2978">
                  <c:v>3.1230905149967552E-2</c:v>
                </c:pt>
                <c:pt idx="2979">
                  <c:v>3.1237987485183066E-2</c:v>
                </c:pt>
                <c:pt idx="2980">
                  <c:v>3.1245076434896234E-2</c:v>
                </c:pt>
                <c:pt idx="2981">
                  <c:v>3.1252171999109755E-2</c:v>
                </c:pt>
                <c:pt idx="2982">
                  <c:v>3.1264810948860224E-2</c:v>
                </c:pt>
                <c:pt idx="2983">
                  <c:v>3.1271922984503327E-2</c:v>
                </c:pt>
                <c:pt idx="2984">
                  <c:v>3.1279041636799176E-2</c:v>
                </c:pt>
                <c:pt idx="2985">
                  <c:v>3.1285336143290279E-2</c:v>
                </c:pt>
                <c:pt idx="2986">
                  <c:v>3.1292467891012483E-2</c:v>
                </c:pt>
                <c:pt idx="2987">
                  <c:v>3.129960625471228E-2</c:v>
                </c:pt>
                <c:pt idx="2988">
                  <c:v>3.1306751234422593E-2</c:v>
                </c:pt>
                <c:pt idx="2989">
                  <c:v>3.1313902830143424E-2</c:v>
                </c:pt>
                <c:pt idx="2990">
                  <c:v>3.1315498435279365E-2</c:v>
                </c:pt>
                <c:pt idx="2991">
                  <c:v>3.1322660003886359E-2</c:v>
                </c:pt>
                <c:pt idx="2992">
                  <c:v>3.1329828186414825E-2</c:v>
                </c:pt>
                <c:pt idx="2993">
                  <c:v>3.133700298287595E-2</c:v>
                </c:pt>
                <c:pt idx="2994">
                  <c:v>3.1344184393289301E-2</c:v>
                </c:pt>
                <c:pt idx="2995">
                  <c:v>3.1358811403092476E-2</c:v>
                </c:pt>
                <c:pt idx="2996">
                  <c:v>3.1364149249593042E-2</c:v>
                </c:pt>
                <c:pt idx="2997">
                  <c:v>3.1371353773864026E-2</c:v>
                </c:pt>
                <c:pt idx="2998">
                  <c:v>3.1378564914254434E-2</c:v>
                </c:pt>
                <c:pt idx="2999">
                  <c:v>3.1387647097701948E-2</c:v>
                </c:pt>
                <c:pt idx="3000">
                  <c:v>3.1393007043477097E-2</c:v>
                </c:pt>
                <c:pt idx="3001">
                  <c:v>3.1400238032319484E-2</c:v>
                </c:pt>
                <c:pt idx="3002">
                  <c:v>3.1409343345661853E-2</c:v>
                </c:pt>
                <c:pt idx="3003">
                  <c:v>3.1414719858549947E-2</c:v>
                </c:pt>
                <c:pt idx="3004">
                  <c:v>3.1421970695958285E-2</c:v>
                </c:pt>
                <c:pt idx="3005">
                  <c:v>3.1429228149579755E-2</c:v>
                </c:pt>
                <c:pt idx="3006">
                  <c:v>3.1436492219424489E-2</c:v>
                </c:pt>
                <c:pt idx="3007">
                  <c:v>3.1443762846457869E-2</c:v>
                </c:pt>
                <c:pt idx="3008">
                  <c:v>3.1451038020595366E-2</c:v>
                </c:pt>
                <c:pt idx="3009">
                  <c:v>3.1458313380470677E-2</c:v>
                </c:pt>
                <c:pt idx="3010">
                  <c:v>3.1465584424722713E-2</c:v>
                </c:pt>
                <c:pt idx="3011">
                  <c:v>3.1472846651957459E-2</c:v>
                </c:pt>
                <c:pt idx="3012">
                  <c:v>3.1480096033237662E-2</c:v>
                </c:pt>
                <c:pt idx="3013">
                  <c:v>3.1487331455228029E-2</c:v>
                </c:pt>
                <c:pt idx="3014">
                  <c:v>3.1494552915712452E-2</c:v>
                </c:pt>
                <c:pt idx="3015">
                  <c:v>3.1503632161900531E-2</c:v>
                </c:pt>
                <c:pt idx="3016">
                  <c:v>3.1503340271090002E-2</c:v>
                </c:pt>
                <c:pt idx="3017">
                  <c:v>3.1516133527864122E-2</c:v>
                </c:pt>
                <c:pt idx="3018">
                  <c:v>3.1523299142056302E-2</c:v>
                </c:pt>
                <c:pt idx="3019">
                  <c:v>3.1530450794610837E-2</c:v>
                </c:pt>
                <c:pt idx="3020">
                  <c:v>3.1537588485502401E-2</c:v>
                </c:pt>
                <c:pt idx="3021">
                  <c:v>3.1544712214703133E-2</c:v>
                </c:pt>
                <c:pt idx="3022">
                  <c:v>3.155182198219024E-2</c:v>
                </c:pt>
                <c:pt idx="3023">
                  <c:v>3.1558917787930796E-2</c:v>
                </c:pt>
                <c:pt idx="3024">
                  <c:v>3.156599963190454E-2</c:v>
                </c:pt>
                <c:pt idx="3025">
                  <c:v>3.1573067514083612E-2</c:v>
                </c:pt>
                <c:pt idx="3026">
                  <c:v>3.1580121434442686E-2</c:v>
                </c:pt>
                <c:pt idx="3027">
                  <c:v>3.1587161392948836E-2</c:v>
                </c:pt>
                <c:pt idx="3028">
                  <c:v>3.1594187389591931E-2</c:v>
                </c:pt>
                <c:pt idx="3029">
                  <c:v>3.159560073955079E-2</c:v>
                </c:pt>
                <c:pt idx="3030">
                  <c:v>3.1608197497149659E-2</c:v>
                </c:pt>
                <c:pt idx="3031">
                  <c:v>3.1615181608018704E-2</c:v>
                </c:pt>
                <c:pt idx="3032">
                  <c:v>3.1622151756913255E-2</c:v>
                </c:pt>
                <c:pt idx="3033">
                  <c:v>3.1629107943805454E-2</c:v>
                </c:pt>
                <c:pt idx="3034">
                  <c:v>3.1636050168675038E-2</c:v>
                </c:pt>
                <c:pt idx="3035">
                  <c:v>3.1642978431494148E-2</c:v>
                </c:pt>
                <c:pt idx="3036">
                  <c:v>3.1649892732234924E-2</c:v>
                </c:pt>
                <c:pt idx="3037">
                  <c:v>3.1658866950316229E-2</c:v>
                </c:pt>
                <c:pt idx="3038">
                  <c:v>3.1665745749819826E-2</c:v>
                </c:pt>
                <c:pt idx="3039">
                  <c:v>3.1672610588238795E-2</c:v>
                </c:pt>
                <c:pt idx="3040">
                  <c:v>3.1679461465552235E-2</c:v>
                </c:pt>
                <c:pt idx="3041">
                  <c:v>3.1686298381734E-2</c:v>
                </c:pt>
                <c:pt idx="3042">
                  <c:v>3.1687539095136392E-2</c:v>
                </c:pt>
                <c:pt idx="3043">
                  <c:v>3.1694349308702442E-2</c:v>
                </c:pt>
                <c:pt idx="3044">
                  <c:v>3.1701145564318821E-2</c:v>
                </c:pt>
                <c:pt idx="3045">
                  <c:v>3.1707927861968153E-2</c:v>
                </c:pt>
                <c:pt idx="3046">
                  <c:v>3.1720273544781373E-2</c:v>
                </c:pt>
                <c:pt idx="3047">
                  <c:v>3.1727026693655416E-2</c:v>
                </c:pt>
                <c:pt idx="3048">
                  <c:v>3.1733765881227852E-2</c:v>
                </c:pt>
                <c:pt idx="3049">
                  <c:v>3.1740491107472533E-2</c:v>
                </c:pt>
                <c:pt idx="3050">
                  <c:v>3.1746302511924937E-2</c:v>
                </c:pt>
                <c:pt idx="3051">
                  <c:v>3.1752998236508498E-2</c:v>
                </c:pt>
                <c:pt idx="3052">
                  <c:v>3.175968000078374E-2</c:v>
                </c:pt>
                <c:pt idx="3053">
                  <c:v>3.1766347804729055E-2</c:v>
                </c:pt>
                <c:pt idx="3054">
                  <c:v>3.1773001648325527E-2</c:v>
                </c:pt>
                <c:pt idx="3055">
                  <c:v>3.1781496915739102E-2</c:v>
                </c:pt>
                <c:pt idx="3056">
                  <c:v>3.17881224175392E-2</c:v>
                </c:pt>
                <c:pt idx="3057">
                  <c:v>3.1794733957815464E-2</c:v>
                </c:pt>
                <c:pt idx="3058">
                  <c:v>3.1801331536554817E-2</c:v>
                </c:pt>
                <c:pt idx="3059">
                  <c:v>3.1806061460162183E-2</c:v>
                </c:pt>
                <c:pt idx="3060">
                  <c:v>3.1812631541149626E-2</c:v>
                </c:pt>
                <c:pt idx="3061">
                  <c:v>3.1819187661626135E-2</c:v>
                </c:pt>
                <c:pt idx="3062">
                  <c:v>3.1825729821570101E-2</c:v>
                </c:pt>
                <c:pt idx="3063">
                  <c:v>3.1834110006293367E-2</c:v>
                </c:pt>
                <c:pt idx="3064">
                  <c:v>3.1840623815291007E-2</c:v>
                </c:pt>
                <c:pt idx="3065">
                  <c:v>3.1847123662584409E-2</c:v>
                </c:pt>
                <c:pt idx="3066">
                  <c:v>3.1853609548142217E-2</c:v>
                </c:pt>
                <c:pt idx="3067">
                  <c:v>3.1860081471956569E-2</c:v>
                </c:pt>
                <c:pt idx="3068">
                  <c:v>3.1866539433996109E-2</c:v>
                </c:pt>
                <c:pt idx="3069">
                  <c:v>3.1872983434234683E-2</c:v>
                </c:pt>
                <c:pt idx="3070">
                  <c:v>3.1879413472656611E-2</c:v>
                </c:pt>
                <c:pt idx="3071">
                  <c:v>3.1885829549233136E-2</c:v>
                </c:pt>
                <c:pt idx="3072">
                  <c:v>3.1890383586592241E-2</c:v>
                </c:pt>
                <c:pt idx="3073">
                  <c:v>3.1896772179165353E-2</c:v>
                </c:pt>
                <c:pt idx="3074">
                  <c:v>3.1903146810941162E-2</c:v>
                </c:pt>
                <c:pt idx="3075">
                  <c:v>3.1909507481892661E-2</c:v>
                </c:pt>
                <c:pt idx="3076">
                  <c:v>3.1915854191998237E-2</c:v>
                </c:pt>
                <c:pt idx="3077">
                  <c:v>3.1924032808738685E-2</c:v>
                </c:pt>
                <c:pt idx="3078">
                  <c:v>3.1930351151782971E-2</c:v>
                </c:pt>
                <c:pt idx="3079">
                  <c:v>3.1936655532809298E-2</c:v>
                </c:pt>
                <c:pt idx="3080">
                  <c:v>3.194294595178368E-2</c:v>
                </c:pt>
                <c:pt idx="3081">
                  <c:v>3.1947378329078124E-2</c:v>
                </c:pt>
                <c:pt idx="3082">
                  <c:v>3.1953641273651599E-2</c:v>
                </c:pt>
                <c:pt idx="3083">
                  <c:v>3.1959890257235966E-2</c:v>
                </c:pt>
                <c:pt idx="3084">
                  <c:v>3.1966125279793409E-2</c:v>
                </c:pt>
                <c:pt idx="3085">
                  <c:v>3.1979715821807302E-2</c:v>
                </c:pt>
                <c:pt idx="3086">
                  <c:v>3.1980395261438477E-2</c:v>
                </c:pt>
                <c:pt idx="3087">
                  <c:v>3.1986587945474078E-2</c:v>
                </c:pt>
                <c:pt idx="3088">
                  <c:v>3.1992766667282568E-2</c:v>
                </c:pt>
                <c:pt idx="3089">
                  <c:v>3.1998931426850882E-2</c:v>
                </c:pt>
                <c:pt idx="3090">
                  <c:v>3.2005082224150251E-2</c:v>
                </c:pt>
                <c:pt idx="3091">
                  <c:v>3.2011219059162384E-2</c:v>
                </c:pt>
                <c:pt idx="3092">
                  <c:v>3.2017341931863744E-2</c:v>
                </c:pt>
                <c:pt idx="3093">
                  <c:v>3.2023450842233424E-2</c:v>
                </c:pt>
                <c:pt idx="3094">
                  <c:v>3.2024031542992881E-2</c:v>
                </c:pt>
                <c:pt idx="3095">
                  <c:v>3.2030113921227323E-2</c:v>
                </c:pt>
                <c:pt idx="3096">
                  <c:v>3.2036182340435336E-2</c:v>
                </c:pt>
                <c:pt idx="3097">
                  <c:v>3.2042236800596653E-2</c:v>
                </c:pt>
                <c:pt idx="3098">
                  <c:v>3.2053785958343128E-2</c:v>
                </c:pt>
                <c:pt idx="3099">
                  <c:v>3.2067154970999913E-2</c:v>
                </c:pt>
                <c:pt idx="3100">
                  <c:v>3.2065822267709126E-2</c:v>
                </c:pt>
                <c:pt idx="3101">
                  <c:v>3.2071819478648851E-2</c:v>
                </c:pt>
                <c:pt idx="3102">
                  <c:v>3.2077802727058194E-2</c:v>
                </c:pt>
                <c:pt idx="3103">
                  <c:v>3.2081938086685434E-2</c:v>
                </c:pt>
                <c:pt idx="3104">
                  <c:v>3.2087893884441297E-2</c:v>
                </c:pt>
                <c:pt idx="3105">
                  <c:v>3.2093835720737984E-2</c:v>
                </c:pt>
                <c:pt idx="3106">
                  <c:v>3.2099763595551188E-2</c:v>
                </c:pt>
                <c:pt idx="3107">
                  <c:v>3.2107509530500837E-2</c:v>
                </c:pt>
                <c:pt idx="3108">
                  <c:v>3.2113409003317446E-2</c:v>
                </c:pt>
                <c:pt idx="3109">
                  <c:v>3.2119294513457262E-2</c:v>
                </c:pt>
                <c:pt idx="3110">
                  <c:v>3.2125166060907227E-2</c:v>
                </c:pt>
                <c:pt idx="3111">
                  <c:v>3.2129193546748924E-2</c:v>
                </c:pt>
                <c:pt idx="3112">
                  <c:v>3.213503765226948E-2</c:v>
                </c:pt>
                <c:pt idx="3113">
                  <c:v>3.214086779616606E-2</c:v>
                </c:pt>
                <c:pt idx="3114">
                  <c:v>3.214668397842517E-2</c:v>
                </c:pt>
                <c:pt idx="3115">
                  <c:v>3.2152486199022487E-2</c:v>
                </c:pt>
                <c:pt idx="3116">
                  <c:v>3.2160102127870321E-2</c:v>
                </c:pt>
                <c:pt idx="3117">
                  <c:v>3.2165875935887357E-2</c:v>
                </c:pt>
                <c:pt idx="3118">
                  <c:v>3.2171635781039369E-2</c:v>
                </c:pt>
                <c:pt idx="3119">
                  <c:v>3.2177381663313291E-2</c:v>
                </c:pt>
                <c:pt idx="3120">
                  <c:v>3.2183113582688203E-2</c:v>
                </c:pt>
                <c:pt idx="3121">
                  <c:v>3.218883153914319E-2</c:v>
                </c:pt>
                <c:pt idx="3122">
                  <c:v>3.2194535532654722E-2</c:v>
                </c:pt>
                <c:pt idx="3123">
                  <c:v>3.2200225563207119E-2</c:v>
                </c:pt>
                <c:pt idx="3124">
                  <c:v>3.220407790643539E-2</c:v>
                </c:pt>
                <c:pt idx="3125">
                  <c:v>3.2209740509344997E-2</c:v>
                </c:pt>
                <c:pt idx="3126">
                  <c:v>3.22153891503794E-2</c:v>
                </c:pt>
                <c:pt idx="3127">
                  <c:v>3.222102382951697E-2</c:v>
                </c:pt>
                <c:pt idx="3128">
                  <c:v>3.2226644546733407E-2</c:v>
                </c:pt>
                <c:pt idx="3129">
                  <c:v>3.2234072523223967E-2</c:v>
                </c:pt>
                <c:pt idx="3130">
                  <c:v>3.2239664812487211E-2</c:v>
                </c:pt>
                <c:pt idx="3131">
                  <c:v>3.2245243138631835E-2</c:v>
                </c:pt>
                <c:pt idx="3132">
                  <c:v>3.2250807501631701E-2</c:v>
                </c:pt>
                <c:pt idx="3133">
                  <c:v>3.2254538703439306E-2</c:v>
                </c:pt>
                <c:pt idx="3134">
                  <c:v>3.2260075648766914E-2</c:v>
                </c:pt>
                <c:pt idx="3135">
                  <c:v>3.2265598632041002E-2</c:v>
                </c:pt>
                <c:pt idx="3136">
                  <c:v>3.2271107653248074E-2</c:v>
                </c:pt>
                <c:pt idx="3137">
                  <c:v>3.2278419868850432E-2</c:v>
                </c:pt>
                <c:pt idx="3138">
                  <c:v>3.2283900452594792E-2</c:v>
                </c:pt>
                <c:pt idx="3139">
                  <c:v>3.2289367073063673E-2</c:v>
                </c:pt>
                <c:pt idx="3140">
                  <c:v>3.2294819730238768E-2</c:v>
                </c:pt>
                <c:pt idx="3141">
                  <c:v>3.2304664458368361E-2</c:v>
                </c:pt>
                <c:pt idx="3142">
                  <c:v>3.2310086157659096E-2</c:v>
                </c:pt>
                <c:pt idx="3143">
                  <c:v>3.2315493891280668E-2</c:v>
                </c:pt>
                <c:pt idx="3144">
                  <c:v>3.2320887659213433E-2</c:v>
                </c:pt>
                <c:pt idx="3145">
                  <c:v>3.2326267461437741E-2</c:v>
                </c:pt>
                <c:pt idx="3146">
                  <c:v>3.232257119407464E-2</c:v>
                </c:pt>
                <c:pt idx="3147">
                  <c:v>3.2327925683970318E-2</c:v>
                </c:pt>
                <c:pt idx="3148">
                  <c:v>3.2333266213887268E-2</c:v>
                </c:pt>
                <c:pt idx="3149">
                  <c:v>3.2338592783808122E-2</c:v>
                </c:pt>
                <c:pt idx="3150">
                  <c:v>3.2354767474072649E-2</c:v>
                </c:pt>
                <c:pt idx="3151">
                  <c:v>3.2358252993732101E-2</c:v>
                </c:pt>
                <c:pt idx="3152">
                  <c:v>3.2363535035420075E-2</c:v>
                </c:pt>
                <c:pt idx="3153">
                  <c:v>3.236880311123505E-2</c:v>
                </c:pt>
                <c:pt idx="3154">
                  <c:v>3.2368632460267742E-2</c:v>
                </c:pt>
                <c:pt idx="3155">
                  <c:v>3.2373874204002659E-2</c:v>
                </c:pt>
                <c:pt idx="3156">
                  <c:v>3.237910198529774E-2</c:v>
                </c:pt>
                <c:pt idx="3157">
                  <c:v>3.2384315804134076E-2</c:v>
                </c:pt>
                <c:pt idx="3158">
                  <c:v>3.2389515660490052E-2</c:v>
                </c:pt>
                <c:pt idx="3159">
                  <c:v>3.2400118281730846E-2</c:v>
                </c:pt>
                <c:pt idx="3160">
                  <c:v>3.2405288595892028E-2</c:v>
                </c:pt>
                <c:pt idx="3161">
                  <c:v>3.2410444944027943E-2</c:v>
                </c:pt>
                <c:pt idx="3162">
                  <c:v>3.241558732611402E-2</c:v>
                </c:pt>
                <c:pt idx="3163">
                  <c:v>3.2415305504521583E-2</c:v>
                </c:pt>
                <c:pt idx="3164">
                  <c:v>3.2420421585655022E-2</c:v>
                </c:pt>
                <c:pt idx="3165">
                  <c:v>3.2425523704181135E-2</c:v>
                </c:pt>
                <c:pt idx="3166">
                  <c:v>3.2430611860091815E-2</c:v>
                </c:pt>
                <c:pt idx="3167">
                  <c:v>3.2435686053370848E-2</c:v>
                </c:pt>
                <c:pt idx="3168">
                  <c:v>3.2446148330547625E-2</c:v>
                </c:pt>
                <c:pt idx="3169">
                  <c:v>3.2451192949749484E-2</c:v>
                </c:pt>
                <c:pt idx="3170">
                  <c:v>3.2456223602756615E-2</c:v>
                </c:pt>
                <c:pt idx="3171">
                  <c:v>3.2463039427076956E-2</c:v>
                </c:pt>
                <c:pt idx="3172">
                  <c:v>3.2466243010088436E-2</c:v>
                </c:pt>
                <c:pt idx="3173">
                  <c:v>3.2471231764373831E-2</c:v>
                </c:pt>
                <c:pt idx="3174">
                  <c:v>3.2476206552380996E-2</c:v>
                </c:pt>
                <c:pt idx="3175">
                  <c:v>3.2481167374095184E-2</c:v>
                </c:pt>
                <c:pt idx="3176">
                  <c:v>3.2480725471418968E-2</c:v>
                </c:pt>
                <c:pt idx="3177">
                  <c:v>3.2485660037392804E-2</c:v>
                </c:pt>
                <c:pt idx="3178">
                  <c:v>3.2490580640545885E-2</c:v>
                </c:pt>
                <c:pt idx="3179">
                  <c:v>3.2495487280853906E-2</c:v>
                </c:pt>
                <c:pt idx="3180">
                  <c:v>3.2500379958303349E-2</c:v>
                </c:pt>
                <c:pt idx="3181">
                  <c:v>3.2510639011085932E-2</c:v>
                </c:pt>
                <c:pt idx="3182">
                  <c:v>3.2515502068199198E-2</c:v>
                </c:pt>
                <c:pt idx="3183">
                  <c:v>3.2520351158867228E-2</c:v>
                </c:pt>
                <c:pt idx="3184">
                  <c:v>3.2525186283070363E-2</c:v>
                </c:pt>
                <c:pt idx="3185">
                  <c:v>3.2524633902107358E-2</c:v>
                </c:pt>
                <c:pt idx="3186">
                  <c:v>3.2529442802064976E-2</c:v>
                </c:pt>
                <c:pt idx="3187">
                  <c:v>3.253423773903704E-2</c:v>
                </c:pt>
                <c:pt idx="3188">
                  <c:v>3.2539018713026266E-2</c:v>
                </c:pt>
                <c:pt idx="3189">
                  <c:v>3.2543785724005625E-2</c:v>
                </c:pt>
                <c:pt idx="3190">
                  <c:v>3.2553903731544188E-2</c:v>
                </c:pt>
                <c:pt idx="3191">
                  <c:v>3.2558641089997023E-2</c:v>
                </c:pt>
                <c:pt idx="3192">
                  <c:v>3.2563364481842515E-2</c:v>
                </c:pt>
                <c:pt idx="3193">
                  <c:v>3.2568073907065946E-2</c:v>
                </c:pt>
                <c:pt idx="3194">
                  <c:v>3.2572769365635378E-2</c:v>
                </c:pt>
                <c:pt idx="3195">
                  <c:v>3.257745085754836E-2</c:v>
                </c:pt>
                <c:pt idx="3196">
                  <c:v>3.2582118382780335E-2</c:v>
                </c:pt>
                <c:pt idx="3197">
                  <c:v>3.2586771941323929E-2</c:v>
                </c:pt>
                <c:pt idx="3198">
                  <c:v>3.2584276902634865E-2</c:v>
                </c:pt>
                <c:pt idx="3199">
                  <c:v>3.2588904867360373E-2</c:v>
                </c:pt>
                <c:pt idx="3200">
                  <c:v>3.2593518870083785E-2</c:v>
                </c:pt>
                <c:pt idx="3201">
                  <c:v>3.2598118910793936E-2</c:v>
                </c:pt>
                <c:pt idx="3202">
                  <c:v>3.2604486225689164E-2</c:v>
                </c:pt>
                <c:pt idx="3203">
                  <c:v>3.2614399990928591E-2</c:v>
                </c:pt>
                <c:pt idx="3204">
                  <c:v>3.2618955782100952E-2</c:v>
                </c:pt>
                <c:pt idx="3205">
                  <c:v>3.2625277268123275E-2</c:v>
                </c:pt>
                <c:pt idx="3206">
                  <c:v>3.2628025463913905E-2</c:v>
                </c:pt>
                <c:pt idx="3207">
                  <c:v>3.2627204228953231E-2</c:v>
                </c:pt>
                <c:pt idx="3208">
                  <c:v>3.2631705939735745E-2</c:v>
                </c:pt>
                <c:pt idx="3209">
                  <c:v>3.2636193687195024E-2</c:v>
                </c:pt>
                <c:pt idx="3210">
                  <c:v>3.2640667471309448E-2</c:v>
                </c:pt>
                <c:pt idx="3211">
                  <c:v>3.2650455247934328E-2</c:v>
                </c:pt>
                <c:pt idx="3212">
                  <c:v>3.2654899303934525E-2</c:v>
                </c:pt>
                <c:pt idx="3213">
                  <c:v>3.2659329392971281E-2</c:v>
                </c:pt>
                <c:pt idx="3214">
                  <c:v>3.2663745515015122E-2</c:v>
                </c:pt>
                <c:pt idx="3215">
                  <c:v>3.2662826941246857E-2</c:v>
                </c:pt>
                <c:pt idx="3216">
                  <c:v>3.2667216944992306E-2</c:v>
                </c:pt>
                <c:pt idx="3217">
                  <c:v>3.267159298529565E-2</c:v>
                </c:pt>
                <c:pt idx="3218">
                  <c:v>3.2675955062135276E-2</c:v>
                </c:pt>
                <c:pt idx="3219">
                  <c:v>3.268030317549768E-2</c:v>
                </c:pt>
                <c:pt idx="3220">
                  <c:v>3.268994893960419E-2</c:v>
                </c:pt>
                <c:pt idx="3221">
                  <c:v>3.2694267292265371E-2</c:v>
                </c:pt>
                <c:pt idx="3222">
                  <c:v>3.2698571677810838E-2</c:v>
                </c:pt>
                <c:pt idx="3223">
                  <c:v>3.270463089081508E-2</c:v>
                </c:pt>
                <c:pt idx="3224">
                  <c:v>3.2707138547468685E-2</c:v>
                </c:pt>
                <c:pt idx="3225">
                  <c:v>3.2711401031551582E-2</c:v>
                </c:pt>
                <c:pt idx="3226">
                  <c:v>3.2715649548452463E-2</c:v>
                </c:pt>
                <c:pt idx="3227">
                  <c:v>3.2719884098144296E-2</c:v>
                </c:pt>
                <c:pt idx="3228">
                  <c:v>3.2718807836806772E-2</c:v>
                </c:pt>
                <c:pt idx="3229">
                  <c:v>3.2723016314581042E-2</c:v>
                </c:pt>
                <c:pt idx="3230">
                  <c:v>3.2727210828710593E-2</c:v>
                </c:pt>
                <c:pt idx="3231">
                  <c:v>3.2731391379190011E-2</c:v>
                </c:pt>
                <c:pt idx="3232">
                  <c:v>3.2735557965997697E-2</c:v>
                </c:pt>
                <c:pt idx="3233">
                  <c:v>3.2744998084217838E-2</c:v>
                </c:pt>
                <c:pt idx="3234">
                  <c:v>3.2749134863060816E-2</c:v>
                </c:pt>
                <c:pt idx="3235">
                  <c:v>3.2753257674579331E-2</c:v>
                </c:pt>
                <c:pt idx="3236">
                  <c:v>3.2757366518751267E-2</c:v>
                </c:pt>
                <c:pt idx="3237">
                  <c:v>3.2756181444535924E-2</c:v>
                </c:pt>
                <c:pt idx="3238">
                  <c:v>3.2760264249040327E-2</c:v>
                </c:pt>
                <c:pt idx="3239">
                  <c:v>3.2764333089775742E-2</c:v>
                </c:pt>
                <c:pt idx="3240">
                  <c:v>3.2768387966734057E-2</c:v>
                </c:pt>
                <c:pt idx="3241">
                  <c:v>3.2772428879888259E-2</c:v>
                </c:pt>
                <c:pt idx="3242">
                  <c:v>3.2781726268721431E-2</c:v>
                </c:pt>
                <c:pt idx="3243">
                  <c:v>3.2785737341057226E-2</c:v>
                </c:pt>
                <c:pt idx="3244">
                  <c:v>3.2789734445935921E-2</c:v>
                </c:pt>
                <c:pt idx="3245">
                  <c:v>3.2792530614122149E-2</c:v>
                </c:pt>
                <c:pt idx="3246">
                  <c:v>3.2796498430332881E-2</c:v>
                </c:pt>
                <c:pt idx="3247">
                  <c:v>3.2800452280240741E-2</c:v>
                </c:pt>
                <c:pt idx="3248">
                  <c:v>3.2804392163838132E-2</c:v>
                </c:pt>
                <c:pt idx="3249">
                  <c:v>3.2808318081107325E-2</c:v>
                </c:pt>
                <c:pt idx="3250">
                  <c:v>3.280522395086511E-2</c:v>
                </c:pt>
                <c:pt idx="3251">
                  <c:v>3.2809124524952167E-2</c:v>
                </c:pt>
                <c:pt idx="3252">
                  <c:v>3.2813011137514829E-2</c:v>
                </c:pt>
                <c:pt idx="3253">
                  <c:v>3.2816883788544408E-2</c:v>
                </c:pt>
                <c:pt idx="3254">
                  <c:v>3.2822491337631203E-2</c:v>
                </c:pt>
                <c:pt idx="3255">
                  <c:v>3.2831580290943879E-2</c:v>
                </c:pt>
                <c:pt idx="3256">
                  <c:v>3.2837156167006269E-2</c:v>
                </c:pt>
                <c:pt idx="3257">
                  <c:v>3.2839222629596869E-2</c:v>
                </c:pt>
                <c:pt idx="3258">
                  <c:v>3.284302284924618E-2</c:v>
                </c:pt>
                <c:pt idx="3259">
                  <c:v>3.2848554857208799E-2</c:v>
                </c:pt>
                <c:pt idx="3260">
                  <c:v>3.2850581389104322E-2</c:v>
                </c:pt>
                <c:pt idx="3261">
                  <c:v>3.2854339709295424E-2</c:v>
                </c:pt>
                <c:pt idx="3262">
                  <c:v>3.2859827838084714E-2</c:v>
                </c:pt>
                <c:pt idx="3263">
                  <c:v>3.2861814450118113E-2</c:v>
                </c:pt>
                <c:pt idx="3264">
                  <c:v>3.2865530870721839E-2</c:v>
                </c:pt>
                <c:pt idx="3265">
                  <c:v>3.286923332477449E-2</c:v>
                </c:pt>
                <c:pt idx="3266">
                  <c:v>3.2872921812260869E-2</c:v>
                </c:pt>
                <c:pt idx="3267">
                  <c:v>3.2871375223530314E-2</c:v>
                </c:pt>
                <c:pt idx="3268">
                  <c:v>3.288025688746643E-2</c:v>
                </c:pt>
                <c:pt idx="3269">
                  <c:v>3.2883903475165351E-2</c:v>
                </c:pt>
                <c:pt idx="3270">
                  <c:v>3.2887536096244813E-2</c:v>
                </c:pt>
                <c:pt idx="3271">
                  <c:v>3.289115475067949E-2</c:v>
                </c:pt>
                <c:pt idx="3272">
                  <c:v>3.2894759438474447E-2</c:v>
                </c:pt>
                <c:pt idx="3273">
                  <c:v>3.289835015960689E-2</c:v>
                </c:pt>
                <c:pt idx="3274">
                  <c:v>3.2901926914061623E-2</c:v>
                </c:pt>
                <c:pt idx="3275">
                  <c:v>3.2907224771488996E-2</c:v>
                </c:pt>
                <c:pt idx="3276">
                  <c:v>3.290903852289237E-2</c:v>
                </c:pt>
                <c:pt idx="3277">
                  <c:v>3.2912573377248122E-2</c:v>
                </c:pt>
                <c:pt idx="3278">
                  <c:v>3.2916094264872978E-2</c:v>
                </c:pt>
                <c:pt idx="3279">
                  <c:v>3.291960118575174E-2</c:v>
                </c:pt>
                <c:pt idx="3280">
                  <c:v>3.2923094139892008E-2</c:v>
                </c:pt>
                <c:pt idx="3281">
                  <c:v>3.292657312725579E-2</c:v>
                </c:pt>
                <c:pt idx="3282">
                  <c:v>3.2930038147845619E-2</c:v>
                </c:pt>
                <c:pt idx="3283">
                  <c:v>3.2933489201641235E-2</c:v>
                </c:pt>
                <c:pt idx="3284">
                  <c:v>3.293692628863757E-2</c:v>
                </c:pt>
                <c:pt idx="3285">
                  <c:v>3.2940349408816898E-2</c:v>
                </c:pt>
                <c:pt idx="3286">
                  <c:v>3.294375856216402E-2</c:v>
                </c:pt>
                <c:pt idx="3287">
                  <c:v>3.2947153748673873E-2</c:v>
                </c:pt>
                <c:pt idx="3288">
                  <c:v>3.2950534968328726E-2</c:v>
                </c:pt>
                <c:pt idx="3289">
                  <c:v>3.2948726056267599E-2</c:v>
                </c:pt>
                <c:pt idx="3290">
                  <c:v>3.2957255507025315E-2</c:v>
                </c:pt>
                <c:pt idx="3291">
                  <c:v>3.2960594826041724E-2</c:v>
                </c:pt>
                <c:pt idx="3292">
                  <c:v>3.2963920178160078E-2</c:v>
                </c:pt>
                <c:pt idx="3293">
                  <c:v>3.2967231563360115E-2</c:v>
                </c:pt>
                <c:pt idx="3294">
                  <c:v>3.2970528981634238E-2</c:v>
                </c:pt>
                <c:pt idx="3295">
                  <c:v>3.2973812432972316E-2</c:v>
                </c:pt>
                <c:pt idx="3296">
                  <c:v>3.2977081917354087E-2</c:v>
                </c:pt>
                <c:pt idx="3297">
                  <c:v>3.297908163970454E-2</c:v>
                </c:pt>
                <c:pt idx="3298">
                  <c:v>3.2982321900126059E-2</c:v>
                </c:pt>
                <c:pt idx="3299">
                  <c:v>3.2985548194783186E-2</c:v>
                </c:pt>
                <c:pt idx="3300">
                  <c:v>3.2988760523678544E-2</c:v>
                </c:pt>
                <c:pt idx="3301">
                  <c:v>3.2991958886791219E-2</c:v>
                </c:pt>
                <c:pt idx="3302">
                  <c:v>3.2989994926639739E-2</c:v>
                </c:pt>
                <c:pt idx="3303">
                  <c:v>3.2993167491521973E-2</c:v>
                </c:pt>
                <c:pt idx="3304">
                  <c:v>3.2996326094289326E-2</c:v>
                </c:pt>
                <c:pt idx="3305">
                  <c:v>3.2999470734938911E-2</c:v>
                </c:pt>
                <c:pt idx="3306">
                  <c:v>3.3000888216087002E-2</c:v>
                </c:pt>
                <c:pt idx="3307">
                  <c:v>3.3010855783473923E-2</c:v>
                </c:pt>
                <c:pt idx="3308">
                  <c:v>3.3013956385817583E-2</c:v>
                </c:pt>
                <c:pt idx="3309">
                  <c:v>3.3017043022294891E-2</c:v>
                </c:pt>
                <c:pt idx="3310">
                  <c:v>3.3020155216240243E-2</c:v>
                </c:pt>
                <c:pt idx="3311">
                  <c:v>3.3023206662289271E-2</c:v>
                </c:pt>
                <c:pt idx="3312">
                  <c:v>3.302624414367239E-2</c:v>
                </c:pt>
                <c:pt idx="3313">
                  <c:v>3.3029267660381501E-2</c:v>
                </c:pt>
                <c:pt idx="3314">
                  <c:v>3.3032277212386885E-2</c:v>
                </c:pt>
                <c:pt idx="3315">
                  <c:v>3.3036979196040324E-2</c:v>
                </c:pt>
                <c:pt idx="3316">
                  <c:v>3.3039960090590625E-2</c:v>
                </c:pt>
                <c:pt idx="3317">
                  <c:v>3.3042927019177847E-2</c:v>
                </c:pt>
                <c:pt idx="3318">
                  <c:v>3.3045879981794139E-2</c:v>
                </c:pt>
                <c:pt idx="3319">
                  <c:v>3.3047115501717426E-2</c:v>
                </c:pt>
                <c:pt idx="3320">
                  <c:v>3.3050041265370776E-2</c:v>
                </c:pt>
                <c:pt idx="3321">
                  <c:v>3.3052953064260968E-2</c:v>
                </c:pt>
                <c:pt idx="3322">
                  <c:v>3.305585089837719E-2</c:v>
                </c:pt>
                <c:pt idx="3323">
                  <c:v>3.3060435304940509E-2</c:v>
                </c:pt>
                <c:pt idx="3324">
                  <c:v>3.3063304471511644E-2</c:v>
                </c:pt>
                <c:pt idx="3325">
                  <c:v>3.3066159672036043E-2</c:v>
                </c:pt>
                <c:pt idx="3326">
                  <c:v>3.3069000906508467E-2</c:v>
                </c:pt>
                <c:pt idx="3327">
                  <c:v>3.3071828174918466E-2</c:v>
                </c:pt>
                <c:pt idx="3328">
                  <c:v>3.3074641477252961E-2</c:v>
                </c:pt>
                <c:pt idx="3329">
                  <c:v>3.3077440813504118E-2</c:v>
                </c:pt>
                <c:pt idx="3330">
                  <c:v>3.3080226183661472E-2</c:v>
                </c:pt>
                <c:pt idx="3331">
                  <c:v>3.308299758771456E-2</c:v>
                </c:pt>
                <c:pt idx="3332">
                  <c:v>3.308406117489375E-2</c:v>
                </c:pt>
                <c:pt idx="3333">
                  <c:v>3.3086805395861472E-2</c:v>
                </c:pt>
                <c:pt idx="3334">
                  <c:v>3.3089535651949872E-2</c:v>
                </c:pt>
                <c:pt idx="3335">
                  <c:v>3.3092251943140027E-2</c:v>
                </c:pt>
                <c:pt idx="3336">
                  <c:v>3.3096645116086738E-2</c:v>
                </c:pt>
                <c:pt idx="3337">
                  <c:v>3.3099332723315583E-2</c:v>
                </c:pt>
                <c:pt idx="3338">
                  <c:v>3.3102006364369586E-2</c:v>
                </c:pt>
                <c:pt idx="3339">
                  <c:v>3.3104666039240893E-2</c:v>
                </c:pt>
                <c:pt idx="3340">
                  <c:v>3.3107311747924285E-2</c:v>
                </c:pt>
                <c:pt idx="3341">
                  <c:v>3.3108256426885793E-2</c:v>
                </c:pt>
                <c:pt idx="3342">
                  <c:v>3.3110874963531642E-2</c:v>
                </c:pt>
                <c:pt idx="3343">
                  <c:v>3.3113479535200906E-2</c:v>
                </c:pt>
                <c:pt idx="3344">
                  <c:v>3.3122809430430299E-2</c:v>
                </c:pt>
                <c:pt idx="3345">
                  <c:v>3.3120330798166883E-2</c:v>
                </c:pt>
                <c:pt idx="3346">
                  <c:v>3.3122892709510993E-2</c:v>
                </c:pt>
                <c:pt idx="3347">
                  <c:v>3.3125440654601816E-2</c:v>
                </c:pt>
                <c:pt idx="3348">
                  <c:v>3.3127974633431527E-2</c:v>
                </c:pt>
                <c:pt idx="3349">
                  <c:v>3.3130494645987038E-2</c:v>
                </c:pt>
                <c:pt idx="3350">
                  <c:v>3.3133000692257893E-2</c:v>
                </c:pt>
                <c:pt idx="3351">
                  <c:v>3.3135492772236257E-2</c:v>
                </c:pt>
                <c:pt idx="3352">
                  <c:v>3.3137970885916898E-2</c:v>
                </c:pt>
                <c:pt idx="3353">
                  <c:v>3.3140435033291969E-2</c:v>
                </c:pt>
                <c:pt idx="3354">
                  <c:v>3.3137854052486378E-2</c:v>
                </c:pt>
                <c:pt idx="3355">
                  <c:v>3.3140292596555904E-2</c:v>
                </c:pt>
                <c:pt idx="3356">
                  <c:v>3.3142717178041646E-2</c:v>
                </c:pt>
                <c:pt idx="3357">
                  <c:v>3.3145127796937811E-2</c:v>
                </c:pt>
                <c:pt idx="3358">
                  <c:v>3.3152546275225646E-2</c:v>
                </c:pt>
                <c:pt idx="3359">
                  <c:v>3.3154926624563395E-2</c:v>
                </c:pt>
                <c:pt idx="3360">
                  <c:v>3.3163982883773854E-2</c:v>
                </c:pt>
                <c:pt idx="3361">
                  <c:v>3.3159645424123488E-2</c:v>
                </c:pt>
                <c:pt idx="3362">
                  <c:v>3.3160313040832966E-2</c:v>
                </c:pt>
                <c:pt idx="3363">
                  <c:v>3.3162638311268609E-2</c:v>
                </c:pt>
                <c:pt idx="3364">
                  <c:v>3.3164949616554772E-2</c:v>
                </c:pt>
                <c:pt idx="3365">
                  <c:v>3.3167246956677943E-2</c:v>
                </c:pt>
                <c:pt idx="3366">
                  <c:v>3.3169530331643535E-2</c:v>
                </c:pt>
                <c:pt idx="3367">
                  <c:v>3.3173466629305447E-2</c:v>
                </c:pt>
                <c:pt idx="3368">
                  <c:v>3.317572128102772E-2</c:v>
                </c:pt>
                <c:pt idx="3369">
                  <c:v>3.3177961966305868E-2</c:v>
                </c:pt>
                <c:pt idx="3370">
                  <c:v>3.3180188685139882E-2</c:v>
                </c:pt>
                <c:pt idx="3371">
                  <c:v>3.3180737728710552E-2</c:v>
                </c:pt>
                <c:pt idx="3372">
                  <c:v>3.3182937312522608E-2</c:v>
                </c:pt>
                <c:pt idx="3373">
                  <c:v>3.318512293111494E-2</c:v>
                </c:pt>
                <c:pt idx="3374">
                  <c:v>3.3187294584479443E-2</c:v>
                </c:pt>
                <c:pt idx="3375">
                  <c:v>3.3191112782253229E-2</c:v>
                </c:pt>
                <c:pt idx="3376">
                  <c:v>3.3193255702215922E-2</c:v>
                </c:pt>
                <c:pt idx="3377">
                  <c:v>3.3195384655671747E-2</c:v>
                </c:pt>
                <c:pt idx="3378">
                  <c:v>3.3197499642618075E-2</c:v>
                </c:pt>
                <c:pt idx="3379">
                  <c:v>3.3199600663044455E-2</c:v>
                </c:pt>
                <c:pt idx="3380">
                  <c:v>3.3201687716940438E-2</c:v>
                </c:pt>
                <c:pt idx="3381">
                  <c:v>3.3203760804303394E-2</c:v>
                </c:pt>
                <c:pt idx="3382">
                  <c:v>3.3205819925128104E-2</c:v>
                </c:pt>
                <c:pt idx="3383">
                  <c:v>3.3207865079401488E-2</c:v>
                </c:pt>
                <c:pt idx="3384">
                  <c:v>3.3208243029081208E-2</c:v>
                </c:pt>
                <c:pt idx="3385">
                  <c:v>3.3210261064477664E-2</c:v>
                </c:pt>
                <c:pt idx="3386">
                  <c:v>3.3212265134565253E-2</c:v>
                </c:pt>
                <c:pt idx="3387">
                  <c:v>3.321425523932775E-2</c:v>
                </c:pt>
                <c:pt idx="3388">
                  <c:v>3.3216231378762472E-2</c:v>
                </c:pt>
                <c:pt idx="3389">
                  <c:v>3.3219842707092849E-2</c:v>
                </c:pt>
                <c:pt idx="3390">
                  <c:v>3.3221790095316145E-2</c:v>
                </c:pt>
                <c:pt idx="3391">
                  <c:v>3.3223723516941056E-2</c:v>
                </c:pt>
                <c:pt idx="3392">
                  <c:v>3.3225642971946676E-2</c:v>
                </c:pt>
                <c:pt idx="3393">
                  <c:v>3.3225902595827514E-2</c:v>
                </c:pt>
                <c:pt idx="3394">
                  <c:v>3.3227794943165856E-2</c:v>
                </c:pt>
                <c:pt idx="3395">
                  <c:v>3.3229673325130493E-2</c:v>
                </c:pt>
                <c:pt idx="3396">
                  <c:v>3.3231537741724125E-2</c:v>
                </c:pt>
                <c:pt idx="3397">
                  <c:v>3.3239958534055397E-2</c:v>
                </c:pt>
                <c:pt idx="3398">
                  <c:v>3.323686640274514E-2</c:v>
                </c:pt>
                <c:pt idx="3399">
                  <c:v>3.3238688091271902E-2</c:v>
                </c:pt>
                <c:pt idx="3400">
                  <c:v>3.3240495813134929E-2</c:v>
                </c:pt>
                <c:pt idx="3401">
                  <c:v>3.3242289568326373E-2</c:v>
                </c:pt>
                <c:pt idx="3402">
                  <c:v>3.3244069356841002E-2</c:v>
                </c:pt>
                <c:pt idx="3403">
                  <c:v>3.324583517866575E-2</c:v>
                </c:pt>
                <c:pt idx="3404">
                  <c:v>3.3247587033803226E-2</c:v>
                </c:pt>
                <c:pt idx="3405">
                  <c:v>3.3249324922240364E-2</c:v>
                </c:pt>
                <c:pt idx="3406">
                  <c:v>3.3247778795713549E-2</c:v>
                </c:pt>
                <c:pt idx="3407">
                  <c:v>3.3249490434533999E-2</c:v>
                </c:pt>
                <c:pt idx="3408">
                  <c:v>3.3251188109166906E-2</c:v>
                </c:pt>
                <c:pt idx="3409">
                  <c:v>3.3252871819595492E-2</c:v>
                </c:pt>
                <c:pt idx="3410">
                  <c:v>3.3257804863751003E-2</c:v>
                </c:pt>
                <c:pt idx="3411">
                  <c:v>3.3265982377270679E-2</c:v>
                </c:pt>
                <c:pt idx="3412">
                  <c:v>3.3261099073262017E-2</c:v>
                </c:pt>
                <c:pt idx="3413">
                  <c:v>3.326272522790296E-2</c:v>
                </c:pt>
                <c:pt idx="3414">
                  <c:v>3.3264337415791274E-2</c:v>
                </c:pt>
                <c:pt idx="3415">
                  <c:v>3.3264308226615857E-2</c:v>
                </c:pt>
                <c:pt idx="3416">
                  <c:v>3.3265893334338603E-2</c:v>
                </c:pt>
                <c:pt idx="3417">
                  <c:v>3.3267464476555264E-2</c:v>
                </c:pt>
                <c:pt idx="3418">
                  <c:v>3.3269021653268546E-2</c:v>
                </c:pt>
                <c:pt idx="3419">
                  <c:v>3.3272188853765636E-2</c:v>
                </c:pt>
                <c:pt idx="3420">
                  <c:v>3.3273717241028372E-2</c:v>
                </c:pt>
                <c:pt idx="3421">
                  <c:v>3.327523166149926E-2</c:v>
                </c:pt>
                <c:pt idx="3422">
                  <c:v>3.3276732115178308E-2</c:v>
                </c:pt>
                <c:pt idx="3423">
                  <c:v>3.3276598054000517E-2</c:v>
                </c:pt>
                <c:pt idx="3424">
                  <c:v>3.3278071437544909E-2</c:v>
                </c:pt>
                <c:pt idx="3425">
                  <c:v>3.3279530855550798E-2</c:v>
                </c:pt>
                <c:pt idx="3426">
                  <c:v>3.3280976307999276E-2</c:v>
                </c:pt>
                <c:pt idx="3427">
                  <c:v>3.3282407794890334E-2</c:v>
                </c:pt>
                <c:pt idx="3428">
                  <c:v>3.3285441534231679E-2</c:v>
                </c:pt>
                <c:pt idx="3429">
                  <c:v>3.3286844220190036E-2</c:v>
                </c:pt>
                <c:pt idx="3430">
                  <c:v>3.3288232939312094E-2</c:v>
                </c:pt>
                <c:pt idx="3431">
                  <c:v>3.3289607691595252E-2</c:v>
                </c:pt>
                <c:pt idx="3432">
                  <c:v>3.3290968477031668E-2</c:v>
                </c:pt>
                <c:pt idx="3433">
                  <c:v>3.3292315295610872E-2</c:v>
                </c:pt>
                <c:pt idx="3434">
                  <c:v>3.3293648147343334E-2</c:v>
                </c:pt>
                <c:pt idx="3435">
                  <c:v>3.3294967032210743E-2</c:v>
                </c:pt>
                <c:pt idx="3436">
                  <c:v>3.329627195020788E-2</c:v>
                </c:pt>
                <c:pt idx="3437">
                  <c:v>3.3295954557238147E-2</c:v>
                </c:pt>
                <c:pt idx="3438">
                  <c:v>3.3297232422711286E-2</c:v>
                </c:pt>
                <c:pt idx="3439">
                  <c:v>3.329849632257028E-2</c:v>
                </c:pt>
                <c:pt idx="3440">
                  <c:v>3.3299746256817829E-2</c:v>
                </c:pt>
                <c:pt idx="3441">
                  <c:v>3.3302587037066199E-2</c:v>
                </c:pt>
                <c:pt idx="3442">
                  <c:v>3.3303808153778924E-2</c:v>
                </c:pt>
                <c:pt idx="3443">
                  <c:v>3.3305015303592617E-2</c:v>
                </c:pt>
                <c:pt idx="3444">
                  <c:v>3.3306208486504667E-2</c:v>
                </c:pt>
                <c:pt idx="3445">
                  <c:v>3.3305786443659668E-2</c:v>
                </c:pt>
                <c:pt idx="3446">
                  <c:v>3.3306952584125082E-2</c:v>
                </c:pt>
                <c:pt idx="3447">
                  <c:v>3.3308104758946633E-2</c:v>
                </c:pt>
                <c:pt idx="3448">
                  <c:v>3.3309242968113516E-2</c:v>
                </c:pt>
                <c:pt idx="3449">
                  <c:v>3.331036721163113E-2</c:v>
                </c:pt>
                <c:pt idx="3450">
                  <c:v>3.3313074278817446E-2</c:v>
                </c:pt>
                <c:pt idx="3451">
                  <c:v>3.3314169693302913E-2</c:v>
                </c:pt>
                <c:pt idx="3452">
                  <c:v>3.3315251140855352E-2</c:v>
                </c:pt>
                <c:pt idx="3453">
                  <c:v>3.3319657938742211E-2</c:v>
                </c:pt>
                <c:pt idx="3454">
                  <c:v>3.3320707653204197E-2</c:v>
                </c:pt>
                <c:pt idx="3455">
                  <c:v>3.3321743398187852E-2</c:v>
                </c:pt>
                <c:pt idx="3456">
                  <c:v>3.3322765173675974E-2</c:v>
                </c:pt>
                <c:pt idx="3457">
                  <c:v>3.3323772979671026E-2</c:v>
                </c:pt>
                <c:pt idx="3458">
                  <c:v>3.3316819604141561E-2</c:v>
                </c:pt>
                <c:pt idx="3459">
                  <c:v>3.3317804011432674E-2</c:v>
                </c:pt>
                <c:pt idx="3460">
                  <c:v>3.3318774455566892E-2</c:v>
                </c:pt>
                <c:pt idx="3461">
                  <c:v>3.3319730936550003E-2</c:v>
                </c:pt>
                <c:pt idx="3462">
                  <c:v>3.3328602467090601E-2</c:v>
                </c:pt>
                <c:pt idx="3463">
                  <c:v>3.3329526456041272E-2</c:v>
                </c:pt>
                <c:pt idx="3464">
                  <c:v>3.3330436475464492E-2</c:v>
                </c:pt>
                <c:pt idx="3465">
                  <c:v>3.3331332525370079E-2</c:v>
                </c:pt>
                <c:pt idx="3466">
                  <c:v>3.3327468152558049E-2</c:v>
                </c:pt>
                <c:pt idx="3467">
                  <c:v>3.3328339018613394E-2</c:v>
                </c:pt>
                <c:pt idx="3468">
                  <c:v>3.3329195918949228E-2</c:v>
                </c:pt>
                <c:pt idx="3469">
                  <c:v>3.3330038853565558E-2</c:v>
                </c:pt>
                <c:pt idx="3470">
                  <c:v>3.3330867822467788E-2</c:v>
                </c:pt>
                <c:pt idx="3471">
                  <c:v>3.3336415464619011E-2</c:v>
                </c:pt>
                <c:pt idx="3472">
                  <c:v>3.3337213727768565E-2</c:v>
                </c:pt>
                <c:pt idx="3473">
                  <c:v>3.3337998021366104E-2</c:v>
                </c:pt>
                <c:pt idx="3474">
                  <c:v>3.3338768345416547E-2</c:v>
                </c:pt>
                <c:pt idx="3475">
                  <c:v>3.3334803180983696E-2</c:v>
                </c:pt>
                <c:pt idx="3476">
                  <c:v>3.333554835547433E-2</c:v>
                </c:pt>
                <c:pt idx="3477">
                  <c:v>3.3336279564229243E-2</c:v>
                </c:pt>
                <c:pt idx="3478">
                  <c:v>3.3336996807232233E-2</c:v>
                </c:pt>
                <c:pt idx="3479">
                  <c:v>3.3337700084491405E-2</c:v>
                </c:pt>
                <c:pt idx="3480">
                  <c:v>3.3343096928942703E-2</c:v>
                </c:pt>
                <c:pt idx="3481">
                  <c:v>3.3343769466045545E-2</c:v>
                </c:pt>
                <c:pt idx="3482">
                  <c:v>3.3344428033574271E-2</c:v>
                </c:pt>
                <c:pt idx="3483">
                  <c:v>3.3346639008112904E-2</c:v>
                </c:pt>
                <c:pt idx="3484">
                  <c:v>3.3345703259902007E-2</c:v>
                </c:pt>
                <c:pt idx="3485">
                  <c:v>3.3346319918698561E-2</c:v>
                </c:pt>
                <c:pt idx="3486">
                  <c:v>3.3346922607906254E-2</c:v>
                </c:pt>
                <c:pt idx="3487">
                  <c:v>3.3347511327525101E-2</c:v>
                </c:pt>
                <c:pt idx="3488">
                  <c:v>3.3343401120781976E-2</c:v>
                </c:pt>
                <c:pt idx="3489">
                  <c:v>3.334396474043274E-2</c:v>
                </c:pt>
                <c:pt idx="3490">
                  <c:v>3.3344514394315371E-2</c:v>
                </c:pt>
                <c:pt idx="3491">
                  <c:v>3.334505008242987E-2</c:v>
                </c:pt>
                <c:pt idx="3492">
                  <c:v>3.3345571804762719E-2</c:v>
                </c:pt>
                <c:pt idx="3493">
                  <c:v>3.3350750283845258E-2</c:v>
                </c:pt>
                <c:pt idx="3494">
                  <c:v>3.3351241216312666E-2</c:v>
                </c:pt>
                <c:pt idx="3495">
                  <c:v>3.3351718179174025E-2</c:v>
                </c:pt>
                <c:pt idx="3496">
                  <c:v>3.33521811724318E-2</c:v>
                </c:pt>
                <c:pt idx="3497">
                  <c:v>3.3347970929742884E-2</c:v>
                </c:pt>
                <c:pt idx="3498">
                  <c:v>3.3348408857388587E-2</c:v>
                </c:pt>
                <c:pt idx="3499">
                  <c:v>3.3348832819252647E-2</c:v>
                </c:pt>
                <c:pt idx="3500">
                  <c:v>3.3349242815318855E-2</c:v>
                </c:pt>
                <c:pt idx="3501">
                  <c:v>3.3349638845603422E-2</c:v>
                </c:pt>
                <c:pt idx="3502">
                  <c:v>3.335466577019993E-2</c:v>
                </c:pt>
                <c:pt idx="3503">
                  <c:v>3.3355030976185925E-2</c:v>
                </c:pt>
                <c:pt idx="3504">
                  <c:v>3.3355382212551132E-2</c:v>
                </c:pt>
                <c:pt idx="3505">
                  <c:v>3.3355719479298017E-2</c:v>
                </c:pt>
                <c:pt idx="3506">
                  <c:v>3.3356042776431498E-2</c:v>
                </c:pt>
                <c:pt idx="3507">
                  <c:v>3.335635210393928E-2</c:v>
                </c:pt>
                <c:pt idx="3508">
                  <c:v>3.3356647461831195E-2</c:v>
                </c:pt>
                <c:pt idx="3509">
                  <c:v>3.3356928850094961E-2</c:v>
                </c:pt>
                <c:pt idx="3510">
                  <c:v>3.3349493587782685E-2</c:v>
                </c:pt>
                <c:pt idx="3511">
                  <c:v>3.3349751908066778E-2</c:v>
                </c:pt>
                <c:pt idx="3512">
                  <c:v>3.3349996265095556E-2</c:v>
                </c:pt>
                <c:pt idx="3513">
                  <c:v>3.3350226658869019E-2</c:v>
                </c:pt>
                <c:pt idx="3514">
                  <c:v>3.3353516351830668E-2</c:v>
                </c:pt>
                <c:pt idx="3515">
                  <c:v>3.3358323817565053E-2</c:v>
                </c:pt>
                <c:pt idx="3516">
                  <c:v>3.3360042089470361E-2</c:v>
                </c:pt>
                <c:pt idx="3517">
                  <c:v>3.3358677049697381E-2</c:v>
                </c:pt>
                <c:pt idx="3518">
                  <c:v>3.3358832711320098E-2</c:v>
                </c:pt>
                <c:pt idx="3519">
                  <c:v>3.3354379239279495E-2</c:v>
                </c:pt>
                <c:pt idx="3520">
                  <c:v>3.335450991935085E-2</c:v>
                </c:pt>
                <c:pt idx="3521">
                  <c:v>3.3354626633613549E-2</c:v>
                </c:pt>
                <c:pt idx="3522">
                  <c:v>3.3354729382070292E-2</c:v>
                </c:pt>
                <c:pt idx="3523">
                  <c:v>3.3359401474959888E-2</c:v>
                </c:pt>
                <c:pt idx="3524">
                  <c:v>3.3359473318786699E-2</c:v>
                </c:pt>
                <c:pt idx="3525">
                  <c:v>3.3359531192982912E-2</c:v>
                </c:pt>
                <c:pt idx="3526">
                  <c:v>3.3359575097543601E-2</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6657824"/>
        <c:axId val="616653120"/>
      </c:lineChart>
      <c:scatterChart>
        <c:scatterStyle val="lineMarker"/>
        <c:varyColors val="0"/>
        <c:ser>
          <c:idx val="1"/>
          <c:order val="1"/>
          <c:tx>
            <c:v>FRAs</c:v>
          </c:tx>
          <c:spPr>
            <a:ln w="28575">
              <a:noFill/>
            </a:ln>
          </c:spPr>
          <c:marker>
            <c:symbol val="diamond"/>
            <c:size val="7"/>
            <c:spPr>
              <a:solidFill>
                <a:srgbClr val="00B050"/>
              </a:solidFill>
              <a:ln>
                <a:noFill/>
              </a:ln>
            </c:spPr>
          </c:marker>
          <c:xVal>
            <c:numRef>
              <c:f>Monitor!$O$19:$O$27</c:f>
              <c:numCache>
                <c:formatCode>ddd\,\ dd\-mmm\-yyyy</c:formatCode>
                <c:ptCount val="9"/>
                <c:pt idx="0">
                  <c:v>41848</c:v>
                </c:pt>
                <c:pt idx="1">
                  <c:v>41878</c:v>
                </c:pt>
                <c:pt idx="2">
                  <c:v>41911</c:v>
                </c:pt>
                <c:pt idx="3">
                  <c:v>41939</c:v>
                </c:pt>
                <c:pt idx="4">
                  <c:v>41970</c:v>
                </c:pt>
                <c:pt idx="5">
                  <c:v>42002</c:v>
                </c:pt>
                <c:pt idx="6">
                  <c:v>42090</c:v>
                </c:pt>
                <c:pt idx="7">
                  <c:v>42184</c:v>
                </c:pt>
                <c:pt idx="8">
                  <c:v>0</c:v>
                </c:pt>
              </c:numCache>
            </c:numRef>
          </c:xVal>
          <c:yVal>
            <c:numRef>
              <c:f>Monitor!$P$19:$P$27</c:f>
              <c:numCache>
                <c:formatCode>0.0000%</c:formatCode>
                <c:ptCount val="9"/>
                <c:pt idx="0">
                  <c:v>7.45E-3</c:v>
                </c:pt>
                <c:pt idx="1">
                  <c:v>8.0000000000000002E-3</c:v>
                </c:pt>
                <c:pt idx="2">
                  <c:v>8.5500000000000003E-3</c:v>
                </c:pt>
                <c:pt idx="3">
                  <c:v>9.3500000000000007E-3</c:v>
                </c:pt>
                <c:pt idx="4">
                  <c:v>1.0150000000000001E-2</c:v>
                </c:pt>
                <c:pt idx="5">
                  <c:v>1.0899999999999998E-2</c:v>
                </c:pt>
                <c:pt idx="6">
                  <c:v>1.3300000000000001E-2</c:v>
                </c:pt>
                <c:pt idx="7">
                  <c:v>1.5650000000000001E-2</c:v>
                </c:pt>
                <c:pt idx="8">
                  <c:v>0</c:v>
                </c:pt>
              </c:numCache>
            </c:numRef>
          </c:yVal>
          <c:smooth val="0"/>
        </c:ser>
        <c:dLbls>
          <c:showLegendKey val="0"/>
          <c:showVal val="0"/>
          <c:showCatName val="0"/>
          <c:showSerName val="0"/>
          <c:showPercent val="0"/>
          <c:showBubbleSize val="0"/>
        </c:dLbls>
        <c:axId val="616657824"/>
        <c:axId val="616653120"/>
      </c:scatterChart>
      <c:dateAx>
        <c:axId val="616657824"/>
        <c:scaling>
          <c:orientation val="minMax"/>
          <c:max val="42548"/>
          <c:min val="41820"/>
        </c:scaling>
        <c:delete val="0"/>
        <c:axPos val="b"/>
        <c:numFmt formatCode="[$-409]mmm\-yy;@" sourceLinked="0"/>
        <c:majorTickMark val="out"/>
        <c:minorTickMark val="none"/>
        <c:tickLblPos val="nextTo"/>
        <c:txPr>
          <a:bodyPr rot="-2700000" vert="horz"/>
          <a:lstStyle/>
          <a:p>
            <a:pPr>
              <a:defRPr/>
            </a:pPr>
            <a:endParaRPr lang="en-US"/>
          </a:p>
        </c:txPr>
        <c:crossAx val="616653120"/>
        <c:crosses val="autoZero"/>
        <c:auto val="1"/>
        <c:lblOffset val="100"/>
        <c:baseTimeUnit val="days"/>
        <c:majorUnit val="3"/>
        <c:majorTimeUnit val="months"/>
        <c:minorUnit val="1"/>
        <c:minorTimeUnit val="years"/>
      </c:dateAx>
      <c:valAx>
        <c:axId val="616653120"/>
        <c:scaling>
          <c:orientation val="minMax"/>
          <c:max val="2.5000000000000001E-2"/>
          <c:min val="4.0000000000000001E-3"/>
        </c:scaling>
        <c:delete val="0"/>
        <c:axPos val="l"/>
        <c:majorGridlines/>
        <c:numFmt formatCode="0.00%" sourceLinked="0"/>
        <c:majorTickMark val="out"/>
        <c:minorTickMark val="none"/>
        <c:tickLblPos val="nextTo"/>
        <c:crossAx val="616657824"/>
        <c:crosses val="autoZero"/>
        <c:crossBetween val="between"/>
        <c:majorUnit val="5.0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41817</c:v>
                </c:pt>
                <c:pt idx="1">
                  <c:v>41820</c:v>
                </c:pt>
                <c:pt idx="2">
                  <c:v>41821</c:v>
                </c:pt>
                <c:pt idx="3">
                  <c:v>41822</c:v>
                </c:pt>
                <c:pt idx="4">
                  <c:v>41823</c:v>
                </c:pt>
                <c:pt idx="5">
                  <c:v>41824</c:v>
                </c:pt>
                <c:pt idx="6">
                  <c:v>41827</c:v>
                </c:pt>
                <c:pt idx="7">
                  <c:v>41828</c:v>
                </c:pt>
                <c:pt idx="8">
                  <c:v>41829</c:v>
                </c:pt>
                <c:pt idx="9">
                  <c:v>41830</c:v>
                </c:pt>
                <c:pt idx="10">
                  <c:v>41831</c:v>
                </c:pt>
                <c:pt idx="11">
                  <c:v>41834</c:v>
                </c:pt>
                <c:pt idx="12">
                  <c:v>41835</c:v>
                </c:pt>
                <c:pt idx="13">
                  <c:v>41836</c:v>
                </c:pt>
                <c:pt idx="14">
                  <c:v>41837</c:v>
                </c:pt>
                <c:pt idx="15">
                  <c:v>41838</c:v>
                </c:pt>
                <c:pt idx="16">
                  <c:v>41841</c:v>
                </c:pt>
                <c:pt idx="17">
                  <c:v>41842</c:v>
                </c:pt>
                <c:pt idx="18">
                  <c:v>41843</c:v>
                </c:pt>
                <c:pt idx="19">
                  <c:v>41844</c:v>
                </c:pt>
                <c:pt idx="20">
                  <c:v>41845</c:v>
                </c:pt>
                <c:pt idx="21">
                  <c:v>41848</c:v>
                </c:pt>
                <c:pt idx="22">
                  <c:v>41849</c:v>
                </c:pt>
                <c:pt idx="23">
                  <c:v>41850</c:v>
                </c:pt>
                <c:pt idx="24">
                  <c:v>41851</c:v>
                </c:pt>
                <c:pt idx="25">
                  <c:v>41852</c:v>
                </c:pt>
                <c:pt idx="26">
                  <c:v>41855</c:v>
                </c:pt>
                <c:pt idx="27">
                  <c:v>41856</c:v>
                </c:pt>
                <c:pt idx="28">
                  <c:v>41857</c:v>
                </c:pt>
                <c:pt idx="29">
                  <c:v>41858</c:v>
                </c:pt>
                <c:pt idx="30">
                  <c:v>41859</c:v>
                </c:pt>
                <c:pt idx="31">
                  <c:v>41862</c:v>
                </c:pt>
                <c:pt idx="32">
                  <c:v>41863</c:v>
                </c:pt>
                <c:pt idx="33">
                  <c:v>41864</c:v>
                </c:pt>
                <c:pt idx="34">
                  <c:v>41865</c:v>
                </c:pt>
                <c:pt idx="35">
                  <c:v>41866</c:v>
                </c:pt>
                <c:pt idx="36">
                  <c:v>41869</c:v>
                </c:pt>
                <c:pt idx="37">
                  <c:v>41870</c:v>
                </c:pt>
                <c:pt idx="38">
                  <c:v>41871</c:v>
                </c:pt>
                <c:pt idx="39">
                  <c:v>41872</c:v>
                </c:pt>
                <c:pt idx="40">
                  <c:v>41873</c:v>
                </c:pt>
                <c:pt idx="41">
                  <c:v>41877</c:v>
                </c:pt>
                <c:pt idx="42">
                  <c:v>41878</c:v>
                </c:pt>
                <c:pt idx="43">
                  <c:v>41879</c:v>
                </c:pt>
                <c:pt idx="44">
                  <c:v>41880</c:v>
                </c:pt>
                <c:pt idx="45">
                  <c:v>41883</c:v>
                </c:pt>
                <c:pt idx="46">
                  <c:v>41884</c:v>
                </c:pt>
                <c:pt idx="47">
                  <c:v>41885</c:v>
                </c:pt>
                <c:pt idx="48">
                  <c:v>41886</c:v>
                </c:pt>
                <c:pt idx="49">
                  <c:v>41887</c:v>
                </c:pt>
                <c:pt idx="50">
                  <c:v>41890</c:v>
                </c:pt>
                <c:pt idx="51">
                  <c:v>41891</c:v>
                </c:pt>
                <c:pt idx="52">
                  <c:v>41892</c:v>
                </c:pt>
                <c:pt idx="53">
                  <c:v>41893</c:v>
                </c:pt>
                <c:pt idx="54">
                  <c:v>41894</c:v>
                </c:pt>
                <c:pt idx="55">
                  <c:v>41897</c:v>
                </c:pt>
                <c:pt idx="56">
                  <c:v>41898</c:v>
                </c:pt>
                <c:pt idx="57">
                  <c:v>41899</c:v>
                </c:pt>
                <c:pt idx="58">
                  <c:v>41900</c:v>
                </c:pt>
                <c:pt idx="59">
                  <c:v>41901</c:v>
                </c:pt>
                <c:pt idx="60">
                  <c:v>41904</c:v>
                </c:pt>
                <c:pt idx="61">
                  <c:v>41905</c:v>
                </c:pt>
                <c:pt idx="62">
                  <c:v>41906</c:v>
                </c:pt>
                <c:pt idx="63">
                  <c:v>41907</c:v>
                </c:pt>
                <c:pt idx="64">
                  <c:v>41908</c:v>
                </c:pt>
                <c:pt idx="65">
                  <c:v>41911</c:v>
                </c:pt>
                <c:pt idx="66">
                  <c:v>41912</c:v>
                </c:pt>
                <c:pt idx="67">
                  <c:v>41913</c:v>
                </c:pt>
                <c:pt idx="68">
                  <c:v>41914</c:v>
                </c:pt>
                <c:pt idx="69">
                  <c:v>41915</c:v>
                </c:pt>
                <c:pt idx="70">
                  <c:v>41918</c:v>
                </c:pt>
                <c:pt idx="71">
                  <c:v>41919</c:v>
                </c:pt>
                <c:pt idx="72">
                  <c:v>41920</c:v>
                </c:pt>
                <c:pt idx="73">
                  <c:v>41921</c:v>
                </c:pt>
                <c:pt idx="74">
                  <c:v>41922</c:v>
                </c:pt>
                <c:pt idx="75">
                  <c:v>41925</c:v>
                </c:pt>
                <c:pt idx="76">
                  <c:v>41926</c:v>
                </c:pt>
                <c:pt idx="77">
                  <c:v>41927</c:v>
                </c:pt>
                <c:pt idx="78">
                  <c:v>41928</c:v>
                </c:pt>
                <c:pt idx="79">
                  <c:v>41929</c:v>
                </c:pt>
                <c:pt idx="80">
                  <c:v>41932</c:v>
                </c:pt>
                <c:pt idx="81">
                  <c:v>41933</c:v>
                </c:pt>
                <c:pt idx="82">
                  <c:v>41934</c:v>
                </c:pt>
                <c:pt idx="83">
                  <c:v>41935</c:v>
                </c:pt>
                <c:pt idx="84">
                  <c:v>41936</c:v>
                </c:pt>
                <c:pt idx="85">
                  <c:v>41939</c:v>
                </c:pt>
                <c:pt idx="86">
                  <c:v>41940</c:v>
                </c:pt>
                <c:pt idx="87">
                  <c:v>41941</c:v>
                </c:pt>
                <c:pt idx="88">
                  <c:v>41942</c:v>
                </c:pt>
                <c:pt idx="89">
                  <c:v>41943</c:v>
                </c:pt>
                <c:pt idx="90">
                  <c:v>41946</c:v>
                </c:pt>
                <c:pt idx="91">
                  <c:v>41947</c:v>
                </c:pt>
                <c:pt idx="92">
                  <c:v>41948</c:v>
                </c:pt>
                <c:pt idx="93">
                  <c:v>41949</c:v>
                </c:pt>
                <c:pt idx="94">
                  <c:v>41950</c:v>
                </c:pt>
                <c:pt idx="95">
                  <c:v>41953</c:v>
                </c:pt>
                <c:pt idx="96">
                  <c:v>41954</c:v>
                </c:pt>
                <c:pt idx="97">
                  <c:v>41955</c:v>
                </c:pt>
                <c:pt idx="98">
                  <c:v>41956</c:v>
                </c:pt>
                <c:pt idx="99">
                  <c:v>41957</c:v>
                </c:pt>
                <c:pt idx="100">
                  <c:v>41960</c:v>
                </c:pt>
                <c:pt idx="101">
                  <c:v>41961</c:v>
                </c:pt>
                <c:pt idx="102">
                  <c:v>41962</c:v>
                </c:pt>
                <c:pt idx="103">
                  <c:v>41963</c:v>
                </c:pt>
                <c:pt idx="104">
                  <c:v>41964</c:v>
                </c:pt>
                <c:pt idx="105">
                  <c:v>41967</c:v>
                </c:pt>
                <c:pt idx="106">
                  <c:v>41968</c:v>
                </c:pt>
                <c:pt idx="107">
                  <c:v>41969</c:v>
                </c:pt>
                <c:pt idx="108">
                  <c:v>41970</c:v>
                </c:pt>
                <c:pt idx="109">
                  <c:v>41971</c:v>
                </c:pt>
                <c:pt idx="110">
                  <c:v>41974</c:v>
                </c:pt>
                <c:pt idx="111">
                  <c:v>41975</c:v>
                </c:pt>
                <c:pt idx="112">
                  <c:v>41976</c:v>
                </c:pt>
                <c:pt idx="113">
                  <c:v>41977</c:v>
                </c:pt>
                <c:pt idx="114">
                  <c:v>41978</c:v>
                </c:pt>
                <c:pt idx="115">
                  <c:v>41981</c:v>
                </c:pt>
                <c:pt idx="116">
                  <c:v>41982</c:v>
                </c:pt>
                <c:pt idx="117">
                  <c:v>41983</c:v>
                </c:pt>
                <c:pt idx="118">
                  <c:v>41984</c:v>
                </c:pt>
                <c:pt idx="119">
                  <c:v>41985</c:v>
                </c:pt>
                <c:pt idx="120">
                  <c:v>41988</c:v>
                </c:pt>
                <c:pt idx="121">
                  <c:v>41989</c:v>
                </c:pt>
                <c:pt idx="122">
                  <c:v>41990</c:v>
                </c:pt>
                <c:pt idx="123">
                  <c:v>41991</c:v>
                </c:pt>
                <c:pt idx="124">
                  <c:v>41992</c:v>
                </c:pt>
                <c:pt idx="125">
                  <c:v>41995</c:v>
                </c:pt>
                <c:pt idx="126">
                  <c:v>41996</c:v>
                </c:pt>
                <c:pt idx="127">
                  <c:v>41997</c:v>
                </c:pt>
                <c:pt idx="128">
                  <c:v>42002</c:v>
                </c:pt>
                <c:pt idx="129">
                  <c:v>42003</c:v>
                </c:pt>
                <c:pt idx="130">
                  <c:v>42004</c:v>
                </c:pt>
                <c:pt idx="131">
                  <c:v>42006</c:v>
                </c:pt>
                <c:pt idx="132">
                  <c:v>42009</c:v>
                </c:pt>
                <c:pt idx="133">
                  <c:v>42010</c:v>
                </c:pt>
                <c:pt idx="134">
                  <c:v>42011</c:v>
                </c:pt>
                <c:pt idx="135">
                  <c:v>42012</c:v>
                </c:pt>
                <c:pt idx="136">
                  <c:v>42013</c:v>
                </c:pt>
                <c:pt idx="137">
                  <c:v>42016</c:v>
                </c:pt>
                <c:pt idx="138">
                  <c:v>42017</c:v>
                </c:pt>
                <c:pt idx="139">
                  <c:v>42018</c:v>
                </c:pt>
                <c:pt idx="140">
                  <c:v>42019</c:v>
                </c:pt>
                <c:pt idx="141">
                  <c:v>42020</c:v>
                </c:pt>
                <c:pt idx="142">
                  <c:v>42023</c:v>
                </c:pt>
                <c:pt idx="143">
                  <c:v>42024</c:v>
                </c:pt>
                <c:pt idx="144">
                  <c:v>42025</c:v>
                </c:pt>
                <c:pt idx="145">
                  <c:v>42026</c:v>
                </c:pt>
                <c:pt idx="146">
                  <c:v>42027</c:v>
                </c:pt>
                <c:pt idx="147">
                  <c:v>42030</c:v>
                </c:pt>
                <c:pt idx="148">
                  <c:v>42031</c:v>
                </c:pt>
                <c:pt idx="149">
                  <c:v>42032</c:v>
                </c:pt>
                <c:pt idx="150">
                  <c:v>42033</c:v>
                </c:pt>
                <c:pt idx="151">
                  <c:v>42034</c:v>
                </c:pt>
                <c:pt idx="152">
                  <c:v>42037</c:v>
                </c:pt>
                <c:pt idx="153">
                  <c:v>42038</c:v>
                </c:pt>
                <c:pt idx="154">
                  <c:v>42039</c:v>
                </c:pt>
                <c:pt idx="155">
                  <c:v>42040</c:v>
                </c:pt>
                <c:pt idx="156">
                  <c:v>42041</c:v>
                </c:pt>
                <c:pt idx="157">
                  <c:v>42044</c:v>
                </c:pt>
                <c:pt idx="158">
                  <c:v>42045</c:v>
                </c:pt>
                <c:pt idx="159">
                  <c:v>42046</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42123</c:v>
                </c:pt>
                <c:pt idx="213">
                  <c:v>42124</c:v>
                </c:pt>
                <c:pt idx="214">
                  <c:v>42125</c:v>
                </c:pt>
                <c:pt idx="215">
                  <c:v>42129</c:v>
                </c:pt>
                <c:pt idx="216">
                  <c:v>42130</c:v>
                </c:pt>
                <c:pt idx="217">
                  <c:v>42131</c:v>
                </c:pt>
                <c:pt idx="218">
                  <c:v>42132</c:v>
                </c:pt>
                <c:pt idx="219">
                  <c:v>42135</c:v>
                </c:pt>
                <c:pt idx="220">
                  <c:v>42136</c:v>
                </c:pt>
                <c:pt idx="221">
                  <c:v>42137</c:v>
                </c:pt>
                <c:pt idx="222">
                  <c:v>42138</c:v>
                </c:pt>
                <c:pt idx="223">
                  <c:v>42139</c:v>
                </c:pt>
                <c:pt idx="224">
                  <c:v>42142</c:v>
                </c:pt>
                <c:pt idx="225">
                  <c:v>42143</c:v>
                </c:pt>
                <c:pt idx="226">
                  <c:v>42144</c:v>
                </c:pt>
                <c:pt idx="227">
                  <c:v>42145</c:v>
                </c:pt>
                <c:pt idx="228">
                  <c:v>42146</c:v>
                </c:pt>
                <c:pt idx="229">
                  <c:v>42150</c:v>
                </c:pt>
                <c:pt idx="230">
                  <c:v>42151</c:v>
                </c:pt>
                <c:pt idx="231">
                  <c:v>42152</c:v>
                </c:pt>
                <c:pt idx="232">
                  <c:v>42153</c:v>
                </c:pt>
                <c:pt idx="233">
                  <c:v>42156</c:v>
                </c:pt>
                <c:pt idx="234">
                  <c:v>42157</c:v>
                </c:pt>
                <c:pt idx="235">
                  <c:v>42158</c:v>
                </c:pt>
                <c:pt idx="236">
                  <c:v>42159</c:v>
                </c:pt>
                <c:pt idx="237">
                  <c:v>42160</c:v>
                </c:pt>
                <c:pt idx="238">
                  <c:v>42163</c:v>
                </c:pt>
                <c:pt idx="239">
                  <c:v>42164</c:v>
                </c:pt>
                <c:pt idx="240">
                  <c:v>42165</c:v>
                </c:pt>
                <c:pt idx="241">
                  <c:v>42166</c:v>
                </c:pt>
                <c:pt idx="242">
                  <c:v>42167</c:v>
                </c:pt>
                <c:pt idx="243">
                  <c:v>42170</c:v>
                </c:pt>
                <c:pt idx="244">
                  <c:v>42171</c:v>
                </c:pt>
                <c:pt idx="245">
                  <c:v>42172</c:v>
                </c:pt>
                <c:pt idx="246">
                  <c:v>42173</c:v>
                </c:pt>
                <c:pt idx="247">
                  <c:v>42174</c:v>
                </c:pt>
                <c:pt idx="248">
                  <c:v>42177</c:v>
                </c:pt>
                <c:pt idx="249">
                  <c:v>42178</c:v>
                </c:pt>
                <c:pt idx="250">
                  <c:v>42179</c:v>
                </c:pt>
                <c:pt idx="251">
                  <c:v>42180</c:v>
                </c:pt>
                <c:pt idx="252">
                  <c:v>42181</c:v>
                </c:pt>
                <c:pt idx="253">
                  <c:v>42184</c:v>
                </c:pt>
                <c:pt idx="254">
                  <c:v>42185</c:v>
                </c:pt>
                <c:pt idx="255">
                  <c:v>42186</c:v>
                </c:pt>
                <c:pt idx="256">
                  <c:v>42187</c:v>
                </c:pt>
                <c:pt idx="257">
                  <c:v>42188</c:v>
                </c:pt>
                <c:pt idx="258">
                  <c:v>42191</c:v>
                </c:pt>
                <c:pt idx="259">
                  <c:v>42192</c:v>
                </c:pt>
                <c:pt idx="260">
                  <c:v>42193</c:v>
                </c:pt>
                <c:pt idx="261">
                  <c:v>42194</c:v>
                </c:pt>
                <c:pt idx="262">
                  <c:v>42195</c:v>
                </c:pt>
                <c:pt idx="263">
                  <c:v>42198</c:v>
                </c:pt>
                <c:pt idx="264">
                  <c:v>42199</c:v>
                </c:pt>
                <c:pt idx="265">
                  <c:v>42200</c:v>
                </c:pt>
                <c:pt idx="266">
                  <c:v>42201</c:v>
                </c:pt>
                <c:pt idx="267">
                  <c:v>42202</c:v>
                </c:pt>
                <c:pt idx="268">
                  <c:v>42205</c:v>
                </c:pt>
                <c:pt idx="269">
                  <c:v>42206</c:v>
                </c:pt>
                <c:pt idx="270">
                  <c:v>42207</c:v>
                </c:pt>
                <c:pt idx="271">
                  <c:v>42208</c:v>
                </c:pt>
                <c:pt idx="272">
                  <c:v>42209</c:v>
                </c:pt>
                <c:pt idx="273">
                  <c:v>42212</c:v>
                </c:pt>
                <c:pt idx="274">
                  <c:v>42213</c:v>
                </c:pt>
                <c:pt idx="275">
                  <c:v>42214</c:v>
                </c:pt>
                <c:pt idx="276">
                  <c:v>42215</c:v>
                </c:pt>
                <c:pt idx="277">
                  <c:v>42216</c:v>
                </c:pt>
                <c:pt idx="278">
                  <c:v>42219</c:v>
                </c:pt>
                <c:pt idx="279">
                  <c:v>42220</c:v>
                </c:pt>
                <c:pt idx="280">
                  <c:v>42221</c:v>
                </c:pt>
                <c:pt idx="281">
                  <c:v>42222</c:v>
                </c:pt>
                <c:pt idx="282">
                  <c:v>42223</c:v>
                </c:pt>
                <c:pt idx="283">
                  <c:v>42226</c:v>
                </c:pt>
                <c:pt idx="284">
                  <c:v>42227</c:v>
                </c:pt>
                <c:pt idx="285">
                  <c:v>42228</c:v>
                </c:pt>
                <c:pt idx="286">
                  <c:v>42229</c:v>
                </c:pt>
                <c:pt idx="287">
                  <c:v>42230</c:v>
                </c:pt>
                <c:pt idx="288">
                  <c:v>42233</c:v>
                </c:pt>
                <c:pt idx="289">
                  <c:v>42234</c:v>
                </c:pt>
                <c:pt idx="290">
                  <c:v>42235</c:v>
                </c:pt>
                <c:pt idx="291">
                  <c:v>42236</c:v>
                </c:pt>
                <c:pt idx="292">
                  <c:v>42237</c:v>
                </c:pt>
                <c:pt idx="293">
                  <c:v>42240</c:v>
                </c:pt>
                <c:pt idx="294">
                  <c:v>42241</c:v>
                </c:pt>
                <c:pt idx="295">
                  <c:v>42242</c:v>
                </c:pt>
                <c:pt idx="296">
                  <c:v>42243</c:v>
                </c:pt>
                <c:pt idx="297">
                  <c:v>42244</c:v>
                </c:pt>
                <c:pt idx="298">
                  <c:v>42248</c:v>
                </c:pt>
                <c:pt idx="299">
                  <c:v>42249</c:v>
                </c:pt>
                <c:pt idx="300">
                  <c:v>42250</c:v>
                </c:pt>
                <c:pt idx="301">
                  <c:v>42251</c:v>
                </c:pt>
                <c:pt idx="302">
                  <c:v>42254</c:v>
                </c:pt>
                <c:pt idx="303">
                  <c:v>42255</c:v>
                </c:pt>
                <c:pt idx="304">
                  <c:v>42256</c:v>
                </c:pt>
                <c:pt idx="305">
                  <c:v>42257</c:v>
                </c:pt>
                <c:pt idx="306">
                  <c:v>42258</c:v>
                </c:pt>
                <c:pt idx="307">
                  <c:v>42261</c:v>
                </c:pt>
                <c:pt idx="308">
                  <c:v>42262</c:v>
                </c:pt>
                <c:pt idx="309">
                  <c:v>42263</c:v>
                </c:pt>
                <c:pt idx="310">
                  <c:v>42264</c:v>
                </c:pt>
                <c:pt idx="311">
                  <c:v>42265</c:v>
                </c:pt>
                <c:pt idx="312">
                  <c:v>42268</c:v>
                </c:pt>
                <c:pt idx="313">
                  <c:v>42269</c:v>
                </c:pt>
                <c:pt idx="314">
                  <c:v>42270</c:v>
                </c:pt>
                <c:pt idx="315">
                  <c:v>42271</c:v>
                </c:pt>
                <c:pt idx="316">
                  <c:v>42272</c:v>
                </c:pt>
                <c:pt idx="317">
                  <c:v>42275</c:v>
                </c:pt>
                <c:pt idx="318">
                  <c:v>42276</c:v>
                </c:pt>
                <c:pt idx="319">
                  <c:v>42277</c:v>
                </c:pt>
                <c:pt idx="320">
                  <c:v>42278</c:v>
                </c:pt>
                <c:pt idx="321">
                  <c:v>42279</c:v>
                </c:pt>
                <c:pt idx="322">
                  <c:v>42282</c:v>
                </c:pt>
                <c:pt idx="323">
                  <c:v>42283</c:v>
                </c:pt>
                <c:pt idx="324">
                  <c:v>42284</c:v>
                </c:pt>
                <c:pt idx="325">
                  <c:v>42285</c:v>
                </c:pt>
                <c:pt idx="326">
                  <c:v>42286</c:v>
                </c:pt>
                <c:pt idx="327">
                  <c:v>42289</c:v>
                </c:pt>
                <c:pt idx="328">
                  <c:v>42290</c:v>
                </c:pt>
                <c:pt idx="329">
                  <c:v>42291</c:v>
                </c:pt>
                <c:pt idx="330">
                  <c:v>42292</c:v>
                </c:pt>
                <c:pt idx="331">
                  <c:v>42293</c:v>
                </c:pt>
                <c:pt idx="332">
                  <c:v>42296</c:v>
                </c:pt>
                <c:pt idx="333">
                  <c:v>42297</c:v>
                </c:pt>
                <c:pt idx="334">
                  <c:v>42298</c:v>
                </c:pt>
                <c:pt idx="335">
                  <c:v>42299</c:v>
                </c:pt>
                <c:pt idx="336">
                  <c:v>42300</c:v>
                </c:pt>
                <c:pt idx="337">
                  <c:v>42303</c:v>
                </c:pt>
                <c:pt idx="338">
                  <c:v>42304</c:v>
                </c:pt>
                <c:pt idx="339">
                  <c:v>42305</c:v>
                </c:pt>
                <c:pt idx="340">
                  <c:v>42306</c:v>
                </c:pt>
                <c:pt idx="341">
                  <c:v>42307</c:v>
                </c:pt>
                <c:pt idx="342">
                  <c:v>42310</c:v>
                </c:pt>
                <c:pt idx="343">
                  <c:v>42311</c:v>
                </c:pt>
                <c:pt idx="344">
                  <c:v>42312</c:v>
                </c:pt>
                <c:pt idx="345">
                  <c:v>42313</c:v>
                </c:pt>
                <c:pt idx="346">
                  <c:v>42314</c:v>
                </c:pt>
                <c:pt idx="347">
                  <c:v>42317</c:v>
                </c:pt>
                <c:pt idx="348">
                  <c:v>42318</c:v>
                </c:pt>
                <c:pt idx="349">
                  <c:v>42319</c:v>
                </c:pt>
                <c:pt idx="350">
                  <c:v>42320</c:v>
                </c:pt>
                <c:pt idx="351">
                  <c:v>42321</c:v>
                </c:pt>
                <c:pt idx="352">
                  <c:v>42324</c:v>
                </c:pt>
                <c:pt idx="353">
                  <c:v>42325</c:v>
                </c:pt>
                <c:pt idx="354">
                  <c:v>42326</c:v>
                </c:pt>
                <c:pt idx="355">
                  <c:v>42327</c:v>
                </c:pt>
                <c:pt idx="356">
                  <c:v>42328</c:v>
                </c:pt>
                <c:pt idx="357">
                  <c:v>42331</c:v>
                </c:pt>
                <c:pt idx="358">
                  <c:v>42332</c:v>
                </c:pt>
                <c:pt idx="359">
                  <c:v>42333</c:v>
                </c:pt>
                <c:pt idx="360">
                  <c:v>42334</c:v>
                </c:pt>
                <c:pt idx="361">
                  <c:v>42335</c:v>
                </c:pt>
                <c:pt idx="362">
                  <c:v>42338</c:v>
                </c:pt>
                <c:pt idx="363">
                  <c:v>42339</c:v>
                </c:pt>
                <c:pt idx="364">
                  <c:v>42340</c:v>
                </c:pt>
                <c:pt idx="365">
                  <c:v>42341</c:v>
                </c:pt>
                <c:pt idx="366">
                  <c:v>42342</c:v>
                </c:pt>
                <c:pt idx="367">
                  <c:v>42345</c:v>
                </c:pt>
                <c:pt idx="368">
                  <c:v>42346</c:v>
                </c:pt>
                <c:pt idx="369">
                  <c:v>42347</c:v>
                </c:pt>
                <c:pt idx="370">
                  <c:v>42348</c:v>
                </c:pt>
                <c:pt idx="371">
                  <c:v>42349</c:v>
                </c:pt>
                <c:pt idx="372">
                  <c:v>42352</c:v>
                </c:pt>
                <c:pt idx="373">
                  <c:v>42353</c:v>
                </c:pt>
                <c:pt idx="374">
                  <c:v>42354</c:v>
                </c:pt>
                <c:pt idx="375">
                  <c:v>42355</c:v>
                </c:pt>
                <c:pt idx="376">
                  <c:v>42356</c:v>
                </c:pt>
                <c:pt idx="377">
                  <c:v>42359</c:v>
                </c:pt>
                <c:pt idx="378">
                  <c:v>42360</c:v>
                </c:pt>
                <c:pt idx="379">
                  <c:v>42361</c:v>
                </c:pt>
                <c:pt idx="380">
                  <c:v>42362</c:v>
                </c:pt>
                <c:pt idx="381">
                  <c:v>42367</c:v>
                </c:pt>
                <c:pt idx="382">
                  <c:v>42368</c:v>
                </c:pt>
                <c:pt idx="383">
                  <c:v>42369</c:v>
                </c:pt>
                <c:pt idx="384">
                  <c:v>42373</c:v>
                </c:pt>
                <c:pt idx="385">
                  <c:v>42374</c:v>
                </c:pt>
                <c:pt idx="386">
                  <c:v>42375</c:v>
                </c:pt>
                <c:pt idx="387">
                  <c:v>42376</c:v>
                </c:pt>
                <c:pt idx="388">
                  <c:v>42377</c:v>
                </c:pt>
                <c:pt idx="389">
                  <c:v>42380</c:v>
                </c:pt>
                <c:pt idx="390">
                  <c:v>42381</c:v>
                </c:pt>
                <c:pt idx="391">
                  <c:v>42382</c:v>
                </c:pt>
                <c:pt idx="392">
                  <c:v>42383</c:v>
                </c:pt>
                <c:pt idx="393">
                  <c:v>42384</c:v>
                </c:pt>
                <c:pt idx="394">
                  <c:v>42387</c:v>
                </c:pt>
                <c:pt idx="395">
                  <c:v>42388</c:v>
                </c:pt>
                <c:pt idx="396">
                  <c:v>42389</c:v>
                </c:pt>
                <c:pt idx="397">
                  <c:v>42390</c:v>
                </c:pt>
                <c:pt idx="398">
                  <c:v>42391</c:v>
                </c:pt>
                <c:pt idx="399">
                  <c:v>42394</c:v>
                </c:pt>
                <c:pt idx="400">
                  <c:v>42395</c:v>
                </c:pt>
                <c:pt idx="401">
                  <c:v>42396</c:v>
                </c:pt>
                <c:pt idx="402">
                  <c:v>42397</c:v>
                </c:pt>
                <c:pt idx="403">
                  <c:v>42398</c:v>
                </c:pt>
                <c:pt idx="404">
                  <c:v>42401</c:v>
                </c:pt>
                <c:pt idx="405">
                  <c:v>42402</c:v>
                </c:pt>
                <c:pt idx="406">
                  <c:v>42403</c:v>
                </c:pt>
                <c:pt idx="407">
                  <c:v>42404</c:v>
                </c:pt>
                <c:pt idx="408">
                  <c:v>42405</c:v>
                </c:pt>
                <c:pt idx="409">
                  <c:v>42408</c:v>
                </c:pt>
                <c:pt idx="410">
                  <c:v>42409</c:v>
                </c:pt>
                <c:pt idx="411">
                  <c:v>42410</c:v>
                </c:pt>
                <c:pt idx="412">
                  <c:v>42411</c:v>
                </c:pt>
                <c:pt idx="413">
                  <c:v>42412</c:v>
                </c:pt>
                <c:pt idx="414">
                  <c:v>42415</c:v>
                </c:pt>
                <c:pt idx="415">
                  <c:v>42416</c:v>
                </c:pt>
                <c:pt idx="416">
                  <c:v>42417</c:v>
                </c:pt>
                <c:pt idx="417">
                  <c:v>42418</c:v>
                </c:pt>
                <c:pt idx="418">
                  <c:v>42419</c:v>
                </c:pt>
                <c:pt idx="419">
                  <c:v>42422</c:v>
                </c:pt>
                <c:pt idx="420">
                  <c:v>42423</c:v>
                </c:pt>
                <c:pt idx="421">
                  <c:v>42424</c:v>
                </c:pt>
                <c:pt idx="422">
                  <c:v>42425</c:v>
                </c:pt>
                <c:pt idx="423">
                  <c:v>42426</c:v>
                </c:pt>
                <c:pt idx="424">
                  <c:v>42429</c:v>
                </c:pt>
                <c:pt idx="425">
                  <c:v>42430</c:v>
                </c:pt>
                <c:pt idx="426">
                  <c:v>42431</c:v>
                </c:pt>
                <c:pt idx="427">
                  <c:v>42432</c:v>
                </c:pt>
                <c:pt idx="428">
                  <c:v>42433</c:v>
                </c:pt>
                <c:pt idx="429">
                  <c:v>42436</c:v>
                </c:pt>
                <c:pt idx="430">
                  <c:v>42437</c:v>
                </c:pt>
                <c:pt idx="431">
                  <c:v>42438</c:v>
                </c:pt>
                <c:pt idx="432">
                  <c:v>42439</c:v>
                </c:pt>
                <c:pt idx="433">
                  <c:v>42440</c:v>
                </c:pt>
                <c:pt idx="434">
                  <c:v>42443</c:v>
                </c:pt>
                <c:pt idx="435">
                  <c:v>42444</c:v>
                </c:pt>
                <c:pt idx="436">
                  <c:v>42445</c:v>
                </c:pt>
                <c:pt idx="437">
                  <c:v>42446</c:v>
                </c:pt>
                <c:pt idx="438">
                  <c:v>42447</c:v>
                </c:pt>
                <c:pt idx="439">
                  <c:v>42450</c:v>
                </c:pt>
                <c:pt idx="440">
                  <c:v>42451</c:v>
                </c:pt>
                <c:pt idx="441">
                  <c:v>42452</c:v>
                </c:pt>
                <c:pt idx="442">
                  <c:v>42453</c:v>
                </c:pt>
                <c:pt idx="443">
                  <c:v>42458</c:v>
                </c:pt>
                <c:pt idx="444">
                  <c:v>42459</c:v>
                </c:pt>
                <c:pt idx="445">
                  <c:v>42460</c:v>
                </c:pt>
                <c:pt idx="446">
                  <c:v>42461</c:v>
                </c:pt>
                <c:pt idx="447">
                  <c:v>42464</c:v>
                </c:pt>
                <c:pt idx="448">
                  <c:v>42465</c:v>
                </c:pt>
                <c:pt idx="449">
                  <c:v>42466</c:v>
                </c:pt>
                <c:pt idx="450">
                  <c:v>42467</c:v>
                </c:pt>
                <c:pt idx="451">
                  <c:v>42468</c:v>
                </c:pt>
                <c:pt idx="452">
                  <c:v>42471</c:v>
                </c:pt>
                <c:pt idx="453">
                  <c:v>42472</c:v>
                </c:pt>
                <c:pt idx="454">
                  <c:v>42473</c:v>
                </c:pt>
                <c:pt idx="455">
                  <c:v>42474</c:v>
                </c:pt>
                <c:pt idx="456">
                  <c:v>42475</c:v>
                </c:pt>
                <c:pt idx="457">
                  <c:v>42478</c:v>
                </c:pt>
                <c:pt idx="458">
                  <c:v>42479</c:v>
                </c:pt>
                <c:pt idx="459">
                  <c:v>42480</c:v>
                </c:pt>
                <c:pt idx="460">
                  <c:v>42481</c:v>
                </c:pt>
                <c:pt idx="461">
                  <c:v>42482</c:v>
                </c:pt>
                <c:pt idx="462">
                  <c:v>42485</c:v>
                </c:pt>
                <c:pt idx="463">
                  <c:v>42486</c:v>
                </c:pt>
                <c:pt idx="464">
                  <c:v>42487</c:v>
                </c:pt>
                <c:pt idx="465">
                  <c:v>42488</c:v>
                </c:pt>
                <c:pt idx="466">
                  <c:v>42489</c:v>
                </c:pt>
                <c:pt idx="467">
                  <c:v>42493</c:v>
                </c:pt>
                <c:pt idx="468">
                  <c:v>42494</c:v>
                </c:pt>
                <c:pt idx="469">
                  <c:v>42495</c:v>
                </c:pt>
                <c:pt idx="470">
                  <c:v>42496</c:v>
                </c:pt>
                <c:pt idx="471">
                  <c:v>42499</c:v>
                </c:pt>
                <c:pt idx="472">
                  <c:v>42500</c:v>
                </c:pt>
                <c:pt idx="473">
                  <c:v>42501</c:v>
                </c:pt>
                <c:pt idx="474">
                  <c:v>42502</c:v>
                </c:pt>
                <c:pt idx="475">
                  <c:v>42503</c:v>
                </c:pt>
                <c:pt idx="476">
                  <c:v>42506</c:v>
                </c:pt>
                <c:pt idx="477">
                  <c:v>42507</c:v>
                </c:pt>
                <c:pt idx="478">
                  <c:v>42508</c:v>
                </c:pt>
                <c:pt idx="479">
                  <c:v>42509</c:v>
                </c:pt>
                <c:pt idx="480">
                  <c:v>42510</c:v>
                </c:pt>
                <c:pt idx="481">
                  <c:v>42513</c:v>
                </c:pt>
                <c:pt idx="482">
                  <c:v>42514</c:v>
                </c:pt>
                <c:pt idx="483">
                  <c:v>42515</c:v>
                </c:pt>
                <c:pt idx="484">
                  <c:v>42516</c:v>
                </c:pt>
                <c:pt idx="485">
                  <c:v>42517</c:v>
                </c:pt>
                <c:pt idx="486">
                  <c:v>42521</c:v>
                </c:pt>
                <c:pt idx="487">
                  <c:v>42522</c:v>
                </c:pt>
                <c:pt idx="488">
                  <c:v>42523</c:v>
                </c:pt>
                <c:pt idx="489">
                  <c:v>42524</c:v>
                </c:pt>
                <c:pt idx="490">
                  <c:v>42527</c:v>
                </c:pt>
                <c:pt idx="491">
                  <c:v>42528</c:v>
                </c:pt>
                <c:pt idx="492">
                  <c:v>42529</c:v>
                </c:pt>
                <c:pt idx="493">
                  <c:v>42530</c:v>
                </c:pt>
                <c:pt idx="494">
                  <c:v>42531</c:v>
                </c:pt>
                <c:pt idx="495">
                  <c:v>42534</c:v>
                </c:pt>
                <c:pt idx="496">
                  <c:v>42535</c:v>
                </c:pt>
                <c:pt idx="497">
                  <c:v>42536</c:v>
                </c:pt>
                <c:pt idx="498">
                  <c:v>42537</c:v>
                </c:pt>
                <c:pt idx="499">
                  <c:v>42538</c:v>
                </c:pt>
                <c:pt idx="500">
                  <c:v>42541</c:v>
                </c:pt>
                <c:pt idx="501">
                  <c:v>42542</c:v>
                </c:pt>
                <c:pt idx="502">
                  <c:v>42543</c:v>
                </c:pt>
                <c:pt idx="503">
                  <c:v>42544</c:v>
                </c:pt>
                <c:pt idx="504">
                  <c:v>42545</c:v>
                </c:pt>
                <c:pt idx="505">
                  <c:v>42548</c:v>
                </c:pt>
                <c:pt idx="506">
                  <c:v>42549</c:v>
                </c:pt>
                <c:pt idx="507">
                  <c:v>42550</c:v>
                </c:pt>
                <c:pt idx="508">
                  <c:v>42551</c:v>
                </c:pt>
                <c:pt idx="509">
                  <c:v>42552</c:v>
                </c:pt>
                <c:pt idx="510">
                  <c:v>42555</c:v>
                </c:pt>
                <c:pt idx="511">
                  <c:v>42556</c:v>
                </c:pt>
                <c:pt idx="512">
                  <c:v>42557</c:v>
                </c:pt>
                <c:pt idx="513">
                  <c:v>42558</c:v>
                </c:pt>
                <c:pt idx="514">
                  <c:v>42559</c:v>
                </c:pt>
                <c:pt idx="515">
                  <c:v>42562</c:v>
                </c:pt>
                <c:pt idx="516">
                  <c:v>42563</c:v>
                </c:pt>
                <c:pt idx="517">
                  <c:v>42564</c:v>
                </c:pt>
                <c:pt idx="518">
                  <c:v>42571</c:v>
                </c:pt>
                <c:pt idx="519">
                  <c:v>42578</c:v>
                </c:pt>
                <c:pt idx="520">
                  <c:v>42585</c:v>
                </c:pt>
                <c:pt idx="521">
                  <c:v>42592</c:v>
                </c:pt>
                <c:pt idx="522">
                  <c:v>42599</c:v>
                </c:pt>
                <c:pt idx="523">
                  <c:v>42606</c:v>
                </c:pt>
                <c:pt idx="524">
                  <c:v>42613</c:v>
                </c:pt>
                <c:pt idx="525">
                  <c:v>42620</c:v>
                </c:pt>
                <c:pt idx="526">
                  <c:v>42627</c:v>
                </c:pt>
                <c:pt idx="527">
                  <c:v>42634</c:v>
                </c:pt>
                <c:pt idx="528">
                  <c:v>42641</c:v>
                </c:pt>
                <c:pt idx="529">
                  <c:v>42648</c:v>
                </c:pt>
                <c:pt idx="530">
                  <c:v>42655</c:v>
                </c:pt>
                <c:pt idx="531">
                  <c:v>42662</c:v>
                </c:pt>
                <c:pt idx="532">
                  <c:v>42669</c:v>
                </c:pt>
                <c:pt idx="533">
                  <c:v>42676</c:v>
                </c:pt>
                <c:pt idx="534">
                  <c:v>42683</c:v>
                </c:pt>
                <c:pt idx="535">
                  <c:v>42690</c:v>
                </c:pt>
                <c:pt idx="536">
                  <c:v>42697</c:v>
                </c:pt>
                <c:pt idx="537">
                  <c:v>42704</c:v>
                </c:pt>
                <c:pt idx="538">
                  <c:v>42711</c:v>
                </c:pt>
                <c:pt idx="539">
                  <c:v>42718</c:v>
                </c:pt>
                <c:pt idx="540">
                  <c:v>42725</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43215</c:v>
                </c:pt>
                <c:pt idx="611">
                  <c:v>43222</c:v>
                </c:pt>
                <c:pt idx="612">
                  <c:v>43229</c:v>
                </c:pt>
                <c:pt idx="613">
                  <c:v>43236</c:v>
                </c:pt>
                <c:pt idx="614">
                  <c:v>43243</c:v>
                </c:pt>
                <c:pt idx="615">
                  <c:v>43250</c:v>
                </c:pt>
                <c:pt idx="616">
                  <c:v>43257</c:v>
                </c:pt>
                <c:pt idx="617">
                  <c:v>43264</c:v>
                </c:pt>
                <c:pt idx="618">
                  <c:v>43271</c:v>
                </c:pt>
                <c:pt idx="619">
                  <c:v>43278</c:v>
                </c:pt>
                <c:pt idx="620">
                  <c:v>43285</c:v>
                </c:pt>
                <c:pt idx="621">
                  <c:v>43292</c:v>
                </c:pt>
                <c:pt idx="622">
                  <c:v>43299</c:v>
                </c:pt>
                <c:pt idx="623">
                  <c:v>43306</c:v>
                </c:pt>
                <c:pt idx="624">
                  <c:v>43313</c:v>
                </c:pt>
                <c:pt idx="625">
                  <c:v>43320</c:v>
                </c:pt>
                <c:pt idx="626">
                  <c:v>43327</c:v>
                </c:pt>
                <c:pt idx="627">
                  <c:v>43334</c:v>
                </c:pt>
                <c:pt idx="628">
                  <c:v>43341</c:v>
                </c:pt>
                <c:pt idx="629">
                  <c:v>43348</c:v>
                </c:pt>
                <c:pt idx="630">
                  <c:v>43355</c:v>
                </c:pt>
                <c:pt idx="631">
                  <c:v>43362</c:v>
                </c:pt>
                <c:pt idx="632">
                  <c:v>43369</c:v>
                </c:pt>
                <c:pt idx="633">
                  <c:v>43376</c:v>
                </c:pt>
                <c:pt idx="634">
                  <c:v>43383</c:v>
                </c:pt>
                <c:pt idx="635">
                  <c:v>43390</c:v>
                </c:pt>
                <c:pt idx="636">
                  <c:v>43397</c:v>
                </c:pt>
                <c:pt idx="637">
                  <c:v>43404</c:v>
                </c:pt>
                <c:pt idx="638">
                  <c:v>43411</c:v>
                </c:pt>
                <c:pt idx="639">
                  <c:v>43418</c:v>
                </c:pt>
                <c:pt idx="640">
                  <c:v>43425</c:v>
                </c:pt>
                <c:pt idx="641">
                  <c:v>43432</c:v>
                </c:pt>
                <c:pt idx="642">
                  <c:v>43439</c:v>
                </c:pt>
                <c:pt idx="643">
                  <c:v>43446</c:v>
                </c:pt>
                <c:pt idx="644">
                  <c:v>43453</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Monitor!$AA$19:$AA$3552</c:f>
              <c:numCache>
                <c:formatCode>0.0000%</c:formatCode>
                <c:ptCount val="3534"/>
                <c:pt idx="0">
                  <c:v>4.8853959951751982E-3</c:v>
                </c:pt>
                <c:pt idx="1">
                  <c:v>4.8864680443638786E-3</c:v>
                </c:pt>
                <c:pt idx="2">
                  <c:v>4.8874429902745486E-3</c:v>
                </c:pt>
                <c:pt idx="3">
                  <c:v>4.8886616728249788E-3</c:v>
                </c:pt>
                <c:pt idx="4">
                  <c:v>4.8901240917720301E-3</c:v>
                </c:pt>
                <c:pt idx="5">
                  <c:v>4.89392700122752E-3</c:v>
                </c:pt>
                <c:pt idx="6">
                  <c:v>4.8984111329042346E-3</c:v>
                </c:pt>
                <c:pt idx="7">
                  <c:v>4.9010922344827623E-3</c:v>
                </c:pt>
                <c:pt idx="8">
                  <c:v>4.9040170726200039E-3</c:v>
                </c:pt>
                <c:pt idx="9">
                  <c:v>4.9071856472349129E-3</c:v>
                </c:pt>
                <c:pt idx="10">
                  <c:v>4.914401418195288E-3</c:v>
                </c:pt>
                <c:pt idx="11">
                  <c:v>4.9222973112006407E-3</c:v>
                </c:pt>
                <c:pt idx="12">
                  <c:v>4.926684568690165E-3</c:v>
                </c:pt>
                <c:pt idx="13">
                  <c:v>4.9313155626573568E-3</c:v>
                </c:pt>
                <c:pt idx="14">
                  <c:v>4.9361902932643087E-3</c:v>
                </c:pt>
                <c:pt idx="15">
                  <c:v>4.9468192521029417E-3</c:v>
                </c:pt>
                <c:pt idx="16">
                  <c:v>4.9581265816844855E-3</c:v>
                </c:pt>
                <c:pt idx="17">
                  <c:v>4.9642199954091915E-3</c:v>
                </c:pt>
                <c:pt idx="18">
                  <c:v>4.9705571456926112E-3</c:v>
                </c:pt>
                <c:pt idx="19">
                  <c:v>4.9771380326968373E-3</c:v>
                </c:pt>
                <c:pt idx="20">
                  <c:v>4.9911805125139415E-3</c:v>
                </c:pt>
                <c:pt idx="21">
                  <c:v>5.0058412060127733E-3</c:v>
                </c:pt>
                <c:pt idx="22">
                  <c:v>5.0132943263825336E-3</c:v>
                </c:pt>
                <c:pt idx="23">
                  <c:v>5.0206447331535564E-3</c:v>
                </c:pt>
                <c:pt idx="24">
                  <c:v>5.027892426406888E-3</c:v>
                </c:pt>
                <c:pt idx="25">
                  <c:v>5.0421150848304714E-3</c:v>
                </c:pt>
                <c:pt idx="26">
                  <c:v>5.0558560643243489E-3</c:v>
                </c:pt>
                <c:pt idx="27">
                  <c:v>5.0625901899892245E-3</c:v>
                </c:pt>
                <c:pt idx="28">
                  <c:v>5.0692216019743164E-3</c:v>
                </c:pt>
                <c:pt idx="29">
                  <c:v>5.0757503005227633E-3</c:v>
                </c:pt>
                <c:pt idx="30">
                  <c:v>5.0885362576321338E-3</c:v>
                </c:pt>
                <c:pt idx="31">
                  <c:v>5.1008379588912689E-3</c:v>
                </c:pt>
                <c:pt idx="32">
                  <c:v>5.106853089608121E-3</c:v>
                </c:pt>
                <c:pt idx="33">
                  <c:v>5.1127655066451894E-3</c:v>
                </c:pt>
                <c:pt idx="34">
                  <c:v>5.1185752100835202E-3</c:v>
                </c:pt>
                <c:pt idx="35">
                  <c:v>5.1299243356102888E-3</c:v>
                </c:pt>
                <c:pt idx="36">
                  <c:v>5.1407868878494689E-3</c:v>
                </c:pt>
                <c:pt idx="37">
                  <c:v>5.1460830232941124E-3</c:v>
                </c:pt>
                <c:pt idx="38">
                  <c:v>5.1512764451400184E-3</c:v>
                </c:pt>
                <c:pt idx="39">
                  <c:v>5.1563671533061406E-3</c:v>
                </c:pt>
                <c:pt idx="40">
                  <c:v>5.1686901410399888E-3</c:v>
                </c:pt>
                <c:pt idx="41">
                  <c:v>5.1802799896694118E-3</c:v>
                </c:pt>
                <c:pt idx="42">
                  <c:v>5.1847717165443008E-3</c:v>
                </c:pt>
                <c:pt idx="43">
                  <c:v>5.1892472330283823E-3</c:v>
                </c:pt>
                <c:pt idx="44">
                  <c:v>5.1982759308914312E-3</c:v>
                </c:pt>
                <c:pt idx="45">
                  <c:v>5.2071601998515682E-3</c:v>
                </c:pt>
                <c:pt idx="46">
                  <c:v>5.2116411668601259E-3</c:v>
                </c:pt>
                <c:pt idx="47">
                  <c:v>5.2161232239411603E-3</c:v>
                </c:pt>
                <c:pt idx="48">
                  <c:v>5.2206063710946715E-3</c:v>
                </c:pt>
                <c:pt idx="49">
                  <c:v>5.2296512268575537E-3</c:v>
                </c:pt>
                <c:pt idx="50">
                  <c:v>5.2385498610008074E-3</c:v>
                </c:pt>
                <c:pt idx="51">
                  <c:v>5.2430384587598411E-3</c:v>
                </c:pt>
                <c:pt idx="52">
                  <c:v>5.2475281465103052E-3</c:v>
                </c:pt>
                <c:pt idx="53">
                  <c:v>5.2520189244953386E-3</c:v>
                </c:pt>
                <c:pt idx="54">
                  <c:v>5.2610799450469878E-3</c:v>
                </c:pt>
                <c:pt idx="55">
                  <c:v>5.2699929374033783E-3</c:v>
                </c:pt>
                <c:pt idx="56">
                  <c:v>5.2744891658318416E-3</c:v>
                </c:pt>
                <c:pt idx="57">
                  <c:v>5.2789864844948742E-3</c:v>
                </c:pt>
                <c:pt idx="58">
                  <c:v>5.2834848932303835E-3</c:v>
                </c:pt>
                <c:pt idx="59">
                  <c:v>5.2925620854867485E-3</c:v>
                </c:pt>
                <c:pt idx="60">
                  <c:v>5.3014894291403269E-3</c:v>
                </c:pt>
                <c:pt idx="61">
                  <c:v>5.3059932883192662E-3</c:v>
                </c:pt>
                <c:pt idx="62">
                  <c:v>5.3104982377327747E-3</c:v>
                </c:pt>
                <c:pt idx="63">
                  <c:v>5.31500427721876E-3</c:v>
                </c:pt>
                <c:pt idx="64">
                  <c:v>5.324097648257883E-3</c:v>
                </c:pt>
                <c:pt idx="65">
                  <c:v>5.3332101892278327E-3</c:v>
                </c:pt>
                <c:pt idx="66">
                  <c:v>5.3387467978216474E-3</c:v>
                </c:pt>
                <c:pt idx="67">
                  <c:v>5.3453096149902457E-3</c:v>
                </c:pt>
                <c:pt idx="68">
                  <c:v>5.3528986409767665E-3</c:v>
                </c:pt>
                <c:pt idx="69">
                  <c:v>5.3715764386071587E-3</c:v>
                </c:pt>
                <c:pt idx="70">
                  <c:v>5.3935168335883521E-3</c:v>
                </c:pt>
                <c:pt idx="71">
                  <c:v>5.4062369043939018E-3</c:v>
                </c:pt>
                <c:pt idx="72">
                  <c:v>5.4199831844226054E-3</c:v>
                </c:pt>
                <c:pt idx="73">
                  <c:v>5.4347556738365554E-3</c:v>
                </c:pt>
                <c:pt idx="74">
                  <c:v>5.4678032580398241E-3</c:v>
                </c:pt>
                <c:pt idx="75">
                  <c:v>5.5041077276141159E-3</c:v>
                </c:pt>
                <c:pt idx="76">
                  <c:v>5.5240112658994089E-3</c:v>
                </c:pt>
                <c:pt idx="77">
                  <c:v>5.5449410144614575E-3</c:v>
                </c:pt>
                <c:pt idx="78">
                  <c:v>5.5668969733813078E-3</c:v>
                </c:pt>
                <c:pt idx="79">
                  <c:v>5.6143159484415657E-3</c:v>
                </c:pt>
                <c:pt idx="80">
                  <c:v>5.6649829170962729E-3</c:v>
                </c:pt>
                <c:pt idx="81">
                  <c:v>5.6920699310469836E-3</c:v>
                </c:pt>
                <c:pt idx="82">
                  <c:v>5.7201831567332828E-3</c:v>
                </c:pt>
                <c:pt idx="83">
                  <c:v>5.7493225942362169E-3</c:v>
                </c:pt>
                <c:pt idx="84">
                  <c:v>5.8111146915181457E-3</c:v>
                </c:pt>
                <c:pt idx="85">
                  <c:v>5.8758283481019635E-3</c:v>
                </c:pt>
                <c:pt idx="86">
                  <c:v>5.9082141266386667E-3</c:v>
                </c:pt>
                <c:pt idx="87">
                  <c:v>5.9397413958628409E-3</c:v>
                </c:pt>
                <c:pt idx="88">
                  <c:v>5.9704101555313471E-3</c:v>
                </c:pt>
                <c:pt idx="89">
                  <c:v>6.0289855571582516E-3</c:v>
                </c:pt>
                <c:pt idx="90">
                  <c:v>6.0845000943532401E-3</c:v>
                </c:pt>
                <c:pt idx="91">
                  <c:v>6.1108763030826019E-3</c:v>
                </c:pt>
                <c:pt idx="92">
                  <c:v>6.1363940012026941E-3</c:v>
                </c:pt>
                <c:pt idx="93">
                  <c:v>6.161053188227239E-3</c:v>
                </c:pt>
                <c:pt idx="94">
                  <c:v>6.207615428807471E-3</c:v>
                </c:pt>
                <c:pt idx="95">
                  <c:v>6.2511048235869282E-3</c:v>
                </c:pt>
                <c:pt idx="96">
                  <c:v>6.2714714535128113E-3</c:v>
                </c:pt>
                <c:pt idx="97">
                  <c:v>6.2909795714516381E-3</c:v>
                </c:pt>
                <c:pt idx="98">
                  <c:v>6.3096291774034086E-3</c:v>
                </c:pt>
                <c:pt idx="99">
                  <c:v>6.3441769484717811E-3</c:v>
                </c:pt>
                <c:pt idx="100">
                  <c:v>6.3756424782601684E-3</c:v>
                </c:pt>
                <c:pt idx="101">
                  <c:v>6.3899995221694539E-3</c:v>
                </c:pt>
                <c:pt idx="102">
                  <c:v>6.4034980533622665E-3</c:v>
                </c:pt>
                <c:pt idx="103">
                  <c:v>6.41613807175756E-3</c:v>
                </c:pt>
                <c:pt idx="104">
                  <c:v>6.4386699745092963E-3</c:v>
                </c:pt>
                <c:pt idx="105">
                  <c:v>6.458113015175293E-3</c:v>
                </c:pt>
                <c:pt idx="106">
                  <c:v>6.466460468205204E-3</c:v>
                </c:pt>
                <c:pt idx="107">
                  <c:v>6.4739494079513182E-3</c:v>
                </c:pt>
                <c:pt idx="108">
                  <c:v>6.4809042288793695E-3</c:v>
                </c:pt>
                <c:pt idx="109">
                  <c:v>6.4979069362055188E-3</c:v>
                </c:pt>
                <c:pt idx="110">
                  <c:v>6.5183044723471362E-3</c:v>
                </c:pt>
                <c:pt idx="111">
                  <c:v>6.5303741680644567E-3</c:v>
                </c:pt>
                <c:pt idx="112">
                  <c:v>6.5435317179407537E-3</c:v>
                </c:pt>
                <c:pt idx="113">
                  <c:v>6.5577771220570735E-3</c:v>
                </c:pt>
                <c:pt idx="114">
                  <c:v>6.5900130895424356E-3</c:v>
                </c:pt>
                <c:pt idx="115">
                  <c:v>6.6256372839212929E-3</c:v>
                </c:pt>
                <c:pt idx="116">
                  <c:v>6.6453219614259762E-3</c:v>
                </c:pt>
                <c:pt idx="117">
                  <c:v>6.6660944941432376E-3</c:v>
                </c:pt>
                <c:pt idx="118">
                  <c:v>6.6879548822351698E-3</c:v>
                </c:pt>
                <c:pt idx="119">
                  <c:v>6.7354261298502313E-3</c:v>
                </c:pt>
                <c:pt idx="120">
                  <c:v>6.7862749921587806E-3</c:v>
                </c:pt>
                <c:pt idx="121">
                  <c:v>6.813574660203825E-3</c:v>
                </c:pt>
                <c:pt idx="122">
                  <c:v>6.8419621848392342E-3</c:v>
                </c:pt>
                <c:pt idx="123">
                  <c:v>6.8714375664702398E-3</c:v>
                </c:pt>
                <c:pt idx="124">
                  <c:v>6.9341462482090206E-3</c:v>
                </c:pt>
                <c:pt idx="125">
                  <c:v>7.0002176675698635E-3</c:v>
                </c:pt>
                <c:pt idx="126">
                  <c:v>7.035132337988026E-3</c:v>
                </c:pt>
                <c:pt idx="127">
                  <c:v>7.1477712902674462E-3</c:v>
                </c:pt>
                <c:pt idx="128">
                  <c:v>7.2671683513947372E-3</c:v>
                </c:pt>
                <c:pt idx="129">
                  <c:v>7.3079157247268878E-3</c:v>
                </c:pt>
                <c:pt idx="130">
                  <c:v>7.3677222345552851E-3</c:v>
                </c:pt>
                <c:pt idx="131">
                  <c:v>7.4638818096321273E-3</c:v>
                </c:pt>
                <c:pt idx="132">
                  <c:v>7.5378164158257377E-3</c:v>
                </c:pt>
                <c:pt idx="133">
                  <c:v>7.5737026042210776E-3</c:v>
                </c:pt>
                <c:pt idx="134">
                  <c:v>7.6088943367802475E-3</c:v>
                </c:pt>
                <c:pt idx="135">
                  <c:v>7.643391613341155E-3</c:v>
                </c:pt>
                <c:pt idx="136">
                  <c:v>7.7102341757177388E-3</c:v>
                </c:pt>
                <c:pt idx="137">
                  <c:v>7.7744361552256613E-3</c:v>
                </c:pt>
                <c:pt idx="138">
                  <c:v>7.8054611487965442E-3</c:v>
                </c:pt>
                <c:pt idx="139">
                  <c:v>7.8357916851534704E-3</c:v>
                </c:pt>
                <c:pt idx="140">
                  <c:v>7.8654277641343473E-3</c:v>
                </c:pt>
                <c:pt idx="141">
                  <c:v>7.9225570207993225E-3</c:v>
                </c:pt>
                <c:pt idx="142">
                  <c:v>7.9770275036228355E-3</c:v>
                </c:pt>
                <c:pt idx="143">
                  <c:v>8.003191293616263E-3</c:v>
                </c:pt>
                <c:pt idx="144">
                  <c:v>8.0286606251800396E-3</c:v>
                </c:pt>
                <c:pt idx="145">
                  <c:v>8.0534354984762579E-3</c:v>
                </c:pt>
                <c:pt idx="146">
                  <c:v>8.1008501667641699E-3</c:v>
                </c:pt>
                <c:pt idx="147">
                  <c:v>8.1455904042038174E-3</c:v>
                </c:pt>
                <c:pt idx="148">
                  <c:v>8.1669984658705452E-3</c:v>
                </c:pt>
                <c:pt idx="149">
                  <c:v>8.1882394812649029E-3</c:v>
                </c:pt>
                <c:pt idx="150">
                  <c:v>8.2094189330939038E-3</c:v>
                </c:pt>
                <c:pt idx="151">
                  <c:v>8.2517591691189107E-3</c:v>
                </c:pt>
                <c:pt idx="152">
                  <c:v>8.2935211035406464E-3</c:v>
                </c:pt>
                <c:pt idx="153">
                  <c:v>8.3143927369755399E-3</c:v>
                </c:pt>
                <c:pt idx="154">
                  <c:v>8.3352028066829842E-3</c:v>
                </c:pt>
                <c:pt idx="155">
                  <c:v>8.3559513126629792E-3</c:v>
                </c:pt>
                <c:pt idx="156">
                  <c:v>8.3974363015152757E-3</c:v>
                </c:pt>
                <c:pt idx="157">
                  <c:v>8.4383296993084667E-3</c:v>
                </c:pt>
                <c:pt idx="158">
                  <c:v>8.4587703865701691E-3</c:v>
                </c:pt>
                <c:pt idx="159">
                  <c:v>8.4791495101044223E-3</c:v>
                </c:pt>
                <c:pt idx="160">
                  <c:v>8.49946706983018E-3</c:v>
                </c:pt>
                <c:pt idx="161">
                  <c:v>8.5400967855479397E-3</c:v>
                </c:pt>
                <c:pt idx="162">
                  <c:v>8.580121670567209E-3</c:v>
                </c:pt>
                <c:pt idx="163">
                  <c:v>8.6001314111694427E-3</c:v>
                </c:pt>
                <c:pt idx="164">
                  <c:v>8.6200795879631809E-3</c:v>
                </c:pt>
                <c:pt idx="165">
                  <c:v>8.6399662009484235E-3</c:v>
                </c:pt>
                <c:pt idx="166">
                  <c:v>8.6797406105187935E-3</c:v>
                </c:pt>
                <c:pt idx="167">
                  <c:v>8.7188970138318833E-3</c:v>
                </c:pt>
                <c:pt idx="168">
                  <c:v>8.7384758072883706E-3</c:v>
                </c:pt>
                <c:pt idx="169">
                  <c:v>8.757993036855316E-3</c:v>
                </c:pt>
                <c:pt idx="170">
                  <c:v>8.7774487025327197E-3</c:v>
                </c:pt>
                <c:pt idx="171">
                  <c:v>8.8174983200943018E-3</c:v>
                </c:pt>
                <c:pt idx="172">
                  <c:v>8.8593033346395789E-3</c:v>
                </c:pt>
                <c:pt idx="173">
                  <c:v>8.8814658463276519E-3</c:v>
                </c:pt>
                <c:pt idx="174">
                  <c:v>8.9043204607541782E-3</c:v>
                </c:pt>
                <c:pt idx="175">
                  <c:v>8.9278671780812502E-3</c:v>
                </c:pt>
                <c:pt idx="176">
                  <c:v>8.9774884226760214E-3</c:v>
                </c:pt>
                <c:pt idx="177">
                  <c:v>9.0289750794747548E-3</c:v>
                </c:pt>
                <c:pt idx="178">
                  <c:v>9.0559823135738515E-3</c:v>
                </c:pt>
                <c:pt idx="179">
                  <c:v>9.0836816513839569E-3</c:v>
                </c:pt>
                <c:pt idx="180">
                  <c:v>9.1120730931482097E-3</c:v>
                </c:pt>
                <c:pt idx="181">
                  <c:v>9.1713934307195259E-3</c:v>
                </c:pt>
                <c:pt idx="182">
                  <c:v>9.2325599029075001E-3</c:v>
                </c:pt>
                <c:pt idx="183">
                  <c:v>9.2644118668738784E-3</c:v>
                </c:pt>
                <c:pt idx="184">
                  <c:v>9.2969559358480058E-3</c:v>
                </c:pt>
                <c:pt idx="185">
                  <c:v>9.3301921099109286E-3</c:v>
                </c:pt>
                <c:pt idx="186">
                  <c:v>9.3992135064254381E-3</c:v>
                </c:pt>
                <c:pt idx="187">
                  <c:v>9.4700578616702114E-3</c:v>
                </c:pt>
                <c:pt idx="188">
                  <c:v>9.5067545645000084E-3</c:v>
                </c:pt>
                <c:pt idx="189">
                  <c:v>9.5441433735532488E-3</c:v>
                </c:pt>
                <c:pt idx="190">
                  <c:v>9.5822242893162102E-3</c:v>
                </c:pt>
                <c:pt idx="191">
                  <c:v>9.6586633441571781E-3</c:v>
                </c:pt>
                <c:pt idx="192">
                  <c:v>9.7320735888295484E-3</c:v>
                </c:pt>
                <c:pt idx="193">
                  <c:v>9.7675207038927514E-3</c:v>
                </c:pt>
                <c:pt idx="194">
                  <c:v>9.80213634165783E-3</c:v>
                </c:pt>
                <c:pt idx="195">
                  <c:v>9.90069997991605E-3</c:v>
                </c:pt>
                <c:pt idx="196">
                  <c:v>9.9923691285352945E-3</c:v>
                </c:pt>
                <c:pt idx="197">
                  <c:v>1.0021164417838291E-2</c:v>
                </c:pt>
                <c:pt idx="198">
                  <c:v>1.0049128227979098E-2</c:v>
                </c:pt>
                <c:pt idx="199">
                  <c:v>1.0102563857750473E-2</c:v>
                </c:pt>
                <c:pt idx="200">
                  <c:v>1.015266867278708E-2</c:v>
                </c:pt>
                <c:pt idx="201">
                  <c:v>1.0176475084199277E-2</c:v>
                </c:pt>
                <c:pt idx="202">
                  <c:v>1.019945001547673E-2</c:v>
                </c:pt>
                <c:pt idx="203">
                  <c:v>1.0221593466214207E-2</c:v>
                </c:pt>
                <c:pt idx="204">
                  <c:v>1.0263397347327249E-2</c:v>
                </c:pt>
                <c:pt idx="205">
                  <c:v>1.0301852462629713E-2</c:v>
                </c:pt>
                <c:pt idx="206">
                  <c:v>1.0319838509289525E-2</c:v>
                </c:pt>
                <c:pt idx="207">
                  <c:v>1.0336993074760992E-2</c:v>
                </c:pt>
                <c:pt idx="208">
                  <c:v>1.0353316158800974E-2</c:v>
                </c:pt>
                <c:pt idx="209">
                  <c:v>1.0383486096333291E-2</c:v>
                </c:pt>
                <c:pt idx="210">
                  <c:v>1.0410459194981625E-2</c:v>
                </c:pt>
                <c:pt idx="211">
                  <c:v>1.0423617962010967E-2</c:v>
                </c:pt>
                <c:pt idx="212">
                  <c:v>1.0436938338403978E-2</c:v>
                </c:pt>
                <c:pt idx="213">
                  <c:v>1.0450420323998566E-2</c:v>
                </c:pt>
                <c:pt idx="214">
                  <c:v>1.0485385126262348E-2</c:v>
                </c:pt>
                <c:pt idx="215">
                  <c:v>1.0520254393155959E-2</c:v>
                </c:pt>
                <c:pt idx="216">
                  <c:v>1.0534706035256747E-2</c:v>
                </c:pt>
                <c:pt idx="217">
                  <c:v>1.054931928680225E-2</c:v>
                </c:pt>
                <c:pt idx="218">
                  <c:v>1.0579391113056948E-2</c:v>
                </c:pt>
                <c:pt idx="219">
                  <c:v>1.0609388388160834E-2</c:v>
                </c:pt>
                <c:pt idx="220">
                  <c:v>1.0624809687416192E-2</c:v>
                </c:pt>
                <c:pt idx="221">
                  <c:v>1.0640392596197312E-2</c:v>
                </c:pt>
                <c:pt idx="222">
                  <c:v>1.0656137114666286E-2</c:v>
                </c:pt>
                <c:pt idx="223">
                  <c:v>1.0688477830768466E-2</c:v>
                </c:pt>
                <c:pt idx="224">
                  <c:v>1.0720731284772356E-2</c:v>
                </c:pt>
                <c:pt idx="225">
                  <c:v>1.0737283851518509E-2</c:v>
                </c:pt>
                <c:pt idx="226">
                  <c:v>1.0753998028033562E-2</c:v>
                </c:pt>
                <c:pt idx="227">
                  <c:v>1.0770873814317516E-2</c:v>
                </c:pt>
                <c:pt idx="228">
                  <c:v>1.0814351912548925E-2</c:v>
                </c:pt>
                <c:pt idx="229">
                  <c:v>1.085767689283812E-2</c:v>
                </c:pt>
                <c:pt idx="230">
                  <c:v>1.0875549192987943E-2</c:v>
                </c:pt>
                <c:pt idx="231">
                  <c:v>1.0893717377142842E-2</c:v>
                </c:pt>
                <c:pt idx="232">
                  <c:v>1.093145691335488E-2</c:v>
                </c:pt>
                <c:pt idx="233">
                  <c:v>1.0969617502771811E-2</c:v>
                </c:pt>
                <c:pt idx="234">
                  <c:v>1.0989399381755582E-2</c:v>
                </c:pt>
                <c:pt idx="235">
                  <c:v>1.1009503999753756E-2</c:v>
                </c:pt>
                <c:pt idx="236">
                  <c:v>1.1029931357090517E-2</c:v>
                </c:pt>
                <c:pt idx="237">
                  <c:v>1.1072197724455448E-2</c:v>
                </c:pt>
                <c:pt idx="238">
                  <c:v>1.1114868178850879E-2</c:v>
                </c:pt>
                <c:pt idx="239">
                  <c:v>1.1136909232880576E-2</c:v>
                </c:pt>
                <c:pt idx="240">
                  <c:v>1.1159273026248862E-2</c:v>
                </c:pt>
                <c:pt idx="241">
                  <c:v>1.1181959559279919E-2</c:v>
                </c:pt>
                <c:pt idx="242">
                  <c:v>1.1228753844115074E-2</c:v>
                </c:pt>
                <c:pt idx="243">
                  <c:v>1.127593308835606E-2</c:v>
                </c:pt>
                <c:pt idx="244">
                  <c:v>1.1300233320106212E-2</c:v>
                </c:pt>
                <c:pt idx="245">
                  <c:v>1.1324856291843322E-2</c:v>
                </c:pt>
                <c:pt idx="246">
                  <c:v>1.1349802003648435E-2</c:v>
                </c:pt>
                <c:pt idx="247">
                  <c:v>1.1401125333388626E-2</c:v>
                </c:pt>
                <c:pt idx="248">
                  <c:v>1.1452812252035205E-2</c:v>
                </c:pt>
                <c:pt idx="249">
                  <c:v>1.1479371664828708E-2</c:v>
                </c:pt>
                <c:pt idx="250">
                  <c:v>1.15062538180144E-2</c:v>
                </c:pt>
                <c:pt idx="251">
                  <c:v>1.1533458711754374E-2</c:v>
                </c:pt>
                <c:pt idx="252">
                  <c:v>1.1589312259490486E-2</c:v>
                </c:pt>
                <c:pt idx="253">
                  <c:v>1.1645447076993332E-2</c:v>
                </c:pt>
                <c:pt idx="254">
                  <c:v>1.1673913978194062E-2</c:v>
                </c:pt>
                <c:pt idx="255">
                  <c:v>1.1702351924476329E-2</c:v>
                </c:pt>
                <c:pt idx="256">
                  <c:v>1.1730760915434901E-2</c:v>
                </c:pt>
                <c:pt idx="257">
                  <c:v>1.1787863054230446E-2</c:v>
                </c:pt>
                <c:pt idx="258">
                  <c:v>1.1844107328058406E-2</c:v>
                </c:pt>
                <c:pt idx="259">
                  <c:v>1.1872371543371063E-2</c:v>
                </c:pt>
                <c:pt idx="260">
                  <c:v>1.1900606803441072E-2</c:v>
                </c:pt>
                <c:pt idx="261">
                  <c:v>1.1928813108349479E-2</c:v>
                </c:pt>
                <c:pt idx="262">
                  <c:v>1.1985522747868609E-2</c:v>
                </c:pt>
                <c:pt idx="263">
                  <c:v>1.204134877612395E-2</c:v>
                </c:pt>
                <c:pt idx="264">
                  <c:v>1.2069410305062256E-2</c:v>
                </c:pt>
                <c:pt idx="265">
                  <c:v>1.2097442878757914E-2</c:v>
                </c:pt>
                <c:pt idx="266">
                  <c:v>1.212544649729197E-2</c:v>
                </c:pt>
                <c:pt idx="267">
                  <c:v>1.2181763756105395E-2</c:v>
                </c:pt>
                <c:pt idx="268">
                  <c:v>1.2237171418758575E-2</c:v>
                </c:pt>
                <c:pt idx="269">
                  <c:v>1.226503026107939E-2</c:v>
                </c:pt>
                <c:pt idx="270">
                  <c:v>1.2292860148076512E-2</c:v>
                </c:pt>
                <c:pt idx="271">
                  <c:v>1.2320661079749939E-2</c:v>
                </c:pt>
                <c:pt idx="272">
                  <c:v>1.2376586072132916E-2</c:v>
                </c:pt>
                <c:pt idx="273">
                  <c:v>1.2431575253855076E-2</c:v>
                </c:pt>
                <c:pt idx="274">
                  <c:v>1.2459231409072125E-2</c:v>
                </c:pt>
                <c:pt idx="275">
                  <c:v>1.2486858609046525E-2</c:v>
                </c:pt>
                <c:pt idx="276">
                  <c:v>1.2514456853697231E-2</c:v>
                </c:pt>
                <c:pt idx="277">
                  <c:v>1.2569989689089253E-2</c:v>
                </c:pt>
                <c:pt idx="278">
                  <c:v>1.262456027890102E-2</c:v>
                </c:pt>
                <c:pt idx="279">
                  <c:v>1.2652013746852209E-2</c:v>
                </c:pt>
                <c:pt idx="280">
                  <c:v>1.2679438259479703E-2</c:v>
                </c:pt>
                <c:pt idx="281">
                  <c:v>1.2706833816702456E-2</c:v>
                </c:pt>
                <c:pt idx="282">
                  <c:v>1.2761974600247566E-2</c:v>
                </c:pt>
                <c:pt idx="283">
                  <c:v>1.2816126491789204E-2</c:v>
                </c:pt>
                <c:pt idx="284">
                  <c:v>1.2843377272150347E-2</c:v>
                </c:pt>
                <c:pt idx="285">
                  <c:v>1.2870599097025703E-2</c:v>
                </c:pt>
                <c:pt idx="286">
                  <c:v>1.2897791966577365E-2</c:v>
                </c:pt>
                <c:pt idx="287">
                  <c:v>1.2952540798853997E-2</c:v>
                </c:pt>
                <c:pt idx="288">
                  <c:v>1.3006273890331377E-2</c:v>
                </c:pt>
                <c:pt idx="289">
                  <c:v>1.3033321982697244E-2</c:v>
                </c:pt>
                <c:pt idx="290">
                  <c:v>1.3060341119577323E-2</c:v>
                </c:pt>
                <c:pt idx="291">
                  <c:v>1.3087331301052663E-2</c:v>
                </c:pt>
                <c:pt idx="292">
                  <c:v>1.314168827826275E-2</c:v>
                </c:pt>
                <c:pt idx="293">
                  <c:v>1.3195002472177197E-2</c:v>
                </c:pt>
                <c:pt idx="294">
                  <c:v>1.3221847876304649E-2</c:v>
                </c:pt>
                <c:pt idx="295">
                  <c:v>1.3248664324865267E-2</c:v>
                </c:pt>
                <c:pt idx="296">
                  <c:v>1.3275451817940098E-2</c:v>
                </c:pt>
                <c:pt idx="297">
                  <c:v>1.3343007363710857E-2</c:v>
                </c:pt>
                <c:pt idx="298">
                  <c:v>1.3408954950784313E-2</c:v>
                </c:pt>
                <c:pt idx="299">
                  <c:v>1.3435568710701284E-2</c:v>
                </c:pt>
                <c:pt idx="300">
                  <c:v>1.3462153515132469E-2</c:v>
                </c:pt>
                <c:pt idx="301">
                  <c:v>1.3515727053066142E-2</c:v>
                </c:pt>
                <c:pt idx="302">
                  <c:v>1.3568203177269922E-2</c:v>
                </c:pt>
                <c:pt idx="303">
                  <c:v>1.3594643203866941E-2</c:v>
                </c:pt>
                <c:pt idx="304">
                  <c:v>1.3621054274897126E-2</c:v>
                </c:pt>
                <c:pt idx="305">
                  <c:v>1.3647436390360479E-2</c:v>
                </c:pt>
                <c:pt idx="306">
                  <c:v>1.3700618335385311E-2</c:v>
                </c:pt>
                <c:pt idx="307">
                  <c:v>1.375267529605928E-2</c:v>
                </c:pt>
                <c:pt idx="308">
                  <c:v>1.3778912633526375E-2</c:v>
                </c:pt>
                <c:pt idx="309">
                  <c:v>1.3805121015264543E-2</c:v>
                </c:pt>
                <c:pt idx="310">
                  <c:v>1.3831300441435879E-2</c:v>
                </c:pt>
                <c:pt idx="311">
                  <c:v>1.388409087230184E-2</c:v>
                </c:pt>
                <c:pt idx="312">
                  <c:v>1.3935728589642427E-2</c:v>
                </c:pt>
                <c:pt idx="313">
                  <c:v>1.3961763237493319E-2</c:v>
                </c:pt>
                <c:pt idx="314">
                  <c:v>1.3987768929777378E-2</c:v>
                </c:pt>
                <c:pt idx="315">
                  <c:v>1.4013745666251465E-2</c:v>
                </c:pt>
                <c:pt idx="316">
                  <c:v>1.4066144657440088E-2</c:v>
                </c:pt>
                <c:pt idx="317">
                  <c:v>1.4117363055669019E-2</c:v>
                </c:pt>
                <c:pt idx="318">
                  <c:v>1.4143195013741616E-2</c:v>
                </c:pt>
                <c:pt idx="319">
                  <c:v>1.4168998016085288E-2</c:v>
                </c:pt>
                <c:pt idx="320">
                  <c:v>1.419477206278108E-2</c:v>
                </c:pt>
                <c:pt idx="321">
                  <c:v>1.4246779684424412E-2</c:v>
                </c:pt>
                <c:pt idx="322">
                  <c:v>1.42975786921129E-2</c:v>
                </c:pt>
                <c:pt idx="323">
                  <c:v>1.4323207960083018E-2</c:v>
                </c:pt>
                <c:pt idx="324">
                  <c:v>1.4348808272324209E-2</c:v>
                </c:pt>
                <c:pt idx="325">
                  <c:v>1.4374379628755429E-2</c:v>
                </c:pt>
                <c:pt idx="326">
                  <c:v>1.4425995946960221E-2</c:v>
                </c:pt>
                <c:pt idx="327">
                  <c:v>1.4476375496866867E-2</c:v>
                </c:pt>
                <c:pt idx="328">
                  <c:v>1.4501802074410319E-2</c:v>
                </c:pt>
                <c:pt idx="329">
                  <c:v>1.4527199696224846E-2</c:v>
                </c:pt>
                <c:pt idx="330">
                  <c:v>1.4552568362148355E-2</c:v>
                </c:pt>
                <c:pt idx="331">
                  <c:v>1.4603793438698888E-2</c:v>
                </c:pt>
                <c:pt idx="332">
                  <c:v>1.4653753467904762E-2</c:v>
                </c:pt>
                <c:pt idx="333">
                  <c:v>1.4678977354697365E-2</c:v>
                </c:pt>
                <c:pt idx="334">
                  <c:v>1.4704172285761041E-2</c:v>
                </c:pt>
                <c:pt idx="335">
                  <c:v>1.47293382609337E-2</c:v>
                </c:pt>
                <c:pt idx="336">
                  <c:v>1.4780172153480894E-2</c:v>
                </c:pt>
                <c:pt idx="337">
                  <c:v>1.4829712603038336E-2</c:v>
                </c:pt>
                <c:pt idx="338">
                  <c:v>1.4854733798917996E-2</c:v>
                </c:pt>
                <c:pt idx="339">
                  <c:v>1.4879726038825591E-2</c:v>
                </c:pt>
                <c:pt idx="340">
                  <c:v>1.4904689322923215E-2</c:v>
                </c:pt>
                <c:pt idx="341">
                  <c:v>1.4955132085173741E-2</c:v>
                </c:pt>
                <c:pt idx="342">
                  <c:v>1.5004252900322479E-2</c:v>
                </c:pt>
                <c:pt idx="343">
                  <c:v>1.5029071404802918E-2</c:v>
                </c:pt>
                <c:pt idx="344">
                  <c:v>1.5053860953473386E-2</c:v>
                </c:pt>
                <c:pt idx="345">
                  <c:v>1.5078621546171789E-2</c:v>
                </c:pt>
                <c:pt idx="346">
                  <c:v>1.5128673227563876E-2</c:v>
                </c:pt>
                <c:pt idx="347">
                  <c:v>1.5177374357649986E-2</c:v>
                </c:pt>
                <c:pt idx="348">
                  <c:v>1.5201990170569113E-2</c:v>
                </c:pt>
                <c:pt idx="349">
                  <c:v>1.5226577027678267E-2</c:v>
                </c:pt>
                <c:pt idx="350">
                  <c:v>1.5251134928653265E-2</c:v>
                </c:pt>
                <c:pt idx="351">
                  <c:v>1.5300795574626862E-2</c:v>
                </c:pt>
                <c:pt idx="352">
                  <c:v>1.5349076972994702E-2</c:v>
                </c:pt>
                <c:pt idx="353">
                  <c:v>1.5373490094109377E-2</c:v>
                </c:pt>
                <c:pt idx="354">
                  <c:v>1.5397874259251987E-2</c:v>
                </c:pt>
                <c:pt idx="355">
                  <c:v>1.5422229468341486E-2</c:v>
                </c:pt>
                <c:pt idx="356">
                  <c:v>1.5471499120311243E-2</c:v>
                </c:pt>
                <c:pt idx="357">
                  <c:v>1.5519360744492561E-2</c:v>
                </c:pt>
                <c:pt idx="358">
                  <c:v>1.5543571173397552E-2</c:v>
                </c:pt>
                <c:pt idx="359">
                  <c:v>1.5567752646330479E-2</c:v>
                </c:pt>
                <c:pt idx="360">
                  <c:v>1.5591905163129249E-2</c:v>
                </c:pt>
                <c:pt idx="361">
                  <c:v>1.5640783858727657E-2</c:v>
                </c:pt>
                <c:pt idx="362">
                  <c:v>1.5688225669955314E-2</c:v>
                </c:pt>
                <c:pt idx="363">
                  <c:v>1.5712233406488529E-2</c:v>
                </c:pt>
                <c:pt idx="364">
                  <c:v>1.5736212186887588E-2</c:v>
                </c:pt>
                <c:pt idx="365">
                  <c:v>1.5760162011233536E-2</c:v>
                </c:pt>
                <c:pt idx="366">
                  <c:v>1.5808649783878675E-2</c:v>
                </c:pt>
                <c:pt idx="367">
                  <c:v>1.5855671747518896E-2</c:v>
                </c:pt>
                <c:pt idx="368">
                  <c:v>1.5879476791356151E-2</c:v>
                </c:pt>
                <c:pt idx="369">
                  <c:v>1.5903252878978202E-2</c:v>
                </c:pt>
                <c:pt idx="370">
                  <c:v>1.5927000010547143E-2</c:v>
                </c:pt>
                <c:pt idx="371">
                  <c:v>1.5975096889901952E-2</c:v>
                </c:pt>
                <c:pt idx="372">
                  <c:v>1.6021698975319243E-2</c:v>
                </c:pt>
                <c:pt idx="373">
                  <c:v>1.6045301326055306E-2</c:v>
                </c:pt>
                <c:pt idx="374">
                  <c:v>1.6068874720738258E-2</c:v>
                </c:pt>
                <c:pt idx="375">
                  <c:v>1.6092419159206006E-2</c:v>
                </c:pt>
                <c:pt idx="376">
                  <c:v>1.6140125170989172E-2</c:v>
                </c:pt>
                <c:pt idx="377">
                  <c:v>1.6186307351168105E-2</c:v>
                </c:pt>
                <c:pt idx="378">
                  <c:v>1.620970700872193E-2</c:v>
                </c:pt>
                <c:pt idx="379">
                  <c:v>1.6233077710060551E-2</c:v>
                </c:pt>
                <c:pt idx="380">
                  <c:v>1.6304443553357695E-2</c:v>
                </c:pt>
                <c:pt idx="381">
                  <c:v>1.6372693837410912E-2</c:v>
                </c:pt>
                <c:pt idx="382">
                  <c:v>1.6395861845162063E-2</c:v>
                </c:pt>
                <c:pt idx="383">
                  <c:v>1.6454749672664137E-2</c:v>
                </c:pt>
                <c:pt idx="384">
                  <c:v>1.6511267540041397E-2</c:v>
                </c:pt>
                <c:pt idx="385">
                  <c:v>1.6534261810177142E-2</c:v>
                </c:pt>
                <c:pt idx="386">
                  <c:v>1.6557227124097684E-2</c:v>
                </c:pt>
                <c:pt idx="387">
                  <c:v>1.6580163481721977E-2</c:v>
                </c:pt>
                <c:pt idx="388">
                  <c:v>1.6626697007145662E-2</c:v>
                </c:pt>
                <c:pt idx="389">
                  <c:v>1.6671619349094557E-2</c:v>
                </c:pt>
                <c:pt idx="390">
                  <c:v>1.6694410925237602E-2</c:v>
                </c:pt>
                <c:pt idx="391">
                  <c:v>1.671717354500335E-2</c:v>
                </c:pt>
                <c:pt idx="392">
                  <c:v>1.6739907208472848E-2</c:v>
                </c:pt>
                <c:pt idx="393">
                  <c:v>1.6786049931242962E-2</c:v>
                </c:pt>
                <c:pt idx="394">
                  <c:v>1.6830552298902068E-2</c:v>
                </c:pt>
                <c:pt idx="395">
                  <c:v>1.6853141180566134E-2</c:v>
                </c:pt>
                <c:pt idx="396">
                  <c:v>1.6875701106014995E-2</c:v>
                </c:pt>
                <c:pt idx="397">
                  <c:v>1.6898232075005515E-2</c:v>
                </c:pt>
                <c:pt idx="398">
                  <c:v>1.6943984002038004E-2</c:v>
                </c:pt>
                <c:pt idx="399">
                  <c:v>1.6988066387356726E-2</c:v>
                </c:pt>
                <c:pt idx="400">
                  <c:v>1.7010452574541812E-2</c:v>
                </c:pt>
                <c:pt idx="401">
                  <c:v>1.7032809805268556E-2</c:v>
                </c:pt>
                <c:pt idx="402">
                  <c:v>1.7055138079536958E-2</c:v>
                </c:pt>
                <c:pt idx="403">
                  <c:v>1.7100499213965614E-2</c:v>
                </c:pt>
                <c:pt idx="404">
                  <c:v>1.7144161612837605E-2</c:v>
                </c:pt>
                <c:pt idx="405">
                  <c:v>1.7166345105057434E-2</c:v>
                </c:pt>
                <c:pt idx="406">
                  <c:v>1.7188499640899968E-2</c:v>
                </c:pt>
                <c:pt idx="407">
                  <c:v>1.7210625220365205E-2</c:v>
                </c:pt>
                <c:pt idx="408">
                  <c:v>1.7255595561595692E-2</c:v>
                </c:pt>
                <c:pt idx="409">
                  <c:v>1.7298837973399595E-2</c:v>
                </c:pt>
                <c:pt idx="410">
                  <c:v>1.7320818770573121E-2</c:v>
                </c:pt>
                <c:pt idx="411">
                  <c:v>1.7342770611207259E-2</c:v>
                </c:pt>
                <c:pt idx="412">
                  <c:v>1.7364693495383055E-2</c:v>
                </c:pt>
                <c:pt idx="413">
                  <c:v>1.740927303949813E-2</c:v>
                </c:pt>
                <c:pt idx="414">
                  <c:v>1.7452095467259676E-2</c:v>
                </c:pt>
                <c:pt idx="415">
                  <c:v>1.7473873568981668E-2</c:v>
                </c:pt>
                <c:pt idx="416">
                  <c:v>1.7495622714245318E-2</c:v>
                </c:pt>
                <c:pt idx="417">
                  <c:v>1.7517342902969579E-2</c:v>
                </c:pt>
                <c:pt idx="418">
                  <c:v>1.756153164226985E-2</c:v>
                </c:pt>
                <c:pt idx="419">
                  <c:v>1.7603934092634832E-2</c:v>
                </c:pt>
                <c:pt idx="420">
                  <c:v>1.7625509498824243E-2</c:v>
                </c:pt>
                <c:pt idx="421">
                  <c:v>1.7647055948312174E-2</c:v>
                </c:pt>
                <c:pt idx="422">
                  <c:v>1.7668573441341762E-2</c:v>
                </c:pt>
                <c:pt idx="423">
                  <c:v>1.7712371364615825E-2</c:v>
                </c:pt>
                <c:pt idx="424">
                  <c:v>1.775435384782309E-2</c:v>
                </c:pt>
                <c:pt idx="425">
                  <c:v>1.7775726557993643E-2</c:v>
                </c:pt>
                <c:pt idx="426">
                  <c:v>1.7797070311624807E-2</c:v>
                </c:pt>
                <c:pt idx="427">
                  <c:v>1.7818385108716583E-2</c:v>
                </c:pt>
                <c:pt idx="428">
                  <c:v>1.7861792201241032E-2</c:v>
                </c:pt>
                <c:pt idx="429">
                  <c:v>1.7903354730960386E-2</c:v>
                </c:pt>
                <c:pt idx="430">
                  <c:v>1.7924524745031034E-2</c:v>
                </c:pt>
                <c:pt idx="431">
                  <c:v>1.7945665802481248E-2</c:v>
                </c:pt>
                <c:pt idx="432">
                  <c:v>1.7966777903311026E-2</c:v>
                </c:pt>
                <c:pt idx="433">
                  <c:v>1.8009794146931494E-2</c:v>
                </c:pt>
                <c:pt idx="434">
                  <c:v>1.8050936740344747E-2</c:v>
                </c:pt>
                <c:pt idx="435">
                  <c:v>1.8071904058072352E-2</c:v>
                </c:pt>
                <c:pt idx="436">
                  <c:v>1.8092842419098476E-2</c:v>
                </c:pt>
                <c:pt idx="437">
                  <c:v>1.8113751823504165E-2</c:v>
                </c:pt>
                <c:pt idx="438">
                  <c:v>1.8156377196473231E-2</c:v>
                </c:pt>
                <c:pt idx="439">
                  <c:v>1.8197099874355249E-2</c:v>
                </c:pt>
                <c:pt idx="440">
                  <c:v>1.8217864495415625E-2</c:v>
                </c:pt>
                <c:pt idx="441">
                  <c:v>1.8238600159693474E-2</c:v>
                </c:pt>
                <c:pt idx="442">
                  <c:v>1.8302439681749716E-2</c:v>
                </c:pt>
                <c:pt idx="443">
                  <c:v>1.8362406055277836E-2</c:v>
                </c:pt>
                <c:pt idx="444">
                  <c:v>1.8382939022726363E-2</c:v>
                </c:pt>
                <c:pt idx="445">
                  <c:v>1.840344303347341E-2</c:v>
                </c:pt>
                <c:pt idx="446">
                  <c:v>1.8445286586767921E-2</c:v>
                </c:pt>
                <c:pt idx="447">
                  <c:v>1.8485169509122601E-2</c:v>
                </c:pt>
                <c:pt idx="448">
                  <c:v>1.8505528736119103E-2</c:v>
                </c:pt>
                <c:pt idx="449">
                  <c:v>1.8525859006414125E-2</c:v>
                </c:pt>
                <c:pt idx="450">
                  <c:v>1.8546160320007665E-2</c:v>
                </c:pt>
                <c:pt idx="451">
                  <c:v>1.8587612917390087E-2</c:v>
                </c:pt>
                <c:pt idx="452">
                  <c:v>1.8627076006475507E-2</c:v>
                </c:pt>
                <c:pt idx="453">
                  <c:v>1.8647232536237457E-2</c:v>
                </c:pt>
                <c:pt idx="454">
                  <c:v>1.8667360109135833E-2</c:v>
                </c:pt>
                <c:pt idx="455">
                  <c:v>1.8687458725251682E-2</c:v>
                </c:pt>
                <c:pt idx="456">
                  <c:v>1.8728520331655989E-2</c:v>
                </c:pt>
                <c:pt idx="457">
                  <c:v>1.8767563621727712E-2</c:v>
                </c:pt>
                <c:pt idx="458">
                  <c:v>1.8787517453849878E-2</c:v>
                </c:pt>
                <c:pt idx="459">
                  <c:v>1.880744232910847E-2</c:v>
                </c:pt>
                <c:pt idx="460">
                  <c:v>1.8827338247584535E-2</c:v>
                </c:pt>
                <c:pt idx="461">
                  <c:v>1.886800882467584E-2</c:v>
                </c:pt>
                <c:pt idx="462">
                  <c:v>1.8906632353177244E-2</c:v>
                </c:pt>
                <c:pt idx="463">
                  <c:v>1.8926383487497533E-2</c:v>
                </c:pt>
                <c:pt idx="464">
                  <c:v>1.8946105664873203E-2</c:v>
                </c:pt>
                <c:pt idx="465">
                  <c:v>1.8965798885466345E-2</c:v>
                </c:pt>
                <c:pt idx="466">
                  <c:v>1.9016373090965932E-2</c:v>
                </c:pt>
                <c:pt idx="467">
                  <c:v>1.9063830635397405E-2</c:v>
                </c:pt>
                <c:pt idx="468">
                  <c:v>1.9083350114728059E-2</c:v>
                </c:pt>
                <c:pt idx="469">
                  <c:v>1.910284063719514E-2</c:v>
                </c:pt>
                <c:pt idx="470">
                  <c:v>1.914272902744522E-2</c:v>
                </c:pt>
                <c:pt idx="471">
                  <c:v>1.918051315810354E-2</c:v>
                </c:pt>
                <c:pt idx="472">
                  <c:v>1.919985889609066E-2</c:v>
                </c:pt>
                <c:pt idx="473">
                  <c:v>1.921917567713316E-2</c:v>
                </c:pt>
                <c:pt idx="474">
                  <c:v>1.923846350123104E-2</c:v>
                </c:pt>
                <c:pt idx="475">
                  <c:v>1.9277960727577263E-2</c:v>
                </c:pt>
                <c:pt idx="476">
                  <c:v>1.93153252284195E-2</c:v>
                </c:pt>
                <c:pt idx="477">
                  <c:v>1.9334468267875327E-2</c:v>
                </c:pt>
                <c:pt idx="478">
                  <c:v>1.9353582350386533E-2</c:v>
                </c:pt>
                <c:pt idx="479">
                  <c:v>1.937266747595312E-2</c:v>
                </c:pt>
                <c:pt idx="480">
                  <c:v>1.9411773487228261E-2</c:v>
                </c:pt>
                <c:pt idx="481">
                  <c:v>1.944871840853013E-2</c:v>
                </c:pt>
                <c:pt idx="482">
                  <c:v>1.9467658749292571E-2</c:v>
                </c:pt>
                <c:pt idx="483">
                  <c:v>1.9486570133029346E-2</c:v>
                </c:pt>
                <c:pt idx="484">
                  <c:v>1.9505452559740455E-2</c:v>
                </c:pt>
                <c:pt idx="485">
                  <c:v>1.9554084996383503E-2</c:v>
                </c:pt>
                <c:pt idx="486">
                  <c:v>1.9599430338721469E-2</c:v>
                </c:pt>
                <c:pt idx="487">
                  <c:v>1.9618139023440673E-2</c:v>
                </c:pt>
                <c:pt idx="488">
                  <c:v>1.9636818751215257E-2</c:v>
                </c:pt>
                <c:pt idx="489">
                  <c:v>1.9675142166365459E-2</c:v>
                </c:pt>
                <c:pt idx="490">
                  <c:v>1.971124809189484E-2</c:v>
                </c:pt>
                <c:pt idx="491">
                  <c:v>1.9729783034541093E-2</c:v>
                </c:pt>
                <c:pt idx="492">
                  <c:v>1.9748289020080634E-2</c:v>
                </c:pt>
                <c:pt idx="493">
                  <c:v>1.9766766048675555E-2</c:v>
                </c:pt>
                <c:pt idx="494">
                  <c:v>1.9804698076666408E-2</c:v>
                </c:pt>
                <c:pt idx="495">
                  <c:v>1.9840384592150206E-2</c:v>
                </c:pt>
                <c:pt idx="496">
                  <c:v>1.9858716835454704E-2</c:v>
                </c:pt>
                <c:pt idx="497">
                  <c:v>1.9877020121571443E-2</c:v>
                </c:pt>
                <c:pt idx="498">
                  <c:v>1.9895294450662515E-2</c:v>
                </c:pt>
                <c:pt idx="499">
                  <c:v>1.9932835028061795E-2</c:v>
                </c:pt>
                <c:pt idx="500">
                  <c:v>1.9968102196121773E-2</c:v>
                </c:pt>
                <c:pt idx="501">
                  <c:v>1.998623173976033E-2</c:v>
                </c:pt>
                <c:pt idx="502">
                  <c:v>2.0004332326211127E-2</c:v>
                </c:pt>
                <c:pt idx="503">
                  <c:v>2.0022403955717305E-2</c:v>
                </c:pt>
                <c:pt idx="504">
                  <c:v>2.0059553016013035E-2</c:v>
                </c:pt>
                <c:pt idx="505">
                  <c:v>2.0094401176530274E-2</c:v>
                </c:pt>
                <c:pt idx="506">
                  <c:v>2.0112329666228668E-2</c:v>
                </c:pt>
                <c:pt idx="507">
                  <c:v>2.0130230844789265E-2</c:v>
                </c:pt>
                <c:pt idx="508">
                  <c:v>2.0148104712131021E-2</c:v>
                </c:pt>
                <c:pt idx="509">
                  <c:v>2.0184877550971651E-2</c:v>
                </c:pt>
                <c:pt idx="510">
                  <c:v>2.0219327069471715E-2</c:v>
                </c:pt>
                <c:pt idx="511">
                  <c:v>2.0237064380719261E-2</c:v>
                </c:pt>
                <c:pt idx="512">
                  <c:v>2.025477438082901E-2</c:v>
                </c:pt>
                <c:pt idx="513">
                  <c:v>2.0272457069638872E-2</c:v>
                </c:pt>
                <c:pt idx="514">
                  <c:v>2.0308861304321194E-2</c:v>
                </c:pt>
                <c:pt idx="515">
                  <c:v>2.0342914712527804E-2</c:v>
                </c:pt>
                <c:pt idx="516">
                  <c:v>2.0360460845081363E-2</c:v>
                </c:pt>
                <c:pt idx="517">
                  <c:v>2.0377979666497126E-2</c:v>
                </c:pt>
                <c:pt idx="518">
                  <c:v>2.0499846700415825E-2</c:v>
                </c:pt>
                <c:pt idx="519">
                  <c:v>2.0620375481450459E-2</c:v>
                </c:pt>
                <c:pt idx="520">
                  <c:v>2.073956600806115E-2</c:v>
                </c:pt>
                <c:pt idx="521">
                  <c:v>2.0857418279032203E-2</c:v>
                </c:pt>
                <c:pt idx="522">
                  <c:v>2.0973932293147923E-2</c:v>
                </c:pt>
                <c:pt idx="523">
                  <c:v>2.1089108048949479E-2</c:v>
                </c:pt>
                <c:pt idx="524">
                  <c:v>2.1202945545302221E-2</c:v>
                </c:pt>
                <c:pt idx="525">
                  <c:v>2.1315444780909409E-2</c:v>
                </c:pt>
                <c:pt idx="526">
                  <c:v>2.142660575455535E-2</c:v>
                </c:pt>
                <c:pt idx="527">
                  <c:v>2.1536428464943302E-2</c:v>
                </c:pt>
                <c:pt idx="528">
                  <c:v>2.1644912910938618E-2</c:v>
                </c:pt>
                <c:pt idx="529">
                  <c:v>2.175205909140665E-2</c:v>
                </c:pt>
                <c:pt idx="530">
                  <c:v>2.1857867004969611E-2</c:v>
                </c:pt>
                <c:pt idx="531">
                  <c:v>2.1962336650735992E-2</c:v>
                </c:pt>
                <c:pt idx="532">
                  <c:v>2.2065468027246959E-2</c:v>
                </c:pt>
                <c:pt idx="533">
                  <c:v>2.2167261133611005E-2</c:v>
                </c:pt>
                <c:pt idx="534">
                  <c:v>2.2267715968612434E-2</c:v>
                </c:pt>
                <c:pt idx="535">
                  <c:v>2.2366832531197645E-2</c:v>
                </c:pt>
                <c:pt idx="536">
                  <c:v>2.2464610820150943E-2</c:v>
                </c:pt>
                <c:pt idx="537">
                  <c:v>2.256105083458082E-2</c:v>
                </c:pt>
                <c:pt idx="538">
                  <c:v>2.2656152573271582E-2</c:v>
                </c:pt>
                <c:pt idx="539">
                  <c:v>2.2749916035250672E-2</c:v>
                </c:pt>
                <c:pt idx="540">
                  <c:v>2.284234121946449E-2</c:v>
                </c:pt>
                <c:pt idx="541">
                  <c:v>2.293342812494048E-2</c:v>
                </c:pt>
                <c:pt idx="542">
                  <c:v>2.3023176750625041E-2</c:v>
                </c:pt>
                <c:pt idx="543">
                  <c:v>2.3111587095545616E-2</c:v>
                </c:pt>
                <c:pt idx="544">
                  <c:v>2.3198659158729651E-2</c:v>
                </c:pt>
                <c:pt idx="545">
                  <c:v>2.328439293920459E-2</c:v>
                </c:pt>
                <c:pt idx="546">
                  <c:v>2.3368788435997878E-2</c:v>
                </c:pt>
                <c:pt idx="547">
                  <c:v>2.3451845648299052E-2</c:v>
                </c:pt>
                <c:pt idx="548">
                  <c:v>2.3533564575135557E-2</c:v>
                </c:pt>
                <c:pt idx="549">
                  <c:v>2.3613945215534837E-2</c:v>
                </c:pt>
                <c:pt idx="550">
                  <c:v>2.369298756868643E-2</c:v>
                </c:pt>
                <c:pt idx="551">
                  <c:v>2.3770691633698826E-2</c:v>
                </c:pt>
                <c:pt idx="552">
                  <c:v>2.3847057409761563E-2</c:v>
                </c:pt>
                <c:pt idx="553">
                  <c:v>2.3922084895983131E-2</c:v>
                </c:pt>
                <c:pt idx="554">
                  <c:v>2.3995774091553068E-2</c:v>
                </c:pt>
                <c:pt idx="555">
                  <c:v>2.4068124995660911E-2</c:v>
                </c:pt>
                <c:pt idx="556">
                  <c:v>2.4139137607577243E-2</c:v>
                </c:pt>
                <c:pt idx="557">
                  <c:v>2.4208811926410556E-2</c:v>
                </c:pt>
                <c:pt idx="558">
                  <c:v>2.4277147951350386E-2</c:v>
                </c:pt>
                <c:pt idx="559">
                  <c:v>2.434414568182941E-2</c:v>
                </c:pt>
                <c:pt idx="560">
                  <c:v>2.4409805116956118E-2</c:v>
                </c:pt>
                <c:pt idx="561">
                  <c:v>2.4474126256163187E-2</c:v>
                </c:pt>
                <c:pt idx="562">
                  <c:v>2.4537109098559107E-2</c:v>
                </c:pt>
                <c:pt idx="563">
                  <c:v>2.4598753643576554E-2</c:v>
                </c:pt>
                <c:pt idx="564">
                  <c:v>2.4659059890486112E-2</c:v>
                </c:pt>
                <c:pt idx="565">
                  <c:v>2.4718027838639411E-2</c:v>
                </c:pt>
                <c:pt idx="566">
                  <c:v>2.4775657487469127E-2</c:v>
                </c:pt>
                <c:pt idx="567">
                  <c:v>2.4831968550105277E-2</c:v>
                </c:pt>
                <c:pt idx="568">
                  <c:v>2.4887513016476071E-2</c:v>
                </c:pt>
                <c:pt idx="569">
                  <c:v>2.4942547167483564E-2</c:v>
                </c:pt>
                <c:pt idx="570">
                  <c:v>2.4997071002803573E-2</c:v>
                </c:pt>
                <c:pt idx="571">
                  <c:v>2.5051084522436096E-2</c:v>
                </c:pt>
                <c:pt idx="572">
                  <c:v>2.5104587725975902E-2</c:v>
                </c:pt>
                <c:pt idx="573">
                  <c:v>2.5157580613260899E-2</c:v>
                </c:pt>
                <c:pt idx="574">
                  <c:v>2.5210063183966902E-2</c:v>
                </c:pt>
                <c:pt idx="575">
                  <c:v>2.5262035438012864E-2</c:v>
                </c:pt>
                <c:pt idx="576">
                  <c:v>2.5313497375236693E-2</c:v>
                </c:pt>
                <c:pt idx="577">
                  <c:v>2.5364448995233158E-2</c:v>
                </c:pt>
                <c:pt idx="578">
                  <c:v>2.5414890297840165E-2</c:v>
                </c:pt>
                <c:pt idx="579">
                  <c:v>2.5464821282895622E-2</c:v>
                </c:pt>
                <c:pt idx="580">
                  <c:v>2.5514241950156391E-2</c:v>
                </c:pt>
                <c:pt idx="581">
                  <c:v>2.5563152299460379E-2</c:v>
                </c:pt>
                <c:pt idx="582">
                  <c:v>2.5611552330564447E-2</c:v>
                </c:pt>
                <c:pt idx="583">
                  <c:v>2.5659442043306502E-2</c:v>
                </c:pt>
                <c:pt idx="584">
                  <c:v>2.5706821437362359E-2</c:v>
                </c:pt>
                <c:pt idx="585">
                  <c:v>2.5753690512650973E-2</c:v>
                </c:pt>
                <c:pt idx="586">
                  <c:v>2.580004926901025E-2</c:v>
                </c:pt>
                <c:pt idx="587">
                  <c:v>2.5845897706116006E-2</c:v>
                </c:pt>
                <c:pt idx="588">
                  <c:v>2.5891235823887193E-2</c:v>
                </c:pt>
                <c:pt idx="589">
                  <c:v>2.5936063622080674E-2</c:v>
                </c:pt>
                <c:pt idx="590">
                  <c:v>2.5980381100453309E-2</c:v>
                </c:pt>
                <c:pt idx="591">
                  <c:v>2.6024188258924053E-2</c:v>
                </c:pt>
                <c:pt idx="592">
                  <c:v>2.6067485097330811E-2</c:v>
                </c:pt>
                <c:pt idx="593">
                  <c:v>2.6110271615349401E-2</c:v>
                </c:pt>
                <c:pt idx="594">
                  <c:v>2.6152547812898774E-2</c:v>
                </c:pt>
                <c:pt idx="595">
                  <c:v>2.6194313689816839E-2</c:v>
                </c:pt>
                <c:pt idx="596">
                  <c:v>2.6235569245860457E-2</c:v>
                </c:pt>
                <c:pt idx="597">
                  <c:v>2.6276314480948582E-2</c:v>
                </c:pt>
                <c:pt idx="598">
                  <c:v>2.6316549394757027E-2</c:v>
                </c:pt>
                <c:pt idx="599">
                  <c:v>2.6356273987285794E-2</c:v>
                </c:pt>
                <c:pt idx="600">
                  <c:v>2.6395488258210698E-2</c:v>
                </c:pt>
                <c:pt idx="601">
                  <c:v>2.6434192207531737E-2</c:v>
                </c:pt>
                <c:pt idx="602">
                  <c:v>2.6472385835005774E-2</c:v>
                </c:pt>
                <c:pt idx="603">
                  <c:v>2.6510069140470716E-2</c:v>
                </c:pt>
                <c:pt idx="604">
                  <c:v>2.6547242123683423E-2</c:v>
                </c:pt>
                <c:pt idx="605">
                  <c:v>2.6583904784724943E-2</c:v>
                </c:pt>
                <c:pt idx="606">
                  <c:v>2.6620057123190044E-2</c:v>
                </c:pt>
                <c:pt idx="607">
                  <c:v>2.6655699139078726E-2</c:v>
                </c:pt>
                <c:pt idx="608">
                  <c:v>2.6690830832147849E-2</c:v>
                </c:pt>
                <c:pt idx="609">
                  <c:v>2.6725452202235322E-2</c:v>
                </c:pt>
                <c:pt idx="610">
                  <c:v>2.6759563249341145E-2</c:v>
                </c:pt>
                <c:pt idx="611">
                  <c:v>2.6793163973222178E-2</c:v>
                </c:pt>
                <c:pt idx="612">
                  <c:v>2.6826254373797376E-2</c:v>
                </c:pt>
                <c:pt idx="613">
                  <c:v>2.6858834450904645E-2</c:v>
                </c:pt>
                <c:pt idx="614">
                  <c:v>2.6890904204300847E-2</c:v>
                </c:pt>
                <c:pt idx="615">
                  <c:v>2.6922463633904936E-2</c:v>
                </c:pt>
                <c:pt idx="616">
                  <c:v>2.6953512739716912E-2</c:v>
                </c:pt>
                <c:pt idx="617">
                  <c:v>2.6984051521412589E-2</c:v>
                </c:pt>
                <c:pt idx="618">
                  <c:v>2.7014079978991967E-2</c:v>
                </c:pt>
                <c:pt idx="619">
                  <c:v>2.7043599484487535E-2</c:v>
                </c:pt>
                <c:pt idx="620">
                  <c:v>2.7072837828602259E-2</c:v>
                </c:pt>
                <c:pt idx="621">
                  <c:v>2.7101969284829552E-2</c:v>
                </c:pt>
                <c:pt idx="622">
                  <c:v>2.7130993853007324E-2</c:v>
                </c:pt>
                <c:pt idx="623">
                  <c:v>2.7159911533378711E-2</c:v>
                </c:pt>
                <c:pt idx="624">
                  <c:v>2.7188722325781622E-2</c:v>
                </c:pt>
                <c:pt idx="625">
                  <c:v>2.7217426230135011E-2</c:v>
                </c:pt>
                <c:pt idx="626">
                  <c:v>2.7246023246519924E-2</c:v>
                </c:pt>
                <c:pt idx="627">
                  <c:v>2.7274513374855314E-2</c:v>
                </c:pt>
                <c:pt idx="628">
                  <c:v>2.7302896615222227E-2</c:v>
                </c:pt>
                <c:pt idx="629">
                  <c:v>2.733117296729648E-2</c:v>
                </c:pt>
                <c:pt idx="630">
                  <c:v>2.7359342431402256E-2</c:v>
                </c:pt>
                <c:pt idx="631">
                  <c:v>2.7387405007296417E-2</c:v>
                </c:pt>
                <c:pt idx="632">
                  <c:v>2.7415360695060009E-2</c:v>
                </c:pt>
                <c:pt idx="633">
                  <c:v>2.7443209494693033E-2</c:v>
                </c:pt>
                <c:pt idx="634">
                  <c:v>2.7470951406033395E-2</c:v>
                </c:pt>
                <c:pt idx="635">
                  <c:v>2.7498586429162142E-2</c:v>
                </c:pt>
                <c:pt idx="636">
                  <c:v>2.7526114563998227E-2</c:v>
                </c:pt>
                <c:pt idx="637">
                  <c:v>2.7553535810622698E-2</c:v>
                </c:pt>
                <c:pt idx="638">
                  <c:v>2.7580850168873461E-2</c:v>
                </c:pt>
                <c:pt idx="639">
                  <c:v>2.7608057638831562E-2</c:v>
                </c:pt>
                <c:pt idx="640">
                  <c:v>2.7635158220415956E-2</c:v>
                </c:pt>
                <c:pt idx="641">
                  <c:v>2.7662151913626642E-2</c:v>
                </c:pt>
                <c:pt idx="642">
                  <c:v>2.7689038718382575E-2</c:v>
                </c:pt>
                <c:pt idx="643">
                  <c:v>2.7715818634764799E-2</c:v>
                </c:pt>
                <c:pt idx="644">
                  <c:v>2.7742491662611224E-2</c:v>
                </c:pt>
                <c:pt idx="645">
                  <c:v>2.7772844239261074E-2</c:v>
                </c:pt>
                <c:pt idx="646">
                  <c:v>2.7799288220430318E-2</c:v>
                </c:pt>
                <c:pt idx="647">
                  <c:v>2.7825625313063762E-2</c:v>
                </c:pt>
                <c:pt idx="648">
                  <c:v>2.7851855517080359E-2</c:v>
                </c:pt>
                <c:pt idx="649">
                  <c:v>2.7877978832642203E-2</c:v>
                </c:pt>
                <c:pt idx="650">
                  <c:v>2.7903995259506154E-2</c:v>
                </c:pt>
                <c:pt idx="651">
                  <c:v>2.7929904797753258E-2</c:v>
                </c:pt>
                <c:pt idx="652">
                  <c:v>2.7955707447464562E-2</c:v>
                </c:pt>
                <c:pt idx="653">
                  <c:v>2.7981403208396927E-2</c:v>
                </c:pt>
                <c:pt idx="654">
                  <c:v>2.8006992080793491E-2</c:v>
                </c:pt>
                <c:pt idx="655">
                  <c:v>2.8032474064330071E-2</c:v>
                </c:pt>
                <c:pt idx="656">
                  <c:v>2.8057849159168757E-2</c:v>
                </c:pt>
                <c:pt idx="657">
                  <c:v>2.8083117365309551E-2</c:v>
                </c:pt>
                <c:pt idx="658">
                  <c:v>2.810827868259036E-2</c:v>
                </c:pt>
                <c:pt idx="659">
                  <c:v>2.8133333111173275E-2</c:v>
                </c:pt>
                <c:pt idx="660">
                  <c:v>2.8158280650896206E-2</c:v>
                </c:pt>
                <c:pt idx="661">
                  <c:v>2.8194551603202944E-2</c:v>
                </c:pt>
                <c:pt idx="662">
                  <c:v>2.8207855063843157E-2</c:v>
                </c:pt>
                <c:pt idx="663">
                  <c:v>2.8232481936905085E-2</c:v>
                </c:pt>
                <c:pt idx="664">
                  <c:v>2.8257001921107028E-2</c:v>
                </c:pt>
                <c:pt idx="665">
                  <c:v>2.8281415016448985E-2</c:v>
                </c:pt>
                <c:pt idx="666">
                  <c:v>2.8305721222768865E-2</c:v>
                </c:pt>
                <c:pt idx="667">
                  <c:v>2.8329920540147713E-2</c:v>
                </c:pt>
                <c:pt idx="668">
                  <c:v>2.8354012968585529E-2</c:v>
                </c:pt>
                <c:pt idx="669">
                  <c:v>2.8377998507920221E-2</c:v>
                </c:pt>
                <c:pt idx="670">
                  <c:v>2.8401877158232836E-2</c:v>
                </c:pt>
                <c:pt idx="671">
                  <c:v>2.8425649863307312E-2</c:v>
                </c:pt>
                <c:pt idx="672">
                  <c:v>2.8449473288927329E-2</c:v>
                </c:pt>
                <c:pt idx="673">
                  <c:v>2.8473467293870236E-2</c:v>
                </c:pt>
                <c:pt idx="674">
                  <c:v>2.8497631878217078E-2</c:v>
                </c:pt>
                <c:pt idx="675">
                  <c:v>2.8521967041967855E-2</c:v>
                </c:pt>
                <c:pt idx="676">
                  <c:v>2.854647278528466E-2</c:v>
                </c:pt>
                <c:pt idx="677">
                  <c:v>2.85711491080054E-2</c:v>
                </c:pt>
                <c:pt idx="678">
                  <c:v>2.8595996010292168E-2</c:v>
                </c:pt>
                <c:pt idx="679">
                  <c:v>2.8621013492144964E-2</c:v>
                </c:pt>
                <c:pt idx="680">
                  <c:v>2.8646201553644834E-2</c:v>
                </c:pt>
                <c:pt idx="681">
                  <c:v>2.8671560194710732E-2</c:v>
                </c:pt>
                <c:pt idx="682">
                  <c:v>2.8697089415585797E-2</c:v>
                </c:pt>
                <c:pt idx="683">
                  <c:v>2.8722789216026889E-2</c:v>
                </c:pt>
                <c:pt idx="684">
                  <c:v>2.8748659596277149E-2</c:v>
                </c:pt>
                <c:pt idx="685">
                  <c:v>2.8774700556336574E-2</c:v>
                </c:pt>
                <c:pt idx="686">
                  <c:v>2.8800912096205167E-2</c:v>
                </c:pt>
                <c:pt idx="687">
                  <c:v>2.8827294215882926E-2</c:v>
                </c:pt>
                <c:pt idx="688">
                  <c:v>2.8853846915450898E-2</c:v>
                </c:pt>
                <c:pt idx="689">
                  <c:v>2.8880570194990129E-2</c:v>
                </c:pt>
                <c:pt idx="690">
                  <c:v>2.890746405450062E-2</c:v>
                </c:pt>
                <c:pt idx="691">
                  <c:v>2.893452849398237E-2</c:v>
                </c:pt>
                <c:pt idx="692">
                  <c:v>2.8961763513597472E-2</c:v>
                </c:pt>
                <c:pt idx="693">
                  <c:v>2.8989169113264879E-2</c:v>
                </c:pt>
                <c:pt idx="694">
                  <c:v>2.9016745293065638E-2</c:v>
                </c:pt>
                <c:pt idx="695">
                  <c:v>2.9044492052918702E-2</c:v>
                </c:pt>
                <c:pt idx="696">
                  <c:v>2.9072409393067211E-2</c:v>
                </c:pt>
                <c:pt idx="697">
                  <c:v>2.9110876378434979E-2</c:v>
                </c:pt>
                <c:pt idx="698">
                  <c:v>2.9139188133658903E-2</c:v>
                </c:pt>
                <c:pt idx="699">
                  <c:v>2.9167670500867365E-2</c:v>
                </c:pt>
                <c:pt idx="700">
                  <c:v>2.9196323480168433E-2</c:v>
                </c:pt>
                <c:pt idx="701">
                  <c:v>2.9225147071697176E-2</c:v>
                </c:pt>
                <c:pt idx="702">
                  <c:v>2.9254141275561661E-2</c:v>
                </c:pt>
                <c:pt idx="703">
                  <c:v>2.9283306091923981E-2</c:v>
                </c:pt>
                <c:pt idx="704">
                  <c:v>2.9312641520838161E-2</c:v>
                </c:pt>
                <c:pt idx="705">
                  <c:v>2.9342147562466302E-2</c:v>
                </c:pt>
                <c:pt idx="706">
                  <c:v>2.9371824216943475E-2</c:v>
                </c:pt>
                <c:pt idx="707">
                  <c:v>2.9401671484377744E-2</c:v>
                </c:pt>
                <c:pt idx="708">
                  <c:v>2.9431689364904184E-2</c:v>
                </c:pt>
                <c:pt idx="709">
                  <c:v>2.9461877858630862E-2</c:v>
                </c:pt>
                <c:pt idx="710">
                  <c:v>2.9492236965692847E-2</c:v>
                </c:pt>
                <c:pt idx="711">
                  <c:v>2.9522766686225225E-2</c:v>
                </c:pt>
                <c:pt idx="712">
                  <c:v>2.9564280661414921E-2</c:v>
                </c:pt>
                <c:pt idx="713">
                  <c:v>2.9595219714644294E-2</c:v>
                </c:pt>
                <c:pt idx="714">
                  <c:v>2.9626329348817482E-2</c:v>
                </c:pt>
                <c:pt idx="715">
                  <c:v>2.9657609564096576E-2</c:v>
                </c:pt>
                <c:pt idx="716">
                  <c:v>2.9689060360319486E-2</c:v>
                </c:pt>
                <c:pt idx="717">
                  <c:v>2.9720681737648302E-2</c:v>
                </c:pt>
                <c:pt idx="718">
                  <c:v>2.9752473696245119E-2</c:v>
                </c:pt>
                <c:pt idx="719">
                  <c:v>2.9784436235947842E-2</c:v>
                </c:pt>
                <c:pt idx="720">
                  <c:v>2.9816569356837519E-2</c:v>
                </c:pt>
                <c:pt idx="721">
                  <c:v>2.9848873059076242E-2</c:v>
                </c:pt>
                <c:pt idx="722">
                  <c:v>2.9881347342664011E-2</c:v>
                </c:pt>
                <c:pt idx="723">
                  <c:v>2.9913987865870517E-2</c:v>
                </c:pt>
                <c:pt idx="724">
                  <c:v>2.9946673061219675E-2</c:v>
                </c:pt>
                <c:pt idx="725">
                  <c:v>2.9979346486379566E-2</c:v>
                </c:pt>
                <c:pt idx="726">
                  <c:v>3.0012008141512281E-2</c:v>
                </c:pt>
                <c:pt idx="727">
                  <c:v>3.0044658026536775E-2</c:v>
                </c:pt>
                <c:pt idx="728">
                  <c:v>3.0077296141453047E-2</c:v>
                </c:pt>
                <c:pt idx="729">
                  <c:v>3.0109922486342144E-2</c:v>
                </c:pt>
                <c:pt idx="730">
                  <c:v>3.014253706112302E-2</c:v>
                </c:pt>
                <c:pt idx="731">
                  <c:v>3.0175139865714629E-2</c:v>
                </c:pt>
                <c:pt idx="732">
                  <c:v>3.0207730900279062E-2</c:v>
                </c:pt>
                <c:pt idx="733">
                  <c:v>3.0240310164735273E-2</c:v>
                </c:pt>
                <c:pt idx="734">
                  <c:v>3.0272877659002217E-2</c:v>
                </c:pt>
                <c:pt idx="735">
                  <c:v>3.0305433383241986E-2</c:v>
                </c:pt>
                <c:pt idx="736">
                  <c:v>3.0337977337373534E-2</c:v>
                </c:pt>
                <c:pt idx="737">
                  <c:v>3.037050952139686E-2</c:v>
                </c:pt>
                <c:pt idx="738">
                  <c:v>3.0403029935149872E-2</c:v>
                </c:pt>
                <c:pt idx="739">
                  <c:v>3.0435538578956756E-2</c:v>
                </c:pt>
                <c:pt idx="740">
                  <c:v>3.0468035452574371E-2</c:v>
                </c:pt>
                <c:pt idx="741">
                  <c:v>3.0500520556083766E-2</c:v>
                </c:pt>
                <c:pt idx="742">
                  <c:v>3.0532993889403892E-2</c:v>
                </c:pt>
                <c:pt idx="743">
                  <c:v>3.0565455452615797E-2</c:v>
                </c:pt>
                <c:pt idx="744">
                  <c:v>3.0597905245719481E-2</c:v>
                </c:pt>
                <c:pt idx="745">
                  <c:v>3.0630343268633897E-2</c:v>
                </c:pt>
                <c:pt idx="746">
                  <c:v>3.0662769521359046E-2</c:v>
                </c:pt>
                <c:pt idx="747">
                  <c:v>3.0695184004057019E-2</c:v>
                </c:pt>
                <c:pt idx="748">
                  <c:v>3.0727586716484678E-2</c:v>
                </c:pt>
                <c:pt idx="749">
                  <c:v>3.0759977658885163E-2</c:v>
                </c:pt>
                <c:pt idx="750">
                  <c:v>3.0792356831015333E-2</c:v>
                </c:pt>
                <c:pt idx="751">
                  <c:v>3.0824724232956235E-2</c:v>
                </c:pt>
                <c:pt idx="752">
                  <c:v>3.0857079864788917E-2</c:v>
                </c:pt>
                <c:pt idx="753">
                  <c:v>3.0889423726513376E-2</c:v>
                </c:pt>
                <c:pt idx="754">
                  <c:v>3.0921755817967522E-2</c:v>
                </c:pt>
                <c:pt idx="755">
                  <c:v>3.0954076139313447E-2</c:v>
                </c:pt>
                <c:pt idx="756">
                  <c:v>3.0986384690470103E-2</c:v>
                </c:pt>
                <c:pt idx="757">
                  <c:v>3.1018681471356446E-2</c:v>
                </c:pt>
                <c:pt idx="758">
                  <c:v>3.1050966482134568E-2</c:v>
                </c:pt>
                <c:pt idx="759">
                  <c:v>3.1083239722804468E-2</c:v>
                </c:pt>
                <c:pt idx="760">
                  <c:v>3.1115501193204054E-2</c:v>
                </c:pt>
                <c:pt idx="761">
                  <c:v>3.1147750893333326E-2</c:v>
                </c:pt>
                <c:pt idx="762">
                  <c:v>3.1179988823354376E-2</c:v>
                </c:pt>
                <c:pt idx="763">
                  <c:v>3.121221498318616E-2</c:v>
                </c:pt>
                <c:pt idx="764">
                  <c:v>3.1244429372828675E-2</c:v>
                </c:pt>
                <c:pt idx="765">
                  <c:v>3.1276631992200876E-2</c:v>
                </c:pt>
                <c:pt idx="766">
                  <c:v>3.130882284138381E-2</c:v>
                </c:pt>
                <c:pt idx="767">
                  <c:v>3.1341001920377476E-2</c:v>
                </c:pt>
                <c:pt idx="768">
                  <c:v>3.1373169229100828E-2</c:v>
                </c:pt>
                <c:pt idx="769">
                  <c:v>3.1405324767634912E-2</c:v>
                </c:pt>
                <c:pt idx="770">
                  <c:v>3.1437468535979729E-2</c:v>
                </c:pt>
                <c:pt idx="771">
                  <c:v>3.1469600534054232E-2</c:v>
                </c:pt>
                <c:pt idx="772">
                  <c:v>3.1501720761939467E-2</c:v>
                </c:pt>
                <c:pt idx="773">
                  <c:v>3.1533829219554388E-2</c:v>
                </c:pt>
                <c:pt idx="774">
                  <c:v>3.1565925906980041E-2</c:v>
                </c:pt>
                <c:pt idx="775">
                  <c:v>3.1597999584961345E-2</c:v>
                </c:pt>
                <c:pt idx="776">
                  <c:v>3.1629735555409599E-2</c:v>
                </c:pt>
                <c:pt idx="777">
                  <c:v>3.1660987708657107E-2</c:v>
                </c:pt>
                <c:pt idx="778">
                  <c:v>3.1691756044298636E-2</c:v>
                </c:pt>
                <c:pt idx="779">
                  <c:v>3.1722040562415232E-2</c:v>
                </c:pt>
                <c:pt idx="780">
                  <c:v>3.1751841262763758E-2</c:v>
                </c:pt>
                <c:pt idx="781">
                  <c:v>3.1781158145344213E-2</c:v>
                </c:pt>
                <c:pt idx="782">
                  <c:v>3.180999121007555E-2</c:v>
                </c:pt>
                <c:pt idx="783">
                  <c:v>3.1838340456552539E-2</c:v>
                </c:pt>
                <c:pt idx="784">
                  <c:v>3.1866205885018317E-2</c:v>
                </c:pt>
                <c:pt idx="785">
                  <c:v>3.1893587495148701E-2</c:v>
                </c:pt>
                <c:pt idx="786">
                  <c:v>3.1920485286862643E-2</c:v>
                </c:pt>
                <c:pt idx="787">
                  <c:v>3.1946899260079098E-2</c:v>
                </c:pt>
                <c:pt idx="788">
                  <c:v>3.1972829414798065E-2</c:v>
                </c:pt>
                <c:pt idx="789">
                  <c:v>3.199827575069536E-2</c:v>
                </c:pt>
                <c:pt idx="790">
                  <c:v>3.2023238267852028E-2</c:v>
                </c:pt>
                <c:pt idx="791">
                  <c:v>3.2047716966187023E-2</c:v>
                </c:pt>
                <c:pt idx="792">
                  <c:v>3.2071711845376161E-2</c:v>
                </c:pt>
                <c:pt idx="793">
                  <c:v>3.2095222905500487E-2</c:v>
                </c:pt>
                <c:pt idx="794">
                  <c:v>3.2118250146478955E-2</c:v>
                </c:pt>
                <c:pt idx="795">
                  <c:v>3.2140793568149473E-2</c:v>
                </c:pt>
                <c:pt idx="796">
                  <c:v>3.2162853170430994E-2</c:v>
                </c:pt>
                <c:pt idx="797">
                  <c:v>3.2184428953242472E-2</c:v>
                </c:pt>
                <c:pt idx="798">
                  <c:v>3.2205520916502861E-2</c:v>
                </c:pt>
                <c:pt idx="799">
                  <c:v>3.2226129060212161E-2</c:v>
                </c:pt>
                <c:pt idx="800">
                  <c:v>3.2246253384127233E-2</c:v>
                </c:pt>
                <c:pt idx="801">
                  <c:v>3.226866017911223E-2</c:v>
                </c:pt>
                <c:pt idx="802">
                  <c:v>3.2287747746279072E-2</c:v>
                </c:pt>
                <c:pt idx="803">
                  <c:v>3.2306351493489593E-2</c:v>
                </c:pt>
                <c:pt idx="804">
                  <c:v>3.2324471420662748E-2</c:v>
                </c:pt>
                <c:pt idx="805">
                  <c:v>3.234210752771749E-2</c:v>
                </c:pt>
                <c:pt idx="806">
                  <c:v>3.2359259814653818E-2</c:v>
                </c:pt>
                <c:pt idx="807">
                  <c:v>3.2375928281309641E-2</c:v>
                </c:pt>
                <c:pt idx="808">
                  <c:v>3.2392112927684957E-2</c:v>
                </c:pt>
                <c:pt idx="809">
                  <c:v>3.2407813753617676E-2</c:v>
                </c:pt>
                <c:pt idx="810">
                  <c:v>3.2423030759188842E-2</c:v>
                </c:pt>
                <c:pt idx="811">
                  <c:v>3.2437763944236364E-2</c:v>
                </c:pt>
                <c:pt idx="812">
                  <c:v>3.2452013308760241E-2</c:v>
                </c:pt>
                <c:pt idx="813">
                  <c:v>3.2465778852598381E-2</c:v>
                </c:pt>
                <c:pt idx="814">
                  <c:v>3.2479060575912877E-2</c:v>
                </c:pt>
                <c:pt idx="815">
                  <c:v>3.2491858478460589E-2</c:v>
                </c:pt>
                <c:pt idx="816">
                  <c:v>3.2504172560160471E-2</c:v>
                </c:pt>
                <c:pt idx="817">
                  <c:v>3.251600282109357E-2</c:v>
                </c:pt>
                <c:pt idx="818">
                  <c:v>3.252734926117884E-2</c:v>
                </c:pt>
                <c:pt idx="819">
                  <c:v>3.2538211880335233E-2</c:v>
                </c:pt>
                <c:pt idx="820">
                  <c:v>3.254859067856275E-2</c:v>
                </c:pt>
                <c:pt idx="821">
                  <c:v>3.2558485655780345E-2</c:v>
                </c:pt>
                <c:pt idx="822">
                  <c:v>3.2567896811906971E-2</c:v>
                </c:pt>
                <c:pt idx="823">
                  <c:v>3.2576824147023675E-2</c:v>
                </c:pt>
                <c:pt idx="824">
                  <c:v>3.2585267661049411E-2</c:v>
                </c:pt>
                <c:pt idx="825">
                  <c:v>3.2593227353903131E-2</c:v>
                </c:pt>
                <c:pt idx="826">
                  <c:v>3.2600703225584837E-2</c:v>
                </c:pt>
                <c:pt idx="827">
                  <c:v>3.2607738647849605E-2</c:v>
                </c:pt>
                <c:pt idx="828">
                  <c:v>3.2614822122454257E-2</c:v>
                </c:pt>
                <c:pt idx="829">
                  <c:v>3.2622092895581156E-2</c:v>
                </c:pt>
                <c:pt idx="830">
                  <c:v>3.262955096706821E-2</c:v>
                </c:pt>
                <c:pt idx="831">
                  <c:v>3.2637196336996466E-2</c:v>
                </c:pt>
                <c:pt idx="832">
                  <c:v>3.2645029005446968E-2</c:v>
                </c:pt>
                <c:pt idx="833">
                  <c:v>3.2653048972257626E-2</c:v>
                </c:pt>
                <c:pt idx="834">
                  <c:v>3.266125623759053E-2</c:v>
                </c:pt>
                <c:pt idx="835">
                  <c:v>3.2669650801445682E-2</c:v>
                </c:pt>
                <c:pt idx="836">
                  <c:v>3.2678232663742035E-2</c:v>
                </c:pt>
                <c:pt idx="837">
                  <c:v>3.2687001824560635E-2</c:v>
                </c:pt>
                <c:pt idx="838">
                  <c:v>3.2695958283982529E-2</c:v>
                </c:pt>
                <c:pt idx="839">
                  <c:v>3.2705102041845624E-2</c:v>
                </c:pt>
                <c:pt idx="840">
                  <c:v>3.2714433098312012E-2</c:v>
                </c:pt>
                <c:pt idx="841">
                  <c:v>3.2723951453300648E-2</c:v>
                </c:pt>
                <c:pt idx="842">
                  <c:v>3.2733657106892577E-2</c:v>
                </c:pt>
                <c:pt idx="843">
                  <c:v>3.2743550059168847E-2</c:v>
                </c:pt>
                <c:pt idx="844">
                  <c:v>3.2753630309886317E-2</c:v>
                </c:pt>
                <c:pt idx="845">
                  <c:v>3.2763897859288127E-2</c:v>
                </c:pt>
                <c:pt idx="846">
                  <c:v>3.2774352707455323E-2</c:v>
                </c:pt>
                <c:pt idx="847">
                  <c:v>3.2784994854144767E-2</c:v>
                </c:pt>
                <c:pt idx="848">
                  <c:v>3.2795824299599596E-2</c:v>
                </c:pt>
                <c:pt idx="849">
                  <c:v>3.280684104365772E-2</c:v>
                </c:pt>
                <c:pt idx="850">
                  <c:v>3.2818045086481229E-2</c:v>
                </c:pt>
                <c:pt idx="851">
                  <c:v>3.2829436428070125E-2</c:v>
                </c:pt>
                <c:pt idx="852">
                  <c:v>3.284101506834336E-2</c:v>
                </c:pt>
                <c:pt idx="853">
                  <c:v>3.2852781007381981E-2</c:v>
                </c:pt>
                <c:pt idx="854">
                  <c:v>3.2864734245185989E-2</c:v>
                </c:pt>
                <c:pt idx="855">
                  <c:v>3.2876874781836429E-2</c:v>
                </c:pt>
                <c:pt idx="856">
                  <c:v>3.2889202617252256E-2</c:v>
                </c:pt>
                <c:pt idx="857">
                  <c:v>3.2901717751514514E-2</c:v>
                </c:pt>
                <c:pt idx="858">
                  <c:v>3.2914420184704252E-2</c:v>
                </c:pt>
                <c:pt idx="859">
                  <c:v>3.2927309916740422E-2</c:v>
                </c:pt>
                <c:pt idx="860">
                  <c:v>3.2940386947623024E-2</c:v>
                </c:pt>
                <c:pt idx="861">
                  <c:v>3.2953651277433105E-2</c:v>
                </c:pt>
                <c:pt idx="862">
                  <c:v>3.2967102906251711E-2</c:v>
                </c:pt>
                <c:pt idx="863">
                  <c:v>3.2980741833916749E-2</c:v>
                </c:pt>
                <c:pt idx="864">
                  <c:v>3.2994568060590312E-2</c:v>
                </c:pt>
                <c:pt idx="865">
                  <c:v>3.3008581586353447E-2</c:v>
                </c:pt>
                <c:pt idx="866">
                  <c:v>3.302278241104406E-2</c:v>
                </c:pt>
                <c:pt idx="867">
                  <c:v>3.3037170534824245E-2</c:v>
                </c:pt>
                <c:pt idx="868">
                  <c:v>3.3051745957694001E-2</c:v>
                </c:pt>
                <c:pt idx="869">
                  <c:v>3.3066508679491236E-2</c:v>
                </c:pt>
                <c:pt idx="870">
                  <c:v>3.3081458700540134E-2</c:v>
                </c:pt>
                <c:pt idx="871">
                  <c:v>3.309659602075965E-2</c:v>
                </c:pt>
                <c:pt idx="872">
                  <c:v>3.3111920639987691E-2</c:v>
                </c:pt>
                <c:pt idx="873">
                  <c:v>3.3127432558467396E-2</c:v>
                </c:pt>
                <c:pt idx="874">
                  <c:v>3.3143131776198764E-2</c:v>
                </c:pt>
                <c:pt idx="875">
                  <c:v>3.3159018293019704E-2</c:v>
                </c:pt>
                <c:pt idx="876">
                  <c:v>3.31750921092544E-2</c:v>
                </c:pt>
                <c:pt idx="877">
                  <c:v>3.3191353224740761E-2</c:v>
                </c:pt>
                <c:pt idx="878">
                  <c:v>3.3207801639478784E-2</c:v>
                </c:pt>
                <c:pt idx="879">
                  <c:v>3.322443391070351E-2</c:v>
                </c:pt>
                <c:pt idx="880">
                  <c:v>3.3241153637511012E-2</c:v>
                </c:pt>
                <c:pt idx="881">
                  <c:v>3.3257916062416903E-2</c:v>
                </c:pt>
                <c:pt idx="882">
                  <c:v>3.3274721185583278E-2</c:v>
                </c:pt>
                <c:pt idx="883">
                  <c:v>3.3291569006766997E-2</c:v>
                </c:pt>
                <c:pt idx="884">
                  <c:v>3.3308459526130152E-2</c:v>
                </c:pt>
                <c:pt idx="885">
                  <c:v>3.332539274375379E-2</c:v>
                </c:pt>
                <c:pt idx="886">
                  <c:v>3.3342368659394772E-2</c:v>
                </c:pt>
                <c:pt idx="887">
                  <c:v>3.3359387273296237E-2</c:v>
                </c:pt>
                <c:pt idx="888">
                  <c:v>3.3376448585377139E-2</c:v>
                </c:pt>
                <c:pt idx="889">
                  <c:v>3.3393552595556431E-2</c:v>
                </c:pt>
                <c:pt idx="890">
                  <c:v>3.3410699303915159E-2</c:v>
                </c:pt>
                <c:pt idx="891">
                  <c:v>3.342788871053437E-2</c:v>
                </c:pt>
                <c:pt idx="892">
                  <c:v>3.3445120815251972E-2</c:v>
                </c:pt>
                <c:pt idx="893">
                  <c:v>3.3462395618230056E-2</c:v>
                </c:pt>
                <c:pt idx="894">
                  <c:v>3.3479713119387577E-2</c:v>
                </c:pt>
                <c:pt idx="895">
                  <c:v>3.3497073318886628E-2</c:v>
                </c:pt>
                <c:pt idx="896">
                  <c:v>3.3514476216403022E-2</c:v>
                </c:pt>
                <c:pt idx="897">
                  <c:v>3.3531921812341992E-2</c:v>
                </c:pt>
                <c:pt idx="898">
                  <c:v>3.3549410106460398E-2</c:v>
                </c:pt>
                <c:pt idx="899">
                  <c:v>3.3566941098677194E-2</c:v>
                </c:pt>
                <c:pt idx="900">
                  <c:v>3.358451478923552E-2</c:v>
                </c:pt>
                <c:pt idx="901">
                  <c:v>3.3602131178054329E-2</c:v>
                </c:pt>
                <c:pt idx="902">
                  <c:v>3.361979026513362E-2</c:v>
                </c:pt>
                <c:pt idx="903">
                  <c:v>3.3637492050473394E-2</c:v>
                </c:pt>
                <c:pt idx="904">
                  <c:v>3.3655236534073651E-2</c:v>
                </c:pt>
                <c:pt idx="905">
                  <c:v>3.3673023715934391E-2</c:v>
                </c:pt>
                <c:pt idx="906">
                  <c:v>3.3690853596136661E-2</c:v>
                </c:pt>
                <c:pt idx="907">
                  <c:v>3.3708726174518366E-2</c:v>
                </c:pt>
                <c:pt idx="908">
                  <c:v>3.3726641451241601E-2</c:v>
                </c:pt>
                <c:pt idx="909">
                  <c:v>3.3744599426225319E-2</c:v>
                </c:pt>
                <c:pt idx="910">
                  <c:v>3.3762600099631612E-2</c:v>
                </c:pt>
                <c:pt idx="911">
                  <c:v>3.3780643471298388E-2</c:v>
                </c:pt>
                <c:pt idx="912">
                  <c:v>3.3798729541225647E-2</c:v>
                </c:pt>
                <c:pt idx="913">
                  <c:v>3.3816858309494435E-2</c:v>
                </c:pt>
                <c:pt idx="914">
                  <c:v>3.3835029776185799E-2</c:v>
                </c:pt>
                <c:pt idx="915">
                  <c:v>3.3853243941137645E-2</c:v>
                </c:pt>
                <c:pt idx="916">
                  <c:v>3.3871500804431021E-2</c:v>
                </c:pt>
                <c:pt idx="917">
                  <c:v>3.3889800366146972E-2</c:v>
                </c:pt>
                <c:pt idx="918">
                  <c:v>3.3908142626123405E-2</c:v>
                </c:pt>
                <c:pt idx="919">
                  <c:v>3.3926527584441368E-2</c:v>
                </c:pt>
                <c:pt idx="920">
                  <c:v>3.3944955241262953E-2</c:v>
                </c:pt>
                <c:pt idx="921">
                  <c:v>3.3963425596426067E-2</c:v>
                </c:pt>
                <c:pt idx="922">
                  <c:v>3.3981938649849663E-2</c:v>
                </c:pt>
                <c:pt idx="923">
                  <c:v>3.4000494401776882E-2</c:v>
                </c:pt>
                <c:pt idx="924">
                  <c:v>3.4019092852045629E-2</c:v>
                </c:pt>
                <c:pt idx="925">
                  <c:v>3.4037734000817998E-2</c:v>
                </c:pt>
                <c:pt idx="926">
                  <c:v>3.4056417847931897E-2</c:v>
                </c:pt>
                <c:pt idx="927">
                  <c:v>3.4075144393387324E-2</c:v>
                </c:pt>
                <c:pt idx="928">
                  <c:v>3.4093913637346374E-2</c:v>
                </c:pt>
                <c:pt idx="929">
                  <c:v>3.4112725579727998E-2</c:v>
                </c:pt>
                <c:pt idx="930">
                  <c:v>3.4131580220613245E-2</c:v>
                </c:pt>
                <c:pt idx="931">
                  <c:v>3.415047755984002E-2</c:v>
                </c:pt>
                <c:pt idx="932">
                  <c:v>3.4169368184868709E-2</c:v>
                </c:pt>
                <c:pt idx="933">
                  <c:v>3.4188187509188728E-2</c:v>
                </c:pt>
                <c:pt idx="934">
                  <c:v>3.4206935143615835E-2</c:v>
                </c:pt>
                <c:pt idx="935">
                  <c:v>3.4225611088150032E-2</c:v>
                </c:pt>
                <c:pt idx="936">
                  <c:v>3.4244215342791318E-2</c:v>
                </c:pt>
                <c:pt idx="937">
                  <c:v>3.4262747907620739E-2</c:v>
                </c:pt>
                <c:pt idx="938">
                  <c:v>3.4281208782395156E-2</c:v>
                </c:pt>
                <c:pt idx="939">
                  <c:v>3.4299597967357709E-2</c:v>
                </c:pt>
                <c:pt idx="940">
                  <c:v>3.4317915462427351E-2</c:v>
                </c:pt>
                <c:pt idx="941">
                  <c:v>3.4336161267441989E-2</c:v>
                </c:pt>
                <c:pt idx="942">
                  <c:v>3.4354335382563717E-2</c:v>
                </c:pt>
                <c:pt idx="943">
                  <c:v>3.4372437807711487E-2</c:v>
                </c:pt>
                <c:pt idx="944">
                  <c:v>3.43904685428853E-2</c:v>
                </c:pt>
                <c:pt idx="945">
                  <c:v>3.4408427588085155E-2</c:v>
                </c:pt>
                <c:pt idx="946">
                  <c:v>3.4426314943311054E-2</c:v>
                </c:pt>
                <c:pt idx="947">
                  <c:v>3.4444130608481949E-2</c:v>
                </c:pt>
                <c:pt idx="948">
                  <c:v>3.446187458359784E-2</c:v>
                </c:pt>
                <c:pt idx="949">
                  <c:v>3.4479546868820821E-2</c:v>
                </c:pt>
                <c:pt idx="950">
                  <c:v>3.4497147463907751E-2</c:v>
                </c:pt>
                <c:pt idx="951">
                  <c:v>3.4514676368939678E-2</c:v>
                </c:pt>
                <c:pt idx="952">
                  <c:v>3.4532133583997648E-2</c:v>
                </c:pt>
                <c:pt idx="953">
                  <c:v>3.4549519108919569E-2</c:v>
                </c:pt>
                <c:pt idx="954">
                  <c:v>3.4566832943786485E-2</c:v>
                </c:pt>
                <c:pt idx="955">
                  <c:v>3.4584075088598398E-2</c:v>
                </c:pt>
                <c:pt idx="956">
                  <c:v>3.4601245543274262E-2</c:v>
                </c:pt>
                <c:pt idx="957">
                  <c:v>3.4628934775180475E-2</c:v>
                </c:pt>
                <c:pt idx="958">
                  <c:v>3.4645934350959383E-2</c:v>
                </c:pt>
                <c:pt idx="959">
                  <c:v>3.4662862224553358E-2</c:v>
                </c:pt>
                <c:pt idx="960">
                  <c:v>3.46797183959624E-2</c:v>
                </c:pt>
                <c:pt idx="961">
                  <c:v>3.4696502865132484E-2</c:v>
                </c:pt>
                <c:pt idx="962">
                  <c:v>3.4713215632063608E-2</c:v>
                </c:pt>
                <c:pt idx="963">
                  <c:v>3.4729856696728754E-2</c:v>
                </c:pt>
                <c:pt idx="964">
                  <c:v>3.4746426059046875E-2</c:v>
                </c:pt>
                <c:pt idx="965">
                  <c:v>3.4762923719044991E-2</c:v>
                </c:pt>
                <c:pt idx="966">
                  <c:v>3.4779349676642056E-2</c:v>
                </c:pt>
                <c:pt idx="967">
                  <c:v>3.4795703931865082E-2</c:v>
                </c:pt>
                <c:pt idx="968">
                  <c:v>3.4811986484633017E-2</c:v>
                </c:pt>
                <c:pt idx="969">
                  <c:v>3.4828197334972888E-2</c:v>
                </c:pt>
                <c:pt idx="970">
                  <c:v>3.4844336482803648E-2</c:v>
                </c:pt>
                <c:pt idx="971">
                  <c:v>3.4860403928125283E-2</c:v>
                </c:pt>
                <c:pt idx="972">
                  <c:v>3.4876399670883781E-2</c:v>
                </c:pt>
                <c:pt idx="973">
                  <c:v>3.4895790522688763E-2</c:v>
                </c:pt>
                <c:pt idx="974">
                  <c:v>3.4911609105139352E-2</c:v>
                </c:pt>
                <c:pt idx="975">
                  <c:v>3.4927355997210752E-2</c:v>
                </c:pt>
                <c:pt idx="976">
                  <c:v>3.4943031199065056E-2</c:v>
                </c:pt>
                <c:pt idx="977">
                  <c:v>3.4958634710621217E-2</c:v>
                </c:pt>
                <c:pt idx="978">
                  <c:v>3.4974166531717144E-2</c:v>
                </c:pt>
                <c:pt idx="979">
                  <c:v>3.4989626662595974E-2</c:v>
                </c:pt>
                <c:pt idx="980">
                  <c:v>3.5005015103176662E-2</c:v>
                </c:pt>
                <c:pt idx="981">
                  <c:v>3.5020331853297115E-2</c:v>
                </c:pt>
                <c:pt idx="982">
                  <c:v>3.5035576913119426E-2</c:v>
                </c:pt>
                <c:pt idx="983">
                  <c:v>3.5050750282643595E-2</c:v>
                </c:pt>
                <c:pt idx="984">
                  <c:v>3.5065851961707528E-2</c:v>
                </c:pt>
                <c:pt idx="985">
                  <c:v>3.5080881950392273E-2</c:v>
                </c:pt>
                <c:pt idx="986">
                  <c:v>3.5095840248697829E-2</c:v>
                </c:pt>
                <c:pt idx="987">
                  <c:v>3.5110726856543151E-2</c:v>
                </c:pt>
                <c:pt idx="988">
                  <c:v>3.512554177409033E-2</c:v>
                </c:pt>
                <c:pt idx="989">
                  <c:v>3.5140285001177274E-2</c:v>
                </c:pt>
                <c:pt idx="990">
                  <c:v>3.5154956537885029E-2</c:v>
                </c:pt>
                <c:pt idx="991">
                  <c:v>3.516955638413255E-2</c:v>
                </c:pt>
                <c:pt idx="992">
                  <c:v>3.5184084539919835E-2</c:v>
                </c:pt>
                <c:pt idx="993">
                  <c:v>3.5198541005246886E-2</c:v>
                </c:pt>
                <c:pt idx="994">
                  <c:v>3.5212925780113702E-2</c:v>
                </c:pt>
                <c:pt idx="995">
                  <c:v>3.5227238864520283E-2</c:v>
                </c:pt>
                <c:pt idx="996">
                  <c:v>3.5241480258466629E-2</c:v>
                </c:pt>
                <c:pt idx="997">
                  <c:v>3.5255649961871693E-2</c:v>
                </c:pt>
                <c:pt idx="998">
                  <c:v>3.5269747974816523E-2</c:v>
                </c:pt>
                <c:pt idx="999">
                  <c:v>3.5283774297301118E-2</c:v>
                </c:pt>
                <c:pt idx="1000">
                  <c:v>3.5297728929163386E-2</c:v>
                </c:pt>
                <c:pt idx="1001">
                  <c:v>3.5311611870565418E-2</c:v>
                </c:pt>
                <c:pt idx="1002">
                  <c:v>3.5325423121507216E-2</c:v>
                </c:pt>
                <c:pt idx="1003">
                  <c:v>3.5339162681826686E-2</c:v>
                </c:pt>
                <c:pt idx="1004">
                  <c:v>3.5352830551685921E-2</c:v>
                </c:pt>
                <c:pt idx="1005">
                  <c:v>3.5366426731003875E-2</c:v>
                </c:pt>
                <c:pt idx="1006">
                  <c:v>3.5379951219618455E-2</c:v>
                </c:pt>
                <c:pt idx="1007">
                  <c:v>3.53934040177728E-2</c:v>
                </c:pt>
                <c:pt idx="1008">
                  <c:v>3.5406785125304818E-2</c:v>
                </c:pt>
                <c:pt idx="1009">
                  <c:v>3.5420094542295555E-2</c:v>
                </c:pt>
                <c:pt idx="1010">
                  <c:v>3.5433332268663964E-2</c:v>
                </c:pt>
                <c:pt idx="1011">
                  <c:v>3.5446498304491092E-2</c:v>
                </c:pt>
                <c:pt idx="1012">
                  <c:v>3.5459592649695892E-2</c:v>
                </c:pt>
                <c:pt idx="1013">
                  <c:v>3.5472615304278365E-2</c:v>
                </c:pt>
                <c:pt idx="1014">
                  <c:v>3.5485566268157465E-2</c:v>
                </c:pt>
                <c:pt idx="1015">
                  <c:v>3.5498445541495283E-2</c:v>
                </c:pt>
                <c:pt idx="1016">
                  <c:v>3.5511253124210773E-2</c:v>
                </c:pt>
                <c:pt idx="1017">
                  <c:v>3.552398901622289E-2</c:v>
                </c:pt>
                <c:pt idx="1018">
                  <c:v>3.5536653217612679E-2</c:v>
                </c:pt>
                <c:pt idx="1019">
                  <c:v>3.5549245728299095E-2</c:v>
                </c:pt>
                <c:pt idx="1020">
                  <c:v>3.5561766548363183E-2</c:v>
                </c:pt>
                <c:pt idx="1021">
                  <c:v>3.5574215677723897E-2</c:v>
                </c:pt>
                <c:pt idx="1022">
                  <c:v>3.5586593116462284E-2</c:v>
                </c:pt>
                <c:pt idx="1023">
                  <c:v>3.5598898864497297E-2</c:v>
                </c:pt>
                <c:pt idx="1024">
                  <c:v>3.5611132921828936E-2</c:v>
                </c:pt>
                <c:pt idx="1025">
                  <c:v>3.5623295288376156E-2</c:v>
                </c:pt>
                <c:pt idx="1026">
                  <c:v>3.5635385964301047E-2</c:v>
                </c:pt>
                <c:pt idx="1027">
                  <c:v>3.5647404949522565E-2</c:v>
                </c:pt>
                <c:pt idx="1028">
                  <c:v>3.5659352243959663E-2</c:v>
                </c:pt>
                <c:pt idx="1029">
                  <c:v>3.5671227847693388E-2</c:v>
                </c:pt>
                <c:pt idx="1030">
                  <c:v>3.5683031760642692E-2</c:v>
                </c:pt>
                <c:pt idx="1031">
                  <c:v>3.5694763982888622E-2</c:v>
                </c:pt>
                <c:pt idx="1032">
                  <c:v>3.5706424514431179E-2</c:v>
                </c:pt>
                <c:pt idx="1033">
                  <c:v>3.5718013355189315E-2</c:v>
                </c:pt>
                <c:pt idx="1034">
                  <c:v>3.5729530505163032E-2</c:v>
                </c:pt>
                <c:pt idx="1035">
                  <c:v>3.5740976178881834E-2</c:v>
                </c:pt>
                <c:pt idx="1036">
                  <c:v>3.5752356383739192E-2</c:v>
                </c:pt>
                <c:pt idx="1037">
                  <c:v>3.5763673908942861E-2</c:v>
                </c:pt>
                <c:pt idx="1038">
                  <c:v>3.5774928754249702E-2</c:v>
                </c:pt>
                <c:pt idx="1039">
                  <c:v>3.5786120919902853E-2</c:v>
                </c:pt>
                <c:pt idx="1040">
                  <c:v>3.5797250405821268E-2</c:v>
                </c:pt>
                <c:pt idx="1041">
                  <c:v>3.5808317212085994E-2</c:v>
                </c:pt>
                <c:pt idx="1042">
                  <c:v>3.5819321338453891E-2</c:v>
                </c:pt>
                <c:pt idx="1043">
                  <c:v>3.5830262785006006E-2</c:v>
                </c:pt>
                <c:pt idx="1044">
                  <c:v>3.5841141551823386E-2</c:v>
                </c:pt>
                <c:pt idx="1045">
                  <c:v>3.5851957638906029E-2</c:v>
                </c:pt>
                <c:pt idx="1046">
                  <c:v>3.586271104617289E-2</c:v>
                </c:pt>
                <c:pt idx="1047">
                  <c:v>3.587340177362397E-2</c:v>
                </c:pt>
                <c:pt idx="1048">
                  <c:v>3.5884029821259267E-2</c:v>
                </c:pt>
                <c:pt idx="1049">
                  <c:v>3.5894595189240874E-2</c:v>
                </c:pt>
                <c:pt idx="1050">
                  <c:v>3.5905097877325653E-2</c:v>
                </c:pt>
                <c:pt idx="1051">
                  <c:v>3.5915537885513604E-2</c:v>
                </c:pt>
                <c:pt idx="1052">
                  <c:v>3.5925915213966819E-2</c:v>
                </c:pt>
                <c:pt idx="1053">
                  <c:v>3.5936229862523206E-2</c:v>
                </c:pt>
                <c:pt idx="1054">
                  <c:v>3.5946481831344856E-2</c:v>
                </c:pt>
                <c:pt idx="1055">
                  <c:v>3.5956671120350725E-2</c:v>
                </c:pt>
                <c:pt idx="1056">
                  <c:v>3.5966797729378719E-2</c:v>
                </c:pt>
                <c:pt idx="1057">
                  <c:v>3.5976861658671977E-2</c:v>
                </c:pt>
                <c:pt idx="1058">
                  <c:v>3.5986862908149453E-2</c:v>
                </c:pt>
                <c:pt idx="1059">
                  <c:v>3.5996801477649054E-2</c:v>
                </c:pt>
                <c:pt idx="1060">
                  <c:v>3.6006677367332873E-2</c:v>
                </c:pt>
                <c:pt idx="1061">
                  <c:v>3.601649057720091E-2</c:v>
                </c:pt>
                <c:pt idx="1062">
                  <c:v>3.6026241107172119E-2</c:v>
                </c:pt>
                <c:pt idx="1063">
                  <c:v>3.6035928957246499E-2</c:v>
                </c:pt>
                <c:pt idx="1064">
                  <c:v>3.6045554127343005E-2</c:v>
                </c:pt>
                <c:pt idx="1065">
                  <c:v>3.6055116617704774E-2</c:v>
                </c:pt>
                <c:pt idx="1066">
                  <c:v>3.6064616428088669E-2</c:v>
                </c:pt>
                <c:pt idx="1067">
                  <c:v>3.6074053558737829E-2</c:v>
                </c:pt>
                <c:pt idx="1068">
                  <c:v>3.6083428009328067E-2</c:v>
                </c:pt>
                <c:pt idx="1069">
                  <c:v>3.6092739780021477E-2</c:v>
                </c:pt>
                <c:pt idx="1070">
                  <c:v>3.6101988870899104E-2</c:v>
                </c:pt>
                <c:pt idx="1071">
                  <c:v>3.6111175281717811E-2</c:v>
                </c:pt>
                <c:pt idx="1072">
                  <c:v>3.6120299012720736E-2</c:v>
                </c:pt>
                <c:pt idx="1073">
                  <c:v>3.6129360063745786E-2</c:v>
                </c:pt>
                <c:pt idx="1074">
                  <c:v>3.6138358434955054E-2</c:v>
                </c:pt>
                <c:pt idx="1075">
                  <c:v>3.61472941261054E-2</c:v>
                </c:pt>
                <c:pt idx="1076">
                  <c:v>3.6156167137358919E-2</c:v>
                </c:pt>
                <c:pt idx="1077">
                  <c:v>3.6164977468634563E-2</c:v>
                </c:pt>
                <c:pt idx="1078">
                  <c:v>3.6173725120013378E-2</c:v>
                </c:pt>
                <c:pt idx="1079">
                  <c:v>3.6182410091414319E-2</c:v>
                </c:pt>
                <c:pt idx="1080">
                  <c:v>3.6191032382918431E-2</c:v>
                </c:pt>
                <c:pt idx="1081">
                  <c:v>3.6199591994444669E-2</c:v>
                </c:pt>
                <c:pt idx="1082">
                  <c:v>3.6208088925830939E-2</c:v>
                </c:pt>
                <c:pt idx="1083">
                  <c:v>3.6216523177482474E-2</c:v>
                </c:pt>
                <c:pt idx="1084">
                  <c:v>3.6224894749075087E-2</c:v>
                </c:pt>
                <c:pt idx="1085">
                  <c:v>3.6233203640689826E-2</c:v>
                </c:pt>
                <c:pt idx="1086">
                  <c:v>3.6241449852245644E-2</c:v>
                </c:pt>
                <c:pt idx="1087">
                  <c:v>3.6249633383904634E-2</c:v>
                </c:pt>
                <c:pt idx="1088">
                  <c:v>3.6257754235504702E-2</c:v>
                </c:pt>
                <c:pt idx="1089">
                  <c:v>3.6265812407207942E-2</c:v>
                </c:pt>
                <c:pt idx="1090">
                  <c:v>3.6273807898852262E-2</c:v>
                </c:pt>
                <c:pt idx="1091">
                  <c:v>3.6281740710518706E-2</c:v>
                </c:pt>
                <c:pt idx="1092">
                  <c:v>3.628961084212623E-2</c:v>
                </c:pt>
                <c:pt idx="1093">
                  <c:v>3.6297418293755879E-2</c:v>
                </c:pt>
                <c:pt idx="1094">
                  <c:v>3.6305163065326607E-2</c:v>
                </c:pt>
                <c:pt idx="1095">
                  <c:v>3.6312845157000506E-2</c:v>
                </c:pt>
                <c:pt idx="1096">
                  <c:v>3.6320464568534438E-2</c:v>
                </c:pt>
                <c:pt idx="1097">
                  <c:v>3.632802130000945E-2</c:v>
                </c:pt>
                <c:pt idx="1098">
                  <c:v>3.6335515351587633E-2</c:v>
                </c:pt>
                <c:pt idx="1099">
                  <c:v>3.6342946723025848E-2</c:v>
                </c:pt>
                <c:pt idx="1100">
                  <c:v>3.635031541448619E-2</c:v>
                </c:pt>
                <c:pt idx="1101">
                  <c:v>3.6357621425806563E-2</c:v>
                </c:pt>
                <c:pt idx="1102">
                  <c:v>3.6364864757149062E-2</c:v>
                </c:pt>
                <c:pt idx="1103">
                  <c:v>3.6372045408432641E-2</c:v>
                </c:pt>
                <c:pt idx="1104">
                  <c:v>3.6379163379738344E-2</c:v>
                </c:pt>
                <c:pt idx="1105">
                  <c:v>3.638621867090408E-2</c:v>
                </c:pt>
                <c:pt idx="1106">
                  <c:v>3.6393211282010896E-2</c:v>
                </c:pt>
                <c:pt idx="1107">
                  <c:v>3.640014121305879E-2</c:v>
                </c:pt>
                <c:pt idx="1108">
                  <c:v>3.6407008464047763E-2</c:v>
                </c:pt>
                <c:pt idx="1109">
                  <c:v>3.6413813034977816E-2</c:v>
                </c:pt>
                <c:pt idx="1110">
                  <c:v>3.6420554925767901E-2</c:v>
                </c:pt>
                <c:pt idx="1111">
                  <c:v>3.6427234136580111E-2</c:v>
                </c:pt>
                <c:pt idx="1112">
                  <c:v>3.6433850667252354E-2</c:v>
                </c:pt>
                <c:pt idx="1113">
                  <c:v>3.6441335665474694E-2</c:v>
                </c:pt>
                <c:pt idx="1114">
                  <c:v>3.6447817881711808E-2</c:v>
                </c:pt>
                <c:pt idx="1115">
                  <c:v>3.6454237417808955E-2</c:v>
                </c:pt>
                <c:pt idx="1116">
                  <c:v>3.6460594273766134E-2</c:v>
                </c:pt>
                <c:pt idx="1117">
                  <c:v>3.6466888449664392E-2</c:v>
                </c:pt>
                <c:pt idx="1118">
                  <c:v>3.6473119945503729E-2</c:v>
                </c:pt>
                <c:pt idx="1119">
                  <c:v>3.6479288761203099E-2</c:v>
                </c:pt>
                <c:pt idx="1120">
                  <c:v>3.6485394896762502E-2</c:v>
                </c:pt>
                <c:pt idx="1121">
                  <c:v>3.649143835234403E-2</c:v>
                </c:pt>
                <c:pt idx="1122">
                  <c:v>3.6497419127623498E-2</c:v>
                </c:pt>
                <c:pt idx="1123">
                  <c:v>3.6503337222925092E-2</c:v>
                </c:pt>
                <c:pt idx="1124">
                  <c:v>3.6509192638005672E-2</c:v>
                </c:pt>
                <c:pt idx="1125">
                  <c:v>3.6514985372946285E-2</c:v>
                </c:pt>
                <c:pt idx="1126">
                  <c:v>3.6520715427827977E-2</c:v>
                </c:pt>
                <c:pt idx="1127">
                  <c:v>3.6526382802569701E-2</c:v>
                </c:pt>
                <c:pt idx="1128">
                  <c:v>3.6531987497171459E-2</c:v>
                </c:pt>
                <c:pt idx="1129">
                  <c:v>3.6537529511714295E-2</c:v>
                </c:pt>
                <c:pt idx="1130">
                  <c:v>3.6543008846036118E-2</c:v>
                </c:pt>
                <c:pt idx="1131">
                  <c:v>3.6548425500217974E-2</c:v>
                </c:pt>
                <c:pt idx="1132">
                  <c:v>3.6553779474259862E-2</c:v>
                </c:pt>
                <c:pt idx="1133">
                  <c:v>3.6559070768080737E-2</c:v>
                </c:pt>
                <c:pt idx="1134">
                  <c:v>3.6564299381842691E-2</c:v>
                </c:pt>
                <c:pt idx="1135">
                  <c:v>3.6569465315464678E-2</c:v>
                </c:pt>
                <c:pt idx="1136">
                  <c:v>3.6574568568946697E-2</c:v>
                </c:pt>
                <c:pt idx="1137">
                  <c:v>3.6579609142207703E-2</c:v>
                </c:pt>
                <c:pt idx="1138">
                  <c:v>3.6584587035328742E-2</c:v>
                </c:pt>
                <c:pt idx="1139">
                  <c:v>3.6589502248309813E-2</c:v>
                </c:pt>
                <c:pt idx="1140">
                  <c:v>3.6594354781069871E-2</c:v>
                </c:pt>
                <c:pt idx="1141">
                  <c:v>3.6599144633608915E-2</c:v>
                </c:pt>
                <c:pt idx="1142">
                  <c:v>3.6603871806089039E-2</c:v>
                </c:pt>
                <c:pt idx="1143">
                  <c:v>3.6608536298348149E-2</c:v>
                </c:pt>
                <c:pt idx="1144">
                  <c:v>3.6613138110467291E-2</c:v>
                </c:pt>
                <c:pt idx="1145">
                  <c:v>3.6617677242365421E-2</c:v>
                </c:pt>
                <c:pt idx="1146">
                  <c:v>3.6622153694123583E-2</c:v>
                </c:pt>
                <c:pt idx="1147">
                  <c:v>3.6626567465660731E-2</c:v>
                </c:pt>
                <c:pt idx="1148">
                  <c:v>3.6630918557057912E-2</c:v>
                </c:pt>
                <c:pt idx="1149">
                  <c:v>3.663520696823408E-2</c:v>
                </c:pt>
                <c:pt idx="1150">
                  <c:v>3.6639432699189234E-2</c:v>
                </c:pt>
                <c:pt idx="1151">
                  <c:v>3.6643595750004421E-2</c:v>
                </c:pt>
                <c:pt idx="1152">
                  <c:v>3.6647696120598594E-2</c:v>
                </c:pt>
                <c:pt idx="1153">
                  <c:v>3.66517338110528E-2</c:v>
                </c:pt>
                <c:pt idx="1154">
                  <c:v>3.6655708821204946E-2</c:v>
                </c:pt>
                <c:pt idx="1155">
                  <c:v>3.6659621151217126E-2</c:v>
                </c:pt>
                <c:pt idx="1156">
                  <c:v>3.6663470801008291E-2</c:v>
                </c:pt>
                <c:pt idx="1157">
                  <c:v>3.6667257770740536E-2</c:v>
                </c:pt>
                <c:pt idx="1158">
                  <c:v>3.6670982060089674E-2</c:v>
                </c:pt>
                <c:pt idx="1159">
                  <c:v>3.6674643669298845E-2</c:v>
                </c:pt>
                <c:pt idx="1160">
                  <c:v>3.6678242598287003E-2</c:v>
                </c:pt>
                <c:pt idx="1161">
                  <c:v>3.6681778846973101E-2</c:v>
                </c:pt>
                <c:pt idx="1162">
                  <c:v>3.6685252415519232E-2</c:v>
                </c:pt>
                <c:pt idx="1163">
                  <c:v>3.6688663303844349E-2</c:v>
                </c:pt>
                <c:pt idx="1164">
                  <c:v>3.6692011511948452E-2</c:v>
                </c:pt>
                <c:pt idx="1165">
                  <c:v>3.6695297039912589E-2</c:v>
                </c:pt>
                <c:pt idx="1166">
                  <c:v>3.6698519887574665E-2</c:v>
                </c:pt>
                <c:pt idx="1167">
                  <c:v>3.6701680055015728E-2</c:v>
                </c:pt>
                <c:pt idx="1168">
                  <c:v>3.6704777542316824E-2</c:v>
                </c:pt>
                <c:pt idx="1169">
                  <c:v>3.670781234931586E-2</c:v>
                </c:pt>
                <c:pt idx="1170">
                  <c:v>3.6710784476012837E-2</c:v>
                </c:pt>
                <c:pt idx="1171">
                  <c:v>3.6713693922650892E-2</c:v>
                </c:pt>
                <c:pt idx="1172">
                  <c:v>3.6716540688986887E-2</c:v>
                </c:pt>
                <c:pt idx="1173">
                  <c:v>3.6719324775101869E-2</c:v>
                </c:pt>
                <c:pt idx="1174">
                  <c:v>3.6722046180914791E-2</c:v>
                </c:pt>
                <c:pt idx="1175">
                  <c:v>3.6724704906587746E-2</c:v>
                </c:pt>
                <c:pt idx="1176">
                  <c:v>3.6727300951958641E-2</c:v>
                </c:pt>
                <c:pt idx="1177">
                  <c:v>3.6729834317027477E-2</c:v>
                </c:pt>
                <c:pt idx="1178">
                  <c:v>3.6732305002037391E-2</c:v>
                </c:pt>
                <c:pt idx="1179">
                  <c:v>3.6734713006664199E-2</c:v>
                </c:pt>
                <c:pt idx="1180">
                  <c:v>3.6737058331069994E-2</c:v>
                </c:pt>
                <c:pt idx="1181">
                  <c:v>3.6739340975254775E-2</c:v>
                </c:pt>
                <c:pt idx="1182">
                  <c:v>3.6741560939218543E-2</c:v>
                </c:pt>
                <c:pt idx="1183">
                  <c:v>3.6743718222880251E-2</c:v>
                </c:pt>
                <c:pt idx="1184">
                  <c:v>3.6745812826320945E-2</c:v>
                </c:pt>
                <c:pt idx="1185">
                  <c:v>3.6747844749621672E-2</c:v>
                </c:pt>
                <c:pt idx="1186">
                  <c:v>3.6749813992539293E-2</c:v>
                </c:pt>
                <c:pt idx="1187">
                  <c:v>3.6751720555316947E-2</c:v>
                </c:pt>
                <c:pt idx="1188">
                  <c:v>3.6753564437711495E-2</c:v>
                </c:pt>
                <c:pt idx="1189">
                  <c:v>3.6755345639885029E-2</c:v>
                </c:pt>
                <c:pt idx="1190">
                  <c:v>3.6757064161918596E-2</c:v>
                </c:pt>
                <c:pt idx="1191">
                  <c:v>3.6758720015644952E-2</c:v>
                </c:pt>
                <c:pt idx="1192">
                  <c:v>3.6760315214415806E-2</c:v>
                </c:pt>
                <c:pt idx="1193">
                  <c:v>3.6761851297786308E-2</c:v>
                </c:pt>
                <c:pt idx="1194">
                  <c:v>3.6763328266161688E-2</c:v>
                </c:pt>
                <c:pt idx="1195">
                  <c:v>3.6764746119217762E-2</c:v>
                </c:pt>
                <c:pt idx="1196">
                  <c:v>3.6766104857116622E-2</c:v>
                </c:pt>
                <c:pt idx="1197">
                  <c:v>3.6767404479858268E-2</c:v>
                </c:pt>
                <c:pt idx="1198">
                  <c:v>3.6768644987361654E-2</c:v>
                </c:pt>
                <c:pt idx="1199">
                  <c:v>3.6769826379707826E-2</c:v>
                </c:pt>
                <c:pt idx="1200">
                  <c:v>3.6770948656815738E-2</c:v>
                </c:pt>
                <c:pt idx="1201">
                  <c:v>3.6772011818847483E-2</c:v>
                </c:pt>
                <c:pt idx="1202">
                  <c:v>3.6773015865640968E-2</c:v>
                </c:pt>
                <c:pt idx="1203">
                  <c:v>3.6773960797358285E-2</c:v>
                </c:pt>
                <c:pt idx="1204">
                  <c:v>3.6774846613675249E-2</c:v>
                </c:pt>
                <c:pt idx="1205">
                  <c:v>3.6775673314916046E-2</c:v>
                </c:pt>
                <c:pt idx="1206">
                  <c:v>3.677644090099963E-2</c:v>
                </c:pt>
                <c:pt idx="1207">
                  <c:v>3.6777149371844953E-2</c:v>
                </c:pt>
                <c:pt idx="1208">
                  <c:v>3.6777798727533062E-2</c:v>
                </c:pt>
                <c:pt idx="1209">
                  <c:v>3.6778388967982911E-2</c:v>
                </c:pt>
                <c:pt idx="1210">
                  <c:v>3.6778920093275547E-2</c:v>
                </c:pt>
                <c:pt idx="1211">
                  <c:v>3.6779392103329922E-2</c:v>
                </c:pt>
                <c:pt idx="1212">
                  <c:v>3.677980499830813E-2</c:v>
                </c:pt>
                <c:pt idx="1213">
                  <c:v>3.6780158777967031E-2</c:v>
                </c:pt>
                <c:pt idx="1214">
                  <c:v>3.6780453442549765E-2</c:v>
                </c:pt>
                <c:pt idx="1215">
                  <c:v>3.6780688991894239E-2</c:v>
                </c:pt>
                <c:pt idx="1216">
                  <c:v>3.6780865426000453E-2</c:v>
                </c:pt>
                <c:pt idx="1217">
                  <c:v>3.6780994679014301E-2</c:v>
                </c:pt>
                <c:pt idx="1218">
                  <c:v>3.6781044437783628E-2</c:v>
                </c:pt>
                <c:pt idx="1219">
                  <c:v>3.6781035081395741E-2</c:v>
                </c:pt>
                <c:pt idx="1220">
                  <c:v>3.6780966609688548E-2</c:v>
                </c:pt>
                <c:pt idx="1221">
                  <c:v>3.6780839022905187E-2</c:v>
                </c:pt>
                <c:pt idx="1222">
                  <c:v>3.678065232080252E-2</c:v>
                </c:pt>
                <c:pt idx="1223">
                  <c:v>3.6780406503623686E-2</c:v>
                </c:pt>
                <c:pt idx="1224">
                  <c:v>3.6780101571206592E-2</c:v>
                </c:pt>
                <c:pt idx="1225">
                  <c:v>3.6779737523551237E-2</c:v>
                </c:pt>
                <c:pt idx="1226">
                  <c:v>3.6779314360819715E-2</c:v>
                </c:pt>
                <c:pt idx="1227">
                  <c:v>3.6778832082849933E-2</c:v>
                </c:pt>
                <c:pt idx="1228">
                  <c:v>3.677829068964189E-2</c:v>
                </c:pt>
                <c:pt idx="1229">
                  <c:v>3.6777690181276634E-2</c:v>
                </c:pt>
                <c:pt idx="1230">
                  <c:v>3.6777030557835211E-2</c:v>
                </c:pt>
                <c:pt idx="1231">
                  <c:v>3.6776311818993435E-2</c:v>
                </c:pt>
                <c:pt idx="1232">
                  <c:v>3.6775533965075491E-2</c:v>
                </c:pt>
                <c:pt idx="1233">
                  <c:v>3.6781856735236262E-2</c:v>
                </c:pt>
                <c:pt idx="1234">
                  <c:v>3.6773800911686916E-2</c:v>
                </c:pt>
                <c:pt idx="1235">
                  <c:v>3.6772845712135238E-2</c:v>
                </c:pt>
                <c:pt idx="1236">
                  <c:v>3.6771831397507393E-2</c:v>
                </c:pt>
                <c:pt idx="1237">
                  <c:v>3.6770757967560241E-2</c:v>
                </c:pt>
                <c:pt idx="1238">
                  <c:v>3.6769625422536922E-2</c:v>
                </c:pt>
                <c:pt idx="1239">
                  <c:v>3.6768433762356389E-2</c:v>
                </c:pt>
                <c:pt idx="1240">
                  <c:v>3.676718298685655E-2</c:v>
                </c:pt>
                <c:pt idx="1241">
                  <c:v>3.6765873096280544E-2</c:v>
                </c:pt>
                <c:pt idx="1242">
                  <c:v>3.6764504090466277E-2</c:v>
                </c:pt>
                <c:pt idx="1243">
                  <c:v>3.6763075969494796E-2</c:v>
                </c:pt>
                <c:pt idx="1244">
                  <c:v>3.6761588733366102E-2</c:v>
                </c:pt>
                <c:pt idx="1245">
                  <c:v>3.6760042381999147E-2</c:v>
                </c:pt>
                <c:pt idx="1246">
                  <c:v>3.6758436915474979E-2</c:v>
                </c:pt>
                <c:pt idx="1247">
                  <c:v>3.6756772333793597E-2</c:v>
                </c:pt>
                <c:pt idx="1248">
                  <c:v>3.6755048636873955E-2</c:v>
                </c:pt>
                <c:pt idx="1249">
                  <c:v>3.6753265824797099E-2</c:v>
                </c:pt>
                <c:pt idx="1250">
                  <c:v>3.6751423897563029E-2</c:v>
                </c:pt>
                <c:pt idx="1251">
                  <c:v>3.6749522855171746E-2</c:v>
                </c:pt>
                <c:pt idx="1252">
                  <c:v>3.6747562697542202E-2</c:v>
                </c:pt>
                <c:pt idx="1253">
                  <c:v>3.6745543424755445E-2</c:v>
                </c:pt>
                <c:pt idx="1254">
                  <c:v>3.674346503689252E-2</c:v>
                </c:pt>
                <c:pt idx="1255">
                  <c:v>3.6741327533710288E-2</c:v>
                </c:pt>
                <c:pt idx="1256">
                  <c:v>3.673913091545189E-2</c:v>
                </c:pt>
                <c:pt idx="1257">
                  <c:v>3.6736875182036277E-2</c:v>
                </c:pt>
                <c:pt idx="1258">
                  <c:v>3.6734560333301358E-2</c:v>
                </c:pt>
                <c:pt idx="1259">
                  <c:v>3.6732186369571318E-2</c:v>
                </c:pt>
                <c:pt idx="1260">
                  <c:v>3.6729753290684064E-2</c:v>
                </c:pt>
                <c:pt idx="1261">
                  <c:v>3.6727261096477504E-2</c:v>
                </c:pt>
                <c:pt idx="1262">
                  <c:v>3.6724709787275822E-2</c:v>
                </c:pt>
                <c:pt idx="1263">
                  <c:v>3.6722099362754834E-2</c:v>
                </c:pt>
                <c:pt idx="1264">
                  <c:v>3.6719429823076633E-2</c:v>
                </c:pt>
                <c:pt idx="1265">
                  <c:v>3.6716701168322263E-2</c:v>
                </c:pt>
                <c:pt idx="1266">
                  <c:v>3.671391339841068E-2</c:v>
                </c:pt>
                <c:pt idx="1267">
                  <c:v>3.6711066513341883E-2</c:v>
                </c:pt>
                <c:pt idx="1268">
                  <c:v>3.6708160513034827E-2</c:v>
                </c:pt>
                <c:pt idx="1269">
                  <c:v>3.67080280672838E-2</c:v>
                </c:pt>
                <c:pt idx="1270">
                  <c:v>3.6704986335042163E-2</c:v>
                </c:pt>
                <c:pt idx="1271">
                  <c:v>3.6701885475783534E-2</c:v>
                </c:pt>
                <c:pt idx="1272">
                  <c:v>3.6698725489588975E-2</c:v>
                </c:pt>
                <c:pt idx="1273">
                  <c:v>3.6695506376377425E-2</c:v>
                </c:pt>
                <c:pt idx="1274">
                  <c:v>3.6692228136202917E-2</c:v>
                </c:pt>
                <c:pt idx="1275">
                  <c:v>3.6688890769038439E-2</c:v>
                </c:pt>
                <c:pt idx="1276">
                  <c:v>3.6685494274965043E-2</c:v>
                </c:pt>
                <c:pt idx="1277">
                  <c:v>3.6682038653874656E-2</c:v>
                </c:pt>
                <c:pt idx="1278">
                  <c:v>3.6678523905848325E-2</c:v>
                </c:pt>
                <c:pt idx="1279">
                  <c:v>3.6674950030886062E-2</c:v>
                </c:pt>
                <c:pt idx="1280">
                  <c:v>3.6671317028933823E-2</c:v>
                </c:pt>
                <c:pt idx="1281">
                  <c:v>3.6667624900099678E-2</c:v>
                </c:pt>
                <c:pt idx="1282">
                  <c:v>3.6663873644248543E-2</c:v>
                </c:pt>
                <c:pt idx="1283">
                  <c:v>3.6660063261542516E-2</c:v>
                </c:pt>
                <c:pt idx="1284">
                  <c:v>3.6650837339743392E-2</c:v>
                </c:pt>
                <c:pt idx="1285">
                  <c:v>3.664688415697559E-2</c:v>
                </c:pt>
                <c:pt idx="1286">
                  <c:v>3.6642871859050574E-2</c:v>
                </c:pt>
                <c:pt idx="1287">
                  <c:v>3.6638800446049391E-2</c:v>
                </c:pt>
                <c:pt idx="1288">
                  <c:v>3.6634669917890994E-2</c:v>
                </c:pt>
                <c:pt idx="1289">
                  <c:v>3.663048027465643E-2</c:v>
                </c:pt>
                <c:pt idx="1290">
                  <c:v>3.6626231516183605E-2</c:v>
                </c:pt>
                <c:pt idx="1291">
                  <c:v>3.6621923642715659E-2</c:v>
                </c:pt>
                <c:pt idx="1292">
                  <c:v>3.6617556654171546E-2</c:v>
                </c:pt>
                <c:pt idx="1293">
                  <c:v>3.6613130550389172E-2</c:v>
                </c:pt>
                <c:pt idx="1294">
                  <c:v>3.6608645331530631E-2</c:v>
                </c:pt>
                <c:pt idx="1295">
                  <c:v>3.6604100997595923E-2</c:v>
                </c:pt>
                <c:pt idx="1296">
                  <c:v>3.6599497548504001E-2</c:v>
                </c:pt>
                <c:pt idx="1297">
                  <c:v>3.6594834984335911E-2</c:v>
                </c:pt>
                <c:pt idx="1298">
                  <c:v>3.65901133051727E-2</c:v>
                </c:pt>
                <c:pt idx="1299">
                  <c:v>3.6585332510771229E-2</c:v>
                </c:pt>
                <c:pt idx="1300">
                  <c:v>3.658049260129359E-2</c:v>
                </c:pt>
                <c:pt idx="1301">
                  <c:v>3.6575593576739784E-2</c:v>
                </c:pt>
                <c:pt idx="1302">
                  <c:v>3.6570635437109811E-2</c:v>
                </c:pt>
                <c:pt idx="1303">
                  <c:v>3.656561818240367E-2</c:v>
                </c:pt>
                <c:pt idx="1304">
                  <c:v>3.6560541812540315E-2</c:v>
                </c:pt>
                <c:pt idx="1305">
                  <c:v>3.6555406327681839E-2</c:v>
                </c:pt>
                <c:pt idx="1306">
                  <c:v>3.6550211727747195E-2</c:v>
                </c:pt>
                <c:pt idx="1307">
                  <c:v>3.6544958012736384E-2</c:v>
                </c:pt>
                <c:pt idx="1308">
                  <c:v>3.6539645182406266E-2</c:v>
                </c:pt>
                <c:pt idx="1309">
                  <c:v>3.6534273237324166E-2</c:v>
                </c:pt>
                <c:pt idx="1310">
                  <c:v>3.6528842177084853E-2</c:v>
                </c:pt>
                <c:pt idx="1311">
                  <c:v>3.6523352001607279E-2</c:v>
                </c:pt>
                <c:pt idx="1312">
                  <c:v>3.651780271121563E-2</c:v>
                </c:pt>
                <c:pt idx="1313">
                  <c:v>3.6512194305747814E-2</c:v>
                </c:pt>
                <c:pt idx="1314">
                  <c:v>3.6506526785284876E-2</c:v>
                </c:pt>
                <c:pt idx="1315">
                  <c:v>3.6500800149664725E-2</c:v>
                </c:pt>
                <c:pt idx="1316">
                  <c:v>3.6495014399049452E-2</c:v>
                </c:pt>
                <c:pt idx="1317">
                  <c:v>3.6489169533276966E-2</c:v>
                </c:pt>
                <c:pt idx="1318">
                  <c:v>3.6483265552590405E-2</c:v>
                </c:pt>
                <c:pt idx="1319">
                  <c:v>3.6477302456665583E-2</c:v>
                </c:pt>
                <c:pt idx="1320">
                  <c:v>3.6471280245907733E-2</c:v>
                </c:pt>
                <c:pt idx="1321">
                  <c:v>3.646519891999267E-2</c:v>
                </c:pt>
                <c:pt idx="1322">
                  <c:v>3.6459058479001438E-2</c:v>
                </c:pt>
                <c:pt idx="1323">
                  <c:v>3.6452858923177178E-2</c:v>
                </c:pt>
                <c:pt idx="1324">
                  <c:v>3.6446600252114658E-2</c:v>
                </c:pt>
                <c:pt idx="1325">
                  <c:v>3.6440282466219109E-2</c:v>
                </c:pt>
                <c:pt idx="1326">
                  <c:v>3.6433905565166347E-2</c:v>
                </c:pt>
                <c:pt idx="1327">
                  <c:v>3.6427469549037417E-2</c:v>
                </c:pt>
                <c:pt idx="1328">
                  <c:v>3.6420974417913365E-2</c:v>
                </c:pt>
                <c:pt idx="1329">
                  <c:v>3.6414420171794193E-2</c:v>
                </c:pt>
                <c:pt idx="1330">
                  <c:v>3.6407806810679899E-2</c:v>
                </c:pt>
                <c:pt idx="1331">
                  <c:v>3.6401134334570484E-2</c:v>
                </c:pt>
                <c:pt idx="1332">
                  <c:v>3.6394402743384902E-2</c:v>
                </c:pt>
                <c:pt idx="1333">
                  <c:v>3.638761203736629E-2</c:v>
                </c:pt>
                <c:pt idx="1334">
                  <c:v>3.6380762216190465E-2</c:v>
                </c:pt>
                <c:pt idx="1335">
                  <c:v>3.6373853280019519E-2</c:v>
                </c:pt>
                <c:pt idx="1336">
                  <c:v>3.6366885229015544E-2</c:v>
                </c:pt>
                <c:pt idx="1337">
                  <c:v>3.6359858062854356E-2</c:v>
                </c:pt>
                <c:pt idx="1338">
                  <c:v>3.6352771781779092E-2</c:v>
                </c:pt>
                <c:pt idx="1339">
                  <c:v>3.6345626385627661E-2</c:v>
                </c:pt>
                <c:pt idx="1340">
                  <c:v>3.6338421874562155E-2</c:v>
                </c:pt>
                <c:pt idx="1341">
                  <c:v>3.6331158248582573E-2</c:v>
                </c:pt>
                <c:pt idx="1342">
                  <c:v>3.6323835507526825E-2</c:v>
                </c:pt>
                <c:pt idx="1343">
                  <c:v>3.6316453651638048E-2</c:v>
                </c:pt>
                <c:pt idx="1344">
                  <c:v>3.6309012680592057E-2</c:v>
                </c:pt>
                <c:pt idx="1345">
                  <c:v>3.6301512594713037E-2</c:v>
                </c:pt>
                <c:pt idx="1346">
                  <c:v>3.6293953393919942E-2</c:v>
                </c:pt>
                <c:pt idx="1347">
                  <c:v>3.628633507805068E-2</c:v>
                </c:pt>
                <c:pt idx="1348">
                  <c:v>3.6278657647267343E-2</c:v>
                </c:pt>
                <c:pt idx="1349">
                  <c:v>3.6270921101569931E-2</c:v>
                </c:pt>
                <c:pt idx="1350">
                  <c:v>3.6263125440877397E-2</c:v>
                </c:pt>
                <c:pt idx="1351">
                  <c:v>3.6255270665270789E-2</c:v>
                </c:pt>
                <c:pt idx="1352">
                  <c:v>3.6247356774750106E-2</c:v>
                </c:pt>
                <c:pt idx="1353">
                  <c:v>3.6239383769315348E-2</c:v>
                </c:pt>
                <c:pt idx="1354">
                  <c:v>3.6231351648885468E-2</c:v>
                </c:pt>
                <c:pt idx="1355">
                  <c:v>3.622326041362256E-2</c:v>
                </c:pt>
                <c:pt idx="1356">
                  <c:v>3.6215110063364531E-2</c:v>
                </c:pt>
                <c:pt idx="1357">
                  <c:v>3.620690059811138E-2</c:v>
                </c:pt>
                <c:pt idx="1358">
                  <c:v>3.6198632018106247E-2</c:v>
                </c:pt>
                <c:pt idx="1359">
                  <c:v>3.6190304323105993E-2</c:v>
                </c:pt>
                <c:pt idx="1360">
                  <c:v>3.618191751327271E-2</c:v>
                </c:pt>
                <c:pt idx="1361">
                  <c:v>3.6173471588525352E-2</c:v>
                </c:pt>
                <c:pt idx="1362">
                  <c:v>3.6164966548701827E-2</c:v>
                </c:pt>
                <c:pt idx="1363">
                  <c:v>3.6156402394207365E-2</c:v>
                </c:pt>
                <c:pt idx="1364">
                  <c:v>3.6147779124717783E-2</c:v>
                </c:pt>
                <c:pt idx="1365">
                  <c:v>3.6139096740314125E-2</c:v>
                </c:pt>
                <c:pt idx="1366">
                  <c:v>3.6130355241158485E-2</c:v>
                </c:pt>
                <c:pt idx="1367">
                  <c:v>3.612155462708877E-2</c:v>
                </c:pt>
                <c:pt idx="1368">
                  <c:v>3.611269489810498E-2</c:v>
                </c:pt>
                <c:pt idx="1369">
                  <c:v>3.6103776054288161E-2</c:v>
                </c:pt>
                <c:pt idx="1370">
                  <c:v>3.6094798095638314E-2</c:v>
                </c:pt>
                <c:pt idx="1371">
                  <c:v>3.6085761022074392E-2</c:v>
                </c:pt>
                <c:pt idx="1372">
                  <c:v>3.6076664833677441E-2</c:v>
                </c:pt>
                <c:pt idx="1373">
                  <c:v>3.6066196804224182E-2</c:v>
                </c:pt>
                <c:pt idx="1374">
                  <c:v>3.6056973941057668E-2</c:v>
                </c:pt>
                <c:pt idx="1375">
                  <c:v>3.6047691963220219E-2</c:v>
                </c:pt>
                <c:pt idx="1376">
                  <c:v>3.6038350870468694E-2</c:v>
                </c:pt>
                <c:pt idx="1377">
                  <c:v>3.6028950662965187E-2</c:v>
                </c:pt>
                <c:pt idx="1378">
                  <c:v>3.6019491340466558E-2</c:v>
                </c:pt>
                <c:pt idx="1379">
                  <c:v>3.6009972903215948E-2</c:v>
                </c:pt>
                <c:pt idx="1380">
                  <c:v>3.6000395351132308E-2</c:v>
                </c:pt>
                <c:pt idx="1381">
                  <c:v>3.5990758684296686E-2</c:v>
                </c:pt>
                <c:pt idx="1382">
                  <c:v>3.5981062902628036E-2</c:v>
                </c:pt>
                <c:pt idx="1383">
                  <c:v>3.5971308006207403E-2</c:v>
                </c:pt>
                <c:pt idx="1384">
                  <c:v>3.5961493994953742E-2</c:v>
                </c:pt>
                <c:pt idx="1385">
                  <c:v>3.5951620868948098E-2</c:v>
                </c:pt>
                <c:pt idx="1386">
                  <c:v>3.5941688628028379E-2</c:v>
                </c:pt>
                <c:pt idx="1387">
                  <c:v>3.5931697272437724E-2</c:v>
                </c:pt>
                <c:pt idx="1388">
                  <c:v>3.592164680201404E-2</c:v>
                </c:pt>
                <c:pt idx="1389">
                  <c:v>3.5911537216838374E-2</c:v>
                </c:pt>
                <c:pt idx="1390">
                  <c:v>3.5901368516910726E-2</c:v>
                </c:pt>
                <c:pt idx="1391">
                  <c:v>3.5891140702150048E-2</c:v>
                </c:pt>
                <c:pt idx="1392">
                  <c:v>3.5880853772718435E-2</c:v>
                </c:pt>
                <c:pt idx="1393">
                  <c:v>3.5870507728453793E-2</c:v>
                </c:pt>
                <c:pt idx="1394">
                  <c:v>3.5860102569518215E-2</c:v>
                </c:pt>
                <c:pt idx="1395">
                  <c:v>3.5849638295830655E-2</c:v>
                </c:pt>
                <c:pt idx="1396">
                  <c:v>3.5839114907310066E-2</c:v>
                </c:pt>
                <c:pt idx="1397">
                  <c:v>3.582853240411854E-2</c:v>
                </c:pt>
                <c:pt idx="1398">
                  <c:v>3.5817890786256079E-2</c:v>
                </c:pt>
                <c:pt idx="1399">
                  <c:v>3.5807190053560589E-2</c:v>
                </c:pt>
                <c:pt idx="1400">
                  <c:v>3.5796430206113117E-2</c:v>
                </c:pt>
                <c:pt idx="1401">
                  <c:v>3.5785611244075755E-2</c:v>
                </c:pt>
                <c:pt idx="1402">
                  <c:v>3.577473316728641E-2</c:v>
                </c:pt>
                <c:pt idx="1403">
                  <c:v>3.5763795975826129E-2</c:v>
                </c:pt>
                <c:pt idx="1404">
                  <c:v>3.5752799669694912E-2</c:v>
                </c:pt>
                <c:pt idx="1405">
                  <c:v>3.5741744248811713E-2</c:v>
                </c:pt>
                <c:pt idx="1406">
                  <c:v>3.5730629713338624E-2</c:v>
                </c:pt>
                <c:pt idx="1407">
                  <c:v>3.5719456062870414E-2</c:v>
                </c:pt>
                <c:pt idx="1408">
                  <c:v>3.5708223298136499E-2</c:v>
                </c:pt>
                <c:pt idx="1409">
                  <c:v>3.5696931418569555E-2</c:v>
                </c:pt>
                <c:pt idx="1410">
                  <c:v>3.5685580424250629E-2</c:v>
                </c:pt>
                <c:pt idx="1411">
                  <c:v>3.5674170315341813E-2</c:v>
                </c:pt>
                <c:pt idx="1412">
                  <c:v>3.5662701091762061E-2</c:v>
                </c:pt>
                <c:pt idx="1413">
                  <c:v>3.5651172753592419E-2</c:v>
                </c:pt>
                <c:pt idx="1414">
                  <c:v>3.5639585300670795E-2</c:v>
                </c:pt>
                <c:pt idx="1415">
                  <c:v>3.5627938733240327E-2</c:v>
                </c:pt>
                <c:pt idx="1416">
                  <c:v>3.5616233051057877E-2</c:v>
                </c:pt>
                <c:pt idx="1417">
                  <c:v>3.5604468254285537E-2</c:v>
                </c:pt>
                <c:pt idx="1418">
                  <c:v>3.5592644343004354E-2</c:v>
                </c:pt>
                <c:pt idx="1419">
                  <c:v>3.5580761316971188E-2</c:v>
                </c:pt>
                <c:pt idx="1420">
                  <c:v>3.5568819176429178E-2</c:v>
                </c:pt>
                <c:pt idx="1421">
                  <c:v>3.5556817921297279E-2</c:v>
                </c:pt>
                <c:pt idx="1422">
                  <c:v>3.5544757551413397E-2</c:v>
                </c:pt>
                <c:pt idx="1423">
                  <c:v>3.5532638067101718E-2</c:v>
                </c:pt>
                <c:pt idx="1424">
                  <c:v>3.5520459468119103E-2</c:v>
                </c:pt>
                <c:pt idx="1425">
                  <c:v>3.5508221754546598E-2</c:v>
                </c:pt>
                <c:pt idx="1426">
                  <c:v>3.549592492646525E-2</c:v>
                </c:pt>
                <c:pt idx="1427">
                  <c:v>3.5483568983712965E-2</c:v>
                </c:pt>
                <c:pt idx="1428">
                  <c:v>3.5471153926532883E-2</c:v>
                </c:pt>
                <c:pt idx="1429">
                  <c:v>3.5458679754762912E-2</c:v>
                </c:pt>
                <c:pt idx="1430">
                  <c:v>3.544614646840305E-2</c:v>
                </c:pt>
                <c:pt idx="1431">
                  <c:v>3.5433554067534345E-2</c:v>
                </c:pt>
                <c:pt idx="1432">
                  <c:v>3.542090255207575E-2</c:v>
                </c:pt>
                <c:pt idx="1433">
                  <c:v>3.5408191922108312E-2</c:v>
                </c:pt>
                <c:pt idx="1434">
                  <c:v>3.539542217763203E-2</c:v>
                </c:pt>
                <c:pt idx="1435">
                  <c:v>3.5382593318646904E-2</c:v>
                </c:pt>
                <c:pt idx="1436">
                  <c:v>3.5369705345152935E-2</c:v>
                </c:pt>
                <c:pt idx="1437">
                  <c:v>3.5356758257150123E-2</c:v>
                </c:pt>
                <c:pt idx="1438">
                  <c:v>3.534375205455742E-2</c:v>
                </c:pt>
                <c:pt idx="1439">
                  <c:v>3.5330686737617967E-2</c:v>
                </c:pt>
                <c:pt idx="1440">
                  <c:v>3.5317562306088623E-2</c:v>
                </c:pt>
                <c:pt idx="1441">
                  <c:v>3.5304378760131483E-2</c:v>
                </c:pt>
                <c:pt idx="1442">
                  <c:v>3.5291136099746545E-2</c:v>
                </c:pt>
                <c:pt idx="1443">
                  <c:v>3.5277834324771717E-2</c:v>
                </c:pt>
                <c:pt idx="1444">
                  <c:v>3.5264473435450139E-2</c:v>
                </c:pt>
                <c:pt idx="1445">
                  <c:v>3.525105343153867E-2</c:v>
                </c:pt>
                <c:pt idx="1446">
                  <c:v>3.5237574313280451E-2</c:v>
                </c:pt>
                <c:pt idx="1447">
                  <c:v>3.5224036080594434E-2</c:v>
                </c:pt>
                <c:pt idx="1448">
                  <c:v>3.5210438733399574E-2</c:v>
                </c:pt>
                <c:pt idx="1449">
                  <c:v>3.5196782271776916E-2</c:v>
                </c:pt>
                <c:pt idx="1450">
                  <c:v>3.5183066695888554E-2</c:v>
                </c:pt>
                <c:pt idx="1451">
                  <c:v>3.5169294597108269E-2</c:v>
                </c:pt>
                <c:pt idx="1452">
                  <c:v>3.5155538539737297E-2</c:v>
                </c:pt>
                <c:pt idx="1453">
                  <c:v>3.5141832214552471E-2</c:v>
                </c:pt>
                <c:pt idx="1454">
                  <c:v>3.5128175621310653E-2</c:v>
                </c:pt>
                <c:pt idx="1455">
                  <c:v>3.5114568760173936E-2</c:v>
                </c:pt>
                <c:pt idx="1456">
                  <c:v>3.510101163114232E-2</c:v>
                </c:pt>
                <c:pt idx="1457">
                  <c:v>3.5087504234296851E-2</c:v>
                </c:pt>
                <c:pt idx="1458">
                  <c:v>3.5074046569313344E-2</c:v>
                </c:pt>
                <c:pt idx="1459">
                  <c:v>3.5060638636515984E-2</c:v>
                </c:pt>
                <c:pt idx="1460">
                  <c:v>3.5047280435661632E-2</c:v>
                </c:pt>
                <c:pt idx="1461">
                  <c:v>3.5033971966831334E-2</c:v>
                </c:pt>
                <c:pt idx="1462">
                  <c:v>3.5020713230187184E-2</c:v>
                </c:pt>
                <c:pt idx="1463">
                  <c:v>3.5007504225404995E-2</c:v>
                </c:pt>
                <c:pt idx="1464">
                  <c:v>3.4994344952727907E-2</c:v>
                </c:pt>
                <c:pt idx="1465">
                  <c:v>3.4981235412074874E-2</c:v>
                </c:pt>
                <c:pt idx="1466">
                  <c:v>3.4968175603445895E-2</c:v>
                </c:pt>
                <c:pt idx="1467">
                  <c:v>3.4955165526678877E-2</c:v>
                </c:pt>
                <c:pt idx="1468">
                  <c:v>3.4942205182179054E-2</c:v>
                </c:pt>
                <c:pt idx="1469">
                  <c:v>3.4929294569541192E-2</c:v>
                </c:pt>
                <c:pt idx="1470">
                  <c:v>3.4916433688765292E-2</c:v>
                </c:pt>
                <c:pt idx="1471">
                  <c:v>3.4903622540175538E-2</c:v>
                </c:pt>
                <c:pt idx="1472">
                  <c:v>3.4890861123366701E-2</c:v>
                </c:pt>
                <c:pt idx="1473">
                  <c:v>3.4878149438662964E-2</c:v>
                </c:pt>
                <c:pt idx="1474">
                  <c:v>3.4865487485983282E-2</c:v>
                </c:pt>
                <c:pt idx="1475">
                  <c:v>3.4852875265165562E-2</c:v>
                </c:pt>
                <c:pt idx="1476">
                  <c:v>3.4840312776371896E-2</c:v>
                </c:pt>
                <c:pt idx="1477">
                  <c:v>3.4827800019440192E-2</c:v>
                </c:pt>
                <c:pt idx="1478">
                  <c:v>3.4815336994451496E-2</c:v>
                </c:pt>
                <c:pt idx="1479">
                  <c:v>3.4802923701648947E-2</c:v>
                </c:pt>
                <c:pt idx="1480">
                  <c:v>3.4790560140627314E-2</c:v>
                </c:pt>
                <c:pt idx="1481">
                  <c:v>3.4778246311467642E-2</c:v>
                </c:pt>
                <c:pt idx="1482">
                  <c:v>3.4765982214332025E-2</c:v>
                </c:pt>
                <c:pt idx="1483">
                  <c:v>3.475376784905837E-2</c:v>
                </c:pt>
                <c:pt idx="1484">
                  <c:v>3.4741603215727723E-2</c:v>
                </c:pt>
                <c:pt idx="1485">
                  <c:v>3.4729488314259038E-2</c:v>
                </c:pt>
                <c:pt idx="1486">
                  <c:v>3.4717423144814408E-2</c:v>
                </c:pt>
                <c:pt idx="1487">
                  <c:v>3.4705407707150693E-2</c:v>
                </c:pt>
                <c:pt idx="1488">
                  <c:v>3.4693442001429986E-2</c:v>
                </c:pt>
                <c:pt idx="1489">
                  <c:v>3.4681526027733334E-2</c:v>
                </c:pt>
                <c:pt idx="1490">
                  <c:v>3.4669659785736551E-2</c:v>
                </c:pt>
                <c:pt idx="1491">
                  <c:v>3.4657843275844868E-2</c:v>
                </c:pt>
                <c:pt idx="1492">
                  <c:v>3.4646076497572009E-2</c:v>
                </c:pt>
                <c:pt idx="1493">
                  <c:v>3.4634359451323204E-2</c:v>
                </c:pt>
                <c:pt idx="1494">
                  <c:v>3.4622692136855315E-2</c:v>
                </c:pt>
                <c:pt idx="1495">
                  <c:v>3.4611074554492527E-2</c:v>
                </c:pt>
                <c:pt idx="1496">
                  <c:v>3.4599506703748562E-2</c:v>
                </c:pt>
                <c:pt idx="1497">
                  <c:v>3.4587988584866558E-2</c:v>
                </c:pt>
                <c:pt idx="1498">
                  <c:v>3.4576520197927563E-2</c:v>
                </c:pt>
                <c:pt idx="1499">
                  <c:v>3.4565101542850529E-2</c:v>
                </c:pt>
                <c:pt idx="1500">
                  <c:v>3.4553732619554411E-2</c:v>
                </c:pt>
                <c:pt idx="1501">
                  <c:v>3.4542413428201302E-2</c:v>
                </c:pt>
                <c:pt idx="1502">
                  <c:v>3.4531143968548061E-2</c:v>
                </c:pt>
                <c:pt idx="1503">
                  <c:v>3.4519924240756783E-2</c:v>
                </c:pt>
                <c:pt idx="1504">
                  <c:v>3.450875424474642E-2</c:v>
                </c:pt>
                <c:pt idx="1505">
                  <c:v>3.4497633980679066E-2</c:v>
                </c:pt>
                <c:pt idx="1506">
                  <c:v>3.448656344831158E-2</c:v>
                </c:pt>
                <c:pt idx="1507">
                  <c:v>3.4475542647887103E-2</c:v>
                </c:pt>
                <c:pt idx="1508">
                  <c:v>3.4464571579162495E-2</c:v>
                </c:pt>
                <c:pt idx="1509">
                  <c:v>3.4453650242218803E-2</c:v>
                </c:pt>
                <c:pt idx="1510">
                  <c:v>3.4442778637137073E-2</c:v>
                </c:pt>
                <c:pt idx="1511">
                  <c:v>3.4431956763755212E-2</c:v>
                </c:pt>
                <c:pt idx="1512">
                  <c:v>3.4421184622397405E-2</c:v>
                </c:pt>
                <c:pt idx="1513">
                  <c:v>3.4410462212577375E-2</c:v>
                </c:pt>
                <c:pt idx="1514">
                  <c:v>3.4399789534538261E-2</c:v>
                </c:pt>
                <c:pt idx="1515">
                  <c:v>3.4389166588361109E-2</c:v>
                </c:pt>
                <c:pt idx="1516">
                  <c:v>3.4378593374045918E-2</c:v>
                </c:pt>
                <c:pt idx="1517">
                  <c:v>3.4368069891349551E-2</c:v>
                </c:pt>
                <c:pt idx="1518">
                  <c:v>3.4357596140515145E-2</c:v>
                </c:pt>
                <c:pt idx="1519">
                  <c:v>3.4347172121380609E-2</c:v>
                </c:pt>
                <c:pt idx="1520">
                  <c:v>3.4336797834026989E-2</c:v>
                </c:pt>
                <c:pt idx="1521">
                  <c:v>3.4326473278373237E-2</c:v>
                </c:pt>
                <c:pt idx="1522">
                  <c:v>3.4316198454500402E-2</c:v>
                </c:pt>
                <c:pt idx="1523">
                  <c:v>3.4305973362327435E-2</c:v>
                </c:pt>
                <c:pt idx="1524">
                  <c:v>3.4295798002016431E-2</c:v>
                </c:pt>
                <c:pt idx="1525">
                  <c:v>3.4285672373243203E-2</c:v>
                </c:pt>
                <c:pt idx="1526">
                  <c:v>3.4275596476331938E-2</c:v>
                </c:pt>
                <c:pt idx="1527">
                  <c:v>3.4265570311120541E-2</c:v>
                </c:pt>
                <c:pt idx="1528">
                  <c:v>3.4255593877609014E-2</c:v>
                </c:pt>
                <c:pt idx="1529">
                  <c:v>3.4244253135239378E-2</c:v>
                </c:pt>
                <c:pt idx="1530">
                  <c:v>3.4234383269806656E-2</c:v>
                </c:pt>
                <c:pt idx="1531">
                  <c:v>3.4224563135911712E-2</c:v>
                </c:pt>
                <c:pt idx="1532">
                  <c:v>3.4214792733797683E-2</c:v>
                </c:pt>
                <c:pt idx="1533">
                  <c:v>3.4205072063383524E-2</c:v>
                </c:pt>
                <c:pt idx="1534">
                  <c:v>3.419540112475028E-2</c:v>
                </c:pt>
                <c:pt idx="1535">
                  <c:v>3.4185779917573766E-2</c:v>
                </c:pt>
                <c:pt idx="1536">
                  <c:v>3.4176208442178169E-2</c:v>
                </c:pt>
                <c:pt idx="1537">
                  <c:v>3.4166686698563487E-2</c:v>
                </c:pt>
                <c:pt idx="1538">
                  <c:v>3.4157214686648674E-2</c:v>
                </c:pt>
                <c:pt idx="1539">
                  <c:v>3.4147792406271638E-2</c:v>
                </c:pt>
                <c:pt idx="1540">
                  <c:v>3.4138419857513425E-2</c:v>
                </c:pt>
                <c:pt idx="1541">
                  <c:v>3.412909704069822E-2</c:v>
                </c:pt>
                <c:pt idx="1542">
                  <c:v>3.4119823955258699E-2</c:v>
                </c:pt>
                <c:pt idx="1543">
                  <c:v>3.4110600601762187E-2</c:v>
                </c:pt>
                <c:pt idx="1544">
                  <c:v>3.410518780857652E-2</c:v>
                </c:pt>
                <c:pt idx="1545">
                  <c:v>3.4092303089301446E-2</c:v>
                </c:pt>
                <c:pt idx="1546">
                  <c:v>3.4083228930580356E-2</c:v>
                </c:pt>
                <c:pt idx="1547">
                  <c:v>3.4074204503559136E-2</c:v>
                </c:pt>
                <c:pt idx="1548">
                  <c:v>3.4065229808156738E-2</c:v>
                </c:pt>
                <c:pt idx="1549">
                  <c:v>3.4056304844373164E-2</c:v>
                </c:pt>
                <c:pt idx="1550">
                  <c:v>3.4047429612289459E-2</c:v>
                </c:pt>
                <c:pt idx="1551">
                  <c:v>3.4038604111743531E-2</c:v>
                </c:pt>
                <c:pt idx="1552">
                  <c:v>3.4029828342897472E-2</c:v>
                </c:pt>
                <c:pt idx="1553">
                  <c:v>3.402110230558919E-2</c:v>
                </c:pt>
                <c:pt idx="1554">
                  <c:v>3.4012426000061824E-2</c:v>
                </c:pt>
                <c:pt idx="1555">
                  <c:v>3.4003799425991188E-2</c:v>
                </c:pt>
                <c:pt idx="1556">
                  <c:v>3.3995222583701468E-2</c:v>
                </c:pt>
                <c:pt idx="1557">
                  <c:v>3.3986695472787432E-2</c:v>
                </c:pt>
                <c:pt idx="1558">
                  <c:v>3.3978218093654311E-2</c:v>
                </c:pt>
                <c:pt idx="1559">
                  <c:v>3.3969790446058967E-2</c:v>
                </c:pt>
                <c:pt idx="1560">
                  <c:v>3.39614125300014E-2</c:v>
                </c:pt>
                <c:pt idx="1561">
                  <c:v>3.3953084345562656E-2</c:v>
                </c:pt>
                <c:pt idx="1562">
                  <c:v>3.3944805892823782E-2</c:v>
                </c:pt>
                <c:pt idx="1563">
                  <c:v>3.3936577171622684E-2</c:v>
                </c:pt>
                <c:pt idx="1564">
                  <c:v>3.3928398181959363E-2</c:v>
                </c:pt>
                <c:pt idx="1565">
                  <c:v>3.3920268923995911E-2</c:v>
                </c:pt>
                <c:pt idx="1566">
                  <c:v>3.3912189397570236E-2</c:v>
                </c:pt>
                <c:pt idx="1567">
                  <c:v>3.3904159602601291E-2</c:v>
                </c:pt>
                <c:pt idx="1568">
                  <c:v>3.3896179539332216E-2</c:v>
                </c:pt>
                <c:pt idx="1569">
                  <c:v>3.3888249207519872E-2</c:v>
                </c:pt>
                <c:pt idx="1570">
                  <c:v>3.3880368607407396E-2</c:v>
                </c:pt>
                <c:pt idx="1571">
                  <c:v>3.3872537738751651E-2</c:v>
                </c:pt>
                <c:pt idx="1572">
                  <c:v>3.3864756601714729E-2</c:v>
                </c:pt>
                <c:pt idx="1573">
                  <c:v>3.3857025196215584E-2</c:v>
                </c:pt>
                <c:pt idx="1574">
                  <c:v>3.3849343522254216E-2</c:v>
                </c:pt>
                <c:pt idx="1575">
                  <c:v>3.3841711579830625E-2</c:v>
                </c:pt>
                <c:pt idx="1576">
                  <c:v>3.3834129369025856E-2</c:v>
                </c:pt>
                <c:pt idx="1577">
                  <c:v>3.3826596889758864E-2</c:v>
                </c:pt>
                <c:pt idx="1578">
                  <c:v>3.3819114141948603E-2</c:v>
                </c:pt>
                <c:pt idx="1579">
                  <c:v>3.3811681125757165E-2</c:v>
                </c:pt>
                <c:pt idx="1580">
                  <c:v>3.3804297841022457E-2</c:v>
                </c:pt>
                <c:pt idx="1581">
                  <c:v>3.3792796014550097E-2</c:v>
                </c:pt>
                <c:pt idx="1582">
                  <c:v>3.3785540610958842E-2</c:v>
                </c:pt>
                <c:pt idx="1583">
                  <c:v>3.3778334938824317E-2</c:v>
                </c:pt>
                <c:pt idx="1584">
                  <c:v>3.3771178998227569E-2</c:v>
                </c:pt>
                <c:pt idx="1585">
                  <c:v>3.3764072789168598E-2</c:v>
                </c:pt>
                <c:pt idx="1586">
                  <c:v>3.3757016311647403E-2</c:v>
                </c:pt>
                <c:pt idx="1587">
                  <c:v>3.3750009565582939E-2</c:v>
                </c:pt>
                <c:pt idx="1588">
                  <c:v>3.3743052551056252E-2</c:v>
                </c:pt>
                <c:pt idx="1589">
                  <c:v>3.3736145267986295E-2</c:v>
                </c:pt>
                <c:pt idx="1590">
                  <c:v>3.3729287716616208E-2</c:v>
                </c:pt>
                <c:pt idx="1591">
                  <c:v>3.3722479896540758E-2</c:v>
                </c:pt>
                <c:pt idx="1592">
                  <c:v>3.3715721808084131E-2</c:v>
                </c:pt>
                <c:pt idx="1593">
                  <c:v>3.3709013451003189E-2</c:v>
                </c:pt>
                <c:pt idx="1594">
                  <c:v>3.3702354825460024E-2</c:v>
                </c:pt>
                <c:pt idx="1595">
                  <c:v>3.3694805863486721E-2</c:v>
                </c:pt>
                <c:pt idx="1596">
                  <c:v>3.3688253805373991E-2</c:v>
                </c:pt>
                <c:pt idx="1597">
                  <c:v>3.3681751478880084E-2</c:v>
                </c:pt>
                <c:pt idx="1598">
                  <c:v>3.3675298883761862E-2</c:v>
                </c:pt>
                <c:pt idx="1599">
                  <c:v>3.3668896020181416E-2</c:v>
                </c:pt>
                <c:pt idx="1600">
                  <c:v>3.3662542887976654E-2</c:v>
                </c:pt>
                <c:pt idx="1601">
                  <c:v>3.3656239487390716E-2</c:v>
                </c:pt>
                <c:pt idx="1602">
                  <c:v>3.3649985818180461E-2</c:v>
                </c:pt>
                <c:pt idx="1603">
                  <c:v>3.3643781880426937E-2</c:v>
                </c:pt>
                <c:pt idx="1604">
                  <c:v>3.3637627674292236E-2</c:v>
                </c:pt>
                <c:pt idx="1605">
                  <c:v>3.3631523199452174E-2</c:v>
                </c:pt>
                <c:pt idx="1606">
                  <c:v>3.3625468456149887E-2</c:v>
                </c:pt>
                <c:pt idx="1607">
                  <c:v>3.3619463444223285E-2</c:v>
                </c:pt>
                <c:pt idx="1608">
                  <c:v>3.361350816383446E-2</c:v>
                </c:pt>
                <c:pt idx="1609">
                  <c:v>3.3607602614902365E-2</c:v>
                </c:pt>
                <c:pt idx="1610">
                  <c:v>3.3601746797345955E-2</c:v>
                </c:pt>
                <c:pt idx="1611">
                  <c:v>3.3595940711327321E-2</c:v>
                </c:pt>
                <c:pt idx="1612">
                  <c:v>3.3590184356684372E-2</c:v>
                </c:pt>
                <c:pt idx="1613">
                  <c:v>3.3584477733579199E-2</c:v>
                </c:pt>
                <c:pt idx="1614">
                  <c:v>3.3578820841768664E-2</c:v>
                </c:pt>
                <c:pt idx="1615">
                  <c:v>3.3573213681495906E-2</c:v>
                </c:pt>
                <c:pt idx="1616">
                  <c:v>3.3567656252598832E-2</c:v>
                </c:pt>
                <c:pt idx="1617">
                  <c:v>3.3562148555239535E-2</c:v>
                </c:pt>
                <c:pt idx="1618">
                  <c:v>3.3556690589336968E-2</c:v>
                </c:pt>
                <c:pt idx="1619">
                  <c:v>3.355128235472904E-2</c:v>
                </c:pt>
                <c:pt idx="1620">
                  <c:v>3.3545923851577841E-2</c:v>
                </c:pt>
                <c:pt idx="1621">
                  <c:v>3.3540615079883374E-2</c:v>
                </c:pt>
                <c:pt idx="1622">
                  <c:v>3.3535356039645636E-2</c:v>
                </c:pt>
                <c:pt idx="1623">
                  <c:v>3.3530146730783583E-2</c:v>
                </c:pt>
                <c:pt idx="1624">
                  <c:v>3.3524987153378261E-2</c:v>
                </c:pt>
                <c:pt idx="1625">
                  <c:v>3.3519877307267576E-2</c:v>
                </c:pt>
                <c:pt idx="1626">
                  <c:v>3.3514817192694668E-2</c:v>
                </c:pt>
                <c:pt idx="1627">
                  <c:v>3.3509806809497444E-2</c:v>
                </c:pt>
                <c:pt idx="1628">
                  <c:v>3.3504846157756951E-2</c:v>
                </c:pt>
                <c:pt idx="1629">
                  <c:v>3.3499935237392142E-2</c:v>
                </c:pt>
                <c:pt idx="1630">
                  <c:v>3.3495074048403017E-2</c:v>
                </c:pt>
                <c:pt idx="1631">
                  <c:v>3.3490262590951669E-2</c:v>
                </c:pt>
                <c:pt idx="1632">
                  <c:v>3.3485500864713913E-2</c:v>
                </c:pt>
                <c:pt idx="1633">
                  <c:v>3.3480788870013933E-2</c:v>
                </c:pt>
                <c:pt idx="1634">
                  <c:v>3.3476126606608592E-2</c:v>
                </c:pt>
                <c:pt idx="1635">
                  <c:v>3.3471514074741027E-2</c:v>
                </c:pt>
                <c:pt idx="1636">
                  <c:v>3.3466951274087053E-2</c:v>
                </c:pt>
                <c:pt idx="1637">
                  <c:v>3.3462438204889811E-2</c:v>
                </c:pt>
                <c:pt idx="1638">
                  <c:v>3.3457974867149298E-2</c:v>
                </c:pt>
                <c:pt idx="1639">
                  <c:v>3.345356126078447E-2</c:v>
                </c:pt>
                <c:pt idx="1640">
                  <c:v>3.3449197385795326E-2</c:v>
                </c:pt>
                <c:pt idx="1641">
                  <c:v>3.3444883242262913E-2</c:v>
                </c:pt>
                <c:pt idx="1642">
                  <c:v>3.3440618829944091E-2</c:v>
                </c:pt>
                <c:pt idx="1643">
                  <c:v>3.3436404149082E-2</c:v>
                </c:pt>
                <c:pt idx="1644">
                  <c:v>3.3432239199676639E-2</c:v>
                </c:pt>
                <c:pt idx="1645">
                  <c:v>3.3428123981646962E-2</c:v>
                </c:pt>
                <c:pt idx="1646">
                  <c:v>3.3424058494830877E-2</c:v>
                </c:pt>
                <c:pt idx="1647">
                  <c:v>3.3420042739552569E-2</c:v>
                </c:pt>
                <c:pt idx="1648">
                  <c:v>3.3416076715568899E-2</c:v>
                </c:pt>
                <c:pt idx="1649">
                  <c:v>3.3412160423041959E-2</c:v>
                </c:pt>
                <c:pt idx="1650">
                  <c:v>3.3408293861890703E-2</c:v>
                </c:pt>
                <c:pt idx="1651">
                  <c:v>3.3404477032034086E-2</c:v>
                </c:pt>
                <c:pt idx="1652">
                  <c:v>3.3400709933553152E-2</c:v>
                </c:pt>
                <c:pt idx="1653">
                  <c:v>3.3396992566447903E-2</c:v>
                </c:pt>
                <c:pt idx="1654">
                  <c:v>3.3393324930637291E-2</c:v>
                </c:pt>
                <c:pt idx="1655">
                  <c:v>3.3389707026283411E-2</c:v>
                </c:pt>
                <c:pt idx="1656">
                  <c:v>3.3386138853305214E-2</c:v>
                </c:pt>
                <c:pt idx="1657">
                  <c:v>3.3382620411621655E-2</c:v>
                </c:pt>
                <c:pt idx="1658">
                  <c:v>3.3379151701313781E-2</c:v>
                </c:pt>
                <c:pt idx="1659">
                  <c:v>3.3375732722462637E-2</c:v>
                </c:pt>
                <c:pt idx="1660">
                  <c:v>3.3372363474825084E-2</c:v>
                </c:pt>
                <c:pt idx="1661">
                  <c:v>3.3369043958644262E-2</c:v>
                </c:pt>
                <c:pt idx="1662">
                  <c:v>3.3365774173839124E-2</c:v>
                </c:pt>
                <c:pt idx="1663">
                  <c:v>3.3362554120247578E-2</c:v>
                </c:pt>
                <c:pt idx="1664">
                  <c:v>3.3359383798031716E-2</c:v>
                </c:pt>
                <c:pt idx="1665">
                  <c:v>3.3356263207272585E-2</c:v>
                </c:pt>
                <c:pt idx="1666">
                  <c:v>3.3353192347808092E-2</c:v>
                </c:pt>
                <c:pt idx="1667">
                  <c:v>3.3350171219638236E-2</c:v>
                </c:pt>
                <c:pt idx="1668">
                  <c:v>3.3347199822844065E-2</c:v>
                </c:pt>
                <c:pt idx="1669">
                  <c:v>3.3344278157506624E-2</c:v>
                </c:pt>
                <c:pt idx="1670">
                  <c:v>3.3341406223301728E-2</c:v>
                </c:pt>
                <c:pt idx="1671">
                  <c:v>3.333858402063461E-2</c:v>
                </c:pt>
                <c:pt idx="1672">
                  <c:v>3.3335811549262129E-2</c:v>
                </c:pt>
                <c:pt idx="1673">
                  <c:v>3.333308880910324E-2</c:v>
                </c:pt>
                <c:pt idx="1674">
                  <c:v>3.3330415800401081E-2</c:v>
                </c:pt>
                <c:pt idx="1675">
                  <c:v>3.332779252299356E-2</c:v>
                </c:pt>
                <c:pt idx="1676">
                  <c:v>3.3325218976961724E-2</c:v>
                </c:pt>
                <c:pt idx="1677">
                  <c:v>3.3322695162224525E-2</c:v>
                </c:pt>
                <c:pt idx="1678">
                  <c:v>3.332022107886301E-2</c:v>
                </c:pt>
                <c:pt idx="1679">
                  <c:v>3.3317796726796134E-2</c:v>
                </c:pt>
                <c:pt idx="1680">
                  <c:v>3.3315422106104942E-2</c:v>
                </c:pt>
                <c:pt idx="1681">
                  <c:v>3.3313097216708387E-2</c:v>
                </c:pt>
                <c:pt idx="1682">
                  <c:v>3.3310822058606471E-2</c:v>
                </c:pt>
                <c:pt idx="1683">
                  <c:v>3.3308596631961285E-2</c:v>
                </c:pt>
                <c:pt idx="1684">
                  <c:v>3.330642093652969E-2</c:v>
                </c:pt>
                <c:pt idx="1685">
                  <c:v>3.33039953230585E-2</c:v>
                </c:pt>
                <c:pt idx="1686">
                  <c:v>3.3301926194733156E-2</c:v>
                </c:pt>
                <c:pt idx="1687">
                  <c:v>3.3299906797864542E-2</c:v>
                </c:pt>
                <c:pt idx="1688">
                  <c:v>3.3297937132209521E-2</c:v>
                </c:pt>
                <c:pt idx="1689">
                  <c:v>3.3296017197930183E-2</c:v>
                </c:pt>
                <c:pt idx="1690">
                  <c:v>3.3294146994945484E-2</c:v>
                </c:pt>
                <c:pt idx="1691">
                  <c:v>3.3292326523336468E-2</c:v>
                </c:pt>
                <c:pt idx="1692">
                  <c:v>3.3290555783022091E-2</c:v>
                </c:pt>
                <c:pt idx="1693">
                  <c:v>3.3288834774002352E-2</c:v>
                </c:pt>
                <c:pt idx="1694">
                  <c:v>3.3287163496358296E-2</c:v>
                </c:pt>
                <c:pt idx="1695">
                  <c:v>3.3285541950008879E-2</c:v>
                </c:pt>
                <c:pt idx="1696">
                  <c:v>3.3283970135035146E-2</c:v>
                </c:pt>
                <c:pt idx="1697">
                  <c:v>3.3282448051275004E-2</c:v>
                </c:pt>
                <c:pt idx="1698">
                  <c:v>3.3280975698809501E-2</c:v>
                </c:pt>
                <c:pt idx="1699">
                  <c:v>3.3279553077800728E-2</c:v>
                </c:pt>
                <c:pt idx="1700">
                  <c:v>3.3278180188005546E-2</c:v>
                </c:pt>
                <c:pt idx="1701">
                  <c:v>3.3276857029586049E-2</c:v>
                </c:pt>
                <c:pt idx="1702">
                  <c:v>3.3275583602380143E-2</c:v>
                </c:pt>
                <c:pt idx="1703">
                  <c:v>3.3274359906630968E-2</c:v>
                </c:pt>
                <c:pt idx="1704">
                  <c:v>3.3273185942095385E-2</c:v>
                </c:pt>
                <c:pt idx="1705">
                  <c:v>3.3272061708935485E-2</c:v>
                </c:pt>
                <c:pt idx="1706">
                  <c:v>3.3270987207070224E-2</c:v>
                </c:pt>
                <c:pt idx="1707">
                  <c:v>3.3269962436418554E-2</c:v>
                </c:pt>
                <c:pt idx="1708">
                  <c:v>3.3268987397223615E-2</c:v>
                </c:pt>
                <c:pt idx="1709">
                  <c:v>3.3268062089323314E-2</c:v>
                </c:pt>
                <c:pt idx="1710">
                  <c:v>3.3267186512636604E-2</c:v>
                </c:pt>
                <c:pt idx="1711">
                  <c:v>3.3266354091068262E-2</c:v>
                </c:pt>
                <c:pt idx="1712">
                  <c:v>3.3265490755287619E-2</c:v>
                </c:pt>
                <c:pt idx="1713">
                  <c:v>3.3264575391847018E-2</c:v>
                </c:pt>
                <c:pt idx="1714">
                  <c:v>3.3263608000989597E-2</c:v>
                </c:pt>
                <c:pt idx="1715">
                  <c:v>3.3262588582472219E-2</c:v>
                </c:pt>
                <c:pt idx="1716">
                  <c:v>3.3261517136375929E-2</c:v>
                </c:pt>
                <c:pt idx="1717">
                  <c:v>3.3260393662862819E-2</c:v>
                </c:pt>
                <c:pt idx="1718">
                  <c:v>3.3259218161851845E-2</c:v>
                </c:pt>
                <c:pt idx="1719">
                  <c:v>3.3257990633261958E-2</c:v>
                </c:pt>
                <c:pt idx="1720">
                  <c:v>3.3256711077012113E-2</c:v>
                </c:pt>
                <c:pt idx="1721">
                  <c:v>3.3255379493507542E-2</c:v>
                </c:pt>
                <c:pt idx="1722">
                  <c:v>3.325399588218092E-2</c:v>
                </c:pt>
                <c:pt idx="1723">
                  <c:v>3.3252560243518525E-2</c:v>
                </c:pt>
                <c:pt idx="1724">
                  <c:v>3.3251072577196172E-2</c:v>
                </c:pt>
                <c:pt idx="1725">
                  <c:v>3.3249532883375954E-2</c:v>
                </c:pt>
                <c:pt idx="1726">
                  <c:v>3.324794116205787E-2</c:v>
                </c:pt>
                <c:pt idx="1727">
                  <c:v>3.3246297413241921E-2</c:v>
                </c:pt>
                <c:pt idx="1728">
                  <c:v>3.324460163684706E-2</c:v>
                </c:pt>
                <c:pt idx="1729">
                  <c:v>3.3242853832954333E-2</c:v>
                </c:pt>
                <c:pt idx="1730">
                  <c:v>3.3241054001644788E-2</c:v>
                </c:pt>
                <c:pt idx="1731">
                  <c:v>3.3239202142513191E-2</c:v>
                </c:pt>
                <c:pt idx="1732">
                  <c:v>3.3237298256126868E-2</c:v>
                </c:pt>
                <c:pt idx="1733">
                  <c:v>3.3235342342080587E-2</c:v>
                </c:pt>
                <c:pt idx="1734">
                  <c:v>3.3233334400617487E-2</c:v>
                </c:pt>
                <c:pt idx="1735">
                  <c:v>3.3231274431494429E-2</c:v>
                </c:pt>
                <c:pt idx="1736">
                  <c:v>3.3229162435035597E-2</c:v>
                </c:pt>
                <c:pt idx="1737">
                  <c:v>3.3226998410835762E-2</c:v>
                </c:pt>
                <c:pt idx="1738">
                  <c:v>3.3224782359219107E-2</c:v>
                </c:pt>
                <c:pt idx="1739">
                  <c:v>3.3222514280104587E-2</c:v>
                </c:pt>
                <c:pt idx="1740">
                  <c:v>3.3220194173492201E-2</c:v>
                </c:pt>
                <c:pt idx="1741">
                  <c:v>3.321782203938195E-2</c:v>
                </c:pt>
                <c:pt idx="1742">
                  <c:v>3.3215397877692787E-2</c:v>
                </c:pt>
                <c:pt idx="1743">
                  <c:v>3.3212921688505759E-2</c:v>
                </c:pt>
                <c:pt idx="1744">
                  <c:v>3.3210393471820865E-2</c:v>
                </c:pt>
                <c:pt idx="1745">
                  <c:v>3.3207813227557059E-2</c:v>
                </c:pt>
                <c:pt idx="1746">
                  <c:v>3.3205180955876434E-2</c:v>
                </c:pt>
                <c:pt idx="1747">
                  <c:v>3.3202496656616898E-2</c:v>
                </c:pt>
                <c:pt idx="1748">
                  <c:v>3.3199760329859496E-2</c:v>
                </c:pt>
                <c:pt idx="1749">
                  <c:v>3.3196971975604228E-2</c:v>
                </c:pt>
                <c:pt idx="1750">
                  <c:v>3.3194131593932141E-2</c:v>
                </c:pt>
                <c:pt idx="1751">
                  <c:v>3.3191239184681143E-2</c:v>
                </c:pt>
                <c:pt idx="1752">
                  <c:v>3.3188294747851232E-2</c:v>
                </c:pt>
                <c:pt idx="1753">
                  <c:v>3.3185298283604503E-2</c:v>
                </c:pt>
                <c:pt idx="1754">
                  <c:v>3.3182249791859908E-2</c:v>
                </c:pt>
                <c:pt idx="1755">
                  <c:v>3.3179149272617448E-2</c:v>
                </c:pt>
                <c:pt idx="1756">
                  <c:v>3.3175996725796075E-2</c:v>
                </c:pt>
                <c:pt idx="1757">
                  <c:v>3.3172792151557884E-2</c:v>
                </c:pt>
                <c:pt idx="1758">
                  <c:v>3.3169535549740781E-2</c:v>
                </c:pt>
                <c:pt idx="1759">
                  <c:v>3.3166226920506858E-2</c:v>
                </c:pt>
                <c:pt idx="1760">
                  <c:v>3.316286626377507E-2</c:v>
                </c:pt>
                <c:pt idx="1761">
                  <c:v>3.3159453579545417E-2</c:v>
                </c:pt>
                <c:pt idx="1762">
                  <c:v>3.3155988867736852E-2</c:v>
                </c:pt>
                <c:pt idx="1763">
                  <c:v>3.3152472128592514E-2</c:v>
                </c:pt>
                <c:pt idx="1764">
                  <c:v>3.3148903361869264E-2</c:v>
                </c:pt>
                <c:pt idx="1765">
                  <c:v>3.3145282567729195E-2</c:v>
                </c:pt>
                <c:pt idx="1766">
                  <c:v>3.3141609746010214E-2</c:v>
                </c:pt>
                <c:pt idx="1767">
                  <c:v>3.3137884896793368E-2</c:v>
                </c:pt>
                <c:pt idx="1768">
                  <c:v>3.3134108020240749E-2</c:v>
                </c:pt>
                <c:pt idx="1769">
                  <c:v>3.3130279116109218E-2</c:v>
                </c:pt>
                <c:pt idx="1770">
                  <c:v>3.3126398184479822E-2</c:v>
                </c:pt>
                <c:pt idx="1771">
                  <c:v>3.3122465225433606E-2</c:v>
                </c:pt>
                <c:pt idx="1772">
                  <c:v>3.3118480238889525E-2</c:v>
                </c:pt>
                <c:pt idx="1773">
                  <c:v>3.3114443224847578E-2</c:v>
                </c:pt>
                <c:pt idx="1774">
                  <c:v>3.3110354183307766E-2</c:v>
                </c:pt>
                <c:pt idx="1775">
                  <c:v>3.3106213114432181E-2</c:v>
                </c:pt>
                <c:pt idx="1776">
                  <c:v>3.3102020017977685E-2</c:v>
                </c:pt>
                <c:pt idx="1777">
                  <c:v>3.3097774894106369E-2</c:v>
                </c:pt>
                <c:pt idx="1778">
                  <c:v>3.3093477742737187E-2</c:v>
                </c:pt>
                <c:pt idx="1779">
                  <c:v>3.308912856387014E-2</c:v>
                </c:pt>
                <c:pt idx="1780">
                  <c:v>3.3084727357667321E-2</c:v>
                </c:pt>
                <c:pt idx="1781">
                  <c:v>3.3080274123885589E-2</c:v>
                </c:pt>
                <c:pt idx="1782">
                  <c:v>3.3075768862768085E-2</c:v>
                </c:pt>
                <c:pt idx="1783">
                  <c:v>3.3071211574071668E-2</c:v>
                </c:pt>
                <c:pt idx="1784">
                  <c:v>3.3066602257958433E-2</c:v>
                </c:pt>
                <c:pt idx="1785">
                  <c:v>3.3061940914428378E-2</c:v>
                </c:pt>
                <c:pt idx="1786">
                  <c:v>3.3057227543481504E-2</c:v>
                </c:pt>
                <c:pt idx="1787">
                  <c:v>3.3052462144955719E-2</c:v>
                </c:pt>
                <c:pt idx="1788">
                  <c:v>3.304764471909416E-2</c:v>
                </c:pt>
                <c:pt idx="1789">
                  <c:v>3.304207538247228E-2</c:v>
                </c:pt>
                <c:pt idx="1790">
                  <c:v>3.3037146469184764E-2</c:v>
                </c:pt>
                <c:pt idx="1791">
                  <c:v>3.3032165528480428E-2</c:v>
                </c:pt>
                <c:pt idx="1792">
                  <c:v>3.3027132560359274E-2</c:v>
                </c:pt>
                <c:pt idx="1793">
                  <c:v>3.30220475648213E-2</c:v>
                </c:pt>
                <c:pt idx="1794">
                  <c:v>3.3016910541704414E-2</c:v>
                </c:pt>
                <c:pt idx="1795">
                  <c:v>3.3011721491413848E-2</c:v>
                </c:pt>
                <c:pt idx="1796">
                  <c:v>3.3006480413463324E-2</c:v>
                </c:pt>
                <c:pt idx="1797">
                  <c:v>3.3001187308258073E-2</c:v>
                </c:pt>
                <c:pt idx="1798">
                  <c:v>3.2995842175473911E-2</c:v>
                </c:pt>
                <c:pt idx="1799">
                  <c:v>3.2990445015353975E-2</c:v>
                </c:pt>
                <c:pt idx="1800">
                  <c:v>3.2984995827817221E-2</c:v>
                </c:pt>
                <c:pt idx="1801">
                  <c:v>3.2979494612863647E-2</c:v>
                </c:pt>
                <c:pt idx="1802">
                  <c:v>3.29739413705743E-2</c:v>
                </c:pt>
                <c:pt idx="1803">
                  <c:v>3.2968336100706042E-2</c:v>
                </c:pt>
                <c:pt idx="1804">
                  <c:v>3.2962678803583056E-2</c:v>
                </c:pt>
                <c:pt idx="1805">
                  <c:v>3.296127914154301E-2</c:v>
                </c:pt>
                <c:pt idx="1806">
                  <c:v>3.2951208126924536E-2</c:v>
                </c:pt>
                <c:pt idx="1807">
                  <c:v>3.2945394747470047E-2</c:v>
                </c:pt>
                <c:pt idx="1808">
                  <c:v>3.2939529340760831E-2</c:v>
                </c:pt>
                <c:pt idx="1809">
                  <c:v>3.2933611906472704E-2</c:v>
                </c:pt>
                <c:pt idx="1810">
                  <c:v>3.292764244492985E-2</c:v>
                </c:pt>
                <c:pt idx="1811">
                  <c:v>3.2921620955970177E-2</c:v>
                </c:pt>
                <c:pt idx="1812">
                  <c:v>3.2915547439593684E-2</c:v>
                </c:pt>
                <c:pt idx="1813">
                  <c:v>3.2909421895800373E-2</c:v>
                </c:pt>
                <c:pt idx="1814">
                  <c:v>3.2903244324671288E-2</c:v>
                </c:pt>
                <c:pt idx="1815">
                  <c:v>3.2897014726206431E-2</c:v>
                </c:pt>
                <c:pt idx="1816">
                  <c:v>3.2890733100162661E-2</c:v>
                </c:pt>
                <c:pt idx="1817">
                  <c:v>3.2884399446945212E-2</c:v>
                </c:pt>
                <c:pt idx="1818">
                  <c:v>3.2878013766310943E-2</c:v>
                </c:pt>
                <c:pt idx="1819">
                  <c:v>3.2871576058340901E-2</c:v>
                </c:pt>
                <c:pt idx="1820">
                  <c:v>3.2865086323035086E-2</c:v>
                </c:pt>
                <c:pt idx="1821">
                  <c:v>3.285854456015036E-2</c:v>
                </c:pt>
                <c:pt idx="1822">
                  <c:v>3.2851950770173E-2</c:v>
                </c:pt>
                <c:pt idx="1823">
                  <c:v>3.2845304952616727E-2</c:v>
                </c:pt>
                <c:pt idx="1824">
                  <c:v>3.2838607107724682E-2</c:v>
                </c:pt>
                <c:pt idx="1825">
                  <c:v>3.283185723557791E-2</c:v>
                </c:pt>
                <c:pt idx="1826">
                  <c:v>3.2825055336095366E-2</c:v>
                </c:pt>
                <c:pt idx="1827">
                  <c:v>3.2818201409196002E-2</c:v>
                </c:pt>
                <c:pt idx="1828">
                  <c:v>3.2811295454960865E-2</c:v>
                </c:pt>
                <c:pt idx="1829">
                  <c:v>3.2804337473471001E-2</c:v>
                </c:pt>
                <c:pt idx="1830">
                  <c:v>3.2797327464564319E-2</c:v>
                </c:pt>
                <c:pt idx="1831">
                  <c:v>3.2790265428321863E-2</c:v>
                </c:pt>
                <c:pt idx="1832">
                  <c:v>3.2783151364662588E-2</c:v>
                </c:pt>
                <c:pt idx="1833">
                  <c:v>3.2775985273829633E-2</c:v>
                </c:pt>
                <c:pt idx="1834">
                  <c:v>3.2768767155579859E-2</c:v>
                </c:pt>
                <c:pt idx="1835">
                  <c:v>3.2761497010075358E-2</c:v>
                </c:pt>
                <c:pt idx="1836">
                  <c:v>3.2754174837154038E-2</c:v>
                </c:pt>
                <c:pt idx="1837">
                  <c:v>3.2746800636977991E-2</c:v>
                </c:pt>
                <c:pt idx="1838">
                  <c:v>3.2739374409547217E-2</c:v>
                </c:pt>
                <c:pt idx="1839">
                  <c:v>3.2731896154699625E-2</c:v>
                </c:pt>
                <c:pt idx="1840">
                  <c:v>3.2724365872678352E-2</c:v>
                </c:pt>
                <c:pt idx="1841">
                  <c:v>3.2717539546252006E-2</c:v>
                </c:pt>
                <c:pt idx="1842">
                  <c:v>3.2709888973476708E-2</c:v>
                </c:pt>
                <c:pt idx="1843">
                  <c:v>3.2702186364450547E-2</c:v>
                </c:pt>
                <c:pt idx="1844">
                  <c:v>3.2694431719119496E-2</c:v>
                </c:pt>
                <c:pt idx="1845">
                  <c:v>3.2686625037510561E-2</c:v>
                </c:pt>
                <c:pt idx="1846">
                  <c:v>3.2678766319650762E-2</c:v>
                </c:pt>
                <c:pt idx="1847">
                  <c:v>3.2670855565486066E-2</c:v>
                </c:pt>
                <c:pt idx="1848">
                  <c:v>3.266289277512454E-2</c:v>
                </c:pt>
                <c:pt idx="1849">
                  <c:v>3.2654877948485136E-2</c:v>
                </c:pt>
                <c:pt idx="1850">
                  <c:v>3.2646811085648896E-2</c:v>
                </c:pt>
                <c:pt idx="1851">
                  <c:v>3.2638692186561791E-2</c:v>
                </c:pt>
                <c:pt idx="1852">
                  <c:v>3.2630521251277855E-2</c:v>
                </c:pt>
                <c:pt idx="1853">
                  <c:v>3.2622298279797089E-2</c:v>
                </c:pt>
                <c:pt idx="1854">
                  <c:v>3.2614023272173519E-2</c:v>
                </c:pt>
                <c:pt idx="1855">
                  <c:v>3.2599200304731513E-2</c:v>
                </c:pt>
                <c:pt idx="1856">
                  <c:v>3.2590800423835109E-2</c:v>
                </c:pt>
                <c:pt idx="1857">
                  <c:v>3.2582348515683979E-2</c:v>
                </c:pt>
                <c:pt idx="1858">
                  <c:v>3.2573844580359168E-2</c:v>
                </c:pt>
                <c:pt idx="1859">
                  <c:v>3.2565288617617538E-2</c:v>
                </c:pt>
                <c:pt idx="1860">
                  <c:v>3.2556680627783274E-2</c:v>
                </c:pt>
                <c:pt idx="1861">
                  <c:v>3.2548020610694284E-2</c:v>
                </c:pt>
                <c:pt idx="1862">
                  <c:v>3.2539308566350567E-2</c:v>
                </c:pt>
                <c:pt idx="1863">
                  <c:v>3.2530544494752123E-2</c:v>
                </c:pt>
                <c:pt idx="1864">
                  <c:v>3.2521728396061045E-2</c:v>
                </c:pt>
                <c:pt idx="1865">
                  <c:v>3.251286027011524E-2</c:v>
                </c:pt>
                <c:pt idx="1866">
                  <c:v>3.2503940116833663E-2</c:v>
                </c:pt>
                <c:pt idx="1867">
                  <c:v>3.2494967936459451E-2</c:v>
                </c:pt>
                <c:pt idx="1868">
                  <c:v>3.2485943728830513E-2</c:v>
                </c:pt>
                <c:pt idx="1869">
                  <c:v>3.2476867494027895E-2</c:v>
                </c:pt>
                <c:pt idx="1870">
                  <c:v>3.2467739231970549E-2</c:v>
                </c:pt>
                <c:pt idx="1871">
                  <c:v>3.2458558942739524E-2</c:v>
                </c:pt>
                <c:pt idx="1872">
                  <c:v>3.2449326626253772E-2</c:v>
                </c:pt>
                <c:pt idx="1873">
                  <c:v>3.2440042282756432E-2</c:v>
                </c:pt>
                <c:pt idx="1874">
                  <c:v>3.2430705912004365E-2</c:v>
                </c:pt>
                <c:pt idx="1875">
                  <c:v>3.2421317513997572E-2</c:v>
                </c:pt>
                <c:pt idx="1876">
                  <c:v>3.2411877088898144E-2</c:v>
                </c:pt>
                <c:pt idx="1877">
                  <c:v>3.2402384636625037E-2</c:v>
                </c:pt>
                <c:pt idx="1878">
                  <c:v>3.2392840157178249E-2</c:v>
                </c:pt>
                <c:pt idx="1879">
                  <c:v>3.2383243650476734E-2</c:v>
                </c:pt>
                <c:pt idx="1880">
                  <c:v>3.2373595116682585E-2</c:v>
                </c:pt>
                <c:pt idx="1881">
                  <c:v>3.2363894555795802E-2</c:v>
                </c:pt>
                <c:pt idx="1882">
                  <c:v>3.2354141967654293E-2</c:v>
                </c:pt>
                <c:pt idx="1883">
                  <c:v>3.2344337352501196E-2</c:v>
                </c:pt>
                <c:pt idx="1884">
                  <c:v>3.2334480710012325E-2</c:v>
                </c:pt>
                <c:pt idx="1885">
                  <c:v>3.2324572040592914E-2</c:v>
                </c:pt>
                <c:pt idx="1886">
                  <c:v>3.2314611343837729E-2</c:v>
                </c:pt>
                <c:pt idx="1887">
                  <c:v>3.2304598620152003E-2</c:v>
                </c:pt>
                <c:pt idx="1888">
                  <c:v>3.229453386921155E-2</c:v>
                </c:pt>
                <c:pt idx="1889">
                  <c:v>3.2284417091178463E-2</c:v>
                </c:pt>
                <c:pt idx="1890">
                  <c:v>3.2274248286052742E-2</c:v>
                </c:pt>
                <c:pt idx="1891">
                  <c:v>3.2264027453834387E-2</c:v>
                </c:pt>
                <c:pt idx="1892">
                  <c:v>3.2253754594442352E-2</c:v>
                </c:pt>
                <c:pt idx="1893">
                  <c:v>3.2243429707957683E-2</c:v>
                </c:pt>
                <c:pt idx="1894">
                  <c:v>3.2233052794461425E-2</c:v>
                </c:pt>
                <c:pt idx="1895">
                  <c:v>3.2222623853710441E-2</c:v>
                </c:pt>
                <c:pt idx="1896">
                  <c:v>3.2212142886028916E-2</c:v>
                </c:pt>
                <c:pt idx="1897">
                  <c:v>3.2201609891254757E-2</c:v>
                </c:pt>
                <c:pt idx="1898">
                  <c:v>3.2191024869306917E-2</c:v>
                </c:pt>
                <c:pt idx="1899">
                  <c:v>3.2180387820266443E-2</c:v>
                </c:pt>
                <c:pt idx="1900">
                  <c:v>3.2169698744295427E-2</c:v>
                </c:pt>
                <c:pt idx="1901">
                  <c:v>3.2158957641069685E-2</c:v>
                </c:pt>
                <c:pt idx="1902">
                  <c:v>3.2148164510913402E-2</c:v>
                </c:pt>
                <c:pt idx="1903">
                  <c:v>3.2137319353664484E-2</c:v>
                </c:pt>
                <c:pt idx="1904">
                  <c:v>3.2126422169322932E-2</c:v>
                </c:pt>
                <c:pt idx="1905">
                  <c:v>3.2115472958050839E-2</c:v>
                </c:pt>
                <c:pt idx="1906">
                  <c:v>3.2104471719686112E-2</c:v>
                </c:pt>
                <c:pt idx="1907">
                  <c:v>3.2093418454147704E-2</c:v>
                </c:pt>
                <c:pt idx="1908">
                  <c:v>3.2082313161759801E-2</c:v>
                </c:pt>
                <c:pt idx="1909">
                  <c:v>3.2071155842279264E-2</c:v>
                </c:pt>
                <c:pt idx="1910">
                  <c:v>3.2059946495787139E-2</c:v>
                </c:pt>
                <c:pt idx="1911">
                  <c:v>3.2048685122202381E-2</c:v>
                </c:pt>
                <c:pt idx="1912">
                  <c:v>3.203737172168708E-2</c:v>
                </c:pt>
                <c:pt idx="1913">
                  <c:v>3.2026006294079146E-2</c:v>
                </c:pt>
                <c:pt idx="1914">
                  <c:v>3.201458883954067E-2</c:v>
                </c:pt>
                <c:pt idx="1915">
                  <c:v>3.200311935790956E-2</c:v>
                </c:pt>
                <c:pt idx="1916">
                  <c:v>3.1991597849347908E-2</c:v>
                </c:pt>
                <c:pt idx="1917">
                  <c:v>3.1980024313855715E-2</c:v>
                </c:pt>
                <c:pt idx="1918">
                  <c:v>3.1968398751270888E-2</c:v>
                </c:pt>
                <c:pt idx="1919">
                  <c:v>3.1956721161755519E-2</c:v>
                </c:pt>
                <c:pt idx="1920">
                  <c:v>3.1944991545228563E-2</c:v>
                </c:pt>
                <c:pt idx="1921">
                  <c:v>3.1933209901852111E-2</c:v>
                </c:pt>
                <c:pt idx="1922">
                  <c:v>3.1921376231301979E-2</c:v>
                </c:pt>
                <c:pt idx="1923">
                  <c:v>3.1909490533983398E-2</c:v>
                </c:pt>
                <c:pt idx="1924">
                  <c:v>3.1897552809572183E-2</c:v>
                </c:pt>
                <c:pt idx="1925">
                  <c:v>3.1885563058311472E-2</c:v>
                </c:pt>
                <c:pt idx="1926">
                  <c:v>3.1873521279958128E-2</c:v>
                </c:pt>
                <c:pt idx="1927">
                  <c:v>3.1861427474836335E-2</c:v>
                </c:pt>
                <c:pt idx="1928">
                  <c:v>3.1849281642784E-2</c:v>
                </c:pt>
                <c:pt idx="1929">
                  <c:v>3.1837083783639031E-2</c:v>
                </c:pt>
                <c:pt idx="1930">
                  <c:v>3.1824833897806659E-2</c:v>
                </c:pt>
                <c:pt idx="1931">
                  <c:v>3.1812531984800607E-2</c:v>
                </c:pt>
                <c:pt idx="1932">
                  <c:v>3.180017804494506E-2</c:v>
                </c:pt>
                <c:pt idx="1933">
                  <c:v>3.1787772078240017E-2</c:v>
                </c:pt>
                <c:pt idx="1934">
                  <c:v>3.1775314084604434E-2</c:v>
                </c:pt>
                <c:pt idx="1935">
                  <c:v>3.1762804064119354E-2</c:v>
                </c:pt>
                <c:pt idx="1936">
                  <c:v>3.1750242016703734E-2</c:v>
                </c:pt>
                <c:pt idx="1937">
                  <c:v>3.1737627942357571E-2</c:v>
                </c:pt>
                <c:pt idx="1938">
                  <c:v>3.1724961841161914E-2</c:v>
                </c:pt>
                <c:pt idx="1939">
                  <c:v>3.1712243713197807E-2</c:v>
                </c:pt>
                <c:pt idx="1940">
                  <c:v>3.1699473558141067E-2</c:v>
                </c:pt>
                <c:pt idx="1941">
                  <c:v>3.168665137647797E-2</c:v>
                </c:pt>
                <c:pt idx="1942">
                  <c:v>3.1673777167722239E-2</c:v>
                </c:pt>
                <c:pt idx="1943">
                  <c:v>3.1660850932198059E-2</c:v>
                </c:pt>
                <c:pt idx="1944">
                  <c:v>3.1647872669824384E-2</c:v>
                </c:pt>
                <c:pt idx="1945">
                  <c:v>3.1634842380601214E-2</c:v>
                </c:pt>
                <c:pt idx="1946">
                  <c:v>3.1621760064528548E-2</c:v>
                </c:pt>
                <c:pt idx="1947">
                  <c:v>3.1608625721687433E-2</c:v>
                </c:pt>
                <c:pt idx="1948">
                  <c:v>3.1595439351996824E-2</c:v>
                </c:pt>
                <c:pt idx="1949">
                  <c:v>3.1582200955456718E-2</c:v>
                </c:pt>
                <c:pt idx="1950">
                  <c:v>3.1568910532148164E-2</c:v>
                </c:pt>
                <c:pt idx="1951">
                  <c:v>3.1555568081909069E-2</c:v>
                </c:pt>
                <c:pt idx="1952">
                  <c:v>3.1542173604982571E-2</c:v>
                </c:pt>
                <c:pt idx="1953">
                  <c:v>3.1528727101287624E-2</c:v>
                </c:pt>
                <c:pt idx="1954">
                  <c:v>3.1515228570662135E-2</c:v>
                </c:pt>
                <c:pt idx="1955">
                  <c:v>3.1501678013349244E-2</c:v>
                </c:pt>
                <c:pt idx="1956">
                  <c:v>3.1488075429186857E-2</c:v>
                </c:pt>
                <c:pt idx="1957">
                  <c:v>3.1474420818337068E-2</c:v>
                </c:pt>
                <c:pt idx="1958">
                  <c:v>3.1460714180637783E-2</c:v>
                </c:pt>
                <c:pt idx="1959">
                  <c:v>3.1446955516332142E-2</c:v>
                </c:pt>
                <c:pt idx="1960">
                  <c:v>3.1433144825014914E-2</c:v>
                </c:pt>
                <c:pt idx="1961">
                  <c:v>3.1419282107172375E-2</c:v>
                </c:pt>
                <c:pt idx="1962">
                  <c:v>3.1405367362399295E-2</c:v>
                </c:pt>
                <c:pt idx="1963">
                  <c:v>3.1391400590938812E-2</c:v>
                </c:pt>
                <c:pt idx="1964">
                  <c:v>3.1377381792871972E-2</c:v>
                </c:pt>
                <c:pt idx="1965">
                  <c:v>3.1363310967955638E-2</c:v>
                </c:pt>
                <c:pt idx="1966">
                  <c:v>3.13491881163519E-2</c:v>
                </c:pt>
                <c:pt idx="1967">
                  <c:v>3.1335013237979714E-2</c:v>
                </c:pt>
                <c:pt idx="1968">
                  <c:v>3.1320786333001172E-2</c:v>
                </c:pt>
                <c:pt idx="1969">
                  <c:v>3.130650740125418E-2</c:v>
                </c:pt>
                <c:pt idx="1970">
                  <c:v>3.1292176442819786E-2</c:v>
                </c:pt>
                <c:pt idx="1971">
                  <c:v>3.1277795527701047E-2</c:v>
                </c:pt>
                <c:pt idx="1972">
                  <c:v>3.1263422617280323E-2</c:v>
                </c:pt>
                <c:pt idx="1973">
                  <c:v>3.1249084622083645E-2</c:v>
                </c:pt>
                <c:pt idx="1974">
                  <c:v>3.1234781542111012E-2</c:v>
                </c:pt>
                <c:pt idx="1975">
                  <c:v>3.1220513377443471E-2</c:v>
                </c:pt>
                <c:pt idx="1976">
                  <c:v>3.1206280127999975E-2</c:v>
                </c:pt>
                <c:pt idx="1977">
                  <c:v>3.1192081793780524E-2</c:v>
                </c:pt>
                <c:pt idx="1978">
                  <c:v>3.1177918374785119E-2</c:v>
                </c:pt>
                <c:pt idx="1979">
                  <c:v>3.1163789871013758E-2</c:v>
                </c:pt>
                <c:pt idx="1980">
                  <c:v>3.1149696282385397E-2</c:v>
                </c:pt>
                <c:pt idx="1981">
                  <c:v>3.1135637609062128E-2</c:v>
                </c:pt>
                <c:pt idx="1982">
                  <c:v>3.1121613850881857E-2</c:v>
                </c:pt>
                <c:pt idx="1983">
                  <c:v>3.1107625008006679E-2</c:v>
                </c:pt>
                <c:pt idx="1984">
                  <c:v>3.1093671080193452E-2</c:v>
                </c:pt>
                <c:pt idx="1985">
                  <c:v>3.1079752067766364E-2</c:v>
                </c:pt>
                <c:pt idx="1986">
                  <c:v>3.1065867970401229E-2</c:v>
                </c:pt>
                <c:pt idx="1987">
                  <c:v>3.1052018788260138E-2</c:v>
                </c:pt>
                <c:pt idx="1988">
                  <c:v>3.1038204521343093E-2</c:v>
                </c:pt>
                <c:pt idx="1989">
                  <c:v>3.1024425169488001E-2</c:v>
                </c:pt>
                <c:pt idx="1990">
                  <c:v>3.1010680732856954E-2</c:v>
                </c:pt>
                <c:pt idx="1991">
                  <c:v>3.0996971211530999E-2</c:v>
                </c:pt>
                <c:pt idx="1992">
                  <c:v>3.0983296605266997E-2</c:v>
                </c:pt>
                <c:pt idx="1993">
                  <c:v>3.0969656914227039E-2</c:v>
                </c:pt>
                <c:pt idx="1994">
                  <c:v>3.0956052138330081E-2</c:v>
                </c:pt>
                <c:pt idx="1995">
                  <c:v>3.0942482277576122E-2</c:v>
                </c:pt>
                <c:pt idx="1996">
                  <c:v>3.0928947331965162E-2</c:v>
                </c:pt>
                <c:pt idx="1997">
                  <c:v>3.0913521575974823E-2</c:v>
                </c:pt>
                <c:pt idx="1998">
                  <c:v>3.090006144848112E-2</c:v>
                </c:pt>
                <c:pt idx="1999">
                  <c:v>3.0886636236292508E-2</c:v>
                </c:pt>
                <c:pt idx="2000">
                  <c:v>3.0873245939084804E-2</c:v>
                </c:pt>
                <c:pt idx="2001">
                  <c:v>3.0859890557101144E-2</c:v>
                </c:pt>
                <c:pt idx="2002">
                  <c:v>3.0846570090260483E-2</c:v>
                </c:pt>
                <c:pt idx="2003">
                  <c:v>3.0833284538481776E-2</c:v>
                </c:pt>
                <c:pt idx="2004">
                  <c:v>3.0820033902008159E-2</c:v>
                </c:pt>
                <c:pt idx="2005">
                  <c:v>3.0806818180434403E-2</c:v>
                </c:pt>
                <c:pt idx="2006">
                  <c:v>3.0793637374003646E-2</c:v>
                </c:pt>
                <c:pt idx="2007">
                  <c:v>3.0780491482715888E-2</c:v>
                </c:pt>
                <c:pt idx="2008">
                  <c:v>3.0767380506652175E-2</c:v>
                </c:pt>
                <c:pt idx="2009">
                  <c:v>3.0754304445569369E-2</c:v>
                </c:pt>
                <c:pt idx="2010">
                  <c:v>3.0741263299629562E-2</c:v>
                </c:pt>
                <c:pt idx="2011">
                  <c:v>3.0728257068832754E-2</c:v>
                </c:pt>
                <c:pt idx="2012">
                  <c:v>3.0715285753016852E-2</c:v>
                </c:pt>
                <c:pt idx="2013">
                  <c:v>3.0702349352424996E-2</c:v>
                </c:pt>
                <c:pt idx="2014">
                  <c:v>3.0689447866814046E-2</c:v>
                </c:pt>
                <c:pt idx="2015">
                  <c:v>3.0676581296265049E-2</c:v>
                </c:pt>
                <c:pt idx="2016">
                  <c:v>3.066374964085905E-2</c:v>
                </c:pt>
                <c:pt idx="2017">
                  <c:v>3.0650952900596051E-2</c:v>
                </c:pt>
                <c:pt idx="2018">
                  <c:v>3.0638191075313959E-2</c:v>
                </c:pt>
                <c:pt idx="2019">
                  <c:v>3.0625464165093819E-2</c:v>
                </c:pt>
                <c:pt idx="2020">
                  <c:v>3.0612772170016678E-2</c:v>
                </c:pt>
                <c:pt idx="2021">
                  <c:v>3.0600115089920443E-2</c:v>
                </c:pt>
                <c:pt idx="2022">
                  <c:v>3.0587492924967208E-2</c:v>
                </c:pt>
                <c:pt idx="2023">
                  <c:v>3.0574905674994879E-2</c:v>
                </c:pt>
                <c:pt idx="2024">
                  <c:v>3.0562353340084503E-2</c:v>
                </c:pt>
                <c:pt idx="2025">
                  <c:v>3.0549835920236079E-2</c:v>
                </c:pt>
                <c:pt idx="2026">
                  <c:v>3.0537353415368562E-2</c:v>
                </c:pt>
                <c:pt idx="2027">
                  <c:v>3.0524905825644044E-2</c:v>
                </c:pt>
                <c:pt idx="2028">
                  <c:v>3.0512493150819386E-2</c:v>
                </c:pt>
                <c:pt idx="2029">
                  <c:v>3.0500115391218774E-2</c:v>
                </c:pt>
                <c:pt idx="2030">
                  <c:v>3.0487772546436975E-2</c:v>
                </c:pt>
                <c:pt idx="2031">
                  <c:v>3.0475464616879222E-2</c:v>
                </c:pt>
                <c:pt idx="2032">
                  <c:v>3.0463191602140283E-2</c:v>
                </c:pt>
                <c:pt idx="2033">
                  <c:v>3.0450953502544342E-2</c:v>
                </c:pt>
                <c:pt idx="2034">
                  <c:v>3.0438750318010355E-2</c:v>
                </c:pt>
                <c:pt idx="2035">
                  <c:v>3.0426582048376227E-2</c:v>
                </c:pt>
                <c:pt idx="2036">
                  <c:v>3.0414448693804053E-2</c:v>
                </c:pt>
                <c:pt idx="2037">
                  <c:v>3.0402350254293831E-2</c:v>
                </c:pt>
                <c:pt idx="2038">
                  <c:v>3.0390286729764515E-2</c:v>
                </c:pt>
                <c:pt idx="2039">
                  <c:v>3.037825812013506E-2</c:v>
                </c:pt>
                <c:pt idx="2040">
                  <c:v>3.0366264425567557E-2</c:v>
                </c:pt>
                <c:pt idx="2041">
                  <c:v>3.0354305645899915E-2</c:v>
                </c:pt>
                <c:pt idx="2042">
                  <c:v>3.0342381781375272E-2</c:v>
                </c:pt>
                <c:pt idx="2043">
                  <c:v>3.0330492831750488E-2</c:v>
                </c:pt>
                <c:pt idx="2044">
                  <c:v>3.0318638797106612E-2</c:v>
                </c:pt>
                <c:pt idx="2045">
                  <c:v>3.0306819677362595E-2</c:v>
                </c:pt>
                <c:pt idx="2046">
                  <c:v>3.0295035472761578E-2</c:v>
                </c:pt>
                <c:pt idx="2047">
                  <c:v>3.0283286183060421E-2</c:v>
                </c:pt>
                <c:pt idx="2048">
                  <c:v>3.0271571808259123E-2</c:v>
                </c:pt>
                <c:pt idx="2049">
                  <c:v>3.0259892348519779E-2</c:v>
                </c:pt>
                <c:pt idx="2050">
                  <c:v>3.0248247803680295E-2</c:v>
                </c:pt>
                <c:pt idx="2051">
                  <c:v>3.0236638173902763E-2</c:v>
                </c:pt>
                <c:pt idx="2052">
                  <c:v>3.0225063458863E-2</c:v>
                </c:pt>
                <c:pt idx="2053">
                  <c:v>3.0213523658885189E-2</c:v>
                </c:pt>
                <c:pt idx="2054">
                  <c:v>3.0202018773888284E-2</c:v>
                </c:pt>
                <c:pt idx="2055">
                  <c:v>3.0190548803872286E-2</c:v>
                </c:pt>
                <c:pt idx="2056">
                  <c:v>3.0179113748675102E-2</c:v>
                </c:pt>
                <c:pt idx="2057">
                  <c:v>3.0167713608458824E-2</c:v>
                </c:pt>
                <c:pt idx="2058">
                  <c:v>3.0156348383223452E-2</c:v>
                </c:pt>
                <c:pt idx="2059">
                  <c:v>3.0145018072887941E-2</c:v>
                </c:pt>
                <c:pt idx="2060">
                  <c:v>3.0133722677533337E-2</c:v>
                </c:pt>
                <c:pt idx="2061">
                  <c:v>3.01224621969165E-2</c:v>
                </c:pt>
                <c:pt idx="2062">
                  <c:v>3.0111236631442662E-2</c:v>
                </c:pt>
                <c:pt idx="2063">
                  <c:v>3.0100045980706591E-2</c:v>
                </c:pt>
                <c:pt idx="2064">
                  <c:v>3.0088890245032474E-2</c:v>
                </c:pt>
                <c:pt idx="2065">
                  <c:v>3.0077769424258216E-2</c:v>
                </c:pt>
                <c:pt idx="2066">
                  <c:v>3.0066683518383819E-2</c:v>
                </c:pt>
                <c:pt idx="2067">
                  <c:v>3.0055632527328235E-2</c:v>
                </c:pt>
                <c:pt idx="2068">
                  <c:v>3.0044616451172512E-2</c:v>
                </c:pt>
                <c:pt idx="2069">
                  <c:v>3.0033635289916649E-2</c:v>
                </c:pt>
                <c:pt idx="2070">
                  <c:v>3.0022689043641693E-2</c:v>
                </c:pt>
                <c:pt idx="2071">
                  <c:v>3.0011777712266596E-2</c:v>
                </c:pt>
                <c:pt idx="2072">
                  <c:v>3.0000901295710314E-2</c:v>
                </c:pt>
                <c:pt idx="2073">
                  <c:v>2.9990059794134938E-2</c:v>
                </c:pt>
                <c:pt idx="2074">
                  <c:v>2.9979253207216283E-2</c:v>
                </c:pt>
                <c:pt idx="2075">
                  <c:v>2.9968481535359581E-2</c:v>
                </c:pt>
                <c:pt idx="2076">
                  <c:v>2.995774477840274E-2</c:v>
                </c:pt>
                <c:pt idx="2077">
                  <c:v>2.9947042936264712E-2</c:v>
                </c:pt>
                <c:pt idx="2078">
                  <c:v>2.9936376009026544E-2</c:v>
                </c:pt>
                <c:pt idx="2079">
                  <c:v>2.992574399660719E-2</c:v>
                </c:pt>
                <c:pt idx="2080">
                  <c:v>2.9915146899087697E-2</c:v>
                </c:pt>
                <c:pt idx="2081">
                  <c:v>2.9904584716387017E-2</c:v>
                </c:pt>
                <c:pt idx="2082">
                  <c:v>2.9894057448505151E-2</c:v>
                </c:pt>
                <c:pt idx="2083">
                  <c:v>2.9883565095685238E-2</c:v>
                </c:pt>
                <c:pt idx="2084">
                  <c:v>2.9873107657522047E-2</c:v>
                </c:pt>
                <c:pt idx="2085">
                  <c:v>2.9862685134258715E-2</c:v>
                </c:pt>
                <c:pt idx="2086">
                  <c:v>2.9852297525895244E-2</c:v>
                </c:pt>
                <c:pt idx="2087">
                  <c:v>2.984194483226954E-2</c:v>
                </c:pt>
                <c:pt idx="2088">
                  <c:v>2.9831627053624743E-2</c:v>
                </c:pt>
                <c:pt idx="2089">
                  <c:v>2.9821344189555621E-2</c:v>
                </c:pt>
                <c:pt idx="2090">
                  <c:v>2.9811096240629498E-2</c:v>
                </c:pt>
                <c:pt idx="2091">
                  <c:v>2.9800883206441142E-2</c:v>
                </c:pt>
                <c:pt idx="2092">
                  <c:v>2.9790705086990554E-2</c:v>
                </c:pt>
                <c:pt idx="2093">
                  <c:v>2.9780561882439827E-2</c:v>
                </c:pt>
                <c:pt idx="2094">
                  <c:v>2.9770453592707913E-2</c:v>
                </c:pt>
                <c:pt idx="2095">
                  <c:v>2.9760380217875859E-2</c:v>
                </c:pt>
                <c:pt idx="2096">
                  <c:v>2.9750341757619481E-2</c:v>
                </c:pt>
                <c:pt idx="2097">
                  <c:v>2.9740338212344009E-2</c:v>
                </c:pt>
                <c:pt idx="2098">
                  <c:v>2.9730369581806304E-2</c:v>
                </c:pt>
                <c:pt idx="2099">
                  <c:v>2.9720435866087414E-2</c:v>
                </c:pt>
                <c:pt idx="2100">
                  <c:v>2.9710537065268383E-2</c:v>
                </c:pt>
                <c:pt idx="2101">
                  <c:v>2.9699266902781796E-2</c:v>
                </c:pt>
                <c:pt idx="2102">
                  <c:v>2.9689442919350606E-2</c:v>
                </c:pt>
                <c:pt idx="2103">
                  <c:v>2.967965385073823E-2</c:v>
                </c:pt>
                <c:pt idx="2104">
                  <c:v>2.9669899696782576E-2</c:v>
                </c:pt>
                <c:pt idx="2105">
                  <c:v>2.9660180457807828E-2</c:v>
                </c:pt>
                <c:pt idx="2106">
                  <c:v>2.9650496133489801E-2</c:v>
                </c:pt>
                <c:pt idx="2107">
                  <c:v>2.9640846724152681E-2</c:v>
                </c:pt>
                <c:pt idx="2108">
                  <c:v>2.9631232229310189E-2</c:v>
                </c:pt>
                <c:pt idx="2109">
                  <c:v>2.9621652649448604E-2</c:v>
                </c:pt>
                <c:pt idx="2110">
                  <c:v>2.9612107984324787E-2</c:v>
                </c:pt>
                <c:pt idx="2111">
                  <c:v>2.9602598234019784E-2</c:v>
                </c:pt>
                <c:pt idx="2112">
                  <c:v>2.9593123398371501E-2</c:v>
                </c:pt>
                <c:pt idx="2113">
                  <c:v>2.9583683477460987E-2</c:v>
                </c:pt>
                <c:pt idx="2114">
                  <c:v>2.9574278471450333E-2</c:v>
                </c:pt>
                <c:pt idx="2115">
                  <c:v>2.9564908380177446E-2</c:v>
                </c:pt>
                <c:pt idx="2116">
                  <c:v>2.9557699137840787E-2</c:v>
                </c:pt>
                <c:pt idx="2117">
                  <c:v>2.9546272941763929E-2</c:v>
                </c:pt>
                <c:pt idx="2118">
                  <c:v>2.9537007594623299E-2</c:v>
                </c:pt>
                <c:pt idx="2119">
                  <c:v>2.9527777162463575E-2</c:v>
                </c:pt>
                <c:pt idx="2120">
                  <c:v>2.9518581644960573E-2</c:v>
                </c:pt>
                <c:pt idx="2121">
                  <c:v>2.9509421042114292E-2</c:v>
                </c:pt>
                <c:pt idx="2122">
                  <c:v>2.9500295354005779E-2</c:v>
                </c:pt>
                <c:pt idx="2123">
                  <c:v>2.9491204580716079E-2</c:v>
                </c:pt>
                <c:pt idx="2124">
                  <c:v>2.9482148722245194E-2</c:v>
                </c:pt>
                <c:pt idx="2125">
                  <c:v>2.947312777843103E-2</c:v>
                </c:pt>
                <c:pt idx="2126">
                  <c:v>2.9464141749354633E-2</c:v>
                </c:pt>
                <c:pt idx="2127">
                  <c:v>2.9455190634934958E-2</c:v>
                </c:pt>
                <c:pt idx="2128">
                  <c:v>2.9446274435415143E-2</c:v>
                </c:pt>
                <c:pt idx="2129">
                  <c:v>2.9437393150552049E-2</c:v>
                </c:pt>
                <c:pt idx="2130">
                  <c:v>2.9428546780183584E-2</c:v>
                </c:pt>
                <c:pt idx="2131">
                  <c:v>2.9419735324796026E-2</c:v>
                </c:pt>
                <c:pt idx="2132">
                  <c:v>2.9410958784146235E-2</c:v>
                </c:pt>
                <c:pt idx="2133">
                  <c:v>2.9402217158072119E-2</c:v>
                </c:pt>
                <c:pt idx="2134">
                  <c:v>2.9393510446735771E-2</c:v>
                </c:pt>
                <c:pt idx="2135">
                  <c:v>2.9384838650218237E-2</c:v>
                </c:pt>
                <c:pt idx="2136">
                  <c:v>2.9376201768357424E-2</c:v>
                </c:pt>
                <c:pt idx="2137">
                  <c:v>2.9367599801072286E-2</c:v>
                </c:pt>
                <c:pt idx="2138">
                  <c:v>2.9359032748687008E-2</c:v>
                </c:pt>
                <c:pt idx="2139">
                  <c:v>2.9350500610877406E-2</c:v>
                </c:pt>
                <c:pt idx="2140">
                  <c:v>2.9342003387805571E-2</c:v>
                </c:pt>
                <c:pt idx="2141">
                  <c:v>2.9333541079390457E-2</c:v>
                </c:pt>
                <c:pt idx="2142">
                  <c:v>2.9325113685794157E-2</c:v>
                </c:pt>
                <c:pt idx="2143">
                  <c:v>2.9316721206854579E-2</c:v>
                </c:pt>
                <c:pt idx="2144">
                  <c:v>2.9308363642490676E-2</c:v>
                </c:pt>
                <c:pt idx="2145">
                  <c:v>2.930004099286454E-2</c:v>
                </c:pt>
                <c:pt idx="2146">
                  <c:v>2.9291753257976172E-2</c:v>
                </c:pt>
                <c:pt idx="2147">
                  <c:v>2.9283500437744525E-2</c:v>
                </c:pt>
                <c:pt idx="2148">
                  <c:v>2.92752825321696E-2</c:v>
                </c:pt>
                <c:pt idx="2149">
                  <c:v>2.9267099541332442E-2</c:v>
                </c:pt>
                <c:pt idx="2150">
                  <c:v>2.9258951465070959E-2</c:v>
                </c:pt>
                <c:pt idx="2151">
                  <c:v>2.9250838303466198E-2</c:v>
                </c:pt>
                <c:pt idx="2152">
                  <c:v>2.924276005668025E-2</c:v>
                </c:pt>
                <c:pt idx="2153">
                  <c:v>2.923476653337994E-2</c:v>
                </c:pt>
                <c:pt idx="2154">
                  <c:v>2.9226766810417363E-2</c:v>
                </c:pt>
                <c:pt idx="2155">
                  <c:v>2.9218802008054899E-2</c:v>
                </c:pt>
                <c:pt idx="2156">
                  <c:v>2.9210872126265535E-2</c:v>
                </c:pt>
                <c:pt idx="2157">
                  <c:v>2.9202977165103304E-2</c:v>
                </c:pt>
                <c:pt idx="2158">
                  <c:v>2.9195117124514173E-2</c:v>
                </c:pt>
                <c:pt idx="2159">
                  <c:v>2.9187292004525155E-2</c:v>
                </c:pt>
                <c:pt idx="2160">
                  <c:v>2.917950180502819E-2</c:v>
                </c:pt>
                <c:pt idx="2161">
                  <c:v>2.9171746526185375E-2</c:v>
                </c:pt>
                <c:pt idx="2162">
                  <c:v>2.9164026167861627E-2</c:v>
                </c:pt>
                <c:pt idx="2163">
                  <c:v>2.9156340730083961E-2</c:v>
                </c:pt>
                <c:pt idx="2164">
                  <c:v>2.9148690212825366E-2</c:v>
                </c:pt>
                <c:pt idx="2165">
                  <c:v>2.9141074616139871E-2</c:v>
                </c:pt>
                <c:pt idx="2166">
                  <c:v>2.9133493939973446E-2</c:v>
                </c:pt>
                <c:pt idx="2167">
                  <c:v>2.9120401398129436E-2</c:v>
                </c:pt>
                <c:pt idx="2168">
                  <c:v>2.9112906724764187E-2</c:v>
                </c:pt>
                <c:pt idx="2169">
                  <c:v>2.910544696581252E-2</c:v>
                </c:pt>
                <c:pt idx="2170">
                  <c:v>2.9098022121598621E-2</c:v>
                </c:pt>
                <c:pt idx="2171">
                  <c:v>2.9090632192203536E-2</c:v>
                </c:pt>
                <c:pt idx="2172">
                  <c:v>2.9083277177222033E-2</c:v>
                </c:pt>
                <c:pt idx="2173">
                  <c:v>2.9075957076978298E-2</c:v>
                </c:pt>
                <c:pt idx="2174">
                  <c:v>2.9068671891391284E-2</c:v>
                </c:pt>
                <c:pt idx="2175">
                  <c:v>2.90614216202989E-2</c:v>
                </c:pt>
                <c:pt idx="2176">
                  <c:v>2.9054206263863236E-2</c:v>
                </c:pt>
                <c:pt idx="2177">
                  <c:v>2.9047025822003247E-2</c:v>
                </c:pt>
                <c:pt idx="2178">
                  <c:v>2.903988029479998E-2</c:v>
                </c:pt>
                <c:pt idx="2179">
                  <c:v>2.9032769682172388E-2</c:v>
                </c:pt>
                <c:pt idx="2180">
                  <c:v>2.9025693984120471E-2</c:v>
                </c:pt>
                <c:pt idx="2181">
                  <c:v>2.9018653200725275E-2</c:v>
                </c:pt>
                <c:pt idx="2182">
                  <c:v>2.9011647332067847E-2</c:v>
                </c:pt>
                <c:pt idx="2183">
                  <c:v>2.9004676377824001E-2</c:v>
                </c:pt>
                <c:pt idx="2184">
                  <c:v>2.8997740338155831E-2</c:v>
                </c:pt>
                <c:pt idx="2185">
                  <c:v>2.8990839213306474E-2</c:v>
                </c:pt>
                <c:pt idx="2186">
                  <c:v>2.8983973002951746E-2</c:v>
                </c:pt>
                <c:pt idx="2187">
                  <c:v>2.8977141707010601E-2</c:v>
                </c:pt>
                <c:pt idx="2188">
                  <c:v>2.8970345325888269E-2</c:v>
                </c:pt>
                <c:pt idx="2189">
                  <c:v>2.8963583859422659E-2</c:v>
                </c:pt>
                <c:pt idx="2190">
                  <c:v>2.8956857307289585E-2</c:v>
                </c:pt>
                <c:pt idx="2191">
                  <c:v>2.8950165669813233E-2</c:v>
                </c:pt>
                <c:pt idx="2192">
                  <c:v>2.8943508946993601E-2</c:v>
                </c:pt>
                <c:pt idx="2193">
                  <c:v>2.8936887138749645E-2</c:v>
                </c:pt>
                <c:pt idx="2194">
                  <c:v>2.8930300245081364E-2</c:v>
                </c:pt>
                <c:pt idx="2195">
                  <c:v>2.8923748265826665E-2</c:v>
                </c:pt>
                <c:pt idx="2196">
                  <c:v>2.8917231201309734E-2</c:v>
                </c:pt>
                <c:pt idx="2197">
                  <c:v>2.8910749051449525E-2</c:v>
                </c:pt>
                <c:pt idx="2198">
                  <c:v>2.8904301815921851E-2</c:v>
                </c:pt>
                <c:pt idx="2199">
                  <c:v>2.8897889495212992E-2</c:v>
                </c:pt>
                <c:pt idx="2200">
                  <c:v>2.8891512088917715E-2</c:v>
                </c:pt>
                <c:pt idx="2201">
                  <c:v>2.8885169597360205E-2</c:v>
                </c:pt>
                <c:pt idx="2202">
                  <c:v>2.8878862020135232E-2</c:v>
                </c:pt>
                <c:pt idx="2203">
                  <c:v>2.8872589357729073E-2</c:v>
                </c:pt>
                <c:pt idx="2204">
                  <c:v>2.8866351609736496E-2</c:v>
                </c:pt>
                <c:pt idx="2205">
                  <c:v>2.8860148776157502E-2</c:v>
                </c:pt>
                <c:pt idx="2206">
                  <c:v>2.8853980857316275E-2</c:v>
                </c:pt>
                <c:pt idx="2207">
                  <c:v>2.8847847853131769E-2</c:v>
                </c:pt>
                <c:pt idx="2208">
                  <c:v>2.88417497632798E-2</c:v>
                </c:pt>
                <c:pt idx="2209">
                  <c:v>2.8835686588084553E-2</c:v>
                </c:pt>
                <c:pt idx="2210">
                  <c:v>2.8829658327546026E-2</c:v>
                </c:pt>
                <c:pt idx="2211">
                  <c:v>2.8823664981421082E-2</c:v>
                </c:pt>
                <c:pt idx="2212">
                  <c:v>2.8817706549790767E-2</c:v>
                </c:pt>
                <c:pt idx="2213">
                  <c:v>2.8811783032736127E-2</c:v>
                </c:pt>
                <c:pt idx="2214">
                  <c:v>2.8805894430338208E-2</c:v>
                </c:pt>
                <c:pt idx="2215">
                  <c:v>2.8800040742353872E-2</c:v>
                </c:pt>
                <c:pt idx="2216">
                  <c:v>2.8794221969026257E-2</c:v>
                </c:pt>
                <c:pt idx="2217">
                  <c:v>2.8788438110112224E-2</c:v>
                </c:pt>
                <c:pt idx="2218">
                  <c:v>2.878268916593596E-2</c:v>
                </c:pt>
                <c:pt idx="2219">
                  <c:v>2.8776975136173277E-2</c:v>
                </c:pt>
                <c:pt idx="2220">
                  <c:v>2.8771296020743131E-2</c:v>
                </c:pt>
                <c:pt idx="2221">
                  <c:v>2.8765651820212845E-2</c:v>
                </c:pt>
                <c:pt idx="2222">
                  <c:v>2.8760042534096142E-2</c:v>
                </c:pt>
                <c:pt idx="2223">
                  <c:v>2.8754468162393021E-2</c:v>
                </c:pt>
                <c:pt idx="2224">
                  <c:v>2.8748928705265575E-2</c:v>
                </c:pt>
                <c:pt idx="2225">
                  <c:v>2.8743424162713804E-2</c:v>
                </c:pt>
                <c:pt idx="2226">
                  <c:v>2.8737954534656662E-2</c:v>
                </c:pt>
                <c:pt idx="2227">
                  <c:v>2.8732519821094149E-2</c:v>
                </c:pt>
                <c:pt idx="2228">
                  <c:v>2.8727120022107311E-2</c:v>
                </c:pt>
                <c:pt idx="2229">
                  <c:v>2.8721755137615101E-2</c:v>
                </c:pt>
                <c:pt idx="2230">
                  <c:v>2.8716425167698567E-2</c:v>
                </c:pt>
                <c:pt idx="2231">
                  <c:v>2.8711130112114569E-2</c:v>
                </c:pt>
                <c:pt idx="2232">
                  <c:v>2.8705869971268339E-2</c:v>
                </c:pt>
                <c:pt idx="2233">
                  <c:v>2.8700644744754644E-2</c:v>
                </c:pt>
                <c:pt idx="2234">
                  <c:v>2.8695454432816625E-2</c:v>
                </c:pt>
                <c:pt idx="2235">
                  <c:v>2.8690299035454281E-2</c:v>
                </c:pt>
                <c:pt idx="2236">
                  <c:v>2.8685178552667612E-2</c:v>
                </c:pt>
                <c:pt idx="2237">
                  <c:v>2.8680092984294525E-2</c:v>
                </c:pt>
                <c:pt idx="2238">
                  <c:v>2.8675042330253975E-2</c:v>
                </c:pt>
                <c:pt idx="2239">
                  <c:v>2.8670026591113285E-2</c:v>
                </c:pt>
                <c:pt idx="2240">
                  <c:v>2.8665045766061992E-2</c:v>
                </c:pt>
                <c:pt idx="2241">
                  <c:v>2.8660099855829513E-2</c:v>
                </c:pt>
                <c:pt idx="2242">
                  <c:v>2.8655188859848524E-2</c:v>
                </c:pt>
                <c:pt idx="2243">
                  <c:v>2.8650312778524256E-2</c:v>
                </c:pt>
                <c:pt idx="2244">
                  <c:v>2.8645471611694617E-2</c:v>
                </c:pt>
                <c:pt idx="2245">
                  <c:v>2.8640665359197515E-2</c:v>
                </c:pt>
                <c:pt idx="2246">
                  <c:v>2.8635894021357133E-2</c:v>
                </c:pt>
                <c:pt idx="2247">
                  <c:v>2.8631157598011381E-2</c:v>
                </c:pt>
                <c:pt idx="2248">
                  <c:v>2.8626456089160257E-2</c:v>
                </c:pt>
                <c:pt idx="2249">
                  <c:v>2.8621789494722716E-2</c:v>
                </c:pt>
                <c:pt idx="2250">
                  <c:v>2.861715781486085E-2</c:v>
                </c:pt>
                <c:pt idx="2251">
                  <c:v>2.8612561049412566E-2</c:v>
                </c:pt>
                <c:pt idx="2252">
                  <c:v>2.8607999198377865E-2</c:v>
                </c:pt>
                <c:pt idx="2253">
                  <c:v>2.8603472261918839E-2</c:v>
                </c:pt>
                <c:pt idx="2254">
                  <c:v>2.8598980240035488E-2</c:v>
                </c:pt>
                <c:pt idx="2255">
                  <c:v>2.8594523132646765E-2</c:v>
                </c:pt>
                <c:pt idx="2256">
                  <c:v>2.8590100939590579E-2</c:v>
                </c:pt>
                <c:pt idx="2257">
                  <c:v>2.8585089757114934E-2</c:v>
                </c:pt>
                <c:pt idx="2258">
                  <c:v>2.8580742380879265E-2</c:v>
                </c:pt>
                <c:pt idx="2259">
                  <c:v>2.8576429919219271E-2</c:v>
                </c:pt>
                <c:pt idx="2260">
                  <c:v>2.8572152371810766E-2</c:v>
                </c:pt>
                <c:pt idx="2261">
                  <c:v>2.8567909739058983E-2</c:v>
                </c:pt>
                <c:pt idx="2262">
                  <c:v>2.8563702020720783E-2</c:v>
                </c:pt>
                <c:pt idx="2263">
                  <c:v>2.8559529216877211E-2</c:v>
                </c:pt>
                <c:pt idx="2264">
                  <c:v>2.8555391327447222E-2</c:v>
                </c:pt>
                <c:pt idx="2265">
                  <c:v>2.8551288352430815E-2</c:v>
                </c:pt>
                <c:pt idx="2266">
                  <c:v>2.8547220291990083E-2</c:v>
                </c:pt>
                <c:pt idx="2267">
                  <c:v>2.8543187146125026E-2</c:v>
                </c:pt>
                <c:pt idx="2268">
                  <c:v>2.853918891451146E-2</c:v>
                </c:pt>
                <c:pt idx="2269">
                  <c:v>2.8535225597392522E-2</c:v>
                </c:pt>
                <c:pt idx="2270">
                  <c:v>2.8531297194930305E-2</c:v>
                </c:pt>
                <c:pt idx="2271">
                  <c:v>2.8527403706800625E-2</c:v>
                </c:pt>
                <c:pt idx="2272">
                  <c:v>2.8523545133084527E-2</c:v>
                </c:pt>
                <c:pt idx="2273">
                  <c:v>2.8519721473944104E-2</c:v>
                </c:pt>
                <c:pt idx="2274">
                  <c:v>2.8515932729217264E-2</c:v>
                </c:pt>
                <c:pt idx="2275">
                  <c:v>2.8512178898904006E-2</c:v>
                </c:pt>
                <c:pt idx="2276">
                  <c:v>2.8508459983004331E-2</c:v>
                </c:pt>
                <c:pt idx="2277">
                  <c:v>2.8504775981761377E-2</c:v>
                </c:pt>
                <c:pt idx="2278">
                  <c:v>2.8501126894769913E-2</c:v>
                </c:pt>
                <c:pt idx="2279">
                  <c:v>2.8497512722273077E-2</c:v>
                </c:pt>
                <c:pt idx="2280">
                  <c:v>2.8493933464432963E-2</c:v>
                </c:pt>
                <c:pt idx="2281">
                  <c:v>2.8490389120844339E-2</c:v>
                </c:pt>
                <c:pt idx="2282">
                  <c:v>2.8486879691750344E-2</c:v>
                </c:pt>
                <c:pt idx="2283">
                  <c:v>2.8483405176988885E-2</c:v>
                </c:pt>
                <c:pt idx="2284">
                  <c:v>2.8479965576884148E-2</c:v>
                </c:pt>
                <c:pt idx="2285">
                  <c:v>2.8476560891111946E-2</c:v>
                </c:pt>
                <c:pt idx="2286">
                  <c:v>2.8473191119834373E-2</c:v>
                </c:pt>
                <c:pt idx="2287">
                  <c:v>2.8469856262889337E-2</c:v>
                </c:pt>
                <c:pt idx="2288">
                  <c:v>2.8466556320682068E-2</c:v>
                </c:pt>
                <c:pt idx="2289">
                  <c:v>2.8463291292645243E-2</c:v>
                </c:pt>
                <c:pt idx="2290">
                  <c:v>2.8460061179103047E-2</c:v>
                </c:pt>
                <c:pt idx="2291">
                  <c:v>2.8456865980136525E-2</c:v>
                </c:pt>
                <c:pt idx="2292">
                  <c:v>2.8453705695421494E-2</c:v>
                </c:pt>
                <c:pt idx="2293">
                  <c:v>2.8450580325282138E-2</c:v>
                </c:pt>
                <c:pt idx="2294">
                  <c:v>2.8447489869475318E-2</c:v>
                </c:pt>
                <c:pt idx="2295">
                  <c:v>2.8444434328244173E-2</c:v>
                </c:pt>
                <c:pt idx="2296">
                  <c:v>2.844141370142661E-2</c:v>
                </c:pt>
                <c:pt idx="2297">
                  <c:v>2.8438427988941584E-2</c:v>
                </c:pt>
                <c:pt idx="2298">
                  <c:v>2.843547719087014E-2</c:v>
                </c:pt>
                <c:pt idx="2299">
                  <c:v>2.8432561307455417E-2</c:v>
                </c:pt>
                <c:pt idx="2300">
                  <c:v>2.8429680338292185E-2</c:v>
                </c:pt>
                <c:pt idx="2301">
                  <c:v>2.8426834283542535E-2</c:v>
                </c:pt>
                <c:pt idx="2302">
                  <c:v>2.8424023143449606E-2</c:v>
                </c:pt>
                <c:pt idx="2303">
                  <c:v>2.8421246917608167E-2</c:v>
                </c:pt>
                <c:pt idx="2304">
                  <c:v>2.8418505606180311E-2</c:v>
                </c:pt>
                <c:pt idx="2305">
                  <c:v>2.8415799209166037E-2</c:v>
                </c:pt>
                <c:pt idx="2306">
                  <c:v>2.8413127726808485E-2</c:v>
                </c:pt>
                <c:pt idx="2307">
                  <c:v>2.8410491158702422E-2</c:v>
                </c:pt>
                <c:pt idx="2308">
                  <c:v>2.8407889504928896E-2</c:v>
                </c:pt>
                <c:pt idx="2309">
                  <c:v>2.8405322765649998E-2</c:v>
                </c:pt>
                <c:pt idx="2310">
                  <c:v>2.8402790940946776E-2</c:v>
                </c:pt>
                <c:pt idx="2311">
                  <c:v>2.8400294030657136E-2</c:v>
                </c:pt>
                <c:pt idx="2312">
                  <c:v>2.8397832034618986E-2</c:v>
                </c:pt>
                <c:pt idx="2313">
                  <c:v>2.8395404953156511E-2</c:v>
                </c:pt>
                <c:pt idx="2314">
                  <c:v>2.8393012786107619E-2</c:v>
                </c:pt>
                <c:pt idx="2315">
                  <c:v>2.8390655533310216E-2</c:v>
                </c:pt>
                <c:pt idx="2316">
                  <c:v>2.8388333195007442E-2</c:v>
                </c:pt>
                <c:pt idx="2317">
                  <c:v>2.8386045771280344E-2</c:v>
                </c:pt>
                <c:pt idx="2318">
                  <c:v>2.8383793261885781E-2</c:v>
                </c:pt>
                <c:pt idx="2319">
                  <c:v>2.8381575666904801E-2</c:v>
                </c:pt>
                <c:pt idx="2320">
                  <c:v>2.8379392986256358E-2</c:v>
                </c:pt>
                <c:pt idx="2321">
                  <c:v>2.8377245220264635E-2</c:v>
                </c:pt>
                <c:pt idx="2322">
                  <c:v>2.8375132368524403E-2</c:v>
                </c:pt>
                <c:pt idx="2323">
                  <c:v>2.8373054431278799E-2</c:v>
                </c:pt>
                <c:pt idx="2324">
                  <c:v>2.8371011408365732E-2</c:v>
                </c:pt>
                <c:pt idx="2325">
                  <c:v>2.8369003299866247E-2</c:v>
                </c:pt>
                <c:pt idx="2326">
                  <c:v>2.8367030105780344E-2</c:v>
                </c:pt>
                <c:pt idx="2327">
                  <c:v>2.8365091826189071E-2</c:v>
                </c:pt>
                <c:pt idx="2328">
                  <c:v>2.8363188460930333E-2</c:v>
                </c:pt>
                <c:pt idx="2329">
                  <c:v>2.8361320010166224E-2</c:v>
                </c:pt>
                <c:pt idx="2330">
                  <c:v>2.8359486473815698E-2</c:v>
                </c:pt>
                <c:pt idx="2331">
                  <c:v>2.8357687851878755E-2</c:v>
                </c:pt>
                <c:pt idx="2332">
                  <c:v>2.8355924144355393E-2</c:v>
                </c:pt>
                <c:pt idx="2333">
                  <c:v>2.8354195351083522E-2</c:v>
                </c:pt>
                <c:pt idx="2334">
                  <c:v>2.835250147230628E-2</c:v>
                </c:pt>
                <c:pt idx="2335">
                  <c:v>2.8350842508104712E-2</c:v>
                </c:pt>
                <c:pt idx="2336">
                  <c:v>2.8349218458235681E-2</c:v>
                </c:pt>
                <c:pt idx="2337">
                  <c:v>2.834762932261814E-2</c:v>
                </c:pt>
                <c:pt idx="2338">
                  <c:v>2.834607510165732E-2</c:v>
                </c:pt>
                <c:pt idx="2339">
                  <c:v>2.8344555795029036E-2</c:v>
                </c:pt>
                <c:pt idx="2340">
                  <c:v>2.8343071402814335E-2</c:v>
                </c:pt>
                <c:pt idx="2341">
                  <c:v>2.8341621924851124E-2</c:v>
                </c:pt>
                <c:pt idx="2342">
                  <c:v>2.8340207361463587E-2</c:v>
                </c:pt>
                <c:pt idx="2343">
                  <c:v>2.8338827712489634E-2</c:v>
                </c:pt>
                <c:pt idx="2344">
                  <c:v>2.8337482977686124E-2</c:v>
                </c:pt>
                <c:pt idx="2345">
                  <c:v>2.8336173157539335E-2</c:v>
                </c:pt>
                <c:pt idx="2346">
                  <c:v>2.8334898251887175E-2</c:v>
                </c:pt>
                <c:pt idx="2347">
                  <c:v>2.8333658260405459E-2</c:v>
                </c:pt>
                <c:pt idx="2348">
                  <c:v>2.8332453183418371E-2</c:v>
                </c:pt>
                <c:pt idx="2349">
                  <c:v>2.8331283020844866E-2</c:v>
                </c:pt>
                <c:pt idx="2350">
                  <c:v>2.8330147772684944E-2</c:v>
                </c:pt>
                <c:pt idx="2351">
                  <c:v>2.8329047438857557E-2</c:v>
                </c:pt>
                <c:pt idx="2352">
                  <c:v>2.83279820195248E-2</c:v>
                </c:pt>
                <c:pt idx="2353">
                  <c:v>2.8326951514686671E-2</c:v>
                </c:pt>
                <c:pt idx="2354">
                  <c:v>2.8325955924181079E-2</c:v>
                </c:pt>
                <c:pt idx="2355">
                  <c:v>2.832499524784593E-2</c:v>
                </c:pt>
                <c:pt idx="2356">
                  <c:v>2.8324069486248549E-2</c:v>
                </c:pt>
                <c:pt idx="2357">
                  <c:v>2.8323178638983704E-2</c:v>
                </c:pt>
                <c:pt idx="2358">
                  <c:v>2.8322322705970349E-2</c:v>
                </c:pt>
                <c:pt idx="2359">
                  <c:v>2.8321501687370576E-2</c:v>
                </c:pt>
                <c:pt idx="2360">
                  <c:v>2.8320715583265432E-2</c:v>
                </c:pt>
                <c:pt idx="2361">
                  <c:v>2.8319964393573871E-2</c:v>
                </c:pt>
                <c:pt idx="2362">
                  <c:v>2.8319248118214846E-2</c:v>
                </c:pt>
                <c:pt idx="2363">
                  <c:v>2.8318566757269403E-2</c:v>
                </c:pt>
                <c:pt idx="2364">
                  <c:v>2.8317920310899636E-2</c:v>
                </c:pt>
                <c:pt idx="2365">
                  <c:v>2.8317308778700312E-2</c:v>
                </c:pt>
                <c:pt idx="2366">
                  <c:v>2.8316732160995617E-2</c:v>
                </c:pt>
                <c:pt idx="2367">
                  <c:v>2.8316190457785551E-2</c:v>
                </c:pt>
                <c:pt idx="2368">
                  <c:v>2.8315683668826974E-2</c:v>
                </c:pt>
                <c:pt idx="2369">
                  <c:v>2.831521179428198E-2</c:v>
                </c:pt>
                <c:pt idx="2370">
                  <c:v>2.8314774834150569E-2</c:v>
                </c:pt>
                <c:pt idx="2371">
                  <c:v>2.8314372788675879E-2</c:v>
                </c:pt>
                <c:pt idx="2372">
                  <c:v>2.8314005657290586E-2</c:v>
                </c:pt>
                <c:pt idx="2373">
                  <c:v>2.8313673440399922E-2</c:v>
                </c:pt>
                <c:pt idx="2374">
                  <c:v>2.8313376137922841E-2</c:v>
                </c:pt>
                <c:pt idx="2375">
                  <c:v>2.8313113749778296E-2</c:v>
                </c:pt>
                <c:pt idx="2376">
                  <c:v>2.8312886276047333E-2</c:v>
                </c:pt>
                <c:pt idx="2377">
                  <c:v>2.8312693716810999E-2</c:v>
                </c:pt>
                <c:pt idx="2378">
                  <c:v>2.8312536071988248E-2</c:v>
                </c:pt>
                <c:pt idx="2379">
                  <c:v>2.8312413341498033E-2</c:v>
                </c:pt>
                <c:pt idx="2380">
                  <c:v>2.83123255254214E-2</c:v>
                </c:pt>
                <c:pt idx="2381">
                  <c:v>2.8312272623677304E-2</c:v>
                </c:pt>
                <c:pt idx="2382">
                  <c:v>2.8312254636508882E-2</c:v>
                </c:pt>
                <c:pt idx="2383">
                  <c:v>2.8312271563591951E-2</c:v>
                </c:pt>
                <c:pt idx="2384">
                  <c:v>2.8312323405007556E-2</c:v>
                </c:pt>
                <c:pt idx="2385">
                  <c:v>2.8312410160998835E-2</c:v>
                </c:pt>
                <c:pt idx="2386">
                  <c:v>2.8312531831403698E-2</c:v>
                </c:pt>
                <c:pt idx="2387">
                  <c:v>2.8312688416141096E-2</c:v>
                </c:pt>
                <c:pt idx="2388">
                  <c:v>2.8312879915129985E-2</c:v>
                </c:pt>
                <c:pt idx="2389">
                  <c:v>2.8313106328856641E-2</c:v>
                </c:pt>
                <c:pt idx="2390">
                  <c:v>2.8313367656753741E-2</c:v>
                </c:pt>
                <c:pt idx="2391">
                  <c:v>2.831366389890233E-2</c:v>
                </c:pt>
                <c:pt idx="2392">
                  <c:v>2.8313995055788688E-2</c:v>
                </c:pt>
                <c:pt idx="2393">
                  <c:v>2.8314361127007581E-2</c:v>
                </c:pt>
                <c:pt idx="2394">
                  <c:v>2.8314762112559011E-2</c:v>
                </c:pt>
                <c:pt idx="2395">
                  <c:v>2.8315198012361931E-2</c:v>
                </c:pt>
                <c:pt idx="2396">
                  <c:v>2.8315668826740525E-2</c:v>
                </c:pt>
                <c:pt idx="2397">
                  <c:v>2.8316174555532703E-2</c:v>
                </c:pt>
                <c:pt idx="2398">
                  <c:v>2.8316715198657416E-2</c:v>
                </c:pt>
                <c:pt idx="2399">
                  <c:v>2.8317290756195712E-2</c:v>
                </c:pt>
                <c:pt idx="2400">
                  <c:v>2.8317901228228637E-2</c:v>
                </c:pt>
                <c:pt idx="2401">
                  <c:v>2.8318546614594098E-2</c:v>
                </c:pt>
                <c:pt idx="2402">
                  <c:v>2.8319226915292095E-2</c:v>
                </c:pt>
                <c:pt idx="2403">
                  <c:v>2.8319942130484721E-2</c:v>
                </c:pt>
                <c:pt idx="2404">
                  <c:v>2.8320692260090929E-2</c:v>
                </c:pt>
                <c:pt idx="2405">
                  <c:v>2.8321477304029674E-2</c:v>
                </c:pt>
                <c:pt idx="2406">
                  <c:v>2.8322297262463048E-2</c:v>
                </c:pt>
                <c:pt idx="2407">
                  <c:v>2.8323152135228957E-2</c:v>
                </c:pt>
                <c:pt idx="2408">
                  <c:v>2.8324041922327403E-2</c:v>
                </c:pt>
                <c:pt idx="2409">
                  <c:v>2.8324966623920478E-2</c:v>
                </c:pt>
                <c:pt idx="2410">
                  <c:v>2.8325926239846089E-2</c:v>
                </c:pt>
                <c:pt idx="2411">
                  <c:v>2.8326920770347375E-2</c:v>
                </c:pt>
                <c:pt idx="2412">
                  <c:v>2.8327950215181197E-2</c:v>
                </c:pt>
                <c:pt idx="2413">
                  <c:v>2.8331680504008288E-2</c:v>
                </c:pt>
                <c:pt idx="2414">
                  <c:v>2.8332794913953723E-2</c:v>
                </c:pt>
                <c:pt idx="2415">
                  <c:v>2.8333944243661795E-2</c:v>
                </c:pt>
                <c:pt idx="2416">
                  <c:v>2.8335128493240568E-2</c:v>
                </c:pt>
                <c:pt idx="2417">
                  <c:v>2.8336347662663023E-2</c:v>
                </c:pt>
                <c:pt idx="2418">
                  <c:v>2.8337601751929158E-2</c:v>
                </c:pt>
                <c:pt idx="2419">
                  <c:v>2.8338890760957934E-2</c:v>
                </c:pt>
                <c:pt idx="2420">
                  <c:v>2.8340214689938453E-2</c:v>
                </c:pt>
                <c:pt idx="2421">
                  <c:v>2.8341573538708625E-2</c:v>
                </c:pt>
                <c:pt idx="2422">
                  <c:v>2.8342967307295467E-2</c:v>
                </c:pt>
                <c:pt idx="2423">
                  <c:v>2.8344395995753006E-2</c:v>
                </c:pt>
                <c:pt idx="2424">
                  <c:v>2.8345859604027211E-2</c:v>
                </c:pt>
                <c:pt idx="2425">
                  <c:v>2.8347358132199133E-2</c:v>
                </c:pt>
                <c:pt idx="2426">
                  <c:v>2.8348891580106676E-2</c:v>
                </c:pt>
                <c:pt idx="2427">
                  <c:v>2.8348940685886115E-2</c:v>
                </c:pt>
                <c:pt idx="2428">
                  <c:v>2.8350558687838534E-2</c:v>
                </c:pt>
                <c:pt idx="2429">
                  <c:v>2.8352211604204536E-2</c:v>
                </c:pt>
                <c:pt idx="2430">
                  <c:v>2.8353899435065166E-2</c:v>
                </c:pt>
                <c:pt idx="2431">
                  <c:v>2.8355622180339379E-2</c:v>
                </c:pt>
                <c:pt idx="2432">
                  <c:v>2.8357379840027175E-2</c:v>
                </c:pt>
                <c:pt idx="2433">
                  <c:v>2.8359172414047507E-2</c:v>
                </c:pt>
                <c:pt idx="2434">
                  <c:v>2.8360999902562467E-2</c:v>
                </c:pt>
                <c:pt idx="2435">
                  <c:v>2.8362862305328918E-2</c:v>
                </c:pt>
                <c:pt idx="2436">
                  <c:v>2.8364759622589997E-2</c:v>
                </c:pt>
                <c:pt idx="2437">
                  <c:v>2.8366691854345705E-2</c:v>
                </c:pt>
                <c:pt idx="2438">
                  <c:v>2.8368659000514995E-2</c:v>
                </c:pt>
                <c:pt idx="2439">
                  <c:v>2.8370661061016822E-2</c:v>
                </c:pt>
                <c:pt idx="2440">
                  <c:v>2.8372698035851185E-2</c:v>
                </c:pt>
                <c:pt idx="2441">
                  <c:v>2.8374769925261223E-2</c:v>
                </c:pt>
                <c:pt idx="2442">
                  <c:v>2.8376876729246936E-2</c:v>
                </c:pt>
                <c:pt idx="2443">
                  <c:v>2.8379018447322046E-2</c:v>
                </c:pt>
                <c:pt idx="2444">
                  <c:v>2.8381195080053878E-2</c:v>
                </c:pt>
                <c:pt idx="2445">
                  <c:v>2.83834066270372E-2</c:v>
                </c:pt>
                <c:pt idx="2446">
                  <c:v>2.8385653088596197E-2</c:v>
                </c:pt>
                <c:pt idx="2447">
                  <c:v>2.8387934464406683E-2</c:v>
                </c:pt>
                <c:pt idx="2448">
                  <c:v>2.8390250754792845E-2</c:v>
                </c:pt>
                <c:pt idx="2449">
                  <c:v>2.8392601959511543E-2</c:v>
                </c:pt>
                <c:pt idx="2450">
                  <c:v>2.8394988078643824E-2</c:v>
                </c:pt>
                <c:pt idx="2451">
                  <c:v>2.8397409112189687E-2</c:v>
                </c:pt>
                <c:pt idx="2452">
                  <c:v>2.8399865060230178E-2</c:v>
                </c:pt>
                <c:pt idx="2453">
                  <c:v>2.8402355922684253E-2</c:v>
                </c:pt>
                <c:pt idx="2454">
                  <c:v>2.8404881699470863E-2</c:v>
                </c:pt>
                <c:pt idx="2455">
                  <c:v>2.8407442390995241E-2</c:v>
                </c:pt>
                <c:pt idx="2456">
                  <c:v>2.8410037996609017E-2</c:v>
                </c:pt>
                <c:pt idx="2457">
                  <c:v>2.8412668516717421E-2</c:v>
                </c:pt>
                <c:pt idx="2458">
                  <c:v>2.8415333951320454E-2</c:v>
                </c:pt>
                <c:pt idx="2459">
                  <c:v>2.8418034300418116E-2</c:v>
                </c:pt>
                <c:pt idx="2460">
                  <c:v>2.842076956392936E-2</c:v>
                </c:pt>
                <c:pt idx="2461">
                  <c:v>2.8423539741692094E-2</c:v>
                </c:pt>
                <c:pt idx="2462">
                  <c:v>2.8426344834192596E-2</c:v>
                </c:pt>
                <c:pt idx="2463">
                  <c:v>2.8429184840944588E-2</c:v>
                </c:pt>
                <c:pt idx="2464">
                  <c:v>2.8432059762029116E-2</c:v>
                </c:pt>
                <c:pt idx="2465">
                  <c:v>2.8434969597527227E-2</c:v>
                </c:pt>
                <c:pt idx="2466">
                  <c:v>2.8437914347763105E-2</c:v>
                </c:pt>
                <c:pt idx="2467">
                  <c:v>2.8440894012169426E-2</c:v>
                </c:pt>
                <c:pt idx="2468">
                  <c:v>2.8443908591151423E-2</c:v>
                </c:pt>
                <c:pt idx="2469">
                  <c:v>2.8446958084465956E-2</c:v>
                </c:pt>
                <c:pt idx="2470">
                  <c:v>2.8450042492275118E-2</c:v>
                </c:pt>
                <c:pt idx="2471">
                  <c:v>2.8453161814659955E-2</c:v>
                </c:pt>
                <c:pt idx="2472">
                  <c:v>2.8456316051296282E-2</c:v>
                </c:pt>
                <c:pt idx="2473">
                  <c:v>2.8459505202508284E-2</c:v>
                </c:pt>
                <c:pt idx="2474">
                  <c:v>2.8462729267971776E-2</c:v>
                </c:pt>
                <c:pt idx="2475">
                  <c:v>2.8465988247929896E-2</c:v>
                </c:pt>
                <c:pt idx="2476">
                  <c:v>2.8469282142463692E-2</c:v>
                </c:pt>
                <c:pt idx="2477">
                  <c:v>2.847261095141107E-2</c:v>
                </c:pt>
                <c:pt idx="2478">
                  <c:v>2.8475974674853077E-2</c:v>
                </c:pt>
                <c:pt idx="2479">
                  <c:v>2.8479373312546574E-2</c:v>
                </c:pt>
                <c:pt idx="2480">
                  <c:v>2.8482806864896792E-2</c:v>
                </c:pt>
                <c:pt idx="2481">
                  <c:v>2.8486275331660593E-2</c:v>
                </c:pt>
                <c:pt idx="2482">
                  <c:v>2.848977871275693E-2</c:v>
                </c:pt>
                <c:pt idx="2483">
                  <c:v>2.8493317008347896E-2</c:v>
                </c:pt>
                <c:pt idx="2484">
                  <c:v>2.849689021843349E-2</c:v>
                </c:pt>
                <c:pt idx="2485">
                  <c:v>2.8500498343013714E-2</c:v>
                </c:pt>
                <c:pt idx="2486">
                  <c:v>2.8504141381845427E-2</c:v>
                </c:pt>
                <c:pt idx="2487">
                  <c:v>2.8507819335333862E-2</c:v>
                </c:pt>
                <c:pt idx="2488">
                  <c:v>2.8511532203316925E-2</c:v>
                </c:pt>
                <c:pt idx="2489">
                  <c:v>2.8515279985632525E-2</c:v>
                </c:pt>
                <c:pt idx="2490">
                  <c:v>2.8519062682523799E-2</c:v>
                </c:pt>
                <c:pt idx="2491">
                  <c:v>2.8522879619361508E-2</c:v>
                </c:pt>
                <c:pt idx="2492">
                  <c:v>2.8526711916252445E-2</c:v>
                </c:pt>
                <c:pt idx="2493">
                  <c:v>2.8530550807149835E-2</c:v>
                </c:pt>
                <c:pt idx="2494">
                  <c:v>2.8534396291891584E-2</c:v>
                </c:pt>
                <c:pt idx="2495">
                  <c:v>2.8538248370801877E-2</c:v>
                </c:pt>
                <c:pt idx="2496">
                  <c:v>2.8542107043637577E-2</c:v>
                </c:pt>
                <c:pt idx="2497">
                  <c:v>2.8545972310479728E-2</c:v>
                </c:pt>
                <c:pt idx="2498">
                  <c:v>2.8549844171247285E-2</c:v>
                </c:pt>
                <c:pt idx="2499">
                  <c:v>2.8553722626264433E-2</c:v>
                </c:pt>
                <c:pt idx="2500">
                  <c:v>2.855760767512594E-2</c:v>
                </c:pt>
                <c:pt idx="2501">
                  <c:v>2.8561499317831807E-2</c:v>
                </c:pt>
                <c:pt idx="2502">
                  <c:v>2.856539755486831E-2</c:v>
                </c:pt>
                <c:pt idx="2503">
                  <c:v>2.8569302385749173E-2</c:v>
                </c:pt>
                <c:pt idx="2504">
                  <c:v>2.8573213810636489E-2</c:v>
                </c:pt>
                <c:pt idx="2505">
                  <c:v>2.8577131829530256E-2</c:v>
                </c:pt>
                <c:pt idx="2506">
                  <c:v>2.8581056442511521E-2</c:v>
                </c:pt>
                <c:pt idx="2507">
                  <c:v>2.8584987649418192E-2</c:v>
                </c:pt>
                <c:pt idx="2508">
                  <c:v>2.8588925450250269E-2</c:v>
                </c:pt>
                <c:pt idx="2509">
                  <c:v>2.859286984525089E-2</c:v>
                </c:pt>
                <c:pt idx="2510">
                  <c:v>2.8596820834176917E-2</c:v>
                </c:pt>
                <c:pt idx="2511">
                  <c:v>2.8600778417109396E-2</c:v>
                </c:pt>
                <c:pt idx="2512">
                  <c:v>2.8604742594048327E-2</c:v>
                </c:pt>
                <c:pt idx="2513">
                  <c:v>2.8608713365074756E-2</c:v>
                </c:pt>
                <c:pt idx="2514">
                  <c:v>2.8612690730107637E-2</c:v>
                </c:pt>
                <c:pt idx="2515">
                  <c:v>2.8616674688903831E-2</c:v>
                </c:pt>
                <c:pt idx="2516">
                  <c:v>2.8620665241949617E-2</c:v>
                </c:pt>
                <c:pt idx="2517">
                  <c:v>2.8624662389001854E-2</c:v>
                </c:pt>
                <c:pt idx="2518">
                  <c:v>2.862866612989845E-2</c:v>
                </c:pt>
                <c:pt idx="2519">
                  <c:v>2.8632676464963591E-2</c:v>
                </c:pt>
                <c:pt idx="2520">
                  <c:v>2.8636693394035184E-2</c:v>
                </c:pt>
                <c:pt idx="2521">
                  <c:v>2.8640716917032183E-2</c:v>
                </c:pt>
                <c:pt idx="2522">
                  <c:v>2.8644747033954587E-2</c:v>
                </c:pt>
                <c:pt idx="2523">
                  <c:v>2.864878374496449E-2</c:v>
                </c:pt>
                <c:pt idx="2524">
                  <c:v>2.8652827050142937E-2</c:v>
                </c:pt>
                <c:pt idx="2525">
                  <c:v>2.8656876949327836E-2</c:v>
                </c:pt>
                <c:pt idx="2526">
                  <c:v>2.8660933442276049E-2</c:v>
                </c:pt>
                <c:pt idx="2527">
                  <c:v>2.8664996529473852E-2</c:v>
                </c:pt>
                <c:pt idx="2528">
                  <c:v>2.8669066210516014E-2</c:v>
                </c:pt>
                <c:pt idx="2529">
                  <c:v>2.8673142485726721E-2</c:v>
                </c:pt>
                <c:pt idx="2530">
                  <c:v>2.8677225354700742E-2</c:v>
                </c:pt>
                <c:pt idx="2531">
                  <c:v>2.8681314818005399E-2</c:v>
                </c:pt>
                <c:pt idx="2532">
                  <c:v>2.8685410875154416E-2</c:v>
                </c:pt>
                <c:pt idx="2533">
                  <c:v>2.8689513526228838E-2</c:v>
                </c:pt>
                <c:pt idx="2534">
                  <c:v>2.8693622771309713E-2</c:v>
                </c:pt>
                <c:pt idx="2535">
                  <c:v>2.8697738610721224E-2</c:v>
                </c:pt>
                <c:pt idx="2536">
                  <c:v>2.8701861043815002E-2</c:v>
                </c:pt>
                <c:pt idx="2537">
                  <c:v>2.8705990070996279E-2</c:v>
                </c:pt>
                <c:pt idx="2538">
                  <c:v>2.87101256923461E-2</c:v>
                </c:pt>
                <c:pt idx="2539">
                  <c:v>2.8714267907621327E-2</c:v>
                </c:pt>
                <c:pt idx="2540">
                  <c:v>2.8718416716740913E-2</c:v>
                </c:pt>
                <c:pt idx="2541">
                  <c:v>2.8722572120029044E-2</c:v>
                </c:pt>
                <c:pt idx="2542">
                  <c:v>2.8726734117323627E-2</c:v>
                </c:pt>
                <c:pt idx="2543">
                  <c:v>2.8730902708705708E-2</c:v>
                </c:pt>
                <c:pt idx="2544">
                  <c:v>2.8735077893932148E-2</c:v>
                </c:pt>
                <c:pt idx="2545">
                  <c:v>2.8739259673327133E-2</c:v>
                </c:pt>
                <c:pt idx="2546">
                  <c:v>2.874344804672857E-2</c:v>
                </c:pt>
                <c:pt idx="2547">
                  <c:v>2.8747643014217505E-2</c:v>
                </c:pt>
                <c:pt idx="2548">
                  <c:v>2.8751844575388708E-2</c:v>
                </c:pt>
                <c:pt idx="2549">
                  <c:v>2.87560527308095E-2</c:v>
                </c:pt>
                <c:pt idx="2550">
                  <c:v>2.8760267480236745E-2</c:v>
                </c:pt>
                <c:pt idx="2551">
                  <c:v>2.8764488823670442E-2</c:v>
                </c:pt>
                <c:pt idx="2552">
                  <c:v>2.8768716761110591E-2</c:v>
                </c:pt>
                <c:pt idx="2553">
                  <c:v>2.8772951292638238E-2</c:v>
                </c:pt>
                <c:pt idx="2554">
                  <c:v>2.8777192418091291E-2</c:v>
                </c:pt>
                <c:pt idx="2555">
                  <c:v>2.8781440137631842E-2</c:v>
                </c:pt>
                <c:pt idx="2556">
                  <c:v>2.8785694451016752E-2</c:v>
                </c:pt>
                <c:pt idx="2557">
                  <c:v>2.8789955358651254E-2</c:v>
                </c:pt>
                <c:pt idx="2558">
                  <c:v>2.8794222860292207E-2</c:v>
                </c:pt>
                <c:pt idx="2559">
                  <c:v>2.8798496955696473E-2</c:v>
                </c:pt>
                <c:pt idx="2560">
                  <c:v>2.8802777645431377E-2</c:v>
                </c:pt>
                <c:pt idx="2561">
                  <c:v>2.880706492901064E-2</c:v>
                </c:pt>
                <c:pt idx="2562">
                  <c:v>2.8811358806515308E-2</c:v>
                </c:pt>
                <c:pt idx="2563">
                  <c:v>2.8815659278188521E-2</c:v>
                </c:pt>
                <c:pt idx="2564">
                  <c:v>2.8819966343868186E-2</c:v>
                </c:pt>
                <c:pt idx="2565">
                  <c:v>2.882428000363535E-2</c:v>
                </c:pt>
                <c:pt idx="2566">
                  <c:v>2.8828600257246872E-2</c:v>
                </c:pt>
                <c:pt idx="2567">
                  <c:v>2.883292710502694E-2</c:v>
                </c:pt>
                <c:pt idx="2568">
                  <c:v>2.8837260546894505E-2</c:v>
                </c:pt>
                <c:pt idx="2569">
                  <c:v>2.8842221126017531E-2</c:v>
                </c:pt>
                <c:pt idx="2570">
                  <c:v>2.884656869773683E-2</c:v>
                </c:pt>
                <c:pt idx="2571">
                  <c:v>2.885092286346258E-2</c:v>
                </c:pt>
                <c:pt idx="2572">
                  <c:v>2.8855283623437922E-2</c:v>
                </c:pt>
                <c:pt idx="2573">
                  <c:v>2.8859650977338669E-2</c:v>
                </c:pt>
                <c:pt idx="2574">
                  <c:v>2.8864024925083775E-2</c:v>
                </c:pt>
                <c:pt idx="2575">
                  <c:v>2.8868405466997427E-2</c:v>
                </c:pt>
                <c:pt idx="2576">
                  <c:v>2.8872792602998576E-2</c:v>
                </c:pt>
                <c:pt idx="2577">
                  <c:v>2.8877186333006177E-2</c:v>
                </c:pt>
                <c:pt idx="2578">
                  <c:v>2.8881586656777092E-2</c:v>
                </c:pt>
                <c:pt idx="2579">
                  <c:v>2.8885993574878643E-2</c:v>
                </c:pt>
                <c:pt idx="2580">
                  <c:v>2.8890407086905601E-2</c:v>
                </c:pt>
                <c:pt idx="2581">
                  <c:v>2.8894827193020056E-2</c:v>
                </c:pt>
                <c:pt idx="2582">
                  <c:v>2.8899253892978871E-2</c:v>
                </c:pt>
                <c:pt idx="2583">
                  <c:v>2.8903687187187277E-2</c:v>
                </c:pt>
                <c:pt idx="2584">
                  <c:v>2.8908127075158996E-2</c:v>
                </c:pt>
                <c:pt idx="2585">
                  <c:v>2.8912573557299259E-2</c:v>
                </c:pt>
                <c:pt idx="2586">
                  <c:v>2.8917026633445975E-2</c:v>
                </c:pt>
                <c:pt idx="2587">
                  <c:v>2.8921486303680188E-2</c:v>
                </c:pt>
                <c:pt idx="2588">
                  <c:v>2.8925952567920854E-2</c:v>
                </c:pt>
                <c:pt idx="2589">
                  <c:v>2.8930425426086925E-2</c:v>
                </c:pt>
                <c:pt idx="2590">
                  <c:v>2.8934904878421541E-2</c:v>
                </c:pt>
                <c:pt idx="2591">
                  <c:v>2.8939390924681563E-2</c:v>
                </c:pt>
                <c:pt idx="2592">
                  <c:v>2.8943883564948036E-2</c:v>
                </c:pt>
                <c:pt idx="2593">
                  <c:v>2.8948382799302008E-2</c:v>
                </c:pt>
                <c:pt idx="2594">
                  <c:v>2.8952888627743478E-2</c:v>
                </c:pt>
                <c:pt idx="2595">
                  <c:v>2.8957401050110354E-2</c:v>
                </c:pt>
                <c:pt idx="2596">
                  <c:v>2.8961920066483682E-2</c:v>
                </c:pt>
                <c:pt idx="2597">
                  <c:v>2.8966445676863462E-2</c:v>
                </c:pt>
                <c:pt idx="2598">
                  <c:v>2.8970977881573878E-2</c:v>
                </c:pt>
                <c:pt idx="2599">
                  <c:v>2.8975516679966562E-2</c:v>
                </c:pt>
                <c:pt idx="2600">
                  <c:v>2.8980062072446744E-2</c:v>
                </c:pt>
                <c:pt idx="2601">
                  <c:v>2.898461405909547E-2</c:v>
                </c:pt>
                <c:pt idx="2602">
                  <c:v>2.8989172639669603E-2</c:v>
                </c:pt>
                <c:pt idx="2603">
                  <c:v>2.8993737814250187E-2</c:v>
                </c:pt>
                <c:pt idx="2604">
                  <c:v>2.8998309582837223E-2</c:v>
                </c:pt>
                <c:pt idx="2605">
                  <c:v>2.9002887945592803E-2</c:v>
                </c:pt>
                <c:pt idx="2606">
                  <c:v>2.900747290227379E-2</c:v>
                </c:pt>
                <c:pt idx="2607">
                  <c:v>2.9012064452961228E-2</c:v>
                </c:pt>
                <c:pt idx="2608">
                  <c:v>2.9016662597817211E-2</c:v>
                </c:pt>
                <c:pt idx="2609">
                  <c:v>2.9021267336760692E-2</c:v>
                </c:pt>
                <c:pt idx="2610">
                  <c:v>2.9025878669629579E-2</c:v>
                </c:pt>
                <c:pt idx="2611">
                  <c:v>2.9030496596261779E-2</c:v>
                </c:pt>
                <c:pt idx="2612">
                  <c:v>2.9035121117224616E-2</c:v>
                </c:pt>
                <c:pt idx="2613">
                  <c:v>2.9039752232112859E-2</c:v>
                </c:pt>
                <c:pt idx="2614">
                  <c:v>2.9044389941007553E-2</c:v>
                </c:pt>
                <c:pt idx="2615">
                  <c:v>2.90490342439087E-2</c:v>
                </c:pt>
                <c:pt idx="2616">
                  <c:v>2.9053685141140484E-2</c:v>
                </c:pt>
                <c:pt idx="2617">
                  <c:v>2.9058342632135581E-2</c:v>
                </c:pt>
                <c:pt idx="2618">
                  <c:v>2.906300671713713E-2</c:v>
                </c:pt>
                <c:pt idx="2619">
                  <c:v>2.906767739638827E-2</c:v>
                </c:pt>
                <c:pt idx="2620">
                  <c:v>2.9072354669564815E-2</c:v>
                </c:pt>
                <c:pt idx="2621">
                  <c:v>2.907703853658572E-2</c:v>
                </c:pt>
                <c:pt idx="2622">
                  <c:v>2.9081728997856215E-2</c:v>
                </c:pt>
                <c:pt idx="2623">
                  <c:v>2.9086426053214209E-2</c:v>
                </c:pt>
                <c:pt idx="2624">
                  <c:v>2.9091129702416563E-2</c:v>
                </c:pt>
                <c:pt idx="2625">
                  <c:v>2.9095839945787461E-2</c:v>
                </c:pt>
                <c:pt idx="2626">
                  <c:v>2.9100556783083764E-2</c:v>
                </c:pt>
                <c:pt idx="2627">
                  <c:v>2.9105280214467566E-2</c:v>
                </c:pt>
                <c:pt idx="2628">
                  <c:v>2.9110010239938866E-2</c:v>
                </c:pt>
                <c:pt idx="2629">
                  <c:v>2.9114746859254526E-2</c:v>
                </c:pt>
                <c:pt idx="2630">
                  <c:v>2.9119490072819776E-2</c:v>
                </c:pt>
                <c:pt idx="2631">
                  <c:v>2.9124239880472524E-2</c:v>
                </c:pt>
                <c:pt idx="2632">
                  <c:v>2.9128996281888586E-2</c:v>
                </c:pt>
                <c:pt idx="2633">
                  <c:v>2.9133759277473192E-2</c:v>
                </c:pt>
                <c:pt idx="2634">
                  <c:v>2.9138528867307389E-2</c:v>
                </c:pt>
                <c:pt idx="2635">
                  <c:v>2.91433050509049E-2</c:v>
                </c:pt>
                <c:pt idx="2636">
                  <c:v>2.9148087828589908E-2</c:v>
                </c:pt>
                <c:pt idx="2637">
                  <c:v>2.9152877200362415E-2</c:v>
                </c:pt>
                <c:pt idx="2638">
                  <c:v>2.915767316622242E-2</c:v>
                </c:pt>
                <c:pt idx="2639">
                  <c:v>2.9162475725926784E-2</c:v>
                </c:pt>
                <c:pt idx="2640">
                  <c:v>2.9167284879799693E-2</c:v>
                </c:pt>
                <c:pt idx="2641">
                  <c:v>2.91721006277601E-2</c:v>
                </c:pt>
                <c:pt idx="2642">
                  <c:v>2.9176922969726959E-2</c:v>
                </c:pt>
                <c:pt idx="2643">
                  <c:v>2.9181751905538178E-2</c:v>
                </c:pt>
                <c:pt idx="2644">
                  <c:v>2.918658743576108E-2</c:v>
                </c:pt>
                <c:pt idx="2645">
                  <c:v>2.9191429559747295E-2</c:v>
                </c:pt>
                <c:pt idx="2646">
                  <c:v>2.9196278277902055E-2</c:v>
                </c:pt>
                <c:pt idx="2647">
                  <c:v>2.920113358998222E-2</c:v>
                </c:pt>
                <c:pt idx="2648">
                  <c:v>2.920599549623093E-2</c:v>
                </c:pt>
                <c:pt idx="2649">
                  <c:v>2.9210863996486092E-2</c:v>
                </c:pt>
                <c:pt idx="2650">
                  <c:v>2.9215739090666659E-2</c:v>
                </c:pt>
                <c:pt idx="2651">
                  <c:v>2.9220620778934725E-2</c:v>
                </c:pt>
                <c:pt idx="2652">
                  <c:v>2.9225509061371335E-2</c:v>
                </c:pt>
                <c:pt idx="2653">
                  <c:v>2.9230403937814398E-2</c:v>
                </c:pt>
                <c:pt idx="2654">
                  <c:v>2.9235305408101819E-2</c:v>
                </c:pt>
                <c:pt idx="2655">
                  <c:v>2.9240213472638832E-2</c:v>
                </c:pt>
                <c:pt idx="2656">
                  <c:v>2.9245128131182296E-2</c:v>
                </c:pt>
                <c:pt idx="2657">
                  <c:v>2.9250049383813259E-2</c:v>
                </c:pt>
                <c:pt idx="2658">
                  <c:v>2.9254977230288581E-2</c:v>
                </c:pt>
                <c:pt idx="2659">
                  <c:v>2.9259911671013494E-2</c:v>
                </c:pt>
                <c:pt idx="2660">
                  <c:v>2.9264852705582767E-2</c:v>
                </c:pt>
                <c:pt idx="2661">
                  <c:v>2.926980033440163E-2</c:v>
                </c:pt>
                <c:pt idx="2662">
                  <c:v>2.9274754557145899E-2</c:v>
                </c:pt>
                <c:pt idx="2663">
                  <c:v>2.9279715373977666E-2</c:v>
                </c:pt>
                <c:pt idx="2664">
                  <c:v>2.9284682784896932E-2</c:v>
                </c:pt>
                <c:pt idx="2665">
                  <c:v>2.9289656789741603E-2</c:v>
                </c:pt>
                <c:pt idx="2666">
                  <c:v>2.9294637388754818E-2</c:v>
                </c:pt>
                <c:pt idx="2667">
                  <c:v>2.9299624581855532E-2</c:v>
                </c:pt>
                <c:pt idx="2668">
                  <c:v>2.9304618368800606E-2</c:v>
                </c:pt>
                <c:pt idx="2669">
                  <c:v>2.9309618749833177E-2</c:v>
                </c:pt>
                <c:pt idx="2670">
                  <c:v>2.9314625725034293E-2</c:v>
                </c:pt>
                <c:pt idx="2671">
                  <c:v>2.9319639294241862E-2</c:v>
                </c:pt>
                <c:pt idx="2672">
                  <c:v>2.9324659457374835E-2</c:v>
                </c:pt>
                <c:pt idx="2673">
                  <c:v>2.9330404861206416E-2</c:v>
                </c:pt>
                <c:pt idx="2674">
                  <c:v>2.9335439154515308E-2</c:v>
                </c:pt>
                <c:pt idx="2675">
                  <c:v>2.9340480041992745E-2</c:v>
                </c:pt>
                <c:pt idx="2676">
                  <c:v>2.9345527523314541E-2</c:v>
                </c:pt>
                <c:pt idx="2677">
                  <c:v>2.9350581598804881E-2</c:v>
                </c:pt>
                <c:pt idx="2678">
                  <c:v>2.935564226838272E-2</c:v>
                </c:pt>
                <c:pt idx="2679">
                  <c:v>2.9360709531967011E-2</c:v>
                </c:pt>
                <c:pt idx="2680">
                  <c:v>2.9365783389557754E-2</c:v>
                </c:pt>
                <c:pt idx="2681">
                  <c:v>2.9370863841317041E-2</c:v>
                </c:pt>
                <c:pt idx="2682">
                  <c:v>2.937595088708278E-2</c:v>
                </c:pt>
                <c:pt idx="2683">
                  <c:v>2.9381044526773925E-2</c:v>
                </c:pt>
                <c:pt idx="2684">
                  <c:v>2.9386144760390476E-2</c:v>
                </c:pt>
                <c:pt idx="2685">
                  <c:v>2.9391251588499756E-2</c:v>
                </c:pt>
                <c:pt idx="2686">
                  <c:v>2.939636501037235E-2</c:v>
                </c:pt>
                <c:pt idx="2687">
                  <c:v>2.9401485026494534E-2</c:v>
                </c:pt>
                <c:pt idx="2688">
                  <c:v>2.9412816931756014E-2</c:v>
                </c:pt>
                <c:pt idx="2689">
                  <c:v>2.9411744840515119E-2</c:v>
                </c:pt>
                <c:pt idx="2690">
                  <c:v>2.941688463865666E-2</c:v>
                </c:pt>
                <c:pt idx="2691">
                  <c:v>2.9422031030723605E-2</c:v>
                </c:pt>
                <c:pt idx="2692">
                  <c:v>2.9427184016959096E-2</c:v>
                </c:pt>
                <c:pt idx="2693">
                  <c:v>2.9432343597282085E-2</c:v>
                </c:pt>
                <c:pt idx="2694">
                  <c:v>2.9437509771692572E-2</c:v>
                </c:pt>
                <c:pt idx="2695">
                  <c:v>2.9442682539947418E-2</c:v>
                </c:pt>
                <c:pt idx="2696">
                  <c:v>2.9447861902532901E-2</c:v>
                </c:pt>
                <c:pt idx="2697">
                  <c:v>2.9453047859043791E-2</c:v>
                </c:pt>
                <c:pt idx="2698">
                  <c:v>2.9458240409561132E-2</c:v>
                </c:pt>
                <c:pt idx="2699">
                  <c:v>2.9463439554003878E-2</c:v>
                </c:pt>
                <c:pt idx="2700">
                  <c:v>2.9468645292939355E-2</c:v>
                </c:pt>
                <c:pt idx="2701">
                  <c:v>2.9473857625557098E-2</c:v>
                </c:pt>
                <c:pt idx="2702">
                  <c:v>2.9479076552343386E-2</c:v>
                </c:pt>
                <c:pt idx="2703">
                  <c:v>2.9484302073217172E-2</c:v>
                </c:pt>
                <c:pt idx="2704">
                  <c:v>2.948953418809741E-2</c:v>
                </c:pt>
                <c:pt idx="2705">
                  <c:v>2.9494772897065147E-2</c:v>
                </c:pt>
                <c:pt idx="2706">
                  <c:v>2.9500018199958289E-2</c:v>
                </c:pt>
                <c:pt idx="2707">
                  <c:v>2.9505270097101022E-2</c:v>
                </c:pt>
                <c:pt idx="2708">
                  <c:v>2.9510528588088114E-2</c:v>
                </c:pt>
                <c:pt idx="2709">
                  <c:v>2.9515793673405843E-2</c:v>
                </c:pt>
                <c:pt idx="2710">
                  <c:v>2.9521065352567932E-2</c:v>
                </c:pt>
                <c:pt idx="2711">
                  <c:v>2.9526343625817519E-2</c:v>
                </c:pt>
                <c:pt idx="2712">
                  <c:v>2.9531628493235651E-2</c:v>
                </c:pt>
                <c:pt idx="2713">
                  <c:v>2.9536919954498142E-2</c:v>
                </c:pt>
                <c:pt idx="2714">
                  <c:v>2.9542218009929178E-2</c:v>
                </c:pt>
                <c:pt idx="2715">
                  <c:v>2.9547522659609804E-2</c:v>
                </c:pt>
                <c:pt idx="2716">
                  <c:v>2.9552833903296882E-2</c:v>
                </c:pt>
                <c:pt idx="2717">
                  <c:v>2.9558151740747274E-2</c:v>
                </c:pt>
                <c:pt idx="2718">
                  <c:v>2.9563476172528302E-2</c:v>
                </c:pt>
                <c:pt idx="2719">
                  <c:v>2.9568807198315783E-2</c:v>
                </c:pt>
                <c:pt idx="2720">
                  <c:v>2.9574144818028669E-2</c:v>
                </c:pt>
                <c:pt idx="2721">
                  <c:v>2.95794890319101E-2</c:v>
                </c:pt>
                <c:pt idx="2722">
                  <c:v>2.9584839840041122E-2</c:v>
                </c:pt>
                <c:pt idx="2723">
                  <c:v>2.9590197242016503E-2</c:v>
                </c:pt>
                <c:pt idx="2724">
                  <c:v>2.9595561237917289E-2</c:v>
                </c:pt>
                <c:pt idx="2725">
                  <c:v>2.9604868441868902E-2</c:v>
                </c:pt>
                <c:pt idx="2726">
                  <c:v>2.9610248382733927E-2</c:v>
                </c:pt>
                <c:pt idx="2727">
                  <c:v>2.9615634918902144E-2</c:v>
                </c:pt>
                <c:pt idx="2728">
                  <c:v>2.9621028050319523E-2</c:v>
                </c:pt>
                <c:pt idx="2729">
                  <c:v>2.9626427776959049E-2</c:v>
                </c:pt>
                <c:pt idx="2730">
                  <c:v>2.9631834099009827E-2</c:v>
                </c:pt>
                <c:pt idx="2731">
                  <c:v>2.9637247016309768E-2</c:v>
                </c:pt>
                <c:pt idx="2732">
                  <c:v>2.9642666528858871E-2</c:v>
                </c:pt>
                <c:pt idx="2733">
                  <c:v>2.964809263679221E-2</c:v>
                </c:pt>
                <c:pt idx="2734">
                  <c:v>2.9653525339974715E-2</c:v>
                </c:pt>
                <c:pt idx="2735">
                  <c:v>2.9658964638460409E-2</c:v>
                </c:pt>
                <c:pt idx="2736">
                  <c:v>2.9664410532222282E-2</c:v>
                </c:pt>
                <c:pt idx="2737">
                  <c:v>2.9669863021287345E-2</c:v>
                </c:pt>
                <c:pt idx="2738">
                  <c:v>2.9675250962987176E-2</c:v>
                </c:pt>
                <c:pt idx="2739">
                  <c:v>2.9680718580042953E-2</c:v>
                </c:pt>
                <c:pt idx="2740">
                  <c:v>2.968619279134832E-2</c:v>
                </c:pt>
                <c:pt idx="2741">
                  <c:v>2.9691673596498047E-2</c:v>
                </c:pt>
                <c:pt idx="2742">
                  <c:v>2.969716099557318E-2</c:v>
                </c:pt>
                <c:pt idx="2743">
                  <c:v>2.9702654989059996E-2</c:v>
                </c:pt>
                <c:pt idx="2744">
                  <c:v>2.9708155576553263E-2</c:v>
                </c:pt>
                <c:pt idx="2745">
                  <c:v>2.9713662757890891E-2</c:v>
                </c:pt>
                <c:pt idx="2746">
                  <c:v>2.9719176533478109E-2</c:v>
                </c:pt>
                <c:pt idx="2747">
                  <c:v>2.9724696903152825E-2</c:v>
                </c:pt>
                <c:pt idx="2748">
                  <c:v>2.9730223866833994E-2</c:v>
                </c:pt>
                <c:pt idx="2749">
                  <c:v>2.9735757424359521E-2</c:v>
                </c:pt>
                <c:pt idx="2750">
                  <c:v>2.9741297576296732E-2</c:v>
                </c:pt>
                <c:pt idx="2751">
                  <c:v>2.9746844322240396E-2</c:v>
                </c:pt>
                <c:pt idx="2752">
                  <c:v>2.9752397662271557E-2</c:v>
                </c:pt>
                <c:pt idx="2753">
                  <c:v>2.9757957596147078E-2</c:v>
                </c:pt>
                <c:pt idx="2754">
                  <c:v>2.9763524124353236E-2</c:v>
                </c:pt>
                <c:pt idx="2755">
                  <c:v>2.9769097246484799E-2</c:v>
                </c:pt>
                <c:pt idx="2756">
                  <c:v>2.9774676962622815E-2</c:v>
                </c:pt>
                <c:pt idx="2757">
                  <c:v>2.9780263273010421E-2</c:v>
                </c:pt>
                <c:pt idx="2758">
                  <c:v>2.9785856177404479E-2</c:v>
                </c:pt>
                <c:pt idx="2759">
                  <c:v>2.9791455675886036E-2</c:v>
                </c:pt>
                <c:pt idx="2760">
                  <c:v>2.9797061768374045E-2</c:v>
                </c:pt>
                <c:pt idx="2761">
                  <c:v>2.9802674454949551E-2</c:v>
                </c:pt>
                <c:pt idx="2762">
                  <c:v>2.9808293735693603E-2</c:v>
                </c:pt>
                <c:pt idx="2763">
                  <c:v>2.9813919610444106E-2</c:v>
                </c:pt>
                <c:pt idx="2764">
                  <c:v>2.9819552079120015E-2</c:v>
                </c:pt>
                <c:pt idx="2765">
                  <c:v>2.9825191142207608E-2</c:v>
                </c:pt>
                <c:pt idx="2766">
                  <c:v>2.983083679913956E-2</c:v>
                </c:pt>
                <c:pt idx="2767">
                  <c:v>2.9836489049996917E-2</c:v>
                </c:pt>
                <c:pt idx="2768">
                  <c:v>2.9842147895103865E-2</c:v>
                </c:pt>
                <c:pt idx="2769">
                  <c:v>2.9847813334460405E-2</c:v>
                </c:pt>
                <c:pt idx="2770">
                  <c:v>2.985348536774235E-2</c:v>
                </c:pt>
                <c:pt idx="2771">
                  <c:v>2.9859163994868654E-2</c:v>
                </c:pt>
                <c:pt idx="2772">
                  <c:v>2.9864849216406641E-2</c:v>
                </c:pt>
                <c:pt idx="2773">
                  <c:v>2.9870541032032127E-2</c:v>
                </c:pt>
                <c:pt idx="2774">
                  <c:v>2.9876239441420926E-2</c:v>
                </c:pt>
                <c:pt idx="2775">
                  <c:v>2.9881944445140363E-2</c:v>
                </c:pt>
                <c:pt idx="2776">
                  <c:v>2.9887656042947297E-2</c:v>
                </c:pt>
                <c:pt idx="2777">
                  <c:v>2.9893374234679637E-2</c:v>
                </c:pt>
                <c:pt idx="2778">
                  <c:v>2.9899099020499476E-2</c:v>
                </c:pt>
                <c:pt idx="2779">
                  <c:v>2.9904830400568905E-2</c:v>
                </c:pt>
                <c:pt idx="2780">
                  <c:v>2.9910568374644786E-2</c:v>
                </c:pt>
                <c:pt idx="2781">
                  <c:v>2.9916312942727119E-2</c:v>
                </c:pt>
                <c:pt idx="2782">
                  <c:v>2.9922064104815904E-2</c:v>
                </c:pt>
                <c:pt idx="2783">
                  <c:v>2.992782186115428E-2</c:v>
                </c:pt>
                <c:pt idx="2784">
                  <c:v>2.9933586211580154E-2</c:v>
                </c:pt>
                <c:pt idx="2785">
                  <c:v>2.993935715601248E-2</c:v>
                </c:pt>
                <c:pt idx="2786">
                  <c:v>2.9945134694451259E-2</c:v>
                </c:pt>
                <c:pt idx="2787">
                  <c:v>2.9950918827139628E-2</c:v>
                </c:pt>
                <c:pt idx="2788">
                  <c:v>2.9956709553753402E-2</c:v>
                </c:pt>
                <c:pt idx="2789">
                  <c:v>2.9962506874454675E-2</c:v>
                </c:pt>
                <c:pt idx="2790">
                  <c:v>2.9968310789324493E-2</c:v>
                </c:pt>
                <c:pt idx="2791">
                  <c:v>2.9974121298281808E-2</c:v>
                </c:pt>
                <c:pt idx="2792">
                  <c:v>2.9979938401245576E-2</c:v>
                </c:pt>
                <c:pt idx="2793">
                  <c:v>2.9985762098296842E-2</c:v>
                </c:pt>
                <c:pt idx="2794">
                  <c:v>2.9991592389597699E-2</c:v>
                </c:pt>
                <c:pt idx="2795">
                  <c:v>2.9997429274823961E-2</c:v>
                </c:pt>
                <c:pt idx="2796">
                  <c:v>3.0003272754137722E-2</c:v>
                </c:pt>
                <c:pt idx="2797">
                  <c:v>3.0009122827538981E-2</c:v>
                </c:pt>
                <c:pt idx="2798">
                  <c:v>3.0014979495108784E-2</c:v>
                </c:pt>
                <c:pt idx="2799">
                  <c:v>3.002084275668504E-2</c:v>
                </c:pt>
                <c:pt idx="2800">
                  <c:v>3.0026712612267747E-2</c:v>
                </c:pt>
                <c:pt idx="2801">
                  <c:v>3.0032589062181092E-2</c:v>
                </c:pt>
                <c:pt idx="2802">
                  <c:v>3.0038472106019842E-2</c:v>
                </c:pt>
                <c:pt idx="2803">
                  <c:v>3.0044361743865045E-2</c:v>
                </c:pt>
                <c:pt idx="2804">
                  <c:v>3.0050257975797745E-2</c:v>
                </c:pt>
                <c:pt idx="2805">
                  <c:v>3.0056160801980036E-2</c:v>
                </c:pt>
                <c:pt idx="2806">
                  <c:v>3.0062070222249826E-2</c:v>
                </c:pt>
                <c:pt idx="2807">
                  <c:v>3.0067986236445021E-2</c:v>
                </c:pt>
                <c:pt idx="2808">
                  <c:v>3.0073908844889807E-2</c:v>
                </c:pt>
                <c:pt idx="2809">
                  <c:v>3.0079838047341045E-2</c:v>
                </c:pt>
                <c:pt idx="2810">
                  <c:v>3.0085773843960828E-2</c:v>
                </c:pt>
                <c:pt idx="2811">
                  <c:v>3.009171623442497E-2</c:v>
                </c:pt>
                <c:pt idx="2812">
                  <c:v>3.0097665219300795E-2</c:v>
                </c:pt>
                <c:pt idx="2813">
                  <c:v>3.010362079802098E-2</c:v>
                </c:pt>
                <c:pt idx="2814">
                  <c:v>3.0109582970828663E-2</c:v>
                </c:pt>
                <c:pt idx="2815">
                  <c:v>3.0115551737804891E-2</c:v>
                </c:pt>
                <c:pt idx="2816">
                  <c:v>3.0121527098949663E-2</c:v>
                </c:pt>
                <c:pt idx="2817">
                  <c:v>3.0127509054100887E-2</c:v>
                </c:pt>
                <c:pt idx="2818">
                  <c:v>3.013349760333961E-2</c:v>
                </c:pt>
                <c:pt idx="2819">
                  <c:v>3.0139492746827923E-2</c:v>
                </c:pt>
                <c:pt idx="2820">
                  <c:v>3.0145494484241642E-2</c:v>
                </c:pt>
                <c:pt idx="2821">
                  <c:v>3.0151502815661813E-2</c:v>
                </c:pt>
                <c:pt idx="2822">
                  <c:v>3.0157517741250528E-2</c:v>
                </c:pt>
                <c:pt idx="2823">
                  <c:v>3.0163539261088834E-2</c:v>
                </c:pt>
                <c:pt idx="2824">
                  <c:v>3.0169567374933592E-2</c:v>
                </c:pt>
                <c:pt idx="2825">
                  <c:v>3.0175602082703756E-2</c:v>
                </c:pt>
                <c:pt idx="2826">
                  <c:v>3.0181643384723511E-2</c:v>
                </c:pt>
                <c:pt idx="2827">
                  <c:v>3.018769128091181E-2</c:v>
                </c:pt>
                <c:pt idx="2828">
                  <c:v>3.0193745771106562E-2</c:v>
                </c:pt>
                <c:pt idx="2829">
                  <c:v>3.0200673262823496E-2</c:v>
                </c:pt>
                <c:pt idx="2830">
                  <c:v>3.020674188311312E-2</c:v>
                </c:pt>
                <c:pt idx="2831">
                  <c:v>3.021281709773338E-2</c:v>
                </c:pt>
                <c:pt idx="2832">
                  <c:v>3.0218898906360092E-2</c:v>
                </c:pt>
                <c:pt idx="2833">
                  <c:v>3.022498730891221E-2</c:v>
                </c:pt>
                <c:pt idx="2834">
                  <c:v>3.0231082305551826E-2</c:v>
                </c:pt>
                <c:pt idx="2835">
                  <c:v>3.023718389652208E-2</c:v>
                </c:pt>
                <c:pt idx="2836">
                  <c:v>3.0243292081579831E-2</c:v>
                </c:pt>
                <c:pt idx="2837">
                  <c:v>3.0249406860562988E-2</c:v>
                </c:pt>
                <c:pt idx="2838">
                  <c:v>3.0255528233633644E-2</c:v>
                </c:pt>
                <c:pt idx="2839">
                  <c:v>3.026165620095389E-2</c:v>
                </c:pt>
                <c:pt idx="2840">
                  <c:v>3.0267790762361635E-2</c:v>
                </c:pt>
                <c:pt idx="2841">
                  <c:v>3.0273931917694785E-2</c:v>
                </c:pt>
                <c:pt idx="2842">
                  <c:v>3.0280079667277526E-2</c:v>
                </c:pt>
                <c:pt idx="2843">
                  <c:v>3.0286234010947766E-2</c:v>
                </c:pt>
                <c:pt idx="2844">
                  <c:v>3.0292394948624457E-2</c:v>
                </c:pt>
                <c:pt idx="2845">
                  <c:v>3.0298562480469693E-2</c:v>
                </c:pt>
                <c:pt idx="2846">
                  <c:v>3.030473660656452E-2</c:v>
                </c:pt>
                <c:pt idx="2847">
                  <c:v>3.0310917326503706E-2</c:v>
                </c:pt>
                <c:pt idx="2848">
                  <c:v>3.0317104640611436E-2</c:v>
                </c:pt>
                <c:pt idx="2849">
                  <c:v>3.0323298548968758E-2</c:v>
                </c:pt>
                <c:pt idx="2850">
                  <c:v>3.0329499051170439E-2</c:v>
                </c:pt>
                <c:pt idx="2851">
                  <c:v>3.0335706147702757E-2</c:v>
                </c:pt>
                <c:pt idx="2852">
                  <c:v>3.0341919838241527E-2</c:v>
                </c:pt>
                <c:pt idx="2853">
                  <c:v>3.0348140122948841E-2</c:v>
                </c:pt>
                <c:pt idx="2854">
                  <c:v>3.0354367001662608E-2</c:v>
                </c:pt>
                <c:pt idx="2855">
                  <c:v>3.0360600474463872E-2</c:v>
                </c:pt>
                <c:pt idx="2856">
                  <c:v>3.0366840541352635E-2</c:v>
                </c:pt>
                <c:pt idx="2857">
                  <c:v>3.0373087202490989E-2</c:v>
                </c:pt>
                <c:pt idx="2858">
                  <c:v>3.0379340457797888E-2</c:v>
                </c:pt>
                <c:pt idx="2859">
                  <c:v>3.0385600306868099E-2</c:v>
                </c:pt>
                <c:pt idx="2860">
                  <c:v>3.039186675043104E-2</c:v>
                </c:pt>
                <c:pt idx="2861">
                  <c:v>3.0398139787838341E-2</c:v>
                </c:pt>
                <c:pt idx="2862">
                  <c:v>3.0404419419495232E-2</c:v>
                </c:pt>
                <c:pt idx="2863">
                  <c:v>3.0410705645077529E-2</c:v>
                </c:pt>
                <c:pt idx="2864">
                  <c:v>3.0416998464909417E-2</c:v>
                </c:pt>
                <c:pt idx="2865">
                  <c:v>3.0423297878828803E-2</c:v>
                </c:pt>
                <c:pt idx="2866">
                  <c:v>3.0429603886835688E-2</c:v>
                </c:pt>
                <c:pt idx="2867">
                  <c:v>3.0435916488849024E-2</c:v>
                </c:pt>
                <c:pt idx="2868">
                  <c:v>3.0442235685274044E-2</c:v>
                </c:pt>
                <c:pt idx="2869">
                  <c:v>3.0448561475462377E-2</c:v>
                </c:pt>
                <c:pt idx="2870">
                  <c:v>3.0454893859819254E-2</c:v>
                </c:pt>
                <c:pt idx="2871">
                  <c:v>3.0461232838587815E-2</c:v>
                </c:pt>
                <c:pt idx="2872">
                  <c:v>3.0467578411200735E-2</c:v>
                </c:pt>
                <c:pt idx="2873">
                  <c:v>3.0473930577820108E-2</c:v>
                </c:pt>
                <c:pt idx="2874">
                  <c:v>3.0480289338770117E-2</c:v>
                </c:pt>
                <c:pt idx="2875">
                  <c:v>3.0486654693888671E-2</c:v>
                </c:pt>
                <c:pt idx="2876">
                  <c:v>3.0493026642851584E-2</c:v>
                </c:pt>
                <c:pt idx="2877">
                  <c:v>3.0499405186064088E-2</c:v>
                </c:pt>
                <c:pt idx="2878">
                  <c:v>3.0505790323526183E-2</c:v>
                </c:pt>
                <c:pt idx="2879">
                  <c:v>3.051218205499473E-2</c:v>
                </c:pt>
                <c:pt idx="2880">
                  <c:v>3.0518580380469729E-2</c:v>
                </c:pt>
                <c:pt idx="2881">
                  <c:v>3.0524985299951179E-2</c:v>
                </c:pt>
                <c:pt idx="2882">
                  <c:v>3.0531396813763267E-2</c:v>
                </c:pt>
                <c:pt idx="2883">
                  <c:v>3.05378149217439E-2</c:v>
                </c:pt>
                <c:pt idx="2884">
                  <c:v>3.0544239623649938E-2</c:v>
                </c:pt>
                <c:pt idx="2885">
                  <c:v>3.0550670919805567E-2</c:v>
                </c:pt>
                <c:pt idx="2886">
                  <c:v>3.0557108810048694E-2</c:v>
                </c:pt>
                <c:pt idx="2887">
                  <c:v>3.056355329437932E-2</c:v>
                </c:pt>
                <c:pt idx="2888">
                  <c:v>3.0570004372716397E-2</c:v>
                </c:pt>
                <c:pt idx="2889">
                  <c:v>3.0576462045303066E-2</c:v>
                </c:pt>
                <c:pt idx="2890">
                  <c:v>3.0582926312058278E-2</c:v>
                </c:pt>
                <c:pt idx="2891">
                  <c:v>3.0589397172819943E-2</c:v>
                </c:pt>
                <c:pt idx="2892">
                  <c:v>3.0595874627750153E-2</c:v>
                </c:pt>
                <c:pt idx="2893">
                  <c:v>3.0602358676848906E-2</c:v>
                </c:pt>
                <c:pt idx="2894">
                  <c:v>3.0608849319873066E-2</c:v>
                </c:pt>
                <c:pt idx="2895">
                  <c:v>3.0615346557146816E-2</c:v>
                </c:pt>
                <c:pt idx="2896">
                  <c:v>3.0621850388508065E-2</c:v>
                </c:pt>
                <c:pt idx="2897">
                  <c:v>3.0628360814037858E-2</c:v>
                </c:pt>
                <c:pt idx="2898">
                  <c:v>3.063487783365515E-2</c:v>
                </c:pt>
                <c:pt idx="2899">
                  <c:v>3.0641401447278893E-2</c:v>
                </c:pt>
                <c:pt idx="2900">
                  <c:v>3.0647931655233274E-2</c:v>
                </c:pt>
                <c:pt idx="2901">
                  <c:v>3.0654468457194106E-2</c:v>
                </c:pt>
                <c:pt idx="2902">
                  <c:v>3.0661011853242437E-2</c:v>
                </c:pt>
                <c:pt idx="2903">
                  <c:v>3.066756184329722E-2</c:v>
                </c:pt>
                <c:pt idx="2904">
                  <c:v>3.0674118427763686E-2</c:v>
                </c:pt>
                <c:pt idx="2905">
                  <c:v>3.0680681606236604E-2</c:v>
                </c:pt>
                <c:pt idx="2906">
                  <c:v>3.0687251378715974E-2</c:v>
                </c:pt>
                <c:pt idx="2907">
                  <c:v>3.0693827745525981E-2</c:v>
                </c:pt>
                <c:pt idx="2908">
                  <c:v>3.0700410706261394E-2</c:v>
                </c:pt>
                <c:pt idx="2909">
                  <c:v>3.0707000261165351E-2</c:v>
                </c:pt>
                <c:pt idx="2910">
                  <c:v>3.0713596410156807E-2</c:v>
                </c:pt>
                <c:pt idx="2911">
                  <c:v>3.07201991534789E-2</c:v>
                </c:pt>
                <c:pt idx="2912">
                  <c:v>3.0726808490726398E-2</c:v>
                </c:pt>
                <c:pt idx="2913">
                  <c:v>3.0733424421980349E-2</c:v>
                </c:pt>
                <c:pt idx="2914">
                  <c:v>3.0740046947564936E-2</c:v>
                </c:pt>
                <c:pt idx="2915">
                  <c:v>3.0746676067318068E-2</c:v>
                </c:pt>
                <c:pt idx="2916">
                  <c:v>3.0753311781158699E-2</c:v>
                </c:pt>
                <c:pt idx="2917">
                  <c:v>3.0759954089005781E-2</c:v>
                </c:pt>
                <c:pt idx="2918">
                  <c:v>3.0766602991102454E-2</c:v>
                </c:pt>
                <c:pt idx="2919">
                  <c:v>3.0773258487286625E-2</c:v>
                </c:pt>
                <c:pt idx="2920">
                  <c:v>3.0779920577477249E-2</c:v>
                </c:pt>
                <c:pt idx="2921">
                  <c:v>3.0786589261917463E-2</c:v>
                </c:pt>
                <c:pt idx="2922">
                  <c:v>3.0793264540607268E-2</c:v>
                </c:pt>
                <c:pt idx="2923">
                  <c:v>3.0799946413222479E-2</c:v>
                </c:pt>
                <c:pt idx="2924">
                  <c:v>3.0806634879925188E-2</c:v>
                </c:pt>
                <c:pt idx="2925">
                  <c:v>3.0813329940958534E-2</c:v>
                </c:pt>
                <c:pt idx="2926">
                  <c:v>3.0820031595998332E-2</c:v>
                </c:pt>
                <c:pt idx="2927">
                  <c:v>3.0826739845125628E-2</c:v>
                </c:pt>
                <c:pt idx="2928">
                  <c:v>3.0833454688340423E-2</c:v>
                </c:pt>
                <c:pt idx="2929">
                  <c:v>3.0840176125885854E-2</c:v>
                </c:pt>
                <c:pt idx="2930">
                  <c:v>3.0846904157518784E-2</c:v>
                </c:pt>
                <c:pt idx="2931">
                  <c:v>3.085363878307712E-2</c:v>
                </c:pt>
                <c:pt idx="2932">
                  <c:v>3.0860380002885046E-2</c:v>
                </c:pt>
                <c:pt idx="2933">
                  <c:v>3.0867127816861517E-2</c:v>
                </c:pt>
                <c:pt idx="2934">
                  <c:v>3.0873882225087579E-2</c:v>
                </c:pt>
                <c:pt idx="2935">
                  <c:v>3.0880643227158E-2</c:v>
                </c:pt>
                <c:pt idx="2936">
                  <c:v>3.0887410823640105E-2</c:v>
                </c:pt>
                <c:pt idx="2937">
                  <c:v>3.0894185014047615E-2</c:v>
                </c:pt>
                <c:pt idx="2938">
                  <c:v>3.090096579862367E-2</c:v>
                </c:pt>
                <c:pt idx="2939">
                  <c:v>3.0907753177287223E-2</c:v>
                </c:pt>
                <c:pt idx="2940">
                  <c:v>3.0914547150362459E-2</c:v>
                </c:pt>
                <c:pt idx="2941">
                  <c:v>3.0921347717363101E-2</c:v>
                </c:pt>
                <c:pt idx="2942">
                  <c:v>3.0928154878370195E-2</c:v>
                </c:pt>
                <c:pt idx="2943">
                  <c:v>3.0934968633707927E-2</c:v>
                </c:pt>
                <c:pt idx="2944">
                  <c:v>3.0941788983214202E-2</c:v>
                </c:pt>
                <c:pt idx="2945">
                  <c:v>3.094861592672693E-2</c:v>
                </c:pt>
                <c:pt idx="2946">
                  <c:v>3.0955449464327156E-2</c:v>
                </c:pt>
                <c:pt idx="2947">
                  <c:v>3.0962289596176973E-2</c:v>
                </c:pt>
                <c:pt idx="2948">
                  <c:v>3.0969136322114288E-2</c:v>
                </c:pt>
                <c:pt idx="2949">
                  <c:v>3.0975989642058055E-2</c:v>
                </c:pt>
                <c:pt idx="2950">
                  <c:v>3.0982849556332459E-2</c:v>
                </c:pt>
                <c:pt idx="2951">
                  <c:v>3.0989716064856454E-2</c:v>
                </c:pt>
                <c:pt idx="2952">
                  <c:v>3.0996589167305855E-2</c:v>
                </c:pt>
                <c:pt idx="2953">
                  <c:v>3.1003468863842754E-2</c:v>
                </c:pt>
                <c:pt idx="2954">
                  <c:v>3.1010355154791336E-2</c:v>
                </c:pt>
                <c:pt idx="2955">
                  <c:v>3.1017248039665324E-2</c:v>
                </c:pt>
                <c:pt idx="2956">
                  <c:v>3.1024147518707856E-2</c:v>
                </c:pt>
                <c:pt idx="2957">
                  <c:v>3.1031053591837887E-2</c:v>
                </c:pt>
                <c:pt idx="2958">
                  <c:v>3.1037966259298555E-2</c:v>
                </c:pt>
                <c:pt idx="2959">
                  <c:v>3.1044885520765675E-2</c:v>
                </c:pt>
                <c:pt idx="2960">
                  <c:v>3.1051811376239247E-2</c:v>
                </c:pt>
                <c:pt idx="2961">
                  <c:v>3.1058743826043456E-2</c:v>
                </c:pt>
                <c:pt idx="2962">
                  <c:v>3.1065682870097255E-2</c:v>
                </c:pt>
                <c:pt idx="2963">
                  <c:v>3.1072628507995415E-2</c:v>
                </c:pt>
                <c:pt idx="2964">
                  <c:v>3.1079580740062118E-2</c:v>
                </c:pt>
                <c:pt idx="2965">
                  <c:v>3.1086539566459459E-2</c:v>
                </c:pt>
                <c:pt idx="2966">
                  <c:v>3.1093504987025344E-2</c:v>
                </c:pt>
                <c:pt idx="2967">
                  <c:v>3.1100477001516635E-2</c:v>
                </c:pt>
                <c:pt idx="2968">
                  <c:v>3.1107455610257517E-2</c:v>
                </c:pt>
                <c:pt idx="2969">
                  <c:v>3.111444081324799E-2</c:v>
                </c:pt>
                <c:pt idx="2970">
                  <c:v>3.1121432610244915E-2</c:v>
                </c:pt>
                <c:pt idx="2971">
                  <c:v>3.1128431001410384E-2</c:v>
                </c:pt>
                <c:pt idx="2972">
                  <c:v>3.113543598690649E-2</c:v>
                </c:pt>
                <c:pt idx="2973">
                  <c:v>3.1142447566246956E-2</c:v>
                </c:pt>
                <c:pt idx="2974">
                  <c:v>3.1149465739918059E-2</c:v>
                </c:pt>
                <c:pt idx="2975">
                  <c:v>3.115649050767666E-2</c:v>
                </c:pt>
                <c:pt idx="2976">
                  <c:v>3.1163521869522759E-2</c:v>
                </c:pt>
                <c:pt idx="2977">
                  <c:v>3.1170559825699495E-2</c:v>
                </c:pt>
                <c:pt idx="2978">
                  <c:v>3.1177604375801637E-2</c:v>
                </c:pt>
                <c:pt idx="2979">
                  <c:v>3.1184655520072324E-2</c:v>
                </c:pt>
                <c:pt idx="2980">
                  <c:v>3.1191713258754694E-2</c:v>
                </c:pt>
                <c:pt idx="2981">
                  <c:v>3.1198777591281424E-2</c:v>
                </c:pt>
                <c:pt idx="2982">
                  <c:v>3.1205848518057744E-2</c:v>
                </c:pt>
                <c:pt idx="2983">
                  <c:v>3.1212926039083655E-2</c:v>
                </c:pt>
                <c:pt idx="2984">
                  <c:v>3.1220010154197064E-2</c:v>
                </c:pt>
                <c:pt idx="2985">
                  <c:v>3.1228114360106751E-2</c:v>
                </c:pt>
                <c:pt idx="2986">
                  <c:v>3.1235212605639218E-2</c:v>
                </c:pt>
                <c:pt idx="2987">
                  <c:v>3.124231744509709E-2</c:v>
                </c:pt>
                <c:pt idx="2988">
                  <c:v>3.1249428878966645E-2</c:v>
                </c:pt>
                <c:pt idx="2989">
                  <c:v>3.1256546906761606E-2</c:v>
                </c:pt>
                <c:pt idx="2990">
                  <c:v>3.1263671528725112E-2</c:v>
                </c:pt>
                <c:pt idx="2991">
                  <c:v>3.1270802744938209E-2</c:v>
                </c:pt>
                <c:pt idx="2992">
                  <c:v>3.127794055531985E-2</c:v>
                </c:pt>
                <c:pt idx="2993">
                  <c:v>3.1285084959707943E-2</c:v>
                </c:pt>
                <c:pt idx="2994">
                  <c:v>3.129223595826458E-2</c:v>
                </c:pt>
                <c:pt idx="2995">
                  <c:v>3.1299393551313948E-2</c:v>
                </c:pt>
                <c:pt idx="2996">
                  <c:v>3.1306557738207674E-2</c:v>
                </c:pt>
                <c:pt idx="2997">
                  <c:v>3.1313728519269945E-2</c:v>
                </c:pt>
                <c:pt idx="2998">
                  <c:v>3.1320905894419715E-2</c:v>
                </c:pt>
                <c:pt idx="2999">
                  <c:v>3.1335522743074717E-2</c:v>
                </c:pt>
                <c:pt idx="3000">
                  <c:v>3.1335280427468026E-2</c:v>
                </c:pt>
                <c:pt idx="3001">
                  <c:v>3.1342477585042383E-2</c:v>
                </c:pt>
                <c:pt idx="3002">
                  <c:v>3.1349681336866331E-2</c:v>
                </c:pt>
                <c:pt idx="3003">
                  <c:v>3.1356891683020915E-2</c:v>
                </c:pt>
                <c:pt idx="3004">
                  <c:v>3.1364108623344045E-2</c:v>
                </c:pt>
                <c:pt idx="3005">
                  <c:v>3.1371332157511533E-2</c:v>
                </c:pt>
                <c:pt idx="3006">
                  <c:v>3.1378562286171752E-2</c:v>
                </c:pt>
                <c:pt idx="3007">
                  <c:v>3.1385799008838422E-2</c:v>
                </c:pt>
                <c:pt idx="3008">
                  <c:v>3.1393042325592591E-2</c:v>
                </c:pt>
                <c:pt idx="3009">
                  <c:v>3.1400292236515304E-2</c:v>
                </c:pt>
                <c:pt idx="3010">
                  <c:v>3.1407548741768654E-2</c:v>
                </c:pt>
                <c:pt idx="3011">
                  <c:v>3.1414811841028456E-2</c:v>
                </c:pt>
                <c:pt idx="3012">
                  <c:v>3.1422072669128331E-2</c:v>
                </c:pt>
                <c:pt idx="3013">
                  <c:v>3.1429319638395237E-2</c:v>
                </c:pt>
                <c:pt idx="3014">
                  <c:v>3.1436552679048324E-2</c:v>
                </c:pt>
                <c:pt idx="3015">
                  <c:v>3.1443771790925501E-2</c:v>
                </c:pt>
                <c:pt idx="3016">
                  <c:v>3.145097697418886E-2</c:v>
                </c:pt>
                <c:pt idx="3017">
                  <c:v>3.1458168228757355E-2</c:v>
                </c:pt>
                <c:pt idx="3018">
                  <c:v>3.1465345554630986E-2</c:v>
                </c:pt>
                <c:pt idx="3019">
                  <c:v>3.147250895164766E-2</c:v>
                </c:pt>
                <c:pt idx="3020">
                  <c:v>3.1479658420212608E-2</c:v>
                </c:pt>
                <c:pt idx="3021">
                  <c:v>3.1486793960001647E-2</c:v>
                </c:pt>
                <c:pt idx="3022">
                  <c:v>3.1493915571095821E-2</c:v>
                </c:pt>
                <c:pt idx="3023">
                  <c:v>3.1501023253495131E-2</c:v>
                </c:pt>
                <c:pt idx="3024">
                  <c:v>3.1508117007280623E-2</c:v>
                </c:pt>
                <c:pt idx="3025">
                  <c:v>3.1515196832290204E-2</c:v>
                </c:pt>
                <c:pt idx="3026">
                  <c:v>3.1522262728685968E-2</c:v>
                </c:pt>
                <c:pt idx="3027">
                  <c:v>3.1529314696143729E-2</c:v>
                </c:pt>
                <c:pt idx="3028">
                  <c:v>3.153635273523081E-2</c:v>
                </c:pt>
                <c:pt idx="3029">
                  <c:v>3.1543376845460935E-2</c:v>
                </c:pt>
                <c:pt idx="3030">
                  <c:v>3.1550387026996196E-2</c:v>
                </c:pt>
                <c:pt idx="3031">
                  <c:v>3.1557383279836593E-2</c:v>
                </c:pt>
                <c:pt idx="3032">
                  <c:v>3.1564365604063171E-2</c:v>
                </c:pt>
                <c:pt idx="3033">
                  <c:v>3.157133399951384E-2</c:v>
                </c:pt>
                <c:pt idx="3034">
                  <c:v>3.1578288466188598E-2</c:v>
                </c:pt>
                <c:pt idx="3035">
                  <c:v>3.158522900441163E-2</c:v>
                </c:pt>
                <c:pt idx="3036">
                  <c:v>3.159215561369666E-2</c:v>
                </c:pt>
                <c:pt idx="3037">
                  <c:v>3.1603012143927023E-2</c:v>
                </c:pt>
                <c:pt idx="3038">
                  <c:v>3.1609902936591272E-2</c:v>
                </c:pt>
                <c:pt idx="3039">
                  <c:v>3.1616779800560657E-2</c:v>
                </c:pt>
                <c:pt idx="3040">
                  <c:v>3.1623642735835178E-2</c:v>
                </c:pt>
                <c:pt idx="3041">
                  <c:v>3.1630491742576927E-2</c:v>
                </c:pt>
                <c:pt idx="3042">
                  <c:v>3.163732682046172E-2</c:v>
                </c:pt>
                <c:pt idx="3043">
                  <c:v>3.1644147969570602E-2</c:v>
                </c:pt>
                <c:pt idx="3044">
                  <c:v>3.165095518998462E-2</c:v>
                </c:pt>
                <c:pt idx="3045">
                  <c:v>3.1657748481865866E-2</c:v>
                </c:pt>
                <c:pt idx="3046">
                  <c:v>3.1664527844890156E-2</c:v>
                </c:pt>
                <c:pt idx="3047">
                  <c:v>3.1671293279219581E-2</c:v>
                </c:pt>
                <c:pt idx="3048">
                  <c:v>3.1678044784935189E-2</c:v>
                </c:pt>
                <c:pt idx="3049">
                  <c:v>3.1684782361874886E-2</c:v>
                </c:pt>
                <c:pt idx="3050">
                  <c:v>3.169246539417192E-2</c:v>
                </c:pt>
                <c:pt idx="3051">
                  <c:v>3.1699173123792557E-2</c:v>
                </c:pt>
                <c:pt idx="3052">
                  <c:v>3.1705866924718329E-2</c:v>
                </c:pt>
                <c:pt idx="3053">
                  <c:v>3.171254679711133E-2</c:v>
                </c:pt>
                <c:pt idx="3054">
                  <c:v>3.1719212740647373E-2</c:v>
                </c:pt>
                <c:pt idx="3055">
                  <c:v>3.1725864755407507E-2</c:v>
                </c:pt>
                <c:pt idx="3056">
                  <c:v>3.1732502841472776E-2</c:v>
                </c:pt>
                <c:pt idx="3057">
                  <c:v>3.1739126998924228E-2</c:v>
                </c:pt>
                <c:pt idx="3058">
                  <c:v>3.1745737227599768E-2</c:v>
                </c:pt>
                <c:pt idx="3059">
                  <c:v>3.1752333527418353E-2</c:v>
                </c:pt>
                <c:pt idx="3060">
                  <c:v>3.1758915898785212E-2</c:v>
                </c:pt>
                <c:pt idx="3061">
                  <c:v>3.176548434137616E-2</c:v>
                </c:pt>
                <c:pt idx="3062">
                  <c:v>3.1772038855110152E-2</c:v>
                </c:pt>
                <c:pt idx="3063">
                  <c:v>3.1778579440068233E-2</c:v>
                </c:pt>
                <c:pt idx="3064">
                  <c:v>3.1785106096574589E-2</c:v>
                </c:pt>
                <c:pt idx="3065">
                  <c:v>3.1791618824223988E-2</c:v>
                </c:pt>
                <c:pt idx="3066">
                  <c:v>3.1798117622935385E-2</c:v>
                </c:pt>
                <c:pt idx="3067">
                  <c:v>3.1804602493114009E-2</c:v>
                </c:pt>
                <c:pt idx="3068">
                  <c:v>3.1811073434678816E-2</c:v>
                </c:pt>
                <c:pt idx="3069">
                  <c:v>3.1817530447386666E-2</c:v>
                </c:pt>
                <c:pt idx="3070">
                  <c:v>3.1823973531318606E-2</c:v>
                </c:pt>
                <c:pt idx="3071">
                  <c:v>3.1830402686636727E-2</c:v>
                </c:pt>
                <c:pt idx="3072">
                  <c:v>3.1836817913178939E-2</c:v>
                </c:pt>
                <c:pt idx="3073">
                  <c:v>3.1843219210945239E-2</c:v>
                </c:pt>
                <c:pt idx="3074">
                  <c:v>3.1849606580016676E-2</c:v>
                </c:pt>
                <c:pt idx="3075">
                  <c:v>3.1855980020393249E-2</c:v>
                </c:pt>
                <c:pt idx="3076">
                  <c:v>3.1862339532074957E-2</c:v>
                </c:pt>
                <c:pt idx="3077">
                  <c:v>3.1868685114818662E-2</c:v>
                </c:pt>
                <c:pt idx="3078">
                  <c:v>3.1875016769110642E-2</c:v>
                </c:pt>
                <c:pt idx="3079">
                  <c:v>3.1881334494545666E-2</c:v>
                </c:pt>
                <c:pt idx="3080">
                  <c:v>3.1887638291204778E-2</c:v>
                </c:pt>
                <c:pt idx="3081">
                  <c:v>3.1893928159087981E-2</c:v>
                </c:pt>
                <c:pt idx="3082">
                  <c:v>3.1900204098276319E-2</c:v>
                </c:pt>
                <c:pt idx="3083">
                  <c:v>3.1906466108850839E-2</c:v>
                </c:pt>
                <c:pt idx="3084">
                  <c:v>3.1912714190487357E-2</c:v>
                </c:pt>
                <c:pt idx="3085">
                  <c:v>3.1918948343591103E-2</c:v>
                </c:pt>
                <c:pt idx="3086">
                  <c:v>3.1925168567837892E-2</c:v>
                </c:pt>
                <c:pt idx="3087">
                  <c:v>3.193137486330877E-2</c:v>
                </c:pt>
                <c:pt idx="3088">
                  <c:v>3.1937567230084785E-2</c:v>
                </c:pt>
                <c:pt idx="3089">
                  <c:v>3.1943745668246981E-2</c:v>
                </c:pt>
                <c:pt idx="3090">
                  <c:v>3.1949910177552221E-2</c:v>
                </c:pt>
                <c:pt idx="3091">
                  <c:v>3.1956060758000504E-2</c:v>
                </c:pt>
                <c:pt idx="3092">
                  <c:v>3.1962197409753923E-2</c:v>
                </c:pt>
                <c:pt idx="3093">
                  <c:v>3.1968320132893524E-2</c:v>
                </c:pt>
                <c:pt idx="3094">
                  <c:v>3.1974428927257215E-2</c:v>
                </c:pt>
                <c:pt idx="3095">
                  <c:v>3.1980523792763949E-2</c:v>
                </c:pt>
                <c:pt idx="3096">
                  <c:v>3.1986604729656865E-2</c:v>
                </c:pt>
                <c:pt idx="3097">
                  <c:v>3.199267173777387E-2</c:v>
                </c:pt>
                <c:pt idx="3098">
                  <c:v>3.1998724817033919E-2</c:v>
                </c:pt>
                <c:pt idx="3099">
                  <c:v>3.2004763967518057E-2</c:v>
                </c:pt>
                <c:pt idx="3100">
                  <c:v>3.201078918955047E-2</c:v>
                </c:pt>
                <c:pt idx="3101">
                  <c:v>3.2016800482563834E-2</c:v>
                </c:pt>
                <c:pt idx="3102">
                  <c:v>3.2022797846882334E-2</c:v>
                </c:pt>
                <c:pt idx="3103">
                  <c:v>3.2028781282424923E-2</c:v>
                </c:pt>
                <c:pt idx="3104">
                  <c:v>3.2034750789515787E-2</c:v>
                </c:pt>
                <c:pt idx="3105">
                  <c:v>3.2040706367587601E-2</c:v>
                </c:pt>
                <c:pt idx="3106">
                  <c:v>3.2046648016802459E-2</c:v>
                </c:pt>
                <c:pt idx="3107">
                  <c:v>3.2052575737403499E-2</c:v>
                </c:pt>
                <c:pt idx="3108">
                  <c:v>3.2058489529228629E-2</c:v>
                </c:pt>
                <c:pt idx="3109">
                  <c:v>3.2064389392358894E-2</c:v>
                </c:pt>
                <c:pt idx="3110">
                  <c:v>3.2070275326632203E-2</c:v>
                </c:pt>
                <c:pt idx="3111">
                  <c:v>3.2076147332210647E-2</c:v>
                </c:pt>
                <c:pt idx="3112">
                  <c:v>3.2082005409094227E-2</c:v>
                </c:pt>
                <c:pt idx="3113">
                  <c:v>3.2087849556958759E-2</c:v>
                </c:pt>
                <c:pt idx="3114">
                  <c:v>3.2093679776209472E-2</c:v>
                </c:pt>
                <c:pt idx="3115">
                  <c:v>3.2099496066927413E-2</c:v>
                </c:pt>
                <c:pt idx="3116">
                  <c:v>3.2105298428626305E-2</c:v>
                </c:pt>
                <c:pt idx="3117">
                  <c:v>3.2111086861630334E-2</c:v>
                </c:pt>
                <c:pt idx="3118">
                  <c:v>3.2116861365939497E-2</c:v>
                </c:pt>
                <c:pt idx="3119">
                  <c:v>3.2122621941391705E-2</c:v>
                </c:pt>
                <c:pt idx="3120">
                  <c:v>3.2128368588149048E-2</c:v>
                </c:pt>
                <c:pt idx="3121">
                  <c:v>3.2134101306049434E-2</c:v>
                </c:pt>
                <c:pt idx="3122">
                  <c:v>3.2139820095336002E-2</c:v>
                </c:pt>
                <c:pt idx="3123">
                  <c:v>3.2145524955765614E-2</c:v>
                </c:pt>
                <c:pt idx="3124">
                  <c:v>3.2151215887419315E-2</c:v>
                </c:pt>
                <c:pt idx="3125">
                  <c:v>3.2156892890378153E-2</c:v>
                </c:pt>
                <c:pt idx="3126">
                  <c:v>3.2162555964480033E-2</c:v>
                </c:pt>
                <c:pt idx="3127">
                  <c:v>3.2168205109887049E-2</c:v>
                </c:pt>
                <c:pt idx="3128">
                  <c:v>3.2173840326437109E-2</c:v>
                </c:pt>
                <c:pt idx="3129">
                  <c:v>3.2179461614292304E-2</c:v>
                </c:pt>
                <c:pt idx="3130">
                  <c:v>3.2185068973452635E-2</c:v>
                </c:pt>
                <c:pt idx="3131">
                  <c:v>3.2190662403674963E-2</c:v>
                </c:pt>
                <c:pt idx="3132">
                  <c:v>3.2196241905121381E-2</c:v>
                </c:pt>
                <c:pt idx="3133">
                  <c:v>3.2201807478116073E-2</c:v>
                </c:pt>
                <c:pt idx="3134">
                  <c:v>3.220735912201067E-2</c:v>
                </c:pt>
                <c:pt idx="3135">
                  <c:v>3.2212896837129357E-2</c:v>
                </c:pt>
                <c:pt idx="3136">
                  <c:v>3.2218420623715271E-2</c:v>
                </c:pt>
                <c:pt idx="3137">
                  <c:v>3.222393048144423E-2</c:v>
                </c:pt>
                <c:pt idx="3138">
                  <c:v>3.2229426410154138E-2</c:v>
                </c:pt>
                <c:pt idx="3139">
                  <c:v>3.2234908410250229E-2</c:v>
                </c:pt>
                <c:pt idx="3140">
                  <c:v>3.2240376481732502E-2</c:v>
                </c:pt>
                <c:pt idx="3141">
                  <c:v>3.2246608650499109E-2</c:v>
                </c:pt>
                <c:pt idx="3142">
                  <c:v>3.2252046874500229E-2</c:v>
                </c:pt>
                <c:pt idx="3143">
                  <c:v>3.2257471169563345E-2</c:v>
                </c:pt>
                <c:pt idx="3144">
                  <c:v>3.2262881536012644E-2</c:v>
                </c:pt>
                <c:pt idx="3145">
                  <c:v>3.2268277973767079E-2</c:v>
                </c:pt>
                <c:pt idx="3146">
                  <c:v>3.2273660482583511E-2</c:v>
                </c:pt>
                <c:pt idx="3147">
                  <c:v>3.2279029062624032E-2</c:v>
                </c:pt>
                <c:pt idx="3148">
                  <c:v>3.2284383713888642E-2</c:v>
                </c:pt>
                <c:pt idx="3149">
                  <c:v>3.2289724436539435E-2</c:v>
                </c:pt>
                <c:pt idx="3150">
                  <c:v>3.2295051230333272E-2</c:v>
                </c:pt>
                <c:pt idx="3151">
                  <c:v>3.2300364095108058E-2</c:v>
                </c:pt>
                <c:pt idx="3152">
                  <c:v>3.2305663031350074E-2</c:v>
                </c:pt>
                <c:pt idx="3153">
                  <c:v>3.2310948038816178E-2</c:v>
                </c:pt>
                <c:pt idx="3154">
                  <c:v>3.2316219117425327E-2</c:v>
                </c:pt>
                <c:pt idx="3155">
                  <c:v>3.2321476267177518E-2</c:v>
                </c:pt>
                <c:pt idx="3156">
                  <c:v>3.2326719488315891E-2</c:v>
                </c:pt>
                <c:pt idx="3157">
                  <c:v>3.2331948780597308E-2</c:v>
                </c:pt>
                <c:pt idx="3158">
                  <c:v>3.2337164143940722E-2</c:v>
                </c:pt>
                <c:pt idx="3159">
                  <c:v>3.2342365578670318E-2</c:v>
                </c:pt>
                <c:pt idx="3160">
                  <c:v>3.2347553084624003E-2</c:v>
                </c:pt>
                <c:pt idx="3161">
                  <c:v>3.2352726661639686E-2</c:v>
                </c:pt>
                <c:pt idx="3162">
                  <c:v>3.2357886309960504E-2</c:v>
                </c:pt>
                <c:pt idx="3163">
                  <c:v>3.2363032029586458E-2</c:v>
                </c:pt>
                <c:pt idx="3164">
                  <c:v>3.2368163820355456E-2</c:v>
                </c:pt>
                <c:pt idx="3165">
                  <c:v>3.2373281682105404E-2</c:v>
                </c:pt>
                <c:pt idx="3166">
                  <c:v>3.237838561532258E-2</c:v>
                </c:pt>
                <c:pt idx="3167">
                  <c:v>3.2383475619763846E-2</c:v>
                </c:pt>
                <c:pt idx="3168">
                  <c:v>3.2388551695348156E-2</c:v>
                </c:pt>
                <c:pt idx="3169">
                  <c:v>3.2393613841994462E-2</c:v>
                </c:pt>
                <c:pt idx="3170">
                  <c:v>3.2398662060189043E-2</c:v>
                </c:pt>
                <c:pt idx="3171">
                  <c:v>3.2403696349283528E-2</c:v>
                </c:pt>
                <c:pt idx="3172">
                  <c:v>3.2408716709602103E-2</c:v>
                </c:pt>
                <c:pt idx="3173">
                  <c:v>3.2413723141225814E-2</c:v>
                </c:pt>
                <c:pt idx="3174">
                  <c:v>3.2418715644235707E-2</c:v>
                </c:pt>
                <c:pt idx="3175">
                  <c:v>3.2423694218145505E-2</c:v>
                </c:pt>
                <c:pt idx="3176">
                  <c:v>3.2428658863360438E-2</c:v>
                </c:pt>
                <c:pt idx="3177">
                  <c:v>3.2433609579880507E-2</c:v>
                </c:pt>
                <c:pt idx="3178">
                  <c:v>3.2438546367543619E-2</c:v>
                </c:pt>
                <c:pt idx="3179">
                  <c:v>3.2443469226349775E-2</c:v>
                </c:pt>
                <c:pt idx="3180">
                  <c:v>3.2448378156217927E-2</c:v>
                </c:pt>
                <c:pt idx="3181">
                  <c:v>3.2453273157553308E-2</c:v>
                </c:pt>
                <c:pt idx="3182">
                  <c:v>3.2458154230031733E-2</c:v>
                </c:pt>
                <c:pt idx="3183">
                  <c:v>3.2463021373572154E-2</c:v>
                </c:pt>
                <c:pt idx="3184">
                  <c:v>3.2467874588417711E-2</c:v>
                </c:pt>
                <c:pt idx="3185">
                  <c:v>3.2472713874568404E-2</c:v>
                </c:pt>
                <c:pt idx="3186">
                  <c:v>3.2477539231781094E-2</c:v>
                </c:pt>
                <c:pt idx="3187">
                  <c:v>3.2482350660055781E-2</c:v>
                </c:pt>
                <c:pt idx="3188">
                  <c:v>3.2487148159797696E-2</c:v>
                </c:pt>
                <c:pt idx="3189">
                  <c:v>3.2491931730601609E-2</c:v>
                </c:pt>
                <c:pt idx="3190">
                  <c:v>3.2496701372548564E-2</c:v>
                </c:pt>
                <c:pt idx="3191">
                  <c:v>3.2501457085719609E-2</c:v>
                </c:pt>
                <c:pt idx="3192">
                  <c:v>3.250619887019579E-2</c:v>
                </c:pt>
                <c:pt idx="3193">
                  <c:v>3.2510926725815015E-2</c:v>
                </c:pt>
                <c:pt idx="3194">
                  <c:v>3.2515640652496236E-2</c:v>
                </c:pt>
                <c:pt idx="3195">
                  <c:v>3.2520340650563639E-2</c:v>
                </c:pt>
                <c:pt idx="3196">
                  <c:v>3.252502671969304E-2</c:v>
                </c:pt>
                <c:pt idx="3197">
                  <c:v>3.2529698860127576E-2</c:v>
                </c:pt>
                <c:pt idx="3198">
                  <c:v>3.2534357071624109E-2</c:v>
                </c:pt>
                <c:pt idx="3199">
                  <c:v>3.2539001354425778E-2</c:v>
                </c:pt>
                <c:pt idx="3200">
                  <c:v>3.2543631708370491E-2</c:v>
                </c:pt>
                <c:pt idx="3201">
                  <c:v>3.2548248133458246E-2</c:v>
                </c:pt>
                <c:pt idx="3202">
                  <c:v>3.2552850629689045E-2</c:v>
                </c:pt>
                <c:pt idx="3203">
                  <c:v>3.2557439197306026E-2</c:v>
                </c:pt>
                <c:pt idx="3204">
                  <c:v>3.2562013835985004E-2</c:v>
                </c:pt>
                <c:pt idx="3205">
                  <c:v>3.2566574545725979E-2</c:v>
                </c:pt>
                <c:pt idx="3206">
                  <c:v>3.2571121326934183E-2</c:v>
                </c:pt>
                <c:pt idx="3207">
                  <c:v>3.2575654179204383E-2</c:v>
                </c:pt>
                <c:pt idx="3208">
                  <c:v>3.258017310253658E-2</c:v>
                </c:pt>
                <c:pt idx="3209">
                  <c:v>3.2584678097173914E-2</c:v>
                </c:pt>
                <c:pt idx="3210">
                  <c:v>3.2589169163035336E-2</c:v>
                </c:pt>
                <c:pt idx="3211">
                  <c:v>3.2593646300201895E-2</c:v>
                </c:pt>
                <c:pt idx="3212">
                  <c:v>3.2598109508187312E-2</c:v>
                </c:pt>
                <c:pt idx="3213">
                  <c:v>3.2602558787639957E-2</c:v>
                </c:pt>
                <c:pt idx="3214">
                  <c:v>3.2606994138154599E-2</c:v>
                </c:pt>
                <c:pt idx="3215">
                  <c:v>3.2611415559893331E-2</c:v>
                </c:pt>
                <c:pt idx="3216">
                  <c:v>3.2615823052775106E-2</c:v>
                </c:pt>
                <c:pt idx="3217">
                  <c:v>3.262021661688097E-2</c:v>
                </c:pt>
                <c:pt idx="3218">
                  <c:v>3.2624596252210925E-2</c:v>
                </c:pt>
                <c:pt idx="3219">
                  <c:v>3.2628961958521829E-2</c:v>
                </c:pt>
                <c:pt idx="3220">
                  <c:v>3.2633313736299963E-2</c:v>
                </c:pt>
                <c:pt idx="3221">
                  <c:v>3.2637651585059047E-2</c:v>
                </c:pt>
                <c:pt idx="3222">
                  <c:v>3.2641975505123266E-2</c:v>
                </c:pt>
                <c:pt idx="3223">
                  <c:v>3.2646285496168437E-2</c:v>
                </c:pt>
                <c:pt idx="3224">
                  <c:v>3.2650581558680836E-2</c:v>
                </c:pt>
                <c:pt idx="3225">
                  <c:v>3.2654863692093139E-2</c:v>
                </c:pt>
                <c:pt idx="3226">
                  <c:v>3.2659131896891624E-2</c:v>
                </c:pt>
                <c:pt idx="3227">
                  <c:v>3.2663386172590014E-2</c:v>
                </c:pt>
                <c:pt idx="3228">
                  <c:v>3.2667626519755633E-2</c:v>
                </c:pt>
                <c:pt idx="3229">
                  <c:v>3.2671852937983248E-2</c:v>
                </c:pt>
                <c:pt idx="3230">
                  <c:v>3.2676065427434953E-2</c:v>
                </c:pt>
                <c:pt idx="3231">
                  <c:v>3.2680263987867608E-2</c:v>
                </c:pt>
                <c:pt idx="3232">
                  <c:v>3.2684448619767492E-2</c:v>
                </c:pt>
                <c:pt idx="3233">
                  <c:v>3.2688619322729373E-2</c:v>
                </c:pt>
                <c:pt idx="3234">
                  <c:v>3.2692776096672205E-2</c:v>
                </c:pt>
                <c:pt idx="3235">
                  <c:v>3.2696918942001219E-2</c:v>
                </c:pt>
                <c:pt idx="3236">
                  <c:v>3.2701047858473276E-2</c:v>
                </c:pt>
                <c:pt idx="3237">
                  <c:v>3.270516284600733E-2</c:v>
                </c:pt>
                <c:pt idx="3238">
                  <c:v>3.2709263904846519E-2</c:v>
                </c:pt>
                <c:pt idx="3239">
                  <c:v>3.2713351034909799E-2</c:v>
                </c:pt>
                <c:pt idx="3240">
                  <c:v>3.2717424236035075E-2</c:v>
                </c:pt>
                <c:pt idx="3241">
                  <c:v>3.2721483508303395E-2</c:v>
                </c:pt>
                <c:pt idx="3242">
                  <c:v>3.2725528851876851E-2</c:v>
                </c:pt>
                <c:pt idx="3243">
                  <c:v>3.2729560266431257E-2</c:v>
                </c:pt>
                <c:pt idx="3244">
                  <c:v>3.2733577752209753E-2</c:v>
                </c:pt>
                <c:pt idx="3245">
                  <c:v>3.2738152108847673E-2</c:v>
                </c:pt>
                <c:pt idx="3246">
                  <c:v>3.274213974706397E-2</c:v>
                </c:pt>
                <c:pt idx="3247">
                  <c:v>3.2746113456666448E-2</c:v>
                </c:pt>
                <c:pt idx="3248">
                  <c:v>3.2750073237249877E-2</c:v>
                </c:pt>
                <c:pt idx="3249">
                  <c:v>3.2754019089138442E-2</c:v>
                </c:pt>
                <c:pt idx="3250">
                  <c:v>3.2757951012007958E-2</c:v>
                </c:pt>
                <c:pt idx="3251">
                  <c:v>3.2761869006263655E-2</c:v>
                </c:pt>
                <c:pt idx="3252">
                  <c:v>3.2765773071500304E-2</c:v>
                </c:pt>
                <c:pt idx="3253">
                  <c:v>3.2769663207879995E-2</c:v>
                </c:pt>
                <c:pt idx="3254">
                  <c:v>3.2773539415564823E-2</c:v>
                </c:pt>
                <c:pt idx="3255">
                  <c:v>3.277740169447374E-2</c:v>
                </c:pt>
                <c:pt idx="3256">
                  <c:v>3.2781250044444654E-2</c:v>
                </c:pt>
                <c:pt idx="3257">
                  <c:v>3.2785084465477565E-2</c:v>
                </c:pt>
                <c:pt idx="3258">
                  <c:v>3.2788904957815612E-2</c:v>
                </c:pt>
                <c:pt idx="3259">
                  <c:v>3.2792711521296702E-2</c:v>
                </c:pt>
                <c:pt idx="3260">
                  <c:v>3.2803479598361829E-2</c:v>
                </c:pt>
                <c:pt idx="3261">
                  <c:v>3.2800282861606966E-2</c:v>
                </c:pt>
                <c:pt idx="3262">
                  <c:v>3.2804047638517186E-2</c:v>
                </c:pt>
                <c:pt idx="3263">
                  <c:v>3.2807798486651496E-2</c:v>
                </c:pt>
                <c:pt idx="3264">
                  <c:v>3.2811535405766756E-2</c:v>
                </c:pt>
                <c:pt idx="3265">
                  <c:v>3.2815258396268199E-2</c:v>
                </c:pt>
                <c:pt idx="3266">
                  <c:v>3.2818967457831638E-2</c:v>
                </c:pt>
                <c:pt idx="3267">
                  <c:v>3.2822662590619167E-2</c:v>
                </c:pt>
                <c:pt idx="3268">
                  <c:v>3.2826343794387647E-2</c:v>
                </c:pt>
                <c:pt idx="3269">
                  <c:v>3.2830011069461262E-2</c:v>
                </c:pt>
                <c:pt idx="3270">
                  <c:v>3.2833664415677921E-2</c:v>
                </c:pt>
                <c:pt idx="3271">
                  <c:v>3.2837303832875531E-2</c:v>
                </c:pt>
                <c:pt idx="3272">
                  <c:v>3.2840929321540369E-2</c:v>
                </c:pt>
                <c:pt idx="3273">
                  <c:v>3.2844540881186157E-2</c:v>
                </c:pt>
                <c:pt idx="3274">
                  <c:v>3.2848138512056035E-2</c:v>
                </c:pt>
                <c:pt idx="3275">
                  <c:v>3.2851722213987911E-2</c:v>
                </c:pt>
                <c:pt idx="3276">
                  <c:v>3.2855291987224922E-2</c:v>
                </c:pt>
                <c:pt idx="3277">
                  <c:v>3.2858847831442883E-2</c:v>
                </c:pt>
                <c:pt idx="3278">
                  <c:v>3.2862389746884935E-2</c:v>
                </c:pt>
                <c:pt idx="3279">
                  <c:v>3.2865917733307937E-2</c:v>
                </c:pt>
                <c:pt idx="3280">
                  <c:v>3.2869431791198167E-2</c:v>
                </c:pt>
                <c:pt idx="3281">
                  <c:v>3.2872931920069348E-2</c:v>
                </c:pt>
                <c:pt idx="3282">
                  <c:v>3.2876418120083573E-2</c:v>
                </c:pt>
                <c:pt idx="3283">
                  <c:v>3.287989039124084E-2</c:v>
                </c:pt>
                <c:pt idx="3284">
                  <c:v>3.2883348733703244E-2</c:v>
                </c:pt>
                <c:pt idx="3285">
                  <c:v>3.2886793147146598E-2</c:v>
                </c:pt>
                <c:pt idx="3286">
                  <c:v>3.2890223631814042E-2</c:v>
                </c:pt>
                <c:pt idx="3287">
                  <c:v>3.2893640187624529E-2</c:v>
                </c:pt>
                <c:pt idx="3288">
                  <c:v>3.2897042814659105E-2</c:v>
                </c:pt>
                <c:pt idx="3289">
                  <c:v>3.2900431512593586E-2</c:v>
                </c:pt>
                <c:pt idx="3290">
                  <c:v>3.290380628191425E-2</c:v>
                </c:pt>
                <c:pt idx="3291">
                  <c:v>3.2907167122215863E-2</c:v>
                </c:pt>
                <c:pt idx="3292">
                  <c:v>3.2910514033903659E-2</c:v>
                </c:pt>
                <c:pt idx="3293">
                  <c:v>3.291384701649136E-2</c:v>
                </c:pt>
                <c:pt idx="3294">
                  <c:v>3.2917166070465242E-2</c:v>
                </c:pt>
                <c:pt idx="3295">
                  <c:v>3.2920471195501122E-2</c:v>
                </c:pt>
                <c:pt idx="3296">
                  <c:v>3.2923762391517952E-2</c:v>
                </c:pt>
                <c:pt idx="3297">
                  <c:v>3.2930944008927231E-2</c:v>
                </c:pt>
                <c:pt idx="3298">
                  <c:v>3.2934203955821514E-2</c:v>
                </c:pt>
                <c:pt idx="3299">
                  <c:v>3.2937449971400433E-2</c:v>
                </c:pt>
                <c:pt idx="3300">
                  <c:v>3.2940682055663993E-2</c:v>
                </c:pt>
                <c:pt idx="3301">
                  <c:v>3.2943900208612195E-2</c:v>
                </c:pt>
                <c:pt idx="3302">
                  <c:v>3.2947104430272045E-2</c:v>
                </c:pt>
                <c:pt idx="3303">
                  <c:v>3.2950294720589524E-2</c:v>
                </c:pt>
                <c:pt idx="3304">
                  <c:v>3.2953471079618657E-2</c:v>
                </c:pt>
                <c:pt idx="3305">
                  <c:v>3.2956633507251386E-2</c:v>
                </c:pt>
                <c:pt idx="3306">
                  <c:v>3.2959782003649796E-2</c:v>
                </c:pt>
                <c:pt idx="3307">
                  <c:v>3.2962916568705834E-2</c:v>
                </c:pt>
                <c:pt idx="3308">
                  <c:v>3.2966037202446508E-2</c:v>
                </c:pt>
                <c:pt idx="3309">
                  <c:v>3.2969143904871823E-2</c:v>
                </c:pt>
                <c:pt idx="3310">
                  <c:v>3.2970579645490439E-2</c:v>
                </c:pt>
                <c:pt idx="3311">
                  <c:v>3.2973651959492534E-2</c:v>
                </c:pt>
                <c:pt idx="3312">
                  <c:v>3.2976710344880811E-2</c:v>
                </c:pt>
                <c:pt idx="3313">
                  <c:v>3.2979754801250039E-2</c:v>
                </c:pt>
                <c:pt idx="3314">
                  <c:v>3.298278532876231E-2</c:v>
                </c:pt>
                <c:pt idx="3315">
                  <c:v>3.2985801927417624E-2</c:v>
                </c:pt>
                <c:pt idx="3316">
                  <c:v>3.2988804597297028E-2</c:v>
                </c:pt>
                <c:pt idx="3317">
                  <c:v>3.2991793338238429E-2</c:v>
                </c:pt>
                <c:pt idx="3318">
                  <c:v>3.299476815016078E-2</c:v>
                </c:pt>
                <c:pt idx="3319">
                  <c:v>3.299772903355036E-2</c:v>
                </c:pt>
                <c:pt idx="3320">
                  <c:v>3.3000675987920891E-2</c:v>
                </c:pt>
                <c:pt idx="3321">
                  <c:v>3.3003609013353419E-2</c:v>
                </c:pt>
                <c:pt idx="3322">
                  <c:v>3.300652810992899E-2</c:v>
                </c:pt>
                <c:pt idx="3323">
                  <c:v>3.300943327772865E-2</c:v>
                </c:pt>
                <c:pt idx="3324">
                  <c:v>3.3012324516671354E-2</c:v>
                </c:pt>
                <c:pt idx="3325">
                  <c:v>3.3015201826595009E-2</c:v>
                </c:pt>
                <c:pt idx="3326">
                  <c:v>3.3018065207742753E-2</c:v>
                </c:pt>
                <c:pt idx="3327">
                  <c:v>3.3020914660195633E-2</c:v>
                </c:pt>
                <c:pt idx="3328">
                  <c:v>3.3023750183629463E-2</c:v>
                </c:pt>
                <c:pt idx="3329">
                  <c:v>3.3026571778125291E-2</c:v>
                </c:pt>
                <c:pt idx="3330">
                  <c:v>3.3029379443926254E-2</c:v>
                </c:pt>
                <c:pt idx="3331">
                  <c:v>3.3032173180789215E-2</c:v>
                </c:pt>
                <c:pt idx="3332">
                  <c:v>3.3034952988795219E-2</c:v>
                </c:pt>
                <c:pt idx="3333">
                  <c:v>3.3037718867701127E-2</c:v>
                </c:pt>
                <c:pt idx="3334">
                  <c:v>3.304047081815531E-2</c:v>
                </c:pt>
                <c:pt idx="3335">
                  <c:v>3.3043208839509397E-2</c:v>
                </c:pt>
                <c:pt idx="3336">
                  <c:v>3.3045932931925481E-2</c:v>
                </c:pt>
                <c:pt idx="3337">
                  <c:v>3.3048643095646701E-2</c:v>
                </c:pt>
                <c:pt idx="3338">
                  <c:v>3.3051339330429919E-2</c:v>
                </c:pt>
                <c:pt idx="3339">
                  <c:v>3.3054021636275133E-2</c:v>
                </c:pt>
                <c:pt idx="3340">
                  <c:v>3.305669001326339E-2</c:v>
                </c:pt>
                <c:pt idx="3341">
                  <c:v>3.3059344461556783E-2</c:v>
                </c:pt>
                <c:pt idx="3342">
                  <c:v>3.3061984980831127E-2</c:v>
                </c:pt>
                <c:pt idx="3343">
                  <c:v>3.3064611571248514E-2</c:v>
                </c:pt>
                <c:pt idx="3344">
                  <c:v>3.3067224232889991E-2</c:v>
                </c:pt>
                <c:pt idx="3345">
                  <c:v>3.3069822965593465E-2</c:v>
                </c:pt>
                <c:pt idx="3346">
                  <c:v>3.3072407769358936E-2</c:v>
                </c:pt>
                <c:pt idx="3347">
                  <c:v>3.3074978644186404E-2</c:v>
                </c:pt>
                <c:pt idx="3348">
                  <c:v>3.3077535590400053E-2</c:v>
                </c:pt>
                <c:pt idx="3349">
                  <c:v>3.30800786076757E-2</c:v>
                </c:pt>
                <c:pt idx="3350">
                  <c:v>3.3082607696013344E-2</c:v>
                </c:pt>
                <c:pt idx="3351">
                  <c:v>3.3085122855250892E-2</c:v>
                </c:pt>
                <c:pt idx="3352">
                  <c:v>3.3087624085955669E-2</c:v>
                </c:pt>
                <c:pt idx="3353">
                  <c:v>3.3090111387641397E-2</c:v>
                </c:pt>
                <c:pt idx="3354">
                  <c:v>3.3092584760470167E-2</c:v>
                </c:pt>
                <c:pt idx="3355">
                  <c:v>3.3095044204441981E-2</c:v>
                </c:pt>
                <c:pt idx="3356">
                  <c:v>3.3097489719799977E-2</c:v>
                </c:pt>
                <c:pt idx="3357">
                  <c:v>3.3099921305976832E-2</c:v>
                </c:pt>
                <c:pt idx="3358">
                  <c:v>3.3102338963215683E-2</c:v>
                </c:pt>
                <c:pt idx="3359">
                  <c:v>3.310474269175967E-2</c:v>
                </c:pt>
                <c:pt idx="3360">
                  <c:v>3.3107132491365654E-2</c:v>
                </c:pt>
                <c:pt idx="3361">
                  <c:v>3.3109508361952589E-2</c:v>
                </c:pt>
                <c:pt idx="3362">
                  <c:v>3.3111870303925706E-2</c:v>
                </c:pt>
                <c:pt idx="3363">
                  <c:v>3.311421831696082E-2</c:v>
                </c:pt>
                <c:pt idx="3364">
                  <c:v>3.3116552400976884E-2</c:v>
                </c:pt>
                <c:pt idx="3365">
                  <c:v>3.3118872556135992E-2</c:v>
                </c:pt>
                <c:pt idx="3366">
                  <c:v>3.3121178782681282E-2</c:v>
                </c:pt>
                <c:pt idx="3367">
                  <c:v>3.3123471079964384E-2</c:v>
                </c:pt>
                <c:pt idx="3368">
                  <c:v>3.3125749448714714E-2</c:v>
                </c:pt>
                <c:pt idx="3369">
                  <c:v>3.3128013888283903E-2</c:v>
                </c:pt>
                <c:pt idx="3370">
                  <c:v>3.3130264399320319E-2</c:v>
                </c:pt>
                <c:pt idx="3371">
                  <c:v>3.3132500981175594E-2</c:v>
                </c:pt>
                <c:pt idx="3372">
                  <c:v>3.3134723634254959E-2</c:v>
                </c:pt>
                <c:pt idx="3373">
                  <c:v>3.313693235839632E-2</c:v>
                </c:pt>
                <c:pt idx="3374">
                  <c:v>3.3139127153842818E-2</c:v>
                </c:pt>
                <c:pt idx="3375">
                  <c:v>3.3141308020270266E-2</c:v>
                </c:pt>
                <c:pt idx="3376">
                  <c:v>3.3143474957759711E-2</c:v>
                </c:pt>
                <c:pt idx="3377">
                  <c:v>3.3145627966554292E-2</c:v>
                </c:pt>
                <c:pt idx="3378">
                  <c:v>3.314776704641087E-2</c:v>
                </c:pt>
                <c:pt idx="3379">
                  <c:v>3.3149892197329445E-2</c:v>
                </c:pt>
                <c:pt idx="3380">
                  <c:v>3.3152003419310017E-2</c:v>
                </c:pt>
                <c:pt idx="3381">
                  <c:v>3.3154100712595724E-2</c:v>
                </c:pt>
                <c:pt idx="3382">
                  <c:v>3.3156184076943429E-2</c:v>
                </c:pt>
                <c:pt idx="3383">
                  <c:v>3.3158253512272085E-2</c:v>
                </c:pt>
                <c:pt idx="3384">
                  <c:v>3.3160309018743783E-2</c:v>
                </c:pt>
                <c:pt idx="3385">
                  <c:v>3.3162350596520618E-2</c:v>
                </c:pt>
                <c:pt idx="3386">
                  <c:v>3.3164378245197357E-2</c:v>
                </c:pt>
                <c:pt idx="3387">
                  <c:v>3.3166391965098185E-2</c:v>
                </c:pt>
                <c:pt idx="3388">
                  <c:v>3.3168391756142057E-2</c:v>
                </c:pt>
                <c:pt idx="3389">
                  <c:v>3.3170377618328972E-2</c:v>
                </c:pt>
                <c:pt idx="3390">
                  <c:v>3.3172349551415792E-2</c:v>
                </c:pt>
                <c:pt idx="3391">
                  <c:v>3.3174307555888793E-2</c:v>
                </c:pt>
                <c:pt idx="3392">
                  <c:v>3.3176251631423792E-2</c:v>
                </c:pt>
                <c:pt idx="3393">
                  <c:v>3.3178181778020788E-2</c:v>
                </c:pt>
                <c:pt idx="3394">
                  <c:v>3.3180097995598734E-2</c:v>
                </c:pt>
                <c:pt idx="3395">
                  <c:v>3.3182000284562863E-2</c:v>
                </c:pt>
                <c:pt idx="3396">
                  <c:v>3.3183888644588988E-2</c:v>
                </c:pt>
                <c:pt idx="3397">
                  <c:v>3.3185763075596064E-2</c:v>
                </c:pt>
                <c:pt idx="3398">
                  <c:v>3.3187623577746184E-2</c:v>
                </c:pt>
                <c:pt idx="3399">
                  <c:v>3.3189470151039346E-2</c:v>
                </c:pt>
                <c:pt idx="3400">
                  <c:v>3.3191302795475552E-2</c:v>
                </c:pt>
                <c:pt idx="3401">
                  <c:v>3.3193121510892709E-2</c:v>
                </c:pt>
                <c:pt idx="3402">
                  <c:v>3.3194926297615002E-2</c:v>
                </c:pt>
                <c:pt idx="3403">
                  <c:v>3.3196717155480338E-2</c:v>
                </c:pt>
                <c:pt idx="3404">
                  <c:v>3.319849408440767E-2</c:v>
                </c:pt>
                <c:pt idx="3405">
                  <c:v>3.3200257084315954E-2</c:v>
                </c:pt>
                <c:pt idx="3406">
                  <c:v>3.3202006155448327E-2</c:v>
                </c:pt>
                <c:pt idx="3407">
                  <c:v>3.3203741297642697E-2</c:v>
                </c:pt>
                <c:pt idx="3408">
                  <c:v>3.320546251098011E-2</c:v>
                </c:pt>
                <c:pt idx="3409">
                  <c:v>3.3207169795379521E-2</c:v>
                </c:pt>
                <c:pt idx="3410">
                  <c:v>3.3208863150921974E-2</c:v>
                </c:pt>
                <c:pt idx="3411">
                  <c:v>3.3210542577688518E-2</c:v>
                </c:pt>
                <c:pt idx="3412">
                  <c:v>3.3212208075436012E-2</c:v>
                </c:pt>
                <c:pt idx="3413">
                  <c:v>3.3213859644326549E-2</c:v>
                </c:pt>
                <c:pt idx="3414">
                  <c:v>3.3215497284441176E-2</c:v>
                </c:pt>
                <c:pt idx="3415">
                  <c:v>3.3217120995536753E-2</c:v>
                </c:pt>
                <c:pt idx="3416">
                  <c:v>3.3218730777775374E-2</c:v>
                </c:pt>
                <c:pt idx="3417">
                  <c:v>3.3220326631157038E-2</c:v>
                </c:pt>
                <c:pt idx="3418">
                  <c:v>3.3221908555600699E-2</c:v>
                </c:pt>
                <c:pt idx="3419">
                  <c:v>3.3223476551106357E-2</c:v>
                </c:pt>
                <c:pt idx="3420">
                  <c:v>3.3225030617755058E-2</c:v>
                </c:pt>
                <c:pt idx="3421">
                  <c:v>3.3226570755708895E-2</c:v>
                </c:pt>
                <c:pt idx="3422">
                  <c:v>3.3228096964562637E-2</c:v>
                </c:pt>
                <c:pt idx="3423">
                  <c:v>3.3229609244559422E-2</c:v>
                </c:pt>
                <c:pt idx="3424">
                  <c:v>3.3231107595780296E-2</c:v>
                </c:pt>
                <c:pt idx="3425">
                  <c:v>3.3232592017982121E-2</c:v>
                </c:pt>
                <c:pt idx="3426">
                  <c:v>3.3234062511408036E-2</c:v>
                </c:pt>
                <c:pt idx="3427">
                  <c:v>3.3235519075733855E-2</c:v>
                </c:pt>
                <c:pt idx="3428">
                  <c:v>3.323696171136481E-2</c:v>
                </c:pt>
                <c:pt idx="3429">
                  <c:v>3.3238390418057762E-2</c:v>
                </c:pt>
                <c:pt idx="3430">
                  <c:v>3.3239805195731664E-2</c:v>
                </c:pt>
                <c:pt idx="3431">
                  <c:v>3.3241206044791749E-2</c:v>
                </c:pt>
                <c:pt idx="3432">
                  <c:v>3.3242592964832784E-2</c:v>
                </c:pt>
                <c:pt idx="3433">
                  <c:v>3.3243965955854771E-2</c:v>
                </c:pt>
                <c:pt idx="3434">
                  <c:v>3.3245325018181893E-2</c:v>
                </c:pt>
                <c:pt idx="3435">
                  <c:v>3.3246670151652058E-2</c:v>
                </c:pt>
                <c:pt idx="3436">
                  <c:v>3.3248001356022128E-2</c:v>
                </c:pt>
                <c:pt idx="3437">
                  <c:v>3.3249318631454194E-2</c:v>
                </c:pt>
                <c:pt idx="3438">
                  <c:v>3.3250621978191397E-2</c:v>
                </c:pt>
                <c:pt idx="3439">
                  <c:v>3.3251911395990597E-2</c:v>
                </c:pt>
                <c:pt idx="3440">
                  <c:v>3.3253186884851793E-2</c:v>
                </c:pt>
                <c:pt idx="3441">
                  <c:v>3.3254448444856033E-2</c:v>
                </c:pt>
                <c:pt idx="3442">
                  <c:v>3.3255696076165409E-2</c:v>
                </c:pt>
                <c:pt idx="3443">
                  <c:v>3.3256929778293642E-2</c:v>
                </c:pt>
                <c:pt idx="3444">
                  <c:v>3.3258149551645966E-2</c:v>
                </c:pt>
                <c:pt idx="3445">
                  <c:v>3.325935539597924E-2</c:v>
                </c:pt>
                <c:pt idx="3446">
                  <c:v>3.326054731161765E-2</c:v>
                </c:pt>
                <c:pt idx="3447">
                  <c:v>3.3261725298318057E-2</c:v>
                </c:pt>
                <c:pt idx="3448">
                  <c:v>3.3262889355918368E-2</c:v>
                </c:pt>
                <c:pt idx="3449">
                  <c:v>3.3264039484742769E-2</c:v>
                </c:pt>
                <c:pt idx="3450">
                  <c:v>3.3265175684872306E-2</c:v>
                </c:pt>
                <c:pt idx="3451">
                  <c:v>3.3266297955982793E-2</c:v>
                </c:pt>
                <c:pt idx="3452">
                  <c:v>3.3267406297993185E-2</c:v>
                </c:pt>
                <c:pt idx="3453">
                  <c:v>3.3268655918988754E-2</c:v>
                </c:pt>
                <c:pt idx="3454">
                  <c:v>3.3269734413517993E-2</c:v>
                </c:pt>
                <c:pt idx="3455">
                  <c:v>3.3270798979352367E-2</c:v>
                </c:pt>
                <c:pt idx="3456">
                  <c:v>3.3271849616086646E-2</c:v>
                </c:pt>
                <c:pt idx="3457">
                  <c:v>3.3272886323801876E-2</c:v>
                </c:pt>
                <c:pt idx="3458">
                  <c:v>3.3273909102903287E-2</c:v>
                </c:pt>
                <c:pt idx="3459">
                  <c:v>3.3274917953147742E-2</c:v>
                </c:pt>
                <c:pt idx="3460">
                  <c:v>3.3275912874130009E-2</c:v>
                </c:pt>
                <c:pt idx="3461">
                  <c:v>3.3276893866417412E-2</c:v>
                </c:pt>
                <c:pt idx="3462">
                  <c:v>3.3277860929928904E-2</c:v>
                </c:pt>
                <c:pt idx="3463">
                  <c:v>3.3278814064502393E-2</c:v>
                </c:pt>
                <c:pt idx="3464">
                  <c:v>3.3279753269975787E-2</c:v>
                </c:pt>
                <c:pt idx="3465">
                  <c:v>3.3280678546754316E-2</c:v>
                </c:pt>
                <c:pt idx="3466">
                  <c:v>3.3281589894756936E-2</c:v>
                </c:pt>
                <c:pt idx="3467">
                  <c:v>3.3282487313578413E-2</c:v>
                </c:pt>
                <c:pt idx="3468">
                  <c:v>3.3283370803542933E-2</c:v>
                </c:pt>
                <c:pt idx="3469">
                  <c:v>3.3284240364731543E-2</c:v>
                </c:pt>
                <c:pt idx="3470">
                  <c:v>3.3285095997063197E-2</c:v>
                </c:pt>
                <c:pt idx="3471">
                  <c:v>3.3285937700294754E-2</c:v>
                </c:pt>
                <c:pt idx="3472">
                  <c:v>3.3286765474831448E-2</c:v>
                </c:pt>
                <c:pt idx="3473">
                  <c:v>3.3287579320430138E-2</c:v>
                </c:pt>
                <c:pt idx="3474">
                  <c:v>3.3288379237090826E-2</c:v>
                </c:pt>
                <c:pt idx="3475">
                  <c:v>3.3289165224732464E-2</c:v>
                </c:pt>
                <c:pt idx="3476">
                  <c:v>3.3289937283760285E-2</c:v>
                </c:pt>
                <c:pt idx="3477">
                  <c:v>3.329069541368801E-2</c:v>
                </c:pt>
                <c:pt idx="3478">
                  <c:v>3.3291439614758778E-2</c:v>
                </c:pt>
                <c:pt idx="3479">
                  <c:v>3.3292169886972589E-2</c:v>
                </c:pt>
                <c:pt idx="3480">
                  <c:v>3.3292886230329444E-2</c:v>
                </c:pt>
                <c:pt idx="3481">
                  <c:v>3.3293588644667249E-2</c:v>
                </c:pt>
                <c:pt idx="3482">
                  <c:v>3.3294277130148098E-2</c:v>
                </c:pt>
                <c:pt idx="3483">
                  <c:v>3.329495168677199E-2</c:v>
                </c:pt>
                <c:pt idx="3484">
                  <c:v>3.3295612314538925E-2</c:v>
                </c:pt>
                <c:pt idx="3485">
                  <c:v>3.3296259013286811E-2</c:v>
                </c:pt>
                <c:pt idx="3486">
                  <c:v>3.3296891783096694E-2</c:v>
                </c:pt>
                <c:pt idx="3487">
                  <c:v>3.3297510624211712E-2</c:v>
                </c:pt>
                <c:pt idx="3488">
                  <c:v>3.3298115536388728E-2</c:v>
                </c:pt>
                <c:pt idx="3489">
                  <c:v>3.3298706519465648E-2</c:v>
                </c:pt>
                <c:pt idx="3490">
                  <c:v>3.3299283573847704E-2</c:v>
                </c:pt>
                <c:pt idx="3491">
                  <c:v>3.329984669945385E-2</c:v>
                </c:pt>
                <c:pt idx="3492">
                  <c:v>3.3300395895878854E-2</c:v>
                </c:pt>
                <c:pt idx="3493">
                  <c:v>3.3300931163446901E-2</c:v>
                </c:pt>
                <c:pt idx="3494">
                  <c:v>3.3301452502320084E-2</c:v>
                </c:pt>
                <c:pt idx="3495">
                  <c:v>3.3301959912174217E-2</c:v>
                </c:pt>
                <c:pt idx="3496">
                  <c:v>3.3302453393009301E-2</c:v>
                </c:pt>
                <c:pt idx="3497">
                  <c:v>3.3302932945149522E-2</c:v>
                </c:pt>
                <c:pt idx="3498">
                  <c:v>3.3303398568432785E-2</c:v>
                </c:pt>
                <c:pt idx="3499">
                  <c:v>3.3303850262615953E-2</c:v>
                </c:pt>
                <c:pt idx="3500">
                  <c:v>3.3304288027861118E-2</c:v>
                </c:pt>
                <c:pt idx="3501">
                  <c:v>3.3304711864330372E-2</c:v>
                </c:pt>
                <c:pt idx="3502">
                  <c:v>3.3305121772023716E-2</c:v>
                </c:pt>
                <c:pt idx="3503">
                  <c:v>3.3305517750779057E-2</c:v>
                </c:pt>
                <c:pt idx="3504">
                  <c:v>3.330589980027221E-2</c:v>
                </c:pt>
                <c:pt idx="3505">
                  <c:v>3.3306267921232591E-2</c:v>
                </c:pt>
                <c:pt idx="3506">
                  <c:v>3.3306622113336015E-2</c:v>
                </c:pt>
                <c:pt idx="3507">
                  <c:v>3.3306962376258298E-2</c:v>
                </c:pt>
                <c:pt idx="3508">
                  <c:v>3.3307288710485716E-2</c:v>
                </c:pt>
                <c:pt idx="3509">
                  <c:v>3.3307601115694085E-2</c:v>
                </c:pt>
                <c:pt idx="3510">
                  <c:v>3.3307899592126544E-2</c:v>
                </c:pt>
                <c:pt idx="3511">
                  <c:v>3.3308184139539954E-2</c:v>
                </c:pt>
                <c:pt idx="3512">
                  <c:v>3.3308454758258499E-2</c:v>
                </c:pt>
                <c:pt idx="3513">
                  <c:v>3.3308711448039041E-2</c:v>
                </c:pt>
                <c:pt idx="3514">
                  <c:v>3.3308954208800534E-2</c:v>
                </c:pt>
                <c:pt idx="3515">
                  <c:v>3.3309183040542978E-2</c:v>
                </c:pt>
                <c:pt idx="3516">
                  <c:v>3.3309397943590557E-2</c:v>
                </c:pt>
                <c:pt idx="3517">
                  <c:v>3.3309598917700134E-2</c:v>
                </c:pt>
                <c:pt idx="3518">
                  <c:v>3.3309785962871707E-2</c:v>
                </c:pt>
                <c:pt idx="3519">
                  <c:v>3.3309959079105278E-2</c:v>
                </c:pt>
                <c:pt idx="3520">
                  <c:v>3.3310118266643984E-2</c:v>
                </c:pt>
                <c:pt idx="3521">
                  <c:v>3.3310263525082595E-2</c:v>
                </c:pt>
                <c:pt idx="3522">
                  <c:v>3.3310394854664249E-2</c:v>
                </c:pt>
                <c:pt idx="3523">
                  <c:v>3.3310512255632085E-2</c:v>
                </c:pt>
                <c:pt idx="3524">
                  <c:v>3.3310615727337733E-2</c:v>
                </c:pt>
                <c:pt idx="3525">
                  <c:v>3.3310705270105379E-2</c:v>
                </c:pt>
                <c:pt idx="3526">
                  <c:v>3.3310780884097113E-2</c:v>
                </c:pt>
                <c:pt idx="3527">
                  <c:v>3.3310842569312937E-2</c:v>
                </c:pt>
                <c:pt idx="3528">
                  <c:v>3.3310890325590758E-2</c:v>
                </c:pt>
                <c:pt idx="3529">
                  <c:v>3.3310924152768484E-2</c:v>
                </c:pt>
                <c:pt idx="3530">
                  <c:v>3.3310944051251345E-2</c:v>
                </c:pt>
                <c:pt idx="3531">
                  <c:v>#N/A</c:v>
                </c:pt>
                <c:pt idx="3532">
                  <c:v>#N/A</c:v>
                </c:pt>
                <c:pt idx="3533">
                  <c:v>#N/A</c:v>
                </c:pt>
              </c:numCache>
            </c:numRef>
          </c:val>
          <c:smooth val="0"/>
        </c:ser>
        <c:dLbls>
          <c:showLegendKey val="0"/>
          <c:showVal val="0"/>
          <c:showCatName val="0"/>
          <c:showSerName val="0"/>
          <c:showPercent val="0"/>
          <c:showBubbleSize val="0"/>
        </c:dLbls>
        <c:marker val="1"/>
        <c:smooth val="0"/>
        <c:axId val="616657432"/>
        <c:axId val="616649200"/>
      </c:lineChart>
      <c:dateAx>
        <c:axId val="616657432"/>
        <c:scaling>
          <c:orientation val="minMax"/>
          <c:max val="42548"/>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16649200"/>
        <c:crosses val="autoZero"/>
        <c:auto val="1"/>
        <c:lblOffset val="100"/>
        <c:baseTimeUnit val="days"/>
        <c:majorUnit val="3"/>
        <c:majorTimeUnit val="months"/>
      </c:dateAx>
      <c:valAx>
        <c:axId val="616649200"/>
        <c:scaling>
          <c:orientation val="minMax"/>
          <c:max val="2.5000000000000001E-2"/>
          <c:min val="4.0000000000000001E-3"/>
        </c:scaling>
        <c:delete val="0"/>
        <c:axPos val="l"/>
        <c:majorGridlines/>
        <c:numFmt formatCode="0.00%" sourceLinked="0"/>
        <c:majorTickMark val="out"/>
        <c:minorTickMark val="none"/>
        <c:tickLblPos val="nextTo"/>
        <c:crossAx val="616657432"/>
        <c:crosses val="autoZero"/>
        <c:crossBetween val="between"/>
        <c:majorUnit val="5.0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8"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9217" name="Length2"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466725</xdr:colOff>
          <xdr:row>25</xdr:row>
          <xdr:rowOff>123825</xdr:rowOff>
        </xdr:from>
        <xdr:to>
          <xdr:col>10</xdr:col>
          <xdr:colOff>190500</xdr:colOff>
          <xdr:row>27</xdr:row>
          <xdr:rowOff>104775</xdr:rowOff>
        </xdr:to>
        <xdr:sp macro="" textlink="">
          <xdr:nvSpPr>
            <xdr:cNvPr id="9218" name="Length1" descr="3"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9219" name="Length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57149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9220" name="Length0"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9221" name="Length4" hidden="1">
              <a:extLst>
                <a:ext uri="{63B3BB69-23CF-44E3-9099-C40C66FF867C}">
                  <a14:compatExt spid="_x0000_s92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9222" name="Length5" hidden="1">
              <a:extLst>
                <a:ext uri="{63B3BB69-23CF-44E3-9099-C40C66FF867C}">
                  <a14:compatExt spid="_x0000_s9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9223" name="Length6" hidden="1">
              <a:extLst>
                <a:ext uri="{63B3BB69-23CF-44E3-9099-C40C66FF867C}">
                  <a14:compatExt spid="_x0000_s92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9224" name="Length7" hidden="1">
              <a:extLst>
                <a:ext uri="{63B3BB69-23CF-44E3-9099-C40C66FF867C}">
                  <a14:compatExt spid="_x0000_s9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5" name="Check Box 9" hidden="1">
              <a:extLst>
                <a:ext uri="{63B3BB69-23CF-44E3-9099-C40C66FF867C}">
                  <a14:compatExt spid="_x0000_s9225"/>
                </a:ext>
              </a:extLst>
            </xdr:cNvPr>
            <xdr:cNvSpPr/>
          </xdr:nvSpPr>
          <xdr:spPr bwMode="auto">
            <a:xfrm>
              <a:off x="0" y="0"/>
              <a:ext cx="0" cy="0"/>
            </a:xfrm>
            <a:prstGeom prst="rect">
              <a:avLst/>
            </a:prstGeom>
            <a:solidFill>
              <a:srgbClr val="EAEAEA"/>
            </a:solidFill>
            <a:ln w="9525">
              <a:solidFill>
                <a:srgbClr val="969696" mc:Ignorable="a14" a14:legacySpreadsheetColorIndex="55"/>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FRADates" refersTo="='Monitor'!$O$19:$O$27"/>
      <definedName name="FRASeries" refersTo="#REF!"/>
      <definedName name="grphUpdate"/>
    </definedNames>
    <sheetDataSet>
      <sheetData sheetId="0"/>
      <sheetData sheetId="1">
        <row r="11">
          <cell r="A11" t="str">
            <v>obj_004f2#0003</v>
          </cell>
          <cell r="C11">
            <v>7.45E-3</v>
          </cell>
        </row>
        <row r="12">
          <cell r="A12" t="str">
            <v>obj_00504#0003</v>
          </cell>
          <cell r="C12">
            <v>8.0000000000000002E-3</v>
          </cell>
        </row>
        <row r="13">
          <cell r="A13" t="str">
            <v>obj_00506#0003</v>
          </cell>
          <cell r="C13">
            <v>8.5500000000000003E-3</v>
          </cell>
        </row>
        <row r="14">
          <cell r="A14" t="str">
            <v>obj_004fb#0003</v>
          </cell>
          <cell r="C14">
            <v>9.3500000000000007E-3</v>
          </cell>
        </row>
        <row r="15">
          <cell r="A15" t="str">
            <v>obj_004fa#0003</v>
          </cell>
          <cell r="C15">
            <v>1.0150000000000001E-2</v>
          </cell>
        </row>
        <row r="16">
          <cell r="A16" t="str">
            <v>obj_004e4#0003</v>
          </cell>
          <cell r="C16">
            <v>1.0899999999999998E-2</v>
          </cell>
        </row>
        <row r="17">
          <cell r="A17" t="str">
            <v>obj_004e6#0003</v>
          </cell>
          <cell r="C17">
            <v>1.3300000000000001E-2</v>
          </cell>
        </row>
        <row r="18">
          <cell r="A18" t="str">
            <v>obj_004e5#0003</v>
          </cell>
          <cell r="C18">
            <v>1.5650000000000001E-2</v>
          </cell>
        </row>
        <row r="19">
          <cell r="A19" t="str">
            <v>obj_00505#0003</v>
          </cell>
          <cell r="C19" t="e">
            <v>#NUM!</v>
          </cell>
        </row>
        <row r="20">
          <cell r="A20" t="str">
            <v>obj_004f3#0003</v>
          </cell>
          <cell r="C20" t="e">
            <v>#NUM!</v>
          </cell>
        </row>
        <row r="21">
          <cell r="A21" t="str">
            <v>obj_0050e#0003</v>
          </cell>
          <cell r="C21" t="e">
            <v>#NUM!</v>
          </cell>
        </row>
        <row r="22">
          <cell r="A22" t="str">
            <v>obj_004de#0003</v>
          </cell>
          <cell r="C22">
            <v>1.115E-2</v>
          </cell>
        </row>
        <row r="23">
          <cell r="A23" t="str">
            <v>obj_004ea#0003</v>
          </cell>
          <cell r="C23" t="e">
            <v>#NUM!</v>
          </cell>
        </row>
        <row r="24">
          <cell r="A24" t="str">
            <v>obj_004f1#0003</v>
          </cell>
          <cell r="C24">
            <v>1.324E-2</v>
          </cell>
        </row>
        <row r="25">
          <cell r="A25" t="str">
            <v>obj_004fd#0003</v>
          </cell>
          <cell r="C25">
            <v>1.694E-2</v>
          </cell>
        </row>
        <row r="26">
          <cell r="A26" t="str">
            <v>obj_004f9#0003</v>
          </cell>
          <cell r="C26">
            <v>1.9689999999999999E-2</v>
          </cell>
        </row>
        <row r="27">
          <cell r="A27" t="str">
            <v>obj_0050a#0003</v>
          </cell>
          <cell r="C27">
            <v>2.1700000000000001E-2</v>
          </cell>
        </row>
        <row r="28">
          <cell r="A28" t="str">
            <v>obj_0050b#0003</v>
          </cell>
          <cell r="C28">
            <v>2.3330000000000004E-2</v>
          </cell>
        </row>
        <row r="29">
          <cell r="A29" t="str">
            <v>obj_00503#0003</v>
          </cell>
          <cell r="C29">
            <v>2.4699999999999996E-2</v>
          </cell>
        </row>
        <row r="30">
          <cell r="A30" t="str">
            <v>obj_004ed#0003</v>
          </cell>
          <cell r="C30">
            <v>2.5869999999999997E-2</v>
          </cell>
        </row>
        <row r="31">
          <cell r="A31" t="str">
            <v>obj_00508#0003</v>
          </cell>
          <cell r="C31">
            <v>2.6859999999999998E-2</v>
          </cell>
        </row>
        <row r="32">
          <cell r="A32" t="str">
            <v>obj_004f7#0003</v>
          </cell>
          <cell r="C32">
            <v>2.7709999999999999E-2</v>
          </cell>
        </row>
        <row r="33">
          <cell r="A33" t="str">
            <v>obj_004e9#0003</v>
          </cell>
          <cell r="C33">
            <v>2.8469999999999999E-2</v>
          </cell>
        </row>
        <row r="34">
          <cell r="A34" t="str">
            <v>obj_004fe#0003</v>
          </cell>
          <cell r="C34">
            <v>2.9100000000000001E-2</v>
          </cell>
        </row>
        <row r="35">
          <cell r="A35" t="str">
            <v>obj_00509#0003</v>
          </cell>
          <cell r="C35" t="e">
            <v>#NUM!</v>
          </cell>
        </row>
        <row r="36">
          <cell r="A36" t="str">
            <v>obj_00507#0003</v>
          </cell>
          <cell r="C36" t="e">
            <v>#NUM!</v>
          </cell>
        </row>
        <row r="37">
          <cell r="A37" t="str">
            <v>obj_004e7#0003</v>
          </cell>
          <cell r="C37">
            <v>3.058E-2</v>
          </cell>
        </row>
        <row r="38">
          <cell r="A38" t="str">
            <v>obj_004eb#0003</v>
          </cell>
          <cell r="C38" t="e">
            <v>#NUM!</v>
          </cell>
        </row>
        <row r="39">
          <cell r="A39" t="str">
            <v>obj_004ec#0003</v>
          </cell>
          <cell r="C39" t="e">
            <v>#NUM!</v>
          </cell>
        </row>
        <row r="40">
          <cell r="A40" t="str">
            <v>obj_004f0#0003</v>
          </cell>
          <cell r="C40" t="e">
            <v>#NUM!</v>
          </cell>
        </row>
        <row r="41">
          <cell r="A41" t="str">
            <v>obj_004ee#0003</v>
          </cell>
          <cell r="C41" t="e">
            <v>#NUM!</v>
          </cell>
        </row>
        <row r="42">
          <cell r="A42" t="str">
            <v>obj_0050c#0003</v>
          </cell>
          <cell r="C42">
            <v>3.1939999999999996E-2</v>
          </cell>
        </row>
        <row r="43">
          <cell r="A43" t="str">
            <v>obj_00500#0003</v>
          </cell>
          <cell r="C43" t="e">
            <v>#NUM!</v>
          </cell>
        </row>
        <row r="44">
          <cell r="A44" t="str">
            <v>obj_004ff#0003</v>
          </cell>
          <cell r="C44" t="e">
            <v>#NUM!</v>
          </cell>
        </row>
        <row r="45">
          <cell r="A45" t="str">
            <v>obj_00501#0003</v>
          </cell>
          <cell r="C45" t="e">
            <v>#NUM!</v>
          </cell>
        </row>
        <row r="46">
          <cell r="A46" t="str">
            <v>obj_004fc#0003</v>
          </cell>
          <cell r="C46" t="e">
            <v>#NUM!</v>
          </cell>
        </row>
        <row r="47">
          <cell r="A47" t="str">
            <v>obj_004e8#0003</v>
          </cell>
          <cell r="C47">
            <v>3.2379999999999999E-2</v>
          </cell>
        </row>
        <row r="48">
          <cell r="A48" t="str">
            <v>obj_004f4#0003</v>
          </cell>
          <cell r="C48" t="e">
            <v>#NUM!</v>
          </cell>
        </row>
        <row r="49">
          <cell r="A49" t="str">
            <v>obj_00510#0003</v>
          </cell>
          <cell r="C49" t="e">
            <v>#NUM!</v>
          </cell>
        </row>
        <row r="50">
          <cell r="A50" t="str">
            <v>obj_004f5#0003</v>
          </cell>
          <cell r="C50" t="e">
            <v>#NUM!</v>
          </cell>
        </row>
        <row r="51">
          <cell r="A51" t="str">
            <v>obj_004f8#0003</v>
          </cell>
          <cell r="C51" t="e">
            <v>#NUM!</v>
          </cell>
        </row>
        <row r="52">
          <cell r="A52" t="str">
            <v>obj_0050f#0003</v>
          </cell>
          <cell r="C52">
            <v>3.2509999999999997E-2</v>
          </cell>
        </row>
        <row r="53">
          <cell r="A53" t="str">
            <v>obj_004f6#0003</v>
          </cell>
          <cell r="C53" t="e">
            <v>#NUM!</v>
          </cell>
        </row>
        <row r="54">
          <cell r="A54" t="str">
            <v>obj_004ef#0003</v>
          </cell>
          <cell r="C54">
            <v>3.2289999999999999E-2</v>
          </cell>
        </row>
        <row r="55">
          <cell r="A55" t="str">
            <v>obj_0050d#0003</v>
          </cell>
          <cell r="C55">
            <v>3.2219999999999999E-2</v>
          </cell>
        </row>
        <row r="56">
          <cell r="A56" t="str">
            <v>obj_00502#0003</v>
          </cell>
          <cell r="C56">
            <v>3.2370000000000003E-2</v>
          </cell>
        </row>
      </sheetData>
      <sheetData sheetId="2"/>
      <sheetData sheetId="3"/>
      <sheetData sheetId="4"/>
      <sheetData sheetId="5"/>
      <sheetData sheetId="6">
        <row r="18">
          <cell r="Z18" t="str">
            <v>3M Fwd</v>
          </cell>
        </row>
        <row r="19">
          <cell r="O19">
            <v>41848</v>
          </cell>
          <cell r="Y19">
            <v>41817</v>
          </cell>
          <cell r="Z19">
            <v>7.0339999999972118E-3</v>
          </cell>
          <cell r="AA19">
            <v>6.1805351843824416E-3</v>
          </cell>
        </row>
        <row r="20">
          <cell r="O20">
            <v>41878</v>
          </cell>
          <cell r="Y20">
            <v>41820</v>
          </cell>
          <cell r="Z20">
            <v>7.0629865971191981E-3</v>
          </cell>
          <cell r="AA20">
            <v>6.181165436003333E-3</v>
          </cell>
        </row>
        <row r="21">
          <cell r="O21">
            <v>41911</v>
          </cell>
          <cell r="Y21">
            <v>41821</v>
          </cell>
          <cell r="Z21">
            <v>7.082729674509675E-3</v>
          </cell>
          <cell r="AA21">
            <v>6.1817953532272707E-3</v>
          </cell>
        </row>
        <row r="22">
          <cell r="O22">
            <v>41939</v>
          </cell>
          <cell r="Y22">
            <v>41822</v>
          </cell>
          <cell r="Z22">
            <v>7.0875060196717368E-3</v>
          </cell>
          <cell r="AA22">
            <v>6.1825827498585006E-3</v>
          </cell>
        </row>
        <row r="23">
          <cell r="O23">
            <v>41970</v>
          </cell>
          <cell r="Y23">
            <v>41823</v>
          </cell>
          <cell r="Z23">
            <v>7.1146992424912922E-3</v>
          </cell>
          <cell r="AA23">
            <v>6.1835276258159766E-3</v>
          </cell>
        </row>
        <row r="24">
          <cell r="O24">
            <v>42002</v>
          </cell>
          <cell r="Y24">
            <v>41824</v>
          </cell>
          <cell r="Z24">
            <v>7.1196119880133418E-3</v>
          </cell>
          <cell r="AA24">
            <v>6.186047147342574E-3</v>
          </cell>
        </row>
        <row r="25">
          <cell r="O25">
            <v>42090</v>
          </cell>
          <cell r="Y25">
            <v>41827</v>
          </cell>
          <cell r="Z25">
            <v>7.1496000054844652E-3</v>
          </cell>
          <cell r="AA25">
            <v>6.1888819227462477E-3</v>
          </cell>
        </row>
        <row r="26">
          <cell r="O26">
            <v>42184</v>
          </cell>
          <cell r="Y26">
            <v>41828</v>
          </cell>
          <cell r="Z26">
            <v>7.1622405395930996E-3</v>
          </cell>
          <cell r="AA26">
            <v>6.1906141953349536E-3</v>
          </cell>
        </row>
        <row r="27">
          <cell r="O27" t="e">
            <v>#VALUE!</v>
          </cell>
          <cell r="Y27">
            <v>41829</v>
          </cell>
          <cell r="Z27">
            <v>7.1749798892633138E-3</v>
          </cell>
          <cell r="AA27">
            <v>6.1925039471688592E-3</v>
          </cell>
        </row>
        <row r="28">
          <cell r="Y28">
            <v>41830</v>
          </cell>
          <cell r="Z28">
            <v>7.2031915435796521E-3</v>
          </cell>
          <cell r="AA28">
            <v>6.1945511784100571E-3</v>
          </cell>
        </row>
        <row r="29">
          <cell r="Y29">
            <v>41831</v>
          </cell>
          <cell r="Z29">
            <v>7.2085213151563713E-3</v>
          </cell>
          <cell r="AA29">
            <v>6.199275859500494E-3</v>
          </cell>
        </row>
        <row r="30">
          <cell r="Y30">
            <v>41834</v>
          </cell>
          <cell r="Z30">
            <v>7.2405324499324889E-3</v>
          </cell>
          <cell r="AA30">
            <v>6.2043148967994011E-3</v>
          </cell>
        </row>
        <row r="31">
          <cell r="Y31">
            <v>41835</v>
          </cell>
          <cell r="Z31">
            <v>7.2540888445482557E-3</v>
          </cell>
          <cell r="AA31">
            <v>6.2071495247528752E-3</v>
          </cell>
        </row>
        <row r="32">
          <cell r="Y32">
            <v>41836</v>
          </cell>
          <cell r="Z32">
            <v>7.2678187748063706E-3</v>
          </cell>
          <cell r="AA32">
            <v>6.2101416320325953E-3</v>
          </cell>
        </row>
        <row r="33">
          <cell r="Y33">
            <v>41837</v>
          </cell>
          <cell r="Z33">
            <v>7.2986269040896399E-3</v>
          </cell>
          <cell r="AA33">
            <v>6.2132912187196077E-3</v>
          </cell>
        </row>
        <row r="34">
          <cell r="Y34">
            <v>41838</v>
          </cell>
          <cell r="Z34">
            <v>7.3043692432692405E-3</v>
          </cell>
          <cell r="AA34">
            <v>6.2202213233956511E-3</v>
          </cell>
        </row>
        <row r="35">
          <cell r="Y35">
            <v>41841</v>
          </cell>
          <cell r="Z35">
            <v>7.3394451185004681E-3</v>
          </cell>
          <cell r="AA35">
            <v>6.2274643590543022E-3</v>
          </cell>
        </row>
        <row r="36">
          <cell r="Y36">
            <v>41842</v>
          </cell>
          <cell r="Z36">
            <v>7.3544404623769296E-3</v>
          </cell>
          <cell r="AA36">
            <v>6.2314013425346371E-3</v>
          </cell>
        </row>
        <row r="37">
          <cell r="Y37">
            <v>41843</v>
          </cell>
          <cell r="Z37">
            <v>7.3696840786473738E-3</v>
          </cell>
          <cell r="AA37">
            <v>6.2354958055033105E-3</v>
          </cell>
        </row>
        <row r="38">
          <cell r="Y38">
            <v>41844</v>
          </cell>
          <cell r="Z38">
            <v>7.4046278331520443E-3</v>
          </cell>
          <cell r="AA38">
            <v>6.2397477477982299E-3</v>
          </cell>
        </row>
        <row r="39">
          <cell r="Y39">
            <v>41845</v>
          </cell>
          <cell r="Z39">
            <v>7.4107977931968149E-3</v>
          </cell>
          <cell r="AA39">
            <v>6.2488835429452836E-3</v>
          </cell>
        </row>
        <row r="40">
          <cell r="Y40">
            <v>41848</v>
          </cell>
          <cell r="Z40">
            <v>7.4499999999972106E-3</v>
          </cell>
          <cell r="AA40">
            <v>6.2583346033429077E-3</v>
          </cell>
        </row>
        <row r="41">
          <cell r="Y41">
            <v>41849</v>
          </cell>
          <cell r="Z41">
            <v>7.4669522285169968E-3</v>
          </cell>
          <cell r="AA41">
            <v>6.2633996967509376E-3</v>
          </cell>
        </row>
        <row r="42">
          <cell r="Y42">
            <v>41850</v>
          </cell>
          <cell r="Z42">
            <v>7.4841958008274459E-3</v>
          </cell>
          <cell r="AA42">
            <v>6.2686480236429087E-3</v>
          </cell>
        </row>
        <row r="43">
          <cell r="Y43">
            <v>41851</v>
          </cell>
          <cell r="Z43">
            <v>7.4907094901306313E-3</v>
          </cell>
          <cell r="AA43">
            <v>6.2740795840188213E-3</v>
          </cell>
        </row>
        <row r="44">
          <cell r="Y44">
            <v>41852</v>
          </cell>
          <cell r="Z44">
            <v>7.5307947446948235E-3</v>
          </cell>
          <cell r="AA44">
            <v>6.2856617253292954E-3</v>
          </cell>
        </row>
        <row r="45">
          <cell r="Y45">
            <v>41855</v>
          </cell>
          <cell r="Z45">
            <v>7.5740486095115288E-3</v>
          </cell>
          <cell r="AA45">
            <v>6.2976381606860699E-3</v>
          </cell>
        </row>
        <row r="46">
          <cell r="Y46">
            <v>41856</v>
          </cell>
          <cell r="Z46">
            <v>7.5925991094252434E-3</v>
          </cell>
          <cell r="AA46">
            <v>6.3039858886437816E-3</v>
          </cell>
        </row>
        <row r="47">
          <cell r="Y47">
            <v>41857</v>
          </cell>
          <cell r="Z47">
            <v>7.6112939016882821E-3</v>
          </cell>
          <cell r="AA47">
            <v>6.310516850166481E-3</v>
          </cell>
        </row>
        <row r="48">
          <cell r="Y48">
            <v>41858</v>
          </cell>
          <cell r="Z48">
            <v>7.6538095560961484E-3</v>
          </cell>
          <cell r="AA48">
            <v>6.317231045254168E-3</v>
          </cell>
        </row>
        <row r="49">
          <cell r="Y49">
            <v>41859</v>
          </cell>
          <cell r="Z49">
            <v>7.6609017138827085E-3</v>
          </cell>
          <cell r="AA49">
            <v>6.3313800363906667E-3</v>
          </cell>
        </row>
        <row r="50">
          <cell r="Y50">
            <v>41862</v>
          </cell>
          <cell r="Z50">
            <v>7.7061968636076847E-3</v>
          </cell>
          <cell r="AA50">
            <v>6.3459201612547922E-3</v>
          </cell>
        </row>
        <row r="51">
          <cell r="Y51">
            <v>41863</v>
          </cell>
          <cell r="Z51">
            <v>7.7253161681972464E-3</v>
          </cell>
          <cell r="AA51">
            <v>6.3535505243295098E-3</v>
          </cell>
        </row>
        <row r="52">
          <cell r="Y52">
            <v>41864</v>
          </cell>
          <cell r="Z52">
            <v>7.7444326771570187E-3</v>
          </cell>
          <cell r="AA52">
            <v>6.3613641209692151E-3</v>
          </cell>
        </row>
        <row r="53">
          <cell r="Y53">
            <v>41865</v>
          </cell>
          <cell r="Z53">
            <v>7.7864694334511758E-3</v>
          </cell>
          <cell r="AA53">
            <v>6.369360951173908E-3</v>
          </cell>
        </row>
        <row r="54">
          <cell r="Y54">
            <v>41866</v>
          </cell>
          <cell r="Z54">
            <v>7.7939934717458645E-3</v>
          </cell>
          <cell r="AA54">
            <v>6.3860771186989114E-3</v>
          </cell>
        </row>
        <row r="55">
          <cell r="Y55">
            <v>41869</v>
          </cell>
          <cell r="Z55">
            <v>7.8392377075861726E-3</v>
          </cell>
          <cell r="AA55">
            <v>6.4031806088582499E-3</v>
          </cell>
        </row>
        <row r="56">
          <cell r="Y56">
            <v>41870</v>
          </cell>
          <cell r="Z56">
            <v>7.8578960836550946E-3</v>
          </cell>
          <cell r="AA56">
            <v>6.4120936074552048E-3</v>
          </cell>
        </row>
        <row r="57">
          <cell r="Y57">
            <v>41871</v>
          </cell>
          <cell r="Z57">
            <v>7.8764045370199685E-3</v>
          </cell>
          <cell r="AA57">
            <v>6.42118983977924E-3</v>
          </cell>
        </row>
        <row r="58">
          <cell r="Y58">
            <v>41872</v>
          </cell>
          <cell r="Z58">
            <v>7.9150154717711509E-3</v>
          </cell>
          <cell r="AA58">
            <v>6.4304693058303553E-3</v>
          </cell>
        </row>
        <row r="59">
          <cell r="Y59">
            <v>41873</v>
          </cell>
          <cell r="Z59">
            <v>7.9229004621660225E-3</v>
          </cell>
          <cell r="AA59">
            <v>6.4547553538329971E-3</v>
          </cell>
        </row>
        <row r="60">
          <cell r="Y60">
            <v>41877</v>
          </cell>
          <cell r="Z60">
            <v>7.9831296401799128E-3</v>
          </cell>
          <cell r="AA60">
            <v>6.4796151424784121E-3</v>
          </cell>
        </row>
        <row r="61">
          <cell r="Y61">
            <v>41878</v>
          </cell>
          <cell r="Z61">
            <v>7.9999999999920777E-3</v>
          </cell>
          <cell r="AA61">
            <v>6.4899240606575148E-3</v>
          </cell>
        </row>
        <row r="62">
          <cell r="Y62">
            <v>41879</v>
          </cell>
          <cell r="Z62">
            <v>8.0081093919804509E-3</v>
          </cell>
          <cell r="AA62">
            <v>6.5000664605807668E-3</v>
          </cell>
        </row>
        <row r="63">
          <cell r="Y63">
            <v>41880</v>
          </cell>
          <cell r="Z63">
            <v>8.016252585510187E-3</v>
          </cell>
          <cell r="AA63">
            <v>6.5196794828263167E-3</v>
          </cell>
        </row>
        <row r="64">
          <cell r="Y64">
            <v>41883</v>
          </cell>
          <cell r="Z64">
            <v>8.0653261044817334E-3</v>
          </cell>
          <cell r="AA64">
            <v>6.5382713718853402E-3</v>
          </cell>
        </row>
        <row r="65">
          <cell r="Y65">
            <v>41884</v>
          </cell>
          <cell r="Z65">
            <v>8.0736182476530485E-3</v>
          </cell>
          <cell r="AA65">
            <v>6.5472314275738519E-3</v>
          </cell>
        </row>
        <row r="66">
          <cell r="Y66">
            <v>41885</v>
          </cell>
          <cell r="Z66">
            <v>8.0895324413848436E-3</v>
          </cell>
          <cell r="AA66">
            <v>6.5559550143667877E-3</v>
          </cell>
        </row>
        <row r="67">
          <cell r="Y67">
            <v>41886</v>
          </cell>
          <cell r="Z67">
            <v>8.1052621746520066E-3</v>
          </cell>
          <cell r="AA67">
            <v>6.5644421321831015E-3</v>
          </cell>
        </row>
        <row r="68">
          <cell r="Y68">
            <v>41887</v>
          </cell>
          <cell r="Z68">
            <v>8.1208411939562887E-3</v>
          </cell>
          <cell r="AA68">
            <v>6.5807467816791929E-3</v>
          </cell>
        </row>
        <row r="69">
          <cell r="Y69">
            <v>41890</v>
          </cell>
          <cell r="Z69">
            <v>8.1737562221122322E-3</v>
          </cell>
          <cell r="AA69">
            <v>6.596025914168413E-3</v>
          </cell>
        </row>
        <row r="70">
          <cell r="Y70">
            <v>41891</v>
          </cell>
          <cell r="Z70">
            <v>8.182325098862242E-3</v>
          </cell>
          <cell r="AA70">
            <v>6.6033306871826625E-3</v>
          </cell>
        </row>
        <row r="71">
          <cell r="Y71">
            <v>41892</v>
          </cell>
          <cell r="Z71">
            <v>8.1976567829335351E-3</v>
          </cell>
          <cell r="AA71">
            <v>6.6103989911392436E-3</v>
          </cell>
        </row>
        <row r="72">
          <cell r="Y72">
            <v>41893</v>
          </cell>
          <cell r="Z72">
            <v>8.2130402541028581E-3</v>
          </cell>
          <cell r="AA72">
            <v>6.6172308261192025E-3</v>
          </cell>
        </row>
        <row r="73">
          <cell r="Y73">
            <v>41894</v>
          </cell>
          <cell r="Z73">
            <v>8.228509266145977E-3</v>
          </cell>
          <cell r="AA73">
            <v>6.6302267004440347E-3</v>
          </cell>
        </row>
        <row r="74">
          <cell r="Y74">
            <v>41897</v>
          </cell>
          <cell r="Z74">
            <v>8.283001492246098E-3</v>
          </cell>
          <cell r="AA74">
            <v>6.6421934757054935E-3</v>
          </cell>
        </row>
        <row r="75">
          <cell r="Y75">
            <v>41898</v>
          </cell>
          <cell r="Z75">
            <v>8.2919158353604583E-3</v>
          </cell>
          <cell r="AA75">
            <v>6.6478429653971105E-3</v>
          </cell>
        </row>
        <row r="76">
          <cell r="Y76">
            <v>41899</v>
          </cell>
          <cell r="Z76">
            <v>8.3083188955201757E-3</v>
          </cell>
          <cell r="AA76">
            <v>6.6532559859500129E-3</v>
          </cell>
        </row>
        <row r="77">
          <cell r="Y77">
            <v>41900</v>
          </cell>
          <cell r="Z77">
            <v>8.3250100418416888E-3</v>
          </cell>
          <cell r="AA77">
            <v>6.6584325374452469E-3</v>
          </cell>
        </row>
        <row r="78">
          <cell r="Y78">
            <v>41901</v>
          </cell>
          <cell r="Z78">
            <v>8.3420230359358329E-3</v>
          </cell>
          <cell r="AA78">
            <v>6.6681192250187911E-3</v>
          </cell>
        </row>
        <row r="79">
          <cell r="Y79">
            <v>41904</v>
          </cell>
          <cell r="Z79">
            <v>8.4045768094120829E-3</v>
          </cell>
          <cell r="AA79">
            <v>6.6767740522011287E-3</v>
          </cell>
        </row>
        <row r="80">
          <cell r="Y80">
            <v>41905</v>
          </cell>
          <cell r="Z80">
            <v>8.4139687682087041E-3</v>
          </cell>
          <cell r="AA80">
            <v>6.6807682580027894E-3</v>
          </cell>
        </row>
        <row r="81">
          <cell r="Y81">
            <v>41906</v>
          </cell>
          <cell r="Z81">
            <v>8.4330974721486818E-3</v>
          </cell>
          <cell r="AA81">
            <v>6.6845259946657354E-3</v>
          </cell>
        </row>
        <row r="82">
          <cell r="Y82">
            <v>41907</v>
          </cell>
          <cell r="Z82">
            <v>8.452750622533714E-3</v>
          </cell>
          <cell r="AA82">
            <v>6.6880472621899667E-3</v>
          </cell>
        </row>
        <row r="83">
          <cell r="Y83">
            <v>41908</v>
          </cell>
          <cell r="Z83">
            <v>8.4729619913015471E-3</v>
          </cell>
          <cell r="AA83">
            <v>6.6944243445432603E-3</v>
          </cell>
        </row>
        <row r="84">
          <cell r="Y84">
            <v>41911</v>
          </cell>
          <cell r="Z84">
            <v>8.5499999999930475E-3</v>
          </cell>
          <cell r="AA84">
            <v>6.6999996923677863E-3</v>
          </cell>
        </row>
        <row r="85">
          <cell r="Y85">
            <v>41912</v>
          </cell>
          <cell r="Z85">
            <v>8.5733818544928894E-3</v>
          </cell>
          <cell r="AA85">
            <v>6.703730925924356E-3</v>
          </cell>
        </row>
        <row r="86">
          <cell r="Y86">
            <v>41913</v>
          </cell>
          <cell r="Z86">
            <v>8.5974506342538556E-3</v>
          </cell>
          <cell r="AA86">
            <v>6.7086180023112618E-3</v>
          </cell>
        </row>
        <row r="87">
          <cell r="Y87">
            <v>41914</v>
          </cell>
          <cell r="Z87">
            <v>8.6221714432193446E-3</v>
          </cell>
          <cell r="AA87">
            <v>6.7146609216095499E-3</v>
          </cell>
        </row>
        <row r="88">
          <cell r="Y88">
            <v>41915</v>
          </cell>
          <cell r="Z88">
            <v>8.7115560335873313E-3</v>
          </cell>
          <cell r="AA88">
            <v>6.7307236830234842E-3</v>
          </cell>
        </row>
        <row r="89">
          <cell r="Y89">
            <v>41918</v>
          </cell>
          <cell r="Z89">
            <v>8.7435449932740539E-3</v>
          </cell>
          <cell r="AA89">
            <v>6.7503910288080338E-3</v>
          </cell>
        </row>
        <row r="90">
          <cell r="Y90">
            <v>41919</v>
          </cell>
          <cell r="Z90">
            <v>8.7543344840777353E-3</v>
          </cell>
          <cell r="AA90">
            <v>6.7622131636357885E-3</v>
          </cell>
        </row>
        <row r="91">
          <cell r="Y91">
            <v>41920</v>
          </cell>
          <cell r="Z91">
            <v>8.7822345844710773E-3</v>
          </cell>
          <cell r="AA91">
            <v>6.7751911417801569E-3</v>
          </cell>
        </row>
        <row r="92">
          <cell r="Y92">
            <v>41921</v>
          </cell>
          <cell r="Z92">
            <v>8.8105424063116295E-3</v>
          </cell>
          <cell r="AA92">
            <v>6.7893249634032315E-3</v>
          </cell>
        </row>
        <row r="93">
          <cell r="Y93">
            <v>41922</v>
          </cell>
          <cell r="Z93">
            <v>8.8392230423383622E-3</v>
          </cell>
          <cell r="AA93">
            <v>6.8215729048822418E-3</v>
          </cell>
        </row>
        <row r="94">
          <cell r="Y94">
            <v>41925</v>
          </cell>
          <cell r="Z94">
            <v>8.9271527360314015E-3</v>
          </cell>
          <cell r="AA94">
            <v>6.8574186879244436E-3</v>
          </cell>
        </row>
        <row r="95">
          <cell r="Y95">
            <v>41926</v>
          </cell>
          <cell r="Z95">
            <v>8.9569755199306357E-3</v>
          </cell>
          <cell r="AA95">
            <v>6.8773317294534841E-3</v>
          </cell>
        </row>
        <row r="96">
          <cell r="Y96">
            <v>41927</v>
          </cell>
          <cell r="Z96">
            <v>8.9869965540398545E-3</v>
          </cell>
          <cell r="AA96">
            <v>6.89840061535274E-3</v>
          </cell>
        </row>
        <row r="97">
          <cell r="Y97">
            <v>41928</v>
          </cell>
          <cell r="Z97">
            <v>9.0171809196834211E-3</v>
          </cell>
          <cell r="AA97">
            <v>6.9206253459463962E-3</v>
          </cell>
        </row>
        <row r="98">
          <cell r="Y98">
            <v>41929</v>
          </cell>
          <cell r="Z98">
            <v>9.0474936961381647E-3</v>
          </cell>
          <cell r="AA98">
            <v>6.9690606815397968E-3</v>
          </cell>
        </row>
        <row r="99">
          <cell r="Y99">
            <v>41932</v>
          </cell>
          <cell r="Z99">
            <v>9.1388532519429775E-3</v>
          </cell>
          <cell r="AA99">
            <v>7.0210827196415249E-3</v>
          </cell>
        </row>
        <row r="100">
          <cell r="Y100">
            <v>41933</v>
          </cell>
          <cell r="Z100">
            <v>9.169330422709317E-3</v>
          </cell>
          <cell r="AA100">
            <v>7.0490866770300808E-3</v>
          </cell>
        </row>
        <row r="101">
          <cell r="Y101">
            <v>41934</v>
          </cell>
          <cell r="Z101">
            <v>9.1997613692891573E-3</v>
          </cell>
          <cell r="AA101">
            <v>7.0782464805718703E-3</v>
          </cell>
        </row>
        <row r="102">
          <cell r="Y102">
            <v>41935</v>
          </cell>
          <cell r="Z102">
            <v>9.2301111583561867E-3</v>
          </cell>
          <cell r="AA102">
            <v>7.1085621305100322E-3</v>
          </cell>
        </row>
        <row r="103">
          <cell r="Y103">
            <v>41936</v>
          </cell>
          <cell r="Z103">
            <v>9.26034485448669E-3</v>
          </cell>
          <cell r="AA103">
            <v>7.1731872189617638E-3</v>
          </cell>
        </row>
        <row r="104">
          <cell r="Y104">
            <v>41939</v>
          </cell>
          <cell r="Z104">
            <v>9.3499999999726684E-3</v>
          </cell>
          <cell r="AA104">
            <v>7.2411185971654746E-3</v>
          </cell>
        </row>
        <row r="105">
          <cell r="Y105">
            <v>41940</v>
          </cell>
          <cell r="Z105">
            <v>9.3794263979529603E-3</v>
          </cell>
          <cell r="AA105">
            <v>7.2756258664086193E-3</v>
          </cell>
        </row>
        <row r="106">
          <cell r="Y106">
            <v>41941</v>
          </cell>
          <cell r="Z106">
            <v>9.408600810258308E-3</v>
          </cell>
          <cell r="AA106">
            <v>7.3097013664535915E-3</v>
          </cell>
        </row>
        <row r="107">
          <cell r="Y107">
            <v>41942</v>
          </cell>
          <cell r="Z107">
            <v>9.4375271065128552E-3</v>
          </cell>
          <cell r="AA107">
            <v>7.343345096976206E-3</v>
          </cell>
        </row>
        <row r="108">
          <cell r="Y108">
            <v>41943</v>
          </cell>
          <cell r="Z108">
            <v>9.4489070726294731E-3</v>
          </cell>
          <cell r="AA108">
            <v>7.4093437267811861E-3</v>
          </cell>
        </row>
        <row r="109">
          <cell r="Y109">
            <v>41946</v>
          </cell>
          <cell r="Z109">
            <v>9.5672647929747872E-3</v>
          </cell>
          <cell r="AA109">
            <v>7.4736023231136706E-3</v>
          </cell>
        </row>
        <row r="110">
          <cell r="Y110">
            <v>41947</v>
          </cell>
          <cell r="Z110">
            <v>9.5785723056852484E-3</v>
          </cell>
          <cell r="AA110">
            <v>7.5050872050519413E-3</v>
          </cell>
        </row>
        <row r="111">
          <cell r="Y111">
            <v>41948</v>
          </cell>
          <cell r="Z111">
            <v>9.5898308394962873E-3</v>
          </cell>
          <cell r="AA111">
            <v>7.5361403167384378E-3</v>
          </cell>
        </row>
        <row r="112">
          <cell r="Y112">
            <v>41949</v>
          </cell>
          <cell r="Z112">
            <v>9.6173288091215905E-3</v>
          </cell>
          <cell r="AA112">
            <v>7.5667616583352526E-3</v>
          </cell>
        </row>
        <row r="113">
          <cell r="Y113">
            <v>41950</v>
          </cell>
          <cell r="Z113">
            <v>9.6446069342905564E-3</v>
          </cell>
          <cell r="AA113">
            <v>7.626724462039455E-3</v>
          </cell>
        </row>
        <row r="114">
          <cell r="Y114">
            <v>41953</v>
          </cell>
          <cell r="Z114">
            <v>9.7404477249794213E-3</v>
          </cell>
          <cell r="AA114">
            <v>7.684929320502798E-3</v>
          </cell>
        </row>
        <row r="115">
          <cell r="Y115">
            <v>41954</v>
          </cell>
          <cell r="Z115">
            <v>9.7515988642310932E-3</v>
          </cell>
          <cell r="AA115">
            <v>7.713391809462955E-3</v>
          </cell>
        </row>
        <row r="116">
          <cell r="Y116">
            <v>41955</v>
          </cell>
          <cell r="Z116">
            <v>9.7778361748799298E-3</v>
          </cell>
          <cell r="AA116">
            <v>7.7414225276040138E-3</v>
          </cell>
        </row>
        <row r="117">
          <cell r="Y117">
            <v>41956</v>
          </cell>
          <cell r="Z117">
            <v>9.8038770060681554E-3</v>
          </cell>
          <cell r="AA117">
            <v>7.7690214748449282E-3</v>
          </cell>
        </row>
        <row r="118">
          <cell r="Y118">
            <v>41957</v>
          </cell>
          <cell r="Z118">
            <v>9.8297252528894343E-3</v>
          </cell>
          <cell r="AA118">
            <v>7.82294779283969E-3</v>
          </cell>
        </row>
        <row r="119">
          <cell r="Y119">
            <v>41960</v>
          </cell>
          <cell r="Z119">
            <v>9.9201857616443463E-3</v>
          </cell>
          <cell r="AA119">
            <v>7.8750995523757528E-3</v>
          </cell>
        </row>
        <row r="120">
          <cell r="Y120">
            <v>41961</v>
          </cell>
          <cell r="Z120">
            <v>9.9312703072131532E-3</v>
          </cell>
          <cell r="AA120">
            <v>7.9005396435760655E-3</v>
          </cell>
        </row>
        <row r="121">
          <cell r="Y121">
            <v>41962</v>
          </cell>
          <cell r="Z121">
            <v>9.9562140673911375E-3</v>
          </cell>
          <cell r="AA121">
            <v>7.9255479631468173E-3</v>
          </cell>
        </row>
        <row r="122">
          <cell r="Y122">
            <v>41963</v>
          </cell>
          <cell r="Z122">
            <v>9.9809886189873541E-3</v>
          </cell>
          <cell r="AA122">
            <v>7.9501245112501007E-3</v>
          </cell>
        </row>
        <row r="123">
          <cell r="Y123">
            <v>41964</v>
          </cell>
          <cell r="Z123">
            <v>1.0005597858804595E-2</v>
          </cell>
          <cell r="AA123">
            <v>7.9980136167934202E-3</v>
          </cell>
        </row>
        <row r="124">
          <cell r="Y124">
            <v>41967</v>
          </cell>
          <cell r="Z124">
            <v>1.0104110189234071E-2</v>
          </cell>
          <cell r="AA124">
            <v>8.0441129858277449E-3</v>
          </cell>
        </row>
        <row r="125">
          <cell r="Y125">
            <v>41968</v>
          </cell>
          <cell r="Z125">
            <v>1.011520592954428E-2</v>
          </cell>
          <cell r="AA125">
            <v>8.0665306747296217E-3</v>
          </cell>
        </row>
        <row r="126">
          <cell r="Y126">
            <v>41969</v>
          </cell>
          <cell r="Z126">
            <v>1.0126300785262506E-2</v>
          </cell>
          <cell r="AA126">
            <v>8.0885165915156598E-3</v>
          </cell>
        </row>
        <row r="127">
          <cell r="Y127">
            <v>41970</v>
          </cell>
          <cell r="Z127">
            <v>1.0149999999959299E-2</v>
          </cell>
          <cell r="AA127">
            <v>8.1100236383280233E-3</v>
          </cell>
        </row>
        <row r="128">
          <cell r="Y128">
            <v>41971</v>
          </cell>
          <cell r="Z128">
            <v>1.0185869660865919E-2</v>
          </cell>
          <cell r="AA128">
            <v>8.1509327448355453E-3</v>
          </cell>
        </row>
        <row r="129">
          <cell r="Y129">
            <v>41974</v>
          </cell>
          <cell r="Z129">
            <v>1.0255440995880171E-2</v>
          </cell>
          <cell r="AA129">
            <v>8.1890966260822484E-3</v>
          </cell>
        </row>
        <row r="130">
          <cell r="Y130">
            <v>41975</v>
          </cell>
          <cell r="Z130">
            <v>1.02784336275941E-2</v>
          </cell>
          <cell r="AA130">
            <v>8.2070789747623607E-3</v>
          </cell>
        </row>
        <row r="131">
          <cell r="Y131">
            <v>41976</v>
          </cell>
          <cell r="Z131">
            <v>1.0301343627063735E-2</v>
          </cell>
          <cell r="AA131">
            <v>8.2243469639364797E-3</v>
          </cell>
        </row>
        <row r="132">
          <cell r="Y132">
            <v>41977</v>
          </cell>
          <cell r="Z132">
            <v>1.0324180759616455E-2</v>
          </cell>
          <cell r="AA132">
            <v>8.2409005934425128E-3</v>
          </cell>
        </row>
        <row r="133">
          <cell r="Y133">
            <v>41978</v>
          </cell>
          <cell r="Z133">
            <v>1.0346954791029849E-2</v>
          </cell>
          <cell r="AA133">
            <v>8.2718141060441255E-3</v>
          </cell>
        </row>
        <row r="134">
          <cell r="Y134">
            <v>41981</v>
          </cell>
          <cell r="Z134">
            <v>1.0414995942911421E-2</v>
          </cell>
          <cell r="AA134">
            <v>8.2999715134079999E-3</v>
          </cell>
        </row>
        <row r="135">
          <cell r="Y135">
            <v>41982</v>
          </cell>
          <cell r="Z135">
            <v>1.0437615236462939E-2</v>
          </cell>
          <cell r="AA135">
            <v>8.312953343520002E-3</v>
          </cell>
        </row>
        <row r="136">
          <cell r="Y136">
            <v>41983</v>
          </cell>
          <cell r="Z136">
            <v>1.046022026443425E-2</v>
          </cell>
          <cell r="AA136">
            <v>8.3252208133965944E-3</v>
          </cell>
        </row>
        <row r="137">
          <cell r="Y137">
            <v>41984</v>
          </cell>
          <cell r="Z137">
            <v>1.0482820795257876E-2</v>
          </cell>
          <cell r="AA137">
            <v>8.3367739231188231E-3</v>
          </cell>
        </row>
        <row r="138">
          <cell r="Y138">
            <v>41985</v>
          </cell>
          <cell r="Z138">
            <v>1.0505426597804969E-2</v>
          </cell>
          <cell r="AA138">
            <v>8.3576903066088608E-3</v>
          </cell>
        </row>
        <row r="139">
          <cell r="Y139">
            <v>41988</v>
          </cell>
          <cell r="Z139">
            <v>1.0573373331074E-2</v>
          </cell>
          <cell r="AA139">
            <v>8.3758427584379458E-3</v>
          </cell>
        </row>
        <row r="140">
          <cell r="Y140">
            <v>41989</v>
          </cell>
          <cell r="Z140">
            <v>1.059609791799996E-2</v>
          </cell>
          <cell r="AA140">
            <v>8.3838240660916163E-3</v>
          </cell>
        </row>
        <row r="141">
          <cell r="Y141">
            <v>41990</v>
          </cell>
          <cell r="Z141">
            <v>1.0618876627593938E-2</v>
          </cell>
          <cell r="AA141">
            <v>8.3910910132667382E-3</v>
          </cell>
        </row>
        <row r="142">
          <cell r="Y142">
            <v>41991</v>
          </cell>
          <cell r="Z142">
            <v>1.0641719231374452E-2</v>
          </cell>
          <cell r="AA142">
            <v>8.3976435998012189E-3</v>
          </cell>
        </row>
        <row r="143">
          <cell r="Y143">
            <v>41992</v>
          </cell>
          <cell r="Z143">
            <v>1.0664635501306662E-2</v>
          </cell>
          <cell r="AA143">
            <v>8.4085612724804637E-3</v>
          </cell>
        </row>
        <row r="144">
          <cell r="Y144">
            <v>41995</v>
          </cell>
          <cell r="Z144">
            <v>1.0733924034461814E-2</v>
          </cell>
          <cell r="AA144">
            <v>8.4167103391274978E-3</v>
          </cell>
        </row>
        <row r="145">
          <cell r="Y145">
            <v>41996</v>
          </cell>
          <cell r="Z145">
            <v>1.0757232697745174E-2</v>
          </cell>
          <cell r="AA145">
            <v>8.4196911221345871E-3</v>
          </cell>
        </row>
        <row r="146">
          <cell r="Y146">
            <v>41997</v>
          </cell>
          <cell r="Z146">
            <v>1.0780663893864239E-2</v>
          </cell>
          <cell r="AA146">
            <v>8.4240217634965475E-3</v>
          </cell>
        </row>
        <row r="147">
          <cell r="Y147">
            <v>42002</v>
          </cell>
          <cell r="Z147">
            <v>1.0899999999944092E-2</v>
          </cell>
          <cell r="AA147">
            <v>8.4230456357203831E-3</v>
          </cell>
        </row>
        <row r="148">
          <cell r="Y148">
            <v>42003</v>
          </cell>
          <cell r="Z148">
            <v>1.0924368106671476E-2</v>
          </cell>
          <cell r="AA148">
            <v>8.4238542445946862E-3</v>
          </cell>
        </row>
        <row r="149">
          <cell r="Y149">
            <v>42004</v>
          </cell>
          <cell r="Z149">
            <v>1.0937930663306153E-2</v>
          </cell>
          <cell r="AA149">
            <v>8.4293924716827284E-3</v>
          </cell>
        </row>
        <row r="150">
          <cell r="Y150">
            <v>42006</v>
          </cell>
          <cell r="Z150">
            <v>1.0987390449807974E-2</v>
          </cell>
          <cell r="AA150">
            <v>8.4491288245121723E-3</v>
          </cell>
        </row>
        <row r="151">
          <cell r="Y151">
            <v>42009</v>
          </cell>
          <cell r="Z151">
            <v>1.10737286552797E-2</v>
          </cell>
          <cell r="AA151">
            <v>8.4730997011428499E-3</v>
          </cell>
        </row>
        <row r="152">
          <cell r="Y152">
            <v>42010</v>
          </cell>
          <cell r="Z152">
            <v>1.1087839378258102E-2</v>
          </cell>
          <cell r="AA152">
            <v>8.4887062459371165E-3</v>
          </cell>
        </row>
        <row r="153">
          <cell r="Y153">
            <v>42011</v>
          </cell>
          <cell r="Z153">
            <v>1.111320181348862E-2</v>
          </cell>
          <cell r="AA153">
            <v>8.5064267823065087E-3</v>
          </cell>
        </row>
        <row r="154">
          <cell r="Y154">
            <v>42012</v>
          </cell>
          <cell r="Z154">
            <v>1.1138640871952446E-2</v>
          </cell>
          <cell r="AA154">
            <v>8.5262613106562579E-3</v>
          </cell>
        </row>
        <row r="155">
          <cell r="Y155">
            <v>42013</v>
          </cell>
          <cell r="Z155">
            <v>1.1164144823635536E-2</v>
          </cell>
          <cell r="AA155">
            <v>8.5731783686389864E-3</v>
          </cell>
        </row>
        <row r="156">
          <cell r="Y156">
            <v>42016</v>
          </cell>
          <cell r="Z156">
            <v>1.1252335171920745E-2</v>
          </cell>
          <cell r="AA156">
            <v>8.6267393509098511E-3</v>
          </cell>
        </row>
        <row r="157">
          <cell r="Y157">
            <v>42017</v>
          </cell>
          <cell r="Z157">
            <v>1.1266574941782098E-2</v>
          </cell>
          <cell r="AA157">
            <v>8.6571438449156712E-3</v>
          </cell>
        </row>
        <row r="158">
          <cell r="Y158">
            <v>42018</v>
          </cell>
          <cell r="Z158">
            <v>1.1292227388819716E-2</v>
          </cell>
          <cell r="AA158">
            <v>8.6896623334142831E-3</v>
          </cell>
        </row>
        <row r="159">
          <cell r="Y159">
            <v>42019</v>
          </cell>
          <cell r="Z159">
            <v>1.1317874336643295E-2</v>
          </cell>
          <cell r="AA159">
            <v>8.7242948171351031E-3</v>
          </cell>
        </row>
        <row r="160">
          <cell r="Y160">
            <v>42020</v>
          </cell>
          <cell r="Z160">
            <v>1.134350405110812E-2</v>
          </cell>
          <cell r="AA160">
            <v>8.8008186318514862E-3</v>
          </cell>
        </row>
        <row r="161">
          <cell r="Y161">
            <v>42023</v>
          </cell>
          <cell r="Z161">
            <v>1.1431817916773761E-2</v>
          </cell>
          <cell r="AA161">
            <v>8.8839647157490376E-3</v>
          </cell>
        </row>
        <row r="162">
          <cell r="Y162">
            <v>42024</v>
          </cell>
          <cell r="Z162">
            <v>1.1445615871747965E-2</v>
          </cell>
          <cell r="AA162">
            <v>8.9291671848201748E-3</v>
          </cell>
        </row>
        <row r="163">
          <cell r="Y163">
            <v>42025</v>
          </cell>
          <cell r="Z163">
            <v>1.1470983386545177E-2</v>
          </cell>
          <cell r="AA163">
            <v>8.9764836532468806E-3</v>
          </cell>
        </row>
        <row r="164">
          <cell r="Y164">
            <v>42026</v>
          </cell>
          <cell r="Z164">
            <v>1.1496263250730918E-2</v>
          </cell>
          <cell r="AA164">
            <v>9.0259141217585714E-3</v>
          </cell>
        </row>
        <row r="165">
          <cell r="Y165">
            <v>42027</v>
          </cell>
          <cell r="Z165">
            <v>1.1521443726060692E-2</v>
          </cell>
          <cell r="AA165">
            <v>9.1320501955756885E-3</v>
          </cell>
        </row>
        <row r="166">
          <cell r="Y166">
            <v>42030</v>
          </cell>
          <cell r="Z166">
            <v>1.1608173844456842E-2</v>
          </cell>
          <cell r="AA166">
            <v>9.24477601464746E-3</v>
          </cell>
        </row>
        <row r="167">
          <cell r="Y167">
            <v>42031</v>
          </cell>
          <cell r="Z167">
            <v>1.1620936954155815E-2</v>
          </cell>
          <cell r="AA167">
            <v>9.304776497361944E-3</v>
          </cell>
        </row>
        <row r="168">
          <cell r="Y168">
            <v>42032</v>
          </cell>
          <cell r="Z168">
            <v>1.164544439185348E-2</v>
          </cell>
          <cell r="AA168">
            <v>9.3659272074531064E-3</v>
          </cell>
        </row>
        <row r="169">
          <cell r="Y169">
            <v>42033</v>
          </cell>
          <cell r="Z169">
            <v>1.1669787354934132E-2</v>
          </cell>
          <cell r="AA169">
            <v>9.4243730310705764E-3</v>
          </cell>
        </row>
        <row r="170">
          <cell r="Y170">
            <v>42034</v>
          </cell>
          <cell r="Z170">
            <v>1.1706046382628827E-2</v>
          </cell>
          <cell r="AA170">
            <v>9.5292845609891898E-3</v>
          </cell>
        </row>
        <row r="171">
          <cell r="Y171">
            <v>42037</v>
          </cell>
          <cell r="Z171">
            <v>1.1778064325673267E-2</v>
          </cell>
          <cell r="AA171">
            <v>9.6214696439211878E-3</v>
          </cell>
        </row>
        <row r="172">
          <cell r="Y172">
            <v>42038</v>
          </cell>
          <cell r="Z172">
            <v>1.1789668435508103E-2</v>
          </cell>
          <cell r="AA172">
            <v>9.6615721193538118E-3</v>
          </cell>
        </row>
        <row r="173">
          <cell r="Y173">
            <v>42039</v>
          </cell>
          <cell r="Z173">
            <v>1.1813420661265204E-2</v>
          </cell>
          <cell r="AA173">
            <v>9.6980059210971525E-3</v>
          </cell>
        </row>
        <row r="174">
          <cell r="Y174">
            <v>42040</v>
          </cell>
          <cell r="Z174">
            <v>1.1837145813640265E-2</v>
          </cell>
          <cell r="AA174">
            <v>9.7307710480165621E-3</v>
          </cell>
        </row>
        <row r="175">
          <cell r="Y175">
            <v>42041</v>
          </cell>
          <cell r="Z175">
            <v>1.1860864290297656E-2</v>
          </cell>
          <cell r="AA175">
            <v>9.784334651729381E-3</v>
          </cell>
        </row>
        <row r="176">
          <cell r="Y176">
            <v>42044</v>
          </cell>
          <cell r="Z176">
            <v>1.1944691062265698E-2</v>
          </cell>
          <cell r="AA176">
            <v>9.8251447897057531E-3</v>
          </cell>
        </row>
        <row r="177">
          <cell r="Y177">
            <v>42045</v>
          </cell>
          <cell r="Z177">
            <v>1.1956079426470582E-2</v>
          </cell>
          <cell r="AA177">
            <v>9.8395665300243795E-3</v>
          </cell>
        </row>
        <row r="178">
          <cell r="Y178">
            <v>42046</v>
          </cell>
          <cell r="Z178">
            <v>1.1980070522970985E-2</v>
          </cell>
          <cell r="AA178">
            <v>9.8503195913046682E-3</v>
          </cell>
        </row>
        <row r="179">
          <cell r="Y179">
            <v>42047</v>
          </cell>
          <cell r="Z179">
            <v>1.2004177349869402E-2</v>
          </cell>
          <cell r="AA179">
            <v>9.8574039732224339E-3</v>
          </cell>
        </row>
        <row r="180">
          <cell r="Y180">
            <v>42048</v>
          </cell>
          <cell r="Z180">
            <v>1.2028420311590626E-2</v>
          </cell>
          <cell r="AA180">
            <v>9.8596101267918925E-3</v>
          </cell>
        </row>
        <row r="181">
          <cell r="Y181">
            <v>42051</v>
          </cell>
          <cell r="Z181">
            <v>1.211496999734679E-2</v>
          </cell>
          <cell r="AA181">
            <v>9.849054704188509E-3</v>
          </cell>
        </row>
        <row r="182">
          <cell r="Y182">
            <v>42052</v>
          </cell>
          <cell r="Z182">
            <v>1.212716163053874E-2</v>
          </cell>
          <cell r="AA182">
            <v>9.837795688077966E-3</v>
          </cell>
        </row>
        <row r="183">
          <cell r="Y183">
            <v>42053</v>
          </cell>
          <cell r="Z183">
            <v>1.2152391368314449E-2</v>
          </cell>
          <cell r="AA183">
            <v>9.8228679930101315E-3</v>
          </cell>
        </row>
        <row r="184">
          <cell r="Y184">
            <v>42054</v>
          </cell>
          <cell r="Z184">
            <v>1.2177879689053159E-2</v>
          </cell>
          <cell r="AA184">
            <v>9.8042716193902368E-3</v>
          </cell>
        </row>
        <row r="185">
          <cell r="Y185">
            <v>42055</v>
          </cell>
          <cell r="Z185">
            <v>1.2203647004561146E-2</v>
          </cell>
          <cell r="AA185">
            <v>9.7551106525632196E-3</v>
          </cell>
        </row>
        <row r="186">
          <cell r="Y186">
            <v>42058</v>
          </cell>
          <cell r="Z186">
            <v>1.2295862050069569E-2</v>
          </cell>
          <cell r="AA186">
            <v>9.6931993521143234E-3</v>
          </cell>
        </row>
        <row r="187">
          <cell r="Y187">
            <v>42059</v>
          </cell>
          <cell r="Z187">
            <v>1.2309914491156088E-2</v>
          </cell>
          <cell r="AA187">
            <v>9.6562595961890985E-3</v>
          </cell>
        </row>
        <row r="188">
          <cell r="Y188">
            <v>42060</v>
          </cell>
          <cell r="Z188">
            <v>1.2337382998785455E-2</v>
          </cell>
          <cell r="AA188">
            <v>9.6156511668177291E-3</v>
          </cell>
        </row>
        <row r="189">
          <cell r="Y189">
            <v>42061</v>
          </cell>
          <cell r="Z189">
            <v>1.2365252997183241E-2</v>
          </cell>
          <cell r="AA189">
            <v>9.5713740651348633E-3</v>
          </cell>
        </row>
        <row r="190">
          <cell r="Y190">
            <v>42062</v>
          </cell>
          <cell r="Z190">
            <v>1.2406673733846895E-2</v>
          </cell>
          <cell r="AA190">
            <v>9.4851125675525054E-3</v>
          </cell>
        </row>
        <row r="191">
          <cell r="Y191">
            <v>42065</v>
          </cell>
          <cell r="Z191">
            <v>1.2520543518142703E-2</v>
          </cell>
          <cell r="AA191">
            <v>9.416265610865393E-3</v>
          </cell>
        </row>
        <row r="192">
          <cell r="Y192">
            <v>42066</v>
          </cell>
          <cell r="Z192">
            <v>1.2550435762257631E-2</v>
          </cell>
          <cell r="AA192">
            <v>9.3917121726228014E-3</v>
          </cell>
        </row>
        <row r="193">
          <cell r="Y193">
            <v>42067</v>
          </cell>
          <cell r="Z193">
            <v>1.2580635406483286E-2</v>
          </cell>
          <cell r="AA193">
            <v>9.3730068145292389E-3</v>
          </cell>
        </row>
        <row r="194">
          <cell r="Y194">
            <v>42068</v>
          </cell>
          <cell r="Z194">
            <v>1.2637746028528322E-2</v>
          </cell>
          <cell r="AA194">
            <v>9.3601495355311037E-3</v>
          </cell>
        </row>
        <row r="195">
          <cell r="Y195">
            <v>42069</v>
          </cell>
          <cell r="Z195">
            <v>1.2655138234859311E-2</v>
          </cell>
          <cell r="AA195">
            <v>9.3541682890485606E-3</v>
          </cell>
        </row>
        <row r="196">
          <cell r="Y196">
            <v>42072</v>
          </cell>
          <cell r="Z196">
            <v>1.2735125981912123E-2</v>
          </cell>
          <cell r="AA196">
            <v>9.3672012025503015E-3</v>
          </cell>
        </row>
        <row r="197">
          <cell r="Y197">
            <v>42073</v>
          </cell>
          <cell r="Z197">
            <v>1.276649881193709E-2</v>
          </cell>
          <cell r="AA197">
            <v>9.383584315463267E-3</v>
          </cell>
        </row>
        <row r="198">
          <cell r="Y198">
            <v>42074</v>
          </cell>
          <cell r="Z198">
            <v>1.2797955285887593E-2</v>
          </cell>
          <cell r="AA198">
            <v>9.4058155081200301E-3</v>
          </cell>
        </row>
        <row r="199">
          <cell r="Y199">
            <v>42075</v>
          </cell>
          <cell r="Z199">
            <v>1.2856161649966617E-2</v>
          </cell>
          <cell r="AA199">
            <v>9.4338947813310536E-3</v>
          </cell>
        </row>
        <row r="200">
          <cell r="Y200">
            <v>42076</v>
          </cell>
          <cell r="Z200">
            <v>1.2874327636228896E-2</v>
          </cell>
          <cell r="AA200">
            <v>9.5097946955372929E-3</v>
          </cell>
        </row>
        <row r="201">
          <cell r="Y201">
            <v>42079</v>
          </cell>
          <cell r="Z201">
            <v>1.2955373189131989E-2</v>
          </cell>
          <cell r="AA201">
            <v>9.6046927127035886E-3</v>
          </cell>
        </row>
        <row r="202">
          <cell r="Y202">
            <v>42080</v>
          </cell>
          <cell r="Z202">
            <v>1.2986660023183782E-2</v>
          </cell>
          <cell r="AA202">
            <v>9.6620124153501408E-3</v>
          </cell>
        </row>
        <row r="203">
          <cell r="Y203">
            <v>42081</v>
          </cell>
          <cell r="Z203">
            <v>1.3017806647904496E-2</v>
          </cell>
          <cell r="AA203">
            <v>9.7251802110320806E-3</v>
          </cell>
        </row>
        <row r="204">
          <cell r="Y204">
            <v>42082</v>
          </cell>
          <cell r="Z204">
            <v>1.3075533261829727E-2</v>
          </cell>
          <cell r="AA204">
            <v>9.7941961028291669E-3</v>
          </cell>
        </row>
        <row r="205">
          <cell r="Y205">
            <v>42083</v>
          </cell>
          <cell r="Z205">
            <v>1.3092918891733186E-2</v>
          </cell>
          <cell r="AA205">
            <v>9.9519928865735956E-3</v>
          </cell>
        </row>
        <row r="206">
          <cell r="Y206">
            <v>42086</v>
          </cell>
          <cell r="Z206">
            <v>1.3170317018296183E-2</v>
          </cell>
          <cell r="AA206">
            <v>1.0128740700787731E-2</v>
          </cell>
        </row>
        <row r="207">
          <cell r="Y207">
            <v>42087</v>
          </cell>
          <cell r="Z207">
            <v>1.3199950592617513E-2</v>
          </cell>
          <cell r="AA207">
            <v>1.0226997128190973E-2</v>
          </cell>
        </row>
        <row r="208">
          <cell r="Y208">
            <v>42088</v>
          </cell>
          <cell r="Z208">
            <v>1.3229220008831062E-2</v>
          </cell>
          <cell r="AA208">
            <v>1.0331101675699061E-2</v>
          </cell>
        </row>
        <row r="209">
          <cell r="Y209">
            <v>42089</v>
          </cell>
          <cell r="Z209">
            <v>1.3285007734943916E-2</v>
          </cell>
          <cell r="AA209">
            <v>1.0441054348417911E-2</v>
          </cell>
        </row>
        <row r="210">
          <cell r="Y210">
            <v>42090</v>
          </cell>
          <cell r="Z210">
            <v>1.3300000001094967E-2</v>
          </cell>
          <cell r="AA210">
            <v>1.068076598657264E-2</v>
          </cell>
        </row>
        <row r="211">
          <cell r="Y211">
            <v>42093</v>
          </cell>
          <cell r="Z211">
            <v>1.3368983464353525E-2</v>
          </cell>
          <cell r="AA211">
            <v>1.0937509602187978E-2</v>
          </cell>
        </row>
        <row r="212">
          <cell r="Y212">
            <v>42094</v>
          </cell>
          <cell r="Z212">
            <v>1.3381869208625125E-2</v>
          </cell>
          <cell r="AA212">
            <v>1.1065682188147186E-2</v>
          </cell>
        </row>
        <row r="213">
          <cell r="Y213">
            <v>42095</v>
          </cell>
          <cell r="Z213">
            <v>1.3407727303894314E-2</v>
          </cell>
          <cell r="AA213">
            <v>1.1188682126205274E-2</v>
          </cell>
        </row>
        <row r="214">
          <cell r="Y214">
            <v>42096</v>
          </cell>
          <cell r="Z214">
            <v>1.3433080353605643E-2</v>
          </cell>
          <cell r="AA214">
            <v>1.1522200693599105E-2</v>
          </cell>
        </row>
        <row r="215">
          <cell r="Y215">
            <v>42101</v>
          </cell>
          <cell r="Z215">
            <v>1.3553233854092638E-2</v>
          </cell>
          <cell r="AA215">
            <v>1.1818055871695154E-2</v>
          </cell>
        </row>
        <row r="216">
          <cell r="Y216">
            <v>42102</v>
          </cell>
          <cell r="Z216">
            <v>1.3576135014351296E-2</v>
          </cell>
          <cell r="AA216">
            <v>1.1904847140394859E-2</v>
          </cell>
        </row>
        <row r="217">
          <cell r="Y217">
            <v>42103</v>
          </cell>
          <cell r="Z217">
            <v>1.3598723938356507E-2</v>
          </cell>
          <cell r="AA217">
            <v>1.1986465725614126E-2</v>
          </cell>
        </row>
        <row r="218">
          <cell r="Y218">
            <v>42104</v>
          </cell>
          <cell r="Z218">
            <v>1.3648857627862363E-2</v>
          </cell>
          <cell r="AA218">
            <v>1.2132863879115535E-2</v>
          </cell>
        </row>
        <row r="219">
          <cell r="Y219">
            <v>42107</v>
          </cell>
          <cell r="Z219">
            <v>1.368650829513875E-2</v>
          </cell>
          <cell r="AA219">
            <v>1.2261213164742601E-2</v>
          </cell>
        </row>
        <row r="220">
          <cell r="Y220">
            <v>42108</v>
          </cell>
          <cell r="Z220">
            <v>1.3707949316824314E-2</v>
          </cell>
          <cell r="AA220">
            <v>1.2316968284499241E-2</v>
          </cell>
        </row>
        <row r="221">
          <cell r="Y221">
            <v>42109</v>
          </cell>
          <cell r="Z221">
            <v>1.372924342283869E-2</v>
          </cell>
          <cell r="AA221">
            <v>1.2367550703188401E-2</v>
          </cell>
        </row>
        <row r="222">
          <cell r="Y222">
            <v>42110</v>
          </cell>
          <cell r="Z222">
            <v>1.3750418170983807E-2</v>
          </cell>
          <cell r="AA222">
            <v>1.2412960418540786E-2</v>
          </cell>
        </row>
        <row r="223">
          <cell r="Y223">
            <v>42111</v>
          </cell>
          <cell r="Z223">
            <v>1.3799921436188991E-2</v>
          </cell>
          <cell r="AA223">
            <v>1.2486964660536339E-2</v>
          </cell>
        </row>
        <row r="224">
          <cell r="Y224">
            <v>42114</v>
          </cell>
          <cell r="Z224">
            <v>1.3834474782165495E-2</v>
          </cell>
          <cell r="AA224">
            <v>1.2542872212624179E-2</v>
          </cell>
        </row>
        <row r="225">
          <cell r="Y225">
            <v>42115</v>
          </cell>
          <cell r="Z225">
            <v>1.3855466149106314E-2</v>
          </cell>
          <cell r="AA225">
            <v>1.2562418387221941E-2</v>
          </cell>
        </row>
        <row r="226">
          <cell r="Y226">
            <v>42116</v>
          </cell>
          <cell r="Z226">
            <v>1.387650352954338E-2</v>
          </cell>
          <cell r="AA226">
            <v>1.2576791850378299E-2</v>
          </cell>
        </row>
        <row r="227">
          <cell r="Y227">
            <v>42117</v>
          </cell>
          <cell r="Z227">
            <v>1.3897614489417788E-2</v>
          </cell>
          <cell r="AA227">
            <v>1.2585992601444884E-2</v>
          </cell>
        </row>
        <row r="228">
          <cell r="Y228">
            <v>42118</v>
          </cell>
          <cell r="Z228">
            <v>1.394778482557194E-2</v>
          </cell>
          <cell r="AA228">
            <v>1.2587585805504677E-2</v>
          </cell>
        </row>
        <row r="229">
          <cell r="Y229">
            <v>42121</v>
          </cell>
          <cell r="Z229">
            <v>1.398334548316375E-2</v>
          </cell>
          <cell r="AA229">
            <v>1.2571975799061663E-2</v>
          </cell>
        </row>
        <row r="230">
          <cell r="Y230">
            <v>42122</v>
          </cell>
          <cell r="Z230">
            <v>1.4005232877948661E-2</v>
          </cell>
          <cell r="AA230">
            <v>1.2560756903615689E-2</v>
          </cell>
        </row>
        <row r="231">
          <cell r="Y231">
            <v>42123</v>
          </cell>
          <cell r="Z231">
            <v>1.402732931637243E-2</v>
          </cell>
          <cell r="AA231">
            <v>1.254980921196136E-2</v>
          </cell>
        </row>
        <row r="232">
          <cell r="Y232">
            <v>42124</v>
          </cell>
          <cell r="Z232">
            <v>1.4049632415223555E-2</v>
          </cell>
          <cell r="AA232">
            <v>1.2539132724098678E-2</v>
          </cell>
        </row>
        <row r="233">
          <cell r="Y233">
            <v>42125</v>
          </cell>
          <cell r="Z233">
            <v>1.4101485021412489E-2</v>
          </cell>
          <cell r="AA233">
            <v>1.251444107915306E-2</v>
          </cell>
        </row>
        <row r="234">
          <cell r="Y234">
            <v>42129</v>
          </cell>
          <cell r="Z234">
            <v>1.4178912870086482E-2</v>
          </cell>
          <cell r="AA234">
            <v>1.2489818340201131E-2</v>
          </cell>
        </row>
        <row r="235">
          <cell r="Y235">
            <v>42130</v>
          </cell>
          <cell r="Z235">
            <v>1.4202418421100442E-2</v>
          </cell>
          <cell r="AA235">
            <v>1.2480769074358911E-2</v>
          </cell>
        </row>
        <row r="236">
          <cell r="Y236">
            <v>42131</v>
          </cell>
          <cell r="Z236">
            <v>1.4255598185362981E-2</v>
          </cell>
          <cell r="AA236">
            <v>1.2471991012146244E-2</v>
          </cell>
        </row>
        <row r="237">
          <cell r="Y237">
            <v>42132</v>
          </cell>
          <cell r="Z237">
            <v>1.4264751880951535E-2</v>
          </cell>
          <cell r="AA237">
            <v>1.2455763933072092E-2</v>
          </cell>
        </row>
        <row r="238">
          <cell r="Y238">
            <v>42135</v>
          </cell>
          <cell r="Z238">
            <v>1.4322719707510031E-2</v>
          </cell>
          <cell r="AA238">
            <v>1.2439590798942746E-2</v>
          </cell>
        </row>
        <row r="239">
          <cell r="Y239">
            <v>42136</v>
          </cell>
          <cell r="Z239">
            <v>1.4347318074852948E-2</v>
          </cell>
          <cell r="AA239">
            <v>1.243216875439157E-2</v>
          </cell>
        </row>
        <row r="240">
          <cell r="Y240">
            <v>42137</v>
          </cell>
          <cell r="Z240">
            <v>1.4372090279836035E-2</v>
          </cell>
          <cell r="AA240">
            <v>1.2425017913469949E-2</v>
          </cell>
        </row>
        <row r="241">
          <cell r="Y241">
            <v>42138</v>
          </cell>
          <cell r="Z241">
            <v>1.4426544905714826E-2</v>
          </cell>
          <cell r="AA241">
            <v>1.2418138275934743E-2</v>
          </cell>
        </row>
        <row r="242">
          <cell r="Y242">
            <v>42139</v>
          </cell>
          <cell r="Z242">
            <v>1.4436909980933801E-2</v>
          </cell>
          <cell r="AA242">
            <v>1.240570463640937E-2</v>
          </cell>
        </row>
        <row r="243">
          <cell r="Y243">
            <v>42142</v>
          </cell>
          <cell r="Z243">
            <v>1.4498475876084773E-2</v>
          </cell>
          <cell r="AA243">
            <v>1.2393331760306436E-2</v>
          </cell>
        </row>
        <row r="244">
          <cell r="Y244">
            <v>42143</v>
          </cell>
          <cell r="Z244">
            <v>1.4524241309863689E-2</v>
          </cell>
          <cell r="AA244">
            <v>1.2387808139946443E-2</v>
          </cell>
        </row>
        <row r="245">
          <cell r="Y245">
            <v>42144</v>
          </cell>
          <cell r="Z245">
            <v>1.4550163981529777E-2</v>
          </cell>
          <cell r="AA245">
            <v>1.2382555722972866E-2</v>
          </cell>
        </row>
        <row r="246">
          <cell r="Y246">
            <v>42145</v>
          </cell>
          <cell r="Z246">
            <v>1.4605602681892106E-2</v>
          </cell>
          <cell r="AA246">
            <v>1.2377574509466749E-2</v>
          </cell>
        </row>
        <row r="247">
          <cell r="Y247">
            <v>42146</v>
          </cell>
          <cell r="Z247">
            <v>1.4617150392848966E-2</v>
          </cell>
          <cell r="AA247">
            <v>1.2367105985003068E-2</v>
          </cell>
        </row>
        <row r="248">
          <cell r="Y248">
            <v>42150</v>
          </cell>
          <cell r="Z248">
            <v>1.4708869184488287E-2</v>
          </cell>
          <cell r="AA248">
            <v>1.2356736492002973E-2</v>
          </cell>
        </row>
        <row r="249">
          <cell r="Y249">
            <v>42151</v>
          </cell>
          <cell r="Z249">
            <v>1.473582610811488E-2</v>
          </cell>
          <cell r="AA249">
            <v>1.235351302952381E-2</v>
          </cell>
        </row>
        <row r="250">
          <cell r="Y250">
            <v>42152</v>
          </cell>
          <cell r="Z250">
            <v>1.4791966029351592E-2</v>
          </cell>
          <cell r="AA250">
            <v>1.2351213425513263E-2</v>
          </cell>
        </row>
        <row r="251">
          <cell r="Y251">
            <v>42153</v>
          </cell>
          <cell r="Z251">
            <v>1.4804658312712051E-2</v>
          </cell>
          <cell r="AA251">
            <v>1.2350546732431782E-2</v>
          </cell>
        </row>
        <row r="252">
          <cell r="Y252">
            <v>42156</v>
          </cell>
          <cell r="Z252">
            <v>1.4858094390489459E-2</v>
          </cell>
          <cell r="AA252">
            <v>1.2352558904240585E-2</v>
          </cell>
        </row>
        <row r="253">
          <cell r="Y253">
            <v>42157</v>
          </cell>
          <cell r="Z253">
            <v>1.4885814517198497E-2</v>
          </cell>
          <cell r="AA253">
            <v>1.235553124757427E-2</v>
          </cell>
        </row>
        <row r="254">
          <cell r="Y254">
            <v>42158</v>
          </cell>
          <cell r="Z254">
            <v>1.4913634364576512E-2</v>
          </cell>
          <cell r="AA254">
            <v>1.2359557980409219E-2</v>
          </cell>
        </row>
        <row r="255">
          <cell r="Y255">
            <v>42159</v>
          </cell>
          <cell r="Z255">
            <v>1.494154723396859E-2</v>
          </cell>
          <cell r="AA255">
            <v>1.2364639102745434E-2</v>
          </cell>
        </row>
        <row r="256">
          <cell r="Y256">
            <v>42160</v>
          </cell>
          <cell r="Z256">
            <v>1.4998123208087666E-2</v>
          </cell>
          <cell r="AA256">
            <v>1.2378735772456222E-2</v>
          </cell>
        </row>
        <row r="257">
          <cell r="Y257">
            <v>42163</v>
          </cell>
          <cell r="Z257">
            <v>1.5053994945957699E-2</v>
          </cell>
          <cell r="AA257">
            <v>1.2395507488642821E-2</v>
          </cell>
        </row>
        <row r="258">
          <cell r="Y258">
            <v>42164</v>
          </cell>
          <cell r="Z258">
            <v>1.5082272432935865E-2</v>
          </cell>
          <cell r="AA258">
            <v>1.2405860559620008E-2</v>
          </cell>
        </row>
        <row r="259">
          <cell r="Y259">
            <v>42165</v>
          </cell>
          <cell r="Z259">
            <v>1.5110602742364749E-2</v>
          </cell>
          <cell r="AA259">
            <v>1.2417268020422645E-2</v>
          </cell>
        </row>
        <row r="260">
          <cell r="Y260">
            <v>42166</v>
          </cell>
          <cell r="Z260">
            <v>1.5138979173022527E-2</v>
          </cell>
          <cell r="AA260">
            <v>1.2429729871293871E-2</v>
          </cell>
        </row>
        <row r="261">
          <cell r="Y261">
            <v>42167</v>
          </cell>
          <cell r="Z261">
            <v>1.5195361010291087E-2</v>
          </cell>
          <cell r="AA261">
            <v>1.2458593433578581E-2</v>
          </cell>
        </row>
        <row r="262">
          <cell r="Y262">
            <v>42170</v>
          </cell>
          <cell r="Z262">
            <v>1.5252812070346492E-2</v>
          </cell>
          <cell r="AA262">
            <v>1.2490121177652913E-2</v>
          </cell>
        </row>
        <row r="263">
          <cell r="Y263">
            <v>42171</v>
          </cell>
          <cell r="Z263">
            <v>1.5281318575644498E-2</v>
          </cell>
          <cell r="AA263">
            <v>1.2507854980488009E-2</v>
          </cell>
        </row>
        <row r="264">
          <cell r="Y264">
            <v>42172</v>
          </cell>
          <cell r="Z264">
            <v>1.5309830986920505E-2</v>
          </cell>
          <cell r="AA264">
            <v>1.2526643174202157E-2</v>
          </cell>
        </row>
        <row r="265">
          <cell r="Y265">
            <v>42173</v>
          </cell>
          <cell r="Z265">
            <v>1.533834260030385E-2</v>
          </cell>
          <cell r="AA265">
            <v>1.2546485758957449E-2</v>
          </cell>
        </row>
        <row r="266">
          <cell r="Y266">
            <v>42174</v>
          </cell>
          <cell r="Z266">
            <v>1.5394097933646288E-2</v>
          </cell>
          <cell r="AA266">
            <v>1.2590119817484926E-2</v>
          </cell>
        </row>
        <row r="267">
          <cell r="Y267">
            <v>42177</v>
          </cell>
          <cell r="Z267">
            <v>1.5452246984205279E-2</v>
          </cell>
          <cell r="AA267">
            <v>1.2636400011226678E-2</v>
          </cell>
        </row>
        <row r="268">
          <cell r="Y268">
            <v>42178</v>
          </cell>
          <cell r="Z268">
            <v>1.548065403677331E-2</v>
          </cell>
          <cell r="AA268">
            <v>1.266151455361908E-2</v>
          </cell>
        </row>
        <row r="269">
          <cell r="Y269">
            <v>42179</v>
          </cell>
          <cell r="Z269">
            <v>1.5509020060253814E-2</v>
          </cell>
          <cell r="AA269">
            <v>1.268768348826832E-2</v>
          </cell>
        </row>
        <row r="270">
          <cell r="Y270">
            <v>42180</v>
          </cell>
          <cell r="Z270">
            <v>1.5590302883821152E-2</v>
          </cell>
          <cell r="AA270">
            <v>1.2714906815174398E-2</v>
          </cell>
        </row>
        <row r="271">
          <cell r="Y271">
            <v>42181</v>
          </cell>
          <cell r="Z271">
            <v>1.5605218389051609E-2</v>
          </cell>
          <cell r="AA271">
            <v>1.2773315091751948E-2</v>
          </cell>
        </row>
        <row r="272">
          <cell r="Y272">
            <v>42184</v>
          </cell>
          <cell r="Z272">
            <v>1.5649999999999782E-2</v>
          </cell>
          <cell r="AA272">
            <v>1.2834168650031064E-2</v>
          </cell>
        </row>
        <row r="273">
          <cell r="Y273">
            <v>42185</v>
          </cell>
          <cell r="Z273">
            <v>1.5690993478325622E-2</v>
          </cell>
          <cell r="AA273">
            <v>1.2865611532408838E-2</v>
          </cell>
        </row>
        <row r="274">
          <cell r="Y274">
            <v>42186</v>
          </cell>
          <cell r="Z274">
            <v>1.5757433896558145E-2</v>
          </cell>
          <cell r="AA274">
            <v>1.2897056398313289E-2</v>
          </cell>
        </row>
        <row r="275">
          <cell r="Y275">
            <v>42187</v>
          </cell>
          <cell r="Z275">
            <v>1.5772254967021677E-2</v>
          </cell>
          <cell r="AA275">
            <v>1.2928503247744416E-2</v>
          </cell>
        </row>
        <row r="276">
          <cell r="Y276">
            <v>42188</v>
          </cell>
          <cell r="Z276">
            <v>1.5787067411217905E-2</v>
          </cell>
          <cell r="AA276">
            <v>1.2991865964243251E-2</v>
          </cell>
        </row>
        <row r="277">
          <cell r="Y277">
            <v>42191</v>
          </cell>
          <cell r="Z277">
            <v>1.5856828781200556E-2</v>
          </cell>
          <cell r="AA277">
            <v>1.3054310480168363E-2</v>
          </cell>
        </row>
        <row r="278">
          <cell r="Y278">
            <v>42192</v>
          </cell>
          <cell r="Z278">
            <v>1.5884187757951904E-2</v>
          </cell>
          <cell r="AA278">
            <v>1.3085767246989732E-2</v>
          </cell>
        </row>
        <row r="279">
          <cell r="Y279">
            <v>42193</v>
          </cell>
          <cell r="Z279">
            <v>1.5911466982211804E-2</v>
          </cell>
          <cell r="AA279">
            <v>1.3117225997418824E-2</v>
          </cell>
        </row>
        <row r="280">
          <cell r="Y280">
            <v>42194</v>
          </cell>
          <cell r="Z280">
            <v>1.5963558115751755E-2</v>
          </cell>
          <cell r="AA280">
            <v>1.31486867312125E-2</v>
          </cell>
        </row>
        <row r="281">
          <cell r="Y281">
            <v>42195</v>
          </cell>
          <cell r="Z281">
            <v>1.5978198041350526E-2</v>
          </cell>
          <cell r="AA281">
            <v>1.3212093025702181E-2</v>
          </cell>
        </row>
        <row r="282">
          <cell r="Y282">
            <v>42198</v>
          </cell>
          <cell r="Z282">
            <v>1.6046670968007996E-2</v>
          </cell>
          <cell r="AA282">
            <v>1.3274549501491872E-2</v>
          </cell>
        </row>
        <row r="283">
          <cell r="Y283">
            <v>42199</v>
          </cell>
          <cell r="Z283">
            <v>1.6073474168666033E-2</v>
          </cell>
          <cell r="AA283">
            <v>1.3306020152756837E-2</v>
          </cell>
        </row>
        <row r="284">
          <cell r="Y284">
            <v>42200</v>
          </cell>
          <cell r="Z284">
            <v>1.6100198447431026E-2</v>
          </cell>
          <cell r="AA284">
            <v>1.3337492787629524E-2</v>
          </cell>
        </row>
        <row r="285">
          <cell r="Y285">
            <v>42201</v>
          </cell>
          <cell r="Z285">
            <v>1.615101964673657E-2</v>
          </cell>
          <cell r="AA285">
            <v>1.3368967405866794E-2</v>
          </cell>
        </row>
        <row r="286">
          <cell r="Y286">
            <v>42202</v>
          </cell>
          <cell r="Z286">
            <v>1.6165465669467482E-2</v>
          </cell>
          <cell r="AA286">
            <v>1.3432417551311195E-2</v>
          </cell>
        </row>
        <row r="287">
          <cell r="Y287">
            <v>42205</v>
          </cell>
          <cell r="Z287">
            <v>1.6232640168645392E-2</v>
          </cell>
          <cell r="AA287">
            <v>1.3494885714163685E-2</v>
          </cell>
        </row>
        <row r="288">
          <cell r="Y288">
            <v>42206</v>
          </cell>
          <cell r="Z288">
            <v>1.6258893409742681E-2</v>
          </cell>
          <cell r="AA288">
            <v>1.352637024995329E-2</v>
          </cell>
        </row>
        <row r="289">
          <cell r="Y289">
            <v>42207</v>
          </cell>
          <cell r="Z289">
            <v>1.6285068560324079E-2</v>
          </cell>
          <cell r="AA289">
            <v>1.3557856769188525E-2</v>
          </cell>
        </row>
        <row r="290">
          <cell r="Y290">
            <v>42208</v>
          </cell>
          <cell r="Z290">
            <v>1.6334679832648222E-2</v>
          </cell>
          <cell r="AA290">
            <v>1.358934527211253E-2</v>
          </cell>
        </row>
        <row r="291">
          <cell r="Y291">
            <v>42209</v>
          </cell>
          <cell r="Z291">
            <v>1.6348910791267778E-2</v>
          </cell>
          <cell r="AA291">
            <v>1.3652839541583585E-2</v>
          </cell>
        </row>
        <row r="292">
          <cell r="Y292">
            <v>42212</v>
          </cell>
          <cell r="Z292">
            <v>1.6414777115095751E-2</v>
          </cell>
          <cell r="AA292">
            <v>1.3715319118264846E-2</v>
          </cell>
        </row>
        <row r="293">
          <cell r="Y293">
            <v>42213</v>
          </cell>
          <cell r="Z293">
            <v>1.6440486218561919E-2</v>
          </cell>
          <cell r="AA293">
            <v>1.3746817538579092E-2</v>
          </cell>
        </row>
        <row r="294">
          <cell r="Y294">
            <v>42214</v>
          </cell>
          <cell r="Z294">
            <v>1.6466118063648724E-2</v>
          </cell>
          <cell r="AA294">
            <v>1.3778317942420015E-2</v>
          </cell>
        </row>
        <row r="295">
          <cell r="Y295">
            <v>42215</v>
          </cell>
          <cell r="Z295">
            <v>1.6480183388589951E-2</v>
          </cell>
          <cell r="AA295">
            <v>1.3809820329706568E-2</v>
          </cell>
        </row>
        <row r="296">
          <cell r="Y296">
            <v>42216</v>
          </cell>
          <cell r="Z296">
            <v>1.6494231651786463E-2</v>
          </cell>
          <cell r="AA296">
            <v>1.3873358997086676E-2</v>
          </cell>
        </row>
        <row r="297">
          <cell r="Y297">
            <v>42219</v>
          </cell>
          <cell r="Z297">
            <v>1.6593122576766966E-2</v>
          </cell>
          <cell r="AA297">
            <v>1.3935849714119541E-2</v>
          </cell>
        </row>
        <row r="298">
          <cell r="Y298">
            <v>42220</v>
          </cell>
          <cell r="Z298">
            <v>1.6618293369810667E-2</v>
          </cell>
          <cell r="AA298">
            <v>1.3967362018958429E-2</v>
          </cell>
        </row>
        <row r="299">
          <cell r="Y299">
            <v>42221</v>
          </cell>
          <cell r="Z299">
            <v>1.6643387737358996E-2</v>
          </cell>
          <cell r="AA299">
            <v>1.3998876307323993E-2</v>
          </cell>
        </row>
        <row r="300">
          <cell r="Y300">
            <v>42222</v>
          </cell>
          <cell r="Z300">
            <v>1.6690757446301992E-2</v>
          </cell>
          <cell r="AA300">
            <v>1.4030392579216233E-2</v>
          </cell>
        </row>
        <row r="301">
          <cell r="Y301">
            <v>42223</v>
          </cell>
          <cell r="Z301">
            <v>1.6704495685613711E-2</v>
          </cell>
          <cell r="AA301">
            <v>1.4093975918333761E-2</v>
          </cell>
        </row>
        <row r="302">
          <cell r="Y302">
            <v>42226</v>
          </cell>
          <cell r="Z302">
            <v>1.6767717359700288E-2</v>
          </cell>
          <cell r="AA302">
            <v>1.4156477501808817E-2</v>
          </cell>
        </row>
        <row r="303">
          <cell r="Y303">
            <v>42227</v>
          </cell>
          <cell r="Z303">
            <v>1.6792355674701717E-2</v>
          </cell>
          <cell r="AA303">
            <v>1.4188003691172346E-2</v>
          </cell>
        </row>
        <row r="304">
          <cell r="Y304">
            <v>42228</v>
          </cell>
          <cell r="Z304">
            <v>1.6816918397820301E-2</v>
          </cell>
          <cell r="AA304">
            <v>1.4219531864143597E-2</v>
          </cell>
        </row>
        <row r="305">
          <cell r="Y305">
            <v>42229</v>
          </cell>
          <cell r="Z305">
            <v>1.6863255603419572E-2</v>
          </cell>
          <cell r="AA305">
            <v>1.4251062020560479E-2</v>
          </cell>
        </row>
        <row r="306">
          <cell r="Y306">
            <v>42230</v>
          </cell>
          <cell r="Z306">
            <v>1.6876716634114632E-2</v>
          </cell>
          <cell r="AA306">
            <v>1.4314690305811119E-2</v>
          </cell>
        </row>
        <row r="307">
          <cell r="Y307">
            <v>42233</v>
          </cell>
          <cell r="Z307">
            <v>1.6938602305795105E-2</v>
          </cell>
          <cell r="AA307">
            <v>1.4377202481494766E-2</v>
          </cell>
        </row>
        <row r="308">
          <cell r="Y308">
            <v>42234</v>
          </cell>
          <cell r="Z308">
            <v>1.6962713980193236E-2</v>
          </cell>
          <cell r="AA308">
            <v>1.4408742555545029E-2</v>
          </cell>
        </row>
        <row r="309">
          <cell r="Y309">
            <v>42235</v>
          </cell>
          <cell r="Z309">
            <v>1.6986750897035063E-2</v>
          </cell>
          <cell r="AA309">
            <v>1.4440284613040921E-2</v>
          </cell>
        </row>
        <row r="310">
          <cell r="Y310">
            <v>42236</v>
          </cell>
          <cell r="Z310">
            <v>1.7032113872677647E-2</v>
          </cell>
          <cell r="AA310">
            <v>1.447182865406349E-2</v>
          </cell>
        </row>
        <row r="311">
          <cell r="Y311">
            <v>42237</v>
          </cell>
          <cell r="Z311">
            <v>1.7045277426664326E-2</v>
          </cell>
          <cell r="AA311">
            <v>1.4535502160113086E-2</v>
          </cell>
        </row>
        <row r="312">
          <cell r="Y312">
            <v>42240</v>
          </cell>
          <cell r="Z312">
            <v>1.7105818292035471E-2</v>
          </cell>
          <cell r="AA312">
            <v>1.4598024653339481E-2</v>
          </cell>
        </row>
        <row r="313">
          <cell r="Y313">
            <v>42241</v>
          </cell>
          <cell r="Z313">
            <v>1.7129409168219277E-2</v>
          </cell>
          <cell r="AA313">
            <v>1.4629578611995431E-2</v>
          </cell>
        </row>
        <row r="314">
          <cell r="Y314">
            <v>42242</v>
          </cell>
          <cell r="Z314">
            <v>1.7152926121871016E-2</v>
          </cell>
          <cell r="AA314">
            <v>1.4661134554178057E-2</v>
          </cell>
        </row>
        <row r="315">
          <cell r="Y315">
            <v>42243</v>
          </cell>
          <cell r="Z315">
            <v>1.7197372706169087E-2</v>
          </cell>
          <cell r="AA315">
            <v>1.4692692479806313E-2</v>
          </cell>
        </row>
        <row r="316">
          <cell r="Y316">
            <v>42244</v>
          </cell>
          <cell r="Z316">
            <v>1.7210218738884543E-2</v>
          </cell>
          <cell r="AA316">
            <v>1.4772493946746956E-2</v>
          </cell>
        </row>
        <row r="317">
          <cell r="Y317">
            <v>42248</v>
          </cell>
          <cell r="Z317">
            <v>1.7271700017009312E-2</v>
          </cell>
          <cell r="AA317">
            <v>1.485051186100983E-2</v>
          </cell>
        </row>
        <row r="318">
          <cell r="Y318">
            <v>42249</v>
          </cell>
          <cell r="Z318">
            <v>1.7294751770540948E-2</v>
          </cell>
          <cell r="AA318">
            <v>1.4882081687717097E-2</v>
          </cell>
        </row>
        <row r="319">
          <cell r="Y319">
            <v>42250</v>
          </cell>
          <cell r="Z319">
            <v>1.7317729489396323E-2</v>
          </cell>
          <cell r="AA319">
            <v>1.4913653498113133E-2</v>
          </cell>
        </row>
        <row r="320">
          <cell r="Y320">
            <v>42251</v>
          </cell>
          <cell r="Z320">
            <v>1.7340633294343301E-2</v>
          </cell>
          <cell r="AA320">
            <v>1.497741827119E-2</v>
          </cell>
        </row>
        <row r="321">
          <cell r="Y321">
            <v>42254</v>
          </cell>
          <cell r="Z321">
            <v>1.7408902433621819E-2</v>
          </cell>
          <cell r="AA321">
            <v>1.5039960574558808E-2</v>
          </cell>
        </row>
        <row r="322">
          <cell r="Y322">
            <v>42255</v>
          </cell>
          <cell r="Z322">
            <v>1.743151179089085E-2</v>
          </cell>
          <cell r="AA322">
            <v>1.5071542302426133E-2</v>
          </cell>
        </row>
        <row r="323">
          <cell r="Y323">
            <v>42256</v>
          </cell>
          <cell r="Z323">
            <v>1.7454047838297432E-2</v>
          </cell>
          <cell r="AA323">
            <v>1.5103126013982227E-2</v>
          </cell>
        </row>
        <row r="324">
          <cell r="Y324">
            <v>42257</v>
          </cell>
          <cell r="Z324">
            <v>1.7476510696690924E-2</v>
          </cell>
          <cell r="AA324">
            <v>1.5134711708902904E-2</v>
          </cell>
        </row>
        <row r="325">
          <cell r="Y325">
            <v>42258</v>
          </cell>
          <cell r="Z325">
            <v>1.7498900486934931E-2</v>
          </cell>
          <cell r="AA325">
            <v>1.519852252904556E-2</v>
          </cell>
        </row>
        <row r="326">
          <cell r="Y326">
            <v>42261</v>
          </cell>
          <cell r="Z326">
            <v>1.7565632657600694E-2</v>
          </cell>
          <cell r="AA326">
            <v>1.5261074324095514E-2</v>
          </cell>
        </row>
        <row r="327">
          <cell r="Y327">
            <v>42262</v>
          </cell>
          <cell r="Z327">
            <v>1.7587731384144659E-2</v>
          </cell>
          <cell r="AA327">
            <v>1.5292669936730618E-2</v>
          </cell>
        </row>
        <row r="328">
          <cell r="Y328">
            <v>42263</v>
          </cell>
          <cell r="Z328">
            <v>1.7609757647054441E-2</v>
          </cell>
          <cell r="AA328">
            <v>1.5324267532892399E-2</v>
          </cell>
        </row>
        <row r="329">
          <cell r="Y329">
            <v>42264</v>
          </cell>
          <cell r="Z329">
            <v>1.7631711567272911E-2</v>
          </cell>
          <cell r="AA329">
            <v>1.5355867112580857E-2</v>
          </cell>
        </row>
        <row r="330">
          <cell r="Y330">
            <v>42265</v>
          </cell>
          <cell r="Z330">
            <v>1.7653593265756298E-2</v>
          </cell>
          <cell r="AA330">
            <v>1.5419724255832936E-2</v>
          </cell>
        </row>
        <row r="331">
          <cell r="Y331">
            <v>42268</v>
          </cell>
          <cell r="Z331">
            <v>1.7718806240550198E-2</v>
          </cell>
          <cell r="AA331">
            <v>1.5482285266601448E-2</v>
          </cell>
        </row>
        <row r="332">
          <cell r="Y332">
            <v>42269</v>
          </cell>
          <cell r="Z332">
            <v>1.7740400261912505E-2</v>
          </cell>
          <cell r="AA332">
            <v>1.5513894763923286E-2</v>
          </cell>
        </row>
        <row r="333">
          <cell r="Y333">
            <v>42270</v>
          </cell>
          <cell r="Z333">
            <v>1.7761922666514593E-2</v>
          </cell>
          <cell r="AA333">
            <v>1.5545506244852847E-2</v>
          </cell>
        </row>
        <row r="334">
          <cell r="Y334">
            <v>42271</v>
          </cell>
          <cell r="Z334">
            <v>1.7783373575390615E-2</v>
          </cell>
          <cell r="AA334">
            <v>1.5577119709228038E-2</v>
          </cell>
        </row>
        <row r="335">
          <cell r="Y335">
            <v>42272</v>
          </cell>
          <cell r="Z335">
            <v>1.7844555124507087E-2</v>
          </cell>
          <cell r="AA335">
            <v>1.5641023452038404E-2</v>
          </cell>
        </row>
        <row r="336">
          <cell r="Y336">
            <v>42275</v>
          </cell>
          <cell r="Z336">
            <v>1.787838021511531E-2</v>
          </cell>
          <cell r="AA336">
            <v>1.5703565881596271E-2</v>
          </cell>
        </row>
        <row r="337">
          <cell r="Y337">
            <v>42276</v>
          </cell>
          <cell r="Z337">
            <v>1.7889560073502252E-2</v>
          </cell>
          <cell r="AA337">
            <v>1.5735024140317577E-2</v>
          </cell>
        </row>
        <row r="338">
          <cell r="Y338">
            <v>42277</v>
          </cell>
          <cell r="Z338">
            <v>1.7920480853087256E-2</v>
          </cell>
          <cell r="AA338">
            <v>1.5766319259035155E-2</v>
          </cell>
        </row>
        <row r="339">
          <cell r="Y339">
            <v>42278</v>
          </cell>
          <cell r="Z339">
            <v>1.7941428192698936E-2</v>
          </cell>
          <cell r="AA339">
            <v>1.5797451237749005E-2</v>
          </cell>
        </row>
        <row r="340">
          <cell r="Y340">
            <v>42279</v>
          </cell>
          <cell r="Z340">
            <v>1.7982068665986665E-2</v>
          </cell>
          <cell r="AA340">
            <v>1.5859860481873454E-2</v>
          </cell>
        </row>
        <row r="341">
          <cell r="Y341">
            <v>42282</v>
          </cell>
          <cell r="Z341">
            <v>1.8024555077592631E-2</v>
          </cell>
          <cell r="AA341">
            <v>1.5920347752242936E-2</v>
          </cell>
        </row>
        <row r="342">
          <cell r="Y342">
            <v>42283</v>
          </cell>
          <cell r="Z342">
            <v>1.8045176335695138E-2</v>
          </cell>
          <cell r="AA342">
            <v>1.5950664030451867E-2</v>
          </cell>
        </row>
        <row r="343">
          <cell r="Y343">
            <v>42284</v>
          </cell>
          <cell r="Z343">
            <v>1.8065735470826946E-2</v>
          </cell>
          <cell r="AA343">
            <v>1.5980817168576023E-2</v>
          </cell>
        </row>
        <row r="344">
          <cell r="Y344">
            <v>42285</v>
          </cell>
          <cell r="Z344">
            <v>1.8086233514210296E-2</v>
          </cell>
          <cell r="AA344">
            <v>1.6010807166372265E-2</v>
          </cell>
        </row>
        <row r="345">
          <cell r="Y345">
            <v>42286</v>
          </cell>
          <cell r="Z345">
            <v>1.8126339322380572E-2</v>
          </cell>
          <cell r="AA345">
            <v>1.6070950912192943E-2</v>
          </cell>
        </row>
        <row r="346">
          <cell r="Y346">
            <v>42289</v>
          </cell>
          <cell r="Z346">
            <v>1.8167635396392361E-2</v>
          </cell>
          <cell r="AA346">
            <v>1.6129135754197055E-2</v>
          </cell>
        </row>
        <row r="347">
          <cell r="Y347">
            <v>42290</v>
          </cell>
          <cell r="Z347">
            <v>1.8187843451043004E-2</v>
          </cell>
          <cell r="AA347">
            <v>1.6158310050110591E-2</v>
          </cell>
        </row>
        <row r="348">
          <cell r="Y348">
            <v>42291</v>
          </cell>
          <cell r="Z348">
            <v>1.8207996602275591E-2</v>
          </cell>
          <cell r="AA348">
            <v>1.6187321205453076E-2</v>
          </cell>
        </row>
        <row r="349">
          <cell r="Y349">
            <v>42292</v>
          </cell>
          <cell r="Z349">
            <v>1.822809588164143E-2</v>
          </cell>
          <cell r="AA349">
            <v>1.62161692203866E-2</v>
          </cell>
        </row>
        <row r="350">
          <cell r="Y350">
            <v>42293</v>
          </cell>
          <cell r="Z350">
            <v>1.8267761679781908E-2</v>
          </cell>
          <cell r="AA350">
            <v>1.6274046995160552E-2</v>
          </cell>
        </row>
        <row r="351">
          <cell r="Y351">
            <v>42296</v>
          </cell>
          <cell r="Z351">
            <v>1.8307974913042237E-2</v>
          </cell>
          <cell r="AA351">
            <v>1.6329929873761806E-2</v>
          </cell>
        </row>
        <row r="352">
          <cell r="Y352">
            <v>42297</v>
          </cell>
          <cell r="Z352">
            <v>1.8327820307923192E-2</v>
          </cell>
          <cell r="AA352">
            <v>1.6357962185353792E-2</v>
          </cell>
        </row>
        <row r="353">
          <cell r="Y353">
            <v>42298</v>
          </cell>
          <cell r="Z353">
            <v>1.8347618021191212E-2</v>
          </cell>
          <cell r="AA353">
            <v>1.6385831356212632E-2</v>
          </cell>
        </row>
        <row r="354">
          <cell r="Y354">
            <v>42299</v>
          </cell>
          <cell r="Z354">
            <v>1.8367369084710712E-2</v>
          </cell>
          <cell r="AA354">
            <v>1.6413537386338328E-2</v>
          </cell>
        </row>
        <row r="355">
          <cell r="Y355">
            <v>42300</v>
          </cell>
          <cell r="Z355">
            <v>1.8406685753672148E-2</v>
          </cell>
          <cell r="AA355">
            <v>1.6469148690712403E-2</v>
          </cell>
        </row>
        <row r="356">
          <cell r="Y356">
            <v>42303</v>
          </cell>
          <cell r="Z356">
            <v>1.8445927480133063E-2</v>
          </cell>
          <cell r="AA356">
            <v>1.6522730097807692E-2</v>
          </cell>
        </row>
        <row r="357">
          <cell r="Y357">
            <v>42304</v>
          </cell>
          <cell r="Z357">
            <v>1.8465460774409904E-2</v>
          </cell>
          <cell r="AA357">
            <v>1.6549620423295108E-2</v>
          </cell>
        </row>
        <row r="358">
          <cell r="Y358">
            <v>42305</v>
          </cell>
          <cell r="Z358">
            <v>1.8484953611040158E-2</v>
          </cell>
          <cell r="AA358">
            <v>1.6576347607725195E-2</v>
          </cell>
        </row>
        <row r="359">
          <cell r="Y359">
            <v>42306</v>
          </cell>
          <cell r="Z359">
            <v>1.8504407022190281E-2</v>
          </cell>
          <cell r="AA359">
            <v>1.6602911651178998E-2</v>
          </cell>
        </row>
        <row r="360">
          <cell r="Y360">
            <v>42307</v>
          </cell>
          <cell r="Z360">
            <v>1.8514012644114834E-2</v>
          </cell>
          <cell r="AA360">
            <v>1.6656255960405542E-2</v>
          </cell>
        </row>
        <row r="361">
          <cell r="Y361">
            <v>42310</v>
          </cell>
          <cell r="Z361">
            <v>1.8581847056807158E-2</v>
          </cell>
          <cell r="AA361">
            <v>1.6707536413610447E-2</v>
          </cell>
        </row>
        <row r="362">
          <cell r="Y362">
            <v>42311</v>
          </cell>
          <cell r="Z362">
            <v>1.8591294467676388E-2</v>
          </cell>
          <cell r="AA362">
            <v>1.6733284751129229E-2</v>
          </cell>
        </row>
        <row r="363">
          <cell r="Y363">
            <v>42312</v>
          </cell>
          <cell r="Z363">
            <v>1.8610528456588539E-2</v>
          </cell>
          <cell r="AA363">
            <v>1.6758869947509636E-2</v>
          </cell>
        </row>
        <row r="364">
          <cell r="Y364">
            <v>42313</v>
          </cell>
          <cell r="Z364">
            <v>1.8629729934798674E-2</v>
          </cell>
          <cell r="AA364">
            <v>1.6784292002508527E-2</v>
          </cell>
        </row>
        <row r="365">
          <cell r="Y365">
            <v>42314</v>
          </cell>
          <cell r="Z365">
            <v>1.8648899940424145E-2</v>
          </cell>
          <cell r="AA365">
            <v>1.6835368767390928E-2</v>
          </cell>
        </row>
        <row r="366">
          <cell r="Y366">
            <v>42317</v>
          </cell>
          <cell r="Z366">
            <v>1.8706231503574911E-2</v>
          </cell>
          <cell r="AA366">
            <v>1.6884348808932081E-2</v>
          </cell>
        </row>
        <row r="367">
          <cell r="Y367">
            <v>42318</v>
          </cell>
          <cell r="Z367">
            <v>1.8725286000846227E-2</v>
          </cell>
          <cell r="AA367">
            <v>1.6908955156942351E-2</v>
          </cell>
        </row>
        <row r="368">
          <cell r="Y368">
            <v>42319</v>
          </cell>
          <cell r="Z368">
            <v>1.8744314216727516E-2</v>
          </cell>
          <cell r="AA368">
            <v>1.693339836349006E-2</v>
          </cell>
        </row>
        <row r="369">
          <cell r="Y369">
            <v>42320</v>
          </cell>
          <cell r="Z369">
            <v>1.8763317189577942E-2</v>
          </cell>
          <cell r="AA369">
            <v>1.6957678428413114E-2</v>
          </cell>
        </row>
        <row r="370">
          <cell r="Y370">
            <v>42321</v>
          </cell>
          <cell r="Z370">
            <v>1.8782295957798074E-2</v>
          </cell>
          <cell r="AA370">
            <v>1.7006487076305365E-2</v>
          </cell>
        </row>
        <row r="371">
          <cell r="Y371">
            <v>42324</v>
          </cell>
          <cell r="Z371">
            <v>1.8839097419270732E-2</v>
          </cell>
          <cell r="AA371">
            <v>1.7053167272345071E-2</v>
          </cell>
        </row>
        <row r="372">
          <cell r="Y372">
            <v>42325</v>
          </cell>
          <cell r="Z372">
            <v>1.8857989753762312E-2</v>
          </cell>
          <cell r="AA372">
            <v>1.7076631629144856E-2</v>
          </cell>
        </row>
        <row r="373">
          <cell r="Y373">
            <v>42326</v>
          </cell>
          <cell r="Z373">
            <v>1.8876863076217842E-2</v>
          </cell>
          <cell r="AA373">
            <v>1.7099932844238941E-2</v>
          </cell>
        </row>
        <row r="374">
          <cell r="Y374">
            <v>42327</v>
          </cell>
          <cell r="Z374">
            <v>1.88957184252748E-2</v>
          </cell>
          <cell r="AA374">
            <v>1.7123070917627325E-2</v>
          </cell>
        </row>
        <row r="375">
          <cell r="Y375">
            <v>42328</v>
          </cell>
          <cell r="Z375">
            <v>1.8914556839609412E-2</v>
          </cell>
          <cell r="AA375">
            <v>1.7169610853433603E-2</v>
          </cell>
        </row>
        <row r="376">
          <cell r="Y376">
            <v>42331</v>
          </cell>
          <cell r="Z376">
            <v>1.8970980861631848E-2</v>
          </cell>
          <cell r="AA376">
            <v>1.7213991792746075E-2</v>
          </cell>
        </row>
        <row r="377">
          <cell r="Y377">
            <v>42332</v>
          </cell>
          <cell r="Z377">
            <v>1.8989761924623462E-2</v>
          </cell>
          <cell r="AA377">
            <v>1.723631415671445E-2</v>
          </cell>
        </row>
        <row r="378">
          <cell r="Y378">
            <v>42333</v>
          </cell>
          <cell r="Z378">
            <v>1.9008531246861193E-2</v>
          </cell>
          <cell r="AA378">
            <v>1.7258473378896078E-2</v>
          </cell>
        </row>
        <row r="379">
          <cell r="Y379">
            <v>42334</v>
          </cell>
          <cell r="Z379">
            <v>1.9027289867254164E-2</v>
          </cell>
          <cell r="AA379">
            <v>1.728046945904782E-2</v>
          </cell>
        </row>
        <row r="380">
          <cell r="Y380">
            <v>42335</v>
          </cell>
          <cell r="Z380">
            <v>1.9046038824751563E-2</v>
          </cell>
          <cell r="AA380">
            <v>1.7324740066681315E-2</v>
          </cell>
        </row>
        <row r="381">
          <cell r="Y381">
            <v>42338</v>
          </cell>
          <cell r="Z381">
            <v>1.9112278171193035E-2</v>
          </cell>
          <cell r="AA381">
            <v>1.7366822359355938E-2</v>
          </cell>
        </row>
        <row r="382">
          <cell r="Y382">
            <v>42339</v>
          </cell>
          <cell r="Z382">
            <v>1.9131009855281163E-2</v>
          </cell>
          <cell r="AA382">
            <v>1.7388002729277208E-2</v>
          </cell>
        </row>
        <row r="383">
          <cell r="Y383">
            <v>42340</v>
          </cell>
          <cell r="Z383">
            <v>1.9149737231704995E-2</v>
          </cell>
          <cell r="AA383">
            <v>1.7409019956925453E-2</v>
          </cell>
        </row>
        <row r="384">
          <cell r="Y384">
            <v>42341</v>
          </cell>
          <cell r="Z384">
            <v>1.9168461334028258E-2</v>
          </cell>
          <cell r="AA384">
            <v>1.7429874042462767E-2</v>
          </cell>
        </row>
        <row r="385">
          <cell r="Y385">
            <v>42342</v>
          </cell>
          <cell r="Z385">
            <v>1.9207380278485991E-2</v>
          </cell>
          <cell r="AA385">
            <v>1.7471874685385989E-2</v>
          </cell>
        </row>
        <row r="386">
          <cell r="Y386">
            <v>42345</v>
          </cell>
          <cell r="Z386">
            <v>1.9243345674922481E-2</v>
          </cell>
          <cell r="AA386">
            <v>1.751165896236806E-2</v>
          </cell>
        </row>
        <row r="387">
          <cell r="Y387">
            <v>42346</v>
          </cell>
          <cell r="Z387">
            <v>1.9262068911536388E-2</v>
          </cell>
          <cell r="AA387">
            <v>1.7531697336621299E-2</v>
          </cell>
        </row>
        <row r="388">
          <cell r="Y388">
            <v>42347</v>
          </cell>
          <cell r="Z388">
            <v>1.9280795076237277E-2</v>
          </cell>
          <cell r="AA388">
            <v>1.7551572568520468E-2</v>
          </cell>
        </row>
        <row r="389">
          <cell r="Y389">
            <v>42348</v>
          </cell>
          <cell r="Z389">
            <v>1.9299525202856369E-2</v>
          </cell>
          <cell r="AA389">
            <v>1.7571284658065567E-2</v>
          </cell>
        </row>
        <row r="390">
          <cell r="Y390">
            <v>42349</v>
          </cell>
          <cell r="Z390">
            <v>1.9338625451537774E-2</v>
          </cell>
          <cell r="AA390">
            <v>1.7611014680614101E-2</v>
          </cell>
        </row>
        <row r="391">
          <cell r="Y391">
            <v>42352</v>
          </cell>
          <cell r="Z391">
            <v>1.9374506006522945E-2</v>
          </cell>
          <cell r="AA391">
            <v>1.7648501592137933E-2</v>
          </cell>
        </row>
        <row r="392">
          <cell r="Y392">
            <v>42353</v>
          </cell>
          <cell r="Z392">
            <v>1.9393271451573546E-2</v>
          </cell>
          <cell r="AA392">
            <v>1.7667397969426402E-2</v>
          </cell>
        </row>
        <row r="393">
          <cell r="Y393">
            <v>42354</v>
          </cell>
          <cell r="Z393">
            <v>1.9412047062346834E-2</v>
          </cell>
          <cell r="AA393">
            <v>1.7686131204279754E-2</v>
          </cell>
        </row>
        <row r="394">
          <cell r="Y394">
            <v>42355</v>
          </cell>
          <cell r="Z394">
            <v>1.9430833872945971E-2</v>
          </cell>
          <cell r="AA394">
            <v>1.7704701296535896E-2</v>
          </cell>
        </row>
        <row r="395">
          <cell r="Y395">
            <v>42356</v>
          </cell>
          <cell r="Z395">
            <v>1.94701760939111E-2</v>
          </cell>
          <cell r="AA395">
            <v>1.7742160024890968E-2</v>
          </cell>
        </row>
        <row r="396">
          <cell r="Y396">
            <v>42359</v>
          </cell>
          <cell r="Z396">
            <v>1.9506113797007306E-2</v>
          </cell>
          <cell r="AA396">
            <v>1.7777350239750467E-2</v>
          </cell>
        </row>
        <row r="397">
          <cell r="Y397">
            <v>42360</v>
          </cell>
          <cell r="Z397">
            <v>1.9524972119631109E-2</v>
          </cell>
          <cell r="AA397">
            <v>1.7795104618858471E-2</v>
          </cell>
        </row>
        <row r="398">
          <cell r="Y398">
            <v>42361</v>
          </cell>
          <cell r="Z398">
            <v>1.9543847847511925E-2</v>
          </cell>
          <cell r="AA398">
            <v>1.7812695855369265E-2</v>
          </cell>
        </row>
        <row r="399">
          <cell r="Y399">
            <v>42362</v>
          </cell>
          <cell r="Z399">
            <v>1.956274201502483E-2</v>
          </cell>
          <cell r="AA399">
            <v>1.7866076330996128E-2</v>
          </cell>
        </row>
        <row r="400">
          <cell r="Y400">
            <v>42367</v>
          </cell>
          <cell r="Z400">
            <v>1.9657525230216754E-2</v>
          </cell>
          <cell r="AA400">
            <v>1.7914848505322656E-2</v>
          </cell>
        </row>
        <row r="401">
          <cell r="Y401">
            <v>42368</v>
          </cell>
          <cell r="Z401">
            <v>1.9676550583257527E-2</v>
          </cell>
          <cell r="AA401">
            <v>1.7931485115522117E-2</v>
          </cell>
        </row>
        <row r="402">
          <cell r="Y402">
            <v>42369</v>
          </cell>
          <cell r="Z402">
            <v>1.968517177460722E-2</v>
          </cell>
          <cell r="AA402">
            <v>1.7974525380672624E-2</v>
          </cell>
        </row>
        <row r="403">
          <cell r="Y403">
            <v>42373</v>
          </cell>
          <cell r="Z403">
            <v>1.9761552069424048E-2</v>
          </cell>
          <cell r="AA403">
            <v>1.8015031622455879E-2</v>
          </cell>
        </row>
        <row r="404">
          <cell r="Y404">
            <v>42374</v>
          </cell>
          <cell r="Z404">
            <v>1.9780703979710143E-2</v>
          </cell>
          <cell r="AA404">
            <v>1.8031813614932668E-2</v>
          </cell>
        </row>
        <row r="405">
          <cell r="Y405">
            <v>42375</v>
          </cell>
          <cell r="Z405">
            <v>1.9799877988302711E-2</v>
          </cell>
          <cell r="AA405">
            <v>1.8048619837897073E-2</v>
          </cell>
        </row>
        <row r="406">
          <cell r="Y406">
            <v>42376</v>
          </cell>
          <cell r="Z406">
            <v>1.9819073777018064E-2</v>
          </cell>
          <cell r="AA406">
            <v>1.8065450291268048E-2</v>
          </cell>
        </row>
        <row r="407">
          <cell r="Y407">
            <v>42377</v>
          </cell>
          <cell r="Z407">
            <v>1.9838291027661825E-2</v>
          </cell>
          <cell r="AA407">
            <v>1.8100089462009437E-2</v>
          </cell>
        </row>
        <row r="408">
          <cell r="Y408">
            <v>42380</v>
          </cell>
          <cell r="Z408">
            <v>1.9896068369043868E-2</v>
          </cell>
          <cell r="AA408">
            <v>1.8133014408655557E-2</v>
          </cell>
        </row>
        <row r="409">
          <cell r="Y409">
            <v>42381</v>
          </cell>
          <cell r="Z409">
            <v>1.9915368285225912E-2</v>
          </cell>
          <cell r="AA409">
            <v>1.8149966014059382E-2</v>
          </cell>
        </row>
        <row r="410">
          <cell r="Y410">
            <v>42382</v>
          </cell>
          <cell r="Z410">
            <v>1.9934688072190804E-2</v>
          </cell>
          <cell r="AA410">
            <v>1.8166941849869778E-2</v>
          </cell>
        </row>
        <row r="411">
          <cell r="Y411">
            <v>42383</v>
          </cell>
          <cell r="Z411">
            <v>1.9954027411675585E-2</v>
          </cell>
          <cell r="AA411">
            <v>1.8183941916086743E-2</v>
          </cell>
        </row>
        <row r="412">
          <cell r="Y412">
            <v>42384</v>
          </cell>
          <cell r="Z412">
            <v>1.9973385985405278E-2</v>
          </cell>
          <cell r="AA412">
            <v>1.8218932136632175E-2</v>
          </cell>
        </row>
        <row r="413">
          <cell r="Y413">
            <v>42387</v>
          </cell>
          <cell r="Z413">
            <v>2.0031573929135463E-2</v>
          </cell>
          <cell r="AA413">
            <v>1.8252184485425538E-2</v>
          </cell>
        </row>
        <row r="414">
          <cell r="Y414">
            <v>42388</v>
          </cell>
          <cell r="Z414">
            <v>2.0051006256858996E-2</v>
          </cell>
          <cell r="AA414">
            <v>1.8269305703837446E-2</v>
          </cell>
        </row>
        <row r="415">
          <cell r="Y415">
            <v>42389</v>
          </cell>
          <cell r="Z415">
            <v>2.0070456227276202E-2</v>
          </cell>
          <cell r="AA415">
            <v>1.8286451152655925E-2</v>
          </cell>
        </row>
        <row r="416">
          <cell r="Y416">
            <v>42390</v>
          </cell>
          <cell r="Z416">
            <v>2.0089923522041298E-2</v>
          </cell>
          <cell r="AA416">
            <v>1.830362083196202E-2</v>
          </cell>
        </row>
        <row r="417">
          <cell r="Y417">
            <v>42391</v>
          </cell>
          <cell r="Z417">
            <v>2.0109407822798259E-2</v>
          </cell>
          <cell r="AA417">
            <v>1.8338962299253952E-2</v>
          </cell>
        </row>
        <row r="418">
          <cell r="Y418">
            <v>42394</v>
          </cell>
          <cell r="Z418">
            <v>2.0167959577264589E-2</v>
          </cell>
          <cell r="AA418">
            <v>1.8372541853738378E-2</v>
          </cell>
        </row>
        <row r="419">
          <cell r="Y419">
            <v>42395</v>
          </cell>
          <cell r="Z419">
            <v>2.0187508718176268E-2</v>
          </cell>
          <cell r="AA419">
            <v>1.8389832685401508E-2</v>
          </cell>
        </row>
        <row r="420">
          <cell r="Y420">
            <v>42396</v>
          </cell>
          <cell r="Z420">
            <v>2.020707327311488E-2</v>
          </cell>
          <cell r="AA420">
            <v>1.8407147747390162E-2</v>
          </cell>
        </row>
        <row r="421">
          <cell r="Y421">
            <v>42397</v>
          </cell>
          <cell r="Z421">
            <v>2.0226652923651819E-2</v>
          </cell>
          <cell r="AA421">
            <v>1.8424487039947479E-2</v>
          </cell>
        </row>
        <row r="422">
          <cell r="Y422">
            <v>42398</v>
          </cell>
          <cell r="Z422">
            <v>2.0246247351346891E-2</v>
          </cell>
          <cell r="AA422">
            <v>1.846017995333275E-2</v>
          </cell>
        </row>
        <row r="423">
          <cell r="Y423">
            <v>42401</v>
          </cell>
          <cell r="Z423">
            <v>2.0305116112790674E-2</v>
          </cell>
          <cell r="AA423">
            <v>1.8494086514890817E-2</v>
          </cell>
        </row>
        <row r="424">
          <cell r="Y424">
            <v>42402</v>
          </cell>
          <cell r="Z424">
            <v>2.0324766464470147E-2</v>
          </cell>
          <cell r="AA424">
            <v>1.8511546959886216E-2</v>
          </cell>
        </row>
        <row r="425">
          <cell r="Y425">
            <v>42403</v>
          </cell>
          <cell r="Z425">
            <v>2.0344430000923345E-2</v>
          </cell>
          <cell r="AA425">
            <v>1.8529031635288185E-2</v>
          </cell>
        </row>
        <row r="426">
          <cell r="Y426">
            <v>42404</v>
          </cell>
          <cell r="Z426">
            <v>2.0364106403637939E-2</v>
          </cell>
          <cell r="AA426">
            <v>1.8546540541258816E-2</v>
          </cell>
        </row>
        <row r="427">
          <cell r="Y427">
            <v>42405</v>
          </cell>
          <cell r="Z427">
            <v>2.0383795354088238E-2</v>
          </cell>
          <cell r="AA427">
            <v>1.8582585102461618E-2</v>
          </cell>
        </row>
        <row r="428">
          <cell r="Y428">
            <v>42408</v>
          </cell>
          <cell r="Z428">
            <v>2.0442934306421499E-2</v>
          </cell>
          <cell r="AA428">
            <v>1.8616818470017504E-2</v>
          </cell>
        </row>
        <row r="429">
          <cell r="Y429">
            <v>42409</v>
          </cell>
          <cell r="Z429">
            <v>2.0462670262321292E-2</v>
          </cell>
          <cell r="AA429">
            <v>1.8634448528507264E-2</v>
          </cell>
        </row>
        <row r="430">
          <cell r="Y430">
            <v>42410</v>
          </cell>
          <cell r="Z430">
            <v>2.0482417173148443E-2</v>
          </cell>
          <cell r="AA430">
            <v>1.8652102817565686E-2</v>
          </cell>
        </row>
        <row r="431">
          <cell r="Y431">
            <v>42411</v>
          </cell>
          <cell r="Z431">
            <v>2.0502174720304685E-2</v>
          </cell>
          <cell r="AA431">
            <v>1.8669781337030678E-2</v>
          </cell>
        </row>
        <row r="432">
          <cell r="Y432">
            <v>42412</v>
          </cell>
          <cell r="Z432">
            <v>2.0521942585179719E-2</v>
          </cell>
          <cell r="AA432">
            <v>1.8706177750206592E-2</v>
          </cell>
        </row>
        <row r="433">
          <cell r="Y433">
            <v>42415</v>
          </cell>
          <cell r="Z433">
            <v>2.0581304899824453E-2</v>
          </cell>
          <cell r="AA433">
            <v>1.8740737720334133E-2</v>
          </cell>
        </row>
        <row r="434">
          <cell r="Y434">
            <v>42416</v>
          </cell>
          <cell r="Z434">
            <v>2.0601110849220974E-2</v>
          </cell>
          <cell r="AA434">
            <v>1.8758537392561392E-2</v>
          </cell>
        </row>
        <row r="435">
          <cell r="Y435">
            <v>42417</v>
          </cell>
          <cell r="Z435">
            <v>2.0620925523098663E-2</v>
          </cell>
          <cell r="AA435">
            <v>1.8776361295276267E-2</v>
          </cell>
        </row>
        <row r="436">
          <cell r="Y436">
            <v>42418</v>
          </cell>
          <cell r="Z436">
            <v>2.0640748602771968E-2</v>
          </cell>
          <cell r="AA436">
            <v>1.8794209428478759E-2</v>
          </cell>
        </row>
        <row r="437">
          <cell r="Y437">
            <v>42419</v>
          </cell>
          <cell r="Z437">
            <v>2.0660579769544645E-2</v>
          </cell>
          <cell r="AA437">
            <v>1.8830957900187743E-2</v>
          </cell>
        </row>
        <row r="438">
          <cell r="Y438">
            <v>42422</v>
          </cell>
          <cell r="Z438">
            <v>2.0720118605301447E-2</v>
          </cell>
          <cell r="AA438">
            <v>1.8865844267056397E-2</v>
          </cell>
        </row>
        <row r="439">
          <cell r="Y439">
            <v>42423</v>
          </cell>
          <cell r="Z439">
            <v>2.0739978933253588E-2</v>
          </cell>
          <cell r="AA439">
            <v>1.8883813553102202E-2</v>
          </cell>
        </row>
        <row r="440">
          <cell r="Y440">
            <v>42424</v>
          </cell>
          <cell r="Z440">
            <v>2.0759845754633303E-2</v>
          </cell>
          <cell r="AA440">
            <v>1.890180706971667E-2</v>
          </cell>
        </row>
        <row r="441">
          <cell r="Y441">
            <v>42425</v>
          </cell>
          <cell r="Z441">
            <v>2.0779718750669984E-2</v>
          </cell>
          <cell r="AA441">
            <v>1.89198248168998E-2</v>
          </cell>
        </row>
        <row r="442">
          <cell r="Y442">
            <v>42426</v>
          </cell>
          <cell r="Z442">
            <v>2.0799597602579659E-2</v>
          </cell>
          <cell r="AA442">
            <v>1.8956925556079161E-2</v>
          </cell>
        </row>
        <row r="443">
          <cell r="Y443">
            <v>42429</v>
          </cell>
          <cell r="Z443">
            <v>2.088059733042839E-2</v>
          </cell>
          <cell r="AA443">
            <v>1.8992138111399992E-2</v>
          </cell>
        </row>
        <row r="444">
          <cell r="Y444">
            <v>42430</v>
          </cell>
          <cell r="Z444">
            <v>2.0900489650967139E-2</v>
          </cell>
          <cell r="AA444">
            <v>1.9010277011507482E-2</v>
          </cell>
        </row>
        <row r="445">
          <cell r="Y445">
            <v>42431</v>
          </cell>
          <cell r="Z445">
            <v>2.092038582659116E-2</v>
          </cell>
          <cell r="AA445">
            <v>1.9028440142183634E-2</v>
          </cell>
        </row>
        <row r="446">
          <cell r="Y446">
            <v>42432</v>
          </cell>
          <cell r="Z446">
            <v>2.0961574761480254E-2</v>
          </cell>
          <cell r="AA446">
            <v>1.9046627503428448E-2</v>
          </cell>
        </row>
        <row r="447">
          <cell r="Y447">
            <v>42433</v>
          </cell>
          <cell r="Z447">
            <v>2.097083151646217E-2</v>
          </cell>
          <cell r="AA447">
            <v>1.9084080721527934E-2</v>
          </cell>
        </row>
        <row r="448">
          <cell r="Y448">
            <v>42436</v>
          </cell>
          <cell r="Z448">
            <v>2.1019913490088121E-2</v>
          </cell>
          <cell r="AA448">
            <v>1.9119619254580611E-2</v>
          </cell>
        </row>
        <row r="449">
          <cell r="Y449">
            <v>42437</v>
          </cell>
          <cell r="Z449">
            <v>2.1039826171508715E-2</v>
          </cell>
          <cell r="AA449">
            <v>1.9137927768911878E-2</v>
          </cell>
        </row>
        <row r="450">
          <cell r="Y450">
            <v>42438</v>
          </cell>
          <cell r="Z450">
            <v>2.1059740499659793E-2</v>
          </cell>
          <cell r="AA450">
            <v>1.9156260513811807E-2</v>
          </cell>
        </row>
        <row r="451">
          <cell r="Y451">
            <v>42439</v>
          </cell>
          <cell r="Z451">
            <v>2.1100878042669038E-2</v>
          </cell>
          <cell r="AA451">
            <v>1.9174617489361445E-2</v>
          </cell>
        </row>
        <row r="452">
          <cell r="Y452">
            <v>42440</v>
          </cell>
          <cell r="Z452">
            <v>2.1110181276530415E-2</v>
          </cell>
          <cell r="AA452">
            <v>1.9212423400289207E-2</v>
          </cell>
        </row>
        <row r="453">
          <cell r="Y453">
            <v>42443</v>
          </cell>
          <cell r="Z453">
            <v>2.1159325797405492E-2</v>
          </cell>
          <cell r="AA453">
            <v>1.9248287697894995E-2</v>
          </cell>
        </row>
        <row r="454">
          <cell r="Y454">
            <v>42444</v>
          </cell>
          <cell r="Z454">
            <v>2.1179243379384156E-2</v>
          </cell>
          <cell r="AA454">
            <v>1.9266765826612131E-2</v>
          </cell>
        </row>
        <row r="455">
          <cell r="Y455">
            <v>42445</v>
          </cell>
          <cell r="Z455">
            <v>2.1199160399124947E-2</v>
          </cell>
          <cell r="AA455">
            <v>1.9285268185978977E-2</v>
          </cell>
        </row>
        <row r="456">
          <cell r="Y456">
            <v>42446</v>
          </cell>
          <cell r="Z456">
            <v>2.1240213061369185E-2</v>
          </cell>
          <cell r="AA456">
            <v>1.9303794775995531E-2</v>
          </cell>
        </row>
        <row r="457">
          <cell r="Y457">
            <v>42447</v>
          </cell>
          <cell r="Z457">
            <v>2.124955635963351E-2</v>
          </cell>
          <cell r="AA457">
            <v>1.9341953596091109E-2</v>
          </cell>
        </row>
        <row r="458">
          <cell r="Y458">
            <v>42450</v>
          </cell>
          <cell r="Z458">
            <v>2.1298726017217145E-2</v>
          </cell>
          <cell r="AA458">
            <v>1.9378143442558837E-2</v>
          </cell>
        </row>
        <row r="459">
          <cell r="Y459">
            <v>42451</v>
          </cell>
          <cell r="Z459">
            <v>2.1318633035130687E-2</v>
          </cell>
          <cell r="AA459">
            <v>1.9396791185823936E-2</v>
          </cell>
        </row>
        <row r="460">
          <cell r="Y460">
            <v>42452</v>
          </cell>
          <cell r="Z460">
            <v>2.1338537281222661E-2</v>
          </cell>
          <cell r="AA460">
            <v>1.941546315981979E-2</v>
          </cell>
        </row>
        <row r="461">
          <cell r="Y461">
            <v>42453</v>
          </cell>
          <cell r="Z461">
            <v>2.1379472716314522E-2</v>
          </cell>
          <cell r="AA461">
            <v>1.947372631367883E-2</v>
          </cell>
        </row>
        <row r="462">
          <cell r="Y462">
            <v>42458</v>
          </cell>
          <cell r="Z462">
            <v>2.1457886869184761E-2</v>
          </cell>
          <cell r="AA462">
            <v>1.9528003847844033E-2</v>
          </cell>
        </row>
        <row r="463">
          <cell r="Y463">
            <v>42459</v>
          </cell>
          <cell r="Z463">
            <v>2.1477762872092614E-2</v>
          </cell>
          <cell r="AA463">
            <v>1.9546845436549942E-2</v>
          </cell>
        </row>
        <row r="464">
          <cell r="Y464">
            <v>42460</v>
          </cell>
          <cell r="Z464">
            <v>2.1487163631389288E-2</v>
          </cell>
          <cell r="AA464">
            <v>1.9565711255986606E-2</v>
          </cell>
        </row>
        <row r="465">
          <cell r="Y465">
            <v>42461</v>
          </cell>
          <cell r="Z465">
            <v>2.1527951761458414E-2</v>
          </cell>
          <cell r="AA465">
            <v>1.9604576554080509E-2</v>
          </cell>
        </row>
        <row r="466">
          <cell r="Y466">
            <v>42464</v>
          </cell>
          <cell r="Z466">
            <v>2.1566623763329441E-2</v>
          </cell>
          <cell r="AA466">
            <v>1.9641416840878723E-2</v>
          </cell>
        </row>
        <row r="467">
          <cell r="Y467">
            <v>42465</v>
          </cell>
          <cell r="Z467">
            <v>2.1586472758942533E-2</v>
          </cell>
          <cell r="AA467">
            <v>1.9660403813888117E-2</v>
          </cell>
        </row>
        <row r="468">
          <cell r="Y468">
            <v>42466</v>
          </cell>
          <cell r="Z468">
            <v>2.1606314704492896E-2</v>
          </cell>
          <cell r="AA468">
            <v>1.9679415017628266E-2</v>
          </cell>
        </row>
        <row r="469">
          <cell r="Y469">
            <v>42467</v>
          </cell>
          <cell r="Z469">
            <v>2.162614928240178E-2</v>
          </cell>
          <cell r="AA469">
            <v>1.969845045209917E-2</v>
          </cell>
        </row>
        <row r="470">
          <cell r="Y470">
            <v>42468</v>
          </cell>
          <cell r="Z470">
            <v>2.1666756638321634E-2</v>
          </cell>
          <cell r="AA470">
            <v>1.9737669323940391E-2</v>
          </cell>
        </row>
        <row r="471">
          <cell r="Y471">
            <v>42471</v>
          </cell>
          <cell r="Z471">
            <v>2.170540756560968E-2</v>
          </cell>
          <cell r="AA471">
            <v>1.9774834497209293E-2</v>
          </cell>
        </row>
        <row r="472">
          <cell r="Y472">
            <v>42472</v>
          </cell>
          <cell r="Z472">
            <v>2.1725200541194235E-2</v>
          </cell>
          <cell r="AA472">
            <v>1.9793991085333973E-2</v>
          </cell>
        </row>
        <row r="473">
          <cell r="Y473">
            <v>42473</v>
          </cell>
          <cell r="Z473">
            <v>2.1744984243403997E-2</v>
          </cell>
          <cell r="AA473">
            <v>1.9813171904189408E-2</v>
          </cell>
        </row>
        <row r="474">
          <cell r="Y474">
            <v>42474</v>
          </cell>
          <cell r="Z474">
            <v>2.1764758354573418E-2</v>
          </cell>
          <cell r="AA474">
            <v>1.9832376953856645E-2</v>
          </cell>
        </row>
        <row r="475">
          <cell r="Y475">
            <v>42475</v>
          </cell>
          <cell r="Z475">
            <v>2.1805155954707559E-2</v>
          </cell>
          <cell r="AA475">
            <v>1.9871949626266708E-2</v>
          </cell>
        </row>
        <row r="476">
          <cell r="Y476">
            <v>42478</v>
          </cell>
          <cell r="Z476">
            <v>2.1843752535111116E-2</v>
          </cell>
          <cell r="AA476">
            <v>1.9909439459995237E-2</v>
          </cell>
        </row>
        <row r="477">
          <cell r="Y477">
            <v>42479</v>
          </cell>
          <cell r="Z477">
            <v>2.1863473925668231E-2</v>
          </cell>
          <cell r="AA477">
            <v>1.9928765663478343E-2</v>
          </cell>
        </row>
        <row r="478">
          <cell r="Y478">
            <v>42480</v>
          </cell>
          <cell r="Z478">
            <v>2.1883183818934854E-2</v>
          </cell>
          <cell r="AA478">
            <v>1.9948116097692203E-2</v>
          </cell>
        </row>
        <row r="479">
          <cell r="Y479">
            <v>42481</v>
          </cell>
          <cell r="Z479">
            <v>2.1902881897159068E-2</v>
          </cell>
          <cell r="AA479">
            <v>1.9967490762717865E-2</v>
          </cell>
        </row>
        <row r="480">
          <cell r="Y480">
            <v>42482</v>
          </cell>
          <cell r="Z480">
            <v>2.1943041915134825E-2</v>
          </cell>
          <cell r="AA480">
            <v>2.0007417464922666E-2</v>
          </cell>
        </row>
        <row r="481">
          <cell r="Y481">
            <v>42485</v>
          </cell>
          <cell r="Z481">
            <v>2.1981549704183159E-2</v>
          </cell>
          <cell r="AA481">
            <v>2.0045231730614343E-2</v>
          </cell>
        </row>
        <row r="482">
          <cell r="Y482">
            <v>42486</v>
          </cell>
          <cell r="Z482">
            <v>2.2001183940501746E-2</v>
          </cell>
          <cell r="AA482">
            <v>2.0064727549617967E-2</v>
          </cell>
        </row>
        <row r="483">
          <cell r="Y483">
            <v>42487</v>
          </cell>
          <cell r="Z483">
            <v>2.2020804455014923E-2</v>
          </cell>
          <cell r="AA483">
            <v>2.0084247599352345E-2</v>
          </cell>
        </row>
        <row r="484">
          <cell r="Y484">
            <v>42488</v>
          </cell>
          <cell r="Z484">
            <v>2.2040410929886189E-2</v>
          </cell>
          <cell r="AA484">
            <v>2.0103791879898525E-2</v>
          </cell>
        </row>
        <row r="485">
          <cell r="Y485">
            <v>42489</v>
          </cell>
          <cell r="Z485">
            <v>2.2080306694688259E-2</v>
          </cell>
          <cell r="AA485">
            <v>2.0154442841230635E-2</v>
          </cell>
        </row>
        <row r="486">
          <cell r="Y486">
            <v>42493</v>
          </cell>
          <cell r="Z486">
            <v>2.2148327182843024E-2</v>
          </cell>
          <cell r="AA486">
            <v>2.0201876744968539E-2</v>
          </cell>
        </row>
        <row r="487">
          <cell r="Y487">
            <v>42494</v>
          </cell>
          <cell r="Z487">
            <v>2.2167829777616565E-2</v>
          </cell>
          <cell r="AA487">
            <v>2.022156641054762E-2</v>
          </cell>
        </row>
        <row r="488">
          <cell r="Y488">
            <v>42495</v>
          </cell>
          <cell r="Z488">
            <v>2.220744656112467E-2</v>
          </cell>
          <cell r="AA488">
            <v>2.024128030677641E-2</v>
          </cell>
        </row>
        <row r="489">
          <cell r="Y489">
            <v>42496</v>
          </cell>
          <cell r="Z489">
            <v>2.2216842439329473E-2</v>
          </cell>
          <cell r="AA489">
            <v>2.0281915767270679E-2</v>
          </cell>
        </row>
        <row r="490">
          <cell r="Y490">
            <v>42499</v>
          </cell>
          <cell r="Z490">
            <v>2.2265091052047846E-2</v>
          </cell>
          <cell r="AA490">
            <v>2.0320378200539002E-2</v>
          </cell>
        </row>
        <row r="491">
          <cell r="Y491">
            <v>42500</v>
          </cell>
          <cell r="Z491">
            <v>2.2284490753254536E-2</v>
          </cell>
          <cell r="AA491">
            <v>2.0340213251150985E-2</v>
          </cell>
        </row>
        <row r="492">
          <cell r="Y492">
            <v>42501</v>
          </cell>
          <cell r="Z492">
            <v>2.2303872198582538E-2</v>
          </cell>
          <cell r="AA492">
            <v>2.0360072532493723E-2</v>
          </cell>
        </row>
        <row r="493">
          <cell r="Y493">
            <v>42502</v>
          </cell>
          <cell r="Z493">
            <v>2.2343177324567459E-2</v>
          </cell>
          <cell r="AA493">
            <v>2.0379956044810354E-2</v>
          </cell>
        </row>
        <row r="494">
          <cell r="Y494">
            <v>42503</v>
          </cell>
          <cell r="Z494">
            <v>2.2352541266256527E-2</v>
          </cell>
          <cell r="AA494">
            <v>2.0420946238959296E-2</v>
          </cell>
        </row>
        <row r="495">
          <cell r="Y495">
            <v>42506</v>
          </cell>
          <cell r="Z495">
            <v>2.2400494516028671E-2</v>
          </cell>
          <cell r="AA495">
            <v>2.0459732402519082E-2</v>
          </cell>
        </row>
        <row r="496">
          <cell r="Y496">
            <v>42507</v>
          </cell>
          <cell r="Z496">
            <v>2.241975978331379E-2</v>
          </cell>
          <cell r="AA496">
            <v>2.0479737069218906E-2</v>
          </cell>
        </row>
        <row r="497">
          <cell r="Y497">
            <v>42508</v>
          </cell>
          <cell r="Z497">
            <v>2.2439004580354353E-2</v>
          </cell>
          <cell r="AA497">
            <v>2.0499765966730532E-2</v>
          </cell>
        </row>
        <row r="498">
          <cell r="Y498">
            <v>42509</v>
          </cell>
          <cell r="Z498">
            <v>2.2477974844768375E-2</v>
          </cell>
          <cell r="AA498">
            <v>2.0519819095053959E-2</v>
          </cell>
        </row>
        <row r="499">
          <cell r="Y499">
            <v>42510</v>
          </cell>
          <cell r="Z499">
            <v>2.2487295264330645E-2</v>
          </cell>
          <cell r="AA499">
            <v>2.056116426307875E-2</v>
          </cell>
        </row>
        <row r="500">
          <cell r="Y500">
            <v>42513</v>
          </cell>
          <cell r="Z500">
            <v>2.2534910438052363E-2</v>
          </cell>
          <cell r="AA500">
            <v>2.0600273917681378E-2</v>
          </cell>
        </row>
        <row r="501">
          <cell r="Y501">
            <v>42514</v>
          </cell>
          <cell r="Z501">
            <v>2.2554025769162132E-2</v>
          </cell>
          <cell r="AA501">
            <v>2.0620448200631136E-2</v>
          </cell>
        </row>
        <row r="502">
          <cell r="Y502">
            <v>42515</v>
          </cell>
          <cell r="Z502">
            <v>2.2573118415099007E-2</v>
          </cell>
          <cell r="AA502">
            <v>2.0640646714473743E-2</v>
          </cell>
        </row>
        <row r="503">
          <cell r="Y503">
            <v>42516</v>
          </cell>
          <cell r="Z503">
            <v>2.2611731757206373E-2</v>
          </cell>
          <cell r="AA503">
            <v>2.0660869459209197E-2</v>
          </cell>
        </row>
        <row r="504">
          <cell r="Y504">
            <v>42517</v>
          </cell>
          <cell r="Z504">
            <v>2.262099649455546E-2</v>
          </cell>
          <cell r="AA504">
            <v>2.0713310424665121E-2</v>
          </cell>
        </row>
        <row r="505">
          <cell r="Y505">
            <v>42521</v>
          </cell>
          <cell r="Z505">
            <v>2.2677467422522617E-2</v>
          </cell>
          <cell r="AA505">
            <v>2.0762346646765462E-2</v>
          </cell>
        </row>
        <row r="506">
          <cell r="Y506">
            <v>42522</v>
          </cell>
          <cell r="Z506">
            <v>2.2696407352420716E-2</v>
          </cell>
          <cell r="AA506">
            <v>2.0782714777101141E-2</v>
          </cell>
        </row>
        <row r="507">
          <cell r="Y507">
            <v>42523</v>
          </cell>
          <cell r="Z507">
            <v>2.2715322111001239E-2</v>
          </cell>
          <cell r="AA507">
            <v>2.0803107138410715E-2</v>
          </cell>
        </row>
        <row r="508">
          <cell r="Y508">
            <v>42524</v>
          </cell>
          <cell r="Z508">
            <v>2.2753536990618078E-2</v>
          </cell>
          <cell r="AA508">
            <v>2.0845162985116593E-2</v>
          </cell>
        </row>
        <row r="509">
          <cell r="Y509">
            <v>42527</v>
          </cell>
          <cell r="Z509">
            <v>2.279072306693258E-2</v>
          </cell>
          <cell r="AA509">
            <v>2.0884918893063764E-2</v>
          </cell>
        </row>
        <row r="510">
          <cell r="Y510">
            <v>42528</v>
          </cell>
          <cell r="Z510">
            <v>2.2809507194917977E-2</v>
          </cell>
          <cell r="AA510">
            <v>2.0905432409080715E-2</v>
          </cell>
        </row>
        <row r="511">
          <cell r="Y511">
            <v>42529</v>
          </cell>
          <cell r="Z511">
            <v>2.2828264241906902E-2</v>
          </cell>
          <cell r="AA511">
            <v>2.0925970156152607E-2</v>
          </cell>
        </row>
        <row r="512">
          <cell r="Y512">
            <v>42530</v>
          </cell>
          <cell r="Z512">
            <v>2.2846993889581894E-2</v>
          </cell>
          <cell r="AA512">
            <v>2.0946532134117346E-2</v>
          </cell>
        </row>
        <row r="513">
          <cell r="Y513">
            <v>42531</v>
          </cell>
          <cell r="Z513">
            <v>2.2884808759487927E-2</v>
          </cell>
          <cell r="AA513">
            <v>2.0988943691328719E-2</v>
          </cell>
        </row>
        <row r="514">
          <cell r="Y514">
            <v>42534</v>
          </cell>
          <cell r="Z514">
            <v>2.2921632120415064E-2</v>
          </cell>
          <cell r="AA514">
            <v>2.1029022355958382E-2</v>
          </cell>
        </row>
        <row r="515">
          <cell r="Y515">
            <v>42535</v>
          </cell>
          <cell r="Z515">
            <v>2.2940219996382905E-2</v>
          </cell>
          <cell r="AA515">
            <v>2.1049705488954684E-2</v>
          </cell>
        </row>
        <row r="516">
          <cell r="Y516">
            <v>42536</v>
          </cell>
          <cell r="Z516">
            <v>2.2958778562907508E-2</v>
          </cell>
          <cell r="AA516">
            <v>2.1070412852843834E-2</v>
          </cell>
        </row>
        <row r="517">
          <cell r="Y517">
            <v>42537</v>
          </cell>
          <cell r="Z517">
            <v>2.2977307501597891E-2</v>
          </cell>
          <cell r="AA517">
            <v>2.1091144447787924E-2</v>
          </cell>
        </row>
        <row r="518">
          <cell r="Y518">
            <v>42538</v>
          </cell>
          <cell r="Z518">
            <v>2.3014703782070826E-2</v>
          </cell>
          <cell r="AA518">
            <v>2.1133911966613187E-2</v>
          </cell>
        </row>
        <row r="519">
          <cell r="Y519">
            <v>42541</v>
          </cell>
          <cell r="Z519">
            <v>2.3051120609826111E-2</v>
          </cell>
          <cell r="AA519">
            <v>2.117431313762741E-2</v>
          </cell>
        </row>
        <row r="520">
          <cell r="Y520">
            <v>42542</v>
          </cell>
          <cell r="Z520">
            <v>2.3069496633111815E-2</v>
          </cell>
          <cell r="AA520">
            <v>2.1195165887684109E-2</v>
          </cell>
        </row>
        <row r="521">
          <cell r="Y521">
            <v>42543</v>
          </cell>
          <cell r="Z521">
            <v>2.3087841117997766E-2</v>
          </cell>
          <cell r="AA521">
            <v>2.1216042868714702E-2</v>
          </cell>
        </row>
        <row r="522">
          <cell r="Y522">
            <v>42544</v>
          </cell>
          <cell r="Z522">
            <v>2.3106153746021679E-2</v>
          </cell>
          <cell r="AA522">
            <v>2.1236944080800235E-2</v>
          </cell>
        </row>
        <row r="523">
          <cell r="Y523">
            <v>42545</v>
          </cell>
          <cell r="Z523">
            <v>2.3161753615068136E-2</v>
          </cell>
          <cell r="AA523">
            <v>2.1280067815184399E-2</v>
          </cell>
        </row>
        <row r="524">
          <cell r="Y524">
            <v>42548</v>
          </cell>
          <cell r="Z524">
            <v>2.3188377519401091E-2</v>
          </cell>
          <cell r="AA524">
            <v>2.132078166310114E-2</v>
          </cell>
        </row>
        <row r="525">
          <cell r="Y525">
            <v>42549</v>
          </cell>
          <cell r="Z525">
            <v>2.3197227939233078E-2</v>
          </cell>
          <cell r="AA525">
            <v>2.1341746571890141E-2</v>
          </cell>
        </row>
        <row r="526">
          <cell r="Y526">
            <v>42550</v>
          </cell>
          <cell r="Z526">
            <v>2.3215343108353135E-2</v>
          </cell>
          <cell r="AA526">
            <v>2.1362678253081802E-2</v>
          </cell>
        </row>
        <row r="527">
          <cell r="Y527">
            <v>42551</v>
          </cell>
          <cell r="Z527">
            <v>2.3233424826337369E-2</v>
          </cell>
          <cell r="AA527">
            <v>2.1383576707000307E-2</v>
          </cell>
        </row>
        <row r="528">
          <cell r="Y528">
            <v>42552</v>
          </cell>
          <cell r="Z528">
            <v>2.3279150465783514E-2</v>
          </cell>
          <cell r="AA528">
            <v>2.1426520529582348E-2</v>
          </cell>
        </row>
        <row r="529">
          <cell r="Y529">
            <v>42555</v>
          </cell>
          <cell r="Z529">
            <v>2.3314606245875301E-2</v>
          </cell>
          <cell r="AA529">
            <v>2.1466838247430342E-2</v>
          </cell>
        </row>
        <row r="530">
          <cell r="Y530">
            <v>42556</v>
          </cell>
          <cell r="Z530">
            <v>2.3332505099003156E-2</v>
          </cell>
          <cell r="AA530">
            <v>2.1487570563767378E-2</v>
          </cell>
        </row>
        <row r="531">
          <cell r="Y531">
            <v>42557</v>
          </cell>
          <cell r="Z531">
            <v>2.3350370493908548E-2</v>
          </cell>
          <cell r="AA531">
            <v>2.1508269652588119E-2</v>
          </cell>
        </row>
        <row r="532">
          <cell r="Y532">
            <v>42558</v>
          </cell>
          <cell r="Z532">
            <v>2.3386456784722388E-2</v>
          </cell>
          <cell r="AA532">
            <v>2.1528935513973613E-2</v>
          </cell>
        </row>
        <row r="533">
          <cell r="Y533">
            <v>42559</v>
          </cell>
          <cell r="Z533">
            <v>2.339511751701721E-2</v>
          </cell>
          <cell r="AA533">
            <v>2.157143121975532E-2</v>
          </cell>
        </row>
        <row r="534">
          <cell r="Y534">
            <v>42562</v>
          </cell>
          <cell r="Z534">
            <v>2.3439195563787422E-2</v>
          </cell>
          <cell r="AA534">
            <v>2.1611266683947417E-2</v>
          </cell>
        </row>
        <row r="535">
          <cell r="Y535">
            <v>42563</v>
          </cell>
          <cell r="Z535">
            <v>2.3456860190594515E-2</v>
          </cell>
          <cell r="AA535">
            <v>2.1631766407670394E-2</v>
          </cell>
        </row>
        <row r="536">
          <cell r="Y536">
            <v>42564</v>
          </cell>
          <cell r="Z536">
            <v>2.3474491352940784E-2</v>
          </cell>
          <cell r="AA536">
            <v>2.1652232903796031E-2</v>
          </cell>
        </row>
        <row r="537">
          <cell r="Y537">
            <v>42571</v>
          </cell>
          <cell r="Z537">
            <v>2.3596972410349241E-2</v>
          </cell>
          <cell r="AA537">
            <v>2.1794568004679382E-2</v>
          </cell>
        </row>
        <row r="538">
          <cell r="Y538">
            <v>42578</v>
          </cell>
          <cell r="Z538">
            <v>2.3717813365012629E-2</v>
          </cell>
          <cell r="AA538">
            <v>2.1935274953536199E-2</v>
          </cell>
        </row>
        <row r="539">
          <cell r="Y539">
            <v>42585</v>
          </cell>
          <cell r="Z539">
            <v>2.3837013919829817E-2</v>
          </cell>
          <cell r="AA539">
            <v>2.2074353748340325E-2</v>
          </cell>
        </row>
        <row r="540">
          <cell r="Y540">
            <v>42592</v>
          </cell>
          <cell r="Z540">
            <v>2.3954573781720712E-2</v>
          </cell>
          <cell r="AA540">
            <v>2.2211804387227696E-2</v>
          </cell>
        </row>
        <row r="541">
          <cell r="Y541">
            <v>42599</v>
          </cell>
          <cell r="Z541">
            <v>2.4070492661628914E-2</v>
          </cell>
          <cell r="AA541">
            <v>2.234762686849634E-2</v>
          </cell>
        </row>
        <row r="542">
          <cell r="Y542">
            <v>42606</v>
          </cell>
          <cell r="Z542">
            <v>2.418477027452038E-2</v>
          </cell>
          <cell r="AA542">
            <v>2.2481821190120099E-2</v>
          </cell>
        </row>
        <row r="543">
          <cell r="Y543">
            <v>42613</v>
          </cell>
          <cell r="Z543">
            <v>2.4272531074038265E-2</v>
          </cell>
          <cell r="AA543">
            <v>2.2614387350478049E-2</v>
          </cell>
        </row>
        <row r="544">
          <cell r="Y544">
            <v>42620</v>
          </cell>
          <cell r="Z544">
            <v>2.4383855112652061E-2</v>
          </cell>
          <cell r="AA544">
            <v>2.2745325347706125E-2</v>
          </cell>
        </row>
        <row r="545">
          <cell r="Y545">
            <v>42627</v>
          </cell>
          <cell r="Z545">
            <v>2.4493537338113609E-2</v>
          </cell>
          <cell r="AA545">
            <v>2.2874635180102354E-2</v>
          </cell>
        </row>
        <row r="546">
          <cell r="Y546">
            <v>42634</v>
          </cell>
          <cell r="Z546">
            <v>2.4601577485080069E-2</v>
          </cell>
          <cell r="AA546">
            <v>2.3002316845964765E-2</v>
          </cell>
        </row>
        <row r="547">
          <cell r="Y547">
            <v>42641</v>
          </cell>
          <cell r="Z547">
            <v>2.4707975292170021E-2</v>
          </cell>
          <cell r="AA547">
            <v>2.3128370343429294E-2</v>
          </cell>
        </row>
        <row r="548">
          <cell r="Y548">
            <v>42648</v>
          </cell>
          <cell r="Z548">
            <v>2.4820481849746501E-2</v>
          </cell>
          <cell r="AA548">
            <v>2.3252795670956061E-2</v>
          </cell>
        </row>
        <row r="549">
          <cell r="Y549">
            <v>42655</v>
          </cell>
          <cell r="Z549">
            <v>2.4923483802459068E-2</v>
          </cell>
          <cell r="AA549">
            <v>2.3375592826924141E-2</v>
          </cell>
        </row>
        <row r="550">
          <cell r="Y550">
            <v>42662</v>
          </cell>
          <cell r="Z550">
            <v>2.5024842554430715E-2</v>
          </cell>
          <cell r="AA550">
            <v>2.3496761809550515E-2</v>
          </cell>
        </row>
        <row r="551">
          <cell r="Y551">
            <v>42669</v>
          </cell>
          <cell r="Z551">
            <v>2.5124557859057203E-2</v>
          </cell>
          <cell r="AA551">
            <v>2.3616302617214258E-2</v>
          </cell>
        </row>
        <row r="552">
          <cell r="Y552">
            <v>42676</v>
          </cell>
          <cell r="Z552">
            <v>2.521532035872881E-2</v>
          </cell>
          <cell r="AA552">
            <v>2.373421524837549E-2</v>
          </cell>
        </row>
        <row r="553">
          <cell r="Y553">
            <v>42683</v>
          </cell>
          <cell r="Z553">
            <v>2.5311858859647603E-2</v>
          </cell>
          <cell r="AA553">
            <v>2.3850499701494332E-2</v>
          </cell>
        </row>
        <row r="554">
          <cell r="Y554">
            <v>42690</v>
          </cell>
          <cell r="Z554">
            <v>2.54067533020838E-2</v>
          </cell>
          <cell r="AA554">
            <v>2.3965155974949859E-2</v>
          </cell>
        </row>
        <row r="555">
          <cell r="Y555">
            <v>42697</v>
          </cell>
          <cell r="Z555">
            <v>2.5500003456401053E-2</v>
          </cell>
          <cell r="AA555">
            <v>2.4078184067283237E-2</v>
          </cell>
        </row>
        <row r="556">
          <cell r="Y556">
            <v>42704</v>
          </cell>
          <cell r="Z556">
            <v>2.5598474320273165E-2</v>
          </cell>
          <cell r="AA556">
            <v>2.4189583976873541E-2</v>
          </cell>
        </row>
        <row r="557">
          <cell r="Y557">
            <v>42711</v>
          </cell>
          <cell r="Z557">
            <v>2.5688323985684023E-2</v>
          </cell>
          <cell r="AA557">
            <v>2.4299355702261938E-2</v>
          </cell>
        </row>
        <row r="558">
          <cell r="Y558">
            <v>42718</v>
          </cell>
          <cell r="Z558">
            <v>2.5776528589310038E-2</v>
          </cell>
          <cell r="AA558">
            <v>2.440749924207064E-2</v>
          </cell>
        </row>
        <row r="559">
          <cell r="Y559">
            <v>42725</v>
          </cell>
          <cell r="Z559">
            <v>2.5863087916497458E-2</v>
          </cell>
          <cell r="AA559">
            <v>2.451401459475977E-2</v>
          </cell>
        </row>
        <row r="560">
          <cell r="Y560">
            <v>42732</v>
          </cell>
          <cell r="Z560">
            <v>2.5948001775781125E-2</v>
          </cell>
          <cell r="AA560">
            <v>2.4618901758870493E-2</v>
          </cell>
        </row>
        <row r="561">
          <cell r="Y561">
            <v>42739</v>
          </cell>
          <cell r="Z561">
            <v>2.6024968591338456E-2</v>
          </cell>
          <cell r="AA561">
            <v>2.4722160733106069E-2</v>
          </cell>
        </row>
        <row r="562">
          <cell r="Y562">
            <v>42746</v>
          </cell>
          <cell r="Z562">
            <v>2.6106748965621596E-2</v>
          </cell>
          <cell r="AA562">
            <v>2.4823791516007665E-2</v>
          </cell>
        </row>
        <row r="563">
          <cell r="Y563">
            <v>42753</v>
          </cell>
          <cell r="Z563">
            <v>2.6186962791870876E-2</v>
          </cell>
          <cell r="AA563">
            <v>2.4923794106278541E-2</v>
          </cell>
        </row>
        <row r="564">
          <cell r="Y564">
            <v>42760</v>
          </cell>
          <cell r="Z564">
            <v>2.6265649602058443E-2</v>
          </cell>
          <cell r="AA564">
            <v>2.5022168502540909E-2</v>
          </cell>
        </row>
        <row r="565">
          <cell r="Y565">
            <v>42767</v>
          </cell>
          <cell r="Z565">
            <v>2.6342848937758859E-2</v>
          </cell>
          <cell r="AA565">
            <v>2.511891470349803E-2</v>
          </cell>
        </row>
        <row r="566">
          <cell r="Y566">
            <v>42774</v>
          </cell>
          <cell r="Z566">
            <v>2.6418600349859399E-2</v>
          </cell>
          <cell r="AA566">
            <v>2.5214032707853162E-2</v>
          </cell>
        </row>
        <row r="567">
          <cell r="Y567">
            <v>42781</v>
          </cell>
          <cell r="Z567">
            <v>2.649294339827258E-2</v>
          </cell>
          <cell r="AA567">
            <v>2.530752251422852E-2</v>
          </cell>
        </row>
        <row r="568">
          <cell r="Y568">
            <v>42788</v>
          </cell>
          <cell r="Z568">
            <v>2.6565917651662125E-2</v>
          </cell>
          <cell r="AA568">
            <v>2.5399384121570501E-2</v>
          </cell>
        </row>
        <row r="569">
          <cell r="Y569">
            <v>42795</v>
          </cell>
          <cell r="Z569">
            <v>2.6654395893645409E-2</v>
          </cell>
          <cell r="AA569">
            <v>2.5489617528501318E-2</v>
          </cell>
        </row>
        <row r="570">
          <cell r="Y570">
            <v>42802</v>
          </cell>
          <cell r="Z570">
            <v>2.672454699430378E-2</v>
          </cell>
          <cell r="AA570">
            <v>2.5578222733805278E-2</v>
          </cell>
        </row>
        <row r="571">
          <cell r="Y571">
            <v>42809</v>
          </cell>
          <cell r="Z571">
            <v>2.6793458072089538E-2</v>
          </cell>
          <cell r="AA571">
            <v>2.5665199736428779E-2</v>
          </cell>
        </row>
        <row r="572">
          <cell r="Y572">
            <v>42816</v>
          </cell>
          <cell r="Z572">
            <v>2.6861168088447317E-2</v>
          </cell>
          <cell r="AA572">
            <v>2.5750548534994033E-2</v>
          </cell>
        </row>
        <row r="573">
          <cell r="Y573">
            <v>42823</v>
          </cell>
          <cell r="Z573">
            <v>2.692771601228771E-2</v>
          </cell>
          <cell r="AA573">
            <v>2.5834269128690579E-2</v>
          </cell>
        </row>
        <row r="574">
          <cell r="Y574">
            <v>42830</v>
          </cell>
          <cell r="Z574">
            <v>2.6987843199945703E-2</v>
          </cell>
          <cell r="AA574">
            <v>2.5916361516059583E-2</v>
          </cell>
        </row>
        <row r="575">
          <cell r="Y575">
            <v>42837</v>
          </cell>
          <cell r="Z575">
            <v>2.7052237267966076E-2</v>
          </cell>
          <cell r="AA575">
            <v>2.5996825696128489E-2</v>
          </cell>
        </row>
        <row r="576">
          <cell r="Y576">
            <v>42844</v>
          </cell>
          <cell r="Z576">
            <v>2.7115583945325778E-2</v>
          </cell>
          <cell r="AA576">
            <v>2.6075661667924743E-2</v>
          </cell>
        </row>
        <row r="577">
          <cell r="Y577">
            <v>42851</v>
          </cell>
          <cell r="Z577">
            <v>2.7177922439466977E-2</v>
          </cell>
          <cell r="AA577">
            <v>2.615286943023265E-2</v>
          </cell>
        </row>
        <row r="578">
          <cell r="Y578">
            <v>42858</v>
          </cell>
          <cell r="Z578">
            <v>2.7244388649908968E-2</v>
          </cell>
          <cell r="AA578">
            <v>2.6228448982160701E-2</v>
          </cell>
        </row>
        <row r="579">
          <cell r="Y579">
            <v>42865</v>
          </cell>
          <cell r="Z579">
            <v>2.7304782755884487E-2</v>
          </cell>
          <cell r="AA579">
            <v>2.6302400322574249E-2</v>
          </cell>
        </row>
        <row r="580">
          <cell r="Y580">
            <v>42872</v>
          </cell>
          <cell r="Z580">
            <v>2.7364287742436676E-2</v>
          </cell>
          <cell r="AA580">
            <v>2.6374723450500737E-2</v>
          </cell>
        </row>
        <row r="581">
          <cell r="Y581">
            <v>42879</v>
          </cell>
          <cell r="Z581">
            <v>2.7422942630577429E-2</v>
          </cell>
          <cell r="AA581">
            <v>2.6445418365129703E-2</v>
          </cell>
        </row>
        <row r="582">
          <cell r="Y582">
            <v>42886</v>
          </cell>
          <cell r="Z582">
            <v>2.7475864859565251E-2</v>
          </cell>
          <cell r="AA582">
            <v>2.6514485065245452E-2</v>
          </cell>
        </row>
        <row r="583">
          <cell r="Y583">
            <v>42893</v>
          </cell>
          <cell r="Z583">
            <v>2.7532977955854274E-2</v>
          </cell>
          <cell r="AA583">
            <v>2.6581923550199615E-2</v>
          </cell>
        </row>
        <row r="584">
          <cell r="Y584">
            <v>42900</v>
          </cell>
          <cell r="Z584">
            <v>2.7589357489894693E-2</v>
          </cell>
          <cell r="AA584">
            <v>2.6647733818857544E-2</v>
          </cell>
        </row>
        <row r="585">
          <cell r="Y585">
            <v>42907</v>
          </cell>
          <cell r="Z585">
            <v>2.7645042715348959E-2</v>
          </cell>
          <cell r="AA585">
            <v>2.6711915870489822E-2</v>
          </cell>
        </row>
        <row r="586">
          <cell r="Y586">
            <v>42914</v>
          </cell>
          <cell r="Z586">
            <v>2.7700072871849224E-2</v>
          </cell>
          <cell r="AA586">
            <v>2.6774493843029212E-2</v>
          </cell>
        </row>
        <row r="587">
          <cell r="Y587">
            <v>42921</v>
          </cell>
          <cell r="Z587">
            <v>2.7759196035493736E-2</v>
          </cell>
          <cell r="AA587">
            <v>2.683614362428477E-2</v>
          </cell>
        </row>
        <row r="588">
          <cell r="Y588">
            <v>42928</v>
          </cell>
          <cell r="Z588">
            <v>2.7812938875200595E-2</v>
          </cell>
          <cell r="AA588">
            <v>2.6897179019053086E-2</v>
          </cell>
        </row>
        <row r="589">
          <cell r="Y589">
            <v>42935</v>
          </cell>
          <cell r="Z589">
            <v>2.7866060169086441E-2</v>
          </cell>
          <cell r="AA589">
            <v>2.6957600027253115E-2</v>
          </cell>
        </row>
        <row r="590">
          <cell r="Y590">
            <v>42942</v>
          </cell>
          <cell r="Z590">
            <v>2.7918559867832409E-2</v>
          </cell>
          <cell r="AA590">
            <v>2.7017406648398579E-2</v>
          </cell>
        </row>
        <row r="591">
          <cell r="Y591">
            <v>42949</v>
          </cell>
          <cell r="Z591">
            <v>2.797043792269709E-2</v>
          </cell>
          <cell r="AA591">
            <v>2.7076598882327385E-2</v>
          </cell>
        </row>
        <row r="592">
          <cell r="Y592">
            <v>42956</v>
          </cell>
          <cell r="Z592">
            <v>2.8021694285515205E-2</v>
          </cell>
          <cell r="AA592">
            <v>2.7135176728634303E-2</v>
          </cell>
        </row>
        <row r="593">
          <cell r="Y593">
            <v>42963</v>
          </cell>
          <cell r="Z593">
            <v>2.8072328908697618E-2</v>
          </cell>
          <cell r="AA593">
            <v>2.7193140186995146E-2</v>
          </cell>
        </row>
        <row r="594">
          <cell r="Y594">
            <v>42970</v>
          </cell>
          <cell r="Z594">
            <v>2.8122341745231316E-2</v>
          </cell>
          <cell r="AA594">
            <v>2.7250489257247823E-2</v>
          </cell>
        </row>
        <row r="595">
          <cell r="Y595">
            <v>42977</v>
          </cell>
          <cell r="Z595">
            <v>2.8162939769552666E-2</v>
          </cell>
          <cell r="AA595">
            <v>2.7307223938987102E-2</v>
          </cell>
        </row>
        <row r="596">
          <cell r="Y596">
            <v>42984</v>
          </cell>
          <cell r="Z596">
            <v>2.8207428930714398E-2</v>
          </cell>
          <cell r="AA596">
            <v>2.736334423205089E-2</v>
          </cell>
        </row>
        <row r="597">
          <cell r="Y597">
            <v>42991</v>
          </cell>
          <cell r="Z597">
            <v>2.8255698294136412E-2</v>
          </cell>
          <cell r="AA597">
            <v>2.741885013595291E-2</v>
          </cell>
        </row>
        <row r="598">
          <cell r="Y598">
            <v>42998</v>
          </cell>
          <cell r="Z598">
            <v>2.830334582275813E-2</v>
          </cell>
          <cell r="AA598">
            <v>2.7473741650612116E-2</v>
          </cell>
        </row>
        <row r="599">
          <cell r="Y599">
            <v>43005</v>
          </cell>
          <cell r="Z599">
            <v>2.8350371473057242E-2</v>
          </cell>
          <cell r="AA599">
            <v>2.7528018775704322E-2</v>
          </cell>
        </row>
        <row r="600">
          <cell r="Y600">
            <v>43012</v>
          </cell>
          <cell r="Z600">
            <v>2.8400973395098256E-2</v>
          </cell>
          <cell r="AA600">
            <v>2.7581681510824296E-2</v>
          </cell>
        </row>
        <row r="601">
          <cell r="Y601">
            <v>43019</v>
          </cell>
          <cell r="Z601">
            <v>2.8446714265433302E-2</v>
          </cell>
          <cell r="AA601">
            <v>2.7634729855890994E-2</v>
          </cell>
        </row>
        <row r="602">
          <cell r="Y602">
            <v>43026</v>
          </cell>
          <cell r="Z602">
            <v>2.8491833084816266E-2</v>
          </cell>
          <cell r="AA602">
            <v>2.7687163810499182E-2</v>
          </cell>
        </row>
        <row r="603">
          <cell r="Y603">
            <v>43033</v>
          </cell>
          <cell r="Z603">
            <v>2.8536329811803558E-2</v>
          </cell>
          <cell r="AA603">
            <v>2.773898337448677E-2</v>
          </cell>
        </row>
        <row r="604">
          <cell r="Y604">
            <v>43040</v>
          </cell>
          <cell r="Z604">
            <v>2.8576170066173284E-2</v>
          </cell>
          <cell r="AA604">
            <v>2.7790188547529571E-2</v>
          </cell>
        </row>
        <row r="605">
          <cell r="Y605">
            <v>43047</v>
          </cell>
          <cell r="Z605">
            <v>2.8619463564357878E-2</v>
          </cell>
          <cell r="AA605">
            <v>2.78407793293034E-2</v>
          </cell>
        </row>
        <row r="606">
          <cell r="Y606">
            <v>43054</v>
          </cell>
          <cell r="Z606">
            <v>2.8662134895457797E-2</v>
          </cell>
          <cell r="AA606">
            <v>2.7890755719727212E-2</v>
          </cell>
        </row>
        <row r="607">
          <cell r="Y607">
            <v>43061</v>
          </cell>
          <cell r="Z607">
            <v>2.8704184020492015E-2</v>
          </cell>
          <cell r="AA607">
            <v>2.7940117718395774E-2</v>
          </cell>
        </row>
        <row r="608">
          <cell r="Y608">
            <v>43068</v>
          </cell>
          <cell r="Z608">
            <v>2.8745610901047283E-2</v>
          </cell>
          <cell r="AA608">
            <v>2.7988865325146994E-2</v>
          </cell>
        </row>
        <row r="609">
          <cell r="Y609">
            <v>43075</v>
          </cell>
          <cell r="Z609">
            <v>2.8790243984607861E-2</v>
          </cell>
          <cell r="AA609">
            <v>2.8036998539737734E-2</v>
          </cell>
        </row>
        <row r="610">
          <cell r="Y610">
            <v>43082</v>
          </cell>
          <cell r="Z610">
            <v>2.8830384952407345E-2</v>
          </cell>
          <cell r="AA610">
            <v>2.8084517361843808E-2</v>
          </cell>
        </row>
        <row r="611">
          <cell r="Y611">
            <v>43089</v>
          </cell>
          <cell r="Z611">
            <v>2.8869903516829002E-2</v>
          </cell>
          <cell r="AA611">
            <v>2.8131421791222078E-2</v>
          </cell>
        </row>
        <row r="612">
          <cell r="Y612">
            <v>43096</v>
          </cell>
          <cell r="Z612">
            <v>2.8908799641570337E-2</v>
          </cell>
          <cell r="AA612">
            <v>2.8177711827791496E-2</v>
          </cell>
        </row>
        <row r="613">
          <cell r="Y613">
            <v>43103</v>
          </cell>
          <cell r="Z613">
            <v>2.8943413276465772E-2</v>
          </cell>
          <cell r="AA613">
            <v>2.8223387471146832E-2</v>
          </cell>
        </row>
        <row r="614">
          <cell r="Y614">
            <v>43110</v>
          </cell>
          <cell r="Z614">
            <v>2.8981132920971341E-2</v>
          </cell>
          <cell r="AA614">
            <v>2.8268448721044948E-2</v>
          </cell>
        </row>
        <row r="615">
          <cell r="Y615">
            <v>43117</v>
          </cell>
          <cell r="Z615">
            <v>2.9018282172685848E-2</v>
          </cell>
          <cell r="AA615">
            <v>2.8312895577485842E-2</v>
          </cell>
        </row>
        <row r="616">
          <cell r="Y616">
            <v>43124</v>
          </cell>
          <cell r="Z616">
            <v>2.9054889056845862E-2</v>
          </cell>
          <cell r="AA616">
            <v>2.8356728039983237E-2</v>
          </cell>
        </row>
        <row r="617">
          <cell r="Y617">
            <v>43131</v>
          </cell>
          <cell r="Z617">
            <v>2.9090981601142634E-2</v>
          </cell>
          <cell r="AA617">
            <v>2.8399946108537133E-2</v>
          </cell>
        </row>
        <row r="618">
          <cell r="Y618">
            <v>43138</v>
          </cell>
          <cell r="Z618">
            <v>2.9126587835651339E-2</v>
          </cell>
          <cell r="AA618">
            <v>2.8442549782742299E-2</v>
          </cell>
        </row>
        <row r="619">
          <cell r="Y619">
            <v>43145</v>
          </cell>
          <cell r="Z619">
            <v>2.9161735792760327E-2</v>
          </cell>
          <cell r="AA619">
            <v>2.8484539062436642E-2</v>
          </cell>
        </row>
        <row r="620">
          <cell r="Y620">
            <v>43152</v>
          </cell>
          <cell r="Z620">
            <v>2.9196453507107093E-2</v>
          </cell>
          <cell r="AA620">
            <v>2.852591394745807E-2</v>
          </cell>
        </row>
        <row r="621">
          <cell r="Y621">
            <v>43159</v>
          </cell>
          <cell r="Z621">
            <v>2.9241181079144547E-2</v>
          </cell>
          <cell r="AA621">
            <v>2.8566674437563444E-2</v>
          </cell>
        </row>
        <row r="622">
          <cell r="Y622">
            <v>43166</v>
          </cell>
          <cell r="Z622">
            <v>2.9275090248291967E-2</v>
          </cell>
          <cell r="AA622">
            <v>2.8606820532590671E-2</v>
          </cell>
        </row>
        <row r="623">
          <cell r="Y623">
            <v>43173</v>
          </cell>
          <cell r="Z623">
            <v>2.9308660537223915E-2</v>
          </cell>
          <cell r="AA623">
            <v>2.8646352232296612E-2</v>
          </cell>
        </row>
        <row r="624">
          <cell r="Y624">
            <v>43180</v>
          </cell>
          <cell r="Z624">
            <v>2.9341919538298213E-2</v>
          </cell>
          <cell r="AA624">
            <v>2.8685269536438129E-2</v>
          </cell>
        </row>
        <row r="625">
          <cell r="Y625">
            <v>43187</v>
          </cell>
          <cell r="Z625">
            <v>2.9374894845852585E-2</v>
          </cell>
          <cell r="AA625">
            <v>2.8723572444934176E-2</v>
          </cell>
        </row>
        <row r="626">
          <cell r="Y626">
            <v>43194</v>
          </cell>
          <cell r="Z626">
            <v>2.9404173695858991E-2</v>
          </cell>
          <cell r="AA626">
            <v>2.8761260957460566E-2</v>
          </cell>
        </row>
        <row r="627">
          <cell r="Y627">
            <v>43201</v>
          </cell>
          <cell r="Z627">
            <v>2.9436664446876953E-2</v>
          </cell>
          <cell r="AA627">
            <v>2.8798335073936254E-2</v>
          </cell>
        </row>
        <row r="628">
          <cell r="Y628">
            <v>43208</v>
          </cell>
          <cell r="Z628">
            <v>2.9468952652875465E-2</v>
          </cell>
          <cell r="AA628">
            <v>2.8834794794118102E-2</v>
          </cell>
        </row>
        <row r="629">
          <cell r="Y629">
            <v>43215</v>
          </cell>
          <cell r="Z629">
            <v>2.9501066064331366E-2</v>
          </cell>
          <cell r="AA629">
            <v>2.8870640117844015E-2</v>
          </cell>
        </row>
        <row r="630">
          <cell r="Y630">
            <v>43222</v>
          </cell>
          <cell r="Z630">
            <v>2.9536481916238005E-2</v>
          </cell>
          <cell r="AA630">
            <v>2.8905871044951903E-2</v>
          </cell>
        </row>
        <row r="631">
          <cell r="Y631">
            <v>43229</v>
          </cell>
          <cell r="Z631">
            <v>2.9568334649843212E-2</v>
          </cell>
          <cell r="AA631">
            <v>2.8940487575117579E-2</v>
          </cell>
        </row>
        <row r="632">
          <cell r="Y632">
            <v>43236</v>
          </cell>
          <cell r="Z632">
            <v>2.960009690271851E-2</v>
          </cell>
          <cell r="AA632">
            <v>2.8974489708341045E-2</v>
          </cell>
        </row>
        <row r="633">
          <cell r="Y633">
            <v>43243</v>
          </cell>
          <cell r="Z633">
            <v>2.9631796283873208E-2</v>
          </cell>
          <cell r="AA633">
            <v>2.9007877444460206E-2</v>
          </cell>
        </row>
        <row r="634">
          <cell r="Y634">
            <v>43250</v>
          </cell>
          <cell r="Z634">
            <v>2.9663460404063507E-2</v>
          </cell>
          <cell r="AA634">
            <v>2.9040650783150879E-2</v>
          </cell>
        </row>
        <row r="635">
          <cell r="Y635">
            <v>43257</v>
          </cell>
          <cell r="Z635">
            <v>2.9691630100223552E-2</v>
          </cell>
          <cell r="AA635">
            <v>2.9072809724332016E-2</v>
          </cell>
        </row>
        <row r="636">
          <cell r="Y636">
            <v>43264</v>
          </cell>
          <cell r="Z636">
            <v>2.9723297113145305E-2</v>
          </cell>
          <cell r="AA636">
            <v>2.9104354267922572E-2</v>
          </cell>
        </row>
        <row r="637">
          <cell r="Y637">
            <v>43271</v>
          </cell>
          <cell r="Z637">
            <v>2.9755011399202311E-2</v>
          </cell>
          <cell r="AA637">
            <v>2.9135284413679408E-2</v>
          </cell>
        </row>
        <row r="638">
          <cell r="Y638">
            <v>43278</v>
          </cell>
          <cell r="Z638">
            <v>2.9786800724705999E-2</v>
          </cell>
          <cell r="AA638">
            <v>2.9165602594044548E-2</v>
          </cell>
        </row>
        <row r="639">
          <cell r="Y639">
            <v>43285</v>
          </cell>
          <cell r="Z639">
            <v>2.9822213986153721E-2</v>
          </cell>
          <cell r="AA639">
            <v>2.9195712635079474E-2</v>
          </cell>
        </row>
        <row r="640">
          <cell r="Y640">
            <v>43292</v>
          </cell>
          <cell r="Z640">
            <v>2.9854214244758089E-2</v>
          </cell>
          <cell r="AA640">
            <v>2.9225923487962158E-2</v>
          </cell>
        </row>
        <row r="641">
          <cell r="Y641">
            <v>43299</v>
          </cell>
          <cell r="Z641">
            <v>2.9886317331895833E-2</v>
          </cell>
          <cell r="AA641">
            <v>2.92562351526926E-2</v>
          </cell>
        </row>
        <row r="642">
          <cell r="Y642">
            <v>43306</v>
          </cell>
          <cell r="Z642">
            <v>2.9918523252470249E-2</v>
          </cell>
          <cell r="AA642">
            <v>2.9286647629351847E-2</v>
          </cell>
        </row>
        <row r="643">
          <cell r="Y643">
            <v>43313</v>
          </cell>
          <cell r="Z643">
            <v>2.9950832011398296E-2</v>
          </cell>
          <cell r="AA643">
            <v>2.93171609179399E-2</v>
          </cell>
        </row>
        <row r="644">
          <cell r="Y644">
            <v>43320</v>
          </cell>
          <cell r="Z644">
            <v>2.9983243613614107E-2</v>
          </cell>
          <cell r="AA644">
            <v>2.9347775018456757E-2</v>
          </cell>
        </row>
        <row r="645">
          <cell r="Y645">
            <v>43327</v>
          </cell>
          <cell r="Z645">
            <v>3.0015758064066787E-2</v>
          </cell>
          <cell r="AA645">
            <v>2.9378489930983465E-2</v>
          </cell>
        </row>
        <row r="646">
          <cell r="Y646">
            <v>43334</v>
          </cell>
          <cell r="Z646">
            <v>3.0048375367721307E-2</v>
          </cell>
          <cell r="AA646">
            <v>2.9409305655520024E-2</v>
          </cell>
        </row>
        <row r="647">
          <cell r="Y647">
            <v>43341</v>
          </cell>
          <cell r="Z647">
            <v>3.0077489924498848E-2</v>
          </cell>
          <cell r="AA647">
            <v>2.9440222191985388E-2</v>
          </cell>
        </row>
        <row r="648">
          <cell r="Y648">
            <v>43348</v>
          </cell>
          <cell r="Z648">
            <v>3.0103075107143596E-2</v>
          </cell>
          <cell r="AA648">
            <v>2.9471239540622696E-2</v>
          </cell>
        </row>
        <row r="649">
          <cell r="Y649">
            <v>43355</v>
          </cell>
          <cell r="Z649">
            <v>3.0135970870813138E-2</v>
          </cell>
          <cell r="AA649">
            <v>2.9502357701269855E-2</v>
          </cell>
        </row>
        <row r="650">
          <cell r="Y650">
            <v>43362</v>
          </cell>
          <cell r="Z650">
            <v>3.0168969472539404E-2</v>
          </cell>
          <cell r="AA650">
            <v>2.9533576674088957E-2</v>
          </cell>
        </row>
        <row r="651">
          <cell r="Y651">
            <v>43369</v>
          </cell>
          <cell r="Z651">
            <v>3.0202070917279195E-2</v>
          </cell>
          <cell r="AA651">
            <v>2.9564896458998957E-2</v>
          </cell>
        </row>
        <row r="652">
          <cell r="Y652">
            <v>43376</v>
          </cell>
          <cell r="Z652">
            <v>3.0238928772258103E-2</v>
          </cell>
          <cell r="AA652">
            <v>2.9596317055999855E-2</v>
          </cell>
        </row>
        <row r="653">
          <cell r="Y653">
            <v>43383</v>
          </cell>
          <cell r="Z653">
            <v>3.0272246006299981E-2</v>
          </cell>
          <cell r="AA653">
            <v>2.9627838465253742E-2</v>
          </cell>
        </row>
        <row r="654">
          <cell r="Y654">
            <v>43390</v>
          </cell>
          <cell r="Z654">
            <v>3.0305666110151959E-2</v>
          </cell>
          <cell r="AA654">
            <v>2.9659460686760619E-2</v>
          </cell>
        </row>
        <row r="655">
          <cell r="Y655">
            <v>43397</v>
          </cell>
          <cell r="Z655">
            <v>3.0339189088862063E-2</v>
          </cell>
          <cell r="AA655">
            <v>2.969118372043944E-2</v>
          </cell>
        </row>
        <row r="656">
          <cell r="Y656">
            <v>43404</v>
          </cell>
          <cell r="Z656">
            <v>3.0369120960765963E-2</v>
          </cell>
          <cell r="AA656">
            <v>2.9723007566371251E-2</v>
          </cell>
        </row>
        <row r="657">
          <cell r="Y657">
            <v>43411</v>
          </cell>
          <cell r="Z657">
            <v>3.0402839568554395E-2</v>
          </cell>
          <cell r="AA657">
            <v>2.9754932224637098E-2</v>
          </cell>
        </row>
        <row r="658">
          <cell r="Y658">
            <v>43418</v>
          </cell>
          <cell r="Z658">
            <v>3.0436661054489247E-2</v>
          </cell>
          <cell r="AA658">
            <v>2.9786957695155936E-2</v>
          </cell>
        </row>
        <row r="659">
          <cell r="Y659">
            <v>43425</v>
          </cell>
          <cell r="Z659">
            <v>3.0470585423653149E-2</v>
          </cell>
          <cell r="AA659">
            <v>2.9819083978089855E-2</v>
          </cell>
        </row>
        <row r="660">
          <cell r="Y660">
            <v>43432</v>
          </cell>
          <cell r="Z660">
            <v>3.0504612681140825E-2</v>
          </cell>
          <cell r="AA660">
            <v>2.9851311073276765E-2</v>
          </cell>
        </row>
        <row r="661">
          <cell r="Y661">
            <v>43439</v>
          </cell>
          <cell r="Z661">
            <v>3.0542487617824611E-2</v>
          </cell>
          <cell r="AA661">
            <v>2.9883638980959804E-2</v>
          </cell>
        </row>
        <row r="662">
          <cell r="Y662">
            <v>43446</v>
          </cell>
          <cell r="Z662">
            <v>3.0576730863207984E-2</v>
          </cell>
          <cell r="AA662">
            <v>2.9916067700976878E-2</v>
          </cell>
        </row>
        <row r="663">
          <cell r="Y663">
            <v>43453</v>
          </cell>
          <cell r="Z663">
            <v>3.0611077024397894E-2</v>
          </cell>
          <cell r="AA663">
            <v>2.9948597233490082E-2</v>
          </cell>
        </row>
        <row r="664">
          <cell r="Y664">
            <v>43461</v>
          </cell>
          <cell r="Z664">
            <v>3.0650455806056038E-2</v>
          </cell>
          <cell r="AA664">
            <v>2.9985897285924601E-2</v>
          </cell>
        </row>
        <row r="665">
          <cell r="Y665">
            <v>43468</v>
          </cell>
          <cell r="Z665">
            <v>3.068123482121517E-2</v>
          </cell>
          <cell r="AA665">
            <v>3.0018642845192067E-2</v>
          </cell>
        </row>
        <row r="666">
          <cell r="Y666">
            <v>43475</v>
          </cell>
          <cell r="Z666">
            <v>3.0715888784752687E-2</v>
          </cell>
          <cell r="AA666">
            <v>3.0051489217036709E-2</v>
          </cell>
        </row>
        <row r="667">
          <cell r="Y667">
            <v>43482</v>
          </cell>
          <cell r="Z667">
            <v>3.0750635187289231E-2</v>
          </cell>
          <cell r="AA667">
            <v>3.0084436401377479E-2</v>
          </cell>
        </row>
        <row r="668">
          <cell r="Y668">
            <v>43489</v>
          </cell>
          <cell r="Z668">
            <v>3.0785468387108571E-2</v>
          </cell>
          <cell r="AA668">
            <v>3.0117484398376471E-2</v>
          </cell>
        </row>
        <row r="669">
          <cell r="Y669">
            <v>43496</v>
          </cell>
          <cell r="Z669">
            <v>3.0820382742122815E-2</v>
          </cell>
          <cell r="AA669">
            <v>3.0150633207952637E-2</v>
          </cell>
        </row>
        <row r="670">
          <cell r="Y670">
            <v>43503</v>
          </cell>
          <cell r="Z670">
            <v>3.0855372609868859E-2</v>
          </cell>
          <cell r="AA670">
            <v>3.0183882830187025E-2</v>
          </cell>
        </row>
        <row r="671">
          <cell r="Y671">
            <v>43510</v>
          </cell>
          <cell r="Z671">
            <v>3.0890432347506113E-2</v>
          </cell>
          <cell r="AA671">
            <v>3.0217233265079635E-2</v>
          </cell>
        </row>
        <row r="672">
          <cell r="Y672">
            <v>43517</v>
          </cell>
          <cell r="Z672">
            <v>3.0925556311815178E-2</v>
          </cell>
          <cell r="AA672">
            <v>3.0250684512630466E-2</v>
          </cell>
        </row>
        <row r="673">
          <cell r="Y673">
            <v>43524</v>
          </cell>
          <cell r="Z673">
            <v>3.0968421292281147E-2</v>
          </cell>
          <cell r="AA673">
            <v>3.0284236572920564E-2</v>
          </cell>
        </row>
        <row r="674">
          <cell r="Y674">
            <v>43531</v>
          </cell>
          <cell r="Z674">
            <v>3.1015204158475192E-2</v>
          </cell>
          <cell r="AA674">
            <v>3.031788944594993E-2</v>
          </cell>
        </row>
        <row r="675">
          <cell r="Y675">
            <v>43538</v>
          </cell>
          <cell r="Z675">
            <v>3.1050504691152579E-2</v>
          </cell>
          <cell r="AA675">
            <v>3.035164313179961E-2</v>
          </cell>
        </row>
        <row r="676">
          <cell r="Y676">
            <v>43545</v>
          </cell>
          <cell r="Z676">
            <v>3.108584463048682E-2</v>
          </cell>
          <cell r="AA676">
            <v>3.0385497630550651E-2</v>
          </cell>
        </row>
        <row r="677">
          <cell r="Y677">
            <v>43552</v>
          </cell>
          <cell r="Z677">
            <v>3.1121218480725261E-2</v>
          </cell>
          <cell r="AA677">
            <v>3.0419452941959912E-2</v>
          </cell>
        </row>
        <row r="678">
          <cell r="Y678">
            <v>43559</v>
          </cell>
          <cell r="Z678">
            <v>3.1145047054607789E-2</v>
          </cell>
          <cell r="AA678">
            <v>3.0453509066270534E-2</v>
          </cell>
        </row>
        <row r="679">
          <cell r="Y679">
            <v>43566</v>
          </cell>
          <cell r="Z679">
            <v>3.1180466497322326E-2</v>
          </cell>
          <cell r="AA679">
            <v>3.0487666003563563E-2</v>
          </cell>
        </row>
        <row r="680">
          <cell r="Y680">
            <v>43573</v>
          </cell>
          <cell r="Z680">
            <v>3.121590433802755E-2</v>
          </cell>
          <cell r="AA680">
            <v>3.0536840555800415E-2</v>
          </cell>
        </row>
        <row r="681">
          <cell r="Y681">
            <v>43580</v>
          </cell>
          <cell r="Z681">
            <v>3.1251354990762682E-2</v>
          </cell>
          <cell r="AA681">
            <v>3.0556282316772654E-2</v>
          </cell>
        </row>
        <row r="682">
          <cell r="Y682">
            <v>43587</v>
          </cell>
          <cell r="Z682">
            <v>3.1298404016953343E-2</v>
          </cell>
          <cell r="AA682">
            <v>3.0590741692850809E-2</v>
          </cell>
        </row>
        <row r="683">
          <cell r="Y683">
            <v>43594</v>
          </cell>
          <cell r="Z683">
            <v>3.1333865900037151E-2</v>
          </cell>
          <cell r="AA683">
            <v>3.0625301881992417E-2</v>
          </cell>
        </row>
        <row r="684">
          <cell r="Y684">
            <v>43601</v>
          </cell>
          <cell r="Z684">
            <v>3.1369323212853212E-2</v>
          </cell>
          <cell r="AA684">
            <v>3.0659962884116432E-2</v>
          </cell>
        </row>
        <row r="685">
          <cell r="Y685">
            <v>43608</v>
          </cell>
          <cell r="Z685">
            <v>3.1404770456528147E-2</v>
          </cell>
          <cell r="AA685">
            <v>3.0694724699303899E-2</v>
          </cell>
        </row>
        <row r="686">
          <cell r="Y686">
            <v>43615</v>
          </cell>
          <cell r="Z686">
            <v>3.1428604898861012E-2</v>
          </cell>
          <cell r="AA686">
            <v>3.0729587327554819E-2</v>
          </cell>
        </row>
        <row r="687">
          <cell r="Y687">
            <v>43622</v>
          </cell>
          <cell r="Z687">
            <v>3.1464015096686088E-2</v>
          </cell>
          <cell r="AA687">
            <v>3.0764550769031285E-2</v>
          </cell>
        </row>
        <row r="688">
          <cell r="Y688">
            <v>43629</v>
          </cell>
          <cell r="Z688">
            <v>3.149939899386326E-2</v>
          </cell>
          <cell r="AA688">
            <v>3.0799615023490157E-2</v>
          </cell>
        </row>
        <row r="689">
          <cell r="Y689">
            <v>43636</v>
          </cell>
          <cell r="Z689">
            <v>3.1534751001305941E-2</v>
          </cell>
          <cell r="AA689">
            <v>3.083478009125562E-2</v>
          </cell>
        </row>
        <row r="690">
          <cell r="Y690">
            <v>43643</v>
          </cell>
          <cell r="Z690">
            <v>3.1570065529537797E-2</v>
          </cell>
          <cell r="AA690">
            <v>3.0870045483051278E-2</v>
          </cell>
        </row>
        <row r="691">
          <cell r="Y691">
            <v>43650</v>
          </cell>
          <cell r="Z691">
            <v>3.1616935397016654E-2</v>
          </cell>
          <cell r="AA691">
            <v>3.0905329996258057E-2</v>
          </cell>
        </row>
        <row r="692">
          <cell r="Y692">
            <v>43657</v>
          </cell>
          <cell r="Z692">
            <v>3.1652164571319197E-2</v>
          </cell>
          <cell r="AA692">
            <v>3.0940571506065107E-2</v>
          </cell>
        </row>
        <row r="693">
          <cell r="Y693">
            <v>43664</v>
          </cell>
          <cell r="Z693">
            <v>3.1687350670465991E-2</v>
          </cell>
          <cell r="AA693">
            <v>3.0975770012472426E-2</v>
          </cell>
        </row>
        <row r="694">
          <cell r="Y694">
            <v>43671</v>
          </cell>
          <cell r="Z694">
            <v>3.1722493692155046E-2</v>
          </cell>
          <cell r="AA694">
            <v>3.1010925515398968E-2</v>
          </cell>
        </row>
        <row r="695">
          <cell r="Y695">
            <v>43678</v>
          </cell>
          <cell r="Z695">
            <v>3.1757593634086582E-2</v>
          </cell>
          <cell r="AA695">
            <v>3.1046038014925781E-2</v>
          </cell>
        </row>
        <row r="696">
          <cell r="Y696">
            <v>43685</v>
          </cell>
          <cell r="Z696">
            <v>3.1792650493963841E-2</v>
          </cell>
          <cell r="AA696">
            <v>3.1081107510971817E-2</v>
          </cell>
        </row>
        <row r="697">
          <cell r="Y697">
            <v>43692</v>
          </cell>
          <cell r="Z697">
            <v>3.1827664269493565E-2</v>
          </cell>
          <cell r="AA697">
            <v>3.1116134003537077E-2</v>
          </cell>
        </row>
        <row r="698">
          <cell r="Y698">
            <v>43699</v>
          </cell>
          <cell r="Z698">
            <v>3.1862634958384234E-2</v>
          </cell>
          <cell r="AA698">
            <v>3.1151117492621561E-2</v>
          </cell>
        </row>
        <row r="699">
          <cell r="Y699">
            <v>43706</v>
          </cell>
          <cell r="Z699">
            <v>3.1885966286411271E-2</v>
          </cell>
          <cell r="AA699">
            <v>3.1186057978225268E-2</v>
          </cell>
        </row>
        <row r="700">
          <cell r="Y700">
            <v>43713</v>
          </cell>
          <cell r="Z700">
            <v>3.1916986014508597E-2</v>
          </cell>
          <cell r="AA700">
            <v>3.1220955460186106E-2</v>
          </cell>
        </row>
        <row r="701">
          <cell r="Y701">
            <v>43720</v>
          </cell>
          <cell r="Z701">
            <v>3.1951827643952713E-2</v>
          </cell>
          <cell r="AA701">
            <v>3.1255809938747214E-2</v>
          </cell>
        </row>
        <row r="702">
          <cell r="Y702">
            <v>43727</v>
          </cell>
          <cell r="Z702">
            <v>3.1986626180160863E-2</v>
          </cell>
          <cell r="AA702">
            <v>3.12906214137465E-2</v>
          </cell>
        </row>
        <row r="703">
          <cell r="Y703">
            <v>43734</v>
          </cell>
          <cell r="Z703">
            <v>3.2021381620905155E-2</v>
          </cell>
          <cell r="AA703">
            <v>3.1325389885183963E-2</v>
          </cell>
        </row>
        <row r="704">
          <cell r="Y704">
            <v>43741</v>
          </cell>
          <cell r="Z704">
            <v>3.2059958683996734E-2</v>
          </cell>
          <cell r="AA704">
            <v>3.1360115353059603E-2</v>
          </cell>
        </row>
        <row r="705">
          <cell r="Y705">
            <v>43748</v>
          </cell>
          <cell r="Z705">
            <v>3.2110088694120853E-2</v>
          </cell>
          <cell r="AA705">
            <v>3.1394797817373421E-2</v>
          </cell>
        </row>
        <row r="706">
          <cell r="Y706">
            <v>43755</v>
          </cell>
          <cell r="Z706">
            <v>3.2129253954624161E-2</v>
          </cell>
          <cell r="AA706">
            <v>3.142943727804437E-2</v>
          </cell>
        </row>
        <row r="707">
          <cell r="Y707">
            <v>43762</v>
          </cell>
          <cell r="Z707">
            <v>3.2163836933487455E-2</v>
          </cell>
          <cell r="AA707">
            <v>3.1464033735153496E-2</v>
          </cell>
        </row>
        <row r="708">
          <cell r="Y708">
            <v>43769</v>
          </cell>
          <cell r="Z708">
            <v>3.2194512314866211E-2</v>
          </cell>
          <cell r="AA708">
            <v>3.1498587188619753E-2</v>
          </cell>
        </row>
        <row r="709">
          <cell r="Y709">
            <v>43776</v>
          </cell>
          <cell r="Z709">
            <v>3.2229009136184372E-2</v>
          </cell>
          <cell r="AA709">
            <v>3.1533097638524188E-2</v>
          </cell>
        </row>
        <row r="710">
          <cell r="Y710">
            <v>43783</v>
          </cell>
          <cell r="Z710">
            <v>3.2263462846516537E-2</v>
          </cell>
          <cell r="AA710">
            <v>3.1567565084785754E-2</v>
          </cell>
        </row>
        <row r="711">
          <cell r="Y711">
            <v>43790</v>
          </cell>
          <cell r="Z711">
            <v>3.2297873443656193E-2</v>
          </cell>
          <cell r="AA711">
            <v>3.160198952740445E-2</v>
          </cell>
        </row>
        <row r="712">
          <cell r="Y712">
            <v>43797</v>
          </cell>
          <cell r="Z712">
            <v>3.2332240925399963E-2</v>
          </cell>
          <cell r="AA712">
            <v>3.1636370966299232E-2</v>
          </cell>
        </row>
        <row r="713">
          <cell r="Y713">
            <v>43804</v>
          </cell>
          <cell r="Z713">
            <v>3.2370429476244196E-2</v>
          </cell>
          <cell r="AA713">
            <v>3.1670709401551145E-2</v>
          </cell>
        </row>
        <row r="714">
          <cell r="Y714">
            <v>43811</v>
          </cell>
          <cell r="Z714">
            <v>3.2404710657605702E-2</v>
          </cell>
          <cell r="AA714">
            <v>3.1705004833079142E-2</v>
          </cell>
        </row>
        <row r="715">
          <cell r="Y715">
            <v>43818</v>
          </cell>
          <cell r="Z715">
            <v>3.2438948716187202E-2</v>
          </cell>
          <cell r="AA715">
            <v>3.1739257260964271E-2</v>
          </cell>
        </row>
        <row r="716">
          <cell r="Y716">
            <v>43826</v>
          </cell>
          <cell r="Z716">
            <v>3.2485753748017203E-2</v>
          </cell>
          <cell r="AA716">
            <v>3.1786000295103145E-2</v>
          </cell>
        </row>
        <row r="717">
          <cell r="Y717">
            <v>43833</v>
          </cell>
          <cell r="Z717">
            <v>3.2508306698089046E-2</v>
          </cell>
          <cell r="AA717">
            <v>3.1820160380314766E-2</v>
          </cell>
        </row>
        <row r="718">
          <cell r="Y718">
            <v>43840</v>
          </cell>
          <cell r="Z718">
            <v>3.2542406383049574E-2</v>
          </cell>
          <cell r="AA718">
            <v>3.1854277460667824E-2</v>
          </cell>
        </row>
        <row r="719">
          <cell r="Y719">
            <v>43847</v>
          </cell>
          <cell r="Z719">
            <v>3.2576455542492645E-2</v>
          </cell>
          <cell r="AA719">
            <v>3.1888351536162318E-2</v>
          </cell>
        </row>
        <row r="720">
          <cell r="Y720">
            <v>43854</v>
          </cell>
          <cell r="Z720">
            <v>3.2610449468286611E-2</v>
          </cell>
          <cell r="AA720">
            <v>3.192238260669019E-2</v>
          </cell>
        </row>
        <row r="721">
          <cell r="Y721">
            <v>43861</v>
          </cell>
          <cell r="Z721">
            <v>3.264438345198812E-2</v>
          </cell>
          <cell r="AA721">
            <v>3.1956370672305466E-2</v>
          </cell>
        </row>
        <row r="722">
          <cell r="Y722">
            <v>43868</v>
          </cell>
          <cell r="Z722">
            <v>3.2678252784846117E-2</v>
          </cell>
          <cell r="AA722">
            <v>3.1990315732900086E-2</v>
          </cell>
        </row>
        <row r="723">
          <cell r="Y723">
            <v>43875</v>
          </cell>
          <cell r="Z723">
            <v>3.2712052757802708E-2</v>
          </cell>
          <cell r="AA723">
            <v>3.2024217788474051E-2</v>
          </cell>
        </row>
        <row r="724">
          <cell r="Y724">
            <v>43882</v>
          </cell>
          <cell r="Z724">
            <v>3.2745778661494092E-2</v>
          </cell>
          <cell r="AA724">
            <v>3.2058076838973326E-2</v>
          </cell>
        </row>
        <row r="725">
          <cell r="Y725">
            <v>43889</v>
          </cell>
          <cell r="Z725">
            <v>3.2779425786253653E-2</v>
          </cell>
          <cell r="AA725">
            <v>3.2091892884370907E-2</v>
          </cell>
        </row>
        <row r="726">
          <cell r="Y726">
            <v>43896</v>
          </cell>
          <cell r="Z726">
            <v>3.2824495885597223E-2</v>
          </cell>
          <cell r="AA726">
            <v>3.2125665924639765E-2</v>
          </cell>
        </row>
        <row r="727">
          <cell r="Y727">
            <v>43903</v>
          </cell>
          <cell r="Z727">
            <v>3.2857954493532952E-2</v>
          </cell>
          <cell r="AA727">
            <v>3.2159395959725876E-2</v>
          </cell>
        </row>
        <row r="728">
          <cell r="Y728">
            <v>43910</v>
          </cell>
          <cell r="Z728">
            <v>3.2891318996916941E-2</v>
          </cell>
          <cell r="AA728">
            <v>3.2193082989602217E-2</v>
          </cell>
        </row>
        <row r="729">
          <cell r="Y729">
            <v>43917</v>
          </cell>
          <cell r="Z729">
            <v>3.2924584759812976E-2</v>
          </cell>
          <cell r="AA729">
            <v>3.2226727014241785E-2</v>
          </cell>
        </row>
        <row r="730">
          <cell r="Y730">
            <v>43924</v>
          </cell>
          <cell r="Z730">
            <v>3.2957747145993123E-2</v>
          </cell>
          <cell r="AA730">
            <v>3.2260328033590545E-2</v>
          </cell>
        </row>
        <row r="731">
          <cell r="Y731">
            <v>43935</v>
          </cell>
          <cell r="Z731">
            <v>3.3002040933251382E-2</v>
          </cell>
          <cell r="AA731">
            <v>3.2305395813171378E-2</v>
          </cell>
        </row>
        <row r="732">
          <cell r="Y732">
            <v>43942</v>
          </cell>
          <cell r="Z732">
            <v>3.3034931239848173E-2</v>
          </cell>
          <cell r="AA732">
            <v>3.2338886459264415E-2</v>
          </cell>
        </row>
        <row r="733">
          <cell r="Y733">
            <v>43949</v>
          </cell>
          <cell r="Z733">
            <v>3.3067702124957465E-2</v>
          </cell>
          <cell r="AA733">
            <v>3.2372334101390399E-2</v>
          </cell>
        </row>
        <row r="734">
          <cell r="Y734">
            <v>43956</v>
          </cell>
          <cell r="Z734">
            <v>3.3104125159005154E-2</v>
          </cell>
          <cell r="AA734">
            <v>3.2405738739630374E-2</v>
          </cell>
        </row>
        <row r="735">
          <cell r="Y735">
            <v>43963</v>
          </cell>
          <cell r="Z735">
            <v>3.313663492628615E-2</v>
          </cell>
          <cell r="AA735">
            <v>3.2439100373903296E-2</v>
          </cell>
        </row>
        <row r="736">
          <cell r="Y736">
            <v>43970</v>
          </cell>
          <cell r="Z736">
            <v>3.3169011025415765E-2</v>
          </cell>
          <cell r="AA736">
            <v>3.2472419004290209E-2</v>
          </cell>
        </row>
        <row r="737">
          <cell r="Y737">
            <v>43977</v>
          </cell>
          <cell r="Z737">
            <v>3.3201248793323555E-2</v>
          </cell>
          <cell r="AA737">
            <v>3.2505694630629023E-2</v>
          </cell>
        </row>
        <row r="738">
          <cell r="Y738">
            <v>43984</v>
          </cell>
          <cell r="Z738">
            <v>3.3229601165836918E-2</v>
          </cell>
          <cell r="AA738">
            <v>3.2538927253000782E-2</v>
          </cell>
        </row>
        <row r="739">
          <cell r="Y739">
            <v>43991</v>
          </cell>
          <cell r="Z739">
            <v>3.3261557080766606E-2</v>
          </cell>
          <cell r="AA739">
            <v>3.2572116871405488E-2</v>
          </cell>
        </row>
        <row r="740">
          <cell r="Y740">
            <v>43998</v>
          </cell>
          <cell r="Z740">
            <v>3.3293360757921782E-2</v>
          </cell>
          <cell r="AA740">
            <v>3.2605263485843139E-2</v>
          </cell>
        </row>
        <row r="741">
          <cell r="Y741">
            <v>44005</v>
          </cell>
          <cell r="Z741">
            <v>3.332500750819449E-2</v>
          </cell>
          <cell r="AA741">
            <v>3.263836709623269E-2</v>
          </cell>
        </row>
        <row r="742">
          <cell r="Y742">
            <v>44012</v>
          </cell>
          <cell r="Z742">
            <v>3.3360199440626424E-2</v>
          </cell>
          <cell r="AA742">
            <v>3.2671424835886143E-2</v>
          </cell>
        </row>
        <row r="743">
          <cell r="Y743">
            <v>44019</v>
          </cell>
          <cell r="Z743">
            <v>3.3391510438186806E-2</v>
          </cell>
          <cell r="AA743">
            <v>3.2704356439403615E-2</v>
          </cell>
        </row>
        <row r="744">
          <cell r="Y744">
            <v>44026</v>
          </cell>
          <cell r="Z744">
            <v>3.3422655778132367E-2</v>
          </cell>
          <cell r="AA744">
            <v>3.2737124640408455E-2</v>
          </cell>
        </row>
        <row r="745">
          <cell r="Y745">
            <v>44033</v>
          </cell>
          <cell r="Z745">
            <v>3.3453635452773835E-2</v>
          </cell>
          <cell r="AA745">
            <v>3.2769729439062756E-2</v>
          </cell>
        </row>
        <row r="746">
          <cell r="Y746">
            <v>44040</v>
          </cell>
          <cell r="Z746">
            <v>3.3484449454463799E-2</v>
          </cell>
          <cell r="AA746">
            <v>3.2802170835204425E-2</v>
          </cell>
        </row>
        <row r="747">
          <cell r="Y747">
            <v>44047</v>
          </cell>
          <cell r="Z747">
            <v>3.3515097775594464E-2</v>
          </cell>
          <cell r="AA747">
            <v>3.2834448828752416E-2</v>
          </cell>
        </row>
        <row r="748">
          <cell r="Y748">
            <v>44054</v>
          </cell>
          <cell r="Z748">
            <v>3.3545580408600353E-2</v>
          </cell>
          <cell r="AA748">
            <v>3.2866563419706729E-2</v>
          </cell>
        </row>
        <row r="749">
          <cell r="Y749">
            <v>44061</v>
          </cell>
          <cell r="Z749">
            <v>3.3575897345956479E-2</v>
          </cell>
          <cell r="AA749">
            <v>3.2898514608067364E-2</v>
          </cell>
        </row>
        <row r="750">
          <cell r="Y750">
            <v>44068</v>
          </cell>
          <cell r="Z750">
            <v>3.360604858017753E-2</v>
          </cell>
          <cell r="AA750">
            <v>3.2930302393672228E-2</v>
          </cell>
        </row>
        <row r="751">
          <cell r="Y751">
            <v>44075</v>
          </cell>
          <cell r="Z751">
            <v>3.3625155979438097E-2</v>
          </cell>
          <cell r="AA751">
            <v>3.2961926776602368E-2</v>
          </cell>
        </row>
        <row r="752">
          <cell r="Y752">
            <v>44082</v>
          </cell>
          <cell r="Z752">
            <v>3.3655003113414669E-2</v>
          </cell>
          <cell r="AA752">
            <v>3.2993387756776738E-2</v>
          </cell>
        </row>
        <row r="753">
          <cell r="Y753">
            <v>44089</v>
          </cell>
          <cell r="Z753">
            <v>3.3684684561904724E-2</v>
          </cell>
          <cell r="AA753">
            <v>3.302468533411429E-2</v>
          </cell>
        </row>
        <row r="754">
          <cell r="Y754">
            <v>44096</v>
          </cell>
          <cell r="Z754">
            <v>3.371420031769963E-2</v>
          </cell>
          <cell r="AA754">
            <v>3.3055819508615025E-2</v>
          </cell>
        </row>
        <row r="755">
          <cell r="Y755">
            <v>44103</v>
          </cell>
          <cell r="Z755">
            <v>3.3743550373631942E-2</v>
          </cell>
          <cell r="AA755">
            <v>3.3086790280278944E-2</v>
          </cell>
        </row>
        <row r="756">
          <cell r="Y756">
            <v>44110</v>
          </cell>
          <cell r="Z756">
            <v>3.3776315744735282E-2</v>
          </cell>
          <cell r="AA756">
            <v>3.3117597648943953E-2</v>
          </cell>
        </row>
        <row r="757">
          <cell r="Y757">
            <v>44117</v>
          </cell>
          <cell r="Z757">
            <v>3.3805325205010388E-2</v>
          </cell>
          <cell r="AA757">
            <v>3.3148241614610052E-2</v>
          </cell>
        </row>
        <row r="758">
          <cell r="Y758">
            <v>44124</v>
          </cell>
          <cell r="Z758">
            <v>3.3834168930693742E-2</v>
          </cell>
          <cell r="AA758">
            <v>3.3178722177277242E-2</v>
          </cell>
        </row>
        <row r="759">
          <cell r="Y759">
            <v>44131</v>
          </cell>
          <cell r="Z759">
            <v>3.3862846914742332E-2</v>
          </cell>
          <cell r="AA759">
            <v>3.3209039337026569E-2</v>
          </cell>
        </row>
        <row r="760">
          <cell r="Y760">
            <v>44138</v>
          </cell>
          <cell r="Z760">
            <v>3.3891359150150555E-2</v>
          </cell>
          <cell r="AA760">
            <v>3.3239193093533848E-2</v>
          </cell>
        </row>
        <row r="761">
          <cell r="Y761">
            <v>44145</v>
          </cell>
          <cell r="Z761">
            <v>3.3916170615735396E-2</v>
          </cell>
          <cell r="AA761">
            <v>3.326918344696117E-2</v>
          </cell>
        </row>
        <row r="762">
          <cell r="Y762">
            <v>44152</v>
          </cell>
          <cell r="Z762">
            <v>3.3944360575287207E-2</v>
          </cell>
          <cell r="AA762">
            <v>3.3299010397146445E-2</v>
          </cell>
        </row>
        <row r="763">
          <cell r="Y763">
            <v>44159</v>
          </cell>
          <cell r="Z763">
            <v>3.3972384779075979E-2</v>
          </cell>
          <cell r="AA763">
            <v>3.3328673944170717E-2</v>
          </cell>
        </row>
        <row r="764">
          <cell r="Y764">
            <v>44166</v>
          </cell>
          <cell r="Z764">
            <v>3.4003750466730508E-2</v>
          </cell>
          <cell r="AA764">
            <v>3.3358174087952941E-2</v>
          </cell>
        </row>
        <row r="765">
          <cell r="Y765">
            <v>44173</v>
          </cell>
          <cell r="Z765">
            <v>3.4031433855301406E-2</v>
          </cell>
          <cell r="AA765">
            <v>3.338751082841207E-2</v>
          </cell>
        </row>
        <row r="766">
          <cell r="Y766">
            <v>44180</v>
          </cell>
          <cell r="Z766">
            <v>3.4058951454059086E-2</v>
          </cell>
          <cell r="AA766">
            <v>3.3416684165467059E-2</v>
          </cell>
        </row>
        <row r="767">
          <cell r="Y767">
            <v>44187</v>
          </cell>
          <cell r="Z767">
            <v>3.4086303256284291E-2</v>
          </cell>
          <cell r="AA767">
            <v>3.3445694099279999E-2</v>
          </cell>
        </row>
        <row r="768">
          <cell r="Y768">
            <v>44194</v>
          </cell>
          <cell r="Z768">
            <v>3.4113489254803515E-2</v>
          </cell>
          <cell r="AA768">
            <v>3.3474540629607752E-2</v>
          </cell>
        </row>
        <row r="769">
          <cell r="Y769">
            <v>44201</v>
          </cell>
          <cell r="Z769">
            <v>3.4137048582808527E-2</v>
          </cell>
          <cell r="AA769">
            <v>3.3503223756531364E-2</v>
          </cell>
        </row>
        <row r="770">
          <cell r="Y770">
            <v>44208</v>
          </cell>
          <cell r="Z770">
            <v>3.4163911120608251E-2</v>
          </cell>
          <cell r="AA770">
            <v>3.3531743479888743E-2</v>
          </cell>
        </row>
        <row r="771">
          <cell r="Y771">
            <v>44215</v>
          </cell>
          <cell r="Z771">
            <v>3.4190605813872288E-2</v>
          </cell>
          <cell r="AA771">
            <v>3.3560099799760934E-2</v>
          </cell>
        </row>
        <row r="772">
          <cell r="Y772">
            <v>44222</v>
          </cell>
          <cell r="Z772">
            <v>3.4217131638317126E-2</v>
          </cell>
          <cell r="AA772">
            <v>3.3588292716147938E-2</v>
          </cell>
        </row>
        <row r="773">
          <cell r="Y773">
            <v>44229</v>
          </cell>
          <cell r="Z773">
            <v>3.4243487569647631E-2</v>
          </cell>
          <cell r="AA773">
            <v>3.3616322228806617E-2</v>
          </cell>
        </row>
        <row r="774">
          <cell r="Y774">
            <v>44236</v>
          </cell>
          <cell r="Z774">
            <v>3.4269672583558827E-2</v>
          </cell>
          <cell r="AA774">
            <v>3.3644188337818015E-2</v>
          </cell>
        </row>
        <row r="775">
          <cell r="Y775">
            <v>44243</v>
          </cell>
          <cell r="Z775">
            <v>3.4295685655735868E-2</v>
          </cell>
          <cell r="AA775">
            <v>3.3671891043182134E-2</v>
          </cell>
        </row>
        <row r="776">
          <cell r="Y776">
            <v>44250</v>
          </cell>
          <cell r="Z776">
            <v>3.4321525761856306E-2</v>
          </cell>
          <cell r="AA776">
            <v>3.3699430344817927E-2</v>
          </cell>
        </row>
        <row r="777">
          <cell r="Y777">
            <v>44257</v>
          </cell>
          <cell r="Z777">
            <v>3.435732998781358E-2</v>
          </cell>
          <cell r="AA777">
            <v>3.3726806242725393E-2</v>
          </cell>
        </row>
        <row r="778">
          <cell r="Y778">
            <v>44264</v>
          </cell>
          <cell r="Z778">
            <v>3.4382789256429312E-2</v>
          </cell>
          <cell r="AA778">
            <v>3.3754018736823488E-2</v>
          </cell>
        </row>
        <row r="779">
          <cell r="Y779">
            <v>44271</v>
          </cell>
          <cell r="Z779">
            <v>3.4408072177209079E-2</v>
          </cell>
          <cell r="AA779">
            <v>3.378106782711221E-2</v>
          </cell>
        </row>
        <row r="780">
          <cell r="Y780">
            <v>44278</v>
          </cell>
          <cell r="Z780">
            <v>3.4433177742004967E-2</v>
          </cell>
          <cell r="AA780">
            <v>3.3807953513510514E-2</v>
          </cell>
        </row>
        <row r="781">
          <cell r="Y781">
            <v>44285</v>
          </cell>
          <cell r="Z781">
            <v>3.4458104942667767E-2</v>
          </cell>
          <cell r="AA781">
            <v>3.3834675796099445E-2</v>
          </cell>
        </row>
        <row r="782">
          <cell r="Y782">
            <v>44292</v>
          </cell>
          <cell r="Z782">
            <v>3.4479528300885375E-2</v>
          </cell>
          <cell r="AA782">
            <v>3.3861234674635865E-2</v>
          </cell>
        </row>
        <row r="783">
          <cell r="Y783">
            <v>44299</v>
          </cell>
          <cell r="Z783">
            <v>3.4504106826227385E-2</v>
          </cell>
          <cell r="AA783">
            <v>3.3887630149281867E-2</v>
          </cell>
        </row>
        <row r="784">
          <cell r="Y784">
            <v>44306</v>
          </cell>
          <cell r="Z784">
            <v>3.4528504038252097E-2</v>
          </cell>
          <cell r="AA784">
            <v>3.3913862219875357E-2</v>
          </cell>
        </row>
        <row r="785">
          <cell r="Y785">
            <v>44313</v>
          </cell>
          <cell r="Z785">
            <v>3.4552718923462476E-2</v>
          </cell>
          <cell r="AA785">
            <v>3.3939930886416336E-2</v>
          </cell>
        </row>
        <row r="786">
          <cell r="Y786">
            <v>44320</v>
          </cell>
          <cell r="Z786">
            <v>3.4580030198608822E-2</v>
          </cell>
          <cell r="AA786">
            <v>3.3965836148904804E-2</v>
          </cell>
        </row>
        <row r="787">
          <cell r="Y787">
            <v>44327</v>
          </cell>
          <cell r="Z787">
            <v>3.4603866043247763E-2</v>
          </cell>
          <cell r="AA787">
            <v>3.3991578007259715E-2</v>
          </cell>
        </row>
        <row r="788">
          <cell r="Y788">
            <v>44334</v>
          </cell>
          <cell r="Z788">
            <v>3.4627516466686145E-2</v>
          </cell>
          <cell r="AA788">
            <v>3.4017156461481068E-2</v>
          </cell>
        </row>
        <row r="789">
          <cell r="Y789">
            <v>44341</v>
          </cell>
          <cell r="Z789">
            <v>3.4650980460780481E-2</v>
          </cell>
          <cell r="AA789">
            <v>3.4042571511568864E-2</v>
          </cell>
        </row>
        <row r="790">
          <cell r="Y790">
            <v>44348</v>
          </cell>
          <cell r="Z790">
            <v>3.4671022975017791E-2</v>
          </cell>
          <cell r="AA790">
            <v>3.406782315736101E-2</v>
          </cell>
        </row>
        <row r="791">
          <cell r="Y791">
            <v>44355</v>
          </cell>
          <cell r="Z791">
            <v>3.4694122616018452E-2</v>
          </cell>
          <cell r="AA791">
            <v>3.4092911398857506E-2</v>
          </cell>
        </row>
        <row r="792">
          <cell r="Y792">
            <v>44362</v>
          </cell>
          <cell r="Z792">
            <v>3.471703283580177E-2</v>
          </cell>
          <cell r="AA792">
            <v>3.4117836236220445E-2</v>
          </cell>
        </row>
        <row r="793">
          <cell r="Y793">
            <v>44369</v>
          </cell>
          <cell r="Z793">
            <v>3.4739752620903931E-2</v>
          </cell>
          <cell r="AA793">
            <v>3.4142597669206687E-2</v>
          </cell>
        </row>
        <row r="794">
          <cell r="Y794">
            <v>44376</v>
          </cell>
          <cell r="Z794">
            <v>3.4762280958358475E-2</v>
          </cell>
          <cell r="AA794">
            <v>3.416719508162136E-2</v>
          </cell>
        </row>
        <row r="795">
          <cell r="Y795">
            <v>44383</v>
          </cell>
          <cell r="Z795">
            <v>3.4787793202995777E-2</v>
          </cell>
          <cell r="AA795">
            <v>3.419161122114267E-2</v>
          </cell>
        </row>
        <row r="796">
          <cell r="Y796">
            <v>44390</v>
          </cell>
          <cell r="Z796">
            <v>3.4809925357700847E-2</v>
          </cell>
          <cell r="AA796">
            <v>3.4215838077480409E-2</v>
          </cell>
        </row>
        <row r="797">
          <cell r="Y797">
            <v>44397</v>
          </cell>
          <cell r="Z797">
            <v>3.4831865164715793E-2</v>
          </cell>
          <cell r="AA797">
            <v>3.4239875650634577E-2</v>
          </cell>
        </row>
        <row r="798">
          <cell r="Y798">
            <v>44404</v>
          </cell>
          <cell r="Z798">
            <v>3.485361261776173E-2</v>
          </cell>
          <cell r="AA798">
            <v>3.4263723940686219E-2</v>
          </cell>
        </row>
        <row r="799">
          <cell r="Y799">
            <v>44411</v>
          </cell>
          <cell r="Z799">
            <v>3.4875167710617036E-2</v>
          </cell>
          <cell r="AA799">
            <v>3.4287382947473244E-2</v>
          </cell>
        </row>
        <row r="800">
          <cell r="Y800">
            <v>44418</v>
          </cell>
          <cell r="Z800">
            <v>3.4896530437114701E-2</v>
          </cell>
          <cell r="AA800">
            <v>3.4310852671076697E-2</v>
          </cell>
        </row>
        <row r="801">
          <cell r="Y801">
            <v>44425</v>
          </cell>
          <cell r="Z801">
            <v>3.4917700791141024E-2</v>
          </cell>
          <cell r="AA801">
            <v>3.433413311125344E-2</v>
          </cell>
        </row>
        <row r="802">
          <cell r="Y802">
            <v>44432</v>
          </cell>
          <cell r="Z802">
            <v>3.4938678766640432E-2</v>
          </cell>
          <cell r="AA802">
            <v>3.4357224268165565E-2</v>
          </cell>
        </row>
        <row r="803">
          <cell r="Y803">
            <v>44439</v>
          </cell>
          <cell r="Z803">
            <v>3.4950214177363326E-2</v>
          </cell>
          <cell r="AA803">
            <v>3.438012614165098E-2</v>
          </cell>
        </row>
        <row r="804">
          <cell r="Y804">
            <v>44446</v>
          </cell>
          <cell r="Z804">
            <v>3.4970842729126594E-2</v>
          </cell>
          <cell r="AA804">
            <v>3.4402838731871777E-2</v>
          </cell>
        </row>
        <row r="805">
          <cell r="Y805">
            <v>44453</v>
          </cell>
          <cell r="Z805">
            <v>3.4991278937173492E-2</v>
          </cell>
          <cell r="AA805">
            <v>3.4425362038584817E-2</v>
          </cell>
        </row>
        <row r="806">
          <cell r="Y806">
            <v>44460</v>
          </cell>
          <cell r="Z806">
            <v>3.5011522795751981E-2</v>
          </cell>
          <cell r="AA806">
            <v>3.4447696061790101E-2</v>
          </cell>
        </row>
        <row r="807">
          <cell r="Y807">
            <v>44467</v>
          </cell>
          <cell r="Z807">
            <v>3.5031574299164196E-2</v>
          </cell>
          <cell r="AA807">
            <v>3.4469840801487628E-2</v>
          </cell>
        </row>
        <row r="808">
          <cell r="Y808">
            <v>44474</v>
          </cell>
          <cell r="Z808">
            <v>3.5054458686173129E-2</v>
          </cell>
          <cell r="AA808">
            <v>3.4491796257677398E-2</v>
          </cell>
        </row>
        <row r="809">
          <cell r="Y809">
            <v>44481</v>
          </cell>
          <cell r="Z809">
            <v>3.5074113592908747E-2</v>
          </cell>
          <cell r="AA809">
            <v>3.4513562430278366E-2</v>
          </cell>
        </row>
        <row r="810">
          <cell r="Y810">
            <v>44488</v>
          </cell>
          <cell r="Z810">
            <v>3.5093576110023644E-2</v>
          </cell>
          <cell r="AA810">
            <v>3.4535139319209485E-2</v>
          </cell>
        </row>
        <row r="811">
          <cell r="Y811">
            <v>44495</v>
          </cell>
          <cell r="Z811">
            <v>3.5112846232009796E-2</v>
          </cell>
          <cell r="AA811">
            <v>3.45565269245518E-2</v>
          </cell>
        </row>
        <row r="812">
          <cell r="Y812">
            <v>44502</v>
          </cell>
          <cell r="Z812">
            <v>3.5131923953412601E-2</v>
          </cell>
          <cell r="AA812">
            <v>3.4577725246224267E-2</v>
          </cell>
        </row>
        <row r="813">
          <cell r="Y813">
            <v>44509</v>
          </cell>
          <cell r="Z813">
            <v>3.51478435488672E-2</v>
          </cell>
          <cell r="AA813">
            <v>3.4598734284226884E-2</v>
          </cell>
        </row>
        <row r="814">
          <cell r="Y814">
            <v>44516</v>
          </cell>
          <cell r="Z814">
            <v>3.5166548411114239E-2</v>
          </cell>
          <cell r="AA814">
            <v>3.461955403839756E-2</v>
          </cell>
        </row>
        <row r="815">
          <cell r="Y815">
            <v>44523</v>
          </cell>
          <cell r="Z815">
            <v>3.5185060874558527E-2</v>
          </cell>
          <cell r="AA815">
            <v>3.464018450881734E-2</v>
          </cell>
        </row>
        <row r="816">
          <cell r="Y816">
            <v>44530</v>
          </cell>
          <cell r="Z816">
            <v>3.520631072601741E-2</v>
          </cell>
          <cell r="AA816">
            <v>3.4660625695486225E-2</v>
          </cell>
        </row>
        <row r="817">
          <cell r="Y817">
            <v>44537</v>
          </cell>
          <cell r="Z817">
            <v>3.5224426364599014E-2</v>
          </cell>
          <cell r="AA817">
            <v>3.4680877598242121E-2</v>
          </cell>
        </row>
        <row r="818">
          <cell r="Y818">
            <v>44544</v>
          </cell>
          <cell r="Z818">
            <v>3.5242349571015491E-2</v>
          </cell>
          <cell r="AA818">
            <v>3.470094021708503E-2</v>
          </cell>
        </row>
        <row r="819">
          <cell r="Y819">
            <v>44551</v>
          </cell>
          <cell r="Z819">
            <v>3.5260080340194337E-2</v>
          </cell>
          <cell r="AA819">
            <v>3.4720813552095997E-2</v>
          </cell>
        </row>
        <row r="820">
          <cell r="Y820">
            <v>44559</v>
          </cell>
          <cell r="Z820">
            <v>3.528010844481283E-2</v>
          </cell>
          <cell r="AA820">
            <v>3.4743294158765536E-2</v>
          </cell>
        </row>
        <row r="821">
          <cell r="Y821">
            <v>44566</v>
          </cell>
          <cell r="Z821">
            <v>3.5294559782938904E-2</v>
          </cell>
          <cell r="AA821">
            <v>3.4762761885264171E-2</v>
          </cell>
        </row>
        <row r="822">
          <cell r="Y822">
            <v>44573</v>
          </cell>
          <cell r="Z822">
            <v>3.531170224060648E-2</v>
          </cell>
          <cell r="AA822">
            <v>3.4782040327768771E-2</v>
          </cell>
        </row>
        <row r="823">
          <cell r="Y823">
            <v>44580</v>
          </cell>
          <cell r="Z823">
            <v>3.5328659066592605E-2</v>
          </cell>
          <cell r="AA823">
            <v>3.4801129486360383E-2</v>
          </cell>
        </row>
        <row r="824">
          <cell r="Y824">
            <v>44587</v>
          </cell>
          <cell r="Z824">
            <v>3.5345433433342441E-2</v>
          </cell>
          <cell r="AA824">
            <v>3.4820029360795868E-2</v>
          </cell>
        </row>
        <row r="825">
          <cell r="Y825">
            <v>44594</v>
          </cell>
          <cell r="Z825">
            <v>3.5362028513452957E-2</v>
          </cell>
          <cell r="AA825">
            <v>3.4838739951156272E-2</v>
          </cell>
        </row>
        <row r="826">
          <cell r="Y826">
            <v>44601</v>
          </cell>
          <cell r="Z826">
            <v>3.5378447479672906E-2</v>
          </cell>
          <cell r="AA826">
            <v>3.485726125736055E-2</v>
          </cell>
        </row>
        <row r="827">
          <cell r="Y827">
            <v>44608</v>
          </cell>
          <cell r="Z827">
            <v>3.5394693504897913E-2</v>
          </cell>
          <cell r="AA827">
            <v>3.4875593279489747E-2</v>
          </cell>
        </row>
        <row r="828">
          <cell r="Y828">
            <v>44615</v>
          </cell>
          <cell r="Z828">
            <v>3.5410769762167782E-2</v>
          </cell>
          <cell r="AA828">
            <v>3.4893736017381771E-2</v>
          </cell>
        </row>
        <row r="829">
          <cell r="Y829">
            <v>44622</v>
          </cell>
          <cell r="Z829">
            <v>3.5435040088344985E-2</v>
          </cell>
          <cell r="AA829">
            <v>3.4911689471117668E-2</v>
          </cell>
        </row>
        <row r="830">
          <cell r="Y830">
            <v>44629</v>
          </cell>
          <cell r="Z830">
            <v>3.545076041518451E-2</v>
          </cell>
          <cell r="AA830">
            <v>3.4929453640616392E-2</v>
          </cell>
        </row>
        <row r="831">
          <cell r="Y831">
            <v>44636</v>
          </cell>
          <cell r="Z831">
            <v>3.5466321263284278E-2</v>
          </cell>
          <cell r="AA831">
            <v>3.4947028525877943E-2</v>
          </cell>
        </row>
        <row r="832">
          <cell r="Y832">
            <v>44643</v>
          </cell>
          <cell r="Z832">
            <v>3.5481725755307725E-2</v>
          </cell>
          <cell r="AA832">
            <v>3.4964414126821275E-2</v>
          </cell>
        </row>
        <row r="833">
          <cell r="Y833">
            <v>44650</v>
          </cell>
          <cell r="Z833">
            <v>3.5496977014050843E-2</v>
          </cell>
          <cell r="AA833">
            <v>3.4981610443446387E-2</v>
          </cell>
        </row>
        <row r="834">
          <cell r="Y834">
            <v>44657</v>
          </cell>
          <cell r="Z834">
            <v>3.5509332562994163E-2</v>
          </cell>
          <cell r="AA834">
            <v>3.499861747575328E-2</v>
          </cell>
        </row>
        <row r="835">
          <cell r="Y835">
            <v>44664</v>
          </cell>
          <cell r="Z835">
            <v>3.5524294239481426E-2</v>
          </cell>
          <cell r="AA835">
            <v>3.5015435223660907E-2</v>
          </cell>
        </row>
        <row r="836">
          <cell r="Y836">
            <v>44671</v>
          </cell>
          <cell r="Z836">
            <v>3.553911188230191E-2</v>
          </cell>
          <cell r="AA836">
            <v>3.5032063687169268E-2</v>
          </cell>
        </row>
        <row r="837">
          <cell r="Y837">
            <v>44678</v>
          </cell>
          <cell r="Z837">
            <v>3.5553788631548608E-2</v>
          </cell>
          <cell r="AA837">
            <v>3.5048502866278364E-2</v>
          </cell>
        </row>
        <row r="838">
          <cell r="Y838">
            <v>44685</v>
          </cell>
          <cell r="Z838">
            <v>3.5571044115376163E-2</v>
          </cell>
          <cell r="AA838">
            <v>3.5064752760988194E-2</v>
          </cell>
        </row>
        <row r="839">
          <cell r="Y839">
            <v>44692</v>
          </cell>
          <cell r="Z839">
            <v>3.5585441560259591E-2</v>
          </cell>
          <cell r="AA839">
            <v>3.5080813371136665E-2</v>
          </cell>
        </row>
        <row r="840">
          <cell r="Y840">
            <v>44699</v>
          </cell>
          <cell r="Z840">
            <v>3.559970763494176E-2</v>
          </cell>
          <cell r="AA840">
            <v>3.5096684696885871E-2</v>
          </cell>
        </row>
        <row r="841">
          <cell r="Y841">
            <v>44706</v>
          </cell>
          <cell r="Z841">
            <v>3.5613845463192559E-2</v>
          </cell>
          <cell r="AA841">
            <v>3.5112366738073719E-2</v>
          </cell>
        </row>
        <row r="842">
          <cell r="Y842">
            <v>44713</v>
          </cell>
          <cell r="Z842">
            <v>3.5625168885734096E-2</v>
          </cell>
          <cell r="AA842">
            <v>3.5127859494700209E-2</v>
          </cell>
        </row>
        <row r="843">
          <cell r="Y843">
            <v>44720</v>
          </cell>
          <cell r="Z843">
            <v>3.5639066222087151E-2</v>
          </cell>
          <cell r="AA843">
            <v>3.514316296676534E-2</v>
          </cell>
        </row>
        <row r="844">
          <cell r="Y844">
            <v>44727</v>
          </cell>
          <cell r="Z844">
            <v>3.5652844648774586E-2</v>
          </cell>
          <cell r="AA844">
            <v>3.5158277154269113E-2</v>
          </cell>
        </row>
        <row r="845">
          <cell r="Y845">
            <v>44734</v>
          </cell>
          <cell r="Z845">
            <v>3.5666507306796401E-2</v>
          </cell>
          <cell r="AA845">
            <v>3.5173202057211528E-2</v>
          </cell>
        </row>
        <row r="846">
          <cell r="Y846">
            <v>44741</v>
          </cell>
          <cell r="Z846">
            <v>3.5680057325038587E-2</v>
          </cell>
          <cell r="AA846">
            <v>3.5187942893352142E-2</v>
          </cell>
        </row>
        <row r="847">
          <cell r="Y847">
            <v>44748</v>
          </cell>
          <cell r="Z847">
            <v>3.5696153095223622E-2</v>
          </cell>
          <cell r="AA847">
            <v>3.5202558434536124E-2</v>
          </cell>
        </row>
        <row r="848">
          <cell r="Y848">
            <v>44755</v>
          </cell>
          <cell r="Z848">
            <v>3.5709475557795911E-2</v>
          </cell>
          <cell r="AA848">
            <v>3.5217065433110761E-2</v>
          </cell>
        </row>
        <row r="849">
          <cell r="Y849">
            <v>44762</v>
          </cell>
          <cell r="Z849">
            <v>3.5722687621127749E-2</v>
          </cell>
          <cell r="AA849">
            <v>3.52314638891571E-2</v>
          </cell>
        </row>
        <row r="850">
          <cell r="Y850">
            <v>44769</v>
          </cell>
          <cell r="Z850">
            <v>3.5735789283052037E-2</v>
          </cell>
          <cell r="AA850">
            <v>3.5245753802594093E-2</v>
          </cell>
        </row>
        <row r="851">
          <cell r="Y851">
            <v>44776</v>
          </cell>
          <cell r="Z851">
            <v>3.5748780541418834E-2</v>
          </cell>
          <cell r="AA851">
            <v>3.5259935173502788E-2</v>
          </cell>
        </row>
        <row r="852">
          <cell r="Y852">
            <v>44783</v>
          </cell>
          <cell r="Z852">
            <v>3.5761661394095833E-2</v>
          </cell>
          <cell r="AA852">
            <v>3.5274008001802137E-2</v>
          </cell>
        </row>
        <row r="853">
          <cell r="Y853">
            <v>44790</v>
          </cell>
          <cell r="Z853">
            <v>3.577443183896923E-2</v>
          </cell>
          <cell r="AA853">
            <v>3.5287972287411096E-2</v>
          </cell>
        </row>
        <row r="854">
          <cell r="Y854">
            <v>44797</v>
          </cell>
          <cell r="Z854">
            <v>3.5787091873944146E-2</v>
          </cell>
          <cell r="AA854">
            <v>3.5301828030491755E-2</v>
          </cell>
        </row>
        <row r="855">
          <cell r="Y855">
            <v>44804</v>
          </cell>
          <cell r="Z855">
            <v>3.5791830221672684E-2</v>
          </cell>
          <cell r="AA855">
            <v>3.5315575230882024E-2</v>
          </cell>
        </row>
        <row r="856">
          <cell r="Y856">
            <v>44811</v>
          </cell>
          <cell r="Z856">
            <v>3.5804289457333563E-2</v>
          </cell>
          <cell r="AA856">
            <v>3.5329213888662947E-2</v>
          </cell>
        </row>
        <row r="857">
          <cell r="Y857">
            <v>44818</v>
          </cell>
          <cell r="Z857">
            <v>3.5816638308307912E-2</v>
          </cell>
          <cell r="AA857">
            <v>3.5342744003834525E-2</v>
          </cell>
        </row>
        <row r="858">
          <cell r="Y858">
            <v>44825</v>
          </cell>
          <cell r="Z858">
            <v>3.5828876772603165E-2</v>
          </cell>
          <cell r="AA858">
            <v>3.5356165576234666E-2</v>
          </cell>
        </row>
        <row r="859">
          <cell r="Y859">
            <v>44832</v>
          </cell>
          <cell r="Z859">
            <v>3.58410048482442E-2</v>
          </cell>
          <cell r="AA859">
            <v>3.5369478606025462E-2</v>
          </cell>
        </row>
        <row r="860">
          <cell r="Y860">
            <v>44839</v>
          </cell>
          <cell r="Z860">
            <v>3.5855593286930568E-2</v>
          </cell>
          <cell r="AA860">
            <v>3.5382683093125866E-2</v>
          </cell>
        </row>
        <row r="861">
          <cell r="Y861">
            <v>44846</v>
          </cell>
          <cell r="Z861">
            <v>3.5867493852805223E-2</v>
          </cell>
          <cell r="AA861">
            <v>3.5395779037454833E-2</v>
          </cell>
        </row>
        <row r="862">
          <cell r="Y862">
            <v>44853</v>
          </cell>
          <cell r="Z862">
            <v>3.5879284013695584E-2</v>
          </cell>
          <cell r="AA862">
            <v>3.5408766439174455E-2</v>
          </cell>
        </row>
        <row r="863">
          <cell r="Y863">
            <v>44860</v>
          </cell>
          <cell r="Z863">
            <v>3.5890963767687252E-2</v>
          </cell>
          <cell r="AA863">
            <v>3.5421645298041593E-2</v>
          </cell>
        </row>
        <row r="864">
          <cell r="Y864">
            <v>44867</v>
          </cell>
          <cell r="Z864">
            <v>3.5899989328727865E-2</v>
          </cell>
          <cell r="AA864">
            <v>3.5434415614299386E-2</v>
          </cell>
        </row>
        <row r="865">
          <cell r="Y865">
            <v>44874</v>
          </cell>
          <cell r="Z865">
            <v>3.5911455031950021E-2</v>
          </cell>
          <cell r="AA865">
            <v>3.5447077387785741E-2</v>
          </cell>
        </row>
        <row r="866">
          <cell r="Y866">
            <v>44881</v>
          </cell>
          <cell r="Z866">
            <v>3.5922810333186964E-2</v>
          </cell>
          <cell r="AA866">
            <v>3.5459630618419613E-2</v>
          </cell>
        </row>
        <row r="867">
          <cell r="Y867">
            <v>44888</v>
          </cell>
          <cell r="Z867">
            <v>3.5934055230605534E-2</v>
          </cell>
          <cell r="AA867">
            <v>3.5472075306282047E-2</v>
          </cell>
        </row>
        <row r="868">
          <cell r="Y868">
            <v>44895</v>
          </cell>
          <cell r="Z868">
            <v>3.5947706368442155E-2</v>
          </cell>
          <cell r="AA868">
            <v>3.548441145145409E-2</v>
          </cell>
        </row>
        <row r="869">
          <cell r="Y869">
            <v>44902</v>
          </cell>
          <cell r="Z869">
            <v>3.5958723641857621E-2</v>
          </cell>
          <cell r="AA869">
            <v>3.5496639053854695E-2</v>
          </cell>
        </row>
        <row r="870">
          <cell r="Y870">
            <v>44909</v>
          </cell>
          <cell r="Z870">
            <v>3.5969630495480027E-2</v>
          </cell>
          <cell r="AA870">
            <v>3.550875811332177E-2</v>
          </cell>
        </row>
        <row r="871">
          <cell r="Y871">
            <v>44916</v>
          </cell>
          <cell r="Z871">
            <v>3.5980426927538833E-2</v>
          </cell>
          <cell r="AA871">
            <v>3.5520768630098454E-2</v>
          </cell>
        </row>
        <row r="872">
          <cell r="Y872">
            <v>44923</v>
          </cell>
          <cell r="Z872">
            <v>3.5991112944386811E-2</v>
          </cell>
          <cell r="AA872">
            <v>3.5532670603941607E-2</v>
          </cell>
        </row>
        <row r="873">
          <cell r="Y873">
            <v>44930</v>
          </cell>
          <cell r="Z873">
            <v>3.5999208829802704E-2</v>
          </cell>
          <cell r="AA873">
            <v>3.5544464035013323E-2</v>
          </cell>
        </row>
        <row r="874">
          <cell r="Y874">
            <v>44937</v>
          </cell>
          <cell r="Z874">
            <v>3.6009700417710504E-2</v>
          </cell>
          <cell r="AA874">
            <v>3.5556148923232556E-2</v>
          </cell>
        </row>
        <row r="875">
          <cell r="Y875">
            <v>44944</v>
          </cell>
          <cell r="Z875">
            <v>3.602011513162915E-2</v>
          </cell>
          <cell r="AA875">
            <v>3.5567725268518258E-2</v>
          </cell>
        </row>
        <row r="876">
          <cell r="Y876">
            <v>44951</v>
          </cell>
          <cell r="Z876">
            <v>3.6030469742299849E-2</v>
          </cell>
          <cell r="AA876">
            <v>3.5579193071032522E-2</v>
          </cell>
        </row>
        <row r="877">
          <cell r="Y877">
            <v>44958</v>
          </cell>
          <cell r="Z877">
            <v>3.6040781020809036E-2</v>
          </cell>
          <cell r="AA877">
            <v>3.5590552330613257E-2</v>
          </cell>
        </row>
        <row r="878">
          <cell r="Y878">
            <v>44965</v>
          </cell>
          <cell r="Z878">
            <v>3.6051065738582577E-2</v>
          </cell>
          <cell r="AA878">
            <v>3.5601803047341507E-2</v>
          </cell>
        </row>
        <row r="879">
          <cell r="Y879">
            <v>44972</v>
          </cell>
          <cell r="Z879">
            <v>3.606134066738572E-2</v>
          </cell>
          <cell r="AA879">
            <v>3.5612945221136227E-2</v>
          </cell>
        </row>
        <row r="880">
          <cell r="Y880">
            <v>44979</v>
          </cell>
          <cell r="Z880">
            <v>3.6071622579319104E-2</v>
          </cell>
          <cell r="AA880">
            <v>3.5623978851997418E-2</v>
          </cell>
        </row>
        <row r="881">
          <cell r="Y881">
            <v>44986</v>
          </cell>
          <cell r="Z881">
            <v>3.6089476233700506E-2</v>
          </cell>
          <cell r="AA881">
            <v>3.5634903940006124E-2</v>
          </cell>
        </row>
        <row r="882">
          <cell r="Y882">
            <v>44993</v>
          </cell>
          <cell r="Z882">
            <v>3.6099858157511759E-2</v>
          </cell>
          <cell r="AA882">
            <v>3.5645720485000254E-2</v>
          </cell>
        </row>
        <row r="883">
          <cell r="Y883">
            <v>45000</v>
          </cell>
          <cell r="Z883">
            <v>3.6110301738548352E-2</v>
          </cell>
          <cell r="AA883">
            <v>3.56564284871419E-2</v>
          </cell>
        </row>
        <row r="884">
          <cell r="Y884">
            <v>45007</v>
          </cell>
          <cell r="Z884">
            <v>3.612082348176205E-2</v>
          </cell>
          <cell r="AA884">
            <v>3.5667027946350016E-2</v>
          </cell>
        </row>
        <row r="885">
          <cell r="Y885">
            <v>45014</v>
          </cell>
          <cell r="Z885">
            <v>3.6131439892455215E-2</v>
          </cell>
          <cell r="AA885">
            <v>3.5677518862462509E-2</v>
          </cell>
        </row>
        <row r="886">
          <cell r="Y886">
            <v>45021</v>
          </cell>
          <cell r="Z886">
            <v>3.6139576111522284E-2</v>
          </cell>
          <cell r="AA886">
            <v>3.5687901235803565E-2</v>
          </cell>
        </row>
        <row r="887">
          <cell r="Y887">
            <v>45028</v>
          </cell>
          <cell r="Z887">
            <v>3.6150413032744959E-2</v>
          </cell>
          <cell r="AA887">
            <v>3.5698175066048998E-2</v>
          </cell>
        </row>
        <row r="888">
          <cell r="Y888">
            <v>45035</v>
          </cell>
          <cell r="Z888">
            <v>3.6161393145742023E-2</v>
          </cell>
          <cell r="AA888">
            <v>3.5708340353360901E-2</v>
          </cell>
        </row>
        <row r="889">
          <cell r="Y889">
            <v>45042</v>
          </cell>
          <cell r="Z889">
            <v>3.6172533045826738E-2</v>
          </cell>
          <cell r="AA889">
            <v>3.5718397097577181E-2</v>
          </cell>
        </row>
        <row r="890">
          <cell r="Y890">
            <v>45049</v>
          </cell>
          <cell r="Z890">
            <v>3.6186519669354468E-2</v>
          </cell>
          <cell r="AA890">
            <v>3.5728345298940978E-2</v>
          </cell>
        </row>
        <row r="891">
          <cell r="Y891">
            <v>45056</v>
          </cell>
          <cell r="Z891">
            <v>3.6198050717051476E-2</v>
          </cell>
          <cell r="AA891">
            <v>3.5738184957128105E-2</v>
          </cell>
        </row>
        <row r="892">
          <cell r="Y892">
            <v>45063</v>
          </cell>
          <cell r="Z892">
            <v>3.6209791979963338E-2</v>
          </cell>
          <cell r="AA892">
            <v>3.5747916072462749E-2</v>
          </cell>
        </row>
        <row r="893">
          <cell r="Y893">
            <v>45070</v>
          </cell>
          <cell r="Z893">
            <v>3.6221759966575257E-2</v>
          </cell>
          <cell r="AA893">
            <v>3.5757538644620723E-2</v>
          </cell>
        </row>
        <row r="894">
          <cell r="Y894">
            <v>45077</v>
          </cell>
          <cell r="Z894">
            <v>3.6231210217280395E-2</v>
          </cell>
          <cell r="AA894">
            <v>3.5767052673845168E-2</v>
          </cell>
        </row>
        <row r="895">
          <cell r="Y895">
            <v>45084</v>
          </cell>
          <cell r="Z895">
            <v>3.6243657364863353E-2</v>
          </cell>
          <cell r="AA895">
            <v>3.5776458159973989E-2</v>
          </cell>
        </row>
        <row r="896">
          <cell r="Y896">
            <v>45091</v>
          </cell>
          <cell r="Z896">
            <v>3.6256380478770292E-2</v>
          </cell>
          <cell r="AA896">
            <v>3.5785755103088235E-2</v>
          </cell>
        </row>
        <row r="897">
          <cell r="Y897">
            <v>45098</v>
          </cell>
          <cell r="Z897">
            <v>3.6269396157969092E-2</v>
          </cell>
          <cell r="AA897">
            <v>3.5794943503106857E-2</v>
          </cell>
        </row>
        <row r="898">
          <cell r="Y898">
            <v>45105</v>
          </cell>
          <cell r="Z898">
            <v>3.6282720993912887E-2</v>
          </cell>
          <cell r="AA898">
            <v>3.5804033505322241E-2</v>
          </cell>
        </row>
        <row r="899">
          <cell r="Y899">
            <v>45112</v>
          </cell>
          <cell r="Z899">
            <v>3.629924951379445E-2</v>
          </cell>
          <cell r="AA899">
            <v>3.5813309178488462E-2</v>
          </cell>
        </row>
        <row r="900">
          <cell r="Y900">
            <v>45119</v>
          </cell>
          <cell r="Z900">
            <v>3.6313243883595636E-2</v>
          </cell>
          <cell r="AA900">
            <v>3.5822902411649649E-2</v>
          </cell>
        </row>
        <row r="901">
          <cell r="Y901">
            <v>45126</v>
          </cell>
          <cell r="Z901">
            <v>3.632756169381085E-2</v>
          </cell>
          <cell r="AA901">
            <v>3.5832813204724756E-2</v>
          </cell>
        </row>
        <row r="902">
          <cell r="Y902">
            <v>45133</v>
          </cell>
          <cell r="Z902">
            <v>3.6342202951317133E-2</v>
          </cell>
          <cell r="AA902">
            <v>3.5843041557875877E-2</v>
          </cell>
        </row>
        <row r="903">
          <cell r="Y903">
            <v>45140</v>
          </cell>
          <cell r="Z903">
            <v>3.6357167663144799E-2</v>
          </cell>
          <cell r="AA903">
            <v>3.585358747110301E-2</v>
          </cell>
        </row>
        <row r="904">
          <cell r="Y904">
            <v>45147</v>
          </cell>
          <cell r="Z904">
            <v>3.6372455836481424E-2</v>
          </cell>
          <cell r="AA904">
            <v>3.586445094432511E-2</v>
          </cell>
        </row>
        <row r="905">
          <cell r="Y905">
            <v>45154</v>
          </cell>
          <cell r="Z905">
            <v>3.6388067478670072E-2</v>
          </cell>
          <cell r="AA905">
            <v>3.587563197770427E-2</v>
          </cell>
        </row>
        <row r="906">
          <cell r="Y906">
            <v>45161</v>
          </cell>
          <cell r="Z906">
            <v>3.6404002597207073E-2</v>
          </cell>
          <cell r="AA906">
            <v>3.5887130571159442E-2</v>
          </cell>
        </row>
        <row r="907">
          <cell r="Y907">
            <v>45168</v>
          </cell>
          <cell r="Z907">
            <v>3.641718240091326E-2</v>
          </cell>
          <cell r="AA907">
            <v>3.5898946724771674E-2</v>
          </cell>
        </row>
        <row r="908">
          <cell r="Y908">
            <v>45175</v>
          </cell>
          <cell r="Z908">
            <v>3.6430638781956973E-2</v>
          </cell>
          <cell r="AA908">
            <v>3.5911080438622012E-2</v>
          </cell>
        </row>
        <row r="909">
          <cell r="Y909">
            <v>45182</v>
          </cell>
          <cell r="Z909">
            <v>3.6447494823955297E-2</v>
          </cell>
          <cell r="AA909">
            <v>3.5923531712629408E-2</v>
          </cell>
        </row>
        <row r="910">
          <cell r="Y910">
            <v>45189</v>
          </cell>
          <cell r="Z910">
            <v>3.6464674307065272E-2</v>
          </cell>
          <cell r="AA910">
            <v>3.5936300546955957E-2</v>
          </cell>
        </row>
        <row r="911">
          <cell r="Y911">
            <v>45196</v>
          </cell>
          <cell r="Z911">
            <v>3.6482177239448972E-2</v>
          </cell>
          <cell r="AA911">
            <v>3.5949386941520611E-2</v>
          </cell>
        </row>
        <row r="912">
          <cell r="Y912">
            <v>45203</v>
          </cell>
          <cell r="Z912">
            <v>3.6503203892538839E-2</v>
          </cell>
          <cell r="AA912">
            <v>3.5962790896404417E-2</v>
          </cell>
        </row>
        <row r="913">
          <cell r="Y913">
            <v>45210</v>
          </cell>
          <cell r="Z913">
            <v>3.6521378656064918E-2</v>
          </cell>
          <cell r="AA913">
            <v>3.5976512411688422E-2</v>
          </cell>
        </row>
        <row r="914">
          <cell r="Y914">
            <v>45217</v>
          </cell>
          <cell r="Z914">
            <v>3.6539876927888279E-2</v>
          </cell>
          <cell r="AA914">
            <v>3.5990551487291578E-2</v>
          </cell>
        </row>
        <row r="915">
          <cell r="Y915">
            <v>45224</v>
          </cell>
          <cell r="Z915">
            <v>3.6558698716844737E-2</v>
          </cell>
          <cell r="AA915">
            <v>3.6004908123375978E-2</v>
          </cell>
        </row>
        <row r="916">
          <cell r="Y916">
            <v>45231</v>
          </cell>
          <cell r="Z916">
            <v>3.6574543936867633E-2</v>
          </cell>
          <cell r="AA916">
            <v>3.6019582319941623E-2</v>
          </cell>
        </row>
        <row r="917">
          <cell r="Y917">
            <v>45238</v>
          </cell>
          <cell r="Z917">
            <v>3.6593987744885016E-2</v>
          </cell>
          <cell r="AA917">
            <v>3.6034574076988513E-2</v>
          </cell>
        </row>
        <row r="918">
          <cell r="Y918">
            <v>45245</v>
          </cell>
          <cell r="Z918">
            <v>3.6613755063608311E-2</v>
          </cell>
          <cell r="AA918">
            <v>3.6049883394516646E-2</v>
          </cell>
        </row>
        <row r="919">
          <cell r="Y919">
            <v>45252</v>
          </cell>
          <cell r="Z919">
            <v>3.6633845902428644E-2</v>
          </cell>
          <cell r="AA919">
            <v>3.6065510272688117E-2</v>
          </cell>
        </row>
        <row r="920">
          <cell r="Y920">
            <v>45259</v>
          </cell>
          <cell r="Z920">
            <v>3.6654260270891227E-2</v>
          </cell>
          <cell r="AA920">
            <v>3.6081454711421879E-2</v>
          </cell>
        </row>
        <row r="921">
          <cell r="Y921">
            <v>45266</v>
          </cell>
          <cell r="Z921">
            <v>3.6678423824690796E-2</v>
          </cell>
          <cell r="AA921">
            <v>3.6097716710798977E-2</v>
          </cell>
        </row>
        <row r="922">
          <cell r="Y922">
            <v>45273</v>
          </cell>
          <cell r="Z922">
            <v>3.6699510493981555E-2</v>
          </cell>
          <cell r="AA922">
            <v>3.6114296270981505E-2</v>
          </cell>
        </row>
        <row r="923">
          <cell r="Y923">
            <v>45280</v>
          </cell>
          <cell r="Z923">
            <v>3.6720920756661543E-2</v>
          </cell>
          <cell r="AA923">
            <v>3.6131193391888416E-2</v>
          </cell>
        </row>
        <row r="924">
          <cell r="Y924">
            <v>45287</v>
          </cell>
          <cell r="Z924">
            <v>3.6742654622959434E-2</v>
          </cell>
          <cell r="AA924">
            <v>3.6148408073681804E-2</v>
          </cell>
        </row>
        <row r="925">
          <cell r="Y925">
            <v>45294</v>
          </cell>
          <cell r="Z925">
            <v>3.676118123170305E-2</v>
          </cell>
          <cell r="AA925">
            <v>3.6165940316118528E-2</v>
          </cell>
        </row>
        <row r="926">
          <cell r="Y926">
            <v>45301</v>
          </cell>
          <cell r="Z926">
            <v>3.6783498733423604E-2</v>
          </cell>
          <cell r="AA926">
            <v>3.618379011960382E-2</v>
          </cell>
        </row>
        <row r="927">
          <cell r="Y927">
            <v>45308</v>
          </cell>
          <cell r="Z927">
            <v>3.6806066030468994E-2</v>
          </cell>
          <cell r="AA927">
            <v>3.6201957483894542E-2</v>
          </cell>
        </row>
        <row r="928">
          <cell r="Y928">
            <v>45315</v>
          </cell>
          <cell r="Z928">
            <v>3.6828843389740649E-2</v>
          </cell>
          <cell r="AA928">
            <v>3.6220442409152787E-2</v>
          </cell>
        </row>
        <row r="929">
          <cell r="Y929">
            <v>45322</v>
          </cell>
          <cell r="Z929">
            <v>3.6851791076440231E-2</v>
          </cell>
          <cell r="AA929">
            <v>3.6239244895540645E-2</v>
          </cell>
        </row>
        <row r="930">
          <cell r="Y930">
            <v>45329</v>
          </cell>
          <cell r="Z930">
            <v>3.6874869354033606E-2</v>
          </cell>
          <cell r="AA930">
            <v>3.6258364942896026E-2</v>
          </cell>
        </row>
        <row r="931">
          <cell r="Y931">
            <v>45336</v>
          </cell>
          <cell r="Z931">
            <v>3.6898038484220526E-2</v>
          </cell>
          <cell r="AA931">
            <v>3.6277802551543115E-2</v>
          </cell>
        </row>
        <row r="932">
          <cell r="Y932">
            <v>45343</v>
          </cell>
          <cell r="Z932">
            <v>3.6921258726915068E-2</v>
          </cell>
          <cell r="AA932">
            <v>3.6297557721238771E-2</v>
          </cell>
        </row>
        <row r="933">
          <cell r="Y933">
            <v>45350</v>
          </cell>
          <cell r="Z933">
            <v>3.6944490340228689E-2</v>
          </cell>
          <cell r="AA933">
            <v>3.6317630452226135E-2</v>
          </cell>
        </row>
        <row r="934">
          <cell r="Y934">
            <v>45357</v>
          </cell>
          <cell r="Z934">
            <v>3.6974714406791447E-2</v>
          </cell>
          <cell r="AA934">
            <v>3.6338020744505206E-2</v>
          </cell>
        </row>
        <row r="935">
          <cell r="Y935">
            <v>45364</v>
          </cell>
          <cell r="Z935">
            <v>3.6997805651011115E-2</v>
          </cell>
          <cell r="AA935">
            <v>3.6358728597994938E-2</v>
          </cell>
        </row>
        <row r="936">
          <cell r="Y936">
            <v>45371</v>
          </cell>
          <cell r="Z936">
            <v>3.7020782466079864E-2</v>
          </cell>
          <cell r="AA936">
            <v>3.637975401293847E-2</v>
          </cell>
        </row>
        <row r="937">
          <cell r="Y937">
            <v>45378</v>
          </cell>
          <cell r="Z937">
            <v>3.7043605526716046E-2</v>
          </cell>
          <cell r="AA937">
            <v>3.6401096989335802E-2</v>
          </cell>
        </row>
        <row r="938">
          <cell r="Y938">
            <v>45385</v>
          </cell>
          <cell r="Z938">
            <v>3.7062833535107566E-2</v>
          </cell>
          <cell r="AA938">
            <v>3.6422757527186933E-2</v>
          </cell>
        </row>
        <row r="939">
          <cell r="Y939">
            <v>45392</v>
          </cell>
          <cell r="Z939">
            <v>3.7085264981511532E-2</v>
          </cell>
          <cell r="AA939">
            <v>3.6444735626653957E-2</v>
          </cell>
        </row>
        <row r="940">
          <cell r="Y940">
            <v>45399</v>
          </cell>
          <cell r="Z940">
            <v>3.7107427108431276E-2</v>
          </cell>
          <cell r="AA940">
            <v>3.6467031287736873E-2</v>
          </cell>
        </row>
        <row r="941">
          <cell r="Y941">
            <v>45406</v>
          </cell>
          <cell r="Z941">
            <v>3.7129280373076834E-2</v>
          </cell>
          <cell r="AA941">
            <v>3.6489644510435681E-2</v>
          </cell>
        </row>
        <row r="942">
          <cell r="Y942">
            <v>45413</v>
          </cell>
          <cell r="Z942">
            <v>3.7154038008427079E-2</v>
          </cell>
          <cell r="AA942">
            <v>3.6512575294912475E-2</v>
          </cell>
        </row>
        <row r="943">
          <cell r="Y943">
            <v>45420</v>
          </cell>
          <cell r="Z943">
            <v>3.7175112616551861E-2</v>
          </cell>
          <cell r="AA943">
            <v>3.6535823641167253E-2</v>
          </cell>
        </row>
        <row r="944">
          <cell r="Y944">
            <v>45427</v>
          </cell>
          <cell r="Z944">
            <v>3.7195758146799054E-2</v>
          </cell>
          <cell r="AA944">
            <v>3.6559389549281063E-2</v>
          </cell>
        </row>
        <row r="945">
          <cell r="Y945">
            <v>45434</v>
          </cell>
          <cell r="Z945">
            <v>3.721593526128783E-2</v>
          </cell>
          <cell r="AA945">
            <v>3.6583273019253904E-2</v>
          </cell>
        </row>
        <row r="946">
          <cell r="Y946">
            <v>45441</v>
          </cell>
          <cell r="Z946">
            <v>3.7235604620876744E-2</v>
          </cell>
          <cell r="AA946">
            <v>3.6607474051328914E-2</v>
          </cell>
        </row>
        <row r="947">
          <cell r="Y947">
            <v>45448</v>
          </cell>
          <cell r="Z947">
            <v>3.7251699267691243E-2</v>
          </cell>
          <cell r="AA947">
            <v>3.6631992645344003E-2</v>
          </cell>
        </row>
        <row r="948">
          <cell r="Y948">
            <v>45455</v>
          </cell>
          <cell r="Z948">
            <v>3.7270283175341763E-2</v>
          </cell>
          <cell r="AA948">
            <v>3.6656828801380215E-2</v>
          </cell>
        </row>
        <row r="949">
          <cell r="Y949">
            <v>45462</v>
          </cell>
          <cell r="Z949">
            <v>3.7288241828173543E-2</v>
          </cell>
          <cell r="AA949">
            <v>3.6681982519680689E-2</v>
          </cell>
        </row>
        <row r="950">
          <cell r="Y950">
            <v>45469</v>
          </cell>
          <cell r="Z950">
            <v>3.7308417688738202E-2</v>
          </cell>
          <cell r="AA950">
            <v>3.670745380016438E-2</v>
          </cell>
        </row>
        <row r="951">
          <cell r="Y951">
            <v>45476</v>
          </cell>
          <cell r="Z951">
            <v>3.7324962277189365E-2</v>
          </cell>
          <cell r="AA951">
            <v>3.6732804300779742E-2</v>
          </cell>
        </row>
        <row r="952">
          <cell r="Y952">
            <v>45483</v>
          </cell>
          <cell r="Z952">
            <v>3.7340796783398258E-2</v>
          </cell>
          <cell r="AA952">
            <v>3.6757461070193731E-2</v>
          </cell>
        </row>
        <row r="953">
          <cell r="Y953">
            <v>45490</v>
          </cell>
          <cell r="Z953">
            <v>3.7355921171562674E-2</v>
          </cell>
          <cell r="AA953">
            <v>3.6781420656726294E-2</v>
          </cell>
        </row>
        <row r="954">
          <cell r="Y954">
            <v>45497</v>
          </cell>
          <cell r="Z954">
            <v>3.7370335425738532E-2</v>
          </cell>
          <cell r="AA954">
            <v>3.6804683060215337E-2</v>
          </cell>
        </row>
        <row r="955">
          <cell r="Y955">
            <v>45504</v>
          </cell>
          <cell r="Z955">
            <v>3.7384039530730093E-2</v>
          </cell>
          <cell r="AA955">
            <v>3.6827248280579816E-2</v>
          </cell>
        </row>
        <row r="956">
          <cell r="Y956">
            <v>45511</v>
          </cell>
          <cell r="Z956">
            <v>3.7397033472089086E-2</v>
          </cell>
          <cell r="AA956">
            <v>3.6849116317576591E-2</v>
          </cell>
        </row>
        <row r="957">
          <cell r="Y957">
            <v>45518</v>
          </cell>
          <cell r="Z957">
            <v>3.7409317236119143E-2</v>
          </cell>
          <cell r="AA957">
            <v>3.6870287171286709E-2</v>
          </cell>
        </row>
        <row r="958">
          <cell r="Y958">
            <v>45525</v>
          </cell>
          <cell r="Z958">
            <v>3.7420890809868698E-2</v>
          </cell>
          <cell r="AA958">
            <v>3.689076084146703E-2</v>
          </cell>
        </row>
        <row r="959">
          <cell r="Y959">
            <v>45532</v>
          </cell>
          <cell r="Z959">
            <v>3.7431754181137221E-2</v>
          </cell>
          <cell r="AA959">
            <v>3.6910537327955462E-2</v>
          </cell>
        </row>
        <row r="960">
          <cell r="Y960">
            <v>45539</v>
          </cell>
          <cell r="Z960">
            <v>3.7434728517624354E-2</v>
          </cell>
          <cell r="AA960">
            <v>3.6929616630833051E-2</v>
          </cell>
        </row>
        <row r="961">
          <cell r="Y961">
            <v>45546</v>
          </cell>
          <cell r="Z961">
            <v>3.744432072020551E-2</v>
          </cell>
          <cell r="AA961">
            <v>3.6947998749694566E-2</v>
          </cell>
        </row>
        <row r="962">
          <cell r="Y962">
            <v>45553</v>
          </cell>
          <cell r="Z962">
            <v>3.7453202905886822E-2</v>
          </cell>
          <cell r="AA962">
            <v>3.69656836847021E-2</v>
          </cell>
        </row>
        <row r="963">
          <cell r="Y963">
            <v>45560</v>
          </cell>
          <cell r="Z963">
            <v>3.7461375065457221E-2</v>
          </cell>
          <cell r="AA963">
            <v>3.6982671435531467E-2</v>
          </cell>
        </row>
        <row r="964">
          <cell r="Y964">
            <v>45567</v>
          </cell>
          <cell r="Z964">
            <v>3.7471035312514896E-2</v>
          </cell>
          <cell r="AA964">
            <v>3.6998962002263713E-2</v>
          </cell>
        </row>
        <row r="965">
          <cell r="Y965">
            <v>45574</v>
          </cell>
          <cell r="Z965">
            <v>3.7477737358585186E-2</v>
          </cell>
          <cell r="AA965">
            <v>3.7014555384736747E-2</v>
          </cell>
        </row>
        <row r="966">
          <cell r="Y966">
            <v>45581</v>
          </cell>
          <cell r="Z966">
            <v>3.7483729282802122E-2</v>
          </cell>
          <cell r="AA966">
            <v>3.7029451582788475E-2</v>
          </cell>
        </row>
        <row r="967">
          <cell r="Y967">
            <v>45588</v>
          </cell>
          <cell r="Z967">
            <v>3.7489011078918895E-2</v>
          </cell>
          <cell r="AA967">
            <v>3.7043650596499944E-2</v>
          </cell>
        </row>
        <row r="968">
          <cell r="Y968">
            <v>45595</v>
          </cell>
          <cell r="Z968">
            <v>3.7493582741426591E-2</v>
          </cell>
          <cell r="AA968">
            <v>3.7057152425709061E-2</v>
          </cell>
        </row>
        <row r="969">
          <cell r="Y969">
            <v>45602</v>
          </cell>
          <cell r="Z969">
            <v>3.7495497051487026E-2</v>
          </cell>
          <cell r="AA969">
            <v>3.7069957070253734E-2</v>
          </cell>
        </row>
        <row r="970">
          <cell r="Y970">
            <v>45609</v>
          </cell>
          <cell r="Z970">
            <v>3.7498698832213503E-2</v>
          </cell>
          <cell r="AA970">
            <v>3.7082064530215009E-2</v>
          </cell>
        </row>
        <row r="971">
          <cell r="Y971">
            <v>45616</v>
          </cell>
          <cell r="Z971">
            <v>3.7501190539646699E-2</v>
          </cell>
          <cell r="AA971">
            <v>3.7093474805430793E-2</v>
          </cell>
        </row>
        <row r="972">
          <cell r="Y972">
            <v>45623</v>
          </cell>
          <cell r="Z972">
            <v>3.7502972171202083E-2</v>
          </cell>
          <cell r="AA972">
            <v>3.710418789582004E-2</v>
          </cell>
        </row>
        <row r="973">
          <cell r="Y973">
            <v>45630</v>
          </cell>
          <cell r="Z973">
            <v>3.7505788908894326E-2</v>
          </cell>
          <cell r="AA973">
            <v>3.7114203801301704E-2</v>
          </cell>
        </row>
        <row r="974">
          <cell r="Y974">
            <v>45637</v>
          </cell>
          <cell r="Z974">
            <v>3.7506099695553692E-2</v>
          </cell>
          <cell r="AA974">
            <v>3.7123522521956831E-2</v>
          </cell>
        </row>
        <row r="975">
          <cell r="Y975">
            <v>45644</v>
          </cell>
          <cell r="Z975">
            <v>3.7505700330783598E-2</v>
          </cell>
          <cell r="AA975">
            <v>3.7132144057461236E-2</v>
          </cell>
        </row>
        <row r="976">
          <cell r="Y976">
            <v>45653</v>
          </cell>
          <cell r="Z976">
            <v>3.7504143374735684E-2</v>
          </cell>
          <cell r="AA976">
            <v>3.7147026302774375E-2</v>
          </cell>
        </row>
        <row r="977">
          <cell r="Y977">
            <v>45660</v>
          </cell>
          <cell r="Z977">
            <v>3.7500598065654485E-2</v>
          </cell>
          <cell r="AA977">
            <v>3.7153956084994284E-2</v>
          </cell>
        </row>
        <row r="978">
          <cell r="Y978">
            <v>45667</v>
          </cell>
          <cell r="Z978">
            <v>3.7497959420456278E-2</v>
          </cell>
          <cell r="AA978">
            <v>3.7160188540448599E-2</v>
          </cell>
        </row>
        <row r="979">
          <cell r="Y979">
            <v>45674</v>
          </cell>
          <cell r="Z979">
            <v>3.7494693798569172E-2</v>
          </cell>
          <cell r="AA979">
            <v>3.7165723668948221E-2</v>
          </cell>
        </row>
        <row r="980">
          <cell r="Y980">
            <v>45681</v>
          </cell>
          <cell r="Z980">
            <v>3.7490845946864977E-2</v>
          </cell>
          <cell r="AA980">
            <v>3.7170561470439109E-2</v>
          </cell>
        </row>
        <row r="981">
          <cell r="Y981">
            <v>45688</v>
          </cell>
          <cell r="Z981">
            <v>3.7486460612399956E-2</v>
          </cell>
          <cell r="AA981">
            <v>3.7174701944813211E-2</v>
          </cell>
        </row>
        <row r="982">
          <cell r="Y982">
            <v>45695</v>
          </cell>
          <cell r="Z982">
            <v>3.7481582542294438E-2</v>
          </cell>
          <cell r="AA982">
            <v>3.7178145092070521E-2</v>
          </cell>
        </row>
        <row r="983">
          <cell r="Y983">
            <v>45702</v>
          </cell>
          <cell r="Z983">
            <v>3.7476256483621267E-2</v>
          </cell>
          <cell r="AA983">
            <v>3.7180890912048944E-2</v>
          </cell>
        </row>
        <row r="984">
          <cell r="Y984">
            <v>45709</v>
          </cell>
          <cell r="Z984">
            <v>3.7470527183302835E-2</v>
          </cell>
          <cell r="AA984">
            <v>3.718293940474849E-2</v>
          </cell>
        </row>
        <row r="985">
          <cell r="Y985">
            <v>45716</v>
          </cell>
          <cell r="Z985">
            <v>3.7465782300782298E-2</v>
          </cell>
          <cell r="AA985">
            <v>3.718429057016915E-2</v>
          </cell>
        </row>
        <row r="986">
          <cell r="Y986">
            <v>45723</v>
          </cell>
          <cell r="Z986">
            <v>3.7463408112622908E-2</v>
          </cell>
          <cell r="AA986">
            <v>3.7184944408229878E-2</v>
          </cell>
        </row>
        <row r="987">
          <cell r="Y987">
            <v>45730</v>
          </cell>
          <cell r="Z987">
            <v>3.7456746289485914E-2</v>
          </cell>
          <cell r="AA987">
            <v>3.7184900918957695E-2</v>
          </cell>
        </row>
        <row r="988">
          <cell r="Y988">
            <v>45737</v>
          </cell>
          <cell r="Z988">
            <v>3.7449874635721699E-2</v>
          </cell>
          <cell r="AA988">
            <v>3.7184160102325579E-2</v>
          </cell>
        </row>
        <row r="989">
          <cell r="Y989">
            <v>45744</v>
          </cell>
          <cell r="Z989">
            <v>3.744283694653857E-2</v>
          </cell>
          <cell r="AA989">
            <v>3.7182721958387573E-2</v>
          </cell>
        </row>
        <row r="990">
          <cell r="Y990">
            <v>45751</v>
          </cell>
          <cell r="Z990">
            <v>3.7435677016581466E-2</v>
          </cell>
          <cell r="AA990">
            <v>3.7180586487116647E-2</v>
          </cell>
        </row>
        <row r="991">
          <cell r="Y991">
            <v>45758</v>
          </cell>
          <cell r="Z991">
            <v>3.742843863989908E-2</v>
          </cell>
          <cell r="AA991">
            <v>3.7177753688566836E-2</v>
          </cell>
        </row>
        <row r="992">
          <cell r="Y992">
            <v>45769</v>
          </cell>
          <cell r="Z992">
            <v>3.741417288821032E-2</v>
          </cell>
          <cell r="AA992">
            <v>3.7168716831045279E-2</v>
          </cell>
        </row>
        <row r="993">
          <cell r="Y993">
            <v>45776</v>
          </cell>
          <cell r="Z993">
            <v>3.740689059235857E-2</v>
          </cell>
          <cell r="AA993">
            <v>3.7164191445325789E-2</v>
          </cell>
        </row>
        <row r="994">
          <cell r="Y994">
            <v>45783</v>
          </cell>
          <cell r="Z994">
            <v>3.740114506551017E-2</v>
          </cell>
          <cell r="AA994">
            <v>3.7158968874374532E-2</v>
          </cell>
        </row>
        <row r="995">
          <cell r="Y995">
            <v>45790</v>
          </cell>
          <cell r="Z995">
            <v>3.7394080268819942E-2</v>
          </cell>
          <cell r="AA995">
            <v>3.7153049118272552E-2</v>
          </cell>
        </row>
        <row r="996">
          <cell r="Y996">
            <v>45797</v>
          </cell>
          <cell r="Z996">
            <v>3.7387179462860833E-2</v>
          </cell>
          <cell r="AA996">
            <v>3.714643217701985E-2</v>
          </cell>
        </row>
        <row r="997">
          <cell r="Y997">
            <v>45804</v>
          </cell>
          <cell r="Z997">
            <v>3.7380486671225538E-2</v>
          </cell>
          <cell r="AA997">
            <v>3.7139118050616426E-2</v>
          </cell>
        </row>
        <row r="998">
          <cell r="Y998">
            <v>45811</v>
          </cell>
          <cell r="Z998">
            <v>3.7372472921053002E-2</v>
          </cell>
          <cell r="AA998">
            <v>3.7131106739143327E-2</v>
          </cell>
        </row>
        <row r="999">
          <cell r="Y999">
            <v>45818</v>
          </cell>
          <cell r="Z999">
            <v>3.7366297966524346E-2</v>
          </cell>
          <cell r="AA999">
            <v>3.7122398242762644E-2</v>
          </cell>
        </row>
        <row r="1000">
          <cell r="Y1000">
            <v>45825</v>
          </cell>
          <cell r="Z1000">
            <v>3.7360462475597482E-2</v>
          </cell>
          <cell r="AA1000">
            <v>3.7112992561312286E-2</v>
          </cell>
        </row>
        <row r="1001">
          <cell r="Y1001">
            <v>45832</v>
          </cell>
          <cell r="Z1001">
            <v>3.7355010706190621E-2</v>
          </cell>
          <cell r="AA1001">
            <v>3.7102889694954344E-2</v>
          </cell>
        </row>
        <row r="1002">
          <cell r="Y1002">
            <v>45839</v>
          </cell>
          <cell r="Z1002">
            <v>3.7353382290439038E-2</v>
          </cell>
          <cell r="AA1002">
            <v>3.709232533364859E-2</v>
          </cell>
        </row>
        <row r="1003">
          <cell r="Y1003">
            <v>45846</v>
          </cell>
          <cell r="Z1003">
            <v>3.7347135011441282E-2</v>
          </cell>
          <cell r="AA1003">
            <v>3.7082126323627618E-2</v>
          </cell>
        </row>
        <row r="1004">
          <cell r="Y1004">
            <v>45853</v>
          </cell>
          <cell r="Z1004">
            <v>3.7343034659169293E-2</v>
          </cell>
          <cell r="AA1004">
            <v>3.7072366076288388E-2</v>
          </cell>
        </row>
        <row r="1005">
          <cell r="Y1005">
            <v>45860</v>
          </cell>
          <cell r="Z1005">
            <v>3.7339381291181577E-2</v>
          </cell>
          <cell r="AA1005">
            <v>3.7063044591792993E-2</v>
          </cell>
        </row>
        <row r="1006">
          <cell r="Y1006">
            <v>45867</v>
          </cell>
          <cell r="Z1006">
            <v>3.7336174905054677E-2</v>
          </cell>
          <cell r="AA1006">
            <v>3.7054161870060387E-2</v>
          </cell>
        </row>
        <row r="1007">
          <cell r="Y1007">
            <v>45874</v>
          </cell>
          <cell r="Z1007">
            <v>3.733341549866024E-2</v>
          </cell>
          <cell r="AA1007">
            <v>3.7045717910928477E-2</v>
          </cell>
        </row>
        <row r="1008">
          <cell r="Y1008">
            <v>45881</v>
          </cell>
          <cell r="Z1008">
            <v>3.7331103070168556E-2</v>
          </cell>
          <cell r="AA1008">
            <v>3.7037712714640403E-2</v>
          </cell>
        </row>
        <row r="1009">
          <cell r="Y1009">
            <v>45888</v>
          </cell>
          <cell r="Z1009">
            <v>3.732923761804504E-2</v>
          </cell>
          <cell r="AA1009">
            <v>3.7030146280871978E-2</v>
          </cell>
        </row>
        <row r="1010">
          <cell r="Y1010">
            <v>45895</v>
          </cell>
          <cell r="Z1010">
            <v>3.7327819141051093E-2</v>
          </cell>
          <cell r="AA1010">
            <v>3.7023018609785296E-2</v>
          </cell>
        </row>
        <row r="1011">
          <cell r="Y1011">
            <v>45902</v>
          </cell>
          <cell r="Z1011">
            <v>3.7320912370860368E-2</v>
          </cell>
          <cell r="AA1011">
            <v>3.7016329701299311E-2</v>
          </cell>
        </row>
        <row r="1012">
          <cell r="Y1012">
            <v>45909</v>
          </cell>
          <cell r="Z1012">
            <v>3.7320292250231001E-2</v>
          </cell>
          <cell r="AA1012">
            <v>3.7010079555414022E-2</v>
          </cell>
        </row>
        <row r="1013">
          <cell r="Y1013">
            <v>45916</v>
          </cell>
          <cell r="Z1013">
            <v>3.7320118966922985E-2</v>
          </cell>
          <cell r="AA1013">
            <v>3.7004268172048382E-2</v>
          </cell>
        </row>
        <row r="1014">
          <cell r="Y1014">
            <v>45923</v>
          </cell>
          <cell r="Z1014">
            <v>3.7320392520821692E-2</v>
          </cell>
          <cell r="AA1014">
            <v>3.6998895551202393E-2</v>
          </cell>
        </row>
        <row r="1015">
          <cell r="Y1015">
            <v>45930</v>
          </cell>
          <cell r="Z1015">
            <v>3.7323215850763279E-2</v>
          </cell>
          <cell r="AA1015">
            <v>3.6993961692795008E-2</v>
          </cell>
        </row>
        <row r="1016">
          <cell r="Y1016">
            <v>45937</v>
          </cell>
          <cell r="Z1016">
            <v>3.7324415118501694E-2</v>
          </cell>
          <cell r="AA1016">
            <v>3.6989466596988319E-2</v>
          </cell>
        </row>
        <row r="1017">
          <cell r="Y1017">
            <v>45944</v>
          </cell>
          <cell r="Z1017">
            <v>3.7326061270234329E-2</v>
          </cell>
          <cell r="AA1017">
            <v>3.6985410263539187E-2</v>
          </cell>
        </row>
        <row r="1018">
          <cell r="Y1018">
            <v>45951</v>
          </cell>
          <cell r="Z1018">
            <v>3.7328154307041957E-2</v>
          </cell>
          <cell r="AA1018">
            <v>3.6981792692690751E-2</v>
          </cell>
        </row>
        <row r="1019">
          <cell r="Y1019">
            <v>45958</v>
          </cell>
          <cell r="Z1019">
            <v>3.7330694230299243E-2</v>
          </cell>
          <cell r="AA1019">
            <v>3.697861388428092E-2</v>
          </cell>
        </row>
        <row r="1020">
          <cell r="Y1020">
            <v>45965</v>
          </cell>
          <cell r="Z1020">
            <v>3.7333681041671195E-2</v>
          </cell>
          <cell r="AA1020">
            <v>3.6975873838147599E-2</v>
          </cell>
        </row>
        <row r="1021">
          <cell r="Y1021">
            <v>45972</v>
          </cell>
          <cell r="Z1021">
            <v>3.7334818891674351E-2</v>
          </cell>
          <cell r="AA1021">
            <v>3.6973572554614975E-2</v>
          </cell>
        </row>
        <row r="1022">
          <cell r="Y1022">
            <v>45979</v>
          </cell>
          <cell r="Z1022">
            <v>3.733866717416013E-2</v>
          </cell>
          <cell r="AA1022">
            <v>3.6971710033439908E-2</v>
          </cell>
        </row>
        <row r="1023">
          <cell r="Y1023">
            <v>45986</v>
          </cell>
          <cell r="Z1023">
            <v>3.7345322825550226E-2</v>
          </cell>
          <cell r="AA1023">
            <v>3.6970286274703446E-2</v>
          </cell>
        </row>
        <row r="1024">
          <cell r="Y1024">
            <v>45993</v>
          </cell>
          <cell r="Z1024">
            <v>3.7350097211919737E-2</v>
          </cell>
          <cell r="AA1024">
            <v>3.696930127832454E-2</v>
          </cell>
        </row>
        <row r="1025">
          <cell r="Y1025">
            <v>46000</v>
          </cell>
          <cell r="Z1025">
            <v>3.735531849913843E-2</v>
          </cell>
          <cell r="AA1025">
            <v>3.6968755044303192E-2</v>
          </cell>
        </row>
        <row r="1026">
          <cell r="Y1026">
            <v>46007</v>
          </cell>
          <cell r="Z1026">
            <v>3.7360986690633403E-2</v>
          </cell>
          <cell r="AA1026">
            <v>3.6968647572801494E-2</v>
          </cell>
        </row>
        <row r="1027">
          <cell r="Y1027">
            <v>46014</v>
          </cell>
          <cell r="Z1027">
            <v>3.736710179012432E-2</v>
          </cell>
          <cell r="AA1027">
            <v>3.6968978863576307E-2</v>
          </cell>
        </row>
        <row r="1028">
          <cell r="Y1028">
            <v>46021</v>
          </cell>
          <cell r="Z1028">
            <v>3.7373663791587484E-2</v>
          </cell>
          <cell r="AA1028">
            <v>3.696974891687077E-2</v>
          </cell>
        </row>
        <row r="1029">
          <cell r="Y1029">
            <v>46028</v>
          </cell>
          <cell r="Z1029">
            <v>3.7378113648302611E-2</v>
          </cell>
          <cell r="AA1029">
            <v>3.6970957732441745E-2</v>
          </cell>
        </row>
        <row r="1030">
          <cell r="Y1030">
            <v>46035</v>
          </cell>
          <cell r="Z1030">
            <v>3.7385512589950085E-2</v>
          </cell>
          <cell r="AA1030">
            <v>3.6972605310613416E-2</v>
          </cell>
        </row>
        <row r="1031">
          <cell r="Y1031">
            <v>46042</v>
          </cell>
          <cell r="Z1031">
            <v>3.7393316873742116E-2</v>
          </cell>
          <cell r="AA1031">
            <v>3.6974691650980551E-2</v>
          </cell>
        </row>
        <row r="1032">
          <cell r="Y1032">
            <v>46049</v>
          </cell>
          <cell r="Z1032">
            <v>3.7401505735429018E-2</v>
          </cell>
          <cell r="AA1032">
            <v>3.6977216753948383E-2</v>
          </cell>
        </row>
        <row r="1033">
          <cell r="Y1033">
            <v>46056</v>
          </cell>
          <cell r="Z1033">
            <v>3.7410058410653195E-2</v>
          </cell>
          <cell r="AA1033">
            <v>3.6980180619273773E-2</v>
          </cell>
        </row>
        <row r="1034">
          <cell r="Y1034">
            <v>46063</v>
          </cell>
          <cell r="Z1034">
            <v>3.7418954134911975E-2</v>
          </cell>
          <cell r="AA1034">
            <v>3.6983583246956719E-2</v>
          </cell>
        </row>
        <row r="1035">
          <cell r="Y1035">
            <v>46070</v>
          </cell>
          <cell r="Z1035">
            <v>3.7428172143522689E-2</v>
          </cell>
          <cell r="AA1035">
            <v>3.6987424637240363E-2</v>
          </cell>
        </row>
        <row r="1036">
          <cell r="Y1036">
            <v>46077</v>
          </cell>
          <cell r="Z1036">
            <v>3.7437691671587281E-2</v>
          </cell>
          <cell r="AA1036">
            <v>3.6991704789881563E-2</v>
          </cell>
        </row>
        <row r="1037">
          <cell r="Y1037">
            <v>46084</v>
          </cell>
          <cell r="Z1037">
            <v>3.7455625486341688E-2</v>
          </cell>
          <cell r="AA1037">
            <v>3.6996423705042414E-2</v>
          </cell>
        </row>
        <row r="1038">
          <cell r="Y1038">
            <v>46091</v>
          </cell>
          <cell r="Z1038">
            <v>3.7465714839704796E-2</v>
          </cell>
          <cell r="AA1038">
            <v>3.7001581382722915E-2</v>
          </cell>
        </row>
        <row r="1039">
          <cell r="Y1039">
            <v>46098</v>
          </cell>
          <cell r="Z1039">
            <v>3.7476038119200285E-2</v>
          </cell>
          <cell r="AA1039">
            <v>3.7007177822923065E-2</v>
          </cell>
        </row>
        <row r="1040">
          <cell r="Y1040">
            <v>46105</v>
          </cell>
          <cell r="Z1040">
            <v>3.7486574891137242E-2</v>
          </cell>
          <cell r="AA1040">
            <v>3.7013213025642866E-2</v>
          </cell>
        </row>
        <row r="1041">
          <cell r="Y1041">
            <v>46112</v>
          </cell>
          <cell r="Z1041">
            <v>3.7494564796757467E-2</v>
          </cell>
          <cell r="AA1041">
            <v>3.7019686990963363E-2</v>
          </cell>
        </row>
        <row r="1042">
          <cell r="Y1042">
            <v>46119</v>
          </cell>
          <cell r="Z1042">
            <v>3.7505464048693711E-2</v>
          </cell>
          <cell r="AA1042">
            <v>3.7026599718884556E-2</v>
          </cell>
        </row>
        <row r="1043">
          <cell r="Y1043">
            <v>46126</v>
          </cell>
          <cell r="Z1043">
            <v>3.7516516797978385E-2</v>
          </cell>
          <cell r="AA1043">
            <v>3.70339512093254E-2</v>
          </cell>
        </row>
        <row r="1044">
          <cell r="Y1044">
            <v>46133</v>
          </cell>
          <cell r="Z1044">
            <v>3.7527702499816858E-2</v>
          </cell>
          <cell r="AA1044">
            <v>3.7041741462447986E-2</v>
          </cell>
        </row>
        <row r="1045">
          <cell r="Y1045">
            <v>46140</v>
          </cell>
          <cell r="Z1045">
            <v>3.7539000608992887E-2</v>
          </cell>
          <cell r="AA1045">
            <v>3.7049970478171268E-2</v>
          </cell>
        </row>
        <row r="1046">
          <cell r="Y1046">
            <v>46147</v>
          </cell>
          <cell r="Z1046">
            <v>3.7553134530380498E-2</v>
          </cell>
          <cell r="AA1046">
            <v>3.7058638256657339E-2</v>
          </cell>
        </row>
        <row r="1047">
          <cell r="Y1047">
            <v>46154</v>
          </cell>
          <cell r="Z1047">
            <v>3.756459357402675E-2</v>
          </cell>
          <cell r="AA1047">
            <v>3.7067744797825153E-2</v>
          </cell>
        </row>
        <row r="1048">
          <cell r="Y1048">
            <v>46161</v>
          </cell>
          <cell r="Z1048">
            <v>3.7576102626385534E-2</v>
          </cell>
          <cell r="AA1048">
            <v>3.7077290101836802E-2</v>
          </cell>
        </row>
        <row r="1049">
          <cell r="Y1049">
            <v>46168</v>
          </cell>
          <cell r="Z1049">
            <v>3.7587641250013577E-2</v>
          </cell>
          <cell r="AA1049">
            <v>3.7087274168692286E-2</v>
          </cell>
        </row>
        <row r="1050">
          <cell r="Y1050">
            <v>46175</v>
          </cell>
          <cell r="Z1050">
            <v>3.7596458151317187E-2</v>
          </cell>
          <cell r="AA1050">
            <v>3.7097696998229512E-2</v>
          </cell>
        </row>
        <row r="1051">
          <cell r="Y1051">
            <v>46182</v>
          </cell>
          <cell r="Z1051">
            <v>3.760799922995154E-2</v>
          </cell>
          <cell r="AA1051">
            <v>3.710855859069162E-2</v>
          </cell>
        </row>
        <row r="1052">
          <cell r="Y1052">
            <v>46189</v>
          </cell>
          <cell r="Z1052">
            <v>3.7619508886769223E-2</v>
          </cell>
          <cell r="AA1052">
            <v>3.7119858945997564E-2</v>
          </cell>
        </row>
        <row r="1053">
          <cell r="Y1053">
            <v>46196</v>
          </cell>
          <cell r="Z1053">
            <v>3.7630966572894067E-2</v>
          </cell>
          <cell r="AA1053">
            <v>3.7131598064309435E-2</v>
          </cell>
        </row>
        <row r="1054">
          <cell r="Y1054">
            <v>46203</v>
          </cell>
          <cell r="Z1054">
            <v>3.7645062604084366E-2</v>
          </cell>
          <cell r="AA1054">
            <v>3.7143763390828921E-2</v>
          </cell>
        </row>
        <row r="1055">
          <cell r="Y1055">
            <v>46210</v>
          </cell>
          <cell r="Z1055">
            <v>3.7656354517994671E-2</v>
          </cell>
          <cell r="AA1055">
            <v>3.7156003393391535E-2</v>
          </cell>
        </row>
        <row r="1056">
          <cell r="Y1056">
            <v>46217</v>
          </cell>
          <cell r="Z1056">
            <v>3.7667556287137451E-2</v>
          </cell>
          <cell r="AA1056">
            <v>3.7168154860510727E-2</v>
          </cell>
        </row>
        <row r="1057">
          <cell r="Y1057">
            <v>46224</v>
          </cell>
          <cell r="Z1057">
            <v>3.7678667910012467E-2</v>
          </cell>
          <cell r="AA1057">
            <v>3.7180217792105452E-2</v>
          </cell>
        </row>
        <row r="1058">
          <cell r="Y1058">
            <v>46231</v>
          </cell>
          <cell r="Z1058">
            <v>3.7689689385133576E-2</v>
          </cell>
          <cell r="AA1058">
            <v>3.7192192188337803E-2</v>
          </cell>
        </row>
        <row r="1059">
          <cell r="Y1059">
            <v>46238</v>
          </cell>
          <cell r="Z1059">
            <v>3.7700620711025215E-2</v>
          </cell>
          <cell r="AA1059">
            <v>3.7204078048964639E-2</v>
          </cell>
        </row>
        <row r="1060">
          <cell r="Y1060">
            <v>46245</v>
          </cell>
          <cell r="Z1060">
            <v>3.771146188622413E-2</v>
          </cell>
          <cell r="AA1060">
            <v>3.7215875374229102E-2</v>
          </cell>
        </row>
        <row r="1061">
          <cell r="Y1061">
            <v>46252</v>
          </cell>
          <cell r="Z1061">
            <v>3.772221290927899E-2</v>
          </cell>
          <cell r="AA1061">
            <v>3.722758416388805E-2</v>
          </cell>
        </row>
        <row r="1062">
          <cell r="Y1062">
            <v>46259</v>
          </cell>
          <cell r="Z1062">
            <v>3.7732873778750342E-2</v>
          </cell>
          <cell r="AA1062">
            <v>3.7239204418022531E-2</v>
          </cell>
        </row>
        <row r="1063">
          <cell r="Y1063">
            <v>46266</v>
          </cell>
          <cell r="Z1063">
            <v>3.773545458551205E-2</v>
          </cell>
          <cell r="AA1063">
            <v>3.7250736136713591E-2</v>
          </cell>
        </row>
        <row r="1064">
          <cell r="Y1064">
            <v>46273</v>
          </cell>
          <cell r="Z1064">
            <v>3.7745951236899979E-2</v>
          </cell>
          <cell r="AA1064">
            <v>3.7262179319880184E-2</v>
          </cell>
        </row>
        <row r="1065">
          <cell r="Y1065">
            <v>46280</v>
          </cell>
          <cell r="Z1065">
            <v>3.7756357757583223E-2</v>
          </cell>
          <cell r="AA1065">
            <v>3.7273533967603356E-2</v>
          </cell>
        </row>
        <row r="1066">
          <cell r="Y1066">
            <v>46287</v>
          </cell>
          <cell r="Z1066">
            <v>3.7766674146190719E-2</v>
          </cell>
          <cell r="AA1066">
            <v>3.7284800079721014E-2</v>
          </cell>
        </row>
        <row r="1067">
          <cell r="Y1067">
            <v>46294</v>
          </cell>
          <cell r="Z1067">
            <v>3.7779542528862495E-2</v>
          </cell>
          <cell r="AA1067">
            <v>3.7295977656152113E-2</v>
          </cell>
        </row>
        <row r="1068">
          <cell r="Y1068">
            <v>46301</v>
          </cell>
          <cell r="Z1068">
            <v>3.7789673249784675E-2</v>
          </cell>
          <cell r="AA1068">
            <v>3.7307066697220836E-2</v>
          </cell>
        </row>
        <row r="1069">
          <cell r="Y1069">
            <v>46308</v>
          </cell>
          <cell r="Z1069">
            <v>3.7799713825525327E-2</v>
          </cell>
          <cell r="AA1069">
            <v>3.7318067202603E-2</v>
          </cell>
        </row>
        <row r="1070">
          <cell r="Y1070">
            <v>46315</v>
          </cell>
          <cell r="Z1070">
            <v>3.780966425475564E-2</v>
          </cell>
          <cell r="AA1070">
            <v>3.7328979172541743E-2</v>
          </cell>
        </row>
        <row r="1071">
          <cell r="Y1071">
            <v>46322</v>
          </cell>
          <cell r="Z1071">
            <v>3.7819524536157507E-2</v>
          </cell>
          <cell r="AA1071">
            <v>3.7339802606874972E-2</v>
          </cell>
        </row>
        <row r="1072">
          <cell r="Y1072">
            <v>46329</v>
          </cell>
          <cell r="Z1072">
            <v>3.7829294668426161E-2</v>
          </cell>
          <cell r="AA1072">
            <v>3.7350537505440595E-2</v>
          </cell>
        </row>
        <row r="1073">
          <cell r="Y1073">
            <v>46336</v>
          </cell>
          <cell r="Z1073">
            <v>3.7836365055709961E-2</v>
          </cell>
          <cell r="AA1073">
            <v>3.7361183868562797E-2</v>
          </cell>
        </row>
        <row r="1074">
          <cell r="Y1074">
            <v>46343</v>
          </cell>
          <cell r="Z1074">
            <v>3.7845960339805494E-2</v>
          </cell>
          <cell r="AA1074">
            <v>3.7371741696079486E-2</v>
          </cell>
        </row>
        <row r="1075">
          <cell r="Y1075">
            <v>46350</v>
          </cell>
          <cell r="Z1075">
            <v>3.7855465480026995E-2</v>
          </cell>
          <cell r="AA1075">
            <v>3.7382210988071707E-2</v>
          </cell>
        </row>
        <row r="1076">
          <cell r="Y1076">
            <v>46357</v>
          </cell>
          <cell r="Z1076">
            <v>3.7867473680471248E-2</v>
          </cell>
          <cell r="AA1076">
            <v>3.7392591744296322E-2</v>
          </cell>
        </row>
        <row r="1077">
          <cell r="Y1077">
            <v>46364</v>
          </cell>
          <cell r="Z1077">
            <v>3.7876793047906428E-2</v>
          </cell>
          <cell r="AA1077">
            <v>3.740288396499647E-2</v>
          </cell>
        </row>
        <row r="1078">
          <cell r="Y1078">
            <v>46371</v>
          </cell>
          <cell r="Z1078">
            <v>3.7886022258625224E-2</v>
          </cell>
          <cell r="AA1078">
            <v>3.7413087650010057E-2</v>
          </cell>
        </row>
        <row r="1079">
          <cell r="Y1079">
            <v>46378</v>
          </cell>
          <cell r="Z1079">
            <v>3.789516131140571E-2</v>
          </cell>
          <cell r="AA1079">
            <v>3.7423202799418132E-2</v>
          </cell>
        </row>
        <row r="1080">
          <cell r="Y1080">
            <v>46385</v>
          </cell>
          <cell r="Z1080">
            <v>3.7904210205037987E-2</v>
          </cell>
          <cell r="AA1080">
            <v>3.7433229413139646E-2</v>
          </cell>
        </row>
        <row r="1081">
          <cell r="Y1081">
            <v>46392</v>
          </cell>
          <cell r="Z1081">
            <v>3.7910603230737291E-2</v>
          </cell>
          <cell r="AA1081">
            <v>3.7443167491255647E-2</v>
          </cell>
        </row>
        <row r="1082">
          <cell r="Y1082">
            <v>46399</v>
          </cell>
          <cell r="Z1082">
            <v>3.7919477329458613E-2</v>
          </cell>
          <cell r="AA1082">
            <v>3.7453017033604041E-2</v>
          </cell>
        </row>
        <row r="1083">
          <cell r="Y1083">
            <v>46406</v>
          </cell>
          <cell r="Z1083">
            <v>3.7928261274625126E-2</v>
          </cell>
          <cell r="AA1083">
            <v>3.7462778040427969E-2</v>
          </cell>
        </row>
        <row r="1084">
          <cell r="Y1084">
            <v>46413</v>
          </cell>
          <cell r="Z1084">
            <v>3.7936955065080248E-2</v>
          </cell>
          <cell r="AA1084">
            <v>3.747245051148429E-2</v>
          </cell>
        </row>
        <row r="1085">
          <cell r="Y1085">
            <v>46420</v>
          </cell>
          <cell r="Z1085">
            <v>3.7945558699678576E-2</v>
          </cell>
          <cell r="AA1085">
            <v>3.7482034446935097E-2</v>
          </cell>
        </row>
        <row r="1086">
          <cell r="Y1086">
            <v>46427</v>
          </cell>
          <cell r="Z1086">
            <v>3.7954072177288162E-2</v>
          </cell>
          <cell r="AA1086">
            <v>3.7491529846618299E-2</v>
          </cell>
        </row>
        <row r="1087">
          <cell r="Y1087">
            <v>46434</v>
          </cell>
          <cell r="Z1087">
            <v>3.7962495496787325E-2</v>
          </cell>
          <cell r="AA1087">
            <v>3.7500936710695987E-2</v>
          </cell>
        </row>
        <row r="1088">
          <cell r="Y1088">
            <v>46441</v>
          </cell>
          <cell r="Z1088">
            <v>3.7970828657066961E-2</v>
          </cell>
          <cell r="AA1088">
            <v>3.7510255038925022E-2</v>
          </cell>
        </row>
        <row r="1089">
          <cell r="Y1089">
            <v>46448</v>
          </cell>
          <cell r="Z1089">
            <v>3.7986634272437807E-2</v>
          </cell>
          <cell r="AA1089">
            <v>3.751948483162959E-2</v>
          </cell>
        </row>
        <row r="1090">
          <cell r="Y1090">
            <v>46455</v>
          </cell>
          <cell r="Z1090">
            <v>3.7994770306311244E-2</v>
          </cell>
          <cell r="AA1090">
            <v>3.7528626088566552E-2</v>
          </cell>
        </row>
        <row r="1091">
          <cell r="Y1091">
            <v>46462</v>
          </cell>
          <cell r="Z1091">
            <v>3.8002816150116248E-2</v>
          </cell>
          <cell r="AA1091">
            <v>3.7537678809573816E-2</v>
          </cell>
        </row>
        <row r="1092">
          <cell r="Y1092">
            <v>46469</v>
          </cell>
          <cell r="Z1092">
            <v>3.8010771802778072E-2</v>
          </cell>
          <cell r="AA1092">
            <v>3.7546642995056612E-2</v>
          </cell>
        </row>
        <row r="1093">
          <cell r="Y1093">
            <v>46476</v>
          </cell>
          <cell r="Z1093">
            <v>3.8018637263229904E-2</v>
          </cell>
          <cell r="AA1093">
            <v>3.7555518644771801E-2</v>
          </cell>
        </row>
        <row r="1094">
          <cell r="Y1094">
            <v>46483</v>
          </cell>
          <cell r="Z1094">
            <v>3.8023920128107777E-2</v>
          </cell>
          <cell r="AA1094">
            <v>3.7564305758800431E-2</v>
          </cell>
        </row>
        <row r="1095">
          <cell r="Y1095">
            <v>46490</v>
          </cell>
          <cell r="Z1095">
            <v>3.8031610849824822E-2</v>
          </cell>
          <cell r="AA1095">
            <v>3.7573004336899363E-2</v>
          </cell>
        </row>
        <row r="1096">
          <cell r="Y1096">
            <v>46497</v>
          </cell>
          <cell r="Z1096">
            <v>3.8039211385433716E-2</v>
          </cell>
          <cell r="AA1096">
            <v>3.758161437939278E-2</v>
          </cell>
        </row>
        <row r="1097">
          <cell r="Y1097">
            <v>46504</v>
          </cell>
          <cell r="Z1097">
            <v>3.8046721733922047E-2</v>
          </cell>
          <cell r="AA1097">
            <v>3.7590135886118592E-2</v>
          </cell>
        </row>
        <row r="1098">
          <cell r="Y1098">
            <v>46511</v>
          </cell>
          <cell r="Z1098">
            <v>3.8056611645918129E-2</v>
          </cell>
          <cell r="AA1098">
            <v>3.7598568857157844E-2</v>
          </cell>
        </row>
        <row r="1099">
          <cell r="Y1099">
            <v>46518</v>
          </cell>
          <cell r="Z1099">
            <v>3.8063935931424396E-2</v>
          </cell>
          <cell r="AA1099">
            <v>3.7606913292267397E-2</v>
          </cell>
        </row>
        <row r="1100">
          <cell r="Y1100">
            <v>46525</v>
          </cell>
          <cell r="Z1100">
            <v>3.8071170017604898E-2</v>
          </cell>
          <cell r="AA1100">
            <v>3.7615169191609343E-2</v>
          </cell>
        </row>
        <row r="1101">
          <cell r="Y1101">
            <v>46532</v>
          </cell>
          <cell r="Z1101">
            <v>3.807831390349016E-2</v>
          </cell>
          <cell r="AA1101">
            <v>3.7623336555183684E-2</v>
          </cell>
        </row>
        <row r="1102">
          <cell r="Y1102">
            <v>46539</v>
          </cell>
          <cell r="Z1102">
            <v>3.8082920634983017E-2</v>
          </cell>
          <cell r="AA1102">
            <v>3.7631415382990419E-2</v>
          </cell>
        </row>
        <row r="1103">
          <cell r="Y1103">
            <v>46546</v>
          </cell>
          <cell r="Z1103">
            <v>3.8089889840171948E-2</v>
          </cell>
          <cell r="AA1103">
            <v>3.7639405674948501E-2</v>
          </cell>
        </row>
        <row r="1104">
          <cell r="Y1104">
            <v>46553</v>
          </cell>
          <cell r="Z1104">
            <v>3.8096768851493101E-2</v>
          </cell>
          <cell r="AA1104">
            <v>3.7647307431138977E-2</v>
          </cell>
        </row>
        <row r="1105">
          <cell r="Y1105">
            <v>46560</v>
          </cell>
          <cell r="Z1105">
            <v>3.810355766803105E-2</v>
          </cell>
          <cell r="AA1105">
            <v>3.7655120651642893E-2</v>
          </cell>
        </row>
        <row r="1106">
          <cell r="Y1106">
            <v>46567</v>
          </cell>
          <cell r="Z1106">
            <v>3.8110256288881893E-2</v>
          </cell>
          <cell r="AA1106">
            <v>3.7662845336136064E-2</v>
          </cell>
        </row>
        <row r="1107">
          <cell r="Y1107">
            <v>46574</v>
          </cell>
          <cell r="Z1107">
            <v>3.811928295990178E-2</v>
          </cell>
          <cell r="AA1107">
            <v>3.7670481484861629E-2</v>
          </cell>
        </row>
        <row r="1108">
          <cell r="Y1108">
            <v>46581</v>
          </cell>
          <cell r="Z1108">
            <v>3.8125795417622579E-2</v>
          </cell>
          <cell r="AA1108">
            <v>3.7678029097819588E-2</v>
          </cell>
        </row>
        <row r="1109">
          <cell r="Y1109">
            <v>46588</v>
          </cell>
          <cell r="Z1109">
            <v>3.813221766773503E-2</v>
          </cell>
          <cell r="AA1109">
            <v>3.7685488174928894E-2</v>
          </cell>
        </row>
        <row r="1110">
          <cell r="Y1110">
            <v>46595</v>
          </cell>
          <cell r="Z1110">
            <v>3.8138549709380666E-2</v>
          </cell>
          <cell r="AA1110">
            <v>3.7692858716189548E-2</v>
          </cell>
        </row>
        <row r="1111">
          <cell r="Y1111">
            <v>46602</v>
          </cell>
          <cell r="Z1111">
            <v>3.8144791541711132E-2</v>
          </cell>
          <cell r="AA1111">
            <v>3.7700140721520503E-2</v>
          </cell>
        </row>
        <row r="1112">
          <cell r="Y1112">
            <v>46609</v>
          </cell>
          <cell r="Z1112">
            <v>3.815094316389131E-2</v>
          </cell>
          <cell r="AA1112">
            <v>3.7707334191164898E-2</v>
          </cell>
        </row>
        <row r="1113">
          <cell r="Y1113">
            <v>46616</v>
          </cell>
          <cell r="Z1113">
            <v>3.815700457509752E-2</v>
          </cell>
          <cell r="AA1113">
            <v>3.7714439124879595E-2</v>
          </cell>
        </row>
        <row r="1114">
          <cell r="Y1114">
            <v>46623</v>
          </cell>
          <cell r="Z1114">
            <v>3.8162975774517972E-2</v>
          </cell>
          <cell r="AA1114">
            <v>3.7721455522826686E-2</v>
          </cell>
        </row>
        <row r="1115">
          <cell r="Y1115">
            <v>46630</v>
          </cell>
          <cell r="Z1115">
            <v>3.8164112697546812E-2</v>
          </cell>
          <cell r="AA1115">
            <v>3.7728383384763031E-2</v>
          </cell>
        </row>
        <row r="1116">
          <cell r="Y1116">
            <v>46637</v>
          </cell>
          <cell r="Z1116">
            <v>3.8169915156628154E-2</v>
          </cell>
          <cell r="AA1116">
            <v>3.7735222710931771E-2</v>
          </cell>
        </row>
        <row r="1117">
          <cell r="Y1117">
            <v>46644</v>
          </cell>
          <cell r="Z1117">
            <v>3.8175627420180415E-2</v>
          </cell>
          <cell r="AA1117">
            <v>3.7741973501170811E-2</v>
          </cell>
        </row>
        <row r="1118">
          <cell r="Y1118">
            <v>46651</v>
          </cell>
          <cell r="Z1118">
            <v>3.8181249487447451E-2</v>
          </cell>
          <cell r="AA1118">
            <v>3.7748635755480153E-2</v>
          </cell>
        </row>
        <row r="1119">
          <cell r="Y1119">
            <v>46658</v>
          </cell>
          <cell r="Z1119">
            <v>3.818678135768426E-2</v>
          </cell>
          <cell r="AA1119">
            <v>3.7755209473940843E-2</v>
          </cell>
        </row>
        <row r="1120">
          <cell r="Y1120">
            <v>46665</v>
          </cell>
          <cell r="Z1120">
            <v>3.8194565956018528E-2</v>
          </cell>
          <cell r="AA1120">
            <v>3.776169465655288E-2</v>
          </cell>
        </row>
        <row r="1121">
          <cell r="Y1121">
            <v>46672</v>
          </cell>
          <cell r="Z1121">
            <v>3.8199911541257944E-2</v>
          </cell>
          <cell r="AA1121">
            <v>3.7768091303316265E-2</v>
          </cell>
        </row>
        <row r="1122">
          <cell r="Y1122">
            <v>46679</v>
          </cell>
          <cell r="Z1122">
            <v>3.8205166917980586E-2</v>
          </cell>
          <cell r="AA1122">
            <v>3.7774399414149951E-2</v>
          </cell>
        </row>
        <row r="1123">
          <cell r="Y1123">
            <v>46686</v>
          </cell>
          <cell r="Z1123">
            <v>3.8210332085487575E-2</v>
          </cell>
          <cell r="AA1123">
            <v>3.7780618989053938E-2</v>
          </cell>
        </row>
        <row r="1124">
          <cell r="Y1124">
            <v>46693</v>
          </cell>
          <cell r="Z1124">
            <v>3.8213087728198002E-2</v>
          </cell>
          <cell r="AA1124">
            <v>3.7786750028028226E-2</v>
          </cell>
        </row>
        <row r="1125">
          <cell r="Y1125">
            <v>46700</v>
          </cell>
          <cell r="Z1125">
            <v>3.8218078401289747E-2</v>
          </cell>
          <cell r="AA1125">
            <v>3.7792792531153863E-2</v>
          </cell>
        </row>
        <row r="1126">
          <cell r="Y1126">
            <v>46707</v>
          </cell>
          <cell r="Z1126">
            <v>3.8222978872474243E-2</v>
          </cell>
          <cell r="AA1126">
            <v>3.77987464983498E-2</v>
          </cell>
        </row>
        <row r="1127">
          <cell r="Y1127">
            <v>46714</v>
          </cell>
          <cell r="Z1127">
            <v>3.8227789141103564E-2</v>
          </cell>
          <cell r="AA1127">
            <v>3.7804611929616039E-2</v>
          </cell>
        </row>
        <row r="1128">
          <cell r="Y1128">
            <v>46721</v>
          </cell>
          <cell r="Z1128">
            <v>3.823480476112863E-2</v>
          </cell>
          <cell r="AA1128">
            <v>3.7810388824871533E-2</v>
          </cell>
        </row>
        <row r="1129">
          <cell r="Y1129">
            <v>46728</v>
          </cell>
          <cell r="Z1129">
            <v>3.8239428659316343E-2</v>
          </cell>
          <cell r="AA1129">
            <v>3.7816077184278374E-2</v>
          </cell>
        </row>
        <row r="1130">
          <cell r="Y1130">
            <v>46735</v>
          </cell>
          <cell r="Z1130">
            <v>3.8243962343726352E-2</v>
          </cell>
          <cell r="AA1130">
            <v>3.7821677007755516E-2</v>
          </cell>
        </row>
        <row r="1131">
          <cell r="Y1131">
            <v>46742</v>
          </cell>
          <cell r="Z1131">
            <v>3.8248405813754133E-2</v>
          </cell>
          <cell r="AA1131">
            <v>3.7827188295384007E-2</v>
          </cell>
        </row>
        <row r="1132">
          <cell r="Y1132">
            <v>46750</v>
          </cell>
          <cell r="Z1132">
            <v>3.8253373597866722E-2</v>
          </cell>
          <cell r="AA1132">
            <v>3.783337849830537E-2</v>
          </cell>
        </row>
        <row r="1133">
          <cell r="Y1133">
            <v>46757</v>
          </cell>
          <cell r="Z1133">
            <v>3.8255358963469745E-2</v>
          </cell>
          <cell r="AA1133">
            <v>3.7838700065910835E-2</v>
          </cell>
        </row>
        <row r="1134">
          <cell r="Y1134">
            <v>46764</v>
          </cell>
          <cell r="Z1134">
            <v>3.8259524910315243E-2</v>
          </cell>
          <cell r="AA1134">
            <v>3.7843933097748694E-2</v>
          </cell>
        </row>
        <row r="1135">
          <cell r="Y1135">
            <v>46771</v>
          </cell>
          <cell r="Z1135">
            <v>3.82636006497655E-2</v>
          </cell>
          <cell r="AA1135">
            <v>3.7849077593494762E-2</v>
          </cell>
        </row>
        <row r="1136">
          <cell r="Y1136">
            <v>46778</v>
          </cell>
          <cell r="Z1136">
            <v>3.8267586181280365E-2</v>
          </cell>
          <cell r="AA1136">
            <v>3.7854133553311131E-2</v>
          </cell>
        </row>
        <row r="1137">
          <cell r="Y1137">
            <v>46785</v>
          </cell>
          <cell r="Z1137">
            <v>3.8271481504332572E-2</v>
          </cell>
          <cell r="AA1137">
            <v>3.7859100977116755E-2</v>
          </cell>
        </row>
        <row r="1138">
          <cell r="Y1138">
            <v>46792</v>
          </cell>
          <cell r="Z1138">
            <v>3.8275286618406026E-2</v>
          </cell>
          <cell r="AA1138">
            <v>3.7863979865073727E-2</v>
          </cell>
        </row>
        <row r="1139">
          <cell r="Y1139">
            <v>46799</v>
          </cell>
          <cell r="Z1139">
            <v>3.8279001522997069E-2</v>
          </cell>
          <cell r="AA1139">
            <v>3.7868770216938907E-2</v>
          </cell>
        </row>
        <row r="1140">
          <cell r="Y1140">
            <v>46806</v>
          </cell>
          <cell r="Z1140">
            <v>3.8282626217613643E-2</v>
          </cell>
          <cell r="AA1140">
            <v>3.7873472032955435E-2</v>
          </cell>
        </row>
        <row r="1141">
          <cell r="Y1141">
            <v>46813</v>
          </cell>
          <cell r="Z1141">
            <v>3.8290593135377887E-2</v>
          </cell>
          <cell r="AA1141">
            <v>3.7878085312880172E-2</v>
          </cell>
        </row>
        <row r="1142">
          <cell r="Y1142">
            <v>46820</v>
          </cell>
          <cell r="Z1142">
            <v>3.8294025234400474E-2</v>
          </cell>
          <cell r="AA1142">
            <v>3.788261005687521E-2</v>
          </cell>
        </row>
        <row r="1143">
          <cell r="Y1143">
            <v>46827</v>
          </cell>
          <cell r="Z1143">
            <v>3.829736710329442E-2</v>
          </cell>
          <cell r="AA1143">
            <v>3.7887046264940549E-2</v>
          </cell>
        </row>
        <row r="1144">
          <cell r="Y1144">
            <v>46834</v>
          </cell>
          <cell r="Z1144">
            <v>3.8300618741610885E-2</v>
          </cell>
          <cell r="AA1144">
            <v>3.7891393936833051E-2</v>
          </cell>
        </row>
        <row r="1145">
          <cell r="Y1145">
            <v>46841</v>
          </cell>
          <cell r="Z1145">
            <v>3.830378014891557E-2</v>
          </cell>
          <cell r="AA1145">
            <v>3.7895653072957947E-2</v>
          </cell>
        </row>
        <row r="1146">
          <cell r="Y1146">
            <v>46848</v>
          </cell>
          <cell r="Z1146">
            <v>3.8304665855274644E-2</v>
          </cell>
          <cell r="AA1146">
            <v>3.7899823673072097E-2</v>
          </cell>
        </row>
        <row r="1147">
          <cell r="Y1147">
            <v>46855</v>
          </cell>
          <cell r="Z1147">
            <v>3.8307652933951511E-2</v>
          </cell>
          <cell r="AA1147">
            <v>3.7903905737094457E-2</v>
          </cell>
        </row>
        <row r="1148">
          <cell r="Y1148">
            <v>46862</v>
          </cell>
          <cell r="Z1148">
            <v>3.8310549789766848E-2</v>
          </cell>
          <cell r="AA1148">
            <v>3.7907899265187117E-2</v>
          </cell>
        </row>
        <row r="1149">
          <cell r="Y1149">
            <v>46869</v>
          </cell>
          <cell r="Z1149">
            <v>3.8313356422333578E-2</v>
          </cell>
          <cell r="AA1149">
            <v>3.7911804257269033E-2</v>
          </cell>
        </row>
        <row r="1150">
          <cell r="Y1150">
            <v>46876</v>
          </cell>
          <cell r="Z1150">
            <v>3.8318233705867767E-2</v>
          </cell>
          <cell r="AA1150">
            <v>3.7915620713259157E-2</v>
          </cell>
        </row>
        <row r="1151">
          <cell r="Y1151">
            <v>46883</v>
          </cell>
          <cell r="Z1151">
            <v>3.832085371863507E-2</v>
          </cell>
          <cell r="AA1151">
            <v>3.7919348633319583E-2</v>
          </cell>
        </row>
        <row r="1152">
          <cell r="Y1152">
            <v>46890</v>
          </cell>
          <cell r="Z1152">
            <v>3.8323383497680837E-2</v>
          </cell>
          <cell r="AA1152">
            <v>3.7922988017369264E-2</v>
          </cell>
        </row>
        <row r="1153">
          <cell r="Y1153">
            <v>46897</v>
          </cell>
          <cell r="Z1153">
            <v>3.8325823042667212E-2</v>
          </cell>
          <cell r="AA1153">
            <v>3.7926538865408199E-2</v>
          </cell>
        </row>
        <row r="1154">
          <cell r="Y1154">
            <v>46904</v>
          </cell>
          <cell r="Z1154">
            <v>3.8326036223790945E-2</v>
          </cell>
          <cell r="AA1154">
            <v>3.7930001177517436E-2</v>
          </cell>
        </row>
        <row r="1155">
          <cell r="Y1155">
            <v>46911</v>
          </cell>
          <cell r="Z1155">
            <v>3.8328301509443892E-2</v>
          </cell>
          <cell r="AA1155">
            <v>3.7933374953534882E-2</v>
          </cell>
        </row>
        <row r="1156">
          <cell r="Y1156">
            <v>46918</v>
          </cell>
          <cell r="Z1156">
            <v>3.8330476569484601E-2</v>
          </cell>
          <cell r="AA1156">
            <v>3.7936660193460536E-2</v>
          </cell>
        </row>
        <row r="1157">
          <cell r="Y1157">
            <v>46925</v>
          </cell>
          <cell r="Z1157">
            <v>3.8332561403624323E-2</v>
          </cell>
          <cell r="AA1157">
            <v>3.7939856897537538E-2</v>
          </cell>
        </row>
        <row r="1158">
          <cell r="Y1158">
            <v>46932</v>
          </cell>
          <cell r="Z1158">
            <v>3.8334556011584933E-2</v>
          </cell>
          <cell r="AA1158">
            <v>3.7942965065522749E-2</v>
          </cell>
        </row>
        <row r="1159">
          <cell r="Y1159">
            <v>46939</v>
          </cell>
          <cell r="Z1159">
            <v>3.8338565379885253E-2</v>
          </cell>
          <cell r="AA1159">
            <v>3.7945984697416169E-2</v>
          </cell>
        </row>
        <row r="1160">
          <cell r="Y1160">
            <v>46946</v>
          </cell>
          <cell r="Z1160">
            <v>3.8340373277985278E-2</v>
          </cell>
          <cell r="AA1160">
            <v>3.7948915793298843E-2</v>
          </cell>
        </row>
        <row r="1161">
          <cell r="Y1161">
            <v>46953</v>
          </cell>
          <cell r="Z1161">
            <v>3.8342090939750009E-2</v>
          </cell>
          <cell r="AA1161">
            <v>3.7951758353170773E-2</v>
          </cell>
        </row>
        <row r="1162">
          <cell r="Y1162">
            <v>46960</v>
          </cell>
          <cell r="Z1162">
            <v>3.8343718364950416E-2</v>
          </cell>
          <cell r="AA1162">
            <v>3.7954512377031957E-2</v>
          </cell>
        </row>
        <row r="1163">
          <cell r="Y1163">
            <v>46967</v>
          </cell>
          <cell r="Z1163">
            <v>3.8345255553369338E-2</v>
          </cell>
          <cell r="AA1163">
            <v>3.7957177864882397E-2</v>
          </cell>
        </row>
        <row r="1164">
          <cell r="Y1164">
            <v>46974</v>
          </cell>
          <cell r="Z1164">
            <v>3.8346702504800191E-2</v>
          </cell>
          <cell r="AA1164">
            <v>3.7959754816641045E-2</v>
          </cell>
        </row>
        <row r="1165">
          <cell r="Y1165">
            <v>46981</v>
          </cell>
          <cell r="Z1165">
            <v>3.8348059219048741E-2</v>
          </cell>
          <cell r="AA1165">
            <v>3.7962243232388948E-2</v>
          </cell>
        </row>
        <row r="1166">
          <cell r="Y1166">
            <v>46988</v>
          </cell>
          <cell r="Z1166">
            <v>3.8349325695933946E-2</v>
          </cell>
          <cell r="AA1166">
            <v>3.7964643112126106E-2</v>
          </cell>
        </row>
        <row r="1167">
          <cell r="Y1167">
            <v>46995</v>
          </cell>
          <cell r="Z1167">
            <v>3.8346392131737385E-2</v>
          </cell>
          <cell r="AA1167">
            <v>3.796695445585252E-2</v>
          </cell>
        </row>
        <row r="1168">
          <cell r="Y1168">
            <v>47002</v>
          </cell>
          <cell r="Z1168">
            <v>3.8345441528014647E-2</v>
          </cell>
          <cell r="AA1168">
            <v>3.7969177263406095E-2</v>
          </cell>
        </row>
        <row r="1169">
          <cell r="Y1169">
            <v>47009</v>
          </cell>
          <cell r="Z1169">
            <v>3.834645631169583E-2</v>
          </cell>
          <cell r="AA1169">
            <v>3.7971311535029972E-2</v>
          </cell>
        </row>
        <row r="1170">
          <cell r="Y1170">
            <v>47016</v>
          </cell>
          <cell r="Z1170">
            <v>3.8347380885592655E-2</v>
          </cell>
          <cell r="AA1170">
            <v>3.7973357270562058E-2</v>
          </cell>
        </row>
        <row r="1171">
          <cell r="Y1171">
            <v>47023</v>
          </cell>
          <cell r="Z1171">
            <v>3.8348215249585114E-2</v>
          </cell>
          <cell r="AA1171">
            <v>3.7975314470002353E-2</v>
          </cell>
        </row>
        <row r="1172">
          <cell r="Y1172">
            <v>47030</v>
          </cell>
          <cell r="Z1172">
            <v>3.8350983260541975E-2</v>
          </cell>
          <cell r="AA1172">
            <v>3.7977183133431902E-2</v>
          </cell>
        </row>
        <row r="1173">
          <cell r="Y1173">
            <v>47037</v>
          </cell>
          <cell r="Z1173">
            <v>3.8351630828209742E-2</v>
          </cell>
          <cell r="AA1173">
            <v>3.797896326076966E-2</v>
          </cell>
        </row>
        <row r="1174">
          <cell r="Y1174">
            <v>47044</v>
          </cell>
          <cell r="Z1174">
            <v>3.8352188176284809E-2</v>
          </cell>
          <cell r="AA1174">
            <v>3.798065485217772E-2</v>
          </cell>
        </row>
        <row r="1175">
          <cell r="Y1175">
            <v>47051</v>
          </cell>
          <cell r="Z1175">
            <v>3.8352655304694144E-2</v>
          </cell>
          <cell r="AA1175">
            <v>3.7982257907412942E-2</v>
          </cell>
        </row>
        <row r="1176">
          <cell r="Y1176">
            <v>47058</v>
          </cell>
          <cell r="Z1176">
            <v>3.8351033917537802E-2</v>
          </cell>
          <cell r="AA1176">
            <v>3.7983772426718465E-2</v>
          </cell>
        </row>
        <row r="1177">
          <cell r="Y1177">
            <v>47065</v>
          </cell>
          <cell r="Z1177">
            <v>3.8351327020206917E-2</v>
          </cell>
          <cell r="AA1177">
            <v>3.7985198409932197E-2</v>
          </cell>
        </row>
        <row r="1178">
          <cell r="Y1178">
            <v>47072</v>
          </cell>
          <cell r="Z1178">
            <v>3.8351529912450909E-2</v>
          </cell>
          <cell r="AA1178">
            <v>3.7986535857054138E-2</v>
          </cell>
        </row>
        <row r="1179">
          <cell r="Y1179">
            <v>47079</v>
          </cell>
          <cell r="Z1179">
            <v>3.8351642594243819E-2</v>
          </cell>
          <cell r="AA1179">
            <v>3.7987784768084287E-2</v>
          </cell>
        </row>
        <row r="1180">
          <cell r="Y1180">
            <v>47086</v>
          </cell>
          <cell r="Z1180">
            <v>3.8351665065569522E-2</v>
          </cell>
          <cell r="AA1180">
            <v>3.7988945143103692E-2</v>
          </cell>
        </row>
        <row r="1181">
          <cell r="Y1181">
            <v>47093</v>
          </cell>
          <cell r="Z1181">
            <v>3.8353563459530296E-2</v>
          </cell>
          <cell r="AA1181">
            <v>3.7990016982112351E-2</v>
          </cell>
        </row>
        <row r="1182">
          <cell r="Y1182">
            <v>47100</v>
          </cell>
          <cell r="Z1182">
            <v>3.835339904921295E-2</v>
          </cell>
          <cell r="AA1182">
            <v>3.7991000285029219E-2</v>
          </cell>
        </row>
        <row r="1183">
          <cell r="Y1183">
            <v>47107</v>
          </cell>
          <cell r="Z1183">
            <v>3.8353144419069111E-2</v>
          </cell>
          <cell r="AA1183">
            <v>3.7991895051854296E-2</v>
          </cell>
        </row>
        <row r="1184">
          <cell r="Y1184">
            <v>47114</v>
          </cell>
          <cell r="Z1184">
            <v>3.8352799569132623E-2</v>
          </cell>
          <cell r="AA1184">
            <v>3.7992701282668628E-2</v>
          </cell>
        </row>
        <row r="1185">
          <cell r="Y1185">
            <v>47121</v>
          </cell>
          <cell r="Z1185">
            <v>3.8350424443370425E-2</v>
          </cell>
          <cell r="AA1185">
            <v>3.7993418977391169E-2</v>
          </cell>
        </row>
        <row r="1186">
          <cell r="Y1186">
            <v>47128</v>
          </cell>
          <cell r="Z1186">
            <v>3.8349907283422587E-2</v>
          </cell>
          <cell r="AA1186">
            <v>3.7994048136021918E-2</v>
          </cell>
        </row>
        <row r="1187">
          <cell r="Y1187">
            <v>47135</v>
          </cell>
          <cell r="Z1187">
            <v>3.8349303060300599E-2</v>
          </cell>
          <cell r="AA1187">
            <v>3.7994588758560877E-2</v>
          </cell>
        </row>
        <row r="1188">
          <cell r="Y1188">
            <v>47142</v>
          </cell>
          <cell r="Z1188">
            <v>3.8348613468655333E-2</v>
          </cell>
          <cell r="AA1188">
            <v>3.7995040845170136E-2</v>
          </cell>
        </row>
        <row r="1189">
          <cell r="Y1189">
            <v>47149</v>
          </cell>
          <cell r="Z1189">
            <v>3.8347840203143919E-2</v>
          </cell>
          <cell r="AA1189">
            <v>3.7995404395687604E-2</v>
          </cell>
        </row>
        <row r="1190">
          <cell r="Y1190">
            <v>47156</v>
          </cell>
          <cell r="Z1190">
            <v>3.8346984958432452E-2</v>
          </cell>
          <cell r="AA1190">
            <v>3.7995679410032235E-2</v>
          </cell>
        </row>
        <row r="1191">
          <cell r="Y1191">
            <v>47163</v>
          </cell>
          <cell r="Z1191">
            <v>3.8346049429194617E-2</v>
          </cell>
          <cell r="AA1191">
            <v>3.799586588836612E-2</v>
          </cell>
        </row>
        <row r="1192">
          <cell r="Y1192">
            <v>47170</v>
          </cell>
          <cell r="Z1192">
            <v>3.8345035310109507E-2</v>
          </cell>
          <cell r="AA1192">
            <v>3.7995963830608215E-2</v>
          </cell>
        </row>
        <row r="1193">
          <cell r="Y1193">
            <v>47177</v>
          </cell>
          <cell r="Z1193">
            <v>3.8349633026210972E-2</v>
          </cell>
          <cell r="AA1193">
            <v>3.7995973236839564E-2</v>
          </cell>
        </row>
        <row r="1194">
          <cell r="Y1194">
            <v>47184</v>
          </cell>
          <cell r="Z1194">
            <v>3.8348452739692854E-2</v>
          </cell>
          <cell r="AA1194">
            <v>3.7995894107060169E-2</v>
          </cell>
        </row>
        <row r="1195">
          <cell r="Y1195">
            <v>47191</v>
          </cell>
          <cell r="Z1195">
            <v>3.8347199366686138E-2</v>
          </cell>
          <cell r="AA1195">
            <v>3.7995726441188982E-2</v>
          </cell>
        </row>
        <row r="1196">
          <cell r="Y1196">
            <v>47198</v>
          </cell>
          <cell r="Z1196">
            <v>3.834587457478502E-2</v>
          </cell>
          <cell r="AA1196">
            <v>3.7995470239226004E-2</v>
          </cell>
        </row>
        <row r="1197">
          <cell r="Y1197">
            <v>47205</v>
          </cell>
          <cell r="Z1197">
            <v>3.8344480031584992E-2</v>
          </cell>
          <cell r="AA1197">
            <v>3.7995125501171234E-2</v>
          </cell>
        </row>
        <row r="1198">
          <cell r="Y1198">
            <v>47212</v>
          </cell>
          <cell r="Z1198">
            <v>3.8341143538992171E-2</v>
          </cell>
          <cell r="AA1198">
            <v>3.799469222710572E-2</v>
          </cell>
        </row>
        <row r="1199">
          <cell r="Y1199">
            <v>47219</v>
          </cell>
          <cell r="Z1199">
            <v>3.8339618572305098E-2</v>
          </cell>
          <cell r="AA1199">
            <v>3.7994170416948414E-2</v>
          </cell>
        </row>
        <row r="1200">
          <cell r="Y1200">
            <v>47226</v>
          </cell>
          <cell r="Z1200">
            <v>3.8338028763624771E-2</v>
          </cell>
          <cell r="AA1200">
            <v>3.7993560070699317E-2</v>
          </cell>
        </row>
        <row r="1201">
          <cell r="Y1201">
            <v>47233</v>
          </cell>
          <cell r="Z1201">
            <v>3.8336375789490042E-2</v>
          </cell>
          <cell r="AA1201">
            <v>3.7992861188439475E-2</v>
          </cell>
        </row>
        <row r="1202">
          <cell r="Y1202">
            <v>47240</v>
          </cell>
          <cell r="Z1202">
            <v>3.8336519412149841E-2</v>
          </cell>
          <cell r="AA1202">
            <v>3.7992073770087842E-2</v>
          </cell>
        </row>
        <row r="1203">
          <cell r="Y1203">
            <v>47247</v>
          </cell>
          <cell r="Z1203">
            <v>3.833474138080193E-2</v>
          </cell>
          <cell r="AA1203">
            <v>3.7991197815644417E-2</v>
          </cell>
        </row>
        <row r="1204">
          <cell r="Y1204">
            <v>47254</v>
          </cell>
          <cell r="Z1204">
            <v>3.8332905271376901E-2</v>
          </cell>
          <cell r="AA1204">
            <v>3.7990233325190248E-2</v>
          </cell>
        </row>
        <row r="1205">
          <cell r="Y1205">
            <v>47261</v>
          </cell>
          <cell r="Z1205">
            <v>3.8331012751478634E-2</v>
          </cell>
          <cell r="AA1205">
            <v>3.7989180298725334E-2</v>
          </cell>
        </row>
        <row r="1206">
          <cell r="Y1206">
            <v>47268</v>
          </cell>
          <cell r="Z1206">
            <v>3.8329065488708784E-2</v>
          </cell>
          <cell r="AA1206">
            <v>3.7988038736168628E-2</v>
          </cell>
        </row>
        <row r="1207">
          <cell r="Y1207">
            <v>47275</v>
          </cell>
          <cell r="Z1207">
            <v>3.8325225356445551E-2</v>
          </cell>
          <cell r="AA1207">
            <v>3.7986808637601177E-2</v>
          </cell>
        </row>
        <row r="1208">
          <cell r="Y1208">
            <v>47282</v>
          </cell>
          <cell r="Z1208">
            <v>3.8323177167257687E-2</v>
          </cell>
          <cell r="AA1208">
            <v>3.7985490002860889E-2</v>
          </cell>
        </row>
        <row r="1209">
          <cell r="Y1209">
            <v>47289</v>
          </cell>
          <cell r="Z1209">
            <v>3.8321079224919709E-2</v>
          </cell>
          <cell r="AA1209">
            <v>3.7984082832109856E-2</v>
          </cell>
        </row>
        <row r="1210">
          <cell r="Y1210">
            <v>47296</v>
          </cell>
          <cell r="Z1210">
            <v>3.8318933205959839E-2</v>
          </cell>
          <cell r="AA1210">
            <v>3.7982587271555568E-2</v>
          </cell>
        </row>
        <row r="1211">
          <cell r="Y1211">
            <v>47303</v>
          </cell>
          <cell r="Z1211">
            <v>3.8318566119788545E-2</v>
          </cell>
          <cell r="AA1211">
            <v>3.7981027602177475E-2</v>
          </cell>
        </row>
        <row r="1212">
          <cell r="Y1212">
            <v>47310</v>
          </cell>
          <cell r="Z1212">
            <v>3.8316323473954077E-2</v>
          </cell>
          <cell r="AA1212">
            <v>3.797942240035046E-2</v>
          </cell>
        </row>
        <row r="1213">
          <cell r="Y1213">
            <v>47317</v>
          </cell>
          <cell r="Z1213">
            <v>3.8314034423527259E-2</v>
          </cell>
          <cell r="AA1213">
            <v>3.7977771666074522E-2</v>
          </cell>
        </row>
        <row r="1214">
          <cell r="Y1214">
            <v>47324</v>
          </cell>
          <cell r="Z1214">
            <v>3.8311698968664445E-2</v>
          </cell>
          <cell r="AA1214">
            <v>3.7976075399268616E-2</v>
          </cell>
        </row>
        <row r="1215">
          <cell r="Y1215">
            <v>47331</v>
          </cell>
          <cell r="Z1215">
            <v>3.8309317109527299E-2</v>
          </cell>
          <cell r="AA1215">
            <v>3.797433360017588E-2</v>
          </cell>
        </row>
        <row r="1216">
          <cell r="Y1216">
            <v>47338</v>
          </cell>
          <cell r="Z1216">
            <v>3.8306888846279669E-2</v>
          </cell>
          <cell r="AA1216">
            <v>3.7972546268391083E-2</v>
          </cell>
        </row>
        <row r="1217">
          <cell r="Y1217">
            <v>47345</v>
          </cell>
          <cell r="Z1217">
            <v>3.8304414179087622E-2</v>
          </cell>
          <cell r="AA1217">
            <v>3.797071340423841E-2</v>
          </cell>
        </row>
        <row r="1218">
          <cell r="Y1218">
            <v>47352</v>
          </cell>
          <cell r="Z1218">
            <v>3.8301893108123368E-2</v>
          </cell>
          <cell r="AA1218">
            <v>3.7968835007555768E-2</v>
          </cell>
        </row>
        <row r="1219">
          <cell r="Y1219">
            <v>47359</v>
          </cell>
          <cell r="Z1219">
            <v>3.8297528535076411E-2</v>
          </cell>
          <cell r="AA1219">
            <v>3.796691107850525E-2</v>
          </cell>
        </row>
        <row r="1220">
          <cell r="Y1220">
            <v>47366</v>
          </cell>
          <cell r="Z1220">
            <v>3.8291330559951889E-2</v>
          </cell>
          <cell r="AA1220">
            <v>3.796494161700581E-2</v>
          </cell>
        </row>
        <row r="1221">
          <cell r="Y1221">
            <v>47373</v>
          </cell>
          <cell r="Z1221">
            <v>3.8288681048348205E-2</v>
          </cell>
          <cell r="AA1221">
            <v>3.7962926622976401E-2</v>
          </cell>
        </row>
        <row r="1222">
          <cell r="Y1222">
            <v>47380</v>
          </cell>
          <cell r="Z1222">
            <v>3.8285985148051052E-2</v>
          </cell>
          <cell r="AA1222">
            <v>3.7960866096498069E-2</v>
          </cell>
        </row>
        <row r="1223">
          <cell r="Y1223">
            <v>47387</v>
          </cell>
          <cell r="Z1223">
            <v>3.8283242859243109E-2</v>
          </cell>
          <cell r="AA1223">
            <v>3.7958760037570816E-2</v>
          </cell>
        </row>
        <row r="1224">
          <cell r="Y1224">
            <v>47394</v>
          </cell>
          <cell r="Z1224">
            <v>3.8282233747769054E-2</v>
          </cell>
          <cell r="AA1224">
            <v>3.7956608446275686E-2</v>
          </cell>
        </row>
        <row r="1225">
          <cell r="Y1225">
            <v>47401</v>
          </cell>
          <cell r="Z1225">
            <v>3.8279395074191869E-2</v>
          </cell>
          <cell r="AA1225">
            <v>3.7954411322369541E-2</v>
          </cell>
        </row>
        <row r="1226">
          <cell r="Y1226">
            <v>47408</v>
          </cell>
          <cell r="Z1226">
            <v>3.8276510007886649E-2</v>
          </cell>
          <cell r="AA1226">
            <v>3.7952168666176567E-2</v>
          </cell>
        </row>
        <row r="1227">
          <cell r="Y1227">
            <v>47415</v>
          </cell>
          <cell r="Z1227">
            <v>3.8273578549050231E-2</v>
          </cell>
          <cell r="AA1227">
            <v>3.7949880477372577E-2</v>
          </cell>
        </row>
        <row r="1228">
          <cell r="Y1228">
            <v>47422</v>
          </cell>
          <cell r="Z1228">
            <v>3.8268835594144866E-2</v>
          </cell>
          <cell r="AA1228">
            <v>3.7947546756119666E-2</v>
          </cell>
        </row>
        <row r="1229">
          <cell r="Y1229">
            <v>47429</v>
          </cell>
          <cell r="Z1229">
            <v>3.8265814978280639E-2</v>
          </cell>
          <cell r="AA1229">
            <v>3.7945167502498878E-2</v>
          </cell>
        </row>
        <row r="1230">
          <cell r="Y1230">
            <v>47436</v>
          </cell>
          <cell r="Z1230">
            <v>3.8262747975270434E-2</v>
          </cell>
          <cell r="AA1230">
            <v>3.7942742716348121E-2</v>
          </cell>
        </row>
        <row r="1231">
          <cell r="Y1231">
            <v>47443</v>
          </cell>
          <cell r="Z1231">
            <v>3.825963458532379E-2</v>
          </cell>
          <cell r="AA1231">
            <v>3.7940272397829489E-2</v>
          </cell>
        </row>
        <row r="1232">
          <cell r="Y1232">
            <v>47450</v>
          </cell>
          <cell r="Z1232">
            <v>3.8256474808650284E-2</v>
          </cell>
          <cell r="AA1232">
            <v>3.7937756546861934E-2</v>
          </cell>
        </row>
        <row r="1233">
          <cell r="Y1233">
            <v>47457</v>
          </cell>
          <cell r="Z1233">
            <v>3.825501556427905E-2</v>
          </cell>
          <cell r="AA1233">
            <v>3.793519516336441E-2</v>
          </cell>
        </row>
        <row r="1234">
          <cell r="Y1234">
            <v>47464</v>
          </cell>
          <cell r="Z1234">
            <v>3.8251759363491407E-2</v>
          </cell>
          <cell r="AA1234">
            <v>3.7932588247417964E-2</v>
          </cell>
        </row>
        <row r="1235">
          <cell r="Y1235">
            <v>47471</v>
          </cell>
          <cell r="Z1235">
            <v>3.8248456771858508E-2</v>
          </cell>
          <cell r="AA1235">
            <v>3.7929935799103642E-2</v>
          </cell>
        </row>
        <row r="1236">
          <cell r="Y1236">
            <v>47479</v>
          </cell>
          <cell r="Z1236">
            <v>3.824462557659182E-2</v>
          </cell>
          <cell r="AA1236">
            <v>3.7926848675433611E-2</v>
          </cell>
        </row>
        <row r="1237">
          <cell r="Y1237">
            <v>47486</v>
          </cell>
          <cell r="Z1237">
            <v>3.8239491815842984E-2</v>
          </cell>
          <cell r="AA1237">
            <v>3.792409865760904E-2</v>
          </cell>
        </row>
        <row r="1238">
          <cell r="Y1238">
            <v>47493</v>
          </cell>
          <cell r="Z1238">
            <v>3.8236047096948736E-2</v>
          </cell>
          <cell r="AA1238">
            <v>3.7921303107335547E-2</v>
          </cell>
        </row>
        <row r="1239">
          <cell r="Y1239">
            <v>47500</v>
          </cell>
          <cell r="Z1239">
            <v>3.8232555992925701E-2</v>
          </cell>
          <cell r="AA1239">
            <v>3.7918462024532085E-2</v>
          </cell>
        </row>
        <row r="1240">
          <cell r="Y1240">
            <v>47507</v>
          </cell>
          <cell r="Z1240">
            <v>3.8229018504011204E-2</v>
          </cell>
          <cell r="AA1240">
            <v>3.7915575409360747E-2</v>
          </cell>
        </row>
        <row r="1241">
          <cell r="Y1241">
            <v>47514</v>
          </cell>
          <cell r="Z1241">
            <v>3.8225434630442111E-2</v>
          </cell>
          <cell r="AA1241">
            <v>3.791264326165944E-2</v>
          </cell>
        </row>
        <row r="1242">
          <cell r="Y1242">
            <v>47521</v>
          </cell>
          <cell r="Z1242">
            <v>3.8221804372463808E-2</v>
          </cell>
          <cell r="AA1242">
            <v>3.7909665581509211E-2</v>
          </cell>
        </row>
        <row r="1243">
          <cell r="Y1243">
            <v>47528</v>
          </cell>
          <cell r="Z1243">
            <v>3.8218127730321211E-2</v>
          </cell>
          <cell r="AA1243">
            <v>3.790664236891006E-2</v>
          </cell>
        </row>
        <row r="1244">
          <cell r="Y1244">
            <v>47535</v>
          </cell>
          <cell r="Z1244">
            <v>3.8214404704263287E-2</v>
          </cell>
          <cell r="AA1244">
            <v>3.7903573623943032E-2</v>
          </cell>
        </row>
        <row r="1245">
          <cell r="Y1245">
            <v>47542</v>
          </cell>
          <cell r="Z1245">
            <v>3.8214039575631839E-2</v>
          </cell>
          <cell r="AA1245">
            <v>3.7900459346527082E-2</v>
          </cell>
        </row>
        <row r="1246">
          <cell r="Y1246">
            <v>47549</v>
          </cell>
          <cell r="Z1246">
            <v>3.8215309871635961E-2</v>
          </cell>
          <cell r="AA1246">
            <v>3.7897299536743256E-2</v>
          </cell>
        </row>
        <row r="1247">
          <cell r="Y1247">
            <v>47556</v>
          </cell>
          <cell r="Z1247">
            <v>3.8211429118733653E-2</v>
          </cell>
          <cell r="AA1247">
            <v>3.7894094194510508E-2</v>
          </cell>
        </row>
        <row r="1248">
          <cell r="Y1248">
            <v>47563</v>
          </cell>
          <cell r="Z1248">
            <v>3.8207501959192841E-2</v>
          </cell>
          <cell r="AA1248">
            <v>3.7890843319747791E-2</v>
          </cell>
        </row>
        <row r="1249">
          <cell r="Y1249">
            <v>47570</v>
          </cell>
          <cell r="Z1249">
            <v>3.820352839328673E-2</v>
          </cell>
          <cell r="AA1249">
            <v>3.7887546912617198E-2</v>
          </cell>
        </row>
        <row r="1250">
          <cell r="Y1250">
            <v>47577</v>
          </cell>
          <cell r="Z1250">
            <v>3.8194459591214869E-2</v>
          </cell>
          <cell r="AA1250">
            <v>3.7884204972956637E-2</v>
          </cell>
        </row>
        <row r="1251">
          <cell r="Y1251">
            <v>47584</v>
          </cell>
          <cell r="Z1251">
            <v>3.8190404418522526E-2</v>
          </cell>
          <cell r="AA1251">
            <v>3.7880817501009245E-2</v>
          </cell>
        </row>
        <row r="1252">
          <cell r="Y1252">
            <v>47591</v>
          </cell>
          <cell r="Z1252">
            <v>3.8186302854534268E-2</v>
          </cell>
          <cell r="AA1252">
            <v>3.7884256099916858E-2</v>
          </cell>
        </row>
        <row r="1253">
          <cell r="Y1253">
            <v>47598</v>
          </cell>
          <cell r="Z1253">
            <v>3.818215489953132E-2</v>
          </cell>
          <cell r="AA1253">
            <v>3.7873905959686649E-2</v>
          </cell>
        </row>
        <row r="1254">
          <cell r="Y1254">
            <v>47605</v>
          </cell>
          <cell r="Z1254">
            <v>3.8182964478063151E-2</v>
          </cell>
          <cell r="AA1254">
            <v>3.7870381890311444E-2</v>
          </cell>
        </row>
        <row r="1255">
          <cell r="Y1255">
            <v>47612</v>
          </cell>
          <cell r="Z1255">
            <v>3.8178712479883338E-2</v>
          </cell>
          <cell r="AA1255">
            <v>3.7866812288568363E-2</v>
          </cell>
        </row>
        <row r="1256">
          <cell r="Y1256">
            <v>47619</v>
          </cell>
          <cell r="Z1256">
            <v>3.8174414077342587E-2</v>
          </cell>
          <cell r="AA1256">
            <v>3.7863197154538453E-2</v>
          </cell>
        </row>
        <row r="1257">
          <cell r="Y1257">
            <v>47626</v>
          </cell>
          <cell r="Z1257">
            <v>3.8170069270738072E-2</v>
          </cell>
          <cell r="AA1257">
            <v>3.7859536487978573E-2</v>
          </cell>
        </row>
        <row r="1258">
          <cell r="Y1258">
            <v>47633</v>
          </cell>
          <cell r="Z1258">
            <v>3.8160719269341968E-2</v>
          </cell>
          <cell r="AA1258">
            <v>3.7855830288888725E-2</v>
          </cell>
        </row>
        <row r="1259">
          <cell r="Y1259">
            <v>47640</v>
          </cell>
          <cell r="Z1259">
            <v>3.8156292974325358E-2</v>
          </cell>
          <cell r="AA1259">
            <v>3.7852078557593094E-2</v>
          </cell>
        </row>
        <row r="1260">
          <cell r="Y1260">
            <v>47647</v>
          </cell>
          <cell r="Z1260">
            <v>3.8151820290347228E-2</v>
          </cell>
          <cell r="AA1260">
            <v>3.7848281293686448E-2</v>
          </cell>
        </row>
        <row r="1261">
          <cell r="Y1261">
            <v>47654</v>
          </cell>
          <cell r="Z1261">
            <v>3.814730121771627E-2</v>
          </cell>
          <cell r="AA1261">
            <v>3.7844438497411925E-2</v>
          </cell>
        </row>
        <row r="1262">
          <cell r="Y1262">
            <v>47661</v>
          </cell>
          <cell r="Z1262">
            <v>3.8142735756740716E-2</v>
          </cell>
          <cell r="AA1262">
            <v>3.7840550168850573E-2</v>
          </cell>
        </row>
        <row r="1263">
          <cell r="Y1263">
            <v>47668</v>
          </cell>
          <cell r="Z1263">
            <v>3.8143025962955518E-2</v>
          </cell>
          <cell r="AA1263">
            <v>3.7836616307678206E-2</v>
          </cell>
        </row>
        <row r="1264">
          <cell r="Y1264">
            <v>47675</v>
          </cell>
          <cell r="Z1264">
            <v>3.8138356336559619E-2</v>
          </cell>
          <cell r="AA1264">
            <v>3.7832636914219009E-2</v>
          </cell>
        </row>
        <row r="1265">
          <cell r="Y1265">
            <v>47682</v>
          </cell>
          <cell r="Z1265">
            <v>3.8133640308611085E-2</v>
          </cell>
          <cell r="AA1265">
            <v>3.782861198831089E-2</v>
          </cell>
        </row>
        <row r="1266">
          <cell r="Y1266">
            <v>47689</v>
          </cell>
          <cell r="Z1266">
            <v>3.8128877879436709E-2</v>
          </cell>
          <cell r="AA1266">
            <v>3.7824541530034894E-2</v>
          </cell>
        </row>
        <row r="1267">
          <cell r="Y1267">
            <v>47696</v>
          </cell>
          <cell r="Z1267">
            <v>3.8124069049368964E-2</v>
          </cell>
          <cell r="AA1267">
            <v>3.7820425539391023E-2</v>
          </cell>
        </row>
        <row r="1268">
          <cell r="Y1268">
            <v>47703</v>
          </cell>
          <cell r="Z1268">
            <v>3.8119213818742489E-2</v>
          </cell>
          <cell r="AA1268">
            <v>3.7816264016136136E-2</v>
          </cell>
        </row>
        <row r="1269">
          <cell r="Y1269">
            <v>47710</v>
          </cell>
          <cell r="Z1269">
            <v>3.8114312187894545E-2</v>
          </cell>
          <cell r="AA1269">
            <v>3.7812056960675466E-2</v>
          </cell>
        </row>
        <row r="1270">
          <cell r="Y1270">
            <v>47717</v>
          </cell>
          <cell r="Z1270">
            <v>3.8109364157167175E-2</v>
          </cell>
          <cell r="AA1270">
            <v>3.780780437284692E-2</v>
          </cell>
        </row>
        <row r="1271">
          <cell r="Y1271">
            <v>47724</v>
          </cell>
          <cell r="Z1271">
            <v>3.8099559185092079E-2</v>
          </cell>
          <cell r="AA1271">
            <v>3.780350625240736E-2</v>
          </cell>
        </row>
        <row r="1272">
          <cell r="Y1272">
            <v>47731</v>
          </cell>
          <cell r="Z1272">
            <v>3.8091329214846564E-2</v>
          </cell>
          <cell r="AA1272">
            <v>3.7799162599762015E-2</v>
          </cell>
        </row>
        <row r="1273">
          <cell r="Y1273">
            <v>47738</v>
          </cell>
          <cell r="Z1273">
            <v>3.8086261177683135E-2</v>
          </cell>
          <cell r="AA1273">
            <v>3.7794773414586702E-2</v>
          </cell>
        </row>
        <row r="1274">
          <cell r="Y1274">
            <v>47745</v>
          </cell>
          <cell r="Z1274">
            <v>3.808114676553425E-2</v>
          </cell>
          <cell r="AA1274">
            <v>3.7790338697043513E-2</v>
          </cell>
        </row>
        <row r="1275">
          <cell r="Y1275">
            <v>47752</v>
          </cell>
          <cell r="Z1275">
            <v>3.8075985978748263E-2</v>
          </cell>
          <cell r="AA1275">
            <v>3.7785858447132448E-2</v>
          </cell>
        </row>
        <row r="1276">
          <cell r="Y1276">
            <v>47759</v>
          </cell>
          <cell r="Z1276">
            <v>3.8072363892525649E-2</v>
          </cell>
          <cell r="AA1276">
            <v>3.778133266477246E-2</v>
          </cell>
        </row>
        <row r="1277">
          <cell r="Y1277">
            <v>47766</v>
          </cell>
          <cell r="Z1277">
            <v>3.8067106501959574E-2</v>
          </cell>
          <cell r="AA1277">
            <v>3.7776761350206689E-2</v>
          </cell>
        </row>
        <row r="1278">
          <cell r="Y1278">
            <v>47773</v>
          </cell>
          <cell r="Z1278">
            <v>3.8061802733121992E-2</v>
          </cell>
          <cell r="AA1278">
            <v>3.7772144503029903E-2</v>
          </cell>
        </row>
        <row r="1279">
          <cell r="Y1279">
            <v>47780</v>
          </cell>
          <cell r="Z1279">
            <v>3.805645258637582E-2</v>
          </cell>
          <cell r="AA1279">
            <v>3.7767482123647333E-2</v>
          </cell>
        </row>
        <row r="1280">
          <cell r="Y1280">
            <v>47787</v>
          </cell>
          <cell r="Z1280">
            <v>3.8049486437586766E-2</v>
          </cell>
          <cell r="AA1280">
            <v>3.7762774211734795E-2</v>
          </cell>
        </row>
        <row r="1281">
          <cell r="Y1281">
            <v>47794</v>
          </cell>
          <cell r="Z1281">
            <v>3.8044047410421479E-2</v>
          </cell>
          <cell r="AA1281">
            <v>3.7758020767535427E-2</v>
          </cell>
        </row>
        <row r="1282">
          <cell r="Y1282">
            <v>47801</v>
          </cell>
          <cell r="Z1282">
            <v>3.8038562011129741E-2</v>
          </cell>
          <cell r="AA1282">
            <v>3.7753221790806091E-2</v>
          </cell>
        </row>
        <row r="1283">
          <cell r="Y1283">
            <v>47808</v>
          </cell>
          <cell r="Z1283">
            <v>3.8033030240084101E-2</v>
          </cell>
          <cell r="AA1283">
            <v>3.7748377281789924E-2</v>
          </cell>
        </row>
        <row r="1284">
          <cell r="Y1284">
            <v>47815</v>
          </cell>
          <cell r="Z1284">
            <v>3.8027452097659328E-2</v>
          </cell>
          <cell r="AA1284">
            <v>3.7743487240405882E-2</v>
          </cell>
        </row>
        <row r="1285">
          <cell r="Y1285">
            <v>47822</v>
          </cell>
          <cell r="Z1285">
            <v>3.8023377790417687E-2</v>
          </cell>
          <cell r="AA1285">
            <v>3.7738551666653963E-2</v>
          </cell>
        </row>
        <row r="1286">
          <cell r="Y1286">
            <v>47829</v>
          </cell>
          <cell r="Z1286">
            <v>3.8017703008682242E-2</v>
          </cell>
          <cell r="AA1286">
            <v>3.7733570560453122E-2</v>
          </cell>
        </row>
        <row r="1287">
          <cell r="Y1287">
            <v>47836</v>
          </cell>
          <cell r="Z1287">
            <v>3.801198185204005E-2</v>
          </cell>
          <cell r="AA1287">
            <v>3.7728543921965452E-2</v>
          </cell>
        </row>
        <row r="1288">
          <cell r="Y1288">
            <v>47844</v>
          </cell>
          <cell r="Z1288">
            <v>3.8005386602206759E-2</v>
          </cell>
          <cell r="AA1288">
            <v>3.7725912514940584E-2</v>
          </cell>
        </row>
        <row r="1289">
          <cell r="Y1289">
            <v>47851</v>
          </cell>
          <cell r="Z1289">
            <v>3.7998032043848509E-2</v>
          </cell>
          <cell r="AA1289">
            <v>3.7720780741947742E-2</v>
          </cell>
        </row>
        <row r="1290">
          <cell r="Y1290">
            <v>47858</v>
          </cell>
          <cell r="Z1290">
            <v>3.7992169057069293E-2</v>
          </cell>
          <cell r="AA1290">
            <v>3.7715603427293708E-2</v>
          </cell>
        </row>
        <row r="1291">
          <cell r="Y1291">
            <v>47865</v>
          </cell>
          <cell r="Z1291">
            <v>3.7986259701677724E-2</v>
          </cell>
          <cell r="AA1291">
            <v>3.7710380571059542E-2</v>
          </cell>
        </row>
        <row r="1292">
          <cell r="Y1292">
            <v>47872</v>
          </cell>
          <cell r="Z1292">
            <v>3.7980303978074101E-2</v>
          </cell>
          <cell r="AA1292">
            <v>3.770511217319121E-2</v>
          </cell>
        </row>
        <row r="1293">
          <cell r="Y1293">
            <v>47879</v>
          </cell>
          <cell r="Z1293">
            <v>3.7974301886661427E-2</v>
          </cell>
          <cell r="AA1293">
            <v>3.7699798233715727E-2</v>
          </cell>
        </row>
        <row r="1294">
          <cell r="Y1294">
            <v>47886</v>
          </cell>
          <cell r="Z1294">
            <v>3.796825342784671E-2</v>
          </cell>
          <cell r="AA1294">
            <v>3.7694438752606071E-2</v>
          </cell>
        </row>
        <row r="1295">
          <cell r="Y1295">
            <v>47893</v>
          </cell>
          <cell r="Z1295">
            <v>3.7962158602039671E-2</v>
          </cell>
          <cell r="AA1295">
            <v>3.7689033729916284E-2</v>
          </cell>
        </row>
        <row r="1296">
          <cell r="Y1296">
            <v>47900</v>
          </cell>
          <cell r="Z1296">
            <v>3.7956017409652251E-2</v>
          </cell>
          <cell r="AA1296">
            <v>3.7683583165619337E-2</v>
          </cell>
        </row>
        <row r="1297">
          <cell r="Y1297">
            <v>47907</v>
          </cell>
          <cell r="Z1297">
            <v>3.7951332412858522E-2</v>
          </cell>
          <cell r="AA1297">
            <v>3.7678087059742259E-2</v>
          </cell>
        </row>
        <row r="1298">
          <cell r="Y1298">
            <v>47914</v>
          </cell>
          <cell r="Z1298">
            <v>3.794958870199118E-2</v>
          </cell>
          <cell r="AA1298">
            <v>3.7672545412285048E-2</v>
          </cell>
        </row>
        <row r="1299">
          <cell r="Y1299">
            <v>47921</v>
          </cell>
          <cell r="Z1299">
            <v>3.7943292572531907E-2</v>
          </cell>
          <cell r="AA1299">
            <v>3.7666958223220678E-2</v>
          </cell>
        </row>
        <row r="1300">
          <cell r="Y1300">
            <v>47928</v>
          </cell>
          <cell r="Z1300">
            <v>3.7936950059627245E-2</v>
          </cell>
          <cell r="AA1300">
            <v>3.766132549260319E-2</v>
          </cell>
        </row>
        <row r="1301">
          <cell r="Y1301">
            <v>47935</v>
          </cell>
          <cell r="Z1301">
            <v>3.7930561163716597E-2</v>
          </cell>
          <cell r="AA1301">
            <v>3.7655647220405562E-2</v>
          </cell>
        </row>
        <row r="1302">
          <cell r="Y1302">
            <v>47942</v>
          </cell>
          <cell r="Z1302">
            <v>3.7924125885242882E-2</v>
          </cell>
          <cell r="AA1302">
            <v>3.7649923406681836E-2</v>
          </cell>
        </row>
        <row r="1303">
          <cell r="Y1303">
            <v>47953</v>
          </cell>
          <cell r="Z1303">
            <v>3.7910968009697982E-2</v>
          </cell>
          <cell r="AA1303">
            <v>3.7637786601564249E-2</v>
          </cell>
        </row>
        <row r="1304">
          <cell r="Y1304">
            <v>47960</v>
          </cell>
          <cell r="Z1304">
            <v>3.7904421436810373E-2</v>
          </cell>
          <cell r="AA1304">
            <v>3.7631953389922757E-2</v>
          </cell>
        </row>
        <row r="1305">
          <cell r="Y1305">
            <v>47967</v>
          </cell>
          <cell r="Z1305">
            <v>3.7897828492208172E-2</v>
          </cell>
          <cell r="AA1305">
            <v>3.7626074645913388E-2</v>
          </cell>
        </row>
        <row r="1306">
          <cell r="Y1306">
            <v>47974</v>
          </cell>
          <cell r="Z1306">
            <v>3.7892653136342339E-2</v>
          </cell>
          <cell r="AA1306">
            <v>3.7620150369617189E-2</v>
          </cell>
        </row>
        <row r="1307">
          <cell r="Y1307">
            <v>47981</v>
          </cell>
          <cell r="Z1307">
            <v>3.7885963449685638E-2</v>
          </cell>
          <cell r="AA1307">
            <v>3.7614180560872068E-2</v>
          </cell>
        </row>
        <row r="1308">
          <cell r="Y1308">
            <v>47988</v>
          </cell>
          <cell r="Z1308">
            <v>3.7879227388065616E-2</v>
          </cell>
          <cell r="AA1308">
            <v>3.760816522000221E-2</v>
          </cell>
        </row>
        <row r="1309">
          <cell r="Y1309">
            <v>47995</v>
          </cell>
          <cell r="Z1309">
            <v>3.7872444951944743E-2</v>
          </cell>
          <cell r="AA1309">
            <v>3.7602104346602383E-2</v>
          </cell>
        </row>
        <row r="1310">
          <cell r="Y1310">
            <v>48002</v>
          </cell>
          <cell r="Z1310">
            <v>3.7864168209395033E-2</v>
          </cell>
          <cell r="AA1310">
            <v>3.7595997940915726E-2</v>
          </cell>
        </row>
        <row r="1311">
          <cell r="Y1311">
            <v>48009</v>
          </cell>
          <cell r="Z1311">
            <v>3.7857297044098334E-2</v>
          </cell>
          <cell r="AA1311">
            <v>3.758984600294224E-2</v>
          </cell>
        </row>
        <row r="1312">
          <cell r="Y1312">
            <v>48016</v>
          </cell>
          <cell r="Z1312">
            <v>3.7850379510313829E-2</v>
          </cell>
          <cell r="AA1312">
            <v>3.7583648532600877E-2</v>
          </cell>
        </row>
        <row r="1313">
          <cell r="Y1313">
            <v>48023</v>
          </cell>
          <cell r="Z1313">
            <v>3.7843415608515826E-2</v>
          </cell>
          <cell r="AA1313">
            <v>3.7577405530053731E-2</v>
          </cell>
        </row>
        <row r="1314">
          <cell r="Y1314">
            <v>48030</v>
          </cell>
          <cell r="Z1314">
            <v>3.7839268713317498E-2</v>
          </cell>
          <cell r="AA1314">
            <v>3.7571116995138709E-2</v>
          </cell>
        </row>
        <row r="1315">
          <cell r="Y1315">
            <v>48037</v>
          </cell>
          <cell r="Z1315">
            <v>3.7830776497082469E-2</v>
          </cell>
          <cell r="AA1315">
            <v>3.7564782927936857E-2</v>
          </cell>
        </row>
        <row r="1316">
          <cell r="Y1316">
            <v>48044</v>
          </cell>
          <cell r="Z1316">
            <v>3.7823669452711636E-2</v>
          </cell>
          <cell r="AA1316">
            <v>3.7558403328367129E-2</v>
          </cell>
        </row>
        <row r="1317">
          <cell r="Y1317">
            <v>48051</v>
          </cell>
          <cell r="Z1317">
            <v>3.7816516037664553E-2</v>
          </cell>
          <cell r="AA1317">
            <v>3.7551978196510571E-2</v>
          </cell>
        </row>
        <row r="1318">
          <cell r="Y1318">
            <v>48058</v>
          </cell>
          <cell r="Z1318">
            <v>3.7809316252434555E-2</v>
          </cell>
          <cell r="AA1318">
            <v>3.7545507532367184E-2</v>
          </cell>
        </row>
        <row r="1319">
          <cell r="Y1319">
            <v>48065</v>
          </cell>
          <cell r="Z1319">
            <v>3.780207009751671E-2</v>
          </cell>
          <cell r="AA1319">
            <v>3.753899133585592E-2</v>
          </cell>
        </row>
        <row r="1320">
          <cell r="Y1320">
            <v>48072</v>
          </cell>
          <cell r="Z1320">
            <v>3.7794777573410529E-2</v>
          </cell>
          <cell r="AA1320">
            <v>3.7532429607138873E-2</v>
          </cell>
        </row>
        <row r="1321">
          <cell r="Y1321">
            <v>48079</v>
          </cell>
          <cell r="Z1321">
            <v>3.7787438680617257E-2</v>
          </cell>
          <cell r="AA1321">
            <v>3.7525822345972903E-2</v>
          </cell>
        </row>
        <row r="1322">
          <cell r="Y1322">
            <v>48086</v>
          </cell>
          <cell r="Z1322">
            <v>3.7780053419642988E-2</v>
          </cell>
          <cell r="AA1322">
            <v>3.7519169552682197E-2</v>
          </cell>
        </row>
        <row r="1323">
          <cell r="Y1323">
            <v>48093</v>
          </cell>
          <cell r="Z1323">
            <v>3.7769830826890831E-2</v>
          </cell>
          <cell r="AA1323">
            <v>3.7512471227023614E-2</v>
          </cell>
        </row>
        <row r="1324">
          <cell r="Y1324">
            <v>48100</v>
          </cell>
          <cell r="Z1324">
            <v>3.7762360986396362E-2</v>
          </cell>
          <cell r="AA1324">
            <v>3.7505727369078201E-2</v>
          </cell>
        </row>
        <row r="1325">
          <cell r="Y1325">
            <v>48107</v>
          </cell>
          <cell r="Z1325">
            <v>3.7754844788381793E-2</v>
          </cell>
          <cell r="AA1325">
            <v>3.7498937978845959E-2</v>
          </cell>
        </row>
        <row r="1326">
          <cell r="Y1326">
            <v>48114</v>
          </cell>
          <cell r="Z1326">
            <v>3.774728223336056E-2</v>
          </cell>
          <cell r="AA1326">
            <v>3.7492103056407933E-2</v>
          </cell>
        </row>
        <row r="1327">
          <cell r="Y1327">
            <v>48121</v>
          </cell>
          <cell r="Z1327">
            <v>3.7741052614648052E-2</v>
          </cell>
          <cell r="AA1327">
            <v>3.7485222601520984E-2</v>
          </cell>
        </row>
        <row r="1328">
          <cell r="Y1328">
            <v>48128</v>
          </cell>
          <cell r="Z1328">
            <v>3.7733393251632108E-2</v>
          </cell>
          <cell r="AA1328">
            <v>3.7478296614428253E-2</v>
          </cell>
        </row>
        <row r="1329">
          <cell r="Y1329">
            <v>48135</v>
          </cell>
          <cell r="Z1329">
            <v>3.7725687528611648E-2</v>
          </cell>
          <cell r="AA1329">
            <v>3.7471325094967645E-2</v>
          </cell>
        </row>
        <row r="1330">
          <cell r="Y1330">
            <v>48142</v>
          </cell>
          <cell r="Z1330">
            <v>3.7717935446113682E-2</v>
          </cell>
          <cell r="AA1330">
            <v>3.7464308043463346E-2</v>
          </cell>
        </row>
        <row r="1331">
          <cell r="Y1331">
            <v>48149</v>
          </cell>
          <cell r="Z1331">
            <v>3.7710137004670109E-2</v>
          </cell>
          <cell r="AA1331">
            <v>3.7457245459510125E-2</v>
          </cell>
        </row>
        <row r="1332">
          <cell r="Y1332">
            <v>48156</v>
          </cell>
          <cell r="Z1332">
            <v>3.7700933435131534E-2</v>
          </cell>
          <cell r="AA1332">
            <v>3.745013734335112E-2</v>
          </cell>
        </row>
        <row r="1333">
          <cell r="Y1333">
            <v>48163</v>
          </cell>
          <cell r="Z1333">
            <v>3.7693046395652914E-2</v>
          </cell>
          <cell r="AA1333">
            <v>3.7442983694986331E-2</v>
          </cell>
        </row>
        <row r="1334">
          <cell r="Y1334">
            <v>48170</v>
          </cell>
          <cell r="Z1334">
            <v>3.7685113003373585E-2</v>
          </cell>
          <cell r="AA1334">
            <v>3.7435784514172621E-2</v>
          </cell>
        </row>
        <row r="1335">
          <cell r="Y1335">
            <v>48177</v>
          </cell>
          <cell r="Z1335">
            <v>3.7677133258836377E-2</v>
          </cell>
          <cell r="AA1335">
            <v>3.7428539801315219E-2</v>
          </cell>
        </row>
        <row r="1336">
          <cell r="Y1336">
            <v>48184</v>
          </cell>
          <cell r="Z1336">
            <v>3.7670449432057142E-2</v>
          </cell>
          <cell r="AA1336">
            <v>3.7421249556008895E-2</v>
          </cell>
        </row>
        <row r="1337">
          <cell r="Y1337">
            <v>48191</v>
          </cell>
          <cell r="Z1337">
            <v>3.766237284825983E-2</v>
          </cell>
          <cell r="AA1337">
            <v>3.7413913778496788E-2</v>
          </cell>
        </row>
        <row r="1338">
          <cell r="Y1338">
            <v>48198</v>
          </cell>
          <cell r="Z1338">
            <v>3.7654249909319884E-2</v>
          </cell>
          <cell r="AA1338">
            <v>3.7406532468697851E-2</v>
          </cell>
        </row>
        <row r="1339">
          <cell r="Y1339">
            <v>48205</v>
          </cell>
          <cell r="Z1339">
            <v>3.764608061579356E-2</v>
          </cell>
          <cell r="AA1339">
            <v>3.739910562669313E-2</v>
          </cell>
        </row>
        <row r="1340">
          <cell r="Y1340">
            <v>48212</v>
          </cell>
          <cell r="Z1340">
            <v>3.7637864968241536E-2</v>
          </cell>
          <cell r="AA1340">
            <v>3.7391633252482626E-2</v>
          </cell>
        </row>
        <row r="1341">
          <cell r="Y1341">
            <v>48219</v>
          </cell>
          <cell r="Z1341">
            <v>3.7628281424806412E-2</v>
          </cell>
          <cell r="AA1341">
            <v>3.7384115345985292E-2</v>
          </cell>
        </row>
        <row r="1342">
          <cell r="Y1342">
            <v>48226</v>
          </cell>
          <cell r="Z1342">
            <v>3.761997722984279E-2</v>
          </cell>
          <cell r="AA1342">
            <v>3.7376551907282174E-2</v>
          </cell>
        </row>
        <row r="1343">
          <cell r="Y1343">
            <v>48233</v>
          </cell>
          <cell r="Z1343">
            <v>3.7611626687053902E-2</v>
          </cell>
          <cell r="AA1343">
            <v>3.7368942936292227E-2</v>
          </cell>
        </row>
        <row r="1344">
          <cell r="Y1344">
            <v>48240</v>
          </cell>
          <cell r="Z1344">
            <v>3.7603229797009731E-2</v>
          </cell>
          <cell r="AA1344">
            <v>3.7361288433177542E-2</v>
          </cell>
        </row>
        <row r="1345">
          <cell r="Y1345">
            <v>48247</v>
          </cell>
          <cell r="Z1345">
            <v>3.7594786560280286E-2</v>
          </cell>
          <cell r="AA1345">
            <v>3.7353588397694981E-2</v>
          </cell>
        </row>
        <row r="1346">
          <cell r="Y1346">
            <v>48254</v>
          </cell>
          <cell r="Z1346">
            <v>3.7586296977442674E-2</v>
          </cell>
          <cell r="AA1346">
            <v>3.7345842830087683E-2</v>
          </cell>
        </row>
        <row r="1347">
          <cell r="Y1347">
            <v>48261</v>
          </cell>
          <cell r="Z1347">
            <v>3.7577761049072692E-2</v>
          </cell>
          <cell r="AA1347">
            <v>3.7338051729950417E-2</v>
          </cell>
        </row>
        <row r="1348">
          <cell r="Y1348">
            <v>48268</v>
          </cell>
          <cell r="Z1348">
            <v>3.7569178775754136E-2</v>
          </cell>
          <cell r="AA1348">
            <v>3.7330215097931552E-2</v>
          </cell>
        </row>
        <row r="1349">
          <cell r="Y1349">
            <v>48275</v>
          </cell>
          <cell r="Z1349">
            <v>3.7563126134151165E-2</v>
          </cell>
          <cell r="AA1349">
            <v>3.7322332933625857E-2</v>
          </cell>
        </row>
        <row r="1350">
          <cell r="Y1350">
            <v>48282</v>
          </cell>
          <cell r="Z1350">
            <v>3.7554442782158866E-2</v>
          </cell>
          <cell r="AA1350">
            <v>3.7314405236952286E-2</v>
          </cell>
        </row>
        <row r="1351">
          <cell r="Y1351">
            <v>48289</v>
          </cell>
          <cell r="Z1351">
            <v>3.7545713078024366E-2</v>
          </cell>
          <cell r="AA1351">
            <v>3.7306432008235024E-2</v>
          </cell>
        </row>
        <row r="1352">
          <cell r="Y1352">
            <v>48296</v>
          </cell>
          <cell r="Z1352">
            <v>3.7536937022348033E-2</v>
          </cell>
          <cell r="AA1352">
            <v>3.7298413247230933E-2</v>
          </cell>
        </row>
        <row r="1353">
          <cell r="Y1353">
            <v>48303</v>
          </cell>
          <cell r="Z1353">
            <v>3.7528114615733743E-2</v>
          </cell>
          <cell r="AA1353">
            <v>3.7290348954021058E-2</v>
          </cell>
        </row>
        <row r="1354">
          <cell r="Y1354">
            <v>48310</v>
          </cell>
          <cell r="Z1354">
            <v>3.7517979050446189E-2</v>
          </cell>
          <cell r="AA1354">
            <v>3.7282239128605399E-2</v>
          </cell>
        </row>
        <row r="1355">
          <cell r="Y1355">
            <v>48317</v>
          </cell>
          <cell r="Z1355">
            <v>3.7509068161763824E-2</v>
          </cell>
          <cell r="AA1355">
            <v>3.7274083771065003E-2</v>
          </cell>
        </row>
        <row r="1356">
          <cell r="Y1356">
            <v>48324</v>
          </cell>
          <cell r="Z1356">
            <v>3.7500110928434534E-2</v>
          </cell>
          <cell r="AA1356">
            <v>3.7265882881156731E-2</v>
          </cell>
        </row>
        <row r="1357">
          <cell r="Y1357">
            <v>48331</v>
          </cell>
          <cell r="Z1357">
            <v>3.749110735107216E-2</v>
          </cell>
          <cell r="AA1357">
            <v>3.7257636459042676E-2</v>
          </cell>
        </row>
        <row r="1358">
          <cell r="Y1358">
            <v>48338</v>
          </cell>
          <cell r="Z1358">
            <v>3.7483307339960116E-2</v>
          </cell>
          <cell r="AA1358">
            <v>3.7249344504884929E-2</v>
          </cell>
        </row>
        <row r="1359">
          <cell r="Y1359">
            <v>48345</v>
          </cell>
          <cell r="Z1359">
            <v>3.7474206840582877E-2</v>
          </cell>
          <cell r="AA1359">
            <v>3.7241007018440353E-2</v>
          </cell>
        </row>
        <row r="1360">
          <cell r="Y1360">
            <v>48352</v>
          </cell>
          <cell r="Z1360">
            <v>3.7465059994586471E-2</v>
          </cell>
          <cell r="AA1360">
            <v>3.723262399987104E-2</v>
          </cell>
        </row>
        <row r="1361">
          <cell r="Y1361">
            <v>48359</v>
          </cell>
          <cell r="Z1361">
            <v>3.7455866802599026E-2</v>
          </cell>
          <cell r="AA1361">
            <v>3.7224195449014896E-2</v>
          </cell>
        </row>
        <row r="1362">
          <cell r="Y1362">
            <v>48366</v>
          </cell>
          <cell r="Z1362">
            <v>3.7445394325439557E-2</v>
          </cell>
          <cell r="AA1362">
            <v>3.7215721366196108E-2</v>
          </cell>
        </row>
        <row r="1363">
          <cell r="Y1363">
            <v>48373</v>
          </cell>
          <cell r="Z1363">
            <v>3.7436112696929737E-2</v>
          </cell>
          <cell r="AA1363">
            <v>3.7207201750928398E-2</v>
          </cell>
        </row>
        <row r="1364">
          <cell r="Y1364">
            <v>48380</v>
          </cell>
          <cell r="Z1364">
            <v>3.742678472876864E-2</v>
          </cell>
          <cell r="AA1364">
            <v>3.7198636603698043E-2</v>
          </cell>
        </row>
        <row r="1365">
          <cell r="Y1365">
            <v>48387</v>
          </cell>
          <cell r="Z1365">
            <v>3.7417410421593113E-2</v>
          </cell>
          <cell r="AA1365">
            <v>3.7190025924099812E-2</v>
          </cell>
        </row>
        <row r="1366">
          <cell r="Y1366">
            <v>48394</v>
          </cell>
          <cell r="Z1366">
            <v>3.7407989776045342E-2</v>
          </cell>
          <cell r="AA1366">
            <v>3.718136971245789E-2</v>
          </cell>
        </row>
        <row r="1367">
          <cell r="Y1367">
            <v>48401</v>
          </cell>
          <cell r="Z1367">
            <v>3.7399734420538532E-2</v>
          </cell>
          <cell r="AA1367">
            <v>3.7172667968529138E-2</v>
          </cell>
        </row>
        <row r="1368">
          <cell r="Y1368">
            <v>48408</v>
          </cell>
          <cell r="Z1368">
            <v>3.7390216824514842E-2</v>
          </cell>
          <cell r="AA1368">
            <v>3.7163920692556696E-2</v>
          </cell>
        </row>
        <row r="1369">
          <cell r="Y1369">
            <v>48415</v>
          </cell>
          <cell r="Z1369">
            <v>3.7380652887653583E-2</v>
          </cell>
          <cell r="AA1369">
            <v>3.7155127884378469E-2</v>
          </cell>
        </row>
        <row r="1370">
          <cell r="Y1370">
            <v>48422</v>
          </cell>
          <cell r="Z1370">
            <v>3.7371042610611506E-2</v>
          </cell>
          <cell r="AA1370">
            <v>3.7146289544075506E-2</v>
          </cell>
        </row>
        <row r="1371">
          <cell r="Y1371">
            <v>48429</v>
          </cell>
          <cell r="Z1371">
            <v>3.736138599405063E-2</v>
          </cell>
          <cell r="AA1371">
            <v>3.7137405671647805E-2</v>
          </cell>
        </row>
        <row r="1372">
          <cell r="Y1372">
            <v>48436</v>
          </cell>
          <cell r="Z1372">
            <v>3.7351683038635626E-2</v>
          </cell>
          <cell r="AA1372">
            <v>3.7128476267014321E-2</v>
          </cell>
        </row>
        <row r="1373">
          <cell r="Y1373">
            <v>48443</v>
          </cell>
          <cell r="Z1373">
            <v>3.7341933745033799E-2</v>
          </cell>
          <cell r="AA1373">
            <v>3.7119501330256099E-2</v>
          </cell>
        </row>
        <row r="1374">
          <cell r="Y1374">
            <v>48450</v>
          </cell>
          <cell r="Z1374">
            <v>3.7332138113915989E-2</v>
          </cell>
          <cell r="AA1374">
            <v>3.7110480861292094E-2</v>
          </cell>
        </row>
        <row r="1375">
          <cell r="Y1375">
            <v>48457</v>
          </cell>
          <cell r="Z1375">
            <v>3.7318763250826642E-2</v>
          </cell>
          <cell r="AA1375">
            <v>3.7101414860284399E-2</v>
          </cell>
        </row>
        <row r="1376">
          <cell r="Y1376">
            <v>48464</v>
          </cell>
          <cell r="Z1376">
            <v>3.7308887877058369E-2</v>
          </cell>
          <cell r="AA1376">
            <v>3.7092303327070919E-2</v>
          </cell>
        </row>
        <row r="1377">
          <cell r="Y1377">
            <v>48471</v>
          </cell>
          <cell r="Z1377">
            <v>3.7298966180946663E-2</v>
          </cell>
          <cell r="AA1377">
            <v>3.7083146261732702E-2</v>
          </cell>
        </row>
        <row r="1378">
          <cell r="Y1378">
            <v>48478</v>
          </cell>
          <cell r="Z1378">
            <v>3.7288998163162279E-2</v>
          </cell>
          <cell r="AA1378">
            <v>3.7073943664269748E-2</v>
          </cell>
        </row>
        <row r="1379">
          <cell r="Y1379">
            <v>48485</v>
          </cell>
          <cell r="Z1379">
            <v>3.7278983824379996E-2</v>
          </cell>
          <cell r="AA1379">
            <v>3.7064695534682057E-2</v>
          </cell>
        </row>
        <row r="1380">
          <cell r="Y1380">
            <v>48492</v>
          </cell>
          <cell r="Z1380">
            <v>3.7270079538840914E-2</v>
          </cell>
          <cell r="AA1380">
            <v>3.7055401872969629E-2</v>
          </cell>
        </row>
        <row r="1381">
          <cell r="Y1381">
            <v>48499</v>
          </cell>
          <cell r="Z1381">
            <v>3.7259968228853885E-2</v>
          </cell>
          <cell r="AA1381">
            <v>3.7046062679051417E-2</v>
          </cell>
        </row>
        <row r="1382">
          <cell r="Y1382">
            <v>48506</v>
          </cell>
          <cell r="Z1382">
            <v>3.7249810595552296E-2</v>
          </cell>
          <cell r="AA1382">
            <v>3.703667795317056E-2</v>
          </cell>
        </row>
        <row r="1383">
          <cell r="Y1383">
            <v>48513</v>
          </cell>
          <cell r="Z1383">
            <v>3.723960663962949E-2</v>
          </cell>
          <cell r="AA1383">
            <v>3.702724769508392E-2</v>
          </cell>
        </row>
        <row r="1384">
          <cell r="Y1384">
            <v>48520</v>
          </cell>
          <cell r="Z1384">
            <v>3.722935636177882E-2</v>
          </cell>
          <cell r="AA1384">
            <v>3.7017771904872543E-2</v>
          </cell>
        </row>
        <row r="1385">
          <cell r="Y1385">
            <v>48527</v>
          </cell>
          <cell r="Z1385">
            <v>3.72179250889276E-2</v>
          </cell>
          <cell r="AA1385">
            <v>3.7008250582617475E-2</v>
          </cell>
        </row>
        <row r="1386">
          <cell r="Y1386">
            <v>48534</v>
          </cell>
          <cell r="Z1386">
            <v>3.7207586522323276E-2</v>
          </cell>
          <cell r="AA1386">
            <v>3.6998683728237669E-2</v>
          </cell>
        </row>
        <row r="1387">
          <cell r="Y1387">
            <v>48541</v>
          </cell>
          <cell r="Z1387">
            <v>3.7197201640233553E-2</v>
          </cell>
          <cell r="AA1387">
            <v>3.6989071341814173E-2</v>
          </cell>
        </row>
        <row r="1388">
          <cell r="Y1388">
            <v>48548</v>
          </cell>
          <cell r="Z1388">
            <v>3.7187892045107314E-2</v>
          </cell>
          <cell r="AA1388">
            <v>3.6979413423346985E-2</v>
          </cell>
        </row>
        <row r="1389">
          <cell r="Y1389">
            <v>48555</v>
          </cell>
          <cell r="Z1389">
            <v>3.717741016815064E-2</v>
          </cell>
          <cell r="AA1389">
            <v>3.6969709972592968E-2</v>
          </cell>
        </row>
        <row r="1390">
          <cell r="Y1390">
            <v>48562</v>
          </cell>
          <cell r="Z1390">
            <v>3.7166881973499655E-2</v>
          </cell>
          <cell r="AA1390">
            <v>3.695996098979526E-2</v>
          </cell>
        </row>
        <row r="1391">
          <cell r="Y1391">
            <v>48569</v>
          </cell>
          <cell r="Z1391">
            <v>3.7156307461873976E-2</v>
          </cell>
          <cell r="AA1391">
            <v>3.6950166475115953E-2</v>
          </cell>
        </row>
        <row r="1392">
          <cell r="Y1392">
            <v>48577</v>
          </cell>
          <cell r="Z1392">
            <v>3.7144165591987729E-2</v>
          </cell>
          <cell r="AA1392">
            <v>3.6938916990129078E-2</v>
          </cell>
        </row>
        <row r="1393">
          <cell r="Y1393">
            <v>48584</v>
          </cell>
          <cell r="Z1393">
            <v>3.7132392730178605E-2</v>
          </cell>
          <cell r="AA1393">
            <v>3.6929024906668939E-2</v>
          </cell>
        </row>
        <row r="1394">
          <cell r="Y1394">
            <v>48591</v>
          </cell>
          <cell r="Z1394">
            <v>3.7121677043826386E-2</v>
          </cell>
          <cell r="AA1394">
            <v>3.691908729092197E-2</v>
          </cell>
        </row>
        <row r="1395">
          <cell r="Y1395">
            <v>48598</v>
          </cell>
          <cell r="Z1395">
            <v>3.7110915047805296E-2</v>
          </cell>
          <cell r="AA1395">
            <v>3.6909104143293403E-2</v>
          </cell>
        </row>
        <row r="1396">
          <cell r="Y1396">
            <v>48605</v>
          </cell>
          <cell r="Z1396">
            <v>3.7100106742842955E-2</v>
          </cell>
          <cell r="AA1396">
            <v>3.6899075463459052E-2</v>
          </cell>
        </row>
        <row r="1397">
          <cell r="Y1397">
            <v>48612</v>
          </cell>
          <cell r="Z1397">
            <v>3.7089252129672359E-2</v>
          </cell>
          <cell r="AA1397">
            <v>3.6889001251662057E-2</v>
          </cell>
        </row>
        <row r="1398">
          <cell r="Y1398">
            <v>48619</v>
          </cell>
          <cell r="Z1398">
            <v>3.707835120902786E-2</v>
          </cell>
          <cell r="AA1398">
            <v>3.6878881507740324E-2</v>
          </cell>
        </row>
        <row r="1399">
          <cell r="Y1399">
            <v>48626</v>
          </cell>
          <cell r="Z1399">
            <v>3.7067403981647373E-2</v>
          </cell>
          <cell r="AA1399">
            <v>3.6868716231774901E-2</v>
          </cell>
        </row>
        <row r="1400">
          <cell r="Y1400">
            <v>48633</v>
          </cell>
          <cell r="Z1400">
            <v>3.7056410448271966E-2</v>
          </cell>
          <cell r="AA1400">
            <v>3.685850542368474E-2</v>
          </cell>
        </row>
        <row r="1401">
          <cell r="Y1401">
            <v>48640</v>
          </cell>
          <cell r="Z1401">
            <v>3.7048561182811364E-2</v>
          </cell>
          <cell r="AA1401">
            <v>3.6848249083712981E-2</v>
          </cell>
        </row>
        <row r="1402">
          <cell r="Y1402">
            <v>48647</v>
          </cell>
          <cell r="Z1402">
            <v>3.7037461769928545E-2</v>
          </cell>
          <cell r="AA1402">
            <v>3.6837947211616484E-2</v>
          </cell>
        </row>
        <row r="1403">
          <cell r="Y1403">
            <v>48654</v>
          </cell>
          <cell r="Z1403">
            <v>3.7026316040485924E-2</v>
          </cell>
          <cell r="AA1403">
            <v>3.6827599807476297E-2</v>
          </cell>
        </row>
        <row r="1404">
          <cell r="Y1404">
            <v>48661</v>
          </cell>
          <cell r="Z1404">
            <v>3.7015123995250809E-2</v>
          </cell>
          <cell r="AA1404">
            <v>3.6817206871373465E-2</v>
          </cell>
        </row>
        <row r="1405">
          <cell r="Y1405">
            <v>48668</v>
          </cell>
          <cell r="Z1405">
            <v>3.7003885634993135E-2</v>
          </cell>
          <cell r="AA1405">
            <v>3.6806768403226942E-2</v>
          </cell>
        </row>
        <row r="1406">
          <cell r="Y1406">
            <v>48675</v>
          </cell>
          <cell r="Z1406">
            <v>3.6991559950230783E-2</v>
          </cell>
          <cell r="AA1406">
            <v>3.6796284402793589E-2</v>
          </cell>
        </row>
        <row r="1407">
          <cell r="Y1407">
            <v>48682</v>
          </cell>
          <cell r="Z1407">
            <v>3.6980233407528269E-2</v>
          </cell>
          <cell r="AA1407">
            <v>3.6785754870721776E-2</v>
          </cell>
        </row>
        <row r="1408">
          <cell r="Y1408">
            <v>48689</v>
          </cell>
          <cell r="Z1408">
            <v>3.696886055637863E-2</v>
          </cell>
          <cell r="AA1408">
            <v>3.677517980644418E-2</v>
          </cell>
        </row>
        <row r="1409">
          <cell r="Y1409">
            <v>48696</v>
          </cell>
          <cell r="Z1409">
            <v>3.6957441397560874E-2</v>
          </cell>
          <cell r="AA1409">
            <v>3.6764559210122894E-2</v>
          </cell>
        </row>
        <row r="1410">
          <cell r="Y1410">
            <v>48703</v>
          </cell>
          <cell r="Z1410">
            <v>3.6946999135549018E-2</v>
          </cell>
          <cell r="AA1410">
            <v>3.6753893081757916E-2</v>
          </cell>
        </row>
        <row r="1411">
          <cell r="Y1411">
            <v>48710</v>
          </cell>
          <cell r="Z1411">
            <v>3.693548290151015E-2</v>
          </cell>
          <cell r="AA1411">
            <v>3.6743181421592386E-2</v>
          </cell>
        </row>
        <row r="1412">
          <cell r="Y1412">
            <v>48717</v>
          </cell>
          <cell r="Z1412">
            <v>3.6923920357929921E-2</v>
          </cell>
          <cell r="AA1412">
            <v>3.6732424229221072E-2</v>
          </cell>
        </row>
        <row r="1413">
          <cell r="Y1413">
            <v>48724</v>
          </cell>
          <cell r="Z1413">
            <v>3.6912311505603819E-2</v>
          </cell>
          <cell r="AA1413">
            <v>3.672162150496816E-2</v>
          </cell>
        </row>
        <row r="1414">
          <cell r="Y1414">
            <v>48731</v>
          </cell>
          <cell r="Z1414">
            <v>3.689965101592553E-2</v>
          </cell>
          <cell r="AA1414">
            <v>3.6710773248590511E-2</v>
          </cell>
        </row>
        <row r="1415">
          <cell r="Y1415">
            <v>48738</v>
          </cell>
          <cell r="Z1415">
            <v>3.6887954027626339E-2</v>
          </cell>
          <cell r="AA1415">
            <v>3.6699879460331264E-2</v>
          </cell>
        </row>
        <row r="1416">
          <cell r="Y1416">
            <v>48745</v>
          </cell>
          <cell r="Z1416">
            <v>3.6876210737196755E-2</v>
          </cell>
          <cell r="AA1416">
            <v>3.6688940140109372E-2</v>
          </cell>
        </row>
        <row r="1417">
          <cell r="Y1417">
            <v>48752</v>
          </cell>
          <cell r="Z1417">
            <v>3.686442114544148E-2</v>
          </cell>
          <cell r="AA1417">
            <v>3.6677955287843789E-2</v>
          </cell>
        </row>
        <row r="1418">
          <cell r="Y1418">
            <v>48759</v>
          </cell>
          <cell r="Z1418">
            <v>3.685258525316655E-2</v>
          </cell>
          <cell r="AA1418">
            <v>3.6666924903534515E-2</v>
          </cell>
        </row>
        <row r="1419">
          <cell r="Y1419">
            <v>48766</v>
          </cell>
          <cell r="Z1419">
            <v>3.6841685952949892E-2</v>
          </cell>
          <cell r="AA1419">
            <v>3.6655848987424688E-2</v>
          </cell>
        </row>
        <row r="1420">
          <cell r="Y1420">
            <v>48773</v>
          </cell>
          <cell r="Z1420">
            <v>3.6829752961951123E-2</v>
          </cell>
          <cell r="AA1420">
            <v>3.6644727539190125E-2</v>
          </cell>
        </row>
        <row r="1421">
          <cell r="Y1421">
            <v>48780</v>
          </cell>
          <cell r="Z1421">
            <v>3.6817773668687978E-2</v>
          </cell>
          <cell r="AA1421">
            <v>3.6633560559073963E-2</v>
          </cell>
        </row>
        <row r="1422">
          <cell r="Y1422">
            <v>48787</v>
          </cell>
          <cell r="Z1422">
            <v>3.6805748073983256E-2</v>
          </cell>
          <cell r="AA1422">
            <v>3.662234804691411E-2</v>
          </cell>
        </row>
        <row r="1423">
          <cell r="Y1423">
            <v>48794</v>
          </cell>
          <cell r="Z1423">
            <v>3.6793676178665906E-2</v>
          </cell>
          <cell r="AA1423">
            <v>3.6611090002872659E-2</v>
          </cell>
        </row>
        <row r="1424">
          <cell r="Y1424">
            <v>48801</v>
          </cell>
          <cell r="Z1424">
            <v>3.6781557983565784E-2</v>
          </cell>
          <cell r="AA1424">
            <v>3.6599786426787517E-2</v>
          </cell>
        </row>
        <row r="1425">
          <cell r="Y1425">
            <v>48808</v>
          </cell>
          <cell r="Z1425">
            <v>3.676939348951714E-2</v>
          </cell>
          <cell r="AA1425">
            <v>3.6588437318901823E-2</v>
          </cell>
        </row>
        <row r="1426">
          <cell r="Y1426">
            <v>48815</v>
          </cell>
          <cell r="Z1426">
            <v>3.6757182697356852E-2</v>
          </cell>
          <cell r="AA1426">
            <v>3.6577042678891392E-2</v>
          </cell>
        </row>
        <row r="1427">
          <cell r="Y1427">
            <v>48822</v>
          </cell>
          <cell r="Z1427">
            <v>3.6742084175137545E-2</v>
          </cell>
          <cell r="AA1427">
            <v>3.6565602507161454E-2</v>
          </cell>
        </row>
        <row r="1428">
          <cell r="Y1428">
            <v>48829</v>
          </cell>
          <cell r="Z1428">
            <v>3.672979438753228E-2</v>
          </cell>
          <cell r="AA1428">
            <v>3.655411680330678E-2</v>
          </cell>
        </row>
        <row r="1429">
          <cell r="Y1429">
            <v>48836</v>
          </cell>
          <cell r="Z1429">
            <v>3.6717458316787584E-2</v>
          </cell>
          <cell r="AA1429">
            <v>3.6542585567570507E-2</v>
          </cell>
        </row>
        <row r="1430">
          <cell r="Y1430">
            <v>48843</v>
          </cell>
          <cell r="Z1430">
            <v>3.6705075963739453E-2</v>
          </cell>
          <cell r="AA1430">
            <v>3.6531008799952636E-2</v>
          </cell>
        </row>
        <row r="1431">
          <cell r="Y1431">
            <v>48850</v>
          </cell>
          <cell r="Z1431">
            <v>3.6692647329225211E-2</v>
          </cell>
          <cell r="AA1431">
            <v>3.651938650037212E-2</v>
          </cell>
        </row>
        <row r="1432">
          <cell r="Y1432">
            <v>48857</v>
          </cell>
          <cell r="Z1432">
            <v>3.6681097227094145E-2</v>
          </cell>
          <cell r="AA1432">
            <v>3.6507718668910005E-2</v>
          </cell>
        </row>
        <row r="1433">
          <cell r="Y1433">
            <v>48864</v>
          </cell>
          <cell r="Z1433">
            <v>3.6668571479452697E-2</v>
          </cell>
          <cell r="AA1433">
            <v>3.64960053054042E-2</v>
          </cell>
        </row>
        <row r="1434">
          <cell r="Y1434">
            <v>48871</v>
          </cell>
          <cell r="Z1434">
            <v>3.6655999448757096E-2</v>
          </cell>
          <cell r="AA1434">
            <v>3.6484246410097843E-2</v>
          </cell>
        </row>
        <row r="1435">
          <cell r="Y1435">
            <v>48878</v>
          </cell>
          <cell r="Z1435">
            <v>3.6643381135860562E-2</v>
          </cell>
          <cell r="AA1435">
            <v>3.647244198282884E-2</v>
          </cell>
        </row>
        <row r="1436">
          <cell r="Y1436">
            <v>48885</v>
          </cell>
          <cell r="Z1436">
            <v>3.6629809964221369E-2</v>
          </cell>
          <cell r="AA1436">
            <v>3.6460592023759286E-2</v>
          </cell>
        </row>
        <row r="1437">
          <cell r="Y1437">
            <v>48892</v>
          </cell>
          <cell r="Z1437">
            <v>3.6617103658689143E-2</v>
          </cell>
          <cell r="AA1437">
            <v>3.6448696532808134E-2</v>
          </cell>
        </row>
        <row r="1438">
          <cell r="Y1438">
            <v>48899</v>
          </cell>
          <cell r="Z1438">
            <v>3.6604351077646584E-2</v>
          </cell>
          <cell r="AA1438">
            <v>3.6436755509894336E-2</v>
          </cell>
        </row>
        <row r="1439">
          <cell r="Y1439">
            <v>48906</v>
          </cell>
          <cell r="Z1439">
            <v>3.6591552221956106E-2</v>
          </cell>
          <cell r="AA1439">
            <v>3.6424768955098941E-2</v>
          </cell>
        </row>
        <row r="1440">
          <cell r="Y1440">
            <v>48913</v>
          </cell>
          <cell r="Z1440">
            <v>3.6579595368559717E-2</v>
          </cell>
          <cell r="AA1440">
            <v>3.64127368683409E-2</v>
          </cell>
        </row>
        <row r="1441">
          <cell r="Y1441">
            <v>48920</v>
          </cell>
          <cell r="Z1441">
            <v>3.6566699380613681E-2</v>
          </cell>
          <cell r="AA1441">
            <v>3.6400659249863354E-2</v>
          </cell>
        </row>
        <row r="1442">
          <cell r="Y1442">
            <v>48927</v>
          </cell>
          <cell r="Z1442">
            <v>3.655375711654562E-2</v>
          </cell>
          <cell r="AA1442">
            <v>3.6388536099342117E-2</v>
          </cell>
        </row>
        <row r="1443">
          <cell r="Y1443">
            <v>48934</v>
          </cell>
          <cell r="Z1443">
            <v>3.6540768577237238E-2</v>
          </cell>
          <cell r="AA1443">
            <v>3.6376367417020328E-2</v>
          </cell>
        </row>
        <row r="1444">
          <cell r="Y1444">
            <v>48941</v>
          </cell>
          <cell r="Z1444">
            <v>3.652773376524196E-2</v>
          </cell>
          <cell r="AA1444">
            <v>3.636415320281694E-2</v>
          </cell>
        </row>
        <row r="1445">
          <cell r="Y1445">
            <v>48948</v>
          </cell>
          <cell r="Z1445">
            <v>3.6513787944602097E-2</v>
          </cell>
          <cell r="AA1445">
            <v>3.6351893456813E-2</v>
          </cell>
        </row>
        <row r="1446">
          <cell r="Y1446">
            <v>48955</v>
          </cell>
          <cell r="Z1446">
            <v>3.6500669220333036E-2</v>
          </cell>
          <cell r="AA1446">
            <v>3.6339588178846416E-2</v>
          </cell>
        </row>
        <row r="1447">
          <cell r="Y1447">
            <v>48962</v>
          </cell>
          <cell r="Z1447">
            <v>3.6487511136096669E-2</v>
          </cell>
          <cell r="AA1447">
            <v>3.6327237369160326E-2</v>
          </cell>
        </row>
        <row r="1448">
          <cell r="Y1448">
            <v>48969</v>
          </cell>
          <cell r="Z1448">
            <v>3.6474317146484442E-2</v>
          </cell>
          <cell r="AA1448">
            <v>3.6314841027592637E-2</v>
          </cell>
        </row>
        <row r="1449">
          <cell r="Y1449">
            <v>48976</v>
          </cell>
          <cell r="Z1449">
            <v>3.6461090706001384E-2</v>
          </cell>
          <cell r="AA1449">
            <v>3.630239915414335E-2</v>
          </cell>
        </row>
        <row r="1450">
          <cell r="Y1450">
            <v>48983</v>
          </cell>
          <cell r="Z1450">
            <v>3.6447835269065212E-2</v>
          </cell>
          <cell r="AA1450">
            <v>3.6289911748812465E-2</v>
          </cell>
        </row>
        <row r="1451">
          <cell r="Y1451">
            <v>48990</v>
          </cell>
          <cell r="Z1451">
            <v>3.6434554290006325E-2</v>
          </cell>
          <cell r="AA1451">
            <v>3.6277378811762073E-2</v>
          </cell>
        </row>
        <row r="1452">
          <cell r="Y1452">
            <v>48997</v>
          </cell>
          <cell r="Z1452">
            <v>3.6421251223066019E-2</v>
          </cell>
          <cell r="AA1452">
            <v>3.6264800342749037E-2</v>
          </cell>
        </row>
        <row r="1453">
          <cell r="Y1453">
            <v>49004</v>
          </cell>
          <cell r="Z1453">
            <v>3.6410468516510926E-2</v>
          </cell>
          <cell r="AA1453">
            <v>3.6252176341935449E-2</v>
          </cell>
        </row>
        <row r="1454">
          <cell r="Y1454">
            <v>49011</v>
          </cell>
          <cell r="Z1454">
            <v>3.6397129369295386E-2</v>
          </cell>
          <cell r="AA1454">
            <v>3.6239506809564448E-2</v>
          </cell>
        </row>
        <row r="1455">
          <cell r="Y1455">
            <v>49018</v>
          </cell>
          <cell r="Z1455">
            <v>3.6383779387523643E-2</v>
          </cell>
          <cell r="AA1455">
            <v>3.6226791745068709E-2</v>
          </cell>
        </row>
        <row r="1456">
          <cell r="Y1456">
            <v>49025</v>
          </cell>
          <cell r="Z1456">
            <v>3.6370421969759155E-2</v>
          </cell>
          <cell r="AA1456">
            <v>3.6214031148853465E-2</v>
          </cell>
        </row>
        <row r="1457">
          <cell r="Y1457">
            <v>49032</v>
          </cell>
          <cell r="Z1457">
            <v>3.6357060514475542E-2</v>
          </cell>
          <cell r="AA1457">
            <v>3.6201225020756622E-2</v>
          </cell>
        </row>
        <row r="1458">
          <cell r="Y1458">
            <v>49039</v>
          </cell>
          <cell r="Z1458">
            <v>3.6342852914698555E-2</v>
          </cell>
          <cell r="AA1458">
            <v>3.618837336102132E-2</v>
          </cell>
        </row>
        <row r="1459">
          <cell r="Y1459">
            <v>49046</v>
          </cell>
          <cell r="Z1459">
            <v>3.6329493020704574E-2</v>
          </cell>
          <cell r="AA1459">
            <v>3.6175476169404419E-2</v>
          </cell>
        </row>
        <row r="1460">
          <cell r="Y1460">
            <v>49053</v>
          </cell>
          <cell r="Z1460">
            <v>3.6316139081417786E-2</v>
          </cell>
          <cell r="AA1460">
            <v>3.6162533445986966E-2</v>
          </cell>
        </row>
        <row r="1461">
          <cell r="Y1461">
            <v>49060</v>
          </cell>
          <cell r="Z1461">
            <v>3.630279451319314E-2</v>
          </cell>
          <cell r="AA1461">
            <v>3.6149545190850008E-2</v>
          </cell>
        </row>
        <row r="1462">
          <cell r="Y1462">
            <v>49067</v>
          </cell>
          <cell r="Z1462">
            <v>3.6290311615550817E-2</v>
          </cell>
          <cell r="AA1462">
            <v>3.6136511403831451E-2</v>
          </cell>
        </row>
        <row r="1463">
          <cell r="Y1463">
            <v>49074</v>
          </cell>
          <cell r="Z1463">
            <v>3.6276997298063676E-2</v>
          </cell>
          <cell r="AA1463">
            <v>3.6123432085174434E-2</v>
          </cell>
        </row>
        <row r="1464">
          <cell r="Y1464">
            <v>49081</v>
          </cell>
          <cell r="Z1464">
            <v>3.6263702729857163E-2</v>
          </cell>
          <cell r="AA1464">
            <v>3.6110307234554773E-2</v>
          </cell>
        </row>
        <row r="1465">
          <cell r="Y1465">
            <v>49088</v>
          </cell>
          <cell r="Z1465">
            <v>3.6250431308687353E-2</v>
          </cell>
          <cell r="AA1465">
            <v>3.6097136852296652E-2</v>
          </cell>
        </row>
        <row r="1466">
          <cell r="Y1466">
            <v>49095</v>
          </cell>
          <cell r="Z1466">
            <v>3.623633180407463E-2</v>
          </cell>
          <cell r="AA1466">
            <v>3.6083920938237979E-2</v>
          </cell>
        </row>
        <row r="1467">
          <cell r="Y1467">
            <v>49102</v>
          </cell>
          <cell r="Z1467">
            <v>3.6223115200623449E-2</v>
          </cell>
          <cell r="AA1467">
            <v>3.6070659492378754E-2</v>
          </cell>
        </row>
        <row r="1468">
          <cell r="Y1468">
            <v>49109</v>
          </cell>
          <cell r="Z1468">
            <v>3.6209931880208809E-2</v>
          </cell>
          <cell r="AA1468">
            <v>3.6057352514800023E-2</v>
          </cell>
        </row>
        <row r="1469">
          <cell r="Y1469">
            <v>49116</v>
          </cell>
          <cell r="Z1469">
            <v>3.6196785258473509E-2</v>
          </cell>
          <cell r="AA1469">
            <v>3.6044000005582832E-2</v>
          </cell>
        </row>
        <row r="1470">
          <cell r="Y1470">
            <v>49123</v>
          </cell>
          <cell r="Z1470">
            <v>3.6183678749314538E-2</v>
          </cell>
          <cell r="AA1470">
            <v>3.6030604053289839E-2</v>
          </cell>
        </row>
        <row r="1471">
          <cell r="Y1471">
            <v>49130</v>
          </cell>
          <cell r="Z1471">
            <v>3.6171478287350504E-2</v>
          </cell>
          <cell r="AA1471">
            <v>3.6017223143591792E-2</v>
          </cell>
        </row>
        <row r="1472">
          <cell r="Y1472">
            <v>49137</v>
          </cell>
          <cell r="Z1472">
            <v>3.6158459298116473E-2</v>
          </cell>
          <cell r="AA1472">
            <v>3.6003884430558797E-2</v>
          </cell>
        </row>
        <row r="1473">
          <cell r="Y1473">
            <v>49144</v>
          </cell>
          <cell r="Z1473">
            <v>3.6145483353525042E-2</v>
          </cell>
          <cell r="AA1473">
            <v>3.599058791402876E-2</v>
          </cell>
        </row>
        <row r="1474">
          <cell r="Y1474">
            <v>49151</v>
          </cell>
          <cell r="Z1474">
            <v>3.613255045274856E-2</v>
          </cell>
          <cell r="AA1474">
            <v>3.5977333594163774E-2</v>
          </cell>
        </row>
        <row r="1475">
          <cell r="Y1475">
            <v>49158</v>
          </cell>
          <cell r="Z1475">
            <v>3.6119660594959399E-2</v>
          </cell>
          <cell r="AA1475">
            <v>3.59641214707207E-2</v>
          </cell>
        </row>
        <row r="1476">
          <cell r="Y1476">
            <v>49165</v>
          </cell>
          <cell r="Z1476">
            <v>3.6106813779336069E-2</v>
          </cell>
          <cell r="AA1476">
            <v>3.5950951544023724E-2</v>
          </cell>
        </row>
        <row r="1477">
          <cell r="Y1477">
            <v>49172</v>
          </cell>
          <cell r="Z1477">
            <v>3.6094010005057554E-2</v>
          </cell>
          <cell r="AA1477">
            <v>3.5937823813829706E-2</v>
          </cell>
        </row>
        <row r="1478">
          <cell r="Y1478">
            <v>49179</v>
          </cell>
          <cell r="Z1478">
            <v>3.6081249271306771E-2</v>
          </cell>
          <cell r="AA1478">
            <v>3.5924738280138646E-2</v>
          </cell>
        </row>
        <row r="1479">
          <cell r="Y1479">
            <v>49186</v>
          </cell>
          <cell r="Z1479">
            <v>3.6066776088836454E-2</v>
          </cell>
          <cell r="AA1479">
            <v>3.5911694943112638E-2</v>
          </cell>
        </row>
        <row r="1480">
          <cell r="Y1480">
            <v>49193</v>
          </cell>
          <cell r="Z1480">
            <v>3.6053218542682015E-2</v>
          </cell>
          <cell r="AA1480">
            <v>3.5898693802508541E-2</v>
          </cell>
        </row>
        <row r="1481">
          <cell r="Y1481">
            <v>49200</v>
          </cell>
          <cell r="Z1481">
            <v>3.6040581415058899E-2</v>
          </cell>
          <cell r="AA1481">
            <v>3.5885734858650542E-2</v>
          </cell>
        </row>
        <row r="1482">
          <cell r="Y1482">
            <v>49207</v>
          </cell>
          <cell r="Z1482">
            <v>3.602798731097305E-2</v>
          </cell>
          <cell r="AA1482">
            <v>3.5872818111133409E-2</v>
          </cell>
        </row>
        <row r="1483">
          <cell r="Y1483">
            <v>49214</v>
          </cell>
          <cell r="Z1483">
            <v>3.601543622963236E-2</v>
          </cell>
          <cell r="AA1483">
            <v>3.5859943560119234E-2</v>
          </cell>
        </row>
        <row r="1484">
          <cell r="Y1484">
            <v>49221</v>
          </cell>
          <cell r="Z1484">
            <v>3.6003814768956824E-2</v>
          </cell>
          <cell r="AA1484">
            <v>3.5847111205851157E-2</v>
          </cell>
        </row>
        <row r="1485">
          <cell r="Y1485">
            <v>49228</v>
          </cell>
          <cell r="Z1485">
            <v>3.5991351585375697E-2</v>
          </cell>
          <cell r="AA1485">
            <v>3.5834321048086037E-2</v>
          </cell>
        </row>
        <row r="1486">
          <cell r="Y1486">
            <v>49235</v>
          </cell>
          <cell r="Z1486">
            <v>3.5978931426750391E-2</v>
          </cell>
          <cell r="AA1486">
            <v>3.5821573086661784E-2</v>
          </cell>
        </row>
        <row r="1487">
          <cell r="Y1487">
            <v>49242</v>
          </cell>
          <cell r="Z1487">
            <v>3.596655429229581E-2</v>
          </cell>
          <cell r="AA1487">
            <v>3.5808867321902582E-2</v>
          </cell>
        </row>
        <row r="1488">
          <cell r="Y1488">
            <v>49249</v>
          </cell>
          <cell r="Z1488">
            <v>3.5953326136635738E-2</v>
          </cell>
          <cell r="AA1488">
            <v>3.5796203753646338E-2</v>
          </cell>
        </row>
        <row r="1489">
          <cell r="Y1489">
            <v>49256</v>
          </cell>
          <cell r="Z1489">
            <v>3.5941033175315877E-2</v>
          </cell>
          <cell r="AA1489">
            <v>3.5783582381893053E-2</v>
          </cell>
        </row>
        <row r="1490">
          <cell r="Y1490">
            <v>49263</v>
          </cell>
          <cell r="Z1490">
            <v>3.5928783231281083E-2</v>
          </cell>
          <cell r="AA1490">
            <v>3.5771003206723773E-2</v>
          </cell>
        </row>
        <row r="1491">
          <cell r="Y1491">
            <v>49270</v>
          </cell>
          <cell r="Z1491">
            <v>3.5916576303762084E-2</v>
          </cell>
          <cell r="AA1491">
            <v>3.5758466227895358E-2</v>
          </cell>
        </row>
        <row r="1492">
          <cell r="Y1492">
            <v>49277</v>
          </cell>
          <cell r="Z1492">
            <v>3.5904412391993192E-2</v>
          </cell>
          <cell r="AA1492">
            <v>3.5745971445731994E-2</v>
          </cell>
        </row>
        <row r="1493">
          <cell r="Y1493">
            <v>49284</v>
          </cell>
          <cell r="Z1493">
            <v>3.5893194949584699E-2</v>
          </cell>
          <cell r="AA1493">
            <v>3.5733518859990543E-2</v>
          </cell>
        </row>
        <row r="1494">
          <cell r="Y1494">
            <v>49291</v>
          </cell>
          <cell r="Z1494">
            <v>3.5881118962595056E-2</v>
          </cell>
          <cell r="AA1494">
            <v>3.572110847075205E-2</v>
          </cell>
        </row>
        <row r="1495">
          <cell r="Y1495">
            <v>49298</v>
          </cell>
          <cell r="Z1495">
            <v>3.58690859936006E-2</v>
          </cell>
          <cell r="AA1495">
            <v>3.5708740278097562E-2</v>
          </cell>
        </row>
        <row r="1496">
          <cell r="Y1496">
            <v>49305</v>
          </cell>
          <cell r="Z1496">
            <v>3.5857096041839405E-2</v>
          </cell>
          <cell r="AA1496">
            <v>3.5696414281702893E-2</v>
          </cell>
        </row>
        <row r="1497">
          <cell r="Y1497">
            <v>49312</v>
          </cell>
          <cell r="Z1497">
            <v>3.5844238042745086E-2</v>
          </cell>
          <cell r="AA1497">
            <v>3.5684130481892229E-2</v>
          </cell>
        </row>
        <row r="1498">
          <cell r="Y1498">
            <v>49319</v>
          </cell>
          <cell r="Z1498">
            <v>3.5832332209523712E-2</v>
          </cell>
          <cell r="AA1498">
            <v>3.5671888878584523E-2</v>
          </cell>
        </row>
        <row r="1499">
          <cell r="Y1499">
            <v>49326</v>
          </cell>
          <cell r="Z1499">
            <v>3.5820469386762054E-2</v>
          </cell>
          <cell r="AA1499">
            <v>3.5659689471860823E-2</v>
          </cell>
        </row>
        <row r="1500">
          <cell r="Y1500">
            <v>49333</v>
          </cell>
          <cell r="Z1500">
            <v>3.5808649573713228E-2</v>
          </cell>
          <cell r="AA1500">
            <v>3.5647532261396941E-2</v>
          </cell>
        </row>
        <row r="1501">
          <cell r="Y1501">
            <v>49340</v>
          </cell>
          <cell r="Z1501">
            <v>3.5796872769636619E-2</v>
          </cell>
          <cell r="AA1501">
            <v>3.5635417247517065E-2</v>
          </cell>
        </row>
        <row r="1502">
          <cell r="Y1502">
            <v>49347</v>
          </cell>
          <cell r="Z1502">
            <v>3.5785138973791174E-2</v>
          </cell>
          <cell r="AA1502">
            <v>3.5623344430059101E-2</v>
          </cell>
        </row>
        <row r="1503">
          <cell r="Y1503">
            <v>49354</v>
          </cell>
          <cell r="Z1503">
            <v>3.5773448185440759E-2</v>
          </cell>
          <cell r="AA1503">
            <v>3.5611313809023049E-2</v>
          </cell>
        </row>
        <row r="1504">
          <cell r="Y1504">
            <v>49361</v>
          </cell>
          <cell r="Z1504">
            <v>3.5761800403851032E-2</v>
          </cell>
          <cell r="AA1504">
            <v>3.5599325384408909E-2</v>
          </cell>
        </row>
        <row r="1505">
          <cell r="Y1505">
            <v>49368</v>
          </cell>
          <cell r="Z1505">
            <v>3.5752975867732691E-2</v>
          </cell>
          <cell r="AA1505">
            <v>3.5587379156378773E-2</v>
          </cell>
        </row>
        <row r="1506">
          <cell r="Y1506">
            <v>49375</v>
          </cell>
          <cell r="Z1506">
            <v>3.5741419948019618E-2</v>
          </cell>
          <cell r="AA1506">
            <v>3.5575475124689504E-2</v>
          </cell>
        </row>
        <row r="1507">
          <cell r="Y1507">
            <v>49382</v>
          </cell>
          <cell r="Z1507">
            <v>3.5729907046323242E-2</v>
          </cell>
          <cell r="AA1507">
            <v>3.5563613289503193E-2</v>
          </cell>
        </row>
        <row r="1508">
          <cell r="Y1508">
            <v>49389</v>
          </cell>
          <cell r="Z1508">
            <v>3.5718437161908416E-2</v>
          </cell>
          <cell r="AA1508">
            <v>3.5551793650738794E-2</v>
          </cell>
        </row>
        <row r="1509">
          <cell r="Y1509">
            <v>49396</v>
          </cell>
          <cell r="Z1509">
            <v>3.5707010294043516E-2</v>
          </cell>
          <cell r="AA1509">
            <v>3.5540016208234215E-2</v>
          </cell>
        </row>
        <row r="1510">
          <cell r="Y1510">
            <v>49403</v>
          </cell>
          <cell r="Z1510">
            <v>3.5694689649880297E-2</v>
          </cell>
          <cell r="AA1510">
            <v>3.5528280962394687E-2</v>
          </cell>
        </row>
        <row r="1511">
          <cell r="Y1511">
            <v>49410</v>
          </cell>
          <cell r="Z1511">
            <v>3.5683346839847314E-2</v>
          </cell>
          <cell r="AA1511">
            <v>3.5516587912814979E-2</v>
          </cell>
        </row>
        <row r="1512">
          <cell r="Y1512">
            <v>49417</v>
          </cell>
          <cell r="Z1512">
            <v>3.5672047039721683E-2</v>
          </cell>
          <cell r="AA1512">
            <v>3.5504937059819275E-2</v>
          </cell>
        </row>
        <row r="1513">
          <cell r="Y1513">
            <v>49424</v>
          </cell>
          <cell r="Z1513">
            <v>3.5660790248787266E-2</v>
          </cell>
          <cell r="AA1513">
            <v>3.5493328403083391E-2</v>
          </cell>
        </row>
        <row r="1514">
          <cell r="Y1514">
            <v>49431</v>
          </cell>
          <cell r="Z1514">
            <v>3.5650521177524278E-2</v>
          </cell>
          <cell r="AA1514">
            <v>3.5481761942769419E-2</v>
          </cell>
        </row>
        <row r="1515">
          <cell r="Y1515">
            <v>49438</v>
          </cell>
          <cell r="Z1515">
            <v>3.563935239373283E-2</v>
          </cell>
          <cell r="AA1515">
            <v>3.5470237678877359E-2</v>
          </cell>
        </row>
        <row r="1516">
          <cell r="Y1516">
            <v>49445</v>
          </cell>
          <cell r="Z1516">
            <v>3.5628226621442216E-2</v>
          </cell>
          <cell r="AA1516">
            <v>3.5458755611407211E-2</v>
          </cell>
        </row>
        <row r="1517">
          <cell r="Y1517">
            <v>49452</v>
          </cell>
          <cell r="Z1517">
            <v>3.5617143859941955E-2</v>
          </cell>
          <cell r="AA1517">
            <v>3.5447315740358976E-2</v>
          </cell>
        </row>
        <row r="1518">
          <cell r="Y1518">
            <v>49459</v>
          </cell>
          <cell r="Z1518">
            <v>3.5606104108525105E-2</v>
          </cell>
          <cell r="AA1518">
            <v>3.5435918065651606E-2</v>
          </cell>
        </row>
        <row r="1519">
          <cell r="Y1519">
            <v>49466</v>
          </cell>
          <cell r="Z1519">
            <v>3.5594152656342387E-2</v>
          </cell>
          <cell r="AA1519">
            <v>3.5424562587366148E-2</v>
          </cell>
        </row>
        <row r="1520">
          <cell r="Y1520">
            <v>49473</v>
          </cell>
          <cell r="Z1520">
            <v>3.5583196909880856E-2</v>
          </cell>
          <cell r="AA1520">
            <v>3.5413249305502603E-2</v>
          </cell>
        </row>
        <row r="1521">
          <cell r="Y1521">
            <v>49480</v>
          </cell>
          <cell r="Z1521">
            <v>3.5572284166967859E-2</v>
          </cell>
          <cell r="AA1521">
            <v>3.5401978219979924E-2</v>
          </cell>
        </row>
        <row r="1522">
          <cell r="Y1522">
            <v>49487</v>
          </cell>
          <cell r="Z1522">
            <v>3.5561414426912068E-2</v>
          </cell>
          <cell r="AA1522">
            <v>3.5390749330717064E-2</v>
          </cell>
        </row>
        <row r="1523">
          <cell r="Y1523">
            <v>49494</v>
          </cell>
          <cell r="Z1523">
            <v>3.5551550478114632E-2</v>
          </cell>
          <cell r="AA1523">
            <v>3.5379562638038209E-2</v>
          </cell>
        </row>
        <row r="1524">
          <cell r="Y1524">
            <v>49501</v>
          </cell>
          <cell r="Z1524">
            <v>3.5540768772491398E-2</v>
          </cell>
          <cell r="AA1524">
            <v>3.5368418141538127E-2</v>
          </cell>
        </row>
        <row r="1525">
          <cell r="Y1525">
            <v>49508</v>
          </cell>
          <cell r="Z1525">
            <v>3.5530030072076016E-2</v>
          </cell>
          <cell r="AA1525">
            <v>3.5357315841459958E-2</v>
          </cell>
        </row>
        <row r="1526">
          <cell r="Y1526">
            <v>49515</v>
          </cell>
          <cell r="Z1526">
            <v>3.5519334376183119E-2</v>
          </cell>
          <cell r="AA1526">
            <v>3.5346255737965793E-2</v>
          </cell>
        </row>
        <row r="1527">
          <cell r="Y1527">
            <v>49522</v>
          </cell>
          <cell r="Z1527">
            <v>3.5508681684128657E-2</v>
          </cell>
          <cell r="AA1527">
            <v>3.5335237830488309E-2</v>
          </cell>
        </row>
        <row r="1528">
          <cell r="Y1528">
            <v>49529</v>
          </cell>
          <cell r="Z1528">
            <v>3.5498071995233436E-2</v>
          </cell>
          <cell r="AA1528">
            <v>3.5324262119594829E-2</v>
          </cell>
        </row>
        <row r="1529">
          <cell r="Y1529">
            <v>49536</v>
          </cell>
          <cell r="Z1529">
            <v>3.548750530882E-2</v>
          </cell>
          <cell r="AA1529">
            <v>3.5313328604880123E-2</v>
          </cell>
        </row>
        <row r="1530">
          <cell r="Y1530">
            <v>49543</v>
          </cell>
          <cell r="Z1530">
            <v>3.5476981624214005E-2</v>
          </cell>
          <cell r="AA1530">
            <v>3.5302437286668376E-2</v>
          </cell>
        </row>
        <row r="1531">
          <cell r="Y1531">
            <v>49550</v>
          </cell>
          <cell r="Z1531">
            <v>3.5466500940743287E-2</v>
          </cell>
          <cell r="AA1531">
            <v>3.5291588164716448E-2</v>
          </cell>
        </row>
        <row r="1532">
          <cell r="Y1532">
            <v>49557</v>
          </cell>
          <cell r="Z1532">
            <v>3.5454101069907588E-2</v>
          </cell>
          <cell r="AA1532">
            <v>3.5280781239186432E-2</v>
          </cell>
        </row>
        <row r="1533">
          <cell r="Y1533">
            <v>49564</v>
          </cell>
          <cell r="Z1533">
            <v>3.5443702246475563E-2</v>
          </cell>
          <cell r="AA1533">
            <v>3.5270016509916235E-2</v>
          </cell>
        </row>
        <row r="1534">
          <cell r="Y1534">
            <v>49571</v>
          </cell>
          <cell r="Z1534">
            <v>3.5433346413417083E-2</v>
          </cell>
          <cell r="AA1534">
            <v>3.5259293976986905E-2</v>
          </cell>
        </row>
        <row r="1535">
          <cell r="Y1535">
            <v>49578</v>
          </cell>
          <cell r="Z1535">
            <v>3.5423033570078429E-2</v>
          </cell>
          <cell r="AA1535">
            <v>3.5248613640398441E-2</v>
          </cell>
        </row>
        <row r="1536">
          <cell r="Y1536">
            <v>49585</v>
          </cell>
          <cell r="Z1536">
            <v>3.5413752984540449E-2</v>
          </cell>
          <cell r="AA1536">
            <v>3.5237975500069796E-2</v>
          </cell>
        </row>
        <row r="1537">
          <cell r="Y1537">
            <v>49592</v>
          </cell>
          <cell r="Z1537">
            <v>3.5403528206044046E-2</v>
          </cell>
          <cell r="AA1537">
            <v>3.5227379556163063E-2</v>
          </cell>
        </row>
        <row r="1538">
          <cell r="Y1538">
            <v>49599</v>
          </cell>
          <cell r="Z1538">
            <v>3.5393346419690358E-2</v>
          </cell>
          <cell r="AA1538">
            <v>3.521682580851615E-2</v>
          </cell>
        </row>
        <row r="1539">
          <cell r="Y1539">
            <v>49606</v>
          </cell>
          <cell r="Z1539">
            <v>3.5383207624832339E-2</v>
          </cell>
          <cell r="AA1539">
            <v>3.5206314257210103E-2</v>
          </cell>
        </row>
        <row r="1540">
          <cell r="Y1540">
            <v>49613</v>
          </cell>
          <cell r="Z1540">
            <v>3.5372114176487432E-2</v>
          </cell>
          <cell r="AA1540">
            <v>3.5195844902163875E-2</v>
          </cell>
        </row>
        <row r="1541">
          <cell r="Y1541">
            <v>49620</v>
          </cell>
          <cell r="Z1541">
            <v>3.5362059257888059E-2</v>
          </cell>
          <cell r="AA1541">
            <v>3.5185417743458514E-2</v>
          </cell>
        </row>
        <row r="1542">
          <cell r="Y1542">
            <v>49627</v>
          </cell>
          <cell r="Z1542">
            <v>3.5352047324508216E-2</v>
          </cell>
          <cell r="AA1542">
            <v>3.5175032781012971E-2</v>
          </cell>
        </row>
        <row r="1543">
          <cell r="Y1543">
            <v>49634</v>
          </cell>
          <cell r="Z1543">
            <v>3.5342078375714236E-2</v>
          </cell>
          <cell r="AA1543">
            <v>3.5164690014989342E-2</v>
          </cell>
        </row>
        <row r="1544">
          <cell r="Y1544">
            <v>49641</v>
          </cell>
          <cell r="Z1544">
            <v>3.5332152410878226E-2</v>
          </cell>
          <cell r="AA1544">
            <v>3.5154389445144485E-2</v>
          </cell>
        </row>
        <row r="1545">
          <cell r="Y1545">
            <v>49648</v>
          </cell>
          <cell r="Z1545">
            <v>3.532327764124072E-2</v>
          </cell>
          <cell r="AA1545">
            <v>3.5144131071640494E-2</v>
          </cell>
        </row>
        <row r="1546">
          <cell r="Y1546">
            <v>49655</v>
          </cell>
          <cell r="Z1546">
            <v>3.5313439768983677E-2</v>
          </cell>
          <cell r="AA1546">
            <v>3.5133914894396323E-2</v>
          </cell>
        </row>
        <row r="1547">
          <cell r="Y1547">
            <v>49662</v>
          </cell>
          <cell r="Z1547">
            <v>3.530364488314916E-2</v>
          </cell>
          <cell r="AA1547">
            <v>3.5123740913411972E-2</v>
          </cell>
        </row>
        <row r="1548">
          <cell r="Y1548">
            <v>49670</v>
          </cell>
          <cell r="Z1548">
            <v>3.5292503363548507E-2</v>
          </cell>
          <cell r="AA1548">
            <v>3.5112165175568144E-2</v>
          </cell>
        </row>
        <row r="1549">
          <cell r="Y1549">
            <v>49677</v>
          </cell>
          <cell r="Z1549">
            <v>3.5281783539333707E-2</v>
          </cell>
          <cell r="AA1549">
            <v>3.5102081615163705E-2</v>
          </cell>
        </row>
        <row r="1550">
          <cell r="Y1550">
            <v>49684</v>
          </cell>
          <cell r="Z1550">
            <v>3.5272121605158233E-2</v>
          </cell>
          <cell r="AA1550">
            <v>3.5092040251100132E-2</v>
          </cell>
        </row>
        <row r="1551">
          <cell r="Y1551">
            <v>49691</v>
          </cell>
          <cell r="Z1551">
            <v>3.5262502650523712E-2</v>
          </cell>
          <cell r="AA1551">
            <v>3.5082041083377424E-2</v>
          </cell>
        </row>
        <row r="1552">
          <cell r="Y1552">
            <v>49698</v>
          </cell>
          <cell r="Z1552">
            <v>3.5252926674821404E-2</v>
          </cell>
          <cell r="AA1552">
            <v>3.5072084111752444E-2</v>
          </cell>
        </row>
        <row r="1553">
          <cell r="Y1553">
            <v>49705</v>
          </cell>
          <cell r="Z1553">
            <v>3.5243393677447922E-2</v>
          </cell>
          <cell r="AA1553">
            <v>3.5062169336549376E-2</v>
          </cell>
        </row>
        <row r="1554">
          <cell r="Y1554">
            <v>49712</v>
          </cell>
          <cell r="Z1554">
            <v>3.5233903657800748E-2</v>
          </cell>
          <cell r="AA1554">
            <v>3.5052296757444035E-2</v>
          </cell>
        </row>
        <row r="1555">
          <cell r="Y1555">
            <v>49719</v>
          </cell>
          <cell r="Z1555">
            <v>3.5224456615281403E-2</v>
          </cell>
          <cell r="AA1555">
            <v>3.5042466374679559E-2</v>
          </cell>
        </row>
        <row r="1556">
          <cell r="Y1556">
            <v>49726</v>
          </cell>
          <cell r="Z1556">
            <v>3.5215052549292719E-2</v>
          </cell>
          <cell r="AA1556">
            <v>3.5032678188174904E-2</v>
          </cell>
        </row>
        <row r="1557">
          <cell r="Y1557">
            <v>49733</v>
          </cell>
          <cell r="Z1557">
            <v>3.520569145924065E-2</v>
          </cell>
          <cell r="AA1557">
            <v>3.5022932197930068E-2</v>
          </cell>
        </row>
        <row r="1558">
          <cell r="Y1558">
            <v>49740</v>
          </cell>
          <cell r="Z1558">
            <v>3.5200521021983872E-2</v>
          </cell>
          <cell r="AA1558">
            <v>3.5013228403864005E-2</v>
          </cell>
        </row>
        <row r="1559">
          <cell r="Y1559">
            <v>49747</v>
          </cell>
          <cell r="Z1559">
            <v>3.5191254618408017E-2</v>
          </cell>
          <cell r="AA1559">
            <v>3.5003566806138808E-2</v>
          </cell>
        </row>
        <row r="1560">
          <cell r="Y1560">
            <v>49754</v>
          </cell>
          <cell r="Z1560">
            <v>3.518203120618825E-2</v>
          </cell>
          <cell r="AA1560">
            <v>3.4993947404592385E-2</v>
          </cell>
        </row>
        <row r="1561">
          <cell r="Y1561">
            <v>49761</v>
          </cell>
          <cell r="Z1561">
            <v>3.5172850784730217E-2</v>
          </cell>
          <cell r="AA1561">
            <v>3.4984370199305781E-2</v>
          </cell>
        </row>
        <row r="1562">
          <cell r="Y1562">
            <v>49768</v>
          </cell>
          <cell r="Z1562">
            <v>3.5160575892283316E-2</v>
          </cell>
          <cell r="AA1562">
            <v>3.4974835190278997E-2</v>
          </cell>
        </row>
        <row r="1563">
          <cell r="Y1563">
            <v>49775</v>
          </cell>
          <cell r="Z1563">
            <v>3.5151474846000196E-2</v>
          </cell>
          <cell r="AA1563">
            <v>3.4969337404328726E-2</v>
          </cell>
        </row>
        <row r="1564">
          <cell r="Y1564">
            <v>49782</v>
          </cell>
          <cell r="Z1564">
            <v>3.5142416775857797E-2</v>
          </cell>
          <cell r="AA1564">
            <v>3.4955891760761748E-2</v>
          </cell>
        </row>
        <row r="1565">
          <cell r="Y1565">
            <v>49789</v>
          </cell>
          <cell r="Z1565">
            <v>3.5133401681281269E-2</v>
          </cell>
          <cell r="AA1565">
            <v>3.494648334035233E-2</v>
          </cell>
        </row>
        <row r="1566">
          <cell r="Y1566">
            <v>49796</v>
          </cell>
          <cell r="Z1566">
            <v>3.5127593518220687E-2</v>
          </cell>
          <cell r="AA1566">
            <v>3.4937117116202732E-2</v>
          </cell>
        </row>
        <row r="1567">
          <cell r="Y1567">
            <v>49803</v>
          </cell>
          <cell r="Z1567">
            <v>3.5118671028987476E-2</v>
          </cell>
          <cell r="AA1567">
            <v>3.4927793088231907E-2</v>
          </cell>
        </row>
        <row r="1568">
          <cell r="Y1568">
            <v>49810</v>
          </cell>
          <cell r="Z1568">
            <v>3.5109791526426647E-2</v>
          </cell>
          <cell r="AA1568">
            <v>3.4918511256601947E-2</v>
          </cell>
        </row>
        <row r="1569">
          <cell r="Y1569">
            <v>49817</v>
          </cell>
          <cell r="Z1569">
            <v>3.5100955009966094E-2</v>
          </cell>
          <cell r="AA1569">
            <v>3.4909271620988669E-2</v>
          </cell>
        </row>
        <row r="1570">
          <cell r="Y1570">
            <v>49824</v>
          </cell>
          <cell r="Z1570">
            <v>3.5088970821953683E-2</v>
          </cell>
          <cell r="AA1570">
            <v>3.490007418163521E-2</v>
          </cell>
        </row>
        <row r="1571">
          <cell r="Y1571">
            <v>49831</v>
          </cell>
          <cell r="Z1571">
            <v>3.5080213568849702E-2</v>
          </cell>
          <cell r="AA1571">
            <v>3.4890918938541571E-2</v>
          </cell>
        </row>
        <row r="1572">
          <cell r="Y1572">
            <v>49838</v>
          </cell>
          <cell r="Z1572">
            <v>3.5071499287363354E-2</v>
          </cell>
          <cell r="AA1572">
            <v>3.4881805891626705E-2</v>
          </cell>
        </row>
        <row r="1573">
          <cell r="Y1573">
            <v>49845</v>
          </cell>
          <cell r="Z1573">
            <v>3.506282797694104E-2</v>
          </cell>
          <cell r="AA1573">
            <v>3.4872735040890612E-2</v>
          </cell>
        </row>
        <row r="1574">
          <cell r="Y1574">
            <v>49852</v>
          </cell>
          <cell r="Z1574">
            <v>3.5057417199306252E-2</v>
          </cell>
          <cell r="AA1574">
            <v>3.4863706386414339E-2</v>
          </cell>
        </row>
        <row r="1575">
          <cell r="Y1575">
            <v>49859</v>
          </cell>
          <cell r="Z1575">
            <v>3.5048838587570554E-2</v>
          </cell>
          <cell r="AA1575">
            <v>3.4854719928035793E-2</v>
          </cell>
        </row>
        <row r="1576">
          <cell r="Y1576">
            <v>49866</v>
          </cell>
          <cell r="Z1576">
            <v>3.5040302958002208E-2</v>
          </cell>
          <cell r="AA1576">
            <v>3.4845775665917067E-2</v>
          </cell>
        </row>
        <row r="1577">
          <cell r="Y1577">
            <v>49873</v>
          </cell>
          <cell r="Z1577">
            <v>3.5031810310049566E-2</v>
          </cell>
          <cell r="AA1577">
            <v>3.4836873599896068E-2</v>
          </cell>
        </row>
        <row r="1578">
          <cell r="Y1578">
            <v>49880</v>
          </cell>
          <cell r="Z1578">
            <v>3.5023360643167106E-2</v>
          </cell>
          <cell r="AA1578">
            <v>3.4828013730215934E-2</v>
          </cell>
        </row>
        <row r="1579">
          <cell r="Y1579">
            <v>49887</v>
          </cell>
          <cell r="Z1579">
            <v>3.5011702476116846E-2</v>
          </cell>
          <cell r="AA1579">
            <v>3.4819196056552482E-2</v>
          </cell>
        </row>
        <row r="1580">
          <cell r="Y1580">
            <v>49894</v>
          </cell>
          <cell r="Z1580">
            <v>3.5006590250428793E-2</v>
          </cell>
          <cell r="AA1580">
            <v>3.4810420579148849E-2</v>
          </cell>
        </row>
        <row r="1581">
          <cell r="Y1581">
            <v>49901</v>
          </cell>
          <cell r="Z1581">
            <v>3.4998269523491034E-2</v>
          </cell>
          <cell r="AA1581">
            <v>3.4801687297842943E-2</v>
          </cell>
        </row>
        <row r="1582">
          <cell r="Y1582">
            <v>49908</v>
          </cell>
          <cell r="Z1582">
            <v>3.4989991775458716E-2</v>
          </cell>
          <cell r="AA1582">
            <v>3.479299621271581E-2</v>
          </cell>
        </row>
        <row r="1583">
          <cell r="Y1583">
            <v>49915</v>
          </cell>
          <cell r="Z1583">
            <v>3.497847816149021E-2</v>
          </cell>
          <cell r="AA1583">
            <v>3.4784347323848497E-2</v>
          </cell>
        </row>
        <row r="1584">
          <cell r="Y1584">
            <v>49922</v>
          </cell>
          <cell r="Z1584">
            <v>3.4968090466277954E-2</v>
          </cell>
          <cell r="AA1584">
            <v>3.4775740631078911E-2</v>
          </cell>
        </row>
        <row r="1585">
          <cell r="Y1585">
            <v>49929</v>
          </cell>
          <cell r="Z1585">
            <v>3.4959930178927824E-2</v>
          </cell>
          <cell r="AA1585">
            <v>3.4767176134488098E-2</v>
          </cell>
        </row>
        <row r="1586">
          <cell r="Y1586">
            <v>49936</v>
          </cell>
          <cell r="Z1586">
            <v>3.4951812847256833E-2</v>
          </cell>
          <cell r="AA1586">
            <v>3.4758653833913966E-2</v>
          </cell>
        </row>
        <row r="1587">
          <cell r="Y1587">
            <v>49943</v>
          </cell>
          <cell r="Z1587">
            <v>3.4943738470754535E-2</v>
          </cell>
          <cell r="AA1587">
            <v>3.4750173729761746E-2</v>
          </cell>
        </row>
        <row r="1588">
          <cell r="Y1588">
            <v>49950</v>
          </cell>
          <cell r="Z1588">
            <v>3.4936810618964531E-2</v>
          </cell>
          <cell r="AA1588">
            <v>3.4741735821545161E-2</v>
          </cell>
        </row>
        <row r="1589">
          <cell r="Y1589">
            <v>49957</v>
          </cell>
          <cell r="Z1589">
            <v>3.492882446165594E-2</v>
          </cell>
          <cell r="AA1589">
            <v>3.4733340109669442E-2</v>
          </cell>
        </row>
        <row r="1590">
          <cell r="Y1590">
            <v>49964</v>
          </cell>
          <cell r="Z1590">
            <v>3.4920881262213765E-2</v>
          </cell>
          <cell r="AA1590">
            <v>3.4724986593729357E-2</v>
          </cell>
        </row>
        <row r="1591">
          <cell r="Y1591">
            <v>49971</v>
          </cell>
          <cell r="Z1591">
            <v>3.4912981020137034E-2</v>
          </cell>
          <cell r="AA1591">
            <v>3.4716675274049091E-2</v>
          </cell>
        </row>
        <row r="1592">
          <cell r="Y1592">
            <v>49978</v>
          </cell>
          <cell r="Z1592">
            <v>3.4905123734926546E-2</v>
          </cell>
          <cell r="AA1592">
            <v>3.4708406150466553E-2</v>
          </cell>
        </row>
        <row r="1593">
          <cell r="Y1593">
            <v>49985</v>
          </cell>
          <cell r="Z1593">
            <v>3.4896194242087064E-2</v>
          </cell>
          <cell r="AA1593">
            <v>3.4700179223062788E-2</v>
          </cell>
        </row>
        <row r="1594">
          <cell r="Y1594">
            <v>49992</v>
          </cell>
          <cell r="Z1594">
            <v>3.4888420537724403E-2</v>
          </cell>
          <cell r="AA1594">
            <v>3.469199449175675E-2</v>
          </cell>
        </row>
        <row r="1595">
          <cell r="Y1595">
            <v>49999</v>
          </cell>
          <cell r="Z1595">
            <v>3.4880689784549314E-2</v>
          </cell>
          <cell r="AA1595">
            <v>3.4683851956548439E-2</v>
          </cell>
        </row>
        <row r="1596">
          <cell r="Y1596">
            <v>50006</v>
          </cell>
          <cell r="Z1596">
            <v>3.4873001982078641E-2</v>
          </cell>
          <cell r="AA1596">
            <v>3.4675751617599948E-2</v>
          </cell>
        </row>
        <row r="1597">
          <cell r="Y1597">
            <v>50013</v>
          </cell>
          <cell r="Z1597">
            <v>3.4866481644609051E-2</v>
          </cell>
          <cell r="AA1597">
            <v>3.4667693474668138E-2</v>
          </cell>
        </row>
        <row r="1598">
          <cell r="Y1598">
            <v>50020</v>
          </cell>
          <cell r="Z1598">
            <v>3.485888209027737E-2</v>
          </cell>
          <cell r="AA1598">
            <v>3.4659677527834054E-2</v>
          </cell>
        </row>
        <row r="1599">
          <cell r="Y1599">
            <v>50027</v>
          </cell>
          <cell r="Z1599">
            <v>3.4851325489396415E-2</v>
          </cell>
          <cell r="AA1599">
            <v>3.4651703777178744E-2</v>
          </cell>
        </row>
        <row r="1600">
          <cell r="Y1600">
            <v>50038</v>
          </cell>
          <cell r="Z1600">
            <v>3.4839537613226987E-2</v>
          </cell>
          <cell r="AA1600">
            <v>3.4639258850959198E-2</v>
          </cell>
        </row>
        <row r="1601">
          <cell r="Y1601">
            <v>50045</v>
          </cell>
          <cell r="Z1601">
            <v>3.4832091461894213E-2</v>
          </cell>
          <cell r="AA1601">
            <v>3.4631393604578342E-2</v>
          </cell>
        </row>
        <row r="1602">
          <cell r="Y1602">
            <v>50052</v>
          </cell>
          <cell r="Z1602">
            <v>3.4824688262322663E-2</v>
          </cell>
          <cell r="AA1602">
            <v>3.462357055437626E-2</v>
          </cell>
        </row>
        <row r="1603">
          <cell r="Y1603">
            <v>50059</v>
          </cell>
          <cell r="Z1603">
            <v>3.4817328014042984E-2</v>
          </cell>
          <cell r="AA1603">
            <v>3.4615789700190858E-2</v>
          </cell>
        </row>
        <row r="1604">
          <cell r="Y1604">
            <v>50066</v>
          </cell>
          <cell r="Z1604">
            <v>3.4810010716591601E-2</v>
          </cell>
          <cell r="AA1604">
            <v>3.4608051042103183E-2</v>
          </cell>
        </row>
        <row r="1605">
          <cell r="Y1605">
            <v>50073</v>
          </cell>
          <cell r="Z1605">
            <v>3.4802736369506745E-2</v>
          </cell>
          <cell r="AA1605">
            <v>3.4600354580194281E-2</v>
          </cell>
        </row>
        <row r="1606">
          <cell r="Y1606">
            <v>50080</v>
          </cell>
          <cell r="Z1606">
            <v>3.4795504972328396E-2</v>
          </cell>
          <cell r="AA1606">
            <v>3.4592700314221014E-2</v>
          </cell>
        </row>
        <row r="1607">
          <cell r="Y1607">
            <v>50087</v>
          </cell>
          <cell r="Z1607">
            <v>3.4788316524601452E-2</v>
          </cell>
          <cell r="AA1607">
            <v>3.4585088244588613E-2</v>
          </cell>
        </row>
        <row r="1608">
          <cell r="Y1608">
            <v>50094</v>
          </cell>
          <cell r="Z1608">
            <v>3.4781171025870812E-2</v>
          </cell>
          <cell r="AA1608">
            <v>3.4577518370891847E-2</v>
          </cell>
        </row>
        <row r="1609">
          <cell r="Y1609">
            <v>50101</v>
          </cell>
          <cell r="Z1609">
            <v>3.4776378061944085E-2</v>
          </cell>
          <cell r="AA1609">
            <v>3.4569990693373853E-2</v>
          </cell>
        </row>
        <row r="1610">
          <cell r="Y1610">
            <v>50108</v>
          </cell>
          <cell r="Z1610">
            <v>3.4769323262746898E-2</v>
          </cell>
          <cell r="AA1610">
            <v>3.4562505211872541E-2</v>
          </cell>
        </row>
        <row r="1611">
          <cell r="Y1611">
            <v>50115</v>
          </cell>
          <cell r="Z1611">
            <v>3.4762311419517536E-2</v>
          </cell>
          <cell r="AA1611">
            <v>3.4555061926550001E-2</v>
          </cell>
        </row>
        <row r="1612">
          <cell r="Y1612">
            <v>50122</v>
          </cell>
          <cell r="Z1612">
            <v>3.4755342531807613E-2</v>
          </cell>
          <cell r="AA1612">
            <v>3.4547660837163097E-2</v>
          </cell>
        </row>
        <row r="1613">
          <cell r="Y1613">
            <v>50129</v>
          </cell>
          <cell r="Z1613">
            <v>3.4748416599172702E-2</v>
          </cell>
          <cell r="AA1613">
            <v>3.4540301943873919E-2</v>
          </cell>
        </row>
        <row r="1614">
          <cell r="Y1614">
            <v>50137</v>
          </cell>
          <cell r="Z1614">
            <v>3.4739386504509931E-2</v>
          </cell>
          <cell r="AA1614">
            <v>3.4531943448936619E-2</v>
          </cell>
        </row>
        <row r="1615">
          <cell r="Y1615">
            <v>50144</v>
          </cell>
          <cell r="Z1615">
            <v>3.4732550193908994E-2</v>
          </cell>
          <cell r="AA1615">
            <v>3.4524674975822123E-2</v>
          </cell>
        </row>
        <row r="1616">
          <cell r="Y1616">
            <v>50151</v>
          </cell>
          <cell r="Z1616">
            <v>3.4725756832856738E-2</v>
          </cell>
          <cell r="AA1616">
            <v>3.4517448698886399E-2</v>
          </cell>
        </row>
        <row r="1617">
          <cell r="Y1617">
            <v>50158</v>
          </cell>
          <cell r="Z1617">
            <v>3.4719006420922689E-2</v>
          </cell>
          <cell r="AA1617">
            <v>3.4510264617967357E-2</v>
          </cell>
        </row>
        <row r="1618">
          <cell r="Y1618">
            <v>50165</v>
          </cell>
          <cell r="Z1618">
            <v>3.47134760153942E-2</v>
          </cell>
          <cell r="AA1618">
            <v>3.4503122733064995E-2</v>
          </cell>
        </row>
        <row r="1619">
          <cell r="Y1619">
            <v>50172</v>
          </cell>
          <cell r="Z1619">
            <v>3.4706813940055307E-2</v>
          </cell>
          <cell r="AA1619">
            <v>3.4496023044341406E-2</v>
          </cell>
        </row>
        <row r="1620">
          <cell r="Y1620">
            <v>50179</v>
          </cell>
          <cell r="Z1620">
            <v>3.470019481669448E-2</v>
          </cell>
          <cell r="AA1620">
            <v>3.4488965551553452E-2</v>
          </cell>
        </row>
        <row r="1621">
          <cell r="Y1621">
            <v>50186</v>
          </cell>
          <cell r="Z1621">
            <v>3.4693618644888874E-2</v>
          </cell>
          <cell r="AA1621">
            <v>3.4481950254944271E-2</v>
          </cell>
        </row>
        <row r="1622">
          <cell r="Y1622">
            <v>50193</v>
          </cell>
          <cell r="Z1622">
            <v>3.4685898583114404E-2</v>
          </cell>
          <cell r="AA1622">
            <v>3.4474977154351771E-2</v>
          </cell>
        </row>
        <row r="1623">
          <cell r="Y1623">
            <v>50200</v>
          </cell>
          <cell r="Z1623">
            <v>3.4679405856983377E-2</v>
          </cell>
          <cell r="AA1623">
            <v>3.4468046249775952E-2</v>
          </cell>
        </row>
        <row r="1624">
          <cell r="Y1624">
            <v>50207</v>
          </cell>
          <cell r="Z1624">
            <v>3.4672956077028534E-2</v>
          </cell>
          <cell r="AA1624">
            <v>3.4461157541216814E-2</v>
          </cell>
        </row>
        <row r="1625">
          <cell r="Y1625">
            <v>50214</v>
          </cell>
          <cell r="Z1625">
            <v>3.4666549242839767E-2</v>
          </cell>
          <cell r="AA1625">
            <v>3.4454311028836448E-2</v>
          </cell>
        </row>
        <row r="1626">
          <cell r="Y1626">
            <v>50221</v>
          </cell>
          <cell r="Z1626">
            <v>3.4661382044602958E-2</v>
          </cell>
          <cell r="AA1626">
            <v>3.4447506712472764E-2</v>
          </cell>
        </row>
        <row r="1627">
          <cell r="Y1627">
            <v>50228</v>
          </cell>
          <cell r="Z1627">
            <v>3.4655063573413095E-2</v>
          </cell>
          <cell r="AA1627">
            <v>3.4440744592044714E-2</v>
          </cell>
        </row>
        <row r="1628">
          <cell r="Y1628">
            <v>50235</v>
          </cell>
          <cell r="Z1628">
            <v>3.4648788050900423E-2</v>
          </cell>
          <cell r="AA1628">
            <v>3.4434024667795438E-2</v>
          </cell>
        </row>
        <row r="1629">
          <cell r="Y1629">
            <v>50242</v>
          </cell>
          <cell r="Z1629">
            <v>3.4642555476660598E-2</v>
          </cell>
          <cell r="AA1629">
            <v>3.4427346939481795E-2</v>
          </cell>
        </row>
        <row r="1630">
          <cell r="Y1630">
            <v>50249</v>
          </cell>
          <cell r="Z1630">
            <v>3.4636365850299389E-2</v>
          </cell>
          <cell r="AA1630">
            <v>3.442071140726588E-2</v>
          </cell>
        </row>
        <row r="1631">
          <cell r="Y1631">
            <v>50256</v>
          </cell>
          <cell r="Z1631">
            <v>3.4630219171419944E-2</v>
          </cell>
          <cell r="AA1631">
            <v>3.4414118071147692E-2</v>
          </cell>
        </row>
        <row r="1632">
          <cell r="Y1632">
            <v>50263</v>
          </cell>
          <cell r="Z1632">
            <v>3.4624115439629802E-2</v>
          </cell>
          <cell r="AA1632">
            <v>3.4407566931046185E-2</v>
          </cell>
        </row>
        <row r="1633">
          <cell r="Y1633">
            <v>50270</v>
          </cell>
          <cell r="Z1633">
            <v>3.4618054654540029E-2</v>
          </cell>
          <cell r="AA1633">
            <v>3.4401057986880312E-2</v>
          </cell>
        </row>
        <row r="1634">
          <cell r="Y1634">
            <v>50277</v>
          </cell>
          <cell r="Z1634">
            <v>3.4612036815764337E-2</v>
          </cell>
          <cell r="AA1634">
            <v>3.4394591238812167E-2</v>
          </cell>
        </row>
        <row r="1635">
          <cell r="Y1635">
            <v>50284</v>
          </cell>
          <cell r="Z1635">
            <v>3.4602405594941842E-2</v>
          </cell>
          <cell r="AA1635">
            <v>3.4388166686679655E-2</v>
          </cell>
        </row>
        <row r="1636">
          <cell r="Y1636">
            <v>50291</v>
          </cell>
          <cell r="Z1636">
            <v>3.4596466120147204E-2</v>
          </cell>
          <cell r="AA1636">
            <v>3.4381784330644871E-2</v>
          </cell>
        </row>
        <row r="1637">
          <cell r="Y1637">
            <v>50298</v>
          </cell>
          <cell r="Z1637">
            <v>3.4590569578212479E-2</v>
          </cell>
          <cell r="AA1637">
            <v>3.4375444170626768E-2</v>
          </cell>
        </row>
        <row r="1638">
          <cell r="Y1638">
            <v>50305</v>
          </cell>
          <cell r="Z1638">
            <v>3.4584715968768255E-2</v>
          </cell>
          <cell r="AA1638">
            <v>3.4369146206706391E-2</v>
          </cell>
        </row>
        <row r="1639">
          <cell r="Y1639">
            <v>50312</v>
          </cell>
          <cell r="Z1639">
            <v>3.4578905291446471E-2</v>
          </cell>
          <cell r="AA1639">
            <v>3.4362890438640603E-2</v>
          </cell>
        </row>
        <row r="1640">
          <cell r="Y1640">
            <v>50319</v>
          </cell>
          <cell r="Z1640">
            <v>3.4574368589121982E-2</v>
          </cell>
          <cell r="AA1640">
            <v>3.4356676866753588E-2</v>
          </cell>
        </row>
        <row r="1641">
          <cell r="Y1641">
            <v>50326</v>
          </cell>
          <cell r="Z1641">
            <v>3.456864630408088E-2</v>
          </cell>
          <cell r="AA1641">
            <v>3.4350505490802208E-2</v>
          </cell>
        </row>
        <row r="1642">
          <cell r="Y1642">
            <v>50333</v>
          </cell>
          <cell r="Z1642">
            <v>3.4562966954170486E-2</v>
          </cell>
          <cell r="AA1642">
            <v>3.4344376310948554E-2</v>
          </cell>
        </row>
        <row r="1643">
          <cell r="Y1643">
            <v>50340</v>
          </cell>
          <cell r="Z1643">
            <v>3.4557330539031428E-2</v>
          </cell>
          <cell r="AA1643">
            <v>3.4338289327030536E-2</v>
          </cell>
        </row>
        <row r="1644">
          <cell r="Y1644">
            <v>50347</v>
          </cell>
          <cell r="Z1644">
            <v>3.4551737058307476E-2</v>
          </cell>
          <cell r="AA1644">
            <v>3.4332244539048151E-2</v>
          </cell>
        </row>
        <row r="1645">
          <cell r="Y1645">
            <v>50354</v>
          </cell>
          <cell r="Z1645">
            <v>3.4544942781854916E-2</v>
          </cell>
          <cell r="AA1645">
            <v>3.4326241947163494E-2</v>
          </cell>
        </row>
        <row r="1646">
          <cell r="Y1646">
            <v>50361</v>
          </cell>
          <cell r="Z1646">
            <v>3.45394326193297E-2</v>
          </cell>
          <cell r="AA1646">
            <v>3.4320281551214471E-2</v>
          </cell>
        </row>
        <row r="1647">
          <cell r="Y1647">
            <v>50368</v>
          </cell>
          <cell r="Z1647">
            <v>3.4533965386084033E-2</v>
          </cell>
          <cell r="AA1647">
            <v>3.4314363351363175E-2</v>
          </cell>
        </row>
        <row r="1648">
          <cell r="Y1648">
            <v>50375</v>
          </cell>
          <cell r="Z1648">
            <v>3.4529792472552535E-2</v>
          </cell>
          <cell r="AA1648">
            <v>3.4308487347447514E-2</v>
          </cell>
        </row>
        <row r="1649">
          <cell r="Y1649">
            <v>50382</v>
          </cell>
          <cell r="Z1649">
            <v>3.4524413658666771E-2</v>
          </cell>
          <cell r="AA1649">
            <v>3.4302653539548533E-2</v>
          </cell>
        </row>
        <row r="1650">
          <cell r="Y1650">
            <v>50389</v>
          </cell>
          <cell r="Z1650">
            <v>3.4519077777119184E-2</v>
          </cell>
          <cell r="AA1650">
            <v>3.4296861927666233E-2</v>
          </cell>
        </row>
        <row r="1651">
          <cell r="Y1651">
            <v>50396</v>
          </cell>
          <cell r="Z1651">
            <v>3.4513784827572662E-2</v>
          </cell>
          <cell r="AA1651">
            <v>3.4291112511719568E-2</v>
          </cell>
        </row>
        <row r="1652">
          <cell r="Y1652">
            <v>50403</v>
          </cell>
          <cell r="Z1652">
            <v>3.4508534809694576E-2</v>
          </cell>
          <cell r="AA1652">
            <v>3.428540529187063E-2</v>
          </cell>
        </row>
        <row r="1653">
          <cell r="Y1653">
            <v>50410</v>
          </cell>
          <cell r="Z1653">
            <v>3.4502063482460196E-2</v>
          </cell>
          <cell r="AA1653">
            <v>3.427974026787628E-2</v>
          </cell>
        </row>
        <row r="1654">
          <cell r="Y1654">
            <v>50417</v>
          </cell>
          <cell r="Z1654">
            <v>3.4496896744716711E-2</v>
          </cell>
          <cell r="AA1654">
            <v>3.4274117439979657E-2</v>
          </cell>
        </row>
        <row r="1655">
          <cell r="Y1655">
            <v>50424</v>
          </cell>
          <cell r="Z1655">
            <v>3.4491772933582278E-2</v>
          </cell>
          <cell r="AA1655">
            <v>3.4268536808018668E-2</v>
          </cell>
        </row>
        <row r="1656">
          <cell r="Y1656">
            <v>50431</v>
          </cell>
          <cell r="Z1656">
            <v>3.4486692048735848E-2</v>
          </cell>
          <cell r="AA1656">
            <v>3.426299837207436E-2</v>
          </cell>
        </row>
        <row r="1657">
          <cell r="Y1657">
            <v>50438</v>
          </cell>
          <cell r="Z1657">
            <v>3.4481654089858607E-2</v>
          </cell>
          <cell r="AA1657">
            <v>3.4257502132065687E-2</v>
          </cell>
        </row>
        <row r="1658">
          <cell r="Y1658">
            <v>50445</v>
          </cell>
          <cell r="Z1658">
            <v>3.447665905663487E-2</v>
          </cell>
          <cell r="AA1658">
            <v>3.4252048088073694E-2</v>
          </cell>
        </row>
        <row r="1659">
          <cell r="Y1659">
            <v>50452</v>
          </cell>
          <cell r="Z1659">
            <v>3.4471706948750763E-2</v>
          </cell>
          <cell r="AA1659">
            <v>3.4246636240098383E-2</v>
          </cell>
        </row>
        <row r="1660">
          <cell r="Y1660">
            <v>50459</v>
          </cell>
          <cell r="Z1660">
            <v>3.4466797765894626E-2</v>
          </cell>
          <cell r="AA1660">
            <v>3.4241266587977659E-2</v>
          </cell>
        </row>
        <row r="1661">
          <cell r="Y1661">
            <v>50466</v>
          </cell>
          <cell r="Z1661">
            <v>3.4465787537171735E-2</v>
          </cell>
          <cell r="AA1661">
            <v>3.4235939131954662E-2</v>
          </cell>
        </row>
        <row r="1662">
          <cell r="Y1662">
            <v>50473</v>
          </cell>
          <cell r="Z1662">
            <v>3.4460972049271663E-2</v>
          </cell>
          <cell r="AA1662">
            <v>3.42306538718673E-2</v>
          </cell>
        </row>
        <row r="1663">
          <cell r="Y1663">
            <v>50480</v>
          </cell>
          <cell r="Z1663">
            <v>3.4456199497661474E-2</v>
          </cell>
          <cell r="AA1663">
            <v>3.4225410807796619E-2</v>
          </cell>
        </row>
        <row r="1664">
          <cell r="Y1664">
            <v>50487</v>
          </cell>
          <cell r="Z1664">
            <v>3.4451469882035492E-2</v>
          </cell>
          <cell r="AA1664">
            <v>3.422020993949948E-2</v>
          </cell>
        </row>
        <row r="1665">
          <cell r="Y1665">
            <v>50494</v>
          </cell>
          <cell r="Z1665">
            <v>3.4446783202091991E-2</v>
          </cell>
          <cell r="AA1665">
            <v>3.4215051267381114E-2</v>
          </cell>
        </row>
        <row r="1666">
          <cell r="Y1666">
            <v>50501</v>
          </cell>
          <cell r="Z1666">
            <v>3.4440840663857338E-2</v>
          </cell>
          <cell r="AA1666">
            <v>3.4209934791117336E-2</v>
          </cell>
        </row>
        <row r="1667">
          <cell r="Y1667">
            <v>50508</v>
          </cell>
          <cell r="Z1667">
            <v>3.4436237218292032E-2</v>
          </cell>
          <cell r="AA1667">
            <v>3.4204860510870239E-2</v>
          </cell>
        </row>
        <row r="1668">
          <cell r="Y1668">
            <v>50515</v>
          </cell>
          <cell r="Z1668">
            <v>3.4431676703468694E-2</v>
          </cell>
          <cell r="AA1668">
            <v>3.4199828426558776E-2</v>
          </cell>
        </row>
        <row r="1669">
          <cell r="Y1669">
            <v>50522</v>
          </cell>
          <cell r="Z1669">
            <v>3.4427159119098112E-2</v>
          </cell>
          <cell r="AA1669">
            <v>3.4194838538182948E-2</v>
          </cell>
        </row>
        <row r="1670">
          <cell r="Y1670">
            <v>50529</v>
          </cell>
          <cell r="Z1670">
            <v>3.442399382725006E-2</v>
          </cell>
          <cell r="AA1670">
            <v>3.4189890845904847E-2</v>
          </cell>
        </row>
        <row r="1671">
          <cell r="Y1671">
            <v>50536</v>
          </cell>
          <cell r="Z1671">
            <v>3.4419564755219886E-2</v>
          </cell>
          <cell r="AA1671">
            <v>3.4184985349400288E-2</v>
          </cell>
        </row>
        <row r="1672">
          <cell r="Y1672">
            <v>50543</v>
          </cell>
          <cell r="Z1672">
            <v>3.4415178616836788E-2</v>
          </cell>
          <cell r="AA1672">
            <v>3.4180122048993455E-2</v>
          </cell>
        </row>
        <row r="1673">
          <cell r="Y1673">
            <v>50550</v>
          </cell>
          <cell r="Z1673">
            <v>3.4410835411820627E-2</v>
          </cell>
          <cell r="AA1673">
            <v>3.4175300944360165E-2</v>
          </cell>
        </row>
        <row r="1674">
          <cell r="Y1674">
            <v>50557</v>
          </cell>
          <cell r="Z1674">
            <v>3.4405215144094101E-2</v>
          </cell>
          <cell r="AA1674">
            <v>3.4170522035824602E-2</v>
          </cell>
        </row>
        <row r="1675">
          <cell r="Y1675">
            <v>50564</v>
          </cell>
          <cell r="Z1675">
            <v>3.4400955136513534E-2</v>
          </cell>
          <cell r="AA1675">
            <v>3.416578532330572E-2</v>
          </cell>
        </row>
        <row r="1676">
          <cell r="Y1676">
            <v>50571</v>
          </cell>
          <cell r="Z1676">
            <v>3.4396738057434866E-2</v>
          </cell>
          <cell r="AA1676">
            <v>3.4161090806641425E-2</v>
          </cell>
        </row>
        <row r="1677">
          <cell r="Y1677">
            <v>50578</v>
          </cell>
          <cell r="Z1677">
            <v>3.4392563906592809E-2</v>
          </cell>
          <cell r="AA1677">
            <v>3.4156438485912766E-2</v>
          </cell>
        </row>
        <row r="1678">
          <cell r="Y1678">
            <v>50585</v>
          </cell>
          <cell r="Z1678">
            <v>3.4388432683719418E-2</v>
          </cell>
          <cell r="AA1678">
            <v>3.4151828361038694E-2</v>
          </cell>
        </row>
        <row r="1679">
          <cell r="Y1679">
            <v>50592</v>
          </cell>
          <cell r="Z1679">
            <v>3.4385677767104023E-2</v>
          </cell>
          <cell r="AA1679">
            <v>3.414726043226235E-2</v>
          </cell>
        </row>
        <row r="1680">
          <cell r="Y1680">
            <v>50599</v>
          </cell>
          <cell r="Z1680">
            <v>3.4381635088051261E-2</v>
          </cell>
          <cell r="AA1680">
            <v>3.414273469942164E-2</v>
          </cell>
        </row>
        <row r="1681">
          <cell r="Y1681">
            <v>50606</v>
          </cell>
          <cell r="Z1681">
            <v>3.4377635340224311E-2</v>
          </cell>
          <cell r="AA1681">
            <v>3.4138251162435518E-2</v>
          </cell>
        </row>
        <row r="1682">
          <cell r="Y1682">
            <v>50613</v>
          </cell>
          <cell r="Z1682">
            <v>3.4373678523368589E-2</v>
          </cell>
          <cell r="AA1682">
            <v>3.4133809821385031E-2</v>
          </cell>
        </row>
        <row r="1683">
          <cell r="Y1683">
            <v>50620</v>
          </cell>
          <cell r="Z1683">
            <v>3.4369764637231702E-2</v>
          </cell>
          <cell r="AA1683">
            <v>3.4129410676351224E-2</v>
          </cell>
        </row>
        <row r="1684">
          <cell r="Y1684">
            <v>50627</v>
          </cell>
          <cell r="Z1684">
            <v>3.4365893681564341E-2</v>
          </cell>
          <cell r="AA1684">
            <v>3.4125053727253052E-2</v>
          </cell>
        </row>
        <row r="1685">
          <cell r="Y1685">
            <v>50634</v>
          </cell>
          <cell r="Z1685">
            <v>3.4362065656118969E-2</v>
          </cell>
          <cell r="AA1685">
            <v>3.4120738974009468E-2</v>
          </cell>
        </row>
        <row r="1686">
          <cell r="Y1686">
            <v>50641</v>
          </cell>
          <cell r="Z1686">
            <v>3.4358280560651121E-2</v>
          </cell>
          <cell r="AA1686">
            <v>3.4116466416701519E-2</v>
          </cell>
        </row>
        <row r="1687">
          <cell r="Y1687">
            <v>50648</v>
          </cell>
          <cell r="Z1687">
            <v>3.4350474427552957E-2</v>
          </cell>
          <cell r="AA1687">
            <v>3.411223605541025E-2</v>
          </cell>
        </row>
        <row r="1688">
          <cell r="Y1688">
            <v>50655</v>
          </cell>
          <cell r="Z1688">
            <v>3.4346767030228327E-2</v>
          </cell>
          <cell r="AA1688">
            <v>3.4108047890054616E-2</v>
          </cell>
        </row>
        <row r="1689">
          <cell r="Y1689">
            <v>50662</v>
          </cell>
          <cell r="Z1689">
            <v>3.4343102550089884E-2</v>
          </cell>
          <cell r="AA1689">
            <v>3.410390192055357E-2</v>
          </cell>
        </row>
        <row r="1690">
          <cell r="Y1690">
            <v>50669</v>
          </cell>
          <cell r="Z1690">
            <v>3.4339480986907478E-2</v>
          </cell>
          <cell r="AA1690">
            <v>3.4099798146988158E-2</v>
          </cell>
        </row>
        <row r="1691">
          <cell r="Y1691">
            <v>50676</v>
          </cell>
          <cell r="Z1691">
            <v>3.43359023404523E-2</v>
          </cell>
          <cell r="AA1691">
            <v>3.4095736569358381E-2</v>
          </cell>
        </row>
        <row r="1692">
          <cell r="Y1692">
            <v>50683</v>
          </cell>
          <cell r="Z1692">
            <v>3.4333734560690755E-2</v>
          </cell>
          <cell r="AA1692">
            <v>3.4091717187664239E-2</v>
          </cell>
        </row>
        <row r="1693">
          <cell r="Y1693">
            <v>50690</v>
          </cell>
          <cell r="Z1693">
            <v>3.4330244486955992E-2</v>
          </cell>
          <cell r="AA1693">
            <v>3.4087740001824685E-2</v>
          </cell>
        </row>
        <row r="1694">
          <cell r="Y1694">
            <v>50697</v>
          </cell>
          <cell r="Z1694">
            <v>3.4326797333303592E-2</v>
          </cell>
          <cell r="AA1694">
            <v>3.4083805012001811E-2</v>
          </cell>
        </row>
        <row r="1695">
          <cell r="Y1695">
            <v>50704</v>
          </cell>
          <cell r="Z1695">
            <v>3.4323393099516257E-2</v>
          </cell>
          <cell r="AA1695">
            <v>3.4079912218033526E-2</v>
          </cell>
        </row>
        <row r="1696">
          <cell r="Y1696">
            <v>50711</v>
          </cell>
          <cell r="Z1696">
            <v>3.4320031785378451E-2</v>
          </cell>
          <cell r="AA1696">
            <v>3.4076061620081921E-2</v>
          </cell>
        </row>
        <row r="1697">
          <cell r="Y1697">
            <v>50718</v>
          </cell>
          <cell r="Z1697">
            <v>3.4315331700633611E-2</v>
          </cell>
          <cell r="AA1697">
            <v>3.4072253217984905E-2</v>
          </cell>
        </row>
        <row r="1698">
          <cell r="Y1698">
            <v>50725</v>
          </cell>
          <cell r="Z1698">
            <v>3.4312053465139492E-2</v>
          </cell>
          <cell r="AA1698">
            <v>3.4068487011742477E-2</v>
          </cell>
        </row>
        <row r="1699">
          <cell r="Y1699">
            <v>50732</v>
          </cell>
          <cell r="Z1699">
            <v>3.4308818144652267E-2</v>
          </cell>
          <cell r="AA1699">
            <v>3.4064763001516729E-2</v>
          </cell>
        </row>
        <row r="1700">
          <cell r="Y1700">
            <v>50739</v>
          </cell>
          <cell r="Z1700">
            <v>3.4307015721123289E-2</v>
          </cell>
          <cell r="AA1700">
            <v>3.406108118714557E-2</v>
          </cell>
        </row>
        <row r="1701">
          <cell r="Y1701">
            <v>50746</v>
          </cell>
          <cell r="Z1701">
            <v>3.4303869002106177E-2</v>
          </cell>
          <cell r="AA1701">
            <v>3.4057441568710045E-2</v>
          </cell>
        </row>
        <row r="1702">
          <cell r="Y1702">
            <v>50753</v>
          </cell>
          <cell r="Z1702">
            <v>3.4300765201507322E-2</v>
          </cell>
          <cell r="AA1702">
            <v>3.4053844146129109E-2</v>
          </cell>
        </row>
        <row r="1703">
          <cell r="Y1703">
            <v>50760</v>
          </cell>
          <cell r="Z1703">
            <v>3.4297704319129894E-2</v>
          </cell>
          <cell r="AA1703">
            <v>3.4050288919645899E-2</v>
          </cell>
        </row>
        <row r="1704">
          <cell r="Y1704">
            <v>50768</v>
          </cell>
          <cell r="Z1704">
            <v>3.4294258709400241E-2</v>
          </cell>
          <cell r="AA1704">
            <v>3.4046277471896369E-2</v>
          </cell>
        </row>
        <row r="1705">
          <cell r="Y1705">
            <v>50775</v>
          </cell>
          <cell r="Z1705">
            <v>3.4289884808516587E-2</v>
          </cell>
          <cell r="AA1705">
            <v>3.4042812665020517E-2</v>
          </cell>
        </row>
        <row r="1706">
          <cell r="Y1706">
            <v>50782</v>
          </cell>
          <cell r="Z1706">
            <v>3.428695201776364E-2</v>
          </cell>
          <cell r="AA1706">
            <v>3.4039390054242391E-2</v>
          </cell>
        </row>
        <row r="1707">
          <cell r="Y1707">
            <v>50789</v>
          </cell>
          <cell r="Z1707">
            <v>3.4284055978653014E-2</v>
          </cell>
          <cell r="AA1707">
            <v>3.4036009639156761E-2</v>
          </cell>
        </row>
        <row r="1708">
          <cell r="Y1708">
            <v>50796</v>
          </cell>
          <cell r="Z1708">
            <v>3.4281193815527883E-2</v>
          </cell>
          <cell r="AA1708">
            <v>3.4032671420006766E-2</v>
          </cell>
        </row>
        <row r="1709">
          <cell r="Y1709">
            <v>50803</v>
          </cell>
          <cell r="Z1709">
            <v>3.427836265274755E-2</v>
          </cell>
          <cell r="AA1709">
            <v>3.4029375396873451E-2</v>
          </cell>
        </row>
        <row r="1710">
          <cell r="Y1710">
            <v>50810</v>
          </cell>
          <cell r="Z1710">
            <v>3.4275559614689664E-2</v>
          </cell>
          <cell r="AA1710">
            <v>3.4026121569513679E-2</v>
          </cell>
        </row>
        <row r="1711">
          <cell r="Y1711">
            <v>50817</v>
          </cell>
          <cell r="Z1711">
            <v>3.4272781825747563E-2</v>
          </cell>
          <cell r="AA1711">
            <v>3.4022909938170587E-2</v>
          </cell>
        </row>
        <row r="1712">
          <cell r="Y1712">
            <v>50824</v>
          </cell>
          <cell r="Z1712">
            <v>3.4270026410332485E-2</v>
          </cell>
          <cell r="AA1712">
            <v>3.4019740502682083E-2</v>
          </cell>
        </row>
        <row r="1713">
          <cell r="Y1713">
            <v>50831</v>
          </cell>
          <cell r="Z1713">
            <v>3.4271524552078478E-2</v>
          </cell>
          <cell r="AA1713">
            <v>3.4016613263129214E-2</v>
          </cell>
        </row>
        <row r="1714">
          <cell r="Y1714">
            <v>50838</v>
          </cell>
          <cell r="Z1714">
            <v>3.426880392510754E-2</v>
          </cell>
          <cell r="AA1714">
            <v>3.4013528219349887E-2</v>
          </cell>
        </row>
        <row r="1715">
          <cell r="Y1715">
            <v>50845</v>
          </cell>
          <cell r="Z1715">
            <v>3.4266096311954181E-2</v>
          </cell>
          <cell r="AA1715">
            <v>3.401048537158724E-2</v>
          </cell>
        </row>
        <row r="1716">
          <cell r="Y1716">
            <v>50852</v>
          </cell>
          <cell r="Z1716">
            <v>3.4263398883187468E-2</v>
          </cell>
          <cell r="AA1716">
            <v>3.4007484719598136E-2</v>
          </cell>
        </row>
        <row r="1717">
          <cell r="Y1717">
            <v>50859</v>
          </cell>
          <cell r="Z1717">
            <v>3.4260708809392755E-2</v>
          </cell>
          <cell r="AA1717">
            <v>3.4004526263544665E-2</v>
          </cell>
        </row>
        <row r="1718">
          <cell r="Y1718">
            <v>50866</v>
          </cell>
          <cell r="Z1718">
            <v>3.42566165222511E-2</v>
          </cell>
          <cell r="AA1718">
            <v>3.400161000342683E-2</v>
          </cell>
        </row>
        <row r="1719">
          <cell r="Y1719">
            <v>50873</v>
          </cell>
          <cell r="Z1719">
            <v>3.4253934193266063E-2</v>
          </cell>
          <cell r="AA1719">
            <v>3.3998735939244629E-2</v>
          </cell>
        </row>
        <row r="1720">
          <cell r="Y1720">
            <v>50880</v>
          </cell>
          <cell r="Z1720">
            <v>3.4251250896819622E-2</v>
          </cell>
          <cell r="AA1720">
            <v>3.3995904070835969E-2</v>
          </cell>
        </row>
        <row r="1721">
          <cell r="Y1721">
            <v>50887</v>
          </cell>
          <cell r="Z1721">
            <v>3.4248563788360026E-2</v>
          </cell>
          <cell r="AA1721">
            <v>3.3993114398362945E-2</v>
          </cell>
        </row>
        <row r="1722">
          <cell r="Y1722">
            <v>50894</v>
          </cell>
          <cell r="Z1722">
            <v>3.4247269736536183E-2</v>
          </cell>
          <cell r="AA1722">
            <v>3.3990366921906601E-2</v>
          </cell>
        </row>
        <row r="1723">
          <cell r="Y1723">
            <v>50901</v>
          </cell>
          <cell r="Z1723">
            <v>3.4244564375706096E-2</v>
          </cell>
          <cell r="AA1723">
            <v>3.3987661641142752E-2</v>
          </cell>
        </row>
        <row r="1724">
          <cell r="Y1724">
            <v>50908</v>
          </cell>
          <cell r="Z1724">
            <v>3.4241846564365762E-2</v>
          </cell>
          <cell r="AA1724">
            <v>3.3984998556395585E-2</v>
          </cell>
        </row>
        <row r="1725">
          <cell r="Y1725">
            <v>50915</v>
          </cell>
          <cell r="Z1725">
            <v>3.4239113473222553E-2</v>
          </cell>
          <cell r="AA1725">
            <v>3.3982377667421959E-2</v>
          </cell>
        </row>
        <row r="1726">
          <cell r="Y1726">
            <v>50922</v>
          </cell>
          <cell r="Z1726">
            <v>3.4234971507607778E-2</v>
          </cell>
          <cell r="AA1726">
            <v>3.3979798974465014E-2</v>
          </cell>
        </row>
        <row r="1727">
          <cell r="Y1727">
            <v>50929</v>
          </cell>
          <cell r="Z1727">
            <v>3.4232201792331433E-2</v>
          </cell>
          <cell r="AA1727">
            <v>3.3977262477281611E-2</v>
          </cell>
        </row>
        <row r="1728">
          <cell r="Y1728">
            <v>50936</v>
          </cell>
          <cell r="Z1728">
            <v>3.4229408353607625E-2</v>
          </cell>
          <cell r="AA1728">
            <v>3.3974768176033843E-2</v>
          </cell>
        </row>
        <row r="1729">
          <cell r="Y1729">
            <v>50943</v>
          </cell>
          <cell r="Z1729">
            <v>3.4226588347010832E-2</v>
          </cell>
          <cell r="AA1729">
            <v>3.3972316070640662E-2</v>
          </cell>
        </row>
        <row r="1730">
          <cell r="Y1730">
            <v>50950</v>
          </cell>
          <cell r="Z1730">
            <v>3.4223738939186552E-2</v>
          </cell>
          <cell r="AA1730">
            <v>3.3969901435941807E-2</v>
          </cell>
        </row>
        <row r="1731">
          <cell r="Y1731">
            <v>50957</v>
          </cell>
          <cell r="Z1731">
            <v>3.4222236614284023E-2</v>
          </cell>
          <cell r="AA1731">
            <v>3.3967471051276066E-2</v>
          </cell>
        </row>
        <row r="1732">
          <cell r="Y1732">
            <v>50964</v>
          </cell>
          <cell r="Z1732">
            <v>3.4219321974560596E-2</v>
          </cell>
          <cell r="AA1732">
            <v>3.3965009746319552E-2</v>
          </cell>
        </row>
        <row r="1733">
          <cell r="Y1733">
            <v>50971</v>
          </cell>
          <cell r="Z1733">
            <v>3.421637588825828E-2</v>
          </cell>
          <cell r="AA1733">
            <v>3.3962517520910174E-2</v>
          </cell>
        </row>
        <row r="1734">
          <cell r="Y1734">
            <v>50978</v>
          </cell>
          <cell r="Z1734">
            <v>3.4213398355514499E-2</v>
          </cell>
          <cell r="AA1734">
            <v>3.3959994375128977E-2</v>
          </cell>
        </row>
        <row r="1735">
          <cell r="Y1735">
            <v>50985</v>
          </cell>
          <cell r="Z1735">
            <v>3.4210389376468441E-2</v>
          </cell>
          <cell r="AA1735">
            <v>3.3957440308975961E-2</v>
          </cell>
        </row>
        <row r="1736">
          <cell r="Y1736">
            <v>50992</v>
          </cell>
          <cell r="Z1736">
            <v>3.4207348951261936E-2</v>
          </cell>
          <cell r="AA1736">
            <v>3.3954855322451127E-2</v>
          </cell>
        </row>
        <row r="1737">
          <cell r="Y1737">
            <v>50999</v>
          </cell>
          <cell r="Z1737">
            <v>3.4204277080035934E-2</v>
          </cell>
          <cell r="AA1737">
            <v>3.3952239415716567E-2</v>
          </cell>
        </row>
        <row r="1738">
          <cell r="Y1738">
            <v>51006</v>
          </cell>
          <cell r="Z1738">
            <v>3.4201173762934911E-2</v>
          </cell>
          <cell r="AA1738">
            <v>3.3949592588529143E-2</v>
          </cell>
        </row>
        <row r="1739">
          <cell r="Y1739">
            <v>51013</v>
          </cell>
          <cell r="Z1739">
            <v>3.4195322565136813E-2</v>
          </cell>
          <cell r="AA1739">
            <v>3.39469148409699E-2</v>
          </cell>
        </row>
        <row r="1740">
          <cell r="Y1740">
            <v>51020</v>
          </cell>
          <cell r="Z1740">
            <v>3.4192161436248619E-2</v>
          </cell>
          <cell r="AA1740">
            <v>3.3944206173119884E-2</v>
          </cell>
        </row>
        <row r="1741">
          <cell r="Y1741">
            <v>51027</v>
          </cell>
          <cell r="Z1741">
            <v>3.4188968867689462E-2</v>
          </cell>
          <cell r="AA1741">
            <v>3.394146658489805E-2</v>
          </cell>
        </row>
        <row r="1742">
          <cell r="Y1742">
            <v>51034</v>
          </cell>
          <cell r="Z1742">
            <v>3.4185744859608069E-2</v>
          </cell>
          <cell r="AA1742">
            <v>3.3938696076304398E-2</v>
          </cell>
        </row>
        <row r="1743">
          <cell r="Y1743">
            <v>51041</v>
          </cell>
          <cell r="Z1743">
            <v>3.4182489412152295E-2</v>
          </cell>
          <cell r="AA1743">
            <v>3.3935894647338927E-2</v>
          </cell>
        </row>
        <row r="1744">
          <cell r="Y1744">
            <v>51048</v>
          </cell>
          <cell r="Z1744">
            <v>3.4180548095776808E-2</v>
          </cell>
          <cell r="AA1744">
            <v>3.3933062298001637E-2</v>
          </cell>
        </row>
        <row r="1745">
          <cell r="Y1745">
            <v>51055</v>
          </cell>
          <cell r="Z1745">
            <v>3.4177227216079999E-2</v>
          </cell>
          <cell r="AA1745">
            <v>3.3930199028373575E-2</v>
          </cell>
        </row>
        <row r="1746">
          <cell r="Y1746">
            <v>51062</v>
          </cell>
          <cell r="Z1746">
            <v>3.4173874894587064E-2</v>
          </cell>
          <cell r="AA1746">
            <v>3.3927304838292649E-2</v>
          </cell>
        </row>
        <row r="1747">
          <cell r="Y1747">
            <v>51069</v>
          </cell>
          <cell r="Z1747">
            <v>3.4170491131455212E-2</v>
          </cell>
          <cell r="AA1747">
            <v>3.3924379728083043E-2</v>
          </cell>
        </row>
        <row r="1748">
          <cell r="Y1748">
            <v>51076</v>
          </cell>
          <cell r="Z1748">
            <v>3.4165740589589717E-2</v>
          </cell>
          <cell r="AA1748">
            <v>3.3921423697339526E-2</v>
          </cell>
        </row>
        <row r="1749">
          <cell r="Y1749">
            <v>51083</v>
          </cell>
          <cell r="Z1749">
            <v>3.4162296509104517E-2</v>
          </cell>
          <cell r="AA1749">
            <v>3.3918436746305236E-2</v>
          </cell>
        </row>
        <row r="1750">
          <cell r="Y1750">
            <v>51090</v>
          </cell>
          <cell r="Z1750">
            <v>3.4158820990329714E-2</v>
          </cell>
          <cell r="AA1750">
            <v>3.3915418874899128E-2</v>
          </cell>
        </row>
        <row r="1751">
          <cell r="Y1751">
            <v>51097</v>
          </cell>
          <cell r="Z1751">
            <v>3.4155314033426934E-2</v>
          </cell>
          <cell r="AA1751">
            <v>3.3912370083202248E-2</v>
          </cell>
        </row>
        <row r="1752">
          <cell r="Y1752">
            <v>51104</v>
          </cell>
          <cell r="Z1752">
            <v>3.415310069675713E-2</v>
          </cell>
          <cell r="AA1752">
            <v>3.3909290371052503E-2</v>
          </cell>
        </row>
        <row r="1753">
          <cell r="Y1753">
            <v>51111</v>
          </cell>
          <cell r="Z1753">
            <v>3.4149528287141739E-2</v>
          </cell>
          <cell r="AA1753">
            <v>3.3906179738611986E-2</v>
          </cell>
        </row>
        <row r="1754">
          <cell r="Y1754">
            <v>51118</v>
          </cell>
          <cell r="Z1754">
            <v>3.4145924437019866E-2</v>
          </cell>
          <cell r="AA1754">
            <v>3.3903038185880696E-2</v>
          </cell>
        </row>
        <row r="1755">
          <cell r="Y1755">
            <v>51125</v>
          </cell>
          <cell r="Z1755">
            <v>3.4142289146557155E-2</v>
          </cell>
          <cell r="AA1755">
            <v>3.3899865712696542E-2</v>
          </cell>
        </row>
        <row r="1756">
          <cell r="Y1756">
            <v>51132</v>
          </cell>
          <cell r="Z1756">
            <v>3.4138622415924108E-2</v>
          </cell>
          <cell r="AA1756">
            <v>3.3896662319221615E-2</v>
          </cell>
        </row>
        <row r="1757">
          <cell r="Y1757">
            <v>51139</v>
          </cell>
          <cell r="Z1757">
            <v>3.4133612100492317E-2</v>
          </cell>
          <cell r="AA1757">
            <v>3.3893428005536963E-2</v>
          </cell>
        </row>
        <row r="1758">
          <cell r="Y1758">
            <v>51146</v>
          </cell>
          <cell r="Z1758">
            <v>3.4129885081312067E-2</v>
          </cell>
          <cell r="AA1758">
            <v>3.3890162771399446E-2</v>
          </cell>
        </row>
        <row r="1759">
          <cell r="Y1759">
            <v>51153</v>
          </cell>
          <cell r="Z1759">
            <v>3.4126126625341112E-2</v>
          </cell>
          <cell r="AA1759">
            <v>3.388686661689011E-2</v>
          </cell>
        </row>
        <row r="1760">
          <cell r="Y1760">
            <v>51160</v>
          </cell>
          <cell r="Z1760">
            <v>3.4122336732753569E-2</v>
          </cell>
          <cell r="AA1760">
            <v>3.3883539542090002E-2</v>
          </cell>
        </row>
        <row r="1761">
          <cell r="Y1761">
            <v>51167</v>
          </cell>
          <cell r="Z1761">
            <v>3.4118515403724445E-2</v>
          </cell>
          <cell r="AA1761">
            <v>3.3880181546918076E-2</v>
          </cell>
        </row>
        <row r="1762">
          <cell r="Y1762">
            <v>51174</v>
          </cell>
          <cell r="Z1762">
            <v>3.4114662638431416E-2</v>
          </cell>
          <cell r="AA1762">
            <v>3.3876792631455377E-2</v>
          </cell>
        </row>
        <row r="1763">
          <cell r="Y1763">
            <v>51181</v>
          </cell>
          <cell r="Z1763">
            <v>3.4110778437050827E-2</v>
          </cell>
          <cell r="AA1763">
            <v>3.3873372795539813E-2</v>
          </cell>
        </row>
        <row r="1764">
          <cell r="Y1764">
            <v>51188</v>
          </cell>
          <cell r="Z1764">
            <v>3.4106862799764368E-2</v>
          </cell>
          <cell r="AA1764">
            <v>3.3869922039414524E-2</v>
          </cell>
        </row>
        <row r="1765">
          <cell r="Y1765">
            <v>51195</v>
          </cell>
          <cell r="Z1765">
            <v>3.4105498225363018E-2</v>
          </cell>
          <cell r="AA1765">
            <v>3.3866440362917416E-2</v>
          </cell>
        </row>
        <row r="1766">
          <cell r="Y1766">
            <v>51202</v>
          </cell>
          <cell r="Z1766">
            <v>3.4101514488028423E-2</v>
          </cell>
          <cell r="AA1766">
            <v>3.386292776604849E-2</v>
          </cell>
        </row>
        <row r="1767">
          <cell r="Y1767">
            <v>51209</v>
          </cell>
          <cell r="Z1767">
            <v>3.4097499309623448E-2</v>
          </cell>
          <cell r="AA1767">
            <v>3.3859384248888791E-2</v>
          </cell>
        </row>
        <row r="1768">
          <cell r="Y1768">
            <v>51216</v>
          </cell>
          <cell r="Z1768">
            <v>3.4093452690335285E-2</v>
          </cell>
          <cell r="AA1768">
            <v>3.3855809811357274E-2</v>
          </cell>
        </row>
        <row r="1769">
          <cell r="Y1769">
            <v>51223</v>
          </cell>
          <cell r="Z1769">
            <v>3.4089374630352456E-2</v>
          </cell>
          <cell r="AA1769">
            <v>3.385220445361603E-2</v>
          </cell>
        </row>
        <row r="1770">
          <cell r="Y1770">
            <v>51230</v>
          </cell>
          <cell r="Z1770">
            <v>3.4083987067254407E-2</v>
          </cell>
          <cell r="AA1770">
            <v>3.3848568175421923E-2</v>
          </cell>
        </row>
        <row r="1771">
          <cell r="Y1771">
            <v>51237</v>
          </cell>
          <cell r="Z1771">
            <v>3.4079848755336796E-2</v>
          </cell>
          <cell r="AA1771">
            <v>3.3844900977018089E-2</v>
          </cell>
        </row>
        <row r="1772">
          <cell r="Y1772">
            <v>51244</v>
          </cell>
          <cell r="Z1772">
            <v>3.4075679006151022E-2</v>
          </cell>
          <cell r="AA1772">
            <v>3.3841202858080344E-2</v>
          </cell>
        </row>
        <row r="1773">
          <cell r="Y1773">
            <v>51251</v>
          </cell>
          <cell r="Z1773">
            <v>3.4071477819891942E-2</v>
          </cell>
          <cell r="AA1773">
            <v>3.3837473818932873E-2</v>
          </cell>
        </row>
        <row r="1774">
          <cell r="Y1774">
            <v>51258</v>
          </cell>
          <cell r="Z1774">
            <v>3.4068512726756137E-2</v>
          </cell>
          <cell r="AA1774">
            <v>3.383371385949463E-2</v>
          </cell>
        </row>
        <row r="1775">
          <cell r="Y1775">
            <v>51265</v>
          </cell>
          <cell r="Z1775">
            <v>3.4064246026665544E-2</v>
          </cell>
          <cell r="AA1775">
            <v>3.3829922979684568E-2</v>
          </cell>
        </row>
        <row r="1776">
          <cell r="Y1776">
            <v>51272</v>
          </cell>
          <cell r="Z1776">
            <v>3.4059947887246179E-2</v>
          </cell>
          <cell r="AA1776">
            <v>3.3826101179583734E-2</v>
          </cell>
        </row>
        <row r="1777">
          <cell r="Y1777">
            <v>51279</v>
          </cell>
          <cell r="Z1777">
            <v>3.4055618308699333E-2</v>
          </cell>
          <cell r="AA1777">
            <v>3.3822248459111082E-2</v>
          </cell>
        </row>
        <row r="1778">
          <cell r="Y1778">
            <v>51286</v>
          </cell>
          <cell r="Z1778">
            <v>3.405125729122762E-2</v>
          </cell>
          <cell r="AA1778">
            <v>3.3818364818347657E-2</v>
          </cell>
        </row>
        <row r="1779">
          <cell r="Y1779">
            <v>51293</v>
          </cell>
          <cell r="Z1779">
            <v>3.4045610534834132E-2</v>
          </cell>
          <cell r="AA1779">
            <v>3.3814450257212414E-2</v>
          </cell>
        </row>
        <row r="1780">
          <cell r="Y1780">
            <v>51300</v>
          </cell>
          <cell r="Z1780">
            <v>3.4041189294612056E-2</v>
          </cell>
          <cell r="AA1780">
            <v>3.3810504775948491E-2</v>
          </cell>
        </row>
        <row r="1781">
          <cell r="Y1781">
            <v>51307</v>
          </cell>
          <cell r="Z1781">
            <v>3.4036736618919441E-2</v>
          </cell>
          <cell r="AA1781">
            <v>3.3806528374069611E-2</v>
          </cell>
        </row>
        <row r="1782">
          <cell r="Y1782">
            <v>51314</v>
          </cell>
          <cell r="Z1782">
            <v>3.4032252507964003E-2</v>
          </cell>
          <cell r="AA1782">
            <v>3.3802521052062051E-2</v>
          </cell>
        </row>
        <row r="1783">
          <cell r="Y1783">
            <v>51321</v>
          </cell>
          <cell r="Z1783">
            <v>3.4028980627179295E-2</v>
          </cell>
          <cell r="AA1783">
            <v>3.3798482809682673E-2</v>
          </cell>
        </row>
        <row r="1784">
          <cell r="Y1784">
            <v>51328</v>
          </cell>
          <cell r="Z1784">
            <v>3.4024430980489982E-2</v>
          </cell>
          <cell r="AA1784">
            <v>3.3794413647012522E-2</v>
          </cell>
        </row>
        <row r="1785">
          <cell r="Y1785">
            <v>51335</v>
          </cell>
          <cell r="Z1785">
            <v>3.4019849896333311E-2</v>
          </cell>
          <cell r="AA1785">
            <v>3.3790313563970553E-2</v>
          </cell>
        </row>
        <row r="1786">
          <cell r="Y1786">
            <v>51342</v>
          </cell>
          <cell r="Z1786">
            <v>3.4015237374924685E-2</v>
          </cell>
          <cell r="AA1786">
            <v>3.3786182560718858E-2</v>
          </cell>
        </row>
        <row r="1787">
          <cell r="Y1787">
            <v>51349</v>
          </cell>
          <cell r="Z1787">
            <v>3.4010593416478156E-2</v>
          </cell>
          <cell r="AA1787">
            <v>3.3782020637176391E-2</v>
          </cell>
        </row>
        <row r="1788">
          <cell r="Y1788">
            <v>51356</v>
          </cell>
          <cell r="Z1788">
            <v>3.4005918021211771E-2</v>
          </cell>
          <cell r="AA1788">
            <v>3.3777827793100013E-2</v>
          </cell>
        </row>
        <row r="1789">
          <cell r="Y1789">
            <v>51363</v>
          </cell>
          <cell r="Z1789">
            <v>3.4001211189344432E-2</v>
          </cell>
          <cell r="AA1789">
            <v>3.3773604028976001E-2</v>
          </cell>
        </row>
        <row r="1790">
          <cell r="Y1790">
            <v>51370</v>
          </cell>
          <cell r="Z1790">
            <v>3.3996472921095061E-2</v>
          </cell>
          <cell r="AA1790">
            <v>3.3769349344318078E-2</v>
          </cell>
        </row>
        <row r="1791">
          <cell r="Y1791">
            <v>51377</v>
          </cell>
          <cell r="Z1791">
            <v>3.3990480957427183E-2</v>
          </cell>
          <cell r="AA1791">
            <v>3.3765063739450429E-2</v>
          </cell>
        </row>
        <row r="1792">
          <cell r="Y1792">
            <v>51384</v>
          </cell>
          <cell r="Z1792">
            <v>3.3983242817520763E-2</v>
          </cell>
          <cell r="AA1792">
            <v>3.3760747214292008E-2</v>
          </cell>
        </row>
        <row r="1793">
          <cell r="Y1793">
            <v>51391</v>
          </cell>
          <cell r="Z1793">
            <v>3.3978418314012875E-2</v>
          </cell>
          <cell r="AA1793">
            <v>3.3756399768842815E-2</v>
          </cell>
        </row>
        <row r="1794">
          <cell r="Y1794">
            <v>51398</v>
          </cell>
          <cell r="Z1794">
            <v>3.3973562383484666E-2</v>
          </cell>
          <cell r="AA1794">
            <v>3.3752021402940757E-2</v>
          </cell>
        </row>
        <row r="1795">
          <cell r="Y1795">
            <v>51405</v>
          </cell>
          <cell r="Z1795">
            <v>3.3968675026159557E-2</v>
          </cell>
          <cell r="AA1795">
            <v>3.374761211691002E-2</v>
          </cell>
        </row>
        <row r="1796">
          <cell r="Y1796">
            <v>51412</v>
          </cell>
          <cell r="Z1796">
            <v>3.3964965398788183E-2</v>
          </cell>
          <cell r="AA1796">
            <v>3.3743171910507463E-2</v>
          </cell>
        </row>
        <row r="1797">
          <cell r="Y1797">
            <v>51419</v>
          </cell>
          <cell r="Z1797">
            <v>3.3960012486860189E-2</v>
          </cell>
          <cell r="AA1797">
            <v>3.3738700783814135E-2</v>
          </cell>
        </row>
        <row r="1798">
          <cell r="Y1798">
            <v>51426</v>
          </cell>
          <cell r="Z1798">
            <v>3.395502814599808E-2</v>
          </cell>
          <cell r="AA1798">
            <v>3.3734198736830034E-2</v>
          </cell>
        </row>
        <row r="1799">
          <cell r="Y1799">
            <v>51433</v>
          </cell>
          <cell r="Z1799">
            <v>3.3950012376430742E-2</v>
          </cell>
          <cell r="AA1799">
            <v>3.3729665769474115E-2</v>
          </cell>
        </row>
        <row r="1800">
          <cell r="Y1800">
            <v>51440</v>
          </cell>
          <cell r="Z1800">
            <v>3.3943766845501232E-2</v>
          </cell>
          <cell r="AA1800">
            <v>3.372510188190847E-2</v>
          </cell>
        </row>
        <row r="1801">
          <cell r="Y1801">
            <v>51447</v>
          </cell>
          <cell r="Z1801">
            <v>3.3938690932166206E-2</v>
          </cell>
          <cell r="AA1801">
            <v>3.3720507074052053E-2</v>
          </cell>
        </row>
        <row r="1802">
          <cell r="Y1802">
            <v>51454</v>
          </cell>
          <cell r="Z1802">
            <v>3.3933583593638197E-2</v>
          </cell>
          <cell r="AA1802">
            <v>3.3715881345823817E-2</v>
          </cell>
        </row>
        <row r="1803">
          <cell r="Y1803">
            <v>51461</v>
          </cell>
          <cell r="Z1803">
            <v>3.3928444830152282E-2</v>
          </cell>
          <cell r="AA1803">
            <v>3.3711224697304809E-2</v>
          </cell>
        </row>
        <row r="1804">
          <cell r="Y1804">
            <v>51468</v>
          </cell>
          <cell r="Z1804">
            <v>3.3923274641944889E-2</v>
          </cell>
          <cell r="AA1804">
            <v>3.3706537128495029E-2</v>
          </cell>
        </row>
        <row r="1805">
          <cell r="Y1805">
            <v>51475</v>
          </cell>
          <cell r="Z1805">
            <v>3.3919257769332273E-2</v>
          </cell>
          <cell r="AA1805">
            <v>3.3701818639475523E-2</v>
          </cell>
        </row>
        <row r="1806">
          <cell r="Y1806">
            <v>51482</v>
          </cell>
          <cell r="Z1806">
            <v>3.3914022005411375E-2</v>
          </cell>
          <cell r="AA1806">
            <v>3.3697069230084198E-2</v>
          </cell>
        </row>
        <row r="1807">
          <cell r="Y1807">
            <v>51489</v>
          </cell>
          <cell r="Z1807">
            <v>3.390875481468316E-2</v>
          </cell>
          <cell r="AA1807">
            <v>3.3692288900483147E-2</v>
          </cell>
        </row>
        <row r="1808">
          <cell r="Y1808">
            <v>51497</v>
          </cell>
          <cell r="Z1808">
            <v>3.3902696686642822E-2</v>
          </cell>
          <cell r="AA1808">
            <v>3.3686787804991791E-2</v>
          </cell>
        </row>
        <row r="1809">
          <cell r="Y1809">
            <v>51504</v>
          </cell>
          <cell r="Z1809">
            <v>3.3896188729247462E-2</v>
          </cell>
          <cell r="AA1809">
            <v>3.3681941217462708E-2</v>
          </cell>
        </row>
        <row r="1810">
          <cell r="Y1810">
            <v>51511</v>
          </cell>
          <cell r="Z1810">
            <v>3.3890825508733458E-2</v>
          </cell>
          <cell r="AA1810">
            <v>3.3677063709804944E-2</v>
          </cell>
        </row>
        <row r="1811">
          <cell r="Y1811">
            <v>51518</v>
          </cell>
          <cell r="Z1811">
            <v>3.3885430865227703E-2</v>
          </cell>
          <cell r="AA1811">
            <v>3.3672155281775362E-2</v>
          </cell>
        </row>
        <row r="1812">
          <cell r="Y1812">
            <v>51525</v>
          </cell>
          <cell r="Z1812">
            <v>3.3880004798978271E-2</v>
          </cell>
          <cell r="AA1812">
            <v>3.3667215933617101E-2</v>
          </cell>
        </row>
        <row r="1813">
          <cell r="Y1813">
            <v>51532</v>
          </cell>
          <cell r="Z1813">
            <v>3.3874547310234114E-2</v>
          </cell>
          <cell r="AA1813">
            <v>3.3662245664843882E-2</v>
          </cell>
        </row>
        <row r="1814">
          <cell r="Y1814">
            <v>51539</v>
          </cell>
          <cell r="Z1814">
            <v>3.3869058399246886E-2</v>
          </cell>
          <cell r="AA1814">
            <v>3.3657244476104076E-2</v>
          </cell>
        </row>
        <row r="1815">
          <cell r="Y1815">
            <v>51546</v>
          </cell>
          <cell r="Z1815">
            <v>3.3863538066269121E-2</v>
          </cell>
          <cell r="AA1815">
            <v>3.3652212366992451E-2</v>
          </cell>
        </row>
        <row r="1816">
          <cell r="Y1816">
            <v>51553</v>
          </cell>
          <cell r="Z1816">
            <v>3.3857986311554705E-2</v>
          </cell>
          <cell r="AA1816">
            <v>3.3647149337590054E-2</v>
          </cell>
        </row>
        <row r="1817">
          <cell r="Y1817">
            <v>51560</v>
          </cell>
          <cell r="Z1817">
            <v>3.3854705816753525E-2</v>
          </cell>
          <cell r="AA1817">
            <v>3.3642055387896885E-2</v>
          </cell>
        </row>
        <row r="1818">
          <cell r="Y1818">
            <v>51567</v>
          </cell>
          <cell r="Z1818">
            <v>3.3852529981785028E-2</v>
          </cell>
          <cell r="AA1818">
            <v>3.3636930517912944E-2</v>
          </cell>
        </row>
        <row r="1819">
          <cell r="Y1819">
            <v>51574</v>
          </cell>
          <cell r="Z1819">
            <v>3.384687014036046E-2</v>
          </cell>
          <cell r="AA1819">
            <v>3.3631774727638231E-2</v>
          </cell>
        </row>
        <row r="1820">
          <cell r="Y1820">
            <v>51581</v>
          </cell>
          <cell r="Z1820">
            <v>3.3841178864308867E-2</v>
          </cell>
          <cell r="AA1820">
            <v>3.3626588017153791E-2</v>
          </cell>
        </row>
        <row r="1821">
          <cell r="Y1821">
            <v>51588</v>
          </cell>
          <cell r="Z1821">
            <v>3.3835456153899969E-2</v>
          </cell>
          <cell r="AA1821">
            <v>3.3621370386459626E-2</v>
          </cell>
        </row>
        <row r="1822">
          <cell r="Y1822">
            <v>51595</v>
          </cell>
          <cell r="Z1822">
            <v>3.3826290955385641E-2</v>
          </cell>
          <cell r="AA1822">
            <v>3.3616121835393642E-2</v>
          </cell>
        </row>
        <row r="1823">
          <cell r="Y1823">
            <v>51602</v>
          </cell>
          <cell r="Z1823">
            <v>3.3820513705614674E-2</v>
          </cell>
          <cell r="AA1823">
            <v>3.3610842364036886E-2</v>
          </cell>
        </row>
        <row r="1824">
          <cell r="Y1824">
            <v>51609</v>
          </cell>
          <cell r="Z1824">
            <v>3.3814705030634599E-2</v>
          </cell>
          <cell r="AA1824">
            <v>3.3610196535353243E-2</v>
          </cell>
        </row>
        <row r="1825">
          <cell r="Y1825">
            <v>51616</v>
          </cell>
          <cell r="Z1825">
            <v>3.3808864930715138E-2</v>
          </cell>
          <cell r="AA1825">
            <v>3.360019066061315E-2</v>
          </cell>
        </row>
        <row r="1826">
          <cell r="Y1826">
            <v>51623</v>
          </cell>
          <cell r="Z1826">
            <v>3.3806371096002194E-2</v>
          </cell>
          <cell r="AA1826">
            <v>3.3594818428384077E-2</v>
          </cell>
        </row>
        <row r="1827">
          <cell r="Y1827">
            <v>51630</v>
          </cell>
          <cell r="Z1827">
            <v>3.3800459785177144E-2</v>
          </cell>
          <cell r="AA1827">
            <v>3.3589415276026324E-2</v>
          </cell>
        </row>
        <row r="1828">
          <cell r="Y1828">
            <v>51637</v>
          </cell>
          <cell r="Z1828">
            <v>3.3794517041918104E-2</v>
          </cell>
          <cell r="AA1828">
            <v>3.35839812033778E-2</v>
          </cell>
        </row>
        <row r="1829">
          <cell r="Y1829">
            <v>51644</v>
          </cell>
          <cell r="Z1829">
            <v>3.3788542866506129E-2</v>
          </cell>
          <cell r="AA1829">
            <v>3.3578516210438503E-2</v>
          </cell>
        </row>
        <row r="1830">
          <cell r="Y1830">
            <v>51651</v>
          </cell>
          <cell r="Z1830">
            <v>3.3779193066588227E-2</v>
          </cell>
          <cell r="AA1830">
            <v>3.357302029728948E-2</v>
          </cell>
        </row>
        <row r="1831">
          <cell r="Y1831">
            <v>51658</v>
          </cell>
          <cell r="Z1831">
            <v>3.3773164422788035E-2</v>
          </cell>
          <cell r="AA1831">
            <v>3.3567493463849685E-2</v>
          </cell>
        </row>
        <row r="1832">
          <cell r="Y1832">
            <v>51665</v>
          </cell>
          <cell r="Z1832">
            <v>3.3767104355980286E-2</v>
          </cell>
          <cell r="AA1832">
            <v>3.3561935710200164E-2</v>
          </cell>
        </row>
        <row r="1833">
          <cell r="Y1833">
            <v>51672</v>
          </cell>
          <cell r="Z1833">
            <v>3.3761012866446193E-2</v>
          </cell>
          <cell r="AA1833">
            <v>3.3556347036178824E-2</v>
          </cell>
        </row>
        <row r="1834">
          <cell r="Y1834">
            <v>51679</v>
          </cell>
          <cell r="Z1834">
            <v>3.3754889954469638E-2</v>
          </cell>
          <cell r="AA1834">
            <v>3.3550727442028805E-2</v>
          </cell>
        </row>
        <row r="1835">
          <cell r="Y1835">
            <v>51686</v>
          </cell>
          <cell r="Z1835">
            <v>3.3752037754742073E-2</v>
          </cell>
          <cell r="AA1835">
            <v>3.3545076927506967E-2</v>
          </cell>
        </row>
        <row r="1836">
          <cell r="Y1836">
            <v>51693</v>
          </cell>
          <cell r="Z1836">
            <v>3.374584356224869E-2</v>
          </cell>
          <cell r="AA1836">
            <v>3.3539395492775403E-2</v>
          </cell>
        </row>
        <row r="1837">
          <cell r="Y1837">
            <v>51700</v>
          </cell>
          <cell r="Z1837">
            <v>3.3739617939903474E-2</v>
          </cell>
          <cell r="AA1837">
            <v>3.3533683137834114E-2</v>
          </cell>
        </row>
        <row r="1838">
          <cell r="Y1838">
            <v>51707</v>
          </cell>
          <cell r="Z1838">
            <v>3.3733360887999241E-2</v>
          </cell>
          <cell r="AA1838">
            <v>3.3527939862602052E-2</v>
          </cell>
        </row>
        <row r="1839">
          <cell r="Y1839">
            <v>51714</v>
          </cell>
          <cell r="Z1839">
            <v>3.3727072406832717E-2</v>
          </cell>
          <cell r="AA1839">
            <v>3.3522165667160264E-2</v>
          </cell>
        </row>
        <row r="1840">
          <cell r="Y1840">
            <v>51721</v>
          </cell>
          <cell r="Z1840">
            <v>3.3720752496699771E-2</v>
          </cell>
          <cell r="AA1840">
            <v>3.3516360551427704E-2</v>
          </cell>
        </row>
        <row r="1841">
          <cell r="Y1841">
            <v>51728</v>
          </cell>
          <cell r="Z1841">
            <v>3.3714401157900614E-2</v>
          </cell>
          <cell r="AA1841">
            <v>3.3510524515485418E-2</v>
          </cell>
        </row>
        <row r="1842">
          <cell r="Y1842">
            <v>51735</v>
          </cell>
          <cell r="Z1842">
            <v>3.3708018390734611E-2</v>
          </cell>
          <cell r="AA1842">
            <v>3.350465755925236E-2</v>
          </cell>
        </row>
        <row r="1843">
          <cell r="Y1843">
            <v>51742</v>
          </cell>
          <cell r="Z1843">
            <v>3.3698369784216788E-2</v>
          </cell>
          <cell r="AA1843">
            <v>3.3498759682890622E-2</v>
          </cell>
        </row>
        <row r="1844">
          <cell r="Y1844">
            <v>51749</v>
          </cell>
          <cell r="Z1844">
            <v>3.3689781030517646E-2</v>
          </cell>
          <cell r="AA1844">
            <v>3.3492830886157066E-2</v>
          </cell>
        </row>
        <row r="1845">
          <cell r="Y1845">
            <v>51756</v>
          </cell>
          <cell r="Z1845">
            <v>3.3683318162358394E-2</v>
          </cell>
          <cell r="AA1845">
            <v>3.348687116929483E-2</v>
          </cell>
        </row>
        <row r="1846">
          <cell r="Y1846">
            <v>51763</v>
          </cell>
          <cell r="Z1846">
            <v>3.3676823880749822E-2</v>
          </cell>
          <cell r="AA1846">
            <v>3.3480880532141821E-2</v>
          </cell>
        </row>
        <row r="1847">
          <cell r="Y1847">
            <v>51770</v>
          </cell>
          <cell r="Z1847">
            <v>3.3670298185990571E-2</v>
          </cell>
          <cell r="AA1847">
            <v>3.3474858974779087E-2</v>
          </cell>
        </row>
        <row r="1848">
          <cell r="Y1848">
            <v>51777</v>
          </cell>
          <cell r="Z1848">
            <v>3.3664805638975524E-2</v>
          </cell>
          <cell r="AA1848">
            <v>3.3468806497125581E-2</v>
          </cell>
        </row>
        <row r="1849">
          <cell r="Y1849">
            <v>51784</v>
          </cell>
          <cell r="Z1849">
            <v>3.3658214272301111E-2</v>
          </cell>
          <cell r="AA1849">
            <v>3.3462723099262348E-2</v>
          </cell>
        </row>
        <row r="1850">
          <cell r="Y1850">
            <v>51791</v>
          </cell>
          <cell r="Z1850">
            <v>3.3651591490648128E-2</v>
          </cell>
          <cell r="AA1850">
            <v>3.345660878118939E-2</v>
          </cell>
        </row>
        <row r="1851">
          <cell r="Y1851">
            <v>51798</v>
          </cell>
          <cell r="Z1851">
            <v>3.364493729432072E-2</v>
          </cell>
          <cell r="AA1851">
            <v>3.3450463542906705E-2</v>
          </cell>
        </row>
        <row r="1852">
          <cell r="Y1852">
            <v>51805</v>
          </cell>
          <cell r="Z1852">
            <v>3.3637198525489576E-2</v>
          </cell>
          <cell r="AA1852">
            <v>3.3444287384333249E-2</v>
          </cell>
        </row>
        <row r="1853">
          <cell r="Y1853">
            <v>51812</v>
          </cell>
          <cell r="Z1853">
            <v>3.3630484358178822E-2</v>
          </cell>
          <cell r="AA1853">
            <v>3.3438080305550066E-2</v>
          </cell>
        </row>
        <row r="1854">
          <cell r="Y1854">
            <v>51819</v>
          </cell>
          <cell r="Z1854">
            <v>3.3623738779848783E-2</v>
          </cell>
          <cell r="AA1854">
            <v>3.3431842306557158E-2</v>
          </cell>
        </row>
        <row r="1855">
          <cell r="Y1855">
            <v>51826</v>
          </cell>
          <cell r="Z1855">
            <v>3.3616961790809315E-2</v>
          </cell>
          <cell r="AA1855">
            <v>3.3425573387273477E-2</v>
          </cell>
        </row>
        <row r="1856">
          <cell r="Y1856">
            <v>51833</v>
          </cell>
          <cell r="Z1856">
            <v>3.3610153391371619E-2</v>
          </cell>
          <cell r="AA1856">
            <v>3.3419273547861117E-2</v>
          </cell>
        </row>
        <row r="1857">
          <cell r="Y1857">
            <v>51840</v>
          </cell>
          <cell r="Z1857">
            <v>3.3604352425558287E-2</v>
          </cell>
          <cell r="AA1857">
            <v>3.3412942788239031E-2</v>
          </cell>
        </row>
        <row r="1858">
          <cell r="Y1858">
            <v>51847</v>
          </cell>
          <cell r="Z1858">
            <v>3.3597478335216174E-2</v>
          </cell>
          <cell r="AA1858">
            <v>3.3406581108326172E-2</v>
          </cell>
        </row>
        <row r="1859">
          <cell r="Y1859">
            <v>51854</v>
          </cell>
          <cell r="Z1859">
            <v>3.3590572832704065E-2</v>
          </cell>
          <cell r="AA1859">
            <v>3.3400188508284634E-2</v>
          </cell>
        </row>
        <row r="1860">
          <cell r="Y1860">
            <v>51862</v>
          </cell>
          <cell r="Z1860">
            <v>3.3582642366358897E-2</v>
          </cell>
          <cell r="AA1860">
            <v>3.3394978750858437E-2</v>
          </cell>
        </row>
        <row r="1861">
          <cell r="Y1861">
            <v>51869</v>
          </cell>
          <cell r="Z1861">
            <v>3.3574642621443634E-2</v>
          </cell>
          <cell r="AA1861">
            <v>3.3388514293455351E-2</v>
          </cell>
        </row>
        <row r="1862">
          <cell r="Y1862">
            <v>51876</v>
          </cell>
          <cell r="Z1862">
            <v>3.3567641279342336E-2</v>
          </cell>
          <cell r="AA1862">
            <v>3.3382018910439459E-2</v>
          </cell>
        </row>
        <row r="1863">
          <cell r="Y1863">
            <v>51883</v>
          </cell>
          <cell r="Z1863">
            <v>3.3560608529111656E-2</v>
          </cell>
          <cell r="AA1863">
            <v>3.3375492601783741E-2</v>
          </cell>
        </row>
        <row r="1864">
          <cell r="Y1864">
            <v>51890</v>
          </cell>
          <cell r="Z1864">
            <v>3.3553544371073538E-2</v>
          </cell>
          <cell r="AA1864">
            <v>3.3368935367461182E-2</v>
          </cell>
        </row>
        <row r="1865">
          <cell r="Y1865">
            <v>51897</v>
          </cell>
          <cell r="Z1865">
            <v>3.3546448805553512E-2</v>
          </cell>
          <cell r="AA1865">
            <v>3.3362347207552823E-2</v>
          </cell>
        </row>
        <row r="1866">
          <cell r="Y1866">
            <v>51904</v>
          </cell>
          <cell r="Z1866">
            <v>3.3539321832878902E-2</v>
          </cell>
          <cell r="AA1866">
            <v>3.3355728122004644E-2</v>
          </cell>
        </row>
        <row r="1867">
          <cell r="Y1867">
            <v>51911</v>
          </cell>
          <cell r="Z1867">
            <v>3.3532163453376125E-2</v>
          </cell>
          <cell r="AA1867">
            <v>3.3349078110843644E-2</v>
          </cell>
        </row>
        <row r="1868">
          <cell r="Y1868">
            <v>51918</v>
          </cell>
          <cell r="Z1868">
            <v>3.3524973667374745E-2</v>
          </cell>
          <cell r="AA1868">
            <v>3.3342397174069838E-2</v>
          </cell>
        </row>
        <row r="1869">
          <cell r="Y1869">
            <v>51925</v>
          </cell>
          <cell r="Z1869">
            <v>3.3518756272817793E-2</v>
          </cell>
          <cell r="AA1869">
            <v>3.3335685311737251E-2</v>
          </cell>
        </row>
        <row r="1870">
          <cell r="Y1870">
            <v>51932</v>
          </cell>
          <cell r="Z1870">
            <v>3.3514502149421095E-2</v>
          </cell>
          <cell r="AA1870">
            <v>3.3328942523764837E-2</v>
          </cell>
        </row>
        <row r="1871">
          <cell r="Y1871">
            <v>51939</v>
          </cell>
          <cell r="Z1871">
            <v>3.3507206516831804E-2</v>
          </cell>
          <cell r="AA1871">
            <v>3.3322168810233643E-2</v>
          </cell>
        </row>
        <row r="1872">
          <cell r="Y1872">
            <v>51946</v>
          </cell>
          <cell r="Z1872">
            <v>3.3499879468310796E-2</v>
          </cell>
          <cell r="AA1872">
            <v>3.3315364171062622E-2</v>
          </cell>
        </row>
        <row r="1873">
          <cell r="Y1873">
            <v>51953</v>
          </cell>
          <cell r="Z1873">
            <v>3.3492521004201546E-2</v>
          </cell>
          <cell r="AA1873">
            <v>3.3308528606359841E-2</v>
          </cell>
        </row>
        <row r="1874">
          <cell r="Y1874">
            <v>51964</v>
          </cell>
          <cell r="Z1874">
            <v>3.3478920158857867E-2</v>
          </cell>
          <cell r="AA1874">
            <v>3.3295672720196068E-2</v>
          </cell>
        </row>
        <row r="1875">
          <cell r="Y1875">
            <v>51971</v>
          </cell>
          <cell r="Z1875">
            <v>3.3471486753406013E-2</v>
          </cell>
          <cell r="AA1875">
            <v>3.3288763311120073E-2</v>
          </cell>
        </row>
        <row r="1876">
          <cell r="Y1876">
            <v>51978</v>
          </cell>
          <cell r="Z1876">
            <v>3.3464021938971585E-2</v>
          </cell>
          <cell r="AA1876">
            <v>3.328182298167226E-2</v>
          </cell>
        </row>
        <row r="1877">
          <cell r="Y1877">
            <v>51985</v>
          </cell>
          <cell r="Z1877">
            <v>3.3456525715902685E-2</v>
          </cell>
          <cell r="AA1877">
            <v>3.3274851732176813E-2</v>
          </cell>
        </row>
        <row r="1878">
          <cell r="Y1878">
            <v>51992</v>
          </cell>
          <cell r="Z1878">
            <v>3.3449973535517881E-2</v>
          </cell>
          <cell r="AA1878">
            <v>3.3267849562390595E-2</v>
          </cell>
        </row>
        <row r="1879">
          <cell r="Y1879">
            <v>51999</v>
          </cell>
          <cell r="Z1879">
            <v>3.3442411565730155E-2</v>
          </cell>
          <cell r="AA1879">
            <v>3.326081647239465E-2</v>
          </cell>
        </row>
        <row r="1880">
          <cell r="Y1880">
            <v>52006</v>
          </cell>
          <cell r="Z1880">
            <v>3.3434818185684598E-2</v>
          </cell>
          <cell r="AA1880">
            <v>3.3253752462351072E-2</v>
          </cell>
        </row>
        <row r="1881">
          <cell r="Y1881">
            <v>52013</v>
          </cell>
          <cell r="Z1881">
            <v>3.3427193395734037E-2</v>
          </cell>
          <cell r="AA1881">
            <v>3.3246657532097768E-2</v>
          </cell>
        </row>
        <row r="1882">
          <cell r="Y1882">
            <v>52020</v>
          </cell>
          <cell r="Z1882">
            <v>3.3418573483279972E-2</v>
          </cell>
          <cell r="AA1882">
            <v>3.3239531681553691E-2</v>
          </cell>
        </row>
        <row r="1883">
          <cell r="Y1883">
            <v>52027</v>
          </cell>
          <cell r="Z1883">
            <v>3.3410888815770146E-2</v>
          </cell>
          <cell r="AA1883">
            <v>3.3232374910961981E-2</v>
          </cell>
        </row>
        <row r="1884">
          <cell r="Y1884">
            <v>52034</v>
          </cell>
          <cell r="Z1884">
            <v>3.3403172742096206E-2</v>
          </cell>
          <cell r="AA1884">
            <v>3.3225187220160546E-2</v>
          </cell>
        </row>
        <row r="1885">
          <cell r="Y1885">
            <v>52041</v>
          </cell>
          <cell r="Z1885">
            <v>3.3395425262615561E-2</v>
          </cell>
          <cell r="AA1885">
            <v>3.3217968609149384E-2</v>
          </cell>
        </row>
        <row r="1886">
          <cell r="Y1886">
            <v>52048</v>
          </cell>
          <cell r="Z1886">
            <v>3.3389550017640664E-2</v>
          </cell>
          <cell r="AA1886">
            <v>3.3210719078009543E-2</v>
          </cell>
        </row>
        <row r="1887">
          <cell r="Y1887">
            <v>52055</v>
          </cell>
          <cell r="Z1887">
            <v>3.3380785068112172E-2</v>
          </cell>
          <cell r="AA1887">
            <v>3.3203438626578929E-2</v>
          </cell>
        </row>
        <row r="1888">
          <cell r="Y1888">
            <v>52062</v>
          </cell>
          <cell r="Z1888">
            <v>3.3372940418896102E-2</v>
          </cell>
          <cell r="AA1888">
            <v>3.3196127255181729E-2</v>
          </cell>
        </row>
        <row r="1889">
          <cell r="Y1889">
            <v>52069</v>
          </cell>
          <cell r="Z1889">
            <v>3.3365064362668465E-2</v>
          </cell>
          <cell r="AA1889">
            <v>3.3188784963574802E-2</v>
          </cell>
        </row>
        <row r="1890">
          <cell r="Y1890">
            <v>52076</v>
          </cell>
          <cell r="Z1890">
            <v>3.3357156899797055E-2</v>
          </cell>
          <cell r="AA1890">
            <v>3.318141175175815E-2</v>
          </cell>
        </row>
        <row r="1891">
          <cell r="Y1891">
            <v>52083</v>
          </cell>
          <cell r="Z1891">
            <v>3.3349218030651856E-2</v>
          </cell>
          <cell r="AA1891">
            <v>3.3174007619731771E-2</v>
          </cell>
        </row>
        <row r="1892">
          <cell r="Y1892">
            <v>52090</v>
          </cell>
          <cell r="Z1892">
            <v>3.3341247755603751E-2</v>
          </cell>
          <cell r="AA1892">
            <v>3.3166572567576713E-2</v>
          </cell>
        </row>
        <row r="1893">
          <cell r="Y1893">
            <v>52097</v>
          </cell>
          <cell r="Z1893">
            <v>3.333324607502626E-2</v>
          </cell>
          <cell r="AA1893">
            <v>3.3159106595374022E-2</v>
          </cell>
        </row>
        <row r="1894">
          <cell r="Y1894">
            <v>52104</v>
          </cell>
          <cell r="Z1894">
            <v>3.3325212989291565E-2</v>
          </cell>
          <cell r="AA1894">
            <v>3.3151609702880558E-2</v>
          </cell>
        </row>
        <row r="1895">
          <cell r="Y1895">
            <v>52111</v>
          </cell>
          <cell r="Z1895">
            <v>3.3314372002274585E-2</v>
          </cell>
          <cell r="AA1895">
            <v>3.3144081890258414E-2</v>
          </cell>
        </row>
        <row r="1896">
          <cell r="Y1896">
            <v>52118</v>
          </cell>
          <cell r="Z1896">
            <v>3.3306285033011175E-2</v>
          </cell>
          <cell r="AA1896">
            <v>3.3136523157588638E-2</v>
          </cell>
        </row>
        <row r="1897">
          <cell r="Y1897">
            <v>52125</v>
          </cell>
          <cell r="Z1897">
            <v>3.329816666763518E-2</v>
          </cell>
          <cell r="AA1897">
            <v>3.3128933504709135E-2</v>
          </cell>
        </row>
        <row r="1898">
          <cell r="Y1898">
            <v>52132</v>
          </cell>
          <cell r="Z1898">
            <v>3.3290016906520475E-2</v>
          </cell>
          <cell r="AA1898">
            <v>3.3121312931619906E-2</v>
          </cell>
        </row>
        <row r="1899">
          <cell r="Y1899">
            <v>52139</v>
          </cell>
          <cell r="Z1899">
            <v>3.3282749562431116E-2</v>
          </cell>
          <cell r="AA1899">
            <v>3.3113661438483044E-2</v>
          </cell>
        </row>
        <row r="1900">
          <cell r="Y1900">
            <v>52146</v>
          </cell>
          <cell r="Z1900">
            <v>3.3274534025651954E-2</v>
          </cell>
          <cell r="AA1900">
            <v>3.3105979025136456E-2</v>
          </cell>
        </row>
        <row r="1901">
          <cell r="Y1901">
            <v>52153</v>
          </cell>
          <cell r="Z1901">
            <v>3.3266287091633553E-2</v>
          </cell>
          <cell r="AA1901">
            <v>3.3098265691742235E-2</v>
          </cell>
        </row>
        <row r="1902">
          <cell r="Y1902">
            <v>52160</v>
          </cell>
          <cell r="Z1902">
            <v>3.3258008760757116E-2</v>
          </cell>
          <cell r="AA1902">
            <v>3.3090521438138287E-2</v>
          </cell>
        </row>
        <row r="1903">
          <cell r="Y1903">
            <v>52167</v>
          </cell>
          <cell r="Z1903">
            <v>3.3249699033404259E-2</v>
          </cell>
          <cell r="AA1903">
            <v>3.3082746264324614E-2</v>
          </cell>
        </row>
        <row r="1904">
          <cell r="Y1904">
            <v>52174</v>
          </cell>
          <cell r="Z1904">
            <v>3.3241357909960634E-2</v>
          </cell>
          <cell r="AA1904">
            <v>3.3074940170544354E-2</v>
          </cell>
        </row>
        <row r="1905">
          <cell r="Y1905">
            <v>52181</v>
          </cell>
          <cell r="Z1905">
            <v>3.3232089529680854E-2</v>
          </cell>
          <cell r="AA1905">
            <v>3.3067103156473321E-2</v>
          </cell>
        </row>
        <row r="1906">
          <cell r="Y1906">
            <v>52188</v>
          </cell>
          <cell r="Z1906">
            <v>3.3223688616264235E-2</v>
          </cell>
          <cell r="AA1906">
            <v>3.3059235222354655E-2</v>
          </cell>
        </row>
        <row r="1907">
          <cell r="Y1907">
            <v>52195</v>
          </cell>
          <cell r="Z1907">
            <v>3.3216146166945029E-2</v>
          </cell>
          <cell r="AA1907">
            <v>3.3051336368107309E-2</v>
          </cell>
        </row>
        <row r="1908">
          <cell r="Y1908">
            <v>52202</v>
          </cell>
          <cell r="Z1908">
            <v>3.3207679463006692E-2</v>
          </cell>
          <cell r="AA1908">
            <v>3.3043406593650237E-2</v>
          </cell>
        </row>
        <row r="1909">
          <cell r="Y1909">
            <v>52209</v>
          </cell>
          <cell r="Z1909">
            <v>3.319918136492047E-2</v>
          </cell>
          <cell r="AA1909">
            <v>3.3035445899226579E-2</v>
          </cell>
        </row>
        <row r="1910">
          <cell r="Y1910">
            <v>52216</v>
          </cell>
          <cell r="Z1910">
            <v>3.3190651873077334E-2</v>
          </cell>
          <cell r="AA1910">
            <v>3.3027454284512148E-2</v>
          </cell>
        </row>
        <row r="1911">
          <cell r="Y1911">
            <v>52223</v>
          </cell>
          <cell r="Z1911">
            <v>3.318209098787317E-2</v>
          </cell>
          <cell r="AA1911">
            <v>3.3019431749750083E-2</v>
          </cell>
        </row>
        <row r="1912">
          <cell r="Y1912">
            <v>52230</v>
          </cell>
          <cell r="Z1912">
            <v>3.317349870970341E-2</v>
          </cell>
          <cell r="AA1912">
            <v>3.3011378294859339E-2</v>
          </cell>
        </row>
        <row r="1913">
          <cell r="Y1913">
            <v>52237</v>
          </cell>
          <cell r="Z1913">
            <v>3.3164003259349227E-2</v>
          </cell>
          <cell r="AA1913">
            <v>3.3003293919920962E-2</v>
          </cell>
        </row>
        <row r="1914">
          <cell r="Y1914">
            <v>52244</v>
          </cell>
          <cell r="Z1914">
            <v>3.3155351218352044E-2</v>
          </cell>
          <cell r="AA1914">
            <v>3.2995178624853905E-2</v>
          </cell>
        </row>
        <row r="1915">
          <cell r="Y1915">
            <v>52251</v>
          </cell>
          <cell r="Z1915">
            <v>3.3146667788181809E-2</v>
          </cell>
          <cell r="AA1915">
            <v>3.2987032409658168E-2</v>
          </cell>
        </row>
        <row r="1916">
          <cell r="Y1916">
            <v>52258</v>
          </cell>
          <cell r="Z1916">
            <v>3.3137952969237924E-2</v>
          </cell>
          <cell r="AA1916">
            <v>3.2978855274252705E-2</v>
          </cell>
        </row>
        <row r="1917">
          <cell r="Y1917">
            <v>52265</v>
          </cell>
          <cell r="Z1917">
            <v>3.3129206761921139E-2</v>
          </cell>
          <cell r="AA1917">
            <v>3.2970647218799609E-2</v>
          </cell>
        </row>
        <row r="1918">
          <cell r="Y1918">
            <v>52272</v>
          </cell>
          <cell r="Z1918">
            <v>3.3120429166633561E-2</v>
          </cell>
          <cell r="AA1918">
            <v>3.2962408243217833E-2</v>
          </cell>
        </row>
        <row r="1919">
          <cell r="Y1919">
            <v>52279</v>
          </cell>
          <cell r="Z1919">
            <v>3.311162018377907E-2</v>
          </cell>
          <cell r="AA1919">
            <v>3.2954138347588424E-2</v>
          </cell>
        </row>
        <row r="1920">
          <cell r="Y1920">
            <v>52286</v>
          </cell>
          <cell r="Z1920">
            <v>3.3102779813762452E-2</v>
          </cell>
          <cell r="AA1920">
            <v>3.2945837531830335E-2</v>
          </cell>
        </row>
        <row r="1921">
          <cell r="Y1921">
            <v>52293</v>
          </cell>
          <cell r="Z1921">
            <v>3.309644993225648E-2</v>
          </cell>
          <cell r="AA1921">
            <v>3.2937505796024613E-2</v>
          </cell>
        </row>
        <row r="1922">
          <cell r="Y1922">
            <v>52300</v>
          </cell>
          <cell r="Z1922">
            <v>3.3087537659952246E-2</v>
          </cell>
          <cell r="AA1922">
            <v>3.2929143140171258E-2</v>
          </cell>
        </row>
        <row r="1923">
          <cell r="Y1923">
            <v>52307</v>
          </cell>
          <cell r="Z1923">
            <v>3.3078593993976044E-2</v>
          </cell>
          <cell r="AA1923">
            <v>3.292074956402713E-2</v>
          </cell>
        </row>
        <row r="1924">
          <cell r="Y1924">
            <v>52314</v>
          </cell>
          <cell r="Z1924">
            <v>3.3069618934746324E-2</v>
          </cell>
          <cell r="AA1924">
            <v>3.2912325067916415E-2</v>
          </cell>
        </row>
        <row r="1925">
          <cell r="Y1925">
            <v>52321</v>
          </cell>
          <cell r="Z1925">
            <v>3.3059777620413455E-2</v>
          </cell>
          <cell r="AA1925">
            <v>3.290386965167702E-2</v>
          </cell>
        </row>
        <row r="1926">
          <cell r="Y1926">
            <v>52328</v>
          </cell>
          <cell r="Z1926">
            <v>3.3050742829734601E-2</v>
          </cell>
          <cell r="AA1926">
            <v>3.2895383315389992E-2</v>
          </cell>
        </row>
        <row r="1927">
          <cell r="Y1927">
            <v>52335</v>
          </cell>
          <cell r="Z1927">
            <v>3.3041676649633665E-2</v>
          </cell>
          <cell r="AA1927">
            <v>3.2886866058893238E-2</v>
          </cell>
        </row>
        <row r="1928">
          <cell r="Y1928">
            <v>52342</v>
          </cell>
          <cell r="Z1928">
            <v>3.3032579080530505E-2</v>
          </cell>
          <cell r="AA1928">
            <v>3.2878317882429897E-2</v>
          </cell>
        </row>
        <row r="1929">
          <cell r="Y1929">
            <v>52349</v>
          </cell>
          <cell r="Z1929">
            <v>3.3023450122848942E-2</v>
          </cell>
          <cell r="AA1929">
            <v>3.2869738785837876E-2</v>
          </cell>
        </row>
        <row r="1930">
          <cell r="Y1930">
            <v>52356</v>
          </cell>
          <cell r="Z1930">
            <v>3.3015109344627605E-2</v>
          </cell>
          <cell r="AA1930">
            <v>3.2861128769198222E-2</v>
          </cell>
        </row>
        <row r="1931">
          <cell r="Y1931">
            <v>52363</v>
          </cell>
          <cell r="Z1931">
            <v>3.300591454444806E-2</v>
          </cell>
          <cell r="AA1931">
            <v>3.2852487832510935E-2</v>
          </cell>
        </row>
        <row r="1932">
          <cell r="Y1932">
            <v>52370</v>
          </cell>
          <cell r="Z1932">
            <v>3.2996688354411441E-2</v>
          </cell>
          <cell r="AA1932">
            <v>3.2843815975694968E-2</v>
          </cell>
        </row>
        <row r="1933">
          <cell r="Y1933">
            <v>52377</v>
          </cell>
          <cell r="Z1933">
            <v>3.2987430774948541E-2</v>
          </cell>
          <cell r="AA1933">
            <v>3.2835113198831367E-2</v>
          </cell>
        </row>
        <row r="1934">
          <cell r="Y1934">
            <v>52384</v>
          </cell>
          <cell r="Z1934">
            <v>3.2977334520662205E-2</v>
          </cell>
          <cell r="AA1934">
            <v>3.2826379501758041E-2</v>
          </cell>
        </row>
        <row r="1935">
          <cell r="Y1935">
            <v>52391</v>
          </cell>
          <cell r="Z1935">
            <v>3.2968017240470091E-2</v>
          </cell>
          <cell r="AA1935">
            <v>3.2817614884799173E-2</v>
          </cell>
        </row>
        <row r="1936">
          <cell r="Y1936">
            <v>52398</v>
          </cell>
          <cell r="Z1936">
            <v>3.2958668574700499E-2</v>
          </cell>
          <cell r="AA1936">
            <v>3.280881934763058E-2</v>
          </cell>
        </row>
        <row r="1937">
          <cell r="Y1937">
            <v>52405</v>
          </cell>
          <cell r="Z1937">
            <v>3.2949288523787458E-2</v>
          </cell>
          <cell r="AA1937">
            <v>3.2799992890576446E-2</v>
          </cell>
        </row>
        <row r="1938">
          <cell r="Y1938">
            <v>52412</v>
          </cell>
          <cell r="Z1938">
            <v>3.294067205144293E-2</v>
          </cell>
          <cell r="AA1938">
            <v>3.2791135513312586E-2</v>
          </cell>
        </row>
        <row r="1939">
          <cell r="Y1939">
            <v>52419</v>
          </cell>
          <cell r="Z1939">
            <v>3.2931226144562474E-2</v>
          </cell>
          <cell r="AA1939">
            <v>3.2782247216001092E-2</v>
          </cell>
        </row>
        <row r="1940">
          <cell r="Y1940">
            <v>52426</v>
          </cell>
          <cell r="Z1940">
            <v>3.2921748851315664E-2</v>
          </cell>
          <cell r="AA1940">
            <v>3.2773327998723012E-2</v>
          </cell>
        </row>
        <row r="1941">
          <cell r="Y1941">
            <v>52433</v>
          </cell>
          <cell r="Z1941">
            <v>3.2912240172146057E-2</v>
          </cell>
          <cell r="AA1941">
            <v>3.2764377861316252E-2</v>
          </cell>
        </row>
        <row r="1942">
          <cell r="Y1942">
            <v>52440</v>
          </cell>
          <cell r="Z1942">
            <v>3.2902700107496324E-2</v>
          </cell>
          <cell r="AA1942">
            <v>3.2755396803861858E-2</v>
          </cell>
        </row>
        <row r="1943">
          <cell r="Y1943">
            <v>52447</v>
          </cell>
          <cell r="Z1943">
            <v>3.2893128657813984E-2</v>
          </cell>
          <cell r="AA1943">
            <v>3.2746384826359831E-2</v>
          </cell>
        </row>
        <row r="1944">
          <cell r="Y1944">
            <v>52454</v>
          </cell>
          <cell r="Z1944">
            <v>3.2883525823545222E-2</v>
          </cell>
          <cell r="AA1944">
            <v>3.2737341928810171E-2</v>
          </cell>
        </row>
        <row r="1945">
          <cell r="Y1945">
            <v>52461</v>
          </cell>
          <cell r="Z1945">
            <v>3.2873891605139767E-2</v>
          </cell>
          <cell r="AA1945">
            <v>3.2728268111131831E-2</v>
          </cell>
        </row>
        <row r="1946">
          <cell r="Y1946">
            <v>52468</v>
          </cell>
          <cell r="Z1946">
            <v>3.2864226003047337E-2</v>
          </cell>
          <cell r="AA1946">
            <v>3.271916337356795E-2</v>
          </cell>
        </row>
        <row r="1947">
          <cell r="Y1947">
            <v>52475</v>
          </cell>
          <cell r="Z1947">
            <v>3.2852994587650057E-2</v>
          </cell>
          <cell r="AA1947">
            <v>3.2710027715875389E-2</v>
          </cell>
        </row>
        <row r="1948">
          <cell r="Y1948">
            <v>52482</v>
          </cell>
          <cell r="Z1948">
            <v>3.284327243853849E-2</v>
          </cell>
          <cell r="AA1948">
            <v>3.2700861138135195E-2</v>
          </cell>
        </row>
        <row r="1949">
          <cell r="Y1949">
            <v>52489</v>
          </cell>
          <cell r="Z1949">
            <v>3.2833518912125964E-2</v>
          </cell>
          <cell r="AA1949">
            <v>3.2691663640428414E-2</v>
          </cell>
        </row>
        <row r="1950">
          <cell r="Y1950">
            <v>52496</v>
          </cell>
          <cell r="Z1950">
            <v>3.2823734008860475E-2</v>
          </cell>
          <cell r="AA1950">
            <v>3.2682435222592954E-2</v>
          </cell>
        </row>
        <row r="1951">
          <cell r="Y1951">
            <v>52503</v>
          </cell>
          <cell r="Z1951">
            <v>3.2813917729196673E-2</v>
          </cell>
          <cell r="AA1951">
            <v>3.2673175884790906E-2</v>
          </cell>
        </row>
        <row r="1952">
          <cell r="Y1952">
            <v>52510</v>
          </cell>
          <cell r="Z1952">
            <v>3.2804821842862646E-2</v>
          </cell>
          <cell r="AA1952">
            <v>3.2663885626941225E-2</v>
          </cell>
        </row>
        <row r="1953">
          <cell r="Y1953">
            <v>52517</v>
          </cell>
          <cell r="Z1953">
            <v>3.2794939689946158E-2</v>
          </cell>
          <cell r="AA1953">
            <v>3.265456444904391E-2</v>
          </cell>
        </row>
        <row r="1954">
          <cell r="Y1954">
            <v>52524</v>
          </cell>
          <cell r="Z1954">
            <v>3.2785026159497042E-2</v>
          </cell>
          <cell r="AA1954">
            <v>3.2645212351180009E-2</v>
          </cell>
        </row>
        <row r="1955">
          <cell r="Y1955">
            <v>52531</v>
          </cell>
          <cell r="Z1955">
            <v>3.2775081251974564E-2</v>
          </cell>
          <cell r="AA1955">
            <v>3.2635829333106381E-2</v>
          </cell>
        </row>
        <row r="1956">
          <cell r="Y1956">
            <v>52538</v>
          </cell>
          <cell r="Z1956">
            <v>3.2764365700819226E-2</v>
          </cell>
          <cell r="AA1956">
            <v>3.2626415395228259E-2</v>
          </cell>
        </row>
        <row r="1957">
          <cell r="Y1957">
            <v>52545</v>
          </cell>
          <cell r="Z1957">
            <v>3.2754361172338819E-2</v>
          </cell>
          <cell r="AA1957">
            <v>3.2616970537221457E-2</v>
          </cell>
        </row>
        <row r="1958">
          <cell r="Y1958">
            <v>52552</v>
          </cell>
          <cell r="Z1958">
            <v>3.2744325270666765E-2</v>
          </cell>
          <cell r="AA1958">
            <v>3.2607494759248068E-2</v>
          </cell>
        </row>
        <row r="1959">
          <cell r="Y1959">
            <v>52559</v>
          </cell>
          <cell r="Z1959">
            <v>3.2734257996265302E-2</v>
          </cell>
          <cell r="AA1959">
            <v>3.2597988061227046E-2</v>
          </cell>
        </row>
        <row r="1960">
          <cell r="Y1960">
            <v>52566</v>
          </cell>
          <cell r="Z1960">
            <v>3.2724886074512953E-2</v>
          </cell>
          <cell r="AA1960">
            <v>3.2588450443239436E-2</v>
          </cell>
        </row>
        <row r="1961">
          <cell r="Y1961">
            <v>52573</v>
          </cell>
          <cell r="Z1961">
            <v>3.271475291431656E-2</v>
          </cell>
          <cell r="AA1961">
            <v>3.257888190528524E-2</v>
          </cell>
        </row>
        <row r="1962">
          <cell r="Y1962">
            <v>52580</v>
          </cell>
          <cell r="Z1962">
            <v>3.2704588380313454E-2</v>
          </cell>
          <cell r="AA1962">
            <v>3.2569282447202363E-2</v>
          </cell>
        </row>
        <row r="1963">
          <cell r="Y1963">
            <v>52587</v>
          </cell>
          <cell r="Z1963">
            <v>3.2694392472977507E-2</v>
          </cell>
          <cell r="AA1963">
            <v>3.25596520691529E-2</v>
          </cell>
        </row>
        <row r="1964">
          <cell r="Y1964">
            <v>52594</v>
          </cell>
          <cell r="Z1964">
            <v>3.2684165201269426E-2</v>
          </cell>
          <cell r="AA1964">
            <v>3.254999077113685E-2</v>
          </cell>
        </row>
        <row r="1965">
          <cell r="Y1965">
            <v>52601</v>
          </cell>
          <cell r="Z1965">
            <v>3.267319609491097E-2</v>
          </cell>
          <cell r="AA1965">
            <v>3.2540298553073166E-2</v>
          </cell>
        </row>
        <row r="1966">
          <cell r="Y1966">
            <v>52608</v>
          </cell>
          <cell r="Z1966">
            <v>3.2662912278690101E-2</v>
          </cell>
          <cell r="AA1966">
            <v>3.2530575415042895E-2</v>
          </cell>
        </row>
        <row r="1967">
          <cell r="Y1967">
            <v>52615</v>
          </cell>
          <cell r="Z1967">
            <v>3.2652601797919553E-2</v>
          </cell>
          <cell r="AA1967">
            <v>3.2520821356964991E-2</v>
          </cell>
        </row>
        <row r="1968">
          <cell r="Y1968">
            <v>52622</v>
          </cell>
          <cell r="Z1968">
            <v>3.2642266848401359E-2</v>
          </cell>
          <cell r="AA1968">
            <v>3.2511036378920499E-2</v>
          </cell>
        </row>
        <row r="1969">
          <cell r="Y1969">
            <v>52629</v>
          </cell>
          <cell r="Z1969">
            <v>3.2631909625894344E-2</v>
          </cell>
          <cell r="AA1969">
            <v>3.2501220480990467E-2</v>
          </cell>
        </row>
        <row r="1970">
          <cell r="Y1970">
            <v>52636</v>
          </cell>
          <cell r="Z1970">
            <v>3.2621532326112361E-2</v>
          </cell>
          <cell r="AA1970">
            <v>3.2491373662931755E-2</v>
          </cell>
        </row>
        <row r="1971">
          <cell r="Y1971">
            <v>52643</v>
          </cell>
          <cell r="Z1971">
            <v>3.261113714472786E-2</v>
          </cell>
          <cell r="AA1971">
            <v>3.2481495924987502E-2</v>
          </cell>
        </row>
        <row r="1972">
          <cell r="Y1972">
            <v>52650</v>
          </cell>
          <cell r="Z1972">
            <v>3.2600726277366071E-2</v>
          </cell>
          <cell r="AA1972">
            <v>3.2471587266995616E-2</v>
          </cell>
        </row>
        <row r="1973">
          <cell r="Y1973">
            <v>52657</v>
          </cell>
          <cell r="Z1973">
            <v>3.2591696800389959E-2</v>
          </cell>
          <cell r="AA1973">
            <v>3.2461647689037143E-2</v>
          </cell>
        </row>
        <row r="1974">
          <cell r="Y1974">
            <v>52664</v>
          </cell>
          <cell r="Z1974">
            <v>3.2581259779465729E-2</v>
          </cell>
          <cell r="AA1974">
            <v>3.2451677191193129E-2</v>
          </cell>
        </row>
        <row r="1975">
          <cell r="Y1975">
            <v>52671</v>
          </cell>
          <cell r="Z1975">
            <v>3.2570814036606367E-2</v>
          </cell>
          <cell r="AA1975">
            <v>3.2441675773220435E-2</v>
          </cell>
        </row>
        <row r="1976">
          <cell r="Y1976">
            <v>52678</v>
          </cell>
          <cell r="Z1976">
            <v>3.2560361743777751E-2</v>
          </cell>
          <cell r="AA1976">
            <v>3.2431643435362201E-2</v>
          </cell>
        </row>
        <row r="1977">
          <cell r="Y1977">
            <v>52685</v>
          </cell>
          <cell r="Z1977">
            <v>3.2549905072898198E-2</v>
          </cell>
          <cell r="AA1977">
            <v>3.2421580177537379E-2</v>
          </cell>
        </row>
        <row r="1978">
          <cell r="Y1978">
            <v>52692</v>
          </cell>
          <cell r="Z1978">
            <v>3.2538750360648266E-2</v>
          </cell>
          <cell r="AA1978">
            <v>3.2411485999827017E-2</v>
          </cell>
        </row>
        <row r="1979">
          <cell r="Y1979">
            <v>52699</v>
          </cell>
          <cell r="Z1979">
            <v>3.2528291302960713E-2</v>
          </cell>
          <cell r="AA1979">
            <v>3.2401360901987974E-2</v>
          </cell>
        </row>
        <row r="1980">
          <cell r="Y1980">
            <v>52706</v>
          </cell>
          <cell r="Z1980">
            <v>3.251783425339938E-2</v>
          </cell>
          <cell r="AA1980">
            <v>3.2391204884263392E-2</v>
          </cell>
        </row>
        <row r="1981">
          <cell r="Y1981">
            <v>52713</v>
          </cell>
          <cell r="Z1981">
            <v>3.2507381395382957E-2</v>
          </cell>
          <cell r="AA1981">
            <v>3.2381017946572221E-2</v>
          </cell>
        </row>
        <row r="1982">
          <cell r="Y1982">
            <v>52720</v>
          </cell>
          <cell r="Z1982">
            <v>3.2497632061757174E-2</v>
          </cell>
          <cell r="AA1982">
            <v>3.2370800088914464E-2</v>
          </cell>
        </row>
        <row r="1983">
          <cell r="Y1983">
            <v>52727</v>
          </cell>
          <cell r="Z1983">
            <v>3.248719473035433E-2</v>
          </cell>
          <cell r="AA1983">
            <v>3.236055131129012E-2</v>
          </cell>
        </row>
        <row r="1984">
          <cell r="Y1984">
            <v>52734</v>
          </cell>
          <cell r="Z1984">
            <v>3.2476768223073868E-2</v>
          </cell>
          <cell r="AA1984">
            <v>3.2350271613699189E-2</v>
          </cell>
        </row>
        <row r="1985">
          <cell r="Y1985">
            <v>52741</v>
          </cell>
          <cell r="Z1985">
            <v>3.2466354711475118E-2</v>
          </cell>
          <cell r="AA1985">
            <v>3.2339960996222716E-2</v>
          </cell>
        </row>
        <row r="1986">
          <cell r="Y1986">
            <v>52748</v>
          </cell>
          <cell r="Z1986">
            <v>3.2455256394890337E-2</v>
          </cell>
          <cell r="AA1986">
            <v>3.2329619458860703E-2</v>
          </cell>
        </row>
        <row r="1987">
          <cell r="Y1987">
            <v>52755</v>
          </cell>
          <cell r="Z1987">
            <v>3.2444874535370746E-2</v>
          </cell>
          <cell r="AA1987">
            <v>3.2319247001451057E-2</v>
          </cell>
        </row>
        <row r="1988">
          <cell r="Y1988">
            <v>52762</v>
          </cell>
          <cell r="Z1988">
            <v>3.2434512150056292E-2</v>
          </cell>
          <cell r="AA1988">
            <v>3.230884362415587E-2</v>
          </cell>
        </row>
        <row r="1989">
          <cell r="Y1989">
            <v>52769</v>
          </cell>
          <cell r="Z1989">
            <v>3.242417142200605E-2</v>
          </cell>
          <cell r="AA1989">
            <v>3.2298409326813049E-2</v>
          </cell>
        </row>
        <row r="1990">
          <cell r="Y1990">
            <v>52776</v>
          </cell>
          <cell r="Z1990">
            <v>3.2413854533174573E-2</v>
          </cell>
          <cell r="AA1990">
            <v>3.228794544709146E-2</v>
          </cell>
        </row>
        <row r="1991">
          <cell r="Y1991">
            <v>52783</v>
          </cell>
          <cell r="Z1991">
            <v>3.2404267612657314E-2</v>
          </cell>
          <cell r="AA1991">
            <v>3.2277489432182005E-2</v>
          </cell>
        </row>
        <row r="1992">
          <cell r="Y1992">
            <v>52790</v>
          </cell>
          <cell r="Z1992">
            <v>3.2394002849669361E-2</v>
          </cell>
          <cell r="AA1992">
            <v>3.2267058668375981E-2</v>
          </cell>
        </row>
        <row r="1993">
          <cell r="Y1993">
            <v>52797</v>
          </cell>
          <cell r="Z1993">
            <v>3.2383763799768019E-2</v>
          </cell>
          <cell r="AA1993">
            <v>3.225665315583548E-2</v>
          </cell>
        </row>
        <row r="1994">
          <cell r="Y1994">
            <v>52804</v>
          </cell>
          <cell r="Z1994">
            <v>3.2373550462563037E-2</v>
          </cell>
          <cell r="AA1994">
            <v>3.2246272894398409E-2</v>
          </cell>
        </row>
        <row r="1995">
          <cell r="Y1995">
            <v>52811</v>
          </cell>
          <cell r="Z1995">
            <v>3.2363362837663272E-2</v>
          </cell>
          <cell r="AA1995">
            <v>3.2235917884145815E-2</v>
          </cell>
        </row>
        <row r="1996">
          <cell r="Y1996">
            <v>52818</v>
          </cell>
          <cell r="Z1996">
            <v>3.2353200924680678E-2</v>
          </cell>
          <cell r="AA1996">
            <v>3.222558812523979E-2</v>
          </cell>
        </row>
        <row r="1997">
          <cell r="Y1997">
            <v>52825</v>
          </cell>
          <cell r="Z1997">
            <v>3.2343064723224992E-2</v>
          </cell>
          <cell r="AA1997">
            <v>3.2215283617275103E-2</v>
          </cell>
        </row>
        <row r="1998">
          <cell r="Y1998">
            <v>52832</v>
          </cell>
          <cell r="Z1998">
            <v>3.2332954232910806E-2</v>
          </cell>
          <cell r="AA1998">
            <v>3.220500436057594E-2</v>
          </cell>
        </row>
        <row r="1999">
          <cell r="Y1999">
            <v>52839</v>
          </cell>
          <cell r="Z1999">
            <v>3.2321445550447393E-2</v>
          </cell>
          <cell r="AA1999">
            <v>3.219475035489916E-2</v>
          </cell>
        </row>
        <row r="2000">
          <cell r="Y2000">
            <v>52846</v>
          </cell>
          <cell r="Z2000">
            <v>3.2310671872142538E-2</v>
          </cell>
          <cell r="AA2000">
            <v>3.2184521600487903E-2</v>
          </cell>
        </row>
        <row r="2001">
          <cell r="Y2001">
            <v>52853</v>
          </cell>
          <cell r="Z2001">
            <v>3.2300635647910511E-2</v>
          </cell>
          <cell r="AA2001">
            <v>3.2174318097180077E-2</v>
          </cell>
        </row>
        <row r="2002">
          <cell r="Y2002">
            <v>52860</v>
          </cell>
          <cell r="Z2002">
            <v>3.2290625125778044E-2</v>
          </cell>
          <cell r="AA2002">
            <v>3.2164139845056727E-2</v>
          </cell>
        </row>
        <row r="2003">
          <cell r="Y2003">
            <v>52867</v>
          </cell>
          <cell r="Z2003">
            <v>3.2280640305369021E-2</v>
          </cell>
          <cell r="AA2003">
            <v>3.2153986844117854E-2</v>
          </cell>
        </row>
        <row r="2004">
          <cell r="Y2004">
            <v>52874</v>
          </cell>
          <cell r="Z2004">
            <v>3.2271397724033972E-2</v>
          </cell>
          <cell r="AA2004">
            <v>3.2143859094201366E-2</v>
          </cell>
        </row>
        <row r="2005">
          <cell r="Y2005">
            <v>52881</v>
          </cell>
          <cell r="Z2005">
            <v>3.2261465270665236E-2</v>
          </cell>
          <cell r="AA2005">
            <v>3.2133756595712493E-2</v>
          </cell>
        </row>
        <row r="2006">
          <cell r="Y2006">
            <v>52888</v>
          </cell>
          <cell r="Z2006">
            <v>3.2251558520389245E-2</v>
          </cell>
          <cell r="AA2006">
            <v>3.2123679348083911E-2</v>
          </cell>
        </row>
        <row r="2007">
          <cell r="Y2007">
            <v>52895</v>
          </cell>
          <cell r="Z2007">
            <v>3.2241677472831499E-2</v>
          </cell>
          <cell r="AA2007">
            <v>3.2113627351720853E-2</v>
          </cell>
        </row>
        <row r="2008">
          <cell r="Y2008">
            <v>52902</v>
          </cell>
          <cell r="Z2008">
            <v>3.2231822127619277E-2</v>
          </cell>
          <cell r="AA2008">
            <v>3.2103600606461224E-2</v>
          </cell>
        </row>
        <row r="2009">
          <cell r="Y2009">
            <v>52909</v>
          </cell>
          <cell r="Z2009">
            <v>3.2221271098163987E-2</v>
          </cell>
          <cell r="AA2009">
            <v>3.2093599112223981E-2</v>
          </cell>
        </row>
        <row r="2010">
          <cell r="Y2010">
            <v>52916</v>
          </cell>
          <cell r="Z2010">
            <v>3.2211466179366745E-2</v>
          </cell>
          <cell r="AA2010">
            <v>3.208362286925226E-2</v>
          </cell>
        </row>
        <row r="2011">
          <cell r="Y2011">
            <v>52923</v>
          </cell>
          <cell r="Z2011">
            <v>3.2201686959317966E-2</v>
          </cell>
          <cell r="AA2011">
            <v>3.2073671877465015E-2</v>
          </cell>
        </row>
        <row r="2012">
          <cell r="Y2012">
            <v>52930</v>
          </cell>
          <cell r="Z2012">
            <v>3.2192657762788471E-2</v>
          </cell>
          <cell r="AA2012">
            <v>3.2063746136781202E-2</v>
          </cell>
        </row>
        <row r="2013">
          <cell r="Y2013">
            <v>52937</v>
          </cell>
          <cell r="Z2013">
            <v>3.2182930923734365E-2</v>
          </cell>
          <cell r="AA2013">
            <v>3.2053845647200818E-2</v>
          </cell>
        </row>
        <row r="2014">
          <cell r="Y2014">
            <v>52944</v>
          </cell>
          <cell r="Z2014">
            <v>3.2173229784806356E-2</v>
          </cell>
          <cell r="AA2014">
            <v>3.2043970408804912E-2</v>
          </cell>
        </row>
        <row r="2015">
          <cell r="Y2015">
            <v>52951</v>
          </cell>
          <cell r="Z2015">
            <v>3.2163554345635732E-2</v>
          </cell>
          <cell r="AA2015">
            <v>3.2034120421350343E-2</v>
          </cell>
        </row>
        <row r="2016">
          <cell r="Y2016">
            <v>52959</v>
          </cell>
          <cell r="Z2016">
            <v>3.2152528169492496E-2</v>
          </cell>
          <cell r="AA2016">
            <v>3.2022894212774267E-2</v>
          </cell>
        </row>
        <row r="2017">
          <cell r="Y2017">
            <v>52966</v>
          </cell>
          <cell r="Z2017">
            <v>3.2142178384847425E-2</v>
          </cell>
          <cell r="AA2017">
            <v>3.2013098334977563E-2</v>
          </cell>
        </row>
        <row r="2018">
          <cell r="Y2018">
            <v>52973</v>
          </cell>
          <cell r="Z2018">
            <v>3.2132582716655214E-2</v>
          </cell>
          <cell r="AA2018">
            <v>3.200332770828429E-2</v>
          </cell>
        </row>
        <row r="2019">
          <cell r="Y2019">
            <v>52980</v>
          </cell>
          <cell r="Z2019">
            <v>3.2123012744247219E-2</v>
          </cell>
          <cell r="AA2019">
            <v>3.1993582332694448E-2</v>
          </cell>
        </row>
        <row r="2020">
          <cell r="Y2020">
            <v>52987</v>
          </cell>
          <cell r="Z2020">
            <v>3.2113468467262547E-2</v>
          </cell>
          <cell r="AA2020">
            <v>3.1983862208289082E-2</v>
          </cell>
        </row>
        <row r="2021">
          <cell r="Y2021">
            <v>52994</v>
          </cell>
          <cell r="Z2021">
            <v>3.2103949885344325E-2</v>
          </cell>
          <cell r="AA2021">
            <v>3.1974167334987147E-2</v>
          </cell>
        </row>
        <row r="2022">
          <cell r="Y2022">
            <v>53001</v>
          </cell>
          <cell r="Z2022">
            <v>3.2094456998132098E-2</v>
          </cell>
          <cell r="AA2022">
            <v>3.1964497712788642E-2</v>
          </cell>
        </row>
        <row r="2023">
          <cell r="Y2023">
            <v>53008</v>
          </cell>
          <cell r="Z2023">
            <v>3.2084989805271233E-2</v>
          </cell>
          <cell r="AA2023">
            <v>3.1954853341612521E-2</v>
          </cell>
        </row>
        <row r="2024">
          <cell r="Y2024">
            <v>53015</v>
          </cell>
          <cell r="Z2024">
            <v>3.207554830640575E-2</v>
          </cell>
          <cell r="AA2024">
            <v>3.1945234221701924E-2</v>
          </cell>
        </row>
        <row r="2025">
          <cell r="Y2025">
            <v>53022</v>
          </cell>
          <cell r="Z2025">
            <v>3.2068345310779151E-2</v>
          </cell>
          <cell r="AA2025">
            <v>3.1935640352732664E-2</v>
          </cell>
        </row>
        <row r="2026">
          <cell r="Y2026">
            <v>53029</v>
          </cell>
          <cell r="Z2026">
            <v>3.2058958250653531E-2</v>
          </cell>
          <cell r="AA2026">
            <v>3.1926071735028927E-2</v>
          </cell>
        </row>
        <row r="2027">
          <cell r="Y2027">
            <v>53036</v>
          </cell>
          <cell r="Z2027">
            <v>3.2049596890813173E-2</v>
          </cell>
          <cell r="AA2027">
            <v>3.1916528368347574E-2</v>
          </cell>
        </row>
        <row r="2028">
          <cell r="Y2028">
            <v>53043</v>
          </cell>
          <cell r="Z2028">
            <v>3.2040261230900417E-2</v>
          </cell>
          <cell r="AA2028">
            <v>3.1907010252607559E-2</v>
          </cell>
        </row>
        <row r="2029">
          <cell r="Y2029">
            <v>53050</v>
          </cell>
          <cell r="Z2029">
            <v>3.2030951270559806E-2</v>
          </cell>
          <cell r="AA2029">
            <v>3.1897517388133068E-2</v>
          </cell>
        </row>
        <row r="2030">
          <cell r="Y2030">
            <v>53057</v>
          </cell>
          <cell r="Z2030">
            <v>3.2020924153400396E-2</v>
          </cell>
          <cell r="AA2030">
            <v>3.1888049774843052E-2</v>
          </cell>
        </row>
        <row r="2031">
          <cell r="Y2031">
            <v>53064</v>
          </cell>
          <cell r="Z2031">
            <v>3.2011664561349962E-2</v>
          </cell>
          <cell r="AA2031">
            <v>3.1878607412494375E-2</v>
          </cell>
        </row>
        <row r="2032">
          <cell r="Y2032">
            <v>53071</v>
          </cell>
          <cell r="Z2032">
            <v>3.200243066536565E-2</v>
          </cell>
          <cell r="AA2032">
            <v>3.1869190301330175E-2</v>
          </cell>
        </row>
        <row r="2033">
          <cell r="Y2033">
            <v>53078</v>
          </cell>
          <cell r="Z2033">
            <v>3.1993222465095353E-2</v>
          </cell>
          <cell r="AA2033">
            <v>3.1859798441107312E-2</v>
          </cell>
        </row>
        <row r="2034">
          <cell r="Y2034">
            <v>53085</v>
          </cell>
          <cell r="Z2034">
            <v>3.1984786950008871E-2</v>
          </cell>
          <cell r="AA2034">
            <v>3.1850431832068926E-2</v>
          </cell>
        </row>
        <row r="2035">
          <cell r="Y2035">
            <v>53092</v>
          </cell>
          <cell r="Z2035">
            <v>3.1975631179661609E-2</v>
          </cell>
          <cell r="AA2035">
            <v>3.1841090474215017E-2</v>
          </cell>
        </row>
        <row r="2036">
          <cell r="Y2036">
            <v>53099</v>
          </cell>
          <cell r="Z2036">
            <v>3.1966501106415454E-2</v>
          </cell>
          <cell r="AA2036">
            <v>3.1831774367302446E-2</v>
          </cell>
        </row>
        <row r="2037">
          <cell r="Y2037">
            <v>53106</v>
          </cell>
          <cell r="Z2037">
            <v>3.1957396729922885E-2</v>
          </cell>
          <cell r="AA2037">
            <v>3.1822483511493305E-2</v>
          </cell>
        </row>
        <row r="2038">
          <cell r="Y2038">
            <v>53113</v>
          </cell>
          <cell r="Z2038">
            <v>3.194756688726192E-2</v>
          </cell>
          <cell r="AA2038">
            <v>3.1813217906706548E-2</v>
          </cell>
        </row>
        <row r="2039">
          <cell r="Y2039">
            <v>53120</v>
          </cell>
          <cell r="Z2039">
            <v>3.1938512853970112E-2</v>
          </cell>
          <cell r="AA2039">
            <v>3.1803977553104268E-2</v>
          </cell>
        </row>
        <row r="2040">
          <cell r="Y2040">
            <v>53127</v>
          </cell>
          <cell r="Z2040">
            <v>3.1929484513964032E-2</v>
          </cell>
          <cell r="AA2040">
            <v>3.1794762450605418E-2</v>
          </cell>
        </row>
        <row r="2041">
          <cell r="Y2041">
            <v>53134</v>
          </cell>
          <cell r="Z2041">
            <v>3.1920481866900913E-2</v>
          </cell>
          <cell r="AA2041">
            <v>3.1785572599047907E-2</v>
          </cell>
        </row>
        <row r="2042">
          <cell r="Y2042">
            <v>53141</v>
          </cell>
          <cell r="Z2042">
            <v>3.1911504912440172E-2</v>
          </cell>
          <cell r="AA2042">
            <v>3.1776407998674872E-2</v>
          </cell>
        </row>
        <row r="2043">
          <cell r="Y2043">
            <v>53148</v>
          </cell>
          <cell r="Z2043">
            <v>3.1903310083375977E-2</v>
          </cell>
          <cell r="AA2043">
            <v>3.1767268649324221E-2</v>
          </cell>
        </row>
        <row r="2044">
          <cell r="Y2044">
            <v>53155</v>
          </cell>
          <cell r="Z2044">
            <v>3.1894385574472585E-2</v>
          </cell>
          <cell r="AA2044">
            <v>3.1758154551077E-2</v>
          </cell>
        </row>
        <row r="2045">
          <cell r="Y2045">
            <v>53162</v>
          </cell>
          <cell r="Z2045">
            <v>3.1885486759566754E-2</v>
          </cell>
          <cell r="AA2045">
            <v>3.1749065703771118E-2</v>
          </cell>
        </row>
        <row r="2046">
          <cell r="Y2046">
            <v>53169</v>
          </cell>
          <cell r="Z2046">
            <v>3.1876613638320221E-2</v>
          </cell>
          <cell r="AA2046">
            <v>3.1740002107649712E-2</v>
          </cell>
        </row>
        <row r="2047">
          <cell r="Y2047">
            <v>53176</v>
          </cell>
          <cell r="Z2047">
            <v>3.186776621039205E-2</v>
          </cell>
          <cell r="AA2047">
            <v>3.1730963762631736E-2</v>
          </cell>
        </row>
        <row r="2048">
          <cell r="Y2048">
            <v>53183</v>
          </cell>
          <cell r="Z2048">
            <v>3.1858944475445287E-2</v>
          </cell>
          <cell r="AA2048">
            <v>3.1721950668555099E-2</v>
          </cell>
        </row>
        <row r="2049">
          <cell r="Y2049">
            <v>53190</v>
          </cell>
          <cell r="Z2049">
            <v>3.1850148433142982E-2</v>
          </cell>
          <cell r="AA2049">
            <v>3.1712962825581892E-2</v>
          </cell>
        </row>
        <row r="2050">
          <cell r="Y2050">
            <v>53197</v>
          </cell>
          <cell r="Z2050">
            <v>3.1841378083148596E-2</v>
          </cell>
          <cell r="AA2050">
            <v>3.1704000233712115E-2</v>
          </cell>
        </row>
        <row r="2051">
          <cell r="Y2051">
            <v>53204</v>
          </cell>
          <cell r="Z2051">
            <v>3.1831103589519731E-2</v>
          </cell>
          <cell r="AA2051">
            <v>3.1695062892864723E-2</v>
          </cell>
        </row>
        <row r="2052">
          <cell r="Y2052">
            <v>53211</v>
          </cell>
          <cell r="Z2052">
            <v>3.1821616685947574E-2</v>
          </cell>
          <cell r="AA2052">
            <v>3.1686150802958668E-2</v>
          </cell>
        </row>
        <row r="2053">
          <cell r="Y2053">
            <v>53218</v>
          </cell>
          <cell r="Z2053">
            <v>3.18129201625044E-2</v>
          </cell>
          <cell r="AA2053">
            <v>3.167726396423709E-2</v>
          </cell>
        </row>
        <row r="2054">
          <cell r="Y2054">
            <v>53225</v>
          </cell>
          <cell r="Z2054">
            <v>3.1804249322830901E-2</v>
          </cell>
          <cell r="AA2054">
            <v>3.1668402376537896E-2</v>
          </cell>
        </row>
        <row r="2055">
          <cell r="Y2055">
            <v>53232</v>
          </cell>
          <cell r="Z2055">
            <v>3.1795604166601543E-2</v>
          </cell>
          <cell r="AA2055">
            <v>3.1659566039942133E-2</v>
          </cell>
        </row>
        <row r="2056">
          <cell r="Y2056">
            <v>53239</v>
          </cell>
          <cell r="Z2056">
            <v>3.1787754814071215E-2</v>
          </cell>
          <cell r="AA2056">
            <v>3.1650754954287708E-2</v>
          </cell>
        </row>
        <row r="2057">
          <cell r="Y2057">
            <v>53246</v>
          </cell>
          <cell r="Z2057">
            <v>3.1779162115861292E-2</v>
          </cell>
          <cell r="AA2057">
            <v>3.1641969119736713E-2</v>
          </cell>
        </row>
        <row r="2058">
          <cell r="Y2058">
            <v>53253</v>
          </cell>
          <cell r="Z2058">
            <v>3.177059510251895E-2</v>
          </cell>
          <cell r="AA2058">
            <v>3.1633208536208102E-2</v>
          </cell>
        </row>
        <row r="2059">
          <cell r="Y2059">
            <v>53260</v>
          </cell>
          <cell r="Z2059">
            <v>3.1762053773718657E-2</v>
          </cell>
          <cell r="AA2059">
            <v>3.1624473203701875E-2</v>
          </cell>
        </row>
        <row r="2060">
          <cell r="Y2060">
            <v>53267</v>
          </cell>
          <cell r="Z2060">
            <v>3.1752763625785205E-2</v>
          </cell>
          <cell r="AA2060">
            <v>3.1615763122299079E-2</v>
          </cell>
        </row>
        <row r="2061">
          <cell r="Y2061">
            <v>53274</v>
          </cell>
          <cell r="Z2061">
            <v>3.1744272563433422E-2</v>
          </cell>
          <cell r="AA2061">
            <v>3.1607078291756574E-2</v>
          </cell>
        </row>
        <row r="2062">
          <cell r="Y2062">
            <v>53281</v>
          </cell>
          <cell r="Z2062">
            <v>3.1735807182273049E-2</v>
          </cell>
          <cell r="AA2062">
            <v>3.1598418712398546E-2</v>
          </cell>
        </row>
        <row r="2063">
          <cell r="Y2063">
            <v>53288</v>
          </cell>
          <cell r="Z2063">
            <v>3.1727367481983938E-2</v>
          </cell>
          <cell r="AA2063">
            <v>3.1589784384143949E-2</v>
          </cell>
        </row>
        <row r="2064">
          <cell r="Y2064">
            <v>53295</v>
          </cell>
          <cell r="Z2064">
            <v>3.1718953462250857E-2</v>
          </cell>
          <cell r="AA2064">
            <v>3.1581175306830689E-2</v>
          </cell>
        </row>
        <row r="2065">
          <cell r="Y2065">
            <v>53302</v>
          </cell>
          <cell r="Z2065">
            <v>3.1711345158321219E-2</v>
          </cell>
          <cell r="AA2065">
            <v>3.1572591480539813E-2</v>
          </cell>
        </row>
        <row r="2066">
          <cell r="Y2066">
            <v>53309</v>
          </cell>
          <cell r="Z2066">
            <v>3.1702983612341015E-2</v>
          </cell>
          <cell r="AA2066">
            <v>3.1564032905271322E-2</v>
          </cell>
        </row>
        <row r="2067">
          <cell r="Y2067">
            <v>53316</v>
          </cell>
          <cell r="Z2067">
            <v>3.1694647748349465E-2</v>
          </cell>
          <cell r="AA2067">
            <v>3.1555499581106261E-2</v>
          </cell>
        </row>
        <row r="2068">
          <cell r="Y2068">
            <v>53323</v>
          </cell>
          <cell r="Z2068">
            <v>3.1686337566030405E-2</v>
          </cell>
          <cell r="AA2068">
            <v>3.1546991507882538E-2</v>
          </cell>
        </row>
        <row r="2069">
          <cell r="Y2069">
            <v>53330</v>
          </cell>
          <cell r="Z2069">
            <v>3.1677268560878998E-2</v>
          </cell>
          <cell r="AA2069">
            <v>3.1538508685681199E-2</v>
          </cell>
        </row>
        <row r="2070">
          <cell r="Y2070">
            <v>53337</v>
          </cell>
          <cell r="Z2070">
            <v>3.1669008617869886E-2</v>
          </cell>
          <cell r="AA2070">
            <v>3.1530051114502244E-2</v>
          </cell>
        </row>
        <row r="2071">
          <cell r="Y2071">
            <v>53344</v>
          </cell>
          <cell r="Z2071">
            <v>3.1660774353223634E-2</v>
          </cell>
          <cell r="AA2071">
            <v>3.1521618794345674E-2</v>
          </cell>
        </row>
        <row r="2072">
          <cell r="Y2072">
            <v>53351</v>
          </cell>
          <cell r="Z2072">
            <v>3.1652565766629927E-2</v>
          </cell>
          <cell r="AA2072">
            <v>3.1513211725211487E-2</v>
          </cell>
        </row>
        <row r="2073">
          <cell r="Y2073">
            <v>53358</v>
          </cell>
          <cell r="Z2073">
            <v>3.1644382857781157E-2</v>
          </cell>
          <cell r="AA2073">
            <v>3.1504829907099685E-2</v>
          </cell>
        </row>
        <row r="2074">
          <cell r="Y2074">
            <v>53365</v>
          </cell>
          <cell r="Z2074">
            <v>3.1636225626367913E-2</v>
          </cell>
          <cell r="AA2074">
            <v>3.1496473339848174E-2</v>
          </cell>
        </row>
        <row r="2075">
          <cell r="Y2075">
            <v>53372</v>
          </cell>
          <cell r="Z2075">
            <v>3.1628094072086159E-2</v>
          </cell>
          <cell r="AA2075">
            <v>3.1488142023862187E-2</v>
          </cell>
        </row>
        <row r="2076">
          <cell r="Y2076">
            <v>53379</v>
          </cell>
          <cell r="Z2076">
            <v>3.1619988194628273E-2</v>
          </cell>
          <cell r="AA2076">
            <v>3.1479835958736491E-2</v>
          </cell>
        </row>
        <row r="2077">
          <cell r="Y2077">
            <v>53386</v>
          </cell>
          <cell r="Z2077">
            <v>3.1614289124839857E-2</v>
          </cell>
          <cell r="AA2077">
            <v>3.1471555144714225E-2</v>
          </cell>
        </row>
        <row r="2078">
          <cell r="Y2078">
            <v>53393</v>
          </cell>
          <cell r="Z2078">
            <v>3.1606238027030428E-2</v>
          </cell>
          <cell r="AA2078">
            <v>3.1463299581633297E-2</v>
          </cell>
        </row>
        <row r="2079">
          <cell r="Y2079">
            <v>53400</v>
          </cell>
          <cell r="Z2079">
            <v>3.1598212612213454E-2</v>
          </cell>
          <cell r="AA2079">
            <v>3.14550692696558E-2</v>
          </cell>
        </row>
        <row r="2080">
          <cell r="Y2080">
            <v>53407</v>
          </cell>
          <cell r="Z2080">
            <v>3.1590212880079724E-2</v>
          </cell>
          <cell r="AA2080">
            <v>3.1446864208538594E-2</v>
          </cell>
        </row>
        <row r="2081">
          <cell r="Y2081">
            <v>53414</v>
          </cell>
          <cell r="Z2081">
            <v>3.1582238830324877E-2</v>
          </cell>
          <cell r="AA2081">
            <v>3.1438684398443772E-2</v>
          </cell>
        </row>
        <row r="2082">
          <cell r="Y2082">
            <v>53421</v>
          </cell>
          <cell r="Z2082">
            <v>3.1573490860658256E-2</v>
          </cell>
          <cell r="AA2082">
            <v>3.1430529839371335E-2</v>
          </cell>
        </row>
        <row r="2083">
          <cell r="Y2083">
            <v>53428</v>
          </cell>
          <cell r="Z2083">
            <v>3.156556702038639E-2</v>
          </cell>
          <cell r="AA2083">
            <v>3.1422400531321282E-2</v>
          </cell>
        </row>
        <row r="2084">
          <cell r="Y2084">
            <v>53435</v>
          </cell>
          <cell r="Z2084">
            <v>3.1557668859229122E-2</v>
          </cell>
          <cell r="AA2084">
            <v>3.1414296474293613E-2</v>
          </cell>
        </row>
        <row r="2085">
          <cell r="Y2085">
            <v>53442</v>
          </cell>
          <cell r="Z2085">
            <v>3.1549796376889726E-2</v>
          </cell>
          <cell r="AA2085">
            <v>3.1406217668288328E-2</v>
          </cell>
        </row>
        <row r="2086">
          <cell r="Y2086">
            <v>53449</v>
          </cell>
          <cell r="Z2086">
            <v>3.1542753806593882E-2</v>
          </cell>
          <cell r="AA2086">
            <v>3.1398164113224381E-2</v>
          </cell>
        </row>
        <row r="2087">
          <cell r="Y2087">
            <v>53456</v>
          </cell>
          <cell r="Z2087">
            <v>3.1534933844745337E-2</v>
          </cell>
          <cell r="AA2087">
            <v>3.1390135809101771E-2</v>
          </cell>
        </row>
        <row r="2088">
          <cell r="Y2088">
            <v>53463</v>
          </cell>
          <cell r="Z2088">
            <v>3.1527139563163629E-2</v>
          </cell>
          <cell r="AA2088">
            <v>3.1382132756001546E-2</v>
          </cell>
        </row>
        <row r="2089">
          <cell r="Y2089">
            <v>53470</v>
          </cell>
          <cell r="Z2089">
            <v>3.1519370961550552E-2</v>
          </cell>
          <cell r="AA2089">
            <v>3.1374154953761613E-2</v>
          </cell>
        </row>
        <row r="2090">
          <cell r="Y2090">
            <v>53477</v>
          </cell>
          <cell r="Z2090">
            <v>3.1511628039609239E-2</v>
          </cell>
          <cell r="AA2090">
            <v>3.1366202402706156E-2</v>
          </cell>
        </row>
        <row r="2091">
          <cell r="Y2091">
            <v>53484</v>
          </cell>
          <cell r="Z2091">
            <v>3.150310072131713E-2</v>
          </cell>
          <cell r="AA2091">
            <v>3.1358275102592037E-2</v>
          </cell>
        </row>
        <row r="2092">
          <cell r="Y2092">
            <v>53491</v>
          </cell>
          <cell r="Z2092">
            <v>3.1495407982372325E-2</v>
          </cell>
          <cell r="AA2092">
            <v>3.1350373053419256E-2</v>
          </cell>
        </row>
        <row r="2093">
          <cell r="Y2093">
            <v>53498</v>
          </cell>
          <cell r="Z2093">
            <v>3.1487740919879111E-2</v>
          </cell>
          <cell r="AA2093">
            <v>3.1342496255106767E-2</v>
          </cell>
        </row>
        <row r="2094">
          <cell r="Y2094">
            <v>53505</v>
          </cell>
          <cell r="Z2094">
            <v>3.1480099533546503E-2</v>
          </cell>
          <cell r="AA2094">
            <v>3.1334644707978754E-2</v>
          </cell>
        </row>
        <row r="2095">
          <cell r="Y2095">
            <v>53512</v>
          </cell>
          <cell r="Z2095">
            <v>3.1473298614669416E-2</v>
          </cell>
          <cell r="AA2095">
            <v>3.1326818411792079E-2</v>
          </cell>
        </row>
        <row r="2096">
          <cell r="Y2096">
            <v>53519</v>
          </cell>
          <cell r="Z2096">
            <v>3.1465709764584161E-2</v>
          </cell>
          <cell r="AA2096">
            <v>3.1319017366627788E-2</v>
          </cell>
        </row>
        <row r="2097">
          <cell r="Y2097">
            <v>53526</v>
          </cell>
          <cell r="Z2097">
            <v>3.1458146592121157E-2</v>
          </cell>
          <cell r="AA2097">
            <v>3.1311241572323789E-2</v>
          </cell>
        </row>
        <row r="2098">
          <cell r="Y2098">
            <v>53533</v>
          </cell>
          <cell r="Z2098">
            <v>3.1450609096991461E-2</v>
          </cell>
          <cell r="AA2098">
            <v>3.1303491028961128E-2</v>
          </cell>
        </row>
        <row r="2099">
          <cell r="Y2099">
            <v>53540</v>
          </cell>
          <cell r="Z2099">
            <v>3.1443097278908337E-2</v>
          </cell>
          <cell r="AA2099">
            <v>3.1295765736701897E-2</v>
          </cell>
        </row>
        <row r="2100">
          <cell r="Y2100">
            <v>53547</v>
          </cell>
          <cell r="Z2100">
            <v>3.1435611137582822E-2</v>
          </cell>
          <cell r="AA2100">
            <v>3.1288065695302958E-2</v>
          </cell>
        </row>
        <row r="2101">
          <cell r="Y2101">
            <v>53554</v>
          </cell>
          <cell r="Z2101">
            <v>3.1428150672729943E-2</v>
          </cell>
          <cell r="AA2101">
            <v>3.1280390905007449E-2</v>
          </cell>
        </row>
        <row r="2102">
          <cell r="Y2102">
            <v>53561</v>
          </cell>
          <cell r="Z2102">
            <v>3.1420715884065149E-2</v>
          </cell>
          <cell r="AA2102">
            <v>3.1272741365572232E-2</v>
          </cell>
        </row>
        <row r="2103">
          <cell r="Y2103">
            <v>53568</v>
          </cell>
          <cell r="Z2103">
            <v>3.1412482436164048E-2</v>
          </cell>
          <cell r="AA2103">
            <v>3.1265117077159399E-2</v>
          </cell>
        </row>
        <row r="2104">
          <cell r="Y2104">
            <v>53575</v>
          </cell>
          <cell r="Z2104">
            <v>3.1403447206446736E-2</v>
          </cell>
          <cell r="AA2104">
            <v>3.1257518039606857E-2</v>
          </cell>
        </row>
        <row r="2105">
          <cell r="Y2105">
            <v>53582</v>
          </cell>
          <cell r="Z2105">
            <v>3.1396085828326946E-2</v>
          </cell>
          <cell r="AA2105">
            <v>3.1249944253157746E-2</v>
          </cell>
        </row>
        <row r="2106">
          <cell r="Y2106">
            <v>53589</v>
          </cell>
          <cell r="Z2106">
            <v>3.1388750118312062E-2</v>
          </cell>
          <cell r="AA2106">
            <v>3.1242395717487881E-2</v>
          </cell>
        </row>
        <row r="2107">
          <cell r="Y2107">
            <v>53596</v>
          </cell>
          <cell r="Z2107">
            <v>3.1381440076129842E-2</v>
          </cell>
          <cell r="AA2107">
            <v>3.1234872432921446E-2</v>
          </cell>
        </row>
        <row r="2108">
          <cell r="Y2108">
            <v>53603</v>
          </cell>
          <cell r="Z2108">
            <v>3.1374985749327816E-2</v>
          </cell>
          <cell r="AA2108">
            <v>3.1227374399215302E-2</v>
          </cell>
        </row>
        <row r="2109">
          <cell r="Y2109">
            <v>53610</v>
          </cell>
          <cell r="Z2109">
            <v>3.1367728256403965E-2</v>
          </cell>
          <cell r="AA2109">
            <v>3.1219901616612589E-2</v>
          </cell>
        </row>
        <row r="2110">
          <cell r="Y2110">
            <v>53617</v>
          </cell>
          <cell r="Z2110">
            <v>3.1360496432801942E-2</v>
          </cell>
          <cell r="AA2110">
            <v>3.1212454084870167E-2</v>
          </cell>
        </row>
        <row r="2111">
          <cell r="Y2111">
            <v>53624</v>
          </cell>
          <cell r="Z2111">
            <v>3.1353290278246557E-2</v>
          </cell>
          <cell r="AA2111">
            <v>3.1205031803988037E-2</v>
          </cell>
        </row>
        <row r="2112">
          <cell r="Y2112">
            <v>53631</v>
          </cell>
          <cell r="Z2112">
            <v>3.1345274873102166E-2</v>
          </cell>
          <cell r="AA2112">
            <v>3.1197634774047245E-2</v>
          </cell>
        </row>
        <row r="2113">
          <cell r="Y2113">
            <v>53638</v>
          </cell>
          <cell r="Z2113">
            <v>3.1338118832172808E-2</v>
          </cell>
          <cell r="AA2113">
            <v>3.1190262995371976E-2</v>
          </cell>
        </row>
        <row r="2114">
          <cell r="Y2114">
            <v>53645</v>
          </cell>
          <cell r="Z2114">
            <v>3.133098845717041E-2</v>
          </cell>
          <cell r="AA2114">
            <v>3.1182916467394906E-2</v>
          </cell>
        </row>
        <row r="2115">
          <cell r="Y2115">
            <v>53652</v>
          </cell>
          <cell r="Z2115">
            <v>3.1323883747829427E-2</v>
          </cell>
          <cell r="AA2115">
            <v>3.1175595190359173E-2</v>
          </cell>
        </row>
        <row r="2116">
          <cell r="Y2116">
            <v>53659</v>
          </cell>
          <cell r="Z2116">
            <v>3.1316804703883004E-2</v>
          </cell>
          <cell r="AA2116">
            <v>3.1168299164345825E-2</v>
          </cell>
        </row>
        <row r="2117">
          <cell r="Y2117">
            <v>53666</v>
          </cell>
          <cell r="Z2117">
            <v>3.1310592385744088E-2</v>
          </cell>
          <cell r="AA2117">
            <v>3.1161028389273815E-2</v>
          </cell>
        </row>
        <row r="2118">
          <cell r="Y2118">
            <v>53673</v>
          </cell>
          <cell r="Z2118">
            <v>3.1303565906955107E-2</v>
          </cell>
          <cell r="AA2118">
            <v>3.115378286498105E-2</v>
          </cell>
        </row>
        <row r="2119">
          <cell r="Y2119">
            <v>53680</v>
          </cell>
          <cell r="Z2119">
            <v>3.1296565095063698E-2</v>
          </cell>
          <cell r="AA2119">
            <v>3.1146562591791715E-2</v>
          </cell>
        </row>
        <row r="2120">
          <cell r="Y2120">
            <v>53688</v>
          </cell>
          <cell r="Z2120">
            <v>3.128859559570174E-2</v>
          </cell>
          <cell r="AA2120">
            <v>3.1138341770495792E-2</v>
          </cell>
        </row>
        <row r="2121">
          <cell r="Y2121">
            <v>53695</v>
          </cell>
          <cell r="Z2121">
            <v>3.1280803590656096E-2</v>
          </cell>
          <cell r="AA2121">
            <v>3.1131175606478045E-2</v>
          </cell>
        </row>
        <row r="2122">
          <cell r="Y2122">
            <v>53702</v>
          </cell>
          <cell r="Z2122">
            <v>3.1273882199757505E-2</v>
          </cell>
          <cell r="AA2122">
            <v>3.112403469332059E-2</v>
          </cell>
        </row>
        <row r="2123">
          <cell r="Y2123">
            <v>53709</v>
          </cell>
          <cell r="Z2123">
            <v>3.1266986472373727E-2</v>
          </cell>
          <cell r="AA2123">
            <v>3.1116919031104473E-2</v>
          </cell>
        </row>
        <row r="2124">
          <cell r="Y2124">
            <v>53716</v>
          </cell>
          <cell r="Z2124">
            <v>3.1260116408246857E-2</v>
          </cell>
          <cell r="AA2124">
            <v>3.1109828619829694E-2</v>
          </cell>
        </row>
        <row r="2125">
          <cell r="Y2125">
            <v>53723</v>
          </cell>
          <cell r="Z2125">
            <v>3.1253272007118076E-2</v>
          </cell>
          <cell r="AA2125">
            <v>3.1102763459496252E-2</v>
          </cell>
        </row>
        <row r="2126">
          <cell r="Y2126">
            <v>53730</v>
          </cell>
          <cell r="Z2126">
            <v>3.1246453268729022E-2</v>
          </cell>
          <cell r="AA2126">
            <v>3.1095723550104148E-2</v>
          </cell>
        </row>
        <row r="2127">
          <cell r="Y2127">
            <v>53737</v>
          </cell>
          <cell r="Z2127">
            <v>3.1239660192825369E-2</v>
          </cell>
          <cell r="AA2127">
            <v>3.1088708891653383E-2</v>
          </cell>
        </row>
        <row r="2128">
          <cell r="Y2128">
            <v>53744</v>
          </cell>
          <cell r="Z2128">
            <v>3.1232892779150537E-2</v>
          </cell>
          <cell r="AA2128">
            <v>3.1081719484143955E-2</v>
          </cell>
        </row>
        <row r="2129">
          <cell r="Y2129">
            <v>53751</v>
          </cell>
          <cell r="Z2129">
            <v>3.1227863625659619E-2</v>
          </cell>
          <cell r="AA2129">
            <v>3.1074755327494819E-2</v>
          </cell>
        </row>
        <row r="2130">
          <cell r="Y2130">
            <v>53758</v>
          </cell>
          <cell r="Z2130">
            <v>3.1223724023143523E-2</v>
          </cell>
          <cell r="AA2130">
            <v>3.106781642178702E-2</v>
          </cell>
        </row>
        <row r="2131">
          <cell r="Y2131">
            <v>53765</v>
          </cell>
          <cell r="Z2131">
            <v>3.1217039923724668E-2</v>
          </cell>
          <cell r="AA2131">
            <v>3.1060902766939513E-2</v>
          </cell>
        </row>
        <row r="2132">
          <cell r="Y2132">
            <v>53772</v>
          </cell>
          <cell r="Z2132">
            <v>3.1210381496925284E-2</v>
          </cell>
          <cell r="AA2132">
            <v>3.1054014363195437E-2</v>
          </cell>
        </row>
        <row r="2133">
          <cell r="Y2133">
            <v>53779</v>
          </cell>
          <cell r="Z2133">
            <v>3.1203748742486548E-2</v>
          </cell>
          <cell r="AA2133">
            <v>3.1047151210230606E-2</v>
          </cell>
        </row>
        <row r="2134">
          <cell r="Y2134">
            <v>53786</v>
          </cell>
          <cell r="Z2134">
            <v>3.1194552464745069E-2</v>
          </cell>
          <cell r="AA2134">
            <v>3.104031330804502E-2</v>
          </cell>
        </row>
        <row r="2135">
          <cell r="Y2135">
            <v>53793</v>
          </cell>
          <cell r="Z2135">
            <v>3.1187967228635323E-2</v>
          </cell>
          <cell r="AA2135">
            <v>3.1036836267557266E-2</v>
          </cell>
        </row>
        <row r="2136">
          <cell r="Y2136">
            <v>53800</v>
          </cell>
          <cell r="Z2136">
            <v>3.1181407657297197E-2</v>
          </cell>
          <cell r="AA2136">
            <v>3.1026713256903093E-2</v>
          </cell>
        </row>
        <row r="2137">
          <cell r="Y2137">
            <v>53807</v>
          </cell>
          <cell r="Z2137">
            <v>3.1174873750481794E-2</v>
          </cell>
          <cell r="AA2137">
            <v>3.1019951107703614E-2</v>
          </cell>
        </row>
        <row r="2138">
          <cell r="Y2138">
            <v>53814</v>
          </cell>
          <cell r="Z2138">
            <v>3.1170970046786171E-2</v>
          </cell>
          <cell r="AA2138">
            <v>3.1013214209202333E-2</v>
          </cell>
        </row>
        <row r="2139">
          <cell r="Y2139">
            <v>53821</v>
          </cell>
          <cell r="Z2139">
            <v>3.116449132117359E-2</v>
          </cell>
          <cell r="AA2139">
            <v>3.1006502561804483E-2</v>
          </cell>
        </row>
        <row r="2140">
          <cell r="Y2140">
            <v>53828</v>
          </cell>
          <cell r="Z2140">
            <v>3.1158038266150403E-2</v>
          </cell>
          <cell r="AA2140">
            <v>3.0999816165347971E-2</v>
          </cell>
        </row>
        <row r="2141">
          <cell r="Y2141">
            <v>53835</v>
          </cell>
          <cell r="Z2141">
            <v>3.11516108814665E-2</v>
          </cell>
          <cell r="AA2141">
            <v>3.0993155019508611E-2</v>
          </cell>
        </row>
        <row r="2142">
          <cell r="Y2142">
            <v>53842</v>
          </cell>
          <cell r="Z2142">
            <v>3.1142589175587841E-2</v>
          </cell>
          <cell r="AA2142">
            <v>3.0986519124934775E-2</v>
          </cell>
        </row>
        <row r="2143">
          <cell r="Y2143">
            <v>53849</v>
          </cell>
          <cell r="Z2143">
            <v>3.1136209250729345E-2</v>
          </cell>
          <cell r="AA2143">
            <v>3.0979908481059137E-2</v>
          </cell>
        </row>
        <row r="2144">
          <cell r="Y2144">
            <v>53856</v>
          </cell>
          <cell r="Z2144">
            <v>3.1129854988675654E-2</v>
          </cell>
          <cell r="AA2144">
            <v>3.0973323088205884E-2</v>
          </cell>
        </row>
        <row r="2145">
          <cell r="Y2145">
            <v>53863</v>
          </cell>
          <cell r="Z2145">
            <v>3.1123526389186289E-2</v>
          </cell>
          <cell r="AA2145">
            <v>3.096676294605083E-2</v>
          </cell>
        </row>
        <row r="2146">
          <cell r="Y2146">
            <v>53870</v>
          </cell>
          <cell r="Z2146">
            <v>3.11172234520221E-2</v>
          </cell>
          <cell r="AA2146">
            <v>3.096022805491816E-2</v>
          </cell>
        </row>
        <row r="2147">
          <cell r="Y2147">
            <v>53877</v>
          </cell>
          <cell r="Z2147">
            <v>3.1113585636690116E-2</v>
          </cell>
          <cell r="AA2147">
            <v>3.0953718414807874E-2</v>
          </cell>
        </row>
        <row r="2148">
          <cell r="Y2148">
            <v>53884</v>
          </cell>
          <cell r="Z2148">
            <v>3.1107337937497054E-2</v>
          </cell>
          <cell r="AA2148">
            <v>3.0947234025476833E-2</v>
          </cell>
        </row>
        <row r="2149">
          <cell r="Y2149">
            <v>53891</v>
          </cell>
          <cell r="Z2149">
            <v>3.1101115906687272E-2</v>
          </cell>
          <cell r="AA2149">
            <v>3.0940774887006084E-2</v>
          </cell>
        </row>
        <row r="2150">
          <cell r="Y2150">
            <v>53898</v>
          </cell>
          <cell r="Z2150">
            <v>3.1094919544020244E-2</v>
          </cell>
          <cell r="AA2150">
            <v>3.0934340999476673E-2</v>
          </cell>
        </row>
        <row r="2151">
          <cell r="Y2151">
            <v>53905</v>
          </cell>
          <cell r="Z2151">
            <v>3.1088748849256317E-2</v>
          </cell>
          <cell r="AA2151">
            <v>3.0927932362969646E-2</v>
          </cell>
        </row>
        <row r="2152">
          <cell r="Y2152">
            <v>53912</v>
          </cell>
          <cell r="Z2152">
            <v>3.1082603822157585E-2</v>
          </cell>
          <cell r="AA2152">
            <v>3.0921548977160818E-2</v>
          </cell>
        </row>
        <row r="2153">
          <cell r="Y2153">
            <v>53919</v>
          </cell>
          <cell r="Z2153">
            <v>3.1076484462487439E-2</v>
          </cell>
          <cell r="AA2153">
            <v>3.0915190842293327E-2</v>
          </cell>
        </row>
        <row r="2154">
          <cell r="Y2154">
            <v>53926</v>
          </cell>
          <cell r="Z2154">
            <v>3.1070390770009278E-2</v>
          </cell>
          <cell r="AA2154">
            <v>3.0908857958448221E-2</v>
          </cell>
        </row>
        <row r="2155">
          <cell r="Y2155">
            <v>53933</v>
          </cell>
          <cell r="Z2155">
            <v>3.1061651782923319E-2</v>
          </cell>
          <cell r="AA2155">
            <v>3.0902550325382361E-2</v>
          </cell>
        </row>
        <row r="2156">
          <cell r="Y2156">
            <v>53940</v>
          </cell>
          <cell r="Z2156">
            <v>3.105471416715767E-2</v>
          </cell>
          <cell r="AA2156">
            <v>3.0896267943176792E-2</v>
          </cell>
        </row>
        <row r="2157">
          <cell r="Y2157">
            <v>53947</v>
          </cell>
          <cell r="Z2157">
            <v>3.1048692175564548E-2</v>
          </cell>
          <cell r="AA2157">
            <v>3.089001081191256E-2</v>
          </cell>
        </row>
        <row r="2158">
          <cell r="Y2158">
            <v>53954</v>
          </cell>
          <cell r="Z2158">
            <v>3.1042695841239629E-2</v>
          </cell>
          <cell r="AA2158">
            <v>3.0883778931508621E-2</v>
          </cell>
        </row>
        <row r="2159">
          <cell r="Y2159">
            <v>53961</v>
          </cell>
          <cell r="Z2159">
            <v>3.1036725163956697E-2</v>
          </cell>
          <cell r="AA2159">
            <v>3.0877572302046019E-2</v>
          </cell>
        </row>
        <row r="2160">
          <cell r="Y2160">
            <v>53968</v>
          </cell>
          <cell r="Z2160">
            <v>3.103526492637879E-2</v>
          </cell>
          <cell r="AA2160">
            <v>3.0871390923362663E-2</v>
          </cell>
        </row>
        <row r="2161">
          <cell r="Y2161">
            <v>53975</v>
          </cell>
          <cell r="Z2161">
            <v>3.1025758712913076E-2</v>
          </cell>
          <cell r="AA2161">
            <v>3.086523479570169E-2</v>
          </cell>
        </row>
        <row r="2162">
          <cell r="Y2162">
            <v>53982</v>
          </cell>
          <cell r="Z2162">
            <v>3.1019866341029167E-2</v>
          </cell>
          <cell r="AA2162">
            <v>3.0859103918819963E-2</v>
          </cell>
        </row>
        <row r="2163">
          <cell r="Y2163">
            <v>53989</v>
          </cell>
          <cell r="Z2163">
            <v>3.1013999627532377E-2</v>
          </cell>
          <cell r="AA2163">
            <v>3.0852998292717482E-2</v>
          </cell>
        </row>
        <row r="2164">
          <cell r="Y2164">
            <v>53996</v>
          </cell>
          <cell r="Z2164">
            <v>3.1007256625299195E-2</v>
          </cell>
          <cell r="AA2164">
            <v>3.0846917917637384E-2</v>
          </cell>
        </row>
        <row r="2165">
          <cell r="Y2165">
            <v>54003</v>
          </cell>
          <cell r="Z2165">
            <v>3.1001439885561255E-2</v>
          </cell>
          <cell r="AA2165">
            <v>3.0840862793498625E-2</v>
          </cell>
        </row>
        <row r="2166">
          <cell r="Y2166">
            <v>54010</v>
          </cell>
          <cell r="Z2166">
            <v>3.099564880130672E-2</v>
          </cell>
          <cell r="AA2166">
            <v>3.083483292013911E-2</v>
          </cell>
        </row>
        <row r="2167">
          <cell r="Y2167">
            <v>54017</v>
          </cell>
          <cell r="Z2167">
            <v>3.0989883372315161E-2</v>
          </cell>
          <cell r="AA2167">
            <v>3.0828828297558841E-2</v>
          </cell>
        </row>
        <row r="2168">
          <cell r="Y2168">
            <v>54024</v>
          </cell>
          <cell r="Z2168">
            <v>3.0984143598370154E-2</v>
          </cell>
          <cell r="AA2168">
            <v>3.0822848926082003E-2</v>
          </cell>
        </row>
        <row r="2169">
          <cell r="Y2169">
            <v>54031</v>
          </cell>
          <cell r="Z2169">
            <v>3.0979338160250097E-2</v>
          </cell>
          <cell r="AA2169">
            <v>3.0816894805303363E-2</v>
          </cell>
        </row>
        <row r="2170">
          <cell r="Y2170">
            <v>54038</v>
          </cell>
          <cell r="Z2170">
            <v>3.0973651049270867E-2</v>
          </cell>
          <cell r="AA2170">
            <v>3.0810965935303969E-2</v>
          </cell>
        </row>
        <row r="2171">
          <cell r="Y2171">
            <v>54045</v>
          </cell>
          <cell r="Z2171">
            <v>3.0967989594923195E-2</v>
          </cell>
          <cell r="AA2171">
            <v>3.0805062316326959E-2</v>
          </cell>
        </row>
        <row r="2172">
          <cell r="Y2172">
            <v>54053</v>
          </cell>
          <cell r="Z2172">
            <v>3.0963377207348684E-2</v>
          </cell>
          <cell r="AA2172">
            <v>3.0800107890642806E-2</v>
          </cell>
        </row>
        <row r="2173">
          <cell r="Y2173">
            <v>54060</v>
          </cell>
          <cell r="Z2173">
            <v>3.0955029997839518E-2</v>
          </cell>
          <cell r="AA2173">
            <v>3.0794261001468873E-2</v>
          </cell>
        </row>
        <row r="2174">
          <cell r="Y2174">
            <v>54067</v>
          </cell>
          <cell r="Z2174">
            <v>3.0949447814459005E-2</v>
          </cell>
          <cell r="AA2174">
            <v>3.0788439367558748E-2</v>
          </cell>
        </row>
        <row r="2175">
          <cell r="Y2175">
            <v>54074</v>
          </cell>
          <cell r="Z2175">
            <v>3.0943891284596303E-2</v>
          </cell>
          <cell r="AA2175">
            <v>3.0782642988966456E-2</v>
          </cell>
        </row>
        <row r="2176">
          <cell r="Y2176">
            <v>54081</v>
          </cell>
          <cell r="Z2176">
            <v>3.0938360408043E-2</v>
          </cell>
          <cell r="AA2176">
            <v>3.0776871865746035E-2</v>
          </cell>
        </row>
        <row r="2177">
          <cell r="Y2177">
            <v>54088</v>
          </cell>
          <cell r="Z2177">
            <v>3.0932855184589807E-2</v>
          </cell>
          <cell r="AA2177">
            <v>3.0771125997762404E-2</v>
          </cell>
        </row>
        <row r="2178">
          <cell r="Y2178">
            <v>54095</v>
          </cell>
          <cell r="Z2178">
            <v>3.0927375614028318E-2</v>
          </cell>
          <cell r="AA2178">
            <v>3.0765405385123627E-2</v>
          </cell>
        </row>
        <row r="2179">
          <cell r="Y2179">
            <v>54102</v>
          </cell>
          <cell r="Z2179">
            <v>3.092192169615102E-2</v>
          </cell>
          <cell r="AA2179">
            <v>3.0759710027694624E-2</v>
          </cell>
        </row>
        <row r="2180">
          <cell r="Y2180">
            <v>54109</v>
          </cell>
          <cell r="Z2180">
            <v>3.0916493430753957E-2</v>
          </cell>
          <cell r="AA2180">
            <v>3.0754039925664504E-2</v>
          </cell>
        </row>
        <row r="2181">
          <cell r="Y2181">
            <v>54116</v>
          </cell>
          <cell r="Z2181">
            <v>3.0911090817629171E-2</v>
          </cell>
          <cell r="AA2181">
            <v>3.0748395078844158E-2</v>
          </cell>
        </row>
        <row r="2182">
          <cell r="Y2182">
            <v>54123</v>
          </cell>
          <cell r="Z2182">
            <v>3.090849435384134E-2</v>
          </cell>
          <cell r="AA2182">
            <v>3.0742775487314637E-2</v>
          </cell>
        </row>
        <row r="2183">
          <cell r="Y2183">
            <v>54130</v>
          </cell>
          <cell r="Z2183">
            <v>3.0903147193803625E-2</v>
          </cell>
          <cell r="AA2183">
            <v>3.0737181151102952E-2</v>
          </cell>
        </row>
        <row r="2184">
          <cell r="Y2184">
            <v>54137</v>
          </cell>
          <cell r="Z2184">
            <v>3.0897825692083089E-2</v>
          </cell>
          <cell r="AA2184">
            <v>3.0731612070128055E-2</v>
          </cell>
        </row>
        <row r="2185">
          <cell r="Y2185">
            <v>54144</v>
          </cell>
          <cell r="Z2185">
            <v>3.0892529848476465E-2</v>
          </cell>
          <cell r="AA2185">
            <v>3.0726068244470998E-2</v>
          </cell>
        </row>
        <row r="2186">
          <cell r="Y2186">
            <v>54155</v>
          </cell>
          <cell r="Z2186">
            <v>3.0882393116061072E-2</v>
          </cell>
          <cell r="AA2186">
            <v>3.0715607268880785E-2</v>
          </cell>
        </row>
        <row r="2187">
          <cell r="Y2187">
            <v>54162</v>
          </cell>
          <cell r="Z2187">
            <v>3.0877160462889151E-2</v>
          </cell>
          <cell r="AA2187">
            <v>3.0710125699950908E-2</v>
          </cell>
        </row>
        <row r="2188">
          <cell r="Y2188">
            <v>54169</v>
          </cell>
          <cell r="Z2188">
            <v>3.0871953462683111E-2</v>
          </cell>
          <cell r="AA2188">
            <v>3.070466938171923E-2</v>
          </cell>
        </row>
        <row r="2189">
          <cell r="Y2189">
            <v>54176</v>
          </cell>
          <cell r="Z2189">
            <v>3.0866772115245421E-2</v>
          </cell>
          <cell r="AA2189">
            <v>3.0699238314509936E-2</v>
          </cell>
        </row>
        <row r="2190">
          <cell r="Y2190">
            <v>54183</v>
          </cell>
          <cell r="Z2190">
            <v>3.0862555179388313E-2</v>
          </cell>
          <cell r="AA2190">
            <v>3.069383249824198E-2</v>
          </cell>
        </row>
        <row r="2191">
          <cell r="Y2191">
            <v>54190</v>
          </cell>
          <cell r="Z2191">
            <v>3.0857426538921727E-2</v>
          </cell>
          <cell r="AA2191">
            <v>3.0688451932672223E-2</v>
          </cell>
        </row>
        <row r="2192">
          <cell r="Y2192">
            <v>54197</v>
          </cell>
          <cell r="Z2192">
            <v>3.0852323552843543E-2</v>
          </cell>
          <cell r="AA2192">
            <v>3.0683096617881711E-2</v>
          </cell>
        </row>
        <row r="2193">
          <cell r="Y2193">
            <v>54204</v>
          </cell>
          <cell r="Z2193">
            <v>3.0847246220960394E-2</v>
          </cell>
          <cell r="AA2193">
            <v>3.0677766554032537E-2</v>
          </cell>
        </row>
        <row r="2194">
          <cell r="Y2194">
            <v>54211</v>
          </cell>
          <cell r="Z2194">
            <v>3.0841250162717295E-2</v>
          </cell>
          <cell r="AA2194">
            <v>3.0672461741043655E-2</v>
          </cell>
        </row>
        <row r="2195">
          <cell r="Y2195">
            <v>54218</v>
          </cell>
          <cell r="Z2195">
            <v>3.0836222727787382E-2</v>
          </cell>
          <cell r="AA2195">
            <v>3.0667182178834018E-2</v>
          </cell>
        </row>
        <row r="2196">
          <cell r="Y2196">
            <v>54225</v>
          </cell>
          <cell r="Z2196">
            <v>3.083122094426885E-2</v>
          </cell>
          <cell r="AA2196">
            <v>3.0661927867565719E-2</v>
          </cell>
        </row>
        <row r="2197">
          <cell r="Y2197">
            <v>54232</v>
          </cell>
          <cell r="Z2197">
            <v>3.0826244811969494E-2</v>
          </cell>
          <cell r="AA2197">
            <v>3.0656698806995619E-2</v>
          </cell>
        </row>
        <row r="2198">
          <cell r="Y2198">
            <v>54239</v>
          </cell>
          <cell r="Z2198">
            <v>3.0822244367707679E-2</v>
          </cell>
          <cell r="AA2198">
            <v>3.0651494997447903E-2</v>
          </cell>
        </row>
        <row r="2199">
          <cell r="Y2199">
            <v>54246</v>
          </cell>
          <cell r="Z2199">
            <v>3.0817320956952124E-2</v>
          </cell>
          <cell r="AA2199">
            <v>3.0646316438598387E-2</v>
          </cell>
        </row>
        <row r="2200">
          <cell r="Y2200">
            <v>54253</v>
          </cell>
          <cell r="Z2200">
            <v>3.0812423199054785E-2</v>
          </cell>
          <cell r="AA2200">
            <v>3.0641163130528115E-2</v>
          </cell>
        </row>
        <row r="2201">
          <cell r="Y2201">
            <v>54260</v>
          </cell>
          <cell r="Z2201">
            <v>3.0807551093828458E-2</v>
          </cell>
          <cell r="AA2201">
            <v>3.0636035073480228E-2</v>
          </cell>
        </row>
        <row r="2202">
          <cell r="Y2202">
            <v>54267</v>
          </cell>
          <cell r="Z2202">
            <v>3.0802704641085945E-2</v>
          </cell>
          <cell r="AA2202">
            <v>3.063093226713054E-2</v>
          </cell>
        </row>
        <row r="2203">
          <cell r="Y2203">
            <v>54274</v>
          </cell>
          <cell r="Z2203">
            <v>3.0797883840642252E-2</v>
          </cell>
          <cell r="AA2203">
            <v>3.0625854711560097E-2</v>
          </cell>
        </row>
        <row r="2204">
          <cell r="Y2204">
            <v>54281</v>
          </cell>
          <cell r="Z2204">
            <v>3.079308869231458E-2</v>
          </cell>
          <cell r="AA2204">
            <v>3.0620802406930991E-2</v>
          </cell>
        </row>
        <row r="2205">
          <cell r="Y2205">
            <v>54288</v>
          </cell>
          <cell r="Z2205">
            <v>3.0788319195919699E-2</v>
          </cell>
          <cell r="AA2205">
            <v>3.0615775353162178E-2</v>
          </cell>
        </row>
        <row r="2206">
          <cell r="Y2206">
            <v>54295</v>
          </cell>
          <cell r="Z2206">
            <v>3.0783575351273487E-2</v>
          </cell>
          <cell r="AA2206">
            <v>3.0610773550010517E-2</v>
          </cell>
        </row>
        <row r="2207">
          <cell r="Y2207">
            <v>54302</v>
          </cell>
          <cell r="Z2207">
            <v>3.0775969053564722E-2</v>
          </cell>
          <cell r="AA2207">
            <v>3.0605796997800194E-2</v>
          </cell>
        </row>
        <row r="2208">
          <cell r="Y2208">
            <v>54309</v>
          </cell>
          <cell r="Z2208">
            <v>3.0771272194391117E-2</v>
          </cell>
          <cell r="AA2208">
            <v>3.0600845696693302E-2</v>
          </cell>
        </row>
        <row r="2209">
          <cell r="Y2209">
            <v>54316</v>
          </cell>
          <cell r="Z2209">
            <v>3.0766600979848992E-2</v>
          </cell>
          <cell r="AA2209">
            <v>3.0595919646122516E-2</v>
          </cell>
        </row>
        <row r="2210">
          <cell r="Y2210">
            <v>54323</v>
          </cell>
          <cell r="Z2210">
            <v>3.0761955409763724E-2</v>
          </cell>
          <cell r="AA2210">
            <v>3.0591018846330975E-2</v>
          </cell>
        </row>
        <row r="2211">
          <cell r="Y2211">
            <v>54330</v>
          </cell>
          <cell r="Z2211">
            <v>3.0757335483959782E-2</v>
          </cell>
          <cell r="AA2211">
            <v>3.0586143297480772E-2</v>
          </cell>
        </row>
        <row r="2212">
          <cell r="Y2212">
            <v>54337</v>
          </cell>
          <cell r="Z2212">
            <v>3.0753710928511903E-2</v>
          </cell>
          <cell r="AA2212">
            <v>3.0581292999490861E-2</v>
          </cell>
        </row>
        <row r="2213">
          <cell r="Y2213">
            <v>54344</v>
          </cell>
          <cell r="Z2213">
            <v>3.0749143740587181E-2</v>
          </cell>
          <cell r="AA2213">
            <v>3.0576467952280195E-2</v>
          </cell>
        </row>
        <row r="2214">
          <cell r="Y2214">
            <v>54351</v>
          </cell>
          <cell r="Z2214">
            <v>3.0744602198614017E-2</v>
          </cell>
          <cell r="AA2214">
            <v>3.0571668155767728E-2</v>
          </cell>
        </row>
        <row r="2215">
          <cell r="Y2215">
            <v>54358</v>
          </cell>
          <cell r="Z2215">
            <v>3.074008630242097E-2</v>
          </cell>
          <cell r="AA2215">
            <v>3.0566893610277646E-2</v>
          </cell>
        </row>
        <row r="2216">
          <cell r="Y2216">
            <v>54365</v>
          </cell>
          <cell r="Z2216">
            <v>3.0735596051839266E-2</v>
          </cell>
          <cell r="AA2216">
            <v>3.0562144315485762E-2</v>
          </cell>
        </row>
        <row r="2217">
          <cell r="Y2217">
            <v>54372</v>
          </cell>
          <cell r="Z2217">
            <v>3.0730154449410678E-2</v>
          </cell>
          <cell r="AA2217">
            <v>3.0557420271392077E-2</v>
          </cell>
        </row>
        <row r="2218">
          <cell r="Y2218">
            <v>54379</v>
          </cell>
          <cell r="Z2218">
            <v>3.072571402877549E-2</v>
          </cell>
          <cell r="AA2218">
            <v>3.0552721478239731E-2</v>
          </cell>
        </row>
        <row r="2219">
          <cell r="Y2219">
            <v>54386</v>
          </cell>
          <cell r="Z2219">
            <v>3.0721299251062647E-2</v>
          </cell>
          <cell r="AA2219">
            <v>3.0548047936028722E-2</v>
          </cell>
        </row>
        <row r="2220">
          <cell r="Y2220">
            <v>54393</v>
          </cell>
          <cell r="Z2220">
            <v>3.0717891502233061E-2</v>
          </cell>
          <cell r="AA2220">
            <v>3.0543399644596958E-2</v>
          </cell>
        </row>
        <row r="2221">
          <cell r="Y2221">
            <v>54400</v>
          </cell>
          <cell r="Z2221">
            <v>3.0713529477175597E-2</v>
          </cell>
          <cell r="AA2221">
            <v>3.0538776603782347E-2</v>
          </cell>
        </row>
        <row r="2222">
          <cell r="Y2222">
            <v>54407</v>
          </cell>
          <cell r="Z2222">
            <v>3.0709193096725304E-2</v>
          </cell>
          <cell r="AA2222">
            <v>3.0534178814071167E-2</v>
          </cell>
        </row>
        <row r="2223">
          <cell r="Y2223">
            <v>54414</v>
          </cell>
          <cell r="Z2223">
            <v>3.0704882360718305E-2</v>
          </cell>
          <cell r="AA2223">
            <v>3.0529606274896093E-2</v>
          </cell>
        </row>
        <row r="2224">
          <cell r="Y2224">
            <v>54421</v>
          </cell>
          <cell r="Z2224">
            <v>3.070059726899162E-2</v>
          </cell>
          <cell r="AA2224">
            <v>3.052505898658131E-2</v>
          </cell>
        </row>
        <row r="2225">
          <cell r="Y2225">
            <v>54428</v>
          </cell>
          <cell r="Z2225">
            <v>3.0695349076890512E-2</v>
          </cell>
          <cell r="AA2225">
            <v>3.0520536949207866E-2</v>
          </cell>
        </row>
        <row r="2226">
          <cell r="Y2226">
            <v>54435</v>
          </cell>
          <cell r="Z2226">
            <v>3.069111379503147E-2</v>
          </cell>
          <cell r="AA2226">
            <v>3.0516040162613667E-2</v>
          </cell>
        </row>
        <row r="2227">
          <cell r="Y2227">
            <v>54442</v>
          </cell>
          <cell r="Z2227">
            <v>3.0686904154792662E-2</v>
          </cell>
          <cell r="AA2227">
            <v>3.0511568626717667E-2</v>
          </cell>
        </row>
        <row r="2228">
          <cell r="Y2228">
            <v>54449</v>
          </cell>
          <cell r="Z2228">
            <v>3.0682720156016474E-2</v>
          </cell>
          <cell r="AA2228">
            <v>3.0507122341681958E-2</v>
          </cell>
        </row>
        <row r="2229">
          <cell r="Y2229">
            <v>54456</v>
          </cell>
          <cell r="Z2229">
            <v>3.0678561798545737E-2</v>
          </cell>
          <cell r="AA2229">
            <v>3.0502701307506541E-2</v>
          </cell>
        </row>
        <row r="2230">
          <cell r="Y2230">
            <v>54463</v>
          </cell>
          <cell r="Z2230">
            <v>3.0674429082224178E-2</v>
          </cell>
          <cell r="AA2230">
            <v>3.0498305524029323E-2</v>
          </cell>
        </row>
        <row r="2231">
          <cell r="Y2231">
            <v>54470</v>
          </cell>
          <cell r="Z2231">
            <v>3.0670322006897316E-2</v>
          </cell>
          <cell r="AA2231">
            <v>3.0493934991493443E-2</v>
          </cell>
        </row>
        <row r="2232">
          <cell r="Y2232">
            <v>54477</v>
          </cell>
          <cell r="Z2232">
            <v>3.066624057240978E-2</v>
          </cell>
          <cell r="AA2232">
            <v>3.0489589709574716E-2</v>
          </cell>
        </row>
        <row r="2233">
          <cell r="Y2233">
            <v>54484</v>
          </cell>
          <cell r="Z2233">
            <v>3.0665187268631502E-2</v>
          </cell>
          <cell r="AA2233">
            <v>3.0485269678678373E-2</v>
          </cell>
        </row>
        <row r="2234">
          <cell r="Y2234">
            <v>54491</v>
          </cell>
          <cell r="Z2234">
            <v>3.0661161603013538E-2</v>
          </cell>
          <cell r="AA2234">
            <v>3.0480974898561275E-2</v>
          </cell>
        </row>
        <row r="2235">
          <cell r="Y2235">
            <v>54498</v>
          </cell>
          <cell r="Z2235">
            <v>3.0657161584287634E-2</v>
          </cell>
          <cell r="AA2235">
            <v>3.0476705368899237E-2</v>
          </cell>
        </row>
        <row r="2236">
          <cell r="Y2236">
            <v>54505</v>
          </cell>
          <cell r="Z2236">
            <v>3.0653187212304034E-2</v>
          </cell>
          <cell r="AA2236">
            <v>3.0472461090421676E-2</v>
          </cell>
        </row>
        <row r="2237">
          <cell r="Y2237">
            <v>54512</v>
          </cell>
          <cell r="Z2237">
            <v>3.0649238486909893E-2</v>
          </cell>
          <cell r="AA2237">
            <v>3.0468242062642314E-2</v>
          </cell>
        </row>
        <row r="2238">
          <cell r="Y2238">
            <v>54519</v>
          </cell>
          <cell r="Z2238">
            <v>3.0644306876465206E-2</v>
          </cell>
          <cell r="AA2238">
            <v>3.0464048285642198E-2</v>
          </cell>
        </row>
        <row r="2239">
          <cell r="Y2239">
            <v>54526</v>
          </cell>
          <cell r="Z2239">
            <v>3.0640407936788006E-2</v>
          </cell>
          <cell r="AA2239">
            <v>3.045987975934028E-2</v>
          </cell>
        </row>
        <row r="2240">
          <cell r="Y2240">
            <v>54533</v>
          </cell>
          <cell r="Z2240">
            <v>3.0636534641084533E-2</v>
          </cell>
          <cell r="AA2240">
            <v>3.0455736484060747E-2</v>
          </cell>
        </row>
        <row r="2241">
          <cell r="Y2241">
            <v>54540</v>
          </cell>
          <cell r="Z2241">
            <v>3.0632686989206865E-2</v>
          </cell>
          <cell r="AA2241">
            <v>3.0451618459479413E-2</v>
          </cell>
        </row>
        <row r="2242">
          <cell r="Y2242">
            <v>54547</v>
          </cell>
          <cell r="Z2242">
            <v>3.062987955353598E-2</v>
          </cell>
          <cell r="AA2242">
            <v>3.0447525685596277E-2</v>
          </cell>
        </row>
        <row r="2243">
          <cell r="Y2243">
            <v>54554</v>
          </cell>
          <cell r="Z2243">
            <v>3.0626084704546423E-2</v>
          </cell>
          <cell r="AA2243">
            <v>3.0443458162492387E-2</v>
          </cell>
        </row>
        <row r="2244">
          <cell r="Y2244">
            <v>54561</v>
          </cell>
          <cell r="Z2244">
            <v>3.0622315501110782E-2</v>
          </cell>
          <cell r="AA2244">
            <v>3.0439415890329835E-2</v>
          </cell>
        </row>
        <row r="2245">
          <cell r="Y2245">
            <v>54568</v>
          </cell>
          <cell r="Z2245">
            <v>3.0618571943086346E-2</v>
          </cell>
          <cell r="AA2245">
            <v>3.0435398868865482E-2</v>
          </cell>
        </row>
        <row r="2246">
          <cell r="Y2246">
            <v>54575</v>
          </cell>
          <cell r="Z2246">
            <v>3.061383338213115E-2</v>
          </cell>
          <cell r="AA2246">
            <v>3.0431407098180374E-2</v>
          </cell>
        </row>
        <row r="2247">
          <cell r="Y2247">
            <v>54582</v>
          </cell>
          <cell r="Z2247">
            <v>3.0610139590176388E-2</v>
          </cell>
          <cell r="AA2247">
            <v>3.0427440578436604E-2</v>
          </cell>
        </row>
        <row r="2248">
          <cell r="Y2248">
            <v>54589</v>
          </cell>
          <cell r="Z2248">
            <v>3.0606471441044766E-2</v>
          </cell>
          <cell r="AA2248">
            <v>3.0423499309309987E-2</v>
          </cell>
        </row>
        <row r="2249">
          <cell r="Y2249">
            <v>54596</v>
          </cell>
          <cell r="Z2249">
            <v>3.0602828934597655E-2</v>
          </cell>
          <cell r="AA2249">
            <v>3.0419583291043661E-2</v>
          </cell>
        </row>
        <row r="2250">
          <cell r="Y2250">
            <v>54603</v>
          </cell>
          <cell r="Z2250">
            <v>3.0599212070697327E-2</v>
          </cell>
          <cell r="AA2250">
            <v>3.0415692523556581E-2</v>
          </cell>
        </row>
        <row r="2251">
          <cell r="Y2251">
            <v>54610</v>
          </cell>
          <cell r="Z2251">
            <v>3.0596649140618857E-2</v>
          </cell>
          <cell r="AA2251">
            <v>3.04118270067677E-2</v>
          </cell>
        </row>
        <row r="2252">
          <cell r="Y2252">
            <v>54617</v>
          </cell>
          <cell r="Z2252">
            <v>3.059308509652009E-2</v>
          </cell>
          <cell r="AA2252">
            <v>3.0407986741001203E-2</v>
          </cell>
        </row>
        <row r="2253">
          <cell r="Y2253">
            <v>54624</v>
          </cell>
          <cell r="Z2253">
            <v>3.0589546696714619E-2</v>
          </cell>
          <cell r="AA2253">
            <v>3.0404171725770812E-2</v>
          </cell>
        </row>
        <row r="2254">
          <cell r="Y2254">
            <v>54631</v>
          </cell>
          <cell r="Z2254">
            <v>3.0586033941068541E-2</v>
          </cell>
          <cell r="AA2254">
            <v>3.0400381961400713E-2</v>
          </cell>
        </row>
        <row r="2255">
          <cell r="Y2255">
            <v>54638</v>
          </cell>
          <cell r="Z2255">
            <v>3.0582546829448394E-2</v>
          </cell>
          <cell r="AA2255">
            <v>3.0396617447890906E-2</v>
          </cell>
        </row>
        <row r="2256">
          <cell r="Y2256">
            <v>54645</v>
          </cell>
          <cell r="Z2256">
            <v>3.0579085361718952E-2</v>
          </cell>
          <cell r="AA2256">
            <v>3.0392878185160344E-2</v>
          </cell>
        </row>
        <row r="2257">
          <cell r="Y2257">
            <v>54652</v>
          </cell>
          <cell r="Z2257">
            <v>3.0575649537749397E-2</v>
          </cell>
          <cell r="AA2257">
            <v>3.0389164173046934E-2</v>
          </cell>
        </row>
        <row r="2258">
          <cell r="Y2258">
            <v>54659</v>
          </cell>
          <cell r="Z2258">
            <v>3.0572239357408031E-2</v>
          </cell>
          <cell r="AA2258">
            <v>3.0385475411955909E-2</v>
          </cell>
        </row>
        <row r="2259">
          <cell r="Y2259">
            <v>54666</v>
          </cell>
          <cell r="Z2259">
            <v>3.0565733541309592E-2</v>
          </cell>
          <cell r="AA2259">
            <v>3.0381811901563083E-2</v>
          </cell>
        </row>
        <row r="2260">
          <cell r="Y2260">
            <v>54673</v>
          </cell>
          <cell r="Z2260">
            <v>3.0562369991606185E-2</v>
          </cell>
          <cell r="AA2260">
            <v>3.0378173641868456E-2</v>
          </cell>
        </row>
        <row r="2261">
          <cell r="Y2261">
            <v>54680</v>
          </cell>
          <cell r="Z2261">
            <v>3.0559032078686651E-2</v>
          </cell>
          <cell r="AA2261">
            <v>3.0374560632790981E-2</v>
          </cell>
        </row>
        <row r="2262">
          <cell r="Y2262">
            <v>54687</v>
          </cell>
          <cell r="Z2262">
            <v>3.0555719802427408E-2</v>
          </cell>
          <cell r="AA2262">
            <v>3.0370972874897983E-2</v>
          </cell>
        </row>
        <row r="2263">
          <cell r="Y2263">
            <v>54694</v>
          </cell>
          <cell r="Z2263">
            <v>3.0552433162702182E-2</v>
          </cell>
          <cell r="AA2263">
            <v>3.0367410367541092E-2</v>
          </cell>
        </row>
        <row r="2264">
          <cell r="Y2264">
            <v>54701</v>
          </cell>
          <cell r="Z2264">
            <v>3.0550220159964003E-2</v>
          </cell>
          <cell r="AA2264">
            <v>3.03638731108824E-2</v>
          </cell>
        </row>
        <row r="2265">
          <cell r="Y2265">
            <v>54708</v>
          </cell>
          <cell r="Z2265">
            <v>3.0546986355484227E-2</v>
          </cell>
          <cell r="AA2265">
            <v>3.0360361105165046E-2</v>
          </cell>
        </row>
        <row r="2266">
          <cell r="Y2266">
            <v>54715</v>
          </cell>
          <cell r="Z2266">
            <v>3.0543778189320737E-2</v>
          </cell>
          <cell r="AA2266">
            <v>3.0356874350226937E-2</v>
          </cell>
        </row>
        <row r="2267">
          <cell r="Y2267">
            <v>54722</v>
          </cell>
          <cell r="Z2267">
            <v>3.0540595661352411E-2</v>
          </cell>
          <cell r="AA2267">
            <v>3.0353412845987027E-2</v>
          </cell>
        </row>
        <row r="2268">
          <cell r="Y2268">
            <v>54729</v>
          </cell>
          <cell r="Z2268">
            <v>3.0537438771457676E-2</v>
          </cell>
          <cell r="AA2268">
            <v>3.0349976592526362E-2</v>
          </cell>
        </row>
        <row r="2269">
          <cell r="Y2269">
            <v>54736</v>
          </cell>
          <cell r="Z2269">
            <v>3.053325168473451E-2</v>
          </cell>
          <cell r="AA2269">
            <v>3.0346565589925989E-2</v>
          </cell>
        </row>
        <row r="2270">
          <cell r="Y2270">
            <v>54743</v>
          </cell>
          <cell r="Z2270">
            <v>3.0530144497348401E-2</v>
          </cell>
          <cell r="AA2270">
            <v>3.0343179838023815E-2</v>
          </cell>
        </row>
        <row r="2271">
          <cell r="Y2271">
            <v>54750</v>
          </cell>
          <cell r="Z2271">
            <v>3.0527062945537635E-2</v>
          </cell>
          <cell r="AA2271">
            <v>3.0339819336900886E-2</v>
          </cell>
        </row>
        <row r="2272">
          <cell r="Y2272">
            <v>54757</v>
          </cell>
          <cell r="Z2272">
            <v>3.0525067590259435E-2</v>
          </cell>
          <cell r="AA2272">
            <v>3.0336484086476156E-2</v>
          </cell>
        </row>
        <row r="2273">
          <cell r="Y2273">
            <v>54764</v>
          </cell>
          <cell r="Z2273">
            <v>3.0522038888969687E-2</v>
          </cell>
          <cell r="AA2273">
            <v>3.0333174086992765E-2</v>
          </cell>
        </row>
        <row r="2274">
          <cell r="Y2274">
            <v>54771</v>
          </cell>
          <cell r="Z2274">
            <v>3.05190358250544E-2</v>
          </cell>
          <cell r="AA2274">
            <v>3.0329889338207572E-2</v>
          </cell>
        </row>
        <row r="2275">
          <cell r="Y2275">
            <v>54778</v>
          </cell>
          <cell r="Z2275">
            <v>3.0516058398398681E-2</v>
          </cell>
          <cell r="AA2275">
            <v>3.0326629840039532E-2</v>
          </cell>
        </row>
        <row r="2276">
          <cell r="Y2276">
            <v>54786</v>
          </cell>
          <cell r="Z2276">
            <v>3.0512687017497438E-2</v>
          </cell>
          <cell r="AA2276">
            <v>3.0322935618779523E-2</v>
          </cell>
        </row>
        <row r="2277">
          <cell r="Y2277">
            <v>54793</v>
          </cell>
          <cell r="Z2277">
            <v>3.0508695819267306E-2</v>
          </cell>
          <cell r="AA2277">
            <v>3.0319730229458886E-2</v>
          </cell>
        </row>
        <row r="2278">
          <cell r="Y2278">
            <v>54800</v>
          </cell>
          <cell r="Z2278">
            <v>3.0505797375391285E-2</v>
          </cell>
          <cell r="AA2278">
            <v>3.0316550091160632E-2</v>
          </cell>
        </row>
        <row r="2279">
          <cell r="Y2279">
            <v>54807</v>
          </cell>
          <cell r="Z2279">
            <v>3.0502924566172679E-2</v>
          </cell>
          <cell r="AA2279">
            <v>3.0313395203398485E-2</v>
          </cell>
        </row>
        <row r="2280">
          <cell r="Y2280">
            <v>54814</v>
          </cell>
          <cell r="Z2280">
            <v>3.0500077391505821E-2</v>
          </cell>
          <cell r="AA2280">
            <v>3.0310265566334538E-2</v>
          </cell>
        </row>
        <row r="2281">
          <cell r="Y2281">
            <v>54821</v>
          </cell>
          <cell r="Z2281">
            <v>3.0497255851284582E-2</v>
          </cell>
          <cell r="AA2281">
            <v>3.0307161180211928E-2</v>
          </cell>
        </row>
        <row r="2282">
          <cell r="Y2282">
            <v>54828</v>
          </cell>
          <cell r="Z2282">
            <v>3.0494459945401949E-2</v>
          </cell>
          <cell r="AA2282">
            <v>3.0304082044868563E-2</v>
          </cell>
        </row>
        <row r="2283">
          <cell r="Y2283">
            <v>54835</v>
          </cell>
          <cell r="Z2283">
            <v>3.04916896737518E-2</v>
          </cell>
          <cell r="AA2283">
            <v>3.0301028160142351E-2</v>
          </cell>
        </row>
        <row r="2284">
          <cell r="Y2284">
            <v>54842</v>
          </cell>
          <cell r="Z2284">
            <v>3.0488945036231598E-2</v>
          </cell>
          <cell r="AA2284">
            <v>3.0297999526276431E-2</v>
          </cell>
        </row>
        <row r="2285">
          <cell r="Y2285">
            <v>54849</v>
          </cell>
          <cell r="Z2285">
            <v>3.0489471156218181E-2</v>
          </cell>
          <cell r="AA2285">
            <v>3.0294996143189756E-2</v>
          </cell>
        </row>
        <row r="2286">
          <cell r="Y2286">
            <v>54856</v>
          </cell>
          <cell r="Z2286">
            <v>3.0486782611080978E-2</v>
          </cell>
          <cell r="AA2286">
            <v>3.029201801080128E-2</v>
          </cell>
        </row>
        <row r="2287">
          <cell r="Y2287">
            <v>54863</v>
          </cell>
          <cell r="Z2287">
            <v>3.0484119706177711E-2</v>
          </cell>
          <cell r="AA2287">
            <v>3.0289065129111004E-2</v>
          </cell>
        </row>
        <row r="2288">
          <cell r="Y2288">
            <v>54870</v>
          </cell>
          <cell r="Z2288">
            <v>3.0481482441407949E-2</v>
          </cell>
          <cell r="AA2288">
            <v>3.0286137498281018E-2</v>
          </cell>
        </row>
        <row r="2289">
          <cell r="Y2289">
            <v>54877</v>
          </cell>
          <cell r="Z2289">
            <v>3.0478870816671708E-2</v>
          </cell>
          <cell r="AA2289">
            <v>3.0283235118230278E-2</v>
          </cell>
        </row>
        <row r="2290">
          <cell r="Y2290">
            <v>54884</v>
          </cell>
          <cell r="Z2290">
            <v>3.0475194846711691E-2</v>
          </cell>
          <cell r="AA2290">
            <v>3.0280357988796691E-2</v>
          </cell>
        </row>
        <row r="2291">
          <cell r="Y2291">
            <v>54891</v>
          </cell>
          <cell r="Z2291">
            <v>3.0472632882628727E-2</v>
          </cell>
          <cell r="AA2291">
            <v>3.0277506110304442E-2</v>
          </cell>
        </row>
        <row r="2292">
          <cell r="Y2292">
            <v>54898</v>
          </cell>
          <cell r="Z2292">
            <v>3.047009655614695E-2</v>
          </cell>
          <cell r="AA2292">
            <v>3.0274679482510392E-2</v>
          </cell>
        </row>
        <row r="2293">
          <cell r="Y2293">
            <v>54905</v>
          </cell>
          <cell r="Z2293">
            <v>3.0467585867169366E-2</v>
          </cell>
          <cell r="AA2293">
            <v>3.027187810541454E-2</v>
          </cell>
        </row>
        <row r="2294">
          <cell r="Y2294">
            <v>54912</v>
          </cell>
          <cell r="Z2294">
            <v>3.0466197290018888E-2</v>
          </cell>
          <cell r="AA2294">
            <v>3.0269101979097934E-2</v>
          </cell>
        </row>
        <row r="2295">
          <cell r="Y2295">
            <v>54919</v>
          </cell>
          <cell r="Z2295">
            <v>3.0463739503417527E-2</v>
          </cell>
          <cell r="AA2295">
            <v>3.026635110364162E-2</v>
          </cell>
        </row>
        <row r="2296">
          <cell r="Y2296">
            <v>54926</v>
          </cell>
          <cell r="Z2296">
            <v>3.0461307356170485E-2</v>
          </cell>
          <cell r="AA2296">
            <v>3.0263625478964551E-2</v>
          </cell>
        </row>
        <row r="2297">
          <cell r="Y2297">
            <v>54933</v>
          </cell>
          <cell r="Z2297">
            <v>3.0458900848187025E-2</v>
          </cell>
          <cell r="AA2297">
            <v>3.0260925104904635E-2</v>
          </cell>
        </row>
        <row r="2298">
          <cell r="Y2298">
            <v>54940</v>
          </cell>
          <cell r="Z2298">
            <v>3.0455416981556047E-2</v>
          </cell>
          <cell r="AA2298">
            <v>3.0258249981542917E-2</v>
          </cell>
        </row>
        <row r="2299">
          <cell r="Y2299">
            <v>54947</v>
          </cell>
          <cell r="Z2299">
            <v>3.0453060115641261E-2</v>
          </cell>
          <cell r="AA2299">
            <v>3.0255600109122538E-2</v>
          </cell>
        </row>
        <row r="2300">
          <cell r="Y2300">
            <v>54954</v>
          </cell>
          <cell r="Z2300">
            <v>3.045072888658407E-2</v>
          </cell>
          <cell r="AA2300">
            <v>3.0252975487319311E-2</v>
          </cell>
        </row>
        <row r="2301">
          <cell r="Y2301">
            <v>54961</v>
          </cell>
          <cell r="Z2301">
            <v>3.0448423294296343E-2</v>
          </cell>
          <cell r="AA2301">
            <v>3.0250376116376376E-2</v>
          </cell>
        </row>
        <row r="2302">
          <cell r="Y2302">
            <v>54968</v>
          </cell>
          <cell r="Z2302">
            <v>3.0446143338690394E-2</v>
          </cell>
          <cell r="AA2302">
            <v>3.0247801995969548E-2</v>
          </cell>
        </row>
        <row r="2303">
          <cell r="Y2303">
            <v>54975</v>
          </cell>
          <cell r="Z2303">
            <v>3.0445000219707162E-2</v>
          </cell>
          <cell r="AA2303">
            <v>3.0245253126585103E-2</v>
          </cell>
        </row>
        <row r="2304">
          <cell r="Y2304">
            <v>54982</v>
          </cell>
          <cell r="Z2304">
            <v>3.0442773184040033E-2</v>
          </cell>
          <cell r="AA2304">
            <v>3.0242729507817812E-2</v>
          </cell>
        </row>
        <row r="2305">
          <cell r="Y2305">
            <v>54989</v>
          </cell>
          <cell r="Z2305">
            <v>3.0440571786926447E-2</v>
          </cell>
          <cell r="AA2305">
            <v>3.0240231139667673E-2</v>
          </cell>
        </row>
        <row r="2306">
          <cell r="Y2306">
            <v>54996</v>
          </cell>
          <cell r="Z2306">
            <v>3.0438396028283601E-2</v>
          </cell>
          <cell r="AA2306">
            <v>3.0237758022539918E-2</v>
          </cell>
        </row>
        <row r="2307">
          <cell r="Y2307">
            <v>55003</v>
          </cell>
          <cell r="Z2307">
            <v>3.043624590802824E-2</v>
          </cell>
          <cell r="AA2307">
            <v>3.0235310156029316E-2</v>
          </cell>
        </row>
        <row r="2308">
          <cell r="Y2308">
            <v>55010</v>
          </cell>
          <cell r="Z2308">
            <v>3.043412142607756E-2</v>
          </cell>
          <cell r="AA2308">
            <v>3.0232887540379005E-2</v>
          </cell>
        </row>
        <row r="2309">
          <cell r="Y2309">
            <v>55017</v>
          </cell>
          <cell r="Z2309">
            <v>3.0432022582350952E-2</v>
          </cell>
          <cell r="AA2309">
            <v>3.0230490175183755E-2</v>
          </cell>
        </row>
        <row r="2310">
          <cell r="Y2310">
            <v>55024</v>
          </cell>
          <cell r="Z2310">
            <v>3.0429949376768694E-2</v>
          </cell>
          <cell r="AA2310">
            <v>3.0228118061091935E-2</v>
          </cell>
        </row>
        <row r="2311">
          <cell r="Y2311">
            <v>55031</v>
          </cell>
          <cell r="Z2311">
            <v>3.0424529170286908E-2</v>
          </cell>
          <cell r="AA2311">
            <v>3.0225771197617268E-2</v>
          </cell>
        </row>
        <row r="2312">
          <cell r="Y2312">
            <v>55038</v>
          </cell>
          <cell r="Z2312">
            <v>3.0422502250052798E-2</v>
          </cell>
          <cell r="AA2312">
            <v>3.02234495848408E-2</v>
          </cell>
        </row>
        <row r="2313">
          <cell r="Y2313">
            <v>55045</v>
          </cell>
          <cell r="Z2313">
            <v>3.0420500961349777E-2</v>
          </cell>
          <cell r="AA2313">
            <v>3.0221153222681485E-2</v>
          </cell>
        </row>
        <row r="2314">
          <cell r="Y2314">
            <v>55052</v>
          </cell>
          <cell r="Z2314">
            <v>3.0418525304102172E-2</v>
          </cell>
          <cell r="AA2314">
            <v>3.02188821116256E-2</v>
          </cell>
        </row>
        <row r="2315">
          <cell r="Y2315">
            <v>55059</v>
          </cell>
          <cell r="Z2315">
            <v>3.0416575278236106E-2</v>
          </cell>
          <cell r="AA2315">
            <v>3.0216636251024775E-2</v>
          </cell>
        </row>
        <row r="2316">
          <cell r="Y2316">
            <v>55066</v>
          </cell>
          <cell r="Z2316">
            <v>3.0415783213016436E-2</v>
          </cell>
          <cell r="AA2316">
            <v>3.0214415641203196E-2</v>
          </cell>
        </row>
        <row r="2317">
          <cell r="Y2317">
            <v>55073</v>
          </cell>
          <cell r="Z2317">
            <v>3.0413886123598719E-2</v>
          </cell>
          <cell r="AA2317">
            <v>3.0212220282241908E-2</v>
          </cell>
        </row>
        <row r="2318">
          <cell r="Y2318">
            <v>55080</v>
          </cell>
          <cell r="Z2318">
            <v>3.0412014667468856E-2</v>
          </cell>
          <cell r="AA2318">
            <v>3.0210050174059866E-2</v>
          </cell>
        </row>
        <row r="2319">
          <cell r="Y2319">
            <v>55087</v>
          </cell>
          <cell r="Z2319">
            <v>3.0410168844557821E-2</v>
          </cell>
          <cell r="AA2319">
            <v>3.0207905316494976E-2</v>
          </cell>
        </row>
        <row r="2320">
          <cell r="Y2320">
            <v>55094</v>
          </cell>
          <cell r="Z2320">
            <v>3.0407209617092184E-2</v>
          </cell>
          <cell r="AA2320">
            <v>3.0205785709628286E-2</v>
          </cell>
        </row>
        <row r="2321">
          <cell r="Y2321">
            <v>55101</v>
          </cell>
          <cell r="Z2321">
            <v>3.0405413378008138E-2</v>
          </cell>
          <cell r="AA2321">
            <v>3.020369135354084E-2</v>
          </cell>
        </row>
        <row r="2322">
          <cell r="Y2322">
            <v>55108</v>
          </cell>
          <cell r="Z2322">
            <v>3.0403642769813527E-2</v>
          </cell>
          <cell r="AA2322">
            <v>3.0201622248313686E-2</v>
          </cell>
        </row>
        <row r="2323">
          <cell r="Y2323">
            <v>55115</v>
          </cell>
          <cell r="Z2323">
            <v>3.0401897792440739E-2</v>
          </cell>
          <cell r="AA2323">
            <v>3.0199578393703685E-2</v>
          </cell>
        </row>
        <row r="2324">
          <cell r="Y2324">
            <v>55122</v>
          </cell>
          <cell r="Z2324">
            <v>3.040132422586489E-2</v>
          </cell>
          <cell r="AA2324">
            <v>3.0197559789791883E-2</v>
          </cell>
        </row>
        <row r="2325">
          <cell r="Y2325">
            <v>55129</v>
          </cell>
          <cell r="Z2325">
            <v>3.0399632200832066E-2</v>
          </cell>
          <cell r="AA2325">
            <v>3.0195566436821419E-2</v>
          </cell>
        </row>
        <row r="2326">
          <cell r="Y2326">
            <v>55136</v>
          </cell>
          <cell r="Z2326">
            <v>3.0397965808549605E-2</v>
          </cell>
          <cell r="AA2326">
            <v>3.0193598334549154E-2</v>
          </cell>
        </row>
        <row r="2327">
          <cell r="Y2327">
            <v>55143</v>
          </cell>
          <cell r="Z2327">
            <v>3.039632504895428E-2</v>
          </cell>
          <cell r="AA2327">
            <v>3.0191655482894042E-2</v>
          </cell>
        </row>
        <row r="2328">
          <cell r="Y2328">
            <v>55150</v>
          </cell>
          <cell r="Z2328">
            <v>3.0394709921984633E-2</v>
          </cell>
          <cell r="AA2328">
            <v>3.0189737882099221E-2</v>
          </cell>
        </row>
        <row r="2329">
          <cell r="Y2329">
            <v>55157</v>
          </cell>
          <cell r="Z2329">
            <v>3.0391966171867162E-2</v>
          </cell>
          <cell r="AA2329">
            <v>3.01878455320026E-2</v>
          </cell>
        </row>
        <row r="2330">
          <cell r="Y2330">
            <v>55164</v>
          </cell>
          <cell r="Z2330">
            <v>3.03904006084686E-2</v>
          </cell>
          <cell r="AA2330">
            <v>3.0185978432604177E-2</v>
          </cell>
        </row>
        <row r="2331">
          <cell r="Y2331">
            <v>55171</v>
          </cell>
          <cell r="Z2331">
            <v>3.0388860675393939E-2</v>
          </cell>
          <cell r="AA2331">
            <v>3.0184136583903953E-2</v>
          </cell>
        </row>
        <row r="2332">
          <cell r="Y2332">
            <v>55178</v>
          </cell>
          <cell r="Z2332">
            <v>3.0387346372587658E-2</v>
          </cell>
          <cell r="AA2332">
            <v>3.0182319986145068E-2</v>
          </cell>
        </row>
        <row r="2333">
          <cell r="Y2333">
            <v>55185</v>
          </cell>
          <cell r="Z2333">
            <v>3.0385857699989759E-2</v>
          </cell>
          <cell r="AA2333">
            <v>3.0180528638841242E-2</v>
          </cell>
        </row>
        <row r="2334">
          <cell r="Y2334">
            <v>55192</v>
          </cell>
          <cell r="Z2334">
            <v>3.0384394657547401E-2</v>
          </cell>
          <cell r="AA2334">
            <v>3.0178762542397708E-2</v>
          </cell>
        </row>
        <row r="2335">
          <cell r="Y2335">
            <v>55199</v>
          </cell>
          <cell r="Z2335">
            <v>3.0382957245203717E-2</v>
          </cell>
          <cell r="AA2335">
            <v>3.0177021696814466E-2</v>
          </cell>
        </row>
        <row r="2336">
          <cell r="Y2336">
            <v>55206</v>
          </cell>
          <cell r="Z2336">
            <v>3.0381545462905425E-2</v>
          </cell>
          <cell r="AA2336">
            <v>3.0175306101848376E-2</v>
          </cell>
        </row>
        <row r="2337">
          <cell r="Y2337">
            <v>55213</v>
          </cell>
          <cell r="Z2337">
            <v>3.0383663778413859E-2</v>
          </cell>
          <cell r="AA2337">
            <v>3.0173615757742578E-2</v>
          </cell>
        </row>
        <row r="2338">
          <cell r="Y2338">
            <v>55220</v>
          </cell>
          <cell r="Z2338">
            <v>3.0382308412295753E-2</v>
          </cell>
          <cell r="AA2338">
            <v>3.0171950664172886E-2</v>
          </cell>
        </row>
        <row r="2339">
          <cell r="Y2339">
            <v>55227</v>
          </cell>
          <cell r="Z2339">
            <v>3.0380978682424016E-2</v>
          </cell>
          <cell r="AA2339">
            <v>3.0170310821544533E-2</v>
          </cell>
        </row>
        <row r="2340">
          <cell r="Y2340">
            <v>55234</v>
          </cell>
          <cell r="Z2340">
            <v>3.0379674588746672E-2</v>
          </cell>
          <cell r="AA2340">
            <v>3.0168696229452285E-2</v>
          </cell>
        </row>
        <row r="2341">
          <cell r="Y2341">
            <v>55241</v>
          </cell>
          <cell r="Z2341">
            <v>3.0378396131213944E-2</v>
          </cell>
          <cell r="AA2341">
            <v>3.0167106888139283E-2</v>
          </cell>
        </row>
        <row r="2342">
          <cell r="Y2342">
            <v>55248</v>
          </cell>
          <cell r="Z2342">
            <v>3.0375966308542387E-2</v>
          </cell>
          <cell r="AA2342">
            <v>3.0165542797686573E-2</v>
          </cell>
        </row>
        <row r="2343">
          <cell r="Y2343">
            <v>55255</v>
          </cell>
          <cell r="Z2343">
            <v>3.0374737393518134E-2</v>
          </cell>
          <cell r="AA2343">
            <v>3.0164003958013108E-2</v>
          </cell>
        </row>
        <row r="2344">
          <cell r="Y2344">
            <v>55262</v>
          </cell>
          <cell r="Z2344">
            <v>3.0373534112378451E-2</v>
          </cell>
          <cell r="AA2344">
            <v>3.0162490368956796E-2</v>
          </cell>
        </row>
        <row r="2345">
          <cell r="Y2345">
            <v>55269</v>
          </cell>
          <cell r="Z2345">
            <v>3.0372356465075065E-2</v>
          </cell>
          <cell r="AA2345">
            <v>3.0161002030517636E-2</v>
          </cell>
        </row>
        <row r="2346">
          <cell r="Y2346">
            <v>55276</v>
          </cell>
          <cell r="Z2346">
            <v>3.0372388384053768E-2</v>
          </cell>
          <cell r="AA2346">
            <v>3.0159538943019815E-2</v>
          </cell>
        </row>
        <row r="2347">
          <cell r="Y2347">
            <v>55283</v>
          </cell>
          <cell r="Z2347">
            <v>3.0371263742401674E-2</v>
          </cell>
          <cell r="AA2347">
            <v>3.0158101106220192E-2</v>
          </cell>
        </row>
        <row r="2348">
          <cell r="Y2348">
            <v>55290</v>
          </cell>
          <cell r="Z2348">
            <v>3.0370164736571337E-2</v>
          </cell>
          <cell r="AA2348">
            <v>3.0156688520037722E-2</v>
          </cell>
        </row>
        <row r="2349">
          <cell r="Y2349">
            <v>55297</v>
          </cell>
          <cell r="Z2349">
            <v>3.0369091366523552E-2</v>
          </cell>
          <cell r="AA2349">
            <v>3.0155301184553451E-2</v>
          </cell>
        </row>
        <row r="2350">
          <cell r="Y2350">
            <v>55304</v>
          </cell>
          <cell r="Z2350">
            <v>3.036685273459817E-2</v>
          </cell>
          <cell r="AA2350">
            <v>3.0153939100010518E-2</v>
          </cell>
        </row>
        <row r="2351">
          <cell r="Y2351">
            <v>55311</v>
          </cell>
          <cell r="Z2351">
            <v>3.0365828889416639E-2</v>
          </cell>
          <cell r="AA2351">
            <v>3.0152602266165784E-2</v>
          </cell>
        </row>
        <row r="2352">
          <cell r="Y2352">
            <v>55318</v>
          </cell>
          <cell r="Z2352">
            <v>3.0364830677780435E-2</v>
          </cell>
          <cell r="AA2352">
            <v>3.0151290682776111E-2</v>
          </cell>
        </row>
        <row r="2353">
          <cell r="Y2353">
            <v>55325</v>
          </cell>
          <cell r="Z2353">
            <v>3.036385809965236E-2</v>
          </cell>
          <cell r="AA2353">
            <v>3.0150004350489867E-2</v>
          </cell>
        </row>
        <row r="2354">
          <cell r="Y2354">
            <v>55332</v>
          </cell>
          <cell r="Z2354">
            <v>3.0362911154993882E-2</v>
          </cell>
          <cell r="AA2354">
            <v>3.0148743268820777E-2</v>
          </cell>
        </row>
        <row r="2355">
          <cell r="Y2355">
            <v>55339</v>
          </cell>
          <cell r="Z2355">
            <v>3.0363189495432038E-2</v>
          </cell>
          <cell r="AA2355">
            <v>3.0147507437768839E-2</v>
          </cell>
        </row>
        <row r="2356">
          <cell r="Y2356">
            <v>55346</v>
          </cell>
          <cell r="Z2356">
            <v>3.036229557476449E-2</v>
          </cell>
          <cell r="AA2356">
            <v>3.0146296857496147E-2</v>
          </cell>
        </row>
        <row r="2357">
          <cell r="Y2357">
            <v>55353</v>
          </cell>
          <cell r="Z2357">
            <v>3.0361427289578215E-2</v>
          </cell>
          <cell r="AA2357">
            <v>3.0145111528083746E-2</v>
          </cell>
        </row>
        <row r="2358">
          <cell r="Y2358">
            <v>55360</v>
          </cell>
          <cell r="Z2358">
            <v>3.0360584639841062E-2</v>
          </cell>
          <cell r="AA2358">
            <v>3.0143951449207451E-2</v>
          </cell>
        </row>
        <row r="2359">
          <cell r="Y2359">
            <v>55367</v>
          </cell>
          <cell r="Z2359">
            <v>3.0359767625519549E-2</v>
          </cell>
          <cell r="AA2359">
            <v>3.0142816621191448E-2</v>
          </cell>
        </row>
        <row r="2360">
          <cell r="Y2360">
            <v>55374</v>
          </cell>
          <cell r="Z2360">
            <v>3.0358976246581969E-2</v>
          </cell>
          <cell r="AA2360">
            <v>3.0141707043792598E-2</v>
          </cell>
        </row>
        <row r="2361">
          <cell r="Y2361">
            <v>55381</v>
          </cell>
          <cell r="Z2361">
            <v>3.0358210502999246E-2</v>
          </cell>
          <cell r="AA2361">
            <v>3.0140622717172993E-2</v>
          </cell>
        </row>
        <row r="2362">
          <cell r="Y2362">
            <v>55388</v>
          </cell>
          <cell r="Z2362">
            <v>3.0357470394743197E-2</v>
          </cell>
          <cell r="AA2362">
            <v>3.013956364141368E-2</v>
          </cell>
        </row>
        <row r="2363">
          <cell r="Y2363">
            <v>55395</v>
          </cell>
          <cell r="Z2363">
            <v>3.0355542153619647E-2</v>
          </cell>
          <cell r="AA2363">
            <v>3.0138529816190474E-2</v>
          </cell>
        </row>
        <row r="2364">
          <cell r="Y2364">
            <v>55402</v>
          </cell>
          <cell r="Z2364">
            <v>3.035363623649192E-2</v>
          </cell>
          <cell r="AA2364">
            <v>3.0137521241746512E-2</v>
          </cell>
        </row>
        <row r="2365">
          <cell r="Y2365">
            <v>55409</v>
          </cell>
          <cell r="Z2365">
            <v>3.0352969481946778E-2</v>
          </cell>
          <cell r="AA2365">
            <v>3.0136537918162842E-2</v>
          </cell>
        </row>
        <row r="2366">
          <cell r="Y2366">
            <v>55416</v>
          </cell>
          <cell r="Z2366">
            <v>3.0352328358391249E-2</v>
          </cell>
          <cell r="AA2366">
            <v>3.0135579845196325E-2</v>
          </cell>
        </row>
        <row r="2367">
          <cell r="Y2367">
            <v>55423</v>
          </cell>
          <cell r="Z2367">
            <v>3.0351712865797728E-2</v>
          </cell>
          <cell r="AA2367">
            <v>3.0134647022928007E-2</v>
          </cell>
        </row>
        <row r="2368">
          <cell r="Y2368">
            <v>55430</v>
          </cell>
          <cell r="Z2368">
            <v>3.0352345425792987E-2</v>
          </cell>
          <cell r="AA2368">
            <v>3.0133739451601027E-2</v>
          </cell>
        </row>
        <row r="2369">
          <cell r="Y2369">
            <v>55437</v>
          </cell>
          <cell r="Z2369">
            <v>3.0351782979418891E-2</v>
          </cell>
          <cell r="AA2369">
            <v>3.0132857130729107E-2</v>
          </cell>
        </row>
        <row r="2370">
          <cell r="Y2370">
            <v>55444</v>
          </cell>
          <cell r="Z2370">
            <v>3.0351246166056015E-2</v>
          </cell>
          <cell r="AA2370">
            <v>3.0132000060636432E-2</v>
          </cell>
        </row>
        <row r="2371">
          <cell r="Y2371">
            <v>55451</v>
          </cell>
          <cell r="Z2371">
            <v>3.0350734985685759E-2</v>
          </cell>
          <cell r="AA2371">
            <v>3.0131168241323003E-2</v>
          </cell>
        </row>
        <row r="2372">
          <cell r="Y2372">
            <v>55458</v>
          </cell>
          <cell r="Z2372">
            <v>3.0349019866510289E-2</v>
          </cell>
          <cell r="AA2372">
            <v>3.0130361672869865E-2</v>
          </cell>
        </row>
        <row r="2373">
          <cell r="Y2373">
            <v>55465</v>
          </cell>
          <cell r="Z2373">
            <v>3.0348558159246159E-2</v>
          </cell>
          <cell r="AA2373">
            <v>3.0129580354952834E-2</v>
          </cell>
        </row>
        <row r="2374">
          <cell r="Y2374">
            <v>55472</v>
          </cell>
          <cell r="Z2374">
            <v>3.0348122082802426E-2</v>
          </cell>
          <cell r="AA2374">
            <v>3.0128824287815048E-2</v>
          </cell>
        </row>
        <row r="2375">
          <cell r="Y2375">
            <v>55479</v>
          </cell>
          <cell r="Z2375">
            <v>3.0347711637163502E-2</v>
          </cell>
          <cell r="AA2375">
            <v>3.0128093471456507E-2</v>
          </cell>
        </row>
        <row r="2376">
          <cell r="Y2376">
            <v>55486</v>
          </cell>
          <cell r="Z2376">
            <v>3.034732682231514E-2</v>
          </cell>
          <cell r="AA2376">
            <v>3.0127387905796166E-2</v>
          </cell>
        </row>
        <row r="2377">
          <cell r="Y2377">
            <v>55493</v>
          </cell>
          <cell r="Z2377">
            <v>3.034820619525963E-2</v>
          </cell>
          <cell r="AA2377">
            <v>3.0126707590915069E-2</v>
          </cell>
        </row>
        <row r="2378">
          <cell r="Y2378">
            <v>55500</v>
          </cell>
          <cell r="Z2378">
            <v>3.0347874445339037E-2</v>
          </cell>
          <cell r="AA2378">
            <v>3.012605252657008E-2</v>
          </cell>
        </row>
        <row r="2379">
          <cell r="Y2379">
            <v>55507</v>
          </cell>
          <cell r="Z2379">
            <v>3.034756832828174E-2</v>
          </cell>
          <cell r="AA2379">
            <v>3.0125422713166428E-2</v>
          </cell>
        </row>
        <row r="2380">
          <cell r="Y2380">
            <v>55514</v>
          </cell>
          <cell r="Z2380">
            <v>3.0347287844075789E-2</v>
          </cell>
          <cell r="AA2380">
            <v>3.0124818150298882E-2</v>
          </cell>
        </row>
        <row r="2381">
          <cell r="Y2381">
            <v>55521</v>
          </cell>
          <cell r="Z2381">
            <v>3.0345787209435662E-2</v>
          </cell>
          <cell r="AA2381">
            <v>3.0124238838291628E-2</v>
          </cell>
        </row>
        <row r="2382">
          <cell r="Y2382">
            <v>55528</v>
          </cell>
          <cell r="Z2382">
            <v>3.0345556179051457E-2</v>
          </cell>
          <cell r="AA2382">
            <v>3.0123684776901527E-2</v>
          </cell>
        </row>
        <row r="2383">
          <cell r="Y2383">
            <v>55535</v>
          </cell>
          <cell r="Z2383">
            <v>3.0345350779376321E-2</v>
          </cell>
          <cell r="AA2383">
            <v>3.012315596653381E-2</v>
          </cell>
        </row>
        <row r="2384">
          <cell r="Y2384">
            <v>55542</v>
          </cell>
          <cell r="Z2384">
            <v>3.0345171010400452E-2</v>
          </cell>
          <cell r="AA2384">
            <v>3.0122652406621153E-2</v>
          </cell>
        </row>
        <row r="2385">
          <cell r="Y2385">
            <v>55549</v>
          </cell>
          <cell r="Z2385">
            <v>3.0345016872118071E-2</v>
          </cell>
          <cell r="AA2385">
            <v>3.0122174097487742E-2</v>
          </cell>
        </row>
        <row r="2386">
          <cell r="Y2386">
            <v>55556</v>
          </cell>
          <cell r="Z2386">
            <v>3.034488836452294E-2</v>
          </cell>
          <cell r="AA2386">
            <v>3.0121721039052529E-2</v>
          </cell>
        </row>
        <row r="2387">
          <cell r="Y2387">
            <v>55563</v>
          </cell>
          <cell r="Z2387">
            <v>3.03447854876106E-2</v>
          </cell>
          <cell r="AA2387">
            <v>3.0121293231396562E-2</v>
          </cell>
        </row>
        <row r="2388">
          <cell r="Y2388">
            <v>55570</v>
          </cell>
          <cell r="Z2388">
            <v>3.0344708241377943E-2</v>
          </cell>
          <cell r="AA2388">
            <v>3.0120890674438794E-2</v>
          </cell>
        </row>
        <row r="2389">
          <cell r="Y2389">
            <v>55577</v>
          </cell>
          <cell r="Z2389">
            <v>3.0344656625820511E-2</v>
          </cell>
          <cell r="AA2389">
            <v>3.0120513368098178E-2</v>
          </cell>
        </row>
        <row r="2390">
          <cell r="Y2390">
            <v>55584</v>
          </cell>
          <cell r="Z2390">
            <v>3.0347155217748761E-2</v>
          </cell>
          <cell r="AA2390">
            <v>3.0120161312779947E-2</v>
          </cell>
        </row>
        <row r="2391">
          <cell r="Y2391">
            <v>55591</v>
          </cell>
          <cell r="Z2391">
            <v>3.0347158525609545E-2</v>
          </cell>
          <cell r="AA2391">
            <v>3.0119834508078869E-2</v>
          </cell>
        </row>
        <row r="2392">
          <cell r="Y2392">
            <v>55598</v>
          </cell>
          <cell r="Z2392">
            <v>3.0347187468372828E-2</v>
          </cell>
          <cell r="AA2392">
            <v>3.011953295383285E-2</v>
          </cell>
        </row>
        <row r="2393">
          <cell r="Y2393">
            <v>55605</v>
          </cell>
          <cell r="Z2393">
            <v>3.0347242046041251E-2</v>
          </cell>
          <cell r="AA2393">
            <v>3.0119256650690263E-2</v>
          </cell>
        </row>
        <row r="2394">
          <cell r="Y2394">
            <v>55612</v>
          </cell>
          <cell r="Z2394">
            <v>3.0346052510430564E-2</v>
          </cell>
          <cell r="AA2394">
            <v>3.0119005598083781E-2</v>
          </cell>
        </row>
        <row r="2395">
          <cell r="Y2395">
            <v>55619</v>
          </cell>
          <cell r="Z2395">
            <v>3.0346156518266658E-2</v>
          </cell>
          <cell r="AA2395">
            <v>3.0118779796175499E-2</v>
          </cell>
        </row>
        <row r="2396">
          <cell r="Y2396">
            <v>55626</v>
          </cell>
          <cell r="Z2396">
            <v>3.0346286158901396E-2</v>
          </cell>
          <cell r="AA2396">
            <v>3.0118579244965415E-2</v>
          </cell>
        </row>
        <row r="2397">
          <cell r="Y2397">
            <v>55633</v>
          </cell>
          <cell r="Z2397">
            <v>3.0346441432338757E-2</v>
          </cell>
          <cell r="AA2397">
            <v>3.0118403944615624E-2</v>
          </cell>
        </row>
        <row r="2398">
          <cell r="Y2398">
            <v>55640</v>
          </cell>
          <cell r="Z2398">
            <v>3.0347899458056941E-2</v>
          </cell>
          <cell r="AA2398">
            <v>3.0118253894964031E-2</v>
          </cell>
        </row>
        <row r="2399">
          <cell r="Y2399">
            <v>55647</v>
          </cell>
          <cell r="Z2399">
            <v>3.0348107845229767E-2</v>
          </cell>
          <cell r="AA2399">
            <v>3.0118129095929591E-2</v>
          </cell>
        </row>
        <row r="2400">
          <cell r="Y2400">
            <v>55654</v>
          </cell>
          <cell r="Z2400">
            <v>3.0348341867342529E-2</v>
          </cell>
          <cell r="AA2400">
            <v>3.0118029547674396E-2</v>
          </cell>
        </row>
        <row r="2401">
          <cell r="Y2401">
            <v>55661</v>
          </cell>
          <cell r="Z2401">
            <v>3.0348601524404922E-2</v>
          </cell>
          <cell r="AA2401">
            <v>3.0117955250279493E-2</v>
          </cell>
        </row>
        <row r="2402">
          <cell r="Y2402">
            <v>55668</v>
          </cell>
          <cell r="Z2402">
            <v>3.0348886816423989E-2</v>
          </cell>
          <cell r="AA2402">
            <v>3.0117906203420697E-2</v>
          </cell>
        </row>
        <row r="2403">
          <cell r="Y2403">
            <v>55675</v>
          </cell>
          <cell r="Z2403">
            <v>3.0347911362224193E-2</v>
          </cell>
          <cell r="AA2403">
            <v>3.0117882407260099E-2</v>
          </cell>
        </row>
        <row r="2404">
          <cell r="Y2404">
            <v>55682</v>
          </cell>
          <cell r="Z2404">
            <v>3.0348246065503147E-2</v>
          </cell>
          <cell r="AA2404">
            <v>3.011788386204084E-2</v>
          </cell>
        </row>
        <row r="2405">
          <cell r="Y2405">
            <v>55689</v>
          </cell>
          <cell r="Z2405">
            <v>3.0348606401658245E-2</v>
          </cell>
          <cell r="AA2405">
            <v>3.0117910567438733E-2</v>
          </cell>
        </row>
        <row r="2406">
          <cell r="Y2406">
            <v>55696</v>
          </cell>
          <cell r="Z2406">
            <v>3.0350284334320719E-2</v>
          </cell>
          <cell r="AA2406">
            <v>3.0117962523534825E-2</v>
          </cell>
        </row>
        <row r="2407">
          <cell r="Y2407">
            <v>55703</v>
          </cell>
          <cell r="Z2407">
            <v>3.0350697801315208E-2</v>
          </cell>
          <cell r="AA2407">
            <v>3.0118039730329116E-2</v>
          </cell>
        </row>
        <row r="2408">
          <cell r="Y2408">
            <v>55710</v>
          </cell>
          <cell r="Z2408">
            <v>3.0351136903349181E-2</v>
          </cell>
          <cell r="AA2408">
            <v>3.0118142187983699E-2</v>
          </cell>
        </row>
        <row r="2409">
          <cell r="Y2409">
            <v>55717</v>
          </cell>
          <cell r="Z2409">
            <v>3.0351601640438056E-2</v>
          </cell>
          <cell r="AA2409">
            <v>3.0118269896255434E-2</v>
          </cell>
        </row>
        <row r="2410">
          <cell r="Y2410">
            <v>55724</v>
          </cell>
          <cell r="Z2410">
            <v>3.0352092012600328E-2</v>
          </cell>
          <cell r="AA2410">
            <v>3.0118422855225369E-2</v>
          </cell>
        </row>
        <row r="2411">
          <cell r="Y2411">
            <v>55731</v>
          </cell>
          <cell r="Z2411">
            <v>3.0352608019853618E-2</v>
          </cell>
          <cell r="AA2411">
            <v>3.0118601064893502E-2</v>
          </cell>
        </row>
        <row r="2412">
          <cell r="Y2412">
            <v>55738</v>
          </cell>
          <cell r="Z2412">
            <v>3.0353149662219511E-2</v>
          </cell>
          <cell r="AA2412">
            <v>3.0118804525421927E-2</v>
          </cell>
        </row>
        <row r="2413">
          <cell r="Y2413">
            <v>55745</v>
          </cell>
          <cell r="Z2413">
            <v>3.0353716939717383E-2</v>
          </cell>
          <cell r="AA2413">
            <v>3.0119033236648551E-2</v>
          </cell>
        </row>
        <row r="2414">
          <cell r="Y2414">
            <v>55752</v>
          </cell>
          <cell r="Z2414">
            <v>3.0354309852367943E-2</v>
          </cell>
          <cell r="AA2414">
            <v>3.0119287198492328E-2</v>
          </cell>
        </row>
        <row r="2415">
          <cell r="Y2415">
            <v>55759</v>
          </cell>
          <cell r="Z2415">
            <v>3.0354928400195852E-2</v>
          </cell>
          <cell r="AA2415">
            <v>3.0119566411196397E-2</v>
          </cell>
        </row>
        <row r="2416">
          <cell r="Y2416">
            <v>55766</v>
          </cell>
          <cell r="Z2416">
            <v>3.0351641212973388E-2</v>
          </cell>
          <cell r="AA2416">
            <v>3.0119870874598664E-2</v>
          </cell>
        </row>
        <row r="2417">
          <cell r="Y2417">
            <v>55773</v>
          </cell>
          <cell r="Z2417">
            <v>3.0352305373480538E-2</v>
          </cell>
          <cell r="AA2417">
            <v>3.0120200588618085E-2</v>
          </cell>
        </row>
        <row r="2418">
          <cell r="Y2418">
            <v>55780</v>
          </cell>
          <cell r="Z2418">
            <v>3.0352995162881414E-2</v>
          </cell>
          <cell r="AA2418">
            <v>3.012055555341675E-2</v>
          </cell>
        </row>
        <row r="2419">
          <cell r="Y2419">
            <v>55787</v>
          </cell>
          <cell r="Z2419">
            <v>3.0353710581202887E-2</v>
          </cell>
          <cell r="AA2419">
            <v>3.0120935768994661E-2</v>
          </cell>
        </row>
        <row r="2420">
          <cell r="Y2420">
            <v>55794</v>
          </cell>
          <cell r="Z2420">
            <v>3.0355769387793906E-2</v>
          </cell>
          <cell r="AA2420">
            <v>3.0121341235351817E-2</v>
          </cell>
        </row>
        <row r="2421">
          <cell r="Y2421">
            <v>55801</v>
          </cell>
          <cell r="Z2421">
            <v>3.0356537958119111E-2</v>
          </cell>
          <cell r="AA2421">
            <v>3.0121771952326126E-2</v>
          </cell>
        </row>
        <row r="2422">
          <cell r="Y2422">
            <v>55808</v>
          </cell>
          <cell r="Z2422">
            <v>3.035733215956752E-2</v>
          </cell>
          <cell r="AA2422">
            <v>3.0122227920160727E-2</v>
          </cell>
        </row>
        <row r="2423">
          <cell r="Y2423">
            <v>55815</v>
          </cell>
          <cell r="Z2423">
            <v>3.0358151992168528E-2</v>
          </cell>
          <cell r="AA2423">
            <v>3.0122709138531434E-2</v>
          </cell>
        </row>
        <row r="2424">
          <cell r="Y2424">
            <v>55822</v>
          </cell>
          <cell r="Z2424">
            <v>3.0358997455953749E-2</v>
          </cell>
          <cell r="AA2424">
            <v>3.0123215607762432E-2</v>
          </cell>
        </row>
        <row r="2425">
          <cell r="Y2425">
            <v>55829</v>
          </cell>
          <cell r="Z2425">
            <v>3.0358541300013926E-2</v>
          </cell>
          <cell r="AA2425">
            <v>3.0123747327529538E-2</v>
          </cell>
        </row>
        <row r="2426">
          <cell r="Y2426">
            <v>55836</v>
          </cell>
          <cell r="Z2426">
            <v>3.0359436121579719E-2</v>
          </cell>
          <cell r="AA2426">
            <v>3.0124304298237981E-2</v>
          </cell>
        </row>
        <row r="2427">
          <cell r="Y2427">
            <v>55843</v>
          </cell>
          <cell r="Z2427">
            <v>3.0360356572306561E-2</v>
          </cell>
          <cell r="AA2427">
            <v>3.0124886519563576E-2</v>
          </cell>
        </row>
        <row r="2428">
          <cell r="Y2428">
            <v>55850</v>
          </cell>
          <cell r="Z2428">
            <v>3.0361302652229822E-2</v>
          </cell>
          <cell r="AA2428">
            <v>3.0125493991668417E-2</v>
          </cell>
        </row>
        <row r="2429">
          <cell r="Y2429">
            <v>55857</v>
          </cell>
          <cell r="Z2429">
            <v>3.0363609243783504E-2</v>
          </cell>
          <cell r="AA2429">
            <v>3.0126126714309365E-2</v>
          </cell>
        </row>
        <row r="2430">
          <cell r="Y2430">
            <v>55864</v>
          </cell>
          <cell r="Z2430">
            <v>3.0364608495374926E-2</v>
          </cell>
          <cell r="AA2430">
            <v>3.0126784688053743E-2</v>
          </cell>
        </row>
        <row r="2431">
          <cell r="Y2431">
            <v>55871</v>
          </cell>
          <cell r="Z2431">
            <v>3.0365633378394589E-2</v>
          </cell>
          <cell r="AA2431">
            <v>3.0127467912253181E-2</v>
          </cell>
        </row>
        <row r="2432">
          <cell r="Y2432">
            <v>55880</v>
          </cell>
          <cell r="Z2432">
            <v>3.0366988747701423E-2</v>
          </cell>
          <cell r="AA2432">
            <v>3.0130974909418448E-2</v>
          </cell>
        </row>
        <row r="2433">
          <cell r="Y2433">
            <v>55887</v>
          </cell>
          <cell r="Z2433">
            <v>3.0366729120356418E-2</v>
          </cell>
          <cell r="AA2433">
            <v>3.0131719579801212E-2</v>
          </cell>
        </row>
        <row r="2434">
          <cell r="Y2434">
            <v>55894</v>
          </cell>
          <cell r="Z2434">
            <v>3.0367836298937599E-2</v>
          </cell>
          <cell r="AA2434">
            <v>3.0132489505069568E-2</v>
          </cell>
        </row>
        <row r="2435">
          <cell r="Y2435">
            <v>55901</v>
          </cell>
          <cell r="Z2435">
            <v>3.0368969106995502E-2</v>
          </cell>
          <cell r="AA2435">
            <v>3.0133284685250526E-2</v>
          </cell>
        </row>
        <row r="2436">
          <cell r="Y2436">
            <v>55908</v>
          </cell>
          <cell r="Z2436">
            <v>3.0370127544574011E-2</v>
          </cell>
          <cell r="AA2436">
            <v>3.0134105120344094E-2</v>
          </cell>
        </row>
        <row r="2437">
          <cell r="Y2437">
            <v>55915</v>
          </cell>
          <cell r="Z2437">
            <v>3.0371311611714767E-2</v>
          </cell>
          <cell r="AA2437">
            <v>3.0134950810296234E-2</v>
          </cell>
        </row>
        <row r="2438">
          <cell r="Y2438">
            <v>55922</v>
          </cell>
          <cell r="Z2438">
            <v>3.0372521308463893E-2</v>
          </cell>
          <cell r="AA2438">
            <v>3.0135821755160982E-2</v>
          </cell>
        </row>
        <row r="2439">
          <cell r="Y2439">
            <v>55929</v>
          </cell>
          <cell r="Z2439">
            <v>3.0373756634865714E-2</v>
          </cell>
          <cell r="AA2439">
            <v>3.0136717954992363E-2</v>
          </cell>
        </row>
        <row r="2440">
          <cell r="Y2440">
            <v>55936</v>
          </cell>
          <cell r="Z2440">
            <v>3.0375017590967699E-2</v>
          </cell>
          <cell r="AA2440">
            <v>3.0137639409682324E-2</v>
          </cell>
        </row>
        <row r="2441">
          <cell r="Y2441">
            <v>55943</v>
          </cell>
          <cell r="Z2441">
            <v>3.0377662711018324E-2</v>
          </cell>
          <cell r="AA2441">
            <v>3.0138586119257869E-2</v>
          </cell>
        </row>
        <row r="2442">
          <cell r="Y2442">
            <v>55950</v>
          </cell>
          <cell r="Z2442">
            <v>3.0383059850669379E-2</v>
          </cell>
          <cell r="AA2442">
            <v>3.0139558083746024E-2</v>
          </cell>
        </row>
        <row r="2443">
          <cell r="Y2443">
            <v>55957</v>
          </cell>
          <cell r="Z2443">
            <v>3.0384405463564221E-2</v>
          </cell>
          <cell r="AA2443">
            <v>3.0140555303200815E-2</v>
          </cell>
        </row>
        <row r="2444">
          <cell r="Y2444">
            <v>55964</v>
          </cell>
          <cell r="Z2444">
            <v>3.0385776714859886E-2</v>
          </cell>
          <cell r="AA2444">
            <v>3.0141577777487164E-2</v>
          </cell>
        </row>
        <row r="2445">
          <cell r="Y2445">
            <v>55971</v>
          </cell>
          <cell r="Z2445">
            <v>3.0387173604607631E-2</v>
          </cell>
          <cell r="AA2445">
            <v>3.0142625506713136E-2</v>
          </cell>
        </row>
        <row r="2446">
          <cell r="Y2446">
            <v>55982</v>
          </cell>
          <cell r="Z2446">
            <v>3.0386680475087181E-2</v>
          </cell>
          <cell r="AA2446">
            <v>3.0141676734266598E-2</v>
          </cell>
        </row>
        <row r="2447">
          <cell r="Y2447">
            <v>55989</v>
          </cell>
          <cell r="Z2447">
            <v>3.0388139388756015E-2</v>
          </cell>
          <cell r="AA2447">
            <v>3.0142785613532785E-2</v>
          </cell>
        </row>
        <row r="2448">
          <cell r="Y2448">
            <v>55996</v>
          </cell>
          <cell r="Z2448">
            <v>3.0389623936818728E-2</v>
          </cell>
          <cell r="AA2448">
            <v>3.0143919743740311E-2</v>
          </cell>
        </row>
        <row r="2449">
          <cell r="Y2449">
            <v>56003</v>
          </cell>
          <cell r="Z2449">
            <v>3.0391134119329793E-2</v>
          </cell>
          <cell r="AA2449">
            <v>3.0145079124646035E-2</v>
          </cell>
        </row>
        <row r="2450">
          <cell r="Y2450">
            <v>56010</v>
          </cell>
          <cell r="Z2450">
            <v>3.0394047646056729E-2</v>
          </cell>
          <cell r="AA2450">
            <v>3.0146263756249958E-2</v>
          </cell>
        </row>
        <row r="2451">
          <cell r="Y2451">
            <v>56017</v>
          </cell>
          <cell r="Z2451">
            <v>3.0395611057885148E-2</v>
          </cell>
          <cell r="AA2451">
            <v>3.0147473638471034E-2</v>
          </cell>
        </row>
        <row r="2452">
          <cell r="Y2452">
            <v>56024</v>
          </cell>
          <cell r="Z2452">
            <v>3.0397200106466911E-2</v>
          </cell>
          <cell r="AA2452">
            <v>3.0148708771552402E-2</v>
          </cell>
        </row>
        <row r="2453">
          <cell r="Y2453">
            <v>56031</v>
          </cell>
          <cell r="Z2453">
            <v>3.0398814791863689E-2</v>
          </cell>
          <cell r="AA2453">
            <v>3.0149969155413014E-2</v>
          </cell>
        </row>
        <row r="2454">
          <cell r="Y2454">
            <v>56038</v>
          </cell>
          <cell r="Z2454">
            <v>3.0399069550657385E-2</v>
          </cell>
          <cell r="AA2454">
            <v>3.0151254789971826E-2</v>
          </cell>
        </row>
        <row r="2455">
          <cell r="Y2455">
            <v>56045</v>
          </cell>
          <cell r="Z2455">
            <v>3.0400733541099949E-2</v>
          </cell>
          <cell r="AA2455">
            <v>3.0152565675147791E-2</v>
          </cell>
        </row>
        <row r="2456">
          <cell r="Y2456">
            <v>56052</v>
          </cell>
          <cell r="Z2456">
            <v>3.0402423166413371E-2</v>
          </cell>
          <cell r="AA2456">
            <v>3.0153901811265094E-2</v>
          </cell>
        </row>
        <row r="2457">
          <cell r="Y2457">
            <v>56059</v>
          </cell>
          <cell r="Z2457">
            <v>3.0404138426661419E-2</v>
          </cell>
          <cell r="AA2457">
            <v>3.0155263197999549E-2</v>
          </cell>
        </row>
        <row r="2458">
          <cell r="Y2458">
            <v>56066</v>
          </cell>
          <cell r="Z2458">
            <v>3.0408666490597633E-2</v>
          </cell>
          <cell r="AA2458">
            <v>3.0156649835270111E-2</v>
          </cell>
        </row>
        <row r="2459">
          <cell r="Y2459">
            <v>56073</v>
          </cell>
          <cell r="Z2459">
            <v>3.0409041280859174E-2</v>
          </cell>
          <cell r="AA2459">
            <v>3.0158061723563057E-2</v>
          </cell>
        </row>
        <row r="2460">
          <cell r="Y2460">
            <v>56080</v>
          </cell>
          <cell r="Z2460">
            <v>3.0410835425736579E-2</v>
          </cell>
          <cell r="AA2460">
            <v>3.0159498862473155E-2</v>
          </cell>
        </row>
        <row r="2461">
          <cell r="Y2461">
            <v>56087</v>
          </cell>
          <cell r="Z2461">
            <v>3.0412655207947871E-2</v>
          </cell>
          <cell r="AA2461">
            <v>3.0160961252243546E-2</v>
          </cell>
        </row>
        <row r="2462">
          <cell r="Y2462">
            <v>56094</v>
          </cell>
          <cell r="Z2462">
            <v>3.0414500627563523E-2</v>
          </cell>
          <cell r="AA2462">
            <v>3.0162448892550042E-2</v>
          </cell>
        </row>
        <row r="2463">
          <cell r="Y2463">
            <v>56101</v>
          </cell>
          <cell r="Z2463">
            <v>3.0416371684654452E-2</v>
          </cell>
          <cell r="AA2463">
            <v>3.0163961783716831E-2</v>
          </cell>
        </row>
        <row r="2464">
          <cell r="Y2464">
            <v>56108</v>
          </cell>
          <cell r="Z2464">
            <v>3.0418268379291576E-2</v>
          </cell>
          <cell r="AA2464">
            <v>3.0165499925581818E-2</v>
          </cell>
        </row>
        <row r="2465">
          <cell r="Y2465">
            <v>56115</v>
          </cell>
          <cell r="Z2465">
            <v>3.0420190711547567E-2</v>
          </cell>
          <cell r="AA2465">
            <v>3.0167063318145004E-2</v>
          </cell>
        </row>
        <row r="2466">
          <cell r="Y2466">
            <v>56122</v>
          </cell>
          <cell r="Z2466">
            <v>3.0422138681494664E-2</v>
          </cell>
          <cell r="AA2466">
            <v>3.0168651961568482E-2</v>
          </cell>
        </row>
        <row r="2467">
          <cell r="Y2467">
            <v>56129</v>
          </cell>
          <cell r="Z2467">
            <v>3.0419879124092566E-2</v>
          </cell>
          <cell r="AA2467">
            <v>3.0170265855528067E-2</v>
          </cell>
        </row>
        <row r="2468">
          <cell r="Y2468">
            <v>56136</v>
          </cell>
          <cell r="Z2468">
            <v>3.0421872381072888E-2</v>
          </cell>
          <cell r="AA2468">
            <v>3.0171905000266896E-2</v>
          </cell>
        </row>
        <row r="2469">
          <cell r="Y2469">
            <v>56143</v>
          </cell>
          <cell r="Z2469">
            <v>3.0423891269559675E-2</v>
          </cell>
          <cell r="AA2469">
            <v>3.0173569395866018E-2</v>
          </cell>
        </row>
        <row r="2470">
          <cell r="Y2470">
            <v>56150</v>
          </cell>
          <cell r="Z2470">
            <v>3.0425935789629047E-2</v>
          </cell>
          <cell r="AA2470">
            <v>3.0175259042163338E-2</v>
          </cell>
        </row>
        <row r="2471">
          <cell r="Y2471">
            <v>56157</v>
          </cell>
          <cell r="Z2471">
            <v>3.0429424723933708E-2</v>
          </cell>
          <cell r="AA2471">
            <v>3.017697393932095E-2</v>
          </cell>
        </row>
        <row r="2472">
          <cell r="Y2472">
            <v>56164</v>
          </cell>
          <cell r="Z2472">
            <v>3.0431522511824381E-2</v>
          </cell>
          <cell r="AA2472">
            <v>3.0178714087014669E-2</v>
          </cell>
        </row>
        <row r="2473">
          <cell r="Y2473">
            <v>56171</v>
          </cell>
          <cell r="Z2473">
            <v>3.0433645933668204E-2</v>
          </cell>
          <cell r="AA2473">
            <v>3.018047948532554E-2</v>
          </cell>
        </row>
        <row r="2474">
          <cell r="Y2474">
            <v>56178</v>
          </cell>
          <cell r="Z2474">
            <v>3.0435794989548893E-2</v>
          </cell>
          <cell r="AA2474">
            <v>3.0182270134658795E-2</v>
          </cell>
        </row>
        <row r="2475">
          <cell r="Y2475">
            <v>56185</v>
          </cell>
          <cell r="Z2475">
            <v>3.043796967954571E-2</v>
          </cell>
          <cell r="AA2475">
            <v>3.018408603469025E-2</v>
          </cell>
        </row>
        <row r="2476">
          <cell r="Y2476">
            <v>56192</v>
          </cell>
          <cell r="Z2476">
            <v>3.044017000374015E-2</v>
          </cell>
          <cell r="AA2476">
            <v>3.018592718525781E-2</v>
          </cell>
        </row>
        <row r="2477">
          <cell r="Y2477">
            <v>56199</v>
          </cell>
          <cell r="Z2477">
            <v>3.0440965121006962E-2</v>
          </cell>
          <cell r="AA2477">
            <v>3.0187793586847755E-2</v>
          </cell>
        </row>
        <row r="2478">
          <cell r="Y2478">
            <v>56206</v>
          </cell>
          <cell r="Z2478">
            <v>3.0443214696585265E-2</v>
          </cell>
          <cell r="AA2478">
            <v>3.0189685239135899E-2</v>
          </cell>
        </row>
        <row r="2479">
          <cell r="Y2479">
            <v>56213</v>
          </cell>
          <cell r="Z2479">
            <v>3.0446924782352166E-2</v>
          </cell>
          <cell r="AA2479">
            <v>3.0191602141879104E-2</v>
          </cell>
        </row>
        <row r="2480">
          <cell r="Y2480">
            <v>56220</v>
          </cell>
          <cell r="Z2480">
            <v>3.0449227644181842E-2</v>
          </cell>
          <cell r="AA2480">
            <v>3.0193544295644692E-2</v>
          </cell>
        </row>
        <row r="2481">
          <cell r="Y2481">
            <v>56227</v>
          </cell>
          <cell r="Z2481">
            <v>3.0451556140633967E-2</v>
          </cell>
          <cell r="AA2481">
            <v>3.0195511700108479E-2</v>
          </cell>
        </row>
        <row r="2482">
          <cell r="Y2482">
            <v>56234</v>
          </cell>
          <cell r="Z2482">
            <v>3.0453910271798491E-2</v>
          </cell>
          <cell r="AA2482">
            <v>3.019750435518942E-2</v>
          </cell>
        </row>
        <row r="2483">
          <cell r="Y2483">
            <v>56241</v>
          </cell>
          <cell r="Z2483">
            <v>3.0456290037764476E-2</v>
          </cell>
          <cell r="AA2483">
            <v>3.0199522261130651E-2</v>
          </cell>
        </row>
        <row r="2484">
          <cell r="Y2484">
            <v>56248</v>
          </cell>
          <cell r="Z2484">
            <v>3.0458695438317283E-2</v>
          </cell>
          <cell r="AA2484">
            <v>3.0201565417689036E-2</v>
          </cell>
        </row>
        <row r="2485">
          <cell r="Y2485">
            <v>56255</v>
          </cell>
          <cell r="Z2485">
            <v>3.0459679330847249E-2</v>
          </cell>
          <cell r="AA2485">
            <v>3.0203633825107712E-2</v>
          </cell>
        </row>
        <row r="2486">
          <cell r="Y2486">
            <v>56262</v>
          </cell>
          <cell r="Z2486">
            <v>3.0462133237415215E-2</v>
          </cell>
          <cell r="AA2486">
            <v>3.0205727483305633E-2</v>
          </cell>
        </row>
        <row r="2487">
          <cell r="Y2487">
            <v>56269</v>
          </cell>
          <cell r="Z2487">
            <v>3.0464611525700468E-2</v>
          </cell>
          <cell r="AA2487">
            <v>3.0207846392039661E-2</v>
          </cell>
        </row>
        <row r="2488">
          <cell r="Y2488">
            <v>56276</v>
          </cell>
          <cell r="Z2488">
            <v>3.0467113570140352E-2</v>
          </cell>
          <cell r="AA2488">
            <v>3.0209990551633981E-2</v>
          </cell>
        </row>
        <row r="2489">
          <cell r="Y2489">
            <v>56283</v>
          </cell>
          <cell r="Z2489">
            <v>3.0469638745170866E-2</v>
          </cell>
          <cell r="AA2489">
            <v>3.0212159962088592E-2</v>
          </cell>
        </row>
        <row r="2490">
          <cell r="Y2490">
            <v>56290</v>
          </cell>
          <cell r="Z2490">
            <v>3.047218642522263E-2</v>
          </cell>
          <cell r="AA2490">
            <v>3.0214354623241402E-2</v>
          </cell>
        </row>
        <row r="2491">
          <cell r="Y2491">
            <v>56297</v>
          </cell>
          <cell r="Z2491">
            <v>3.0474755984727618E-2</v>
          </cell>
          <cell r="AA2491">
            <v>3.0216574534930318E-2</v>
          </cell>
        </row>
        <row r="2492">
          <cell r="Y2492">
            <v>56304</v>
          </cell>
          <cell r="Z2492">
            <v>3.0477346798114216E-2</v>
          </cell>
          <cell r="AA2492">
            <v>3.0218819697560573E-2</v>
          </cell>
        </row>
        <row r="2493">
          <cell r="Y2493">
            <v>56311</v>
          </cell>
          <cell r="Z2493">
            <v>3.0484339214373629E-2</v>
          </cell>
          <cell r="AA2493">
            <v>3.0221090111051119E-2</v>
          </cell>
        </row>
        <row r="2494">
          <cell r="Y2494">
            <v>56318</v>
          </cell>
          <cell r="Z2494">
            <v>3.0486974705453904E-2</v>
          </cell>
          <cell r="AA2494">
            <v>3.0223385774996725E-2</v>
          </cell>
        </row>
        <row r="2495">
          <cell r="Y2495">
            <v>56325</v>
          </cell>
          <cell r="Z2495">
            <v>3.048962941677948E-2</v>
          </cell>
          <cell r="AA2495">
            <v>3.0225706689802623E-2</v>
          </cell>
        </row>
        <row r="2496">
          <cell r="Y2496">
            <v>56332</v>
          </cell>
          <cell r="Z2496">
            <v>3.0492302732813979E-2</v>
          </cell>
          <cell r="AA2496">
            <v>3.0228052855468812E-2</v>
          </cell>
        </row>
        <row r="2497">
          <cell r="Y2497">
            <v>56339</v>
          </cell>
          <cell r="Z2497">
            <v>3.0493528437546127E-2</v>
          </cell>
          <cell r="AA2497">
            <v>3.0230424271833201E-2</v>
          </cell>
        </row>
        <row r="2498">
          <cell r="Y2498">
            <v>56346</v>
          </cell>
          <cell r="Z2498">
            <v>3.0496235959275513E-2</v>
          </cell>
          <cell r="AA2498">
            <v>3.0232820938814742E-2</v>
          </cell>
        </row>
        <row r="2499">
          <cell r="Y2499">
            <v>56353</v>
          </cell>
          <cell r="Z2499">
            <v>3.0498960277568023E-2</v>
          </cell>
          <cell r="AA2499">
            <v>3.0235242856737621E-2</v>
          </cell>
        </row>
        <row r="2500">
          <cell r="Y2500">
            <v>56360</v>
          </cell>
          <cell r="Z2500">
            <v>3.0501700773563119E-2</v>
          </cell>
          <cell r="AA2500">
            <v>3.0237690025277653E-2</v>
          </cell>
        </row>
        <row r="2501">
          <cell r="Y2501">
            <v>56367</v>
          </cell>
          <cell r="Z2501">
            <v>3.0504456828402027E-2</v>
          </cell>
          <cell r="AA2501">
            <v>3.024016244459693E-2</v>
          </cell>
        </row>
        <row r="2502">
          <cell r="Y2502">
            <v>56374</v>
          </cell>
          <cell r="Z2502">
            <v>3.0508698857667244E-2</v>
          </cell>
          <cell r="AA2502">
            <v>3.0242660114695452E-2</v>
          </cell>
        </row>
        <row r="2503">
          <cell r="Y2503">
            <v>56381</v>
          </cell>
          <cell r="Z2503">
            <v>3.0511485171481965E-2</v>
          </cell>
          <cell r="AA2503">
            <v>3.024518303557322E-2</v>
          </cell>
        </row>
        <row r="2504">
          <cell r="Y2504">
            <v>56388</v>
          </cell>
          <cell r="Z2504">
            <v>3.0514285165633592E-2</v>
          </cell>
          <cell r="AA2504">
            <v>3.0247731207230233E-2</v>
          </cell>
        </row>
        <row r="2505">
          <cell r="Y2505">
            <v>56395</v>
          </cell>
          <cell r="Z2505">
            <v>3.0517098224560647E-2</v>
          </cell>
          <cell r="AA2505">
            <v>3.0250304629423352E-2</v>
          </cell>
        </row>
        <row r="2506">
          <cell r="Y2506">
            <v>56402</v>
          </cell>
          <cell r="Z2506">
            <v>3.0518448824894726E-2</v>
          </cell>
          <cell r="AA2506">
            <v>3.0252903302476764E-2</v>
          </cell>
        </row>
        <row r="2507">
          <cell r="Y2507">
            <v>56409</v>
          </cell>
          <cell r="Z2507">
            <v>3.0521285236541761E-2</v>
          </cell>
          <cell r="AA2507">
            <v>3.0255527226390466E-2</v>
          </cell>
        </row>
        <row r="2508">
          <cell r="Y2508">
            <v>56416</v>
          </cell>
          <cell r="Z2508">
            <v>3.0524132874918466E-2</v>
          </cell>
          <cell r="AA2508">
            <v>3.0258176401002368E-2</v>
          </cell>
        </row>
        <row r="2509">
          <cell r="Y2509">
            <v>56423</v>
          </cell>
          <cell r="Z2509">
            <v>3.0526991121139053E-2</v>
          </cell>
          <cell r="AA2509">
            <v>3.0260850826312469E-2</v>
          </cell>
        </row>
        <row r="2510">
          <cell r="Y2510">
            <v>56430</v>
          </cell>
          <cell r="Z2510">
            <v>3.0531337946290534E-2</v>
          </cell>
          <cell r="AA2510">
            <v>3.0263550122943128E-2</v>
          </cell>
        </row>
        <row r="2511">
          <cell r="Y2511">
            <v>56437</v>
          </cell>
          <cell r="Z2511">
            <v>3.0534216619783065E-2</v>
          </cell>
          <cell r="AA2511">
            <v>3.0266263665483795E-2</v>
          </cell>
        </row>
        <row r="2512">
          <cell r="Y2512">
            <v>56444</v>
          </cell>
          <cell r="Z2512">
            <v>3.0537104752607236E-2</v>
          </cell>
          <cell r="AA2512">
            <v>3.0268986520647356E-2</v>
          </cell>
        </row>
        <row r="2513">
          <cell r="Y2513">
            <v>56451</v>
          </cell>
          <cell r="Z2513">
            <v>3.0540002344804008E-2</v>
          </cell>
          <cell r="AA2513">
            <v>3.0271718688433813E-2</v>
          </cell>
        </row>
        <row r="2514">
          <cell r="Y2514">
            <v>56458</v>
          </cell>
          <cell r="Z2514">
            <v>3.0542909396415231E-2</v>
          </cell>
          <cell r="AA2514">
            <v>3.0274460168924211E-2</v>
          </cell>
        </row>
        <row r="2515">
          <cell r="Y2515">
            <v>56465</v>
          </cell>
          <cell r="Z2515">
            <v>3.0545825907481863E-2</v>
          </cell>
          <cell r="AA2515">
            <v>3.0277210962199597E-2</v>
          </cell>
        </row>
        <row r="2516">
          <cell r="Y2516">
            <v>56472</v>
          </cell>
          <cell r="Z2516">
            <v>3.0548751878043991E-2</v>
          </cell>
          <cell r="AA2516">
            <v>3.0279971067854738E-2</v>
          </cell>
        </row>
        <row r="2517">
          <cell r="Y2517">
            <v>56479</v>
          </cell>
          <cell r="Z2517">
            <v>3.0551687308143012E-2</v>
          </cell>
          <cell r="AA2517">
            <v>3.0282740486375914E-2</v>
          </cell>
        </row>
        <row r="2518">
          <cell r="Y2518">
            <v>56486</v>
          </cell>
          <cell r="Z2518">
            <v>3.0554632197821219E-2</v>
          </cell>
          <cell r="AA2518">
            <v>3.0285519217682078E-2</v>
          </cell>
        </row>
        <row r="2519">
          <cell r="Y2519">
            <v>56493</v>
          </cell>
          <cell r="Z2519">
            <v>3.0553126508533864E-2</v>
          </cell>
          <cell r="AA2519">
            <v>3.0288307261367997E-2</v>
          </cell>
        </row>
        <row r="2520">
          <cell r="Y2520">
            <v>56500</v>
          </cell>
          <cell r="Z2520">
            <v>3.0556087552273736E-2</v>
          </cell>
          <cell r="AA2520">
            <v>3.0291104617838904E-2</v>
          </cell>
        </row>
        <row r="2521">
          <cell r="Y2521">
            <v>56507</v>
          </cell>
          <cell r="Z2521">
            <v>3.0559058053279933E-2</v>
          </cell>
          <cell r="AA2521">
            <v>3.0293911287013753E-2</v>
          </cell>
        </row>
        <row r="2522">
          <cell r="Y2522">
            <v>56514</v>
          </cell>
          <cell r="Z2522">
            <v>3.0562038011591859E-2</v>
          </cell>
          <cell r="AA2522">
            <v>3.0296727268892543E-2</v>
          </cell>
        </row>
        <row r="2523">
          <cell r="Y2523">
            <v>56521</v>
          </cell>
          <cell r="Z2523">
            <v>3.056502742725116E-2</v>
          </cell>
          <cell r="AA2523">
            <v>3.0299552563232135E-2</v>
          </cell>
        </row>
        <row r="2524">
          <cell r="Y2524">
            <v>56528</v>
          </cell>
          <cell r="Z2524">
            <v>3.0569517425483347E-2</v>
          </cell>
          <cell r="AA2524">
            <v>3.0302387170518807E-2</v>
          </cell>
        </row>
        <row r="2525">
          <cell r="Y2525">
            <v>56535</v>
          </cell>
          <cell r="Z2525">
            <v>3.0572526681632402E-2</v>
          </cell>
          <cell r="AA2525">
            <v>3.0305231090347329E-2</v>
          </cell>
        </row>
        <row r="2526">
          <cell r="Y2526">
            <v>56542</v>
          </cell>
          <cell r="Z2526">
            <v>3.0575545396067671E-2</v>
          </cell>
          <cell r="AA2526">
            <v>3.0308084322717699E-2</v>
          </cell>
        </row>
        <row r="2527">
          <cell r="Y2527">
            <v>56549</v>
          </cell>
          <cell r="Z2527">
            <v>3.0578573568831466E-2</v>
          </cell>
          <cell r="AA2527">
            <v>3.0310946867954103E-2</v>
          </cell>
        </row>
        <row r="2528">
          <cell r="Y2528">
            <v>56556</v>
          </cell>
          <cell r="Z2528">
            <v>3.0581611199965639E-2</v>
          </cell>
          <cell r="AA2528">
            <v>3.0313818725732355E-2</v>
          </cell>
        </row>
        <row r="2529">
          <cell r="Y2529">
            <v>56563</v>
          </cell>
          <cell r="Z2529">
            <v>3.0583162527849005E-2</v>
          </cell>
          <cell r="AA2529">
            <v>3.0316699896295596E-2</v>
          </cell>
        </row>
        <row r="2530">
          <cell r="Y2530">
            <v>56570</v>
          </cell>
          <cell r="Z2530">
            <v>3.0586218146112176E-2</v>
          </cell>
          <cell r="AA2530">
            <v>3.0319590379400685E-2</v>
          </cell>
        </row>
        <row r="2531">
          <cell r="Y2531">
            <v>56577</v>
          </cell>
          <cell r="Z2531">
            <v>3.0589283222057208E-2</v>
          </cell>
          <cell r="AA2531">
            <v>3.0322490175209715E-2</v>
          </cell>
        </row>
        <row r="2532">
          <cell r="Y2532">
            <v>56584</v>
          </cell>
          <cell r="Z2532">
            <v>3.0593856309056689E-2</v>
          </cell>
          <cell r="AA2532">
            <v>3.0325399283641641E-2</v>
          </cell>
        </row>
        <row r="2533">
          <cell r="Y2533">
            <v>56591</v>
          </cell>
          <cell r="Z2533">
            <v>3.0596941232682234E-2</v>
          </cell>
          <cell r="AA2533">
            <v>3.03283177049396E-2</v>
          </cell>
        </row>
        <row r="2534">
          <cell r="Y2534">
            <v>56598</v>
          </cell>
          <cell r="Z2534">
            <v>3.0600035614932877E-2</v>
          </cell>
          <cell r="AA2534">
            <v>3.0331245438698362E-2</v>
          </cell>
        </row>
        <row r="2535">
          <cell r="Y2535">
            <v>56605</v>
          </cell>
          <cell r="Z2535">
            <v>3.0603139455853592E-2</v>
          </cell>
          <cell r="AA2535">
            <v>3.0334182485080019E-2</v>
          </cell>
        </row>
        <row r="2536">
          <cell r="Y2536">
            <v>56612</v>
          </cell>
          <cell r="Z2536">
            <v>3.0606252755486688E-2</v>
          </cell>
          <cell r="AA2536">
            <v>3.033712884432771E-2</v>
          </cell>
        </row>
        <row r="2537">
          <cell r="Y2537">
            <v>56619</v>
          </cell>
          <cell r="Z2537">
            <v>3.0607872291463882E-2</v>
          </cell>
          <cell r="AA2537">
            <v>3.0340084516198296E-2</v>
          </cell>
        </row>
        <row r="2538">
          <cell r="Y2538">
            <v>56626</v>
          </cell>
          <cell r="Z2538">
            <v>3.0611003572386407E-2</v>
          </cell>
          <cell r="AA2538">
            <v>3.0343049500529684E-2</v>
          </cell>
        </row>
        <row r="2539">
          <cell r="Y2539">
            <v>56633</v>
          </cell>
          <cell r="Z2539">
            <v>3.0614144311336022E-2</v>
          </cell>
          <cell r="AA2539">
            <v>3.0346023797808153E-2</v>
          </cell>
        </row>
        <row r="2540">
          <cell r="Y2540">
            <v>56640</v>
          </cell>
          <cell r="Z2540">
            <v>3.0617294508356156E-2</v>
          </cell>
          <cell r="AA2540">
            <v>3.034900740762847E-2</v>
          </cell>
        </row>
        <row r="2541">
          <cell r="Y2541">
            <v>56647</v>
          </cell>
          <cell r="Z2541">
            <v>3.0620454163489349E-2</v>
          </cell>
          <cell r="AA2541">
            <v>3.0352000330071682E-2</v>
          </cell>
        </row>
        <row r="2542">
          <cell r="Y2542">
            <v>56654</v>
          </cell>
          <cell r="Z2542">
            <v>3.0623623276779036E-2</v>
          </cell>
          <cell r="AA2542">
            <v>3.0355002565299882E-2</v>
          </cell>
        </row>
        <row r="2543">
          <cell r="Y2543">
            <v>56661</v>
          </cell>
          <cell r="Z2543">
            <v>3.0626801848271334E-2</v>
          </cell>
          <cell r="AA2543">
            <v>3.0358014113150977E-2</v>
          </cell>
        </row>
        <row r="2544">
          <cell r="Y2544">
            <v>56668</v>
          </cell>
          <cell r="Z2544">
            <v>3.0629989878008336E-2</v>
          </cell>
          <cell r="AA2544">
            <v>3.0361034973624967E-2</v>
          </cell>
        </row>
        <row r="2545">
          <cell r="Y2545">
            <v>56675</v>
          </cell>
          <cell r="Z2545">
            <v>3.0637720094542062E-2</v>
          </cell>
          <cell r="AA2545">
            <v>3.0364065146721853E-2</v>
          </cell>
        </row>
        <row r="2546">
          <cell r="Y2546">
            <v>56682</v>
          </cell>
          <cell r="Z2546">
            <v>3.0640929869746054E-2</v>
          </cell>
          <cell r="AA2546">
            <v>3.0367104632765818E-2</v>
          </cell>
        </row>
        <row r="2547">
          <cell r="Y2547">
            <v>56689</v>
          </cell>
          <cell r="Z2547">
            <v>3.0644149105786323E-2</v>
          </cell>
          <cell r="AA2547">
            <v>3.0370153431270586E-2</v>
          </cell>
        </row>
        <row r="2548">
          <cell r="Y2548">
            <v>56696</v>
          </cell>
          <cell r="Z2548">
            <v>3.0647377802706925E-2</v>
          </cell>
          <cell r="AA2548">
            <v>3.0373211542398248E-2</v>
          </cell>
        </row>
        <row r="2549">
          <cell r="Y2549">
            <v>56703</v>
          </cell>
          <cell r="Z2549">
            <v>3.065061596055366E-2</v>
          </cell>
          <cell r="AA2549">
            <v>3.0376278966229853E-2</v>
          </cell>
        </row>
        <row r="2550">
          <cell r="Y2550">
            <v>56710</v>
          </cell>
          <cell r="Z2550">
            <v>3.0652347772160766E-2</v>
          </cell>
          <cell r="AA2550">
            <v>3.0379355702846444E-2</v>
          </cell>
        </row>
        <row r="2551">
          <cell r="Y2551">
            <v>56717</v>
          </cell>
          <cell r="Z2551">
            <v>3.0655603904811136E-2</v>
          </cell>
          <cell r="AA2551">
            <v>3.0382441752004885E-2</v>
          </cell>
        </row>
        <row r="2552">
          <cell r="Y2552">
            <v>56724</v>
          </cell>
          <cell r="Z2552">
            <v>3.0658869497705108E-2</v>
          </cell>
          <cell r="AA2552">
            <v>3.0385537113786221E-2</v>
          </cell>
        </row>
        <row r="2553">
          <cell r="Y2553">
            <v>56731</v>
          </cell>
          <cell r="Z2553">
            <v>3.0662144550888299E-2</v>
          </cell>
          <cell r="AA2553">
            <v>3.0388641788352544E-2</v>
          </cell>
        </row>
        <row r="2554">
          <cell r="Y2554">
            <v>56738</v>
          </cell>
          <cell r="Z2554">
            <v>3.0666948665286225E-2</v>
          </cell>
          <cell r="AA2554">
            <v>3.0391755775703855E-2</v>
          </cell>
        </row>
        <row r="2555">
          <cell r="Y2555">
            <v>56745</v>
          </cell>
          <cell r="Z2555">
            <v>3.0670243589653968E-2</v>
          </cell>
          <cell r="AA2555">
            <v>3.0394879075678061E-2</v>
          </cell>
        </row>
        <row r="2556">
          <cell r="Y2556">
            <v>56752</v>
          </cell>
          <cell r="Z2556">
            <v>3.0673547975269829E-2</v>
          </cell>
          <cell r="AA2556">
            <v>3.0398011688194115E-2</v>
          </cell>
        </row>
        <row r="2557">
          <cell r="Y2557">
            <v>56759</v>
          </cell>
          <cell r="Z2557">
            <v>3.0676861822179623E-2</v>
          </cell>
          <cell r="AA2557">
            <v>3.0401153613414111E-2</v>
          </cell>
        </row>
        <row r="2558">
          <cell r="Y2558">
            <v>56766</v>
          </cell>
          <cell r="Z2558">
            <v>3.067866172274486E-2</v>
          </cell>
          <cell r="AA2558">
            <v>3.0404304851419095E-2</v>
          </cell>
        </row>
        <row r="2559">
          <cell r="Y2559">
            <v>56773</v>
          </cell>
          <cell r="Z2559">
            <v>3.0681993538627945E-2</v>
          </cell>
          <cell r="AA2559">
            <v>3.0407465401884881E-2</v>
          </cell>
        </row>
        <row r="2560">
          <cell r="Y2560">
            <v>56780</v>
          </cell>
          <cell r="Z2560">
            <v>3.0685334815124879E-2</v>
          </cell>
          <cell r="AA2560">
            <v>3.0410635265216701E-2</v>
          </cell>
        </row>
        <row r="2561">
          <cell r="Y2561">
            <v>56787</v>
          </cell>
          <cell r="Z2561">
            <v>3.0688685552280388E-2</v>
          </cell>
          <cell r="AA2561">
            <v>3.041381444109037E-2</v>
          </cell>
        </row>
        <row r="2562">
          <cell r="Y2562">
            <v>56794</v>
          </cell>
          <cell r="Z2562">
            <v>3.0692045750142751E-2</v>
          </cell>
          <cell r="AA2562">
            <v>3.0417002929830073E-2</v>
          </cell>
        </row>
        <row r="2563">
          <cell r="Y2563">
            <v>56801</v>
          </cell>
          <cell r="Z2563">
            <v>3.0696943593463807E-2</v>
          </cell>
          <cell r="AA2563">
            <v>3.0420200731030578E-2</v>
          </cell>
        </row>
        <row r="2564">
          <cell r="Y2564">
            <v>56808</v>
          </cell>
          <cell r="Z2564">
            <v>3.0700323670754263E-2</v>
          </cell>
          <cell r="AA2564">
            <v>3.0423407844935024E-2</v>
          </cell>
        </row>
        <row r="2565">
          <cell r="Y2565">
            <v>56815</v>
          </cell>
          <cell r="Z2565">
            <v>3.0703713209717012E-2</v>
          </cell>
          <cell r="AA2565">
            <v>3.0426624271705505E-2</v>
          </cell>
        </row>
        <row r="2566">
          <cell r="Y2566">
            <v>56822</v>
          </cell>
          <cell r="Z2566">
            <v>3.0707112210399182E-2</v>
          </cell>
          <cell r="AA2566">
            <v>3.0429850011179926E-2</v>
          </cell>
        </row>
        <row r="2567">
          <cell r="Y2567">
            <v>56829</v>
          </cell>
          <cell r="Z2567">
            <v>3.0710520672848345E-2</v>
          </cell>
          <cell r="AA2567">
            <v>3.0433085062953058E-2</v>
          </cell>
        </row>
        <row r="2568">
          <cell r="Y2568">
            <v>56836</v>
          </cell>
          <cell r="Z2568">
            <v>3.071393859711383E-2</v>
          </cell>
          <cell r="AA2568">
            <v>3.0436329427754316E-2</v>
          </cell>
        </row>
        <row r="2569">
          <cell r="Y2569">
            <v>56843</v>
          </cell>
          <cell r="Z2569">
            <v>3.071736598324365E-2</v>
          </cell>
          <cell r="AA2569">
            <v>3.0439583105097423E-2</v>
          </cell>
        </row>
        <row r="2570">
          <cell r="Y2570">
            <v>56850</v>
          </cell>
          <cell r="Z2570">
            <v>3.0720802831284939E-2</v>
          </cell>
          <cell r="AA2570">
            <v>3.0442846095063425E-2</v>
          </cell>
        </row>
        <row r="2571">
          <cell r="Y2571">
            <v>56857</v>
          </cell>
          <cell r="Z2571">
            <v>3.0721177577467555E-2</v>
          </cell>
          <cell r="AA2571">
            <v>3.0446118397652322E-2</v>
          </cell>
        </row>
        <row r="2572">
          <cell r="Y2572">
            <v>56864</v>
          </cell>
          <cell r="Z2572">
            <v>3.0724631420674178E-2</v>
          </cell>
          <cell r="AA2572">
            <v>3.0449400013188299E-2</v>
          </cell>
        </row>
        <row r="2573">
          <cell r="Y2573">
            <v>56871</v>
          </cell>
          <cell r="Z2573">
            <v>3.0728094724286694E-2</v>
          </cell>
          <cell r="AA2573">
            <v>3.0452690941266125E-2</v>
          </cell>
        </row>
        <row r="2574">
          <cell r="Y2574">
            <v>56878</v>
          </cell>
          <cell r="Z2574">
            <v>3.0731567488353193E-2</v>
          </cell>
          <cell r="AA2574">
            <v>3.0455991181966846E-2</v>
          </cell>
        </row>
        <row r="2575">
          <cell r="Y2575">
            <v>56885</v>
          </cell>
          <cell r="Z2575">
            <v>3.073504971292132E-2</v>
          </cell>
          <cell r="AA2575">
            <v>3.0459300735452555E-2</v>
          </cell>
        </row>
        <row r="2576">
          <cell r="Y2576">
            <v>56892</v>
          </cell>
          <cell r="Z2576">
            <v>3.0740081920999252E-2</v>
          </cell>
          <cell r="AA2576">
            <v>3.0462619601480112E-2</v>
          </cell>
        </row>
        <row r="2577">
          <cell r="Y2577">
            <v>56899</v>
          </cell>
          <cell r="Z2577">
            <v>3.0743584035182341E-2</v>
          </cell>
          <cell r="AA2577">
            <v>3.0465947780292657E-2</v>
          </cell>
        </row>
        <row r="2578">
          <cell r="Y2578">
            <v>56906</v>
          </cell>
          <cell r="Z2578">
            <v>3.0747095610840672E-2</v>
          </cell>
          <cell r="AA2578">
            <v>3.0469285271728097E-2</v>
          </cell>
        </row>
        <row r="2579">
          <cell r="Y2579">
            <v>56913</v>
          </cell>
          <cell r="Z2579">
            <v>3.07506166480234E-2</v>
          </cell>
          <cell r="AA2579">
            <v>3.0472632075786432E-2</v>
          </cell>
        </row>
        <row r="2580">
          <cell r="Y2580">
            <v>56920</v>
          </cell>
          <cell r="Z2580">
            <v>3.0752602744996863E-2</v>
          </cell>
          <cell r="AA2580">
            <v>3.0475988192710801E-2</v>
          </cell>
        </row>
        <row r="2581">
          <cell r="Y2581">
            <v>56927</v>
          </cell>
          <cell r="Z2581">
            <v>3.0756141733601219E-2</v>
          </cell>
          <cell r="AA2581">
            <v>3.0479353622095973E-2</v>
          </cell>
        </row>
        <row r="2582">
          <cell r="Y2582">
            <v>56934</v>
          </cell>
          <cell r="Z2582">
            <v>3.0759690183050092E-2</v>
          </cell>
          <cell r="AA2582">
            <v>3.0482728364347178E-2</v>
          </cell>
        </row>
        <row r="2583">
          <cell r="Y2583">
            <v>56941</v>
          </cell>
          <cell r="Z2583">
            <v>3.0763248093392911E-2</v>
          </cell>
          <cell r="AA2583">
            <v>3.0486112419140232E-2</v>
          </cell>
        </row>
        <row r="2584">
          <cell r="Y2584">
            <v>56948</v>
          </cell>
          <cell r="Z2584">
            <v>3.0768363758539998E-2</v>
          </cell>
          <cell r="AA2584">
            <v>3.0489505786718274E-2</v>
          </cell>
        </row>
        <row r="2585">
          <cell r="Y2585">
            <v>56955</v>
          </cell>
          <cell r="Z2585">
            <v>3.0771941565912099E-2</v>
          </cell>
          <cell r="AA2585">
            <v>3.0492908466838164E-2</v>
          </cell>
        </row>
        <row r="2586">
          <cell r="Y2586">
            <v>56962</v>
          </cell>
          <cell r="Z2586">
            <v>3.0775528835156697E-2</v>
          </cell>
          <cell r="AA2586">
            <v>3.0496320459743043E-2</v>
          </cell>
        </row>
        <row r="2587">
          <cell r="Y2587">
            <v>56969</v>
          </cell>
          <cell r="Z2587">
            <v>3.0779125566324724E-2</v>
          </cell>
          <cell r="AA2587">
            <v>3.0499741765351862E-2</v>
          </cell>
        </row>
        <row r="2588">
          <cell r="Y2588">
            <v>56977</v>
          </cell>
          <cell r="Z2588">
            <v>3.0783247702324098E-2</v>
          </cell>
          <cell r="AA2588">
            <v>3.0503663232197553E-2</v>
          </cell>
        </row>
        <row r="2589">
          <cell r="Y2589">
            <v>56984</v>
          </cell>
          <cell r="Z2589">
            <v>3.0785311391745982E-2</v>
          </cell>
          <cell r="AA2589">
            <v>3.0507104493426862E-2</v>
          </cell>
        </row>
        <row r="2590">
          <cell r="Y2590">
            <v>56991</v>
          </cell>
          <cell r="Z2590">
            <v>3.0788936881351758E-2</v>
          </cell>
          <cell r="AA2590">
            <v>3.0510555067441159E-2</v>
          </cell>
        </row>
        <row r="2591">
          <cell r="Y2591">
            <v>56998</v>
          </cell>
          <cell r="Z2591">
            <v>3.0792571832258944E-2</v>
          </cell>
          <cell r="AA2591">
            <v>3.0514014954159396E-2</v>
          </cell>
        </row>
        <row r="2592">
          <cell r="Y2592">
            <v>57005</v>
          </cell>
          <cell r="Z2592">
            <v>3.0796216244518296E-2</v>
          </cell>
          <cell r="AA2592">
            <v>3.0517484153500529E-2</v>
          </cell>
        </row>
        <row r="2593">
          <cell r="Y2593">
            <v>57012</v>
          </cell>
          <cell r="Z2593">
            <v>3.0799870118180143E-2</v>
          </cell>
          <cell r="AA2593">
            <v>3.0520962665464557E-2</v>
          </cell>
        </row>
        <row r="2594">
          <cell r="Y2594">
            <v>57019</v>
          </cell>
          <cell r="Z2594">
            <v>3.0803533453296138E-2</v>
          </cell>
          <cell r="AA2594">
            <v>3.0524450490132526E-2</v>
          </cell>
        </row>
        <row r="2595">
          <cell r="Y2595">
            <v>57026</v>
          </cell>
          <cell r="Z2595">
            <v>3.080720624991749E-2</v>
          </cell>
          <cell r="AA2595">
            <v>3.052794762766653E-2</v>
          </cell>
        </row>
        <row r="2596">
          <cell r="Y2596">
            <v>57033</v>
          </cell>
          <cell r="Z2596">
            <v>3.0810888508094519E-2</v>
          </cell>
          <cell r="AA2596">
            <v>3.0531454077742382E-2</v>
          </cell>
        </row>
        <row r="2597">
          <cell r="Y2597">
            <v>57040</v>
          </cell>
          <cell r="Z2597">
            <v>3.081770276068873E-2</v>
          </cell>
          <cell r="AA2597">
            <v>3.0534969840522175E-2</v>
          </cell>
        </row>
        <row r="2598">
          <cell r="Y2598">
            <v>57047</v>
          </cell>
          <cell r="Z2598">
            <v>3.0821405914319221E-2</v>
          </cell>
          <cell r="AA2598">
            <v>3.0538494916086956E-2</v>
          </cell>
        </row>
        <row r="2599">
          <cell r="Y2599">
            <v>57054</v>
          </cell>
          <cell r="Z2599">
            <v>3.0825118531327498E-2</v>
          </cell>
          <cell r="AA2599">
            <v>3.0542029304112539E-2</v>
          </cell>
        </row>
        <row r="2600">
          <cell r="Y2600">
            <v>57061</v>
          </cell>
          <cell r="Z2600">
            <v>3.08288406117651E-2</v>
          </cell>
          <cell r="AA2600">
            <v>3.054557300492311E-2</v>
          </cell>
        </row>
        <row r="2601">
          <cell r="Y2601">
            <v>57068</v>
          </cell>
          <cell r="Z2601">
            <v>3.0832572155684877E-2</v>
          </cell>
          <cell r="AA2601">
            <v>3.0549126018437622E-2</v>
          </cell>
        </row>
        <row r="2602">
          <cell r="Y2602">
            <v>57075</v>
          </cell>
          <cell r="Z2602">
            <v>3.0834746866819966E-2</v>
          </cell>
          <cell r="AA2602">
            <v>3.0552688344737122E-2</v>
          </cell>
        </row>
        <row r="2603">
          <cell r="Y2603">
            <v>57082</v>
          </cell>
          <cell r="Z2603">
            <v>3.0838496347525484E-2</v>
          </cell>
          <cell r="AA2603">
            <v>3.0556259983659517E-2</v>
          </cell>
        </row>
        <row r="2604">
          <cell r="Y2604">
            <v>57089</v>
          </cell>
          <cell r="Z2604">
            <v>3.0842255291034869E-2</v>
          </cell>
          <cell r="AA2604">
            <v>3.0559840935042715E-2</v>
          </cell>
        </row>
        <row r="2605">
          <cell r="Y2605">
            <v>57096</v>
          </cell>
          <cell r="Z2605">
            <v>3.0846023697403038E-2</v>
          </cell>
          <cell r="AA2605">
            <v>3.0563431199291946E-2</v>
          </cell>
        </row>
        <row r="2606">
          <cell r="Y2606">
            <v>57103</v>
          </cell>
          <cell r="Z2606">
            <v>3.0851371829366848E-2</v>
          </cell>
          <cell r="AA2606">
            <v>3.0567030776326165E-2</v>
          </cell>
        </row>
        <row r="2607">
          <cell r="Y2607">
            <v>57110</v>
          </cell>
          <cell r="Z2607">
            <v>3.0855160155290114E-2</v>
          </cell>
          <cell r="AA2607">
            <v>3.0570639665983279E-2</v>
          </cell>
        </row>
        <row r="2608">
          <cell r="Y2608">
            <v>57117</v>
          </cell>
          <cell r="Z2608">
            <v>3.0858957945065112E-2</v>
          </cell>
          <cell r="AA2608">
            <v>3.0574257868263288E-2</v>
          </cell>
        </row>
        <row r="2609">
          <cell r="Y2609">
            <v>57124</v>
          </cell>
          <cell r="Z2609">
            <v>3.0862765198747782E-2</v>
          </cell>
          <cell r="AA2609">
            <v>3.0577885383328285E-2</v>
          </cell>
        </row>
        <row r="2610">
          <cell r="Y2610">
            <v>57131</v>
          </cell>
          <cell r="Z2610">
            <v>3.0865007673963579E-2</v>
          </cell>
          <cell r="AA2610">
            <v>3.0581522211016177E-2</v>
          </cell>
        </row>
        <row r="2611">
          <cell r="Y2611">
            <v>57138</v>
          </cell>
          <cell r="Z2611">
            <v>3.08688328585912E-2</v>
          </cell>
          <cell r="AA2611">
            <v>3.0585168351326963E-2</v>
          </cell>
        </row>
        <row r="2612">
          <cell r="Y2612">
            <v>57145</v>
          </cell>
          <cell r="Z2612">
            <v>3.0872667506450509E-2</v>
          </cell>
          <cell r="AA2612">
            <v>3.0588823804341692E-2</v>
          </cell>
        </row>
        <row r="2613">
          <cell r="Y2613">
            <v>57152</v>
          </cell>
          <cell r="Z2613">
            <v>3.0876511617592875E-2</v>
          </cell>
          <cell r="AA2613">
            <v>3.0592488570222454E-2</v>
          </cell>
        </row>
        <row r="2614">
          <cell r="Y2614">
            <v>57159</v>
          </cell>
          <cell r="Z2614">
            <v>3.0880365192073218E-2</v>
          </cell>
          <cell r="AA2614">
            <v>3.0596162648645064E-2</v>
          </cell>
        </row>
        <row r="2615">
          <cell r="Y2615">
            <v>57166</v>
          </cell>
          <cell r="Z2615">
            <v>3.0885807465894793E-2</v>
          </cell>
          <cell r="AA2615">
            <v>3.059984603969057E-2</v>
          </cell>
        </row>
        <row r="2616">
          <cell r="Y2616">
            <v>57173</v>
          </cell>
          <cell r="Z2616">
            <v>3.0889680968432275E-2</v>
          </cell>
          <cell r="AA2616">
            <v>3.0603538743440017E-2</v>
          </cell>
        </row>
        <row r="2617">
          <cell r="Y2617">
            <v>57180</v>
          </cell>
          <cell r="Z2617">
            <v>3.0893563935309971E-2</v>
          </cell>
          <cell r="AA2617">
            <v>3.0607240760055499E-2</v>
          </cell>
        </row>
        <row r="2618">
          <cell r="Y2618">
            <v>57187</v>
          </cell>
          <cell r="Z2618">
            <v>3.0897456366582053E-2</v>
          </cell>
          <cell r="AA2618">
            <v>3.0610952089374921E-2</v>
          </cell>
        </row>
        <row r="2619">
          <cell r="Y2619">
            <v>57194</v>
          </cell>
          <cell r="Z2619">
            <v>3.0901358262301823E-2</v>
          </cell>
          <cell r="AA2619">
            <v>3.0614672731155146E-2</v>
          </cell>
        </row>
        <row r="2620">
          <cell r="Y2620">
            <v>57201</v>
          </cell>
          <cell r="Z2620">
            <v>3.0905269622525659E-2</v>
          </cell>
          <cell r="AA2620">
            <v>3.0618402685801405E-2</v>
          </cell>
        </row>
        <row r="2621">
          <cell r="Y2621">
            <v>57208</v>
          </cell>
          <cell r="Z2621">
            <v>3.0909190447309498E-2</v>
          </cell>
          <cell r="AA2621">
            <v>3.0622141953070559E-2</v>
          </cell>
        </row>
        <row r="2622">
          <cell r="Y2622">
            <v>57215</v>
          </cell>
          <cell r="Z2622">
            <v>3.0913120736706202E-2</v>
          </cell>
          <cell r="AA2622">
            <v>3.0625890532962607E-2</v>
          </cell>
        </row>
        <row r="2623">
          <cell r="Y2623">
            <v>57222</v>
          </cell>
          <cell r="Z2623">
            <v>3.0913886137619456E-2</v>
          </cell>
          <cell r="AA2623">
            <v>3.062964842572069E-2</v>
          </cell>
        </row>
        <row r="2624">
          <cell r="Y2624">
            <v>57229</v>
          </cell>
          <cell r="Z2624">
            <v>3.0916245434363724E-2</v>
          </cell>
          <cell r="AA2624">
            <v>3.0633415631101668E-2</v>
          </cell>
        </row>
        <row r="2625">
          <cell r="Y2625">
            <v>57236</v>
          </cell>
          <cell r="Z2625">
            <v>3.0920201092027921E-2</v>
          </cell>
          <cell r="AA2625">
            <v>3.0637192149105541E-2</v>
          </cell>
        </row>
        <row r="2626">
          <cell r="Y2626">
            <v>57243</v>
          </cell>
          <cell r="Z2626">
            <v>3.0924166212002571E-2</v>
          </cell>
          <cell r="AA2626">
            <v>3.0640977979651263E-2</v>
          </cell>
        </row>
        <row r="2627">
          <cell r="Y2627">
            <v>57250</v>
          </cell>
          <cell r="Z2627">
            <v>3.0928140794343192E-2</v>
          </cell>
          <cell r="AA2627">
            <v>3.0644773123144065E-2</v>
          </cell>
        </row>
        <row r="2628">
          <cell r="Y2628">
            <v>57257</v>
          </cell>
          <cell r="Z2628">
            <v>3.0933716784419679E-2</v>
          </cell>
          <cell r="AA2628">
            <v>3.0648577579259761E-2</v>
          </cell>
        </row>
        <row r="2629">
          <cell r="Y2629">
            <v>57264</v>
          </cell>
          <cell r="Z2629">
            <v>3.0937711303514644E-2</v>
          </cell>
          <cell r="AA2629">
            <v>3.0652391348160446E-2</v>
          </cell>
        </row>
        <row r="2630">
          <cell r="Y2630">
            <v>57271</v>
          </cell>
          <cell r="Z2630">
            <v>3.0941715285983485E-2</v>
          </cell>
          <cell r="AA2630">
            <v>3.0656214429521933E-2</v>
          </cell>
        </row>
        <row r="2631">
          <cell r="Y2631">
            <v>57278</v>
          </cell>
          <cell r="Z2631">
            <v>3.0945728731881419E-2</v>
          </cell>
          <cell r="AA2631">
            <v>3.0660046823749454E-2</v>
          </cell>
        </row>
        <row r="2632">
          <cell r="Y2632">
            <v>57285</v>
          </cell>
          <cell r="Z2632">
            <v>3.0948155643463551E-2</v>
          </cell>
          <cell r="AA2632">
            <v>3.0663888530680916E-2</v>
          </cell>
        </row>
        <row r="2633">
          <cell r="Y2633">
            <v>57292</v>
          </cell>
          <cell r="Z2633">
            <v>3.0952187001157948E-2</v>
          </cell>
          <cell r="AA2633">
            <v>3.0667739550154227E-2</v>
          </cell>
        </row>
        <row r="2634">
          <cell r="Y2634">
            <v>57299</v>
          </cell>
          <cell r="Z2634">
            <v>3.0956227821607431E-2</v>
          </cell>
          <cell r="AA2634">
            <v>3.0671599882493572E-2</v>
          </cell>
        </row>
        <row r="2635">
          <cell r="Y2635">
            <v>57306</v>
          </cell>
          <cell r="Z2635">
            <v>3.0960278104867071E-2</v>
          </cell>
          <cell r="AA2635">
            <v>3.0675469527374766E-2</v>
          </cell>
        </row>
        <row r="2636">
          <cell r="Y2636">
            <v>57313</v>
          </cell>
          <cell r="Z2636">
            <v>3.0964337850991949E-2</v>
          </cell>
          <cell r="AA2636">
            <v>3.0679348485121993E-2</v>
          </cell>
        </row>
        <row r="2637">
          <cell r="Y2637">
            <v>57320</v>
          </cell>
          <cell r="Z2637">
            <v>3.0970008142447044E-2</v>
          </cell>
          <cell r="AA2637">
            <v>3.068323675541107E-2</v>
          </cell>
        </row>
        <row r="2638">
          <cell r="Y2638">
            <v>57327</v>
          </cell>
          <cell r="Z2638">
            <v>3.0974087833929485E-2</v>
          </cell>
          <cell r="AA2638">
            <v>3.0687134338404087E-2</v>
          </cell>
        </row>
        <row r="2639">
          <cell r="Y2639">
            <v>57334</v>
          </cell>
          <cell r="Z2639">
            <v>3.0978176989293456E-2</v>
          </cell>
          <cell r="AA2639">
            <v>3.0691041234263139E-2</v>
          </cell>
        </row>
        <row r="2640">
          <cell r="Y2640">
            <v>57341</v>
          </cell>
          <cell r="Z2640">
            <v>3.0982275608595955E-2</v>
          </cell>
          <cell r="AA2640">
            <v>3.0694957442664039E-2</v>
          </cell>
        </row>
        <row r="2641">
          <cell r="Y2641">
            <v>57348</v>
          </cell>
          <cell r="Z2641">
            <v>3.0984778526580749E-2</v>
          </cell>
          <cell r="AA2641">
            <v>3.0698882963768881E-2</v>
          </cell>
        </row>
        <row r="2642">
          <cell r="Y2642">
            <v>57355</v>
          </cell>
          <cell r="Z2642">
            <v>3.0988895051088112E-2</v>
          </cell>
          <cell r="AA2642">
            <v>3.070281779765871E-2</v>
          </cell>
        </row>
        <row r="2643">
          <cell r="Y2643">
            <v>57362</v>
          </cell>
          <cell r="Z2643">
            <v>3.0993021038857888E-2</v>
          </cell>
          <cell r="AA2643">
            <v>3.0706761944333527E-2</v>
          </cell>
        </row>
        <row r="2644">
          <cell r="Y2644">
            <v>57369</v>
          </cell>
          <cell r="Z2644">
            <v>3.0997156489946488E-2</v>
          </cell>
          <cell r="AA2644">
            <v>3.0710715403307054E-2</v>
          </cell>
        </row>
        <row r="2645">
          <cell r="Y2645">
            <v>57376</v>
          </cell>
          <cell r="Z2645">
            <v>3.1001301404413019E-2</v>
          </cell>
          <cell r="AA2645">
            <v>3.0714678175389754E-2</v>
          </cell>
        </row>
        <row r="2646">
          <cell r="Y2646">
            <v>57383</v>
          </cell>
          <cell r="Z2646">
            <v>3.1005455782313906E-2</v>
          </cell>
          <cell r="AA2646">
            <v>3.0718650260014302E-2</v>
          </cell>
        </row>
        <row r="2647">
          <cell r="Y2647">
            <v>57390</v>
          </cell>
          <cell r="Z2647">
            <v>3.1009619623706457E-2</v>
          </cell>
          <cell r="AA2647">
            <v>3.0722631657180699E-2</v>
          </cell>
        </row>
        <row r="2648">
          <cell r="Y2648">
            <v>57397</v>
          </cell>
          <cell r="Z2648">
            <v>3.1013792928648882E-2</v>
          </cell>
          <cell r="AA2648">
            <v>3.072662236721313E-2</v>
          </cell>
        </row>
        <row r="2649">
          <cell r="Y2649">
            <v>57404</v>
          </cell>
          <cell r="Z2649">
            <v>3.1022816380061033E-2</v>
          </cell>
          <cell r="AA2649">
            <v>3.0730622390030549E-2</v>
          </cell>
        </row>
        <row r="2650">
          <cell r="Y2650">
            <v>57411</v>
          </cell>
          <cell r="Z2650">
            <v>3.1027011701620907E-2</v>
          </cell>
          <cell r="AA2650">
            <v>3.0734631725470862E-2</v>
          </cell>
        </row>
        <row r="2651">
          <cell r="Y2651">
            <v>57418</v>
          </cell>
          <cell r="Z2651">
            <v>3.103121648945421E-2</v>
          </cell>
          <cell r="AA2651">
            <v>3.0738650373534071E-2</v>
          </cell>
        </row>
        <row r="2652">
          <cell r="Y2652">
            <v>57425</v>
          </cell>
          <cell r="Z2652">
            <v>3.1035430743620848E-2</v>
          </cell>
          <cell r="AA2652">
            <v>3.0742678334382267E-2</v>
          </cell>
        </row>
        <row r="2653">
          <cell r="Y2653">
            <v>57432</v>
          </cell>
          <cell r="Z2653">
            <v>3.103965446417984E-2</v>
          </cell>
          <cell r="AA2653">
            <v>3.0746715607934405E-2</v>
          </cell>
        </row>
        <row r="2654">
          <cell r="Y2654">
            <v>57439</v>
          </cell>
          <cell r="Z2654">
            <v>3.1042268742901398E-2</v>
          </cell>
          <cell r="AA2654">
            <v>3.0750762194190484E-2</v>
          </cell>
        </row>
        <row r="2655">
          <cell r="Y2655">
            <v>57446</v>
          </cell>
          <cell r="Z2655">
            <v>3.1046510362236313E-2</v>
          </cell>
          <cell r="AA2655">
            <v>3.0754818093069458E-2</v>
          </cell>
        </row>
        <row r="2656">
          <cell r="Y2656">
            <v>57453</v>
          </cell>
          <cell r="Z2656">
            <v>3.1050761447291877E-2</v>
          </cell>
          <cell r="AA2656">
            <v>3.075888330473342E-2</v>
          </cell>
        </row>
        <row r="2657">
          <cell r="Y2657">
            <v>57460</v>
          </cell>
          <cell r="Z2657">
            <v>3.1055021998126549E-2</v>
          </cell>
          <cell r="AA2657">
            <v>3.0762957829020277E-2</v>
          </cell>
        </row>
        <row r="2658">
          <cell r="Y2658">
            <v>57467</v>
          </cell>
          <cell r="Z2658">
            <v>3.106091506494929E-2</v>
          </cell>
          <cell r="AA2658">
            <v>3.0767041665930028E-2</v>
          </cell>
        </row>
        <row r="2659">
          <cell r="Y2659">
            <v>57474</v>
          </cell>
          <cell r="Z2659">
            <v>3.1065195585117753E-2</v>
          </cell>
          <cell r="AA2659">
            <v>3.0771134815624768E-2</v>
          </cell>
        </row>
        <row r="2660">
          <cell r="Y2660">
            <v>57481</v>
          </cell>
          <cell r="Z2660">
            <v>3.1069485572097901E-2</v>
          </cell>
          <cell r="AA2660">
            <v>3.0775237278104495E-2</v>
          </cell>
        </row>
        <row r="2661">
          <cell r="Y2661">
            <v>57488</v>
          </cell>
          <cell r="Z2661">
            <v>3.1073785025950516E-2</v>
          </cell>
          <cell r="AA2661">
            <v>3.0779349053288163E-2</v>
          </cell>
        </row>
        <row r="2662">
          <cell r="Y2662">
            <v>57495</v>
          </cell>
          <cell r="Z2662">
            <v>3.1078093946735063E-2</v>
          </cell>
          <cell r="AA2662">
            <v>3.078347014101368E-2</v>
          </cell>
        </row>
        <row r="2663">
          <cell r="Y2663">
            <v>57502</v>
          </cell>
          <cell r="Z2663">
            <v>3.1080784087844426E-2</v>
          </cell>
          <cell r="AA2663">
            <v>3.0787600541686277E-2</v>
          </cell>
        </row>
        <row r="2664">
          <cell r="Y2664">
            <v>57509</v>
          </cell>
          <cell r="Z2664">
            <v>3.1085110900811352E-2</v>
          </cell>
          <cell r="AA2664">
            <v>3.0791740254900724E-2</v>
          </cell>
        </row>
        <row r="2665">
          <cell r="Y2665">
            <v>57516</v>
          </cell>
          <cell r="Z2665">
            <v>3.1089447180037904E-2</v>
          </cell>
          <cell r="AA2665">
            <v>3.0795889280819111E-2</v>
          </cell>
        </row>
        <row r="2666">
          <cell r="Y2666">
            <v>57523</v>
          </cell>
          <cell r="Z2666">
            <v>3.1093792925585204E-2</v>
          </cell>
          <cell r="AA2666">
            <v>3.0800047619279347E-2</v>
          </cell>
        </row>
        <row r="2667">
          <cell r="Y2667">
            <v>57530</v>
          </cell>
          <cell r="Z2667">
            <v>3.1099780556781389E-2</v>
          </cell>
          <cell r="AA2667">
            <v>3.080421527076771E-2</v>
          </cell>
        </row>
        <row r="2668">
          <cell r="Y2668">
            <v>57537</v>
          </cell>
          <cell r="Z2668">
            <v>3.1104146280443244E-2</v>
          </cell>
          <cell r="AA2668">
            <v>3.0808392234878967E-2</v>
          </cell>
        </row>
        <row r="2669">
          <cell r="Y2669">
            <v>57544</v>
          </cell>
          <cell r="Z2669">
            <v>3.1108521471464284E-2</v>
          </cell>
          <cell r="AA2669">
            <v>3.0812578511532074E-2</v>
          </cell>
        </row>
        <row r="2670">
          <cell r="Y2670">
            <v>57551</v>
          </cell>
          <cell r="Z2670">
            <v>3.1112906129907941E-2</v>
          </cell>
          <cell r="AA2670">
            <v>3.0816774101051214E-2</v>
          </cell>
        </row>
        <row r="2671">
          <cell r="Y2671">
            <v>57558</v>
          </cell>
          <cell r="Z2671">
            <v>3.1117300255835874E-2</v>
          </cell>
          <cell r="AA2671">
            <v>3.0820979003274296E-2</v>
          </cell>
        </row>
        <row r="2672">
          <cell r="Y2672">
            <v>57565</v>
          </cell>
          <cell r="Z2672">
            <v>3.1121703849309752E-2</v>
          </cell>
          <cell r="AA2672">
            <v>3.0825193218120273E-2</v>
          </cell>
        </row>
        <row r="2673">
          <cell r="Y2673">
            <v>57572</v>
          </cell>
          <cell r="Z2673">
            <v>3.1126116910390796E-2</v>
          </cell>
          <cell r="AA2673">
            <v>3.0829416745589144E-2</v>
          </cell>
        </row>
        <row r="2674">
          <cell r="Y2674">
            <v>57579</v>
          </cell>
          <cell r="Z2674">
            <v>3.113053943914244E-2</v>
          </cell>
          <cell r="AA2674">
            <v>3.0833649586005096E-2</v>
          </cell>
        </row>
        <row r="2675">
          <cell r="Y2675">
            <v>57586</v>
          </cell>
          <cell r="Z2675">
            <v>3.1133330630053049E-2</v>
          </cell>
          <cell r="AA2675">
            <v>3.0837891738881851E-2</v>
          </cell>
        </row>
        <row r="2676">
          <cell r="Y2676">
            <v>57593</v>
          </cell>
          <cell r="Z2676">
            <v>3.1134487906610119E-2</v>
          </cell>
          <cell r="AA2676">
            <v>3.0842143204624639E-2</v>
          </cell>
        </row>
        <row r="2677">
          <cell r="Y2677">
            <v>57600</v>
          </cell>
          <cell r="Z2677">
            <v>3.1138935680183017E-2</v>
          </cell>
          <cell r="AA2677">
            <v>3.0846403983071369E-2</v>
          </cell>
        </row>
        <row r="2678">
          <cell r="Y2678">
            <v>57607</v>
          </cell>
          <cell r="Z2678">
            <v>3.114339291909821E-2</v>
          </cell>
          <cell r="AA2678">
            <v>3.0850674074140993E-2</v>
          </cell>
        </row>
        <row r="2679">
          <cell r="Y2679">
            <v>57614</v>
          </cell>
          <cell r="Z2679">
            <v>3.11478596234166E-2</v>
          </cell>
          <cell r="AA2679">
            <v>3.0854953478076652E-2</v>
          </cell>
        </row>
        <row r="2680">
          <cell r="Y2680">
            <v>57621</v>
          </cell>
          <cell r="Z2680">
            <v>3.1153981480307201E-2</v>
          </cell>
          <cell r="AA2680">
            <v>3.0859242194473113E-2</v>
          </cell>
        </row>
        <row r="2681">
          <cell r="Y2681">
            <v>57628</v>
          </cell>
          <cell r="Z2681">
            <v>3.1158468171757072E-2</v>
          </cell>
          <cell r="AA2681">
            <v>3.0863540223654562E-2</v>
          </cell>
        </row>
        <row r="2682">
          <cell r="Y2682">
            <v>57635</v>
          </cell>
          <cell r="Z2682">
            <v>3.1162964329657011E-2</v>
          </cell>
          <cell r="AA2682">
            <v>3.0867847565702045E-2</v>
          </cell>
        </row>
        <row r="2683">
          <cell r="Y2683">
            <v>57642</v>
          </cell>
          <cell r="Z2683">
            <v>3.1167469954071596E-2</v>
          </cell>
          <cell r="AA2683">
            <v>3.0872164220453469E-2</v>
          </cell>
        </row>
        <row r="2684">
          <cell r="Y2684">
            <v>57649</v>
          </cell>
          <cell r="Z2684">
            <v>3.1170335128230822E-2</v>
          </cell>
          <cell r="AA2684">
            <v>3.0876490187665695E-2</v>
          </cell>
        </row>
        <row r="2685">
          <cell r="Y2685">
            <v>57656</v>
          </cell>
          <cell r="Z2685">
            <v>3.1174858626274518E-2</v>
          </cell>
          <cell r="AA2685">
            <v>3.0880825467825002E-2</v>
          </cell>
        </row>
        <row r="2686">
          <cell r="Y2686">
            <v>57663</v>
          </cell>
          <cell r="Z2686">
            <v>3.1179391590157986E-2</v>
          </cell>
          <cell r="AA2686">
            <v>3.0885170060526157E-2</v>
          </cell>
        </row>
        <row r="2687">
          <cell r="Y2687">
            <v>57670</v>
          </cell>
          <cell r="Z2687">
            <v>3.1183934019942565E-2</v>
          </cell>
          <cell r="AA2687">
            <v>3.08895239660123E-2</v>
          </cell>
        </row>
        <row r="2688">
          <cell r="Y2688">
            <v>57677</v>
          </cell>
          <cell r="Z2688">
            <v>3.1188485915694081E-2</v>
          </cell>
          <cell r="AA2688">
            <v>3.0893887184202384E-2</v>
          </cell>
        </row>
        <row r="2689">
          <cell r="Y2689">
            <v>57684</v>
          </cell>
          <cell r="Z2689">
            <v>3.1194702500849335E-2</v>
          </cell>
          <cell r="AA2689">
            <v>3.0898259715177456E-2</v>
          </cell>
        </row>
        <row r="2690">
          <cell r="Y2690">
            <v>57691</v>
          </cell>
          <cell r="Z2690">
            <v>3.1199274392619148E-2</v>
          </cell>
          <cell r="AA2690">
            <v>3.0902641558937516E-2</v>
          </cell>
        </row>
        <row r="2691">
          <cell r="Y2691">
            <v>57698</v>
          </cell>
          <cell r="Z2691">
            <v>3.12038557514068E-2</v>
          </cell>
          <cell r="AA2691">
            <v>3.0907032715077332E-2</v>
          </cell>
        </row>
        <row r="2692">
          <cell r="Y2692">
            <v>57706</v>
          </cell>
          <cell r="Z2692">
            <v>3.1209103182372661E-2</v>
          </cell>
          <cell r="AA2692">
            <v>3.0912062582935107E-2</v>
          </cell>
        </row>
        <row r="2693">
          <cell r="Y2693">
            <v>57713</v>
          </cell>
          <cell r="Z2693">
            <v>3.1212045191261022E-2</v>
          </cell>
          <cell r="AA2693">
            <v>3.0916473695019597E-2</v>
          </cell>
        </row>
        <row r="2694">
          <cell r="Y2694">
            <v>57720</v>
          </cell>
          <cell r="Z2694">
            <v>3.1216655236473764E-2</v>
          </cell>
          <cell r="AA2694">
            <v>3.0920894119970121E-2</v>
          </cell>
        </row>
        <row r="2695">
          <cell r="Y2695">
            <v>57727</v>
          </cell>
          <cell r="Z2695">
            <v>3.1221274748104346E-2</v>
          </cell>
          <cell r="AA2695">
            <v>3.0925323857543541E-2</v>
          </cell>
        </row>
        <row r="2696">
          <cell r="Y2696">
            <v>57734</v>
          </cell>
          <cell r="Z2696">
            <v>3.1225903726217693E-2</v>
          </cell>
          <cell r="AA2696">
            <v>3.0929762907658809E-2</v>
          </cell>
        </row>
        <row r="2697">
          <cell r="Y2697">
            <v>57741</v>
          </cell>
          <cell r="Z2697">
            <v>3.1230542170878287E-2</v>
          </cell>
          <cell r="AA2697">
            <v>3.093421127088325E-2</v>
          </cell>
        </row>
        <row r="2698">
          <cell r="Y2698">
            <v>57748</v>
          </cell>
          <cell r="Z2698">
            <v>3.1235190082150158E-2</v>
          </cell>
          <cell r="AA2698">
            <v>3.0938668946568493E-2</v>
          </cell>
        </row>
        <row r="2699">
          <cell r="Y2699">
            <v>57755</v>
          </cell>
          <cell r="Z2699">
            <v>3.1239847460097784E-2</v>
          </cell>
          <cell r="AA2699">
            <v>3.094313593511977E-2</v>
          </cell>
        </row>
        <row r="2700">
          <cell r="Y2700">
            <v>57762</v>
          </cell>
          <cell r="Z2700">
            <v>3.12445143047843E-2</v>
          </cell>
          <cell r="AA2700">
            <v>3.094761223613185E-2</v>
          </cell>
        </row>
        <row r="2701">
          <cell r="Y2701">
            <v>57769</v>
          </cell>
          <cell r="Z2701">
            <v>3.1252527214836914E-2</v>
          </cell>
          <cell r="AA2701">
            <v>3.0952097850009963E-2</v>
          </cell>
        </row>
        <row r="2702">
          <cell r="Y2702">
            <v>57776</v>
          </cell>
          <cell r="Z2702">
            <v>3.1262224743932858E-2</v>
          </cell>
          <cell r="AA2702">
            <v>3.0956592776592018E-2</v>
          </cell>
        </row>
        <row r="2703">
          <cell r="Y2703">
            <v>57783</v>
          </cell>
          <cell r="Z2703">
            <v>3.1266925367225258E-2</v>
          </cell>
          <cell r="AA2703">
            <v>3.0961097015878014E-2</v>
          </cell>
        </row>
        <row r="2704">
          <cell r="Y2704">
            <v>57790</v>
          </cell>
          <cell r="Z2704">
            <v>3.1271635461862728E-2</v>
          </cell>
          <cell r="AA2704">
            <v>3.0965610567867952E-2</v>
          </cell>
        </row>
        <row r="2705">
          <cell r="Y2705">
            <v>57797</v>
          </cell>
          <cell r="Z2705">
            <v>3.1276355027913233E-2</v>
          </cell>
          <cell r="AA2705">
            <v>3.0970133432642877E-2</v>
          </cell>
        </row>
        <row r="2706">
          <cell r="Y2706">
            <v>57804</v>
          </cell>
          <cell r="Z2706">
            <v>3.127606153896044E-2</v>
          </cell>
          <cell r="AA2706">
            <v>3.0974665610121743E-2</v>
          </cell>
        </row>
        <row r="2707">
          <cell r="Y2707">
            <v>57811</v>
          </cell>
          <cell r="Z2707">
            <v>3.1280796810327645E-2</v>
          </cell>
          <cell r="AA2707">
            <v>3.0985766148966976E-2</v>
          </cell>
        </row>
        <row r="2708">
          <cell r="Y2708">
            <v>57818</v>
          </cell>
          <cell r="Z2708">
            <v>3.1285541550697647E-2</v>
          </cell>
          <cell r="AA2708">
            <v>3.09837579031913E-2</v>
          </cell>
        </row>
        <row r="2709">
          <cell r="Y2709">
            <v>57825</v>
          </cell>
          <cell r="Z2709">
            <v>3.1290295760135561E-2</v>
          </cell>
          <cell r="AA2709">
            <v>3.0988318018781991E-2</v>
          </cell>
        </row>
        <row r="2710">
          <cell r="Y2710">
            <v>57832</v>
          </cell>
          <cell r="Z2710">
            <v>3.1300094931705567E-2</v>
          </cell>
          <cell r="AA2710">
            <v>3.0992887447076622E-2</v>
          </cell>
        </row>
        <row r="2711">
          <cell r="Y2711">
            <v>57839</v>
          </cell>
          <cell r="Z2711">
            <v>3.1304871327645638E-2</v>
          </cell>
          <cell r="AA2711">
            <v>3.0997466188156242E-2</v>
          </cell>
        </row>
        <row r="2712">
          <cell r="Y2712">
            <v>57846</v>
          </cell>
          <cell r="Z2712">
            <v>3.1309657195471956E-2</v>
          </cell>
          <cell r="AA2712">
            <v>3.1002054242020849E-2</v>
          </cell>
        </row>
        <row r="2713">
          <cell r="Y2713">
            <v>57853</v>
          </cell>
          <cell r="Z2713">
            <v>3.131445253525162E-2</v>
          </cell>
          <cell r="AA2713">
            <v>3.1006651608508351E-2</v>
          </cell>
        </row>
        <row r="2714">
          <cell r="Y2714">
            <v>57860</v>
          </cell>
          <cell r="Z2714">
            <v>3.1314208845690014E-2</v>
          </cell>
          <cell r="AA2714">
            <v>3.1011258287537702E-2</v>
          </cell>
        </row>
        <row r="2715">
          <cell r="Y2715">
            <v>57867</v>
          </cell>
          <cell r="Z2715">
            <v>3.1319019870943245E-2</v>
          </cell>
          <cell r="AA2715">
            <v>3.1015874279595179E-2</v>
          </cell>
        </row>
        <row r="2716">
          <cell r="Y2716">
            <v>57874</v>
          </cell>
          <cell r="Z2716">
            <v>3.1323840365734275E-2</v>
          </cell>
          <cell r="AA2716">
            <v>3.1020499584194505E-2</v>
          </cell>
        </row>
        <row r="2717">
          <cell r="Y2717">
            <v>57881</v>
          </cell>
          <cell r="Z2717">
            <v>3.1328670330129975E-2</v>
          </cell>
          <cell r="AA2717">
            <v>3.1025134201659865E-2</v>
          </cell>
        </row>
        <row r="2718">
          <cell r="Y2718">
            <v>57888</v>
          </cell>
          <cell r="Z2718">
            <v>3.1333509764198103E-2</v>
          </cell>
          <cell r="AA2718">
            <v>3.1029778131586028E-2</v>
          </cell>
        </row>
        <row r="2719">
          <cell r="Y2719">
            <v>57895</v>
          </cell>
          <cell r="Z2719">
            <v>3.1343423488793494E-2</v>
          </cell>
          <cell r="AA2719">
            <v>3.1034431374540317E-2</v>
          </cell>
        </row>
        <row r="2720">
          <cell r="Y2720">
            <v>57902</v>
          </cell>
          <cell r="Z2720">
            <v>3.1348285134169915E-2</v>
          </cell>
          <cell r="AA2720">
            <v>3.1039093930117501E-2</v>
          </cell>
        </row>
        <row r="2721">
          <cell r="Y2721">
            <v>57909</v>
          </cell>
          <cell r="Z2721">
            <v>3.1353156252049139E-2</v>
          </cell>
          <cell r="AA2721">
            <v>3.1043765798236533E-2</v>
          </cell>
        </row>
        <row r="2722">
          <cell r="Y2722">
            <v>57916</v>
          </cell>
          <cell r="Z2722">
            <v>3.1358036842502192E-2</v>
          </cell>
          <cell r="AA2722">
            <v>3.10484469792216E-2</v>
          </cell>
        </row>
        <row r="2723">
          <cell r="Y2723">
            <v>57923</v>
          </cell>
          <cell r="Z2723">
            <v>3.1362926905599234E-2</v>
          </cell>
          <cell r="AA2723">
            <v>3.1053137472991654E-2</v>
          </cell>
        </row>
        <row r="2724">
          <cell r="Y2724">
            <v>57930</v>
          </cell>
          <cell r="Z2724">
            <v>3.1367826441407357E-2</v>
          </cell>
          <cell r="AA2724">
            <v>3.1057837279384604E-2</v>
          </cell>
        </row>
        <row r="2725">
          <cell r="Y2725">
            <v>57937</v>
          </cell>
          <cell r="Z2725">
            <v>3.1372735449998031E-2</v>
          </cell>
          <cell r="AA2725">
            <v>3.1062546398400448E-2</v>
          </cell>
        </row>
        <row r="2726">
          <cell r="Y2726">
            <v>57944</v>
          </cell>
          <cell r="Z2726">
            <v>3.1377653931441402E-2</v>
          </cell>
          <cell r="AA2726">
            <v>3.1067264830444419E-2</v>
          </cell>
        </row>
        <row r="2727">
          <cell r="Y2727">
            <v>57951</v>
          </cell>
          <cell r="Z2727">
            <v>3.1377490817327137E-2</v>
          </cell>
          <cell r="AA2727">
            <v>3.1071992575030238E-2</v>
          </cell>
        </row>
        <row r="2728">
          <cell r="Y2728">
            <v>57958</v>
          </cell>
          <cell r="Z2728">
            <v>3.1379029718701289E-2</v>
          </cell>
          <cell r="AA2728">
            <v>3.1076729632319999E-2</v>
          </cell>
        </row>
        <row r="2729">
          <cell r="Y2729">
            <v>57965</v>
          </cell>
          <cell r="Z2729">
            <v>3.1383971127518555E-2</v>
          </cell>
          <cell r="AA2729">
            <v>3.1081476002394748E-2</v>
          </cell>
        </row>
        <row r="2730">
          <cell r="Y2730">
            <v>57972</v>
          </cell>
          <cell r="Z2730">
            <v>3.1388922005074003E-2</v>
          </cell>
          <cell r="AA2730">
            <v>3.1086231685254484E-2</v>
          </cell>
        </row>
        <row r="2731">
          <cell r="Y2731">
            <v>57979</v>
          </cell>
          <cell r="Z2731">
            <v>3.1393882351435247E-2</v>
          </cell>
          <cell r="AA2731">
            <v>3.1090996680656069E-2</v>
          </cell>
        </row>
        <row r="2732">
          <cell r="Y2732">
            <v>57986</v>
          </cell>
          <cell r="Z2732">
            <v>3.1400554079776349E-2</v>
          </cell>
          <cell r="AA2732">
            <v>3.1095770988842641E-2</v>
          </cell>
        </row>
        <row r="2733">
          <cell r="Y2733">
            <v>57993</v>
          </cell>
          <cell r="Z2733">
            <v>3.140553446547175E-2</v>
          </cell>
          <cell r="AA2733">
            <v>3.1100554609733155E-2</v>
          </cell>
        </row>
        <row r="2734">
          <cell r="Y2734">
            <v>58000</v>
          </cell>
          <cell r="Z2734">
            <v>3.1410524321060791E-2</v>
          </cell>
          <cell r="AA2734">
            <v>3.1105347543570749E-2</v>
          </cell>
        </row>
        <row r="2735">
          <cell r="Y2735">
            <v>58007</v>
          </cell>
          <cell r="Z2735">
            <v>3.1415523646612063E-2</v>
          </cell>
          <cell r="AA2735">
            <v>3.1110149789950192E-2</v>
          </cell>
        </row>
        <row r="2736">
          <cell r="Y2736">
            <v>58014</v>
          </cell>
          <cell r="Z2736">
            <v>3.1418826117742743E-2</v>
          </cell>
          <cell r="AA2736">
            <v>3.1114961349033576E-2</v>
          </cell>
        </row>
        <row r="2737">
          <cell r="Y2737">
            <v>58021</v>
          </cell>
          <cell r="Z2737">
            <v>3.1423843278389527E-2</v>
          </cell>
          <cell r="AA2737">
            <v>3.1119782220982994E-2</v>
          </cell>
        </row>
        <row r="2738">
          <cell r="Y2738">
            <v>58028</v>
          </cell>
          <cell r="Z2738">
            <v>3.1428869908325247E-2</v>
          </cell>
          <cell r="AA2738">
            <v>3.1124612405474261E-2</v>
          </cell>
        </row>
        <row r="2739">
          <cell r="Y2739">
            <v>58035</v>
          </cell>
          <cell r="Z2739">
            <v>3.1433906007620208E-2</v>
          </cell>
          <cell r="AA2739">
            <v>3.1129451902750516E-2</v>
          </cell>
        </row>
        <row r="2740">
          <cell r="Y2740">
            <v>58042</v>
          </cell>
          <cell r="Z2740">
            <v>3.1438951576345603E-2</v>
          </cell>
          <cell r="AA2740">
            <v>3.1134300712811758E-2</v>
          </cell>
        </row>
        <row r="2741">
          <cell r="Y2741">
            <v>58049</v>
          </cell>
          <cell r="Z2741">
            <v>3.1445718473046932E-2</v>
          </cell>
          <cell r="AA2741">
            <v>3.1139158835657987E-2</v>
          </cell>
        </row>
        <row r="2742">
          <cell r="Y2742">
            <v>58056</v>
          </cell>
          <cell r="Z2742">
            <v>3.1450784090295822E-2</v>
          </cell>
          <cell r="AA2742">
            <v>3.1144026271370251E-2</v>
          </cell>
        </row>
        <row r="2743">
          <cell r="Y2743">
            <v>58063</v>
          </cell>
          <cell r="Z2743">
            <v>3.1455859178067577E-2</v>
          </cell>
          <cell r="AA2743">
            <v>3.1148903019462271E-2</v>
          </cell>
        </row>
        <row r="2744">
          <cell r="Y2744">
            <v>58071</v>
          </cell>
          <cell r="Z2744">
            <v>3.1461670875028887E-2</v>
          </cell>
          <cell r="AA2744">
            <v>3.1157846250564246E-2</v>
          </cell>
        </row>
        <row r="2745">
          <cell r="Y2745">
            <v>58078</v>
          </cell>
          <cell r="Z2745">
            <v>3.1465049796474666E-2</v>
          </cell>
          <cell r="AA2745">
            <v>3.1162745121319228E-2</v>
          </cell>
        </row>
        <row r="2746">
          <cell r="Y2746">
            <v>58085</v>
          </cell>
          <cell r="Z2746">
            <v>3.1470153536092872E-2</v>
          </cell>
          <cell r="AA2746">
            <v>3.1167653306534152E-2</v>
          </cell>
        </row>
        <row r="2747">
          <cell r="Y2747">
            <v>58092</v>
          </cell>
          <cell r="Z2747">
            <v>3.1475266745641675E-2</v>
          </cell>
          <cell r="AA2747">
            <v>3.1172570806182007E-2</v>
          </cell>
        </row>
        <row r="2748">
          <cell r="Y2748">
            <v>58099</v>
          </cell>
          <cell r="Z2748">
            <v>3.1480389425192712E-2</v>
          </cell>
          <cell r="AA2748">
            <v>3.1177497620262788E-2</v>
          </cell>
        </row>
        <row r="2749">
          <cell r="Y2749">
            <v>58106</v>
          </cell>
          <cell r="Z2749">
            <v>3.1485521574818522E-2</v>
          </cell>
          <cell r="AA2749">
            <v>3.1182433748884561E-2</v>
          </cell>
        </row>
        <row r="2750">
          <cell r="Y2750">
            <v>58113</v>
          </cell>
          <cell r="Z2750">
            <v>3.1490663194589402E-2</v>
          </cell>
          <cell r="AA2750">
            <v>3.1187379191912244E-2</v>
          </cell>
        </row>
        <row r="2751">
          <cell r="Y2751">
            <v>58120</v>
          </cell>
          <cell r="Z2751">
            <v>3.1495814284576103E-2</v>
          </cell>
          <cell r="AA2751">
            <v>3.1192333949399874E-2</v>
          </cell>
        </row>
        <row r="2752">
          <cell r="Y2752">
            <v>58127</v>
          </cell>
          <cell r="Z2752">
            <v>3.1500974844849379E-2</v>
          </cell>
          <cell r="AA2752">
            <v>3.119729802134745E-2</v>
          </cell>
        </row>
        <row r="2753">
          <cell r="Y2753">
            <v>58134</v>
          </cell>
          <cell r="Z2753">
            <v>3.1507870265802797E-2</v>
          </cell>
          <cell r="AA2753">
            <v>3.1202271407754965E-2</v>
          </cell>
        </row>
        <row r="2754">
          <cell r="Y2754">
            <v>58141</v>
          </cell>
          <cell r="Z2754">
            <v>3.151823165336369E-2</v>
          </cell>
          <cell r="AA2754">
            <v>3.1207254108649444E-2</v>
          </cell>
        </row>
        <row r="2755">
          <cell r="Y2755">
            <v>58148</v>
          </cell>
          <cell r="Z2755">
            <v>3.1523425110341188E-2</v>
          </cell>
          <cell r="AA2755">
            <v>3.1212246123949836E-2</v>
          </cell>
        </row>
        <row r="2756">
          <cell r="Y2756">
            <v>58155</v>
          </cell>
          <cell r="Z2756">
            <v>3.1528628041451484E-2</v>
          </cell>
          <cell r="AA2756">
            <v>3.12172474537642E-2</v>
          </cell>
        </row>
        <row r="2757">
          <cell r="Y2757">
            <v>58166</v>
          </cell>
          <cell r="Z2757">
            <v>3.1533361148845279E-2</v>
          </cell>
          <cell r="AA2757">
            <v>3.1221737552338258E-2</v>
          </cell>
        </row>
        <row r="2758">
          <cell r="Y2758">
            <v>58173</v>
          </cell>
          <cell r="Z2758">
            <v>3.1538586192956568E-2</v>
          </cell>
          <cell r="AA2758">
            <v>3.1226760643592311E-2</v>
          </cell>
        </row>
        <row r="2759">
          <cell r="Y2759">
            <v>58180</v>
          </cell>
          <cell r="Z2759">
            <v>3.1543820709680981E-2</v>
          </cell>
          <cell r="AA2759">
            <v>3.1231793047631351E-2</v>
          </cell>
        </row>
        <row r="2760">
          <cell r="Y2760">
            <v>58187</v>
          </cell>
          <cell r="Z2760">
            <v>3.1549064699093368E-2</v>
          </cell>
          <cell r="AA2760">
            <v>3.1236834764293286E-2</v>
          </cell>
        </row>
        <row r="2761">
          <cell r="Y2761">
            <v>58194</v>
          </cell>
          <cell r="Z2761">
            <v>3.1554318161266352E-2</v>
          </cell>
          <cell r="AA2761">
            <v>3.1241885793659163E-2</v>
          </cell>
        </row>
        <row r="2762">
          <cell r="Y2762">
            <v>58201</v>
          </cell>
          <cell r="Z2762">
            <v>3.1561317659559801E-2</v>
          </cell>
          <cell r="AA2762">
            <v>3.1246946135810028E-2</v>
          </cell>
        </row>
        <row r="2763">
          <cell r="Y2763">
            <v>58208</v>
          </cell>
          <cell r="Z2763">
            <v>3.1566591196551072E-2</v>
          </cell>
          <cell r="AA2763">
            <v>3.1252015790664833E-2</v>
          </cell>
        </row>
        <row r="2764">
          <cell r="Y2764">
            <v>58215</v>
          </cell>
          <cell r="Z2764">
            <v>3.1571874207417819E-2</v>
          </cell>
          <cell r="AA2764">
            <v>3.1257094758304627E-2</v>
          </cell>
        </row>
        <row r="2765">
          <cell r="Y2765">
            <v>58222</v>
          </cell>
          <cell r="Z2765">
            <v>3.1577166692234933E-2</v>
          </cell>
          <cell r="AA2765">
            <v>3.1262183038648361E-2</v>
          </cell>
        </row>
        <row r="2766">
          <cell r="Y2766">
            <v>58229</v>
          </cell>
          <cell r="Z2766">
            <v>3.1580727566131152E-2</v>
          </cell>
          <cell r="AA2766">
            <v>3.1267280631777083E-2</v>
          </cell>
        </row>
        <row r="2767">
          <cell r="Y2767">
            <v>58236</v>
          </cell>
          <cell r="Z2767">
            <v>3.1586037866421807E-2</v>
          </cell>
          <cell r="AA2767">
            <v>3.1272387537690793E-2</v>
          </cell>
        </row>
        <row r="2768">
          <cell r="Y2768">
            <v>58243</v>
          </cell>
          <cell r="Z2768">
            <v>3.1591357639991234E-2</v>
          </cell>
          <cell r="AA2768">
            <v>3.1277503756227398E-2</v>
          </cell>
        </row>
        <row r="2769">
          <cell r="Y2769">
            <v>58250</v>
          </cell>
          <cell r="Z2769">
            <v>3.1596686886915151E-2</v>
          </cell>
          <cell r="AA2769">
            <v>3.1282629287630037E-2</v>
          </cell>
        </row>
        <row r="2770">
          <cell r="Y2770">
            <v>58257</v>
          </cell>
          <cell r="Z2770">
            <v>3.1605517057675322E-2</v>
          </cell>
          <cell r="AA2770">
            <v>3.1287764131655571E-2</v>
          </cell>
        </row>
        <row r="2771">
          <cell r="Y2771">
            <v>58264</v>
          </cell>
          <cell r="Z2771">
            <v>3.1609120558273508E-2</v>
          </cell>
          <cell r="AA2771">
            <v>3.1292908288466093E-2</v>
          </cell>
        </row>
        <row r="2772">
          <cell r="Y2772">
            <v>58271</v>
          </cell>
          <cell r="Z2772">
            <v>3.1614479362835388E-2</v>
          </cell>
          <cell r="AA2772">
            <v>3.1298061757899509E-2</v>
          </cell>
        </row>
        <row r="2773">
          <cell r="Y2773">
            <v>58278</v>
          </cell>
          <cell r="Z2773">
            <v>3.1619847641948425E-2</v>
          </cell>
          <cell r="AA2773">
            <v>3.1303224540280006E-2</v>
          </cell>
        </row>
        <row r="2774">
          <cell r="Y2774">
            <v>58285</v>
          </cell>
          <cell r="Z2774">
            <v>3.1625225395687941E-2</v>
          </cell>
          <cell r="AA2774">
            <v>3.1308396635364444E-2</v>
          </cell>
        </row>
        <row r="2775">
          <cell r="Y2775">
            <v>58292</v>
          </cell>
          <cell r="Z2775">
            <v>3.1630612624128383E-2</v>
          </cell>
          <cell r="AA2775">
            <v>3.1313578043071777E-2</v>
          </cell>
        </row>
        <row r="2776">
          <cell r="Y2776">
            <v>58299</v>
          </cell>
          <cell r="Z2776">
            <v>3.163600932734683E-2</v>
          </cell>
          <cell r="AA2776">
            <v>3.1318768763564098E-2</v>
          </cell>
        </row>
        <row r="2777">
          <cell r="Y2777">
            <v>58306</v>
          </cell>
          <cell r="Z2777">
            <v>3.1641415505419476E-2</v>
          </cell>
          <cell r="AA2777">
            <v>3.1323968797003499E-2</v>
          </cell>
        </row>
        <row r="2778">
          <cell r="Y2778">
            <v>58313</v>
          </cell>
          <cell r="Z2778">
            <v>3.1646831158421207E-2</v>
          </cell>
          <cell r="AA2778">
            <v>3.1329178142984748E-2</v>
          </cell>
        </row>
        <row r="2779">
          <cell r="Y2779">
            <v>58320</v>
          </cell>
          <cell r="Z2779">
            <v>3.1648744737820769E-2</v>
          </cell>
          <cell r="AA2779">
            <v>3.1334396801669939E-2</v>
          </cell>
        </row>
        <row r="2780">
          <cell r="Y2780">
            <v>58327</v>
          </cell>
          <cell r="Z2780">
            <v>3.1654177052444096E-2</v>
          </cell>
          <cell r="AA2780">
            <v>3.1339624773221164E-2</v>
          </cell>
        </row>
        <row r="2781">
          <cell r="Y2781">
            <v>58334</v>
          </cell>
          <cell r="Z2781">
            <v>3.1659618840425133E-2</v>
          </cell>
          <cell r="AA2781">
            <v>3.134486205747633E-2</v>
          </cell>
        </row>
        <row r="2782">
          <cell r="Y2782">
            <v>58341</v>
          </cell>
          <cell r="Z2782">
            <v>3.1665070101840921E-2</v>
          </cell>
          <cell r="AA2782">
            <v>3.135010865459753E-2</v>
          </cell>
        </row>
        <row r="2783">
          <cell r="Y2783">
            <v>58348</v>
          </cell>
          <cell r="Z2783">
            <v>3.1672291088046908E-2</v>
          </cell>
          <cell r="AA2783">
            <v>3.1355364564179533E-2</v>
          </cell>
        </row>
        <row r="2784">
          <cell r="Y2784">
            <v>58355</v>
          </cell>
          <cell r="Z2784">
            <v>3.1677762444312356E-2</v>
          </cell>
          <cell r="AA2784">
            <v>3.1360629786789662E-2</v>
          </cell>
        </row>
        <row r="2785">
          <cell r="Y2785">
            <v>58362</v>
          </cell>
          <cell r="Z2785">
            <v>3.1683243275142235E-2</v>
          </cell>
          <cell r="AA2785">
            <v>3.136590432194164E-2</v>
          </cell>
        </row>
        <row r="2786">
          <cell r="Y2786">
            <v>58369</v>
          </cell>
          <cell r="Z2786">
            <v>3.1688733580613172E-2</v>
          </cell>
          <cell r="AA2786">
            <v>3.1371188169959652E-2</v>
          </cell>
        </row>
        <row r="2787">
          <cell r="Y2787">
            <v>58376</v>
          </cell>
          <cell r="Z2787">
            <v>3.1694233360803112E-2</v>
          </cell>
          <cell r="AA2787">
            <v>3.1376481330600559E-2</v>
          </cell>
        </row>
        <row r="2788">
          <cell r="Y2788">
            <v>58383</v>
          </cell>
          <cell r="Z2788">
            <v>3.1697976616713121E-2</v>
          </cell>
          <cell r="AA2788">
            <v>3.1381783804269592E-2</v>
          </cell>
        </row>
        <row r="2789">
          <cell r="Y2789">
            <v>58390</v>
          </cell>
          <cell r="Z2789">
            <v>3.1703494194302052E-2</v>
          </cell>
          <cell r="AA2789">
            <v>3.1387095590399428E-2</v>
          </cell>
        </row>
        <row r="2790">
          <cell r="Y2790">
            <v>58397</v>
          </cell>
          <cell r="Z2790">
            <v>3.1709021245935803E-2</v>
          </cell>
          <cell r="AA2790">
            <v>3.1392416689233205E-2</v>
          </cell>
        </row>
        <row r="2791">
          <cell r="Y2791">
            <v>58404</v>
          </cell>
          <cell r="Z2791">
            <v>3.1714557771692298E-2</v>
          </cell>
          <cell r="AA2791">
            <v>3.1397747101095108E-2</v>
          </cell>
        </row>
        <row r="2792">
          <cell r="Y2792">
            <v>58411</v>
          </cell>
          <cell r="Z2792">
            <v>3.1721874385226487E-2</v>
          </cell>
          <cell r="AA2792">
            <v>3.1403086825579907E-2</v>
          </cell>
        </row>
        <row r="2793">
          <cell r="Y2793">
            <v>58418</v>
          </cell>
          <cell r="Z2793">
            <v>3.1727431015348244E-2</v>
          </cell>
          <cell r="AA2793">
            <v>3.14084358626876E-2</v>
          </cell>
        </row>
        <row r="2794">
          <cell r="Y2794">
            <v>58425</v>
          </cell>
          <cell r="Z2794">
            <v>3.1732997120731528E-2</v>
          </cell>
          <cell r="AA2794">
            <v>3.1413794212742374E-2</v>
          </cell>
        </row>
        <row r="2795">
          <cell r="Y2795">
            <v>58432</v>
          </cell>
          <cell r="Z2795">
            <v>3.1738572701452951E-2</v>
          </cell>
          <cell r="AA2795">
            <v>3.1419161875420043E-2</v>
          </cell>
        </row>
        <row r="2796">
          <cell r="Y2796">
            <v>58439</v>
          </cell>
          <cell r="Z2796">
            <v>3.1744157757591346E-2</v>
          </cell>
          <cell r="AA2796">
            <v>3.1424538851044792E-2</v>
          </cell>
        </row>
        <row r="2797">
          <cell r="Y2797">
            <v>58446</v>
          </cell>
          <cell r="Z2797">
            <v>3.1747975887139686E-2</v>
          </cell>
          <cell r="AA2797">
            <v>3.1429925139130344E-2</v>
          </cell>
        </row>
        <row r="2798">
          <cell r="Y2798">
            <v>58453</v>
          </cell>
          <cell r="Z2798">
            <v>3.1753578733922309E-2</v>
          </cell>
          <cell r="AA2798">
            <v>3.1435320740162975E-2</v>
          </cell>
        </row>
        <row r="2799">
          <cell r="Y2799">
            <v>58460</v>
          </cell>
          <cell r="Z2799">
            <v>3.1759191055449783E-2</v>
          </cell>
          <cell r="AA2799">
            <v>3.1440725653980595E-2</v>
          </cell>
        </row>
        <row r="2800">
          <cell r="Y2800">
            <v>58467</v>
          </cell>
          <cell r="Z2800">
            <v>3.1764812851798697E-2</v>
          </cell>
          <cell r="AA2800">
            <v>3.1446139880421109E-2</v>
          </cell>
        </row>
        <row r="2801">
          <cell r="Y2801">
            <v>58474</v>
          </cell>
          <cell r="Z2801">
            <v>3.1770444123047421E-2</v>
          </cell>
          <cell r="AA2801">
            <v>3.1451563419565565E-2</v>
          </cell>
        </row>
        <row r="2802">
          <cell r="Y2802">
            <v>58481</v>
          </cell>
          <cell r="Z2802">
            <v>3.1776084869274787E-2</v>
          </cell>
          <cell r="AA2802">
            <v>3.1456996271657101E-2</v>
          </cell>
        </row>
        <row r="2803">
          <cell r="Y2803">
            <v>58488</v>
          </cell>
          <cell r="Z2803">
            <v>3.17817350905596E-2</v>
          </cell>
          <cell r="AA2803">
            <v>3.1462438436533624E-2</v>
          </cell>
        </row>
        <row r="2804">
          <cell r="Y2804">
            <v>58495</v>
          </cell>
          <cell r="Z2804">
            <v>3.1787394786980692E-2</v>
          </cell>
          <cell r="AA2804">
            <v>3.146788991387095E-2</v>
          </cell>
        </row>
        <row r="2805">
          <cell r="Y2805">
            <v>58502</v>
          </cell>
          <cell r="Z2805">
            <v>3.1796635594953014E-2</v>
          </cell>
          <cell r="AA2805">
            <v>3.1473350704155356E-2</v>
          </cell>
        </row>
        <row r="2806">
          <cell r="Y2806">
            <v>58509</v>
          </cell>
          <cell r="Z2806">
            <v>3.1802316577459543E-2</v>
          </cell>
          <cell r="AA2806">
            <v>3.1478820807305796E-2</v>
          </cell>
        </row>
        <row r="2807">
          <cell r="Y2807">
            <v>58516</v>
          </cell>
          <cell r="Z2807">
            <v>3.1808007037163133E-2</v>
          </cell>
          <cell r="AA2807">
            <v>3.1484300223079131E-2</v>
          </cell>
        </row>
        <row r="2808">
          <cell r="Y2808">
            <v>58523</v>
          </cell>
          <cell r="Z2808">
            <v>3.1813706974143062E-2</v>
          </cell>
          <cell r="AA2808">
            <v>3.1489788951556408E-2</v>
          </cell>
        </row>
        <row r="2809">
          <cell r="Y2809">
            <v>58530</v>
          </cell>
          <cell r="Z2809">
            <v>3.1819416388480827E-2</v>
          </cell>
          <cell r="AA2809">
            <v>3.1495286992899718E-2</v>
          </cell>
        </row>
        <row r="2810">
          <cell r="Y2810">
            <v>58537</v>
          </cell>
          <cell r="Z2810">
            <v>3.1823343506350944E-2</v>
          </cell>
          <cell r="AA2810">
            <v>3.150079434694697E-2</v>
          </cell>
        </row>
        <row r="2811">
          <cell r="Y2811">
            <v>58544</v>
          </cell>
          <cell r="Z2811">
            <v>3.182907070320596E-2</v>
          </cell>
          <cell r="AA2811">
            <v>3.1506311013698163E-2</v>
          </cell>
        </row>
        <row r="2812">
          <cell r="Y2812">
            <v>58551</v>
          </cell>
          <cell r="Z2812">
            <v>3.1834807376746342E-2</v>
          </cell>
          <cell r="AA2812">
            <v>3.1511836993234343E-2</v>
          </cell>
        </row>
        <row r="2813">
          <cell r="Y2813">
            <v>58558</v>
          </cell>
          <cell r="Z2813">
            <v>3.1840553527051375E-2</v>
          </cell>
          <cell r="AA2813">
            <v>3.1517372285636558E-2</v>
          </cell>
        </row>
        <row r="2814">
          <cell r="Y2814">
            <v>58565</v>
          </cell>
          <cell r="Z2814">
            <v>3.184810562335344E-2</v>
          </cell>
          <cell r="AA2814">
            <v>3.1522916890661667E-2</v>
          </cell>
        </row>
        <row r="2815">
          <cell r="Y2815">
            <v>58572</v>
          </cell>
          <cell r="Z2815">
            <v>3.1853871903529583E-2</v>
          </cell>
          <cell r="AA2815">
            <v>3.1528470808390718E-2</v>
          </cell>
        </row>
        <row r="2816">
          <cell r="Y2816">
            <v>58579</v>
          </cell>
          <cell r="Z2816">
            <v>3.1859647661629992E-2</v>
          </cell>
          <cell r="AA2816">
            <v>3.1534034039147896E-2</v>
          </cell>
        </row>
        <row r="2817">
          <cell r="Y2817">
            <v>58586</v>
          </cell>
          <cell r="Z2817">
            <v>3.1865432897736169E-2</v>
          </cell>
          <cell r="AA2817">
            <v>3.1539606582527968E-2</v>
          </cell>
        </row>
        <row r="2818">
          <cell r="Y2818">
            <v>58593</v>
          </cell>
          <cell r="Z2818">
            <v>3.1869426432881896E-2</v>
          </cell>
          <cell r="AA2818">
            <v>3.1545188438611982E-2</v>
          </cell>
        </row>
        <row r="2819">
          <cell r="Y2819">
            <v>58600</v>
          </cell>
          <cell r="Z2819">
            <v>3.1875229445474988E-2</v>
          </cell>
          <cell r="AA2819">
            <v>3.1550779607399937E-2</v>
          </cell>
        </row>
        <row r="2820">
          <cell r="Y2820">
            <v>58607</v>
          </cell>
          <cell r="Z2820">
            <v>3.1881041935400041E-2</v>
          </cell>
          <cell r="AA2820">
            <v>3.1556380089216018E-2</v>
          </cell>
        </row>
        <row r="2821">
          <cell r="Y2821">
            <v>58614</v>
          </cell>
          <cell r="Z2821">
            <v>3.1886863902738108E-2</v>
          </cell>
          <cell r="AA2821">
            <v>3.1561989883573949E-2</v>
          </cell>
        </row>
        <row r="2822">
          <cell r="Y2822">
            <v>58621</v>
          </cell>
          <cell r="Z2822">
            <v>3.1892695347571123E-2</v>
          </cell>
          <cell r="AA2822">
            <v>3.156760899063582E-2</v>
          </cell>
        </row>
        <row r="2823">
          <cell r="Y2823">
            <v>58628</v>
          </cell>
          <cell r="Z2823">
            <v>3.1900343357041998E-2</v>
          </cell>
          <cell r="AA2823">
            <v>3.1573237410644772E-2</v>
          </cell>
        </row>
        <row r="2824">
          <cell r="Y2824">
            <v>58635</v>
          </cell>
          <cell r="Z2824">
            <v>3.1906194941472316E-2</v>
          </cell>
          <cell r="AA2824">
            <v>3.1578875143438712E-2</v>
          </cell>
        </row>
        <row r="2825">
          <cell r="Y2825">
            <v>58642</v>
          </cell>
          <cell r="Z2825">
            <v>3.1912056004561172E-2</v>
          </cell>
          <cell r="AA2825">
            <v>3.15845221887745E-2</v>
          </cell>
        </row>
        <row r="2826">
          <cell r="Y2826">
            <v>58649</v>
          </cell>
          <cell r="Z2826">
            <v>3.1917926546393569E-2</v>
          </cell>
          <cell r="AA2826">
            <v>3.1590178546976322E-2</v>
          </cell>
        </row>
        <row r="2827">
          <cell r="Y2827">
            <v>58656</v>
          </cell>
          <cell r="Z2827">
            <v>3.1923806567052321E-2</v>
          </cell>
          <cell r="AA2827">
            <v>3.1595844218044178E-2</v>
          </cell>
        </row>
        <row r="2828">
          <cell r="Y2828">
            <v>58663</v>
          </cell>
          <cell r="Z2828">
            <v>3.1929696066621119E-2</v>
          </cell>
          <cell r="AA2828">
            <v>3.1601519201815975E-2</v>
          </cell>
        </row>
        <row r="2829">
          <cell r="Y2829">
            <v>58670</v>
          </cell>
          <cell r="Z2829">
            <v>3.1935595045181002E-2</v>
          </cell>
          <cell r="AA2829">
            <v>3.1607203498291714E-2</v>
          </cell>
        </row>
        <row r="2830">
          <cell r="Y2830">
            <v>58677</v>
          </cell>
          <cell r="Z2830">
            <v>3.1941503502814779E-2</v>
          </cell>
          <cell r="AA2830">
            <v>3.1612897107471394E-2</v>
          </cell>
        </row>
        <row r="2831">
          <cell r="Y2831">
            <v>58684</v>
          </cell>
          <cell r="Z2831">
            <v>3.1941972333387719E-2</v>
          </cell>
          <cell r="AA2831">
            <v>3.1618600029598154E-2</v>
          </cell>
        </row>
        <row r="2832">
          <cell r="Y2832">
            <v>58691</v>
          </cell>
          <cell r="Z2832">
            <v>3.1947896174743452E-2</v>
          </cell>
          <cell r="AA2832">
            <v>3.1624312264428855E-2</v>
          </cell>
        </row>
        <row r="2833">
          <cell r="Y2833">
            <v>58698</v>
          </cell>
          <cell r="Z2833">
            <v>3.1953829492651395E-2</v>
          </cell>
          <cell r="AA2833">
            <v>3.1630033811882452E-2</v>
          </cell>
        </row>
        <row r="2834">
          <cell r="Y2834">
            <v>58705</v>
          </cell>
          <cell r="Z2834">
            <v>3.1959772287196174E-2</v>
          </cell>
          <cell r="AA2834">
            <v>3.1635764672364175E-2</v>
          </cell>
        </row>
        <row r="2835">
          <cell r="Y2835">
            <v>58712</v>
          </cell>
          <cell r="Z2835">
            <v>3.1965724558458836E-2</v>
          </cell>
          <cell r="AA2835">
            <v>3.1641504845549839E-2</v>
          </cell>
        </row>
        <row r="2836">
          <cell r="Y2836">
            <v>58719</v>
          </cell>
          <cell r="Z2836">
            <v>3.197350842243115E-2</v>
          </cell>
          <cell r="AA2836">
            <v>3.1647254331439445E-2</v>
          </cell>
        </row>
        <row r="2837">
          <cell r="Y2837">
            <v>58726</v>
          </cell>
          <cell r="Z2837">
            <v>3.1979480843384291E-2</v>
          </cell>
          <cell r="AA2837">
            <v>3.1653013130114038E-2</v>
          </cell>
        </row>
        <row r="2838">
          <cell r="Y2838">
            <v>58733</v>
          </cell>
          <cell r="Z2838">
            <v>3.1985462742229284E-2</v>
          </cell>
          <cell r="AA2838">
            <v>3.1658781241573619E-2</v>
          </cell>
        </row>
        <row r="2839">
          <cell r="Y2839">
            <v>58740</v>
          </cell>
          <cell r="Z2839">
            <v>3.1991454119050723E-2</v>
          </cell>
          <cell r="AA2839">
            <v>3.1664558665737141E-2</v>
          </cell>
        </row>
        <row r="2840">
          <cell r="Y2840">
            <v>58747</v>
          </cell>
          <cell r="Z2840">
            <v>3.1997454973930563E-2</v>
          </cell>
          <cell r="AA2840">
            <v>3.1670345402685651E-2</v>
          </cell>
        </row>
        <row r="2841">
          <cell r="Y2841">
            <v>58754</v>
          </cell>
          <cell r="Z2841">
            <v>3.2001637201745176E-2</v>
          </cell>
          <cell r="AA2841">
            <v>3.1676141452338102E-2</v>
          </cell>
        </row>
        <row r="2842">
          <cell r="Y2842">
            <v>58761</v>
          </cell>
          <cell r="Z2842">
            <v>3.2007655812352903E-2</v>
          </cell>
          <cell r="AA2842">
            <v>3.168194681501868E-2</v>
          </cell>
        </row>
        <row r="2843">
          <cell r="Y2843">
            <v>58768</v>
          </cell>
          <cell r="Z2843">
            <v>3.2013683900342108E-2</v>
          </cell>
          <cell r="AA2843">
            <v>3.1687761490241106E-2</v>
          </cell>
        </row>
        <row r="2844">
          <cell r="Y2844">
            <v>58775</v>
          </cell>
          <cell r="Z2844">
            <v>3.2021553175716221E-2</v>
          </cell>
          <cell r="AA2844">
            <v>3.169358547824852E-2</v>
          </cell>
        </row>
        <row r="2845">
          <cell r="Y2845">
            <v>58782</v>
          </cell>
          <cell r="Z2845">
            <v>3.2027601422149145E-2</v>
          </cell>
          <cell r="AA2845">
            <v>3.1699418779121968E-2</v>
          </cell>
        </row>
        <row r="2846">
          <cell r="Y2846">
            <v>58789</v>
          </cell>
          <cell r="Z2846">
            <v>3.2033659147144546E-2</v>
          </cell>
          <cell r="AA2846">
            <v>3.1705261392780404E-2</v>
          </cell>
        </row>
        <row r="2847">
          <cell r="Y2847">
            <v>58796</v>
          </cell>
          <cell r="Z2847">
            <v>3.2039726350787931E-2</v>
          </cell>
          <cell r="AA2847">
            <v>3.1711113319142781E-2</v>
          </cell>
        </row>
        <row r="2848">
          <cell r="Y2848">
            <v>58804</v>
          </cell>
          <cell r="Z2848">
            <v>3.2046671904423341E-2</v>
          </cell>
          <cell r="AA2848">
            <v>3.171781263834772E-2</v>
          </cell>
        </row>
        <row r="2849">
          <cell r="Y2849">
            <v>58811</v>
          </cell>
          <cell r="Z2849">
            <v>3.2050921510843766E-2</v>
          </cell>
          <cell r="AA2849">
            <v>3.1723684520573725E-2</v>
          </cell>
        </row>
        <row r="2850">
          <cell r="Y2850">
            <v>58818</v>
          </cell>
          <cell r="Z2850">
            <v>3.2057017296855353E-2</v>
          </cell>
          <cell r="AA2850">
            <v>3.1729565715827857E-2</v>
          </cell>
        </row>
        <row r="2851">
          <cell r="Y2851">
            <v>58825</v>
          </cell>
          <cell r="Z2851">
            <v>3.2063122560933952E-2</v>
          </cell>
          <cell r="AA2851">
            <v>3.1735456223704883E-2</v>
          </cell>
        </row>
        <row r="2852">
          <cell r="Y2852">
            <v>58832</v>
          </cell>
          <cell r="Z2852">
            <v>3.2069237303163294E-2</v>
          </cell>
          <cell r="AA2852">
            <v>3.1741356044285851E-2</v>
          </cell>
        </row>
        <row r="2853">
          <cell r="Y2853">
            <v>58839</v>
          </cell>
          <cell r="Z2853">
            <v>3.2075361523627111E-2</v>
          </cell>
          <cell r="AA2853">
            <v>3.1747265177651807E-2</v>
          </cell>
        </row>
        <row r="2854">
          <cell r="Y2854">
            <v>58846</v>
          </cell>
          <cell r="Z2854">
            <v>3.2081495222412271E-2</v>
          </cell>
          <cell r="AA2854">
            <v>3.1753183623964842E-2</v>
          </cell>
        </row>
        <row r="2855">
          <cell r="Y2855">
            <v>58853</v>
          </cell>
          <cell r="Z2855">
            <v>3.2087638399602957E-2</v>
          </cell>
          <cell r="AA2855">
            <v>3.1759111382981819E-2</v>
          </cell>
        </row>
        <row r="2856">
          <cell r="Y2856">
            <v>58860</v>
          </cell>
          <cell r="Z2856">
            <v>3.2093791055283351E-2</v>
          </cell>
          <cell r="AA2856">
            <v>3.1765048454540645E-2</v>
          </cell>
        </row>
        <row r="2857">
          <cell r="Y2857">
            <v>58867</v>
          </cell>
          <cell r="Z2857">
            <v>3.2105496662774312E-2</v>
          </cell>
          <cell r="AA2857">
            <v>3.1770994839127598E-2</v>
          </cell>
        </row>
        <row r="2858">
          <cell r="Y2858">
            <v>58874</v>
          </cell>
          <cell r="Z2858">
            <v>3.2111671923300798E-2</v>
          </cell>
          <cell r="AA2858">
            <v>3.1776950536499537E-2</v>
          </cell>
        </row>
        <row r="2859">
          <cell r="Y2859">
            <v>58881</v>
          </cell>
          <cell r="Z2859">
            <v>3.2117856665384109E-2</v>
          </cell>
          <cell r="AA2859">
            <v>3.1782915546656465E-2</v>
          </cell>
        </row>
        <row r="2860">
          <cell r="Y2860">
            <v>58888</v>
          </cell>
          <cell r="Z2860">
            <v>3.2124050889109683E-2</v>
          </cell>
          <cell r="AA2860">
            <v>3.1788889869436288E-2</v>
          </cell>
        </row>
        <row r="2861">
          <cell r="Y2861">
            <v>58895</v>
          </cell>
          <cell r="Z2861">
            <v>3.2130254594566948E-2</v>
          </cell>
          <cell r="AA2861">
            <v>3.179487350516319E-2</v>
          </cell>
        </row>
        <row r="2862">
          <cell r="Y2862">
            <v>58902</v>
          </cell>
          <cell r="Z2862">
            <v>3.2134613644145875E-2</v>
          </cell>
          <cell r="AA2862">
            <v>3.1800866453594034E-2</v>
          </cell>
        </row>
        <row r="2863">
          <cell r="Y2863">
            <v>58909</v>
          </cell>
          <cell r="Z2863">
            <v>3.2140835092587437E-2</v>
          </cell>
          <cell r="AA2863">
            <v>3.1806868714647774E-2</v>
          </cell>
        </row>
        <row r="2864">
          <cell r="Y2864">
            <v>58916</v>
          </cell>
          <cell r="Z2864">
            <v>3.2147066022085106E-2</v>
          </cell>
          <cell r="AA2864">
            <v>3.1812880288729639E-2</v>
          </cell>
        </row>
        <row r="2865">
          <cell r="Y2865">
            <v>58923</v>
          </cell>
          <cell r="Z2865">
            <v>3.2153306432723919E-2</v>
          </cell>
          <cell r="AA2865">
            <v>3.1818901175596492E-2</v>
          </cell>
        </row>
        <row r="2866">
          <cell r="Y2866">
            <v>58930</v>
          </cell>
          <cell r="Z2866">
            <v>3.2161415350875286E-2</v>
          </cell>
          <cell r="AA2866">
            <v>3.1824931375167287E-2</v>
          </cell>
        </row>
        <row r="2867">
          <cell r="Y2867">
            <v>58937</v>
          </cell>
          <cell r="Z2867">
            <v>3.21676759485559E-2</v>
          </cell>
          <cell r="AA2867">
            <v>3.1830970887360976E-2</v>
          </cell>
        </row>
        <row r="2868">
          <cell r="Y2868">
            <v>58944</v>
          </cell>
          <cell r="Z2868">
            <v>3.2173946028582652E-2</v>
          </cell>
          <cell r="AA2868">
            <v>3.1837019712501746E-2</v>
          </cell>
        </row>
        <row r="2869">
          <cell r="Y2869">
            <v>58951</v>
          </cell>
          <cell r="Z2869">
            <v>3.2180225591043637E-2</v>
          </cell>
          <cell r="AA2869">
            <v>3.1843077850427504E-2</v>
          </cell>
        </row>
        <row r="2870">
          <cell r="Y2870">
            <v>58958</v>
          </cell>
          <cell r="Z2870">
            <v>3.2184650706105579E-2</v>
          </cell>
          <cell r="AA2870">
            <v>3.1849145301219295E-2</v>
          </cell>
        </row>
        <row r="2871">
          <cell r="Y2871">
            <v>58965</v>
          </cell>
          <cell r="Z2871">
            <v>3.2190948005434934E-2</v>
          </cell>
          <cell r="AA2871">
            <v>3.1855222064633981E-2</v>
          </cell>
        </row>
        <row r="2872">
          <cell r="Y2872">
            <v>58972</v>
          </cell>
          <cell r="Z2872">
            <v>3.2197254786520593E-2</v>
          </cell>
          <cell r="AA2872">
            <v>3.1861308140914701E-2</v>
          </cell>
        </row>
        <row r="2873">
          <cell r="Y2873">
            <v>58979</v>
          </cell>
          <cell r="Z2873">
            <v>3.2203571049451561E-2</v>
          </cell>
          <cell r="AA2873">
            <v>3.1867403529980409E-2</v>
          </cell>
        </row>
        <row r="2874">
          <cell r="Y2874">
            <v>58986</v>
          </cell>
          <cell r="Z2874">
            <v>3.2209896794315539E-2</v>
          </cell>
          <cell r="AA2874">
            <v>3.1873508231669012E-2</v>
          </cell>
        </row>
        <row r="2875">
          <cell r="Y2875">
            <v>58993</v>
          </cell>
          <cell r="Z2875">
            <v>3.2218102101880218E-2</v>
          </cell>
          <cell r="AA2875">
            <v>3.1879622246304695E-2</v>
          </cell>
        </row>
        <row r="2876">
          <cell r="Y2876">
            <v>59000</v>
          </cell>
          <cell r="Z2876">
            <v>3.2224448043862888E-2</v>
          </cell>
          <cell r="AA2876">
            <v>3.1885745573806412E-2</v>
          </cell>
        </row>
        <row r="2877">
          <cell r="Y2877">
            <v>59007</v>
          </cell>
          <cell r="Z2877">
            <v>3.2230803468990266E-2</v>
          </cell>
          <cell r="AA2877">
            <v>3.189187821401207E-2</v>
          </cell>
        </row>
        <row r="2878">
          <cell r="Y2878">
            <v>59014</v>
          </cell>
          <cell r="Z2878">
            <v>3.223716837735309E-2</v>
          </cell>
          <cell r="AA2878">
            <v>3.189802016692167E-2</v>
          </cell>
        </row>
        <row r="2879">
          <cell r="Y2879">
            <v>59021</v>
          </cell>
          <cell r="Z2879">
            <v>3.2243542769040331E-2</v>
          </cell>
          <cell r="AA2879">
            <v>3.190417143277835E-2</v>
          </cell>
        </row>
        <row r="2880">
          <cell r="Y2880">
            <v>59028</v>
          </cell>
          <cell r="Z2880">
            <v>3.2249926644142293E-2</v>
          </cell>
          <cell r="AA2880">
            <v>3.1910332011338971E-2</v>
          </cell>
        </row>
        <row r="2881">
          <cell r="Y2881">
            <v>59035</v>
          </cell>
          <cell r="Z2881">
            <v>3.2256320002748834E-2</v>
          </cell>
          <cell r="AA2881">
            <v>3.191650190268458E-2</v>
          </cell>
        </row>
        <row r="2882">
          <cell r="Y2882">
            <v>59042</v>
          </cell>
          <cell r="Z2882">
            <v>3.2262722844949798E-2</v>
          </cell>
          <cell r="AA2882">
            <v>3.192268110673413E-2</v>
          </cell>
        </row>
        <row r="2883">
          <cell r="Y2883">
            <v>59049</v>
          </cell>
          <cell r="Z2883">
            <v>3.2263495942884593E-2</v>
          </cell>
          <cell r="AA2883">
            <v>3.192886962373076E-2</v>
          </cell>
        </row>
        <row r="2884">
          <cell r="Y2884">
            <v>59056</v>
          </cell>
          <cell r="Z2884">
            <v>3.2269914031410087E-2</v>
          </cell>
          <cell r="AA2884">
            <v>3.1935067453512378E-2</v>
          </cell>
        </row>
        <row r="2885">
          <cell r="Y2885">
            <v>59063</v>
          </cell>
          <cell r="Z2885">
            <v>3.2276341600952496E-2</v>
          </cell>
          <cell r="AA2885">
            <v>3.1941274595916891E-2</v>
          </cell>
        </row>
        <row r="2886">
          <cell r="Y2886">
            <v>59070</v>
          </cell>
          <cell r="Z2886">
            <v>3.2282778651601826E-2</v>
          </cell>
          <cell r="AA2886">
            <v>3.1947491051106391E-2</v>
          </cell>
        </row>
        <row r="2887">
          <cell r="Y2887">
            <v>59077</v>
          </cell>
          <cell r="Z2887">
            <v>3.2289225183448081E-2</v>
          </cell>
          <cell r="AA2887">
            <v>3.1953716819324018E-2</v>
          </cell>
        </row>
        <row r="2888">
          <cell r="Y2888">
            <v>59084</v>
          </cell>
          <cell r="Z2888">
            <v>3.2297566921299439E-2</v>
          </cell>
          <cell r="AA2888">
            <v>3.1959951900245587E-2</v>
          </cell>
        </row>
        <row r="2889">
          <cell r="Y2889">
            <v>59091</v>
          </cell>
          <cell r="Z2889">
            <v>3.2304033660748625E-2</v>
          </cell>
          <cell r="AA2889">
            <v>3.196619629379005E-2</v>
          </cell>
        </row>
        <row r="2890">
          <cell r="Y2890">
            <v>59098</v>
          </cell>
          <cell r="Z2890">
            <v>3.231050988261578E-2</v>
          </cell>
          <cell r="AA2890">
            <v>3.197245000036264E-2</v>
          </cell>
        </row>
        <row r="2891">
          <cell r="Y2891">
            <v>59105</v>
          </cell>
          <cell r="Z2891">
            <v>3.2316995586988188E-2</v>
          </cell>
          <cell r="AA2891">
            <v>3.1978713019639171E-2</v>
          </cell>
        </row>
        <row r="2892">
          <cell r="Y2892">
            <v>59112</v>
          </cell>
          <cell r="Z2892">
            <v>3.2321600063742004E-2</v>
          </cell>
          <cell r="AA2892">
            <v>3.198498535170069E-2</v>
          </cell>
        </row>
        <row r="2893">
          <cell r="Y2893">
            <v>59119</v>
          </cell>
          <cell r="Z2893">
            <v>3.2328103484642344E-2</v>
          </cell>
          <cell r="AA2893">
            <v>3.199126699646615E-2</v>
          </cell>
        </row>
        <row r="2894">
          <cell r="Y2894">
            <v>59126</v>
          </cell>
          <cell r="Z2894">
            <v>3.2334616387367385E-2</v>
          </cell>
          <cell r="AA2894">
            <v>3.199755795417869E-2</v>
          </cell>
        </row>
        <row r="2895">
          <cell r="Y2895">
            <v>59133</v>
          </cell>
          <cell r="Z2895">
            <v>3.2341138772006672E-2</v>
          </cell>
          <cell r="AA2895">
            <v>3.2003858224676218E-2</v>
          </cell>
        </row>
        <row r="2896">
          <cell r="Y2896">
            <v>59140</v>
          </cell>
          <cell r="Z2896">
            <v>3.2349566349615617E-2</v>
          </cell>
          <cell r="AA2896">
            <v>3.2010167807796641E-2</v>
          </cell>
        </row>
        <row r="2897">
          <cell r="Y2897">
            <v>59147</v>
          </cell>
          <cell r="Z2897">
            <v>3.2356108950929462E-2</v>
          </cell>
          <cell r="AA2897">
            <v>3.2016486703945191E-2</v>
          </cell>
        </row>
        <row r="2898">
          <cell r="Y2898">
            <v>59154</v>
          </cell>
          <cell r="Z2898">
            <v>3.2362661035385355E-2</v>
          </cell>
          <cell r="AA2898">
            <v>3.2022814912797681E-2</v>
          </cell>
        </row>
        <row r="2899">
          <cell r="Y2899">
            <v>59161</v>
          </cell>
          <cell r="Z2899">
            <v>3.2369222603075017E-2</v>
          </cell>
          <cell r="AA2899">
            <v>3.202915243443516E-2</v>
          </cell>
        </row>
        <row r="2900">
          <cell r="Y2900">
            <v>59168</v>
          </cell>
          <cell r="Z2900">
            <v>3.2375793654088415E-2</v>
          </cell>
          <cell r="AA2900">
            <v>3.2035499268776579E-2</v>
          </cell>
        </row>
        <row r="2901">
          <cell r="Y2901">
            <v>59175</v>
          </cell>
          <cell r="Z2901">
            <v>3.2380472205116584E-2</v>
          </cell>
          <cell r="AA2901">
            <v>3.2041855416065079E-2</v>
          </cell>
        </row>
        <row r="2902">
          <cell r="Y2902">
            <v>59182</v>
          </cell>
          <cell r="Z2902">
            <v>3.2387060965695345E-2</v>
          </cell>
          <cell r="AA2902">
            <v>3.2048220876138567E-2</v>
          </cell>
        </row>
        <row r="2903">
          <cell r="Y2903">
            <v>59189</v>
          </cell>
          <cell r="Z2903">
            <v>3.2393659208915536E-2</v>
          </cell>
          <cell r="AA2903">
            <v>3.2054595648834949E-2</v>
          </cell>
        </row>
        <row r="2904">
          <cell r="Y2904">
            <v>59196</v>
          </cell>
          <cell r="Z2904">
            <v>3.2400266934868936E-2</v>
          </cell>
          <cell r="AA2904">
            <v>3.2060979734478412E-2</v>
          </cell>
        </row>
        <row r="2905">
          <cell r="Y2905">
            <v>59203</v>
          </cell>
          <cell r="Z2905">
            <v>3.240688414364646E-2</v>
          </cell>
          <cell r="AA2905">
            <v>3.2067373132987909E-2</v>
          </cell>
        </row>
        <row r="2906">
          <cell r="Y2906">
            <v>59210</v>
          </cell>
          <cell r="Z2906">
            <v>3.2413510835339887E-2</v>
          </cell>
          <cell r="AA2906">
            <v>3.2073775844201347E-2</v>
          </cell>
        </row>
        <row r="2907">
          <cell r="Y2907">
            <v>59217</v>
          </cell>
          <cell r="Z2907">
            <v>3.2420147010041457E-2</v>
          </cell>
          <cell r="AA2907">
            <v>3.2080187868199772E-2</v>
          </cell>
        </row>
        <row r="2908">
          <cell r="Y2908">
            <v>59224</v>
          </cell>
          <cell r="Z2908">
            <v>3.2426792667844317E-2</v>
          </cell>
          <cell r="AA2908">
            <v>3.2086609205145278E-2</v>
          </cell>
        </row>
        <row r="2909">
          <cell r="Y2909">
            <v>59231</v>
          </cell>
          <cell r="Z2909">
            <v>3.2439184716042541E-2</v>
          </cell>
          <cell r="AA2909">
            <v>3.2093039854794725E-2</v>
          </cell>
        </row>
        <row r="2910">
          <cell r="Y2910">
            <v>59238</v>
          </cell>
          <cell r="Z2910">
            <v>3.2445853136016847E-2</v>
          </cell>
          <cell r="AA2910">
            <v>3.2099479817148113E-2</v>
          </cell>
        </row>
        <row r="2911">
          <cell r="Y2911">
            <v>59245</v>
          </cell>
          <cell r="Z2911">
            <v>3.2452531042257024E-2</v>
          </cell>
          <cell r="AA2911">
            <v>3.2105929092367536E-2</v>
          </cell>
        </row>
        <row r="2912">
          <cell r="Y2912">
            <v>59252</v>
          </cell>
          <cell r="Z2912">
            <v>3.2459218434856899E-2</v>
          </cell>
          <cell r="AA2912">
            <v>3.2112387680534038E-2</v>
          </cell>
        </row>
        <row r="2913">
          <cell r="Y2913">
            <v>59259</v>
          </cell>
          <cell r="Z2913">
            <v>3.246591531391161E-2</v>
          </cell>
          <cell r="AA2913">
            <v>3.2118855581404482E-2</v>
          </cell>
        </row>
        <row r="2914">
          <cell r="Y2914">
            <v>59266</v>
          </cell>
          <cell r="Z2914">
            <v>3.2470702807107288E-2</v>
          </cell>
          <cell r="AA2914">
            <v>3.2125332794897821E-2</v>
          </cell>
        </row>
        <row r="2915">
          <cell r="Y2915">
            <v>59273</v>
          </cell>
          <cell r="Z2915">
            <v>3.2477417389111696E-2</v>
          </cell>
          <cell r="AA2915">
            <v>3.2131819321581379E-2</v>
          </cell>
        </row>
        <row r="2916">
          <cell r="Y2916">
            <v>59280</v>
          </cell>
          <cell r="Z2916">
            <v>3.248414145688662E-2</v>
          </cell>
          <cell r="AA2916">
            <v>3.2138315160644693E-2</v>
          </cell>
        </row>
        <row r="2917">
          <cell r="Y2917">
            <v>59287</v>
          </cell>
          <cell r="Z2917">
            <v>3.2490875010529059E-2</v>
          </cell>
          <cell r="AA2917">
            <v>3.2144820312817179E-2</v>
          </cell>
        </row>
        <row r="2918">
          <cell r="Y2918">
            <v>59294</v>
          </cell>
          <cell r="Z2918">
            <v>3.2499542009302364E-2</v>
          </cell>
          <cell r="AA2918">
            <v>3.2151334777693608E-2</v>
          </cell>
        </row>
        <row r="2919">
          <cell r="Y2919">
            <v>59301</v>
          </cell>
          <cell r="Z2919">
            <v>3.2506295809067748E-2</v>
          </cell>
          <cell r="AA2919">
            <v>3.2157858555355023E-2</v>
          </cell>
        </row>
        <row r="2920">
          <cell r="Y2920">
            <v>59308</v>
          </cell>
          <cell r="Z2920">
            <v>3.251305909595175E-2</v>
          </cell>
          <cell r="AA2920">
            <v>3.2164391645882473E-2</v>
          </cell>
        </row>
        <row r="2921">
          <cell r="Y2921">
            <v>59315</v>
          </cell>
          <cell r="Z2921">
            <v>3.2519831870047755E-2</v>
          </cell>
          <cell r="AA2921">
            <v>3.217093404919491E-2</v>
          </cell>
        </row>
        <row r="2922">
          <cell r="Y2922">
            <v>59322</v>
          </cell>
          <cell r="Z2922">
            <v>3.2524685070038771E-2</v>
          </cell>
          <cell r="AA2922">
            <v>3.2177485765292335E-2</v>
          </cell>
        </row>
        <row r="2923">
          <cell r="Y2923">
            <v>59329</v>
          </cell>
          <cell r="Z2923">
            <v>3.2531475540864177E-2</v>
          </cell>
          <cell r="AA2923">
            <v>3.2184046794255794E-2</v>
          </cell>
        </row>
        <row r="2924">
          <cell r="Y2924">
            <v>59336</v>
          </cell>
          <cell r="Z2924">
            <v>3.2538275498219194E-2</v>
          </cell>
          <cell r="AA2924">
            <v>3.2190617136085287E-2</v>
          </cell>
        </row>
        <row r="2925">
          <cell r="Y2925">
            <v>59343</v>
          </cell>
          <cell r="Z2925">
            <v>3.2545084942198162E-2</v>
          </cell>
          <cell r="AA2925">
            <v>3.2197196790456628E-2</v>
          </cell>
        </row>
        <row r="2926">
          <cell r="Y2926">
            <v>59350</v>
          </cell>
          <cell r="Z2926">
            <v>3.2551903872898941E-2</v>
          </cell>
          <cell r="AA2926">
            <v>3.2203785757856096E-2</v>
          </cell>
        </row>
        <row r="2927">
          <cell r="Y2927">
            <v>59357</v>
          </cell>
          <cell r="Z2927">
            <v>3.2560667751452145E-2</v>
          </cell>
          <cell r="AA2927">
            <v>3.2210384038040552E-2</v>
          </cell>
        </row>
        <row r="2928">
          <cell r="Y2928">
            <v>59364</v>
          </cell>
          <cell r="Z2928">
            <v>3.2567506938719015E-2</v>
          </cell>
          <cell r="AA2928">
            <v>3.2216991631091041E-2</v>
          </cell>
        </row>
        <row r="2929">
          <cell r="Y2929">
            <v>59371</v>
          </cell>
          <cell r="Z2929">
            <v>3.2574355613965177E-2</v>
          </cell>
          <cell r="AA2929">
            <v>3.2223608536764425E-2</v>
          </cell>
        </row>
        <row r="2930">
          <cell r="Y2930">
            <v>59378</v>
          </cell>
          <cell r="Z2930">
            <v>3.2581213777289744E-2</v>
          </cell>
          <cell r="AA2930">
            <v>3.2230234755546983E-2</v>
          </cell>
        </row>
        <row r="2931">
          <cell r="Y2931">
            <v>59385</v>
          </cell>
          <cell r="Z2931">
            <v>3.258808142878785E-2</v>
          </cell>
          <cell r="AA2931">
            <v>3.2236870286952435E-2</v>
          </cell>
        </row>
        <row r="2932">
          <cell r="Y2932">
            <v>59392</v>
          </cell>
          <cell r="Z2932">
            <v>3.2594958568555092E-2</v>
          </cell>
          <cell r="AA2932">
            <v>3.2243515131142875E-2</v>
          </cell>
        </row>
        <row r="2933">
          <cell r="Y2933">
            <v>59399</v>
          </cell>
          <cell r="Z2933">
            <v>3.2601845196690113E-2</v>
          </cell>
          <cell r="AA2933">
            <v>3.2250169288118302E-2</v>
          </cell>
        </row>
        <row r="2934">
          <cell r="Y2934">
            <v>59406</v>
          </cell>
          <cell r="Z2934">
            <v>3.2608741313289835E-2</v>
          </cell>
          <cell r="AA2934">
            <v>3.2256832758121856E-2</v>
          </cell>
        </row>
        <row r="2935">
          <cell r="Y2935">
            <v>59413</v>
          </cell>
          <cell r="Z2935">
            <v>3.2611755654668624E-2</v>
          </cell>
          <cell r="AA2935">
            <v>3.2263505540748305E-2</v>
          </cell>
        </row>
        <row r="2936">
          <cell r="Y2936">
            <v>59420</v>
          </cell>
          <cell r="Z2936">
            <v>3.2616721602601012E-2</v>
          </cell>
          <cell r="AA2936">
            <v>3.2270187636159742E-2</v>
          </cell>
        </row>
        <row r="2937">
          <cell r="Y2937">
            <v>59427</v>
          </cell>
          <cell r="Z2937">
            <v>3.2623642310918875E-2</v>
          </cell>
          <cell r="AA2937">
            <v>3.2276879044680351E-2</v>
          </cell>
        </row>
        <row r="2938">
          <cell r="Y2938">
            <v>59434</v>
          </cell>
          <cell r="Z2938">
            <v>3.2630572505156281E-2</v>
          </cell>
          <cell r="AA2938">
            <v>3.2283579765742809E-2</v>
          </cell>
        </row>
        <row r="2939">
          <cell r="Y2939">
            <v>59441</v>
          </cell>
          <cell r="Z2939">
            <v>3.2637512185411742E-2</v>
          </cell>
          <cell r="AA2939">
            <v>3.2290289799590255E-2</v>
          </cell>
        </row>
        <row r="2940">
          <cell r="Y2940">
            <v>59448</v>
          </cell>
          <cell r="Z2940">
            <v>3.2646413087358134E-2</v>
          </cell>
          <cell r="AA2940">
            <v>3.2297009146384781E-2</v>
          </cell>
        </row>
        <row r="2941">
          <cell r="Y2941">
            <v>59455</v>
          </cell>
          <cell r="Z2941">
            <v>3.2653373035076191E-2</v>
          </cell>
          <cell r="AA2941">
            <v>3.2303737806045341E-2</v>
          </cell>
        </row>
        <row r="2942">
          <cell r="Y2942">
            <v>59462</v>
          </cell>
          <cell r="Z2942">
            <v>3.2660342470079894E-2</v>
          </cell>
          <cell r="AA2942">
            <v>3.2310475778409842E-2</v>
          </cell>
        </row>
        <row r="2943">
          <cell r="Y2943">
            <v>59469</v>
          </cell>
          <cell r="Z2943">
            <v>3.2667321392467211E-2</v>
          </cell>
          <cell r="AA2943">
            <v>3.2317223063640377E-2</v>
          </cell>
        </row>
        <row r="2944">
          <cell r="Y2944">
            <v>59476</v>
          </cell>
          <cell r="Z2944">
            <v>3.2672352880322622E-2</v>
          </cell>
          <cell r="AA2944">
            <v>3.2323979661736946E-2</v>
          </cell>
        </row>
        <row r="2945">
          <cell r="Y2945">
            <v>59483</v>
          </cell>
          <cell r="Z2945">
            <v>3.267934947870809E-2</v>
          </cell>
          <cell r="AA2945">
            <v>3.2330745572618502E-2</v>
          </cell>
        </row>
        <row r="2946">
          <cell r="Y2946">
            <v>59490</v>
          </cell>
          <cell r="Z2946">
            <v>3.2686355563786851E-2</v>
          </cell>
          <cell r="AA2946">
            <v>3.2337520796366093E-2</v>
          </cell>
        </row>
        <row r="2947">
          <cell r="Y2947">
            <v>59497</v>
          </cell>
          <cell r="Z2947">
            <v>3.2693371135655618E-2</v>
          </cell>
          <cell r="AA2947">
            <v>3.2344305332655532E-2</v>
          </cell>
        </row>
        <row r="2948">
          <cell r="Y2948">
            <v>59504</v>
          </cell>
          <cell r="Z2948">
            <v>3.2700396194414248E-2</v>
          </cell>
          <cell r="AA2948">
            <v>3.2351099182216236E-2</v>
          </cell>
        </row>
        <row r="2949">
          <cell r="Y2949">
            <v>59511</v>
          </cell>
          <cell r="Z2949">
            <v>3.2709394167292682E-2</v>
          </cell>
          <cell r="AA2949">
            <v>3.235790234431879E-2</v>
          </cell>
        </row>
        <row r="2950">
          <cell r="Y2950">
            <v>59518</v>
          </cell>
          <cell r="Z2950">
            <v>3.271643950409326E-2</v>
          </cell>
          <cell r="AA2950">
            <v>3.2364714819206331E-2</v>
          </cell>
        </row>
        <row r="2951">
          <cell r="Y2951">
            <v>59525</v>
          </cell>
          <cell r="Z2951">
            <v>3.2723494329059417E-2</v>
          </cell>
          <cell r="AA2951">
            <v>3.2371536607040952E-2</v>
          </cell>
        </row>
        <row r="2952">
          <cell r="Y2952">
            <v>59532</v>
          </cell>
          <cell r="Z2952">
            <v>3.2730558642288667E-2</v>
          </cell>
          <cell r="AA2952">
            <v>3.237836770766056E-2</v>
          </cell>
        </row>
        <row r="2953">
          <cell r="Y2953">
            <v>59539</v>
          </cell>
          <cell r="Z2953">
            <v>3.2735663794938225E-2</v>
          </cell>
          <cell r="AA2953">
            <v>3.2385208121146203E-2</v>
          </cell>
        </row>
        <row r="2954">
          <cell r="Y2954">
            <v>59546</v>
          </cell>
          <cell r="Z2954">
            <v>3.2742745777073826E-2</v>
          </cell>
          <cell r="AA2954">
            <v>3.239205784725474E-2</v>
          </cell>
        </row>
        <row r="2955">
          <cell r="Y2955">
            <v>59553</v>
          </cell>
          <cell r="Z2955">
            <v>3.274983724678393E-2</v>
          </cell>
          <cell r="AA2955">
            <v>3.2398916886553497E-2</v>
          </cell>
        </row>
        <row r="2956">
          <cell r="Y2956">
            <v>59560</v>
          </cell>
          <cell r="Z2956">
            <v>3.2756938204163456E-2</v>
          </cell>
          <cell r="AA2956">
            <v>3.2405785238475149E-2</v>
          </cell>
        </row>
        <row r="2957">
          <cell r="Y2957">
            <v>59567</v>
          </cell>
          <cell r="Z2957">
            <v>3.2764048649312719E-2</v>
          </cell>
          <cell r="AA2957">
            <v>3.2412662903181788E-2</v>
          </cell>
        </row>
        <row r="2958">
          <cell r="Y2958">
            <v>59574</v>
          </cell>
          <cell r="Z2958">
            <v>3.2771168582330215E-2</v>
          </cell>
          <cell r="AA2958">
            <v>3.2419549880754461E-2</v>
          </cell>
        </row>
        <row r="2959">
          <cell r="Y2959">
            <v>59581</v>
          </cell>
          <cell r="Z2959">
            <v>3.2778298003314908E-2</v>
          </cell>
          <cell r="AA2959">
            <v>3.2426446171274215E-2</v>
          </cell>
        </row>
        <row r="2960">
          <cell r="Y2960">
            <v>59588</v>
          </cell>
          <cell r="Z2960">
            <v>3.2785436912364858E-2</v>
          </cell>
          <cell r="AA2960">
            <v>3.2433351774497909E-2</v>
          </cell>
        </row>
        <row r="2961">
          <cell r="Y2961">
            <v>59595</v>
          </cell>
          <cell r="Z2961">
            <v>3.2798523459307845E-2</v>
          </cell>
          <cell r="AA2961">
            <v>3.2440266690506592E-2</v>
          </cell>
        </row>
        <row r="2962">
          <cell r="Y2962">
            <v>59602</v>
          </cell>
          <cell r="Z2962">
            <v>3.2805685292858953E-2</v>
          </cell>
          <cell r="AA2962">
            <v>3.2447190919543401E-2</v>
          </cell>
        </row>
        <row r="2963">
          <cell r="Y2963">
            <v>59609</v>
          </cell>
          <cell r="Z2963">
            <v>3.28128566177475E-2</v>
          </cell>
          <cell r="AA2963">
            <v>3.2454124461203104E-2</v>
          </cell>
        </row>
        <row r="2964">
          <cell r="Y2964">
            <v>59616</v>
          </cell>
          <cell r="Z2964">
            <v>3.2820037434073461E-2</v>
          </cell>
          <cell r="AA2964">
            <v>3.2461067315890935E-2</v>
          </cell>
        </row>
        <row r="2965">
          <cell r="Y2965">
            <v>59623</v>
          </cell>
          <cell r="Z2965">
            <v>3.2827227741939025E-2</v>
          </cell>
          <cell r="AA2965">
            <v>3.2468019483120614E-2</v>
          </cell>
        </row>
        <row r="2966">
          <cell r="Y2966">
            <v>59630</v>
          </cell>
          <cell r="Z2966">
            <v>3.2832441323845767E-2</v>
          </cell>
          <cell r="AA2966">
            <v>3.2474980963459465E-2</v>
          </cell>
        </row>
        <row r="2967">
          <cell r="Y2967">
            <v>59637</v>
          </cell>
          <cell r="Z2967">
            <v>3.2839649293908965E-2</v>
          </cell>
          <cell r="AA2967">
            <v>3.2481951756502259E-2</v>
          </cell>
        </row>
        <row r="2968">
          <cell r="Y2968">
            <v>59644</v>
          </cell>
          <cell r="Z2968">
            <v>3.2846866754821583E-2</v>
          </cell>
          <cell r="AA2968">
            <v>3.2488931862411086E-2</v>
          </cell>
        </row>
        <row r="2969">
          <cell r="Y2969">
            <v>59651</v>
          </cell>
          <cell r="Z2969">
            <v>3.2854093706685489E-2</v>
          </cell>
          <cell r="AA2969">
            <v>3.24959212811049E-2</v>
          </cell>
        </row>
        <row r="2970">
          <cell r="Y2970">
            <v>59658</v>
          </cell>
          <cell r="Z2970">
            <v>3.2863321657915556E-2</v>
          </cell>
          <cell r="AA2970">
            <v>3.2502920012664749E-2</v>
          </cell>
        </row>
        <row r="2971">
          <cell r="Y2971">
            <v>59665</v>
          </cell>
          <cell r="Z2971">
            <v>3.2870568917151961E-2</v>
          </cell>
          <cell r="AA2971">
            <v>3.2509928057009585E-2</v>
          </cell>
        </row>
        <row r="2972">
          <cell r="Y2972">
            <v>59672</v>
          </cell>
          <cell r="Z2972">
            <v>3.2877825668641093E-2</v>
          </cell>
          <cell r="AA2972">
            <v>3.2516945414301501E-2</v>
          </cell>
        </row>
        <row r="2973">
          <cell r="Y2973">
            <v>59679</v>
          </cell>
          <cell r="Z2973">
            <v>3.2885091912484253E-2</v>
          </cell>
          <cell r="AA2973">
            <v>3.2523972084459452E-2</v>
          </cell>
        </row>
        <row r="2974">
          <cell r="Y2974">
            <v>59686</v>
          </cell>
          <cell r="Z2974">
            <v>3.2892367648784525E-2</v>
          </cell>
          <cell r="AA2974">
            <v>3.2531008067321343E-2</v>
          </cell>
        </row>
        <row r="2975">
          <cell r="Y2975">
            <v>59693</v>
          </cell>
          <cell r="Z2975">
            <v>3.2897654733516503E-2</v>
          </cell>
          <cell r="AA2975">
            <v>3.2538053363049269E-2</v>
          </cell>
        </row>
        <row r="2976">
          <cell r="Y2976">
            <v>59700</v>
          </cell>
          <cell r="Z2976">
            <v>3.2904948124880012E-2</v>
          </cell>
          <cell r="AA2976">
            <v>3.2545107971562182E-2</v>
          </cell>
        </row>
        <row r="2977">
          <cell r="Y2977">
            <v>59707</v>
          </cell>
          <cell r="Z2977">
            <v>3.2912251008008368E-2</v>
          </cell>
          <cell r="AA2977">
            <v>3.2552171893103221E-2</v>
          </cell>
        </row>
        <row r="2978">
          <cell r="Y2978">
            <v>59714</v>
          </cell>
          <cell r="Z2978">
            <v>3.291956338300521E-2</v>
          </cell>
          <cell r="AA2978">
            <v>3.2559245127267156E-2</v>
          </cell>
        </row>
        <row r="2979">
          <cell r="Y2979">
            <v>59721</v>
          </cell>
          <cell r="Z2979">
            <v>3.2928888720725642E-2</v>
          </cell>
          <cell r="AA2979">
            <v>3.2566327674297124E-2</v>
          </cell>
        </row>
        <row r="2980">
          <cell r="Y2980">
            <v>59728</v>
          </cell>
          <cell r="Z2980">
            <v>3.2936221413923307E-2</v>
          </cell>
          <cell r="AA2980">
            <v>3.2573419534274173E-2</v>
          </cell>
        </row>
        <row r="2981">
          <cell r="Y2981">
            <v>59735</v>
          </cell>
          <cell r="Z2981">
            <v>3.2943563600299125E-2</v>
          </cell>
          <cell r="AA2981">
            <v>3.2580520707117255E-2</v>
          </cell>
        </row>
        <row r="2982">
          <cell r="Y2982">
            <v>59742</v>
          </cell>
          <cell r="Z2982">
            <v>3.2950915279955285E-2</v>
          </cell>
          <cell r="AA2982">
            <v>3.2587631192826372E-2</v>
          </cell>
        </row>
        <row r="2983">
          <cell r="Y2983">
            <v>59749</v>
          </cell>
          <cell r="Z2983">
            <v>3.2958276452995296E-2</v>
          </cell>
          <cell r="AA2983">
            <v>3.2594750991077337E-2</v>
          </cell>
        </row>
        <row r="2984">
          <cell r="Y2984">
            <v>59756</v>
          </cell>
          <cell r="Z2984">
            <v>3.2965647119523989E-2</v>
          </cell>
          <cell r="AA2984">
            <v>3.2601880102437475E-2</v>
          </cell>
        </row>
        <row r="2985">
          <cell r="Y2985">
            <v>59763</v>
          </cell>
          <cell r="Z2985">
            <v>3.2973027279644872E-2</v>
          </cell>
          <cell r="AA2985">
            <v>3.26090185265826E-2</v>
          </cell>
        </row>
        <row r="2986">
          <cell r="Y2986">
            <v>59770</v>
          </cell>
          <cell r="Z2986">
            <v>3.2980416933461904E-2</v>
          </cell>
          <cell r="AA2986">
            <v>3.2616166263512714E-2</v>
          </cell>
        </row>
        <row r="2987">
          <cell r="Y2987">
            <v>59777</v>
          </cell>
          <cell r="Z2987">
            <v>3.2987816081079466E-2</v>
          </cell>
          <cell r="AA2987">
            <v>3.2623323313308861E-2</v>
          </cell>
        </row>
        <row r="2988">
          <cell r="Y2988">
            <v>59784</v>
          </cell>
          <cell r="Z2988">
            <v>3.2991193942727225E-2</v>
          </cell>
          <cell r="AA2988">
            <v>3.2630489676133134E-2</v>
          </cell>
        </row>
        <row r="2989">
          <cell r="Y2989">
            <v>59791</v>
          </cell>
          <cell r="Z2989">
            <v>3.2998609392064268E-2</v>
          </cell>
          <cell r="AA2989">
            <v>3.2637665351499257E-2</v>
          </cell>
        </row>
        <row r="2990">
          <cell r="Y2990">
            <v>59798</v>
          </cell>
          <cell r="Z2990">
            <v>3.3006034333500307E-2</v>
          </cell>
          <cell r="AA2990">
            <v>3.2644850339893505E-2</v>
          </cell>
        </row>
        <row r="2991">
          <cell r="Y2991">
            <v>59805</v>
          </cell>
          <cell r="Z2991">
            <v>3.3013468767139544E-2</v>
          </cell>
          <cell r="AA2991">
            <v>3.2652044641153788E-2</v>
          </cell>
        </row>
        <row r="2992">
          <cell r="Y2992">
            <v>59812</v>
          </cell>
          <cell r="Z2992">
            <v>3.3022933336673083E-2</v>
          </cell>
          <cell r="AA2992">
            <v>3.2659248255199058E-2</v>
          </cell>
        </row>
        <row r="2993">
          <cell r="Y2993">
            <v>59819</v>
          </cell>
          <cell r="Z2993">
            <v>3.3030388102056475E-2</v>
          </cell>
          <cell r="AA2993">
            <v>3.2666461182110362E-2</v>
          </cell>
        </row>
        <row r="2994">
          <cell r="Y2994">
            <v>59826</v>
          </cell>
          <cell r="Z2994">
            <v>3.3037852360963377E-2</v>
          </cell>
          <cell r="AA2994">
            <v>3.2673683421806654E-2</v>
          </cell>
        </row>
        <row r="2995">
          <cell r="Y2995">
            <v>59833</v>
          </cell>
          <cell r="Z2995">
            <v>3.3045326113498308E-2</v>
          </cell>
          <cell r="AA2995">
            <v>3.2680914974531072E-2</v>
          </cell>
        </row>
        <row r="2996">
          <cell r="Y2996">
            <v>59840</v>
          </cell>
          <cell r="Z2996">
            <v>3.3050783322010238E-2</v>
          </cell>
          <cell r="AA2996">
            <v>3.2688155839878386E-2</v>
          </cell>
        </row>
        <row r="2997">
          <cell r="Y2997">
            <v>59847</v>
          </cell>
          <cell r="Z2997">
            <v>3.3058274711047102E-2</v>
          </cell>
          <cell r="AA2997">
            <v>3.2695406018091733E-2</v>
          </cell>
        </row>
        <row r="2998">
          <cell r="Y2998">
            <v>59854</v>
          </cell>
          <cell r="Z2998">
            <v>3.3065775593016128E-2</v>
          </cell>
          <cell r="AA2998">
            <v>3.2702665509171114E-2</v>
          </cell>
        </row>
        <row r="2999">
          <cell r="Y2999">
            <v>59861</v>
          </cell>
          <cell r="Z2999">
            <v>3.3073285968021081E-2</v>
          </cell>
          <cell r="AA2999">
            <v>3.2709934313359668E-2</v>
          </cell>
        </row>
        <row r="3000">
          <cell r="Y3000">
            <v>59868</v>
          </cell>
          <cell r="Z3000">
            <v>3.3080805836166155E-2</v>
          </cell>
          <cell r="AA3000">
            <v>3.271721243009007E-2</v>
          </cell>
        </row>
        <row r="3001">
          <cell r="Y3001">
            <v>59875</v>
          </cell>
          <cell r="Z3001">
            <v>3.3090368000778726E-2</v>
          </cell>
          <cell r="AA3001">
            <v>3.2724499859767553E-2</v>
          </cell>
        </row>
        <row r="3002">
          <cell r="Y3002">
            <v>59882</v>
          </cell>
          <cell r="Z3002">
            <v>3.3097908211652309E-2</v>
          </cell>
          <cell r="AA3002">
            <v>3.273179660231107E-2</v>
          </cell>
        </row>
        <row r="3003">
          <cell r="Y3003">
            <v>59889</v>
          </cell>
          <cell r="Z3003">
            <v>3.3105457916996719E-2</v>
          </cell>
          <cell r="AA3003">
            <v>3.2739102657639574E-2</v>
          </cell>
        </row>
        <row r="3004">
          <cell r="Y3004">
            <v>59897</v>
          </cell>
          <cell r="Z3004">
            <v>3.3114097777693211E-2</v>
          </cell>
          <cell r="AA3004">
            <v>3.2747463838774804E-2</v>
          </cell>
        </row>
        <row r="3005">
          <cell r="Y3005">
            <v>59904</v>
          </cell>
          <cell r="Z3005">
            <v>3.3119629302890037E-2</v>
          </cell>
          <cell r="AA3005">
            <v>3.2754789850372168E-2</v>
          </cell>
        </row>
        <row r="3006">
          <cell r="Y3006">
            <v>59911</v>
          </cell>
          <cell r="Z3006">
            <v>3.3127206592307695E-2</v>
          </cell>
          <cell r="AA3006">
            <v>3.2762125174592427E-2</v>
          </cell>
        </row>
        <row r="3007">
          <cell r="Y3007">
            <v>59918</v>
          </cell>
          <cell r="Z3007">
            <v>3.3134791646855455E-2</v>
          </cell>
          <cell r="AA3007">
            <v>3.2769469811921859E-2</v>
          </cell>
        </row>
        <row r="3008">
          <cell r="Y3008">
            <v>59925</v>
          </cell>
          <cell r="Z3008">
            <v>3.3142383535746181E-2</v>
          </cell>
          <cell r="AA3008">
            <v>3.2776823761955232E-2</v>
          </cell>
        </row>
        <row r="3009">
          <cell r="Y3009">
            <v>59932</v>
          </cell>
          <cell r="Z3009">
            <v>3.3149981328180256E-2</v>
          </cell>
          <cell r="AA3009">
            <v>3.2784187024773592E-2</v>
          </cell>
        </row>
        <row r="3010">
          <cell r="Y3010">
            <v>59939</v>
          </cell>
          <cell r="Z3010">
            <v>3.3157584093344711E-2</v>
          </cell>
          <cell r="AA3010">
            <v>3.2791559600620079E-2</v>
          </cell>
        </row>
        <row r="3011">
          <cell r="Y3011">
            <v>59946</v>
          </cell>
          <cell r="Z3011">
            <v>3.316519090041143E-2</v>
          </cell>
          <cell r="AA3011">
            <v>3.27989414893326E-2</v>
          </cell>
        </row>
        <row r="3012">
          <cell r="Y3012">
            <v>59953</v>
          </cell>
          <cell r="Z3012">
            <v>3.3172800818539835E-2</v>
          </cell>
          <cell r="AA3012">
            <v>3.2806332690749063E-2</v>
          </cell>
        </row>
        <row r="3013">
          <cell r="Y3013">
            <v>59960</v>
          </cell>
          <cell r="Z3013">
            <v>3.318041291687375E-2</v>
          </cell>
          <cell r="AA3013">
            <v>3.2813733205193651E-2</v>
          </cell>
        </row>
        <row r="3014">
          <cell r="Y3014">
            <v>59967</v>
          </cell>
          <cell r="Z3014">
            <v>3.3196206973137951E-2</v>
          </cell>
          <cell r="AA3014">
            <v>3.2821143032342182E-2</v>
          </cell>
        </row>
        <row r="3015">
          <cell r="Y3015">
            <v>59974</v>
          </cell>
          <cell r="Z3015">
            <v>3.3203821633730188E-2</v>
          </cell>
          <cell r="AA3015">
            <v>3.2828562172437792E-2</v>
          </cell>
        </row>
        <row r="3016">
          <cell r="Y3016">
            <v>59981</v>
          </cell>
          <cell r="Z3016">
            <v>3.3211435379009259E-2</v>
          </cell>
          <cell r="AA3016">
            <v>3.2835990625399436E-2</v>
          </cell>
        </row>
        <row r="3017">
          <cell r="Y3017">
            <v>59988</v>
          </cell>
          <cell r="Z3017">
            <v>3.3219047297750479E-2</v>
          </cell>
          <cell r="AA3017">
            <v>3.2843428391065022E-2</v>
          </cell>
        </row>
        <row r="3018">
          <cell r="Y3018">
            <v>59995</v>
          </cell>
          <cell r="Z3018">
            <v>3.3220519110708044E-2</v>
          </cell>
          <cell r="AA3018">
            <v>3.2858919721341806E-2</v>
          </cell>
        </row>
        <row r="3019">
          <cell r="Y3019">
            <v>60002</v>
          </cell>
          <cell r="Z3019">
            <v>3.3228124722450118E-2</v>
          </cell>
          <cell r="AA3019">
            <v>3.2858331861318479E-2</v>
          </cell>
        </row>
        <row r="3020">
          <cell r="Y3020">
            <v>60009</v>
          </cell>
          <cell r="Z3020">
            <v>3.3235725941093149E-2</v>
          </cell>
          <cell r="AA3020">
            <v>3.2865797565582167E-2</v>
          </cell>
        </row>
        <row r="3021">
          <cell r="Y3021">
            <v>60016</v>
          </cell>
          <cell r="Z3021">
            <v>3.3243321840673204E-2</v>
          </cell>
          <cell r="AA3021">
            <v>3.287327258287398E-2</v>
          </cell>
        </row>
        <row r="3022">
          <cell r="Y3022">
            <v>60023</v>
          </cell>
          <cell r="Z3022">
            <v>3.3257047599557034E-2</v>
          </cell>
          <cell r="AA3022">
            <v>3.2880756913031828E-2</v>
          </cell>
        </row>
        <row r="3023">
          <cell r="Y3023">
            <v>60030</v>
          </cell>
          <cell r="Z3023">
            <v>3.32646294225767E-2</v>
          </cell>
          <cell r="AA3023">
            <v>3.2888250556055709E-2</v>
          </cell>
        </row>
        <row r="3024">
          <cell r="Y3024">
            <v>60037</v>
          </cell>
          <cell r="Z3024">
            <v>3.3272203040094858E-2</v>
          </cell>
          <cell r="AA3024">
            <v>3.2895753511702486E-2</v>
          </cell>
        </row>
        <row r="3025">
          <cell r="Y3025">
            <v>60044</v>
          </cell>
          <cell r="Z3025">
            <v>3.3279767540780512E-2</v>
          </cell>
          <cell r="AA3025">
            <v>3.2903265780539481E-2</v>
          </cell>
        </row>
        <row r="3026">
          <cell r="Y3026">
            <v>60051</v>
          </cell>
          <cell r="Z3026">
            <v>3.3281189142907106E-2</v>
          </cell>
          <cell r="AA3026">
            <v>3.2910787361999372E-2</v>
          </cell>
        </row>
        <row r="3027">
          <cell r="Y3027">
            <v>60058</v>
          </cell>
          <cell r="Z3027">
            <v>3.3288733682086548E-2</v>
          </cell>
          <cell r="AA3027">
            <v>3.2918318256406343E-2</v>
          </cell>
        </row>
        <row r="3028">
          <cell r="Y3028">
            <v>60065</v>
          </cell>
          <cell r="Z3028">
            <v>3.3296266420069207E-2</v>
          </cell>
          <cell r="AA3028">
            <v>3.2925858463760393E-2</v>
          </cell>
        </row>
        <row r="3029">
          <cell r="Y3029">
            <v>60072</v>
          </cell>
          <cell r="Z3029">
            <v>3.330378643077999E-2</v>
          </cell>
          <cell r="AA3029">
            <v>3.2933407983899432E-2</v>
          </cell>
        </row>
        <row r="3030">
          <cell r="Y3030">
            <v>60079</v>
          </cell>
          <cell r="Z3030">
            <v>3.3317421393985615E-2</v>
          </cell>
          <cell r="AA3030">
            <v>3.2940966816904504E-2</v>
          </cell>
        </row>
        <row r="3031">
          <cell r="Y3031">
            <v>60086</v>
          </cell>
          <cell r="Z3031">
            <v>3.3324912150495226E-2</v>
          </cell>
          <cell r="AA3031">
            <v>3.2948524676948976E-2</v>
          </cell>
        </row>
        <row r="3032">
          <cell r="Y3032">
            <v>60093</v>
          </cell>
          <cell r="Z3032">
            <v>3.3332388191971069E-2</v>
          </cell>
          <cell r="AA3032">
            <v>3.2956068119427417E-2</v>
          </cell>
        </row>
        <row r="3033">
          <cell r="Y3033">
            <v>60100</v>
          </cell>
          <cell r="Z3033">
            <v>3.3339849517802243E-2</v>
          </cell>
          <cell r="AA3033">
            <v>3.2963597063455641E-2</v>
          </cell>
        </row>
        <row r="3034">
          <cell r="Y3034">
            <v>60107</v>
          </cell>
          <cell r="Z3034">
            <v>3.3347296127824923E-2</v>
          </cell>
          <cell r="AA3034">
            <v>3.2971111509033646E-2</v>
          </cell>
        </row>
        <row r="3035">
          <cell r="Y3035">
            <v>60114</v>
          </cell>
          <cell r="Z3035">
            <v>3.334860504469201E-2</v>
          </cell>
          <cell r="AA3035">
            <v>3.297861145599934E-2</v>
          </cell>
        </row>
        <row r="3036">
          <cell r="Y3036">
            <v>60121</v>
          </cell>
          <cell r="Z3036">
            <v>3.3362145199784643E-2</v>
          </cell>
          <cell r="AA3036">
            <v>3.2986096904595863E-2</v>
          </cell>
        </row>
        <row r="3037">
          <cell r="Y3037">
            <v>60128</v>
          </cell>
          <cell r="Z3037">
            <v>3.3369547661391837E-2</v>
          </cell>
          <cell r="AA3037">
            <v>3.2993567854580075E-2</v>
          </cell>
        </row>
        <row r="3038">
          <cell r="Y3038">
            <v>60135</v>
          </cell>
          <cell r="Z3038">
            <v>3.3376935406532575E-2</v>
          </cell>
          <cell r="AA3038">
            <v>3.3001024306114068E-2</v>
          </cell>
        </row>
        <row r="3039">
          <cell r="Y3039">
            <v>60142</v>
          </cell>
          <cell r="Z3039">
            <v>3.3378190025393217E-2</v>
          </cell>
          <cell r="AA3039">
            <v>3.3008466259035751E-2</v>
          </cell>
        </row>
        <row r="3040">
          <cell r="Y3040">
            <v>60149</v>
          </cell>
          <cell r="Z3040">
            <v>3.3381471746716969E-2</v>
          </cell>
          <cell r="AA3040">
            <v>3.3015893713669309E-2</v>
          </cell>
        </row>
        <row r="3041">
          <cell r="Y3041">
            <v>60156</v>
          </cell>
          <cell r="Z3041">
            <v>3.3388817265053952E-2</v>
          </cell>
          <cell r="AA3041">
            <v>3.3023306669609509E-2</v>
          </cell>
        </row>
        <row r="3042">
          <cell r="Y3042">
            <v>60163</v>
          </cell>
          <cell r="Z3042">
            <v>3.3396148072278406E-2</v>
          </cell>
          <cell r="AA3042">
            <v>3.3030705127099491E-2</v>
          </cell>
        </row>
        <row r="3043">
          <cell r="Y3043">
            <v>60170</v>
          </cell>
          <cell r="Z3043">
            <v>3.3403464168232727E-2</v>
          </cell>
          <cell r="AA3043">
            <v>3.3038089086139255E-2</v>
          </cell>
        </row>
        <row r="3044">
          <cell r="Y3044">
            <v>60177</v>
          </cell>
          <cell r="Z3044">
            <v>3.341280283507838E-2</v>
          </cell>
          <cell r="AA3044">
            <v>3.3045458546647755E-2</v>
          </cell>
        </row>
        <row r="3045">
          <cell r="Y3045">
            <v>60184</v>
          </cell>
          <cell r="Z3045">
            <v>3.3420089118716481E-2</v>
          </cell>
          <cell r="AA3045">
            <v>3.3052813508543943E-2</v>
          </cell>
        </row>
        <row r="3046">
          <cell r="Y3046">
            <v>60191</v>
          </cell>
          <cell r="Z3046">
            <v>3.3427360689406466E-2</v>
          </cell>
          <cell r="AA3046">
            <v>3.3060153971989914E-2</v>
          </cell>
        </row>
        <row r="3047">
          <cell r="Y3047">
            <v>60198</v>
          </cell>
          <cell r="Z3047">
            <v>3.3434617546992493E-2</v>
          </cell>
          <cell r="AA3047">
            <v>3.3067479937066713E-2</v>
          </cell>
        </row>
        <row r="3048">
          <cell r="Y3048">
            <v>60205</v>
          </cell>
          <cell r="Z3048">
            <v>3.3441859691317362E-2</v>
          </cell>
          <cell r="AA3048">
            <v>3.3074791403369108E-2</v>
          </cell>
        </row>
        <row r="3049">
          <cell r="Y3049">
            <v>60212</v>
          </cell>
          <cell r="Z3049">
            <v>3.344705179847092E-2</v>
          </cell>
          <cell r="AA3049">
            <v>3.3082088371302332E-2</v>
          </cell>
        </row>
        <row r="3050">
          <cell r="Y3050">
            <v>60219</v>
          </cell>
          <cell r="Z3050">
            <v>3.3454264911134922E-2</v>
          </cell>
          <cell r="AA3050">
            <v>3.3089370840704291E-2</v>
          </cell>
        </row>
        <row r="3051">
          <cell r="Y3051">
            <v>60226</v>
          </cell>
          <cell r="Z3051">
            <v>3.3461463311276377E-2</v>
          </cell>
          <cell r="AA3051">
            <v>3.3096638811656032E-2</v>
          </cell>
        </row>
        <row r="3052">
          <cell r="Y3052">
            <v>60233</v>
          </cell>
          <cell r="Z3052">
            <v>3.3468646998739013E-2</v>
          </cell>
          <cell r="AA3052">
            <v>3.3103892284076508E-2</v>
          </cell>
        </row>
        <row r="3053">
          <cell r="Y3053">
            <v>60240</v>
          </cell>
          <cell r="Z3053">
            <v>3.3477849708529635E-2</v>
          </cell>
          <cell r="AA3053">
            <v>3.3111131257884674E-2</v>
          </cell>
        </row>
        <row r="3054">
          <cell r="Y3054">
            <v>60247</v>
          </cell>
          <cell r="Z3054">
            <v>3.3485003569997604E-2</v>
          </cell>
          <cell r="AA3054">
            <v>3.3118355733242621E-2</v>
          </cell>
        </row>
        <row r="3055">
          <cell r="Y3055">
            <v>60254</v>
          </cell>
          <cell r="Z3055">
            <v>3.3492142717112962E-2</v>
          </cell>
          <cell r="AA3055">
            <v>3.3125565710150351E-2</v>
          </cell>
        </row>
        <row r="3056">
          <cell r="Y3056">
            <v>60265</v>
          </cell>
          <cell r="Z3056">
            <v>3.3503331647491648E-2</v>
          </cell>
          <cell r="AA3056">
            <v>3.3136866380726326E-2</v>
          </cell>
        </row>
        <row r="3057">
          <cell r="Y3057">
            <v>60272</v>
          </cell>
          <cell r="Z3057">
            <v>3.3510432956987225E-2</v>
          </cell>
          <cell r="AA3057">
            <v>3.3144039075696519E-2</v>
          </cell>
        </row>
        <row r="3058">
          <cell r="Y3058">
            <v>60279</v>
          </cell>
          <cell r="Z3058">
            <v>3.3517519551577113E-2</v>
          </cell>
          <cell r="AA3058">
            <v>3.31511972720544E-2</v>
          </cell>
        </row>
        <row r="3059">
          <cell r="Y3059">
            <v>60286</v>
          </cell>
          <cell r="Z3059">
            <v>3.3524591431109016E-2</v>
          </cell>
          <cell r="AA3059">
            <v>3.3158340969962063E-2</v>
          </cell>
        </row>
        <row r="3060">
          <cell r="Y3060">
            <v>60293</v>
          </cell>
          <cell r="Z3060">
            <v>3.3531648595428419E-2</v>
          </cell>
          <cell r="AA3060">
            <v>3.3165470169338462E-2</v>
          </cell>
        </row>
        <row r="3061">
          <cell r="Y3061">
            <v>60300</v>
          </cell>
          <cell r="Z3061">
            <v>3.3538691044383465E-2</v>
          </cell>
          <cell r="AA3061">
            <v>3.3172584870183597E-2</v>
          </cell>
        </row>
        <row r="3062">
          <cell r="Y3062">
            <v>60307</v>
          </cell>
          <cell r="Z3062">
            <v>3.3545718777820525E-2</v>
          </cell>
          <cell r="AA3062">
            <v>3.3179685072416421E-2</v>
          </cell>
        </row>
        <row r="3063">
          <cell r="Y3063">
            <v>60314</v>
          </cell>
          <cell r="Z3063">
            <v>3.3552731795587751E-2</v>
          </cell>
          <cell r="AA3063">
            <v>3.3186770776199026E-2</v>
          </cell>
        </row>
        <row r="3064">
          <cell r="Y3064">
            <v>60321</v>
          </cell>
          <cell r="Z3064">
            <v>3.3559730097533734E-2</v>
          </cell>
          <cell r="AA3064">
            <v>3.3193841981531413E-2</v>
          </cell>
        </row>
        <row r="3065">
          <cell r="Y3065">
            <v>60328</v>
          </cell>
          <cell r="Z3065">
            <v>3.3570771165663843E-2</v>
          </cell>
          <cell r="AA3065">
            <v>3.320089868825149E-2</v>
          </cell>
        </row>
        <row r="3066">
          <cell r="Y3066">
            <v>60335</v>
          </cell>
          <cell r="Z3066">
            <v>3.3577739204219727E-2</v>
          </cell>
          <cell r="AA3066">
            <v>3.3207940896359256E-2</v>
          </cell>
        </row>
        <row r="3067">
          <cell r="Y3067">
            <v>60342</v>
          </cell>
          <cell r="Z3067">
            <v>3.3584692524055257E-2</v>
          </cell>
          <cell r="AA3067">
            <v>3.321496860609785E-2</v>
          </cell>
        </row>
        <row r="3068">
          <cell r="Y3068">
            <v>60349</v>
          </cell>
          <cell r="Z3068">
            <v>3.3591631125017146E-2</v>
          </cell>
          <cell r="AA3068">
            <v>3.322198181730518E-2</v>
          </cell>
        </row>
        <row r="3069">
          <cell r="Y3069">
            <v>60357</v>
          </cell>
          <cell r="Z3069">
            <v>3.3597515878788869E-2</v>
          </cell>
          <cell r="AA3069">
            <v>3.3229979162396894E-2</v>
          </cell>
        </row>
        <row r="3070">
          <cell r="Y3070">
            <v>60364</v>
          </cell>
          <cell r="Z3070">
            <v>3.3604423359570125E-2</v>
          </cell>
          <cell r="AA3070">
            <v>3.3236961305322943E-2</v>
          </cell>
        </row>
        <row r="3071">
          <cell r="Y3071">
            <v>60371</v>
          </cell>
          <cell r="Z3071">
            <v>3.3611316122226322E-2</v>
          </cell>
          <cell r="AA3071">
            <v>3.3243928949555634E-2</v>
          </cell>
        </row>
        <row r="3072">
          <cell r="Y3072">
            <v>60378</v>
          </cell>
          <cell r="Z3072">
            <v>3.3618194166607766E-2</v>
          </cell>
          <cell r="AA3072">
            <v>3.3250882095581247E-2</v>
          </cell>
        </row>
        <row r="3073">
          <cell r="Y3073">
            <v>60385</v>
          </cell>
          <cell r="Z3073">
            <v>3.362505749256478E-2</v>
          </cell>
          <cell r="AA3073">
            <v>3.3257820742670363E-2</v>
          </cell>
        </row>
        <row r="3074">
          <cell r="Y3074">
            <v>60392</v>
          </cell>
          <cell r="Z3074">
            <v>3.3633931036392464E-2</v>
          </cell>
          <cell r="AA3074">
            <v>3.3264744891390308E-2</v>
          </cell>
        </row>
        <row r="3075">
          <cell r="Y3075">
            <v>60399</v>
          </cell>
          <cell r="Z3075">
            <v>3.3640764498137771E-2</v>
          </cell>
          <cell r="AA3075">
            <v>3.3271654541660034E-2</v>
          </cell>
        </row>
        <row r="3076">
          <cell r="Y3076">
            <v>60406</v>
          </cell>
          <cell r="Z3076">
            <v>3.3647583239780982E-2</v>
          </cell>
          <cell r="AA3076">
            <v>3.327854969331745E-2</v>
          </cell>
        </row>
        <row r="3077">
          <cell r="Y3077">
            <v>60413</v>
          </cell>
          <cell r="Z3077">
            <v>3.3654387261171002E-2</v>
          </cell>
          <cell r="AA3077">
            <v>3.3285430346443601E-2</v>
          </cell>
        </row>
        <row r="3078">
          <cell r="Y3078">
            <v>60420</v>
          </cell>
          <cell r="Z3078">
            <v>3.3659153340758634E-2</v>
          </cell>
          <cell r="AA3078">
            <v>3.3292296500957441E-2</v>
          </cell>
        </row>
        <row r="3079">
          <cell r="Y3079">
            <v>60427</v>
          </cell>
          <cell r="Z3079">
            <v>3.3665928353039207E-2</v>
          </cell>
          <cell r="AA3079">
            <v>3.329914815710211E-2</v>
          </cell>
        </row>
        <row r="3080">
          <cell r="Y3080">
            <v>60434</v>
          </cell>
          <cell r="Z3080">
            <v>3.3672688645855028E-2</v>
          </cell>
          <cell r="AA3080">
            <v>3.3305985314634468E-2</v>
          </cell>
        </row>
        <row r="3081">
          <cell r="Y3081">
            <v>60441</v>
          </cell>
          <cell r="Z3081">
            <v>3.3679434219058169E-2</v>
          </cell>
          <cell r="AA3081">
            <v>3.3312807973554515E-2</v>
          </cell>
        </row>
        <row r="3082">
          <cell r="Y3082">
            <v>60448</v>
          </cell>
          <cell r="Z3082">
            <v>3.3688186559135011E-2</v>
          </cell>
          <cell r="AA3082">
            <v>3.3319616133943297E-2</v>
          </cell>
        </row>
        <row r="3083">
          <cell r="Y3083">
            <v>60455</v>
          </cell>
          <cell r="Z3083">
            <v>3.3694902255893555E-2</v>
          </cell>
          <cell r="AA3083">
            <v>3.3326409795881862E-2</v>
          </cell>
        </row>
        <row r="3084">
          <cell r="Y3084">
            <v>60462</v>
          </cell>
          <cell r="Z3084">
            <v>3.3701603231363376E-2</v>
          </cell>
          <cell r="AA3084">
            <v>3.3333188959208115E-2</v>
          </cell>
        </row>
        <row r="3085">
          <cell r="Y3085">
            <v>60469</v>
          </cell>
          <cell r="Z3085">
            <v>3.3708289485396906E-2</v>
          </cell>
          <cell r="AA3085">
            <v>3.3339953624003105E-2</v>
          </cell>
        </row>
        <row r="3086">
          <cell r="Y3086">
            <v>60476</v>
          </cell>
          <cell r="Z3086">
            <v>3.3714961017847475E-2</v>
          </cell>
          <cell r="AA3086">
            <v>3.334670379026683E-2</v>
          </cell>
        </row>
        <row r="3087">
          <cell r="Y3087">
            <v>60483</v>
          </cell>
          <cell r="Z3087">
            <v>3.3721617828571047E-2</v>
          </cell>
          <cell r="AA3087">
            <v>3.335343945799929E-2</v>
          </cell>
        </row>
        <row r="3088">
          <cell r="Y3088">
            <v>60490</v>
          </cell>
          <cell r="Z3088">
            <v>3.3728259917419623E-2</v>
          </cell>
          <cell r="AA3088">
            <v>3.3360160627200486E-2</v>
          </cell>
        </row>
        <row r="3089">
          <cell r="Y3089">
            <v>60497</v>
          </cell>
          <cell r="Z3089">
            <v>3.3734887284247859E-2</v>
          </cell>
          <cell r="AA3089">
            <v>3.3366867297708325E-2</v>
          </cell>
        </row>
        <row r="3090">
          <cell r="Y3090">
            <v>60504</v>
          </cell>
          <cell r="Z3090">
            <v>3.3741499928910824E-2</v>
          </cell>
          <cell r="AA3090">
            <v>3.3373559469846992E-2</v>
          </cell>
        </row>
        <row r="3091">
          <cell r="Y3091">
            <v>60511</v>
          </cell>
          <cell r="Z3091">
            <v>3.374204555893346E-2</v>
          </cell>
          <cell r="AA3091">
            <v>3.3380237143373348E-2</v>
          </cell>
        </row>
        <row r="3092">
          <cell r="Y3092">
            <v>60518</v>
          </cell>
          <cell r="Z3092">
            <v>3.3748630102281539E-2</v>
          </cell>
          <cell r="AA3092">
            <v>3.3386900318287394E-2</v>
          </cell>
        </row>
        <row r="3093">
          <cell r="Y3093">
            <v>60525</v>
          </cell>
          <cell r="Z3093">
            <v>3.3755199926761723E-2</v>
          </cell>
          <cell r="AA3093">
            <v>3.3393548994751221E-2</v>
          </cell>
        </row>
        <row r="3094">
          <cell r="Y3094">
            <v>60532</v>
          </cell>
          <cell r="Z3094">
            <v>3.376175503223118E-2</v>
          </cell>
          <cell r="AA3094">
            <v>3.3400183172683784E-2</v>
          </cell>
        </row>
        <row r="3095">
          <cell r="Y3095">
            <v>60539</v>
          </cell>
          <cell r="Z3095">
            <v>3.3768295418550198E-2</v>
          </cell>
          <cell r="AA3095">
            <v>3.3406802852004036E-2</v>
          </cell>
        </row>
        <row r="3096">
          <cell r="Y3096">
            <v>60546</v>
          </cell>
          <cell r="Z3096">
            <v>3.3776836185184608E-2</v>
          </cell>
          <cell r="AA3096">
            <v>3.3413408032793024E-2</v>
          </cell>
        </row>
        <row r="3097">
          <cell r="Y3097">
            <v>60553</v>
          </cell>
          <cell r="Z3097">
            <v>3.3783346678858739E-2</v>
          </cell>
          <cell r="AA3097">
            <v>3.3419998714969701E-2</v>
          </cell>
        </row>
        <row r="3098">
          <cell r="Y3098">
            <v>60560</v>
          </cell>
          <cell r="Z3098">
            <v>3.378984245171214E-2</v>
          </cell>
          <cell r="AA3098">
            <v>3.3426574898615113E-2</v>
          </cell>
        </row>
        <row r="3099">
          <cell r="Y3099">
            <v>60567</v>
          </cell>
          <cell r="Z3099">
            <v>3.3796323503605431E-2</v>
          </cell>
          <cell r="AA3099">
            <v>3.3433136583729262E-2</v>
          </cell>
        </row>
        <row r="3100">
          <cell r="Y3100">
            <v>60574</v>
          </cell>
          <cell r="Z3100">
            <v>3.3802789834395226E-2</v>
          </cell>
          <cell r="AA3100">
            <v>3.3439683770312145E-2</v>
          </cell>
        </row>
        <row r="3101">
          <cell r="Y3101">
            <v>60581</v>
          </cell>
          <cell r="Z3101">
            <v>3.3807228626410113E-2</v>
          </cell>
          <cell r="AA3101">
            <v>3.3446216458363764E-2</v>
          </cell>
        </row>
        <row r="3102">
          <cell r="Y3102">
            <v>60588</v>
          </cell>
          <cell r="Z3102">
            <v>3.3813665974740191E-2</v>
          </cell>
          <cell r="AA3102">
            <v>3.3452734647803073E-2</v>
          </cell>
        </row>
        <row r="3103">
          <cell r="Y3103">
            <v>60595</v>
          </cell>
          <cell r="Z3103">
            <v>3.3820088602798178E-2</v>
          </cell>
          <cell r="AA3103">
            <v>3.3459238338549024E-2</v>
          </cell>
        </row>
        <row r="3104">
          <cell r="Y3104">
            <v>60602</v>
          </cell>
          <cell r="Z3104">
            <v>3.3828507943741107E-2</v>
          </cell>
          <cell r="AA3104">
            <v>3.3465727530925804E-2</v>
          </cell>
        </row>
        <row r="3105">
          <cell r="Y3105">
            <v>60609</v>
          </cell>
          <cell r="Z3105">
            <v>3.3834900666927126E-2</v>
          </cell>
          <cell r="AA3105">
            <v>3.3472202224690273E-2</v>
          </cell>
        </row>
        <row r="3106">
          <cell r="Y3106">
            <v>60616</v>
          </cell>
          <cell r="Z3106">
            <v>3.3841278668174685E-2</v>
          </cell>
          <cell r="AA3106">
            <v>3.3478662420004524E-2</v>
          </cell>
        </row>
        <row r="3107">
          <cell r="Y3107">
            <v>60623</v>
          </cell>
          <cell r="Z3107">
            <v>3.3847641947345748E-2</v>
          </cell>
          <cell r="AA3107">
            <v>3.3485108116463325E-2</v>
          </cell>
        </row>
        <row r="3108">
          <cell r="Y3108">
            <v>60630</v>
          </cell>
          <cell r="Z3108">
            <v>3.3853990504301823E-2</v>
          </cell>
          <cell r="AA3108">
            <v>3.3491539314552954E-2</v>
          </cell>
        </row>
        <row r="3109">
          <cell r="Y3109">
            <v>60637</v>
          </cell>
          <cell r="Z3109">
            <v>3.3858315237742929E-2</v>
          </cell>
          <cell r="AA3109">
            <v>3.3497956014192365E-2</v>
          </cell>
        </row>
        <row r="3110">
          <cell r="Y3110">
            <v>60644</v>
          </cell>
          <cell r="Z3110">
            <v>3.3864634820048992E-2</v>
          </cell>
          <cell r="AA3110">
            <v>3.3504358215057373E-2</v>
          </cell>
        </row>
        <row r="3111">
          <cell r="Y3111">
            <v>60651</v>
          </cell>
          <cell r="Z3111">
            <v>3.3870939680987269E-2</v>
          </cell>
          <cell r="AA3111">
            <v>3.3510745917472162E-2</v>
          </cell>
        </row>
        <row r="3112">
          <cell r="Y3112">
            <v>60658</v>
          </cell>
          <cell r="Z3112">
            <v>3.3877229820421184E-2</v>
          </cell>
          <cell r="AA3112">
            <v>3.3517119121436734E-2</v>
          </cell>
        </row>
        <row r="3113">
          <cell r="Y3113">
            <v>60665</v>
          </cell>
          <cell r="Z3113">
            <v>3.3883505238213721E-2</v>
          </cell>
          <cell r="AA3113">
            <v>3.3523477826626902E-2</v>
          </cell>
        </row>
        <row r="3114">
          <cell r="Y3114">
            <v>60672</v>
          </cell>
          <cell r="Z3114">
            <v>3.3889765934229661E-2</v>
          </cell>
          <cell r="AA3114">
            <v>3.3529822033285805E-2</v>
          </cell>
        </row>
        <row r="3115">
          <cell r="Y3115">
            <v>60679</v>
          </cell>
          <cell r="Z3115">
            <v>3.3896011908335105E-2</v>
          </cell>
          <cell r="AA3115">
            <v>3.3536151741575537E-2</v>
          </cell>
        </row>
        <row r="3116">
          <cell r="Y3116">
            <v>60686</v>
          </cell>
          <cell r="Z3116">
            <v>3.3902243160395293E-2</v>
          </cell>
          <cell r="AA3116">
            <v>3.3542466951009819E-2</v>
          </cell>
        </row>
        <row r="3117">
          <cell r="Y3117">
            <v>60693</v>
          </cell>
          <cell r="Z3117">
            <v>3.3914475834535961E-2</v>
          </cell>
          <cell r="AA3117">
            <v>3.354876766207493E-2</v>
          </cell>
        </row>
        <row r="3118">
          <cell r="Y3118">
            <v>60700</v>
          </cell>
          <cell r="Z3118">
            <v>3.3920676200918168E-2</v>
          </cell>
          <cell r="AA3118">
            <v>3.3555053874365637E-2</v>
          </cell>
        </row>
        <row r="3119">
          <cell r="Y3119">
            <v>60707</v>
          </cell>
          <cell r="Z3119">
            <v>3.392686184106386E-2</v>
          </cell>
          <cell r="AA3119">
            <v>3.3561325588287172E-2</v>
          </cell>
        </row>
        <row r="3120">
          <cell r="Y3120">
            <v>60714</v>
          </cell>
          <cell r="Z3120">
            <v>3.3933032754838256E-2</v>
          </cell>
          <cell r="AA3120">
            <v>3.3567582803677443E-2</v>
          </cell>
        </row>
        <row r="3121">
          <cell r="Y3121">
            <v>60721</v>
          </cell>
          <cell r="Z3121">
            <v>3.3939188942103918E-2</v>
          </cell>
          <cell r="AA3121">
            <v>3.3573825520212264E-2</v>
          </cell>
        </row>
        <row r="3122">
          <cell r="Y3122">
            <v>60728</v>
          </cell>
          <cell r="Z3122">
            <v>3.3943327359540379E-2</v>
          </cell>
          <cell r="AA3122">
            <v>3.3580053738377913E-2</v>
          </cell>
        </row>
        <row r="3123">
          <cell r="Y3123">
            <v>60735</v>
          </cell>
          <cell r="Z3123">
            <v>3.3949454580232172E-2</v>
          </cell>
          <cell r="AA3123">
            <v>3.3586267458093344E-2</v>
          </cell>
        </row>
        <row r="3124">
          <cell r="Y3124">
            <v>60742</v>
          </cell>
          <cell r="Z3124">
            <v>3.3955567075280205E-2</v>
          </cell>
          <cell r="AA3124">
            <v>3.3592466679034372E-2</v>
          </cell>
        </row>
        <row r="3125">
          <cell r="Y3125">
            <v>60749</v>
          </cell>
          <cell r="Z3125">
            <v>3.3961664844548517E-2</v>
          </cell>
          <cell r="AA3125">
            <v>3.3598651401363089E-2</v>
          </cell>
        </row>
        <row r="3126">
          <cell r="Y3126">
            <v>60756</v>
          </cell>
          <cell r="Z3126">
            <v>3.396974897611213E-2</v>
          </cell>
          <cell r="AA3126">
            <v>3.3604821625322634E-2</v>
          </cell>
        </row>
        <row r="3127">
          <cell r="Y3127">
            <v>60763</v>
          </cell>
          <cell r="Z3127">
            <v>3.3975816801511724E-2</v>
          </cell>
          <cell r="AA3127">
            <v>3.3610977350588822E-2</v>
          </cell>
        </row>
        <row r="3128">
          <cell r="Y3128">
            <v>60770</v>
          </cell>
          <cell r="Z3128">
            <v>3.3981869899466152E-2</v>
          </cell>
          <cell r="AA3128">
            <v>3.3617118577161653E-2</v>
          </cell>
        </row>
        <row r="3129">
          <cell r="Y3129">
            <v>60777</v>
          </cell>
          <cell r="Z3129">
            <v>3.3987908269842396E-2</v>
          </cell>
          <cell r="AA3129">
            <v>3.3623245305365312E-2</v>
          </cell>
        </row>
        <row r="3130">
          <cell r="Y3130">
            <v>60784</v>
          </cell>
          <cell r="Z3130">
            <v>3.3991932799594109E-2</v>
          </cell>
          <cell r="AA3130">
            <v>3.3629357534875615E-2</v>
          </cell>
        </row>
        <row r="3131">
          <cell r="Y3131">
            <v>60791</v>
          </cell>
          <cell r="Z3131">
            <v>3.3997942211418331E-2</v>
          </cell>
          <cell r="AA3131">
            <v>3.3635455265854652E-2</v>
          </cell>
        </row>
        <row r="3132">
          <cell r="Y3132">
            <v>60798</v>
          </cell>
          <cell r="Z3132">
            <v>3.4003936896540327E-2</v>
          </cell>
          <cell r="AA3132">
            <v>3.3641538498140333E-2</v>
          </cell>
        </row>
        <row r="3133">
          <cell r="Y3133">
            <v>60805</v>
          </cell>
          <cell r="Z3133">
            <v>3.4009916854832095E-2</v>
          </cell>
          <cell r="AA3133">
            <v>3.3647607231894749E-2</v>
          </cell>
        </row>
        <row r="3134">
          <cell r="Y3134">
            <v>60812</v>
          </cell>
          <cell r="Z3134">
            <v>3.4015882086161221E-2</v>
          </cell>
          <cell r="AA3134">
            <v>3.365366146736104E-2</v>
          </cell>
        </row>
        <row r="3135">
          <cell r="Y3135">
            <v>60819</v>
          </cell>
          <cell r="Z3135">
            <v>3.402382920557926E-2</v>
          </cell>
          <cell r="AA3135">
            <v>3.3659701203890835E-2</v>
          </cell>
        </row>
        <row r="3136">
          <cell r="Y3136">
            <v>60826</v>
          </cell>
          <cell r="Z3136">
            <v>3.402976447922413E-2</v>
          </cell>
          <cell r="AA3136">
            <v>3.3665726441889365E-2</v>
          </cell>
        </row>
        <row r="3137">
          <cell r="Y3137">
            <v>60833</v>
          </cell>
          <cell r="Z3137">
            <v>3.4035685024241619E-2</v>
          </cell>
          <cell r="AA3137">
            <v>3.3671737181518724E-2</v>
          </cell>
        </row>
        <row r="3138">
          <cell r="Y3138">
            <v>60840</v>
          </cell>
          <cell r="Z3138">
            <v>3.4041590840501783E-2</v>
          </cell>
          <cell r="AA3138">
            <v>3.3677733422373679E-2</v>
          </cell>
        </row>
        <row r="3139">
          <cell r="Y3139">
            <v>60847</v>
          </cell>
          <cell r="Z3139">
            <v>3.4047481927874698E-2</v>
          </cell>
          <cell r="AA3139">
            <v>3.3683715164616324E-2</v>
          </cell>
        </row>
        <row r="3140">
          <cell r="Y3140">
            <v>60854</v>
          </cell>
          <cell r="Z3140">
            <v>3.4053358286232613E-2</v>
          </cell>
          <cell r="AA3140">
            <v>3.3689682408327704E-2</v>
          </cell>
        </row>
        <row r="3141">
          <cell r="Y3141">
            <v>60861</v>
          </cell>
          <cell r="Z3141">
            <v>3.4059219915446033E-2</v>
          </cell>
          <cell r="AA3141">
            <v>3.3695635153588865E-2</v>
          </cell>
        </row>
        <row r="3142">
          <cell r="Y3142">
            <v>60868</v>
          </cell>
          <cell r="Z3142">
            <v>3.4065066815386347E-2</v>
          </cell>
          <cell r="AA3142">
            <v>3.3701573400075624E-2</v>
          </cell>
        </row>
        <row r="3143">
          <cell r="Y3143">
            <v>60875</v>
          </cell>
          <cell r="Z3143">
            <v>3.406492154946595E-2</v>
          </cell>
          <cell r="AA3143">
            <v>3.3707497147869026E-2</v>
          </cell>
        </row>
        <row r="3144">
          <cell r="Y3144">
            <v>60882</v>
          </cell>
          <cell r="Z3144">
            <v>3.4070740530869816E-2</v>
          </cell>
          <cell r="AA3144">
            <v>3.3713406397293255E-2</v>
          </cell>
        </row>
        <row r="3145">
          <cell r="Y3145">
            <v>60889</v>
          </cell>
          <cell r="Z3145">
            <v>3.4076544786460883E-2</v>
          </cell>
          <cell r="AA3145">
            <v>3.371930114818622E-2</v>
          </cell>
        </row>
        <row r="3146">
          <cell r="Y3146">
            <v>60896</v>
          </cell>
          <cell r="Z3146">
            <v>3.4082334316114224E-2</v>
          </cell>
          <cell r="AA3146">
            <v>3.3725181400385829E-2</v>
          </cell>
        </row>
        <row r="3147">
          <cell r="Y3147">
            <v>60903</v>
          </cell>
          <cell r="Z3147">
            <v>3.4088109119704467E-2</v>
          </cell>
          <cell r="AA3147">
            <v>3.373104715389208E-2</v>
          </cell>
        </row>
        <row r="3148">
          <cell r="Y3148">
            <v>60910</v>
          </cell>
          <cell r="Z3148">
            <v>3.4095859022810142E-2</v>
          </cell>
          <cell r="AA3148">
            <v>3.3736898409029159E-2</v>
          </cell>
        </row>
        <row r="3149">
          <cell r="Y3149">
            <v>60917</v>
          </cell>
          <cell r="Z3149">
            <v>3.4101603854159293E-2</v>
          </cell>
          <cell r="AA3149">
            <v>3.3742735165310789E-2</v>
          </cell>
        </row>
        <row r="3150">
          <cell r="Y3150">
            <v>60924</v>
          </cell>
          <cell r="Z3150">
            <v>3.4107333957788546E-2</v>
          </cell>
          <cell r="AA3150">
            <v>3.3748557423223247E-2</v>
          </cell>
        </row>
        <row r="3151">
          <cell r="Y3151">
            <v>60931</v>
          </cell>
          <cell r="Z3151">
            <v>3.4113049333573647E-2</v>
          </cell>
          <cell r="AA3151">
            <v>3.3754365182280255E-2</v>
          </cell>
        </row>
        <row r="3152">
          <cell r="Y3152">
            <v>60938</v>
          </cell>
          <cell r="Z3152">
            <v>3.4118749981392145E-2</v>
          </cell>
          <cell r="AA3152">
            <v>3.3760158443130184E-2</v>
          </cell>
        </row>
        <row r="3153">
          <cell r="Y3153">
            <v>60945</v>
          </cell>
          <cell r="Z3153">
            <v>3.412244868698934E-2</v>
          </cell>
          <cell r="AA3153">
            <v>3.3765937205124663E-2</v>
          </cell>
        </row>
        <row r="3154">
          <cell r="Y3154">
            <v>60952</v>
          </cell>
          <cell r="Z3154">
            <v>3.4128120404674826E-2</v>
          </cell>
          <cell r="AA3154">
            <v>3.3771701468506832E-2</v>
          </cell>
        </row>
        <row r="3155">
          <cell r="Y3155">
            <v>60959</v>
          </cell>
          <cell r="Z3155">
            <v>3.4133777395311225E-2</v>
          </cell>
          <cell r="AA3155">
            <v>3.3777451233519828E-2</v>
          </cell>
        </row>
        <row r="3156">
          <cell r="Y3156">
            <v>60966</v>
          </cell>
          <cell r="Z3156">
            <v>3.4141405290521037E-2</v>
          </cell>
          <cell r="AA3156">
            <v>3.3783186499758422E-2</v>
          </cell>
        </row>
        <row r="3157">
          <cell r="Y3157">
            <v>60973</v>
          </cell>
          <cell r="Z3157">
            <v>3.4147032296654022E-2</v>
          </cell>
          <cell r="AA3157">
            <v>3.3788907267384705E-2</v>
          </cell>
        </row>
        <row r="3158">
          <cell r="Y3158">
            <v>60980</v>
          </cell>
          <cell r="Z3158">
            <v>3.4152644574081625E-2</v>
          </cell>
          <cell r="AA3158">
            <v>3.379461353631763E-2</v>
          </cell>
        </row>
        <row r="3159">
          <cell r="Y3159">
            <v>60987</v>
          </cell>
          <cell r="Z3159">
            <v>3.4158242122684521E-2</v>
          </cell>
          <cell r="AA3159">
            <v>3.3800305307043477E-2</v>
          </cell>
        </row>
        <row r="3160">
          <cell r="Y3160">
            <v>60995</v>
          </cell>
          <cell r="Z3160">
            <v>3.4164621285634335E-2</v>
          </cell>
          <cell r="AA3160">
            <v>3.3806792434036836E-2</v>
          </cell>
        </row>
        <row r="3161">
          <cell r="Y3161">
            <v>61002</v>
          </cell>
          <cell r="Z3161">
            <v>3.4168204379974282E-2</v>
          </cell>
          <cell r="AA3161">
            <v>3.381245313607617E-2</v>
          </cell>
        </row>
        <row r="3162">
          <cell r="Y3162">
            <v>61009</v>
          </cell>
          <cell r="Z3162">
            <v>3.4173756173871216E-2</v>
          </cell>
          <cell r="AA3162">
            <v>3.3818099339503194E-2</v>
          </cell>
        </row>
        <row r="3163">
          <cell r="Y3163">
            <v>61016</v>
          </cell>
          <cell r="Z3163">
            <v>3.4179293239734419E-2</v>
          </cell>
          <cell r="AA3163">
            <v>3.3823731044317906E-2</v>
          </cell>
        </row>
        <row r="3164">
          <cell r="Y3164">
            <v>61023</v>
          </cell>
          <cell r="Z3164">
            <v>3.4184815577445224E-2</v>
          </cell>
          <cell r="AA3164">
            <v>3.3829348250601354E-2</v>
          </cell>
        </row>
        <row r="3165">
          <cell r="Y3165">
            <v>61030</v>
          </cell>
          <cell r="Z3165">
            <v>3.4190323186884079E-2</v>
          </cell>
          <cell r="AA3165">
            <v>3.3834950958272492E-2</v>
          </cell>
        </row>
        <row r="3166">
          <cell r="Y3166">
            <v>61037</v>
          </cell>
          <cell r="Z3166">
            <v>3.4195816067931435E-2</v>
          </cell>
          <cell r="AA3166">
            <v>3.3840539167169226E-2</v>
          </cell>
        </row>
        <row r="3167">
          <cell r="Y3167">
            <v>61044</v>
          </cell>
          <cell r="Z3167">
            <v>3.4201294220470871E-2</v>
          </cell>
          <cell r="AA3167">
            <v>3.3846112877777834E-2</v>
          </cell>
        </row>
        <row r="3168">
          <cell r="Y3168">
            <v>61051</v>
          </cell>
          <cell r="Z3168">
            <v>3.420675764438328E-2</v>
          </cell>
          <cell r="AA3168">
            <v>3.3851672089612039E-2</v>
          </cell>
        </row>
        <row r="3169">
          <cell r="Y3169">
            <v>61058</v>
          </cell>
          <cell r="Z3169">
            <v>3.4218142237082576E-2</v>
          </cell>
          <cell r="AA3169">
            <v>3.3857216802752887E-2</v>
          </cell>
        </row>
        <row r="3170">
          <cell r="Y3170">
            <v>61065</v>
          </cell>
          <cell r="Z3170">
            <v>3.4223574561844286E-2</v>
          </cell>
          <cell r="AA3170">
            <v>3.3862747017362471E-2</v>
          </cell>
        </row>
        <row r="3171">
          <cell r="Y3171">
            <v>61072</v>
          </cell>
          <cell r="Z3171">
            <v>3.4228992153732048E-2</v>
          </cell>
          <cell r="AA3171">
            <v>3.386826273344079E-2</v>
          </cell>
        </row>
        <row r="3172">
          <cell r="Y3172">
            <v>61079</v>
          </cell>
          <cell r="Z3172">
            <v>3.4234395012626505E-2</v>
          </cell>
          <cell r="AA3172">
            <v>3.3873763950744706E-2</v>
          </cell>
        </row>
        <row r="3173">
          <cell r="Y3173">
            <v>61086</v>
          </cell>
          <cell r="Z3173">
            <v>3.4239783138407399E-2</v>
          </cell>
          <cell r="AA3173">
            <v>3.3879250669598404E-2</v>
          </cell>
        </row>
        <row r="3174">
          <cell r="Y3174">
            <v>61093</v>
          </cell>
          <cell r="Z3174">
            <v>3.4243180577933914E-2</v>
          </cell>
          <cell r="AA3174">
            <v>3.3884722889596652E-2</v>
          </cell>
        </row>
        <row r="3175">
          <cell r="Y3175">
            <v>61100</v>
          </cell>
          <cell r="Z3175">
            <v>3.4248539790955317E-2</v>
          </cell>
          <cell r="AA3175">
            <v>3.3890180611387821E-2</v>
          </cell>
        </row>
        <row r="3176">
          <cell r="Y3176">
            <v>61107</v>
          </cell>
          <cell r="Z3176">
            <v>3.4253884271812939E-2</v>
          </cell>
          <cell r="AA3176">
            <v>3.3895623834323541E-2</v>
          </cell>
        </row>
        <row r="3177">
          <cell r="Y3177">
            <v>61114</v>
          </cell>
          <cell r="Z3177">
            <v>3.4259214020389867E-2</v>
          </cell>
          <cell r="AA3177">
            <v>3.3901052558565903E-2</v>
          </cell>
        </row>
        <row r="3178">
          <cell r="Y3178">
            <v>61121</v>
          </cell>
          <cell r="Z3178">
            <v>3.4266502766508201E-2</v>
          </cell>
          <cell r="AA3178">
            <v>3.3906466784439093E-2</v>
          </cell>
        </row>
        <row r="3179">
          <cell r="Y3179">
            <v>61128</v>
          </cell>
          <cell r="Z3179">
            <v>3.4271802491146849E-2</v>
          </cell>
          <cell r="AA3179">
            <v>3.3911866511456834E-2</v>
          </cell>
        </row>
        <row r="3180">
          <cell r="Y3180">
            <v>61135</v>
          </cell>
          <cell r="Z3180">
            <v>3.4277087481853118E-2</v>
          </cell>
          <cell r="AA3180">
            <v>3.391725173994331E-2</v>
          </cell>
        </row>
        <row r="3181">
          <cell r="Y3181">
            <v>61142</v>
          </cell>
          <cell r="Z3181">
            <v>3.4282357738512029E-2</v>
          </cell>
          <cell r="AA3181">
            <v>3.3922622469898522E-2</v>
          </cell>
        </row>
        <row r="3182">
          <cell r="Y3182">
            <v>61149</v>
          </cell>
          <cell r="Z3182">
            <v>3.4285641775018388E-2</v>
          </cell>
          <cell r="AA3182">
            <v>3.3927978701160377E-2</v>
          </cell>
        </row>
        <row r="3183">
          <cell r="Y3183">
            <v>61156</v>
          </cell>
          <cell r="Z3183">
            <v>3.4290883127485509E-2</v>
          </cell>
          <cell r="AA3183">
            <v>3.3933320433809921E-2</v>
          </cell>
        </row>
        <row r="3184">
          <cell r="Y3184">
            <v>61163</v>
          </cell>
          <cell r="Z3184">
            <v>3.4296109746865901E-2</v>
          </cell>
          <cell r="AA3184">
            <v>3.3938647667847155E-2</v>
          </cell>
        </row>
        <row r="3185">
          <cell r="Y3185">
            <v>61170</v>
          </cell>
          <cell r="Z3185">
            <v>3.4301321633046632E-2</v>
          </cell>
          <cell r="AA3185">
            <v>3.394396040343417E-2</v>
          </cell>
        </row>
        <row r="3186">
          <cell r="Y3186">
            <v>61177</v>
          </cell>
          <cell r="Z3186">
            <v>3.43065187859121E-2</v>
          </cell>
          <cell r="AA3186">
            <v>3.3949258640246782E-2</v>
          </cell>
        </row>
        <row r="3187">
          <cell r="Y3187">
            <v>61184</v>
          </cell>
          <cell r="Z3187">
            <v>3.4313669857010308E-2</v>
          </cell>
          <cell r="AA3187">
            <v>3.395454237852813E-2</v>
          </cell>
        </row>
        <row r="3188">
          <cell r="Y3188">
            <v>61191</v>
          </cell>
          <cell r="Z3188">
            <v>3.4318836972115727E-2</v>
          </cell>
          <cell r="AA3188">
            <v>3.3959811618035074E-2</v>
          </cell>
        </row>
        <row r="3189">
          <cell r="Y3189">
            <v>61198</v>
          </cell>
          <cell r="Z3189">
            <v>3.4323989352258936E-2</v>
          </cell>
          <cell r="AA3189">
            <v>3.3965066359010754E-2</v>
          </cell>
        </row>
        <row r="3190">
          <cell r="Y3190">
            <v>61205</v>
          </cell>
          <cell r="Z3190">
            <v>3.4329126997326299E-2</v>
          </cell>
          <cell r="AA3190">
            <v>3.3970306601293077E-2</v>
          </cell>
        </row>
        <row r="3191">
          <cell r="Y3191">
            <v>61212</v>
          </cell>
          <cell r="Z3191">
            <v>3.4334249907204621E-2</v>
          </cell>
          <cell r="AA3191">
            <v>3.3975532344963089E-2</v>
          </cell>
        </row>
        <row r="3192">
          <cell r="Y3192">
            <v>61219</v>
          </cell>
          <cell r="Z3192">
            <v>3.4339358081782456E-2</v>
          </cell>
          <cell r="AA3192">
            <v>3.3980743590101836E-2</v>
          </cell>
        </row>
        <row r="3193">
          <cell r="Y3193">
            <v>61226</v>
          </cell>
          <cell r="Z3193">
            <v>3.4344451520947478E-2</v>
          </cell>
          <cell r="AA3193">
            <v>3.3985940336709319E-2</v>
          </cell>
        </row>
        <row r="3194">
          <cell r="Y3194">
            <v>61233</v>
          </cell>
          <cell r="Z3194">
            <v>3.4349530224587824E-2</v>
          </cell>
          <cell r="AA3194">
            <v>3.3991122584542399E-2</v>
          </cell>
        </row>
        <row r="3195">
          <cell r="Y3195">
            <v>61240</v>
          </cell>
          <cell r="Z3195">
            <v>3.4350666161786211E-2</v>
          </cell>
          <cell r="AA3195">
            <v>3.3996290333844215E-2</v>
          </cell>
        </row>
        <row r="3196">
          <cell r="Y3196">
            <v>61247</v>
          </cell>
          <cell r="Z3196">
            <v>3.4355716556472869E-2</v>
          </cell>
          <cell r="AA3196">
            <v>3.4001443584533719E-2</v>
          </cell>
        </row>
        <row r="3197">
          <cell r="Y3197">
            <v>61254</v>
          </cell>
          <cell r="Z3197">
            <v>3.4360752217931154E-2</v>
          </cell>
          <cell r="AA3197">
            <v>3.4006582336448821E-2</v>
          </cell>
        </row>
        <row r="3198">
          <cell r="Y3198">
            <v>61261</v>
          </cell>
          <cell r="Z3198">
            <v>3.4365773146052846E-2</v>
          </cell>
          <cell r="AA3198">
            <v>3.4011706589913704E-2</v>
          </cell>
        </row>
        <row r="3199">
          <cell r="Y3199">
            <v>61268</v>
          </cell>
          <cell r="Z3199">
            <v>3.4370779340726625E-2</v>
          </cell>
          <cell r="AA3199">
            <v>3.4016816344604184E-2</v>
          </cell>
        </row>
        <row r="3200">
          <cell r="Y3200">
            <v>61275</v>
          </cell>
          <cell r="Z3200">
            <v>3.4377731865164032E-2</v>
          </cell>
          <cell r="AA3200">
            <v>3.4021911600763399E-2</v>
          </cell>
        </row>
        <row r="3201">
          <cell r="Y3201">
            <v>61282</v>
          </cell>
          <cell r="Z3201">
            <v>3.4382708004899717E-2</v>
          </cell>
          <cell r="AA3201">
            <v>3.4026992358310304E-2</v>
          </cell>
        </row>
        <row r="3202">
          <cell r="Y3202">
            <v>61289</v>
          </cell>
          <cell r="Z3202">
            <v>3.4387669409545546E-2</v>
          </cell>
          <cell r="AA3202">
            <v>3.4032058617082805E-2</v>
          </cell>
        </row>
        <row r="3203">
          <cell r="Y3203">
            <v>61296</v>
          </cell>
          <cell r="Z3203">
            <v>3.4392616078996109E-2</v>
          </cell>
          <cell r="AA3203">
            <v>3.4037110377324042E-2</v>
          </cell>
        </row>
        <row r="3204">
          <cell r="Y3204">
            <v>61303</v>
          </cell>
          <cell r="Z3204">
            <v>3.4395589308612994E-2</v>
          </cell>
          <cell r="AA3204">
            <v>3.4042147639034015E-2</v>
          </cell>
        </row>
        <row r="3205">
          <cell r="Y3205">
            <v>61310</v>
          </cell>
          <cell r="Z3205">
            <v>3.4400507100341107E-2</v>
          </cell>
          <cell r="AA3205">
            <v>3.4047170402131677E-2</v>
          </cell>
        </row>
        <row r="3206">
          <cell r="Y3206">
            <v>61317</v>
          </cell>
          <cell r="Z3206">
            <v>3.4405410157867834E-2</v>
          </cell>
          <cell r="AA3206">
            <v>3.4052178666373889E-2</v>
          </cell>
        </row>
        <row r="3207">
          <cell r="Y3207">
            <v>61324</v>
          </cell>
          <cell r="Z3207">
            <v>3.4410298481089431E-2</v>
          </cell>
          <cell r="AA3207">
            <v>3.4057172432084837E-2</v>
          </cell>
        </row>
        <row r="3208">
          <cell r="Y3208">
            <v>61331</v>
          </cell>
          <cell r="Z3208">
            <v>3.4417128394532974E-2</v>
          </cell>
          <cell r="AA3208">
            <v>3.406215169926452E-2</v>
          </cell>
        </row>
        <row r="3209">
          <cell r="Y3209">
            <v>61338</v>
          </cell>
          <cell r="Z3209">
            <v>3.4421986650549311E-2</v>
          </cell>
          <cell r="AA3209">
            <v>3.4067116467588754E-2</v>
          </cell>
        </row>
        <row r="3210">
          <cell r="Y3210">
            <v>61345</v>
          </cell>
          <cell r="Z3210">
            <v>3.4426830170621932E-2</v>
          </cell>
          <cell r="AA3210">
            <v>3.4072066737543816E-2</v>
          </cell>
        </row>
        <row r="3211">
          <cell r="Y3211">
            <v>61352</v>
          </cell>
          <cell r="Z3211">
            <v>3.4431658954643653E-2</v>
          </cell>
          <cell r="AA3211">
            <v>3.4077002508805521E-2</v>
          </cell>
        </row>
        <row r="3212">
          <cell r="Y3212">
            <v>61359</v>
          </cell>
          <cell r="Z3212">
            <v>3.443647300250996E-2</v>
          </cell>
          <cell r="AA3212">
            <v>3.4081923781454915E-2</v>
          </cell>
        </row>
        <row r="3213">
          <cell r="Y3213">
            <v>61366</v>
          </cell>
          <cell r="Z3213">
            <v>3.443931899408359E-2</v>
          </cell>
          <cell r="AA3213">
            <v>3.4086830555410952E-2</v>
          </cell>
        </row>
        <row r="3214">
          <cell r="Y3214">
            <v>61373</v>
          </cell>
          <cell r="Z3214">
            <v>3.4444104174214146E-2</v>
          </cell>
          <cell r="AA3214">
            <v>3.4091722830835725E-2</v>
          </cell>
        </row>
        <row r="3215">
          <cell r="Y3215">
            <v>61380</v>
          </cell>
          <cell r="Z3215">
            <v>3.4448874619200161E-2</v>
          </cell>
          <cell r="AA3215">
            <v>3.4096600607405048E-2</v>
          </cell>
        </row>
        <row r="3216">
          <cell r="Y3216">
            <v>61387</v>
          </cell>
          <cell r="Z3216">
            <v>3.4453630328939208E-2</v>
          </cell>
          <cell r="AA3216">
            <v>3.4101463885524153E-2</v>
          </cell>
        </row>
        <row r="3217">
          <cell r="Y3217">
            <v>61394</v>
          </cell>
          <cell r="Z3217">
            <v>3.445837130332486E-2</v>
          </cell>
          <cell r="AA3217">
            <v>3.4106312664868854E-2</v>
          </cell>
        </row>
        <row r="3218">
          <cell r="Y3218">
            <v>61401</v>
          </cell>
          <cell r="Z3218">
            <v>3.4463097542256918E-2</v>
          </cell>
          <cell r="AA3218">
            <v>3.4111146945682291E-2</v>
          </cell>
        </row>
        <row r="3219">
          <cell r="Y3219">
            <v>61408</v>
          </cell>
          <cell r="Z3219">
            <v>3.4467809045632528E-2</v>
          </cell>
          <cell r="AA3219">
            <v>3.4115966727802371E-2</v>
          </cell>
        </row>
        <row r="3220">
          <cell r="Y3220">
            <v>61415</v>
          </cell>
          <cell r="Z3220">
            <v>3.4472505813350145E-2</v>
          </cell>
          <cell r="AA3220">
            <v>3.4120772011229095E-2</v>
          </cell>
        </row>
        <row r="3221">
          <cell r="Y3221">
            <v>61422</v>
          </cell>
          <cell r="Z3221">
            <v>3.4481084795523344E-2</v>
          </cell>
          <cell r="AA3221">
            <v>3.4125562796124553E-2</v>
          </cell>
        </row>
        <row r="3222">
          <cell r="Y3222">
            <v>61429</v>
          </cell>
          <cell r="Z3222">
            <v>3.4485750860462627E-2</v>
          </cell>
          <cell r="AA3222">
            <v>3.4130339082407701E-2</v>
          </cell>
        </row>
        <row r="3223">
          <cell r="Y3223">
            <v>61436</v>
          </cell>
          <cell r="Z3223">
            <v>3.4490402186779852E-2</v>
          </cell>
          <cell r="AA3223">
            <v>3.4135100870078539E-2</v>
          </cell>
        </row>
        <row r="3224">
          <cell r="Y3224">
            <v>61443</v>
          </cell>
          <cell r="Z3224">
            <v>3.4495038774372822E-2</v>
          </cell>
          <cell r="AA3224">
            <v>3.4139848158974972E-2</v>
          </cell>
        </row>
        <row r="3225">
          <cell r="Y3225">
            <v>61450</v>
          </cell>
          <cell r="Z3225">
            <v>3.4499660623141117E-2</v>
          </cell>
          <cell r="AA3225">
            <v>3.4144580949340142E-2</v>
          </cell>
        </row>
        <row r="3226">
          <cell r="Y3226">
            <v>61457</v>
          </cell>
          <cell r="Z3226">
            <v>3.4502322318109624E-2</v>
          </cell>
          <cell r="AA3226">
            <v>3.4149299241011954E-2</v>
          </cell>
        </row>
        <row r="3227">
          <cell r="Y3227">
            <v>61464</v>
          </cell>
          <cell r="Z3227">
            <v>3.4506915311227328E-2</v>
          </cell>
          <cell r="AA3227">
            <v>3.415400303399041E-2</v>
          </cell>
        </row>
        <row r="3228">
          <cell r="Y3228">
            <v>61471</v>
          </cell>
          <cell r="Z3228">
            <v>3.4511493566549638E-2</v>
          </cell>
          <cell r="AA3228">
            <v>3.4158692328356555E-2</v>
          </cell>
        </row>
        <row r="3229">
          <cell r="Y3229">
            <v>61478</v>
          </cell>
          <cell r="Z3229">
            <v>3.4516057083975593E-2</v>
          </cell>
          <cell r="AA3229">
            <v>3.4163367124272481E-2</v>
          </cell>
        </row>
        <row r="3230">
          <cell r="Y3230">
            <v>61485</v>
          </cell>
          <cell r="Z3230">
            <v>3.4522548781069737E-2</v>
          </cell>
          <cell r="AA3230">
            <v>3.4168027421332958E-2</v>
          </cell>
        </row>
        <row r="3231">
          <cell r="Y3231">
            <v>61492</v>
          </cell>
          <cell r="Z3231">
            <v>3.4527082194769985E-2</v>
          </cell>
          <cell r="AA3231">
            <v>3.4172673219781124E-2</v>
          </cell>
        </row>
        <row r="3232">
          <cell r="Y3232">
            <v>61499</v>
          </cell>
          <cell r="Z3232">
            <v>3.4531600868943454E-2</v>
          </cell>
          <cell r="AA3232">
            <v>3.417730451961698E-2</v>
          </cell>
        </row>
        <row r="3233">
          <cell r="Y3233">
            <v>61506</v>
          </cell>
          <cell r="Z3233">
            <v>3.4536104803490147E-2</v>
          </cell>
          <cell r="AA3233">
            <v>3.4181921320840525E-2</v>
          </cell>
        </row>
        <row r="3234">
          <cell r="Y3234">
            <v>61513</v>
          </cell>
          <cell r="Z3234">
            <v>3.4540593998311844E-2</v>
          </cell>
          <cell r="AA3234">
            <v>3.4186523623370713E-2</v>
          </cell>
        </row>
        <row r="3235">
          <cell r="Y3235">
            <v>61520</v>
          </cell>
          <cell r="Z3235">
            <v>3.4543128687165116E-2</v>
          </cell>
          <cell r="AA3235">
            <v>3.4191111427126497E-2</v>
          </cell>
        </row>
        <row r="3236">
          <cell r="Y3236">
            <v>61527</v>
          </cell>
          <cell r="Z3236">
            <v>3.4547589036551217E-2</v>
          </cell>
          <cell r="AA3236">
            <v>3.419568473251311E-2</v>
          </cell>
        </row>
        <row r="3237">
          <cell r="Y3237">
            <v>61534</v>
          </cell>
          <cell r="Z3237">
            <v>3.4552034647253531E-2</v>
          </cell>
          <cell r="AA3237">
            <v>3.4200243539044273E-2</v>
          </cell>
        </row>
        <row r="3238">
          <cell r="Y3238">
            <v>61541</v>
          </cell>
          <cell r="Z3238">
            <v>3.4556465519177265E-2</v>
          </cell>
          <cell r="AA3238">
            <v>3.4204787847044171E-2</v>
          </cell>
        </row>
        <row r="3239">
          <cell r="Y3239">
            <v>61548</v>
          </cell>
          <cell r="Z3239">
            <v>3.4562818873103134E-2</v>
          </cell>
          <cell r="AA3239">
            <v>3.4209317656269667E-2</v>
          </cell>
        </row>
        <row r="3240">
          <cell r="Y3240">
            <v>61555</v>
          </cell>
          <cell r="Z3240">
            <v>3.4567219627517423E-2</v>
          </cell>
          <cell r="AA3240">
            <v>3.4213832967044944E-2</v>
          </cell>
        </row>
        <row r="3241">
          <cell r="Y3241">
            <v>61562</v>
          </cell>
          <cell r="Z3241">
            <v>3.4571605641523111E-2</v>
          </cell>
          <cell r="AA3241">
            <v>3.4218333778964771E-2</v>
          </cell>
        </row>
        <row r="3242">
          <cell r="Y3242">
            <v>61569</v>
          </cell>
          <cell r="Z3242">
            <v>3.4575976915025494E-2</v>
          </cell>
          <cell r="AA3242">
            <v>3.4222820092272288E-2</v>
          </cell>
        </row>
        <row r="3243">
          <cell r="Y3243">
            <v>61576</v>
          </cell>
          <cell r="Z3243">
            <v>3.458033344792899E-2</v>
          </cell>
          <cell r="AA3243">
            <v>3.4227291907129587E-2</v>
          </cell>
        </row>
        <row r="3244">
          <cell r="Y3244">
            <v>61583</v>
          </cell>
          <cell r="Z3244">
            <v>3.4584675240138023E-2</v>
          </cell>
          <cell r="AA3244">
            <v>3.4231749223212482E-2</v>
          </cell>
        </row>
        <row r="3245">
          <cell r="Y3245">
            <v>61590</v>
          </cell>
          <cell r="Z3245">
            <v>3.4589002291556557E-2</v>
          </cell>
          <cell r="AA3245">
            <v>3.423619204060202E-2</v>
          </cell>
        </row>
        <row r="3246">
          <cell r="Y3246">
            <v>61597</v>
          </cell>
          <cell r="Z3246">
            <v>3.4593314602089462E-2</v>
          </cell>
          <cell r="AA3246">
            <v>3.4240620359217155E-2</v>
          </cell>
        </row>
        <row r="3247">
          <cell r="Y3247">
            <v>61604</v>
          </cell>
          <cell r="Z3247">
            <v>3.4595680105559981E-2</v>
          </cell>
          <cell r="AA3247">
            <v>3.4245034179382072E-2</v>
          </cell>
        </row>
        <row r="3248">
          <cell r="Y3248">
            <v>61611</v>
          </cell>
          <cell r="Z3248">
            <v>3.4596100928740763E-2</v>
          </cell>
          <cell r="AA3248">
            <v>3.4249433500934678E-2</v>
          </cell>
        </row>
        <row r="3249">
          <cell r="Y3249">
            <v>61618</v>
          </cell>
          <cell r="Z3249">
            <v>3.4600370970773807E-2</v>
          </cell>
          <cell r="AA3249">
            <v>3.4253818323712881E-2</v>
          </cell>
        </row>
        <row r="3250">
          <cell r="Y3250">
            <v>61625</v>
          </cell>
          <cell r="Z3250">
            <v>3.4604626275574583E-2</v>
          </cell>
          <cell r="AA3250">
            <v>3.4258188647797727E-2</v>
          </cell>
        </row>
        <row r="3251">
          <cell r="Y3251">
            <v>61632</v>
          </cell>
          <cell r="Z3251">
            <v>3.4608866843052206E-2</v>
          </cell>
          <cell r="AA3251">
            <v>3.4262544473432355E-2</v>
          </cell>
        </row>
        <row r="3252">
          <cell r="Y3252">
            <v>61639</v>
          </cell>
          <cell r="Z3252">
            <v>3.4615021357930334E-2</v>
          </cell>
          <cell r="AA3252">
            <v>3.4266885800211533E-2</v>
          </cell>
        </row>
        <row r="3253">
          <cell r="Y3253">
            <v>61646</v>
          </cell>
          <cell r="Z3253">
            <v>3.4619231793691994E-2</v>
          </cell>
          <cell r="AA3253">
            <v>3.4271212628297354E-2</v>
          </cell>
        </row>
        <row r="3254">
          <cell r="Y3254">
            <v>61653</v>
          </cell>
          <cell r="Z3254">
            <v>3.46234274905124E-2</v>
          </cell>
          <cell r="AA3254">
            <v>3.4275524958014003E-2</v>
          </cell>
        </row>
        <row r="3255">
          <cell r="Y3255">
            <v>61660</v>
          </cell>
          <cell r="Z3255">
            <v>3.4627608448299825E-2</v>
          </cell>
          <cell r="AA3255">
            <v>3.4279822788794156E-2</v>
          </cell>
        </row>
        <row r="3256">
          <cell r="Y3256">
            <v>61667</v>
          </cell>
          <cell r="Z3256">
            <v>3.4629848617394474E-2</v>
          </cell>
          <cell r="AA3256">
            <v>3.4284106120961999E-2</v>
          </cell>
        </row>
        <row r="3257">
          <cell r="Y3257">
            <v>61674</v>
          </cell>
          <cell r="Z3257">
            <v>3.4634000759020706E-2</v>
          </cell>
          <cell r="AA3257">
            <v>3.4288374954517531E-2</v>
          </cell>
        </row>
        <row r="3258">
          <cell r="Y3258">
            <v>61681</v>
          </cell>
          <cell r="Z3258">
            <v>3.4638138162690187E-2</v>
          </cell>
          <cell r="AA3258">
            <v>3.4292629289622845E-2</v>
          </cell>
        </row>
        <row r="3259">
          <cell r="Y3259">
            <v>61688</v>
          </cell>
          <cell r="Z3259">
            <v>3.4642260828312461E-2</v>
          </cell>
          <cell r="AA3259">
            <v>3.4296869125710616E-2</v>
          </cell>
        </row>
        <row r="3260">
          <cell r="Y3260">
            <v>61695</v>
          </cell>
          <cell r="Z3260">
            <v>3.4646368755800662E-2</v>
          </cell>
          <cell r="AA3260">
            <v>3.4301094463267123E-2</v>
          </cell>
        </row>
        <row r="3261">
          <cell r="Y3261">
            <v>61702</v>
          </cell>
          <cell r="Z3261">
            <v>3.4652384670281415E-2</v>
          </cell>
          <cell r="AA3261">
            <v>3.4305305302292366E-2</v>
          </cell>
        </row>
        <row r="3262">
          <cell r="Y3262">
            <v>61709</v>
          </cell>
          <cell r="Z3262">
            <v>3.4656462452318376E-2</v>
          </cell>
          <cell r="AA3262">
            <v>3.4309501642624252E-2</v>
          </cell>
        </row>
        <row r="3263">
          <cell r="Y3263">
            <v>61716</v>
          </cell>
          <cell r="Z3263">
            <v>3.4660525494607637E-2</v>
          </cell>
          <cell r="AA3263">
            <v>3.4313683484181734E-2</v>
          </cell>
        </row>
        <row r="3264">
          <cell r="Y3264">
            <v>61724</v>
          </cell>
          <cell r="Z3264">
            <v>3.4665150922722827E-2</v>
          </cell>
          <cell r="AA3264">
            <v>3.4318444978302942E-2</v>
          </cell>
        </row>
        <row r="3265">
          <cell r="Y3265">
            <v>61731</v>
          </cell>
          <cell r="Z3265">
            <v>3.4667262434324539E-2</v>
          </cell>
          <cell r="AA3265">
            <v>3.4322595751254958E-2</v>
          </cell>
        </row>
        <row r="3266">
          <cell r="Y3266">
            <v>61738</v>
          </cell>
          <cell r="Z3266">
            <v>3.4671279825622327E-2</v>
          </cell>
          <cell r="AA3266">
            <v>3.4326732025837803E-2</v>
          </cell>
        </row>
        <row r="3267">
          <cell r="Y3267">
            <v>61745</v>
          </cell>
          <cell r="Z3267">
            <v>3.4675282478158716E-2</v>
          </cell>
          <cell r="AA3267">
            <v>3.4330853801403105E-2</v>
          </cell>
        </row>
        <row r="3268">
          <cell r="Y3268">
            <v>61752</v>
          </cell>
          <cell r="Z3268">
            <v>3.4679270391848635E-2</v>
          </cell>
          <cell r="AA3268">
            <v>3.4334961078599235E-2</v>
          </cell>
        </row>
        <row r="3269">
          <cell r="Y3269">
            <v>61759</v>
          </cell>
          <cell r="Z3269">
            <v>3.468324356660387E-2</v>
          </cell>
          <cell r="AA3269">
            <v>3.433905385685887E-2</v>
          </cell>
        </row>
        <row r="3270">
          <cell r="Y3270">
            <v>61766</v>
          </cell>
          <cell r="Z3270">
            <v>3.468720200234203E-2</v>
          </cell>
          <cell r="AA3270">
            <v>3.4343132136749333E-2</v>
          </cell>
        </row>
        <row r="3271">
          <cell r="Y3271">
            <v>61773</v>
          </cell>
          <cell r="Z3271">
            <v>3.4691145698974017E-2</v>
          </cell>
          <cell r="AA3271">
            <v>3.4347195917784346E-2</v>
          </cell>
        </row>
        <row r="3272">
          <cell r="Y3272">
            <v>61780</v>
          </cell>
          <cell r="Z3272">
            <v>3.4695074656417878E-2</v>
          </cell>
          <cell r="AA3272">
            <v>3.4351245200126002E-2</v>
          </cell>
        </row>
        <row r="3273">
          <cell r="Y3273">
            <v>61787</v>
          </cell>
          <cell r="Z3273">
            <v>3.4702817951848521E-2</v>
          </cell>
          <cell r="AA3273">
            <v>3.4355279984017439E-2</v>
          </cell>
        </row>
        <row r="3274">
          <cell r="Y3274">
            <v>61794</v>
          </cell>
          <cell r="Z3274">
            <v>3.4712458028101405E-2</v>
          </cell>
          <cell r="AA3274">
            <v>3.4359300269053428E-2</v>
          </cell>
        </row>
        <row r="3275">
          <cell r="Y3275">
            <v>61801</v>
          </cell>
          <cell r="Z3275">
            <v>3.4716339332467441E-2</v>
          </cell>
          <cell r="AA3275">
            <v>3.4363306055558152E-2</v>
          </cell>
        </row>
        <row r="3276">
          <cell r="Y3276">
            <v>61808</v>
          </cell>
          <cell r="Z3276">
            <v>3.4720205890528918E-2</v>
          </cell>
          <cell r="AA3276">
            <v>3.4367297343207426E-2</v>
          </cell>
        </row>
        <row r="3277">
          <cell r="Y3277">
            <v>61815</v>
          </cell>
          <cell r="Z3277">
            <v>3.4724057702201737E-2</v>
          </cell>
          <cell r="AA3277">
            <v>3.4371274132325436E-2</v>
          </cell>
        </row>
        <row r="3278">
          <cell r="Y3278">
            <v>61822</v>
          </cell>
          <cell r="Z3278">
            <v>3.4722161069462347E-2</v>
          </cell>
          <cell r="AA3278">
            <v>3.4375236422750088E-2</v>
          </cell>
        </row>
        <row r="3279">
          <cell r="Y3279">
            <v>61829</v>
          </cell>
          <cell r="Z3279">
            <v>3.4725985465854217E-2</v>
          </cell>
          <cell r="AA3279">
            <v>3.4386786549531534E-2</v>
          </cell>
        </row>
        <row r="3280">
          <cell r="Y3280">
            <v>61836</v>
          </cell>
          <cell r="Z3280">
            <v>3.4729795119674722E-2</v>
          </cell>
          <cell r="AA3280">
            <v>3.4383117507600369E-2</v>
          </cell>
        </row>
        <row r="3281">
          <cell r="Y3281">
            <v>61843</v>
          </cell>
          <cell r="Z3281">
            <v>3.4733590030839284E-2</v>
          </cell>
          <cell r="AA3281">
            <v>3.4387036302025997E-2</v>
          </cell>
        </row>
        <row r="3282">
          <cell r="Y3282">
            <v>61850</v>
          </cell>
          <cell r="Z3282">
            <v>3.4743095561744243E-2</v>
          </cell>
          <cell r="AA3282">
            <v>3.4390940597839315E-2</v>
          </cell>
        </row>
        <row r="3283">
          <cell r="Y3283">
            <v>61857</v>
          </cell>
          <cell r="Z3283">
            <v>3.4746858893296879E-2</v>
          </cell>
          <cell r="AA3283">
            <v>3.4394830394716136E-2</v>
          </cell>
        </row>
        <row r="3284">
          <cell r="Y3284">
            <v>61864</v>
          </cell>
          <cell r="Z3284">
            <v>3.4750607477870878E-2</v>
          </cell>
          <cell r="AA3284">
            <v>3.4398705693223786E-2</v>
          </cell>
        </row>
        <row r="3285">
          <cell r="Y3285">
            <v>61871</v>
          </cell>
          <cell r="Z3285">
            <v>3.4754341315381271E-2</v>
          </cell>
          <cell r="AA3285">
            <v>3.4402566492957032E-2</v>
          </cell>
        </row>
        <row r="3286">
          <cell r="Y3286">
            <v>61878</v>
          </cell>
          <cell r="Z3286">
            <v>3.4752343443948584E-2</v>
          </cell>
          <cell r="AA3286">
            <v>3.4406412794077967E-2</v>
          </cell>
        </row>
        <row r="3287">
          <cell r="Y3287">
            <v>61885</v>
          </cell>
          <cell r="Z3287">
            <v>3.4756049897454663E-2</v>
          </cell>
          <cell r="AA3287">
            <v>3.4410244596343453E-2</v>
          </cell>
        </row>
        <row r="3288">
          <cell r="Y3288">
            <v>61892</v>
          </cell>
          <cell r="Z3288">
            <v>3.4759741607733485E-2</v>
          </cell>
          <cell r="AA3288">
            <v>3.4414061900158721E-2</v>
          </cell>
        </row>
        <row r="3289">
          <cell r="Y3289">
            <v>61899</v>
          </cell>
          <cell r="Z3289">
            <v>3.4763418574704448E-2</v>
          </cell>
          <cell r="AA3289">
            <v>3.4417864705199586E-2</v>
          </cell>
        </row>
        <row r="3290">
          <cell r="Y3290">
            <v>61906</v>
          </cell>
          <cell r="Z3290">
            <v>3.4767080798286505E-2</v>
          </cell>
          <cell r="AA3290">
            <v>3.4421653011547093E-2</v>
          </cell>
        </row>
        <row r="3291">
          <cell r="Y3291">
            <v>61913</v>
          </cell>
          <cell r="Z3291">
            <v>3.4776434647500881E-2</v>
          </cell>
          <cell r="AA3291">
            <v>3.442542681928229E-2</v>
          </cell>
        </row>
        <row r="3292">
          <cell r="Y3292">
            <v>61920</v>
          </cell>
          <cell r="Z3292">
            <v>3.4780065253270591E-2</v>
          </cell>
          <cell r="AA3292">
            <v>3.4429186128486222E-2</v>
          </cell>
        </row>
        <row r="3293">
          <cell r="Y3293">
            <v>61927</v>
          </cell>
          <cell r="Z3293">
            <v>3.4783681111323093E-2</v>
          </cell>
          <cell r="AA3293">
            <v>3.4432930938753659E-2</v>
          </cell>
        </row>
        <row r="3294">
          <cell r="Y3294">
            <v>61934</v>
          </cell>
          <cell r="Z3294">
            <v>3.4787282221578654E-2</v>
          </cell>
          <cell r="AA3294">
            <v>3.4436661250246692E-2</v>
          </cell>
        </row>
        <row r="3295">
          <cell r="Y3295">
            <v>61941</v>
          </cell>
          <cell r="Z3295">
            <v>3.4790868583959703E-2</v>
          </cell>
          <cell r="AA3295">
            <v>3.4440377063370553E-2</v>
          </cell>
        </row>
        <row r="3296">
          <cell r="Y3296">
            <v>61948</v>
          </cell>
          <cell r="Z3296">
            <v>3.4794440198385207E-2</v>
          </cell>
          <cell r="AA3296">
            <v>3.4444078377801057E-2</v>
          </cell>
        </row>
        <row r="3297">
          <cell r="Y3297">
            <v>61955</v>
          </cell>
          <cell r="Z3297">
            <v>3.4797997064774551E-2</v>
          </cell>
          <cell r="AA3297">
            <v>3.4447765193457158E-2</v>
          </cell>
        </row>
        <row r="3298">
          <cell r="Y3298">
            <v>61962</v>
          </cell>
          <cell r="Z3298">
            <v>3.4801539183050602E-2</v>
          </cell>
          <cell r="AA3298">
            <v>3.4451437510338856E-2</v>
          </cell>
        </row>
        <row r="3299">
          <cell r="Y3299">
            <v>61969</v>
          </cell>
          <cell r="Z3299">
            <v>3.4799377344984526E-2</v>
          </cell>
          <cell r="AA3299">
            <v>3.4455095328689289E-2</v>
          </cell>
        </row>
        <row r="3300">
          <cell r="Y3300">
            <v>61976</v>
          </cell>
          <cell r="Z3300">
            <v>3.4799101018718588E-2</v>
          </cell>
          <cell r="AA3300">
            <v>3.4458738648346365E-2</v>
          </cell>
        </row>
        <row r="3301">
          <cell r="Y3301">
            <v>61983</v>
          </cell>
          <cell r="Z3301">
            <v>3.4802602504107487E-2</v>
          </cell>
          <cell r="AA3301">
            <v>3.4462367469229038E-2</v>
          </cell>
        </row>
        <row r="3302">
          <cell r="Y3302">
            <v>61990</v>
          </cell>
          <cell r="Z3302">
            <v>3.4806089247904647E-2</v>
          </cell>
          <cell r="AA3302">
            <v>3.4465981791418354E-2</v>
          </cell>
        </row>
        <row r="3303">
          <cell r="Y3303">
            <v>61997</v>
          </cell>
          <cell r="Z3303">
            <v>3.4809561250033934E-2</v>
          </cell>
          <cell r="AA3303">
            <v>3.4469581615238498E-2</v>
          </cell>
        </row>
        <row r="3304">
          <cell r="Y3304">
            <v>62004</v>
          </cell>
          <cell r="Z3304">
            <v>3.4814911144652357E-2</v>
          </cell>
          <cell r="AA3304">
            <v>3.44731669400411E-2</v>
          </cell>
        </row>
        <row r="3305">
          <cell r="Y3305">
            <v>62011</v>
          </cell>
          <cell r="Z3305">
            <v>3.4818352935696344E-2</v>
          </cell>
          <cell r="AA3305">
            <v>3.4476737766231391E-2</v>
          </cell>
        </row>
        <row r="3306">
          <cell r="Y3306">
            <v>62018</v>
          </cell>
          <cell r="Z3306">
            <v>3.4821779983481356E-2</v>
          </cell>
          <cell r="AA3306">
            <v>3.4480294093890418E-2</v>
          </cell>
        </row>
        <row r="3307">
          <cell r="Y3307">
            <v>62025</v>
          </cell>
          <cell r="Z3307">
            <v>3.4825192287932592E-2</v>
          </cell>
          <cell r="AA3307">
            <v>3.4483835922693995E-2</v>
          </cell>
        </row>
        <row r="3308">
          <cell r="Y3308">
            <v>62032</v>
          </cell>
          <cell r="Z3308">
            <v>3.4826700133049615E-2</v>
          </cell>
          <cell r="AA3308">
            <v>3.4487363252804215E-2</v>
          </cell>
        </row>
        <row r="3309">
          <cell r="Y3309">
            <v>62039</v>
          </cell>
          <cell r="Z3309">
            <v>3.4830083683610326E-2</v>
          </cell>
          <cell r="AA3309">
            <v>3.4490876084383171E-2</v>
          </cell>
        </row>
        <row r="3310">
          <cell r="Y3310">
            <v>62046</v>
          </cell>
          <cell r="Z3310">
            <v>3.4833452491985543E-2</v>
          </cell>
          <cell r="AA3310">
            <v>3.4494374417268769E-2</v>
          </cell>
        </row>
        <row r="3311">
          <cell r="Y3311">
            <v>62053</v>
          </cell>
          <cell r="Z3311">
            <v>3.4836806558102285E-2</v>
          </cell>
          <cell r="AA3311">
            <v>3.4497858251461011E-2</v>
          </cell>
        </row>
        <row r="3312">
          <cell r="Y3312">
            <v>62060</v>
          </cell>
          <cell r="Z3312">
            <v>3.4840145881888017E-2</v>
          </cell>
          <cell r="AA3312">
            <v>3.4501327586878849E-2</v>
          </cell>
        </row>
        <row r="3313">
          <cell r="Y3313">
            <v>62067</v>
          </cell>
          <cell r="Z3313">
            <v>3.4845356500512355E-2</v>
          </cell>
          <cell r="AA3313">
            <v>3.4504782423684377E-2</v>
          </cell>
        </row>
        <row r="3314">
          <cell r="Y3314">
            <v>62074</v>
          </cell>
          <cell r="Z3314">
            <v>3.4848665599574238E-2</v>
          </cell>
          <cell r="AA3314">
            <v>3.4508222761715501E-2</v>
          </cell>
        </row>
        <row r="3315">
          <cell r="Y3315">
            <v>62081</v>
          </cell>
          <cell r="Z3315">
            <v>3.485195995471943E-2</v>
          </cell>
          <cell r="AA3315">
            <v>3.4511648601215361E-2</v>
          </cell>
        </row>
        <row r="3316">
          <cell r="Y3316">
            <v>62089</v>
          </cell>
          <cell r="Z3316">
            <v>3.4855706878161766E-2</v>
          </cell>
          <cell r="AA3316">
            <v>3.4519295942243199E-2</v>
          </cell>
        </row>
        <row r="3317">
          <cell r="Y3317">
            <v>62096</v>
          </cell>
          <cell r="Z3317">
            <v>3.4857086675732757E-2</v>
          </cell>
          <cell r="AA3317">
            <v>3.4522689283481199E-2</v>
          </cell>
        </row>
        <row r="3318">
          <cell r="Y3318">
            <v>62103</v>
          </cell>
          <cell r="Z3318">
            <v>3.4860335437921629E-2</v>
          </cell>
          <cell r="AA3318">
            <v>3.4526068123405348E-2</v>
          </cell>
        </row>
        <row r="3319">
          <cell r="Y3319">
            <v>62110</v>
          </cell>
          <cell r="Z3319">
            <v>3.4863569457273945E-2</v>
          </cell>
          <cell r="AA3319">
            <v>3.4529432461988627E-2</v>
          </cell>
        </row>
        <row r="3320">
          <cell r="Y3320">
            <v>62117</v>
          </cell>
          <cell r="Z3320">
            <v>3.4866788733717631E-2</v>
          </cell>
          <cell r="AA3320">
            <v>3.4532782299204021E-2</v>
          </cell>
        </row>
        <row r="3321">
          <cell r="Y3321">
            <v>62124</v>
          </cell>
          <cell r="Z3321">
            <v>3.4869993267185068E-2</v>
          </cell>
          <cell r="AA3321">
            <v>3.453611763505153E-2</v>
          </cell>
        </row>
        <row r="3322">
          <cell r="Y3322">
            <v>62131</v>
          </cell>
          <cell r="Z3322">
            <v>3.4873183057606401E-2</v>
          </cell>
          <cell r="AA3322">
            <v>3.4539438469504136E-2</v>
          </cell>
        </row>
        <row r="3323">
          <cell r="Y3323">
            <v>62138</v>
          </cell>
          <cell r="Z3323">
            <v>3.4876358104913123E-2</v>
          </cell>
          <cell r="AA3323">
            <v>3.4542744802561851E-2</v>
          </cell>
        </row>
        <row r="3324">
          <cell r="Y3324">
            <v>62145</v>
          </cell>
          <cell r="Z3324">
            <v>3.487951840903538E-2</v>
          </cell>
          <cell r="AA3324">
            <v>3.4546036634251674E-2</v>
          </cell>
        </row>
        <row r="3325">
          <cell r="Y3325">
            <v>62152</v>
          </cell>
          <cell r="Z3325">
            <v>3.4884540930423327E-2</v>
          </cell>
          <cell r="AA3325">
            <v>3.454931396465466E-2</v>
          </cell>
        </row>
        <row r="3326">
          <cell r="Y3326">
            <v>62159</v>
          </cell>
          <cell r="Z3326">
            <v>3.4893299879189321E-2</v>
          </cell>
          <cell r="AA3326">
            <v>3.4552576793608722E-2</v>
          </cell>
        </row>
        <row r="3327">
          <cell r="Y3327">
            <v>62166</v>
          </cell>
          <cell r="Z3327">
            <v>3.4896412920746307E-2</v>
          </cell>
          <cell r="AA3327">
            <v>3.4555825121194893E-2</v>
          </cell>
        </row>
        <row r="3328">
          <cell r="Y3328">
            <v>62173</v>
          </cell>
          <cell r="Z3328">
            <v>3.4899511213344274E-2</v>
          </cell>
          <cell r="AA3328">
            <v>3.4559058947386166E-2</v>
          </cell>
        </row>
        <row r="3329">
          <cell r="Y3329">
            <v>62184</v>
          </cell>
          <cell r="Z3329">
            <v>3.4900602951216275E-2</v>
          </cell>
          <cell r="AA3329">
            <v>3.4560381155727127E-2</v>
          </cell>
        </row>
        <row r="3330">
          <cell r="Y3330">
            <v>62191</v>
          </cell>
          <cell r="Z3330">
            <v>3.4903664844081646E-2</v>
          </cell>
          <cell r="AA3330">
            <v>3.4563579158489732E-2</v>
          </cell>
        </row>
        <row r="3331">
          <cell r="Y3331">
            <v>62198</v>
          </cell>
          <cell r="Z3331">
            <v>3.4906711990502264E-2</v>
          </cell>
          <cell r="AA3331">
            <v>3.456676266280212E-2</v>
          </cell>
        </row>
        <row r="3332">
          <cell r="Y3332">
            <v>62205</v>
          </cell>
          <cell r="Z3332">
            <v>3.4909744390409933E-2</v>
          </cell>
          <cell r="AA3332">
            <v>3.4569931668259057E-2</v>
          </cell>
        </row>
        <row r="3333">
          <cell r="Y3333">
            <v>62212</v>
          </cell>
          <cell r="Z3333">
            <v>3.4912762043738214E-2</v>
          </cell>
          <cell r="AA3333">
            <v>3.4573086175103684E-2</v>
          </cell>
        </row>
        <row r="3334">
          <cell r="Y3334">
            <v>62219</v>
          </cell>
          <cell r="Z3334">
            <v>3.4917634702484754E-2</v>
          </cell>
          <cell r="AA3334">
            <v>3.4576226183254954E-2</v>
          </cell>
        </row>
        <row r="3335">
          <cell r="Y3335">
            <v>62226</v>
          </cell>
          <cell r="Z3335">
            <v>3.4920622092413728E-2</v>
          </cell>
          <cell r="AA3335">
            <v>3.457935169287496E-2</v>
          </cell>
        </row>
        <row r="3336">
          <cell r="Y3336">
            <v>62233</v>
          </cell>
          <cell r="Z3336">
            <v>3.492359473418933E-2</v>
          </cell>
          <cell r="AA3336">
            <v>3.458246270355847E-2</v>
          </cell>
        </row>
        <row r="3337">
          <cell r="Y3337">
            <v>62240</v>
          </cell>
          <cell r="Z3337">
            <v>3.4926552627743288E-2</v>
          </cell>
          <cell r="AA3337">
            <v>3.4585559215548622E-2</v>
          </cell>
        </row>
        <row r="3338">
          <cell r="Y3338">
            <v>62247</v>
          </cell>
          <cell r="Z3338">
            <v>3.4927629109411572E-2</v>
          </cell>
          <cell r="AA3338">
            <v>3.4588641229007511E-2</v>
          </cell>
        </row>
        <row r="3339">
          <cell r="Y3339">
            <v>62254</v>
          </cell>
          <cell r="Z3339">
            <v>3.4930558281898151E-2</v>
          </cell>
          <cell r="AA3339">
            <v>3.4591708743691996E-2</v>
          </cell>
        </row>
        <row r="3340">
          <cell r="Y3340">
            <v>62261</v>
          </cell>
          <cell r="Z3340">
            <v>3.4933472707352281E-2</v>
          </cell>
          <cell r="AA3340">
            <v>3.4594761759683124E-2</v>
          </cell>
        </row>
        <row r="3341">
          <cell r="Y3341">
            <v>62268</v>
          </cell>
          <cell r="Z3341">
            <v>3.4936372385710193E-2</v>
          </cell>
          <cell r="AA3341">
            <v>3.4597800276980895E-2</v>
          </cell>
        </row>
        <row r="3342">
          <cell r="Y3342">
            <v>62275</v>
          </cell>
          <cell r="Z3342">
            <v>3.494298446615117E-2</v>
          </cell>
          <cell r="AA3342">
            <v>3.4600824295666355E-2</v>
          </cell>
        </row>
        <row r="3343">
          <cell r="Y3343">
            <v>62282</v>
          </cell>
          <cell r="Z3343">
            <v>3.4943990272854032E-2</v>
          </cell>
          <cell r="AA3343">
            <v>3.4603833815496365E-2</v>
          </cell>
        </row>
        <row r="3344">
          <cell r="Y3344">
            <v>62289</v>
          </cell>
          <cell r="Z3344">
            <v>3.4946844927073485E-2</v>
          </cell>
          <cell r="AA3344">
            <v>3.4606828836633019E-2</v>
          </cell>
        </row>
        <row r="3345">
          <cell r="Y3345">
            <v>62296</v>
          </cell>
          <cell r="Z3345">
            <v>3.4949684832564755E-2</v>
          </cell>
          <cell r="AA3345">
            <v>3.4609809359238408E-2</v>
          </cell>
        </row>
        <row r="3346">
          <cell r="Y3346">
            <v>62303</v>
          </cell>
          <cell r="Z3346">
            <v>3.4952509989264857E-2</v>
          </cell>
          <cell r="AA3346">
            <v>3.461277538315044E-2</v>
          </cell>
        </row>
        <row r="3347">
          <cell r="Y3347">
            <v>62310</v>
          </cell>
          <cell r="Z3347">
            <v>3.4955320397110363E-2</v>
          </cell>
          <cell r="AA3347">
            <v>3.4615726908207023E-2</v>
          </cell>
        </row>
        <row r="3348">
          <cell r="Y3348">
            <v>62317</v>
          </cell>
          <cell r="Z3348">
            <v>3.4958116056040496E-2</v>
          </cell>
          <cell r="AA3348">
            <v>3.4618663934489202E-2</v>
          </cell>
        </row>
        <row r="3349">
          <cell r="Y3349">
            <v>62324</v>
          </cell>
          <cell r="Z3349">
            <v>3.4960896965994456E-2</v>
          </cell>
          <cell r="AA3349">
            <v>3.462158646240221E-2</v>
          </cell>
        </row>
        <row r="3350">
          <cell r="Y3350">
            <v>62331</v>
          </cell>
          <cell r="Z3350">
            <v>3.4963663126911911E-2</v>
          </cell>
          <cell r="AA3350">
            <v>3.4624494491459767E-2</v>
          </cell>
        </row>
        <row r="3351">
          <cell r="Y3351">
            <v>62338</v>
          </cell>
          <cell r="Z3351">
            <v>3.4960845243107941E-2</v>
          </cell>
          <cell r="AA3351">
            <v>3.4627388021823968E-2</v>
          </cell>
        </row>
        <row r="3352">
          <cell r="Y3352">
            <v>62345</v>
          </cell>
          <cell r="Z3352">
            <v>3.4963584285866815E-2</v>
          </cell>
          <cell r="AA3352">
            <v>3.4630267053332719E-2</v>
          </cell>
        </row>
        <row r="3353">
          <cell r="Y3353">
            <v>62352</v>
          </cell>
          <cell r="Z3353">
            <v>3.4966308583561929E-2</v>
          </cell>
          <cell r="AA3353">
            <v>3.4633131586472299E-2</v>
          </cell>
        </row>
        <row r="3354">
          <cell r="Y3354">
            <v>62359</v>
          </cell>
          <cell r="Z3354">
            <v>3.4969018136133748E-2</v>
          </cell>
          <cell r="AA3354">
            <v>3.4635981620675382E-2</v>
          </cell>
        </row>
        <row r="3355">
          <cell r="Y3355">
            <v>62366</v>
          </cell>
          <cell r="Z3355">
            <v>3.4973566152711993E-2</v>
          </cell>
          <cell r="AA3355">
            <v>3.4638817156185109E-2</v>
          </cell>
        </row>
        <row r="3356">
          <cell r="Y3356">
            <v>62373</v>
          </cell>
          <cell r="Z3356">
            <v>3.4976245416129703E-2</v>
          </cell>
          <cell r="AA3356">
            <v>3.4641638193001478E-2</v>
          </cell>
        </row>
        <row r="3357">
          <cell r="Y3357">
            <v>62380</v>
          </cell>
          <cell r="Z3357">
            <v>3.4978909932863567E-2</v>
          </cell>
          <cell r="AA3357">
            <v>3.4644444731124491E-2</v>
          </cell>
        </row>
        <row r="3358">
          <cell r="Y3358">
            <v>62387</v>
          </cell>
          <cell r="Z3358">
            <v>3.4981559702858364E-2</v>
          </cell>
          <cell r="AA3358">
            <v>3.4647236770716239E-2</v>
          </cell>
        </row>
        <row r="3359">
          <cell r="Y3359">
            <v>62394</v>
          </cell>
          <cell r="Z3359">
            <v>3.4984194726052208E-2</v>
          </cell>
          <cell r="AA3359">
            <v>3.4650014311290445E-2</v>
          </cell>
        </row>
        <row r="3360">
          <cell r="Y3360">
            <v>62401</v>
          </cell>
          <cell r="Z3360">
            <v>3.4986815002391654E-2</v>
          </cell>
          <cell r="AA3360">
            <v>3.4652777353495479E-2</v>
          </cell>
        </row>
        <row r="3361">
          <cell r="Y3361">
            <v>62408</v>
          </cell>
          <cell r="Z3361">
            <v>3.4987572135820669E-2</v>
          </cell>
          <cell r="AA3361">
            <v>3.4655525896845063E-2</v>
          </cell>
        </row>
        <row r="3362">
          <cell r="Y3362">
            <v>62415</v>
          </cell>
          <cell r="Z3362">
            <v>3.4990163725331078E-2</v>
          </cell>
          <cell r="AA3362">
            <v>3.4658259941339198E-2</v>
          </cell>
        </row>
        <row r="3363">
          <cell r="Y3363">
            <v>62422</v>
          </cell>
          <cell r="Z3363">
            <v>3.4994587349710497E-2</v>
          </cell>
          <cell r="AA3363">
            <v>3.4660979487383115E-2</v>
          </cell>
        </row>
        <row r="3364">
          <cell r="Y3364">
            <v>62429</v>
          </cell>
          <cell r="Z3364">
            <v>3.4997148638062803E-2</v>
          </cell>
          <cell r="AA3364">
            <v>3.4663684534733674E-2</v>
          </cell>
        </row>
        <row r="3365">
          <cell r="Y3365">
            <v>62436</v>
          </cell>
          <cell r="Z3365">
            <v>3.4999695179279276E-2</v>
          </cell>
          <cell r="AA3365">
            <v>3.4666375083228784E-2</v>
          </cell>
        </row>
        <row r="3366">
          <cell r="Y3366">
            <v>62443</v>
          </cell>
          <cell r="Z3366">
            <v>3.5002226973302922E-2</v>
          </cell>
          <cell r="AA3366">
            <v>3.4669051132949491E-2</v>
          </cell>
        </row>
        <row r="3367">
          <cell r="Y3367">
            <v>62450</v>
          </cell>
          <cell r="Z3367">
            <v>3.500474402008074E-2</v>
          </cell>
          <cell r="AA3367">
            <v>3.4671712684138933E-2</v>
          </cell>
        </row>
        <row r="3368">
          <cell r="Y3368">
            <v>62457</v>
          </cell>
          <cell r="Z3368">
            <v>3.5007246319557518E-2</v>
          </cell>
          <cell r="AA3368">
            <v>3.4674359736635019E-2</v>
          </cell>
        </row>
        <row r="3369">
          <cell r="Y3369">
            <v>62464</v>
          </cell>
          <cell r="Z3369">
            <v>3.5007891970961956E-2</v>
          </cell>
          <cell r="AA3369">
            <v>3.4676992290437747E-2</v>
          </cell>
        </row>
        <row r="3370">
          <cell r="Y3370">
            <v>62471</v>
          </cell>
          <cell r="Z3370">
            <v>3.5010365593833727E-2</v>
          </cell>
          <cell r="AA3370">
            <v>3.4679610345303979E-2</v>
          </cell>
        </row>
        <row r="3371">
          <cell r="Y3371">
            <v>62478</v>
          </cell>
          <cell r="Z3371">
            <v>3.5012824470632926E-2</v>
          </cell>
          <cell r="AA3371">
            <v>3.4682213901719994E-2</v>
          </cell>
        </row>
        <row r="3372">
          <cell r="Y3372">
            <v>62485</v>
          </cell>
          <cell r="Z3372">
            <v>3.5015268601305362E-2</v>
          </cell>
          <cell r="AA3372">
            <v>3.4684802959442651E-2</v>
          </cell>
        </row>
        <row r="3373">
          <cell r="Y3373">
            <v>62492</v>
          </cell>
          <cell r="Z3373">
            <v>3.5017697985798207E-2</v>
          </cell>
          <cell r="AA3373">
            <v>3.4687377518228812E-2</v>
          </cell>
        </row>
        <row r="3374">
          <cell r="Y3374">
            <v>62499</v>
          </cell>
          <cell r="Z3374">
            <v>3.5020112624060407E-2</v>
          </cell>
          <cell r="AA3374">
            <v>3.4689937578402663E-2</v>
          </cell>
        </row>
        <row r="3375">
          <cell r="Y3375">
            <v>62506</v>
          </cell>
          <cell r="Z3375">
            <v>3.5022512516039585E-2</v>
          </cell>
          <cell r="AA3375">
            <v>3.4692483140045249E-2</v>
          </cell>
        </row>
        <row r="3376">
          <cell r="Y3376">
            <v>62513</v>
          </cell>
          <cell r="Z3376">
            <v>3.5024897661683346E-2</v>
          </cell>
          <cell r="AA3376">
            <v>3.4695014202832386E-2</v>
          </cell>
        </row>
        <row r="3377">
          <cell r="Y3377">
            <v>62520</v>
          </cell>
          <cell r="Z3377">
            <v>3.5032774121626781E-2</v>
          </cell>
          <cell r="AA3377">
            <v>3.4697530766764073E-2</v>
          </cell>
        </row>
        <row r="3378">
          <cell r="Y3378">
            <v>62527</v>
          </cell>
          <cell r="Z3378">
            <v>3.5035127286057323E-2</v>
          </cell>
          <cell r="AA3378">
            <v>3.4700032832245542E-2</v>
          </cell>
        </row>
        <row r="3379">
          <cell r="Y3379">
            <v>62534</v>
          </cell>
          <cell r="Z3379">
            <v>3.5037465699824265E-2</v>
          </cell>
          <cell r="AA3379">
            <v>3.4702520399033654E-2</v>
          </cell>
        </row>
        <row r="3380">
          <cell r="Y3380">
            <v>62541</v>
          </cell>
          <cell r="Z3380">
            <v>3.5039789362873427E-2</v>
          </cell>
          <cell r="AA3380">
            <v>3.4704993466966316E-2</v>
          </cell>
        </row>
        <row r="3381">
          <cell r="Y3381">
            <v>62548</v>
          </cell>
          <cell r="Z3381">
            <v>3.5040266211463479E-2</v>
          </cell>
          <cell r="AA3381">
            <v>3.4707452036286668E-2</v>
          </cell>
        </row>
        <row r="3382">
          <cell r="Y3382">
            <v>62555</v>
          </cell>
          <cell r="Z3382">
            <v>3.504256120813911E-2</v>
          </cell>
          <cell r="AA3382">
            <v>3.4709896106913662E-2</v>
          </cell>
        </row>
        <row r="3383">
          <cell r="Y3383">
            <v>62562</v>
          </cell>
          <cell r="Z3383">
            <v>3.5044841455340724E-2</v>
          </cell>
          <cell r="AA3383">
            <v>3.4712325678766254E-2</v>
          </cell>
        </row>
        <row r="3384">
          <cell r="Y3384">
            <v>62569</v>
          </cell>
          <cell r="Z3384">
            <v>3.5047106953017382E-2</v>
          </cell>
          <cell r="AA3384">
            <v>3.4714740751844442E-2</v>
          </cell>
        </row>
        <row r="3385">
          <cell r="Y3385">
            <v>62576</v>
          </cell>
          <cell r="Z3385">
            <v>3.5049357701121255E-2</v>
          </cell>
          <cell r="AA3385">
            <v>3.4717141326229273E-2</v>
          </cell>
        </row>
        <row r="3386">
          <cell r="Y3386">
            <v>62583</v>
          </cell>
          <cell r="Z3386">
            <v>3.5053421573306869E-2</v>
          </cell>
          <cell r="AA3386">
            <v>3.4719527402082839E-2</v>
          </cell>
        </row>
        <row r="3387">
          <cell r="Y3387">
            <v>62590</v>
          </cell>
          <cell r="Z3387">
            <v>3.5055641979936172E-2</v>
          </cell>
          <cell r="AA3387">
            <v>3.4721898979080956E-2</v>
          </cell>
        </row>
        <row r="3388">
          <cell r="Y3388">
            <v>62597</v>
          </cell>
          <cell r="Z3388">
            <v>3.5057847635451278E-2</v>
          </cell>
          <cell r="AA3388">
            <v>3.4724256057385716E-2</v>
          </cell>
        </row>
        <row r="3389">
          <cell r="Y3389">
            <v>62604</v>
          </cell>
          <cell r="Z3389">
            <v>3.5060038539803287E-2</v>
          </cell>
          <cell r="AA3389">
            <v>3.4726598636997119E-2</v>
          </cell>
        </row>
        <row r="3390">
          <cell r="Y3390">
            <v>62611</v>
          </cell>
          <cell r="Z3390">
            <v>3.5060390196327416E-2</v>
          </cell>
          <cell r="AA3390">
            <v>3.4728926717915165E-2</v>
          </cell>
        </row>
        <row r="3391">
          <cell r="Y3391">
            <v>62618</v>
          </cell>
          <cell r="Z3391">
            <v>3.5062552445969328E-2</v>
          </cell>
          <cell r="AA3391">
            <v>3.4731240300058808E-2</v>
          </cell>
        </row>
        <row r="3392">
          <cell r="Y3392">
            <v>62625</v>
          </cell>
          <cell r="Z3392">
            <v>3.5064699945700988E-2</v>
          </cell>
          <cell r="AA3392">
            <v>3.4733539383509093E-2</v>
          </cell>
        </row>
        <row r="3393">
          <cell r="Y3393">
            <v>62632</v>
          </cell>
          <cell r="Z3393">
            <v>3.5066832695475447E-2</v>
          </cell>
          <cell r="AA3393">
            <v>3.4735823968347068E-2</v>
          </cell>
        </row>
        <row r="3394">
          <cell r="Y3394">
            <v>62639</v>
          </cell>
          <cell r="Z3394">
            <v>3.5070771792451529E-2</v>
          </cell>
          <cell r="AA3394">
            <v>3.4738094054329594E-2</v>
          </cell>
        </row>
        <row r="3395">
          <cell r="Y3395">
            <v>62646</v>
          </cell>
          <cell r="Z3395">
            <v>3.5072874188829081E-2</v>
          </cell>
          <cell r="AA3395">
            <v>3.4740349641699808E-2</v>
          </cell>
        </row>
        <row r="3396">
          <cell r="Y3396">
            <v>62653</v>
          </cell>
          <cell r="Z3396">
            <v>3.5074961833714509E-2</v>
          </cell>
          <cell r="AA3396">
            <v>3.4742590730457712E-2</v>
          </cell>
        </row>
        <row r="3397">
          <cell r="Y3397">
            <v>62660</v>
          </cell>
          <cell r="Z3397">
            <v>3.5077034727062001E-2</v>
          </cell>
          <cell r="AA3397">
            <v>3.474481732027912E-2</v>
          </cell>
        </row>
        <row r="3398">
          <cell r="Y3398">
            <v>62667</v>
          </cell>
          <cell r="Z3398">
            <v>3.5079092868825316E-2</v>
          </cell>
          <cell r="AA3398">
            <v>3.4747029411488217E-2</v>
          </cell>
        </row>
        <row r="3399">
          <cell r="Y3399">
            <v>62674</v>
          </cell>
          <cell r="Z3399">
            <v>3.5081136258959963E-2</v>
          </cell>
          <cell r="AA3399">
            <v>3.4749227003841865E-2</v>
          </cell>
        </row>
        <row r="3400">
          <cell r="Y3400">
            <v>62681</v>
          </cell>
          <cell r="Z3400">
            <v>3.5083164897421894E-2</v>
          </cell>
          <cell r="AA3400">
            <v>3.4751410097745294E-2</v>
          </cell>
        </row>
        <row r="3401">
          <cell r="Y3401">
            <v>62688</v>
          </cell>
          <cell r="Z3401">
            <v>3.5085178784166185E-2</v>
          </cell>
          <cell r="AA3401">
            <v>3.4753578692874321E-2</v>
          </cell>
        </row>
        <row r="3402">
          <cell r="Y3402">
            <v>62695</v>
          </cell>
          <cell r="Z3402">
            <v>3.5087177919147464E-2</v>
          </cell>
          <cell r="AA3402">
            <v>3.4755732789147897E-2</v>
          </cell>
        </row>
        <row r="3403">
          <cell r="Y3403">
            <v>62702</v>
          </cell>
          <cell r="Z3403">
            <v>3.5085535601039192E-2</v>
          </cell>
          <cell r="AA3403">
            <v>3.4757872386809163E-2</v>
          </cell>
        </row>
        <row r="3404">
          <cell r="Y3404">
            <v>62709</v>
          </cell>
          <cell r="Z3404">
            <v>3.508750696402109E-2</v>
          </cell>
          <cell r="AA3404">
            <v>3.4759997485777072E-2</v>
          </cell>
        </row>
        <row r="3405">
          <cell r="Y3405">
            <v>62716</v>
          </cell>
          <cell r="Z3405">
            <v>3.5089463577908681E-2</v>
          </cell>
          <cell r="AA3405">
            <v>3.4762108086051624E-2</v>
          </cell>
        </row>
        <row r="3406">
          <cell r="Y3406">
            <v>62723</v>
          </cell>
          <cell r="Z3406">
            <v>3.5091405442656112E-2</v>
          </cell>
          <cell r="AA3406">
            <v>3.4764204187551773E-2</v>
          </cell>
        </row>
        <row r="3407">
          <cell r="Y3407">
            <v>62730</v>
          </cell>
          <cell r="Z3407">
            <v>3.5093332558223285E-2</v>
          </cell>
          <cell r="AA3407">
            <v>3.4766285790358564E-2</v>
          </cell>
        </row>
        <row r="3408">
          <cell r="Y3408">
            <v>62737</v>
          </cell>
          <cell r="Z3408">
            <v>3.5097053916354183E-2</v>
          </cell>
          <cell r="AA3408">
            <v>3.4768352894471999E-2</v>
          </cell>
        </row>
        <row r="3409">
          <cell r="Y3409">
            <v>62744</v>
          </cell>
          <cell r="Z3409">
            <v>3.5098950660704419E-2</v>
          </cell>
          <cell r="AA3409">
            <v>3.4770405499729984E-2</v>
          </cell>
        </row>
        <row r="3410">
          <cell r="Y3410">
            <v>62751</v>
          </cell>
          <cell r="Z3410">
            <v>3.510083265435298E-2</v>
          </cell>
          <cell r="AA3410">
            <v>3.4772443606456704E-2</v>
          </cell>
        </row>
        <row r="3411">
          <cell r="Y3411">
            <v>62758</v>
          </cell>
          <cell r="Z3411">
            <v>3.5102699897255132E-2</v>
          </cell>
          <cell r="AA3411">
            <v>3.4774467214409022E-2</v>
          </cell>
        </row>
        <row r="3412">
          <cell r="Y3412">
            <v>62765</v>
          </cell>
          <cell r="Z3412">
            <v>3.5102746896905998E-2</v>
          </cell>
          <cell r="AA3412">
            <v>3.4776476323667982E-2</v>
          </cell>
        </row>
        <row r="3413">
          <cell r="Y3413">
            <v>62772</v>
          </cell>
          <cell r="Z3413">
            <v>3.5104585516524227E-2</v>
          </cell>
          <cell r="AA3413">
            <v>3.4778470933990446E-2</v>
          </cell>
        </row>
        <row r="3414">
          <cell r="Y3414">
            <v>62779</v>
          </cell>
          <cell r="Z3414">
            <v>3.510640938667766E-2</v>
          </cell>
          <cell r="AA3414">
            <v>3.4780451045943739E-2</v>
          </cell>
        </row>
        <row r="3415">
          <cell r="Y3415">
            <v>62786</v>
          </cell>
          <cell r="Z3415">
            <v>3.5108218507324436E-2</v>
          </cell>
          <cell r="AA3415">
            <v>3.4782416659041582E-2</v>
          </cell>
        </row>
        <row r="3416">
          <cell r="Y3416">
            <v>62793</v>
          </cell>
          <cell r="Z3416">
            <v>3.5111814849173459E-2</v>
          </cell>
          <cell r="AA3416">
            <v>3.4784367773365021E-2</v>
          </cell>
        </row>
        <row r="3417">
          <cell r="Y3417">
            <v>62800</v>
          </cell>
          <cell r="Z3417">
            <v>3.5113593586761041E-2</v>
          </cell>
          <cell r="AA3417">
            <v>3.4786304388995104E-2</v>
          </cell>
        </row>
        <row r="3418">
          <cell r="Y3418">
            <v>62807</v>
          </cell>
          <cell r="Z3418">
            <v>3.5115357573324971E-2</v>
          </cell>
          <cell r="AA3418">
            <v>3.478822650593183E-2</v>
          </cell>
        </row>
        <row r="3419">
          <cell r="Y3419">
            <v>62814</v>
          </cell>
          <cell r="Z3419">
            <v>3.511710680882673E-2</v>
          </cell>
          <cell r="AA3419">
            <v>3.4790134124094152E-2</v>
          </cell>
        </row>
        <row r="3420">
          <cell r="Y3420">
            <v>62821</v>
          </cell>
          <cell r="Z3420">
            <v>3.5118841293228675E-2</v>
          </cell>
          <cell r="AA3420">
            <v>3.4792027243644164E-2</v>
          </cell>
        </row>
        <row r="3421">
          <cell r="Y3421">
            <v>62828</v>
          </cell>
          <cell r="Z3421">
            <v>3.51187634894113E-2</v>
          </cell>
          <cell r="AA3421">
            <v>3.4793905864338726E-2</v>
          </cell>
        </row>
        <row r="3422">
          <cell r="Y3422">
            <v>62835</v>
          </cell>
          <cell r="Z3422">
            <v>3.5120469362437824E-2</v>
          </cell>
          <cell r="AA3422">
            <v>3.4795769986502023E-2</v>
          </cell>
        </row>
        <row r="3423">
          <cell r="Y3423">
            <v>62842</v>
          </cell>
          <cell r="Z3423">
            <v>3.5122160485653538E-2</v>
          </cell>
          <cell r="AA3423">
            <v>3.4797619609890917E-2</v>
          </cell>
        </row>
        <row r="3424">
          <cell r="Y3424">
            <v>62849</v>
          </cell>
          <cell r="Z3424">
            <v>3.5123836859021047E-2</v>
          </cell>
          <cell r="AA3424">
            <v>3.4799454734343316E-2</v>
          </cell>
        </row>
        <row r="3425">
          <cell r="Y3425">
            <v>62856</v>
          </cell>
          <cell r="Z3425">
            <v>3.512549848250561E-2</v>
          </cell>
          <cell r="AA3425">
            <v>3.4801275360345496E-2</v>
          </cell>
        </row>
        <row r="3426">
          <cell r="Y3426">
            <v>62863</v>
          </cell>
          <cell r="Z3426">
            <v>3.5127145356070269E-2</v>
          </cell>
          <cell r="AA3426">
            <v>3.4803081487492227E-2</v>
          </cell>
        </row>
        <row r="3427">
          <cell r="Y3427">
            <v>62870</v>
          </cell>
          <cell r="Z3427">
            <v>3.5128777479679837E-2</v>
          </cell>
          <cell r="AA3427">
            <v>3.48048731159456E-2</v>
          </cell>
        </row>
        <row r="3428">
          <cell r="Y3428">
            <v>62877</v>
          </cell>
          <cell r="Z3428">
            <v>3.5130394853298254E-2</v>
          </cell>
          <cell r="AA3428">
            <v>3.4806650245705617E-2</v>
          </cell>
        </row>
        <row r="3429">
          <cell r="Y3429">
            <v>62884</v>
          </cell>
          <cell r="Z3429">
            <v>3.5135578245129612E-2</v>
          </cell>
          <cell r="AA3429">
            <v>3.4808412876772277E-2</v>
          </cell>
        </row>
        <row r="3430">
          <cell r="Y3430">
            <v>62891</v>
          </cell>
          <cell r="Z3430">
            <v>3.5137164314162028E-2</v>
          </cell>
          <cell r="AA3430">
            <v>3.4810161009145579E-2</v>
          </cell>
        </row>
        <row r="3431">
          <cell r="Y3431">
            <v>62898</v>
          </cell>
          <cell r="Z3431">
            <v>3.5138735630290616E-2</v>
          </cell>
          <cell r="AA3431">
            <v>3.4811894642582386E-2</v>
          </cell>
        </row>
        <row r="3432">
          <cell r="Y3432">
            <v>62905</v>
          </cell>
          <cell r="Z3432">
            <v>3.5140292193484107E-2</v>
          </cell>
          <cell r="AA3432">
            <v>3.4813613777487928E-2</v>
          </cell>
        </row>
        <row r="3433">
          <cell r="Y3433">
            <v>62912</v>
          </cell>
          <cell r="Z3433">
            <v>3.5141834003708579E-2</v>
          </cell>
          <cell r="AA3433">
            <v>3.4815318413700114E-2</v>
          </cell>
        </row>
        <row r="3434">
          <cell r="Y3434">
            <v>62919</v>
          </cell>
          <cell r="Z3434">
            <v>3.5141575188759357E-2</v>
          </cell>
          <cell r="AA3434">
            <v>3.4817008551137896E-2</v>
          </cell>
        </row>
        <row r="3435">
          <cell r="Y3435">
            <v>62926</v>
          </cell>
          <cell r="Z3435">
            <v>3.514308840230345E-2</v>
          </cell>
          <cell r="AA3435">
            <v>3.4818684189720228E-2</v>
          </cell>
        </row>
        <row r="3436">
          <cell r="Y3436">
            <v>62933</v>
          </cell>
          <cell r="Z3436">
            <v>3.5144586864179518E-2</v>
          </cell>
          <cell r="AA3436">
            <v>3.4820345329771296E-2</v>
          </cell>
        </row>
        <row r="3437">
          <cell r="Y3437">
            <v>62940</v>
          </cell>
          <cell r="Z3437">
            <v>3.5146070574356987E-2</v>
          </cell>
          <cell r="AA3437">
            <v>3.4821991971129007E-2</v>
          </cell>
        </row>
        <row r="3438">
          <cell r="Y3438">
            <v>62947</v>
          </cell>
          <cell r="Z3438">
            <v>3.5149321759095881E-2</v>
          </cell>
          <cell r="AA3438">
            <v>3.4823624113550222E-2</v>
          </cell>
        </row>
        <row r="3439">
          <cell r="Y3439">
            <v>62954</v>
          </cell>
          <cell r="Z3439">
            <v>3.515077505079843E-2</v>
          </cell>
          <cell r="AA3439">
            <v>3.4825241757359127E-2</v>
          </cell>
        </row>
        <row r="3440">
          <cell r="Y3440">
            <v>62961</v>
          </cell>
          <cell r="Z3440">
            <v>3.5152213589301158E-2</v>
          </cell>
          <cell r="AA3440">
            <v>3.482684490255572E-2</v>
          </cell>
        </row>
        <row r="3441">
          <cell r="Y3441">
            <v>62968</v>
          </cell>
          <cell r="Z3441">
            <v>3.515363737457191E-2</v>
          </cell>
          <cell r="AA3441">
            <v>3.4828433548977911E-2</v>
          </cell>
        </row>
        <row r="3442">
          <cell r="Y3442">
            <v>62975</v>
          </cell>
          <cell r="Z3442">
            <v>3.5153267848635338E-2</v>
          </cell>
          <cell r="AA3442">
            <v>3.4830007696625698E-2</v>
          </cell>
        </row>
        <row r="3443">
          <cell r="Y3443">
            <v>62982</v>
          </cell>
          <cell r="Z3443">
            <v>3.5154663047949439E-2</v>
          </cell>
          <cell r="AA3443">
            <v>3.4831567345499082E-2</v>
          </cell>
        </row>
        <row r="3444">
          <cell r="Y3444">
            <v>62989</v>
          </cell>
          <cell r="Z3444">
            <v>3.5156043495344409E-2</v>
          </cell>
          <cell r="AA3444">
            <v>3.4833112495760155E-2</v>
          </cell>
        </row>
        <row r="3445">
          <cell r="Y3445">
            <v>62996</v>
          </cell>
          <cell r="Z3445">
            <v>3.515740919079012E-2</v>
          </cell>
          <cell r="AA3445">
            <v>3.4834643147246824E-2</v>
          </cell>
        </row>
        <row r="3446">
          <cell r="Y3446">
            <v>63003</v>
          </cell>
          <cell r="Z3446">
            <v>3.5158760134257346E-2</v>
          </cell>
          <cell r="AA3446">
            <v>3.4836159299959091E-2</v>
          </cell>
        </row>
        <row r="3447">
          <cell r="Y3447">
            <v>63010</v>
          </cell>
          <cell r="Z3447">
            <v>3.5161870266603133E-2</v>
          </cell>
          <cell r="AA3447">
            <v>3.4837660954221139E-2</v>
          </cell>
        </row>
        <row r="3448">
          <cell r="Y3448">
            <v>63017</v>
          </cell>
          <cell r="Z3448">
            <v>3.5163190778395546E-2</v>
          </cell>
          <cell r="AA3448">
            <v>3.4839148109546692E-2</v>
          </cell>
        </row>
        <row r="3449">
          <cell r="Y3449">
            <v>63024</v>
          </cell>
          <cell r="Z3449">
            <v>3.5164496536715932E-2</v>
          </cell>
          <cell r="AA3449">
            <v>3.4840620766016794E-2</v>
          </cell>
        </row>
        <row r="3450">
          <cell r="Y3450">
            <v>63031</v>
          </cell>
          <cell r="Z3450">
            <v>3.5165787541534772E-2</v>
          </cell>
          <cell r="AA3450">
            <v>3.4842078923955633E-2</v>
          </cell>
        </row>
        <row r="3451">
          <cell r="Y3451">
            <v>63038</v>
          </cell>
          <cell r="Z3451">
            <v>3.5167063792824756E-2</v>
          </cell>
          <cell r="AA3451">
            <v>3.4843522583039022E-2</v>
          </cell>
        </row>
        <row r="3452">
          <cell r="Y3452">
            <v>63045</v>
          </cell>
          <cell r="Z3452">
            <v>3.5168325290556822E-2</v>
          </cell>
          <cell r="AA3452">
            <v>3.48449517435101E-2</v>
          </cell>
        </row>
        <row r="3453">
          <cell r="Y3453">
            <v>63052</v>
          </cell>
          <cell r="Z3453">
            <v>3.5169572034704097E-2</v>
          </cell>
          <cell r="AA3453">
            <v>3.4846366405206775E-2</v>
          </cell>
        </row>
        <row r="3454">
          <cell r="Y3454">
            <v>63059</v>
          </cell>
          <cell r="Z3454">
            <v>3.5170804025239713E-2</v>
          </cell>
          <cell r="AA3454">
            <v>3.4847766568291139E-2</v>
          </cell>
        </row>
        <row r="3455">
          <cell r="Y3455">
            <v>63066</v>
          </cell>
          <cell r="Z3455">
            <v>3.516848832390005E-2</v>
          </cell>
          <cell r="AA3455">
            <v>3.4849152232601099E-2</v>
          </cell>
        </row>
        <row r="3456">
          <cell r="Y3456">
            <v>63073</v>
          </cell>
          <cell r="Z3456">
            <v>3.5167927188177531E-2</v>
          </cell>
          <cell r="AA3456">
            <v>3.4850523397974564E-2</v>
          </cell>
        </row>
        <row r="3457">
          <cell r="Y3457">
            <v>63080</v>
          </cell>
          <cell r="Z3457">
            <v>3.5169117738013268E-2</v>
          </cell>
          <cell r="AA3457">
            <v>3.4851880064816765E-2</v>
          </cell>
        </row>
        <row r="3458">
          <cell r="Y3458">
            <v>63087</v>
          </cell>
          <cell r="Z3458">
            <v>3.5170293538351445E-2</v>
          </cell>
          <cell r="AA3458">
            <v>3.4853222232965608E-2</v>
          </cell>
        </row>
        <row r="3459">
          <cell r="Y3459">
            <v>63094</v>
          </cell>
          <cell r="Z3459">
            <v>3.5173217261744959E-2</v>
          </cell>
          <cell r="AA3459">
            <v>3.4854549902502141E-2</v>
          </cell>
        </row>
        <row r="3460">
          <cell r="Y3460">
            <v>63101</v>
          </cell>
          <cell r="Z3460">
            <v>3.51743626188823E-2</v>
          </cell>
          <cell r="AA3460">
            <v>3.4855863072859039E-2</v>
          </cell>
        </row>
        <row r="3461">
          <cell r="Y3461">
            <v>63108</v>
          </cell>
          <cell r="Z3461">
            <v>3.5175493225040343E-2</v>
          </cell>
          <cell r="AA3461">
            <v>3.4857161745008858E-2</v>
          </cell>
        </row>
        <row r="3462">
          <cell r="Y3462">
            <v>63115</v>
          </cell>
          <cell r="Z3462">
            <v>3.5176609080195036E-2</v>
          </cell>
          <cell r="AA3462">
            <v>3.4858445918060088E-2</v>
          </cell>
        </row>
        <row r="3463">
          <cell r="Y3463">
            <v>63122</v>
          </cell>
          <cell r="Z3463">
            <v>3.5177710184322794E-2</v>
          </cell>
          <cell r="AA3463">
            <v>3.4859715592580054E-2</v>
          </cell>
        </row>
        <row r="3464">
          <cell r="Y3464">
            <v>63129</v>
          </cell>
          <cell r="Z3464">
            <v>3.5178796537395994E-2</v>
          </cell>
          <cell r="AA3464">
            <v>3.4860970768325616E-2</v>
          </cell>
        </row>
        <row r="3465">
          <cell r="Y3465">
            <v>63136</v>
          </cell>
          <cell r="Z3465">
            <v>3.5178111152713652E-2</v>
          </cell>
          <cell r="AA3465">
            <v>3.4862211445458868E-2</v>
          </cell>
        </row>
        <row r="3466">
          <cell r="Y3466">
            <v>63143</v>
          </cell>
          <cell r="Z3466">
            <v>3.5179168956190089E-2</v>
          </cell>
          <cell r="AA3466">
            <v>3.4863437623655624E-2</v>
          </cell>
        </row>
        <row r="3467">
          <cell r="Y3467">
            <v>63150</v>
          </cell>
          <cell r="Z3467">
            <v>3.5180212009952687E-2</v>
          </cell>
          <cell r="AA3467">
            <v>3.4864649303077977E-2</v>
          </cell>
        </row>
        <row r="3468">
          <cell r="Y3468">
            <v>63157</v>
          </cell>
          <cell r="Z3468">
            <v>3.5182994438707746E-2</v>
          </cell>
          <cell r="AA3468">
            <v>3.4865846483969065E-2</v>
          </cell>
        </row>
        <row r="3469">
          <cell r="Y3469">
            <v>63164</v>
          </cell>
          <cell r="Z3469">
            <v>3.5184007036175982E-2</v>
          </cell>
          <cell r="AA3469">
            <v>3.4867029166247843E-2</v>
          </cell>
        </row>
        <row r="3470">
          <cell r="Y3470">
            <v>63171</v>
          </cell>
          <cell r="Z3470">
            <v>3.5185004882455621E-2</v>
          </cell>
          <cell r="AA3470">
            <v>3.4868197349590124E-2</v>
          </cell>
        </row>
        <row r="3471">
          <cell r="Y3471">
            <v>63178</v>
          </cell>
          <cell r="Z3471">
            <v>3.518598797752396E-2</v>
          </cell>
          <cell r="AA3471">
            <v>3.4869351034158003E-2</v>
          </cell>
        </row>
        <row r="3472">
          <cell r="Y3472">
            <v>63186</v>
          </cell>
          <cell r="Z3472">
            <v>3.518709345201184E-2</v>
          </cell>
          <cell r="AA3472">
            <v>3.4870651777283435E-2</v>
          </cell>
        </row>
        <row r="3473">
          <cell r="Y3473">
            <v>63193</v>
          </cell>
          <cell r="Z3473">
            <v>3.5186295748238512E-2</v>
          </cell>
          <cell r="AA3473">
            <v>3.4871774393407939E-2</v>
          </cell>
        </row>
        <row r="3474">
          <cell r="Y3474">
            <v>63200</v>
          </cell>
          <cell r="Z3474">
            <v>3.5187233446268541E-2</v>
          </cell>
          <cell r="AA3474">
            <v>3.4872882510595948E-2</v>
          </cell>
        </row>
        <row r="3475">
          <cell r="Y3475">
            <v>63207</v>
          </cell>
          <cell r="Z3475">
            <v>3.5188156394411002E-2</v>
          </cell>
          <cell r="AA3475">
            <v>3.4873976129252693E-2</v>
          </cell>
        </row>
        <row r="3476">
          <cell r="Y3476">
            <v>63214</v>
          </cell>
          <cell r="Z3476">
            <v>3.5189064592645293E-2</v>
          </cell>
          <cell r="AA3476">
            <v>3.4875055248891895E-2</v>
          </cell>
        </row>
        <row r="3477">
          <cell r="Y3477">
            <v>63221</v>
          </cell>
          <cell r="Z3477">
            <v>3.5189958040953505E-2</v>
          </cell>
          <cell r="AA3477">
            <v>3.4876119869999833E-2</v>
          </cell>
        </row>
        <row r="3478">
          <cell r="Y3478">
            <v>63228</v>
          </cell>
          <cell r="Z3478">
            <v>3.5190836739315487E-2</v>
          </cell>
          <cell r="AA3478">
            <v>3.4877169992333368E-2</v>
          </cell>
        </row>
        <row r="3479">
          <cell r="Y3479">
            <v>63235</v>
          </cell>
          <cell r="Z3479">
            <v>3.5191700687710187E-2</v>
          </cell>
          <cell r="AA3479">
            <v>3.4878205615811453E-2</v>
          </cell>
        </row>
        <row r="3480">
          <cell r="Y3480">
            <v>63242</v>
          </cell>
          <cell r="Z3480">
            <v>3.5192549886122838E-2</v>
          </cell>
          <cell r="AA3480">
            <v>3.4879226740758273E-2</v>
          </cell>
        </row>
        <row r="3481">
          <cell r="Y3481">
            <v>63249</v>
          </cell>
          <cell r="Z3481">
            <v>3.5198608699348925E-2</v>
          </cell>
          <cell r="AA3481">
            <v>3.4880233366930691E-2</v>
          </cell>
        </row>
        <row r="3482">
          <cell r="Y3482">
            <v>63256</v>
          </cell>
          <cell r="Z3482">
            <v>3.519942547120463E-2</v>
          </cell>
          <cell r="AA3482">
            <v>3.4881225494490797E-2</v>
          </cell>
        </row>
        <row r="3483">
          <cell r="Y3483">
            <v>63263</v>
          </cell>
          <cell r="Z3483">
            <v>3.5200227488792819E-2</v>
          </cell>
          <cell r="AA3483">
            <v>3.4882203122952316E-2</v>
          </cell>
        </row>
        <row r="3484">
          <cell r="Y3484">
            <v>63270</v>
          </cell>
          <cell r="Z3484">
            <v>3.5201014752096749E-2</v>
          </cell>
          <cell r="AA3484">
            <v>3.4883166252963616E-2</v>
          </cell>
        </row>
        <row r="3485">
          <cell r="Y3485">
            <v>63277</v>
          </cell>
          <cell r="Z3485">
            <v>3.5201787261100133E-2</v>
          </cell>
          <cell r="AA3485">
            <v>3.4884114884281558E-2</v>
          </cell>
        </row>
        <row r="3486">
          <cell r="Y3486">
            <v>63284</v>
          </cell>
          <cell r="Z3486">
            <v>3.520080843576396E-2</v>
          </cell>
          <cell r="AA3486">
            <v>3.4885049016744052E-2</v>
          </cell>
        </row>
        <row r="3487">
          <cell r="Y3487">
            <v>63291</v>
          </cell>
          <cell r="Z3487">
            <v>3.5201552418867618E-2</v>
          </cell>
          <cell r="AA3487">
            <v>3.4885968650432142E-2</v>
          </cell>
        </row>
        <row r="3488">
          <cell r="Y3488">
            <v>63298</v>
          </cell>
          <cell r="Z3488">
            <v>3.520228164902954E-2</v>
          </cell>
          <cell r="AA3488">
            <v>3.4886873785588968E-2</v>
          </cell>
        </row>
        <row r="3489">
          <cell r="Y3489">
            <v>63305</v>
          </cell>
          <cell r="Z3489">
            <v>3.5202996126234662E-2</v>
          </cell>
          <cell r="AA3489">
            <v>3.4887764421890344E-2</v>
          </cell>
        </row>
        <row r="3490">
          <cell r="Y3490">
            <v>63312</v>
          </cell>
          <cell r="Z3490">
            <v>3.5205428491006163E-2</v>
          </cell>
          <cell r="AA3490">
            <v>3.4888640559417317E-2</v>
          </cell>
        </row>
        <row r="3491">
          <cell r="Y3491">
            <v>63319</v>
          </cell>
          <cell r="Z3491">
            <v>3.520611247385385E-2</v>
          </cell>
          <cell r="AA3491">
            <v>3.4889502198331979E-2</v>
          </cell>
        </row>
        <row r="3492">
          <cell r="Y3492">
            <v>63326</v>
          </cell>
          <cell r="Z3492">
            <v>3.5206781702289101E-2</v>
          </cell>
          <cell r="AA3492">
            <v>3.4890349338391191E-2</v>
          </cell>
        </row>
        <row r="3493">
          <cell r="Y3493">
            <v>63333</v>
          </cell>
          <cell r="Z3493">
            <v>3.520743617629607E-2</v>
          </cell>
          <cell r="AA3493">
            <v>3.4891181980000185E-2</v>
          </cell>
        </row>
        <row r="3494">
          <cell r="Y3494">
            <v>63340</v>
          </cell>
          <cell r="Z3494">
            <v>3.5206347217366228E-2</v>
          </cell>
          <cell r="AA3494">
            <v>3.4892000122591638E-2</v>
          </cell>
        </row>
        <row r="3495">
          <cell r="Y3495">
            <v>63347</v>
          </cell>
          <cell r="Z3495">
            <v>3.5206973176511253E-2</v>
          </cell>
          <cell r="AA3495">
            <v>3.4892803766489733E-2</v>
          </cell>
        </row>
        <row r="3496">
          <cell r="Y3496">
            <v>63354</v>
          </cell>
          <cell r="Z3496">
            <v>3.5207584382597169E-2</v>
          </cell>
          <cell r="AA3496">
            <v>3.4893592911775517E-2</v>
          </cell>
        </row>
        <row r="3497">
          <cell r="Y3497">
            <v>63361</v>
          </cell>
          <cell r="Z3497">
            <v>3.5208180835610253E-2</v>
          </cell>
          <cell r="AA3497">
            <v>3.4894367558286898E-2</v>
          </cell>
        </row>
        <row r="3498">
          <cell r="Y3498">
            <v>63368</v>
          </cell>
          <cell r="Z3498">
            <v>3.5208762535537223E-2</v>
          </cell>
          <cell r="AA3498">
            <v>3.489512770594283E-2</v>
          </cell>
        </row>
        <row r="3499">
          <cell r="Y3499">
            <v>63375</v>
          </cell>
          <cell r="Z3499">
            <v>3.5211053176565033E-2</v>
          </cell>
          <cell r="AA3499">
            <v>3.4895873354986451E-2</v>
          </cell>
        </row>
        <row r="3500">
          <cell r="Y3500">
            <v>63382</v>
          </cell>
          <cell r="Z3500">
            <v>3.5211604369192087E-2</v>
          </cell>
          <cell r="AA3500">
            <v>3.4896604505336715E-2</v>
          </cell>
        </row>
        <row r="3501">
          <cell r="Y3501">
            <v>63389</v>
          </cell>
          <cell r="Z3501">
            <v>3.5212140807283375E-2</v>
          </cell>
          <cell r="AA3501">
            <v>3.4897321156750483E-2</v>
          </cell>
        </row>
        <row r="3502">
          <cell r="Y3502">
            <v>63396</v>
          </cell>
          <cell r="Z3502">
            <v>3.5212662490830091E-2</v>
          </cell>
          <cell r="AA3502">
            <v>3.4898023309632986E-2</v>
          </cell>
        </row>
        <row r="3503">
          <cell r="Y3503">
            <v>63403</v>
          </cell>
          <cell r="Z3503">
            <v>3.5213169419820785E-2</v>
          </cell>
          <cell r="AA3503">
            <v>3.4898710963822133E-2</v>
          </cell>
        </row>
        <row r="3504">
          <cell r="Y3504">
            <v>63410</v>
          </cell>
          <cell r="Z3504">
            <v>3.5213661594242683E-2</v>
          </cell>
          <cell r="AA3504">
            <v>3.489938411915583E-2</v>
          </cell>
        </row>
        <row r="3505">
          <cell r="Y3505">
            <v>63417</v>
          </cell>
          <cell r="Z3505">
            <v>3.5214139014084767E-2</v>
          </cell>
          <cell r="AA3505">
            <v>3.4900042775877216E-2</v>
          </cell>
        </row>
        <row r="3506">
          <cell r="Y3506">
            <v>63424</v>
          </cell>
          <cell r="Z3506">
            <v>3.521460167933823E-2</v>
          </cell>
          <cell r="AA3506">
            <v>3.4900686933743152E-2</v>
          </cell>
        </row>
        <row r="3507">
          <cell r="Y3507">
            <v>63431</v>
          </cell>
          <cell r="Z3507">
            <v>3.521161831067332E-2</v>
          </cell>
          <cell r="AA3507">
            <v>3.4901316592915732E-2</v>
          </cell>
        </row>
        <row r="3508">
          <cell r="Y3508">
            <v>63438</v>
          </cell>
          <cell r="Z3508">
            <v>3.5210338882540403E-2</v>
          </cell>
          <cell r="AA3508">
            <v>3.4901931753313908E-2</v>
          </cell>
        </row>
        <row r="3509">
          <cell r="Y3509">
            <v>63445</v>
          </cell>
          <cell r="Z3509">
            <v>3.5210760324743566E-2</v>
          </cell>
          <cell r="AA3509">
            <v>3.4902532415099774E-2</v>
          </cell>
        </row>
        <row r="3510">
          <cell r="Y3510">
            <v>63452</v>
          </cell>
          <cell r="Z3510">
            <v>3.521116701655138E-2</v>
          </cell>
          <cell r="AA3510">
            <v>3.4903118578273329E-2</v>
          </cell>
        </row>
        <row r="3511">
          <cell r="Y3511">
            <v>63459</v>
          </cell>
          <cell r="Z3511">
            <v>3.5211558957954456E-2</v>
          </cell>
          <cell r="AA3511">
            <v>3.4903690242510388E-2</v>
          </cell>
        </row>
        <row r="3512">
          <cell r="Y3512">
            <v>63466</v>
          </cell>
          <cell r="Z3512">
            <v>3.5213646695639041E-2</v>
          </cell>
          <cell r="AA3512">
            <v>3.4904247407810951E-2</v>
          </cell>
        </row>
        <row r="3513">
          <cell r="Y3513">
            <v>63473</v>
          </cell>
          <cell r="Z3513">
            <v>3.5214008117171798E-2</v>
          </cell>
          <cell r="AA3513">
            <v>3.4904790074742342E-2</v>
          </cell>
        </row>
        <row r="3514">
          <cell r="Y3514">
            <v>63480</v>
          </cell>
          <cell r="Z3514">
            <v>3.5214354786865368E-2</v>
          </cell>
          <cell r="AA3514">
            <v>3.4905318242818284E-2</v>
          </cell>
        </row>
        <row r="3515">
          <cell r="Y3515">
            <v>63487</v>
          </cell>
          <cell r="Z3515">
            <v>3.5214686704712624E-2</v>
          </cell>
          <cell r="AA3515">
            <v>3.4905831912200869E-2</v>
          </cell>
        </row>
        <row r="3516">
          <cell r="Y3516">
            <v>63494</v>
          </cell>
          <cell r="Z3516">
            <v>3.5213297408630398E-2</v>
          </cell>
          <cell r="AA3516">
            <v>3.490633108280905E-2</v>
          </cell>
        </row>
        <row r="3517">
          <cell r="Y3517">
            <v>63501</v>
          </cell>
          <cell r="Z3517">
            <v>3.5213600847445584E-2</v>
          </cell>
          <cell r="AA3517">
            <v>3.4906815754723874E-2</v>
          </cell>
        </row>
        <row r="3518">
          <cell r="Y3518">
            <v>63508</v>
          </cell>
          <cell r="Z3518">
            <v>3.5213889535803629E-2</v>
          </cell>
          <cell r="AA3518">
            <v>3.4907285927864296E-2</v>
          </cell>
        </row>
        <row r="3519">
          <cell r="Y3519">
            <v>63515</v>
          </cell>
          <cell r="Z3519">
            <v>3.5214163473697831E-2</v>
          </cell>
          <cell r="AA3519">
            <v>3.4907741602068221E-2</v>
          </cell>
        </row>
        <row r="3520">
          <cell r="Y3520">
            <v>63522</v>
          </cell>
          <cell r="Z3520">
            <v>3.5214422661126385E-2</v>
          </cell>
          <cell r="AA3520">
            <v>3.4908182777902974E-2</v>
          </cell>
        </row>
        <row r="3521">
          <cell r="Y3521">
            <v>63529</v>
          </cell>
          <cell r="Z3521">
            <v>3.5216368422633031E-2</v>
          </cell>
          <cell r="AA3521">
            <v>3.4908609454963324E-2</v>
          </cell>
        </row>
        <row r="3522">
          <cell r="Y3522">
            <v>63536</v>
          </cell>
          <cell r="Z3522">
            <v>3.5216597077369953E-2</v>
          </cell>
          <cell r="AA3522">
            <v>3.4909021633168225E-2</v>
          </cell>
        </row>
        <row r="3523">
          <cell r="Y3523">
            <v>63543</v>
          </cell>
          <cell r="Z3523">
            <v>3.5216810980211129E-2</v>
          </cell>
          <cell r="AA3523">
            <v>3.4909419312598722E-2</v>
          </cell>
        </row>
        <row r="3524">
          <cell r="Y3524">
            <v>63550</v>
          </cell>
          <cell r="Z3524">
            <v>3.5217010131152561E-2</v>
          </cell>
          <cell r="AA3524">
            <v>3.4909802493416908E-2</v>
          </cell>
        </row>
        <row r="3525">
          <cell r="Y3525">
            <v>63557</v>
          </cell>
          <cell r="Z3525" t="e">
            <v>#N/A</v>
          </cell>
          <cell r="AA3525">
            <v>3.4910171175379645E-2</v>
          </cell>
        </row>
        <row r="3526">
          <cell r="Y3526">
            <v>63564</v>
          </cell>
          <cell r="Z3526" t="e">
            <v>#N/A</v>
          </cell>
          <cell r="AA3526">
            <v>3.4910525358649025E-2</v>
          </cell>
        </row>
        <row r="3527">
          <cell r="Y3527">
            <v>63571</v>
          </cell>
          <cell r="Z3527" t="e">
            <v>#N/A</v>
          </cell>
          <cell r="AA3527">
            <v>3.4910865043225048E-2</v>
          </cell>
        </row>
        <row r="3528">
          <cell r="Y3528">
            <v>63578</v>
          </cell>
          <cell r="Z3528" t="e">
            <v>#N/A</v>
          </cell>
          <cell r="AA3528">
            <v>3.491119022918876E-2</v>
          </cell>
        </row>
        <row r="3529">
          <cell r="Y3529">
            <v>63585</v>
          </cell>
          <cell r="Z3529" t="e">
            <v>#N/A</v>
          </cell>
          <cell r="AA3529">
            <v>3.4911500916297022E-2</v>
          </cell>
        </row>
        <row r="3530">
          <cell r="Y3530">
            <v>63592</v>
          </cell>
          <cell r="Z3530" t="e">
            <v>#N/A</v>
          </cell>
          <cell r="AA3530">
            <v>3.4911797104549835E-2</v>
          </cell>
        </row>
        <row r="3531">
          <cell r="Y3531">
            <v>63599</v>
          </cell>
          <cell r="Z3531" t="e">
            <v>#N/A</v>
          </cell>
          <cell r="AA3531">
            <v>3.4912078794271384E-2</v>
          </cell>
        </row>
        <row r="3532">
          <cell r="Y3532">
            <v>63606</v>
          </cell>
          <cell r="Z3532" t="e">
            <v>#N/A</v>
          </cell>
          <cell r="AA3532">
            <v>3.4912345985218529E-2</v>
          </cell>
        </row>
        <row r="3533">
          <cell r="Y3533">
            <v>63613</v>
          </cell>
          <cell r="Z3533" t="e">
            <v>#N/A</v>
          </cell>
          <cell r="AA3533">
            <v>3.4912598677391271E-2</v>
          </cell>
        </row>
        <row r="3534">
          <cell r="Y3534">
            <v>63620</v>
          </cell>
          <cell r="Z3534" t="e">
            <v>#N/A</v>
          </cell>
          <cell r="AA3534">
            <v>3.491283687078961E-2</v>
          </cell>
        </row>
        <row r="3535">
          <cell r="Y3535">
            <v>63627</v>
          </cell>
          <cell r="Z3535" t="e">
            <v>#N/A</v>
          </cell>
          <cell r="AA3535">
            <v>3.4913060565575638E-2</v>
          </cell>
        </row>
        <row r="3536">
          <cell r="Y3536">
            <v>63634</v>
          </cell>
          <cell r="Z3536" t="e">
            <v>#N/A</v>
          </cell>
          <cell r="AA3536">
            <v>3.4913269761587262E-2</v>
          </cell>
        </row>
        <row r="3537">
          <cell r="Y3537">
            <v>63641</v>
          </cell>
          <cell r="Z3537" t="e">
            <v>#N/A</v>
          </cell>
          <cell r="AA3537">
            <v>3.4913464458743437E-2</v>
          </cell>
        </row>
        <row r="3538">
          <cell r="Y3538">
            <v>63648</v>
          </cell>
          <cell r="Z3538" t="e">
            <v>#N/A</v>
          </cell>
          <cell r="AA3538">
            <v>3.4913644657206255E-2</v>
          </cell>
        </row>
        <row r="3539">
          <cell r="Y3539">
            <v>63655</v>
          </cell>
          <cell r="Z3539" t="e">
            <v>#N/A</v>
          </cell>
          <cell r="AA3539">
            <v>3.4913810357056763E-2</v>
          </cell>
        </row>
        <row r="3540">
          <cell r="Y3540">
            <v>63662</v>
          </cell>
          <cell r="Z3540" t="e">
            <v>#N/A</v>
          </cell>
          <cell r="AA3540">
            <v>3.4913961558213913E-2</v>
          </cell>
        </row>
        <row r="3541">
          <cell r="Y3541">
            <v>63669</v>
          </cell>
          <cell r="Z3541" t="e">
            <v>#N/A</v>
          </cell>
          <cell r="AA3541">
            <v>3.4914098260515614E-2</v>
          </cell>
        </row>
        <row r="3542">
          <cell r="Y3542">
            <v>63676</v>
          </cell>
          <cell r="Z3542" t="e">
            <v>#N/A</v>
          </cell>
          <cell r="AA3542">
            <v>3.4914220464123957E-2</v>
          </cell>
        </row>
        <row r="3543">
          <cell r="Y3543">
            <v>63683</v>
          </cell>
          <cell r="Z3543" t="e">
            <v>#N/A</v>
          </cell>
          <cell r="AA3543">
            <v>3.4914328169038944E-2</v>
          </cell>
        </row>
        <row r="3544">
          <cell r="Y3544">
            <v>63690</v>
          </cell>
          <cell r="Z3544" t="e">
            <v>#N/A</v>
          </cell>
          <cell r="AA3544">
            <v>3.4914421375017435E-2</v>
          </cell>
        </row>
        <row r="3545">
          <cell r="Y3545">
            <v>63697</v>
          </cell>
          <cell r="Z3545" t="e">
            <v>#N/A</v>
          </cell>
          <cell r="AA3545">
            <v>3.4914500082383615E-2</v>
          </cell>
        </row>
        <row r="3546">
          <cell r="Y3546">
            <v>63704</v>
          </cell>
          <cell r="Z3546" t="e">
            <v>#N/A</v>
          </cell>
          <cell r="AA3546">
            <v>3.4914564291137484E-2</v>
          </cell>
        </row>
        <row r="3547">
          <cell r="Y3547">
            <v>63711</v>
          </cell>
          <cell r="Z3547" t="e">
            <v>#N/A</v>
          </cell>
          <cell r="AA3547">
            <v>3.491461400111695E-2</v>
          </cell>
        </row>
        <row r="3548">
          <cell r="Y3548">
            <v>63718</v>
          </cell>
          <cell r="Z3548" t="e">
            <v>#N/A</v>
          </cell>
          <cell r="AA3548">
            <v>3.4914649212159921E-2</v>
          </cell>
        </row>
        <row r="3549">
          <cell r="Y3549">
            <v>63725</v>
          </cell>
          <cell r="Z3549" t="e">
            <v>#N/A</v>
          </cell>
          <cell r="AA3549">
            <v>3.4914669924671626E-2</v>
          </cell>
        </row>
        <row r="3550">
          <cell r="Y3550">
            <v>63732</v>
          </cell>
          <cell r="Z3550" t="e">
            <v>#N/A</v>
          </cell>
          <cell r="AA3550" t="e">
            <v>#N/A</v>
          </cell>
        </row>
        <row r="3551">
          <cell r="Y3551">
            <v>63739</v>
          </cell>
          <cell r="Z3551" t="e">
            <v>#N/A</v>
          </cell>
          <cell r="AA3551" t="e">
            <v>#N/A</v>
          </cell>
        </row>
        <row r="3552">
          <cell r="Y3552">
            <v>63746</v>
          </cell>
          <cell r="Z3552" t="e">
            <v>#N/A</v>
          </cell>
          <cell r="AA3552" t="e">
            <v>#N/A</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topLeftCell="B1" workbookViewId="0">
      <selection activeCell="D11" sqref="D11"/>
    </sheetView>
  </sheetViews>
  <sheetFormatPr defaultColWidth="8" defaultRowHeight="11.25" x14ac:dyDescent="0.2"/>
  <cols>
    <col min="1" max="2" width="2.7109375" style="152" customWidth="1"/>
    <col min="3" max="3" width="18" style="152" bestFit="1" customWidth="1"/>
    <col min="4" max="4" width="23.85546875" style="152" bestFit="1" customWidth="1"/>
    <col min="5" max="5" width="22" style="152" bestFit="1" customWidth="1"/>
    <col min="6" max="7" width="2.7109375" style="152" customWidth="1"/>
    <col min="8" max="8" width="4" style="152" bestFit="1" customWidth="1"/>
    <col min="9" max="9" width="3.28515625" style="152" bestFit="1" customWidth="1"/>
    <col min="10" max="11" width="2.7109375" style="152" customWidth="1"/>
    <col min="12" max="12" width="18.5703125" style="152" bestFit="1" customWidth="1"/>
    <col min="13" max="13" width="53.7109375" style="152" bestFit="1" customWidth="1"/>
    <col min="14" max="14" width="2.7109375" style="152" customWidth="1"/>
    <col min="15" max="16384" width="8" style="152"/>
  </cols>
  <sheetData>
    <row r="1" spans="2:14" ht="12" thickBot="1" x14ac:dyDescent="0.25">
      <c r="B1" s="152" t="str">
        <f>_xll.qlxlVersion(TRUE,Trigger)</f>
        <v>QuantLibXL 1.4.0 - MS VC++ 9.0 - Multithreaded Dynamic Runtime library - Release Configuration - Apr 29 2014 14:47:17</v>
      </c>
    </row>
    <row r="2" spans="2:14" ht="18.75" thickBot="1" x14ac:dyDescent="0.3">
      <c r="B2" s="167" t="s">
        <v>116</v>
      </c>
      <c r="C2" s="168"/>
      <c r="D2" s="168"/>
      <c r="E2" s="168"/>
      <c r="F2" s="169"/>
      <c r="K2" s="167" t="s">
        <v>129</v>
      </c>
      <c r="L2" s="168"/>
      <c r="M2" s="168"/>
      <c r="N2" s="170"/>
    </row>
    <row r="3" spans="2:14" ht="12" thickBot="1" x14ac:dyDescent="0.25">
      <c r="B3" s="60"/>
      <c r="C3" s="86"/>
      <c r="D3" s="58"/>
      <c r="E3" s="58"/>
      <c r="F3" s="57"/>
      <c r="K3" s="118"/>
      <c r="L3" s="121"/>
      <c r="M3" s="121"/>
      <c r="N3" s="120"/>
    </row>
    <row r="4" spans="2:14" x14ac:dyDescent="0.2">
      <c r="B4" s="60"/>
      <c r="C4" s="85" t="s">
        <v>115</v>
      </c>
      <c r="D4" s="72" t="s">
        <v>109</v>
      </c>
      <c r="E4" s="58"/>
      <c r="F4" s="57"/>
      <c r="H4" s="154" t="s">
        <v>114</v>
      </c>
      <c r="I4" s="155"/>
      <c r="K4" s="118"/>
      <c r="L4" s="117" t="s">
        <v>128</v>
      </c>
      <c r="M4" s="111" t="b">
        <v>0</v>
      </c>
      <c r="N4" s="116"/>
    </row>
    <row r="5" spans="2:14" x14ac:dyDescent="0.2">
      <c r="B5" s="60"/>
      <c r="C5" s="84" t="s">
        <v>113</v>
      </c>
      <c r="D5" s="61">
        <v>1</v>
      </c>
      <c r="E5" s="58"/>
      <c r="F5" s="57"/>
      <c r="H5" s="156" t="s">
        <v>112</v>
      </c>
      <c r="I5" s="157" t="s">
        <v>111</v>
      </c>
      <c r="K5" s="118"/>
      <c r="L5" s="117" t="s">
        <v>127</v>
      </c>
      <c r="M5" s="119"/>
      <c r="N5" s="116"/>
    </row>
    <row r="6" spans="2:14" x14ac:dyDescent="0.2">
      <c r="B6" s="60"/>
      <c r="C6" s="84" t="s">
        <v>110</v>
      </c>
      <c r="D6" s="61" t="str">
        <f>_xll.qlPeriodEquivalent(D5&amp;"M")</f>
        <v>1M</v>
      </c>
      <c r="E6" s="58"/>
      <c r="F6" s="57"/>
      <c r="H6" s="156" t="s">
        <v>109</v>
      </c>
      <c r="I6" s="157" t="s">
        <v>108</v>
      </c>
      <c r="K6" s="118"/>
      <c r="L6" s="117" t="s">
        <v>126</v>
      </c>
      <c r="M6" s="108" t="b">
        <v>1</v>
      </c>
      <c r="N6" s="116"/>
    </row>
    <row r="7" spans="2:14" ht="12" thickBot="1" x14ac:dyDescent="0.25">
      <c r="B7" s="60"/>
      <c r="C7" s="84" t="s">
        <v>107</v>
      </c>
      <c r="D7" s="61" t="str">
        <f>Months&amp;IF(UPPER(Currency)="EUR","E","L")</f>
        <v>1L</v>
      </c>
      <c r="E7" s="58"/>
      <c r="F7" s="57"/>
      <c r="H7" s="156" t="s">
        <v>106</v>
      </c>
      <c r="I7" s="157"/>
      <c r="K7" s="115"/>
      <c r="L7" s="114"/>
      <c r="M7" s="114"/>
      <c r="N7" s="113"/>
    </row>
    <row r="8" spans="2:14" ht="12" thickBot="1" x14ac:dyDescent="0.25">
      <c r="B8" s="60"/>
      <c r="C8" s="84" t="s">
        <v>105</v>
      </c>
      <c r="D8" s="61" t="str">
        <f>VLOOKUP(Currency,H4:I8,2)</f>
        <v>SB</v>
      </c>
      <c r="E8" s="58"/>
      <c r="F8" s="57"/>
      <c r="H8" s="158" t="s">
        <v>104</v>
      </c>
      <c r="I8" s="159" t="s">
        <v>103</v>
      </c>
      <c r="K8" s="153"/>
      <c r="L8" s="153"/>
      <c r="M8" s="153"/>
      <c r="N8" s="153"/>
    </row>
    <row r="9" spans="2:14" ht="18.75" thickBot="1" x14ac:dyDescent="0.3">
      <c r="B9" s="60"/>
      <c r="C9" s="84" t="s">
        <v>102</v>
      </c>
      <c r="D9" s="61" t="str">
        <f>Currency&amp;"_YC"&amp;IndexTenor&amp;"RH"</f>
        <v>GBP_YC1MRH</v>
      </c>
      <c r="E9" s="58"/>
      <c r="F9" s="57"/>
      <c r="K9" s="167" t="s">
        <v>125</v>
      </c>
      <c r="L9" s="168"/>
      <c r="M9" s="168"/>
      <c r="N9" s="170"/>
    </row>
    <row r="10" spans="2:14" ht="12.75" x14ac:dyDescent="0.2">
      <c r="B10" s="60"/>
      <c r="C10" s="83" t="s">
        <v>101</v>
      </c>
      <c r="D10" s="61" t="b">
        <v>1</v>
      </c>
      <c r="E10" s="58"/>
      <c r="F10" s="57"/>
      <c r="K10" s="110"/>
      <c r="L10" s="112"/>
      <c r="M10" s="112"/>
      <c r="N10" s="107"/>
    </row>
    <row r="11" spans="2:14" ht="12.75" x14ac:dyDescent="0.2">
      <c r="B11" s="60"/>
      <c r="C11" s="83" t="s">
        <v>100</v>
      </c>
      <c r="D11" s="82"/>
      <c r="E11" s="58"/>
      <c r="F11" s="57"/>
      <c r="K11" s="110"/>
      <c r="L11" s="109" t="s">
        <v>124</v>
      </c>
      <c r="M11" s="111" t="s">
        <v>123</v>
      </c>
      <c r="N11" s="107"/>
    </row>
    <row r="12" spans="2:14" ht="12.75" x14ac:dyDescent="0.2">
      <c r="B12" s="60"/>
      <c r="C12" s="81" t="s">
        <v>99</v>
      </c>
      <c r="D12" s="80" t="b">
        <v>0</v>
      </c>
      <c r="E12" s="58"/>
      <c r="F12" s="57"/>
      <c r="K12" s="110"/>
      <c r="L12" s="109" t="s">
        <v>122</v>
      </c>
      <c r="M12" s="108" t="s">
        <v>121</v>
      </c>
      <c r="N12" s="107"/>
    </row>
    <row r="13" spans="2:14" ht="12.75" x14ac:dyDescent="0.2">
      <c r="B13" s="60"/>
      <c r="C13" s="64"/>
      <c r="D13" s="64"/>
      <c r="E13" s="58"/>
      <c r="F13" s="57"/>
      <c r="K13" s="110"/>
      <c r="L13" s="109" t="s">
        <v>154</v>
      </c>
      <c r="M13" s="111" t="s">
        <v>152</v>
      </c>
      <c r="N13" s="107"/>
    </row>
    <row r="14" spans="2:14" ht="12.75" x14ac:dyDescent="0.2">
      <c r="B14" s="60"/>
      <c r="C14" s="77" t="s">
        <v>98</v>
      </c>
      <c r="D14" s="79" t="str">
        <f>_xll.qlPiecewiseYieldCurve(D16,NDays,Calendar,_xll.ohPack(Selected!D2:D126),DayCounter,IF(ISERROR(D22),NA(),D20:E20),IF(ISERROR(D22),NA(),D21:E21),Accuracy,TraitsID,InterpolatorID,Permanent,,ObjectOverwrite)</f>
        <v>_GBPYC1M#0007</v>
      </c>
      <c r="E14" s="58"/>
      <c r="F14" s="57"/>
      <c r="K14" s="110"/>
      <c r="L14" s="109" t="s">
        <v>153</v>
      </c>
      <c r="M14" s="111" t="s">
        <v>152</v>
      </c>
      <c r="N14" s="107"/>
    </row>
    <row r="15" spans="2:14" ht="12.75" x14ac:dyDescent="0.2">
      <c r="B15" s="60"/>
      <c r="C15" s="66" t="s">
        <v>76</v>
      </c>
      <c r="D15" s="78" t="str">
        <f>_xll.ohRangeRetrieveError(YieldCurve)</f>
        <v/>
      </c>
      <c r="E15" s="58"/>
      <c r="F15" s="57"/>
      <c r="K15" s="110"/>
      <c r="L15" s="109" t="s">
        <v>151</v>
      </c>
      <c r="M15" s="111" t="str">
        <f>PROPER(Currency)&amp;"ON"</f>
        <v>GbpON</v>
      </c>
      <c r="N15" s="107"/>
    </row>
    <row r="16" spans="2:14" ht="12.75" x14ac:dyDescent="0.2">
      <c r="B16" s="60"/>
      <c r="C16" s="77" t="s">
        <v>97</v>
      </c>
      <c r="D16" s="76" t="str">
        <f>"_"&amp;Currency&amp;"YC"&amp;IndexTenor</f>
        <v>_GBPYC1M</v>
      </c>
      <c r="E16" s="58"/>
      <c r="F16" s="57"/>
      <c r="K16" s="110"/>
      <c r="L16" s="109" t="s">
        <v>150</v>
      </c>
      <c r="M16" s="111" t="str">
        <f>PROPER(Currency)&amp;"STD"</f>
        <v>GbpSTD</v>
      </c>
      <c r="N16" s="107"/>
    </row>
    <row r="17" spans="2:14" ht="13.5" thickBot="1" x14ac:dyDescent="0.25">
      <c r="B17" s="60"/>
      <c r="C17" s="68" t="s">
        <v>96</v>
      </c>
      <c r="D17" s="75">
        <v>0</v>
      </c>
      <c r="E17" s="58"/>
      <c r="F17" s="57"/>
      <c r="K17" s="106"/>
      <c r="L17" s="105"/>
      <c r="M17" s="105"/>
      <c r="N17" s="104"/>
    </row>
    <row r="18" spans="2:14" x14ac:dyDescent="0.2">
      <c r="B18" s="60"/>
      <c r="C18" s="68" t="s">
        <v>95</v>
      </c>
      <c r="D18" s="74" t="s">
        <v>94</v>
      </c>
      <c r="E18" s="58"/>
      <c r="F18" s="57"/>
    </row>
    <row r="19" spans="2:14" x14ac:dyDescent="0.2">
      <c r="B19" s="60"/>
      <c r="C19" s="68" t="s">
        <v>93</v>
      </c>
      <c r="D19" s="74"/>
      <c r="E19" s="58"/>
      <c r="F19" s="57"/>
    </row>
    <row r="20" spans="2:14" x14ac:dyDescent="0.2">
      <c r="B20" s="60"/>
      <c r="C20" s="68" t="s">
        <v>92</v>
      </c>
      <c r="D20" s="73" t="str">
        <f>Currency&amp;"TOY_SYNTH"&amp;IndexTenor&amp;"_Quote"</f>
        <v>GBPTOY_SYNTH1M_Quote</v>
      </c>
      <c r="E20" s="72" t="str">
        <f>Currency&amp;"TOY2_SYNTH"&amp;IndexTenor&amp;"_Quote"</f>
        <v>GBPTOY2_SYNTH1M_Quote</v>
      </c>
      <c r="F20" s="57"/>
    </row>
    <row r="21" spans="2:14" x14ac:dyDescent="0.2">
      <c r="B21" s="60"/>
      <c r="C21" s="68" t="s">
        <v>91</v>
      </c>
      <c r="D21" s="71">
        <f>DATE(YEAR(_xll.qlCalendarAdvance(Calendar,_xll.qlSettingsEvaluationDate(Trigger),NDays&amp;"D")),12,31)</f>
        <v>42004</v>
      </c>
      <c r="E21" s="70">
        <f>DATE(YEAR(D21+1),12,31)</f>
        <v>42369</v>
      </c>
      <c r="F21" s="57"/>
    </row>
    <row r="22" spans="2:14" x14ac:dyDescent="0.2">
      <c r="B22" s="60"/>
      <c r="C22" s="68" t="s">
        <v>90</v>
      </c>
      <c r="D22" s="73" t="e">
        <f>NA()</f>
        <v>#N/A</v>
      </c>
      <c r="E22" s="69" t="e">
        <f>NA()</f>
        <v>#N/A</v>
      </c>
      <c r="F22" s="57"/>
    </row>
    <row r="23" spans="2:14" x14ac:dyDescent="0.2">
      <c r="B23" s="60"/>
      <c r="C23" s="68" t="s">
        <v>89</v>
      </c>
      <c r="D23" s="69" t="e">
        <f>NA()</f>
        <v>#N/A</v>
      </c>
      <c r="E23" s="244"/>
      <c r="F23" s="57"/>
    </row>
    <row r="24" spans="2:14" x14ac:dyDescent="0.2">
      <c r="B24" s="60"/>
      <c r="C24" s="68" t="s">
        <v>88</v>
      </c>
      <c r="D24" s="67" t="s">
        <v>87</v>
      </c>
      <c r="E24" s="58"/>
      <c r="F24" s="57"/>
    </row>
    <row r="25" spans="2:14" x14ac:dyDescent="0.2">
      <c r="B25" s="60"/>
      <c r="C25" s="66" t="s">
        <v>86</v>
      </c>
      <c r="D25" s="65" t="s">
        <v>85</v>
      </c>
      <c r="E25" s="58"/>
      <c r="F25" s="57"/>
    </row>
    <row r="26" spans="2:14" x14ac:dyDescent="0.2">
      <c r="B26" s="60"/>
      <c r="C26" s="64"/>
      <c r="D26" s="64"/>
      <c r="E26" s="58"/>
      <c r="F26" s="57"/>
    </row>
    <row r="27" spans="2:14" x14ac:dyDescent="0.2">
      <c r="B27" s="60"/>
      <c r="C27" s="63">
        <f>_xll.qlTermStructureReferenceDate(YieldCurve)</f>
        <v>41817</v>
      </c>
      <c r="D27" s="161">
        <f>MAX(_xll.ohPack(Selected!I1:I126))</f>
        <v>1</v>
      </c>
      <c r="E27" s="58"/>
      <c r="F27" s="57"/>
    </row>
    <row r="28" spans="2:14" x14ac:dyDescent="0.2">
      <c r="B28" s="60"/>
      <c r="C28" s="62">
        <f>MAX(_xll.ohPack(Selected!H2:H126))</f>
        <v>63732</v>
      </c>
      <c r="D28" s="162">
        <f>MIN(_xll.ohPack(Selected!I1:I126))</f>
        <v>0.15422528450728129</v>
      </c>
      <c r="E28" s="58"/>
      <c r="F28" s="57"/>
    </row>
    <row r="29" spans="2:14" x14ac:dyDescent="0.2">
      <c r="B29" s="60"/>
      <c r="C29" s="160" t="s">
        <v>76</v>
      </c>
      <c r="D29" s="163" t="str">
        <f>_xll.ohRangeRetrieveError(Selected!I1)</f>
        <v/>
      </c>
      <c r="E29" s="58"/>
      <c r="F29" s="57"/>
    </row>
    <row r="30" spans="2:14" x14ac:dyDescent="0.2">
      <c r="B30" s="60"/>
      <c r="C30" s="160" t="s">
        <v>159</v>
      </c>
      <c r="D30" s="162" t="b">
        <f>_xll.qlRelinkableHandleLinkTo(C30,YieldCurve)</f>
        <v>1</v>
      </c>
      <c r="E30" s="58"/>
      <c r="F30" s="57"/>
    </row>
    <row r="31" spans="2:14" x14ac:dyDescent="0.2">
      <c r="B31" s="60"/>
      <c r="C31" s="59" t="s">
        <v>160</v>
      </c>
      <c r="D31" s="131" t="b">
        <v>0</v>
      </c>
      <c r="E31" s="58"/>
      <c r="F31" s="57"/>
    </row>
    <row r="32" spans="2:14" ht="14.25" customHeight="1" thickBot="1" x14ac:dyDescent="0.25">
      <c r="B32" s="56"/>
      <c r="C32" s="55"/>
      <c r="D32" s="55"/>
      <c r="E32" s="55"/>
      <c r="F32" s="54"/>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69"/>
  <sheetViews>
    <sheetView topLeftCell="E1" workbookViewId="0">
      <selection activeCell="E1" sqref="E1"/>
    </sheetView>
  </sheetViews>
  <sheetFormatPr defaultRowHeight="11.25" x14ac:dyDescent="0.2"/>
  <cols>
    <col min="1" max="1" width="5.7109375" style="1" customWidth="1"/>
    <col min="2" max="2" width="5" style="2" customWidth="1"/>
    <col min="3" max="3" width="8.5703125" style="2" customWidth="1"/>
    <col min="4" max="4" width="4.42578125" style="2" customWidth="1"/>
    <col min="5" max="5" width="23.28515625" style="2" bestFit="1" customWidth="1"/>
    <col min="6" max="6" width="8" style="2" bestFit="1" customWidth="1"/>
    <col min="7" max="7" width="7.140625" style="2" bestFit="1" customWidth="1"/>
    <col min="8" max="9" width="6.7109375" style="2" bestFit="1" customWidth="1"/>
    <col min="10" max="10" width="7.7109375" style="2" bestFit="1" customWidth="1"/>
    <col min="11" max="11" width="14.28515625" style="2" bestFit="1" customWidth="1"/>
    <col min="12" max="12" width="14.140625" style="2" bestFit="1" customWidth="1"/>
    <col min="13" max="13" width="2.7109375" style="1" bestFit="1" customWidth="1"/>
    <col min="14" max="14" width="13.5703125" style="1" bestFit="1" customWidth="1"/>
    <col min="15" max="15" width="28.140625" style="1" bestFit="1" customWidth="1"/>
    <col min="16" max="16" width="3.5703125" style="1" customWidth="1"/>
    <col min="17" max="16384" width="9.140625" style="1"/>
  </cols>
  <sheetData>
    <row r="1" spans="2:14" ht="33.75" x14ac:dyDescent="0.2">
      <c r="B1" s="171" t="s">
        <v>75</v>
      </c>
      <c r="C1" s="172"/>
      <c r="D1" s="173"/>
      <c r="E1" s="31" t="s">
        <v>74</v>
      </c>
      <c r="F1" s="31" t="s">
        <v>73</v>
      </c>
      <c r="G1" s="31" t="s">
        <v>72</v>
      </c>
      <c r="H1" s="31" t="s">
        <v>71</v>
      </c>
      <c r="I1" s="31" t="s">
        <v>70</v>
      </c>
      <c r="J1" s="31" t="s">
        <v>69</v>
      </c>
      <c r="K1" s="31" t="s">
        <v>68</v>
      </c>
      <c r="L1" s="31" t="s">
        <v>67</v>
      </c>
    </row>
    <row r="2" spans="2:14" ht="11.25" customHeight="1" x14ac:dyDescent="0.2">
      <c r="B2" s="30"/>
      <c r="C2" s="15"/>
      <c r="D2" s="14" t="s">
        <v>66</v>
      </c>
      <c r="E2" s="14" t="str">
        <f t="shared" ref="E2:E33" si="0">RateHelperPrefix&amp;"_"&amp;$B2&amp;$C2&amp;$D2</f>
        <v>GBP_YC1MRH_OND</v>
      </c>
      <c r="F2" s="13" t="e">
        <f>_xll.qlRateHelperQuoteValue($E2,Trigger)</f>
        <v>#NUM!</v>
      </c>
      <c r="G2" s="13"/>
      <c r="H2" s="12" t="b">
        <v>0</v>
      </c>
      <c r="I2" s="12">
        <v>10</v>
      </c>
      <c r="J2" s="12">
        <v>1</v>
      </c>
      <c r="K2" s="11" t="e">
        <f>_xll.qlRateHelperEarliestDate($E2,Trigger)</f>
        <v>#NUM!</v>
      </c>
      <c r="L2" s="10" t="e">
        <f>_xll.qlRateHelperLatestDate($E2,Trigger)</f>
        <v>#NUM!</v>
      </c>
      <c r="M2" s="1">
        <v>10</v>
      </c>
      <c r="N2" s="1" t="s">
        <v>65</v>
      </c>
    </row>
    <row r="3" spans="2:14" x14ac:dyDescent="0.2">
      <c r="B3" s="30"/>
      <c r="C3" s="15"/>
      <c r="D3" s="14" t="s">
        <v>64</v>
      </c>
      <c r="E3" s="14" t="str">
        <f t="shared" si="0"/>
        <v>GBP_YC1MRH_TND</v>
      </c>
      <c r="F3" s="13" t="e">
        <f>_xll.qlRateHelperQuoteValue($E3,Trigger)</f>
        <v>#NUM!</v>
      </c>
      <c r="G3" s="13"/>
      <c r="H3" s="12" t="b">
        <v>0</v>
      </c>
      <c r="I3" s="12">
        <v>10</v>
      </c>
      <c r="J3" s="12">
        <v>1</v>
      </c>
      <c r="K3" s="11" t="e">
        <f>_xll.qlRateHelperEarliestDate($E3,Trigger)</f>
        <v>#NUM!</v>
      </c>
      <c r="L3" s="10" t="e">
        <f>_xll.qlRateHelperLatestDate($E3,Trigger)</f>
        <v>#NUM!</v>
      </c>
      <c r="M3" s="1">
        <v>20</v>
      </c>
      <c r="N3" s="1" t="s">
        <v>63</v>
      </c>
    </row>
    <row r="4" spans="2:14" x14ac:dyDescent="0.2">
      <c r="B4" s="30"/>
      <c r="C4" s="15"/>
      <c r="D4" s="14" t="s">
        <v>62</v>
      </c>
      <c r="E4" s="14" t="str">
        <f t="shared" si="0"/>
        <v>GBP_YC1MRH_SND</v>
      </c>
      <c r="F4" s="13">
        <f>_xll.qlRateHelperQuoteValue($E4,Trigger)</f>
        <v>4.9690000000000003E-3</v>
      </c>
      <c r="G4" s="13"/>
      <c r="H4" s="12" t="b">
        <v>0</v>
      </c>
      <c r="I4" s="12">
        <v>10</v>
      </c>
      <c r="J4" s="12">
        <v>1</v>
      </c>
      <c r="K4" s="11">
        <f>_xll.qlRateHelperEarliestDate($E4,Trigger)</f>
        <v>41821</v>
      </c>
      <c r="L4" s="10">
        <f>_xll.qlRateHelperLatestDate($E4,Trigger)</f>
        <v>41822</v>
      </c>
      <c r="M4" s="1">
        <v>30</v>
      </c>
      <c r="N4" s="1" t="s">
        <v>61</v>
      </c>
    </row>
    <row r="5" spans="2:14" x14ac:dyDescent="0.2">
      <c r="B5" s="30"/>
      <c r="C5" s="15"/>
      <c r="D5" s="14" t="s">
        <v>60</v>
      </c>
      <c r="E5" s="14" t="str">
        <f t="shared" si="0"/>
        <v>GBP_YC1MRH_SWD</v>
      </c>
      <c r="F5" s="13">
        <f>_xll.qlRateHelperQuoteValue($E5,Trigger)</f>
        <v>4.9610000000000001E-3</v>
      </c>
      <c r="G5" s="13"/>
      <c r="H5" s="12" t="b">
        <v>0</v>
      </c>
      <c r="I5" s="12">
        <v>10</v>
      </c>
      <c r="J5" s="12">
        <v>1</v>
      </c>
      <c r="K5" s="11">
        <f>_xll.qlRateHelperEarliestDate($E5,Trigger)</f>
        <v>41817</v>
      </c>
      <c r="L5" s="10">
        <f>_xll.qlRateHelperLatestDate($E5,Trigger)</f>
        <v>41824</v>
      </c>
      <c r="M5" s="1">
        <v>40</v>
      </c>
      <c r="N5" s="1" t="s">
        <v>59</v>
      </c>
    </row>
    <row r="6" spans="2:14" x14ac:dyDescent="0.2">
      <c r="B6" s="30"/>
      <c r="C6" s="15"/>
      <c r="D6" s="14" t="s">
        <v>58</v>
      </c>
      <c r="E6" s="14" t="str">
        <f t="shared" si="0"/>
        <v>GBP_YC1MRH_2WD</v>
      </c>
      <c r="F6" s="13">
        <f>_xll.qlRateHelperQuoteValue($E6,Trigger)</f>
        <v>4.9519999999999998E-3</v>
      </c>
      <c r="G6" s="13"/>
      <c r="H6" s="12" t="b">
        <v>0</v>
      </c>
      <c r="I6" s="12">
        <v>10</v>
      </c>
      <c r="J6" s="12">
        <v>1</v>
      </c>
      <c r="K6" s="11">
        <f>_xll.qlRateHelperEarliestDate($E6,Trigger)</f>
        <v>41817</v>
      </c>
      <c r="L6" s="10">
        <f>_xll.qlRateHelperLatestDate($E6,Trigger)</f>
        <v>41831</v>
      </c>
      <c r="M6" s="1">
        <v>50</v>
      </c>
      <c r="N6" s="1" t="s">
        <v>57</v>
      </c>
    </row>
    <row r="7" spans="2:14" x14ac:dyDescent="0.2">
      <c r="B7" s="30"/>
      <c r="C7" s="15"/>
      <c r="D7" s="14" t="s">
        <v>56</v>
      </c>
      <c r="E7" s="14" t="str">
        <f t="shared" si="0"/>
        <v>GBP_YC1MRH_3WD</v>
      </c>
      <c r="F7" s="13">
        <f>_xll.qlRateHelperQuoteValue($E7,Trigger)</f>
        <v>4.9399999999999999E-3</v>
      </c>
      <c r="G7" s="13"/>
      <c r="H7" s="12" t="b">
        <v>0</v>
      </c>
      <c r="I7" s="12">
        <v>10</v>
      </c>
      <c r="J7" s="12">
        <v>1</v>
      </c>
      <c r="K7" s="11">
        <f>_xll.qlRateHelperEarliestDate($E7,Trigger)</f>
        <v>41817</v>
      </c>
      <c r="L7" s="10">
        <f>_xll.qlRateHelperLatestDate($E7,Trigger)</f>
        <v>41838</v>
      </c>
      <c r="M7" s="1">
        <v>60</v>
      </c>
      <c r="N7" s="1" t="s">
        <v>55</v>
      </c>
    </row>
    <row r="8" spans="2:14" x14ac:dyDescent="0.2">
      <c r="B8" s="30"/>
      <c r="C8" s="15"/>
      <c r="D8" s="14" t="s">
        <v>54</v>
      </c>
      <c r="E8" s="14" t="str">
        <f t="shared" si="0"/>
        <v>GBP_YC1MRH_1MD</v>
      </c>
      <c r="F8" s="13">
        <f>_xll.qlRateHelperQuoteValue($E8,Trigger)</f>
        <v>4.9249999999999997E-3</v>
      </c>
      <c r="G8" s="13"/>
      <c r="H8" s="12" t="b">
        <v>1</v>
      </c>
      <c r="I8" s="12">
        <v>10</v>
      </c>
      <c r="J8" s="12">
        <v>1</v>
      </c>
      <c r="K8" s="11">
        <f>_xll.qlRateHelperEarliestDate($E8,Trigger)</f>
        <v>41817</v>
      </c>
      <c r="L8" s="10">
        <f>_xll.qlRateHelperLatestDate($E8,Trigger)</f>
        <v>41848</v>
      </c>
      <c r="M8" s="1">
        <v>70</v>
      </c>
      <c r="N8" s="1" t="s">
        <v>53</v>
      </c>
    </row>
    <row r="9" spans="2:14" x14ac:dyDescent="0.2">
      <c r="B9" s="30"/>
      <c r="C9" s="15"/>
      <c r="D9" s="14" t="s">
        <v>52</v>
      </c>
      <c r="E9" s="14" t="str">
        <f t="shared" si="0"/>
        <v>GBP_YC1MRH_2MD</v>
      </c>
      <c r="F9" s="13" t="e">
        <f>_xll.qlRateHelperQuoteValue($E9,Trigger)</f>
        <v>#NUM!</v>
      </c>
      <c r="G9" s="13"/>
      <c r="H9" s="12" t="b">
        <v>0</v>
      </c>
      <c r="I9" s="12">
        <v>10</v>
      </c>
      <c r="J9" s="12">
        <v>1</v>
      </c>
      <c r="K9" s="11" t="e">
        <f>_xll.qlRateHelperEarliestDate($E9,Trigger)</f>
        <v>#NUM!</v>
      </c>
      <c r="L9" s="10" t="e">
        <f>_xll.qlRateHelperLatestDate($E9,Trigger)</f>
        <v>#NUM!</v>
      </c>
    </row>
    <row r="10" spans="2:14" x14ac:dyDescent="0.2">
      <c r="B10" s="30"/>
      <c r="C10" s="15"/>
      <c r="D10" s="14" t="s">
        <v>51</v>
      </c>
      <c r="E10" s="14" t="str">
        <f t="shared" si="0"/>
        <v>GBP_YC1MRH_3MD</v>
      </c>
      <c r="F10" s="13" t="e">
        <f>_xll.qlRateHelperQuoteValue($E10,Trigger)</f>
        <v>#NUM!</v>
      </c>
      <c r="G10" s="13"/>
      <c r="H10" s="12" t="b">
        <v>0</v>
      </c>
      <c r="I10" s="12">
        <v>10</v>
      </c>
      <c r="J10" s="12">
        <v>1</v>
      </c>
      <c r="K10" s="11" t="e">
        <f>_xll.qlRateHelperEarliestDate($E10,Trigger)</f>
        <v>#NUM!</v>
      </c>
      <c r="L10" s="10" t="e">
        <f>_xll.qlRateHelperLatestDate($E10,Trigger)</f>
        <v>#NUM!</v>
      </c>
    </row>
    <row r="11" spans="2:14" x14ac:dyDescent="0.2">
      <c r="B11" s="30"/>
      <c r="C11" s="15"/>
      <c r="D11" s="14" t="s">
        <v>50</v>
      </c>
      <c r="E11" s="14" t="str">
        <f t="shared" si="0"/>
        <v>GBP_YC1MRH_4MD</v>
      </c>
      <c r="F11" s="13" t="e">
        <f>_xll.qlRateHelperQuoteValue($E11,Trigger)</f>
        <v>#NUM!</v>
      </c>
      <c r="G11" s="13"/>
      <c r="H11" s="12" t="b">
        <v>0</v>
      </c>
      <c r="I11" s="12">
        <v>10</v>
      </c>
      <c r="J11" s="12">
        <v>1</v>
      </c>
      <c r="K11" s="11" t="e">
        <f>_xll.qlRateHelperEarliestDate($E11,Trigger)</f>
        <v>#NUM!</v>
      </c>
      <c r="L11" s="10" t="e">
        <f>_xll.qlRateHelperLatestDate($E11,Trigger)</f>
        <v>#NUM!</v>
      </c>
      <c r="M11" s="1">
        <v>7</v>
      </c>
    </row>
    <row r="12" spans="2:14" x14ac:dyDescent="0.2">
      <c r="B12" s="30"/>
      <c r="C12" s="15"/>
      <c r="D12" s="14" t="s">
        <v>49</v>
      </c>
      <c r="E12" s="14" t="str">
        <f t="shared" si="0"/>
        <v>GBP_YC1MRH_5MD</v>
      </c>
      <c r="F12" s="13" t="e">
        <f>_xll.qlRateHelperQuoteValue($E12,Trigger)</f>
        <v>#NUM!</v>
      </c>
      <c r="G12" s="13"/>
      <c r="H12" s="12" t="b">
        <v>0</v>
      </c>
      <c r="I12" s="12">
        <v>10</v>
      </c>
      <c r="J12" s="12">
        <v>1</v>
      </c>
      <c r="K12" s="11" t="e">
        <f>_xll.qlRateHelperEarliestDate($E12,Trigger)</f>
        <v>#NUM!</v>
      </c>
      <c r="L12" s="10" t="e">
        <f>_xll.qlRateHelperLatestDate($E12,Trigger)</f>
        <v>#NUM!</v>
      </c>
    </row>
    <row r="13" spans="2:14" x14ac:dyDescent="0.2">
      <c r="B13" s="30"/>
      <c r="C13" s="15"/>
      <c r="D13" s="14" t="s">
        <v>48</v>
      </c>
      <c r="E13" s="14" t="str">
        <f t="shared" si="0"/>
        <v>GBP_YC1MRH_6MD</v>
      </c>
      <c r="F13" s="13" t="e">
        <f>_xll.qlRateHelperQuoteValue($E13,Trigger)</f>
        <v>#NUM!</v>
      </c>
      <c r="G13" s="13"/>
      <c r="H13" s="12" t="b">
        <v>0</v>
      </c>
      <c r="I13" s="12">
        <v>70</v>
      </c>
      <c r="J13" s="12">
        <v>1</v>
      </c>
      <c r="K13" s="11" t="e">
        <f>_xll.qlRateHelperEarliestDate($E13,Trigger)</f>
        <v>#NUM!</v>
      </c>
      <c r="L13" s="10" t="e">
        <f>_xll.qlRateHelperLatestDate($E13,Trigger)</f>
        <v>#NUM!</v>
      </c>
    </row>
    <row r="14" spans="2:14" x14ac:dyDescent="0.2">
      <c r="B14" s="30"/>
      <c r="C14" s="15"/>
      <c r="D14" s="14" t="s">
        <v>47</v>
      </c>
      <c r="E14" s="14" t="str">
        <f t="shared" si="0"/>
        <v>GBP_YC1MRH_9MD</v>
      </c>
      <c r="F14" s="13" t="e">
        <f>_xll.qlRateHelperQuoteValue($E14,Trigger)</f>
        <v>#NUM!</v>
      </c>
      <c r="G14" s="13"/>
      <c r="H14" s="12" t="b">
        <v>0</v>
      </c>
      <c r="I14" s="12">
        <v>10</v>
      </c>
      <c r="J14" s="12">
        <v>1</v>
      </c>
      <c r="K14" s="11" t="e">
        <f>_xll.qlRateHelperEarliestDate($E14,Trigger)</f>
        <v>#NUM!</v>
      </c>
      <c r="L14" s="10" t="e">
        <f>_xll.qlRateHelperLatestDate($E14,Trigger)</f>
        <v>#NUM!</v>
      </c>
    </row>
    <row r="15" spans="2:14" x14ac:dyDescent="0.2">
      <c r="B15" s="29"/>
      <c r="C15" s="8"/>
      <c r="D15" s="7" t="s">
        <v>46</v>
      </c>
      <c r="E15" s="7" t="str">
        <f t="shared" si="0"/>
        <v>GBP_YC1MRH_1YD</v>
      </c>
      <c r="F15" s="6" t="e">
        <f>_xll.qlRateHelperQuoteValue($E15,Trigger)</f>
        <v>#NUM!</v>
      </c>
      <c r="G15" s="6"/>
      <c r="H15" s="5" t="b">
        <v>0</v>
      </c>
      <c r="I15" s="5">
        <v>10</v>
      </c>
      <c r="J15" s="5">
        <v>1</v>
      </c>
      <c r="K15" s="4" t="e">
        <f>_xll.qlRateHelperEarliestDate($E15,Trigger)</f>
        <v>#NUM!</v>
      </c>
      <c r="L15" s="3" t="e">
        <f>_xll.qlRateHelperLatestDate($E15,Trigger)</f>
        <v>#NUM!</v>
      </c>
    </row>
    <row r="16" spans="2:14" x14ac:dyDescent="0.2">
      <c r="B16" s="24" t="s">
        <v>45</v>
      </c>
      <c r="C16" s="23">
        <f>Months</f>
        <v>1</v>
      </c>
      <c r="D16" s="21" t="s">
        <v>43</v>
      </c>
      <c r="E16" s="21" t="str">
        <f t="shared" si="0"/>
        <v>GBP_YC1MRH_T1F1</v>
      </c>
      <c r="F16" s="20" t="e">
        <f>_xll.qlRateHelperQuoteValue($E16,Trigger)</f>
        <v>#NUM!</v>
      </c>
      <c r="G16" s="20"/>
      <c r="H16" s="19" t="b">
        <v>0</v>
      </c>
      <c r="I16" s="19">
        <v>20</v>
      </c>
      <c r="J16" s="19">
        <v>7</v>
      </c>
      <c r="K16" s="18" t="e">
        <f>_xll.qlRateHelperEarliestDate($E16,Trigger)</f>
        <v>#NUM!</v>
      </c>
      <c r="L16" s="17" t="e">
        <f>_xll.qlRateHelperLatestDate($E16,Trigger)</f>
        <v>#NUM!</v>
      </c>
    </row>
    <row r="17" spans="2:12" x14ac:dyDescent="0.2">
      <c r="B17" s="9" t="s">
        <v>44</v>
      </c>
      <c r="C17" s="8">
        <f>Months</f>
        <v>1</v>
      </c>
      <c r="D17" s="7" t="s">
        <v>43</v>
      </c>
      <c r="E17" s="7" t="str">
        <f t="shared" si="0"/>
        <v>GBP_YC1MRH_TOM1F1</v>
      </c>
      <c r="F17" s="6" t="e">
        <f>_xll.qlRateHelperQuoteValue($E17,Trigger)</f>
        <v>#NUM!</v>
      </c>
      <c r="G17" s="6"/>
      <c r="H17" s="5" t="b">
        <v>0</v>
      </c>
      <c r="I17" s="5">
        <v>20</v>
      </c>
      <c r="J17" s="5">
        <v>7</v>
      </c>
      <c r="K17" s="4" t="e">
        <f>_xll.qlRateHelperEarliestDate($E17,Trigger)</f>
        <v>#NUM!</v>
      </c>
      <c r="L17" s="3" t="e">
        <f>_xll.qlRateHelperLatestDate($E17,Trigger)</f>
        <v>#NUM!</v>
      </c>
    </row>
    <row r="18" spans="2:12" x14ac:dyDescent="0.2">
      <c r="B18" s="16">
        <v>1</v>
      </c>
      <c r="C18" s="15" t="s">
        <v>42</v>
      </c>
      <c r="D18" s="14" t="str">
        <f t="shared" ref="D18:D35" si="1">(B18+Months)&amp;"F"</f>
        <v>2F</v>
      </c>
      <c r="E18" s="14" t="str">
        <f t="shared" si="0"/>
        <v>GBP_YC1MRH_1x2F</v>
      </c>
      <c r="F18" s="13" t="e">
        <f>_xll.qlRateHelperQuoteValue($E18,Trigger)</f>
        <v>#NUM!</v>
      </c>
      <c r="G18" s="13"/>
      <c r="H18" s="12" t="b">
        <v>0</v>
      </c>
      <c r="I18" s="12">
        <v>20</v>
      </c>
      <c r="J18" s="12">
        <v>7</v>
      </c>
      <c r="K18" s="11" t="e">
        <f>_xll.qlRateHelperEarliestDate($E18,Trigger)</f>
        <v>#NUM!</v>
      </c>
      <c r="L18" s="10" t="e">
        <f>_xll.qlRateHelperLatestDate($E18,Trigger)</f>
        <v>#NUM!</v>
      </c>
    </row>
    <row r="19" spans="2:12" x14ac:dyDescent="0.2">
      <c r="B19" s="16">
        <v>2</v>
      </c>
      <c r="C19" s="15" t="s">
        <v>42</v>
      </c>
      <c r="D19" s="14" t="str">
        <f t="shared" si="1"/>
        <v>3F</v>
      </c>
      <c r="E19" s="14" t="str">
        <f t="shared" si="0"/>
        <v>GBP_YC1MRH_2x3F</v>
      </c>
      <c r="F19" s="13" t="e">
        <f>_xll.qlRateHelperQuoteValue($E19,Trigger)</f>
        <v>#NUM!</v>
      </c>
      <c r="G19" s="13"/>
      <c r="H19" s="12" t="b">
        <v>0</v>
      </c>
      <c r="I19" s="12">
        <v>20</v>
      </c>
      <c r="J19" s="12">
        <v>7</v>
      </c>
      <c r="K19" s="11" t="e">
        <f>_xll.qlRateHelperEarliestDate($E19,Trigger)</f>
        <v>#NUM!</v>
      </c>
      <c r="L19" s="10" t="e">
        <f>_xll.qlRateHelperLatestDate($E19,Trigger)</f>
        <v>#NUM!</v>
      </c>
    </row>
    <row r="20" spans="2:12" x14ac:dyDescent="0.2">
      <c r="B20" s="16">
        <v>3</v>
      </c>
      <c r="C20" s="15" t="s">
        <v>42</v>
      </c>
      <c r="D20" s="14" t="str">
        <f t="shared" si="1"/>
        <v>4F</v>
      </c>
      <c r="E20" s="14" t="str">
        <f t="shared" si="0"/>
        <v>GBP_YC1MRH_3x4F</v>
      </c>
      <c r="F20" s="13" t="e">
        <f>_xll.qlRateHelperQuoteValue($E20,Trigger)</f>
        <v>#NUM!</v>
      </c>
      <c r="G20" s="13"/>
      <c r="H20" s="12" t="b">
        <v>0</v>
      </c>
      <c r="I20" s="12">
        <v>20</v>
      </c>
      <c r="J20" s="12">
        <v>7</v>
      </c>
      <c r="K20" s="11" t="e">
        <f>_xll.qlRateHelperEarliestDate($E20,Trigger)</f>
        <v>#NUM!</v>
      </c>
      <c r="L20" s="10" t="e">
        <f>_xll.qlRateHelperLatestDate($E20,Trigger)</f>
        <v>#NUM!</v>
      </c>
    </row>
    <row r="21" spans="2:12" x14ac:dyDescent="0.2">
      <c r="B21" s="16">
        <v>4</v>
      </c>
      <c r="C21" s="15" t="s">
        <v>42</v>
      </c>
      <c r="D21" s="14" t="str">
        <f t="shared" si="1"/>
        <v>5F</v>
      </c>
      <c r="E21" s="14" t="str">
        <f t="shared" si="0"/>
        <v>GBP_YC1MRH_4x5F</v>
      </c>
      <c r="F21" s="13" t="e">
        <f>_xll.qlRateHelperQuoteValue($E21,Trigger)</f>
        <v>#NUM!</v>
      </c>
      <c r="G21" s="13"/>
      <c r="H21" s="12" t="b">
        <v>0</v>
      </c>
      <c r="I21" s="12">
        <v>20</v>
      </c>
      <c r="J21" s="12">
        <v>7</v>
      </c>
      <c r="K21" s="11" t="e">
        <f>_xll.qlRateHelperEarliestDate($E21,Trigger)</f>
        <v>#NUM!</v>
      </c>
      <c r="L21" s="10" t="e">
        <f>_xll.qlRateHelperLatestDate($E21,Trigger)</f>
        <v>#NUM!</v>
      </c>
    </row>
    <row r="22" spans="2:12" x14ac:dyDescent="0.2">
      <c r="B22" s="16">
        <v>5</v>
      </c>
      <c r="C22" s="15" t="s">
        <v>42</v>
      </c>
      <c r="D22" s="14" t="str">
        <f t="shared" si="1"/>
        <v>6F</v>
      </c>
      <c r="E22" s="14" t="str">
        <f t="shared" si="0"/>
        <v>GBP_YC1MRH_5x6F</v>
      </c>
      <c r="F22" s="13" t="e">
        <f>_xll.qlRateHelperQuoteValue($E22,Trigger)</f>
        <v>#NUM!</v>
      </c>
      <c r="G22" s="13"/>
      <c r="H22" s="12" t="b">
        <v>0</v>
      </c>
      <c r="I22" s="12">
        <v>20</v>
      </c>
      <c r="J22" s="12">
        <v>7</v>
      </c>
      <c r="K22" s="11" t="e">
        <f>_xll.qlRateHelperEarliestDate($E22,Trigger)</f>
        <v>#NUM!</v>
      </c>
      <c r="L22" s="10" t="e">
        <f>_xll.qlRateHelperLatestDate($E22,Trigger)</f>
        <v>#NUM!</v>
      </c>
    </row>
    <row r="23" spans="2:12" x14ac:dyDescent="0.2">
      <c r="B23" s="16">
        <v>6</v>
      </c>
      <c r="C23" s="15" t="s">
        <v>42</v>
      </c>
      <c r="D23" s="14" t="str">
        <f t="shared" si="1"/>
        <v>7F</v>
      </c>
      <c r="E23" s="14" t="str">
        <f t="shared" si="0"/>
        <v>GBP_YC1MRH_6x7F</v>
      </c>
      <c r="F23" s="13" t="e">
        <f>_xll.qlRateHelperQuoteValue($E23,Trigger)</f>
        <v>#NUM!</v>
      </c>
      <c r="G23" s="13"/>
      <c r="H23" s="12" t="b">
        <v>0</v>
      </c>
      <c r="I23" s="12">
        <v>20</v>
      </c>
      <c r="J23" s="12">
        <v>7</v>
      </c>
      <c r="K23" s="11" t="e">
        <f>_xll.qlRateHelperEarliestDate($E23,Trigger)</f>
        <v>#NUM!</v>
      </c>
      <c r="L23" s="10" t="e">
        <f>_xll.qlRateHelperLatestDate($E23,Trigger)</f>
        <v>#NUM!</v>
      </c>
    </row>
    <row r="24" spans="2:12" x14ac:dyDescent="0.2">
      <c r="B24" s="16">
        <v>7</v>
      </c>
      <c r="C24" s="15" t="s">
        <v>42</v>
      </c>
      <c r="D24" s="14" t="str">
        <f t="shared" si="1"/>
        <v>8F</v>
      </c>
      <c r="E24" s="14" t="str">
        <f t="shared" si="0"/>
        <v>GBP_YC1MRH_7x8F</v>
      </c>
      <c r="F24" s="13" t="e">
        <f>_xll.qlRateHelperQuoteValue($E24,Trigger)</f>
        <v>#NUM!</v>
      </c>
      <c r="G24" s="13"/>
      <c r="H24" s="12" t="b">
        <v>0</v>
      </c>
      <c r="I24" s="12">
        <v>20</v>
      </c>
      <c r="J24" s="12">
        <v>7</v>
      </c>
      <c r="K24" s="11" t="e">
        <f>_xll.qlRateHelperEarliestDate($E24,Trigger)</f>
        <v>#NUM!</v>
      </c>
      <c r="L24" s="10" t="e">
        <f>_xll.qlRateHelperLatestDate($E24,Trigger)</f>
        <v>#NUM!</v>
      </c>
    </row>
    <row r="25" spans="2:12" x14ac:dyDescent="0.2">
      <c r="B25" s="16">
        <v>8</v>
      </c>
      <c r="C25" s="15" t="s">
        <v>42</v>
      </c>
      <c r="D25" s="14" t="str">
        <f t="shared" si="1"/>
        <v>9F</v>
      </c>
      <c r="E25" s="14" t="str">
        <f t="shared" si="0"/>
        <v>GBP_YC1MRH_8x9F</v>
      </c>
      <c r="F25" s="13" t="e">
        <f>_xll.qlRateHelperQuoteValue($E25,Trigger)</f>
        <v>#NUM!</v>
      </c>
      <c r="G25" s="13"/>
      <c r="H25" s="12" t="b">
        <v>0</v>
      </c>
      <c r="I25" s="12">
        <v>20</v>
      </c>
      <c r="J25" s="12">
        <v>7</v>
      </c>
      <c r="K25" s="11" t="e">
        <f>_xll.qlRateHelperEarliestDate($E25,Trigger)</f>
        <v>#NUM!</v>
      </c>
      <c r="L25" s="10" t="e">
        <f>_xll.qlRateHelperLatestDate($E25,Trigger)</f>
        <v>#NUM!</v>
      </c>
    </row>
    <row r="26" spans="2:12" x14ac:dyDescent="0.2">
      <c r="B26" s="16">
        <v>9</v>
      </c>
      <c r="C26" s="15" t="s">
        <v>42</v>
      </c>
      <c r="D26" s="14" t="str">
        <f t="shared" si="1"/>
        <v>10F</v>
      </c>
      <c r="E26" s="14" t="str">
        <f t="shared" si="0"/>
        <v>GBP_YC1MRH_9x10F</v>
      </c>
      <c r="F26" s="13" t="e">
        <f>_xll.qlRateHelperQuoteValue($E26,Trigger)</f>
        <v>#NUM!</v>
      </c>
      <c r="G26" s="13"/>
      <c r="H26" s="12" t="b">
        <v>0</v>
      </c>
      <c r="I26" s="12">
        <v>20</v>
      </c>
      <c r="J26" s="12">
        <v>7</v>
      </c>
      <c r="K26" s="11" t="e">
        <f>_xll.qlRateHelperEarliestDate($E26,Trigger)</f>
        <v>#NUM!</v>
      </c>
      <c r="L26" s="10" t="e">
        <f>_xll.qlRateHelperLatestDate($E26,Trigger)</f>
        <v>#NUM!</v>
      </c>
    </row>
    <row r="27" spans="2:12" x14ac:dyDescent="0.2">
      <c r="B27" s="16">
        <v>10</v>
      </c>
      <c r="C27" s="15" t="s">
        <v>42</v>
      </c>
      <c r="D27" s="14" t="str">
        <f t="shared" si="1"/>
        <v>11F</v>
      </c>
      <c r="E27" s="14" t="str">
        <f t="shared" si="0"/>
        <v>GBP_YC1MRH_10x11F</v>
      </c>
      <c r="F27" s="13" t="e">
        <f>_xll.qlRateHelperQuoteValue($E27,Trigger)</f>
        <v>#NUM!</v>
      </c>
      <c r="G27" s="13"/>
      <c r="H27" s="12" t="b">
        <v>0</v>
      </c>
      <c r="I27" s="12">
        <v>20</v>
      </c>
      <c r="J27" s="12">
        <v>7</v>
      </c>
      <c r="K27" s="11" t="e">
        <f>_xll.qlRateHelperEarliestDate($E27,Trigger)</f>
        <v>#NUM!</v>
      </c>
      <c r="L27" s="10" t="e">
        <f>_xll.qlRateHelperLatestDate($E27,Trigger)</f>
        <v>#NUM!</v>
      </c>
    </row>
    <row r="28" spans="2:12" x14ac:dyDescent="0.2">
      <c r="B28" s="16">
        <v>11</v>
      </c>
      <c r="C28" s="15" t="s">
        <v>42</v>
      </c>
      <c r="D28" s="14" t="str">
        <f t="shared" si="1"/>
        <v>12F</v>
      </c>
      <c r="E28" s="14" t="str">
        <f t="shared" si="0"/>
        <v>GBP_YC1MRH_11x12F</v>
      </c>
      <c r="F28" s="13" t="e">
        <f>_xll.qlRateHelperQuoteValue($E28,Trigger)</f>
        <v>#NUM!</v>
      </c>
      <c r="G28" s="13"/>
      <c r="H28" s="12" t="b">
        <v>0</v>
      </c>
      <c r="I28" s="12">
        <v>20</v>
      </c>
      <c r="J28" s="12">
        <v>7</v>
      </c>
      <c r="K28" s="11" t="e">
        <f>_xll.qlRateHelperEarliestDate($E28,Trigger)</f>
        <v>#NUM!</v>
      </c>
      <c r="L28" s="10" t="e">
        <f>_xll.qlRateHelperLatestDate($E28,Trigger)</f>
        <v>#NUM!</v>
      </c>
    </row>
    <row r="29" spans="2:12" x14ac:dyDescent="0.2">
      <c r="B29" s="16">
        <v>12</v>
      </c>
      <c r="C29" s="15" t="s">
        <v>42</v>
      </c>
      <c r="D29" s="14" t="str">
        <f t="shared" si="1"/>
        <v>13F</v>
      </c>
      <c r="E29" s="14" t="str">
        <f t="shared" si="0"/>
        <v>GBP_YC1MRH_12x13F</v>
      </c>
      <c r="F29" s="13" t="e">
        <f>_xll.qlRateHelperQuoteValue($E29,Trigger)</f>
        <v>#NUM!</v>
      </c>
      <c r="G29" s="13"/>
      <c r="H29" s="12" t="b">
        <v>0</v>
      </c>
      <c r="I29" s="12">
        <v>20</v>
      </c>
      <c r="J29" s="12">
        <v>7</v>
      </c>
      <c r="K29" s="11" t="e">
        <f>_xll.qlRateHelperEarliestDate($E29,Trigger)</f>
        <v>#NUM!</v>
      </c>
      <c r="L29" s="10" t="e">
        <f>_xll.qlRateHelperLatestDate($E29,Trigger)</f>
        <v>#NUM!</v>
      </c>
    </row>
    <row r="30" spans="2:12" x14ac:dyDescent="0.2">
      <c r="B30" s="16">
        <v>13</v>
      </c>
      <c r="C30" s="15" t="s">
        <v>42</v>
      </c>
      <c r="D30" s="14" t="str">
        <f t="shared" si="1"/>
        <v>14F</v>
      </c>
      <c r="E30" s="14" t="str">
        <f t="shared" si="0"/>
        <v>GBP_YC1MRH_13x14F</v>
      </c>
      <c r="F30" s="13" t="e">
        <f>_xll.qlRateHelperQuoteValue($E30,Trigger)</f>
        <v>#NUM!</v>
      </c>
      <c r="G30" s="13"/>
      <c r="H30" s="12" t="b">
        <v>0</v>
      </c>
      <c r="I30" s="12">
        <v>20</v>
      </c>
      <c r="J30" s="12">
        <v>7</v>
      </c>
      <c r="K30" s="11" t="e">
        <f>_xll.qlRateHelperEarliestDate($E30,Trigger)</f>
        <v>#NUM!</v>
      </c>
      <c r="L30" s="10" t="e">
        <f>_xll.qlRateHelperLatestDate($E30,Trigger)</f>
        <v>#NUM!</v>
      </c>
    </row>
    <row r="31" spans="2:12" x14ac:dyDescent="0.2">
      <c r="B31" s="16">
        <v>14</v>
      </c>
      <c r="C31" s="15" t="s">
        <v>42</v>
      </c>
      <c r="D31" s="14" t="str">
        <f t="shared" si="1"/>
        <v>15F</v>
      </c>
      <c r="E31" s="14" t="str">
        <f t="shared" si="0"/>
        <v>GBP_YC1MRH_14x15F</v>
      </c>
      <c r="F31" s="13" t="e">
        <f>_xll.qlRateHelperQuoteValue($E31,Trigger)</f>
        <v>#NUM!</v>
      </c>
      <c r="G31" s="13"/>
      <c r="H31" s="12" t="b">
        <v>0</v>
      </c>
      <c r="I31" s="12">
        <v>20</v>
      </c>
      <c r="J31" s="12">
        <v>7</v>
      </c>
      <c r="K31" s="11" t="e">
        <f>_xll.qlRateHelperEarliestDate($E31,Trigger)</f>
        <v>#NUM!</v>
      </c>
      <c r="L31" s="10" t="e">
        <f>_xll.qlRateHelperLatestDate($E31,Trigger)</f>
        <v>#NUM!</v>
      </c>
    </row>
    <row r="32" spans="2:12" x14ac:dyDescent="0.2">
      <c r="B32" s="16">
        <v>15</v>
      </c>
      <c r="C32" s="15" t="s">
        <v>42</v>
      </c>
      <c r="D32" s="14" t="str">
        <f t="shared" si="1"/>
        <v>16F</v>
      </c>
      <c r="E32" s="14" t="str">
        <f t="shared" si="0"/>
        <v>GBP_YC1MRH_15x16F</v>
      </c>
      <c r="F32" s="13" t="e">
        <f>_xll.qlRateHelperQuoteValue($E32,Trigger)</f>
        <v>#NUM!</v>
      </c>
      <c r="G32" s="13"/>
      <c r="H32" s="12" t="b">
        <v>0</v>
      </c>
      <c r="I32" s="12">
        <v>20</v>
      </c>
      <c r="J32" s="12">
        <v>7</v>
      </c>
      <c r="K32" s="11" t="e">
        <f>_xll.qlRateHelperEarliestDate($E32,Trigger)</f>
        <v>#NUM!</v>
      </c>
      <c r="L32" s="10" t="e">
        <f>_xll.qlRateHelperLatestDate($E32,Trigger)</f>
        <v>#NUM!</v>
      </c>
    </row>
    <row r="33" spans="1:12" x14ac:dyDescent="0.2">
      <c r="B33" s="16">
        <v>16</v>
      </c>
      <c r="C33" s="15" t="s">
        <v>42</v>
      </c>
      <c r="D33" s="14" t="str">
        <f t="shared" si="1"/>
        <v>17F</v>
      </c>
      <c r="E33" s="14" t="str">
        <f t="shared" si="0"/>
        <v>GBP_YC1MRH_16x17F</v>
      </c>
      <c r="F33" s="13" t="e">
        <f>_xll.qlRateHelperQuoteValue($E33,Trigger)</f>
        <v>#NUM!</v>
      </c>
      <c r="G33" s="13"/>
      <c r="H33" s="12" t="b">
        <v>0</v>
      </c>
      <c r="I33" s="12">
        <v>20</v>
      </c>
      <c r="J33" s="12">
        <v>7</v>
      </c>
      <c r="K33" s="11" t="e">
        <f>_xll.qlRateHelperEarliestDate($E33,Trigger)</f>
        <v>#NUM!</v>
      </c>
      <c r="L33" s="10" t="e">
        <f>_xll.qlRateHelperLatestDate($E33,Trigger)</f>
        <v>#NUM!</v>
      </c>
    </row>
    <row r="34" spans="1:12" x14ac:dyDescent="0.2">
      <c r="B34" s="16">
        <v>17</v>
      </c>
      <c r="C34" s="15" t="s">
        <v>42</v>
      </c>
      <c r="D34" s="14" t="str">
        <f t="shared" si="1"/>
        <v>18F</v>
      </c>
      <c r="E34" s="14" t="str">
        <f t="shared" ref="E34:E65" si="2">RateHelperPrefix&amp;"_"&amp;$B34&amp;$C34&amp;$D34</f>
        <v>GBP_YC1MRH_17x18F</v>
      </c>
      <c r="F34" s="13" t="e">
        <f>_xll.qlRateHelperQuoteValue($E34,Trigger)</f>
        <v>#NUM!</v>
      </c>
      <c r="G34" s="13"/>
      <c r="H34" s="12" t="b">
        <v>0</v>
      </c>
      <c r="I34" s="12">
        <v>20</v>
      </c>
      <c r="J34" s="12">
        <v>7</v>
      </c>
      <c r="K34" s="11" t="e">
        <f>_xll.qlRateHelperEarliestDate($E34,Trigger)</f>
        <v>#NUM!</v>
      </c>
      <c r="L34" s="10" t="e">
        <f>_xll.qlRateHelperLatestDate($E34,Trigger)</f>
        <v>#NUM!</v>
      </c>
    </row>
    <row r="35" spans="1:12" x14ac:dyDescent="0.2">
      <c r="B35" s="9">
        <v>18</v>
      </c>
      <c r="C35" s="8" t="s">
        <v>42</v>
      </c>
      <c r="D35" s="7" t="str">
        <f t="shared" si="1"/>
        <v>19F</v>
      </c>
      <c r="E35" s="7" t="str">
        <f t="shared" si="2"/>
        <v>GBP_YC1MRH_18x19F</v>
      </c>
      <c r="F35" s="6" t="e">
        <f>_xll.qlRateHelperQuoteValue($E35,Trigger)</f>
        <v>#NUM!</v>
      </c>
      <c r="G35" s="6"/>
      <c r="H35" s="5" t="b">
        <v>0</v>
      </c>
      <c r="I35" s="5">
        <v>20</v>
      </c>
      <c r="J35" s="5">
        <v>7</v>
      </c>
      <c r="K35" s="4" t="e">
        <f>_xll.qlRateHelperEarliestDate($E35,Trigger)</f>
        <v>#NUM!</v>
      </c>
      <c r="L35" s="3" t="e">
        <f>_xll.qlRateHelperLatestDate($E35,Trigger)</f>
        <v>#NUM!</v>
      </c>
    </row>
    <row r="36" spans="1:12" ht="11.25" customHeight="1" x14ac:dyDescent="0.2">
      <c r="A36" s="23" t="b">
        <v>0</v>
      </c>
      <c r="B36" s="16"/>
      <c r="C36" s="15" t="str">
        <f t="shared" ref="C36:C77" si="3">IF(IndexTenor="6M","IMMFRA","FUT")&amp;IndexTenor</f>
        <v>FUT1M</v>
      </c>
      <c r="D36" s="14" t="str">
        <f t="array" ref="D36:D77">_xll.qlIMMNextCodes(_xll.qlSettingsEvaluationDate(Trigger)-1,$A36:$A77)</f>
        <v>N4</v>
      </c>
      <c r="E36" s="14" t="str">
        <f t="shared" si="2"/>
        <v>GBP_YC1MRH_FUT1MN4</v>
      </c>
      <c r="F36" s="28" t="e">
        <f>_xll.qlRateHelperQuoteValue($E36,Trigger)</f>
        <v>#NUM!</v>
      </c>
      <c r="G36" s="13" t="e">
        <f>_xll.qlFuturesRateHelperConvexityAdjustment($E36,Trigger)</f>
        <v>#NUM!</v>
      </c>
      <c r="H36" s="12" t="b">
        <v>0</v>
      </c>
      <c r="I36" s="12">
        <v>60</v>
      </c>
      <c r="J36" s="12">
        <v>1</v>
      </c>
      <c r="K36" s="11" t="e">
        <f>_xll.qlRateHelperEarliestDate($E36,Trigger)</f>
        <v>#NUM!</v>
      </c>
      <c r="L36" s="10" t="e">
        <f>_xll.qlRateHelperLatestDate($E36,Trigger)</f>
        <v>#NUM!</v>
      </c>
    </row>
    <row r="37" spans="1:12" x14ac:dyDescent="0.2">
      <c r="A37" s="15" t="b">
        <v>0</v>
      </c>
      <c r="B37" s="16"/>
      <c r="C37" s="15" t="str">
        <f t="shared" si="3"/>
        <v>FUT1M</v>
      </c>
      <c r="D37" s="14" t="str">
        <v>Q4</v>
      </c>
      <c r="E37" s="14" t="str">
        <f t="shared" si="2"/>
        <v>GBP_YC1MRH_FUT1MQ4</v>
      </c>
      <c r="F37" s="28" t="e">
        <f>_xll.qlRateHelperQuoteValue($E37,Trigger)</f>
        <v>#NUM!</v>
      </c>
      <c r="G37" s="13" t="e">
        <f>_xll.qlFuturesRateHelperConvexityAdjustment($E37,Trigger)</f>
        <v>#NUM!</v>
      </c>
      <c r="H37" s="12" t="b">
        <v>0</v>
      </c>
      <c r="I37" s="12">
        <v>60</v>
      </c>
      <c r="J37" s="12">
        <v>1</v>
      </c>
      <c r="K37" s="11" t="e">
        <f>_xll.qlRateHelperEarliestDate($E37,Trigger)</f>
        <v>#NUM!</v>
      </c>
      <c r="L37" s="10" t="e">
        <f>_xll.qlRateHelperLatestDate($E37,Trigger)</f>
        <v>#NUM!</v>
      </c>
    </row>
    <row r="38" spans="1:12" x14ac:dyDescent="0.2">
      <c r="A38" s="15" t="b">
        <v>0</v>
      </c>
      <c r="B38" s="16"/>
      <c r="C38" s="15" t="str">
        <f t="shared" si="3"/>
        <v>FUT1M</v>
      </c>
      <c r="D38" s="14" t="str">
        <v>U4</v>
      </c>
      <c r="E38" s="14" t="str">
        <f t="shared" si="2"/>
        <v>GBP_YC1MRH_FUT1MU4</v>
      </c>
      <c r="F38" s="28" t="e">
        <f>_xll.qlRateHelperQuoteValue($E38,Trigger)</f>
        <v>#NUM!</v>
      </c>
      <c r="G38" s="13" t="e">
        <f>_xll.qlFuturesRateHelperConvexityAdjustment($E38,Trigger)</f>
        <v>#NUM!</v>
      </c>
      <c r="H38" s="12" t="b">
        <v>0</v>
      </c>
      <c r="I38" s="12">
        <v>60</v>
      </c>
      <c r="J38" s="12">
        <v>1</v>
      </c>
      <c r="K38" s="11" t="e">
        <f>_xll.qlRateHelperEarliestDate($E38,Trigger)</f>
        <v>#NUM!</v>
      </c>
      <c r="L38" s="10" t="e">
        <f>_xll.qlRateHelperLatestDate($E38,Trigger)</f>
        <v>#NUM!</v>
      </c>
    </row>
    <row r="39" spans="1:12" x14ac:dyDescent="0.2">
      <c r="A39" s="15" t="b">
        <v>0</v>
      </c>
      <c r="B39" s="16"/>
      <c r="C39" s="15" t="str">
        <f t="shared" si="3"/>
        <v>FUT1M</v>
      </c>
      <c r="D39" s="14" t="str">
        <v>V4</v>
      </c>
      <c r="E39" s="14" t="str">
        <f t="shared" si="2"/>
        <v>GBP_YC1MRH_FUT1MV4</v>
      </c>
      <c r="F39" s="28" t="e">
        <f>_xll.qlRateHelperQuoteValue($E39,Trigger)</f>
        <v>#NUM!</v>
      </c>
      <c r="G39" s="13" t="e">
        <f>_xll.qlFuturesRateHelperConvexityAdjustment($E39,Trigger)</f>
        <v>#NUM!</v>
      </c>
      <c r="H39" s="12" t="b">
        <v>0</v>
      </c>
      <c r="I39" s="12">
        <v>60</v>
      </c>
      <c r="J39" s="12">
        <v>1</v>
      </c>
      <c r="K39" s="11" t="e">
        <f>_xll.qlRateHelperEarliestDate($E39,Trigger)</f>
        <v>#NUM!</v>
      </c>
      <c r="L39" s="10" t="e">
        <f>_xll.qlRateHelperLatestDate($E39,Trigger)</f>
        <v>#NUM!</v>
      </c>
    </row>
    <row r="40" spans="1:12" x14ac:dyDescent="0.2">
      <c r="A40" s="15" t="b">
        <v>0</v>
      </c>
      <c r="B40" s="16"/>
      <c r="C40" s="15" t="str">
        <f t="shared" si="3"/>
        <v>FUT1M</v>
      </c>
      <c r="D40" s="14" t="str">
        <v>X4</v>
      </c>
      <c r="E40" s="14" t="str">
        <f t="shared" si="2"/>
        <v>GBP_YC1MRH_FUT1MX4</v>
      </c>
      <c r="F40" s="28" t="e">
        <f>_xll.qlRateHelperQuoteValue($E40,Trigger)</f>
        <v>#NUM!</v>
      </c>
      <c r="G40" s="13" t="e">
        <f>_xll.qlFuturesRateHelperConvexityAdjustment($E40,Trigger)</f>
        <v>#NUM!</v>
      </c>
      <c r="H40" s="12" t="b">
        <v>0</v>
      </c>
      <c r="I40" s="12">
        <v>60</v>
      </c>
      <c r="J40" s="12">
        <v>1</v>
      </c>
      <c r="K40" s="11" t="e">
        <f>_xll.qlRateHelperEarliestDate($E40,Trigger)</f>
        <v>#NUM!</v>
      </c>
      <c r="L40" s="10" t="e">
        <f>_xll.qlRateHelperLatestDate($E40,Trigger)</f>
        <v>#NUM!</v>
      </c>
    </row>
    <row r="41" spans="1:12" x14ac:dyDescent="0.2">
      <c r="A41" s="15" t="b">
        <v>0</v>
      </c>
      <c r="B41" s="16"/>
      <c r="C41" s="15" t="str">
        <f t="shared" si="3"/>
        <v>FUT1M</v>
      </c>
      <c r="D41" s="14" t="str">
        <v>Z4</v>
      </c>
      <c r="E41" s="14" t="str">
        <f t="shared" si="2"/>
        <v>GBP_YC1MRH_FUT1MZ4</v>
      </c>
      <c r="F41" s="28" t="e">
        <f>_xll.qlRateHelperQuoteValue($E41,Trigger)</f>
        <v>#NUM!</v>
      </c>
      <c r="G41" s="13" t="e">
        <f>_xll.qlFuturesRateHelperConvexityAdjustment($E41,Trigger)</f>
        <v>#NUM!</v>
      </c>
      <c r="H41" s="12" t="b">
        <v>0</v>
      </c>
      <c r="I41" s="12">
        <v>60</v>
      </c>
      <c r="J41" s="12">
        <v>1</v>
      </c>
      <c r="K41" s="11" t="e">
        <f>_xll.qlRateHelperEarliestDate($E41,Trigger)</f>
        <v>#NUM!</v>
      </c>
      <c r="L41" s="10" t="e">
        <f>_xll.qlRateHelperLatestDate($E41,Trigger)</f>
        <v>#NUM!</v>
      </c>
    </row>
    <row r="42" spans="1:12" x14ac:dyDescent="0.2">
      <c r="A42" s="15" t="b">
        <v>0</v>
      </c>
      <c r="B42" s="16"/>
      <c r="C42" s="15" t="str">
        <f t="shared" si="3"/>
        <v>FUT1M</v>
      </c>
      <c r="D42" s="14" t="str">
        <v>F5</v>
      </c>
      <c r="E42" s="14" t="str">
        <f t="shared" si="2"/>
        <v>GBP_YC1MRH_FUT1MF5</v>
      </c>
      <c r="F42" s="28" t="e">
        <f>_xll.qlRateHelperQuoteValue($E42,Trigger)</f>
        <v>#NUM!</v>
      </c>
      <c r="G42" s="13" t="e">
        <f>_xll.qlFuturesRateHelperConvexityAdjustment($E42,Trigger)</f>
        <v>#NUM!</v>
      </c>
      <c r="H42" s="12" t="b">
        <v>0</v>
      </c>
      <c r="I42" s="12">
        <v>60</v>
      </c>
      <c r="J42" s="12">
        <v>1</v>
      </c>
      <c r="K42" s="11" t="e">
        <f>_xll.qlRateHelperEarliestDate($E42,Trigger)</f>
        <v>#NUM!</v>
      </c>
      <c r="L42" s="10" t="e">
        <f>_xll.qlRateHelperLatestDate($E42,Trigger)</f>
        <v>#NUM!</v>
      </c>
    </row>
    <row r="43" spans="1:12" x14ac:dyDescent="0.2">
      <c r="A43" s="15" t="b">
        <v>0</v>
      </c>
      <c r="B43" s="16"/>
      <c r="C43" s="15" t="str">
        <f t="shared" si="3"/>
        <v>FUT1M</v>
      </c>
      <c r="D43" s="14" t="str">
        <v>G5</v>
      </c>
      <c r="E43" s="14" t="str">
        <f t="shared" si="2"/>
        <v>GBP_YC1MRH_FUT1MG5</v>
      </c>
      <c r="F43" s="28" t="e">
        <f>_xll.qlRateHelperQuoteValue($E43,Trigger)</f>
        <v>#NUM!</v>
      </c>
      <c r="G43" s="13" t="e">
        <f>_xll.qlFuturesRateHelperConvexityAdjustment($E43,Trigger)</f>
        <v>#NUM!</v>
      </c>
      <c r="H43" s="12" t="b">
        <v>0</v>
      </c>
      <c r="I43" s="12">
        <v>60</v>
      </c>
      <c r="J43" s="12">
        <v>1</v>
      </c>
      <c r="K43" s="11" t="e">
        <f>_xll.qlRateHelperEarliestDate($E43,Trigger)</f>
        <v>#NUM!</v>
      </c>
      <c r="L43" s="10" t="e">
        <f>_xll.qlRateHelperLatestDate($E43,Trigger)</f>
        <v>#NUM!</v>
      </c>
    </row>
    <row r="44" spans="1:12" x14ac:dyDescent="0.2">
      <c r="A44" s="15" t="b">
        <v>0</v>
      </c>
      <c r="B44" s="16"/>
      <c r="C44" s="15" t="str">
        <f t="shared" si="3"/>
        <v>FUT1M</v>
      </c>
      <c r="D44" s="14" t="str">
        <v>H5</v>
      </c>
      <c r="E44" s="14" t="str">
        <f t="shared" si="2"/>
        <v>GBP_YC1MRH_FUT1MH5</v>
      </c>
      <c r="F44" s="28" t="e">
        <f>_xll.qlRateHelperQuoteValue($E44,Trigger)</f>
        <v>#NUM!</v>
      </c>
      <c r="G44" s="13" t="e">
        <f>_xll.qlFuturesRateHelperConvexityAdjustment($E44,Trigger)</f>
        <v>#NUM!</v>
      </c>
      <c r="H44" s="12" t="b">
        <v>0</v>
      </c>
      <c r="I44" s="12">
        <v>60</v>
      </c>
      <c r="J44" s="12">
        <v>1</v>
      </c>
      <c r="K44" s="11" t="e">
        <f>_xll.qlRateHelperEarliestDate($E44,Trigger)</f>
        <v>#NUM!</v>
      </c>
      <c r="L44" s="10" t="e">
        <f>_xll.qlRateHelperLatestDate($E44,Trigger)</f>
        <v>#NUM!</v>
      </c>
    </row>
    <row r="45" spans="1:12" x14ac:dyDescent="0.2">
      <c r="A45" s="15" t="b">
        <v>0</v>
      </c>
      <c r="B45" s="16"/>
      <c r="C45" s="15" t="str">
        <f t="shared" si="3"/>
        <v>FUT1M</v>
      </c>
      <c r="D45" s="14" t="str">
        <v>J5</v>
      </c>
      <c r="E45" s="14" t="str">
        <f t="shared" si="2"/>
        <v>GBP_YC1MRH_FUT1MJ5</v>
      </c>
      <c r="F45" s="28" t="e">
        <f>_xll.qlRateHelperQuoteValue($E45,Trigger)</f>
        <v>#NUM!</v>
      </c>
      <c r="G45" s="13" t="e">
        <f>_xll.qlFuturesRateHelperConvexityAdjustment($E45,Trigger)</f>
        <v>#NUM!</v>
      </c>
      <c r="H45" s="12" t="b">
        <v>0</v>
      </c>
      <c r="I45" s="12">
        <v>60</v>
      </c>
      <c r="J45" s="12">
        <v>1</v>
      </c>
      <c r="K45" s="11" t="e">
        <f>_xll.qlRateHelperEarliestDate($E45,Trigger)</f>
        <v>#NUM!</v>
      </c>
      <c r="L45" s="10" t="e">
        <f>_xll.qlRateHelperLatestDate($E45,Trigger)</f>
        <v>#NUM!</v>
      </c>
    </row>
    <row r="46" spans="1:12" x14ac:dyDescent="0.2">
      <c r="A46" s="15" t="b">
        <v>0</v>
      </c>
      <c r="B46" s="16"/>
      <c r="C46" s="15" t="str">
        <f t="shared" si="3"/>
        <v>FUT1M</v>
      </c>
      <c r="D46" s="14" t="str">
        <v>K5</v>
      </c>
      <c r="E46" s="14" t="str">
        <f t="shared" si="2"/>
        <v>GBP_YC1MRH_FUT1MK5</v>
      </c>
      <c r="F46" s="28" t="e">
        <f>_xll.qlRateHelperQuoteValue($E46,Trigger)</f>
        <v>#NUM!</v>
      </c>
      <c r="G46" s="13" t="e">
        <f>_xll.qlFuturesRateHelperConvexityAdjustment($E46,Trigger)</f>
        <v>#NUM!</v>
      </c>
      <c r="H46" s="12" t="b">
        <v>0</v>
      </c>
      <c r="I46" s="12">
        <v>60</v>
      </c>
      <c r="J46" s="12">
        <v>1</v>
      </c>
      <c r="K46" s="11" t="e">
        <f>_xll.qlRateHelperEarliestDate($E46,Trigger)</f>
        <v>#NUM!</v>
      </c>
      <c r="L46" s="10" t="e">
        <f>_xll.qlRateHelperLatestDate($E46,Trigger)</f>
        <v>#NUM!</v>
      </c>
    </row>
    <row r="47" spans="1:12" x14ac:dyDescent="0.2">
      <c r="A47" s="15" t="b">
        <v>0</v>
      </c>
      <c r="B47" s="16"/>
      <c r="C47" s="15" t="str">
        <f t="shared" si="3"/>
        <v>FUT1M</v>
      </c>
      <c r="D47" s="14" t="str">
        <v>M5</v>
      </c>
      <c r="E47" s="14" t="str">
        <f t="shared" si="2"/>
        <v>GBP_YC1MRH_FUT1MM5</v>
      </c>
      <c r="F47" s="28" t="e">
        <f>_xll.qlRateHelperQuoteValue($E47,Trigger)</f>
        <v>#NUM!</v>
      </c>
      <c r="G47" s="13" t="e">
        <f>_xll.qlFuturesRateHelperConvexityAdjustment($E47,Trigger)</f>
        <v>#NUM!</v>
      </c>
      <c r="H47" s="12" t="b">
        <v>0</v>
      </c>
      <c r="I47" s="12">
        <v>60</v>
      </c>
      <c r="J47" s="12">
        <v>1</v>
      </c>
      <c r="K47" s="11" t="e">
        <f>_xll.qlRateHelperEarliestDate($E47,Trigger)</f>
        <v>#NUM!</v>
      </c>
      <c r="L47" s="10" t="e">
        <f>_xll.qlRateHelperLatestDate($E47,Trigger)</f>
        <v>#NUM!</v>
      </c>
    </row>
    <row r="48" spans="1:12" x14ac:dyDescent="0.2">
      <c r="A48" s="15" t="b">
        <v>1</v>
      </c>
      <c r="B48" s="16"/>
      <c r="C48" s="15" t="str">
        <f t="shared" si="3"/>
        <v>FUT1M</v>
      </c>
      <c r="D48" s="14" t="str">
        <v>U5</v>
      </c>
      <c r="E48" s="14" t="str">
        <f t="shared" si="2"/>
        <v>GBP_YC1MRH_FUT1MU5</v>
      </c>
      <c r="F48" s="28" t="e">
        <f>_xll.qlRateHelperQuoteValue($E48,Trigger)</f>
        <v>#NUM!</v>
      </c>
      <c r="G48" s="13" t="e">
        <f>_xll.qlFuturesRateHelperConvexityAdjustment($E48,Trigger)</f>
        <v>#NUM!</v>
      </c>
      <c r="H48" s="12" t="b">
        <v>0</v>
      </c>
      <c r="I48" s="12">
        <v>60</v>
      </c>
      <c r="J48" s="12">
        <v>1</v>
      </c>
      <c r="K48" s="11" t="e">
        <f>_xll.qlRateHelperEarliestDate($E48,Trigger)</f>
        <v>#NUM!</v>
      </c>
      <c r="L48" s="10" t="e">
        <f>_xll.qlRateHelperLatestDate($E48,Trigger)</f>
        <v>#NUM!</v>
      </c>
    </row>
    <row r="49" spans="1:12" x14ac:dyDescent="0.2">
      <c r="A49" s="15" t="b">
        <v>1</v>
      </c>
      <c r="B49" s="16"/>
      <c r="C49" s="15" t="str">
        <f t="shared" si="3"/>
        <v>FUT1M</v>
      </c>
      <c r="D49" s="14" t="str">
        <v>Z5</v>
      </c>
      <c r="E49" s="14" t="str">
        <f t="shared" si="2"/>
        <v>GBP_YC1MRH_FUT1MZ5</v>
      </c>
      <c r="F49" s="28" t="e">
        <f>_xll.qlRateHelperQuoteValue($E49,Trigger)</f>
        <v>#NUM!</v>
      </c>
      <c r="G49" s="13" t="e">
        <f>_xll.qlFuturesRateHelperConvexityAdjustment($E49,Trigger)</f>
        <v>#NUM!</v>
      </c>
      <c r="H49" s="12" t="b">
        <v>0</v>
      </c>
      <c r="I49" s="12">
        <v>60</v>
      </c>
      <c r="J49" s="12">
        <v>1</v>
      </c>
      <c r="K49" s="11" t="e">
        <f>_xll.qlRateHelperEarliestDate($E49,Trigger)</f>
        <v>#NUM!</v>
      </c>
      <c r="L49" s="10" t="e">
        <f>_xll.qlRateHelperLatestDate($E49,Trigger)</f>
        <v>#NUM!</v>
      </c>
    </row>
    <row r="50" spans="1:12" x14ac:dyDescent="0.2">
      <c r="A50" s="15" t="b">
        <v>1</v>
      </c>
      <c r="B50" s="16"/>
      <c r="C50" s="15" t="str">
        <f t="shared" si="3"/>
        <v>FUT1M</v>
      </c>
      <c r="D50" s="14" t="str">
        <v>H6</v>
      </c>
      <c r="E50" s="14" t="str">
        <f t="shared" si="2"/>
        <v>GBP_YC1MRH_FUT1MH6</v>
      </c>
      <c r="F50" s="28" t="e">
        <f>_xll.qlRateHelperQuoteValue($E50,Trigger)</f>
        <v>#NUM!</v>
      </c>
      <c r="G50" s="13" t="e">
        <f>_xll.qlFuturesRateHelperConvexityAdjustment($E50,Trigger)</f>
        <v>#NUM!</v>
      </c>
      <c r="H50" s="12" t="b">
        <v>0</v>
      </c>
      <c r="I50" s="12">
        <v>60</v>
      </c>
      <c r="J50" s="12">
        <v>1</v>
      </c>
      <c r="K50" s="11" t="e">
        <f>_xll.qlRateHelperEarliestDate($E50,Trigger)</f>
        <v>#NUM!</v>
      </c>
      <c r="L50" s="10" t="e">
        <f>_xll.qlRateHelperLatestDate($E50,Trigger)</f>
        <v>#NUM!</v>
      </c>
    </row>
    <row r="51" spans="1:12" x14ac:dyDescent="0.2">
      <c r="A51" s="15" t="b">
        <v>1</v>
      </c>
      <c r="B51" s="16"/>
      <c r="C51" s="15" t="str">
        <f t="shared" si="3"/>
        <v>FUT1M</v>
      </c>
      <c r="D51" s="14" t="str">
        <v>M6</v>
      </c>
      <c r="E51" s="14" t="str">
        <f t="shared" si="2"/>
        <v>GBP_YC1MRH_FUT1MM6</v>
      </c>
      <c r="F51" s="28" t="e">
        <f>_xll.qlRateHelperQuoteValue($E51,Trigger)</f>
        <v>#NUM!</v>
      </c>
      <c r="G51" s="13" t="e">
        <f>_xll.qlFuturesRateHelperConvexityAdjustment($E51,Trigger)</f>
        <v>#NUM!</v>
      </c>
      <c r="H51" s="12" t="b">
        <v>0</v>
      </c>
      <c r="I51" s="12">
        <v>60</v>
      </c>
      <c r="J51" s="12">
        <v>1</v>
      </c>
      <c r="K51" s="11" t="e">
        <f>_xll.qlRateHelperEarliestDate($E51,Trigger)</f>
        <v>#NUM!</v>
      </c>
      <c r="L51" s="10" t="e">
        <f>_xll.qlRateHelperLatestDate($E51,Trigger)</f>
        <v>#NUM!</v>
      </c>
    </row>
    <row r="52" spans="1:12" x14ac:dyDescent="0.2">
      <c r="A52" s="15" t="b">
        <v>1</v>
      </c>
      <c r="B52" s="16"/>
      <c r="C52" s="15" t="str">
        <f t="shared" si="3"/>
        <v>FUT1M</v>
      </c>
      <c r="D52" s="14" t="str">
        <v>U6</v>
      </c>
      <c r="E52" s="14" t="str">
        <f t="shared" si="2"/>
        <v>GBP_YC1MRH_FUT1MU6</v>
      </c>
      <c r="F52" s="28" t="e">
        <f>_xll.qlRateHelperQuoteValue($E52,Trigger)</f>
        <v>#NUM!</v>
      </c>
      <c r="G52" s="13" t="e">
        <f>_xll.qlFuturesRateHelperConvexityAdjustment($E52,Trigger)</f>
        <v>#NUM!</v>
      </c>
      <c r="H52" s="12" t="b">
        <v>0</v>
      </c>
      <c r="I52" s="12">
        <v>60</v>
      </c>
      <c r="J52" s="12">
        <v>1</v>
      </c>
      <c r="K52" s="11" t="e">
        <f>_xll.qlRateHelperEarliestDate($E52,Trigger)</f>
        <v>#NUM!</v>
      </c>
      <c r="L52" s="10" t="e">
        <f>_xll.qlRateHelperLatestDate($E52,Trigger)</f>
        <v>#NUM!</v>
      </c>
    </row>
    <row r="53" spans="1:12" x14ac:dyDescent="0.2">
      <c r="A53" s="15" t="b">
        <v>1</v>
      </c>
      <c r="B53" s="16"/>
      <c r="C53" s="15" t="str">
        <f t="shared" si="3"/>
        <v>FUT1M</v>
      </c>
      <c r="D53" s="14" t="str">
        <v>Z6</v>
      </c>
      <c r="E53" s="14" t="str">
        <f t="shared" si="2"/>
        <v>GBP_YC1MRH_FUT1MZ6</v>
      </c>
      <c r="F53" s="28" t="e">
        <f>_xll.qlRateHelperQuoteValue($E53,Trigger)</f>
        <v>#NUM!</v>
      </c>
      <c r="G53" s="13" t="e">
        <f>_xll.qlFuturesRateHelperConvexityAdjustment($E53,Trigger)</f>
        <v>#NUM!</v>
      </c>
      <c r="H53" s="12" t="b">
        <v>0</v>
      </c>
      <c r="I53" s="12">
        <v>30</v>
      </c>
      <c r="J53" s="12">
        <v>1</v>
      </c>
      <c r="K53" s="11" t="e">
        <f>_xll.qlRateHelperEarliestDate($E53,Trigger)</f>
        <v>#NUM!</v>
      </c>
      <c r="L53" s="10" t="e">
        <f>_xll.qlRateHelperLatestDate($E53,Trigger)</f>
        <v>#NUM!</v>
      </c>
    </row>
    <row r="54" spans="1:12" x14ac:dyDescent="0.2">
      <c r="A54" s="15" t="b">
        <v>1</v>
      </c>
      <c r="B54" s="16"/>
      <c r="C54" s="15" t="str">
        <f t="shared" si="3"/>
        <v>FUT1M</v>
      </c>
      <c r="D54" s="14" t="str">
        <v>H7</v>
      </c>
      <c r="E54" s="14" t="str">
        <f t="shared" si="2"/>
        <v>GBP_YC1MRH_FUT1MH7</v>
      </c>
      <c r="F54" s="28" t="e">
        <f>_xll.qlRateHelperQuoteValue($E54,Trigger)</f>
        <v>#NUM!</v>
      </c>
      <c r="G54" s="13" t="e">
        <f>_xll.qlFuturesRateHelperConvexityAdjustment($E54,Trigger)</f>
        <v>#NUM!</v>
      </c>
      <c r="H54" s="12" t="b">
        <v>0</v>
      </c>
      <c r="I54" s="12">
        <v>30</v>
      </c>
      <c r="J54" s="12">
        <v>1</v>
      </c>
      <c r="K54" s="11" t="e">
        <f>_xll.qlRateHelperEarliestDate($E54,Trigger)</f>
        <v>#NUM!</v>
      </c>
      <c r="L54" s="10" t="e">
        <f>_xll.qlRateHelperLatestDate($E54,Trigger)</f>
        <v>#NUM!</v>
      </c>
    </row>
    <row r="55" spans="1:12" x14ac:dyDescent="0.2">
      <c r="A55" s="15" t="b">
        <v>1</v>
      </c>
      <c r="B55" s="16"/>
      <c r="C55" s="15" t="str">
        <f t="shared" si="3"/>
        <v>FUT1M</v>
      </c>
      <c r="D55" s="14" t="str">
        <v>M7</v>
      </c>
      <c r="E55" s="14" t="str">
        <f t="shared" si="2"/>
        <v>GBP_YC1MRH_FUT1MM7</v>
      </c>
      <c r="F55" s="28" t="e">
        <f>_xll.qlRateHelperQuoteValue($E55,Trigger)</f>
        <v>#NUM!</v>
      </c>
      <c r="G55" s="13" t="e">
        <f>_xll.qlFuturesRateHelperConvexityAdjustment($E55,Trigger)</f>
        <v>#NUM!</v>
      </c>
      <c r="H55" s="12" t="b">
        <v>0</v>
      </c>
      <c r="I55" s="12">
        <v>30</v>
      </c>
      <c r="J55" s="12">
        <v>1</v>
      </c>
      <c r="K55" s="11" t="e">
        <f>_xll.qlRateHelperEarliestDate($E55,Trigger)</f>
        <v>#NUM!</v>
      </c>
      <c r="L55" s="10" t="e">
        <f>_xll.qlRateHelperLatestDate($E55,Trigger)</f>
        <v>#NUM!</v>
      </c>
    </row>
    <row r="56" spans="1:12" x14ac:dyDescent="0.2">
      <c r="A56" s="15" t="b">
        <v>1</v>
      </c>
      <c r="B56" s="16"/>
      <c r="C56" s="15" t="str">
        <f t="shared" si="3"/>
        <v>FUT1M</v>
      </c>
      <c r="D56" s="14" t="str">
        <v>U7</v>
      </c>
      <c r="E56" s="14" t="str">
        <f t="shared" si="2"/>
        <v>GBP_YC1MRH_FUT1MU7</v>
      </c>
      <c r="F56" s="28" t="e">
        <f>_xll.qlRateHelperQuoteValue($E56,Trigger)</f>
        <v>#NUM!</v>
      </c>
      <c r="G56" s="13" t="e">
        <f>_xll.qlFuturesRateHelperConvexityAdjustment($E56,Trigger)</f>
        <v>#NUM!</v>
      </c>
      <c r="H56" s="12" t="b">
        <v>0</v>
      </c>
      <c r="I56" s="12">
        <v>30</v>
      </c>
      <c r="J56" s="12">
        <v>1</v>
      </c>
      <c r="K56" s="11" t="e">
        <f>_xll.qlRateHelperEarliestDate($E56,Trigger)</f>
        <v>#NUM!</v>
      </c>
      <c r="L56" s="10" t="e">
        <f>_xll.qlRateHelperLatestDate($E56,Trigger)</f>
        <v>#NUM!</v>
      </c>
    </row>
    <row r="57" spans="1:12" x14ac:dyDescent="0.2">
      <c r="A57" s="15" t="b">
        <v>1</v>
      </c>
      <c r="B57" s="16"/>
      <c r="C57" s="15" t="str">
        <f t="shared" si="3"/>
        <v>FUT1M</v>
      </c>
      <c r="D57" s="14" t="str">
        <v>Z7</v>
      </c>
      <c r="E57" s="14" t="str">
        <f t="shared" si="2"/>
        <v>GBP_YC1MRH_FUT1MZ7</v>
      </c>
      <c r="F57" s="28" t="e">
        <f>_xll.qlRateHelperQuoteValue($E57,Trigger)</f>
        <v>#NUM!</v>
      </c>
      <c r="G57" s="13" t="e">
        <f>_xll.qlFuturesRateHelperConvexityAdjustment($E57,Trigger)</f>
        <v>#NUM!</v>
      </c>
      <c r="H57" s="12" t="b">
        <v>0</v>
      </c>
      <c r="I57" s="12">
        <v>30</v>
      </c>
      <c r="J57" s="12">
        <v>1</v>
      </c>
      <c r="K57" s="11" t="e">
        <f>_xll.qlRateHelperEarliestDate($E57,Trigger)</f>
        <v>#NUM!</v>
      </c>
      <c r="L57" s="10" t="e">
        <f>_xll.qlRateHelperLatestDate($E57,Trigger)</f>
        <v>#NUM!</v>
      </c>
    </row>
    <row r="58" spans="1:12" x14ac:dyDescent="0.2">
      <c r="A58" s="15" t="b">
        <v>1</v>
      </c>
      <c r="B58" s="16"/>
      <c r="C58" s="15" t="str">
        <f t="shared" si="3"/>
        <v>FUT1M</v>
      </c>
      <c r="D58" s="14" t="str">
        <v>H8</v>
      </c>
      <c r="E58" s="14" t="str">
        <f t="shared" si="2"/>
        <v>GBP_YC1MRH_FUT1MH8</v>
      </c>
      <c r="F58" s="28" t="e">
        <f>_xll.qlRateHelperQuoteValue($E58,Trigger)</f>
        <v>#NUM!</v>
      </c>
      <c r="G58" s="13" t="e">
        <f>_xll.qlFuturesRateHelperConvexityAdjustment($E58,Trigger)</f>
        <v>#NUM!</v>
      </c>
      <c r="H58" s="12" t="b">
        <v>0</v>
      </c>
      <c r="I58" s="12">
        <v>30</v>
      </c>
      <c r="J58" s="12">
        <v>1</v>
      </c>
      <c r="K58" s="11" t="e">
        <f>_xll.qlRateHelperEarliestDate($E58,Trigger)</f>
        <v>#NUM!</v>
      </c>
      <c r="L58" s="10" t="e">
        <f>_xll.qlRateHelperLatestDate($E58,Trigger)</f>
        <v>#NUM!</v>
      </c>
    </row>
    <row r="59" spans="1:12" x14ac:dyDescent="0.2">
      <c r="A59" s="15" t="b">
        <v>1</v>
      </c>
      <c r="B59" s="16"/>
      <c r="C59" s="15" t="str">
        <f t="shared" si="3"/>
        <v>FUT1M</v>
      </c>
      <c r="D59" s="14" t="str">
        <v>M8</v>
      </c>
      <c r="E59" s="14" t="str">
        <f t="shared" si="2"/>
        <v>GBP_YC1MRH_FUT1MM8</v>
      </c>
      <c r="F59" s="28" t="e">
        <f>_xll.qlRateHelperQuoteValue($E59,Trigger)</f>
        <v>#NUM!</v>
      </c>
      <c r="G59" s="13" t="e">
        <f>_xll.qlFuturesRateHelperConvexityAdjustment($E59,Trigger)</f>
        <v>#NUM!</v>
      </c>
      <c r="H59" s="12" t="b">
        <v>0</v>
      </c>
      <c r="I59" s="12">
        <v>30</v>
      </c>
      <c r="J59" s="12">
        <v>1</v>
      </c>
      <c r="K59" s="11" t="e">
        <f>_xll.qlRateHelperEarliestDate($E59,Trigger)</f>
        <v>#NUM!</v>
      </c>
      <c r="L59" s="10" t="e">
        <f>_xll.qlRateHelperLatestDate($E59,Trigger)</f>
        <v>#NUM!</v>
      </c>
    </row>
    <row r="60" spans="1:12" x14ac:dyDescent="0.2">
      <c r="A60" s="15" t="b">
        <v>1</v>
      </c>
      <c r="B60" s="16"/>
      <c r="C60" s="15" t="str">
        <f t="shared" si="3"/>
        <v>FUT1M</v>
      </c>
      <c r="D60" s="14" t="str">
        <v>U8</v>
      </c>
      <c r="E60" s="14" t="str">
        <f t="shared" si="2"/>
        <v>GBP_YC1MRH_FUT1MU8</v>
      </c>
      <c r="F60" s="28" t="e">
        <f>_xll.qlRateHelperQuoteValue($E60,Trigger)</f>
        <v>#NUM!</v>
      </c>
      <c r="G60" s="13" t="e">
        <f>_xll.qlFuturesRateHelperConvexityAdjustment($E60,Trigger)</f>
        <v>#NUM!</v>
      </c>
      <c r="H60" s="12" t="b">
        <v>0</v>
      </c>
      <c r="I60" s="12">
        <v>30</v>
      </c>
      <c r="J60" s="12">
        <v>1</v>
      </c>
      <c r="K60" s="11" t="e">
        <f>_xll.qlRateHelperEarliestDate($E60,Trigger)</f>
        <v>#NUM!</v>
      </c>
      <c r="L60" s="10" t="e">
        <f>_xll.qlRateHelperLatestDate($E60,Trigger)</f>
        <v>#NUM!</v>
      </c>
    </row>
    <row r="61" spans="1:12" x14ac:dyDescent="0.2">
      <c r="A61" s="15" t="b">
        <v>1</v>
      </c>
      <c r="B61" s="16"/>
      <c r="C61" s="15" t="str">
        <f t="shared" si="3"/>
        <v>FUT1M</v>
      </c>
      <c r="D61" s="14" t="str">
        <v>Z8</v>
      </c>
      <c r="E61" s="14" t="str">
        <f t="shared" si="2"/>
        <v>GBP_YC1MRH_FUT1MZ8</v>
      </c>
      <c r="F61" s="28" t="e">
        <f>_xll.qlRateHelperQuoteValue($E61,Trigger)</f>
        <v>#NUM!</v>
      </c>
      <c r="G61" s="13" t="e">
        <f>_xll.qlFuturesRateHelperConvexityAdjustment($E61,Trigger)</f>
        <v>#NUM!</v>
      </c>
      <c r="H61" s="12" t="b">
        <v>0</v>
      </c>
      <c r="I61" s="12">
        <v>30</v>
      </c>
      <c r="J61" s="12">
        <v>1</v>
      </c>
      <c r="K61" s="11" t="e">
        <f>_xll.qlRateHelperEarliestDate($E61,Trigger)</f>
        <v>#NUM!</v>
      </c>
      <c r="L61" s="10" t="e">
        <f>_xll.qlRateHelperLatestDate($E61,Trigger)</f>
        <v>#NUM!</v>
      </c>
    </row>
    <row r="62" spans="1:12" x14ac:dyDescent="0.2">
      <c r="A62" s="15" t="b">
        <v>1</v>
      </c>
      <c r="B62" s="16"/>
      <c r="C62" s="15" t="str">
        <f t="shared" si="3"/>
        <v>FUT1M</v>
      </c>
      <c r="D62" s="14" t="str">
        <v>H9</v>
      </c>
      <c r="E62" s="14" t="str">
        <f t="shared" si="2"/>
        <v>GBP_YC1MRH_FUT1MH9</v>
      </c>
      <c r="F62" s="28" t="e">
        <f>_xll.qlRateHelperQuoteValue($E62,Trigger)</f>
        <v>#NUM!</v>
      </c>
      <c r="G62" s="13" t="e">
        <f>_xll.qlFuturesRateHelperConvexityAdjustment($E62,Trigger)</f>
        <v>#NUM!</v>
      </c>
      <c r="H62" s="12" t="b">
        <v>0</v>
      </c>
      <c r="I62" s="12">
        <v>30</v>
      </c>
      <c r="J62" s="12">
        <v>1</v>
      </c>
      <c r="K62" s="11" t="e">
        <f>_xll.qlRateHelperEarliestDate($E62,Trigger)</f>
        <v>#NUM!</v>
      </c>
      <c r="L62" s="10" t="e">
        <f>_xll.qlRateHelperLatestDate($E62,Trigger)</f>
        <v>#NUM!</v>
      </c>
    </row>
    <row r="63" spans="1:12" x14ac:dyDescent="0.2">
      <c r="A63" s="15" t="b">
        <v>1</v>
      </c>
      <c r="B63" s="16"/>
      <c r="C63" s="15" t="str">
        <f t="shared" si="3"/>
        <v>FUT1M</v>
      </c>
      <c r="D63" s="14" t="str">
        <v>M9</v>
      </c>
      <c r="E63" s="14" t="str">
        <f t="shared" si="2"/>
        <v>GBP_YC1MRH_FUT1MM9</v>
      </c>
      <c r="F63" s="28" t="e">
        <f>_xll.qlRateHelperQuoteValue($E63,Trigger)</f>
        <v>#NUM!</v>
      </c>
      <c r="G63" s="13" t="e">
        <f>_xll.qlFuturesRateHelperConvexityAdjustment($E63,Trigger)</f>
        <v>#NUM!</v>
      </c>
      <c r="H63" s="12" t="b">
        <v>0</v>
      </c>
      <c r="I63" s="12">
        <v>30</v>
      </c>
      <c r="J63" s="12">
        <v>1</v>
      </c>
      <c r="K63" s="11" t="e">
        <f>_xll.qlRateHelperEarliestDate($E63,Trigger)</f>
        <v>#NUM!</v>
      </c>
      <c r="L63" s="10" t="e">
        <f>_xll.qlRateHelperLatestDate($E63,Trigger)</f>
        <v>#NUM!</v>
      </c>
    </row>
    <row r="64" spans="1:12" x14ac:dyDescent="0.2">
      <c r="A64" s="15" t="b">
        <v>1</v>
      </c>
      <c r="B64" s="16"/>
      <c r="C64" s="15" t="str">
        <f t="shared" si="3"/>
        <v>FUT1M</v>
      </c>
      <c r="D64" s="14" t="str">
        <v>U9</v>
      </c>
      <c r="E64" s="14" t="str">
        <f t="shared" si="2"/>
        <v>GBP_YC1MRH_FUT1MU9</v>
      </c>
      <c r="F64" s="28" t="e">
        <f>_xll.qlRateHelperQuoteValue($E64,Trigger)</f>
        <v>#NUM!</v>
      </c>
      <c r="G64" s="13" t="e">
        <f>_xll.qlFuturesRateHelperConvexityAdjustment($E64,Trigger)</f>
        <v>#NUM!</v>
      </c>
      <c r="H64" s="12" t="b">
        <v>0</v>
      </c>
      <c r="I64" s="12">
        <v>30</v>
      </c>
      <c r="J64" s="12">
        <v>1</v>
      </c>
      <c r="K64" s="11" t="e">
        <f>_xll.qlRateHelperEarliestDate($E64,Trigger)</f>
        <v>#NUM!</v>
      </c>
      <c r="L64" s="10" t="e">
        <f>_xll.qlRateHelperLatestDate($E64,Trigger)</f>
        <v>#NUM!</v>
      </c>
    </row>
    <row r="65" spans="1:13" x14ac:dyDescent="0.2">
      <c r="A65" s="15" t="b">
        <v>1</v>
      </c>
      <c r="B65" s="16"/>
      <c r="C65" s="15" t="str">
        <f t="shared" si="3"/>
        <v>FUT1M</v>
      </c>
      <c r="D65" s="14" t="str">
        <v>Z9</v>
      </c>
      <c r="E65" s="14" t="str">
        <f t="shared" si="2"/>
        <v>GBP_YC1MRH_FUT1MZ9</v>
      </c>
      <c r="F65" s="28" t="e">
        <f>_xll.qlRateHelperQuoteValue($E65,Trigger)</f>
        <v>#NUM!</v>
      </c>
      <c r="G65" s="13" t="e">
        <f>_xll.qlFuturesRateHelperConvexityAdjustment($E65,Trigger)</f>
        <v>#NUM!</v>
      </c>
      <c r="H65" s="12" t="b">
        <v>0</v>
      </c>
      <c r="I65" s="12">
        <v>30</v>
      </c>
      <c r="J65" s="12">
        <v>1</v>
      </c>
      <c r="K65" s="11" t="e">
        <f>_xll.qlRateHelperEarliestDate($E65,Trigger)</f>
        <v>#NUM!</v>
      </c>
      <c r="L65" s="10" t="e">
        <f>_xll.qlRateHelperLatestDate($E65,Trigger)</f>
        <v>#NUM!</v>
      </c>
    </row>
    <row r="66" spans="1:13" x14ac:dyDescent="0.2">
      <c r="A66" s="15" t="b">
        <v>1</v>
      </c>
      <c r="B66" s="16"/>
      <c r="C66" s="15" t="str">
        <f t="shared" si="3"/>
        <v>FUT1M</v>
      </c>
      <c r="D66" s="14" t="str">
        <v>H0</v>
      </c>
      <c r="E66" s="14" t="str">
        <f t="shared" ref="E66:E97" si="4">RateHelperPrefix&amp;"_"&amp;$B66&amp;$C66&amp;$D66</f>
        <v>GBP_YC1MRH_FUT1MH0</v>
      </c>
      <c r="F66" s="28" t="e">
        <f>_xll.qlRateHelperQuoteValue($E66,Trigger)</f>
        <v>#NUM!</v>
      </c>
      <c r="G66" s="13" t="e">
        <f>_xll.qlFuturesRateHelperConvexityAdjustment($E66,Trigger)</f>
        <v>#NUM!</v>
      </c>
      <c r="H66" s="12" t="b">
        <v>0</v>
      </c>
      <c r="I66" s="12">
        <v>30</v>
      </c>
      <c r="J66" s="12">
        <v>1</v>
      </c>
      <c r="K66" s="11" t="e">
        <f>_xll.qlRateHelperEarliestDate($E66,Trigger)</f>
        <v>#NUM!</v>
      </c>
      <c r="L66" s="10" t="e">
        <f>_xll.qlRateHelperLatestDate($E66,Trigger)</f>
        <v>#NUM!</v>
      </c>
    </row>
    <row r="67" spans="1:13" x14ac:dyDescent="0.2">
      <c r="A67" s="15" t="b">
        <v>1</v>
      </c>
      <c r="B67" s="16"/>
      <c r="C67" s="15" t="str">
        <f t="shared" si="3"/>
        <v>FUT1M</v>
      </c>
      <c r="D67" s="14" t="str">
        <v>M0</v>
      </c>
      <c r="E67" s="14" t="str">
        <f t="shared" si="4"/>
        <v>GBP_YC1MRH_FUT1MM0</v>
      </c>
      <c r="F67" s="28" t="e">
        <f>_xll.qlRateHelperQuoteValue($E67,Trigger)</f>
        <v>#NUM!</v>
      </c>
      <c r="G67" s="13" t="e">
        <f>_xll.qlFuturesRateHelperConvexityAdjustment($E67,Trigger)</f>
        <v>#NUM!</v>
      </c>
      <c r="H67" s="12" t="b">
        <v>0</v>
      </c>
      <c r="I67" s="12">
        <v>30</v>
      </c>
      <c r="J67" s="12">
        <v>1</v>
      </c>
      <c r="K67" s="11" t="e">
        <f>_xll.qlRateHelperEarliestDate($E67,Trigger)</f>
        <v>#NUM!</v>
      </c>
      <c r="L67" s="10" t="e">
        <f>_xll.qlRateHelperLatestDate($E67,Trigger)</f>
        <v>#NUM!</v>
      </c>
    </row>
    <row r="68" spans="1:13" x14ac:dyDescent="0.2">
      <c r="A68" s="15" t="b">
        <v>1</v>
      </c>
      <c r="B68" s="16"/>
      <c r="C68" s="15" t="str">
        <f t="shared" si="3"/>
        <v>FUT1M</v>
      </c>
      <c r="D68" s="14" t="str">
        <v>U0</v>
      </c>
      <c r="E68" s="14" t="str">
        <f t="shared" si="4"/>
        <v>GBP_YC1MRH_FUT1MU0</v>
      </c>
      <c r="F68" s="28" t="e">
        <f>_xll.qlRateHelperQuoteValue($E68,Trigger)</f>
        <v>#NUM!</v>
      </c>
      <c r="G68" s="13" t="e">
        <f>_xll.qlFuturesRateHelperConvexityAdjustment($E68,Trigger)</f>
        <v>#NUM!</v>
      </c>
      <c r="H68" s="12" t="b">
        <v>0</v>
      </c>
      <c r="I68" s="12">
        <v>30</v>
      </c>
      <c r="J68" s="12">
        <v>1</v>
      </c>
      <c r="K68" s="11" t="e">
        <f>_xll.qlRateHelperEarliestDate($E68,Trigger)</f>
        <v>#NUM!</v>
      </c>
      <c r="L68" s="10" t="e">
        <f>_xll.qlRateHelperLatestDate($E68,Trigger)</f>
        <v>#NUM!</v>
      </c>
    </row>
    <row r="69" spans="1:13" x14ac:dyDescent="0.2">
      <c r="A69" s="15" t="b">
        <v>1</v>
      </c>
      <c r="B69" s="16"/>
      <c r="C69" s="15" t="str">
        <f t="shared" si="3"/>
        <v>FUT1M</v>
      </c>
      <c r="D69" s="14" t="str">
        <v>Z0</v>
      </c>
      <c r="E69" s="14" t="str">
        <f t="shared" si="4"/>
        <v>GBP_YC1MRH_FUT1MZ0</v>
      </c>
      <c r="F69" s="28" t="e">
        <f>_xll.qlRateHelperQuoteValue($E69,Trigger)</f>
        <v>#NUM!</v>
      </c>
      <c r="G69" s="13" t="e">
        <f>_xll.qlFuturesRateHelperConvexityAdjustment($E69,Trigger)</f>
        <v>#NUM!</v>
      </c>
      <c r="H69" s="12" t="b">
        <v>0</v>
      </c>
      <c r="I69" s="12">
        <v>30</v>
      </c>
      <c r="J69" s="12">
        <v>1</v>
      </c>
      <c r="K69" s="11" t="e">
        <f>_xll.qlRateHelperEarliestDate($E69,Trigger)</f>
        <v>#NUM!</v>
      </c>
      <c r="L69" s="10" t="e">
        <f>_xll.qlRateHelperLatestDate($E69,Trigger)</f>
        <v>#NUM!</v>
      </c>
    </row>
    <row r="70" spans="1:13" x14ac:dyDescent="0.2">
      <c r="A70" s="15" t="b">
        <v>1</v>
      </c>
      <c r="B70" s="16"/>
      <c r="C70" s="15" t="str">
        <f t="shared" si="3"/>
        <v>FUT1M</v>
      </c>
      <c r="D70" s="14" t="str">
        <v>H1</v>
      </c>
      <c r="E70" s="14" t="str">
        <f t="shared" si="4"/>
        <v>GBP_YC1MRH_FUT1MH1</v>
      </c>
      <c r="F70" s="28" t="e">
        <f>_xll.qlRateHelperQuoteValue($E70,Trigger)</f>
        <v>#NUM!</v>
      </c>
      <c r="G70" s="13" t="e">
        <f>_xll.qlFuturesRateHelperConvexityAdjustment($E70,Trigger)</f>
        <v>#NUM!</v>
      </c>
      <c r="H70" s="12" t="b">
        <v>0</v>
      </c>
      <c r="I70" s="12">
        <v>30</v>
      </c>
      <c r="J70" s="12">
        <v>1</v>
      </c>
      <c r="K70" s="11" t="e">
        <f>_xll.qlRateHelperEarliestDate($E70,Trigger)</f>
        <v>#NUM!</v>
      </c>
      <c r="L70" s="10" t="e">
        <f>_xll.qlRateHelperLatestDate($E70,Trigger)</f>
        <v>#NUM!</v>
      </c>
    </row>
    <row r="71" spans="1:13" x14ac:dyDescent="0.2">
      <c r="A71" s="15" t="b">
        <v>1</v>
      </c>
      <c r="B71" s="16"/>
      <c r="C71" s="15" t="str">
        <f t="shared" si="3"/>
        <v>FUT1M</v>
      </c>
      <c r="D71" s="14" t="str">
        <v>M1</v>
      </c>
      <c r="E71" s="14" t="str">
        <f t="shared" si="4"/>
        <v>GBP_YC1MRH_FUT1MM1</v>
      </c>
      <c r="F71" s="28" t="e">
        <f>_xll.qlRateHelperQuoteValue($E71,Trigger)</f>
        <v>#NUM!</v>
      </c>
      <c r="G71" s="13" t="e">
        <f>_xll.qlFuturesRateHelperConvexityAdjustment($E71,Trigger)</f>
        <v>#NUM!</v>
      </c>
      <c r="H71" s="12" t="b">
        <v>0</v>
      </c>
      <c r="I71" s="12">
        <v>30</v>
      </c>
      <c r="J71" s="12">
        <v>1</v>
      </c>
      <c r="K71" s="11" t="e">
        <f>_xll.qlRateHelperEarliestDate($E71,Trigger)</f>
        <v>#NUM!</v>
      </c>
      <c r="L71" s="10" t="e">
        <f>_xll.qlRateHelperLatestDate($E71,Trigger)</f>
        <v>#NUM!</v>
      </c>
    </row>
    <row r="72" spans="1:13" x14ac:dyDescent="0.2">
      <c r="A72" s="15" t="b">
        <v>1</v>
      </c>
      <c r="B72" s="16"/>
      <c r="C72" s="15" t="str">
        <f t="shared" si="3"/>
        <v>FUT1M</v>
      </c>
      <c r="D72" s="14" t="str">
        <v>U1</v>
      </c>
      <c r="E72" s="14" t="str">
        <f t="shared" si="4"/>
        <v>GBP_YC1MRH_FUT1MU1</v>
      </c>
      <c r="F72" s="28" t="e">
        <f>_xll.qlRateHelperQuoteValue($E72,Trigger)</f>
        <v>#NUM!</v>
      </c>
      <c r="G72" s="13" t="e">
        <f>_xll.qlFuturesRateHelperConvexityAdjustment($E72,Trigger)</f>
        <v>#NUM!</v>
      </c>
      <c r="H72" s="12" t="b">
        <v>0</v>
      </c>
      <c r="I72" s="12">
        <v>30</v>
      </c>
      <c r="J72" s="12">
        <v>1</v>
      </c>
      <c r="K72" s="11" t="e">
        <f>_xll.qlRateHelperEarliestDate($E72,Trigger)</f>
        <v>#NUM!</v>
      </c>
      <c r="L72" s="10" t="e">
        <f>_xll.qlRateHelperLatestDate($E72,Trigger)</f>
        <v>#NUM!</v>
      </c>
    </row>
    <row r="73" spans="1:13" x14ac:dyDescent="0.2">
      <c r="A73" s="15" t="b">
        <v>1</v>
      </c>
      <c r="B73" s="16"/>
      <c r="C73" s="15" t="str">
        <f t="shared" si="3"/>
        <v>FUT1M</v>
      </c>
      <c r="D73" s="14" t="str">
        <v>Z1</v>
      </c>
      <c r="E73" s="14" t="str">
        <f t="shared" si="4"/>
        <v>GBP_YC1MRH_FUT1MZ1</v>
      </c>
      <c r="F73" s="28" t="e">
        <f>_xll.qlRateHelperQuoteValue($E73,Trigger)</f>
        <v>#NUM!</v>
      </c>
      <c r="G73" s="13" t="e">
        <f>_xll.qlFuturesRateHelperConvexityAdjustment($E73,Trigger)</f>
        <v>#NUM!</v>
      </c>
      <c r="H73" s="12" t="b">
        <v>0</v>
      </c>
      <c r="I73" s="12">
        <v>30</v>
      </c>
      <c r="J73" s="12">
        <v>1</v>
      </c>
      <c r="K73" s="11" t="e">
        <f>_xll.qlRateHelperEarliestDate($E73,Trigger)</f>
        <v>#NUM!</v>
      </c>
      <c r="L73" s="10" t="e">
        <f>_xll.qlRateHelperLatestDate($E73,Trigger)</f>
        <v>#NUM!</v>
      </c>
    </row>
    <row r="74" spans="1:13" x14ac:dyDescent="0.2">
      <c r="A74" s="15" t="b">
        <v>1</v>
      </c>
      <c r="B74" s="16"/>
      <c r="C74" s="15" t="str">
        <f t="shared" si="3"/>
        <v>FUT1M</v>
      </c>
      <c r="D74" s="14" t="str">
        <v>H2</v>
      </c>
      <c r="E74" s="14" t="str">
        <f t="shared" si="4"/>
        <v>GBP_YC1MRH_FUT1MH2</v>
      </c>
      <c r="F74" s="28" t="e">
        <f>_xll.qlRateHelperQuoteValue($E74,Trigger)</f>
        <v>#NUM!</v>
      </c>
      <c r="G74" s="13" t="e">
        <f>_xll.qlFuturesRateHelperConvexityAdjustment($E74,Trigger)</f>
        <v>#NUM!</v>
      </c>
      <c r="H74" s="12" t="b">
        <v>0</v>
      </c>
      <c r="I74" s="12">
        <v>30</v>
      </c>
      <c r="J74" s="12">
        <v>1</v>
      </c>
      <c r="K74" s="11" t="e">
        <f>_xll.qlRateHelperEarliestDate($E74,Trigger)</f>
        <v>#NUM!</v>
      </c>
      <c r="L74" s="10" t="e">
        <f>_xll.qlRateHelperLatestDate($E74,Trigger)</f>
        <v>#NUM!</v>
      </c>
    </row>
    <row r="75" spans="1:13" x14ac:dyDescent="0.2">
      <c r="A75" s="15" t="b">
        <v>1</v>
      </c>
      <c r="B75" s="16"/>
      <c r="C75" s="15" t="str">
        <f t="shared" si="3"/>
        <v>FUT1M</v>
      </c>
      <c r="D75" s="14" t="str">
        <v>M2</v>
      </c>
      <c r="E75" s="14" t="str">
        <f t="shared" si="4"/>
        <v>GBP_YC1MRH_FUT1MM2</v>
      </c>
      <c r="F75" s="28" t="e">
        <f>_xll.qlRateHelperQuoteValue($E75,Trigger)</f>
        <v>#NUM!</v>
      </c>
      <c r="G75" s="13" t="e">
        <f>_xll.qlFuturesRateHelperConvexityAdjustment($E75,Trigger)</f>
        <v>#NUM!</v>
      </c>
      <c r="H75" s="12" t="b">
        <v>0</v>
      </c>
      <c r="I75" s="12">
        <v>30</v>
      </c>
      <c r="J75" s="12">
        <v>1</v>
      </c>
      <c r="K75" s="11" t="e">
        <f>_xll.qlRateHelperEarliestDate($E75,Trigger)</f>
        <v>#NUM!</v>
      </c>
      <c r="L75" s="10" t="e">
        <f>_xll.qlRateHelperLatestDate($E75,Trigger)</f>
        <v>#NUM!</v>
      </c>
    </row>
    <row r="76" spans="1:13" x14ac:dyDescent="0.2">
      <c r="A76" s="15" t="b">
        <v>1</v>
      </c>
      <c r="B76" s="16"/>
      <c r="C76" s="15" t="str">
        <f t="shared" si="3"/>
        <v>FUT1M</v>
      </c>
      <c r="D76" s="14" t="str">
        <v>U2</v>
      </c>
      <c r="E76" s="14" t="str">
        <f t="shared" si="4"/>
        <v>GBP_YC1MRH_FUT1MU2</v>
      </c>
      <c r="F76" s="28" t="e">
        <f>_xll.qlRateHelperQuoteValue($E76,Trigger)</f>
        <v>#NUM!</v>
      </c>
      <c r="G76" s="13" t="e">
        <f>_xll.qlFuturesRateHelperConvexityAdjustment($E76,Trigger)</f>
        <v>#NUM!</v>
      </c>
      <c r="H76" s="12" t="b">
        <v>0</v>
      </c>
      <c r="I76" s="12">
        <v>30</v>
      </c>
      <c r="J76" s="12">
        <v>1</v>
      </c>
      <c r="K76" s="11" t="e">
        <f>_xll.qlRateHelperEarliestDate($E76,Trigger)</f>
        <v>#NUM!</v>
      </c>
      <c r="L76" s="10" t="e">
        <f>_xll.qlRateHelperLatestDate($E76,Trigger)</f>
        <v>#NUM!</v>
      </c>
    </row>
    <row r="77" spans="1:13" x14ac:dyDescent="0.2">
      <c r="A77" s="8" t="b">
        <v>1</v>
      </c>
      <c r="B77" s="9"/>
      <c r="C77" s="8" t="str">
        <f t="shared" si="3"/>
        <v>FUT1M</v>
      </c>
      <c r="D77" s="7" t="str">
        <v>Z2</v>
      </c>
      <c r="E77" s="7" t="str">
        <f t="shared" si="4"/>
        <v>GBP_YC1MRH_FUT1MZ2</v>
      </c>
      <c r="F77" s="27" t="e">
        <f>_xll.qlRateHelperQuoteValue($E77,Trigger)</f>
        <v>#NUM!</v>
      </c>
      <c r="G77" s="6" t="e">
        <f>_xll.qlFuturesRateHelperConvexityAdjustment($E77,Trigger)</f>
        <v>#NUM!</v>
      </c>
      <c r="H77" s="5" t="b">
        <v>0</v>
      </c>
      <c r="I77" s="5">
        <v>30</v>
      </c>
      <c r="J77" s="12">
        <v>1</v>
      </c>
      <c r="K77" s="4" t="e">
        <f>_xll.qlRateHelperEarliestDate($E77,Trigger)</f>
        <v>#NUM!</v>
      </c>
      <c r="L77" s="3" t="e">
        <f>_xll.qlRateHelperLatestDate($E77,Trigger)</f>
        <v>#NUM!</v>
      </c>
      <c r="M77" s="26"/>
    </row>
    <row r="78" spans="1:13" ht="11.25" customHeight="1" x14ac:dyDescent="0.2">
      <c r="B78" s="24">
        <v>2</v>
      </c>
      <c r="C78" s="23"/>
      <c r="D78" s="21" t="s">
        <v>41</v>
      </c>
      <c r="E78" s="21" t="str">
        <f t="shared" si="4"/>
        <v>GBP_YC1MRH_2X1S</v>
      </c>
      <c r="F78" s="20">
        <f>_xll.qlRateHelperQuoteValue($E78,Trigger)</f>
        <v>5.0124999999999996E-3</v>
      </c>
      <c r="G78" s="20">
        <f>_xll.qlSwapRateHelperSpread($E78,Trigger)</f>
        <v>0</v>
      </c>
      <c r="H78" s="19" t="b">
        <v>1</v>
      </c>
      <c r="I78" s="19">
        <v>40</v>
      </c>
      <c r="J78" s="19">
        <v>1</v>
      </c>
      <c r="K78" s="18">
        <f>_xll.qlRateHelperEarliestDate($E78,Trigger)</f>
        <v>41817</v>
      </c>
      <c r="L78" s="17">
        <f>_xll.qlRateHelperLatestDate($E78,Trigger)</f>
        <v>41878</v>
      </c>
      <c r="M78" s="22"/>
    </row>
    <row r="79" spans="1:13" x14ac:dyDescent="0.2">
      <c r="B79" s="16">
        <v>3</v>
      </c>
      <c r="C79" s="15"/>
      <c r="D79" s="14" t="s">
        <v>41</v>
      </c>
      <c r="E79" s="14" t="str">
        <f t="shared" si="4"/>
        <v>GBP_YC1MRH_3X1S</v>
      </c>
      <c r="F79" s="13">
        <f>_xll.qlRateHelperQuoteValue($E79,Trigger)</f>
        <v>5.1000000000000004E-3</v>
      </c>
      <c r="G79" s="13">
        <f>_xll.qlSwapRateHelperSpread($E79,Trigger)</f>
        <v>0</v>
      </c>
      <c r="H79" s="12" t="b">
        <v>1</v>
      </c>
      <c r="I79" s="12">
        <v>40</v>
      </c>
      <c r="J79" s="12">
        <v>1</v>
      </c>
      <c r="K79" s="11">
        <f>_xll.qlRateHelperEarliestDate($E79,Trigger)</f>
        <v>41817</v>
      </c>
      <c r="L79" s="10">
        <f>_xll.qlRateHelperLatestDate($E79,Trigger)</f>
        <v>41911</v>
      </c>
      <c r="M79" s="25"/>
    </row>
    <row r="80" spans="1:13" x14ac:dyDescent="0.2">
      <c r="B80" s="16">
        <v>4</v>
      </c>
      <c r="C80" s="15"/>
      <c r="D80" s="14" t="s">
        <v>41</v>
      </c>
      <c r="E80" s="14" t="str">
        <f t="shared" si="4"/>
        <v>GBP_YC1MRH_4X1S</v>
      </c>
      <c r="F80" s="13">
        <f>_xll.qlRateHelperQuoteValue($E80,Trigger)</f>
        <v>5.1999999999999998E-3</v>
      </c>
      <c r="G80" s="13">
        <f>_xll.qlSwapRateHelperSpread($E80,Trigger)</f>
        <v>0</v>
      </c>
      <c r="H80" s="12" t="b">
        <v>1</v>
      </c>
      <c r="I80" s="12">
        <v>40</v>
      </c>
      <c r="J80" s="12">
        <v>1</v>
      </c>
      <c r="K80" s="11">
        <f>_xll.qlRateHelperEarliestDate($E80,Trigger)</f>
        <v>41817</v>
      </c>
      <c r="L80" s="10">
        <f>_xll.qlRateHelperLatestDate($E80,Trigger)</f>
        <v>41939</v>
      </c>
    </row>
    <row r="81" spans="2:14" x14ac:dyDescent="0.2">
      <c r="B81" s="16">
        <v>5</v>
      </c>
      <c r="C81" s="15"/>
      <c r="D81" s="14" t="s">
        <v>41</v>
      </c>
      <c r="E81" s="14" t="str">
        <f t="shared" si="4"/>
        <v>GBP_YC1MRH_5X1S</v>
      </c>
      <c r="F81" s="13">
        <f>_xll.qlRateHelperQuoteValue($E81,Trigger)</f>
        <v>5.4124999999999998E-3</v>
      </c>
      <c r="G81" s="13">
        <f>_xll.qlSwapRateHelperSpread($E81,Trigger)</f>
        <v>0</v>
      </c>
      <c r="H81" s="12" t="b">
        <v>1</v>
      </c>
      <c r="I81" s="12">
        <v>40</v>
      </c>
      <c r="J81" s="12">
        <v>1</v>
      </c>
      <c r="K81" s="11">
        <f>_xll.qlRateHelperEarliestDate($E81,Trigger)</f>
        <v>41817</v>
      </c>
      <c r="L81" s="10">
        <f>_xll.qlRateHelperLatestDate($E81,Trigger)</f>
        <v>41970</v>
      </c>
    </row>
    <row r="82" spans="2:14" ht="11.25" customHeight="1" x14ac:dyDescent="0.2">
      <c r="B82" s="16">
        <v>6</v>
      </c>
      <c r="C82" s="15"/>
      <c r="D82" s="14" t="s">
        <v>41</v>
      </c>
      <c r="E82" s="14" t="str">
        <f t="shared" si="4"/>
        <v>GBP_YC1MRH_6X1S</v>
      </c>
      <c r="F82" s="13">
        <f>_xll.qlRateHelperQuoteValue($E82,Trigger)</f>
        <v>5.6499999999999996E-3</v>
      </c>
      <c r="G82" s="13">
        <f>_xll.qlSwapRateHelperSpread($E82,Trigger)</f>
        <v>0</v>
      </c>
      <c r="H82" s="12" t="b">
        <v>1</v>
      </c>
      <c r="I82" s="12">
        <v>40</v>
      </c>
      <c r="J82" s="12">
        <v>1</v>
      </c>
      <c r="K82" s="11">
        <f>_xll.qlRateHelperEarliestDate($E82,Trigger)</f>
        <v>41817</v>
      </c>
      <c r="L82" s="10">
        <f>_xll.qlRateHelperLatestDate($E82,Trigger)</f>
        <v>42002</v>
      </c>
    </row>
    <row r="83" spans="2:14" x14ac:dyDescent="0.2">
      <c r="B83" s="16">
        <v>7</v>
      </c>
      <c r="C83" s="15"/>
      <c r="D83" s="14" t="s">
        <v>41</v>
      </c>
      <c r="E83" s="14" t="str">
        <f t="shared" si="4"/>
        <v>GBP_YC1MRH_7X1S</v>
      </c>
      <c r="F83" s="13">
        <f>_xll.qlRateHelperQuoteValue($E83,Trigger)</f>
        <v>5.9375000000000001E-3</v>
      </c>
      <c r="G83" s="13">
        <f>_xll.qlSwapRateHelperSpread($E83,Trigger)</f>
        <v>0</v>
      </c>
      <c r="H83" s="12" t="b">
        <v>1</v>
      </c>
      <c r="I83" s="12">
        <v>40</v>
      </c>
      <c r="J83" s="12">
        <v>1</v>
      </c>
      <c r="K83" s="11">
        <f>_xll.qlRateHelperEarliestDate($E83,Trigger)</f>
        <v>41817</v>
      </c>
      <c r="L83" s="10">
        <f>_xll.qlRateHelperLatestDate($E83,Trigger)</f>
        <v>42031</v>
      </c>
    </row>
    <row r="84" spans="2:14" x14ac:dyDescent="0.2">
      <c r="B84" s="16">
        <v>8</v>
      </c>
      <c r="C84" s="15"/>
      <c r="D84" s="14" t="s">
        <v>41</v>
      </c>
      <c r="E84" s="14" t="str">
        <f t="shared" si="4"/>
        <v>GBP_YC1MRH_8X1S</v>
      </c>
      <c r="F84" s="13">
        <f>_xll.qlRateHelperQuoteValue($E84,Trigger)</f>
        <v>6.2624999999999998E-3</v>
      </c>
      <c r="G84" s="13">
        <f>_xll.qlSwapRateHelperSpread($E84,Trigger)</f>
        <v>0</v>
      </c>
      <c r="H84" s="12" t="b">
        <v>1</v>
      </c>
      <c r="I84" s="12">
        <v>40</v>
      </c>
      <c r="J84" s="12">
        <v>1</v>
      </c>
      <c r="K84" s="11">
        <f>_xll.qlRateHelperEarliestDate($E84,Trigger)</f>
        <v>41817</v>
      </c>
      <c r="L84" s="10">
        <f>_xll.qlRateHelperLatestDate($E84,Trigger)</f>
        <v>42062</v>
      </c>
    </row>
    <row r="85" spans="2:14" ht="11.25" customHeight="1" x14ac:dyDescent="0.2">
      <c r="B85" s="16">
        <v>9</v>
      </c>
      <c r="C85" s="15"/>
      <c r="D85" s="14" t="s">
        <v>41</v>
      </c>
      <c r="E85" s="14" t="str">
        <f t="shared" si="4"/>
        <v>GBP_YC1MRH_9X1S</v>
      </c>
      <c r="F85" s="13">
        <f>_xll.qlRateHelperQuoteValue($E85,Trigger)</f>
        <v>6.5624999999999998E-3</v>
      </c>
      <c r="G85" s="13">
        <f>_xll.qlSwapRateHelperSpread($E85,Trigger)</f>
        <v>0</v>
      </c>
      <c r="H85" s="12" t="b">
        <v>1</v>
      </c>
      <c r="I85" s="12">
        <v>40</v>
      </c>
      <c r="J85" s="12">
        <v>1</v>
      </c>
      <c r="K85" s="11">
        <f>_xll.qlRateHelperEarliestDate($E85,Trigger)</f>
        <v>41817</v>
      </c>
      <c r="L85" s="10">
        <f>_xll.qlRateHelperLatestDate($E85,Trigger)</f>
        <v>42090</v>
      </c>
    </row>
    <row r="86" spans="2:14" x14ac:dyDescent="0.2">
      <c r="B86" s="16">
        <v>10</v>
      </c>
      <c r="C86" s="15"/>
      <c r="D86" s="14" t="s">
        <v>41</v>
      </c>
      <c r="E86" s="14" t="str">
        <f t="shared" si="4"/>
        <v>GBP_YC1MRH_10X1S</v>
      </c>
      <c r="F86" s="13">
        <f>_xll.qlRateHelperQuoteValue($E86,Trigger)</f>
        <v>6.9249999999999997E-3</v>
      </c>
      <c r="G86" s="13">
        <f>_xll.qlSwapRateHelperSpread($E86,Trigger)</f>
        <v>0</v>
      </c>
      <c r="H86" s="12" t="b">
        <v>1</v>
      </c>
      <c r="I86" s="12">
        <v>40</v>
      </c>
      <c r="J86" s="12">
        <v>1</v>
      </c>
      <c r="K86" s="11">
        <f>_xll.qlRateHelperEarliestDate($E86,Trigger)</f>
        <v>41817</v>
      </c>
      <c r="L86" s="10">
        <f>_xll.qlRateHelperLatestDate($E86,Trigger)</f>
        <v>42121</v>
      </c>
    </row>
    <row r="87" spans="2:14" x14ac:dyDescent="0.2">
      <c r="B87" s="16">
        <v>11</v>
      </c>
      <c r="C87" s="15"/>
      <c r="D87" s="14" t="s">
        <v>41</v>
      </c>
      <c r="E87" s="14" t="str">
        <f t="shared" si="4"/>
        <v>GBP_YC1MRH_11X1S</v>
      </c>
      <c r="F87" s="13">
        <f>_xll.qlRateHelperQuoteValue($E87,Trigger)</f>
        <v>7.2625000000000007E-3</v>
      </c>
      <c r="G87" s="13">
        <f>_xll.qlSwapRateHelperSpread($E87,Trigger)</f>
        <v>0</v>
      </c>
      <c r="H87" s="12" t="b">
        <v>1</v>
      </c>
      <c r="I87" s="12">
        <v>40</v>
      </c>
      <c r="J87" s="12">
        <v>1</v>
      </c>
      <c r="K87" s="11">
        <f>_xll.qlRateHelperEarliestDate($E87,Trigger)</f>
        <v>41817</v>
      </c>
      <c r="L87" s="10">
        <f>_xll.qlRateHelperLatestDate($E87,Trigger)</f>
        <v>42151</v>
      </c>
    </row>
    <row r="88" spans="2:14" x14ac:dyDescent="0.2">
      <c r="B88" s="9">
        <v>12</v>
      </c>
      <c r="C88" s="8"/>
      <c r="D88" s="7" t="s">
        <v>41</v>
      </c>
      <c r="E88" s="7" t="str">
        <f t="shared" si="4"/>
        <v>GBP_YC1MRH_12X1S</v>
      </c>
      <c r="F88" s="6">
        <f>_xll.qlRateHelperQuoteValue($E88,Trigger)</f>
        <v>7.6249999999999998E-3</v>
      </c>
      <c r="G88" s="6">
        <f>_xll.qlSwapRateHelperSpread($E88,Trigger)</f>
        <v>0</v>
      </c>
      <c r="H88" s="5" t="b">
        <v>1</v>
      </c>
      <c r="I88" s="5">
        <v>40</v>
      </c>
      <c r="J88" s="12">
        <v>1</v>
      </c>
      <c r="K88" s="4">
        <f>_xll.qlRateHelperEarliestDate($E88,Trigger)</f>
        <v>41817</v>
      </c>
      <c r="L88" s="3">
        <f>_xll.qlRateHelperLatestDate($E88,Trigger)</f>
        <v>42184</v>
      </c>
    </row>
    <row r="89" spans="2:14" x14ac:dyDescent="0.2">
      <c r="B89" s="24" t="s">
        <v>37</v>
      </c>
      <c r="C89" s="23">
        <v>12</v>
      </c>
      <c r="D89" s="21"/>
      <c r="E89" s="21" t="str">
        <f t="shared" si="4"/>
        <v>GBP_YC1MRH_1S12</v>
      </c>
      <c r="F89" s="20" t="e">
        <f>_xll.qlRateHelperQuoteValue($E89,Trigger)</f>
        <v>#NUM!</v>
      </c>
      <c r="G89" s="20" t="e">
        <f>_xll.qlSwapRateHelperSpread($E89,Trigger)</f>
        <v>#NUM!</v>
      </c>
      <c r="H89" s="19" t="b">
        <v>0</v>
      </c>
      <c r="I89" s="19">
        <v>40</v>
      </c>
      <c r="J89" s="19">
        <v>1</v>
      </c>
      <c r="K89" s="18" t="e">
        <f>_xll.qlRateHelperEarliestDate($E89,Trigger)</f>
        <v>#NUM!</v>
      </c>
      <c r="L89" s="17" t="e">
        <f>_xll.qlRateHelperLatestDate($E89,Trigger)</f>
        <v>#NUM!</v>
      </c>
    </row>
    <row r="90" spans="2:14" x14ac:dyDescent="0.2">
      <c r="B90" s="16" t="s">
        <v>38</v>
      </c>
      <c r="C90" s="15">
        <v>12</v>
      </c>
      <c r="D90" s="14"/>
      <c r="E90" s="14" t="str">
        <f t="shared" si="4"/>
        <v>GBP_YC1MRH_2S12</v>
      </c>
      <c r="F90" s="13" t="e">
        <f>_xll.qlRateHelperQuoteValue($E90,Trigger)</f>
        <v>#NUM!</v>
      </c>
      <c r="G90" s="13" t="e">
        <f>_xll.qlSwapRateHelperSpread($E90,Trigger)</f>
        <v>#NUM!</v>
      </c>
      <c r="H90" s="12" t="b">
        <v>0</v>
      </c>
      <c r="I90" s="12">
        <v>40</v>
      </c>
      <c r="J90" s="12">
        <v>1</v>
      </c>
      <c r="K90" s="11" t="e">
        <f>_xll.qlRateHelperEarliestDate($E90,Trigger)</f>
        <v>#NUM!</v>
      </c>
      <c r="L90" s="10" t="e">
        <f>_xll.qlRateHelperLatestDate($E90,Trigger)</f>
        <v>#NUM!</v>
      </c>
    </row>
    <row r="91" spans="2:14" x14ac:dyDescent="0.2">
      <c r="B91" s="16" t="s">
        <v>40</v>
      </c>
      <c r="C91" s="15">
        <v>12</v>
      </c>
      <c r="D91" s="14"/>
      <c r="E91" s="14" t="str">
        <f t="shared" si="4"/>
        <v>GBP_YC1MRH_3S12</v>
      </c>
      <c r="F91" s="13" t="e">
        <f>_xll.qlRateHelperQuoteValue($E91,Trigger)</f>
        <v>#NUM!</v>
      </c>
      <c r="G91" s="13" t="e">
        <f>_xll.qlSwapRateHelperSpread($E91,Trigger)</f>
        <v>#NUM!</v>
      </c>
      <c r="H91" s="12" t="b">
        <v>0</v>
      </c>
      <c r="I91" s="12">
        <v>40</v>
      </c>
      <c r="J91" s="12">
        <v>1</v>
      </c>
      <c r="K91" s="11" t="e">
        <f>_xll.qlRateHelperEarliestDate($E91,Trigger)</f>
        <v>#NUM!</v>
      </c>
      <c r="L91" s="10" t="e">
        <f>_xll.qlRateHelperLatestDate($E91,Trigger)</f>
        <v>#NUM!</v>
      </c>
    </row>
    <row r="92" spans="2:14" x14ac:dyDescent="0.2">
      <c r="B92" s="16" t="s">
        <v>39</v>
      </c>
      <c r="C92" s="15">
        <v>12</v>
      </c>
      <c r="D92" s="14"/>
      <c r="E92" s="14" t="str">
        <f t="shared" si="4"/>
        <v>GBP_YC1MRH_4S12</v>
      </c>
      <c r="F92" s="13" t="e">
        <f>_xll.qlRateHelperQuoteValue($E92,Trigger)</f>
        <v>#NUM!</v>
      </c>
      <c r="G92" s="13" t="e">
        <f>_xll.qlSwapRateHelperSpread($E92,Trigger)</f>
        <v>#NUM!</v>
      </c>
      <c r="H92" s="12" t="b">
        <v>0</v>
      </c>
      <c r="I92" s="12">
        <v>40</v>
      </c>
      <c r="J92" s="12">
        <v>1</v>
      </c>
      <c r="K92" s="11" t="e">
        <f>_xll.qlRateHelperEarliestDate($E92,Trigger)</f>
        <v>#NUM!</v>
      </c>
      <c r="L92" s="10" t="e">
        <f>_xll.qlRateHelperLatestDate($E92,Trigger)</f>
        <v>#NUM!</v>
      </c>
    </row>
    <row r="93" spans="2:14" x14ac:dyDescent="0.2">
      <c r="B93" s="16" t="s">
        <v>37</v>
      </c>
      <c r="C93" s="15">
        <v>24</v>
      </c>
      <c r="D93" s="14"/>
      <c r="E93" s="14" t="str">
        <f t="shared" si="4"/>
        <v>GBP_YC1MRH_1S24</v>
      </c>
      <c r="F93" s="13" t="e">
        <f>_xll.qlRateHelperQuoteValue($E93,Trigger)</f>
        <v>#NUM!</v>
      </c>
      <c r="G93" s="13" t="e">
        <f>_xll.qlSwapRateHelperSpread($E93,Trigger)</f>
        <v>#NUM!</v>
      </c>
      <c r="H93" s="12" t="b">
        <v>0</v>
      </c>
      <c r="I93" s="12">
        <v>40</v>
      </c>
      <c r="J93" s="12">
        <v>1</v>
      </c>
      <c r="K93" s="11" t="e">
        <f>_xll.qlRateHelperEarliestDate($E93,Trigger)</f>
        <v>#NUM!</v>
      </c>
      <c r="L93" s="10" t="e">
        <f>_xll.qlRateHelperLatestDate($E93,Trigger)</f>
        <v>#NUM!</v>
      </c>
    </row>
    <row r="94" spans="2:14" x14ac:dyDescent="0.2">
      <c r="B94" s="16" t="s">
        <v>38</v>
      </c>
      <c r="C94" s="15">
        <v>24</v>
      </c>
      <c r="D94" s="14"/>
      <c r="E94" s="14" t="str">
        <f t="shared" si="4"/>
        <v>GBP_YC1MRH_2S24</v>
      </c>
      <c r="F94" s="13" t="e">
        <f>_xll.qlRateHelperQuoteValue($E94,Trigger)</f>
        <v>#NUM!</v>
      </c>
      <c r="G94" s="13" t="e">
        <f>_xll.qlSwapRateHelperSpread($E94,Trigger)</f>
        <v>#NUM!</v>
      </c>
      <c r="H94" s="12" t="b">
        <v>0</v>
      </c>
      <c r="I94" s="12">
        <v>40</v>
      </c>
      <c r="J94" s="12">
        <v>1</v>
      </c>
      <c r="K94" s="11" t="e">
        <f>_xll.qlRateHelperEarliestDate($E94,Trigger)</f>
        <v>#NUM!</v>
      </c>
      <c r="L94" s="10" t="e">
        <f>_xll.qlRateHelperLatestDate($E94,Trigger)</f>
        <v>#NUM!</v>
      </c>
    </row>
    <row r="95" spans="2:14" x14ac:dyDescent="0.2">
      <c r="B95" s="9" t="s">
        <v>37</v>
      </c>
      <c r="C95" s="8">
        <v>36</v>
      </c>
      <c r="D95" s="7"/>
      <c r="E95" s="7" t="str">
        <f t="shared" si="4"/>
        <v>GBP_YC1MRH_1S36</v>
      </c>
      <c r="F95" s="6" t="e">
        <f>_xll.qlRateHelperQuoteValue($E95,Trigger)</f>
        <v>#NUM!</v>
      </c>
      <c r="G95" s="6" t="e">
        <f>_xll.qlSwapRateHelperSpread($E95,Trigger)</f>
        <v>#NUM!</v>
      </c>
      <c r="H95" s="5" t="b">
        <v>0</v>
      </c>
      <c r="I95" s="5">
        <v>40</v>
      </c>
      <c r="J95" s="5">
        <v>1</v>
      </c>
      <c r="K95" s="4" t="e">
        <f>_xll.qlRateHelperEarliestDate($E95,Trigger)</f>
        <v>#NUM!</v>
      </c>
      <c r="L95" s="3" t="e">
        <f>_xll.qlRateHelperLatestDate($E95,Trigger)</f>
        <v>#NUM!</v>
      </c>
    </row>
    <row r="96" spans="2:14" x14ac:dyDescent="0.2">
      <c r="B96" s="16" t="str">
        <f t="shared" ref="B96:B127" si="5">SwapFixedFreq</f>
        <v>SB</v>
      </c>
      <c r="C96" s="15" t="str">
        <f t="shared" ref="C96:C132" si="6">IborType</f>
        <v>1L</v>
      </c>
      <c r="D96" s="14" t="s">
        <v>36</v>
      </c>
      <c r="E96" s="14" t="str">
        <f t="shared" si="4"/>
        <v>GBP_YC1MRH_SB1L1Y</v>
      </c>
      <c r="F96" s="13" t="e">
        <f>_xll.qlRateHelperQuoteValue($E96,Trigger)</f>
        <v>#NUM!</v>
      </c>
      <c r="G96" s="13" t="e">
        <f>_xll.qlSwapRateHelperSpread($E96,Trigger)</f>
        <v>#NUM!</v>
      </c>
      <c r="H96" s="12" t="b">
        <v>0</v>
      </c>
      <c r="I96" s="12">
        <v>50</v>
      </c>
      <c r="J96" s="12">
        <v>1</v>
      </c>
      <c r="K96" s="11" t="e">
        <f>_xll.qlRateHelperEarliestDate($E96,Trigger)</f>
        <v>#NUM!</v>
      </c>
      <c r="L96" s="10" t="e">
        <f>_xll.qlRateHelperLatestDate($E96,Trigger)</f>
        <v>#NUM!</v>
      </c>
      <c r="N96" s="22" t="e">
        <f t="shared" ref="N96:N132" si="7">IF(G96=G133,F96-F133,"--")</f>
        <v>#NUM!</v>
      </c>
    </row>
    <row r="97" spans="2:14" x14ac:dyDescent="0.2">
      <c r="B97" s="16" t="str">
        <f t="shared" si="5"/>
        <v>SB</v>
      </c>
      <c r="C97" s="15" t="str">
        <f t="shared" si="6"/>
        <v>1L</v>
      </c>
      <c r="D97" s="14" t="s">
        <v>35</v>
      </c>
      <c r="E97" s="14" t="str">
        <f t="shared" si="4"/>
        <v>GBP_YC1MRH_SB1L15M</v>
      </c>
      <c r="F97" s="13" t="e">
        <f>_xll.qlRateHelperQuoteValue($E97,Trigger)</f>
        <v>#NUM!</v>
      </c>
      <c r="G97" s="13" t="e">
        <f>_xll.qlSwapRateHelperSpread($E97,Trigger)</f>
        <v>#NUM!</v>
      </c>
      <c r="H97" s="12" t="b">
        <v>0</v>
      </c>
      <c r="I97" s="12">
        <v>50</v>
      </c>
      <c r="J97" s="12">
        <v>1</v>
      </c>
      <c r="K97" s="11" t="e">
        <f>_xll.qlRateHelperEarliestDate($E97,Trigger)</f>
        <v>#NUM!</v>
      </c>
      <c r="L97" s="10" t="e">
        <f>_xll.qlRateHelperLatestDate($E97,Trigger)</f>
        <v>#NUM!</v>
      </c>
      <c r="N97" s="22" t="e">
        <f t="shared" si="7"/>
        <v>#NUM!</v>
      </c>
    </row>
    <row r="98" spans="2:14" x14ac:dyDescent="0.2">
      <c r="B98" s="16" t="str">
        <f t="shared" si="5"/>
        <v>SB</v>
      </c>
      <c r="C98" s="15" t="str">
        <f t="shared" si="6"/>
        <v>1L</v>
      </c>
      <c r="D98" s="14" t="s">
        <v>34</v>
      </c>
      <c r="E98" s="14" t="str">
        <f t="shared" ref="E98:E129" si="8">RateHelperPrefix&amp;"_"&amp;$B98&amp;$C98&amp;$D98</f>
        <v>GBP_YC1MRH_SB1L18M</v>
      </c>
      <c r="F98" s="13" t="e">
        <f>_xll.qlRateHelperQuoteValue($E98,Trigger)</f>
        <v>#NUM!</v>
      </c>
      <c r="G98" s="13" t="e">
        <f>_xll.qlSwapRateHelperSpread($E98,Trigger)</f>
        <v>#NUM!</v>
      </c>
      <c r="H98" s="12" t="b">
        <v>0</v>
      </c>
      <c r="I98" s="12">
        <v>50</v>
      </c>
      <c r="J98" s="12">
        <v>1</v>
      </c>
      <c r="K98" s="11" t="e">
        <f>_xll.qlRateHelperEarliestDate($E98,Trigger)</f>
        <v>#NUM!</v>
      </c>
      <c r="L98" s="10" t="e">
        <f>_xll.qlRateHelperLatestDate($E98,Trigger)</f>
        <v>#NUM!</v>
      </c>
      <c r="N98" s="22" t="e">
        <f t="shared" si="7"/>
        <v>#NUM!</v>
      </c>
    </row>
    <row r="99" spans="2:14" x14ac:dyDescent="0.2">
      <c r="B99" s="16" t="str">
        <f t="shared" si="5"/>
        <v>SB</v>
      </c>
      <c r="C99" s="15" t="str">
        <f t="shared" si="6"/>
        <v>1L</v>
      </c>
      <c r="D99" s="14" t="s">
        <v>33</v>
      </c>
      <c r="E99" s="14" t="str">
        <f t="shared" si="8"/>
        <v>GBP_YC1MRH_SB1L21M</v>
      </c>
      <c r="F99" s="13" t="e">
        <f>_xll.qlRateHelperQuoteValue($E99,Trigger)</f>
        <v>#NUM!</v>
      </c>
      <c r="G99" s="13" t="e">
        <f>_xll.qlSwapRateHelperSpread($E99,Trigger)</f>
        <v>#NUM!</v>
      </c>
      <c r="H99" s="12" t="b">
        <v>0</v>
      </c>
      <c r="I99" s="12">
        <v>50</v>
      </c>
      <c r="J99" s="12">
        <v>1</v>
      </c>
      <c r="K99" s="11" t="e">
        <f>_xll.qlRateHelperEarliestDate($E99,Trigger)</f>
        <v>#NUM!</v>
      </c>
      <c r="L99" s="10" t="e">
        <f>_xll.qlRateHelperLatestDate($E99,Trigger)</f>
        <v>#NUM!</v>
      </c>
      <c r="N99" s="22" t="e">
        <f t="shared" si="7"/>
        <v>#NUM!</v>
      </c>
    </row>
    <row r="100" spans="2:14" x14ac:dyDescent="0.2">
      <c r="B100" s="16" t="str">
        <f t="shared" si="5"/>
        <v>SB</v>
      </c>
      <c r="C100" s="15" t="str">
        <f t="shared" si="6"/>
        <v>1L</v>
      </c>
      <c r="D100" s="14" t="s">
        <v>32</v>
      </c>
      <c r="E100" s="14" t="str">
        <f t="shared" si="8"/>
        <v>GBP_YC1MRH_SB1L2Y</v>
      </c>
      <c r="F100" s="13" t="e">
        <f>_xll.qlRateHelperQuoteValue($E100,Trigger)</f>
        <v>#NUM!</v>
      </c>
      <c r="G100" s="13" t="e">
        <f>_xll.qlSwapRateHelperSpread($E100,Trigger)</f>
        <v>#NUM!</v>
      </c>
      <c r="H100" s="12" t="b">
        <v>0</v>
      </c>
      <c r="I100" s="12">
        <v>50</v>
      </c>
      <c r="J100" s="12">
        <v>1</v>
      </c>
      <c r="K100" s="11" t="e">
        <f>_xll.qlRateHelperEarliestDate($E100,Trigger)</f>
        <v>#NUM!</v>
      </c>
      <c r="L100" s="10" t="e">
        <f>_xll.qlRateHelperLatestDate($E100,Trigger)</f>
        <v>#NUM!</v>
      </c>
      <c r="N100" s="22" t="e">
        <f t="shared" si="7"/>
        <v>#NUM!</v>
      </c>
    </row>
    <row r="101" spans="2:14" x14ac:dyDescent="0.2">
      <c r="B101" s="16" t="str">
        <f t="shared" si="5"/>
        <v>SB</v>
      </c>
      <c r="C101" s="15" t="str">
        <f t="shared" si="6"/>
        <v>1L</v>
      </c>
      <c r="D101" s="14" t="s">
        <v>31</v>
      </c>
      <c r="E101" s="14" t="str">
        <f t="shared" si="8"/>
        <v>GBP_YC1MRH_SB1L3Y</v>
      </c>
      <c r="F101" s="13" t="e">
        <f>_xll.qlRateHelperQuoteValue($E101,Trigger)</f>
        <v>#NUM!</v>
      </c>
      <c r="G101" s="13" t="e">
        <f>_xll.qlSwapRateHelperSpread($E101,Trigger)</f>
        <v>#NUM!</v>
      </c>
      <c r="H101" s="12" t="b">
        <v>0</v>
      </c>
      <c r="I101" s="12">
        <v>50</v>
      </c>
      <c r="J101" s="12">
        <v>1</v>
      </c>
      <c r="K101" s="11" t="e">
        <f>_xll.qlRateHelperEarliestDate($E101,Trigger)</f>
        <v>#NUM!</v>
      </c>
      <c r="L101" s="10" t="e">
        <f>_xll.qlRateHelperLatestDate($E101,Trigger)</f>
        <v>#NUM!</v>
      </c>
      <c r="N101" s="22" t="e">
        <f t="shared" si="7"/>
        <v>#NUM!</v>
      </c>
    </row>
    <row r="102" spans="2:14" x14ac:dyDescent="0.2">
      <c r="B102" s="16" t="str">
        <f t="shared" si="5"/>
        <v>SB</v>
      </c>
      <c r="C102" s="15" t="str">
        <f t="shared" si="6"/>
        <v>1L</v>
      </c>
      <c r="D102" s="14" t="s">
        <v>30</v>
      </c>
      <c r="E102" s="14" t="str">
        <f t="shared" si="8"/>
        <v>GBP_YC1MRH_SB1L4Y</v>
      </c>
      <c r="F102" s="13" t="e">
        <f>_xll.qlRateHelperQuoteValue($E102,Trigger)</f>
        <v>#NUM!</v>
      </c>
      <c r="G102" s="13" t="e">
        <f>_xll.qlSwapRateHelperSpread($E102,Trigger)</f>
        <v>#NUM!</v>
      </c>
      <c r="H102" s="12" t="b">
        <v>0</v>
      </c>
      <c r="I102" s="12">
        <v>50</v>
      </c>
      <c r="J102" s="12">
        <v>1</v>
      </c>
      <c r="K102" s="11" t="e">
        <f>_xll.qlRateHelperEarliestDate($E102,Trigger)</f>
        <v>#NUM!</v>
      </c>
      <c r="L102" s="10" t="e">
        <f>_xll.qlRateHelperLatestDate($E102,Trigger)</f>
        <v>#NUM!</v>
      </c>
      <c r="N102" s="22" t="e">
        <f t="shared" si="7"/>
        <v>#NUM!</v>
      </c>
    </row>
    <row r="103" spans="2:14" x14ac:dyDescent="0.2">
      <c r="B103" s="16" t="str">
        <f t="shared" si="5"/>
        <v>SB</v>
      </c>
      <c r="C103" s="15" t="str">
        <f t="shared" si="6"/>
        <v>1L</v>
      </c>
      <c r="D103" s="14" t="s">
        <v>29</v>
      </c>
      <c r="E103" s="14" t="str">
        <f t="shared" si="8"/>
        <v>GBP_YC1MRH_SB1L5Y</v>
      </c>
      <c r="F103" s="13" t="e">
        <f>_xll.qlRateHelperQuoteValue($E103,Trigger)</f>
        <v>#NUM!</v>
      </c>
      <c r="G103" s="13" t="e">
        <f>_xll.qlSwapRateHelperSpread($E103,Trigger)</f>
        <v>#NUM!</v>
      </c>
      <c r="H103" s="12" t="b">
        <v>0</v>
      </c>
      <c r="I103" s="12">
        <v>50</v>
      </c>
      <c r="J103" s="12">
        <v>1</v>
      </c>
      <c r="K103" s="11" t="e">
        <f>_xll.qlRateHelperEarliestDate($E103,Trigger)</f>
        <v>#NUM!</v>
      </c>
      <c r="L103" s="10" t="e">
        <f>_xll.qlRateHelperLatestDate($E103,Trigger)</f>
        <v>#NUM!</v>
      </c>
      <c r="N103" s="22" t="e">
        <f t="shared" si="7"/>
        <v>#NUM!</v>
      </c>
    </row>
    <row r="104" spans="2:14" x14ac:dyDescent="0.2">
      <c r="B104" s="16" t="str">
        <f t="shared" si="5"/>
        <v>SB</v>
      </c>
      <c r="C104" s="15" t="str">
        <f t="shared" si="6"/>
        <v>1L</v>
      </c>
      <c r="D104" s="14" t="s">
        <v>28</v>
      </c>
      <c r="E104" s="14" t="str">
        <f t="shared" si="8"/>
        <v>GBP_YC1MRH_SB1L6Y</v>
      </c>
      <c r="F104" s="13" t="e">
        <f>_xll.qlRateHelperQuoteValue($E104,Trigger)</f>
        <v>#NUM!</v>
      </c>
      <c r="G104" s="13" t="e">
        <f>_xll.qlSwapRateHelperSpread($E104,Trigger)</f>
        <v>#NUM!</v>
      </c>
      <c r="H104" s="12" t="b">
        <v>0</v>
      </c>
      <c r="I104" s="12">
        <v>50</v>
      </c>
      <c r="J104" s="12">
        <v>1</v>
      </c>
      <c r="K104" s="11" t="e">
        <f>_xll.qlRateHelperEarliestDate($E104,Trigger)</f>
        <v>#NUM!</v>
      </c>
      <c r="L104" s="10" t="e">
        <f>_xll.qlRateHelperLatestDate($E104,Trigger)</f>
        <v>#NUM!</v>
      </c>
      <c r="N104" s="22" t="e">
        <f t="shared" si="7"/>
        <v>#NUM!</v>
      </c>
    </row>
    <row r="105" spans="2:14" x14ac:dyDescent="0.2">
      <c r="B105" s="16" t="str">
        <f t="shared" si="5"/>
        <v>SB</v>
      </c>
      <c r="C105" s="15" t="str">
        <f t="shared" si="6"/>
        <v>1L</v>
      </c>
      <c r="D105" s="14" t="s">
        <v>27</v>
      </c>
      <c r="E105" s="14" t="str">
        <f t="shared" si="8"/>
        <v>GBP_YC1MRH_SB1L7Y</v>
      </c>
      <c r="F105" s="13" t="e">
        <f>_xll.qlRateHelperQuoteValue($E105,Trigger)</f>
        <v>#NUM!</v>
      </c>
      <c r="G105" s="13" t="e">
        <f>_xll.qlSwapRateHelperSpread($E105,Trigger)</f>
        <v>#NUM!</v>
      </c>
      <c r="H105" s="12" t="b">
        <v>0</v>
      </c>
      <c r="I105" s="12">
        <v>50</v>
      </c>
      <c r="J105" s="12">
        <v>1</v>
      </c>
      <c r="K105" s="11" t="e">
        <f>_xll.qlRateHelperEarliestDate($E105,Trigger)</f>
        <v>#NUM!</v>
      </c>
      <c r="L105" s="10" t="e">
        <f>_xll.qlRateHelperLatestDate($E105,Trigger)</f>
        <v>#NUM!</v>
      </c>
      <c r="N105" s="22" t="e">
        <f t="shared" si="7"/>
        <v>#NUM!</v>
      </c>
    </row>
    <row r="106" spans="2:14" x14ac:dyDescent="0.2">
      <c r="B106" s="16" t="str">
        <f t="shared" si="5"/>
        <v>SB</v>
      </c>
      <c r="C106" s="15" t="str">
        <f t="shared" si="6"/>
        <v>1L</v>
      </c>
      <c r="D106" s="14" t="s">
        <v>26</v>
      </c>
      <c r="E106" s="14" t="str">
        <f t="shared" si="8"/>
        <v>GBP_YC1MRH_SB1L8Y</v>
      </c>
      <c r="F106" s="13" t="e">
        <f>_xll.qlRateHelperQuoteValue($E106,Trigger)</f>
        <v>#NUM!</v>
      </c>
      <c r="G106" s="13" t="e">
        <f>_xll.qlSwapRateHelperSpread($E106,Trigger)</f>
        <v>#NUM!</v>
      </c>
      <c r="H106" s="12" t="b">
        <v>0</v>
      </c>
      <c r="I106" s="12">
        <v>50</v>
      </c>
      <c r="J106" s="12">
        <v>1</v>
      </c>
      <c r="K106" s="11" t="e">
        <f>_xll.qlRateHelperEarliestDate($E106,Trigger)</f>
        <v>#NUM!</v>
      </c>
      <c r="L106" s="10" t="e">
        <f>_xll.qlRateHelperLatestDate($E106,Trigger)</f>
        <v>#NUM!</v>
      </c>
      <c r="N106" s="22" t="e">
        <f t="shared" si="7"/>
        <v>#NUM!</v>
      </c>
    </row>
    <row r="107" spans="2:14" x14ac:dyDescent="0.2">
      <c r="B107" s="16" t="str">
        <f t="shared" si="5"/>
        <v>SB</v>
      </c>
      <c r="C107" s="15" t="str">
        <f t="shared" si="6"/>
        <v>1L</v>
      </c>
      <c r="D107" s="14" t="s">
        <v>25</v>
      </c>
      <c r="E107" s="14" t="str">
        <f t="shared" si="8"/>
        <v>GBP_YC1MRH_SB1L9Y</v>
      </c>
      <c r="F107" s="13" t="e">
        <f>_xll.qlRateHelperQuoteValue($E107,Trigger)</f>
        <v>#NUM!</v>
      </c>
      <c r="G107" s="13" t="e">
        <f>_xll.qlSwapRateHelperSpread($E107,Trigger)</f>
        <v>#NUM!</v>
      </c>
      <c r="H107" s="12" t="b">
        <v>0</v>
      </c>
      <c r="I107" s="12">
        <v>50</v>
      </c>
      <c r="J107" s="12">
        <v>1</v>
      </c>
      <c r="K107" s="11" t="e">
        <f>_xll.qlRateHelperEarliestDate($E107,Trigger)</f>
        <v>#NUM!</v>
      </c>
      <c r="L107" s="10" t="e">
        <f>_xll.qlRateHelperLatestDate($E107,Trigger)</f>
        <v>#NUM!</v>
      </c>
      <c r="N107" s="22" t="e">
        <f t="shared" si="7"/>
        <v>#NUM!</v>
      </c>
    </row>
    <row r="108" spans="2:14" x14ac:dyDescent="0.2">
      <c r="B108" s="16" t="str">
        <f t="shared" si="5"/>
        <v>SB</v>
      </c>
      <c r="C108" s="15" t="str">
        <f t="shared" si="6"/>
        <v>1L</v>
      </c>
      <c r="D108" s="14" t="s">
        <v>24</v>
      </c>
      <c r="E108" s="14" t="str">
        <f t="shared" si="8"/>
        <v>GBP_YC1MRH_SB1L10Y</v>
      </c>
      <c r="F108" s="13" t="e">
        <f>_xll.qlRateHelperQuoteValue($E108,Trigger)</f>
        <v>#NUM!</v>
      </c>
      <c r="G108" s="13" t="e">
        <f>_xll.qlSwapRateHelperSpread($E108,Trigger)</f>
        <v>#NUM!</v>
      </c>
      <c r="H108" s="12" t="b">
        <v>0</v>
      </c>
      <c r="I108" s="12">
        <v>50</v>
      </c>
      <c r="J108" s="12">
        <v>1</v>
      </c>
      <c r="K108" s="11" t="e">
        <f>_xll.qlRateHelperEarliestDate($E108,Trigger)</f>
        <v>#NUM!</v>
      </c>
      <c r="L108" s="10" t="e">
        <f>_xll.qlRateHelperLatestDate($E108,Trigger)</f>
        <v>#NUM!</v>
      </c>
      <c r="N108" s="22" t="e">
        <f t="shared" si="7"/>
        <v>#NUM!</v>
      </c>
    </row>
    <row r="109" spans="2:14" x14ac:dyDescent="0.2">
      <c r="B109" s="16" t="str">
        <f t="shared" si="5"/>
        <v>SB</v>
      </c>
      <c r="C109" s="15" t="str">
        <f t="shared" si="6"/>
        <v>1L</v>
      </c>
      <c r="D109" s="14" t="s">
        <v>23</v>
      </c>
      <c r="E109" s="14" t="str">
        <f t="shared" si="8"/>
        <v>GBP_YC1MRH_SB1L11Y</v>
      </c>
      <c r="F109" s="13" t="e">
        <f>_xll.qlRateHelperQuoteValue($E109,Trigger)</f>
        <v>#NUM!</v>
      </c>
      <c r="G109" s="13" t="e">
        <f>_xll.qlSwapRateHelperSpread($E109,Trigger)</f>
        <v>#NUM!</v>
      </c>
      <c r="H109" s="12" t="b">
        <v>0</v>
      </c>
      <c r="I109" s="12">
        <v>50</v>
      </c>
      <c r="J109" s="12">
        <v>1</v>
      </c>
      <c r="K109" s="11" t="e">
        <f>_xll.qlRateHelperEarliestDate($E109,Trigger)</f>
        <v>#NUM!</v>
      </c>
      <c r="L109" s="10" t="e">
        <f>_xll.qlRateHelperLatestDate($E109,Trigger)</f>
        <v>#NUM!</v>
      </c>
      <c r="N109" s="22" t="e">
        <f t="shared" si="7"/>
        <v>#NUM!</v>
      </c>
    </row>
    <row r="110" spans="2:14" x14ac:dyDescent="0.2">
      <c r="B110" s="16" t="str">
        <f t="shared" si="5"/>
        <v>SB</v>
      </c>
      <c r="C110" s="15" t="str">
        <f t="shared" si="6"/>
        <v>1L</v>
      </c>
      <c r="D110" s="14" t="s">
        <v>22</v>
      </c>
      <c r="E110" s="14" t="str">
        <f t="shared" si="8"/>
        <v>GBP_YC1MRH_SB1L12Y</v>
      </c>
      <c r="F110" s="13" t="e">
        <f>_xll.qlRateHelperQuoteValue($E110,Trigger)</f>
        <v>#NUM!</v>
      </c>
      <c r="G110" s="13" t="e">
        <f>_xll.qlSwapRateHelperSpread($E110,Trigger)</f>
        <v>#NUM!</v>
      </c>
      <c r="H110" s="12" t="b">
        <v>0</v>
      </c>
      <c r="I110" s="12">
        <v>50</v>
      </c>
      <c r="J110" s="12">
        <v>1</v>
      </c>
      <c r="K110" s="11" t="e">
        <f>_xll.qlRateHelperEarliestDate($E110,Trigger)</f>
        <v>#NUM!</v>
      </c>
      <c r="L110" s="10" t="e">
        <f>_xll.qlRateHelperLatestDate($E110,Trigger)</f>
        <v>#NUM!</v>
      </c>
      <c r="N110" s="22" t="e">
        <f t="shared" si="7"/>
        <v>#NUM!</v>
      </c>
    </row>
    <row r="111" spans="2:14" x14ac:dyDescent="0.2">
      <c r="B111" s="16" t="str">
        <f t="shared" si="5"/>
        <v>SB</v>
      </c>
      <c r="C111" s="15" t="str">
        <f t="shared" si="6"/>
        <v>1L</v>
      </c>
      <c r="D111" s="14" t="s">
        <v>21</v>
      </c>
      <c r="E111" s="14" t="str">
        <f t="shared" si="8"/>
        <v>GBP_YC1MRH_SB1L13Y</v>
      </c>
      <c r="F111" s="13" t="e">
        <f>_xll.qlRateHelperQuoteValue($E111,Trigger)</f>
        <v>#NUM!</v>
      </c>
      <c r="G111" s="13" t="e">
        <f>_xll.qlSwapRateHelperSpread($E111,Trigger)</f>
        <v>#NUM!</v>
      </c>
      <c r="H111" s="12" t="b">
        <v>0</v>
      </c>
      <c r="I111" s="12">
        <v>50</v>
      </c>
      <c r="J111" s="12">
        <v>1</v>
      </c>
      <c r="K111" s="11" t="e">
        <f>_xll.qlRateHelperEarliestDate($E111,Trigger)</f>
        <v>#NUM!</v>
      </c>
      <c r="L111" s="10" t="e">
        <f>_xll.qlRateHelperLatestDate($E111,Trigger)</f>
        <v>#NUM!</v>
      </c>
      <c r="N111" s="22" t="e">
        <f t="shared" si="7"/>
        <v>#NUM!</v>
      </c>
    </row>
    <row r="112" spans="2:14" x14ac:dyDescent="0.2">
      <c r="B112" s="16" t="str">
        <f t="shared" si="5"/>
        <v>SB</v>
      </c>
      <c r="C112" s="15" t="str">
        <f t="shared" si="6"/>
        <v>1L</v>
      </c>
      <c r="D112" s="14" t="s">
        <v>20</v>
      </c>
      <c r="E112" s="14" t="str">
        <f t="shared" si="8"/>
        <v>GBP_YC1MRH_SB1L14Y</v>
      </c>
      <c r="F112" s="13" t="e">
        <f>_xll.qlRateHelperQuoteValue($E112,Trigger)</f>
        <v>#NUM!</v>
      </c>
      <c r="G112" s="13" t="e">
        <f>_xll.qlSwapRateHelperSpread($E112,Trigger)</f>
        <v>#NUM!</v>
      </c>
      <c r="H112" s="12" t="b">
        <v>0</v>
      </c>
      <c r="I112" s="12">
        <v>50</v>
      </c>
      <c r="J112" s="12">
        <v>1</v>
      </c>
      <c r="K112" s="11" t="e">
        <f>_xll.qlRateHelperEarliestDate($E112,Trigger)</f>
        <v>#NUM!</v>
      </c>
      <c r="L112" s="10" t="e">
        <f>_xll.qlRateHelperLatestDate($E112,Trigger)</f>
        <v>#NUM!</v>
      </c>
      <c r="N112" s="22" t="e">
        <f t="shared" si="7"/>
        <v>#NUM!</v>
      </c>
    </row>
    <row r="113" spans="2:14" x14ac:dyDescent="0.2">
      <c r="B113" s="16" t="str">
        <f t="shared" si="5"/>
        <v>SB</v>
      </c>
      <c r="C113" s="15" t="str">
        <f t="shared" si="6"/>
        <v>1L</v>
      </c>
      <c r="D113" s="14" t="s">
        <v>19</v>
      </c>
      <c r="E113" s="14" t="str">
        <f t="shared" si="8"/>
        <v>GBP_YC1MRH_SB1L15Y</v>
      </c>
      <c r="F113" s="13" t="e">
        <f>_xll.qlRateHelperQuoteValue($E113,Trigger)</f>
        <v>#NUM!</v>
      </c>
      <c r="G113" s="13" t="e">
        <f>_xll.qlSwapRateHelperSpread($E113,Trigger)</f>
        <v>#NUM!</v>
      </c>
      <c r="H113" s="12" t="b">
        <v>0</v>
      </c>
      <c r="I113" s="12">
        <v>50</v>
      </c>
      <c r="J113" s="12">
        <v>1</v>
      </c>
      <c r="K113" s="11" t="e">
        <f>_xll.qlRateHelperEarliestDate($E113,Trigger)</f>
        <v>#NUM!</v>
      </c>
      <c r="L113" s="10" t="e">
        <f>_xll.qlRateHelperLatestDate($E113,Trigger)</f>
        <v>#NUM!</v>
      </c>
      <c r="N113" s="22" t="e">
        <f t="shared" si="7"/>
        <v>#NUM!</v>
      </c>
    </row>
    <row r="114" spans="2:14" x14ac:dyDescent="0.2">
      <c r="B114" s="16" t="str">
        <f t="shared" si="5"/>
        <v>SB</v>
      </c>
      <c r="C114" s="15" t="str">
        <f t="shared" si="6"/>
        <v>1L</v>
      </c>
      <c r="D114" s="14" t="s">
        <v>18</v>
      </c>
      <c r="E114" s="14" t="str">
        <f t="shared" si="8"/>
        <v>GBP_YC1MRH_SB1L16Y</v>
      </c>
      <c r="F114" s="13" t="e">
        <f>_xll.qlRateHelperQuoteValue($E114,Trigger)</f>
        <v>#NUM!</v>
      </c>
      <c r="G114" s="13" t="e">
        <f>_xll.qlSwapRateHelperSpread($E114,Trigger)</f>
        <v>#NUM!</v>
      </c>
      <c r="H114" s="12" t="b">
        <v>0</v>
      </c>
      <c r="I114" s="12">
        <v>50</v>
      </c>
      <c r="J114" s="12">
        <v>1</v>
      </c>
      <c r="K114" s="11" t="e">
        <f>_xll.qlRateHelperEarliestDate($E114,Trigger)</f>
        <v>#NUM!</v>
      </c>
      <c r="L114" s="10" t="e">
        <f>_xll.qlRateHelperLatestDate($E114,Trigger)</f>
        <v>#NUM!</v>
      </c>
      <c r="N114" s="22" t="e">
        <f t="shared" si="7"/>
        <v>#NUM!</v>
      </c>
    </row>
    <row r="115" spans="2:14" x14ac:dyDescent="0.2">
      <c r="B115" s="16" t="str">
        <f t="shared" si="5"/>
        <v>SB</v>
      </c>
      <c r="C115" s="15" t="str">
        <f t="shared" si="6"/>
        <v>1L</v>
      </c>
      <c r="D115" s="14" t="s">
        <v>17</v>
      </c>
      <c r="E115" s="14" t="str">
        <f t="shared" si="8"/>
        <v>GBP_YC1MRH_SB1L17Y</v>
      </c>
      <c r="F115" s="13" t="e">
        <f>_xll.qlRateHelperQuoteValue($E115,Trigger)</f>
        <v>#NUM!</v>
      </c>
      <c r="G115" s="13" t="e">
        <f>_xll.qlSwapRateHelperSpread($E115,Trigger)</f>
        <v>#NUM!</v>
      </c>
      <c r="H115" s="12" t="b">
        <v>0</v>
      </c>
      <c r="I115" s="12">
        <v>50</v>
      </c>
      <c r="J115" s="12">
        <v>1</v>
      </c>
      <c r="K115" s="11" t="e">
        <f>_xll.qlRateHelperEarliestDate($E115,Trigger)</f>
        <v>#NUM!</v>
      </c>
      <c r="L115" s="10" t="e">
        <f>_xll.qlRateHelperLatestDate($E115,Trigger)</f>
        <v>#NUM!</v>
      </c>
      <c r="N115" s="22" t="e">
        <f t="shared" si="7"/>
        <v>#NUM!</v>
      </c>
    </row>
    <row r="116" spans="2:14" x14ac:dyDescent="0.2">
      <c r="B116" s="16" t="str">
        <f t="shared" si="5"/>
        <v>SB</v>
      </c>
      <c r="C116" s="15" t="str">
        <f t="shared" si="6"/>
        <v>1L</v>
      </c>
      <c r="D116" s="14" t="s">
        <v>16</v>
      </c>
      <c r="E116" s="14" t="str">
        <f t="shared" si="8"/>
        <v>GBP_YC1MRH_SB1L18Y</v>
      </c>
      <c r="F116" s="13" t="e">
        <f>_xll.qlRateHelperQuoteValue($E116,Trigger)</f>
        <v>#NUM!</v>
      </c>
      <c r="G116" s="13" t="e">
        <f>_xll.qlSwapRateHelperSpread($E116,Trigger)</f>
        <v>#NUM!</v>
      </c>
      <c r="H116" s="12" t="b">
        <v>0</v>
      </c>
      <c r="I116" s="12">
        <v>50</v>
      </c>
      <c r="J116" s="12">
        <v>1</v>
      </c>
      <c r="K116" s="11" t="e">
        <f>_xll.qlRateHelperEarliestDate($E116,Trigger)</f>
        <v>#NUM!</v>
      </c>
      <c r="L116" s="10" t="e">
        <f>_xll.qlRateHelperLatestDate($E116,Trigger)</f>
        <v>#NUM!</v>
      </c>
      <c r="N116" s="22" t="e">
        <f t="shared" si="7"/>
        <v>#NUM!</v>
      </c>
    </row>
    <row r="117" spans="2:14" x14ac:dyDescent="0.2">
      <c r="B117" s="16" t="str">
        <f t="shared" si="5"/>
        <v>SB</v>
      </c>
      <c r="C117" s="15" t="str">
        <f t="shared" si="6"/>
        <v>1L</v>
      </c>
      <c r="D117" s="14" t="s">
        <v>15</v>
      </c>
      <c r="E117" s="14" t="str">
        <f t="shared" si="8"/>
        <v>GBP_YC1MRH_SB1L19Y</v>
      </c>
      <c r="F117" s="13" t="e">
        <f>_xll.qlRateHelperQuoteValue($E117,Trigger)</f>
        <v>#NUM!</v>
      </c>
      <c r="G117" s="13" t="e">
        <f>_xll.qlSwapRateHelperSpread($E117,Trigger)</f>
        <v>#NUM!</v>
      </c>
      <c r="H117" s="12" t="b">
        <v>0</v>
      </c>
      <c r="I117" s="12">
        <v>50</v>
      </c>
      <c r="J117" s="12">
        <v>1</v>
      </c>
      <c r="K117" s="11" t="e">
        <f>_xll.qlRateHelperEarliestDate($E117,Trigger)</f>
        <v>#NUM!</v>
      </c>
      <c r="L117" s="10" t="e">
        <f>_xll.qlRateHelperLatestDate($E117,Trigger)</f>
        <v>#NUM!</v>
      </c>
      <c r="N117" s="22" t="e">
        <f t="shared" si="7"/>
        <v>#NUM!</v>
      </c>
    </row>
    <row r="118" spans="2:14" x14ac:dyDescent="0.2">
      <c r="B118" s="16" t="str">
        <f t="shared" si="5"/>
        <v>SB</v>
      </c>
      <c r="C118" s="15" t="str">
        <f t="shared" si="6"/>
        <v>1L</v>
      </c>
      <c r="D118" s="14" t="s">
        <v>14</v>
      </c>
      <c r="E118" s="14" t="str">
        <f t="shared" si="8"/>
        <v>GBP_YC1MRH_SB1L20Y</v>
      </c>
      <c r="F118" s="13" t="e">
        <f>_xll.qlRateHelperQuoteValue($E118,Trigger)</f>
        <v>#NUM!</v>
      </c>
      <c r="G118" s="13" t="e">
        <f>_xll.qlSwapRateHelperSpread($E118,Trigger)</f>
        <v>#NUM!</v>
      </c>
      <c r="H118" s="12" t="b">
        <v>0</v>
      </c>
      <c r="I118" s="12">
        <v>50</v>
      </c>
      <c r="J118" s="12">
        <v>1</v>
      </c>
      <c r="K118" s="11" t="e">
        <f>_xll.qlRateHelperEarliestDate($E118,Trigger)</f>
        <v>#NUM!</v>
      </c>
      <c r="L118" s="10" t="e">
        <f>_xll.qlRateHelperLatestDate($E118,Trigger)</f>
        <v>#NUM!</v>
      </c>
      <c r="N118" s="22" t="e">
        <f t="shared" si="7"/>
        <v>#NUM!</v>
      </c>
    </row>
    <row r="119" spans="2:14" x14ac:dyDescent="0.2">
      <c r="B119" s="16" t="str">
        <f t="shared" si="5"/>
        <v>SB</v>
      </c>
      <c r="C119" s="15" t="str">
        <f t="shared" si="6"/>
        <v>1L</v>
      </c>
      <c r="D119" s="14" t="s">
        <v>13</v>
      </c>
      <c r="E119" s="14" t="str">
        <f t="shared" si="8"/>
        <v>GBP_YC1MRH_SB1L21Y</v>
      </c>
      <c r="F119" s="13" t="e">
        <f>_xll.qlRateHelperQuoteValue($E119,Trigger)</f>
        <v>#NUM!</v>
      </c>
      <c r="G119" s="13" t="e">
        <f>_xll.qlSwapRateHelperSpread($E119,Trigger)</f>
        <v>#NUM!</v>
      </c>
      <c r="H119" s="12" t="b">
        <v>0</v>
      </c>
      <c r="I119" s="12">
        <v>50</v>
      </c>
      <c r="J119" s="12">
        <v>1</v>
      </c>
      <c r="K119" s="11" t="e">
        <f>_xll.qlRateHelperEarliestDate($E119,Trigger)</f>
        <v>#NUM!</v>
      </c>
      <c r="L119" s="10" t="e">
        <f>_xll.qlRateHelperLatestDate($E119,Trigger)</f>
        <v>#NUM!</v>
      </c>
      <c r="N119" s="22" t="e">
        <f t="shared" si="7"/>
        <v>#NUM!</v>
      </c>
    </row>
    <row r="120" spans="2:14" x14ac:dyDescent="0.2">
      <c r="B120" s="16" t="str">
        <f t="shared" si="5"/>
        <v>SB</v>
      </c>
      <c r="C120" s="15" t="str">
        <f t="shared" si="6"/>
        <v>1L</v>
      </c>
      <c r="D120" s="14" t="s">
        <v>12</v>
      </c>
      <c r="E120" s="14" t="str">
        <f t="shared" si="8"/>
        <v>GBP_YC1MRH_SB1L22Y</v>
      </c>
      <c r="F120" s="13" t="e">
        <f>_xll.qlRateHelperQuoteValue($E120,Trigger)</f>
        <v>#NUM!</v>
      </c>
      <c r="G120" s="13" t="e">
        <f>_xll.qlSwapRateHelperSpread($E120,Trigger)</f>
        <v>#NUM!</v>
      </c>
      <c r="H120" s="12" t="b">
        <v>0</v>
      </c>
      <c r="I120" s="12">
        <v>50</v>
      </c>
      <c r="J120" s="12">
        <v>1</v>
      </c>
      <c r="K120" s="11" t="e">
        <f>_xll.qlRateHelperEarliestDate($E120,Trigger)</f>
        <v>#NUM!</v>
      </c>
      <c r="L120" s="10" t="e">
        <f>_xll.qlRateHelperLatestDate($E120,Trigger)</f>
        <v>#NUM!</v>
      </c>
      <c r="N120" s="22" t="e">
        <f t="shared" si="7"/>
        <v>#NUM!</v>
      </c>
    </row>
    <row r="121" spans="2:14" x14ac:dyDescent="0.2">
      <c r="B121" s="16" t="str">
        <f t="shared" si="5"/>
        <v>SB</v>
      </c>
      <c r="C121" s="15" t="str">
        <f t="shared" si="6"/>
        <v>1L</v>
      </c>
      <c r="D121" s="14" t="s">
        <v>11</v>
      </c>
      <c r="E121" s="14" t="str">
        <f t="shared" si="8"/>
        <v>GBP_YC1MRH_SB1L23Y</v>
      </c>
      <c r="F121" s="13" t="e">
        <f>_xll.qlRateHelperQuoteValue($E121,Trigger)</f>
        <v>#NUM!</v>
      </c>
      <c r="G121" s="13" t="e">
        <f>_xll.qlSwapRateHelperSpread($E121,Trigger)</f>
        <v>#NUM!</v>
      </c>
      <c r="H121" s="12" t="b">
        <v>0</v>
      </c>
      <c r="I121" s="12">
        <v>50</v>
      </c>
      <c r="J121" s="12">
        <v>1</v>
      </c>
      <c r="K121" s="11" t="e">
        <f>_xll.qlRateHelperEarliestDate($E121,Trigger)</f>
        <v>#NUM!</v>
      </c>
      <c r="L121" s="10" t="e">
        <f>_xll.qlRateHelperLatestDate($E121,Trigger)</f>
        <v>#NUM!</v>
      </c>
      <c r="N121" s="22" t="e">
        <f t="shared" si="7"/>
        <v>#NUM!</v>
      </c>
    </row>
    <row r="122" spans="2:14" x14ac:dyDescent="0.2">
      <c r="B122" s="16" t="str">
        <f t="shared" si="5"/>
        <v>SB</v>
      </c>
      <c r="C122" s="15" t="str">
        <f t="shared" si="6"/>
        <v>1L</v>
      </c>
      <c r="D122" s="14" t="s">
        <v>10</v>
      </c>
      <c r="E122" s="14" t="str">
        <f t="shared" si="8"/>
        <v>GBP_YC1MRH_SB1L24Y</v>
      </c>
      <c r="F122" s="13" t="e">
        <f>_xll.qlRateHelperQuoteValue($E122,Trigger)</f>
        <v>#NUM!</v>
      </c>
      <c r="G122" s="13" t="e">
        <f>_xll.qlSwapRateHelperSpread($E122,Trigger)</f>
        <v>#NUM!</v>
      </c>
      <c r="H122" s="12" t="b">
        <v>0</v>
      </c>
      <c r="I122" s="12">
        <v>50</v>
      </c>
      <c r="J122" s="12">
        <v>1</v>
      </c>
      <c r="K122" s="11" t="e">
        <f>_xll.qlRateHelperEarliestDate($E122,Trigger)</f>
        <v>#NUM!</v>
      </c>
      <c r="L122" s="10" t="e">
        <f>_xll.qlRateHelperLatestDate($E122,Trigger)</f>
        <v>#NUM!</v>
      </c>
      <c r="N122" s="22" t="e">
        <f t="shared" si="7"/>
        <v>#NUM!</v>
      </c>
    </row>
    <row r="123" spans="2:14" x14ac:dyDescent="0.2">
      <c r="B123" s="16" t="str">
        <f t="shared" si="5"/>
        <v>SB</v>
      </c>
      <c r="C123" s="15" t="str">
        <f t="shared" si="6"/>
        <v>1L</v>
      </c>
      <c r="D123" s="14" t="s">
        <v>9</v>
      </c>
      <c r="E123" s="14" t="str">
        <f t="shared" si="8"/>
        <v>GBP_YC1MRH_SB1L25Y</v>
      </c>
      <c r="F123" s="13" t="e">
        <f>_xll.qlRateHelperQuoteValue($E123,Trigger)</f>
        <v>#NUM!</v>
      </c>
      <c r="G123" s="13" t="e">
        <f>_xll.qlSwapRateHelperSpread($E123,Trigger)</f>
        <v>#NUM!</v>
      </c>
      <c r="H123" s="12" t="b">
        <v>0</v>
      </c>
      <c r="I123" s="12">
        <v>50</v>
      </c>
      <c r="J123" s="12">
        <v>1</v>
      </c>
      <c r="K123" s="11" t="e">
        <f>_xll.qlRateHelperEarliestDate($E123,Trigger)</f>
        <v>#NUM!</v>
      </c>
      <c r="L123" s="10" t="e">
        <f>_xll.qlRateHelperLatestDate($E123,Trigger)</f>
        <v>#NUM!</v>
      </c>
      <c r="N123" s="22" t="e">
        <f t="shared" si="7"/>
        <v>#NUM!</v>
      </c>
    </row>
    <row r="124" spans="2:14" x14ac:dyDescent="0.2">
      <c r="B124" s="16" t="str">
        <f t="shared" si="5"/>
        <v>SB</v>
      </c>
      <c r="C124" s="15" t="str">
        <f t="shared" si="6"/>
        <v>1L</v>
      </c>
      <c r="D124" s="14" t="s">
        <v>8</v>
      </c>
      <c r="E124" s="14" t="str">
        <f t="shared" si="8"/>
        <v>GBP_YC1MRH_SB1L26Y</v>
      </c>
      <c r="F124" s="13" t="e">
        <f>_xll.qlRateHelperQuoteValue($E124,Trigger)</f>
        <v>#NUM!</v>
      </c>
      <c r="G124" s="13" t="e">
        <f>_xll.qlSwapRateHelperSpread($E124,Trigger)</f>
        <v>#NUM!</v>
      </c>
      <c r="H124" s="12" t="b">
        <v>0</v>
      </c>
      <c r="I124" s="12">
        <v>50</v>
      </c>
      <c r="J124" s="12">
        <v>1</v>
      </c>
      <c r="K124" s="11" t="e">
        <f>_xll.qlRateHelperEarliestDate($E124,Trigger)</f>
        <v>#NUM!</v>
      </c>
      <c r="L124" s="10" t="e">
        <f>_xll.qlRateHelperLatestDate($E124,Trigger)</f>
        <v>#NUM!</v>
      </c>
      <c r="N124" s="22" t="e">
        <f t="shared" si="7"/>
        <v>#NUM!</v>
      </c>
    </row>
    <row r="125" spans="2:14" x14ac:dyDescent="0.2">
      <c r="B125" s="16" t="str">
        <f t="shared" si="5"/>
        <v>SB</v>
      </c>
      <c r="C125" s="15" t="str">
        <f t="shared" si="6"/>
        <v>1L</v>
      </c>
      <c r="D125" s="14" t="s">
        <v>7</v>
      </c>
      <c r="E125" s="14" t="str">
        <f t="shared" si="8"/>
        <v>GBP_YC1MRH_SB1L27Y</v>
      </c>
      <c r="F125" s="13" t="e">
        <f>_xll.qlRateHelperQuoteValue($E125,Trigger)</f>
        <v>#NUM!</v>
      </c>
      <c r="G125" s="13" t="e">
        <f>_xll.qlSwapRateHelperSpread($E125,Trigger)</f>
        <v>#NUM!</v>
      </c>
      <c r="H125" s="12" t="b">
        <v>0</v>
      </c>
      <c r="I125" s="12">
        <v>50</v>
      </c>
      <c r="J125" s="12">
        <v>1</v>
      </c>
      <c r="K125" s="11" t="e">
        <f>_xll.qlRateHelperEarliestDate($E125,Trigger)</f>
        <v>#NUM!</v>
      </c>
      <c r="L125" s="10" t="e">
        <f>_xll.qlRateHelperLatestDate($E125,Trigger)</f>
        <v>#NUM!</v>
      </c>
      <c r="N125" s="22" t="e">
        <f t="shared" si="7"/>
        <v>#NUM!</v>
      </c>
    </row>
    <row r="126" spans="2:14" x14ac:dyDescent="0.2">
      <c r="B126" s="16" t="str">
        <f t="shared" si="5"/>
        <v>SB</v>
      </c>
      <c r="C126" s="15" t="str">
        <f t="shared" si="6"/>
        <v>1L</v>
      </c>
      <c r="D126" s="14" t="s">
        <v>6</v>
      </c>
      <c r="E126" s="14" t="str">
        <f t="shared" si="8"/>
        <v>GBP_YC1MRH_SB1L28Y</v>
      </c>
      <c r="F126" s="13" t="e">
        <f>_xll.qlRateHelperQuoteValue($E126,Trigger)</f>
        <v>#NUM!</v>
      </c>
      <c r="G126" s="13" t="e">
        <f>_xll.qlSwapRateHelperSpread($E126,Trigger)</f>
        <v>#NUM!</v>
      </c>
      <c r="H126" s="12" t="b">
        <v>0</v>
      </c>
      <c r="I126" s="12">
        <v>50</v>
      </c>
      <c r="J126" s="12">
        <v>1</v>
      </c>
      <c r="K126" s="11" t="e">
        <f>_xll.qlRateHelperEarliestDate($E126,Trigger)</f>
        <v>#NUM!</v>
      </c>
      <c r="L126" s="10" t="e">
        <f>_xll.qlRateHelperLatestDate($E126,Trigger)</f>
        <v>#NUM!</v>
      </c>
      <c r="N126" s="22" t="e">
        <f t="shared" si="7"/>
        <v>#NUM!</v>
      </c>
    </row>
    <row r="127" spans="2:14" x14ac:dyDescent="0.2">
      <c r="B127" s="16" t="str">
        <f t="shared" si="5"/>
        <v>SB</v>
      </c>
      <c r="C127" s="15" t="str">
        <f t="shared" si="6"/>
        <v>1L</v>
      </c>
      <c r="D127" s="14" t="s">
        <v>5</v>
      </c>
      <c r="E127" s="14" t="str">
        <f t="shared" si="8"/>
        <v>GBP_YC1MRH_SB1L29Y</v>
      </c>
      <c r="F127" s="13" t="e">
        <f>_xll.qlRateHelperQuoteValue($E127,Trigger)</f>
        <v>#NUM!</v>
      </c>
      <c r="G127" s="13" t="e">
        <f>_xll.qlSwapRateHelperSpread($E127,Trigger)</f>
        <v>#NUM!</v>
      </c>
      <c r="H127" s="12" t="b">
        <v>0</v>
      </c>
      <c r="I127" s="12">
        <v>50</v>
      </c>
      <c r="J127" s="12">
        <v>1</v>
      </c>
      <c r="K127" s="11" t="e">
        <f>_xll.qlRateHelperEarliestDate($E127,Trigger)</f>
        <v>#NUM!</v>
      </c>
      <c r="L127" s="10" t="e">
        <f>_xll.qlRateHelperLatestDate($E127,Trigger)</f>
        <v>#NUM!</v>
      </c>
      <c r="N127" s="22" t="e">
        <f t="shared" si="7"/>
        <v>#NUM!</v>
      </c>
    </row>
    <row r="128" spans="2:14" x14ac:dyDescent="0.2">
      <c r="B128" s="16" t="str">
        <f t="shared" ref="B128:B159" si="9">SwapFixedFreq</f>
        <v>SB</v>
      </c>
      <c r="C128" s="15" t="str">
        <f t="shared" si="6"/>
        <v>1L</v>
      </c>
      <c r="D128" s="14" t="s">
        <v>4</v>
      </c>
      <c r="E128" s="14" t="str">
        <f t="shared" si="8"/>
        <v>GBP_YC1MRH_SB1L30Y</v>
      </c>
      <c r="F128" s="13" t="e">
        <f>_xll.qlRateHelperQuoteValue($E128,Trigger)</f>
        <v>#NUM!</v>
      </c>
      <c r="G128" s="13" t="e">
        <f>_xll.qlSwapRateHelperSpread($E128,Trigger)</f>
        <v>#NUM!</v>
      </c>
      <c r="H128" s="12" t="b">
        <v>0</v>
      </c>
      <c r="I128" s="12">
        <v>50</v>
      </c>
      <c r="J128" s="12">
        <v>1</v>
      </c>
      <c r="K128" s="11" t="e">
        <f>_xll.qlRateHelperEarliestDate($E128,Trigger)</f>
        <v>#NUM!</v>
      </c>
      <c r="L128" s="10" t="e">
        <f>_xll.qlRateHelperLatestDate($E128,Trigger)</f>
        <v>#NUM!</v>
      </c>
      <c r="N128" s="22" t="e">
        <f t="shared" si="7"/>
        <v>#NUM!</v>
      </c>
    </row>
    <row r="129" spans="2:14" x14ac:dyDescent="0.2">
      <c r="B129" s="16" t="str">
        <f t="shared" si="9"/>
        <v>SB</v>
      </c>
      <c r="C129" s="15" t="str">
        <f t="shared" si="6"/>
        <v>1L</v>
      </c>
      <c r="D129" s="14" t="s">
        <v>3</v>
      </c>
      <c r="E129" s="14" t="str">
        <f t="shared" si="8"/>
        <v>GBP_YC1MRH_SB1L35Y</v>
      </c>
      <c r="F129" s="13" t="e">
        <f>_xll.qlRateHelperQuoteValue($E129,Trigger)</f>
        <v>#NUM!</v>
      </c>
      <c r="G129" s="13" t="e">
        <f>_xll.qlSwapRateHelperSpread($E129,Trigger)</f>
        <v>#NUM!</v>
      </c>
      <c r="H129" s="12" t="b">
        <v>0</v>
      </c>
      <c r="I129" s="12">
        <v>50</v>
      </c>
      <c r="J129" s="12">
        <v>1</v>
      </c>
      <c r="K129" s="11" t="e">
        <f>_xll.qlRateHelperEarliestDate($E129,Trigger)</f>
        <v>#NUM!</v>
      </c>
      <c r="L129" s="10" t="e">
        <f>_xll.qlRateHelperLatestDate($E129,Trigger)</f>
        <v>#NUM!</v>
      </c>
      <c r="N129" s="22" t="e">
        <f t="shared" si="7"/>
        <v>#NUM!</v>
      </c>
    </row>
    <row r="130" spans="2:14" x14ac:dyDescent="0.2">
      <c r="B130" s="16" t="str">
        <f t="shared" si="9"/>
        <v>SB</v>
      </c>
      <c r="C130" s="15" t="str">
        <f t="shared" si="6"/>
        <v>1L</v>
      </c>
      <c r="D130" s="14" t="s">
        <v>2</v>
      </c>
      <c r="E130" s="14" t="str">
        <f t="shared" ref="E130:E161" si="10">RateHelperPrefix&amp;"_"&amp;$B130&amp;$C130&amp;$D130</f>
        <v>GBP_YC1MRH_SB1L40Y</v>
      </c>
      <c r="F130" s="13" t="e">
        <f>_xll.qlRateHelperQuoteValue($E130,Trigger)</f>
        <v>#NUM!</v>
      </c>
      <c r="G130" s="13" t="e">
        <f>_xll.qlSwapRateHelperSpread($E130,Trigger)</f>
        <v>#NUM!</v>
      </c>
      <c r="H130" s="12" t="b">
        <v>0</v>
      </c>
      <c r="I130" s="12">
        <v>50</v>
      </c>
      <c r="J130" s="12">
        <v>1</v>
      </c>
      <c r="K130" s="11" t="e">
        <f>_xll.qlRateHelperEarliestDate($E130,Trigger)</f>
        <v>#NUM!</v>
      </c>
      <c r="L130" s="10" t="e">
        <f>_xll.qlRateHelperLatestDate($E130,Trigger)</f>
        <v>#NUM!</v>
      </c>
      <c r="N130" s="22" t="e">
        <f t="shared" si="7"/>
        <v>#NUM!</v>
      </c>
    </row>
    <row r="131" spans="2:14" x14ac:dyDescent="0.2">
      <c r="B131" s="16" t="str">
        <f t="shared" si="9"/>
        <v>SB</v>
      </c>
      <c r="C131" s="15" t="str">
        <f t="shared" si="6"/>
        <v>1L</v>
      </c>
      <c r="D131" s="14" t="s">
        <v>1</v>
      </c>
      <c r="E131" s="14" t="str">
        <f t="shared" si="10"/>
        <v>GBP_YC1MRH_SB1L50Y</v>
      </c>
      <c r="F131" s="13" t="e">
        <f>_xll.qlRateHelperQuoteValue($E131,Trigger)</f>
        <v>#NUM!</v>
      </c>
      <c r="G131" s="13" t="e">
        <f>_xll.qlSwapRateHelperSpread($E131,Trigger)</f>
        <v>#NUM!</v>
      </c>
      <c r="H131" s="12" t="b">
        <v>0</v>
      </c>
      <c r="I131" s="12">
        <v>50</v>
      </c>
      <c r="J131" s="12">
        <v>1</v>
      </c>
      <c r="K131" s="11" t="e">
        <f>_xll.qlRateHelperEarliestDate($E131,Trigger)</f>
        <v>#NUM!</v>
      </c>
      <c r="L131" s="10" t="e">
        <f>_xll.qlRateHelperLatestDate($E131,Trigger)</f>
        <v>#NUM!</v>
      </c>
      <c r="N131" s="22" t="e">
        <f t="shared" si="7"/>
        <v>#NUM!</v>
      </c>
    </row>
    <row r="132" spans="2:14" x14ac:dyDescent="0.2">
      <c r="B132" s="9" t="str">
        <f t="shared" si="9"/>
        <v>SB</v>
      </c>
      <c r="C132" s="8" t="str">
        <f t="shared" si="6"/>
        <v>1L</v>
      </c>
      <c r="D132" s="7" t="s">
        <v>0</v>
      </c>
      <c r="E132" s="7" t="str">
        <f t="shared" si="10"/>
        <v>GBP_YC1MRH_SB1L60Y</v>
      </c>
      <c r="F132" s="6" t="e">
        <f>_xll.qlRateHelperQuoteValue($E132,Trigger)</f>
        <v>#NUM!</v>
      </c>
      <c r="G132" s="6" t="e">
        <f>_xll.qlSwapRateHelperSpread($E132,Trigger)</f>
        <v>#NUM!</v>
      </c>
      <c r="H132" s="5" t="b">
        <v>0</v>
      </c>
      <c r="I132" s="5">
        <v>50</v>
      </c>
      <c r="J132" s="5">
        <v>1</v>
      </c>
      <c r="K132" s="4" t="e">
        <f>_xll.qlRateHelperEarliestDate($E132,Trigger)</f>
        <v>#NUM!</v>
      </c>
      <c r="L132" s="3" t="e">
        <f>_xll.qlRateHelperLatestDate($E132,Trigger)</f>
        <v>#NUM!</v>
      </c>
      <c r="N132" s="22" t="e">
        <f t="shared" si="7"/>
        <v>#NUM!</v>
      </c>
    </row>
    <row r="133" spans="2:14" x14ac:dyDescent="0.2">
      <c r="B133" s="16" t="str">
        <f t="shared" si="9"/>
        <v>SB</v>
      </c>
      <c r="C133" s="15" t="str">
        <f t="shared" ref="C133:C169" si="11">IborType&amp;"BASIS"</f>
        <v>1LBASIS</v>
      </c>
      <c r="D133" s="14" t="s">
        <v>36</v>
      </c>
      <c r="E133" s="21" t="str">
        <f t="shared" si="10"/>
        <v>GBP_YC1MRH_SB1LBASIS1Y</v>
      </c>
      <c r="F133" s="20" t="e">
        <f>_xll.qlRateHelperQuoteValue($E133,Trigger)</f>
        <v>#NUM!</v>
      </c>
      <c r="G133" s="20">
        <f>_xll.qlSwapRateHelperSpread($E133,Trigger)</f>
        <v>1.2875E-3</v>
      </c>
      <c r="H133" s="19" t="b">
        <v>0</v>
      </c>
      <c r="I133" s="19">
        <v>40</v>
      </c>
      <c r="J133" s="19">
        <v>1</v>
      </c>
      <c r="K133" s="18">
        <f>_xll.qlRateHelperEarliestDate($E133,Trigger)</f>
        <v>41817</v>
      </c>
      <c r="L133" s="17">
        <f>_xll.qlRateHelperLatestDate($E133,Trigger)</f>
        <v>42184</v>
      </c>
    </row>
    <row r="134" spans="2:14" x14ac:dyDescent="0.2">
      <c r="B134" s="16" t="str">
        <f t="shared" si="9"/>
        <v>SB</v>
      </c>
      <c r="C134" s="15" t="str">
        <f t="shared" si="11"/>
        <v>1LBASIS</v>
      </c>
      <c r="D134" s="14" t="s">
        <v>35</v>
      </c>
      <c r="E134" s="14" t="str">
        <f t="shared" si="10"/>
        <v>GBP_YC1MRH_SB1LBASIS15M</v>
      </c>
      <c r="F134" s="13" t="e">
        <f>_xll.qlRateHelperQuoteValue($E134,Trigger)</f>
        <v>#NUM!</v>
      </c>
      <c r="G134" s="13" t="e">
        <f>_xll.qlSwapRateHelperSpread($E134,Trigger)</f>
        <v>#NUM!</v>
      </c>
      <c r="H134" s="12" t="b">
        <v>0</v>
      </c>
      <c r="I134" s="12">
        <v>40</v>
      </c>
      <c r="J134" s="12">
        <v>1</v>
      </c>
      <c r="K134" s="11" t="e">
        <f>_xll.qlRateHelperEarliestDate($E134,Trigger)</f>
        <v>#NUM!</v>
      </c>
      <c r="L134" s="10" t="e">
        <f>_xll.qlRateHelperLatestDate($E134,Trigger)</f>
        <v>#NUM!</v>
      </c>
    </row>
    <row r="135" spans="2:14" x14ac:dyDescent="0.2">
      <c r="B135" s="16" t="str">
        <f t="shared" si="9"/>
        <v>SB</v>
      </c>
      <c r="C135" s="15" t="str">
        <f t="shared" si="11"/>
        <v>1LBASIS</v>
      </c>
      <c r="D135" s="14" t="s">
        <v>34</v>
      </c>
      <c r="E135" s="14" t="str">
        <f t="shared" si="10"/>
        <v>GBP_YC1MRH_SB1LBASIS18M</v>
      </c>
      <c r="F135" s="13" t="e">
        <f>_xll.qlRateHelperQuoteValue($E135,Trigger)</f>
        <v>#NUM!</v>
      </c>
      <c r="G135" s="13" t="e">
        <f>_xll.qlSwapRateHelperSpread($E135,Trigger)</f>
        <v>#NUM!</v>
      </c>
      <c r="H135" s="12" t="b">
        <v>0</v>
      </c>
      <c r="I135" s="12">
        <v>40</v>
      </c>
      <c r="J135" s="12">
        <v>1</v>
      </c>
      <c r="K135" s="11" t="e">
        <f>_xll.qlRateHelperEarliestDate($E135,Trigger)</f>
        <v>#NUM!</v>
      </c>
      <c r="L135" s="10" t="e">
        <f>_xll.qlRateHelperLatestDate($E135,Trigger)</f>
        <v>#NUM!</v>
      </c>
    </row>
    <row r="136" spans="2:14" x14ac:dyDescent="0.2">
      <c r="B136" s="16" t="str">
        <f t="shared" si="9"/>
        <v>SB</v>
      </c>
      <c r="C136" s="15" t="str">
        <f t="shared" si="11"/>
        <v>1LBASIS</v>
      </c>
      <c r="D136" s="14" t="s">
        <v>33</v>
      </c>
      <c r="E136" s="14" t="str">
        <f t="shared" si="10"/>
        <v>GBP_YC1MRH_SB1LBASIS21M</v>
      </c>
      <c r="F136" s="13" t="e">
        <f>_xll.qlRateHelperQuoteValue($E136,Trigger)</f>
        <v>#NUM!</v>
      </c>
      <c r="G136" s="13" t="e">
        <f>_xll.qlSwapRateHelperSpread($E136,Trigger)</f>
        <v>#NUM!</v>
      </c>
      <c r="H136" s="12" t="b">
        <v>0</v>
      </c>
      <c r="I136" s="12">
        <v>40</v>
      </c>
      <c r="J136" s="12">
        <v>1</v>
      </c>
      <c r="K136" s="11" t="e">
        <f>_xll.qlRateHelperEarliestDate($E136,Trigger)</f>
        <v>#NUM!</v>
      </c>
      <c r="L136" s="10" t="e">
        <f>_xll.qlRateHelperLatestDate($E136,Trigger)</f>
        <v>#NUM!</v>
      </c>
    </row>
    <row r="137" spans="2:14" x14ac:dyDescent="0.2">
      <c r="B137" s="16" t="str">
        <f t="shared" si="9"/>
        <v>SB</v>
      </c>
      <c r="C137" s="15" t="str">
        <f t="shared" si="11"/>
        <v>1LBASIS</v>
      </c>
      <c r="D137" s="14" t="s">
        <v>32</v>
      </c>
      <c r="E137" s="14" t="str">
        <f t="shared" si="10"/>
        <v>GBP_YC1MRH_SB1LBASIS2Y</v>
      </c>
      <c r="F137" s="13">
        <f>_xll.qlRateHelperQuoteValue($E137,Trigger)</f>
        <v>1.324E-2</v>
      </c>
      <c r="G137" s="13">
        <f>_xll.qlSwapRateHelperSpread($E137,Trigger)</f>
        <v>1.3625E-3</v>
      </c>
      <c r="H137" s="12" t="b">
        <v>1</v>
      </c>
      <c r="I137" s="12">
        <v>40</v>
      </c>
      <c r="J137" s="12">
        <v>1</v>
      </c>
      <c r="K137" s="11">
        <f>_xll.qlRateHelperEarliestDate($E137,Trigger)</f>
        <v>41817</v>
      </c>
      <c r="L137" s="10">
        <f>_xll.qlRateHelperLatestDate($E137,Trigger)</f>
        <v>42548</v>
      </c>
    </row>
    <row r="138" spans="2:14" x14ac:dyDescent="0.2">
      <c r="B138" s="16" t="str">
        <f t="shared" si="9"/>
        <v>SB</v>
      </c>
      <c r="C138" s="15" t="str">
        <f t="shared" si="11"/>
        <v>1LBASIS</v>
      </c>
      <c r="D138" s="14" t="s">
        <v>31</v>
      </c>
      <c r="E138" s="14" t="str">
        <f t="shared" si="10"/>
        <v>GBP_YC1MRH_SB1LBASIS3Y</v>
      </c>
      <c r="F138" s="13">
        <f>_xll.qlRateHelperQuoteValue($E138,Trigger)</f>
        <v>1.694E-2</v>
      </c>
      <c r="G138" s="13">
        <f>_xll.qlSwapRateHelperSpread($E138,Trigger)</f>
        <v>1.4625E-3</v>
      </c>
      <c r="H138" s="12" t="b">
        <v>1</v>
      </c>
      <c r="I138" s="12">
        <v>40</v>
      </c>
      <c r="J138" s="12">
        <v>1</v>
      </c>
      <c r="K138" s="11">
        <f>_xll.qlRateHelperEarliestDate($E138,Trigger)</f>
        <v>41817</v>
      </c>
      <c r="L138" s="10">
        <f>_xll.qlRateHelperLatestDate($E138,Trigger)</f>
        <v>42913</v>
      </c>
    </row>
    <row r="139" spans="2:14" x14ac:dyDescent="0.2">
      <c r="B139" s="16" t="str">
        <f t="shared" si="9"/>
        <v>SB</v>
      </c>
      <c r="C139" s="15" t="str">
        <f t="shared" si="11"/>
        <v>1LBASIS</v>
      </c>
      <c r="D139" s="14" t="s">
        <v>30</v>
      </c>
      <c r="E139" s="14" t="str">
        <f t="shared" si="10"/>
        <v>GBP_YC1MRH_SB1LBASIS4Y</v>
      </c>
      <c r="F139" s="13">
        <f>_xll.qlRateHelperQuoteValue($E139,Trigger)</f>
        <v>1.9689999999999999E-2</v>
      </c>
      <c r="G139" s="13">
        <f>_xll.qlSwapRateHelperSpread($E139,Trigger)</f>
        <v>1.6125E-3</v>
      </c>
      <c r="H139" s="12" t="b">
        <v>1</v>
      </c>
      <c r="I139" s="12">
        <v>40</v>
      </c>
      <c r="J139" s="12">
        <v>1</v>
      </c>
      <c r="K139" s="11">
        <f>_xll.qlRateHelperEarliestDate($E139,Trigger)</f>
        <v>41817</v>
      </c>
      <c r="L139" s="10">
        <f>_xll.qlRateHelperLatestDate($E139,Trigger)</f>
        <v>43278</v>
      </c>
    </row>
    <row r="140" spans="2:14" x14ac:dyDescent="0.2">
      <c r="B140" s="16" t="str">
        <f t="shared" si="9"/>
        <v>SB</v>
      </c>
      <c r="C140" s="15" t="str">
        <f t="shared" si="11"/>
        <v>1LBASIS</v>
      </c>
      <c r="D140" s="14" t="s">
        <v>29</v>
      </c>
      <c r="E140" s="14" t="str">
        <f t="shared" si="10"/>
        <v>GBP_YC1MRH_SB1LBASIS5Y</v>
      </c>
      <c r="F140" s="13">
        <f>_xll.qlRateHelperQuoteValue($E140,Trigger)</f>
        <v>2.1700000000000001E-2</v>
      </c>
      <c r="G140" s="13">
        <f>_xll.qlSwapRateHelperSpread($E140,Trigger)</f>
        <v>1.7374999999999999E-3</v>
      </c>
      <c r="H140" s="12" t="b">
        <v>1</v>
      </c>
      <c r="I140" s="12">
        <v>40</v>
      </c>
      <c r="J140" s="12">
        <v>1</v>
      </c>
      <c r="K140" s="11">
        <f>_xll.qlRateHelperEarliestDate($E140,Trigger)</f>
        <v>41817</v>
      </c>
      <c r="L140" s="10">
        <f>_xll.qlRateHelperLatestDate($E140,Trigger)</f>
        <v>43643</v>
      </c>
    </row>
    <row r="141" spans="2:14" x14ac:dyDescent="0.2">
      <c r="B141" s="16" t="str">
        <f t="shared" si="9"/>
        <v>SB</v>
      </c>
      <c r="C141" s="15" t="str">
        <f t="shared" si="11"/>
        <v>1LBASIS</v>
      </c>
      <c r="D141" s="14" t="s">
        <v>28</v>
      </c>
      <c r="E141" s="14" t="str">
        <f t="shared" si="10"/>
        <v>GBP_YC1MRH_SB1LBASIS6Y</v>
      </c>
      <c r="F141" s="13">
        <f>_xll.qlRateHelperQuoteValue($E141,Trigger)</f>
        <v>2.3330000000000004E-2</v>
      </c>
      <c r="G141" s="13">
        <f>_xll.qlSwapRateHelperSpread($E141,Trigger)</f>
        <v>1.8875000000000001E-3</v>
      </c>
      <c r="H141" s="12" t="b">
        <v>1</v>
      </c>
      <c r="I141" s="12">
        <v>40</v>
      </c>
      <c r="J141" s="12">
        <v>1</v>
      </c>
      <c r="K141" s="11">
        <f>_xll.qlRateHelperEarliestDate($E141,Trigger)</f>
        <v>41817</v>
      </c>
      <c r="L141" s="10">
        <f>_xll.qlRateHelperLatestDate($E141,Trigger)</f>
        <v>44011</v>
      </c>
    </row>
    <row r="142" spans="2:14" x14ac:dyDescent="0.2">
      <c r="B142" s="16" t="str">
        <f t="shared" si="9"/>
        <v>SB</v>
      </c>
      <c r="C142" s="15" t="str">
        <f t="shared" si="11"/>
        <v>1LBASIS</v>
      </c>
      <c r="D142" s="14" t="s">
        <v>27</v>
      </c>
      <c r="E142" s="14" t="str">
        <f t="shared" si="10"/>
        <v>GBP_YC1MRH_SB1LBASIS7Y</v>
      </c>
      <c r="F142" s="13">
        <f>_xll.qlRateHelperQuoteValue($E142,Trigger)</f>
        <v>2.4699999999999996E-2</v>
      </c>
      <c r="G142" s="13">
        <f>_xll.qlSwapRateHelperSpread($E142,Trigger)</f>
        <v>2E-3</v>
      </c>
      <c r="H142" s="12" t="b">
        <v>1</v>
      </c>
      <c r="I142" s="12">
        <v>40</v>
      </c>
      <c r="J142" s="12">
        <v>1</v>
      </c>
      <c r="K142" s="11">
        <f>_xll.qlRateHelperEarliestDate($E142,Trigger)</f>
        <v>41817</v>
      </c>
      <c r="L142" s="10">
        <f>_xll.qlRateHelperLatestDate($E142,Trigger)</f>
        <v>44375</v>
      </c>
    </row>
    <row r="143" spans="2:14" x14ac:dyDescent="0.2">
      <c r="B143" s="16" t="str">
        <f t="shared" si="9"/>
        <v>SB</v>
      </c>
      <c r="C143" s="15" t="str">
        <f t="shared" si="11"/>
        <v>1LBASIS</v>
      </c>
      <c r="D143" s="14" t="s">
        <v>26</v>
      </c>
      <c r="E143" s="14" t="str">
        <f t="shared" si="10"/>
        <v>GBP_YC1MRH_SB1LBASIS8Y</v>
      </c>
      <c r="F143" s="13">
        <f>_xll.qlRateHelperQuoteValue($E143,Trigger)</f>
        <v>2.5869999999999997E-2</v>
      </c>
      <c r="G143" s="13">
        <f>_xll.qlSwapRateHelperSpread($E143,Trigger)</f>
        <v>2.0625000000000001E-3</v>
      </c>
      <c r="H143" s="12" t="b">
        <v>1</v>
      </c>
      <c r="I143" s="12">
        <v>40</v>
      </c>
      <c r="J143" s="12">
        <v>1</v>
      </c>
      <c r="K143" s="11">
        <f>_xll.qlRateHelperEarliestDate($E143,Trigger)</f>
        <v>41817</v>
      </c>
      <c r="L143" s="10">
        <f>_xll.qlRateHelperLatestDate($E143,Trigger)</f>
        <v>44739</v>
      </c>
    </row>
    <row r="144" spans="2:14" x14ac:dyDescent="0.2">
      <c r="B144" s="16" t="str">
        <f t="shared" si="9"/>
        <v>SB</v>
      </c>
      <c r="C144" s="15" t="str">
        <f t="shared" si="11"/>
        <v>1LBASIS</v>
      </c>
      <c r="D144" s="14" t="s">
        <v>25</v>
      </c>
      <c r="E144" s="14" t="str">
        <f t="shared" si="10"/>
        <v>GBP_YC1MRH_SB1LBASIS9Y</v>
      </c>
      <c r="F144" s="13">
        <f>_xll.qlRateHelperQuoteValue($E144,Trigger)</f>
        <v>2.6859999999999998E-2</v>
      </c>
      <c r="G144" s="13">
        <f>_xll.qlSwapRateHelperSpread($E144,Trigger)</f>
        <v>2.1250000000000002E-3</v>
      </c>
      <c r="H144" s="12" t="b">
        <v>1</v>
      </c>
      <c r="I144" s="12">
        <v>40</v>
      </c>
      <c r="J144" s="12">
        <v>1</v>
      </c>
      <c r="K144" s="11">
        <f>_xll.qlRateHelperEarliestDate($E144,Trigger)</f>
        <v>41817</v>
      </c>
      <c r="L144" s="10">
        <f>_xll.qlRateHelperLatestDate($E144,Trigger)</f>
        <v>45104</v>
      </c>
    </row>
    <row r="145" spans="2:12" x14ac:dyDescent="0.2">
      <c r="B145" s="16" t="str">
        <f t="shared" si="9"/>
        <v>SB</v>
      </c>
      <c r="C145" s="15" t="str">
        <f t="shared" si="11"/>
        <v>1LBASIS</v>
      </c>
      <c r="D145" s="14" t="s">
        <v>24</v>
      </c>
      <c r="E145" s="14" t="str">
        <f t="shared" si="10"/>
        <v>GBP_YC1MRH_SB1LBASIS10Y</v>
      </c>
      <c r="F145" s="13">
        <f>_xll.qlRateHelperQuoteValue($E145,Trigger)</f>
        <v>2.7709999999999999E-2</v>
      </c>
      <c r="G145" s="13">
        <f>_xll.qlSwapRateHelperSpread($E145,Trigger)</f>
        <v>2.1624999999999999E-3</v>
      </c>
      <c r="H145" s="12" t="b">
        <v>1</v>
      </c>
      <c r="I145" s="12">
        <v>40</v>
      </c>
      <c r="J145" s="12">
        <v>1</v>
      </c>
      <c r="K145" s="11">
        <f>_xll.qlRateHelperEarliestDate($E145,Trigger)</f>
        <v>41817</v>
      </c>
      <c r="L145" s="10">
        <f>_xll.qlRateHelperLatestDate($E145,Trigger)</f>
        <v>45470</v>
      </c>
    </row>
    <row r="146" spans="2:12" x14ac:dyDescent="0.2">
      <c r="B146" s="16" t="str">
        <f t="shared" si="9"/>
        <v>SB</v>
      </c>
      <c r="C146" s="15" t="str">
        <f t="shared" si="11"/>
        <v>1LBASIS</v>
      </c>
      <c r="D146" s="14" t="s">
        <v>23</v>
      </c>
      <c r="E146" s="14" t="str">
        <f t="shared" si="10"/>
        <v>GBP_YC1MRH_SB1LBASIS11Y</v>
      </c>
      <c r="F146" s="13">
        <f>_xll.qlRateHelperQuoteValue($E146,Trigger)</f>
        <v>2.8469999999999999E-2</v>
      </c>
      <c r="G146" s="13">
        <f>_xll.qlSwapRateHelperSpread($E146,Trigger)</f>
        <v>2.1678059435668922E-3</v>
      </c>
      <c r="H146" s="12" t="b">
        <v>0</v>
      </c>
      <c r="I146" s="12">
        <v>40</v>
      </c>
      <c r="J146" s="12">
        <v>1</v>
      </c>
      <c r="K146" s="11">
        <f>_xll.qlRateHelperEarliestDate($E146,Trigger)</f>
        <v>41817</v>
      </c>
      <c r="L146" s="10">
        <f>_xll.qlRateHelperLatestDate($E146,Trigger)</f>
        <v>45835</v>
      </c>
    </row>
    <row r="147" spans="2:12" x14ac:dyDescent="0.2">
      <c r="B147" s="16" t="str">
        <f t="shared" si="9"/>
        <v>SB</v>
      </c>
      <c r="C147" s="15" t="str">
        <f t="shared" si="11"/>
        <v>1LBASIS</v>
      </c>
      <c r="D147" s="14" t="s">
        <v>22</v>
      </c>
      <c r="E147" s="14" t="str">
        <f t="shared" si="10"/>
        <v>GBP_YC1MRH_SB1LBASIS12Y</v>
      </c>
      <c r="F147" s="13">
        <f>_xll.qlRateHelperQuoteValue($E147,Trigger)</f>
        <v>2.9100000000000001E-2</v>
      </c>
      <c r="G147" s="13">
        <f>_xll.qlSwapRateHelperSpread($E147,Trigger)</f>
        <v>2.15E-3</v>
      </c>
      <c r="H147" s="12" t="b">
        <v>1</v>
      </c>
      <c r="I147" s="12">
        <v>40</v>
      </c>
      <c r="J147" s="12">
        <v>1</v>
      </c>
      <c r="K147" s="11">
        <f>_xll.qlRateHelperEarliestDate($E147,Trigger)</f>
        <v>41817</v>
      </c>
      <c r="L147" s="10">
        <f>_xll.qlRateHelperLatestDate($E147,Trigger)</f>
        <v>46202</v>
      </c>
    </row>
    <row r="148" spans="2:12" x14ac:dyDescent="0.2">
      <c r="B148" s="16" t="str">
        <f t="shared" si="9"/>
        <v>SB</v>
      </c>
      <c r="C148" s="15" t="str">
        <f t="shared" si="11"/>
        <v>1LBASIS</v>
      </c>
      <c r="D148" s="14" t="s">
        <v>21</v>
      </c>
      <c r="E148" s="14" t="str">
        <f t="shared" si="10"/>
        <v>GBP_YC1MRH_SB1LBASIS13Y</v>
      </c>
      <c r="F148" s="13" t="e">
        <f>_xll.qlRateHelperQuoteValue($E148,Trigger)</f>
        <v>#NUM!</v>
      </c>
      <c r="G148" s="13">
        <f>_xll.qlSwapRateHelperSpread($E148,Trigger)</f>
        <v>2.1157723909541798E-3</v>
      </c>
      <c r="H148" s="12" t="b">
        <v>0</v>
      </c>
      <c r="I148" s="12">
        <v>40</v>
      </c>
      <c r="J148" s="12">
        <v>1</v>
      </c>
      <c r="K148" s="11">
        <f>_xll.qlRateHelperEarliestDate($E148,Trigger)</f>
        <v>41817</v>
      </c>
      <c r="L148" s="10">
        <f>_xll.qlRateHelperLatestDate($E148,Trigger)</f>
        <v>46566</v>
      </c>
    </row>
    <row r="149" spans="2:12" x14ac:dyDescent="0.2">
      <c r="B149" s="16" t="str">
        <f t="shared" si="9"/>
        <v>SB</v>
      </c>
      <c r="C149" s="15" t="str">
        <f t="shared" si="11"/>
        <v>1LBASIS</v>
      </c>
      <c r="D149" s="14" t="s">
        <v>20</v>
      </c>
      <c r="E149" s="14" t="str">
        <f t="shared" si="10"/>
        <v>GBP_YC1MRH_SB1LBASIS14Y</v>
      </c>
      <c r="F149" s="13" t="e">
        <f>_xll.qlRateHelperQuoteValue($E149,Trigger)</f>
        <v>#NUM!</v>
      </c>
      <c r="G149" s="13">
        <f>_xll.qlSwapRateHelperSpread($E149,Trigger)</f>
        <v>2.0720828536422938E-3</v>
      </c>
      <c r="H149" s="12" t="b">
        <v>0</v>
      </c>
      <c r="I149" s="12">
        <v>40</v>
      </c>
      <c r="J149" s="12">
        <v>1</v>
      </c>
      <c r="K149" s="11">
        <f>_xll.qlRateHelperEarliestDate($E149,Trigger)</f>
        <v>41817</v>
      </c>
      <c r="L149" s="10">
        <f>_xll.qlRateHelperLatestDate($E149,Trigger)</f>
        <v>46931</v>
      </c>
    </row>
    <row r="150" spans="2:12" x14ac:dyDescent="0.2">
      <c r="B150" s="16" t="str">
        <f t="shared" si="9"/>
        <v>SB</v>
      </c>
      <c r="C150" s="15" t="str">
        <f t="shared" si="11"/>
        <v>1LBASIS</v>
      </c>
      <c r="D150" s="14" t="s">
        <v>19</v>
      </c>
      <c r="E150" s="14" t="str">
        <f t="shared" si="10"/>
        <v>GBP_YC1MRH_SB1LBASIS15Y</v>
      </c>
      <c r="F150" s="13">
        <f>_xll.qlRateHelperQuoteValue($E150,Trigger)</f>
        <v>3.058E-2</v>
      </c>
      <c r="G150" s="13">
        <f>_xll.qlSwapRateHelperSpread($E150,Trigger)</f>
        <v>2.0249999999999999E-3</v>
      </c>
      <c r="H150" s="12" t="b">
        <v>1</v>
      </c>
      <c r="I150" s="12">
        <v>40</v>
      </c>
      <c r="J150" s="12">
        <v>1</v>
      </c>
      <c r="K150" s="11">
        <f>_xll.qlRateHelperEarliestDate($E150,Trigger)</f>
        <v>41817</v>
      </c>
      <c r="L150" s="10">
        <f>_xll.qlRateHelperLatestDate($E150,Trigger)</f>
        <v>47296</v>
      </c>
    </row>
    <row r="151" spans="2:12" x14ac:dyDescent="0.2">
      <c r="B151" s="16" t="str">
        <f t="shared" si="9"/>
        <v>SB</v>
      </c>
      <c r="C151" s="15" t="str">
        <f t="shared" si="11"/>
        <v>1LBASIS</v>
      </c>
      <c r="D151" s="14" t="s">
        <v>18</v>
      </c>
      <c r="E151" s="14" t="str">
        <f t="shared" si="10"/>
        <v>GBP_YC1MRH_SB1LBASIS16Y</v>
      </c>
      <c r="F151" s="13" t="e">
        <f>_xll.qlRateHelperQuoteValue($E151,Trigger)</f>
        <v>#NUM!</v>
      </c>
      <c r="G151" s="13">
        <f>_xll.qlSwapRateHelperSpread($E151,Trigger)</f>
        <v>1.9795837427263115E-3</v>
      </c>
      <c r="H151" s="12" t="b">
        <v>0</v>
      </c>
      <c r="I151" s="12">
        <v>40</v>
      </c>
      <c r="J151" s="12">
        <v>1</v>
      </c>
      <c r="K151" s="11">
        <f>_xll.qlRateHelperEarliestDate($E151,Trigger)</f>
        <v>41817</v>
      </c>
      <c r="L151" s="10">
        <f>_xll.qlRateHelperLatestDate($E151,Trigger)</f>
        <v>47661</v>
      </c>
    </row>
    <row r="152" spans="2:12" x14ac:dyDescent="0.2">
      <c r="B152" s="16" t="str">
        <f t="shared" si="9"/>
        <v>SB</v>
      </c>
      <c r="C152" s="15" t="str">
        <f t="shared" si="11"/>
        <v>1LBASIS</v>
      </c>
      <c r="D152" s="14" t="s">
        <v>17</v>
      </c>
      <c r="E152" s="14" t="str">
        <f t="shared" si="10"/>
        <v>GBP_YC1MRH_SB1LBASIS17Y</v>
      </c>
      <c r="F152" s="13" t="e">
        <f>_xll.qlRateHelperQuoteValue($E152,Trigger)</f>
        <v>#NUM!</v>
      </c>
      <c r="G152" s="13">
        <f>_xll.qlSwapRateHelperSpread($E152,Trigger)</f>
        <v>1.9368591975736699E-3</v>
      </c>
      <c r="H152" s="12" t="b">
        <v>0</v>
      </c>
      <c r="I152" s="12">
        <v>40</v>
      </c>
      <c r="J152" s="12">
        <v>1</v>
      </c>
      <c r="K152" s="11">
        <f>_xll.qlRateHelperEarliestDate($E152,Trigger)</f>
        <v>41817</v>
      </c>
      <c r="L152" s="10">
        <f>_xll.qlRateHelperLatestDate($E152,Trigger)</f>
        <v>48026</v>
      </c>
    </row>
    <row r="153" spans="2:12" x14ac:dyDescent="0.2">
      <c r="B153" s="16" t="str">
        <f t="shared" si="9"/>
        <v>SB</v>
      </c>
      <c r="C153" s="15" t="str">
        <f t="shared" si="11"/>
        <v>1LBASIS</v>
      </c>
      <c r="D153" s="14" t="s">
        <v>16</v>
      </c>
      <c r="E153" s="14" t="str">
        <f t="shared" si="10"/>
        <v>GBP_YC1MRH_SB1LBASIS18Y</v>
      </c>
      <c r="F153" s="13" t="e">
        <f>_xll.qlRateHelperQuoteValue($E153,Trigger)</f>
        <v>#NUM!</v>
      </c>
      <c r="G153" s="13">
        <f>_xll.qlSwapRateHelperSpread($E153,Trigger)</f>
        <v>1.8968427810578724E-3</v>
      </c>
      <c r="H153" s="12" t="b">
        <v>0</v>
      </c>
      <c r="I153" s="12">
        <v>40</v>
      </c>
      <c r="J153" s="12">
        <v>1</v>
      </c>
      <c r="K153" s="11">
        <f>_xll.qlRateHelperEarliestDate($E153,Trigger)</f>
        <v>41817</v>
      </c>
      <c r="L153" s="10">
        <f>_xll.qlRateHelperLatestDate($E153,Trigger)</f>
        <v>48393</v>
      </c>
    </row>
    <row r="154" spans="2:12" x14ac:dyDescent="0.2">
      <c r="B154" s="16" t="str">
        <f t="shared" si="9"/>
        <v>SB</v>
      </c>
      <c r="C154" s="15" t="str">
        <f t="shared" si="11"/>
        <v>1LBASIS</v>
      </c>
      <c r="D154" s="14" t="s">
        <v>15</v>
      </c>
      <c r="E154" s="14" t="str">
        <f t="shared" si="10"/>
        <v>GBP_YC1MRH_SB1LBASIS19Y</v>
      </c>
      <c r="F154" s="13" t="e">
        <f>_xll.qlRateHelperQuoteValue($E154,Trigger)</f>
        <v>#NUM!</v>
      </c>
      <c r="G154" s="13">
        <f>_xll.qlSwapRateHelperSpread($E154,Trigger)</f>
        <v>1.8595509096947164E-3</v>
      </c>
      <c r="H154" s="12" t="b">
        <v>0</v>
      </c>
      <c r="I154" s="12">
        <v>40</v>
      </c>
      <c r="J154" s="12">
        <v>1</v>
      </c>
      <c r="K154" s="11">
        <f>_xll.qlRateHelperEarliestDate($E154,Trigger)</f>
        <v>41817</v>
      </c>
      <c r="L154" s="10">
        <f>_xll.qlRateHelperLatestDate($E154,Trigger)</f>
        <v>48757</v>
      </c>
    </row>
    <row r="155" spans="2:12" x14ac:dyDescent="0.2">
      <c r="B155" s="16" t="str">
        <f t="shared" si="9"/>
        <v>SB</v>
      </c>
      <c r="C155" s="15" t="str">
        <f t="shared" si="11"/>
        <v>1LBASIS</v>
      </c>
      <c r="D155" s="14" t="s">
        <v>14</v>
      </c>
      <c r="E155" s="14" t="str">
        <f t="shared" si="10"/>
        <v>GBP_YC1MRH_SB1LBASIS20Y</v>
      </c>
      <c r="F155" s="13">
        <f>_xll.qlRateHelperQuoteValue($E155,Trigger)</f>
        <v>3.1939999999999996E-2</v>
      </c>
      <c r="G155" s="13">
        <f>_xll.qlSwapRateHelperSpread($E155,Trigger)</f>
        <v>1.825E-3</v>
      </c>
      <c r="H155" s="12" t="b">
        <v>1</v>
      </c>
      <c r="I155" s="12">
        <v>40</v>
      </c>
      <c r="J155" s="12">
        <v>1</v>
      </c>
      <c r="K155" s="11">
        <f>_xll.qlRateHelperEarliestDate($E155,Trigger)</f>
        <v>41817</v>
      </c>
      <c r="L155" s="10">
        <f>_xll.qlRateHelperLatestDate($E155,Trigger)</f>
        <v>49122</v>
      </c>
    </row>
    <row r="156" spans="2:12" x14ac:dyDescent="0.2">
      <c r="B156" s="16" t="str">
        <f t="shared" si="9"/>
        <v>SB</v>
      </c>
      <c r="C156" s="15" t="str">
        <f t="shared" si="11"/>
        <v>1LBASIS</v>
      </c>
      <c r="D156" s="14" t="s">
        <v>13</v>
      </c>
      <c r="E156" s="14" t="str">
        <f t="shared" si="10"/>
        <v>GBP_YC1MRH_SB1LBASIS21Y</v>
      </c>
      <c r="F156" s="13" t="e">
        <f>_xll.qlRateHelperQuoteValue($E156,Trigger)</f>
        <v>#NUM!</v>
      </c>
      <c r="G156" s="13">
        <f>_xll.qlSwapRateHelperSpread($E156,Trigger)</f>
        <v>1.7931549928526728E-3</v>
      </c>
      <c r="H156" s="12" t="b">
        <v>0</v>
      </c>
      <c r="I156" s="12">
        <v>40</v>
      </c>
      <c r="J156" s="12">
        <v>1</v>
      </c>
      <c r="K156" s="11">
        <f>_xll.qlRateHelperEarliestDate($E156,Trigger)</f>
        <v>41817</v>
      </c>
      <c r="L156" s="10">
        <f>_xll.qlRateHelperLatestDate($E156,Trigger)</f>
        <v>49487</v>
      </c>
    </row>
    <row r="157" spans="2:12" x14ac:dyDescent="0.2">
      <c r="B157" s="16" t="str">
        <f t="shared" si="9"/>
        <v>SB</v>
      </c>
      <c r="C157" s="15" t="str">
        <f t="shared" si="11"/>
        <v>1LBASIS</v>
      </c>
      <c r="D157" s="14" t="s">
        <v>12</v>
      </c>
      <c r="E157" s="14" t="str">
        <f t="shared" si="10"/>
        <v>GBP_YC1MRH_SB1LBASIS22Y</v>
      </c>
      <c r="F157" s="13" t="e">
        <f>_xll.qlRateHelperQuoteValue($E157,Trigger)</f>
        <v>#NUM!</v>
      </c>
      <c r="G157" s="13">
        <f>_xll.qlSwapRateHelperSpread($E157,Trigger)</f>
        <v>1.7637749265842959E-3</v>
      </c>
      <c r="H157" s="12" t="b">
        <v>0</v>
      </c>
      <c r="I157" s="12">
        <v>40</v>
      </c>
      <c r="J157" s="12">
        <v>1</v>
      </c>
      <c r="K157" s="11">
        <f>_xll.qlRateHelperEarliestDate($E157,Trigger)</f>
        <v>41817</v>
      </c>
      <c r="L157" s="10">
        <f>_xll.qlRateHelperLatestDate($E157,Trigger)</f>
        <v>49853</v>
      </c>
    </row>
    <row r="158" spans="2:12" x14ac:dyDescent="0.2">
      <c r="B158" s="16" t="str">
        <f t="shared" si="9"/>
        <v>SB</v>
      </c>
      <c r="C158" s="15" t="str">
        <f t="shared" si="11"/>
        <v>1LBASIS</v>
      </c>
      <c r="D158" s="14" t="s">
        <v>11</v>
      </c>
      <c r="E158" s="14" t="str">
        <f t="shared" si="10"/>
        <v>GBP_YC1MRH_SB1LBASIS23Y</v>
      </c>
      <c r="F158" s="13" t="e">
        <f>_xll.qlRateHelperQuoteValue($E158,Trigger)</f>
        <v>#NUM!</v>
      </c>
      <c r="G158" s="13">
        <f>_xll.qlSwapRateHelperSpread($E158,Trigger)</f>
        <v>1.7365673638895824E-3</v>
      </c>
      <c r="H158" s="12" t="b">
        <v>0</v>
      </c>
      <c r="I158" s="12">
        <v>40</v>
      </c>
      <c r="J158" s="12">
        <v>1</v>
      </c>
      <c r="K158" s="11">
        <f>_xll.qlRateHelperEarliestDate($E158,Trigger)</f>
        <v>41817</v>
      </c>
      <c r="L158" s="10">
        <f>_xll.qlRateHelperLatestDate($E158,Trigger)</f>
        <v>50220</v>
      </c>
    </row>
    <row r="159" spans="2:12" x14ac:dyDescent="0.2">
      <c r="B159" s="16" t="str">
        <f t="shared" si="9"/>
        <v>SB</v>
      </c>
      <c r="C159" s="15" t="str">
        <f t="shared" si="11"/>
        <v>1LBASIS</v>
      </c>
      <c r="D159" s="14" t="s">
        <v>10</v>
      </c>
      <c r="E159" s="14" t="str">
        <f t="shared" si="10"/>
        <v>GBP_YC1MRH_SB1LBASIS24Y</v>
      </c>
      <c r="F159" s="13" t="e">
        <f>_xll.qlRateHelperQuoteValue($E159,Trigger)</f>
        <v>#NUM!</v>
      </c>
      <c r="G159" s="13">
        <f>_xll.qlSwapRateHelperSpread($E159,Trigger)</f>
        <v>1.7112398674632458E-3</v>
      </c>
      <c r="H159" s="12" t="b">
        <v>0</v>
      </c>
      <c r="I159" s="12">
        <v>40</v>
      </c>
      <c r="J159" s="12">
        <v>1</v>
      </c>
      <c r="K159" s="11">
        <f>_xll.qlRateHelperEarliestDate($E159,Trigger)</f>
        <v>41817</v>
      </c>
      <c r="L159" s="10">
        <f>_xll.qlRateHelperLatestDate($E159,Trigger)</f>
        <v>50584</v>
      </c>
    </row>
    <row r="160" spans="2:12" x14ac:dyDescent="0.2">
      <c r="B160" s="16" t="str">
        <f t="shared" ref="B160:B169" si="12">SwapFixedFreq</f>
        <v>SB</v>
      </c>
      <c r="C160" s="15" t="str">
        <f t="shared" si="11"/>
        <v>1LBASIS</v>
      </c>
      <c r="D160" s="14" t="s">
        <v>9</v>
      </c>
      <c r="E160" s="14" t="str">
        <f t="shared" si="10"/>
        <v>GBP_YC1MRH_SB1LBASIS25Y</v>
      </c>
      <c r="F160" s="13">
        <f>_xll.qlRateHelperQuoteValue($E160,Trigger)</f>
        <v>3.2379999999999999E-2</v>
      </c>
      <c r="G160" s="13">
        <f>_xll.qlSwapRateHelperSpread($E160,Trigger)</f>
        <v>1.6875E-3</v>
      </c>
      <c r="H160" s="12" t="b">
        <v>1</v>
      </c>
      <c r="I160" s="12">
        <v>40</v>
      </c>
      <c r="J160" s="12">
        <v>1</v>
      </c>
      <c r="K160" s="11">
        <f>_xll.qlRateHelperEarliestDate($E160,Trigger)</f>
        <v>41817</v>
      </c>
      <c r="L160" s="10">
        <f>_xll.qlRateHelperLatestDate($E160,Trigger)</f>
        <v>50948</v>
      </c>
    </row>
    <row r="161" spans="2:12" x14ac:dyDescent="0.2">
      <c r="B161" s="16" t="str">
        <f t="shared" si="12"/>
        <v>SB</v>
      </c>
      <c r="C161" s="15" t="str">
        <f t="shared" si="11"/>
        <v>1LBASIS</v>
      </c>
      <c r="D161" s="14" t="s">
        <v>8</v>
      </c>
      <c r="E161" s="14" t="str">
        <f t="shared" si="10"/>
        <v>GBP_YC1MRH_SB1LBASIS26Y</v>
      </c>
      <c r="F161" s="13" t="e">
        <f>_xll.qlRateHelperQuoteValue($E161,Trigger)</f>
        <v>#NUM!</v>
      </c>
      <c r="G161" s="13">
        <f>_xll.qlSwapRateHelperSpread($E161,Trigger)</f>
        <v>1.6650962858629971E-3</v>
      </c>
      <c r="H161" s="12" t="b">
        <v>0</v>
      </c>
      <c r="I161" s="12">
        <v>40</v>
      </c>
      <c r="J161" s="12">
        <v>1</v>
      </c>
      <c r="K161" s="11">
        <f>_xll.qlRateHelperEarliestDate($E161,Trigger)</f>
        <v>41817</v>
      </c>
      <c r="L161" s="10">
        <f>_xll.qlRateHelperLatestDate($E161,Trigger)</f>
        <v>51314</v>
      </c>
    </row>
    <row r="162" spans="2:12" x14ac:dyDescent="0.2">
      <c r="B162" s="16" t="str">
        <f t="shared" si="12"/>
        <v>SB</v>
      </c>
      <c r="C162" s="15" t="str">
        <f t="shared" si="11"/>
        <v>1LBASIS</v>
      </c>
      <c r="D162" s="14" t="s">
        <v>7</v>
      </c>
      <c r="E162" s="14" t="str">
        <f t="shared" ref="E162:E169" si="13">RateHelperPrefix&amp;"_"&amp;$B162&amp;$C162&amp;$D162</f>
        <v>GBP_YC1MRH_SB1LBASIS27Y</v>
      </c>
      <c r="F162" s="13" t="e">
        <f>_xll.qlRateHelperQuoteValue($E162,Trigger)</f>
        <v>#NUM!</v>
      </c>
      <c r="G162" s="13">
        <f>_xll.qlSwapRateHelperSpread($E162,Trigger)</f>
        <v>1.6439410960891465E-3</v>
      </c>
      <c r="H162" s="12" t="b">
        <v>0</v>
      </c>
      <c r="I162" s="12">
        <v>40</v>
      </c>
      <c r="J162" s="12">
        <v>1</v>
      </c>
      <c r="K162" s="11">
        <f>_xll.qlRateHelperEarliestDate($E162,Trigger)</f>
        <v>41817</v>
      </c>
      <c r="L162" s="10">
        <f>_xll.qlRateHelperLatestDate($E162,Trigger)</f>
        <v>51679</v>
      </c>
    </row>
    <row r="163" spans="2:12" x14ac:dyDescent="0.2">
      <c r="B163" s="16" t="str">
        <f t="shared" si="12"/>
        <v>SB</v>
      </c>
      <c r="C163" s="15" t="str">
        <f t="shared" si="11"/>
        <v>1LBASIS</v>
      </c>
      <c r="D163" s="14" t="s">
        <v>6</v>
      </c>
      <c r="E163" s="14" t="str">
        <f t="shared" si="13"/>
        <v>GBP_YC1MRH_SB1LBASIS28Y</v>
      </c>
      <c r="F163" s="13" t="e">
        <f>_xll.qlRateHelperQuoteValue($E163,Trigger)</f>
        <v>#NUM!</v>
      </c>
      <c r="G163" s="13">
        <f>_xll.qlSwapRateHelperSpread($E163,Trigger)</f>
        <v>1.6239877633837977E-3</v>
      </c>
      <c r="H163" s="12" t="b">
        <v>0</v>
      </c>
      <c r="I163" s="12">
        <v>40</v>
      </c>
      <c r="J163" s="12">
        <v>1</v>
      </c>
      <c r="K163" s="11">
        <f>_xll.qlRateHelperEarliestDate($E163,Trigger)</f>
        <v>41817</v>
      </c>
      <c r="L163" s="10">
        <f>_xll.qlRateHelperLatestDate($E163,Trigger)</f>
        <v>52044</v>
      </c>
    </row>
    <row r="164" spans="2:12" x14ac:dyDescent="0.2">
      <c r="B164" s="16" t="str">
        <f t="shared" si="12"/>
        <v>SB</v>
      </c>
      <c r="C164" s="15" t="str">
        <f t="shared" si="11"/>
        <v>1LBASIS</v>
      </c>
      <c r="D164" s="14" t="s">
        <v>5</v>
      </c>
      <c r="E164" s="14" t="str">
        <f t="shared" si="13"/>
        <v>GBP_YC1MRH_SB1LBASIS29Y</v>
      </c>
      <c r="F164" s="13" t="e">
        <f>_xll.qlRateHelperQuoteValue($E164,Trigger)</f>
        <v>#NUM!</v>
      </c>
      <c r="G164" s="13">
        <f>_xll.qlSwapRateHelperSpread($E164,Trigger)</f>
        <v>1.6051896204522993E-3</v>
      </c>
      <c r="H164" s="12" t="b">
        <v>0</v>
      </c>
      <c r="I164" s="12">
        <v>40</v>
      </c>
      <c r="J164" s="12">
        <v>1</v>
      </c>
      <c r="K164" s="11">
        <f>_xll.qlRateHelperEarliestDate($E164,Trigger)</f>
        <v>41817</v>
      </c>
      <c r="L164" s="10">
        <f>_xll.qlRateHelperLatestDate($E164,Trigger)</f>
        <v>52411</v>
      </c>
    </row>
    <row r="165" spans="2:12" x14ac:dyDescent="0.2">
      <c r="B165" s="16" t="str">
        <f t="shared" si="12"/>
        <v>SB</v>
      </c>
      <c r="C165" s="15" t="str">
        <f t="shared" si="11"/>
        <v>1LBASIS</v>
      </c>
      <c r="D165" s="14" t="s">
        <v>4</v>
      </c>
      <c r="E165" s="14" t="str">
        <f t="shared" si="13"/>
        <v>GBP_YC1MRH_SB1LBASIS30Y</v>
      </c>
      <c r="F165" s="13">
        <f>_xll.qlRateHelperQuoteValue($E165,Trigger)</f>
        <v>3.2509999999999997E-2</v>
      </c>
      <c r="G165" s="13">
        <f>_xll.qlSwapRateHelperSpread($E165,Trigger)</f>
        <v>1.5874999999999999E-3</v>
      </c>
      <c r="H165" s="12" t="b">
        <v>1</v>
      </c>
      <c r="I165" s="12">
        <v>40</v>
      </c>
      <c r="J165" s="12">
        <v>1</v>
      </c>
      <c r="K165" s="11">
        <f>_xll.qlRateHelperEarliestDate($E165,Trigger)</f>
        <v>41817</v>
      </c>
      <c r="L165" s="10">
        <f>_xll.qlRateHelperLatestDate($E165,Trigger)</f>
        <v>52775</v>
      </c>
    </row>
    <row r="166" spans="2:12" x14ac:dyDescent="0.2">
      <c r="B166" s="16" t="str">
        <f t="shared" si="12"/>
        <v>SB</v>
      </c>
      <c r="C166" s="15" t="str">
        <f t="shared" si="11"/>
        <v>1LBASIS</v>
      </c>
      <c r="D166" s="14" t="s">
        <v>3</v>
      </c>
      <c r="E166" s="14" t="str">
        <f t="shared" si="13"/>
        <v>GBP_YC1MRH_SB1LBASIS35Y</v>
      </c>
      <c r="F166" s="13" t="e">
        <f>_xll.qlRateHelperQuoteValue($E166,Trigger)</f>
        <v>#NUM!</v>
      </c>
      <c r="G166" s="13">
        <f>_xll.qlSwapRateHelperSpread($E166,Trigger)</f>
        <v>1.5874999999999999E-3</v>
      </c>
      <c r="H166" s="12" t="b">
        <v>0</v>
      </c>
      <c r="I166" s="12">
        <v>40</v>
      </c>
      <c r="J166" s="12">
        <v>1</v>
      </c>
      <c r="K166" s="11">
        <f>_xll.qlRateHelperEarliestDate($E166,Trigger)</f>
        <v>41817</v>
      </c>
      <c r="L166" s="10">
        <f>_xll.qlRateHelperLatestDate($E166,Trigger)</f>
        <v>54602</v>
      </c>
    </row>
    <row r="167" spans="2:12" x14ac:dyDescent="0.2">
      <c r="B167" s="16" t="str">
        <f t="shared" si="12"/>
        <v>SB</v>
      </c>
      <c r="C167" s="15" t="str">
        <f t="shared" si="11"/>
        <v>1LBASIS</v>
      </c>
      <c r="D167" s="14" t="s">
        <v>2</v>
      </c>
      <c r="E167" s="14" t="str">
        <f t="shared" si="13"/>
        <v>GBP_YC1MRH_SB1LBASIS40Y</v>
      </c>
      <c r="F167" s="13">
        <f>_xll.qlRateHelperQuoteValue($E167,Trigger)</f>
        <v>3.2289999999999999E-2</v>
      </c>
      <c r="G167" s="13">
        <f>_xll.qlSwapRateHelperSpread($E167,Trigger)</f>
        <v>1.5874999999999999E-3</v>
      </c>
      <c r="H167" s="12" t="b">
        <v>1</v>
      </c>
      <c r="I167" s="12">
        <v>40</v>
      </c>
      <c r="J167" s="12">
        <v>1</v>
      </c>
      <c r="K167" s="11">
        <f>_xll.qlRateHelperEarliestDate($E167,Trigger)</f>
        <v>41817</v>
      </c>
      <c r="L167" s="10">
        <f>_xll.qlRateHelperLatestDate($E167,Trigger)</f>
        <v>56429</v>
      </c>
    </row>
    <row r="168" spans="2:12" x14ac:dyDescent="0.2">
      <c r="B168" s="16" t="str">
        <f t="shared" si="12"/>
        <v>SB</v>
      </c>
      <c r="C168" s="15" t="str">
        <f t="shared" si="11"/>
        <v>1LBASIS</v>
      </c>
      <c r="D168" s="14" t="s">
        <v>1</v>
      </c>
      <c r="E168" s="14" t="str">
        <f t="shared" si="13"/>
        <v>GBP_YC1MRH_SB1LBASIS50Y</v>
      </c>
      <c r="F168" s="13">
        <f>_xll.qlRateHelperQuoteValue($E168,Trigger)</f>
        <v>3.2219999999999999E-2</v>
      </c>
      <c r="G168" s="13">
        <f>_xll.qlSwapRateHelperSpread($E168,Trigger)</f>
        <v>1.5874999999999999E-3</v>
      </c>
      <c r="H168" s="12" t="b">
        <v>1</v>
      </c>
      <c r="I168" s="12">
        <v>40</v>
      </c>
      <c r="J168" s="12">
        <v>1</v>
      </c>
      <c r="K168" s="11">
        <f>_xll.qlRateHelperEarliestDate($E168,Trigger)</f>
        <v>41817</v>
      </c>
      <c r="L168" s="10">
        <f>_xll.qlRateHelperLatestDate($E168,Trigger)</f>
        <v>60080</v>
      </c>
    </row>
    <row r="169" spans="2:12" x14ac:dyDescent="0.2">
      <c r="B169" s="9" t="str">
        <f t="shared" si="12"/>
        <v>SB</v>
      </c>
      <c r="C169" s="8" t="str">
        <f t="shared" si="11"/>
        <v>1LBASIS</v>
      </c>
      <c r="D169" s="7" t="s">
        <v>0</v>
      </c>
      <c r="E169" s="7" t="str">
        <f t="shared" si="13"/>
        <v>GBP_YC1MRH_SB1LBASIS60Y</v>
      </c>
      <c r="F169" s="6">
        <f>_xll.qlRateHelperQuoteValue($E169,Trigger)</f>
        <v>3.2370000000000003E-2</v>
      </c>
      <c r="G169" s="6">
        <f>_xll.qlSwapRateHelperSpread($E169,Trigger)</f>
        <v>1.5874999999999999E-3</v>
      </c>
      <c r="H169" s="5" t="b">
        <v>1</v>
      </c>
      <c r="I169" s="5">
        <v>40</v>
      </c>
      <c r="J169" s="5">
        <v>1</v>
      </c>
      <c r="K169" s="4">
        <f>_xll.qlRateHelperEarliestDate($E169,Trigger)</f>
        <v>41817</v>
      </c>
      <c r="L169" s="3">
        <f>_xll.qlRateHelperLatestDate($E169,Trigger)</f>
        <v>63732</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26"/>
  <sheetViews>
    <sheetView tabSelected="1" workbookViewId="0">
      <selection activeCell="F1" sqref="F1"/>
    </sheetView>
  </sheetViews>
  <sheetFormatPr defaultRowHeight="11.25" x14ac:dyDescent="0.2"/>
  <cols>
    <col min="1" max="1" width="36.85546875" style="32" bestFit="1" customWidth="1"/>
    <col min="2" max="2" width="9" style="32" bestFit="1" customWidth="1"/>
    <col min="3" max="3" width="2.7109375" style="32" customWidth="1"/>
    <col min="4" max="4" width="24.42578125" style="33" bestFit="1" customWidth="1"/>
    <col min="5" max="5" width="8" style="33" customWidth="1"/>
    <col min="6" max="6" width="8" style="33" bestFit="1" customWidth="1"/>
    <col min="7" max="8" width="17.28515625" style="33" bestFit="1" customWidth="1"/>
    <col min="9" max="9" width="12" style="32" bestFit="1" customWidth="1"/>
    <col min="10" max="10" width="9.140625" style="32"/>
    <col min="11" max="11" width="24.42578125" style="32" bestFit="1" customWidth="1"/>
    <col min="12" max="16384" width="9.140625" style="32"/>
  </cols>
  <sheetData>
    <row r="1" spans="1:12" ht="12" thickBot="1" x14ac:dyDescent="0.25">
      <c r="A1" s="174" t="s">
        <v>84</v>
      </c>
      <c r="B1" s="175"/>
      <c r="D1" s="53" t="s">
        <v>83</v>
      </c>
      <c r="E1" s="52" t="s">
        <v>82</v>
      </c>
      <c r="F1" s="52"/>
      <c r="G1" s="52" t="s">
        <v>68</v>
      </c>
      <c r="H1" s="51" t="s">
        <v>67</v>
      </c>
      <c r="I1" s="34">
        <f t="array" ref="I1:I126">_xll.qlPiecewiseYieldCurveData(YieldCurve)</f>
        <v>1</v>
      </c>
    </row>
    <row r="2" spans="1:12" x14ac:dyDescent="0.2">
      <c r="A2" s="50" t="s">
        <v>81</v>
      </c>
      <c r="B2" s="49">
        <v>8</v>
      </c>
      <c r="D2" s="42" t="str">
        <f t="array" ref="D2:D126">_xll.qlRateHelperSelection(_xll.ohFilter(RateHelpers,RateHelpersIncluded),_xll.ohFilter(RateHelpersPriority,RateHelpersIncluded),nIMMFutures,nSerialFutures,FrontFuturesRollingDays,DepoInclusionCriteria,_xll.ohFilter(MinDistance,RateHelpersIncluded),Trigger)</f>
        <v>GBP_YC1MRH_1MD</v>
      </c>
      <c r="E2" s="41">
        <f>_xll.qlRateHelperRate($D2)</f>
        <v>4.9249999999999997E-3</v>
      </c>
      <c r="F2" s="41" t="str">
        <f>IF(ISERROR(_xll.qlSwapRateHelperSpread($D2)),IF(ISERROR(_xll.qlFuturesRateHelperConvexityAdjustment($D2)),"--",_xll.qlFuturesRateHelperConvexityAdjustment($D2)),_xll.qlSwapRateHelperSpread($D2))</f>
        <v>--</v>
      </c>
      <c r="G2" s="40">
        <f>_xll.qlRateHelperEarliestDate($D2)</f>
        <v>41817</v>
      </c>
      <c r="H2" s="39">
        <f>_xll.qlRateHelperLatestDate($D2)</f>
        <v>41848</v>
      </c>
      <c r="I2" s="34">
        <v>0.99958188722018804</v>
      </c>
      <c r="L2" s="87"/>
    </row>
    <row r="3" spans="1:12" x14ac:dyDescent="0.2">
      <c r="A3" s="46" t="s">
        <v>80</v>
      </c>
      <c r="B3" s="48">
        <v>0</v>
      </c>
      <c r="D3" s="42" t="str">
        <v>GBP_YC1MRH_2X1S</v>
      </c>
      <c r="E3" s="41">
        <f>_xll.qlRateHelperRate($D3)</f>
        <v>5.0124999999999996E-3</v>
      </c>
      <c r="F3" s="41">
        <f>IF(ISERROR(_xll.qlSwapRateHelperSpread($D3)),IF(ISERROR(_xll.qlFuturesRateHelperConvexityAdjustment($D3)),"--",_xll.qlFuturesRateHelperConvexityAdjustment($D3)),_xll.qlSwapRateHelperSpread($D3))</f>
        <v>0</v>
      </c>
      <c r="G3" s="40">
        <f>_xll.qlRateHelperEarliestDate($D3)</f>
        <v>41817</v>
      </c>
      <c r="H3" s="39">
        <f>_xll.qlRateHelperLatestDate($D3)</f>
        <v>41878</v>
      </c>
      <c r="I3" s="34">
        <v>0.99916297424038047</v>
      </c>
      <c r="L3" s="87"/>
    </row>
    <row r="4" spans="1:12" x14ac:dyDescent="0.2">
      <c r="A4" s="46" t="s">
        <v>79</v>
      </c>
      <c r="B4" s="48">
        <v>1</v>
      </c>
      <c r="D4" s="42" t="str">
        <v>GBP_YC1MRH_3X1S</v>
      </c>
      <c r="E4" s="41">
        <f>_xll.qlRateHelperRate($D4)</f>
        <v>5.1000000000000004E-3</v>
      </c>
      <c r="F4" s="41">
        <f>IF(ISERROR(_xll.qlSwapRateHelperSpread($D4)),IF(ISERROR(_xll.qlFuturesRateHelperConvexityAdjustment($D4)),"--",_xll.qlFuturesRateHelperConvexityAdjustment($D4)),_xll.qlSwapRateHelperSpread($D4))</f>
        <v>0</v>
      </c>
      <c r="G4" s="40">
        <f>_xll.qlRateHelperEarliestDate($D4)</f>
        <v>41817</v>
      </c>
      <c r="H4" s="39">
        <f>_xll.qlRateHelperLatestDate($D4)</f>
        <v>41911</v>
      </c>
      <c r="I4" s="34">
        <v>0.99868823762528347</v>
      </c>
      <c r="L4" s="87"/>
    </row>
    <row r="5" spans="1:12" x14ac:dyDescent="0.2">
      <c r="A5" s="46" t="s">
        <v>78</v>
      </c>
      <c r="B5" s="47" t="s">
        <v>77</v>
      </c>
      <c r="D5" s="42" t="str">
        <v>GBP_YC1MRH_4X1S</v>
      </c>
      <c r="E5" s="41">
        <f>_xll.qlRateHelperRate($D5)</f>
        <v>5.1999999999999998E-3</v>
      </c>
      <c r="F5" s="41">
        <f>IF(ISERROR(_xll.qlSwapRateHelperSpread($D5)),IF(ISERROR(_xll.qlFuturesRateHelperConvexityAdjustment($D5)),"--",_xll.qlFuturesRateHelperConvexityAdjustment($D5)),_xll.qlSwapRateHelperSpread($D5))</f>
        <v>0</v>
      </c>
      <c r="G5" s="40">
        <f>_xll.qlRateHelperEarliestDate($D5)</f>
        <v>41817</v>
      </c>
      <c r="H5" s="39">
        <f>_xll.qlRateHelperLatestDate($D5)</f>
        <v>41939</v>
      </c>
      <c r="I5" s="34">
        <v>0.99826481953900692</v>
      </c>
      <c r="L5" s="87"/>
    </row>
    <row r="6" spans="1:12" x14ac:dyDescent="0.2">
      <c r="A6" s="46" t="s">
        <v>76</v>
      </c>
      <c r="B6" s="45" t="str">
        <f>_xll.ohRangeRetrieveError(Selected!D2)</f>
        <v/>
      </c>
      <c r="D6" s="42" t="str">
        <v>GBP_YC1MRH_5X1S</v>
      </c>
      <c r="E6" s="41">
        <f>_xll.qlRateHelperRate($D6)</f>
        <v>5.4124999999999998E-3</v>
      </c>
      <c r="F6" s="41">
        <f>IF(ISERROR(_xll.qlSwapRateHelperSpread($D6)),IF(ISERROR(_xll.qlFuturesRateHelperConvexityAdjustment($D6)),"--",_xll.qlFuturesRateHelperConvexityAdjustment($D6)),_xll.qlSwapRateHelperSpread($D6))</f>
        <v>0</v>
      </c>
      <c r="G6" s="40">
        <f>_xll.qlRateHelperEarliestDate($D6)</f>
        <v>41817</v>
      </c>
      <c r="H6" s="39">
        <f>_xll.qlRateHelperLatestDate($D6)</f>
        <v>41970</v>
      </c>
      <c r="I6" s="34">
        <v>0.99773615433940377</v>
      </c>
      <c r="L6" s="87"/>
    </row>
    <row r="7" spans="1:12" ht="12" thickBot="1" x14ac:dyDescent="0.25">
      <c r="A7" s="44" t="str">
        <f>_xll.ohGroup(RateHelperPrefix&amp;"_RateHelpersSelected",_xll.ohPack(Selected!D2:D126),TRUE,,ObjectOverwrite)</f>
        <v>GBP_YC1MRH_RateHelpersSelected#0005</v>
      </c>
      <c r="B7" s="43" t="str">
        <f>_xll.ohRangeRetrieveError(RateHelpersSelected)</f>
        <v/>
      </c>
      <c r="D7" s="42" t="str">
        <v>GBP_YC1MRH_6X1S</v>
      </c>
      <c r="E7" s="41">
        <f>_xll.qlRateHelperRate($D7)</f>
        <v>5.6499999999999996E-3</v>
      </c>
      <c r="F7" s="41">
        <f>IF(ISERROR(_xll.qlSwapRateHelperSpread($D7)),IF(ISERROR(_xll.qlFuturesRateHelperConvexityAdjustment($D7)),"--",_xll.qlFuturesRateHelperConvexityAdjustment($D7)),_xll.qlSwapRateHelperSpread($D7))</f>
        <v>0</v>
      </c>
      <c r="G7" s="40">
        <f>_xll.qlRateHelperEarliestDate($D7)</f>
        <v>41817</v>
      </c>
      <c r="H7" s="39">
        <f>_xll.qlRateHelperLatestDate($D7)</f>
        <v>42002</v>
      </c>
      <c r="I7" s="34">
        <v>0.99714421882986315</v>
      </c>
      <c r="L7" s="87"/>
    </row>
    <row r="8" spans="1:12" x14ac:dyDescent="0.2">
      <c r="D8" s="42" t="str">
        <v>GBP_YC1MRH_7X1S</v>
      </c>
      <c r="E8" s="41">
        <f>_xll.qlRateHelperRate($D8)</f>
        <v>5.9375000000000001E-3</v>
      </c>
      <c r="F8" s="41">
        <f>IF(ISERROR(_xll.qlSwapRateHelperSpread($D8)),IF(ISERROR(_xll.qlFuturesRateHelperConvexityAdjustment($D8)),"--",_xll.qlFuturesRateHelperConvexityAdjustment($D8)),_xll.qlSwapRateHelperSpread($D8))</f>
        <v>0</v>
      </c>
      <c r="G8" s="40">
        <f>_xll.qlRateHelperEarliestDate($D8)</f>
        <v>41817</v>
      </c>
      <c r="H8" s="39">
        <f>_xll.qlRateHelperLatestDate($D8)</f>
        <v>42031</v>
      </c>
      <c r="I8" s="34">
        <v>0.99653040907447732</v>
      </c>
      <c r="L8" s="87"/>
    </row>
    <row r="9" spans="1:12" x14ac:dyDescent="0.2">
      <c r="D9" s="42" t="str">
        <v>GBP_YC1MRH_8X1S</v>
      </c>
      <c r="E9" s="41">
        <f>_xll.qlRateHelperRate($D9)</f>
        <v>6.2624999999999998E-3</v>
      </c>
      <c r="F9" s="41">
        <f>IF(ISERROR(_xll.qlSwapRateHelperSpread($D9)),IF(ISERROR(_xll.qlFuturesRateHelperConvexityAdjustment($D9)),"--",_xll.qlFuturesRateHelperConvexityAdjustment($D9)),_xll.qlSwapRateHelperSpread($D9))</f>
        <v>0</v>
      </c>
      <c r="G9" s="40">
        <f>_xll.qlRateHelperEarliestDate($D9)</f>
        <v>41817</v>
      </c>
      <c r="H9" s="39">
        <f>_xll.qlRateHelperLatestDate($D9)</f>
        <v>42062</v>
      </c>
      <c r="I9" s="34">
        <v>0.99581323569027647</v>
      </c>
      <c r="L9" s="87"/>
    </row>
    <row r="10" spans="1:12" x14ac:dyDescent="0.2">
      <c r="D10" s="42" t="str">
        <v>GBP_YC1MRH_9X1S</v>
      </c>
      <c r="E10" s="41">
        <f>_xll.qlRateHelperRate($D10)</f>
        <v>6.5624999999999998E-3</v>
      </c>
      <c r="F10" s="41">
        <f>IF(ISERROR(_xll.qlSwapRateHelperSpread($D10)),IF(ISERROR(_xll.qlFuturesRateHelperConvexityAdjustment($D10)),"--",_xll.qlFuturesRateHelperConvexityAdjustment($D10)),_xll.qlSwapRateHelperSpread($D10))</f>
        <v>0</v>
      </c>
      <c r="G10" s="40">
        <f>_xll.qlRateHelperEarliestDate($D10)</f>
        <v>41817</v>
      </c>
      <c r="H10" s="39">
        <f>_xll.qlRateHelperLatestDate($D10)</f>
        <v>42090</v>
      </c>
      <c r="I10" s="34">
        <v>0.9951145787347685</v>
      </c>
      <c r="L10" s="87"/>
    </row>
    <row r="11" spans="1:12" x14ac:dyDescent="0.2">
      <c r="D11" s="42" t="str">
        <v>GBP_YC1MRH_10X1S</v>
      </c>
      <c r="E11" s="41">
        <f>_xll.qlRateHelperRate($D11)</f>
        <v>6.9249999999999997E-3</v>
      </c>
      <c r="F11" s="41">
        <f>IF(ISERROR(_xll.qlSwapRateHelperSpread($D11)),IF(ISERROR(_xll.qlFuturesRateHelperConvexityAdjustment($D11)),"--",_xll.qlFuturesRateHelperConvexityAdjustment($D11)),_xll.qlSwapRateHelperSpread($D11))</f>
        <v>0</v>
      </c>
      <c r="G11" s="40">
        <f>_xll.qlRateHelperEarliestDate($D11)</f>
        <v>41817</v>
      </c>
      <c r="H11" s="39">
        <f>_xll.qlRateHelperLatestDate($D11)</f>
        <v>42121</v>
      </c>
      <c r="I11" s="34">
        <v>0.99426393127008017</v>
      </c>
      <c r="L11" s="87"/>
    </row>
    <row r="12" spans="1:12" x14ac:dyDescent="0.2">
      <c r="D12" s="42" t="str">
        <v>GBP_YC1MRH_11X1S</v>
      </c>
      <c r="E12" s="41">
        <f>_xll.qlRateHelperRate($D12)</f>
        <v>7.2625000000000007E-3</v>
      </c>
      <c r="F12" s="41">
        <f>IF(ISERROR(_xll.qlSwapRateHelperSpread($D12)),IF(ISERROR(_xll.qlFuturesRateHelperConvexityAdjustment($D12)),"--",_xll.qlFuturesRateHelperConvexityAdjustment($D12)),_xll.qlSwapRateHelperSpread($D12))</f>
        <v>0</v>
      </c>
      <c r="G12" s="40">
        <f>_xll.qlRateHelperEarliestDate($D12)</f>
        <v>41817</v>
      </c>
      <c r="H12" s="39">
        <f>_xll.qlRateHelperLatestDate($D12)</f>
        <v>42151</v>
      </c>
      <c r="I12" s="34">
        <v>0.99339619696152393</v>
      </c>
      <c r="L12" s="87"/>
    </row>
    <row r="13" spans="1:12" x14ac:dyDescent="0.2">
      <c r="D13" s="42" t="str">
        <v>GBP_YC1MRH_12X1S</v>
      </c>
      <c r="E13" s="41">
        <f>_xll.qlRateHelperRate($D13)</f>
        <v>7.6249999999999998E-3</v>
      </c>
      <c r="F13" s="41">
        <f>IF(ISERROR(_xll.qlSwapRateHelperSpread($D13)),IF(ISERROR(_xll.qlFuturesRateHelperConvexityAdjustment($D13)),"--",_xll.qlFuturesRateHelperConvexityAdjustment($D13)),_xll.qlSwapRateHelperSpread($D13))</f>
        <v>0</v>
      </c>
      <c r="G13" s="40">
        <f>_xll.qlRateHelperEarliestDate($D13)</f>
        <v>41817</v>
      </c>
      <c r="H13" s="39">
        <f>_xll.qlRateHelperLatestDate($D13)</f>
        <v>42184</v>
      </c>
      <c r="I13" s="34">
        <v>0.99238904731051558</v>
      </c>
      <c r="L13" s="87"/>
    </row>
    <row r="14" spans="1:12" x14ac:dyDescent="0.2">
      <c r="D14" s="42" t="str">
        <v>GBP_YC1MRH_SB1LBASIS2Y</v>
      </c>
      <c r="E14" s="41">
        <f>_xll.qlRateHelperRate($D14)</f>
        <v>1.324E-2</v>
      </c>
      <c r="F14" s="41">
        <f>IF(ISERROR(_xll.qlSwapRateHelperSpread($D14)),IF(ISERROR(_xll.qlFuturesRateHelperConvexityAdjustment($D14)),"--",_xll.qlFuturesRateHelperConvexityAdjustment($D14)),_xll.qlSwapRateHelperSpread($D14))</f>
        <v>1.3625E-3</v>
      </c>
      <c r="G14" s="40">
        <f>_xll.qlRateHelperEarliestDate($D14)</f>
        <v>41817</v>
      </c>
      <c r="H14" s="39">
        <f>_xll.qlRateHelperLatestDate($D14)</f>
        <v>42548</v>
      </c>
      <c r="I14" s="34">
        <v>0.9765069555017829</v>
      </c>
      <c r="L14" s="87"/>
    </row>
    <row r="15" spans="1:12" x14ac:dyDescent="0.2">
      <c r="D15" s="42" t="str">
        <v>GBP_YC1MRH_SB1LBASIS3Y</v>
      </c>
      <c r="E15" s="41">
        <f>_xll.qlRateHelperRate($D15)</f>
        <v>1.694E-2</v>
      </c>
      <c r="F15" s="41">
        <f>IF(ISERROR(_xll.qlSwapRateHelperSpread($D15)),IF(ISERROR(_xll.qlFuturesRateHelperConvexityAdjustment($D15)),"--",_xll.qlFuturesRateHelperConvexityAdjustment($D15)),_xll.qlSwapRateHelperSpread($D15))</f>
        <v>1.4625E-3</v>
      </c>
      <c r="G15" s="40">
        <f>_xll.qlRateHelperEarliestDate($D15)</f>
        <v>41817</v>
      </c>
      <c r="H15" s="39">
        <f>_xll.qlRateHelperLatestDate($D15)</f>
        <v>42913</v>
      </c>
      <c r="I15" s="34">
        <v>0.95453723573947802</v>
      </c>
      <c r="L15" s="87"/>
    </row>
    <row r="16" spans="1:12" x14ac:dyDescent="0.2">
      <c r="D16" s="42" t="str">
        <v>GBP_YC1MRH_SB1LBASIS4Y</v>
      </c>
      <c r="E16" s="41">
        <f>_xll.qlRateHelperRate($D16)</f>
        <v>1.9689999999999999E-2</v>
      </c>
      <c r="F16" s="41">
        <f>IF(ISERROR(_xll.qlSwapRateHelperSpread($D16)),IF(ISERROR(_xll.qlFuturesRateHelperConvexityAdjustment($D16)),"--",_xll.qlFuturesRateHelperConvexityAdjustment($D16)),_xll.qlSwapRateHelperSpread($D16))</f>
        <v>1.6125E-3</v>
      </c>
      <c r="G16" s="40">
        <f>_xll.qlRateHelperEarliestDate($D16)</f>
        <v>41817</v>
      </c>
      <c r="H16" s="39">
        <f>_xll.qlRateHelperLatestDate($D16)</f>
        <v>43278</v>
      </c>
      <c r="I16" s="34">
        <v>0.92999685507272201</v>
      </c>
      <c r="L16" s="87"/>
    </row>
    <row r="17" spans="4:12" x14ac:dyDescent="0.2">
      <c r="D17" s="42" t="str">
        <v>GBP_YC1MRH_SB1LBASIS5Y</v>
      </c>
      <c r="E17" s="41">
        <f>_xll.qlRateHelperRate($D17)</f>
        <v>2.1700000000000001E-2</v>
      </c>
      <c r="F17" s="41">
        <f>IF(ISERROR(_xll.qlSwapRateHelperSpread($D17)),IF(ISERROR(_xll.qlFuturesRateHelperConvexityAdjustment($D17)),"--",_xll.qlFuturesRateHelperConvexityAdjustment($D17)),_xll.qlSwapRateHelperSpread($D17))</f>
        <v>1.7374999999999999E-3</v>
      </c>
      <c r="G17" s="40">
        <f>_xll.qlRateHelperEarliestDate($D17)</f>
        <v>41817</v>
      </c>
      <c r="H17" s="39">
        <f>_xll.qlRateHelperLatestDate($D17)</f>
        <v>43643</v>
      </c>
      <c r="I17" s="34">
        <v>0.90453890010249771</v>
      </c>
      <c r="L17" s="87"/>
    </row>
    <row r="18" spans="4:12" x14ac:dyDescent="0.2">
      <c r="D18" s="42" t="str">
        <v>GBP_YC1MRH_SB1LBASIS6Y</v>
      </c>
      <c r="E18" s="41">
        <f>_xll.qlRateHelperRate($D18)</f>
        <v>2.3330000000000004E-2</v>
      </c>
      <c r="F18" s="41">
        <f>IF(ISERROR(_xll.qlSwapRateHelperSpread($D18)),IF(ISERROR(_xll.qlFuturesRateHelperConvexityAdjustment($D18)),"--",_xll.qlFuturesRateHelperConvexityAdjustment($D18)),_xll.qlSwapRateHelperSpread($D18))</f>
        <v>1.8875000000000001E-3</v>
      </c>
      <c r="G18" s="40">
        <f>_xll.qlRateHelperEarliestDate($D18)</f>
        <v>41817</v>
      </c>
      <c r="H18" s="39">
        <f>_xll.qlRateHelperLatestDate($D18)</f>
        <v>44011</v>
      </c>
      <c r="I18" s="34">
        <v>0.8783638435174812</v>
      </c>
      <c r="L18" s="87"/>
    </row>
    <row r="19" spans="4:12" x14ac:dyDescent="0.2">
      <c r="D19" s="42" t="str">
        <v>GBP_YC1MRH_SB1LBASIS7Y</v>
      </c>
      <c r="E19" s="41">
        <f>_xll.qlRateHelperRate($D19)</f>
        <v>2.4699999999999996E-2</v>
      </c>
      <c r="F19" s="41">
        <f>IF(ISERROR(_xll.qlSwapRateHelperSpread($D19)),IF(ISERROR(_xll.qlFuturesRateHelperConvexityAdjustment($D19)),"--",_xll.qlFuturesRateHelperConvexityAdjustment($D19)),_xll.qlSwapRateHelperSpread($D19))</f>
        <v>2E-3</v>
      </c>
      <c r="G19" s="40">
        <f>_xll.qlRateHelperEarliestDate($D19)</f>
        <v>41817</v>
      </c>
      <c r="H19" s="39">
        <f>_xll.qlRateHelperLatestDate($D19)</f>
        <v>44375</v>
      </c>
      <c r="I19" s="34">
        <v>0.85183661322051007</v>
      </c>
      <c r="L19" s="87"/>
    </row>
    <row r="20" spans="4:12" x14ac:dyDescent="0.2">
      <c r="D20" s="42" t="str">
        <v>GBP_YC1MRH_SB1LBASIS8Y</v>
      </c>
      <c r="E20" s="41">
        <f>_xll.qlRateHelperRate($D20)</f>
        <v>2.5869999999999997E-2</v>
      </c>
      <c r="F20" s="41">
        <f>IF(ISERROR(_xll.qlSwapRateHelperSpread($D20)),IF(ISERROR(_xll.qlFuturesRateHelperConvexityAdjustment($D20)),"--",_xll.qlFuturesRateHelperConvexityAdjustment($D20)),_xll.qlSwapRateHelperSpread($D20))</f>
        <v>2.0625000000000001E-3</v>
      </c>
      <c r="G20" s="40">
        <f>_xll.qlRateHelperEarliestDate($D20)</f>
        <v>41817</v>
      </c>
      <c r="H20" s="39">
        <f>_xll.qlRateHelperLatestDate($D20)</f>
        <v>44739</v>
      </c>
      <c r="I20" s="34">
        <v>0.82491238441741377</v>
      </c>
      <c r="L20" s="87"/>
    </row>
    <row r="21" spans="4:12" x14ac:dyDescent="0.2">
      <c r="D21" s="42" t="str">
        <v>GBP_YC1MRH_SB1LBASIS9Y</v>
      </c>
      <c r="E21" s="41">
        <f>_xll.qlRateHelperRate($D21)</f>
        <v>2.6859999999999998E-2</v>
      </c>
      <c r="F21" s="41">
        <f>IF(ISERROR(_xll.qlSwapRateHelperSpread($D21)),IF(ISERROR(_xll.qlFuturesRateHelperConvexityAdjustment($D21)),"--",_xll.qlFuturesRateHelperConvexityAdjustment($D21)),_xll.qlSwapRateHelperSpread($D21))</f>
        <v>2.1250000000000002E-3</v>
      </c>
      <c r="G21" s="40">
        <f>_xll.qlRateHelperEarliestDate($D21)</f>
        <v>41817</v>
      </c>
      <c r="H21" s="39">
        <f>_xll.qlRateHelperLatestDate($D21)</f>
        <v>45104</v>
      </c>
      <c r="I21" s="34">
        <v>0.79823899219246297</v>
      </c>
      <c r="L21" s="87"/>
    </row>
    <row r="22" spans="4:12" x14ac:dyDescent="0.2">
      <c r="D22" s="42" t="str">
        <v>GBP_YC1MRH_SB1LBASIS10Y</v>
      </c>
      <c r="E22" s="41">
        <f>_xll.qlRateHelperRate($D22)</f>
        <v>2.7709999999999999E-2</v>
      </c>
      <c r="F22" s="41">
        <f>IF(ISERROR(_xll.qlSwapRateHelperSpread($D22)),IF(ISERROR(_xll.qlFuturesRateHelperConvexityAdjustment($D22)),"--",_xll.qlFuturesRateHelperConvexityAdjustment($D22)),_xll.qlSwapRateHelperSpread($D22))</f>
        <v>2.1624999999999999E-3</v>
      </c>
      <c r="G22" s="40">
        <f>_xll.qlRateHelperEarliestDate($D22)</f>
        <v>41817</v>
      </c>
      <c r="H22" s="39">
        <f>_xll.qlRateHelperLatestDate($D22)</f>
        <v>45470</v>
      </c>
      <c r="I22" s="34">
        <v>0.77173460829480678</v>
      </c>
      <c r="L22" s="87"/>
    </row>
    <row r="23" spans="4:12" x14ac:dyDescent="0.2">
      <c r="D23" s="42" t="str">
        <v>GBP_YC1MRH_SB1LBASIS12Y</v>
      </c>
      <c r="E23" s="41">
        <f>_xll.qlRateHelperRate($D23)</f>
        <v>2.9100000000000001E-2</v>
      </c>
      <c r="F23" s="41">
        <f>IF(ISERROR(_xll.qlSwapRateHelperSpread($D23)),IF(ISERROR(_xll.qlFuturesRateHelperConvexityAdjustment($D23)),"--",_xll.qlFuturesRateHelperConvexityAdjustment($D23)),_xll.qlSwapRateHelperSpread($D23))</f>
        <v>2.15E-3</v>
      </c>
      <c r="G23" s="40">
        <f>_xll.qlRateHelperEarliestDate($D23)</f>
        <v>41817</v>
      </c>
      <c r="H23" s="39">
        <f>_xll.qlRateHelperLatestDate($D23)</f>
        <v>46202</v>
      </c>
      <c r="I23" s="34">
        <v>0.71940985661332912</v>
      </c>
      <c r="L23" s="87"/>
    </row>
    <row r="24" spans="4:12" x14ac:dyDescent="0.2">
      <c r="D24" s="42" t="str">
        <v>GBP_YC1MRH_SB1LBASIS15Y</v>
      </c>
      <c r="E24" s="41">
        <f>_xll.qlRateHelperRate($D24)</f>
        <v>3.058E-2</v>
      </c>
      <c r="F24" s="41">
        <f>IF(ISERROR(_xll.qlSwapRateHelperSpread($D24)),IF(ISERROR(_xll.qlFuturesRateHelperConvexityAdjustment($D24)),"--",_xll.qlFuturesRateHelperConvexityAdjustment($D24)),_xll.qlSwapRateHelperSpread($D24))</f>
        <v>2.0249999999999999E-3</v>
      </c>
      <c r="G24" s="40">
        <f>_xll.qlRateHelperEarliestDate($D24)</f>
        <v>41817</v>
      </c>
      <c r="H24" s="39">
        <f>_xll.qlRateHelperLatestDate($D24)</f>
        <v>47296</v>
      </c>
      <c r="I24" s="34">
        <v>0.64510163774316231</v>
      </c>
      <c r="L24" s="87"/>
    </row>
    <row r="25" spans="4:12" x14ac:dyDescent="0.2">
      <c r="D25" s="42" t="str">
        <v>GBP_YC1MRH_SB1LBASIS20Y</v>
      </c>
      <c r="E25" s="41">
        <f>_xll.qlRateHelperRate($D25)</f>
        <v>3.1939999999999996E-2</v>
      </c>
      <c r="F25" s="41">
        <f>IF(ISERROR(_xll.qlSwapRateHelperSpread($D25)),IF(ISERROR(_xll.qlFuturesRateHelperConvexityAdjustment($D25)),"--",_xll.qlFuturesRateHelperConvexityAdjustment($D25)),_xll.qlSwapRateHelperSpread($D25))</f>
        <v>1.825E-3</v>
      </c>
      <c r="G25" s="40">
        <f>_xll.qlRateHelperEarliestDate($D25)</f>
        <v>41817</v>
      </c>
      <c r="H25" s="39">
        <f>_xll.qlRateHelperLatestDate($D25)</f>
        <v>49122</v>
      </c>
      <c r="I25" s="34">
        <v>0.53797616684960792</v>
      </c>
      <c r="L25" s="87"/>
    </row>
    <row r="26" spans="4:12" x14ac:dyDescent="0.2">
      <c r="D26" s="42" t="str">
        <v>GBP_YC1MRH_SB1LBASIS25Y</v>
      </c>
      <c r="E26" s="41">
        <f>_xll.qlRateHelperRate($D26)</f>
        <v>3.2379999999999999E-2</v>
      </c>
      <c r="F26" s="41">
        <f>IF(ISERROR(_xll.qlSwapRateHelperSpread($D26)),IF(ISERROR(_xll.qlFuturesRateHelperConvexityAdjustment($D26)),"--",_xll.qlFuturesRateHelperConvexityAdjustment($D26)),_xll.qlSwapRateHelperSpread($D26))</f>
        <v>1.6875E-3</v>
      </c>
      <c r="G26" s="40">
        <f>_xll.qlRateHelperEarliestDate($D26)</f>
        <v>41817</v>
      </c>
      <c r="H26" s="39">
        <f>_xll.qlRateHelperLatestDate($D26)</f>
        <v>50948</v>
      </c>
      <c r="I26" s="34">
        <v>0.45397491897554654</v>
      </c>
      <c r="L26" s="87"/>
    </row>
    <row r="27" spans="4:12" x14ac:dyDescent="0.2">
      <c r="D27" s="42" t="str">
        <v>GBP_YC1MRH_SB1LBASIS30Y</v>
      </c>
      <c r="E27" s="41">
        <f>_xll.qlRateHelperRate($D27)</f>
        <v>3.2509999999999997E-2</v>
      </c>
      <c r="F27" s="41">
        <f>IF(ISERROR(_xll.qlSwapRateHelperSpread($D27)),IF(ISERROR(_xll.qlFuturesRateHelperConvexityAdjustment($D27)),"--",_xll.qlFuturesRateHelperConvexityAdjustment($D27)),_xll.qlSwapRateHelperSpread($D27))</f>
        <v>1.5874999999999999E-3</v>
      </c>
      <c r="G27" s="40">
        <f>_xll.qlRateHelperEarliestDate($D27)</f>
        <v>41817</v>
      </c>
      <c r="H27" s="39">
        <f>_xll.qlRateHelperLatestDate($D27)</f>
        <v>52775</v>
      </c>
      <c r="I27" s="34">
        <v>0.38568663488225507</v>
      </c>
      <c r="L27" s="87"/>
    </row>
    <row r="28" spans="4:12" x14ac:dyDescent="0.2">
      <c r="D28" s="42" t="str">
        <v>GBP_YC1MRH_SB1LBASIS40Y</v>
      </c>
      <c r="E28" s="41">
        <f>_xll.qlRateHelperRate($D28)</f>
        <v>3.2289999999999999E-2</v>
      </c>
      <c r="F28" s="41">
        <f>IF(ISERROR(_xll.qlSwapRateHelperSpread($D28)),IF(ISERROR(_xll.qlFuturesRateHelperConvexityAdjustment($D28)),"--",_xll.qlFuturesRateHelperConvexityAdjustment($D28)),_xll.qlSwapRateHelperSpread($D28))</f>
        <v>1.5874999999999999E-3</v>
      </c>
      <c r="G28" s="40">
        <f>_xll.qlRateHelperEarliestDate($D28)</f>
        <v>41817</v>
      </c>
      <c r="H28" s="39">
        <f>_xll.qlRateHelperLatestDate($D28)</f>
        <v>56429</v>
      </c>
      <c r="I28" s="34">
        <v>0.28819323272258324</v>
      </c>
      <c r="L28" s="87"/>
    </row>
    <row r="29" spans="4:12" x14ac:dyDescent="0.2">
      <c r="D29" s="42" t="str">
        <v>GBP_YC1MRH_SB1LBASIS50Y</v>
      </c>
      <c r="E29" s="41">
        <f>_xll.qlRateHelperRate($D29)</f>
        <v>3.2219999999999999E-2</v>
      </c>
      <c r="F29" s="41">
        <f>IF(ISERROR(_xll.qlSwapRateHelperSpread($D29)),IF(ISERROR(_xll.qlFuturesRateHelperConvexityAdjustment($D29)),"--",_xll.qlFuturesRateHelperConvexityAdjustment($D29)),_xll.qlSwapRateHelperSpread($D29))</f>
        <v>1.5874999999999999E-3</v>
      </c>
      <c r="G29" s="40">
        <f>_xll.qlRateHelperEarliestDate($D29)</f>
        <v>41817</v>
      </c>
      <c r="H29" s="39">
        <f>_xll.qlRateHelperLatestDate($D29)</f>
        <v>60080</v>
      </c>
      <c r="I29" s="34">
        <v>0.21387026784849328</v>
      </c>
      <c r="L29" s="87"/>
    </row>
    <row r="30" spans="4:12" x14ac:dyDescent="0.2">
      <c r="D30" s="42" t="str">
        <v>GBP_YC1MRH_SB1LBASIS60Y</v>
      </c>
      <c r="E30" s="41">
        <f>_xll.qlRateHelperRate($D30)</f>
        <v>3.2370000000000003E-2</v>
      </c>
      <c r="F30" s="41">
        <f>IF(ISERROR(_xll.qlSwapRateHelperSpread($D30)),IF(ISERROR(_xll.qlFuturesRateHelperConvexityAdjustment($D30)),"--",_xll.qlFuturesRateHelperConvexityAdjustment($D30)),_xll.qlSwapRateHelperSpread($D30))</f>
        <v>1.5874999999999999E-3</v>
      </c>
      <c r="G30" s="40">
        <f>_xll.qlRateHelperEarliestDate($D30)</f>
        <v>41817</v>
      </c>
      <c r="H30" s="39">
        <f>_xll.qlRateHelperLatestDate($D30)</f>
        <v>63732</v>
      </c>
      <c r="I30" s="34">
        <v>0.15422528450728129</v>
      </c>
      <c r="L30" s="87"/>
    </row>
    <row r="31" spans="4:12" x14ac:dyDescent="0.2">
      <c r="D31" s="42" t="e">
        <v>#N/A</v>
      </c>
      <c r="E31" s="41" t="e">
        <f>_xll.qlRateHelperRate($D31)</f>
        <v>#VALUE!</v>
      </c>
      <c r="F31" s="41" t="str">
        <f>IF(ISERROR(_xll.qlSwapRateHelperSpread($D31)),IF(ISERROR(_xll.qlFuturesRateHelperConvexityAdjustment($D31)),"--",_xll.qlFuturesRateHelperConvexityAdjustment($D31)),_xll.qlSwapRateHelperSpread($D31))</f>
        <v>--</v>
      </c>
      <c r="G31" s="40" t="e">
        <f>_xll.qlRateHelperEarliestDate($D31)</f>
        <v>#VALUE!</v>
      </c>
      <c r="H31" s="39" t="e">
        <f>_xll.qlRateHelperLatestDate($D31)</f>
        <v>#VALUE!</v>
      </c>
      <c r="I31" s="34" t="e">
        <v>#N/A</v>
      </c>
    </row>
    <row r="32" spans="4:12" x14ac:dyDescent="0.2">
      <c r="D32" s="42" t="e">
        <v>#N/A</v>
      </c>
      <c r="E32" s="41" t="e">
        <f>_xll.qlRateHelperRate($D32)</f>
        <v>#VALUE!</v>
      </c>
      <c r="F32" s="41" t="str">
        <f>IF(ISERROR(_xll.qlSwapRateHelperSpread($D32)),IF(ISERROR(_xll.qlFuturesRateHelperConvexityAdjustment($D32)),"--",_xll.qlFuturesRateHelperConvexityAdjustment($D32)),_xll.qlSwapRateHelperSpread($D32))</f>
        <v>--</v>
      </c>
      <c r="G32" s="40" t="e">
        <f>_xll.qlRateHelperEarliestDate($D32)</f>
        <v>#VALUE!</v>
      </c>
      <c r="H32" s="39" t="e">
        <f>_xll.qlRateHelperLatestDate($D32)</f>
        <v>#VALUE!</v>
      </c>
      <c r="I32" s="34" t="e">
        <v>#N/A</v>
      </c>
    </row>
    <row r="33" spans="4:9" x14ac:dyDescent="0.2">
      <c r="D33" s="42" t="e">
        <v>#N/A</v>
      </c>
      <c r="E33" s="41" t="e">
        <f>_xll.qlRateHelperRate($D33)</f>
        <v>#VALUE!</v>
      </c>
      <c r="F33" s="41" t="str">
        <f>IF(ISERROR(_xll.qlSwapRateHelperSpread($D33)),IF(ISERROR(_xll.qlFuturesRateHelperConvexityAdjustment($D33)),"--",_xll.qlFuturesRateHelperConvexityAdjustment($D33)),_xll.qlSwapRateHelperSpread($D33))</f>
        <v>--</v>
      </c>
      <c r="G33" s="40" t="e">
        <f>_xll.qlRateHelperEarliestDate($D33)</f>
        <v>#VALUE!</v>
      </c>
      <c r="H33" s="39" t="e">
        <f>_xll.qlRateHelperLatestDate($D33)</f>
        <v>#VALUE!</v>
      </c>
      <c r="I33" s="34" t="e">
        <v>#N/A</v>
      </c>
    </row>
    <row r="34" spans="4:9" x14ac:dyDescent="0.2">
      <c r="D34" s="42" t="e">
        <v>#N/A</v>
      </c>
      <c r="E34" s="41" t="e">
        <f>_xll.qlRateHelperRate($D34)</f>
        <v>#VALUE!</v>
      </c>
      <c r="F34" s="41" t="str">
        <f>IF(ISERROR(_xll.qlSwapRateHelperSpread($D34)),IF(ISERROR(_xll.qlFuturesRateHelperConvexityAdjustment($D34)),"--",_xll.qlFuturesRateHelperConvexityAdjustment($D34)),_xll.qlSwapRateHelperSpread($D34))</f>
        <v>--</v>
      </c>
      <c r="G34" s="40" t="e">
        <f>_xll.qlRateHelperEarliestDate($D34)</f>
        <v>#VALUE!</v>
      </c>
      <c r="H34" s="39" t="e">
        <f>_xll.qlRateHelperLatestDate($D34)</f>
        <v>#VALUE!</v>
      </c>
      <c r="I34" s="34" t="e">
        <v>#N/A</v>
      </c>
    </row>
    <row r="35" spans="4:9" x14ac:dyDescent="0.2">
      <c r="D35" s="42" t="e">
        <v>#N/A</v>
      </c>
      <c r="E35" s="41" t="e">
        <f>_xll.qlRateHelperRate($D35)</f>
        <v>#VALUE!</v>
      </c>
      <c r="F35" s="41" t="str">
        <f>IF(ISERROR(_xll.qlSwapRateHelperSpread($D35)),IF(ISERROR(_xll.qlFuturesRateHelperConvexityAdjustment($D35)),"--",_xll.qlFuturesRateHelperConvexityAdjustment($D35)),_xll.qlSwapRateHelperSpread($D35))</f>
        <v>--</v>
      </c>
      <c r="G35" s="40" t="e">
        <f>_xll.qlRateHelperEarliestDate($D35)</f>
        <v>#VALUE!</v>
      </c>
      <c r="H35" s="39" t="e">
        <f>_xll.qlRateHelperLatestDate($D35)</f>
        <v>#VALUE!</v>
      </c>
      <c r="I35" s="34" t="e">
        <v>#N/A</v>
      </c>
    </row>
    <row r="36" spans="4:9" x14ac:dyDescent="0.2">
      <c r="D36" s="42" t="e">
        <v>#N/A</v>
      </c>
      <c r="E36" s="41" t="e">
        <f>_xll.qlRateHelperRate($D36)</f>
        <v>#VALUE!</v>
      </c>
      <c r="F36" s="41" t="str">
        <f>IF(ISERROR(_xll.qlSwapRateHelperSpread($D36)),IF(ISERROR(_xll.qlFuturesRateHelperConvexityAdjustment($D36)),"--",_xll.qlFuturesRateHelperConvexityAdjustment($D36)),_xll.qlSwapRateHelperSpread($D36))</f>
        <v>--</v>
      </c>
      <c r="G36" s="40" t="e">
        <f>_xll.qlRateHelperEarliestDate($D36)</f>
        <v>#VALUE!</v>
      </c>
      <c r="H36" s="39" t="e">
        <f>_xll.qlRateHelperLatestDate($D36)</f>
        <v>#VALUE!</v>
      </c>
      <c r="I36" s="34" t="e">
        <v>#N/A</v>
      </c>
    </row>
    <row r="37" spans="4:9" x14ac:dyDescent="0.2">
      <c r="D37" s="42" t="e">
        <v>#N/A</v>
      </c>
      <c r="E37" s="41" t="e">
        <f>_xll.qlRateHelperRate($D37)</f>
        <v>#VALUE!</v>
      </c>
      <c r="F37" s="41" t="str">
        <f>IF(ISERROR(_xll.qlSwapRateHelperSpread($D37)),IF(ISERROR(_xll.qlFuturesRateHelperConvexityAdjustment($D37)),"--",_xll.qlFuturesRateHelperConvexityAdjustment($D37)),_xll.qlSwapRateHelperSpread($D37))</f>
        <v>--</v>
      </c>
      <c r="G37" s="40" t="e">
        <f>_xll.qlRateHelperEarliestDate($D37)</f>
        <v>#VALUE!</v>
      </c>
      <c r="H37" s="39" t="e">
        <f>_xll.qlRateHelperLatestDate($D37)</f>
        <v>#VALUE!</v>
      </c>
      <c r="I37" s="34" t="e">
        <v>#N/A</v>
      </c>
    </row>
    <row r="38" spans="4:9" x14ac:dyDescent="0.2">
      <c r="D38" s="42" t="e">
        <v>#N/A</v>
      </c>
      <c r="E38" s="41" t="e">
        <f>_xll.qlRateHelperRate($D38)</f>
        <v>#VALUE!</v>
      </c>
      <c r="F38" s="41" t="str">
        <f>IF(ISERROR(_xll.qlSwapRateHelperSpread($D38)),IF(ISERROR(_xll.qlFuturesRateHelperConvexityAdjustment($D38)),"--",_xll.qlFuturesRateHelperConvexityAdjustment($D38)),_xll.qlSwapRateHelperSpread($D38))</f>
        <v>--</v>
      </c>
      <c r="G38" s="40" t="e">
        <f>_xll.qlRateHelperEarliestDate($D38)</f>
        <v>#VALUE!</v>
      </c>
      <c r="H38" s="39" t="e">
        <f>_xll.qlRateHelperLatestDate($D38)</f>
        <v>#VALUE!</v>
      </c>
      <c r="I38" s="34" t="e">
        <v>#N/A</v>
      </c>
    </row>
    <row r="39" spans="4:9" x14ac:dyDescent="0.2">
      <c r="D39" s="42" t="e">
        <v>#N/A</v>
      </c>
      <c r="E39" s="41" t="e">
        <f>_xll.qlRateHelperRate($D39)</f>
        <v>#VALUE!</v>
      </c>
      <c r="F39" s="41" t="str">
        <f>IF(ISERROR(_xll.qlSwapRateHelperSpread($D39)),IF(ISERROR(_xll.qlFuturesRateHelperConvexityAdjustment($D39)),"--",_xll.qlFuturesRateHelperConvexityAdjustment($D39)),_xll.qlSwapRateHelperSpread($D39))</f>
        <v>--</v>
      </c>
      <c r="G39" s="40" t="e">
        <f>_xll.qlRateHelperEarliestDate($D39)</f>
        <v>#VALUE!</v>
      </c>
      <c r="H39" s="39" t="e">
        <f>_xll.qlRateHelperLatestDate($D39)</f>
        <v>#VALUE!</v>
      </c>
      <c r="I39" s="34" t="e">
        <v>#N/A</v>
      </c>
    </row>
    <row r="40" spans="4:9" x14ac:dyDescent="0.2">
      <c r="D40" s="42" t="e">
        <v>#N/A</v>
      </c>
      <c r="E40" s="41" t="e">
        <f>_xll.qlRateHelperRate($D40)</f>
        <v>#VALUE!</v>
      </c>
      <c r="F40" s="41" t="str">
        <f>IF(ISERROR(_xll.qlSwapRateHelperSpread($D40)),IF(ISERROR(_xll.qlFuturesRateHelperConvexityAdjustment($D40)),"--",_xll.qlFuturesRateHelperConvexityAdjustment($D40)),_xll.qlSwapRateHelperSpread($D40))</f>
        <v>--</v>
      </c>
      <c r="G40" s="40" t="e">
        <f>_xll.qlRateHelperEarliestDate($D40)</f>
        <v>#VALUE!</v>
      </c>
      <c r="H40" s="39" t="e">
        <f>_xll.qlRateHelperLatestDate($D40)</f>
        <v>#VALUE!</v>
      </c>
      <c r="I40" s="34" t="e">
        <v>#N/A</v>
      </c>
    </row>
    <row r="41" spans="4:9" x14ac:dyDescent="0.2">
      <c r="D41" s="42" t="e">
        <v>#N/A</v>
      </c>
      <c r="E41" s="41" t="e">
        <f>_xll.qlRateHelperRate($D41)</f>
        <v>#VALUE!</v>
      </c>
      <c r="F41" s="41" t="str">
        <f>IF(ISERROR(_xll.qlSwapRateHelperSpread($D41)),IF(ISERROR(_xll.qlFuturesRateHelperConvexityAdjustment($D41)),"--",_xll.qlFuturesRateHelperConvexityAdjustment($D41)),_xll.qlSwapRateHelperSpread($D41))</f>
        <v>--</v>
      </c>
      <c r="G41" s="40" t="e">
        <f>_xll.qlRateHelperEarliestDate($D41)</f>
        <v>#VALUE!</v>
      </c>
      <c r="H41" s="39" t="e">
        <f>_xll.qlRateHelperLatestDate($D41)</f>
        <v>#VALUE!</v>
      </c>
      <c r="I41" s="34" t="e">
        <v>#N/A</v>
      </c>
    </row>
    <row r="42" spans="4:9" x14ac:dyDescent="0.2">
      <c r="D42" s="42" t="e">
        <v>#N/A</v>
      </c>
      <c r="E42" s="41" t="e">
        <f>_xll.qlRateHelperRate($D42)</f>
        <v>#VALUE!</v>
      </c>
      <c r="F42" s="41" t="str">
        <f>IF(ISERROR(_xll.qlSwapRateHelperSpread($D42)),IF(ISERROR(_xll.qlFuturesRateHelperConvexityAdjustment($D42)),"--",_xll.qlFuturesRateHelperConvexityAdjustment($D42)),_xll.qlSwapRateHelperSpread($D42))</f>
        <v>--</v>
      </c>
      <c r="G42" s="40" t="e">
        <f>_xll.qlRateHelperEarliestDate($D42)</f>
        <v>#VALUE!</v>
      </c>
      <c r="H42" s="39" t="e">
        <f>_xll.qlRateHelperLatestDate($D42)</f>
        <v>#VALUE!</v>
      </c>
      <c r="I42" s="34" t="e">
        <v>#N/A</v>
      </c>
    </row>
    <row r="43" spans="4:9" x14ac:dyDescent="0.2">
      <c r="D43" s="42" t="e">
        <v>#N/A</v>
      </c>
      <c r="E43" s="41" t="e">
        <f>_xll.qlRateHelperRate($D43)</f>
        <v>#VALUE!</v>
      </c>
      <c r="F43" s="41" t="str">
        <f>IF(ISERROR(_xll.qlSwapRateHelperSpread($D43)),IF(ISERROR(_xll.qlFuturesRateHelperConvexityAdjustment($D43)),"--",_xll.qlFuturesRateHelperConvexityAdjustment($D43)),_xll.qlSwapRateHelperSpread($D43))</f>
        <v>--</v>
      </c>
      <c r="G43" s="40" t="e">
        <f>_xll.qlRateHelperEarliestDate($D43)</f>
        <v>#VALUE!</v>
      </c>
      <c r="H43" s="39" t="e">
        <f>_xll.qlRateHelperLatestDate($D43)</f>
        <v>#VALUE!</v>
      </c>
      <c r="I43" s="34" t="e">
        <v>#N/A</v>
      </c>
    </row>
    <row r="44" spans="4:9" x14ac:dyDescent="0.2">
      <c r="D44" s="42" t="e">
        <v>#N/A</v>
      </c>
      <c r="E44" s="41" t="e">
        <f>_xll.qlRateHelperRate($D44)</f>
        <v>#VALUE!</v>
      </c>
      <c r="F44" s="41" t="str">
        <f>IF(ISERROR(_xll.qlSwapRateHelperSpread($D44)),IF(ISERROR(_xll.qlFuturesRateHelperConvexityAdjustment($D44)),"--",_xll.qlFuturesRateHelperConvexityAdjustment($D44)),_xll.qlSwapRateHelperSpread($D44))</f>
        <v>--</v>
      </c>
      <c r="G44" s="40" t="e">
        <f>_xll.qlRateHelperEarliestDate($D44)</f>
        <v>#VALUE!</v>
      </c>
      <c r="H44" s="39" t="e">
        <f>_xll.qlRateHelperLatestDate($D44)</f>
        <v>#VALUE!</v>
      </c>
      <c r="I44" s="34" t="e">
        <v>#N/A</v>
      </c>
    </row>
    <row r="45" spans="4:9" x14ac:dyDescent="0.2">
      <c r="D45" s="42" t="e">
        <v>#N/A</v>
      </c>
      <c r="E45" s="41" t="e">
        <f>_xll.qlRateHelperRate($D45)</f>
        <v>#VALUE!</v>
      </c>
      <c r="F45" s="41" t="str">
        <f>IF(ISERROR(_xll.qlSwapRateHelperSpread($D45)),IF(ISERROR(_xll.qlFuturesRateHelperConvexityAdjustment($D45)),"--",_xll.qlFuturesRateHelperConvexityAdjustment($D45)),_xll.qlSwapRateHelperSpread($D45))</f>
        <v>--</v>
      </c>
      <c r="G45" s="40" t="e">
        <f>_xll.qlRateHelperEarliestDate($D45)</f>
        <v>#VALUE!</v>
      </c>
      <c r="H45" s="39" t="e">
        <f>_xll.qlRateHelperLatestDate($D45)</f>
        <v>#VALUE!</v>
      </c>
      <c r="I45" s="34" t="e">
        <v>#N/A</v>
      </c>
    </row>
    <row r="46" spans="4:9" x14ac:dyDescent="0.2">
      <c r="D46" s="42" t="e">
        <v>#N/A</v>
      </c>
      <c r="E46" s="41" t="e">
        <f>_xll.qlRateHelperRate($D46)</f>
        <v>#VALUE!</v>
      </c>
      <c r="F46" s="41" t="str">
        <f>IF(ISERROR(_xll.qlSwapRateHelperSpread($D46)),IF(ISERROR(_xll.qlFuturesRateHelperConvexityAdjustment($D46)),"--",_xll.qlFuturesRateHelperConvexityAdjustment($D46)),_xll.qlSwapRateHelperSpread($D46))</f>
        <v>--</v>
      </c>
      <c r="G46" s="40" t="e">
        <f>_xll.qlRateHelperEarliestDate($D46)</f>
        <v>#VALUE!</v>
      </c>
      <c r="H46" s="39" t="e">
        <f>_xll.qlRateHelperLatestDate($D46)</f>
        <v>#VALUE!</v>
      </c>
      <c r="I46" s="34" t="e">
        <v>#N/A</v>
      </c>
    </row>
    <row r="47" spans="4:9" x14ac:dyDescent="0.2">
      <c r="D47" s="42" t="e">
        <v>#N/A</v>
      </c>
      <c r="E47" s="41" t="e">
        <f>_xll.qlRateHelperRate($D47)</f>
        <v>#VALUE!</v>
      </c>
      <c r="F47" s="41" t="str">
        <f>IF(ISERROR(_xll.qlSwapRateHelperSpread($D47)),IF(ISERROR(_xll.qlFuturesRateHelperConvexityAdjustment($D47)),"--",_xll.qlFuturesRateHelperConvexityAdjustment($D47)),_xll.qlSwapRateHelperSpread($D47))</f>
        <v>--</v>
      </c>
      <c r="G47" s="40" t="e">
        <f>_xll.qlRateHelperEarliestDate($D47)</f>
        <v>#VALUE!</v>
      </c>
      <c r="H47" s="39" t="e">
        <f>_xll.qlRateHelperLatestDate($D47)</f>
        <v>#VALUE!</v>
      </c>
      <c r="I47" s="34" t="e">
        <v>#N/A</v>
      </c>
    </row>
    <row r="48" spans="4:9" x14ac:dyDescent="0.2">
      <c r="D48" s="42" t="e">
        <v>#N/A</v>
      </c>
      <c r="E48" s="41" t="e">
        <f>_xll.qlRateHelperRate($D48)</f>
        <v>#VALUE!</v>
      </c>
      <c r="F48" s="41" t="str">
        <f>IF(ISERROR(_xll.qlSwapRateHelperSpread($D48)),IF(ISERROR(_xll.qlFuturesRateHelperConvexityAdjustment($D48)),"--",_xll.qlFuturesRateHelperConvexityAdjustment($D48)),_xll.qlSwapRateHelperSpread($D48))</f>
        <v>--</v>
      </c>
      <c r="G48" s="40" t="e">
        <f>_xll.qlRateHelperEarliestDate($D48)</f>
        <v>#VALUE!</v>
      </c>
      <c r="H48" s="39" t="e">
        <f>_xll.qlRateHelperLatestDate($D48)</f>
        <v>#VALUE!</v>
      </c>
      <c r="I48" s="34" t="e">
        <v>#N/A</v>
      </c>
    </row>
    <row r="49" spans="4:9" x14ac:dyDescent="0.2">
      <c r="D49" s="42" t="e">
        <v>#N/A</v>
      </c>
      <c r="E49" s="41" t="e">
        <f>_xll.qlRateHelperRate($D49)</f>
        <v>#VALUE!</v>
      </c>
      <c r="F49" s="41" t="str">
        <f>IF(ISERROR(_xll.qlSwapRateHelperSpread($D49)),IF(ISERROR(_xll.qlFuturesRateHelperConvexityAdjustment($D49)),"--",_xll.qlFuturesRateHelperConvexityAdjustment($D49)),_xll.qlSwapRateHelperSpread($D49))</f>
        <v>--</v>
      </c>
      <c r="G49" s="40" t="e">
        <f>_xll.qlRateHelperEarliestDate($D49)</f>
        <v>#VALUE!</v>
      </c>
      <c r="H49" s="39" t="e">
        <f>_xll.qlRateHelperLatestDate($D49)</f>
        <v>#VALUE!</v>
      </c>
      <c r="I49" s="34" t="e">
        <v>#N/A</v>
      </c>
    </row>
    <row r="50" spans="4:9" x14ac:dyDescent="0.2">
      <c r="D50" s="42" t="e">
        <v>#N/A</v>
      </c>
      <c r="E50" s="41" t="e">
        <f>_xll.qlRateHelperRate($D50)</f>
        <v>#VALUE!</v>
      </c>
      <c r="F50" s="41" t="str">
        <f>IF(ISERROR(_xll.qlSwapRateHelperSpread($D50)),IF(ISERROR(_xll.qlFuturesRateHelperConvexityAdjustment($D50)),"--",_xll.qlFuturesRateHelperConvexityAdjustment($D50)),_xll.qlSwapRateHelperSpread($D50))</f>
        <v>--</v>
      </c>
      <c r="G50" s="40" t="e">
        <f>_xll.qlRateHelperEarliestDate($D50)</f>
        <v>#VALUE!</v>
      </c>
      <c r="H50" s="39" t="e">
        <f>_xll.qlRateHelperLatestDate($D50)</f>
        <v>#VALUE!</v>
      </c>
      <c r="I50" s="34" t="e">
        <v>#N/A</v>
      </c>
    </row>
    <row r="51" spans="4:9" x14ac:dyDescent="0.2">
      <c r="D51" s="42" t="e">
        <v>#N/A</v>
      </c>
      <c r="E51" s="41" t="e">
        <f>_xll.qlRateHelperRate($D51)</f>
        <v>#VALUE!</v>
      </c>
      <c r="F51" s="41" t="str">
        <f>IF(ISERROR(_xll.qlSwapRateHelperSpread($D51)),IF(ISERROR(_xll.qlFuturesRateHelperConvexityAdjustment($D51)),"--",_xll.qlFuturesRateHelperConvexityAdjustment($D51)),_xll.qlSwapRateHelperSpread($D51))</f>
        <v>--</v>
      </c>
      <c r="G51" s="40" t="e">
        <f>_xll.qlRateHelperEarliestDate($D51)</f>
        <v>#VALUE!</v>
      </c>
      <c r="H51" s="39" t="e">
        <f>_xll.qlRateHelperLatestDate($D51)</f>
        <v>#VALUE!</v>
      </c>
      <c r="I51" s="34" t="e">
        <v>#N/A</v>
      </c>
    </row>
    <row r="52" spans="4:9" x14ac:dyDescent="0.2">
      <c r="D52" s="42" t="e">
        <v>#N/A</v>
      </c>
      <c r="E52" s="41" t="e">
        <f>_xll.qlRateHelperRate($D52)</f>
        <v>#VALUE!</v>
      </c>
      <c r="F52" s="41" t="str">
        <f>IF(ISERROR(_xll.qlSwapRateHelperSpread($D52)),IF(ISERROR(_xll.qlFuturesRateHelperConvexityAdjustment($D52)),"--",_xll.qlFuturesRateHelperConvexityAdjustment($D52)),_xll.qlSwapRateHelperSpread($D52))</f>
        <v>--</v>
      </c>
      <c r="G52" s="40" t="e">
        <f>_xll.qlRateHelperEarliestDate($D52)</f>
        <v>#VALUE!</v>
      </c>
      <c r="H52" s="39" t="e">
        <f>_xll.qlRateHelperLatestDate($D52)</f>
        <v>#VALUE!</v>
      </c>
      <c r="I52" s="34" t="e">
        <v>#N/A</v>
      </c>
    </row>
    <row r="53" spans="4:9" x14ac:dyDescent="0.2">
      <c r="D53" s="42" t="e">
        <v>#N/A</v>
      </c>
      <c r="E53" s="41" t="e">
        <f>_xll.qlRateHelperRate($D53)</f>
        <v>#VALUE!</v>
      </c>
      <c r="F53" s="41" t="str">
        <f>IF(ISERROR(_xll.qlSwapRateHelperSpread($D53)),IF(ISERROR(_xll.qlFuturesRateHelperConvexityAdjustment($D53)),"--",_xll.qlFuturesRateHelperConvexityAdjustment($D53)),_xll.qlSwapRateHelperSpread($D53))</f>
        <v>--</v>
      </c>
      <c r="G53" s="40" t="e">
        <f>_xll.qlRateHelperEarliestDate($D53)</f>
        <v>#VALUE!</v>
      </c>
      <c r="H53" s="39" t="e">
        <f>_xll.qlRateHelperLatestDate($D53)</f>
        <v>#VALUE!</v>
      </c>
      <c r="I53" s="34" t="e">
        <v>#N/A</v>
      </c>
    </row>
    <row r="54" spans="4:9" x14ac:dyDescent="0.2">
      <c r="D54" s="42" t="e">
        <v>#N/A</v>
      </c>
      <c r="E54" s="41" t="e">
        <f>_xll.qlRateHelperRate($D54)</f>
        <v>#VALUE!</v>
      </c>
      <c r="F54" s="41" t="str">
        <f>IF(ISERROR(_xll.qlSwapRateHelperSpread($D54)),IF(ISERROR(_xll.qlFuturesRateHelperConvexityAdjustment($D54)),"--",_xll.qlFuturesRateHelperConvexityAdjustment($D54)),_xll.qlSwapRateHelperSpread($D54))</f>
        <v>--</v>
      </c>
      <c r="G54" s="40" t="e">
        <f>_xll.qlRateHelperEarliestDate($D54)</f>
        <v>#VALUE!</v>
      </c>
      <c r="H54" s="39" t="e">
        <f>_xll.qlRateHelperLatestDate($D54)</f>
        <v>#VALUE!</v>
      </c>
      <c r="I54" s="34" t="e">
        <v>#N/A</v>
      </c>
    </row>
    <row r="55" spans="4:9" x14ac:dyDescent="0.2">
      <c r="D55" s="42" t="e">
        <v>#N/A</v>
      </c>
      <c r="E55" s="41" t="e">
        <f>_xll.qlRateHelperRate($D55)</f>
        <v>#VALUE!</v>
      </c>
      <c r="F55" s="41" t="str">
        <f>IF(ISERROR(_xll.qlSwapRateHelperSpread($D55)),IF(ISERROR(_xll.qlFuturesRateHelperConvexityAdjustment($D55)),"--",_xll.qlFuturesRateHelperConvexityAdjustment($D55)),_xll.qlSwapRateHelperSpread($D55))</f>
        <v>--</v>
      </c>
      <c r="G55" s="40" t="e">
        <f>_xll.qlRateHelperEarliestDate($D55)</f>
        <v>#VALUE!</v>
      </c>
      <c r="H55" s="39" t="e">
        <f>_xll.qlRateHelperLatestDate($D55)</f>
        <v>#VALUE!</v>
      </c>
      <c r="I55" s="34" t="e">
        <v>#N/A</v>
      </c>
    </row>
    <row r="56" spans="4:9" x14ac:dyDescent="0.2">
      <c r="D56" s="42" t="e">
        <v>#N/A</v>
      </c>
      <c r="E56" s="41" t="e">
        <f>_xll.qlRateHelperRate($D56)</f>
        <v>#VALUE!</v>
      </c>
      <c r="F56" s="41" t="str">
        <f>IF(ISERROR(_xll.qlSwapRateHelperSpread($D56)),IF(ISERROR(_xll.qlFuturesRateHelperConvexityAdjustment($D56)),"--",_xll.qlFuturesRateHelperConvexityAdjustment($D56)),_xll.qlSwapRateHelperSpread($D56))</f>
        <v>--</v>
      </c>
      <c r="G56" s="40" t="e">
        <f>_xll.qlRateHelperEarliestDate($D56)</f>
        <v>#VALUE!</v>
      </c>
      <c r="H56" s="39" t="e">
        <f>_xll.qlRateHelperLatestDate($D56)</f>
        <v>#VALUE!</v>
      </c>
      <c r="I56" s="34" t="e">
        <v>#N/A</v>
      </c>
    </row>
    <row r="57" spans="4:9" x14ac:dyDescent="0.2">
      <c r="D57" s="42" t="e">
        <v>#N/A</v>
      </c>
      <c r="E57" s="41" t="e">
        <f>_xll.qlRateHelperRate($D57)</f>
        <v>#VALUE!</v>
      </c>
      <c r="F57" s="41" t="str">
        <f>IF(ISERROR(_xll.qlSwapRateHelperSpread($D57)),IF(ISERROR(_xll.qlFuturesRateHelperConvexityAdjustment($D57)),"--",_xll.qlFuturesRateHelperConvexityAdjustment($D57)),_xll.qlSwapRateHelperSpread($D57))</f>
        <v>--</v>
      </c>
      <c r="G57" s="40" t="e">
        <f>_xll.qlRateHelperEarliestDate($D57)</f>
        <v>#VALUE!</v>
      </c>
      <c r="H57" s="39" t="e">
        <f>_xll.qlRateHelperLatestDate($D57)</f>
        <v>#VALUE!</v>
      </c>
      <c r="I57" s="34" t="e">
        <v>#N/A</v>
      </c>
    </row>
    <row r="58" spans="4:9" x14ac:dyDescent="0.2">
      <c r="D58" s="42" t="e">
        <v>#N/A</v>
      </c>
      <c r="E58" s="41" t="e">
        <f>_xll.qlRateHelperRate($D58)</f>
        <v>#VALUE!</v>
      </c>
      <c r="F58" s="41" t="str">
        <f>IF(ISERROR(_xll.qlSwapRateHelperSpread($D58)),IF(ISERROR(_xll.qlFuturesRateHelperConvexityAdjustment($D58)),"--",_xll.qlFuturesRateHelperConvexityAdjustment($D58)),_xll.qlSwapRateHelperSpread($D58))</f>
        <v>--</v>
      </c>
      <c r="G58" s="40" t="e">
        <f>_xll.qlRateHelperEarliestDate($D58)</f>
        <v>#VALUE!</v>
      </c>
      <c r="H58" s="39" t="e">
        <f>_xll.qlRateHelperLatestDate($D58)</f>
        <v>#VALUE!</v>
      </c>
      <c r="I58" s="34" t="e">
        <v>#N/A</v>
      </c>
    </row>
    <row r="59" spans="4:9" x14ac:dyDescent="0.2">
      <c r="D59" s="42" t="e">
        <v>#N/A</v>
      </c>
      <c r="E59" s="41" t="e">
        <f>_xll.qlRateHelperRate($D59)</f>
        <v>#VALUE!</v>
      </c>
      <c r="F59" s="41" t="str">
        <f>IF(ISERROR(_xll.qlSwapRateHelperSpread($D59)),IF(ISERROR(_xll.qlFuturesRateHelperConvexityAdjustment($D59)),"--",_xll.qlFuturesRateHelperConvexityAdjustment($D59)),_xll.qlSwapRateHelperSpread($D59))</f>
        <v>--</v>
      </c>
      <c r="G59" s="40" t="e">
        <f>_xll.qlRateHelperEarliestDate($D59)</f>
        <v>#VALUE!</v>
      </c>
      <c r="H59" s="39" t="e">
        <f>_xll.qlRateHelperLatestDate($D59)</f>
        <v>#VALUE!</v>
      </c>
      <c r="I59" s="34" t="e">
        <v>#N/A</v>
      </c>
    </row>
    <row r="60" spans="4:9" x14ac:dyDescent="0.2">
      <c r="D60" s="42" t="e">
        <v>#N/A</v>
      </c>
      <c r="E60" s="41" t="e">
        <f>_xll.qlRateHelperRate($D60)</f>
        <v>#VALUE!</v>
      </c>
      <c r="F60" s="41" t="str">
        <f>IF(ISERROR(_xll.qlSwapRateHelperSpread($D60)),IF(ISERROR(_xll.qlFuturesRateHelperConvexityAdjustment($D60)),"--",_xll.qlFuturesRateHelperConvexityAdjustment($D60)),_xll.qlSwapRateHelperSpread($D60))</f>
        <v>--</v>
      </c>
      <c r="G60" s="40" t="e">
        <f>_xll.qlRateHelperEarliestDate($D60)</f>
        <v>#VALUE!</v>
      </c>
      <c r="H60" s="39" t="e">
        <f>_xll.qlRateHelperLatestDate($D60)</f>
        <v>#VALUE!</v>
      </c>
      <c r="I60" s="34" t="e">
        <v>#N/A</v>
      </c>
    </row>
    <row r="61" spans="4:9" x14ac:dyDescent="0.2">
      <c r="D61" s="42" t="e">
        <v>#N/A</v>
      </c>
      <c r="E61" s="41" t="e">
        <f>_xll.qlRateHelperRate($D61)</f>
        <v>#VALUE!</v>
      </c>
      <c r="F61" s="41" t="str">
        <f>IF(ISERROR(_xll.qlSwapRateHelperSpread($D61)),IF(ISERROR(_xll.qlFuturesRateHelperConvexityAdjustment($D61)),"--",_xll.qlFuturesRateHelperConvexityAdjustment($D61)),_xll.qlSwapRateHelperSpread($D61))</f>
        <v>--</v>
      </c>
      <c r="G61" s="40" t="e">
        <f>_xll.qlRateHelperEarliestDate($D61)</f>
        <v>#VALUE!</v>
      </c>
      <c r="H61" s="39" t="e">
        <f>_xll.qlRateHelperLatestDate($D61)</f>
        <v>#VALUE!</v>
      </c>
      <c r="I61" s="34" t="e">
        <v>#N/A</v>
      </c>
    </row>
    <row r="62" spans="4:9" x14ac:dyDescent="0.2">
      <c r="D62" s="42" t="e">
        <v>#N/A</v>
      </c>
      <c r="E62" s="41" t="e">
        <f>_xll.qlRateHelperRate($D62)</f>
        <v>#VALUE!</v>
      </c>
      <c r="F62" s="41" t="str">
        <f>IF(ISERROR(_xll.qlSwapRateHelperSpread($D62)),IF(ISERROR(_xll.qlFuturesRateHelperConvexityAdjustment($D62)),"--",_xll.qlFuturesRateHelperConvexityAdjustment($D62)),_xll.qlSwapRateHelperSpread($D62))</f>
        <v>--</v>
      </c>
      <c r="G62" s="40" t="e">
        <f>_xll.qlRateHelperEarliestDate($D62)</f>
        <v>#VALUE!</v>
      </c>
      <c r="H62" s="39" t="e">
        <f>_xll.qlRateHelperLatestDate($D62)</f>
        <v>#VALUE!</v>
      </c>
      <c r="I62" s="34" t="e">
        <v>#N/A</v>
      </c>
    </row>
    <row r="63" spans="4:9" x14ac:dyDescent="0.2">
      <c r="D63" s="42" t="e">
        <v>#N/A</v>
      </c>
      <c r="E63" s="41" t="e">
        <f>_xll.qlRateHelperRate($D63)</f>
        <v>#VALUE!</v>
      </c>
      <c r="F63" s="41" t="str">
        <f>IF(ISERROR(_xll.qlSwapRateHelperSpread($D63)),IF(ISERROR(_xll.qlFuturesRateHelperConvexityAdjustment($D63)),"--",_xll.qlFuturesRateHelperConvexityAdjustment($D63)),_xll.qlSwapRateHelperSpread($D63))</f>
        <v>--</v>
      </c>
      <c r="G63" s="40" t="e">
        <f>_xll.qlRateHelperEarliestDate($D63)</f>
        <v>#VALUE!</v>
      </c>
      <c r="H63" s="39" t="e">
        <f>_xll.qlRateHelperLatestDate($D63)</f>
        <v>#VALUE!</v>
      </c>
      <c r="I63" s="34" t="e">
        <v>#N/A</v>
      </c>
    </row>
    <row r="64" spans="4:9" x14ac:dyDescent="0.2">
      <c r="D64" s="42" t="e">
        <v>#N/A</v>
      </c>
      <c r="E64" s="41" t="e">
        <f>_xll.qlRateHelperRate($D64)</f>
        <v>#VALUE!</v>
      </c>
      <c r="F64" s="41" t="str">
        <f>IF(ISERROR(_xll.qlSwapRateHelperSpread($D64)),IF(ISERROR(_xll.qlFuturesRateHelperConvexityAdjustment($D64)),"--",_xll.qlFuturesRateHelperConvexityAdjustment($D64)),_xll.qlSwapRateHelperSpread($D64))</f>
        <v>--</v>
      </c>
      <c r="G64" s="40" t="e">
        <f>_xll.qlRateHelperEarliestDate($D64)</f>
        <v>#VALUE!</v>
      </c>
      <c r="H64" s="39" t="e">
        <f>_xll.qlRateHelperLatestDate($D64)</f>
        <v>#VALUE!</v>
      </c>
      <c r="I64" s="34" t="e">
        <v>#N/A</v>
      </c>
    </row>
    <row r="65" spans="4:9" x14ac:dyDescent="0.2">
      <c r="D65" s="42" t="e">
        <v>#N/A</v>
      </c>
      <c r="E65" s="41" t="e">
        <f>_xll.qlRateHelperRate($D65)</f>
        <v>#VALUE!</v>
      </c>
      <c r="F65" s="41" t="str">
        <f>IF(ISERROR(_xll.qlSwapRateHelperSpread($D65)),IF(ISERROR(_xll.qlFuturesRateHelperConvexityAdjustment($D65)),"--",_xll.qlFuturesRateHelperConvexityAdjustment($D65)),_xll.qlSwapRateHelperSpread($D65))</f>
        <v>--</v>
      </c>
      <c r="G65" s="40" t="e">
        <f>_xll.qlRateHelperEarliestDate($D65)</f>
        <v>#VALUE!</v>
      </c>
      <c r="H65" s="39" t="e">
        <f>_xll.qlRateHelperLatestDate($D65)</f>
        <v>#VALUE!</v>
      </c>
      <c r="I65" s="34" t="e">
        <v>#N/A</v>
      </c>
    </row>
    <row r="66" spans="4:9" x14ac:dyDescent="0.2">
      <c r="D66" s="42" t="e">
        <v>#N/A</v>
      </c>
      <c r="E66" s="41" t="e">
        <f>_xll.qlRateHelperRate($D66)</f>
        <v>#VALUE!</v>
      </c>
      <c r="F66" s="41" t="str">
        <f>IF(ISERROR(_xll.qlSwapRateHelperSpread($D66)),IF(ISERROR(_xll.qlFuturesRateHelperConvexityAdjustment($D66)),"--",_xll.qlFuturesRateHelperConvexityAdjustment($D66)),_xll.qlSwapRateHelperSpread($D66))</f>
        <v>--</v>
      </c>
      <c r="G66" s="40" t="e">
        <f>_xll.qlRateHelperEarliestDate($D66)</f>
        <v>#VALUE!</v>
      </c>
      <c r="H66" s="39" t="e">
        <f>_xll.qlRateHelperLatestDate($D66)</f>
        <v>#VALUE!</v>
      </c>
      <c r="I66" s="34" t="e">
        <v>#N/A</v>
      </c>
    </row>
    <row r="67" spans="4:9" x14ac:dyDescent="0.2">
      <c r="D67" s="42" t="e">
        <v>#N/A</v>
      </c>
      <c r="E67" s="41" t="e">
        <f>_xll.qlRateHelperRate($D67)</f>
        <v>#VALUE!</v>
      </c>
      <c r="F67" s="41" t="str">
        <f>IF(ISERROR(_xll.qlSwapRateHelperSpread($D67)),IF(ISERROR(_xll.qlFuturesRateHelperConvexityAdjustment($D67)),"--",_xll.qlFuturesRateHelperConvexityAdjustment($D67)),_xll.qlSwapRateHelperSpread($D67))</f>
        <v>--</v>
      </c>
      <c r="G67" s="40" t="e">
        <f>_xll.qlRateHelperEarliestDate($D67)</f>
        <v>#VALUE!</v>
      </c>
      <c r="H67" s="39" t="e">
        <f>_xll.qlRateHelperLatestDate($D67)</f>
        <v>#VALUE!</v>
      </c>
      <c r="I67" s="34" t="e">
        <v>#N/A</v>
      </c>
    </row>
    <row r="68" spans="4:9" x14ac:dyDescent="0.2">
      <c r="D68" s="42" t="e">
        <v>#N/A</v>
      </c>
      <c r="E68" s="41" t="e">
        <f>_xll.qlRateHelperRate($D68)</f>
        <v>#VALUE!</v>
      </c>
      <c r="F68" s="41" t="str">
        <f>IF(ISERROR(_xll.qlSwapRateHelperSpread($D68)),IF(ISERROR(_xll.qlFuturesRateHelperConvexityAdjustment($D68)),"--",_xll.qlFuturesRateHelperConvexityAdjustment($D68)),_xll.qlSwapRateHelperSpread($D68))</f>
        <v>--</v>
      </c>
      <c r="G68" s="40" t="e">
        <f>_xll.qlRateHelperEarliestDate($D68)</f>
        <v>#VALUE!</v>
      </c>
      <c r="H68" s="39" t="e">
        <f>_xll.qlRateHelperLatestDate($D68)</f>
        <v>#VALUE!</v>
      </c>
      <c r="I68" s="34" t="e">
        <v>#N/A</v>
      </c>
    </row>
    <row r="69" spans="4:9" x14ac:dyDescent="0.2">
      <c r="D69" s="42" t="e">
        <v>#N/A</v>
      </c>
      <c r="E69" s="41" t="e">
        <f>_xll.qlRateHelperRate($D69)</f>
        <v>#VALUE!</v>
      </c>
      <c r="F69" s="41" t="str">
        <f>IF(ISERROR(_xll.qlSwapRateHelperSpread($D69)),IF(ISERROR(_xll.qlFuturesRateHelperConvexityAdjustment($D69)),"--",_xll.qlFuturesRateHelperConvexityAdjustment($D69)),_xll.qlSwapRateHelperSpread($D69))</f>
        <v>--</v>
      </c>
      <c r="G69" s="40" t="e">
        <f>_xll.qlRateHelperEarliestDate($D69)</f>
        <v>#VALUE!</v>
      </c>
      <c r="H69" s="39" t="e">
        <f>_xll.qlRateHelperLatestDate($D69)</f>
        <v>#VALUE!</v>
      </c>
      <c r="I69" s="34" t="e">
        <v>#N/A</v>
      </c>
    </row>
    <row r="70" spans="4:9" x14ac:dyDescent="0.2">
      <c r="D70" s="42" t="e">
        <v>#N/A</v>
      </c>
      <c r="E70" s="41" t="e">
        <f>_xll.qlRateHelperRate($D70)</f>
        <v>#VALUE!</v>
      </c>
      <c r="F70" s="41" t="str">
        <f>IF(ISERROR(_xll.qlSwapRateHelperSpread($D70)),IF(ISERROR(_xll.qlFuturesRateHelperConvexityAdjustment($D70)),"--",_xll.qlFuturesRateHelperConvexityAdjustment($D70)),_xll.qlSwapRateHelperSpread($D70))</f>
        <v>--</v>
      </c>
      <c r="G70" s="40" t="e">
        <f>_xll.qlRateHelperEarliestDate($D70)</f>
        <v>#VALUE!</v>
      </c>
      <c r="H70" s="39" t="e">
        <f>_xll.qlRateHelperLatestDate($D70)</f>
        <v>#VALUE!</v>
      </c>
      <c r="I70" s="34" t="e">
        <v>#N/A</v>
      </c>
    </row>
    <row r="71" spans="4:9" x14ac:dyDescent="0.2">
      <c r="D71" s="42" t="e">
        <v>#N/A</v>
      </c>
      <c r="E71" s="41" t="e">
        <f>_xll.qlRateHelperRate($D71)</f>
        <v>#VALUE!</v>
      </c>
      <c r="F71" s="41" t="str">
        <f>IF(ISERROR(_xll.qlSwapRateHelperSpread($D71)),IF(ISERROR(_xll.qlFuturesRateHelperConvexityAdjustment($D71)),"--",_xll.qlFuturesRateHelperConvexityAdjustment($D71)),_xll.qlSwapRateHelperSpread($D71))</f>
        <v>--</v>
      </c>
      <c r="G71" s="40" t="e">
        <f>_xll.qlRateHelperEarliestDate($D71)</f>
        <v>#VALUE!</v>
      </c>
      <c r="H71" s="39" t="e">
        <f>_xll.qlRateHelperLatestDate($D71)</f>
        <v>#VALUE!</v>
      </c>
      <c r="I71" s="34" t="e">
        <v>#N/A</v>
      </c>
    </row>
    <row r="72" spans="4:9" x14ac:dyDescent="0.2">
      <c r="D72" s="42" t="e">
        <v>#N/A</v>
      </c>
      <c r="E72" s="41" t="e">
        <f>_xll.qlRateHelperRate($D72)</f>
        <v>#VALUE!</v>
      </c>
      <c r="F72" s="41" t="str">
        <f>IF(ISERROR(_xll.qlSwapRateHelperSpread($D72)),IF(ISERROR(_xll.qlFuturesRateHelperConvexityAdjustment($D72)),"--",_xll.qlFuturesRateHelperConvexityAdjustment($D72)),_xll.qlSwapRateHelperSpread($D72))</f>
        <v>--</v>
      </c>
      <c r="G72" s="40" t="e">
        <f>_xll.qlRateHelperEarliestDate($D72)</f>
        <v>#VALUE!</v>
      </c>
      <c r="H72" s="39" t="e">
        <f>_xll.qlRateHelperLatestDate($D72)</f>
        <v>#VALUE!</v>
      </c>
      <c r="I72" s="34" t="e">
        <v>#N/A</v>
      </c>
    </row>
    <row r="73" spans="4:9" x14ac:dyDescent="0.2">
      <c r="D73" s="42" t="e">
        <v>#N/A</v>
      </c>
      <c r="E73" s="41" t="e">
        <f>_xll.qlRateHelperRate($D73)</f>
        <v>#VALUE!</v>
      </c>
      <c r="F73" s="41" t="str">
        <f>IF(ISERROR(_xll.qlSwapRateHelperSpread($D73)),IF(ISERROR(_xll.qlFuturesRateHelperConvexityAdjustment($D73)),"--",_xll.qlFuturesRateHelperConvexityAdjustment($D73)),_xll.qlSwapRateHelperSpread($D73))</f>
        <v>--</v>
      </c>
      <c r="G73" s="40" t="e">
        <f>_xll.qlRateHelperEarliestDate($D73)</f>
        <v>#VALUE!</v>
      </c>
      <c r="H73" s="39" t="e">
        <f>_xll.qlRateHelperLatestDate($D73)</f>
        <v>#VALUE!</v>
      </c>
      <c r="I73" s="34" t="e">
        <v>#N/A</v>
      </c>
    </row>
    <row r="74" spans="4:9" x14ac:dyDescent="0.2">
      <c r="D74" s="42" t="e">
        <v>#N/A</v>
      </c>
      <c r="E74" s="41" t="e">
        <f>_xll.qlRateHelperRate($D74)</f>
        <v>#VALUE!</v>
      </c>
      <c r="F74" s="41" t="str">
        <f>IF(ISERROR(_xll.qlSwapRateHelperSpread($D74)),IF(ISERROR(_xll.qlFuturesRateHelperConvexityAdjustment($D74)),"--",_xll.qlFuturesRateHelperConvexityAdjustment($D74)),_xll.qlSwapRateHelperSpread($D74))</f>
        <v>--</v>
      </c>
      <c r="G74" s="40" t="e">
        <f>_xll.qlRateHelperEarliestDate($D74)</f>
        <v>#VALUE!</v>
      </c>
      <c r="H74" s="39" t="e">
        <f>_xll.qlRateHelperLatestDate($D74)</f>
        <v>#VALUE!</v>
      </c>
      <c r="I74" s="34" t="e">
        <v>#N/A</v>
      </c>
    </row>
    <row r="75" spans="4:9" x14ac:dyDescent="0.2">
      <c r="D75" s="42" t="e">
        <v>#N/A</v>
      </c>
      <c r="E75" s="41" t="e">
        <f>_xll.qlRateHelperRate($D75)</f>
        <v>#VALUE!</v>
      </c>
      <c r="F75" s="41" t="str">
        <f>IF(ISERROR(_xll.qlSwapRateHelperSpread($D75)),IF(ISERROR(_xll.qlFuturesRateHelperConvexityAdjustment($D75)),"--",_xll.qlFuturesRateHelperConvexityAdjustment($D75)),_xll.qlSwapRateHelperSpread($D75))</f>
        <v>--</v>
      </c>
      <c r="G75" s="40" t="e">
        <f>_xll.qlRateHelperEarliestDate($D75)</f>
        <v>#VALUE!</v>
      </c>
      <c r="H75" s="39" t="e">
        <f>_xll.qlRateHelperLatestDate($D75)</f>
        <v>#VALUE!</v>
      </c>
      <c r="I75" s="34" t="e">
        <v>#N/A</v>
      </c>
    </row>
    <row r="76" spans="4:9" x14ac:dyDescent="0.2">
      <c r="D76" s="42" t="e">
        <v>#N/A</v>
      </c>
      <c r="E76" s="41" t="e">
        <f>_xll.qlRateHelperRate($D76)</f>
        <v>#VALUE!</v>
      </c>
      <c r="F76" s="41" t="str">
        <f>IF(ISERROR(_xll.qlSwapRateHelperSpread($D76)),IF(ISERROR(_xll.qlFuturesRateHelperConvexityAdjustment($D76)),"--",_xll.qlFuturesRateHelperConvexityAdjustment($D76)),_xll.qlSwapRateHelperSpread($D76))</f>
        <v>--</v>
      </c>
      <c r="G76" s="40" t="e">
        <f>_xll.qlRateHelperEarliestDate($D76)</f>
        <v>#VALUE!</v>
      </c>
      <c r="H76" s="39" t="e">
        <f>_xll.qlRateHelperLatestDate($D76)</f>
        <v>#VALUE!</v>
      </c>
      <c r="I76" s="34" t="e">
        <v>#N/A</v>
      </c>
    </row>
    <row r="77" spans="4:9" x14ac:dyDescent="0.2">
      <c r="D77" s="42" t="e">
        <v>#N/A</v>
      </c>
      <c r="E77" s="41" t="e">
        <f>_xll.qlRateHelperRate($D77)</f>
        <v>#VALUE!</v>
      </c>
      <c r="F77" s="41" t="str">
        <f>IF(ISERROR(_xll.qlSwapRateHelperSpread($D77)),IF(ISERROR(_xll.qlFuturesRateHelperConvexityAdjustment($D77)),"--",_xll.qlFuturesRateHelperConvexityAdjustment($D77)),_xll.qlSwapRateHelperSpread($D77))</f>
        <v>--</v>
      </c>
      <c r="G77" s="40" t="e">
        <f>_xll.qlRateHelperEarliestDate($D77)</f>
        <v>#VALUE!</v>
      </c>
      <c r="H77" s="39" t="e">
        <f>_xll.qlRateHelperLatestDate($D77)</f>
        <v>#VALUE!</v>
      </c>
      <c r="I77" s="34" t="e">
        <v>#N/A</v>
      </c>
    </row>
    <row r="78" spans="4:9" x14ac:dyDescent="0.2">
      <c r="D78" s="42" t="e">
        <v>#N/A</v>
      </c>
      <c r="E78" s="41" t="e">
        <f>_xll.qlRateHelperRate($D78)</f>
        <v>#VALUE!</v>
      </c>
      <c r="F78" s="41" t="str">
        <f>IF(ISERROR(_xll.qlSwapRateHelperSpread($D78)),IF(ISERROR(_xll.qlFuturesRateHelperConvexityAdjustment($D78)),"--",_xll.qlFuturesRateHelperConvexityAdjustment($D78)),_xll.qlSwapRateHelperSpread($D78))</f>
        <v>--</v>
      </c>
      <c r="G78" s="40" t="e">
        <f>_xll.qlRateHelperEarliestDate($D78)</f>
        <v>#VALUE!</v>
      </c>
      <c r="H78" s="39" t="e">
        <f>_xll.qlRateHelperLatestDate($D78)</f>
        <v>#VALUE!</v>
      </c>
      <c r="I78" s="34" t="e">
        <v>#N/A</v>
      </c>
    </row>
    <row r="79" spans="4:9" x14ac:dyDescent="0.2">
      <c r="D79" s="42" t="e">
        <v>#N/A</v>
      </c>
      <c r="E79" s="41" t="e">
        <f>_xll.qlRateHelperRate($D79)</f>
        <v>#VALUE!</v>
      </c>
      <c r="F79" s="41" t="str">
        <f>IF(ISERROR(_xll.qlSwapRateHelperSpread($D79)),IF(ISERROR(_xll.qlFuturesRateHelperConvexityAdjustment($D79)),"--",_xll.qlFuturesRateHelperConvexityAdjustment($D79)),_xll.qlSwapRateHelperSpread($D79))</f>
        <v>--</v>
      </c>
      <c r="G79" s="40" t="e">
        <f>_xll.qlRateHelperEarliestDate($D79)</f>
        <v>#VALUE!</v>
      </c>
      <c r="H79" s="39" t="e">
        <f>_xll.qlRateHelperLatestDate($D79)</f>
        <v>#VALUE!</v>
      </c>
      <c r="I79" s="34" t="e">
        <v>#N/A</v>
      </c>
    </row>
    <row r="80" spans="4:9" x14ac:dyDescent="0.2">
      <c r="D80" s="42" t="e">
        <v>#N/A</v>
      </c>
      <c r="E80" s="41" t="e">
        <f>_xll.qlRateHelperRate($D80)</f>
        <v>#VALUE!</v>
      </c>
      <c r="F80" s="41" t="str">
        <f>IF(ISERROR(_xll.qlSwapRateHelperSpread($D80)),IF(ISERROR(_xll.qlFuturesRateHelperConvexityAdjustment($D80)),"--",_xll.qlFuturesRateHelperConvexityAdjustment($D80)),_xll.qlSwapRateHelperSpread($D80))</f>
        <v>--</v>
      </c>
      <c r="G80" s="40" t="e">
        <f>_xll.qlRateHelperEarliestDate($D80)</f>
        <v>#VALUE!</v>
      </c>
      <c r="H80" s="39" t="e">
        <f>_xll.qlRateHelperLatestDate($D80)</f>
        <v>#VALUE!</v>
      </c>
      <c r="I80" s="34" t="e">
        <v>#N/A</v>
      </c>
    </row>
    <row r="81" spans="4:9" x14ac:dyDescent="0.2">
      <c r="D81" s="42" t="e">
        <v>#N/A</v>
      </c>
      <c r="E81" s="41" t="e">
        <f>_xll.qlRateHelperRate($D81)</f>
        <v>#VALUE!</v>
      </c>
      <c r="F81" s="41" t="str">
        <f>IF(ISERROR(_xll.qlSwapRateHelperSpread($D81)),IF(ISERROR(_xll.qlFuturesRateHelperConvexityAdjustment($D81)),"--",_xll.qlFuturesRateHelperConvexityAdjustment($D81)),_xll.qlSwapRateHelperSpread($D81))</f>
        <v>--</v>
      </c>
      <c r="G81" s="40" t="e">
        <f>_xll.qlRateHelperEarliestDate($D81)</f>
        <v>#VALUE!</v>
      </c>
      <c r="H81" s="39" t="e">
        <f>_xll.qlRateHelperLatestDate($D81)</f>
        <v>#VALUE!</v>
      </c>
      <c r="I81" s="34" t="e">
        <v>#N/A</v>
      </c>
    </row>
    <row r="82" spans="4:9" x14ac:dyDescent="0.2">
      <c r="D82" s="42" t="e">
        <v>#N/A</v>
      </c>
      <c r="E82" s="41" t="e">
        <f>_xll.qlRateHelperRate($D82)</f>
        <v>#VALUE!</v>
      </c>
      <c r="F82" s="41" t="str">
        <f>IF(ISERROR(_xll.qlSwapRateHelperSpread($D82)),IF(ISERROR(_xll.qlFuturesRateHelperConvexityAdjustment($D82)),"--",_xll.qlFuturesRateHelperConvexityAdjustment($D82)),_xll.qlSwapRateHelperSpread($D82))</f>
        <v>--</v>
      </c>
      <c r="G82" s="40" t="e">
        <f>_xll.qlRateHelperEarliestDate($D82)</f>
        <v>#VALUE!</v>
      </c>
      <c r="H82" s="39" t="e">
        <f>_xll.qlRateHelperLatestDate($D82)</f>
        <v>#VALUE!</v>
      </c>
      <c r="I82" s="34" t="e">
        <v>#N/A</v>
      </c>
    </row>
    <row r="83" spans="4:9" x14ac:dyDescent="0.2">
      <c r="D83" s="42" t="e">
        <v>#N/A</v>
      </c>
      <c r="E83" s="41" t="e">
        <f>_xll.qlRateHelperRate($D83)</f>
        <v>#VALUE!</v>
      </c>
      <c r="F83" s="41" t="str">
        <f>IF(ISERROR(_xll.qlSwapRateHelperSpread($D83)),IF(ISERROR(_xll.qlFuturesRateHelperConvexityAdjustment($D83)),"--",_xll.qlFuturesRateHelperConvexityAdjustment($D83)),_xll.qlSwapRateHelperSpread($D83))</f>
        <v>--</v>
      </c>
      <c r="G83" s="40" t="e">
        <f>_xll.qlRateHelperEarliestDate($D83)</f>
        <v>#VALUE!</v>
      </c>
      <c r="H83" s="39" t="e">
        <f>_xll.qlRateHelperLatestDate($D83)</f>
        <v>#VALUE!</v>
      </c>
      <c r="I83" s="34" t="e">
        <v>#N/A</v>
      </c>
    </row>
    <row r="84" spans="4:9" x14ac:dyDescent="0.2">
      <c r="D84" s="42" t="e">
        <v>#N/A</v>
      </c>
      <c r="E84" s="41" t="e">
        <f>_xll.qlRateHelperRate($D84)</f>
        <v>#VALUE!</v>
      </c>
      <c r="F84" s="41" t="str">
        <f>IF(ISERROR(_xll.qlSwapRateHelperSpread($D84)),IF(ISERROR(_xll.qlFuturesRateHelperConvexityAdjustment($D84)),"--",_xll.qlFuturesRateHelperConvexityAdjustment($D84)),_xll.qlSwapRateHelperSpread($D84))</f>
        <v>--</v>
      </c>
      <c r="G84" s="40" t="e">
        <f>_xll.qlRateHelperEarliestDate($D84)</f>
        <v>#VALUE!</v>
      </c>
      <c r="H84" s="39" t="e">
        <f>_xll.qlRateHelperLatestDate($D84)</f>
        <v>#VALUE!</v>
      </c>
      <c r="I84" s="34" t="e">
        <v>#N/A</v>
      </c>
    </row>
    <row r="85" spans="4:9" x14ac:dyDescent="0.2">
      <c r="D85" s="42" t="e">
        <v>#N/A</v>
      </c>
      <c r="E85" s="41" t="e">
        <f>_xll.qlRateHelperRate($D85)</f>
        <v>#VALUE!</v>
      </c>
      <c r="F85" s="41" t="str">
        <f>IF(ISERROR(_xll.qlSwapRateHelperSpread($D85)),IF(ISERROR(_xll.qlFuturesRateHelperConvexityAdjustment($D85)),"--",_xll.qlFuturesRateHelperConvexityAdjustment($D85)),_xll.qlSwapRateHelperSpread($D85))</f>
        <v>--</v>
      </c>
      <c r="G85" s="40" t="e">
        <f>_xll.qlRateHelperEarliestDate($D85)</f>
        <v>#VALUE!</v>
      </c>
      <c r="H85" s="39" t="e">
        <f>_xll.qlRateHelperLatestDate($D85)</f>
        <v>#VALUE!</v>
      </c>
      <c r="I85" s="34" t="e">
        <v>#N/A</v>
      </c>
    </row>
    <row r="86" spans="4:9" x14ac:dyDescent="0.2">
      <c r="D86" s="42" t="e">
        <v>#N/A</v>
      </c>
      <c r="E86" s="41" t="e">
        <f>_xll.qlRateHelperRate($D86)</f>
        <v>#VALUE!</v>
      </c>
      <c r="F86" s="41" t="str">
        <f>IF(ISERROR(_xll.qlSwapRateHelperSpread($D86)),IF(ISERROR(_xll.qlFuturesRateHelperConvexityAdjustment($D86)),"--",_xll.qlFuturesRateHelperConvexityAdjustment($D86)),_xll.qlSwapRateHelperSpread($D86))</f>
        <v>--</v>
      </c>
      <c r="G86" s="40" t="e">
        <f>_xll.qlRateHelperEarliestDate($D86)</f>
        <v>#VALUE!</v>
      </c>
      <c r="H86" s="39" t="e">
        <f>_xll.qlRateHelperLatestDate($D86)</f>
        <v>#VALUE!</v>
      </c>
      <c r="I86" s="34" t="e">
        <v>#N/A</v>
      </c>
    </row>
    <row r="87" spans="4:9" x14ac:dyDescent="0.2">
      <c r="D87" s="42" t="e">
        <v>#N/A</v>
      </c>
      <c r="E87" s="41" t="e">
        <f>_xll.qlRateHelperRate($D87)</f>
        <v>#VALUE!</v>
      </c>
      <c r="F87" s="41" t="str">
        <f>IF(ISERROR(_xll.qlSwapRateHelperSpread($D87)),IF(ISERROR(_xll.qlFuturesRateHelperConvexityAdjustment($D87)),"--",_xll.qlFuturesRateHelperConvexityAdjustment($D87)),_xll.qlSwapRateHelperSpread($D87))</f>
        <v>--</v>
      </c>
      <c r="G87" s="40" t="e">
        <f>_xll.qlRateHelperEarliestDate($D87)</f>
        <v>#VALUE!</v>
      </c>
      <c r="H87" s="39" t="e">
        <f>_xll.qlRateHelperLatestDate($D87)</f>
        <v>#VALUE!</v>
      </c>
      <c r="I87" s="34" t="e">
        <v>#N/A</v>
      </c>
    </row>
    <row r="88" spans="4:9" x14ac:dyDescent="0.2">
      <c r="D88" s="42" t="e">
        <v>#N/A</v>
      </c>
      <c r="E88" s="41" t="e">
        <f>_xll.qlRateHelperRate($D88)</f>
        <v>#VALUE!</v>
      </c>
      <c r="F88" s="41" t="str">
        <f>IF(ISERROR(_xll.qlSwapRateHelperSpread($D88)),IF(ISERROR(_xll.qlFuturesRateHelperConvexityAdjustment($D88)),"--",_xll.qlFuturesRateHelperConvexityAdjustment($D88)),_xll.qlSwapRateHelperSpread($D88))</f>
        <v>--</v>
      </c>
      <c r="G88" s="40" t="e">
        <f>_xll.qlRateHelperEarliestDate($D88)</f>
        <v>#VALUE!</v>
      </c>
      <c r="H88" s="39" t="e">
        <f>_xll.qlRateHelperLatestDate($D88)</f>
        <v>#VALUE!</v>
      </c>
      <c r="I88" s="34" t="e">
        <v>#N/A</v>
      </c>
    </row>
    <row r="89" spans="4:9" x14ac:dyDescent="0.2">
      <c r="D89" s="42" t="e">
        <v>#N/A</v>
      </c>
      <c r="E89" s="41" t="e">
        <f>_xll.qlRateHelperRate($D89)</f>
        <v>#VALUE!</v>
      </c>
      <c r="F89" s="41" t="str">
        <f>IF(ISERROR(_xll.qlSwapRateHelperSpread($D89)),IF(ISERROR(_xll.qlFuturesRateHelperConvexityAdjustment($D89)),"--",_xll.qlFuturesRateHelperConvexityAdjustment($D89)),_xll.qlSwapRateHelperSpread($D89))</f>
        <v>--</v>
      </c>
      <c r="G89" s="40" t="e">
        <f>_xll.qlRateHelperEarliestDate($D89)</f>
        <v>#VALUE!</v>
      </c>
      <c r="H89" s="39" t="e">
        <f>_xll.qlRateHelperLatestDate($D89)</f>
        <v>#VALUE!</v>
      </c>
      <c r="I89" s="34" t="e">
        <v>#N/A</v>
      </c>
    </row>
    <row r="90" spans="4:9" x14ac:dyDescent="0.2">
      <c r="D90" s="42" t="e">
        <v>#N/A</v>
      </c>
      <c r="E90" s="41" t="e">
        <f>_xll.qlRateHelperRate($D90)</f>
        <v>#VALUE!</v>
      </c>
      <c r="F90" s="41" t="str">
        <f>IF(ISERROR(_xll.qlSwapRateHelperSpread($D90)),IF(ISERROR(_xll.qlFuturesRateHelperConvexityAdjustment($D90)),"--",_xll.qlFuturesRateHelperConvexityAdjustment($D90)),_xll.qlSwapRateHelperSpread($D90))</f>
        <v>--</v>
      </c>
      <c r="G90" s="40" t="e">
        <f>_xll.qlRateHelperEarliestDate($D90)</f>
        <v>#VALUE!</v>
      </c>
      <c r="H90" s="39" t="e">
        <f>_xll.qlRateHelperLatestDate($D90)</f>
        <v>#VALUE!</v>
      </c>
      <c r="I90" s="34" t="e">
        <v>#N/A</v>
      </c>
    </row>
    <row r="91" spans="4:9" x14ac:dyDescent="0.2">
      <c r="D91" s="42" t="e">
        <v>#N/A</v>
      </c>
      <c r="E91" s="41" t="e">
        <f>_xll.qlRateHelperRate($D91)</f>
        <v>#VALUE!</v>
      </c>
      <c r="F91" s="41" t="str">
        <f>IF(ISERROR(_xll.qlSwapRateHelperSpread($D91)),IF(ISERROR(_xll.qlFuturesRateHelperConvexityAdjustment($D91)),"--",_xll.qlFuturesRateHelperConvexityAdjustment($D91)),_xll.qlSwapRateHelperSpread($D91))</f>
        <v>--</v>
      </c>
      <c r="G91" s="40" t="e">
        <f>_xll.qlRateHelperEarliestDate($D91)</f>
        <v>#VALUE!</v>
      </c>
      <c r="H91" s="39" t="e">
        <f>_xll.qlRateHelperLatestDate($D91)</f>
        <v>#VALUE!</v>
      </c>
      <c r="I91" s="34" t="e">
        <v>#N/A</v>
      </c>
    </row>
    <row r="92" spans="4:9" x14ac:dyDescent="0.2">
      <c r="D92" s="42" t="e">
        <v>#N/A</v>
      </c>
      <c r="E92" s="41" t="e">
        <f>_xll.qlRateHelperRate($D92)</f>
        <v>#VALUE!</v>
      </c>
      <c r="F92" s="41" t="str">
        <f>IF(ISERROR(_xll.qlSwapRateHelperSpread($D92)),IF(ISERROR(_xll.qlFuturesRateHelperConvexityAdjustment($D92)),"--",_xll.qlFuturesRateHelperConvexityAdjustment($D92)),_xll.qlSwapRateHelperSpread($D92))</f>
        <v>--</v>
      </c>
      <c r="G92" s="40" t="e">
        <f>_xll.qlRateHelperEarliestDate($D92)</f>
        <v>#VALUE!</v>
      </c>
      <c r="H92" s="39" t="e">
        <f>_xll.qlRateHelperLatestDate($D92)</f>
        <v>#VALUE!</v>
      </c>
      <c r="I92" s="34" t="e">
        <v>#N/A</v>
      </c>
    </row>
    <row r="93" spans="4:9" x14ac:dyDescent="0.2">
      <c r="D93" s="42" t="e">
        <v>#N/A</v>
      </c>
      <c r="E93" s="41" t="e">
        <f>_xll.qlRateHelperRate($D93)</f>
        <v>#VALUE!</v>
      </c>
      <c r="F93" s="41" t="str">
        <f>IF(ISERROR(_xll.qlSwapRateHelperSpread($D93)),IF(ISERROR(_xll.qlFuturesRateHelperConvexityAdjustment($D93)),"--",_xll.qlFuturesRateHelperConvexityAdjustment($D93)),_xll.qlSwapRateHelperSpread($D93))</f>
        <v>--</v>
      </c>
      <c r="G93" s="40" t="e">
        <f>_xll.qlRateHelperEarliestDate($D93)</f>
        <v>#VALUE!</v>
      </c>
      <c r="H93" s="39" t="e">
        <f>_xll.qlRateHelperLatestDate($D93)</f>
        <v>#VALUE!</v>
      </c>
      <c r="I93" s="34" t="e">
        <v>#N/A</v>
      </c>
    </row>
    <row r="94" spans="4:9" x14ac:dyDescent="0.2">
      <c r="D94" s="42" t="e">
        <v>#N/A</v>
      </c>
      <c r="E94" s="41" t="e">
        <f>_xll.qlRateHelperRate($D94)</f>
        <v>#VALUE!</v>
      </c>
      <c r="F94" s="41" t="str">
        <f>IF(ISERROR(_xll.qlSwapRateHelperSpread($D94)),IF(ISERROR(_xll.qlFuturesRateHelperConvexityAdjustment($D94)),"--",_xll.qlFuturesRateHelperConvexityAdjustment($D94)),_xll.qlSwapRateHelperSpread($D94))</f>
        <v>--</v>
      </c>
      <c r="G94" s="40" t="e">
        <f>_xll.qlRateHelperEarliestDate($D94)</f>
        <v>#VALUE!</v>
      </c>
      <c r="H94" s="39" t="e">
        <f>_xll.qlRateHelperLatestDate($D94)</f>
        <v>#VALUE!</v>
      </c>
      <c r="I94" s="34" t="e">
        <v>#N/A</v>
      </c>
    </row>
    <row r="95" spans="4:9" x14ac:dyDescent="0.2">
      <c r="D95" s="42" t="e">
        <v>#N/A</v>
      </c>
      <c r="E95" s="41" t="e">
        <f>_xll.qlRateHelperRate($D95)</f>
        <v>#VALUE!</v>
      </c>
      <c r="F95" s="41" t="str">
        <f>IF(ISERROR(_xll.qlSwapRateHelperSpread($D95)),IF(ISERROR(_xll.qlFuturesRateHelperConvexityAdjustment($D95)),"--",_xll.qlFuturesRateHelperConvexityAdjustment($D95)),_xll.qlSwapRateHelperSpread($D95))</f>
        <v>--</v>
      </c>
      <c r="G95" s="40" t="e">
        <f>_xll.qlRateHelperEarliestDate($D95)</f>
        <v>#VALUE!</v>
      </c>
      <c r="H95" s="39" t="e">
        <f>_xll.qlRateHelperLatestDate($D95)</f>
        <v>#VALUE!</v>
      </c>
      <c r="I95" s="34" t="e">
        <v>#N/A</v>
      </c>
    </row>
    <row r="96" spans="4:9" x14ac:dyDescent="0.2">
      <c r="D96" s="42" t="e">
        <v>#N/A</v>
      </c>
      <c r="E96" s="41" t="e">
        <f>_xll.qlRateHelperRate($D96)</f>
        <v>#VALUE!</v>
      </c>
      <c r="F96" s="41" t="str">
        <f>IF(ISERROR(_xll.qlSwapRateHelperSpread($D96)),IF(ISERROR(_xll.qlFuturesRateHelperConvexityAdjustment($D96)),"--",_xll.qlFuturesRateHelperConvexityAdjustment($D96)),_xll.qlSwapRateHelperSpread($D96))</f>
        <v>--</v>
      </c>
      <c r="G96" s="40" t="e">
        <f>_xll.qlRateHelperEarliestDate($D96)</f>
        <v>#VALUE!</v>
      </c>
      <c r="H96" s="39" t="e">
        <f>_xll.qlRateHelperLatestDate($D96)</f>
        <v>#VALUE!</v>
      </c>
      <c r="I96" s="34" t="e">
        <v>#N/A</v>
      </c>
    </row>
    <row r="97" spans="4:9" x14ac:dyDescent="0.2">
      <c r="D97" s="42" t="e">
        <v>#N/A</v>
      </c>
      <c r="E97" s="41" t="e">
        <f>_xll.qlRateHelperRate($D97)</f>
        <v>#VALUE!</v>
      </c>
      <c r="F97" s="41" t="str">
        <f>IF(ISERROR(_xll.qlSwapRateHelperSpread($D97)),IF(ISERROR(_xll.qlFuturesRateHelperConvexityAdjustment($D97)),"--",_xll.qlFuturesRateHelperConvexityAdjustment($D97)),_xll.qlSwapRateHelperSpread($D97))</f>
        <v>--</v>
      </c>
      <c r="G97" s="40" t="e">
        <f>_xll.qlRateHelperEarliestDate($D97)</f>
        <v>#VALUE!</v>
      </c>
      <c r="H97" s="39" t="e">
        <f>_xll.qlRateHelperLatestDate($D97)</f>
        <v>#VALUE!</v>
      </c>
      <c r="I97" s="34" t="e">
        <v>#N/A</v>
      </c>
    </row>
    <row r="98" spans="4:9" x14ac:dyDescent="0.2">
      <c r="D98" s="42" t="e">
        <v>#N/A</v>
      </c>
      <c r="E98" s="41" t="e">
        <f>_xll.qlRateHelperRate($D98)</f>
        <v>#VALUE!</v>
      </c>
      <c r="F98" s="41" t="str">
        <f>IF(ISERROR(_xll.qlSwapRateHelperSpread($D98)),IF(ISERROR(_xll.qlFuturesRateHelperConvexityAdjustment($D98)),"--",_xll.qlFuturesRateHelperConvexityAdjustment($D98)),_xll.qlSwapRateHelperSpread($D98))</f>
        <v>--</v>
      </c>
      <c r="G98" s="40" t="e">
        <f>_xll.qlRateHelperEarliestDate($D98)</f>
        <v>#VALUE!</v>
      </c>
      <c r="H98" s="39" t="e">
        <f>_xll.qlRateHelperLatestDate($D98)</f>
        <v>#VALUE!</v>
      </c>
      <c r="I98" s="34" t="e">
        <v>#N/A</v>
      </c>
    </row>
    <row r="99" spans="4:9" x14ac:dyDescent="0.2">
      <c r="D99" s="42" t="e">
        <v>#N/A</v>
      </c>
      <c r="E99" s="41" t="e">
        <f>_xll.qlRateHelperRate($D99)</f>
        <v>#VALUE!</v>
      </c>
      <c r="F99" s="41" t="str">
        <f>IF(ISERROR(_xll.qlSwapRateHelperSpread($D99)),IF(ISERROR(_xll.qlFuturesRateHelperConvexityAdjustment($D99)),"--",_xll.qlFuturesRateHelperConvexityAdjustment($D99)),_xll.qlSwapRateHelperSpread($D99))</f>
        <v>--</v>
      </c>
      <c r="G99" s="40" t="e">
        <f>_xll.qlRateHelperEarliestDate($D99)</f>
        <v>#VALUE!</v>
      </c>
      <c r="H99" s="39" t="e">
        <f>_xll.qlRateHelperLatestDate($D99)</f>
        <v>#VALUE!</v>
      </c>
      <c r="I99" s="34" t="e">
        <v>#N/A</v>
      </c>
    </row>
    <row r="100" spans="4:9" x14ac:dyDescent="0.2">
      <c r="D100" s="42" t="e">
        <v>#N/A</v>
      </c>
      <c r="E100" s="41" t="e">
        <f>_xll.qlRateHelperRate($D100)</f>
        <v>#VALUE!</v>
      </c>
      <c r="F100" s="41" t="str">
        <f>IF(ISERROR(_xll.qlSwapRateHelperSpread($D100)),IF(ISERROR(_xll.qlFuturesRateHelperConvexityAdjustment($D100)),"--",_xll.qlFuturesRateHelperConvexityAdjustment($D100)),_xll.qlSwapRateHelperSpread($D100))</f>
        <v>--</v>
      </c>
      <c r="G100" s="40" t="e">
        <f>_xll.qlRateHelperEarliestDate($D100)</f>
        <v>#VALUE!</v>
      </c>
      <c r="H100" s="39" t="e">
        <f>_xll.qlRateHelperLatestDate($D100)</f>
        <v>#VALUE!</v>
      </c>
      <c r="I100" s="34" t="e">
        <v>#N/A</v>
      </c>
    </row>
    <row r="101" spans="4:9" x14ac:dyDescent="0.2">
      <c r="D101" s="42" t="e">
        <v>#N/A</v>
      </c>
      <c r="E101" s="41" t="e">
        <f>_xll.qlRateHelperRate($D101)</f>
        <v>#VALUE!</v>
      </c>
      <c r="F101" s="41" t="str">
        <f>IF(ISERROR(_xll.qlSwapRateHelperSpread($D101)),IF(ISERROR(_xll.qlFuturesRateHelperConvexityAdjustment($D101)),"--",_xll.qlFuturesRateHelperConvexityAdjustment($D101)),_xll.qlSwapRateHelperSpread($D101))</f>
        <v>--</v>
      </c>
      <c r="G101" s="40" t="e">
        <f>_xll.qlRateHelperEarliestDate($D101)</f>
        <v>#VALUE!</v>
      </c>
      <c r="H101" s="39" t="e">
        <f>_xll.qlRateHelperLatestDate($D101)</f>
        <v>#VALUE!</v>
      </c>
      <c r="I101" s="34" t="e">
        <v>#N/A</v>
      </c>
    </row>
    <row r="102" spans="4:9" x14ac:dyDescent="0.2">
      <c r="D102" s="42" t="e">
        <v>#N/A</v>
      </c>
      <c r="E102" s="41" t="e">
        <f>_xll.qlRateHelperRate($D102)</f>
        <v>#VALUE!</v>
      </c>
      <c r="F102" s="41" t="str">
        <f>IF(ISERROR(_xll.qlSwapRateHelperSpread($D102)),IF(ISERROR(_xll.qlFuturesRateHelperConvexityAdjustment($D102)),"--",_xll.qlFuturesRateHelperConvexityAdjustment($D102)),_xll.qlSwapRateHelperSpread($D102))</f>
        <v>--</v>
      </c>
      <c r="G102" s="40" t="e">
        <f>_xll.qlRateHelperEarliestDate($D102)</f>
        <v>#VALUE!</v>
      </c>
      <c r="H102" s="39" t="e">
        <f>_xll.qlRateHelperLatestDate($D102)</f>
        <v>#VALUE!</v>
      </c>
      <c r="I102" s="34" t="e">
        <v>#N/A</v>
      </c>
    </row>
    <row r="103" spans="4:9" x14ac:dyDescent="0.2">
      <c r="D103" s="42" t="e">
        <v>#N/A</v>
      </c>
      <c r="E103" s="41" t="e">
        <f>_xll.qlRateHelperRate($D103)</f>
        <v>#VALUE!</v>
      </c>
      <c r="F103" s="41" t="str">
        <f>IF(ISERROR(_xll.qlSwapRateHelperSpread($D103)),IF(ISERROR(_xll.qlFuturesRateHelperConvexityAdjustment($D103)),"--",_xll.qlFuturesRateHelperConvexityAdjustment($D103)),_xll.qlSwapRateHelperSpread($D103))</f>
        <v>--</v>
      </c>
      <c r="G103" s="40" t="e">
        <f>_xll.qlRateHelperEarliestDate($D103)</f>
        <v>#VALUE!</v>
      </c>
      <c r="H103" s="39" t="e">
        <f>_xll.qlRateHelperLatestDate($D103)</f>
        <v>#VALUE!</v>
      </c>
      <c r="I103" s="34" t="e">
        <v>#N/A</v>
      </c>
    </row>
    <row r="104" spans="4:9" x14ac:dyDescent="0.2">
      <c r="D104" s="42" t="e">
        <v>#N/A</v>
      </c>
      <c r="E104" s="41" t="e">
        <f>_xll.qlRateHelperRate($D104)</f>
        <v>#VALUE!</v>
      </c>
      <c r="F104" s="41" t="str">
        <f>IF(ISERROR(_xll.qlSwapRateHelperSpread($D104)),IF(ISERROR(_xll.qlFuturesRateHelperConvexityAdjustment($D104)),"--",_xll.qlFuturesRateHelperConvexityAdjustment($D104)),_xll.qlSwapRateHelperSpread($D104))</f>
        <v>--</v>
      </c>
      <c r="G104" s="40" t="e">
        <f>_xll.qlRateHelperEarliestDate($D104)</f>
        <v>#VALUE!</v>
      </c>
      <c r="H104" s="39" t="e">
        <f>_xll.qlRateHelperLatestDate($D104)</f>
        <v>#VALUE!</v>
      </c>
      <c r="I104" s="34" t="e">
        <v>#N/A</v>
      </c>
    </row>
    <row r="105" spans="4:9" x14ac:dyDescent="0.2">
      <c r="D105" s="42" t="e">
        <v>#N/A</v>
      </c>
      <c r="E105" s="41" t="e">
        <f>_xll.qlRateHelperRate($D105)</f>
        <v>#VALUE!</v>
      </c>
      <c r="F105" s="41" t="str">
        <f>IF(ISERROR(_xll.qlSwapRateHelperSpread($D105)),IF(ISERROR(_xll.qlFuturesRateHelperConvexityAdjustment($D105)),"--",_xll.qlFuturesRateHelperConvexityAdjustment($D105)),_xll.qlSwapRateHelperSpread($D105))</f>
        <v>--</v>
      </c>
      <c r="G105" s="40" t="e">
        <f>_xll.qlRateHelperEarliestDate($D105)</f>
        <v>#VALUE!</v>
      </c>
      <c r="H105" s="39" t="e">
        <f>_xll.qlRateHelperLatestDate($D105)</f>
        <v>#VALUE!</v>
      </c>
      <c r="I105" s="34" t="e">
        <v>#N/A</v>
      </c>
    </row>
    <row r="106" spans="4:9" x14ac:dyDescent="0.2">
      <c r="D106" s="42" t="e">
        <v>#N/A</v>
      </c>
      <c r="E106" s="41" t="e">
        <f>_xll.qlRateHelperRate($D106)</f>
        <v>#VALUE!</v>
      </c>
      <c r="F106" s="41" t="str">
        <f>IF(ISERROR(_xll.qlSwapRateHelperSpread($D106)),IF(ISERROR(_xll.qlFuturesRateHelperConvexityAdjustment($D106)),"--",_xll.qlFuturesRateHelperConvexityAdjustment($D106)),_xll.qlSwapRateHelperSpread($D106))</f>
        <v>--</v>
      </c>
      <c r="G106" s="40" t="e">
        <f>_xll.qlRateHelperEarliestDate($D106)</f>
        <v>#VALUE!</v>
      </c>
      <c r="H106" s="39" t="e">
        <f>_xll.qlRateHelperLatestDate($D106)</f>
        <v>#VALUE!</v>
      </c>
      <c r="I106" s="34" t="e">
        <v>#N/A</v>
      </c>
    </row>
    <row r="107" spans="4:9" x14ac:dyDescent="0.2">
      <c r="D107" s="42" t="e">
        <v>#N/A</v>
      </c>
      <c r="E107" s="41" t="e">
        <f>_xll.qlRateHelperRate($D107)</f>
        <v>#VALUE!</v>
      </c>
      <c r="F107" s="41" t="str">
        <f>IF(ISERROR(_xll.qlSwapRateHelperSpread($D107)),IF(ISERROR(_xll.qlFuturesRateHelperConvexityAdjustment($D107)),"--",_xll.qlFuturesRateHelperConvexityAdjustment($D107)),_xll.qlSwapRateHelperSpread($D107))</f>
        <v>--</v>
      </c>
      <c r="G107" s="40" t="e">
        <f>_xll.qlRateHelperEarliestDate($D107)</f>
        <v>#VALUE!</v>
      </c>
      <c r="H107" s="39" t="e">
        <f>_xll.qlRateHelperLatestDate($D107)</f>
        <v>#VALUE!</v>
      </c>
      <c r="I107" s="34" t="e">
        <v>#N/A</v>
      </c>
    </row>
    <row r="108" spans="4:9" x14ac:dyDescent="0.2">
      <c r="D108" s="42" t="e">
        <v>#N/A</v>
      </c>
      <c r="E108" s="41" t="e">
        <f>_xll.qlRateHelperRate($D108)</f>
        <v>#VALUE!</v>
      </c>
      <c r="F108" s="41" t="str">
        <f>IF(ISERROR(_xll.qlSwapRateHelperSpread($D108)),IF(ISERROR(_xll.qlFuturesRateHelperConvexityAdjustment($D108)),"--",_xll.qlFuturesRateHelperConvexityAdjustment($D108)),_xll.qlSwapRateHelperSpread($D108))</f>
        <v>--</v>
      </c>
      <c r="G108" s="40" t="e">
        <f>_xll.qlRateHelperEarliestDate($D108)</f>
        <v>#VALUE!</v>
      </c>
      <c r="H108" s="39" t="e">
        <f>_xll.qlRateHelperLatestDate($D108)</f>
        <v>#VALUE!</v>
      </c>
      <c r="I108" s="34" t="e">
        <v>#N/A</v>
      </c>
    </row>
    <row r="109" spans="4:9" x14ac:dyDescent="0.2">
      <c r="D109" s="42" t="e">
        <v>#N/A</v>
      </c>
      <c r="E109" s="41" t="e">
        <f>_xll.qlRateHelperRate($D109)</f>
        <v>#VALUE!</v>
      </c>
      <c r="F109" s="41" t="str">
        <f>IF(ISERROR(_xll.qlSwapRateHelperSpread($D109)),IF(ISERROR(_xll.qlFuturesRateHelperConvexityAdjustment($D109)),"--",_xll.qlFuturesRateHelperConvexityAdjustment($D109)),_xll.qlSwapRateHelperSpread($D109))</f>
        <v>--</v>
      </c>
      <c r="G109" s="40" t="e">
        <f>_xll.qlRateHelperEarliestDate($D109)</f>
        <v>#VALUE!</v>
      </c>
      <c r="H109" s="39" t="e">
        <f>_xll.qlRateHelperLatestDate($D109)</f>
        <v>#VALUE!</v>
      </c>
      <c r="I109" s="34" t="e">
        <v>#N/A</v>
      </c>
    </row>
    <row r="110" spans="4:9" x14ac:dyDescent="0.2">
      <c r="D110" s="42" t="e">
        <v>#N/A</v>
      </c>
      <c r="E110" s="41" t="e">
        <f>_xll.qlRateHelperRate($D110)</f>
        <v>#VALUE!</v>
      </c>
      <c r="F110" s="41" t="str">
        <f>IF(ISERROR(_xll.qlSwapRateHelperSpread($D110)),IF(ISERROR(_xll.qlFuturesRateHelperConvexityAdjustment($D110)),"--",_xll.qlFuturesRateHelperConvexityAdjustment($D110)),_xll.qlSwapRateHelperSpread($D110))</f>
        <v>--</v>
      </c>
      <c r="G110" s="40" t="e">
        <f>_xll.qlRateHelperEarliestDate($D110)</f>
        <v>#VALUE!</v>
      </c>
      <c r="H110" s="39" t="e">
        <f>_xll.qlRateHelperLatestDate($D110)</f>
        <v>#VALUE!</v>
      </c>
      <c r="I110" s="34" t="e">
        <v>#N/A</v>
      </c>
    </row>
    <row r="111" spans="4:9" x14ac:dyDescent="0.2">
      <c r="D111" s="42" t="e">
        <v>#N/A</v>
      </c>
      <c r="E111" s="41" t="e">
        <f>_xll.qlRateHelperRate($D111)</f>
        <v>#VALUE!</v>
      </c>
      <c r="F111" s="41" t="str">
        <f>IF(ISERROR(_xll.qlSwapRateHelperSpread($D111)),IF(ISERROR(_xll.qlFuturesRateHelperConvexityAdjustment($D111)),"--",_xll.qlFuturesRateHelperConvexityAdjustment($D111)),_xll.qlSwapRateHelperSpread($D111))</f>
        <v>--</v>
      </c>
      <c r="G111" s="40" t="e">
        <f>_xll.qlRateHelperEarliestDate($D111)</f>
        <v>#VALUE!</v>
      </c>
      <c r="H111" s="39" t="e">
        <f>_xll.qlRateHelperLatestDate($D111)</f>
        <v>#VALUE!</v>
      </c>
      <c r="I111" s="34" t="e">
        <v>#N/A</v>
      </c>
    </row>
    <row r="112" spans="4:9" x14ac:dyDescent="0.2">
      <c r="D112" s="42" t="e">
        <v>#N/A</v>
      </c>
      <c r="E112" s="41" t="e">
        <f>_xll.qlRateHelperRate($D112)</f>
        <v>#VALUE!</v>
      </c>
      <c r="F112" s="41" t="str">
        <f>IF(ISERROR(_xll.qlSwapRateHelperSpread($D112)),IF(ISERROR(_xll.qlFuturesRateHelperConvexityAdjustment($D112)),"--",_xll.qlFuturesRateHelperConvexityAdjustment($D112)),_xll.qlSwapRateHelperSpread($D112))</f>
        <v>--</v>
      </c>
      <c r="G112" s="40" t="e">
        <f>_xll.qlRateHelperEarliestDate($D112)</f>
        <v>#VALUE!</v>
      </c>
      <c r="H112" s="39" t="e">
        <f>_xll.qlRateHelperLatestDate($D112)</f>
        <v>#VALUE!</v>
      </c>
      <c r="I112" s="34" t="e">
        <v>#N/A</v>
      </c>
    </row>
    <row r="113" spans="4:9" x14ac:dyDescent="0.2">
      <c r="D113" s="42" t="e">
        <v>#N/A</v>
      </c>
      <c r="E113" s="41" t="e">
        <f>_xll.qlRateHelperRate($D113)</f>
        <v>#VALUE!</v>
      </c>
      <c r="F113" s="41" t="str">
        <f>IF(ISERROR(_xll.qlSwapRateHelperSpread($D113)),IF(ISERROR(_xll.qlFuturesRateHelperConvexityAdjustment($D113)),"--",_xll.qlFuturesRateHelperConvexityAdjustment($D113)),_xll.qlSwapRateHelperSpread($D113))</f>
        <v>--</v>
      </c>
      <c r="G113" s="40" t="e">
        <f>_xll.qlRateHelperEarliestDate($D113)</f>
        <v>#VALUE!</v>
      </c>
      <c r="H113" s="39" t="e">
        <f>_xll.qlRateHelperLatestDate($D113)</f>
        <v>#VALUE!</v>
      </c>
      <c r="I113" s="34" t="e">
        <v>#N/A</v>
      </c>
    </row>
    <row r="114" spans="4:9" x14ac:dyDescent="0.2">
      <c r="D114" s="42" t="e">
        <v>#N/A</v>
      </c>
      <c r="E114" s="41" t="e">
        <f>_xll.qlRateHelperRate($D114)</f>
        <v>#VALUE!</v>
      </c>
      <c r="F114" s="41" t="str">
        <f>IF(ISERROR(_xll.qlSwapRateHelperSpread($D114)),IF(ISERROR(_xll.qlFuturesRateHelperConvexityAdjustment($D114)),"--",_xll.qlFuturesRateHelperConvexityAdjustment($D114)),_xll.qlSwapRateHelperSpread($D114))</f>
        <v>--</v>
      </c>
      <c r="G114" s="40" t="e">
        <f>_xll.qlRateHelperEarliestDate($D114)</f>
        <v>#VALUE!</v>
      </c>
      <c r="H114" s="39" t="e">
        <f>_xll.qlRateHelperLatestDate($D114)</f>
        <v>#VALUE!</v>
      </c>
      <c r="I114" s="34" t="e">
        <v>#N/A</v>
      </c>
    </row>
    <row r="115" spans="4:9" x14ac:dyDescent="0.2">
      <c r="D115" s="42" t="e">
        <v>#N/A</v>
      </c>
      <c r="E115" s="41" t="e">
        <f>_xll.qlRateHelperRate($D115)</f>
        <v>#VALUE!</v>
      </c>
      <c r="F115" s="41" t="str">
        <f>IF(ISERROR(_xll.qlSwapRateHelperSpread($D115)),IF(ISERROR(_xll.qlFuturesRateHelperConvexityAdjustment($D115)),"--",_xll.qlFuturesRateHelperConvexityAdjustment($D115)),_xll.qlSwapRateHelperSpread($D115))</f>
        <v>--</v>
      </c>
      <c r="G115" s="40" t="e">
        <f>_xll.qlRateHelperEarliestDate($D115)</f>
        <v>#VALUE!</v>
      </c>
      <c r="H115" s="39" t="e">
        <f>_xll.qlRateHelperLatestDate($D115)</f>
        <v>#VALUE!</v>
      </c>
      <c r="I115" s="34" t="e">
        <v>#N/A</v>
      </c>
    </row>
    <row r="116" spans="4:9" x14ac:dyDescent="0.2">
      <c r="D116" s="42" t="e">
        <v>#N/A</v>
      </c>
      <c r="E116" s="41" t="e">
        <f>_xll.qlRateHelperRate($D116)</f>
        <v>#VALUE!</v>
      </c>
      <c r="F116" s="41" t="str">
        <f>IF(ISERROR(_xll.qlSwapRateHelperSpread($D116)),IF(ISERROR(_xll.qlFuturesRateHelperConvexityAdjustment($D116)),"--",_xll.qlFuturesRateHelperConvexityAdjustment($D116)),_xll.qlSwapRateHelperSpread($D116))</f>
        <v>--</v>
      </c>
      <c r="G116" s="40" t="e">
        <f>_xll.qlRateHelperEarliestDate($D116)</f>
        <v>#VALUE!</v>
      </c>
      <c r="H116" s="39" t="e">
        <f>_xll.qlRateHelperLatestDate($D116)</f>
        <v>#VALUE!</v>
      </c>
      <c r="I116" s="34" t="e">
        <v>#N/A</v>
      </c>
    </row>
    <row r="117" spans="4:9" x14ac:dyDescent="0.2">
      <c r="D117" s="42" t="e">
        <v>#N/A</v>
      </c>
      <c r="E117" s="41" t="e">
        <f>_xll.qlRateHelperRate($D117)</f>
        <v>#VALUE!</v>
      </c>
      <c r="F117" s="41" t="str">
        <f>IF(ISERROR(_xll.qlSwapRateHelperSpread($D117)),IF(ISERROR(_xll.qlFuturesRateHelperConvexityAdjustment($D117)),"--",_xll.qlFuturesRateHelperConvexityAdjustment($D117)),_xll.qlSwapRateHelperSpread($D117))</f>
        <v>--</v>
      </c>
      <c r="G117" s="40" t="e">
        <f>_xll.qlRateHelperEarliestDate($D117)</f>
        <v>#VALUE!</v>
      </c>
      <c r="H117" s="39" t="e">
        <f>_xll.qlRateHelperLatestDate($D117)</f>
        <v>#VALUE!</v>
      </c>
      <c r="I117" s="34" t="e">
        <v>#N/A</v>
      </c>
    </row>
    <row r="118" spans="4:9" x14ac:dyDescent="0.2">
      <c r="D118" s="42" t="e">
        <v>#N/A</v>
      </c>
      <c r="E118" s="41" t="e">
        <f>_xll.qlRateHelperRate($D118)</f>
        <v>#VALUE!</v>
      </c>
      <c r="F118" s="41" t="str">
        <f>IF(ISERROR(_xll.qlSwapRateHelperSpread($D118)),IF(ISERROR(_xll.qlFuturesRateHelperConvexityAdjustment($D118)),"--",_xll.qlFuturesRateHelperConvexityAdjustment($D118)),_xll.qlSwapRateHelperSpread($D118))</f>
        <v>--</v>
      </c>
      <c r="G118" s="40" t="e">
        <f>_xll.qlRateHelperEarliestDate($D118)</f>
        <v>#VALUE!</v>
      </c>
      <c r="H118" s="39" t="e">
        <f>_xll.qlRateHelperLatestDate($D118)</f>
        <v>#VALUE!</v>
      </c>
      <c r="I118" s="34" t="e">
        <v>#N/A</v>
      </c>
    </row>
    <row r="119" spans="4:9" x14ac:dyDescent="0.2">
      <c r="D119" s="42" t="e">
        <v>#N/A</v>
      </c>
      <c r="E119" s="41" t="e">
        <f>_xll.qlRateHelperRate($D119)</f>
        <v>#VALUE!</v>
      </c>
      <c r="F119" s="41" t="str">
        <f>IF(ISERROR(_xll.qlSwapRateHelperSpread($D119)),IF(ISERROR(_xll.qlFuturesRateHelperConvexityAdjustment($D119)),"--",_xll.qlFuturesRateHelperConvexityAdjustment($D119)),_xll.qlSwapRateHelperSpread($D119))</f>
        <v>--</v>
      </c>
      <c r="G119" s="40" t="e">
        <f>_xll.qlRateHelperEarliestDate($D119)</f>
        <v>#VALUE!</v>
      </c>
      <c r="H119" s="39" t="e">
        <f>_xll.qlRateHelperLatestDate($D119)</f>
        <v>#VALUE!</v>
      </c>
      <c r="I119" s="34" t="e">
        <v>#N/A</v>
      </c>
    </row>
    <row r="120" spans="4:9" x14ac:dyDescent="0.2">
      <c r="D120" s="42" t="e">
        <v>#N/A</v>
      </c>
      <c r="E120" s="41" t="e">
        <f>_xll.qlRateHelperRate($D120)</f>
        <v>#VALUE!</v>
      </c>
      <c r="F120" s="41" t="str">
        <f>IF(ISERROR(_xll.qlSwapRateHelperSpread($D120)),IF(ISERROR(_xll.qlFuturesRateHelperConvexityAdjustment($D120)),"--",_xll.qlFuturesRateHelperConvexityAdjustment($D120)),_xll.qlSwapRateHelperSpread($D120))</f>
        <v>--</v>
      </c>
      <c r="G120" s="40" t="e">
        <f>_xll.qlRateHelperEarliestDate($D120)</f>
        <v>#VALUE!</v>
      </c>
      <c r="H120" s="39" t="e">
        <f>_xll.qlRateHelperLatestDate($D120)</f>
        <v>#VALUE!</v>
      </c>
      <c r="I120" s="34" t="e">
        <v>#N/A</v>
      </c>
    </row>
    <row r="121" spans="4:9" x14ac:dyDescent="0.2">
      <c r="D121" s="42" t="e">
        <v>#N/A</v>
      </c>
      <c r="E121" s="41" t="e">
        <f>_xll.qlRateHelperRate($D121)</f>
        <v>#VALUE!</v>
      </c>
      <c r="F121" s="41" t="str">
        <f>IF(ISERROR(_xll.qlSwapRateHelperSpread($D121)),IF(ISERROR(_xll.qlFuturesRateHelperConvexityAdjustment($D121)),"--",_xll.qlFuturesRateHelperConvexityAdjustment($D121)),_xll.qlSwapRateHelperSpread($D121))</f>
        <v>--</v>
      </c>
      <c r="G121" s="40" t="e">
        <f>_xll.qlRateHelperEarliestDate($D121)</f>
        <v>#VALUE!</v>
      </c>
      <c r="H121" s="39" t="e">
        <f>_xll.qlRateHelperLatestDate($D121)</f>
        <v>#VALUE!</v>
      </c>
      <c r="I121" s="34" t="e">
        <v>#N/A</v>
      </c>
    </row>
    <row r="122" spans="4:9" x14ac:dyDescent="0.2">
      <c r="D122" s="42" t="e">
        <v>#N/A</v>
      </c>
      <c r="E122" s="41" t="e">
        <f>_xll.qlRateHelperRate($D122)</f>
        <v>#VALUE!</v>
      </c>
      <c r="F122" s="41" t="str">
        <f>IF(ISERROR(_xll.qlSwapRateHelperSpread($D122)),IF(ISERROR(_xll.qlFuturesRateHelperConvexityAdjustment($D122)),"--",_xll.qlFuturesRateHelperConvexityAdjustment($D122)),_xll.qlSwapRateHelperSpread($D122))</f>
        <v>--</v>
      </c>
      <c r="G122" s="40" t="e">
        <f>_xll.qlRateHelperEarliestDate($D122)</f>
        <v>#VALUE!</v>
      </c>
      <c r="H122" s="39" t="e">
        <f>_xll.qlRateHelperLatestDate($D122)</f>
        <v>#VALUE!</v>
      </c>
      <c r="I122" s="34" t="e">
        <v>#N/A</v>
      </c>
    </row>
    <row r="123" spans="4:9" x14ac:dyDescent="0.2">
      <c r="D123" s="42" t="e">
        <v>#N/A</v>
      </c>
      <c r="E123" s="41" t="e">
        <f>_xll.qlRateHelperRate($D123)</f>
        <v>#VALUE!</v>
      </c>
      <c r="F123" s="41" t="str">
        <f>IF(ISERROR(_xll.qlSwapRateHelperSpread($D123)),IF(ISERROR(_xll.qlFuturesRateHelperConvexityAdjustment($D123)),"--",_xll.qlFuturesRateHelperConvexityAdjustment($D123)),_xll.qlSwapRateHelperSpread($D123))</f>
        <v>--</v>
      </c>
      <c r="G123" s="40" t="e">
        <f>_xll.qlRateHelperEarliestDate($D123)</f>
        <v>#VALUE!</v>
      </c>
      <c r="H123" s="39" t="e">
        <f>_xll.qlRateHelperLatestDate($D123)</f>
        <v>#VALUE!</v>
      </c>
      <c r="I123" s="34" t="e">
        <v>#N/A</v>
      </c>
    </row>
    <row r="124" spans="4:9" x14ac:dyDescent="0.2">
      <c r="D124" s="42" t="e">
        <v>#N/A</v>
      </c>
      <c r="E124" s="41" t="e">
        <f>_xll.qlRateHelperRate($D124)</f>
        <v>#VALUE!</v>
      </c>
      <c r="F124" s="41" t="str">
        <f>IF(ISERROR(_xll.qlSwapRateHelperSpread($D124)),IF(ISERROR(_xll.qlFuturesRateHelperConvexityAdjustment($D124)),"--",_xll.qlFuturesRateHelperConvexityAdjustment($D124)),_xll.qlSwapRateHelperSpread($D124))</f>
        <v>--</v>
      </c>
      <c r="G124" s="40" t="e">
        <f>_xll.qlRateHelperEarliestDate($D124)</f>
        <v>#VALUE!</v>
      </c>
      <c r="H124" s="39" t="e">
        <f>_xll.qlRateHelperLatestDate($D124)</f>
        <v>#VALUE!</v>
      </c>
      <c r="I124" s="34" t="e">
        <v>#N/A</v>
      </c>
    </row>
    <row r="125" spans="4:9" x14ac:dyDescent="0.2">
      <c r="D125" s="42" t="e">
        <v>#N/A</v>
      </c>
      <c r="E125" s="41" t="e">
        <f>_xll.qlRateHelperRate($D125)</f>
        <v>#VALUE!</v>
      </c>
      <c r="F125" s="41" t="str">
        <f>IF(ISERROR(_xll.qlSwapRateHelperSpread($D125)),IF(ISERROR(_xll.qlFuturesRateHelperConvexityAdjustment($D125)),"--",_xll.qlFuturesRateHelperConvexityAdjustment($D125)),_xll.qlSwapRateHelperSpread($D125))</f>
        <v>--</v>
      </c>
      <c r="G125" s="40" t="e">
        <f>_xll.qlRateHelperEarliestDate($D125)</f>
        <v>#VALUE!</v>
      </c>
      <c r="H125" s="39" t="e">
        <f>_xll.qlRateHelperLatestDate($D125)</f>
        <v>#VALUE!</v>
      </c>
      <c r="I125" s="34" t="e">
        <v>#N/A</v>
      </c>
    </row>
    <row r="126" spans="4:9" ht="12" thickBot="1" x14ac:dyDescent="0.25">
      <c r="D126" s="38" t="e">
        <v>#N/A</v>
      </c>
      <c r="E126" s="37" t="e">
        <f>_xll.qlRateHelperRate($D126)</f>
        <v>#VALUE!</v>
      </c>
      <c r="F126" s="37" t="str">
        <f>IF(ISERROR(_xll.qlSwapRateHelperSpread($D126)),IF(ISERROR(_xll.qlFuturesRateHelperConvexityAdjustment($D126)),"--",_xll.qlFuturesRateHelperConvexityAdjustment($D126)),_xll.qlSwapRateHelperSpread($D126))</f>
        <v>--</v>
      </c>
      <c r="G126" s="36" t="e">
        <f>_xll.qlRateHelperEarliestDate($D126)</f>
        <v>#VALUE!</v>
      </c>
      <c r="H126" s="35" t="e">
        <f>_xll.qlRateHelperLatestDate($D126)</f>
        <v>#VALUE!</v>
      </c>
      <c r="I126" s="34" t="e">
        <v>#N/A</v>
      </c>
    </row>
  </sheetData>
  <mergeCells count="1">
    <mergeCell ref="A1:B1"/>
  </mergeCells>
  <dataValidations count="1">
    <dataValidation type="list" allowBlank="1" showInputMessage="1" showErrorMessage="1" sqref="B5 IX5 ST5 ACP5 AML5 AWH5 BGD5 BPZ5 BZV5 CJR5 CTN5 DDJ5 DNF5 DXB5 EGX5 EQT5 FAP5 FKL5 FUH5 GED5 GNZ5 GXV5 HHR5 HRN5 IBJ5 ILF5 IVB5 JEX5 JOT5 JYP5 KIL5 KSH5 LCD5 LLZ5 LVV5 MFR5 MPN5 MZJ5 NJF5 NTB5 OCX5 OMT5 OWP5 PGL5 PQH5 QAD5 QJZ5 QTV5 RDR5 RNN5 RXJ5 SHF5 SRB5 TAX5 TKT5 TUP5 UEL5 UOH5 UYD5 VHZ5 VRV5 WBR5 WLN5 WVJ5 B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B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B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B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B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B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B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B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B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B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B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B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B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B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B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WVJ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8"/>
  <sheetViews>
    <sheetView workbookViewId="0">
      <selection activeCell="E2" sqref="E2"/>
    </sheetView>
  </sheetViews>
  <sheetFormatPr defaultRowHeight="11.25" x14ac:dyDescent="0.2"/>
  <cols>
    <col min="1" max="1" width="3" style="88" customWidth="1"/>
    <col min="2" max="2" width="3.42578125" style="88" bestFit="1" customWidth="1"/>
    <col min="3" max="3" width="13.42578125" style="88" customWidth="1"/>
    <col min="4" max="4" width="20.42578125" style="88" bestFit="1" customWidth="1"/>
    <col min="5" max="5" width="21.7109375" style="88" bestFit="1" customWidth="1"/>
    <col min="6" max="6" width="23.5703125" style="88" customWidth="1"/>
    <col min="7" max="7" width="4.7109375" style="88" customWidth="1"/>
    <col min="8" max="16384" width="9.140625" style="88"/>
  </cols>
  <sheetData>
    <row r="1" spans="1:7" x14ac:dyDescent="0.2">
      <c r="A1" s="103"/>
      <c r="B1" s="102"/>
      <c r="C1" s="12" t="s">
        <v>117</v>
      </c>
      <c r="D1" s="101" t="str">
        <f>Currency&amp;"_YC"&amp;$C$1&amp;"RH"</f>
        <v>GBP_YC1MRH</v>
      </c>
      <c r="E1" s="99" t="str">
        <f>$D$1&amp;"_Deposits.xml"</f>
        <v>GBP_YC1MRH_Deposits.xml</v>
      </c>
      <c r="G1" s="92"/>
    </row>
    <row r="2" spans="1:7" ht="23.25" customHeight="1" x14ac:dyDescent="0.2">
      <c r="A2" s="96"/>
      <c r="B2" s="100"/>
      <c r="C2" s="100" t="s">
        <v>120</v>
      </c>
      <c r="D2" s="100" t="s">
        <v>119</v>
      </c>
      <c r="E2" s="98" t="str">
        <f>IF(Serialize,_xll.ohObjectSave(E4:E7,SerializationPath&amp;E1,FileOverwrite,Serialize),"---")</f>
        <v>---</v>
      </c>
      <c r="F2" s="97" t="str">
        <f>_xll.ohRangeRetrieveError(E2)</f>
        <v/>
      </c>
      <c r="G2" s="92"/>
    </row>
    <row r="3" spans="1:7" x14ac:dyDescent="0.2">
      <c r="A3" s="96"/>
      <c r="B3" s="164" t="s">
        <v>161</v>
      </c>
      <c r="C3" s="166" t="str">
        <f>_xll.qlLibor(,Currency,B3,,,Trigger,ObjectOverwrite)</f>
        <v>obj_0052b#0005</v>
      </c>
      <c r="D3" s="245" t="str">
        <f>Currency&amp;B3&amp;"D_SYNTH"&amp;$C$1&amp;QuoteSuffix</f>
        <v>GBPSND_SYNTH1M_Quote</v>
      </c>
      <c r="E3" s="94" t="str">
        <f>_xll.qlDepositRateHelper(,D3,C3,Permanent,Trigger,ObjectOverwrite)</f>
        <v>obj_0052c#0007</v>
      </c>
      <c r="F3" s="165"/>
      <c r="G3" s="92"/>
    </row>
    <row r="4" spans="1:7" x14ac:dyDescent="0.2">
      <c r="A4" s="96"/>
      <c r="B4" s="95" t="s">
        <v>118</v>
      </c>
      <c r="C4" s="166" t="str">
        <f>_xll.qlLibor(,Currency,B4,,,Trigger,ObjectOverwrite)</f>
        <v>obj_00529#0005</v>
      </c>
      <c r="D4" s="245" t="str">
        <f>Currency&amp;B4&amp;"D_SYNTH"&amp;$C$1&amp;QuoteSuffix</f>
        <v>GBPSWD_SYNTH1M_Quote</v>
      </c>
      <c r="E4" s="94" t="str">
        <f>_xll.qlDepositRateHelper(,D4,C4,Permanent,Trigger,ObjectOverwrite)</f>
        <v>obj_00531#0007</v>
      </c>
      <c r="F4" s="93" t="str">
        <f>_xll.ohRangeRetrieveError(E4)</f>
        <v/>
      </c>
      <c r="G4" s="92"/>
    </row>
    <row r="5" spans="1:7" x14ac:dyDescent="0.2">
      <c r="A5" s="96"/>
      <c r="B5" s="95" t="s">
        <v>162</v>
      </c>
      <c r="C5" s="166" t="str">
        <f>_xll.qlLibor(,Currency,B5,,,Trigger,ObjectOverwrite)</f>
        <v>obj_0052a#0005</v>
      </c>
      <c r="D5" s="245" t="str">
        <f>Currency&amp;B5&amp;"D_SYNTH"&amp;$C$1&amp;QuoteSuffix</f>
        <v>GBP2WD_SYNTH1M_Quote</v>
      </c>
      <c r="E5" s="94" t="str">
        <f>_xll.qlDepositRateHelper(,D5,C5,Permanent,Trigger,ObjectOverwrite)</f>
        <v>obj_0052e#0007</v>
      </c>
      <c r="F5" s="93"/>
      <c r="G5" s="92"/>
    </row>
    <row r="6" spans="1:7" x14ac:dyDescent="0.2">
      <c r="A6" s="96"/>
      <c r="B6" s="95" t="s">
        <v>163</v>
      </c>
      <c r="C6" s="166" t="str">
        <f>_xll.qlLibor(,Currency,B6,,,Trigger,ObjectOverwrite)</f>
        <v>obj_00527#0005</v>
      </c>
      <c r="D6" s="245" t="str">
        <f>Currency&amp;B6&amp;"D_SYNTH"&amp;$C$1&amp;QuoteSuffix</f>
        <v>GBP3WD_SYNTH1M_Quote</v>
      </c>
      <c r="E6" s="94" t="str">
        <f>_xll.qlDepositRateHelper(,D6,C6,Permanent,Trigger,ObjectOverwrite)</f>
        <v>obj_00530#0007</v>
      </c>
      <c r="F6" s="93"/>
      <c r="G6" s="92"/>
    </row>
    <row r="7" spans="1:7" x14ac:dyDescent="0.2">
      <c r="A7" s="96"/>
      <c r="B7" s="95" t="s">
        <v>117</v>
      </c>
      <c r="C7" s="166" t="str">
        <f>_xll.qlLibor(,Currency,B7,,,Trigger,ObjectOverwrite)</f>
        <v>obj_00528#0005</v>
      </c>
      <c r="D7" s="245" t="str">
        <f>Currency&amp;B7&amp;"D_SYNTH"&amp;$C$1&amp;QuoteSuffix</f>
        <v>GBP1MD_SYNTH1M_Quote</v>
      </c>
      <c r="E7" s="94" t="str">
        <f>_xll.qlDepositRateHelper(,D7,C7,Permanent,Trigger,ObjectOverwrite)</f>
        <v>obj_00537#0007</v>
      </c>
      <c r="F7" s="93" t="str">
        <f>_xll.ohRangeRetrieveError(E7)</f>
        <v/>
      </c>
      <c r="G7" s="92"/>
    </row>
    <row r="8" spans="1:7" ht="12" thickBot="1" x14ac:dyDescent="0.25">
      <c r="A8" s="91"/>
      <c r="B8" s="90"/>
      <c r="C8" s="90"/>
      <c r="D8" s="90"/>
      <c r="E8" s="90"/>
      <c r="F8" s="90"/>
      <c r="G8" s="89"/>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8"/>
  <sheetViews>
    <sheetView workbookViewId="0">
      <selection activeCell="K3" sqref="K3"/>
    </sheetView>
  </sheetViews>
  <sheetFormatPr defaultRowHeight="11.25" x14ac:dyDescent="0.2"/>
  <cols>
    <col min="1" max="1" width="1.7109375" style="88" customWidth="1"/>
    <col min="2" max="2" width="4.7109375" style="88" bestFit="1" customWidth="1"/>
    <col min="3" max="3" width="6.5703125" style="88" bestFit="1" customWidth="1"/>
    <col min="4" max="4" width="2.7109375" style="88" bestFit="1" customWidth="1"/>
    <col min="5" max="5" width="3.85546875" style="88" bestFit="1" customWidth="1"/>
    <col min="6" max="6" width="5.85546875" style="88" bestFit="1" customWidth="1"/>
    <col min="7" max="8" width="13.85546875" style="88" bestFit="1" customWidth="1"/>
    <col min="9" max="9" width="7.140625" style="88" bestFit="1" customWidth="1"/>
    <col min="10" max="10" width="13.5703125" style="88" bestFit="1" customWidth="1"/>
    <col min="11" max="11" width="25.7109375" style="122" bestFit="1" customWidth="1"/>
    <col min="12" max="12" width="21" style="88" customWidth="1"/>
    <col min="13" max="13" width="3.7109375" style="88" customWidth="1"/>
    <col min="14" max="16384" width="9.140625" style="88"/>
  </cols>
  <sheetData>
    <row r="1" spans="1:13" x14ac:dyDescent="0.2">
      <c r="A1" s="151"/>
      <c r="B1" s="139"/>
      <c r="C1" s="139"/>
      <c r="D1" s="139"/>
      <c r="E1" s="139"/>
      <c r="F1" s="139"/>
      <c r="G1" s="139"/>
      <c r="H1" s="139"/>
      <c r="I1" s="139"/>
      <c r="J1" s="139"/>
      <c r="K1" s="139"/>
      <c r="L1" s="139"/>
      <c r="M1" s="138"/>
    </row>
    <row r="2" spans="1:13" x14ac:dyDescent="0.2">
      <c r="A2" s="96"/>
      <c r="B2" s="102"/>
      <c r="C2" s="102"/>
      <c r="D2" s="102"/>
      <c r="E2" s="102"/>
      <c r="F2" s="102"/>
      <c r="G2" s="102"/>
      <c r="H2" s="102"/>
      <c r="I2" s="12" t="s">
        <v>117</v>
      </c>
      <c r="J2" s="12" t="str">
        <f>Currency&amp;"_YC"&amp;$I$2&amp;"RH"</f>
        <v>GBP_YC1MRH</v>
      </c>
      <c r="K2" s="137" t="str">
        <f>J2&amp;"_Swaps.xml"</f>
        <v>GBP_YC1MRH_Swaps.xml</v>
      </c>
      <c r="L2" s="102"/>
      <c r="M2" s="125"/>
    </row>
    <row r="3" spans="1:13" ht="36" customHeight="1" x14ac:dyDescent="0.2">
      <c r="A3" s="96"/>
      <c r="B3" s="100" t="s">
        <v>149</v>
      </c>
      <c r="C3" s="100" t="s">
        <v>148</v>
      </c>
      <c r="D3" s="100"/>
      <c r="E3" s="100"/>
      <c r="F3" s="100" t="s">
        <v>147</v>
      </c>
      <c r="G3" s="100" t="s">
        <v>146</v>
      </c>
      <c r="H3" s="100" t="s">
        <v>145</v>
      </c>
      <c r="I3" s="100" t="s">
        <v>144</v>
      </c>
      <c r="J3" s="100" t="s">
        <v>119</v>
      </c>
      <c r="K3" s="136" t="str">
        <f>IF(Serialize,_xll.ohObjectSave(K4:K16,SerializationPath&amp;K2,FileOverwrite,Serialize),"---")</f>
        <v>---</v>
      </c>
      <c r="L3" s="97" t="str">
        <f>_xll.ohRangeRetrieveError(K3)</f>
        <v/>
      </c>
      <c r="M3" s="125"/>
    </row>
    <row r="4" spans="1:13"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obj_0052d#0007</v>
      </c>
      <c r="L4" s="134" t="str">
        <f>_xll.ohRangeRetrieveError(K4)</f>
        <v/>
      </c>
      <c r="M4" s="125"/>
    </row>
    <row r="5" spans="1:13" x14ac:dyDescent="0.2">
      <c r="A5" s="103"/>
      <c r="B5" s="102"/>
      <c r="C5" s="102"/>
      <c r="D5" s="102"/>
      <c r="E5" s="102"/>
      <c r="F5" s="102"/>
      <c r="G5" s="102"/>
      <c r="H5" s="102"/>
      <c r="I5" s="102"/>
      <c r="J5" s="102"/>
      <c r="K5" s="102"/>
      <c r="L5" s="102"/>
      <c r="M5" s="125"/>
    </row>
    <row r="6" spans="1:13" x14ac:dyDescent="0.2">
      <c r="A6" s="96"/>
      <c r="B6" s="133" t="s">
        <v>133</v>
      </c>
      <c r="C6" s="133" t="s">
        <v>143</v>
      </c>
      <c r="D6" s="133">
        <v>2</v>
      </c>
      <c r="E6" s="133" t="s">
        <v>41</v>
      </c>
      <c r="F6" s="132" t="s">
        <v>131</v>
      </c>
      <c r="G6" s="132" t="s">
        <v>130</v>
      </c>
      <c r="H6" s="132" t="str">
        <f t="shared" ref="H6:H16" si="0">MoneyMarketDayCounter</f>
        <v>Actual/365 (Fixed)</v>
      </c>
      <c r="I6" s="130">
        <v>0</v>
      </c>
      <c r="J6" s="129" t="str">
        <f t="shared" ref="J6:J16" si="1">Currency&amp;$D6&amp;$E6&amp;QuoteSuffix</f>
        <v>GBP2X1S_Quote</v>
      </c>
      <c r="K6" s="128" t="str">
        <f>_xll.qlSwapRateHelper2(,$J6,$C6,Calendar,$F6,$G6,$H6,$K$4,$I6,B6,Discounting,Permanent,,ObjectOverwrite)</f>
        <v>obj_00533#0008</v>
      </c>
      <c r="L6" s="97" t="str">
        <f>_xll.ohRangeRetrieveError(K6)</f>
        <v/>
      </c>
      <c r="M6" s="125"/>
    </row>
    <row r="7" spans="1:13" x14ac:dyDescent="0.2">
      <c r="A7" s="96"/>
      <c r="B7" s="133" t="s">
        <v>133</v>
      </c>
      <c r="C7" s="133" t="s">
        <v>142</v>
      </c>
      <c r="D7" s="133">
        <v>3</v>
      </c>
      <c r="E7" s="133" t="s">
        <v>41</v>
      </c>
      <c r="F7" s="132" t="s">
        <v>131</v>
      </c>
      <c r="G7" s="132" t="s">
        <v>130</v>
      </c>
      <c r="H7" s="131" t="str">
        <f t="shared" si="0"/>
        <v>Actual/365 (Fixed)</v>
      </c>
      <c r="I7" s="130">
        <v>0</v>
      </c>
      <c r="J7" s="129" t="str">
        <f t="shared" si="1"/>
        <v>GBP3X1S_Quote</v>
      </c>
      <c r="K7" s="128" t="str">
        <f>_xll.qlSwapRateHelper2(,$J7,$C7,Calendar,$F7,$G7,$H7,$K$4,$I7,B7,Discounting,Permanent,,ObjectOverwrite)</f>
        <v>obj_00534#0008</v>
      </c>
      <c r="L7" s="97" t="str">
        <f>_xll.ohRangeRetrieveError(K7)</f>
        <v/>
      </c>
      <c r="M7" s="125"/>
    </row>
    <row r="8" spans="1:13" x14ac:dyDescent="0.2">
      <c r="A8" s="96"/>
      <c r="B8" s="133" t="s">
        <v>133</v>
      </c>
      <c r="C8" s="133" t="s">
        <v>141</v>
      </c>
      <c r="D8" s="133">
        <v>4</v>
      </c>
      <c r="E8" s="133" t="s">
        <v>41</v>
      </c>
      <c r="F8" s="132" t="s">
        <v>131</v>
      </c>
      <c r="G8" s="132" t="s">
        <v>130</v>
      </c>
      <c r="H8" s="131" t="str">
        <f t="shared" si="0"/>
        <v>Actual/365 (Fixed)</v>
      </c>
      <c r="I8" s="130">
        <v>0</v>
      </c>
      <c r="J8" s="129" t="str">
        <f t="shared" si="1"/>
        <v>GBP4X1S_Quote</v>
      </c>
      <c r="K8" s="128" t="str">
        <f>_xll.qlSwapRateHelper2(,$J8,$C8,Calendar,$F8,$G8,$H8,$K$4,$I8,B8,Discounting,Permanent,,ObjectOverwrite)</f>
        <v>obj_00539#0008</v>
      </c>
      <c r="L8" s="97" t="str">
        <f>_xll.ohRangeRetrieveError(K8)</f>
        <v/>
      </c>
      <c r="M8" s="125"/>
    </row>
    <row r="9" spans="1:13" x14ac:dyDescent="0.2">
      <c r="A9" s="96"/>
      <c r="B9" s="133" t="s">
        <v>133</v>
      </c>
      <c r="C9" s="133" t="s">
        <v>140</v>
      </c>
      <c r="D9" s="133">
        <v>5</v>
      </c>
      <c r="E9" s="133" t="s">
        <v>41</v>
      </c>
      <c r="F9" s="132" t="s">
        <v>131</v>
      </c>
      <c r="G9" s="132" t="s">
        <v>130</v>
      </c>
      <c r="H9" s="131" t="str">
        <f t="shared" si="0"/>
        <v>Actual/365 (Fixed)</v>
      </c>
      <c r="I9" s="130">
        <v>0</v>
      </c>
      <c r="J9" s="129" t="str">
        <f t="shared" si="1"/>
        <v>GBP5X1S_Quote</v>
      </c>
      <c r="K9" s="128" t="str">
        <f>_xll.qlSwapRateHelper2(,$J9,$C9,Calendar,$F9,$G9,$H9,$K$4,$I9,B9,Discounting,Permanent,,ObjectOverwrite)</f>
        <v>obj_0053c#0008</v>
      </c>
      <c r="L9" s="97" t="str">
        <f>_xll.ohRangeRetrieveError(K9)</f>
        <v/>
      </c>
      <c r="M9" s="125"/>
    </row>
    <row r="10" spans="1:13" x14ac:dyDescent="0.2">
      <c r="A10" s="96"/>
      <c r="B10" s="133" t="s">
        <v>133</v>
      </c>
      <c r="C10" s="133" t="s">
        <v>139</v>
      </c>
      <c r="D10" s="133">
        <v>6</v>
      </c>
      <c r="E10" s="133" t="s">
        <v>41</v>
      </c>
      <c r="F10" s="132" t="s">
        <v>131</v>
      </c>
      <c r="G10" s="132" t="s">
        <v>130</v>
      </c>
      <c r="H10" s="131" t="str">
        <f t="shared" si="0"/>
        <v>Actual/365 (Fixed)</v>
      </c>
      <c r="I10" s="130">
        <v>0</v>
      </c>
      <c r="J10" s="129" t="str">
        <f t="shared" si="1"/>
        <v>GBP6X1S_Quote</v>
      </c>
      <c r="K10" s="128" t="str">
        <f>_xll.qlSwapRateHelper2(,$J10,$C10,Calendar,$F10,$G10,$H10,$K$4,$I10,B10,Discounting,Permanent,,ObjectOverwrite)</f>
        <v>obj_00536#0008</v>
      </c>
      <c r="L10" s="97" t="str">
        <f>_xll.ohRangeRetrieveError(K10)</f>
        <v/>
      </c>
      <c r="M10" s="125"/>
    </row>
    <row r="11" spans="1:13" x14ac:dyDescent="0.2">
      <c r="A11" s="96"/>
      <c r="B11" s="133" t="s">
        <v>133</v>
      </c>
      <c r="C11" s="133" t="s">
        <v>138</v>
      </c>
      <c r="D11" s="133">
        <v>7</v>
      </c>
      <c r="E11" s="133" t="s">
        <v>41</v>
      </c>
      <c r="F11" s="132" t="s">
        <v>131</v>
      </c>
      <c r="G11" s="132" t="s">
        <v>130</v>
      </c>
      <c r="H11" s="131" t="str">
        <f t="shared" si="0"/>
        <v>Actual/365 (Fixed)</v>
      </c>
      <c r="I11" s="130">
        <v>0</v>
      </c>
      <c r="J11" s="129" t="str">
        <f t="shared" si="1"/>
        <v>GBP7X1S_Quote</v>
      </c>
      <c r="K11" s="128" t="str">
        <f>_xll.qlSwapRateHelper2(,$J11,$C11,Calendar,$F11,$G11,$H11,$K$4,$I11,B11,Discounting,Permanent,,ObjectOverwrite)</f>
        <v>obj_0053d#0008</v>
      </c>
      <c r="L11" s="97" t="str">
        <f>_xll.ohRangeRetrieveError(K11)</f>
        <v/>
      </c>
      <c r="M11" s="125"/>
    </row>
    <row r="12" spans="1:13" x14ac:dyDescent="0.2">
      <c r="A12" s="96"/>
      <c r="B12" s="133" t="s">
        <v>133</v>
      </c>
      <c r="C12" s="133" t="s">
        <v>137</v>
      </c>
      <c r="D12" s="133">
        <v>8</v>
      </c>
      <c r="E12" s="133" t="s">
        <v>41</v>
      </c>
      <c r="F12" s="132" t="s">
        <v>131</v>
      </c>
      <c r="G12" s="132" t="s">
        <v>130</v>
      </c>
      <c r="H12" s="131" t="str">
        <f t="shared" si="0"/>
        <v>Actual/365 (Fixed)</v>
      </c>
      <c r="I12" s="130">
        <v>0</v>
      </c>
      <c r="J12" s="129" t="str">
        <f t="shared" si="1"/>
        <v>GBP8X1S_Quote</v>
      </c>
      <c r="K12" s="128" t="str">
        <f>_xll.qlSwapRateHelper2(,$J12,$C12,Calendar,$F12,$G12,$H12,$K$4,$I12,B12,Discounting,Permanent,,ObjectOverwrite)</f>
        <v>obj_00532#0008</v>
      </c>
      <c r="L12" s="97" t="str">
        <f>_xll.ohRangeRetrieveError(K12)</f>
        <v/>
      </c>
      <c r="M12" s="125"/>
    </row>
    <row r="13" spans="1:13" x14ac:dyDescent="0.2">
      <c r="A13" s="96"/>
      <c r="B13" s="133" t="s">
        <v>133</v>
      </c>
      <c r="C13" s="133" t="s">
        <v>136</v>
      </c>
      <c r="D13" s="133">
        <v>9</v>
      </c>
      <c r="E13" s="133" t="s">
        <v>41</v>
      </c>
      <c r="F13" s="132" t="s">
        <v>131</v>
      </c>
      <c r="G13" s="132" t="s">
        <v>130</v>
      </c>
      <c r="H13" s="131" t="str">
        <f t="shared" si="0"/>
        <v>Actual/365 (Fixed)</v>
      </c>
      <c r="I13" s="130">
        <v>0</v>
      </c>
      <c r="J13" s="129" t="str">
        <f t="shared" si="1"/>
        <v>GBP9X1S_Quote</v>
      </c>
      <c r="K13" s="128" t="str">
        <f>_xll.qlSwapRateHelper2(,$J13,$C13,Calendar,$F13,$G13,$H13,$K$4,$I13,B13,Discounting,Permanent,,ObjectOverwrite)</f>
        <v>obj_0052f#0008</v>
      </c>
      <c r="L13" s="97" t="str">
        <f>_xll.ohRangeRetrieveError(K13)</f>
        <v/>
      </c>
      <c r="M13" s="125"/>
    </row>
    <row r="14" spans="1:13" x14ac:dyDescent="0.2">
      <c r="A14" s="96"/>
      <c r="B14" s="133" t="s">
        <v>133</v>
      </c>
      <c r="C14" s="133" t="s">
        <v>135</v>
      </c>
      <c r="D14" s="133">
        <v>10</v>
      </c>
      <c r="E14" s="133" t="s">
        <v>41</v>
      </c>
      <c r="F14" s="132" t="s">
        <v>131</v>
      </c>
      <c r="G14" s="132" t="s">
        <v>130</v>
      </c>
      <c r="H14" s="131" t="str">
        <f t="shared" si="0"/>
        <v>Actual/365 (Fixed)</v>
      </c>
      <c r="I14" s="130">
        <v>0</v>
      </c>
      <c r="J14" s="129" t="str">
        <f t="shared" si="1"/>
        <v>GBP10X1S_Quote</v>
      </c>
      <c r="K14" s="128" t="str">
        <f>_xll.qlSwapRateHelper2(,$J14,$C14,Calendar,$F14,$G14,$H14,$K$4,$I14,B14,Discounting,Permanent,,ObjectOverwrite)</f>
        <v>obj_0053b#0008</v>
      </c>
      <c r="L14" s="97" t="str">
        <f>_xll.ohRangeRetrieveError(K14)</f>
        <v/>
      </c>
      <c r="M14" s="125"/>
    </row>
    <row r="15" spans="1:13" x14ac:dyDescent="0.2">
      <c r="A15" s="96"/>
      <c r="B15" s="133" t="s">
        <v>133</v>
      </c>
      <c r="C15" s="133" t="s">
        <v>134</v>
      </c>
      <c r="D15" s="133">
        <v>11</v>
      </c>
      <c r="E15" s="133" t="s">
        <v>41</v>
      </c>
      <c r="F15" s="132" t="s">
        <v>131</v>
      </c>
      <c r="G15" s="132" t="s">
        <v>130</v>
      </c>
      <c r="H15" s="131" t="str">
        <f t="shared" si="0"/>
        <v>Actual/365 (Fixed)</v>
      </c>
      <c r="I15" s="130">
        <v>0</v>
      </c>
      <c r="J15" s="129" t="str">
        <f t="shared" si="1"/>
        <v>GBP11X1S_Quote</v>
      </c>
      <c r="K15" s="128" t="str">
        <f>_xll.qlSwapRateHelper2(,$J15,$C15,Calendar,$F15,$G15,$H15,$K$4,$I15,B15,Discounting,Permanent,,ObjectOverwrite)</f>
        <v>obj_00535#0008</v>
      </c>
      <c r="L15" s="97" t="str">
        <f>_xll.ohRangeRetrieveError(K15)</f>
        <v/>
      </c>
      <c r="M15" s="125"/>
    </row>
    <row r="16" spans="1:13" x14ac:dyDescent="0.2">
      <c r="A16" s="96"/>
      <c r="B16" s="133" t="s">
        <v>133</v>
      </c>
      <c r="C16" s="133" t="s">
        <v>132</v>
      </c>
      <c r="D16" s="133">
        <v>12</v>
      </c>
      <c r="E16" s="133" t="s">
        <v>41</v>
      </c>
      <c r="F16" s="132" t="s">
        <v>131</v>
      </c>
      <c r="G16" s="132" t="s">
        <v>130</v>
      </c>
      <c r="H16" s="131" t="str">
        <f t="shared" si="0"/>
        <v>Actual/365 (Fixed)</v>
      </c>
      <c r="I16" s="130">
        <v>0</v>
      </c>
      <c r="J16" s="129" t="str">
        <f t="shared" si="1"/>
        <v>GBP12X1S_Quote</v>
      </c>
      <c r="K16" s="128" t="str">
        <f>_xll.qlSwapRateHelper2(,$J16,$C16,Calendar,$F16,$G16,$H16,$K$4,$I16,B16,Discounting,Permanent,,ObjectOverwrite)</f>
        <v>obj_0053a#0008</v>
      </c>
      <c r="L16" s="97" t="str">
        <f>_xll.ohRangeRetrieveError(K16)</f>
        <v/>
      </c>
      <c r="M16" s="125"/>
    </row>
    <row r="17" spans="1:13" x14ac:dyDescent="0.2">
      <c r="A17" s="96"/>
      <c r="B17" s="15"/>
      <c r="C17" s="15"/>
      <c r="D17" s="15"/>
      <c r="E17" s="15"/>
      <c r="F17" s="12"/>
      <c r="G17" s="12"/>
      <c r="H17" s="12"/>
      <c r="I17" s="127"/>
      <c r="J17" s="126"/>
      <c r="K17" s="126"/>
      <c r="L17" s="126"/>
      <c r="M17" s="125"/>
    </row>
    <row r="18" spans="1:13" ht="12" thickBot="1" x14ac:dyDescent="0.25">
      <c r="A18" s="91"/>
      <c r="B18" s="90"/>
      <c r="C18" s="90"/>
      <c r="D18" s="90"/>
      <c r="E18" s="90"/>
      <c r="F18" s="90"/>
      <c r="G18" s="90"/>
      <c r="H18" s="90"/>
      <c r="I18" s="90"/>
      <c r="J18" s="90"/>
      <c r="K18" s="124"/>
      <c r="L18" s="124"/>
      <c r="M18" s="123"/>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40"/>
  <sheetViews>
    <sheetView workbookViewId="0">
      <selection activeCell="K3" sqref="K3"/>
    </sheetView>
  </sheetViews>
  <sheetFormatPr defaultRowHeight="11.25" x14ac:dyDescent="0.2"/>
  <cols>
    <col min="1" max="1" width="1.7109375" style="88" customWidth="1"/>
    <col min="2" max="2" width="4.7109375" style="88" bestFit="1" customWidth="1"/>
    <col min="3" max="3" width="3.85546875" style="88" bestFit="1" customWidth="1"/>
    <col min="4" max="4" width="3" style="88" bestFit="1" customWidth="1"/>
    <col min="5" max="5" width="2.7109375" style="88" bestFit="1" customWidth="1"/>
    <col min="6" max="6" width="8.85546875" style="88" bestFit="1" customWidth="1"/>
    <col min="7" max="8" width="13.85546875" style="88" bestFit="1" customWidth="1"/>
    <col min="9" max="9" width="15.42578125" style="88" bestFit="1" customWidth="1"/>
    <col min="10" max="10" width="15.7109375" style="88" bestFit="1" customWidth="1"/>
    <col min="11" max="11" width="31.28515625" style="122" bestFit="1" customWidth="1"/>
    <col min="12" max="12" width="16.5703125" style="88" customWidth="1"/>
    <col min="13" max="13" width="3.85546875" style="88" customWidth="1"/>
    <col min="14" max="14" width="2.5703125" style="88" customWidth="1"/>
    <col min="15" max="15" width="4" style="88" bestFit="1" customWidth="1"/>
    <col min="16" max="16" width="3.28515625" style="88" bestFit="1" customWidth="1"/>
    <col min="17" max="17" width="3.5703125" style="88" bestFit="1" customWidth="1"/>
    <col min="18" max="16384" width="9.140625" style="88"/>
  </cols>
  <sheetData>
    <row r="1" spans="1:17" x14ac:dyDescent="0.2">
      <c r="A1" s="151"/>
      <c r="B1" s="139"/>
      <c r="C1" s="139"/>
      <c r="D1" s="139"/>
      <c r="E1" s="139"/>
      <c r="F1" s="139"/>
      <c r="G1" s="139"/>
      <c r="H1" s="139"/>
      <c r="I1" s="139"/>
      <c r="J1" s="139"/>
      <c r="K1" s="139"/>
      <c r="L1" s="139"/>
      <c r="M1" s="138"/>
    </row>
    <row r="2" spans="1:17" x14ac:dyDescent="0.2">
      <c r="A2" s="96"/>
      <c r="B2" s="102"/>
      <c r="C2" s="102"/>
      <c r="D2" s="102"/>
      <c r="E2" s="102"/>
      <c r="F2" s="102"/>
      <c r="G2" s="102"/>
      <c r="H2" s="12" t="s">
        <v>158</v>
      </c>
      <c r="I2" s="12" t="s">
        <v>117</v>
      </c>
      <c r="J2" s="12" t="str">
        <f>Currency&amp;"_YC"&amp;$I$2&amp;"RH"</f>
        <v>GBP_YC1MRH</v>
      </c>
      <c r="K2" s="137" t="str">
        <f>J2&amp;"_SwapsFromBasis.xml"</f>
        <v>GBP_YC1MRH_SwapsFromBasis.xml</v>
      </c>
      <c r="L2" s="102"/>
      <c r="M2" s="125"/>
    </row>
    <row r="3" spans="1:17" ht="22.5" x14ac:dyDescent="0.2">
      <c r="A3" s="96"/>
      <c r="B3" s="100" t="s">
        <v>149</v>
      </c>
      <c r="C3" s="100"/>
      <c r="D3" s="100"/>
      <c r="E3" s="100"/>
      <c r="F3" s="100" t="s">
        <v>147</v>
      </c>
      <c r="G3" s="100" t="s">
        <v>146</v>
      </c>
      <c r="H3" s="100" t="s">
        <v>145</v>
      </c>
      <c r="I3" s="100" t="s">
        <v>144</v>
      </c>
      <c r="J3" s="100" t="s">
        <v>119</v>
      </c>
      <c r="K3" s="136" t="str">
        <f>IF(Serialize,_xll.ohObjectSave(K4:K39,SerializationPath&amp;K2,FileOverwrite,Serialize),"---")</f>
        <v>---</v>
      </c>
      <c r="L3" s="140" t="str">
        <f>_xll.ohRangeRetrieveError(K3)</f>
        <v/>
      </c>
      <c r="M3" s="125"/>
    </row>
    <row r="4" spans="1:17" x14ac:dyDescent="0.2">
      <c r="A4" s="103"/>
      <c r="B4" s="102"/>
      <c r="C4" s="102"/>
      <c r="D4" s="102"/>
      <c r="E4" s="102"/>
      <c r="F4" s="102"/>
      <c r="G4" s="102"/>
      <c r="H4" s="102"/>
      <c r="I4" s="102"/>
      <c r="J4" s="102"/>
      <c r="K4" s="135" t="str">
        <f>IF(UPPER(FamilyName)="IBOR",_xll.qlEuribor(,$I$2,,Permanent,Trigger,ObjectOverwrite),IF(UPPER(FamilyName)="LIBOR",_xll.qlLibor(,Currency,$I$2,,Permanent,Trigger,ObjectOverwrite),"--"))</f>
        <v>obj_00538#0007</v>
      </c>
      <c r="L4" s="134" t="str">
        <f>_xll.ohRangeRetrieveError(K4)</f>
        <v/>
      </c>
      <c r="M4" s="125"/>
    </row>
    <row r="5" spans="1:17" x14ac:dyDescent="0.2">
      <c r="A5" s="103"/>
      <c r="B5" s="102"/>
      <c r="C5" s="102"/>
      <c r="D5" s="102"/>
      <c r="E5" s="102"/>
      <c r="F5" s="102"/>
      <c r="G5" s="102"/>
      <c r="H5" s="102"/>
      <c r="I5" s="102"/>
      <c r="J5" s="102"/>
      <c r="K5" s="102"/>
      <c r="L5" s="102"/>
      <c r="M5" s="125"/>
    </row>
    <row r="6" spans="1:17" ht="12" thickBot="1" x14ac:dyDescent="0.25">
      <c r="A6" s="96"/>
      <c r="B6" s="150" t="s">
        <v>157</v>
      </c>
      <c r="C6" s="133" t="s">
        <v>36</v>
      </c>
      <c r="D6" s="150" t="str">
        <f>VLOOKUP(Currency,Swap1MConventions,2)</f>
        <v>SB</v>
      </c>
      <c r="E6" s="150" t="str">
        <f>VLOOKUP(Currency,Swap1MConventions,3)</f>
        <v>1L</v>
      </c>
      <c r="F6" s="132" t="str">
        <f t="shared" ref="F6:F39" si="0">IF(UPPER(LEFT($D6))="A","Annual",IF(UPPER(LEFT($D6))="S","Semiannual","--"))</f>
        <v>Semiannual</v>
      </c>
      <c r="G6" s="132" t="s">
        <v>130</v>
      </c>
      <c r="H6" s="132" t="str">
        <f t="shared" ref="H6:H39" si="1">IF(UPPER(RIGHT($D6))="B",BondBasisDayCounter,IF(UPPER(RIGHT($D6))="M",MoneyMarketDayCounter,"--"))</f>
        <v>Actual/365 (Fixed)</v>
      </c>
      <c r="I6" s="130" t="str">
        <f>Currency&amp;$E6&amp;$H$2&amp;$C6&amp;QuoteSuffix</f>
        <v>GBP1L6L1Y_Quote</v>
      </c>
      <c r="J6" s="129" t="str">
        <f>Currency&amp;$D6&amp;$H$2&amp;$C6&amp;"_Quote"</f>
        <v>GBPSB6L1Y_Quote</v>
      </c>
      <c r="K6" s="128" t="str">
        <f>_xll.qlSwapRateHelper2(,$J6,$C6,Calendar,$F6,$G6,$H6,$K$4,$I6,B6,Discounting,Permanent,,ObjectOverwrite)</f>
        <v>obj_0053f#0022</v>
      </c>
      <c r="L6" s="140" t="str">
        <f>_xll.ohRangeRetrieveError(K6)</f>
        <v/>
      </c>
      <c r="M6" s="125"/>
    </row>
    <row r="7" spans="1:17" x14ac:dyDescent="0.2">
      <c r="A7" s="96"/>
      <c r="B7" s="133" t="str">
        <f t="shared" ref="B7:B39" si="2">B6</f>
        <v>0d</v>
      </c>
      <c r="C7" s="133" t="s">
        <v>32</v>
      </c>
      <c r="D7" s="133" t="str">
        <f t="shared" ref="D7:D39" si="3">D6</f>
        <v>SB</v>
      </c>
      <c r="E7" s="133" t="str">
        <f t="shared" ref="E7:E39" si="4">E6</f>
        <v>1L</v>
      </c>
      <c r="F7" s="132" t="str">
        <f t="shared" si="0"/>
        <v>Semiannual</v>
      </c>
      <c r="G7" s="132" t="s">
        <v>130</v>
      </c>
      <c r="H7" s="132" t="str">
        <f t="shared" si="1"/>
        <v>Actual/365 (Fixed)</v>
      </c>
      <c r="I7" s="130" t="str">
        <f>Currency&amp;$E7&amp;$H$2&amp;$C7&amp;QuoteSuffix</f>
        <v>GBP1L6L2Y_Quote</v>
      </c>
      <c r="J7" s="129" t="str">
        <f>Currency&amp;$D7&amp;$H$2&amp;$C7&amp;"_Quote"</f>
        <v>GBPSB6L2Y_Quote</v>
      </c>
      <c r="K7" s="128" t="str">
        <f>_xll.qlSwapRateHelper2(,$J7,$C7,Calendar,$F7,$G7,$H7,$K$4,$I7,B7,Discounting,Permanent,,ObjectOverwrite)</f>
        <v>obj_0053e#0009</v>
      </c>
      <c r="L7" s="140" t="str">
        <f>_xll.ohRangeRetrieveError(K7)</f>
        <v/>
      </c>
      <c r="M7" s="125"/>
      <c r="O7" s="149" t="s">
        <v>114</v>
      </c>
      <c r="P7" s="148" t="s">
        <v>111</v>
      </c>
      <c r="Q7" s="147" t="s">
        <v>155</v>
      </c>
    </row>
    <row r="8" spans="1:17" x14ac:dyDescent="0.2">
      <c r="A8" s="96"/>
      <c r="B8" s="133" t="str">
        <f t="shared" si="2"/>
        <v>0d</v>
      </c>
      <c r="C8" s="133" t="s">
        <v>31</v>
      </c>
      <c r="D8" s="133" t="str">
        <f t="shared" si="3"/>
        <v>SB</v>
      </c>
      <c r="E8" s="133" t="str">
        <f t="shared" si="4"/>
        <v>1L</v>
      </c>
      <c r="F8" s="132" t="str">
        <f t="shared" si="0"/>
        <v>Semiannual</v>
      </c>
      <c r="G8" s="132" t="s">
        <v>130</v>
      </c>
      <c r="H8" s="132" t="str">
        <f t="shared" si="1"/>
        <v>Actual/365 (Fixed)</v>
      </c>
      <c r="I8" s="130" t="str">
        <f>Currency&amp;$E8&amp;$H$2&amp;$C8&amp;QuoteSuffix</f>
        <v>GBP1L6L3Y_Quote</v>
      </c>
      <c r="J8" s="129" t="str">
        <f>Currency&amp;$D8&amp;$H$2&amp;$C8&amp;"_Quote"</f>
        <v>GBPSB6L3Y_Quote</v>
      </c>
      <c r="K8" s="128" t="str">
        <f>_xll.qlSwapRateHelper2(,$J8,$C8,Calendar,$F8,$G8,$H8,$K$4,$I8,B8,Discounting,Permanent,,ObjectOverwrite)</f>
        <v>obj_00540#0009</v>
      </c>
      <c r="L8" s="140" t="str">
        <f>_xll.ohRangeRetrieveError(K8)</f>
        <v/>
      </c>
      <c r="M8" s="125"/>
      <c r="O8" s="146" t="s">
        <v>112</v>
      </c>
      <c r="P8" s="141" t="s">
        <v>111</v>
      </c>
      <c r="Q8" s="145" t="s">
        <v>156</v>
      </c>
    </row>
    <row r="9" spans="1:17" x14ac:dyDescent="0.2">
      <c r="A9" s="96"/>
      <c r="B9" s="133" t="str">
        <f t="shared" si="2"/>
        <v>0d</v>
      </c>
      <c r="C9" s="133" t="s">
        <v>30</v>
      </c>
      <c r="D9" s="133" t="str">
        <f t="shared" si="3"/>
        <v>SB</v>
      </c>
      <c r="E9" s="133" t="str">
        <f t="shared" si="4"/>
        <v>1L</v>
      </c>
      <c r="F9" s="132" t="str">
        <f t="shared" si="0"/>
        <v>Semiannual</v>
      </c>
      <c r="G9" s="132" t="s">
        <v>130</v>
      </c>
      <c r="H9" s="132" t="str">
        <f t="shared" si="1"/>
        <v>Actual/365 (Fixed)</v>
      </c>
      <c r="I9" s="130" t="str">
        <f>Currency&amp;$E9&amp;$H$2&amp;$C9&amp;QuoteSuffix</f>
        <v>GBP1L6L4Y_Quote</v>
      </c>
      <c r="J9" s="129" t="str">
        <f>Currency&amp;$D9&amp;$H$2&amp;$C9&amp;"_Quote"</f>
        <v>GBPSB6L4Y_Quote</v>
      </c>
      <c r="K9" s="128" t="str">
        <f>_xll.qlSwapRateHelper2(,$J9,$C9,Calendar,$F9,$G9,$H9,$K$4,$I9,B9,Discounting,Permanent,,ObjectOverwrite)</f>
        <v>obj_00541#0009</v>
      </c>
      <c r="L9" s="140" t="str">
        <f>_xll.ohRangeRetrieveError(K9)</f>
        <v/>
      </c>
      <c r="M9" s="125"/>
      <c r="O9" s="146" t="s">
        <v>109</v>
      </c>
      <c r="P9" s="141" t="s">
        <v>108</v>
      </c>
      <c r="Q9" s="145" t="s">
        <v>155</v>
      </c>
    </row>
    <row r="10" spans="1:17" x14ac:dyDescent="0.2">
      <c r="A10" s="96"/>
      <c r="B10" s="133" t="str">
        <f t="shared" si="2"/>
        <v>0d</v>
      </c>
      <c r="C10" s="133" t="s">
        <v>29</v>
      </c>
      <c r="D10" s="133" t="str">
        <f t="shared" si="3"/>
        <v>SB</v>
      </c>
      <c r="E10" s="133" t="str">
        <f t="shared" si="4"/>
        <v>1L</v>
      </c>
      <c r="F10" s="132" t="str">
        <f t="shared" si="0"/>
        <v>Semiannual</v>
      </c>
      <c r="G10" s="132" t="s">
        <v>130</v>
      </c>
      <c r="H10" s="132" t="str">
        <f t="shared" si="1"/>
        <v>Actual/365 (Fixed)</v>
      </c>
      <c r="I10" s="130" t="str">
        <f>Currency&amp;$E10&amp;$H$2&amp;$C10&amp;QuoteSuffix</f>
        <v>GBP1L6L5Y_Quote</v>
      </c>
      <c r="J10" s="129" t="str">
        <f>Currency&amp;$D10&amp;$H$2&amp;$C10&amp;"_Quote"</f>
        <v>GBPSB6L5Y_Quote</v>
      </c>
      <c r="K10" s="128" t="str">
        <f>_xll.qlSwapRateHelper2(,$J10,$C10,Calendar,$F10,$G10,$H10,$K$4,$I10,B10,Discounting,Permanent,,ObjectOverwrite)</f>
        <v>obj_00542#0009</v>
      </c>
      <c r="L10" s="140" t="str">
        <f>_xll.ohRangeRetrieveError(K10)</f>
        <v/>
      </c>
      <c r="M10" s="125"/>
      <c r="O10" s="146" t="s">
        <v>106</v>
      </c>
      <c r="P10" s="141" t="s">
        <v>108</v>
      </c>
      <c r="Q10" s="145" t="s">
        <v>155</v>
      </c>
    </row>
    <row r="11" spans="1:17" ht="12" thickBot="1" x14ac:dyDescent="0.25">
      <c r="A11" s="96"/>
      <c r="B11" s="133" t="str">
        <f t="shared" si="2"/>
        <v>0d</v>
      </c>
      <c r="C11" s="133" t="s">
        <v>28</v>
      </c>
      <c r="D11" s="133" t="str">
        <f t="shared" si="3"/>
        <v>SB</v>
      </c>
      <c r="E11" s="133" t="str">
        <f t="shared" si="4"/>
        <v>1L</v>
      </c>
      <c r="F11" s="132" t="str">
        <f t="shared" si="0"/>
        <v>Semiannual</v>
      </c>
      <c r="G11" s="132" t="s">
        <v>130</v>
      </c>
      <c r="H11" s="132" t="str">
        <f t="shared" si="1"/>
        <v>Actual/365 (Fixed)</v>
      </c>
      <c r="I11" s="130" t="str">
        <f>Currency&amp;$E11&amp;$H$2&amp;$C11&amp;QuoteSuffix</f>
        <v>GBP1L6L6Y_Quote</v>
      </c>
      <c r="J11" s="129" t="str">
        <f>Currency&amp;$D11&amp;$H$2&amp;$C11&amp;"_Quote"</f>
        <v>GBPSB6L6Y_Quote</v>
      </c>
      <c r="K11" s="128" t="str">
        <f>_xll.qlSwapRateHelper2(,$J11,$C11,Calendar,$F11,$G11,$H11,$K$4,$I11,B11,Discounting,Permanent,,ObjectOverwrite)</f>
        <v>obj_00543#0009</v>
      </c>
      <c r="L11" s="140" t="str">
        <f>_xll.ohRangeRetrieveError(K11)</f>
        <v/>
      </c>
      <c r="M11" s="125"/>
      <c r="O11" s="144" t="s">
        <v>104</v>
      </c>
      <c r="P11" s="143" t="s">
        <v>103</v>
      </c>
      <c r="Q11" s="142" t="s">
        <v>155</v>
      </c>
    </row>
    <row r="12" spans="1:17" x14ac:dyDescent="0.2">
      <c r="A12" s="96"/>
      <c r="B12" s="133" t="str">
        <f t="shared" si="2"/>
        <v>0d</v>
      </c>
      <c r="C12" s="133" t="s">
        <v>27</v>
      </c>
      <c r="D12" s="133" t="str">
        <f t="shared" si="3"/>
        <v>SB</v>
      </c>
      <c r="E12" s="133" t="str">
        <f t="shared" si="4"/>
        <v>1L</v>
      </c>
      <c r="F12" s="132" t="str">
        <f t="shared" si="0"/>
        <v>Semiannual</v>
      </c>
      <c r="G12" s="132" t="s">
        <v>130</v>
      </c>
      <c r="H12" s="132" t="str">
        <f t="shared" si="1"/>
        <v>Actual/365 (Fixed)</v>
      </c>
      <c r="I12" s="130" t="str">
        <f>Currency&amp;$E12&amp;$H$2&amp;$C12&amp;QuoteSuffix</f>
        <v>GBP1L6L7Y_Quote</v>
      </c>
      <c r="J12" s="129" t="str">
        <f>Currency&amp;$D12&amp;$H$2&amp;$C12&amp;"_Quote"</f>
        <v>GBPSB6L7Y_Quote</v>
      </c>
      <c r="K12" s="128" t="str">
        <f>_xll.qlSwapRateHelper2(,$J12,$C12,Calendar,$F12,$G12,$H12,$K$4,$I12,B12,Discounting,Permanent,,ObjectOverwrite)</f>
        <v>obj_00544#0009</v>
      </c>
      <c r="L12" s="140" t="str">
        <f>_xll.ohRangeRetrieveError(K12)</f>
        <v/>
      </c>
      <c r="M12" s="125"/>
      <c r="O12" s="141"/>
      <c r="P12" s="141"/>
      <c r="Q12" s="141"/>
    </row>
    <row r="13" spans="1:17" x14ac:dyDescent="0.2">
      <c r="A13" s="96"/>
      <c r="B13" s="133" t="str">
        <f t="shared" si="2"/>
        <v>0d</v>
      </c>
      <c r="C13" s="133" t="s">
        <v>26</v>
      </c>
      <c r="D13" s="133" t="str">
        <f t="shared" si="3"/>
        <v>SB</v>
      </c>
      <c r="E13" s="133" t="str">
        <f t="shared" si="4"/>
        <v>1L</v>
      </c>
      <c r="F13" s="132" t="str">
        <f t="shared" si="0"/>
        <v>Semiannual</v>
      </c>
      <c r="G13" s="132" t="s">
        <v>130</v>
      </c>
      <c r="H13" s="132" t="str">
        <f t="shared" si="1"/>
        <v>Actual/365 (Fixed)</v>
      </c>
      <c r="I13" s="130" t="str">
        <f>Currency&amp;$E13&amp;$H$2&amp;$C13&amp;QuoteSuffix</f>
        <v>GBP1L6L8Y_Quote</v>
      </c>
      <c r="J13" s="129" t="str">
        <f>Currency&amp;$D13&amp;$H$2&amp;$C13&amp;"_Quote"</f>
        <v>GBPSB6L8Y_Quote</v>
      </c>
      <c r="K13" s="128" t="str">
        <f>_xll.qlSwapRateHelper2(,$J13,$C13,Calendar,$F13,$G13,$H13,$K$4,$I13,B13,Discounting,Permanent,,ObjectOverwrite)</f>
        <v>obj_00545#0009</v>
      </c>
      <c r="L13" s="140" t="str">
        <f>_xll.ohRangeRetrieveError(K13)</f>
        <v/>
      </c>
      <c r="M13" s="125"/>
    </row>
    <row r="14" spans="1:17" x14ac:dyDescent="0.2">
      <c r="A14" s="96"/>
      <c r="B14" s="133" t="str">
        <f t="shared" si="2"/>
        <v>0d</v>
      </c>
      <c r="C14" s="133" t="s">
        <v>25</v>
      </c>
      <c r="D14" s="133" t="str">
        <f t="shared" si="3"/>
        <v>SB</v>
      </c>
      <c r="E14" s="133" t="str">
        <f t="shared" si="4"/>
        <v>1L</v>
      </c>
      <c r="F14" s="132" t="str">
        <f t="shared" si="0"/>
        <v>Semiannual</v>
      </c>
      <c r="G14" s="132" t="s">
        <v>130</v>
      </c>
      <c r="H14" s="132" t="str">
        <f t="shared" si="1"/>
        <v>Actual/365 (Fixed)</v>
      </c>
      <c r="I14" s="130" t="str">
        <f>Currency&amp;$E14&amp;$H$2&amp;$C14&amp;QuoteSuffix</f>
        <v>GBP1L6L9Y_Quote</v>
      </c>
      <c r="J14" s="129" t="str">
        <f>Currency&amp;$D14&amp;$H$2&amp;$C14&amp;"_Quote"</f>
        <v>GBPSB6L9Y_Quote</v>
      </c>
      <c r="K14" s="128" t="str">
        <f>_xll.qlSwapRateHelper2(,$J14,$C14,Calendar,$F14,$G14,$H14,$K$4,$I14,B14,Discounting,Permanent,,ObjectOverwrite)</f>
        <v>obj_00546#0009</v>
      </c>
      <c r="L14" s="140" t="str">
        <f>_xll.ohRangeRetrieveError(K14)</f>
        <v/>
      </c>
      <c r="M14" s="125"/>
    </row>
    <row r="15" spans="1:17" x14ac:dyDescent="0.2">
      <c r="A15" s="96"/>
      <c r="B15" s="133" t="str">
        <f t="shared" si="2"/>
        <v>0d</v>
      </c>
      <c r="C15" s="133" t="s">
        <v>24</v>
      </c>
      <c r="D15" s="133" t="str">
        <f t="shared" si="3"/>
        <v>SB</v>
      </c>
      <c r="E15" s="133" t="str">
        <f t="shared" si="4"/>
        <v>1L</v>
      </c>
      <c r="F15" s="132" t="str">
        <f t="shared" si="0"/>
        <v>Semiannual</v>
      </c>
      <c r="G15" s="132" t="s">
        <v>130</v>
      </c>
      <c r="H15" s="132" t="str">
        <f t="shared" si="1"/>
        <v>Actual/365 (Fixed)</v>
      </c>
      <c r="I15" s="130" t="str">
        <f>Currency&amp;$E15&amp;$H$2&amp;$C15&amp;QuoteSuffix</f>
        <v>GBP1L6L10Y_Quote</v>
      </c>
      <c r="J15" s="129" t="str">
        <f>Currency&amp;$D15&amp;$H$2&amp;$C15&amp;"_Quote"</f>
        <v>GBPSB6L10Y_Quote</v>
      </c>
      <c r="K15" s="128" t="str">
        <f>_xll.qlSwapRateHelper2(,$J15,$C15,Calendar,$F15,$G15,$H15,$K$4,$I15,B15,Discounting,Permanent,,ObjectOverwrite)</f>
        <v>obj_00547#0009</v>
      </c>
      <c r="L15" s="140" t="str">
        <f>_xll.ohRangeRetrieveError(K15)</f>
        <v/>
      </c>
      <c r="M15" s="125"/>
    </row>
    <row r="16" spans="1:17" x14ac:dyDescent="0.2">
      <c r="A16" s="96"/>
      <c r="B16" s="133" t="str">
        <f t="shared" si="2"/>
        <v>0d</v>
      </c>
      <c r="C16" s="133" t="s">
        <v>23</v>
      </c>
      <c r="D16" s="133" t="str">
        <f t="shared" si="3"/>
        <v>SB</v>
      </c>
      <c r="E16" s="133" t="str">
        <f t="shared" si="4"/>
        <v>1L</v>
      </c>
      <c r="F16" s="132" t="str">
        <f t="shared" si="0"/>
        <v>Semiannual</v>
      </c>
      <c r="G16" s="132" t="s">
        <v>130</v>
      </c>
      <c r="H16" s="132" t="str">
        <f t="shared" si="1"/>
        <v>Actual/365 (Fixed)</v>
      </c>
      <c r="I16" s="130" t="str">
        <f>Currency&amp;$E16&amp;$H$2&amp;$C16&amp;QuoteSuffix</f>
        <v>GBP1L6L11Y_Quote</v>
      </c>
      <c r="J16" s="129" t="str">
        <f>Currency&amp;$D16&amp;$H$2&amp;$C16&amp;"_Quote"</f>
        <v>GBPSB6L11Y_Quote</v>
      </c>
      <c r="K16" s="128" t="str">
        <f>_xll.qlSwapRateHelper2(,$J16,$C16,Calendar,$F16,$G16,$H16,$K$4,$I16,B16,Discounting,Permanent,,ObjectOverwrite)</f>
        <v>obj_00548#0009</v>
      </c>
      <c r="L16" s="140" t="str">
        <f>_xll.ohRangeRetrieveError(K16)</f>
        <v/>
      </c>
      <c r="M16" s="125"/>
    </row>
    <row r="17" spans="1:13" x14ac:dyDescent="0.2">
      <c r="A17" s="96"/>
      <c r="B17" s="133" t="str">
        <f t="shared" si="2"/>
        <v>0d</v>
      </c>
      <c r="C17" s="133" t="s">
        <v>22</v>
      </c>
      <c r="D17" s="133" t="str">
        <f t="shared" si="3"/>
        <v>SB</v>
      </c>
      <c r="E17" s="133" t="str">
        <f t="shared" si="4"/>
        <v>1L</v>
      </c>
      <c r="F17" s="132" t="str">
        <f t="shared" si="0"/>
        <v>Semiannual</v>
      </c>
      <c r="G17" s="132" t="s">
        <v>130</v>
      </c>
      <c r="H17" s="132" t="str">
        <f t="shared" si="1"/>
        <v>Actual/365 (Fixed)</v>
      </c>
      <c r="I17" s="130" t="str">
        <f>Currency&amp;$E17&amp;$H$2&amp;$C17&amp;QuoteSuffix</f>
        <v>GBP1L6L12Y_Quote</v>
      </c>
      <c r="J17" s="129" t="str">
        <f>Currency&amp;$D17&amp;$H$2&amp;$C17&amp;"_Quote"</f>
        <v>GBPSB6L12Y_Quote</v>
      </c>
      <c r="K17" s="128" t="str">
        <f>_xll.qlSwapRateHelper2(,$J17,$C17,Calendar,$F17,$G17,$H17,$K$4,$I17,B17,Discounting,Permanent,,ObjectOverwrite)</f>
        <v>obj_00549#0009</v>
      </c>
      <c r="L17" s="140" t="str">
        <f>_xll.ohRangeRetrieveError(K17)</f>
        <v/>
      </c>
      <c r="M17" s="125"/>
    </row>
    <row r="18" spans="1:13" x14ac:dyDescent="0.2">
      <c r="A18" s="96"/>
      <c r="B18" s="133" t="str">
        <f t="shared" si="2"/>
        <v>0d</v>
      </c>
      <c r="C18" s="133" t="s">
        <v>21</v>
      </c>
      <c r="D18" s="133" t="str">
        <f t="shared" si="3"/>
        <v>SB</v>
      </c>
      <c r="E18" s="133" t="str">
        <f t="shared" si="4"/>
        <v>1L</v>
      </c>
      <c r="F18" s="132" t="str">
        <f t="shared" si="0"/>
        <v>Semiannual</v>
      </c>
      <c r="G18" s="132" t="s">
        <v>130</v>
      </c>
      <c r="H18" s="132" t="str">
        <f t="shared" si="1"/>
        <v>Actual/365 (Fixed)</v>
      </c>
      <c r="I18" s="130" t="str">
        <f>Currency&amp;$E18&amp;$H$2&amp;$C18&amp;QuoteSuffix</f>
        <v>GBP1L6L13Y_Quote</v>
      </c>
      <c r="J18" s="129" t="str">
        <f>Currency&amp;$D18&amp;$H$2&amp;$C18&amp;"_Quote"</f>
        <v>GBPSB6L13Y_Quote</v>
      </c>
      <c r="K18" s="128" t="str">
        <f>_xll.qlSwapRateHelper2(,$J18,$C18,Calendar,$F18,$G18,$H18,$K$4,$I18,B18,Discounting,Permanent,,ObjectOverwrite)</f>
        <v>obj_0054a#0009</v>
      </c>
      <c r="L18" s="140" t="str">
        <f>_xll.ohRangeRetrieveError(K18)</f>
        <v/>
      </c>
      <c r="M18" s="125"/>
    </row>
    <row r="19" spans="1:13" x14ac:dyDescent="0.2">
      <c r="A19" s="96"/>
      <c r="B19" s="133" t="str">
        <f t="shared" si="2"/>
        <v>0d</v>
      </c>
      <c r="C19" s="133" t="s">
        <v>20</v>
      </c>
      <c r="D19" s="133" t="str">
        <f t="shared" si="3"/>
        <v>SB</v>
      </c>
      <c r="E19" s="133" t="str">
        <f t="shared" si="4"/>
        <v>1L</v>
      </c>
      <c r="F19" s="132" t="str">
        <f t="shared" si="0"/>
        <v>Semiannual</v>
      </c>
      <c r="G19" s="132" t="s">
        <v>130</v>
      </c>
      <c r="H19" s="132" t="str">
        <f t="shared" si="1"/>
        <v>Actual/365 (Fixed)</v>
      </c>
      <c r="I19" s="130" t="str">
        <f>Currency&amp;$E19&amp;$H$2&amp;$C19&amp;QuoteSuffix</f>
        <v>GBP1L6L14Y_Quote</v>
      </c>
      <c r="J19" s="129" t="str">
        <f>Currency&amp;$D19&amp;$H$2&amp;$C19&amp;"_Quote"</f>
        <v>GBPSB6L14Y_Quote</v>
      </c>
      <c r="K19" s="128" t="str">
        <f>_xll.qlSwapRateHelper2(,$J19,$C19,Calendar,$F19,$G19,$H19,$K$4,$I19,B19,Discounting,Permanent,,ObjectOverwrite)</f>
        <v>obj_0054b#0009</v>
      </c>
      <c r="L19" s="140" t="str">
        <f>_xll.ohRangeRetrieveError(K19)</f>
        <v/>
      </c>
      <c r="M19" s="125"/>
    </row>
    <row r="20" spans="1:13" x14ac:dyDescent="0.2">
      <c r="A20" s="96"/>
      <c r="B20" s="133" t="str">
        <f t="shared" si="2"/>
        <v>0d</v>
      </c>
      <c r="C20" s="133" t="s">
        <v>19</v>
      </c>
      <c r="D20" s="133" t="str">
        <f t="shared" si="3"/>
        <v>SB</v>
      </c>
      <c r="E20" s="133" t="str">
        <f t="shared" si="4"/>
        <v>1L</v>
      </c>
      <c r="F20" s="132" t="str">
        <f t="shared" si="0"/>
        <v>Semiannual</v>
      </c>
      <c r="G20" s="132" t="s">
        <v>130</v>
      </c>
      <c r="H20" s="132" t="str">
        <f t="shared" si="1"/>
        <v>Actual/365 (Fixed)</v>
      </c>
      <c r="I20" s="130" t="str">
        <f>Currency&amp;$E20&amp;$H$2&amp;$C20&amp;QuoteSuffix</f>
        <v>GBP1L6L15Y_Quote</v>
      </c>
      <c r="J20" s="129" t="str">
        <f>Currency&amp;$D20&amp;$H$2&amp;$C20&amp;"_Quote"</f>
        <v>GBPSB6L15Y_Quote</v>
      </c>
      <c r="K20" s="128" t="str">
        <f>_xll.qlSwapRateHelper2(,$J20,$C20,Calendar,$F20,$G20,$H20,$K$4,$I20,B20,Discounting,Permanent,,ObjectOverwrite)</f>
        <v>obj_0054c#0009</v>
      </c>
      <c r="L20" s="140" t="str">
        <f>_xll.ohRangeRetrieveError(K20)</f>
        <v/>
      </c>
      <c r="M20" s="125"/>
    </row>
    <row r="21" spans="1:13" x14ac:dyDescent="0.2">
      <c r="A21" s="96"/>
      <c r="B21" s="133" t="str">
        <f t="shared" si="2"/>
        <v>0d</v>
      </c>
      <c r="C21" s="133" t="s">
        <v>18</v>
      </c>
      <c r="D21" s="133" t="str">
        <f t="shared" si="3"/>
        <v>SB</v>
      </c>
      <c r="E21" s="133" t="str">
        <f t="shared" si="4"/>
        <v>1L</v>
      </c>
      <c r="F21" s="132" t="str">
        <f t="shared" si="0"/>
        <v>Semiannual</v>
      </c>
      <c r="G21" s="132" t="s">
        <v>130</v>
      </c>
      <c r="H21" s="132" t="str">
        <f t="shared" si="1"/>
        <v>Actual/365 (Fixed)</v>
      </c>
      <c r="I21" s="130" t="str">
        <f>Currency&amp;$E21&amp;$H$2&amp;$C21&amp;QuoteSuffix</f>
        <v>GBP1L6L16Y_Quote</v>
      </c>
      <c r="J21" s="129" t="str">
        <f>Currency&amp;$D21&amp;$H$2&amp;$C21&amp;"_Quote"</f>
        <v>GBPSB6L16Y_Quote</v>
      </c>
      <c r="K21" s="128" t="str">
        <f>_xll.qlSwapRateHelper2(,$J21,$C21,Calendar,$F21,$G21,$H21,$K$4,$I21,B21,Discounting,Permanent,,ObjectOverwrite)</f>
        <v>obj_0054d#0009</v>
      </c>
      <c r="L21" s="140" t="str">
        <f>_xll.ohRangeRetrieveError(K21)</f>
        <v/>
      </c>
      <c r="M21" s="125"/>
    </row>
    <row r="22" spans="1:13" x14ac:dyDescent="0.2">
      <c r="A22" s="96"/>
      <c r="B22" s="133" t="str">
        <f t="shared" si="2"/>
        <v>0d</v>
      </c>
      <c r="C22" s="133" t="s">
        <v>17</v>
      </c>
      <c r="D22" s="133" t="str">
        <f t="shared" si="3"/>
        <v>SB</v>
      </c>
      <c r="E22" s="133" t="str">
        <f t="shared" si="4"/>
        <v>1L</v>
      </c>
      <c r="F22" s="132" t="str">
        <f t="shared" si="0"/>
        <v>Semiannual</v>
      </c>
      <c r="G22" s="132" t="s">
        <v>130</v>
      </c>
      <c r="H22" s="132" t="str">
        <f t="shared" si="1"/>
        <v>Actual/365 (Fixed)</v>
      </c>
      <c r="I22" s="130" t="str">
        <f>Currency&amp;$E22&amp;$H$2&amp;$C22&amp;QuoteSuffix</f>
        <v>GBP1L6L17Y_Quote</v>
      </c>
      <c r="J22" s="129" t="str">
        <f>Currency&amp;$D22&amp;$H$2&amp;$C22&amp;"_Quote"</f>
        <v>GBPSB6L17Y_Quote</v>
      </c>
      <c r="K22" s="128" t="str">
        <f>_xll.qlSwapRateHelper2(,$J22,$C22,Calendar,$F22,$G22,$H22,$K$4,$I22,B22,Discounting,Permanent,,ObjectOverwrite)</f>
        <v>obj_0054e#0009</v>
      </c>
      <c r="L22" s="140" t="str">
        <f>_xll.ohRangeRetrieveError(K22)</f>
        <v/>
      </c>
      <c r="M22" s="125"/>
    </row>
    <row r="23" spans="1:13" x14ac:dyDescent="0.2">
      <c r="A23" s="96"/>
      <c r="B23" s="133" t="str">
        <f t="shared" si="2"/>
        <v>0d</v>
      </c>
      <c r="C23" s="133" t="s">
        <v>16</v>
      </c>
      <c r="D23" s="133" t="str">
        <f t="shared" si="3"/>
        <v>SB</v>
      </c>
      <c r="E23" s="133" t="str">
        <f t="shared" si="4"/>
        <v>1L</v>
      </c>
      <c r="F23" s="132" t="str">
        <f t="shared" si="0"/>
        <v>Semiannual</v>
      </c>
      <c r="G23" s="132" t="s">
        <v>130</v>
      </c>
      <c r="H23" s="132" t="str">
        <f t="shared" si="1"/>
        <v>Actual/365 (Fixed)</v>
      </c>
      <c r="I23" s="130" t="str">
        <f>Currency&amp;$E23&amp;$H$2&amp;$C23&amp;QuoteSuffix</f>
        <v>GBP1L6L18Y_Quote</v>
      </c>
      <c r="J23" s="129" t="str">
        <f>Currency&amp;$D23&amp;$H$2&amp;$C23&amp;"_Quote"</f>
        <v>GBPSB6L18Y_Quote</v>
      </c>
      <c r="K23" s="128" t="str">
        <f>_xll.qlSwapRateHelper2(,$J23,$C23,Calendar,$F23,$G23,$H23,$K$4,$I23,B23,Discounting,Permanent,,ObjectOverwrite)</f>
        <v>obj_0054f#0009</v>
      </c>
      <c r="L23" s="140" t="str">
        <f>_xll.ohRangeRetrieveError(K23)</f>
        <v/>
      </c>
      <c r="M23" s="125"/>
    </row>
    <row r="24" spans="1:13" x14ac:dyDescent="0.2">
      <c r="A24" s="96"/>
      <c r="B24" s="133" t="str">
        <f t="shared" si="2"/>
        <v>0d</v>
      </c>
      <c r="C24" s="133" t="s">
        <v>15</v>
      </c>
      <c r="D24" s="133" t="str">
        <f t="shared" si="3"/>
        <v>SB</v>
      </c>
      <c r="E24" s="133" t="str">
        <f t="shared" si="4"/>
        <v>1L</v>
      </c>
      <c r="F24" s="132" t="str">
        <f t="shared" si="0"/>
        <v>Semiannual</v>
      </c>
      <c r="G24" s="132" t="s">
        <v>130</v>
      </c>
      <c r="H24" s="132" t="str">
        <f t="shared" si="1"/>
        <v>Actual/365 (Fixed)</v>
      </c>
      <c r="I24" s="130" t="str">
        <f>Currency&amp;$E24&amp;$H$2&amp;$C24&amp;QuoteSuffix</f>
        <v>GBP1L6L19Y_Quote</v>
      </c>
      <c r="J24" s="129" t="str">
        <f>Currency&amp;$D24&amp;$H$2&amp;$C24&amp;"_Quote"</f>
        <v>GBPSB6L19Y_Quote</v>
      </c>
      <c r="K24" s="128" t="str">
        <f>_xll.qlSwapRateHelper2(,$J24,$C24,Calendar,$F24,$G24,$H24,$K$4,$I24,B24,Discounting,Permanent,,ObjectOverwrite)</f>
        <v>obj_00550#0009</v>
      </c>
      <c r="L24" s="140" t="str">
        <f>_xll.ohRangeRetrieveError(K24)</f>
        <v/>
      </c>
      <c r="M24" s="125"/>
    </row>
    <row r="25" spans="1:13" x14ac:dyDescent="0.2">
      <c r="A25" s="96"/>
      <c r="B25" s="133" t="str">
        <f t="shared" si="2"/>
        <v>0d</v>
      </c>
      <c r="C25" s="133" t="s">
        <v>14</v>
      </c>
      <c r="D25" s="133" t="str">
        <f t="shared" si="3"/>
        <v>SB</v>
      </c>
      <c r="E25" s="133" t="str">
        <f t="shared" si="4"/>
        <v>1L</v>
      </c>
      <c r="F25" s="132" t="str">
        <f t="shared" si="0"/>
        <v>Semiannual</v>
      </c>
      <c r="G25" s="132" t="s">
        <v>130</v>
      </c>
      <c r="H25" s="132" t="str">
        <f t="shared" si="1"/>
        <v>Actual/365 (Fixed)</v>
      </c>
      <c r="I25" s="130" t="str">
        <f>Currency&amp;$E25&amp;$H$2&amp;$C25&amp;QuoteSuffix</f>
        <v>GBP1L6L20Y_Quote</v>
      </c>
      <c r="J25" s="129" t="str">
        <f>Currency&amp;$D25&amp;$H$2&amp;$C25&amp;"_Quote"</f>
        <v>GBPSB6L20Y_Quote</v>
      </c>
      <c r="K25" s="128" t="str">
        <f>_xll.qlSwapRateHelper2(,$J25,$C25,Calendar,$F25,$G25,$H25,$K$4,$I25,B25,Discounting,Permanent,,ObjectOverwrite)</f>
        <v>obj_00551#0009</v>
      </c>
      <c r="L25" s="140" t="str">
        <f>_xll.ohRangeRetrieveError(K25)</f>
        <v/>
      </c>
      <c r="M25" s="125"/>
    </row>
    <row r="26" spans="1:13" x14ac:dyDescent="0.2">
      <c r="A26" s="96"/>
      <c r="B26" s="133" t="str">
        <f t="shared" si="2"/>
        <v>0d</v>
      </c>
      <c r="C26" s="133" t="s">
        <v>13</v>
      </c>
      <c r="D26" s="133" t="str">
        <f t="shared" si="3"/>
        <v>SB</v>
      </c>
      <c r="E26" s="133" t="str">
        <f t="shared" si="4"/>
        <v>1L</v>
      </c>
      <c r="F26" s="132" t="str">
        <f t="shared" si="0"/>
        <v>Semiannual</v>
      </c>
      <c r="G26" s="132" t="s">
        <v>130</v>
      </c>
      <c r="H26" s="132" t="str">
        <f t="shared" si="1"/>
        <v>Actual/365 (Fixed)</v>
      </c>
      <c r="I26" s="130" t="str">
        <f>Currency&amp;$E26&amp;$H$2&amp;$C26&amp;QuoteSuffix</f>
        <v>GBP1L6L21Y_Quote</v>
      </c>
      <c r="J26" s="129" t="str">
        <f>Currency&amp;$D26&amp;$H$2&amp;$C26&amp;"_Quote"</f>
        <v>GBPSB6L21Y_Quote</v>
      </c>
      <c r="K26" s="128" t="str">
        <f>_xll.qlSwapRateHelper2(,$J26,$C26,Calendar,$F26,$G26,$H26,$K$4,$I26,B26,Discounting,Permanent,,ObjectOverwrite)</f>
        <v>obj_00552#0009</v>
      </c>
      <c r="L26" s="140" t="str">
        <f>_xll.ohRangeRetrieveError(K26)</f>
        <v/>
      </c>
      <c r="M26" s="125"/>
    </row>
    <row r="27" spans="1:13" x14ac:dyDescent="0.2">
      <c r="A27" s="96"/>
      <c r="B27" s="133" t="str">
        <f t="shared" si="2"/>
        <v>0d</v>
      </c>
      <c r="C27" s="133" t="s">
        <v>12</v>
      </c>
      <c r="D27" s="133" t="str">
        <f t="shared" si="3"/>
        <v>SB</v>
      </c>
      <c r="E27" s="133" t="str">
        <f t="shared" si="4"/>
        <v>1L</v>
      </c>
      <c r="F27" s="132" t="str">
        <f t="shared" si="0"/>
        <v>Semiannual</v>
      </c>
      <c r="G27" s="132" t="s">
        <v>130</v>
      </c>
      <c r="H27" s="132" t="str">
        <f t="shared" si="1"/>
        <v>Actual/365 (Fixed)</v>
      </c>
      <c r="I27" s="130" t="str">
        <f>Currency&amp;$E27&amp;$H$2&amp;$C27&amp;QuoteSuffix</f>
        <v>GBP1L6L22Y_Quote</v>
      </c>
      <c r="J27" s="129" t="str">
        <f>Currency&amp;$D27&amp;$H$2&amp;$C27&amp;"_Quote"</f>
        <v>GBPSB6L22Y_Quote</v>
      </c>
      <c r="K27" s="128" t="str">
        <f>_xll.qlSwapRateHelper2(,$J27,$C27,Calendar,$F27,$G27,$H27,$K$4,$I27,B27,Discounting,Permanent,,ObjectOverwrite)</f>
        <v>obj_00553#0009</v>
      </c>
      <c r="L27" s="140" t="str">
        <f>_xll.ohRangeRetrieveError(K27)</f>
        <v/>
      </c>
      <c r="M27" s="125"/>
    </row>
    <row r="28" spans="1:13" x14ac:dyDescent="0.2">
      <c r="A28" s="96"/>
      <c r="B28" s="133" t="str">
        <f t="shared" si="2"/>
        <v>0d</v>
      </c>
      <c r="C28" s="133" t="s">
        <v>11</v>
      </c>
      <c r="D28" s="133" t="str">
        <f t="shared" si="3"/>
        <v>SB</v>
      </c>
      <c r="E28" s="133" t="str">
        <f t="shared" si="4"/>
        <v>1L</v>
      </c>
      <c r="F28" s="132" t="str">
        <f t="shared" si="0"/>
        <v>Semiannual</v>
      </c>
      <c r="G28" s="132" t="s">
        <v>130</v>
      </c>
      <c r="H28" s="132" t="str">
        <f t="shared" si="1"/>
        <v>Actual/365 (Fixed)</v>
      </c>
      <c r="I28" s="130" t="str">
        <f>Currency&amp;$E28&amp;$H$2&amp;$C28&amp;QuoteSuffix</f>
        <v>GBP1L6L23Y_Quote</v>
      </c>
      <c r="J28" s="129" t="str">
        <f>Currency&amp;$D28&amp;$H$2&amp;$C28&amp;"_Quote"</f>
        <v>GBPSB6L23Y_Quote</v>
      </c>
      <c r="K28" s="128" t="str">
        <f>_xll.qlSwapRateHelper2(,$J28,$C28,Calendar,$F28,$G28,$H28,$K$4,$I28,B28,Discounting,Permanent,,ObjectOverwrite)</f>
        <v>obj_00554#0009</v>
      </c>
      <c r="L28" s="140" t="str">
        <f>_xll.ohRangeRetrieveError(K28)</f>
        <v/>
      </c>
      <c r="M28" s="125"/>
    </row>
    <row r="29" spans="1:13" x14ac:dyDescent="0.2">
      <c r="A29" s="96"/>
      <c r="B29" s="133" t="str">
        <f t="shared" si="2"/>
        <v>0d</v>
      </c>
      <c r="C29" s="133" t="s">
        <v>10</v>
      </c>
      <c r="D29" s="133" t="str">
        <f t="shared" si="3"/>
        <v>SB</v>
      </c>
      <c r="E29" s="133" t="str">
        <f t="shared" si="4"/>
        <v>1L</v>
      </c>
      <c r="F29" s="132" t="str">
        <f t="shared" si="0"/>
        <v>Semiannual</v>
      </c>
      <c r="G29" s="132" t="s">
        <v>130</v>
      </c>
      <c r="H29" s="132" t="str">
        <f t="shared" si="1"/>
        <v>Actual/365 (Fixed)</v>
      </c>
      <c r="I29" s="130" t="str">
        <f>Currency&amp;$E29&amp;$H$2&amp;$C29&amp;QuoteSuffix</f>
        <v>GBP1L6L24Y_Quote</v>
      </c>
      <c r="J29" s="129" t="str">
        <f>Currency&amp;$D29&amp;$H$2&amp;$C29&amp;"_Quote"</f>
        <v>GBPSB6L24Y_Quote</v>
      </c>
      <c r="K29" s="128" t="str">
        <f>_xll.qlSwapRateHelper2(,$J29,$C29,Calendar,$F29,$G29,$H29,$K$4,$I29,B29,Discounting,Permanent,,ObjectOverwrite)</f>
        <v>obj_00555#0009</v>
      </c>
      <c r="L29" s="140" t="str">
        <f>_xll.ohRangeRetrieveError(K29)</f>
        <v/>
      </c>
      <c r="M29" s="125"/>
    </row>
    <row r="30" spans="1:13" x14ac:dyDescent="0.2">
      <c r="A30" s="96"/>
      <c r="B30" s="133" t="str">
        <f t="shared" si="2"/>
        <v>0d</v>
      </c>
      <c r="C30" s="133" t="s">
        <v>9</v>
      </c>
      <c r="D30" s="133" t="str">
        <f t="shared" si="3"/>
        <v>SB</v>
      </c>
      <c r="E30" s="133" t="str">
        <f t="shared" si="4"/>
        <v>1L</v>
      </c>
      <c r="F30" s="132" t="str">
        <f t="shared" si="0"/>
        <v>Semiannual</v>
      </c>
      <c r="G30" s="132" t="s">
        <v>130</v>
      </c>
      <c r="H30" s="132" t="str">
        <f t="shared" si="1"/>
        <v>Actual/365 (Fixed)</v>
      </c>
      <c r="I30" s="130" t="str">
        <f>Currency&amp;$E30&amp;$H$2&amp;$C30&amp;QuoteSuffix</f>
        <v>GBP1L6L25Y_Quote</v>
      </c>
      <c r="J30" s="129" t="str">
        <f>Currency&amp;$D30&amp;$H$2&amp;$C30&amp;"_Quote"</f>
        <v>GBPSB6L25Y_Quote</v>
      </c>
      <c r="K30" s="128" t="str">
        <f>_xll.qlSwapRateHelper2(,$J30,$C30,Calendar,$F30,$G30,$H30,$K$4,$I30,B30,Discounting,Permanent,,ObjectOverwrite)</f>
        <v>obj_00556#0009</v>
      </c>
      <c r="L30" s="140" t="str">
        <f>_xll.ohRangeRetrieveError(K30)</f>
        <v/>
      </c>
      <c r="M30" s="125"/>
    </row>
    <row r="31" spans="1:13" x14ac:dyDescent="0.2">
      <c r="A31" s="96"/>
      <c r="B31" s="133" t="str">
        <f t="shared" si="2"/>
        <v>0d</v>
      </c>
      <c r="C31" s="133" t="s">
        <v>8</v>
      </c>
      <c r="D31" s="133" t="str">
        <f t="shared" si="3"/>
        <v>SB</v>
      </c>
      <c r="E31" s="133" t="str">
        <f t="shared" si="4"/>
        <v>1L</v>
      </c>
      <c r="F31" s="132" t="str">
        <f t="shared" si="0"/>
        <v>Semiannual</v>
      </c>
      <c r="G31" s="132" t="s">
        <v>130</v>
      </c>
      <c r="H31" s="132" t="str">
        <f t="shared" si="1"/>
        <v>Actual/365 (Fixed)</v>
      </c>
      <c r="I31" s="130" t="str">
        <f>Currency&amp;$E31&amp;$H$2&amp;$C31&amp;QuoteSuffix</f>
        <v>GBP1L6L26Y_Quote</v>
      </c>
      <c r="J31" s="129" t="str">
        <f>Currency&amp;$D31&amp;$H$2&amp;$C31&amp;"_Quote"</f>
        <v>GBPSB6L26Y_Quote</v>
      </c>
      <c r="K31" s="128" t="str">
        <f>_xll.qlSwapRateHelper2(,$J31,$C31,Calendar,$F31,$G31,$H31,$K$4,$I31,B31,Discounting,Permanent,,ObjectOverwrite)</f>
        <v>obj_00557#0009</v>
      </c>
      <c r="L31" s="140" t="str">
        <f>_xll.ohRangeRetrieveError(K31)</f>
        <v/>
      </c>
      <c r="M31" s="125"/>
    </row>
    <row r="32" spans="1:13" x14ac:dyDescent="0.2">
      <c r="A32" s="96"/>
      <c r="B32" s="133" t="str">
        <f t="shared" si="2"/>
        <v>0d</v>
      </c>
      <c r="C32" s="133" t="s">
        <v>7</v>
      </c>
      <c r="D32" s="133" t="str">
        <f t="shared" si="3"/>
        <v>SB</v>
      </c>
      <c r="E32" s="133" t="str">
        <f t="shared" si="4"/>
        <v>1L</v>
      </c>
      <c r="F32" s="132" t="str">
        <f t="shared" si="0"/>
        <v>Semiannual</v>
      </c>
      <c r="G32" s="132" t="s">
        <v>130</v>
      </c>
      <c r="H32" s="132" t="str">
        <f t="shared" si="1"/>
        <v>Actual/365 (Fixed)</v>
      </c>
      <c r="I32" s="130" t="str">
        <f>Currency&amp;$E32&amp;$H$2&amp;$C32&amp;QuoteSuffix</f>
        <v>GBP1L6L27Y_Quote</v>
      </c>
      <c r="J32" s="129" t="str">
        <f>Currency&amp;$D32&amp;$H$2&amp;$C32&amp;"_Quote"</f>
        <v>GBPSB6L27Y_Quote</v>
      </c>
      <c r="K32" s="128" t="str">
        <f>_xll.qlSwapRateHelper2(,$J32,$C32,Calendar,$F32,$G32,$H32,$K$4,$I32,B32,Discounting,Permanent,,ObjectOverwrite)</f>
        <v>obj_00558#0009</v>
      </c>
      <c r="L32" s="140" t="str">
        <f>_xll.ohRangeRetrieveError(K32)</f>
        <v/>
      </c>
      <c r="M32" s="125"/>
    </row>
    <row r="33" spans="1:13" x14ac:dyDescent="0.2">
      <c r="A33" s="96"/>
      <c r="B33" s="133" t="str">
        <f t="shared" si="2"/>
        <v>0d</v>
      </c>
      <c r="C33" s="133" t="s">
        <v>6</v>
      </c>
      <c r="D33" s="133" t="str">
        <f t="shared" si="3"/>
        <v>SB</v>
      </c>
      <c r="E33" s="133" t="str">
        <f t="shared" si="4"/>
        <v>1L</v>
      </c>
      <c r="F33" s="132" t="str">
        <f t="shared" si="0"/>
        <v>Semiannual</v>
      </c>
      <c r="G33" s="132" t="s">
        <v>130</v>
      </c>
      <c r="H33" s="132" t="str">
        <f t="shared" si="1"/>
        <v>Actual/365 (Fixed)</v>
      </c>
      <c r="I33" s="130" t="str">
        <f>Currency&amp;$E33&amp;$H$2&amp;$C33&amp;QuoteSuffix</f>
        <v>GBP1L6L28Y_Quote</v>
      </c>
      <c r="J33" s="129" t="str">
        <f>Currency&amp;$D33&amp;$H$2&amp;$C33&amp;"_Quote"</f>
        <v>GBPSB6L28Y_Quote</v>
      </c>
      <c r="K33" s="128" t="str">
        <f>_xll.qlSwapRateHelper2(,$J33,$C33,Calendar,$F33,$G33,$H33,$K$4,$I33,B33,Discounting,Permanent,,ObjectOverwrite)</f>
        <v>obj_00559#0009</v>
      </c>
      <c r="L33" s="140" t="str">
        <f>_xll.ohRangeRetrieveError(K33)</f>
        <v/>
      </c>
      <c r="M33" s="125"/>
    </row>
    <row r="34" spans="1:13" x14ac:dyDescent="0.2">
      <c r="A34" s="96"/>
      <c r="B34" s="133" t="str">
        <f t="shared" si="2"/>
        <v>0d</v>
      </c>
      <c r="C34" s="133" t="s">
        <v>5</v>
      </c>
      <c r="D34" s="133" t="str">
        <f t="shared" si="3"/>
        <v>SB</v>
      </c>
      <c r="E34" s="133" t="str">
        <f t="shared" si="4"/>
        <v>1L</v>
      </c>
      <c r="F34" s="132" t="str">
        <f t="shared" si="0"/>
        <v>Semiannual</v>
      </c>
      <c r="G34" s="132" t="s">
        <v>130</v>
      </c>
      <c r="H34" s="132" t="str">
        <f t="shared" si="1"/>
        <v>Actual/365 (Fixed)</v>
      </c>
      <c r="I34" s="130" t="str">
        <f>Currency&amp;$E34&amp;$H$2&amp;$C34&amp;QuoteSuffix</f>
        <v>GBP1L6L29Y_Quote</v>
      </c>
      <c r="J34" s="129" t="str">
        <f>Currency&amp;$D34&amp;$H$2&amp;$C34&amp;"_Quote"</f>
        <v>GBPSB6L29Y_Quote</v>
      </c>
      <c r="K34" s="128" t="str">
        <f>_xll.qlSwapRateHelper2(,$J34,$C34,Calendar,$F34,$G34,$H34,$K$4,$I34,B34,Discounting,Permanent,,ObjectOverwrite)</f>
        <v>obj_0055a#0009</v>
      </c>
      <c r="L34" s="140" t="str">
        <f>_xll.ohRangeRetrieveError(K34)</f>
        <v/>
      </c>
      <c r="M34" s="125"/>
    </row>
    <row r="35" spans="1:13" x14ac:dyDescent="0.2">
      <c r="A35" s="96"/>
      <c r="B35" s="133" t="str">
        <f t="shared" si="2"/>
        <v>0d</v>
      </c>
      <c r="C35" s="133" t="s">
        <v>4</v>
      </c>
      <c r="D35" s="133" t="str">
        <f t="shared" si="3"/>
        <v>SB</v>
      </c>
      <c r="E35" s="133" t="str">
        <f t="shared" si="4"/>
        <v>1L</v>
      </c>
      <c r="F35" s="132" t="str">
        <f t="shared" si="0"/>
        <v>Semiannual</v>
      </c>
      <c r="G35" s="132" t="s">
        <v>130</v>
      </c>
      <c r="H35" s="132" t="str">
        <f t="shared" si="1"/>
        <v>Actual/365 (Fixed)</v>
      </c>
      <c r="I35" s="130" t="str">
        <f>Currency&amp;$E35&amp;$H$2&amp;$C35&amp;QuoteSuffix</f>
        <v>GBP1L6L30Y_Quote</v>
      </c>
      <c r="J35" s="129" t="str">
        <f>Currency&amp;$D35&amp;$H$2&amp;$C35&amp;"_Quote"</f>
        <v>GBPSB6L30Y_Quote</v>
      </c>
      <c r="K35" s="128" t="str">
        <f>_xll.qlSwapRateHelper2(,$J35,$C35,Calendar,$F35,$G35,$H35,$K$4,$I35,B35,Discounting,Permanent,,ObjectOverwrite)</f>
        <v>obj_0055b#0009</v>
      </c>
      <c r="L35" s="140" t="str">
        <f>_xll.ohRangeRetrieveError(K35)</f>
        <v/>
      </c>
      <c r="M35" s="125"/>
    </row>
    <row r="36" spans="1:13" x14ac:dyDescent="0.2">
      <c r="A36" s="96"/>
      <c r="B36" s="133" t="str">
        <f t="shared" si="2"/>
        <v>0d</v>
      </c>
      <c r="C36" s="133" t="s">
        <v>3</v>
      </c>
      <c r="D36" s="133" t="str">
        <f t="shared" si="3"/>
        <v>SB</v>
      </c>
      <c r="E36" s="133" t="str">
        <f t="shared" si="4"/>
        <v>1L</v>
      </c>
      <c r="F36" s="132" t="str">
        <f t="shared" si="0"/>
        <v>Semiannual</v>
      </c>
      <c r="G36" s="132" t="s">
        <v>130</v>
      </c>
      <c r="H36" s="132" t="str">
        <f t="shared" si="1"/>
        <v>Actual/365 (Fixed)</v>
      </c>
      <c r="I36" s="130" t="str">
        <f>Currency&amp;$E36&amp;$H$2&amp;$C36&amp;QuoteSuffix</f>
        <v>GBP1L6L35Y_Quote</v>
      </c>
      <c r="J36" s="129" t="str">
        <f>Currency&amp;$D36&amp;$H$2&amp;$C36&amp;"_Quote"</f>
        <v>GBPSB6L35Y_Quote</v>
      </c>
      <c r="K36" s="128" t="str">
        <f>_xll.qlSwapRateHelper2(,$J36,$C36,Calendar,$F36,$G36,$H36,$K$4,$I36,B36,Discounting,Permanent,,ObjectOverwrite)</f>
        <v>obj_0055c#0009</v>
      </c>
      <c r="L36" s="140" t="str">
        <f>_xll.ohRangeRetrieveError(K36)</f>
        <v/>
      </c>
      <c r="M36" s="125"/>
    </row>
    <row r="37" spans="1:13" x14ac:dyDescent="0.2">
      <c r="A37" s="96"/>
      <c r="B37" s="133" t="str">
        <f t="shared" si="2"/>
        <v>0d</v>
      </c>
      <c r="C37" s="133" t="s">
        <v>2</v>
      </c>
      <c r="D37" s="133" t="str">
        <f t="shared" si="3"/>
        <v>SB</v>
      </c>
      <c r="E37" s="133" t="str">
        <f t="shared" si="4"/>
        <v>1L</v>
      </c>
      <c r="F37" s="132" t="str">
        <f t="shared" si="0"/>
        <v>Semiannual</v>
      </c>
      <c r="G37" s="132" t="s">
        <v>130</v>
      </c>
      <c r="H37" s="132" t="str">
        <f t="shared" si="1"/>
        <v>Actual/365 (Fixed)</v>
      </c>
      <c r="I37" s="130" t="str">
        <f>Currency&amp;$E37&amp;$H$2&amp;$C37&amp;QuoteSuffix</f>
        <v>GBP1L6L40Y_Quote</v>
      </c>
      <c r="J37" s="129" t="str">
        <f>Currency&amp;$D37&amp;$H$2&amp;$C37&amp;"_Quote"</f>
        <v>GBPSB6L40Y_Quote</v>
      </c>
      <c r="K37" s="128" t="str">
        <f>_xll.qlSwapRateHelper2(,$J37,$C37,Calendar,$F37,$G37,$H37,$K$4,$I37,B37,Discounting,Permanent,,ObjectOverwrite)</f>
        <v>obj_0055d#0009</v>
      </c>
      <c r="L37" s="140" t="str">
        <f>_xll.ohRangeRetrieveError(K37)</f>
        <v/>
      </c>
      <c r="M37" s="125"/>
    </row>
    <row r="38" spans="1:13" x14ac:dyDescent="0.2">
      <c r="A38" s="96"/>
      <c r="B38" s="133" t="str">
        <f t="shared" si="2"/>
        <v>0d</v>
      </c>
      <c r="C38" s="133" t="s">
        <v>1</v>
      </c>
      <c r="D38" s="133" t="str">
        <f t="shared" si="3"/>
        <v>SB</v>
      </c>
      <c r="E38" s="133" t="str">
        <f t="shared" si="4"/>
        <v>1L</v>
      </c>
      <c r="F38" s="132" t="str">
        <f t="shared" si="0"/>
        <v>Semiannual</v>
      </c>
      <c r="G38" s="132" t="s">
        <v>130</v>
      </c>
      <c r="H38" s="132" t="str">
        <f t="shared" si="1"/>
        <v>Actual/365 (Fixed)</v>
      </c>
      <c r="I38" s="130" t="str">
        <f>Currency&amp;$E38&amp;$H$2&amp;$C38&amp;QuoteSuffix</f>
        <v>GBP1L6L50Y_Quote</v>
      </c>
      <c r="J38" s="129" t="str">
        <f>Currency&amp;$D38&amp;$H$2&amp;$C38&amp;"_Quote"</f>
        <v>GBPSB6L50Y_Quote</v>
      </c>
      <c r="K38" s="128" t="str">
        <f>_xll.qlSwapRateHelper2(,$J38,$C38,Calendar,$F38,$G38,$H38,$K$4,$I38,B38,Discounting,Permanent,,ObjectOverwrite)</f>
        <v>obj_0055e#0009</v>
      </c>
      <c r="L38" s="140" t="str">
        <f>_xll.ohRangeRetrieveError(K38)</f>
        <v/>
      </c>
      <c r="M38" s="125"/>
    </row>
    <row r="39" spans="1:13" x14ac:dyDescent="0.2">
      <c r="A39" s="96"/>
      <c r="B39" s="133" t="str">
        <f t="shared" si="2"/>
        <v>0d</v>
      </c>
      <c r="C39" s="133" t="s">
        <v>0</v>
      </c>
      <c r="D39" s="133" t="str">
        <f t="shared" si="3"/>
        <v>SB</v>
      </c>
      <c r="E39" s="133" t="str">
        <f t="shared" si="4"/>
        <v>1L</v>
      </c>
      <c r="F39" s="132" t="str">
        <f t="shared" si="0"/>
        <v>Semiannual</v>
      </c>
      <c r="G39" s="132" t="s">
        <v>130</v>
      </c>
      <c r="H39" s="132" t="str">
        <f t="shared" si="1"/>
        <v>Actual/365 (Fixed)</v>
      </c>
      <c r="I39" s="130" t="str">
        <f>Currency&amp;$E39&amp;$H$2&amp;$C39&amp;QuoteSuffix</f>
        <v>GBP1L6L60Y_Quote</v>
      </c>
      <c r="J39" s="129" t="str">
        <f>Currency&amp;$D39&amp;$H$2&amp;$C39&amp;"_Quote"</f>
        <v>GBPSB6L60Y_Quote</v>
      </c>
      <c r="K39" s="128" t="str">
        <f>_xll.qlSwapRateHelper2(,$J39,$C39,Calendar,$F39,$G39,$H39,$K$4,$I39,B39,Discounting,Permanent,,ObjectOverwrite)</f>
        <v>obj_0055f#0009</v>
      </c>
      <c r="L39" s="140" t="str">
        <f>_xll.ohRangeRetrieveError(K39)</f>
        <v/>
      </c>
      <c r="M39" s="125"/>
    </row>
    <row r="40" spans="1:13" ht="12" thickBot="1" x14ac:dyDescent="0.25">
      <c r="A40" s="91"/>
      <c r="B40" s="90"/>
      <c r="C40" s="90"/>
      <c r="D40" s="90"/>
      <c r="E40" s="90"/>
      <c r="F40" s="90"/>
      <c r="G40" s="90"/>
      <c r="H40" s="90"/>
      <c r="I40" s="90"/>
      <c r="J40" s="90"/>
      <c r="K40" s="124"/>
      <c r="L40" s="124"/>
      <c r="M40" s="123"/>
    </row>
  </sheetData>
  <dataValidations count="1">
    <dataValidation type="list" allowBlank="1" showInputMessage="1" showErrorMessage="1" sqref="G6:G39">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zoomScaleNormal="100" zoomScaleSheetLayoutView="110" workbookViewId="0">
      <selection activeCell="L17" sqref="L1:N1048576"/>
    </sheetView>
  </sheetViews>
  <sheetFormatPr defaultRowHeight="11.25" outlineLevelRow="1" outlineLevelCol="1" x14ac:dyDescent="0.2"/>
  <cols>
    <col min="1" max="1" width="7.5703125" style="32" customWidth="1"/>
    <col min="2" max="2" width="6" style="182" bestFit="1" customWidth="1"/>
    <col min="3" max="3" width="17.28515625" style="182" bestFit="1" customWidth="1"/>
    <col min="4" max="4" width="7" style="32" bestFit="1" customWidth="1"/>
    <col min="5" max="5" width="17.28515625" style="32" bestFit="1" customWidth="1"/>
    <col min="6" max="6" width="20.28515625" style="182" bestFit="1" customWidth="1"/>
    <col min="7" max="7" width="4" style="182" bestFit="1" customWidth="1"/>
    <col min="8" max="8" width="6" style="182" bestFit="1" customWidth="1"/>
    <col min="9" max="9" width="11" style="182" bestFit="1" customWidth="1"/>
    <col min="10" max="10" width="15.140625" style="182" bestFit="1" customWidth="1"/>
    <col min="11" max="11" width="10" style="32" bestFit="1" customWidth="1"/>
    <col min="12" max="12" width="4" style="32" customWidth="1"/>
    <col min="13" max="13" width="15.140625" style="32" customWidth="1"/>
    <col min="14" max="14" width="24.42578125" style="32" bestFit="1" customWidth="1"/>
    <col min="15" max="15" width="17.28515625" style="32" bestFit="1" customWidth="1"/>
    <col min="16" max="16" width="12" style="32" bestFit="1" customWidth="1"/>
    <col min="17" max="18" width="17.28515625" style="32" customWidth="1" outlineLevel="1"/>
    <col min="19" max="19" width="15.140625" style="187" customWidth="1" outlineLevel="1"/>
    <col min="20" max="20" width="16.140625" style="32" customWidth="1"/>
    <col min="21" max="21" width="10" style="32" bestFit="1" customWidth="1"/>
    <col min="22" max="22" width="13.140625" style="32" bestFit="1" customWidth="1"/>
    <col min="23" max="23" width="19.28515625" style="32" bestFit="1" customWidth="1"/>
    <col min="24" max="25" width="17.28515625" style="32" bestFit="1" customWidth="1"/>
    <col min="26" max="27" width="15.140625" style="32" bestFit="1" customWidth="1"/>
    <col min="28" max="28" width="13.140625" style="32" bestFit="1" customWidth="1"/>
    <col min="29" max="16384" width="9.140625" style="32"/>
  </cols>
  <sheetData>
    <row r="1" spans="1:28" s="182" customFormat="1" ht="12" outlineLevel="1" thickBot="1" x14ac:dyDescent="0.25">
      <c r="A1" s="176"/>
      <c r="B1" s="177" t="s">
        <v>164</v>
      </c>
      <c r="C1" s="178"/>
      <c r="D1" s="177"/>
      <c r="E1" s="179"/>
      <c r="F1" s="180"/>
      <c r="G1" s="176" t="s">
        <v>165</v>
      </c>
      <c r="H1" s="181"/>
      <c r="I1" s="180"/>
      <c r="J1" s="181"/>
      <c r="K1" s="180"/>
    </row>
    <row r="2" spans="1:28" outlineLevel="1" x14ac:dyDescent="0.2">
      <c r="A2" s="183"/>
      <c r="B2" s="184" t="s">
        <v>166</v>
      </c>
      <c r="C2" s="185" t="s">
        <v>167</v>
      </c>
      <c r="D2" s="185" t="s">
        <v>113</v>
      </c>
      <c r="E2" s="185" t="s">
        <v>168</v>
      </c>
      <c r="F2" s="186" t="s">
        <v>169</v>
      </c>
      <c r="G2" s="184" t="s">
        <v>167</v>
      </c>
      <c r="H2" s="185" t="s">
        <v>168</v>
      </c>
      <c r="I2" s="186" t="s">
        <v>170</v>
      </c>
      <c r="J2" s="185" t="s">
        <v>171</v>
      </c>
      <c r="K2" s="186" t="s">
        <v>172</v>
      </c>
      <c r="L2" s="182"/>
      <c r="M2" s="182"/>
    </row>
    <row r="3" spans="1:28" outlineLevel="1" x14ac:dyDescent="0.2">
      <c r="A3" s="188"/>
      <c r="B3" s="189" t="str">
        <f>_xll.qlPeriodEquivalent(D3&amp;"M")</f>
        <v>1Y</v>
      </c>
      <c r="C3" s="190">
        <f>_xll.qlDateEndOfMonth(EDATE(_xll.qlSettingsEvaluationDate(Trigger),-1))</f>
        <v>41790</v>
      </c>
      <c r="D3" s="191">
        <v>12</v>
      </c>
      <c r="E3" s="190">
        <f t="shared" ref="E3:E16" si="0">EDATE($Y$19,$D3)</f>
        <v>42182</v>
      </c>
      <c r="F3" s="192">
        <f>IF(D3&lt;=12,1,IF(D3&lt;=24,3,IF(D3&lt;=120,6,IF(D3&lt;=240,12,IF(D3&lt;=360,36,60)))))</f>
        <v>1</v>
      </c>
      <c r="G3" s="193">
        <f>ROUNDDOWN(J3*10,2)/10</f>
        <v>4.0000000000000001E-3</v>
      </c>
      <c r="H3" s="194">
        <f>IF(K3-J3&gt;1%,(QUOTIENT(K3*10000,50)+1)*0.5%,(QUOTIENT(K3*10000,10)+1)*0.1%)</f>
        <v>1.2E-2</v>
      </c>
      <c r="I3" s="195">
        <f>IF(H3-G3&lt;0.5%,0.05%,IF(H3-G3&lt;1%,0.1%,IF(H3-G3&lt;2%,0.25%,0.5%)))</f>
        <v>1E-3</v>
      </c>
      <c r="J3" s="194">
        <f>MIN(_xll.ohPack($Z$19:INDEX($Z$19:$Z$3552,MATCH(E3+1,$Y$19:$Y$3552,1),1)))</f>
        <v>4.9249999999998531E-3</v>
      </c>
      <c r="K3" s="195">
        <f>MAX(_xll.ohPack($Z$19:INDEX($Z$19:$Z$3552,MATCH(E3+1,$Y$19:$Y$3552,1),1)))</f>
        <v>1.1989935553385506E-2</v>
      </c>
      <c r="L3" s="182"/>
      <c r="M3" s="182"/>
      <c r="N3" s="87"/>
    </row>
    <row r="4" spans="1:28" ht="12" customHeight="1" outlineLevel="1" x14ac:dyDescent="0.25">
      <c r="A4" s="188"/>
      <c r="B4" s="189" t="str">
        <f>_xll.qlPeriodEquivalent(D4&amp;"M")</f>
        <v>2Y</v>
      </c>
      <c r="C4" s="190">
        <f>_xll.qlDateEndOfMonth(EDATE(_xll.qlIMMNextDate(_xll.qlSettingsEvaluationDate(Trigger)-1,TRUE),-3))</f>
        <v>41820</v>
      </c>
      <c r="D4" s="191">
        <v>24</v>
      </c>
      <c r="E4" s="190">
        <f t="shared" si="0"/>
        <v>42548</v>
      </c>
      <c r="F4" s="192">
        <f t="shared" ref="F4:F16" si="1">IF(D4&lt;=12,1,IF(D4&lt;=24,3,IF(D4&lt;=120,6,IF(D4&lt;=240,12,IF(D4&lt;=360,36,60)))))</f>
        <v>3</v>
      </c>
      <c r="G4" s="193">
        <f t="shared" ref="G4:G16" si="2">ROUNDDOWN(J4*10,2)/10</f>
        <v>4.0000000000000001E-3</v>
      </c>
      <c r="H4" s="194">
        <f t="shared" ref="H4:H16" si="3">IF(K4-J4&gt;1%,(QUOTIENT(K4*10000,50)+1)*0.5%,(QUOTIENT(K4*10000,10)+1)*0.1%)</f>
        <v>2.5000000000000001E-2</v>
      </c>
      <c r="I4" s="195">
        <f t="shared" ref="I4:I16" si="4">IF(H4-G4&lt;0.5%,0.05%,IF(H4-G4&lt;1%,0.1%,IF(H4-G4&lt;2%,0.25%,0.5%)))</f>
        <v>5.0000000000000001E-3</v>
      </c>
      <c r="J4" s="194">
        <f>MIN(_xll.ohPack($Z$19:INDEX($Z$19:$Z$3552,MATCH(E4+1,$Y$19:$Y$3552,1),1)))</f>
        <v>4.9249999999998531E-3</v>
      </c>
      <c r="K4" s="195">
        <f>MAX(_xll.ohPack($Z$19:INDEX($Z$19:$Z$3552,MATCH(E4+1,$Y$19:$Y$3552,1),1)))</f>
        <v>2.0384690073597816E-2</v>
      </c>
      <c r="L4" s="182"/>
      <c r="M4" s="182"/>
      <c r="X4"/>
      <c r="Y4"/>
      <c r="Z4"/>
      <c r="AA4"/>
      <c r="AB4"/>
    </row>
    <row r="5" spans="1:28" outlineLevel="1" x14ac:dyDescent="0.2">
      <c r="A5" s="188"/>
      <c r="B5" s="189" t="str">
        <f>_xll.qlPeriodEquivalent(D5&amp;"M")</f>
        <v>5Y</v>
      </c>
      <c r="C5" s="19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91">
        <v>60</v>
      </c>
      <c r="E5" s="190">
        <f t="shared" si="0"/>
        <v>43643</v>
      </c>
      <c r="F5" s="192">
        <f t="shared" si="1"/>
        <v>6</v>
      </c>
      <c r="G5" s="193">
        <f t="shared" si="2"/>
        <v>4.0000000000000001E-3</v>
      </c>
      <c r="H5" s="194">
        <f t="shared" si="3"/>
        <v>0.03</v>
      </c>
      <c r="I5" s="195">
        <f t="shared" si="4"/>
        <v>5.0000000000000001E-3</v>
      </c>
      <c r="J5" s="194">
        <f>MIN(_xll.ohPack($Z$19:INDEX($Z$19:$Z$3552,MATCH(E5+1,$Y$19:$Y$3552,1),1)))</f>
        <v>4.9249999999998531E-3</v>
      </c>
      <c r="K5" s="195">
        <f>MAX(_xll.ohPack($Z$19:INDEX($Z$19:$Z$3552,MATCH(E5+1,$Y$19:$Y$3552,1),1)))</f>
        <v>2.8513247794152187E-2</v>
      </c>
      <c r="L5" s="182"/>
      <c r="M5" s="182"/>
    </row>
    <row r="6" spans="1:28" outlineLevel="1" x14ac:dyDescent="0.2">
      <c r="A6" s="188" t="s">
        <v>173</v>
      </c>
      <c r="B6" s="189" t="str">
        <f>_xll.qlPeriodEquivalent(D6&amp;"M")</f>
        <v>10Y</v>
      </c>
      <c r="C6" s="190">
        <f>C5</f>
        <v>41820</v>
      </c>
      <c r="D6" s="191">
        <v>120</v>
      </c>
      <c r="E6" s="190">
        <f t="shared" si="0"/>
        <v>45470</v>
      </c>
      <c r="F6" s="192">
        <f t="shared" si="1"/>
        <v>6</v>
      </c>
      <c r="G6" s="193">
        <f t="shared" si="2"/>
        <v>4.0000000000000001E-3</v>
      </c>
      <c r="H6" s="194">
        <f t="shared" si="3"/>
        <v>3.5000000000000003E-2</v>
      </c>
      <c r="I6" s="195">
        <f t="shared" si="4"/>
        <v>5.0000000000000001E-3</v>
      </c>
      <c r="J6" s="194">
        <f>MIN(_xll.ohPack($Z$19:INDEX($Z$19:$Z$3552,MATCH(E6+1,$Y$19:$Y$3552,1),1)))</f>
        <v>4.9249999999998531E-3</v>
      </c>
      <c r="K6" s="195">
        <f>MAX(_xll.ohPack($Z$19:INDEX($Z$19:$Z$3552,MATCH(E6+1,$Y$19:$Y$3552,1),1)))</f>
        <v>3.4235951388570204E-2</v>
      </c>
      <c r="L6" s="182"/>
      <c r="M6" s="182"/>
    </row>
    <row r="7" spans="1:28" outlineLevel="1" x14ac:dyDescent="0.2">
      <c r="A7" s="188"/>
      <c r="B7" s="189" t="str">
        <f>_xll.qlPeriodEquivalent(D7&amp;"M")</f>
        <v>20Y</v>
      </c>
      <c r="C7" s="190">
        <f>IF(AND(MONTH(C6)=12),C6,_xll.qlDateEndOfMonth(EDATE(C6,-6)))</f>
        <v>41639</v>
      </c>
      <c r="D7" s="191">
        <v>240</v>
      </c>
      <c r="E7" s="190">
        <f t="shared" si="0"/>
        <v>49122</v>
      </c>
      <c r="F7" s="192">
        <f t="shared" si="1"/>
        <v>12</v>
      </c>
      <c r="G7" s="193">
        <f t="shared" si="2"/>
        <v>4.0000000000000001E-3</v>
      </c>
      <c r="H7" s="194">
        <f t="shared" si="3"/>
        <v>0.04</v>
      </c>
      <c r="I7" s="195">
        <f t="shared" si="4"/>
        <v>5.0000000000000001E-3</v>
      </c>
      <c r="J7" s="194">
        <f>MIN(_xll.ohPack($Z$19:INDEX($Z$19:$Z$3552,MATCH(E7+1,$Y$19:$Y$3552,1),1)))</f>
        <v>4.9249999999998531E-3</v>
      </c>
      <c r="K7" s="195">
        <f>MAX(_xll.ohPack($Z$19:INDEX($Z$19:$Z$3552,MATCH(E7+1,$Y$19:$Y$3552,1),1)))</f>
        <v>3.6840356462310209E-2</v>
      </c>
      <c r="L7" s="182"/>
      <c r="M7" s="182"/>
    </row>
    <row r="8" spans="1:28" outlineLevel="1" x14ac:dyDescent="0.2">
      <c r="A8" s="188"/>
      <c r="B8" s="189" t="str">
        <f>_xll.qlPeriodEquivalent(D8&amp;"M")</f>
        <v>30Y</v>
      </c>
      <c r="C8" s="190">
        <f>C7</f>
        <v>41639</v>
      </c>
      <c r="D8" s="191">
        <v>360</v>
      </c>
      <c r="E8" s="190">
        <f t="shared" si="0"/>
        <v>52775</v>
      </c>
      <c r="F8" s="192">
        <f t="shared" si="1"/>
        <v>36</v>
      </c>
      <c r="G8" s="193">
        <f t="shared" si="2"/>
        <v>4.0000000000000001E-3</v>
      </c>
      <c r="H8" s="194">
        <f t="shared" si="3"/>
        <v>0.04</v>
      </c>
      <c r="I8" s="195">
        <f t="shared" si="4"/>
        <v>5.0000000000000001E-3</v>
      </c>
      <c r="J8" s="194">
        <f>MIN(_xll.ohPack($Z$19:INDEX($Z$19:$Z$3552,MATCH(E8+1,$Y$19:$Y$3552,1),1)))</f>
        <v>4.9249999999998531E-3</v>
      </c>
      <c r="K8" s="195">
        <f>MAX(_xll.ohPack($Z$19:INDEX($Z$19:$Z$3552,MATCH(E8+1,$Y$19:$Y$3552,1),1)))</f>
        <v>3.6840356462310209E-2</v>
      </c>
      <c r="L8" s="182"/>
      <c r="M8" s="182"/>
      <c r="AA8" s="196"/>
    </row>
    <row r="9" spans="1:28" ht="12" outlineLevel="1" thickBot="1" x14ac:dyDescent="0.25">
      <c r="A9" s="188"/>
      <c r="B9" s="189" t="str">
        <f>_xll.qlPeriodEquivalent(D9&amp;"M")</f>
        <v>60Y</v>
      </c>
      <c r="C9" s="190">
        <f>C8</f>
        <v>41639</v>
      </c>
      <c r="D9" s="191">
        <f>60*12</f>
        <v>720</v>
      </c>
      <c r="E9" s="190">
        <f t="shared" si="0"/>
        <v>63732</v>
      </c>
      <c r="F9" s="192">
        <f t="shared" si="1"/>
        <v>60</v>
      </c>
      <c r="G9" s="193">
        <f t="shared" si="2"/>
        <v>4.0000000000000001E-3</v>
      </c>
      <c r="H9" s="194">
        <f t="shared" si="3"/>
        <v>0.04</v>
      </c>
      <c r="I9" s="195">
        <f t="shared" si="4"/>
        <v>5.0000000000000001E-3</v>
      </c>
      <c r="J9" s="194">
        <f>MIN(_xll.ohPack($Z$19:INDEX($Z$19:$Z$3552,MATCH(E9+1,$Y$19:$Y$3552,1),1)))</f>
        <v>4.9249999999998531E-3</v>
      </c>
      <c r="K9" s="195">
        <f>MAX(_xll.ohPack($Z$19:INDEX($Z$19:$Z$3552,MATCH(E9+1,$Y$19:$Y$3552,1),1)))</f>
        <v>3.6840356462310209E-2</v>
      </c>
      <c r="L9" s="182"/>
      <c r="M9" s="182"/>
      <c r="AA9" s="196"/>
    </row>
    <row r="10" spans="1:28" outlineLevel="1" x14ac:dyDescent="0.2">
      <c r="A10" s="197"/>
      <c r="B10" s="198" t="str">
        <f>_xll.qlPeriodEquivalent(D10&amp;"M")</f>
        <v>1Y</v>
      </c>
      <c r="C10" s="199">
        <f>C3</f>
        <v>41790</v>
      </c>
      <c r="D10" s="200">
        <v>12</v>
      </c>
      <c r="E10" s="199">
        <f t="shared" si="0"/>
        <v>42182</v>
      </c>
      <c r="F10" s="201">
        <f t="shared" si="1"/>
        <v>1</v>
      </c>
      <c r="G10" s="202">
        <f t="shared" si="2"/>
        <v>4.0000000000000001E-3</v>
      </c>
      <c r="H10" s="203">
        <f t="shared" si="3"/>
        <v>1.2E-2</v>
      </c>
      <c r="I10" s="204">
        <f t="shared" si="4"/>
        <v>1E-3</v>
      </c>
      <c r="J10" s="203">
        <f>MIN(_xll.ohPack($AA$19:INDEX($AA$19:$AA$3552,MATCH(E10+1,$Y$19:$Y$3552,1),1)))</f>
        <v>4.8853959951751982E-3</v>
      </c>
      <c r="K10" s="204">
        <f>MAX(_xll.ohPack($AA$19:INDEX($AA$19:$AA$3552,MATCH(E10+1,$Y$19:$Y$3552,1),1)))</f>
        <v>1.1589312259490486E-2</v>
      </c>
      <c r="L10" s="182"/>
      <c r="M10" s="182"/>
    </row>
    <row r="11" spans="1:28" outlineLevel="1" x14ac:dyDescent="0.2">
      <c r="A11" s="188"/>
      <c r="B11" s="189" t="str">
        <f>_xll.qlPeriodEquivalent(D11&amp;"M")</f>
        <v>2Y</v>
      </c>
      <c r="C11" s="190">
        <f t="shared" ref="C11:C16" si="5">C4</f>
        <v>41820</v>
      </c>
      <c r="D11" s="191">
        <v>24</v>
      </c>
      <c r="E11" s="190">
        <f t="shared" si="0"/>
        <v>42548</v>
      </c>
      <c r="F11" s="192">
        <f t="shared" si="1"/>
        <v>3</v>
      </c>
      <c r="G11" s="193">
        <f t="shared" si="2"/>
        <v>4.0000000000000001E-3</v>
      </c>
      <c r="H11" s="194">
        <f t="shared" si="3"/>
        <v>2.5000000000000001E-2</v>
      </c>
      <c r="I11" s="195">
        <f t="shared" si="4"/>
        <v>5.0000000000000001E-3</v>
      </c>
      <c r="J11" s="194">
        <f>MIN(_xll.ohPack($AA$19:INDEX($AA$19:$AA$3552,MATCH(E11+1,$Y$19:$Y$3552,1),1)))</f>
        <v>4.8853959951751982E-3</v>
      </c>
      <c r="K11" s="195">
        <f>MAX(_xll.ohPack($AA$19:INDEX($AA$19:$AA$3552,MATCH(E11+1,$Y$19:$Y$3552,1),1)))</f>
        <v>2.0112329666228668E-2</v>
      </c>
      <c r="L11" s="182"/>
      <c r="M11" s="182"/>
    </row>
    <row r="12" spans="1:28" outlineLevel="1" x14ac:dyDescent="0.2">
      <c r="A12" s="188"/>
      <c r="B12" s="189" t="str">
        <f>_xll.qlPeriodEquivalent(D12&amp;"M")</f>
        <v>5Y</v>
      </c>
      <c r="C12" s="190">
        <f t="shared" si="5"/>
        <v>41820</v>
      </c>
      <c r="D12" s="191">
        <v>60</v>
      </c>
      <c r="E12" s="190">
        <f t="shared" si="0"/>
        <v>43643</v>
      </c>
      <c r="F12" s="192">
        <f t="shared" si="1"/>
        <v>6</v>
      </c>
      <c r="G12" s="193">
        <f t="shared" si="2"/>
        <v>4.0000000000000001E-3</v>
      </c>
      <c r="H12" s="194">
        <f t="shared" si="3"/>
        <v>0.03</v>
      </c>
      <c r="I12" s="195">
        <f t="shared" si="4"/>
        <v>5.0000000000000001E-3</v>
      </c>
      <c r="J12" s="194">
        <f>MIN(_xll.ohPack($AA$19:INDEX($AA$19:$AA$3552,MATCH(E12+1,$Y$19:$Y$3552,1),1)))</f>
        <v>4.8853959951751982E-3</v>
      </c>
      <c r="K12" s="195">
        <f>MAX(_xll.ohPack($AA$19:INDEX($AA$19:$AA$3552,MATCH(E12+1,$Y$19:$Y$3552,1),1)))</f>
        <v>2.8425649863307312E-2</v>
      </c>
      <c r="L12" s="182"/>
      <c r="M12" s="182"/>
    </row>
    <row r="13" spans="1:28" outlineLevel="1" x14ac:dyDescent="0.2">
      <c r="A13" s="188" t="s">
        <v>174</v>
      </c>
      <c r="B13" s="189" t="str">
        <f>_xll.qlPeriodEquivalent(D13&amp;"M")</f>
        <v>10Y</v>
      </c>
      <c r="C13" s="190">
        <f t="shared" si="5"/>
        <v>41820</v>
      </c>
      <c r="D13" s="191">
        <v>120</v>
      </c>
      <c r="E13" s="190">
        <f t="shared" si="0"/>
        <v>45470</v>
      </c>
      <c r="F13" s="192">
        <f t="shared" si="1"/>
        <v>6</v>
      </c>
      <c r="G13" s="193">
        <f t="shared" si="2"/>
        <v>4.0000000000000001E-3</v>
      </c>
      <c r="H13" s="194">
        <f t="shared" si="3"/>
        <v>3.5000000000000003E-2</v>
      </c>
      <c r="I13" s="195">
        <f t="shared" si="4"/>
        <v>5.0000000000000001E-3</v>
      </c>
      <c r="J13" s="194">
        <f>MIN(_xll.ohPack($AA$19:INDEX($AA$19:$AA$3552,MATCH(E13+1,$Y$19:$Y$3552,1),1)))</f>
        <v>4.8853959951751982E-3</v>
      </c>
      <c r="K13" s="195">
        <f>MAX(_xll.ohPack($AA$19:INDEX($AA$19:$AA$3552,MATCH(E13+1,$Y$19:$Y$3552,1),1)))</f>
        <v>3.415047755984002E-2</v>
      </c>
      <c r="L13" s="182"/>
      <c r="M13" s="182"/>
    </row>
    <row r="14" spans="1:28" outlineLevel="1" x14ac:dyDescent="0.2">
      <c r="A14" s="188"/>
      <c r="B14" s="189" t="str">
        <f>_xll.qlPeriodEquivalent(D14&amp;"M")</f>
        <v>20Y</v>
      </c>
      <c r="C14" s="190">
        <f t="shared" si="5"/>
        <v>41639</v>
      </c>
      <c r="D14" s="191">
        <v>240</v>
      </c>
      <c r="E14" s="190">
        <f t="shared" si="0"/>
        <v>49122</v>
      </c>
      <c r="F14" s="192">
        <f t="shared" si="1"/>
        <v>12</v>
      </c>
      <c r="G14" s="193">
        <f t="shared" si="2"/>
        <v>4.0000000000000001E-3</v>
      </c>
      <c r="H14" s="194">
        <f t="shared" si="3"/>
        <v>0.04</v>
      </c>
      <c r="I14" s="195">
        <f t="shared" si="4"/>
        <v>5.0000000000000001E-3</v>
      </c>
      <c r="J14" s="194">
        <f>MIN(_xll.ohPack($AA$19:INDEX($AA$19:$AA$3552,MATCH(E14+1,$Y$19:$Y$3552,1),1)))</f>
        <v>4.8853959951751982E-3</v>
      </c>
      <c r="K14" s="195">
        <f>MAX(_xll.ohPack($AA$19:INDEX($AA$19:$AA$3552,MATCH(E14+1,$Y$19:$Y$3552,1),1)))</f>
        <v>3.6781856735236262E-2</v>
      </c>
      <c r="L14" s="182"/>
      <c r="M14" s="182"/>
    </row>
    <row r="15" spans="1:28" outlineLevel="1" x14ac:dyDescent="0.2">
      <c r="A15" s="188"/>
      <c r="B15" s="189" t="str">
        <f>_xll.qlPeriodEquivalent(D15&amp;"M")</f>
        <v>30Y</v>
      </c>
      <c r="C15" s="190">
        <f t="shared" si="5"/>
        <v>41639</v>
      </c>
      <c r="D15" s="191">
        <v>360</v>
      </c>
      <c r="E15" s="190">
        <f t="shared" si="0"/>
        <v>52775</v>
      </c>
      <c r="F15" s="192">
        <f t="shared" si="1"/>
        <v>36</v>
      </c>
      <c r="G15" s="193">
        <f t="shared" si="2"/>
        <v>4.0000000000000001E-3</v>
      </c>
      <c r="H15" s="194">
        <f t="shared" si="3"/>
        <v>0.04</v>
      </c>
      <c r="I15" s="195">
        <f t="shared" si="4"/>
        <v>5.0000000000000001E-3</v>
      </c>
      <c r="J15" s="194">
        <f>MIN(_xll.ohPack($AA$19:INDEX($AA$19:$AA$3552,MATCH(E15+1,$Y$19:$Y$3552,1),1)))</f>
        <v>4.8853959951751982E-3</v>
      </c>
      <c r="K15" s="195">
        <f>MAX(_xll.ohPack($AA$19:INDEX($AA$19:$AA$3552,MATCH(E15+1,$Y$19:$Y$3552,1),1)))</f>
        <v>3.6781856735236262E-2</v>
      </c>
      <c r="L15" s="182"/>
      <c r="M15" s="182"/>
    </row>
    <row r="16" spans="1:28" ht="12" outlineLevel="1" thickBot="1" x14ac:dyDescent="0.25">
      <c r="A16" s="205"/>
      <c r="B16" s="189" t="str">
        <f>_xll.qlPeriodEquivalent(D16&amp;"M")</f>
        <v>60Y</v>
      </c>
      <c r="C16" s="190">
        <f t="shared" si="5"/>
        <v>41639</v>
      </c>
      <c r="D16" s="191">
        <v>720</v>
      </c>
      <c r="E16" s="190">
        <f t="shared" si="0"/>
        <v>63732</v>
      </c>
      <c r="F16" s="192">
        <f t="shared" si="1"/>
        <v>60</v>
      </c>
      <c r="G16" s="193">
        <f t="shared" si="2"/>
        <v>4.0000000000000001E-3</v>
      </c>
      <c r="H16" s="194">
        <f t="shared" si="3"/>
        <v>0.04</v>
      </c>
      <c r="I16" s="195">
        <f t="shared" si="4"/>
        <v>5.0000000000000001E-3</v>
      </c>
      <c r="J16" s="194">
        <f>MIN(_xll.ohPack($AA$19:INDEX($AA$19:$AA$3552,MATCH(E16+1,$Y$19:$Y$3552,1),1)))</f>
        <v>4.8853959951751982E-3</v>
      </c>
      <c r="K16" s="195">
        <f>MAX(_xll.ohPack($AA$19:INDEX($AA$19:$AA$3552,MATCH(E16+1,$Y$19:$Y$3552,1),1)))</f>
        <v>3.6781856735236262E-2</v>
      </c>
      <c r="L16" s="182"/>
      <c r="M16" s="182"/>
      <c r="Z16" s="206" t="s">
        <v>175</v>
      </c>
      <c r="AA16" s="206" t="s">
        <v>176</v>
      </c>
    </row>
    <row r="17" spans="1:27" ht="12" thickBot="1" x14ac:dyDescent="0.25">
      <c r="A17" s="207"/>
      <c r="B17" s="208"/>
      <c r="C17" s="208"/>
      <c r="D17" s="207"/>
      <c r="E17" s="207"/>
      <c r="F17" s="208"/>
      <c r="G17" s="208"/>
      <c r="H17" s="208"/>
      <c r="I17" s="208"/>
      <c r="J17" s="208"/>
      <c r="K17" s="207"/>
      <c r="L17" s="209"/>
      <c r="M17" s="209"/>
      <c r="Z17" s="210" t="str">
        <f>_xll.qlLibor(,Currency,IndexTenor,YieldCurve)</f>
        <v>obj_00632#0004</v>
      </c>
      <c r="AA17" s="210" t="str">
        <f>_xll.qlSonia(,YieldCurve,,)</f>
        <v>obj_00633#0004</v>
      </c>
    </row>
    <row r="18" spans="1:27" ht="12" thickBot="1" x14ac:dyDescent="0.25">
      <c r="M18" s="211" t="s">
        <v>74</v>
      </c>
      <c r="N18" s="211" t="s">
        <v>177</v>
      </c>
      <c r="O18" s="212" t="s">
        <v>178</v>
      </c>
      <c r="P18" s="213" t="s">
        <v>73</v>
      </c>
      <c r="Q18" s="212" t="s">
        <v>179</v>
      </c>
      <c r="R18" s="212" t="s">
        <v>180</v>
      </c>
      <c r="S18" s="212" t="s">
        <v>181</v>
      </c>
      <c r="T18" s="214" t="s">
        <v>182</v>
      </c>
      <c r="U18" s="215" t="s">
        <v>183</v>
      </c>
      <c r="V18" s="182"/>
      <c r="W18" s="216" t="s">
        <v>184</v>
      </c>
      <c r="X18" s="217" t="s">
        <v>180</v>
      </c>
      <c r="Y18" s="217" t="s">
        <v>178</v>
      </c>
      <c r="Z18" s="218" t="s">
        <v>185</v>
      </c>
      <c r="AA18" s="219" t="s">
        <v>174</v>
      </c>
    </row>
    <row r="19" spans="1:27" ht="12" thickBot="1" x14ac:dyDescent="0.25">
      <c r="J19" s="220" t="s">
        <v>186</v>
      </c>
      <c r="M19" s="221" t="str">
        <f t="array" ref="M19:M27">_xll.ohFilter([1]RateHelpers!A11:A19,IF(ISERROR([1]RateHelpers!C11:C19),FALSE,TRUE))</f>
        <v>obj_004f2#0003</v>
      </c>
      <c r="N19" s="221" t="str">
        <f>_xll.qlRateHelperQuoteName(M19)</f>
        <v>GBP1x7F_Quote</v>
      </c>
      <c r="O19" s="222">
        <f>_xll.qlRateHelperEarliestDate(M19)</f>
        <v>41848</v>
      </c>
      <c r="P19" s="223">
        <f>_xll.qlRateHelperQuoteValue(M19,"ohTrigger(Trigger,RecalcTrigger))")</f>
        <v>7.45E-3</v>
      </c>
      <c r="Q19" s="209" t="e">
        <f>NA()</f>
        <v>#N/A</v>
      </c>
      <c r="R19" s="222">
        <f>_xll.qlInterestRateIndexFixingDate(IborIndex,O19)</f>
        <v>41848</v>
      </c>
      <c r="S19" s="223">
        <f>_xll.qlIndexFixing(IborIndex,R19,TRUE,RecalcTrigger)</f>
        <v>5.1038152999438591E-3</v>
      </c>
      <c r="T19" s="224">
        <f>S19-P19</f>
        <v>-2.346184700056141E-3</v>
      </c>
      <c r="U19" s="225">
        <f t="array" ref="U19">MAX(ABS(_xll.ohFilter(T19:T27,IF(ISERROR(T19:T27),FALSE,TRUE))))</f>
        <v>3.5899273206536474E-3</v>
      </c>
      <c r="V19" s="226"/>
      <c r="W19" s="221" t="s">
        <v>187</v>
      </c>
      <c r="X19" s="227">
        <f>_xll.qlSettingsEvaluationDate(Trigger)</f>
        <v>41817</v>
      </c>
      <c r="Y19" s="227">
        <f>_xll.qlCalendarAdvance(Calendar,X19,NDays&amp;"D")</f>
        <v>41817</v>
      </c>
      <c r="Z19" s="228">
        <f t="array" ref="Z19:Z3552">IFERROR(_xll.qlIndexFixing(IborIndex,X19:X3552,TRUE,RecalcTrigger),NA())</f>
        <v>4.9249999999998531E-3</v>
      </c>
      <c r="AA19" s="230">
        <f t="array" ref="AA19:AA3552">IFERROR(_xll.qlIndexFixing(OverNightIndex,Y19:Y3552,TRUE,RecalcTrigger),NA())</f>
        <v>4.8853959951751982E-3</v>
      </c>
    </row>
    <row r="20" spans="1:27" ht="12" thickBot="1" x14ac:dyDescent="0.25">
      <c r="J20" s="232"/>
      <c r="M20" s="221" t="str">
        <v>obj_00504#0003</v>
      </c>
      <c r="N20" s="221" t="str">
        <f>_xll.qlRateHelperQuoteName(M20)</f>
        <v>GBP2x8F_Quote</v>
      </c>
      <c r="O20" s="222">
        <f>_xll.qlRateHelperEarliestDate(M20)</f>
        <v>41878</v>
      </c>
      <c r="P20" s="223">
        <f>_xll.qlRateHelperQuoteValue(M20,"ohTrigger(Trigger,RecalcTrigger))")</f>
        <v>8.0000000000000002E-3</v>
      </c>
      <c r="Q20" s="209" t="e">
        <f>NA()</f>
        <v>#N/A</v>
      </c>
      <c r="R20" s="222">
        <f>_xll.qlInterestRateIndexFixingDate(IborIndex,O20)</f>
        <v>41878</v>
      </c>
      <c r="S20" s="223">
        <f>_xll.qlIndexFixing(IborIndex,R20,TRUE,RecalcTrigger)</f>
        <v>5.2577716291306179E-3</v>
      </c>
      <c r="T20" s="224">
        <f t="shared" ref="T20:T27" si="6">S20-P20</f>
        <v>-2.7422283708693823E-3</v>
      </c>
      <c r="W20" s="221" t="str">
        <f>W19</f>
        <v>1D</v>
      </c>
      <c r="X20" s="222">
        <f>_xll.qlCalendarAdvance(Calendar,X19,W20,"f",FALSE)</f>
        <v>41820</v>
      </c>
      <c r="Y20" s="227">
        <f>_xll.qlCalendarAdvance(Calendar,X20,NDays&amp;"D")</f>
        <v>41820</v>
      </c>
      <c r="Z20" s="228">
        <v>4.9373852894535513E-3</v>
      </c>
      <c r="AA20" s="230">
        <v>4.8864680443638786E-3</v>
      </c>
    </row>
    <row r="21" spans="1:27" x14ac:dyDescent="0.2">
      <c r="M21" s="221" t="str">
        <v>obj_00506#0003</v>
      </c>
      <c r="N21" s="221" t="str">
        <f>_xll.qlRateHelperQuoteName(M21)</f>
        <v>GBP3x9F_Quote</v>
      </c>
      <c r="O21" s="222">
        <f>_xll.qlRateHelperEarliestDate(M21)</f>
        <v>41911</v>
      </c>
      <c r="P21" s="223">
        <f>_xll.qlRateHelperQuoteValue(M21,"ohTrigger(Trigger,RecalcTrigger))")</f>
        <v>8.5500000000000003E-3</v>
      </c>
      <c r="Q21" s="209" t="e">
        <f>NA()</f>
        <v>#N/A</v>
      </c>
      <c r="R21" s="222">
        <f>_xll.qlInterestRateIndexFixingDate(IborIndex,O21)</f>
        <v>41911</v>
      </c>
      <c r="S21" s="223">
        <f>_xll.qlIndexFixing(IborIndex,R21,TRUE,RecalcTrigger)</f>
        <v>5.5535123824666339E-3</v>
      </c>
      <c r="T21" s="224">
        <f t="shared" si="6"/>
        <v>-2.9964876175333664E-3</v>
      </c>
      <c r="W21" s="221" t="str">
        <f t="shared" ref="W21:W84" si="7">W20</f>
        <v>1D</v>
      </c>
      <c r="X21" s="222">
        <f>_xll.qlCalendarAdvance(Calendar,X20,W21,"f",FALSE)</f>
        <v>41821</v>
      </c>
      <c r="Y21" s="227">
        <f>_xll.qlCalendarAdvance(Calendar,X21,NDays&amp;"D")</f>
        <v>41821</v>
      </c>
      <c r="Z21" s="228">
        <v>4.941949218256067E-3</v>
      </c>
      <c r="AA21" s="230">
        <v>4.8874429902745486E-3</v>
      </c>
    </row>
    <row r="22" spans="1:27" x14ac:dyDescent="0.2">
      <c r="M22" s="221" t="str">
        <v>obj_004fb#0003</v>
      </c>
      <c r="N22" s="221" t="str">
        <f>_xll.qlRateHelperQuoteName(M22)</f>
        <v>GBP4x10F_Quote</v>
      </c>
      <c r="O22" s="222">
        <f>_xll.qlRateHelperEarliestDate(M22)</f>
        <v>41939</v>
      </c>
      <c r="P22" s="223">
        <f>_xll.qlRateHelperQuoteValue(M22,"ohTrigger(Trigger,RecalcTrigger))")</f>
        <v>9.3500000000000007E-3</v>
      </c>
      <c r="Q22" s="209" t="e">
        <f>NA()</f>
        <v>#N/A</v>
      </c>
      <c r="R22" s="222">
        <f>_xll.qlInterestRateIndexFixingDate(IborIndex,O22)</f>
        <v>41939</v>
      </c>
      <c r="S22" s="223">
        <f>_xll.qlIndexFixing(IborIndex,R22,TRUE,RecalcTrigger)</f>
        <v>6.238729904044075E-3</v>
      </c>
      <c r="T22" s="224">
        <f t="shared" si="6"/>
        <v>-3.1112700959559257E-3</v>
      </c>
      <c r="W22" s="221" t="str">
        <f t="shared" si="7"/>
        <v>1D</v>
      </c>
      <c r="X22" s="222">
        <f>_xll.qlCalendarAdvance(Calendar,X21,W22,"f",FALSE)</f>
        <v>41822</v>
      </c>
      <c r="Y22" s="227">
        <f>_xll.qlCalendarAdvance(Calendar,X22,NDays&amp;"D")</f>
        <v>41822</v>
      </c>
      <c r="Z22" s="228">
        <v>4.9528329823818121E-3</v>
      </c>
      <c r="AA22" s="230">
        <v>4.8886616728249788E-3</v>
      </c>
    </row>
    <row r="23" spans="1:27" x14ac:dyDescent="0.2">
      <c r="M23" s="221" t="str">
        <v>obj_004fa#0003</v>
      </c>
      <c r="N23" s="221" t="str">
        <f>_xll.qlRateHelperQuoteName(M23)</f>
        <v>GBP5x11F_Quote</v>
      </c>
      <c r="O23" s="222">
        <f>_xll.qlRateHelperEarliestDate(M23)</f>
        <v>41970</v>
      </c>
      <c r="P23" s="223">
        <f>_xll.qlRateHelperQuoteValue(M23,"ohTrigger(Trigger,RecalcTrigger))")</f>
        <v>1.0150000000000001E-2</v>
      </c>
      <c r="Q23" s="209" t="e">
        <f>NA()</f>
        <v>#N/A</v>
      </c>
      <c r="R23" s="222">
        <f>_xll.qlInterestRateIndexFixingDate(IborIndex,O23)</f>
        <v>41970</v>
      </c>
      <c r="S23" s="223">
        <f>_xll.qlIndexFixing(IborIndex,R23,TRUE,RecalcTrigger)</f>
        <v>6.7711011889736925E-3</v>
      </c>
      <c r="T23" s="224">
        <f t="shared" si="6"/>
        <v>-3.3788988110263086E-3</v>
      </c>
      <c r="W23" s="221" t="str">
        <f t="shared" si="7"/>
        <v>1D</v>
      </c>
      <c r="X23" s="222">
        <f>_xll.qlCalendarAdvance(Calendar,X22,W23,"f",FALSE)</f>
        <v>41823</v>
      </c>
      <c r="Y23" s="227">
        <f>_xll.qlCalendarAdvance(Calendar,X23,NDays&amp;"D")</f>
        <v>41823</v>
      </c>
      <c r="Z23" s="228">
        <v>4.9547719736037915E-3</v>
      </c>
      <c r="AA23" s="230">
        <v>4.8901240917720301E-3</v>
      </c>
    </row>
    <row r="24" spans="1:27" x14ac:dyDescent="0.2">
      <c r="M24" s="221" t="str">
        <v>obj_004e4#0003</v>
      </c>
      <c r="N24" s="221" t="str">
        <f>_xll.qlRateHelperQuoteName(M24)</f>
        <v>GBP6x12F_Quote</v>
      </c>
      <c r="O24" s="222">
        <f>_xll.qlRateHelperEarliestDate(M24)</f>
        <v>42002</v>
      </c>
      <c r="P24" s="223">
        <f>_xll.qlRateHelperQuoteValue(M24,"ohTrigger(Trigger,RecalcTrigger))")</f>
        <v>1.0899999999999998E-2</v>
      </c>
      <c r="Q24" s="209" t="e">
        <f>NA()</f>
        <v>#N/A</v>
      </c>
      <c r="R24" s="222">
        <f>_xll.qlInterestRateIndexFixingDate(IborIndex,O24)</f>
        <v>42002</v>
      </c>
      <c r="S24" s="223">
        <f>_xll.qlIndexFixing(IborIndex,R24,TRUE,RecalcTrigger)</f>
        <v>7.780196498326025E-3</v>
      </c>
      <c r="T24" s="224">
        <f t="shared" si="6"/>
        <v>-3.1198035016739732E-3</v>
      </c>
      <c r="W24" s="221" t="str">
        <f t="shared" si="7"/>
        <v>1D</v>
      </c>
      <c r="X24" s="222">
        <f>_xll.qlCalendarAdvance(Calendar,X23,W24,"f",FALSE)</f>
        <v>41824</v>
      </c>
      <c r="Y24" s="227">
        <f>_xll.qlCalendarAdvance(Calendar,X24,NDays&amp;"D")</f>
        <v>41824</v>
      </c>
      <c r="Z24" s="228">
        <v>4.9567909800412608E-3</v>
      </c>
      <c r="AA24" s="230">
        <v>4.89392700122752E-3</v>
      </c>
    </row>
    <row r="25" spans="1:27" x14ac:dyDescent="0.2">
      <c r="M25" s="221" t="str">
        <v>obj_004e6#0003</v>
      </c>
      <c r="N25" s="221" t="str">
        <f>_xll.qlRateHelperQuoteName(M25)</f>
        <v>GBP9x15F_Quote</v>
      </c>
      <c r="O25" s="222">
        <f>_xll.qlRateHelperEarliestDate(M25)</f>
        <v>42090</v>
      </c>
      <c r="P25" s="223">
        <f>_xll.qlRateHelperQuoteValue(M25,"ohTrigger(Trigger,RecalcTrigger))")</f>
        <v>1.3300000000000001E-2</v>
      </c>
      <c r="Q25" s="209" t="e">
        <f>NA()</f>
        <v>#N/A</v>
      </c>
      <c r="R25" s="222">
        <f>_xll.qlInterestRateIndexFixingDate(IborIndex,O25)</f>
        <v>42090</v>
      </c>
      <c r="S25" s="223">
        <f>_xll.qlIndexFixing(IborIndex,R25,TRUE,RecalcTrigger)</f>
        <v>1.0073470006993983E-2</v>
      </c>
      <c r="T25" s="224">
        <f t="shared" si="6"/>
        <v>-3.2265299930060182E-3</v>
      </c>
      <c r="W25" s="221" t="str">
        <f t="shared" si="7"/>
        <v>1D</v>
      </c>
      <c r="X25" s="222">
        <f>_xll.qlCalendarAdvance(Calendar,X24,W25,"f",FALSE)</f>
        <v>41827</v>
      </c>
      <c r="Y25" s="227">
        <f>_xll.qlCalendarAdvance(Calendar,X25,NDays&amp;"D")</f>
        <v>41827</v>
      </c>
      <c r="Z25" s="228">
        <v>4.9731229220554181E-3</v>
      </c>
      <c r="AA25" s="230">
        <v>4.8984111329042346E-3</v>
      </c>
    </row>
    <row r="26" spans="1:27" x14ac:dyDescent="0.2">
      <c r="M26" s="221" t="str">
        <v>obj_004e5#0003</v>
      </c>
      <c r="N26" s="221" t="str">
        <f>_xll.qlRateHelperQuoteName(M26)</f>
        <v>GBP12x18F_Quote</v>
      </c>
      <c r="O26" s="222">
        <f>_xll.qlRateHelperEarliestDate(M26)</f>
        <v>42184</v>
      </c>
      <c r="P26" s="223">
        <f>_xll.qlRateHelperQuoteValue(M26,"ohTrigger(Trigger,RecalcTrigger))")</f>
        <v>1.5650000000000001E-2</v>
      </c>
      <c r="Q26" s="209" t="e">
        <f>NA()</f>
        <v>#N/A</v>
      </c>
      <c r="R26" s="222">
        <f>_xll.qlInterestRateIndexFixingDate(IborIndex,O26)</f>
        <v>42184</v>
      </c>
      <c r="S26" s="223">
        <f>_xll.qlIndexFixing(IborIndex,R26,TRUE,RecalcTrigger)</f>
        <v>1.2060072679346353E-2</v>
      </c>
      <c r="T26" s="224">
        <f t="shared" si="6"/>
        <v>-3.5899273206536474E-3</v>
      </c>
      <c r="U26" s="233"/>
      <c r="W26" s="221" t="str">
        <f t="shared" si="7"/>
        <v>1D</v>
      </c>
      <c r="X26" s="222">
        <f>_xll.qlCalendarAdvance(Calendar,X25,W26,"f",FALSE)</f>
        <v>41828</v>
      </c>
      <c r="Y26" s="227">
        <f>_xll.qlCalendarAdvance(Calendar,X26,NDays&amp;"D")</f>
        <v>41828</v>
      </c>
      <c r="Z26" s="228">
        <v>4.9788458798084188E-3</v>
      </c>
      <c r="AA26" s="230">
        <v>4.9010922344827623E-3</v>
      </c>
    </row>
    <row r="27" spans="1:27" ht="12" thickBot="1" x14ac:dyDescent="0.25">
      <c r="M27" s="221" t="e">
        <v>#N/A</v>
      </c>
      <c r="N27" s="221" t="e">
        <f>_xll.qlRateHelperQuoteName(M27)</f>
        <v>#VALUE!</v>
      </c>
      <c r="O27" s="222" t="e">
        <f>_xll.qlRateHelperEarliestDate(M27)</f>
        <v>#VALUE!</v>
      </c>
      <c r="P27" s="223" t="e">
        <f>_xll.qlRateHelperQuoteValue(M27,"ohTrigger(Trigger,RecalcTrigger))")</f>
        <v>#VALUE!</v>
      </c>
      <c r="Q27" s="209" t="e">
        <f>NA()</f>
        <v>#N/A</v>
      </c>
      <c r="R27" s="222" t="e">
        <f>_xll.qlInterestRateIndexFixingDate(IborIndex,O27)</f>
        <v>#NUM!</v>
      </c>
      <c r="S27" s="223" t="e">
        <f>_xll.qlIndexFixing(IborIndex,R27,TRUE,RecalcTrigger)</f>
        <v>#NUM!</v>
      </c>
      <c r="T27" s="224" t="e">
        <f t="shared" si="6"/>
        <v>#NUM!</v>
      </c>
      <c r="W27" s="221" t="str">
        <f t="shared" si="7"/>
        <v>1D</v>
      </c>
      <c r="X27" s="222">
        <f>_xll.qlCalendarAdvance(Calendar,X26,W27,"f",FALSE)</f>
        <v>41829</v>
      </c>
      <c r="Y27" s="227">
        <f>_xll.qlCalendarAdvance(Calendar,X27,NDays&amp;"D")</f>
        <v>41829</v>
      </c>
      <c r="Z27" s="228">
        <v>4.9913024949396166E-3</v>
      </c>
      <c r="AA27" s="230">
        <v>4.9040170726200039E-3</v>
      </c>
    </row>
    <row r="28" spans="1:27" ht="12" thickBot="1" x14ac:dyDescent="0.25">
      <c r="M28" s="207"/>
      <c r="N28" s="234"/>
      <c r="O28" s="207"/>
      <c r="P28" s="207"/>
      <c r="Q28" s="207"/>
      <c r="R28" s="207"/>
      <c r="S28" s="207"/>
      <c r="T28" s="235"/>
      <c r="W28" s="221" t="str">
        <f t="shared" si="7"/>
        <v>1D</v>
      </c>
      <c r="X28" s="222">
        <f>_xll.qlCalendarAdvance(Calendar,X27,W28,"f",FALSE)</f>
        <v>41830</v>
      </c>
      <c r="Y28" s="227">
        <f>_xll.qlCalendarAdvance(Calendar,X28,NDays&amp;"D")</f>
        <v>41830</v>
      </c>
      <c r="Z28" s="228">
        <v>4.9939630671817781E-3</v>
      </c>
      <c r="AA28" s="230">
        <v>4.9071856472349129E-3</v>
      </c>
    </row>
    <row r="29" spans="1:27" x14ac:dyDescent="0.2">
      <c r="M29" s="211" t="s">
        <v>74</v>
      </c>
      <c r="N29" s="211" t="s">
        <v>188</v>
      </c>
      <c r="O29" s="212" t="s">
        <v>67</v>
      </c>
      <c r="P29" s="212" t="s">
        <v>73</v>
      </c>
      <c r="Q29" s="236" t="s">
        <v>189</v>
      </c>
      <c r="R29" s="212" t="s">
        <v>190</v>
      </c>
      <c r="S29" s="212" t="s">
        <v>181</v>
      </c>
      <c r="T29" s="214" t="s">
        <v>182</v>
      </c>
      <c r="U29" s="215" t="s">
        <v>183</v>
      </c>
      <c r="W29" s="221" t="str">
        <f t="shared" si="7"/>
        <v>1D</v>
      </c>
      <c r="X29" s="222">
        <f>_xll.qlCalendarAdvance(Calendar,X28,W29,"f",FALSE)</f>
        <v>41831</v>
      </c>
      <c r="Y29" s="227">
        <f>_xll.qlCalendarAdvance(Calendar,X29,NDays&amp;"D")</f>
        <v>41831</v>
      </c>
      <c r="Z29" s="228">
        <v>4.9966951615020693E-3</v>
      </c>
      <c r="AA29" s="230">
        <v>4.914401418195288E-3</v>
      </c>
    </row>
    <row r="30" spans="1:27" x14ac:dyDescent="0.2">
      <c r="M30" s="221" t="str">
        <f t="array" ref="M30:M66">_xll.ohFilter([1]RateHelpers!A20:A56,IF(ISERROR([1]RateHelpers!C20:C56),FALSE,TRUE))</f>
        <v>obj_004de#0003</v>
      </c>
      <c r="N30" s="221" t="str">
        <f>_xll.qlRateHelperQuoteName(M30)</f>
        <v>GBPSB6L18M_Quote</v>
      </c>
      <c r="O30" s="222">
        <f>_xll.qlRateHelperLatestDate(M30,Trigger)</f>
        <v>42367</v>
      </c>
      <c r="P30" s="237">
        <f>_xll.qlRateHelperQuoteValue(M30,_xll.ohTrigger(RecalcTrigger,YieldCurve))</f>
        <v>1.115E-2</v>
      </c>
      <c r="Q30" s="238" t="str">
        <f>SUBSTITUTE(SUBSTITUTE(N30,"_Quote",""),"GBPSB6L","")</f>
        <v>18M</v>
      </c>
      <c r="R30" s="209" t="str">
        <f>_xll.qlSwapIndex(,FamilyName,Q30,NDays,Currency,Calendar,"6M","mf","actual/365 (fixed)",IborIndex,Discounting,,_xll.ohTrigger(Trigger,RecalcTrigger))</f>
        <v>obj_0063e#0005</v>
      </c>
      <c r="S30" s="239">
        <f>_xll.qlIndexFixing(R30,$X$19,TRUE,Trigger)</f>
        <v>9.7635286213202822E-3</v>
      </c>
      <c r="T30" s="224">
        <f t="shared" ref="T30:T66" si="8">S30-P30</f>
        <v>-1.386471378679718E-3</v>
      </c>
      <c r="U30" s="225">
        <f t="array" ref="U30">MAX(ABS(_xll.ohFilter(T30:T66,IF(ISERROR(T30:T66),FALSE,TRUE))))</f>
        <v>2.1996884257533093E-3</v>
      </c>
      <c r="W30" s="221" t="str">
        <f t="shared" si="7"/>
        <v>1D</v>
      </c>
      <c r="X30" s="222">
        <f>_xll.qlCalendarAdvance(Calendar,X29,W30,"f",FALSE)</f>
        <v>41834</v>
      </c>
      <c r="Y30" s="227">
        <f>_xll.qlCalendarAdvance(Calendar,X30,NDays&amp;"D")</f>
        <v>41834</v>
      </c>
      <c r="Z30" s="228">
        <v>5.0153302706506904E-3</v>
      </c>
      <c r="AA30" s="230">
        <v>4.9222973112006407E-3</v>
      </c>
    </row>
    <row r="31" spans="1:27" x14ac:dyDescent="0.2">
      <c r="M31" s="221" t="str">
        <v>obj_004f1#0003</v>
      </c>
      <c r="N31" s="221" t="str">
        <f>_xll.qlRateHelperQuoteName(M31)</f>
        <v>GBPSB6L2Y_Quote</v>
      </c>
      <c r="O31" s="222">
        <f>_xll.qlRateHelperLatestDate(M31,Trigger)</f>
        <v>42548</v>
      </c>
      <c r="P31" s="237">
        <f>_xll.qlRateHelperQuoteValue(M31,_xll.ohTrigger(RecalcTrigger,YieldCurve))</f>
        <v>1.324E-2</v>
      </c>
      <c r="Q31" s="238" t="str">
        <f t="shared" ref="Q31:Q66" si="9">SUBSTITUTE(SUBSTITUTE(N31,"_Quote",""),"GBPSB6L","")</f>
        <v>2Y</v>
      </c>
      <c r="R31" s="209" t="str">
        <f>_xll.qlSwapIndex(,FamilyName,Q31,NDays,Currency,Calendar,"6M","mf","actual/365 (fixed)",IborIndex,Discounting,,_xll.ohTrigger(Trigger,RecalcTrigger))</f>
        <v>obj_0063b#0005</v>
      </c>
      <c r="S31" s="239">
        <f>_xll.qlIndexFixing(R31,$X$19,TRUE,Trigger)</f>
        <v>1.1874237593460958E-2</v>
      </c>
      <c r="T31" s="224">
        <f t="shared" si="8"/>
        <v>-1.3657624065390415E-3</v>
      </c>
      <c r="U31" s="233"/>
      <c r="W31" s="221" t="str">
        <f t="shared" si="7"/>
        <v>1D</v>
      </c>
      <c r="X31" s="222">
        <f>_xll.qlCalendarAdvance(Calendar,X30,W31,"f",FALSE)</f>
        <v>41835</v>
      </c>
      <c r="Y31" s="227">
        <f>_xll.qlCalendarAdvance(Calendar,X31,NDays&amp;"D")</f>
        <v>41835</v>
      </c>
      <c r="Z31" s="228">
        <v>5.0216644273354798E-3</v>
      </c>
      <c r="AA31" s="230">
        <v>4.926684568690165E-3</v>
      </c>
    </row>
    <row r="32" spans="1:27" x14ac:dyDescent="0.2">
      <c r="M32" s="221" t="str">
        <v>obj_004fd#0003</v>
      </c>
      <c r="N32" s="221" t="str">
        <f>_xll.qlRateHelperQuoteName(M32)</f>
        <v>GBPSB6L3Y_Quote</v>
      </c>
      <c r="O32" s="222">
        <f>_xll.qlRateHelperLatestDate(M32,Trigger)</f>
        <v>42913</v>
      </c>
      <c r="P32" s="237">
        <f>_xll.qlRateHelperQuoteValue(M32,_xll.ohTrigger(RecalcTrigger,YieldCurve))</f>
        <v>1.694E-2</v>
      </c>
      <c r="Q32" s="238" t="str">
        <f t="shared" si="9"/>
        <v>3Y</v>
      </c>
      <c r="R32" s="209" t="str">
        <f>_xll.qlSwapIndex(,FamilyName,Q32,NDays,Currency,Calendar,"6M","mf","actual/365 (fixed)",IborIndex,Discounting,,_xll.ohTrigger(Trigger,RecalcTrigger))</f>
        <v>obj_0063d#0005</v>
      </c>
      <c r="S32" s="239">
        <f>_xll.qlIndexFixing(R32,$X$19,TRUE,Trigger)</f>
        <v>1.5472993328813993E-2</v>
      </c>
      <c r="T32" s="224">
        <f t="shared" si="8"/>
        <v>-1.4670066711860077E-3</v>
      </c>
      <c r="W32" s="221" t="str">
        <f t="shared" si="7"/>
        <v>1D</v>
      </c>
      <c r="X32" s="222">
        <f>_xll.qlCalendarAdvance(Calendar,X31,W32,"f",FALSE)</f>
        <v>41836</v>
      </c>
      <c r="Y32" s="227">
        <f>_xll.qlCalendarAdvance(Calendar,X32,NDays&amp;"D")</f>
        <v>41836</v>
      </c>
      <c r="Z32" s="228">
        <v>5.0345153600079243E-3</v>
      </c>
      <c r="AA32" s="230">
        <v>4.9313155626573568E-3</v>
      </c>
    </row>
    <row r="33" spans="10:27" x14ac:dyDescent="0.2">
      <c r="M33" s="221" t="str">
        <v>obj_004f9#0003</v>
      </c>
      <c r="N33" s="221" t="str">
        <f>_xll.qlRateHelperQuoteName(M33)</f>
        <v>GBPSB6L4Y_Quote</v>
      </c>
      <c r="O33" s="222">
        <f>_xll.qlRateHelperLatestDate(M33,Trigger)</f>
        <v>43278</v>
      </c>
      <c r="P33" s="237">
        <f>_xll.qlRateHelperQuoteValue(M33,_xll.ohTrigger(RecalcTrigger,YieldCurve))</f>
        <v>1.9689999999999999E-2</v>
      </c>
      <c r="Q33" s="238" t="str">
        <f t="shared" si="9"/>
        <v>4Y</v>
      </c>
      <c r="R33" s="209" t="str">
        <f>_xll.qlSwapIndex(,FamilyName,Q33,NDays,Currency,Calendar,"6M","mf","actual/365 (fixed)",IborIndex,Discounting,,_xll.ohTrigger(Trigger,RecalcTrigger))</f>
        <v>obj_00639#0005</v>
      </c>
      <c r="S33" s="239">
        <f>_xll.qlIndexFixing(R33,$X$19,TRUE,Trigger)</f>
        <v>1.8071724783988736E-2</v>
      </c>
      <c r="T33" s="224">
        <f t="shared" si="8"/>
        <v>-1.6182752160112633E-3</v>
      </c>
      <c r="W33" s="221" t="str">
        <f t="shared" si="7"/>
        <v>1D</v>
      </c>
      <c r="X33" s="222">
        <f>_xll.qlCalendarAdvance(Calendar,X32,W33,"f",FALSE)</f>
        <v>41837</v>
      </c>
      <c r="Y33" s="227">
        <f>_xll.qlCalendarAdvance(Calendar,X33,NDays&amp;"D")</f>
        <v>41837</v>
      </c>
      <c r="Z33" s="228">
        <v>5.0376722924369566E-3</v>
      </c>
      <c r="AA33" s="230">
        <v>4.9361902932643087E-3</v>
      </c>
    </row>
    <row r="34" spans="10:27" x14ac:dyDescent="0.2">
      <c r="M34" s="221" t="str">
        <v>obj_0050a#0003</v>
      </c>
      <c r="N34" s="221" t="str">
        <f>_xll.qlRateHelperQuoteName(M34)</f>
        <v>GBPSB6L5Y_Quote</v>
      </c>
      <c r="O34" s="222">
        <f>_xll.qlRateHelperLatestDate(M34,Trigger)</f>
        <v>43643</v>
      </c>
      <c r="P34" s="237">
        <f>_xll.qlRateHelperQuoteValue(M34,_xll.ohTrigger(RecalcTrigger,YieldCurve))</f>
        <v>2.1700000000000001E-2</v>
      </c>
      <c r="Q34" s="238" t="str">
        <f t="shared" si="9"/>
        <v>5Y</v>
      </c>
      <c r="R34" s="209" t="str">
        <f>_xll.qlSwapIndex(,FamilyName,Q34,NDays,Currency,Calendar,"6M","mf","actual/365 (fixed)",IborIndex,Discounting,,_xll.ohTrigger(Trigger,RecalcTrigger))</f>
        <v>obj_0063f#0005</v>
      </c>
      <c r="S34" s="239">
        <f>_xll.qlIndexFixing(R34,$X$19,TRUE,Trigger)</f>
        <v>1.9955660528876564E-2</v>
      </c>
      <c r="T34" s="224">
        <f t="shared" si="8"/>
        <v>-1.7443394711234364E-3</v>
      </c>
      <c r="W34" s="221" t="str">
        <f t="shared" si="7"/>
        <v>1D</v>
      </c>
      <c r="X34" s="222">
        <f>_xll.qlCalendarAdvance(Calendar,X33,W34,"f",FALSE)</f>
        <v>41838</v>
      </c>
      <c r="Y34" s="227">
        <f>_xll.qlCalendarAdvance(Calendar,X34,NDays&amp;"D")</f>
        <v>41838</v>
      </c>
      <c r="Z34" s="228">
        <v>5.0408777334461667E-3</v>
      </c>
      <c r="AA34" s="230">
        <v>4.9468192521029417E-3</v>
      </c>
    </row>
    <row r="35" spans="10:27" x14ac:dyDescent="0.2">
      <c r="M35" s="221" t="str">
        <v>obj_0050b#0003</v>
      </c>
      <c r="N35" s="221" t="str">
        <f>_xll.qlRateHelperQuoteName(M35)</f>
        <v>GBPSB6L6Y_Quote</v>
      </c>
      <c r="O35" s="222">
        <f>_xll.qlRateHelperLatestDate(M35,Trigger)</f>
        <v>44011</v>
      </c>
      <c r="P35" s="237">
        <f>_xll.qlRateHelperQuoteValue(M35,_xll.ohTrigger(RecalcTrigger,YieldCurve))</f>
        <v>2.3330000000000004E-2</v>
      </c>
      <c r="Q35" s="238" t="str">
        <f t="shared" si="9"/>
        <v>6Y</v>
      </c>
      <c r="R35" s="209" t="str">
        <f>_xll.qlSwapIndex(,FamilyName,Q35,NDays,Currency,Calendar,"6M","mf","actual/365 (fixed)",IborIndex,Discounting,,_xll.ohTrigger(Trigger,RecalcTrigger))</f>
        <v>obj_00646#0005</v>
      </c>
      <c r="S35" s="239">
        <f>_xll.qlIndexFixing(R35,$X$19,TRUE,Trigger)</f>
        <v>2.1434526604157261E-2</v>
      </c>
      <c r="T35" s="224">
        <f t="shared" si="8"/>
        <v>-1.8954733958427422E-3</v>
      </c>
      <c r="W35" s="221" t="str">
        <f t="shared" si="7"/>
        <v>1D</v>
      </c>
      <c r="X35" s="222">
        <f>_xll.qlCalendarAdvance(Calendar,X34,W35,"f",FALSE)</f>
        <v>41841</v>
      </c>
      <c r="Y35" s="227">
        <f>_xll.qlCalendarAdvance(Calendar,X35,NDays&amp;"D")</f>
        <v>41841</v>
      </c>
      <c r="Z35" s="228">
        <v>5.0601725051057488E-3</v>
      </c>
      <c r="AA35" s="230">
        <v>4.9581265816844855E-3</v>
      </c>
    </row>
    <row r="36" spans="10:27" x14ac:dyDescent="0.2">
      <c r="M36" s="221" t="str">
        <v>obj_00503#0003</v>
      </c>
      <c r="N36" s="221" t="str">
        <f>_xll.qlRateHelperQuoteName(M36)</f>
        <v>GBPSB6L7Y_Quote</v>
      </c>
      <c r="O36" s="222">
        <f>_xll.qlRateHelperLatestDate(M36,Trigger)</f>
        <v>44375</v>
      </c>
      <c r="P36" s="237">
        <f>_xll.qlRateHelperQuoteValue(M36,_xll.ohTrigger(RecalcTrigger,YieldCurve))</f>
        <v>2.4699999999999996E-2</v>
      </c>
      <c r="Q36" s="238" t="str">
        <f t="shared" si="9"/>
        <v>7Y</v>
      </c>
      <c r="R36" s="209" t="str">
        <f>_xll.qlSwapIndex(,FamilyName,Q36,NDays,Currency,Calendar,"6M","mf","actual/365 (fixed)",IborIndex,Discounting,,_xll.ohTrigger(Trigger,RecalcTrigger))</f>
        <v>obj_00643#0005</v>
      </c>
      <c r="S36" s="239">
        <f>_xll.qlIndexFixing(R36,$X$19,TRUE,Trigger)</f>
        <v>2.2691088819732762E-2</v>
      </c>
      <c r="T36" s="224">
        <f t="shared" si="8"/>
        <v>-2.0089111802672338E-3</v>
      </c>
      <c r="W36" s="221" t="str">
        <f t="shared" si="7"/>
        <v>1D</v>
      </c>
      <c r="X36" s="222">
        <f>_xll.qlCalendarAdvance(Calendar,X35,W36,"f",FALSE)</f>
        <v>41842</v>
      </c>
      <c r="Y36" s="227">
        <f>_xll.qlCalendarAdvance(Calendar,X36,NDays&amp;"D")</f>
        <v>41842</v>
      </c>
      <c r="Z36" s="228">
        <v>5.066570023657832E-3</v>
      </c>
      <c r="AA36" s="230">
        <v>4.9642199954091915E-3</v>
      </c>
    </row>
    <row r="37" spans="10:27" x14ac:dyDescent="0.2">
      <c r="M37" s="221" t="str">
        <v>obj_004ed#0003</v>
      </c>
      <c r="N37" s="221" t="str">
        <f>_xll.qlRateHelperQuoteName(M37)</f>
        <v>GBPSB6L8Y_Quote</v>
      </c>
      <c r="O37" s="222">
        <f>_xll.qlRateHelperLatestDate(M37,Trigger)</f>
        <v>44739</v>
      </c>
      <c r="P37" s="237">
        <f>_xll.qlRateHelperQuoteValue(M37,_xll.ohTrigger(RecalcTrigger,YieldCurve))</f>
        <v>2.5869999999999997E-2</v>
      </c>
      <c r="Q37" s="238" t="str">
        <f t="shared" si="9"/>
        <v>8Y</v>
      </c>
      <c r="R37" s="209" t="str">
        <f>_xll.qlSwapIndex(,FamilyName,Q37,NDays,Currency,Calendar,"6M","mf","actual/365 (fixed)",IborIndex,Discounting,,_xll.ohTrigger(Trigger,RecalcTrigger))</f>
        <v>obj_00634#0005</v>
      </c>
      <c r="S37" s="239">
        <f>_xll.qlIndexFixing(R37,$X$19,TRUE,Trigger)</f>
        <v>2.3797893667494491E-2</v>
      </c>
      <c r="T37" s="224">
        <f t="shared" si="8"/>
        <v>-2.0721063325055064E-3</v>
      </c>
      <c r="W37" s="221" t="str">
        <f t="shared" si="7"/>
        <v>1D</v>
      </c>
      <c r="X37" s="222">
        <f>_xll.qlCalendarAdvance(Calendar,X36,W37,"f",FALSE)</f>
        <v>41843</v>
      </c>
      <c r="Y37" s="227">
        <f>_xll.qlCalendarAdvance(Calendar,X37,NDays&amp;"D")</f>
        <v>41843</v>
      </c>
      <c r="Z37" s="228">
        <v>5.0817869989850479E-3</v>
      </c>
      <c r="AA37" s="230">
        <v>4.9705571456926112E-3</v>
      </c>
    </row>
    <row r="38" spans="10:27" x14ac:dyDescent="0.2">
      <c r="M38" s="221" t="str">
        <v>obj_00508#0003</v>
      </c>
      <c r="N38" s="221" t="str">
        <f>_xll.qlRateHelperQuoteName(M38)</f>
        <v>GBPSB6L9Y_Quote</v>
      </c>
      <c r="O38" s="222">
        <f>_xll.qlRateHelperLatestDate(M38,Trigger)</f>
        <v>45104</v>
      </c>
      <c r="P38" s="237">
        <f>_xll.qlRateHelperQuoteValue(M38,_xll.ohTrigger(RecalcTrigger,YieldCurve))</f>
        <v>2.6859999999999998E-2</v>
      </c>
      <c r="Q38" s="238" t="str">
        <f t="shared" si="9"/>
        <v>9Y</v>
      </c>
      <c r="R38" s="209" t="str">
        <f>_xll.qlSwapIndex(,FamilyName,Q38,NDays,Currency,Calendar,"6M","mf","actual/365 (fixed)",IborIndex,Discounting,,_xll.ohTrigger(Trigger,RecalcTrigger))</f>
        <v>obj_00645#0005</v>
      </c>
      <c r="S38" s="239">
        <f>_xll.qlIndexFixing(R38,$X$19,TRUE,Trigger)</f>
        <v>2.4724733152039751E-2</v>
      </c>
      <c r="T38" s="224">
        <f t="shared" si="8"/>
        <v>-2.1352668479602474E-3</v>
      </c>
      <c r="W38" s="221" t="str">
        <f t="shared" si="7"/>
        <v>1D</v>
      </c>
      <c r="X38" s="222">
        <f>_xll.qlCalendarAdvance(Calendar,X37,W38,"f",FALSE)</f>
        <v>41844</v>
      </c>
      <c r="Y38" s="227">
        <f>_xll.qlCalendarAdvance(Calendar,X38,NDays&amp;"D")</f>
        <v>41844</v>
      </c>
      <c r="Z38" s="228">
        <v>5.0850883520445278E-3</v>
      </c>
      <c r="AA38" s="230">
        <v>4.9771380326968373E-3</v>
      </c>
    </row>
    <row r="39" spans="10:27" x14ac:dyDescent="0.2">
      <c r="M39" s="221" t="str">
        <v>obj_004f7#0003</v>
      </c>
      <c r="N39" s="221" t="str">
        <f>_xll.qlRateHelperQuoteName(M39)</f>
        <v>GBPSB6L10Y_Quote</v>
      </c>
      <c r="O39" s="222">
        <f>_xll.qlRateHelperLatestDate(M39,Trigger)</f>
        <v>45470</v>
      </c>
      <c r="P39" s="237">
        <f>_xll.qlRateHelperQuoteValue(M39,_xll.ohTrigger(RecalcTrigger,YieldCurve))</f>
        <v>2.7709999999999999E-2</v>
      </c>
      <c r="Q39" s="238" t="str">
        <f t="shared" si="9"/>
        <v>10Y</v>
      </c>
      <c r="R39" s="209" t="str">
        <f>_xll.qlSwapIndex(,FamilyName,Q39,NDays,Currency,Calendar,"6M","mf","actual/365 (fixed)",IborIndex,Discounting,,_xll.ohTrigger(Trigger,RecalcTrigger))</f>
        <v>obj_00637#0005</v>
      </c>
      <c r="S39" s="239">
        <f>_xll.qlIndexFixing(R39,$X$19,TRUE,Trigger)</f>
        <v>2.5536713586381609E-2</v>
      </c>
      <c r="T39" s="224">
        <f t="shared" si="8"/>
        <v>-2.1732864136183895E-3</v>
      </c>
      <c r="W39" s="221" t="str">
        <f t="shared" si="7"/>
        <v>1D</v>
      </c>
      <c r="X39" s="222">
        <f>_xll.qlCalendarAdvance(Calendar,X38,W39,"f",FALSE)</f>
        <v>41845</v>
      </c>
      <c r="Y39" s="227">
        <f>_xll.qlCalendarAdvance(Calendar,X39,NDays&amp;"D")</f>
        <v>41845</v>
      </c>
      <c r="Z39" s="228">
        <v>5.0883924142303485E-3</v>
      </c>
      <c r="AA39" s="230">
        <v>4.9911805125139415E-3</v>
      </c>
    </row>
    <row r="40" spans="10:27" x14ac:dyDescent="0.2">
      <c r="M40" s="221" t="str">
        <v>obj_004e9#0003</v>
      </c>
      <c r="N40" s="221" t="str">
        <f>_xll.qlRateHelperQuoteName(M40)</f>
        <v>GBPSB6L11Y_Quote</v>
      </c>
      <c r="O40" s="222">
        <f>_xll.qlRateHelperLatestDate(M40,Trigger)</f>
        <v>45835</v>
      </c>
      <c r="P40" s="237">
        <f>_xll.qlRateHelperQuoteValue(M40,_xll.ohTrigger(RecalcTrigger,YieldCurve))</f>
        <v>2.8469999999999999E-2</v>
      </c>
      <c r="Q40" s="238" t="str">
        <f t="shared" si="9"/>
        <v>11Y</v>
      </c>
      <c r="R40" s="209" t="str">
        <f>_xll.qlSwapIndex(,FamilyName,Q40,NDays,Currency,Calendar,"6M","mf","actual/365 (fixed)",IborIndex,Discounting,,_xll.ohTrigger(Trigger,RecalcTrigger))</f>
        <v>obj_00644#0005</v>
      </c>
      <c r="S40" s="239">
        <f>_xll.qlIndexFixing(R40,$X$19,TRUE,Trigger)</f>
        <v>2.6270311574246689E-2</v>
      </c>
      <c r="T40" s="224">
        <f t="shared" si="8"/>
        <v>-2.1996884257533093E-3</v>
      </c>
      <c r="W40" s="221" t="str">
        <f t="shared" si="7"/>
        <v>1D</v>
      </c>
      <c r="X40" s="222">
        <f>_xll.qlCalendarAdvance(Calendar,X39,W40,"f",FALSE)</f>
        <v>41848</v>
      </c>
      <c r="Y40" s="227">
        <f>_xll.qlCalendarAdvance(Calendar,X40,NDays&amp;"D")</f>
        <v>41848</v>
      </c>
      <c r="Z40" s="228">
        <v>5.1038152999438591E-3</v>
      </c>
      <c r="AA40" s="230">
        <v>5.0058412060127733E-3</v>
      </c>
    </row>
    <row r="41" spans="10:27" x14ac:dyDescent="0.2">
      <c r="M41" s="221" t="str">
        <v>obj_004fe#0003</v>
      </c>
      <c r="N41" s="221" t="str">
        <f>_xll.qlRateHelperQuoteName(M41)</f>
        <v>GBPSB6L12Y_Quote</v>
      </c>
      <c r="O41" s="222">
        <f>_xll.qlRateHelperLatestDate(M41,Trigger)</f>
        <v>46202</v>
      </c>
      <c r="P41" s="237">
        <f>_xll.qlRateHelperQuoteValue(M41,_xll.ohTrigger(RecalcTrigger,YieldCurve))</f>
        <v>2.9100000000000001E-2</v>
      </c>
      <c r="Q41" s="238" t="str">
        <f t="shared" si="9"/>
        <v>12Y</v>
      </c>
      <c r="R41" s="209" t="str">
        <f>_xll.qlSwapIndex(,FamilyName,Q41,NDays,Currency,Calendar,"6M","mf","actual/365 (fixed)",IborIndex,Discounting,,_xll.ohTrigger(Trigger,RecalcTrigger))</f>
        <v>obj_00638#0005</v>
      </c>
      <c r="S41" s="239">
        <f>_xll.qlIndexFixing(R41,$X$19,TRUE,Trigger)</f>
        <v>2.6938671433540777E-2</v>
      </c>
      <c r="T41" s="224">
        <f t="shared" si="8"/>
        <v>-2.1613285664592238E-3</v>
      </c>
      <c r="W41" s="221" t="str">
        <f t="shared" si="7"/>
        <v>1D</v>
      </c>
      <c r="X41" s="222">
        <f>_xll.qlCalendarAdvance(Calendar,X40,W41,"f",FALSE)</f>
        <v>41849</v>
      </c>
      <c r="Y41" s="227">
        <f>_xll.qlCalendarAdvance(Calendar,X41,NDays&amp;"D")</f>
        <v>41849</v>
      </c>
      <c r="Z41" s="228">
        <v>5.1097341067978114E-3</v>
      </c>
      <c r="AA41" s="230">
        <v>5.0132943263825336E-3</v>
      </c>
    </row>
    <row r="42" spans="10:27" x14ac:dyDescent="0.2">
      <c r="M42" s="221" t="str">
        <v>obj_004e7#0003</v>
      </c>
      <c r="N42" s="221" t="str">
        <f>_xll.qlRateHelperQuoteName(M42)</f>
        <v>GBPSB6L15Y_Quote</v>
      </c>
      <c r="O42" s="222">
        <f>_xll.qlRateHelperLatestDate(M42,Trigger)</f>
        <v>47296</v>
      </c>
      <c r="P42" s="237">
        <f>_xll.qlRateHelperQuoteValue(M42,_xll.ohTrigger(RecalcTrigger,YieldCurve))</f>
        <v>3.058E-2</v>
      </c>
      <c r="Q42" s="238" t="str">
        <f t="shared" si="9"/>
        <v>15Y</v>
      </c>
      <c r="R42" s="209" t="str">
        <f>_xll.qlSwapIndex(,FamilyName,Q42,NDays,Currency,Calendar,"6M","mf","actual/365 (fixed)",IborIndex,Discounting,,_xll.ohTrigger(Trigger,RecalcTrigger))</f>
        <v>obj_0063c#0005</v>
      </c>
      <c r="S42" s="239">
        <f>_xll.qlIndexFixing(R42,$X$19,TRUE,Trigger)</f>
        <v>2.8543633445406478E-2</v>
      </c>
      <c r="T42" s="224">
        <f t="shared" si="8"/>
        <v>-2.0363665545935217E-3</v>
      </c>
      <c r="W42" s="221" t="str">
        <f t="shared" si="7"/>
        <v>1D</v>
      </c>
      <c r="X42" s="222">
        <f>_xll.qlCalendarAdvance(Calendar,X41,W42,"f",FALSE)</f>
        <v>41850</v>
      </c>
      <c r="Y42" s="227">
        <f>_xll.qlCalendarAdvance(Calendar,X42,NDays&amp;"D")</f>
        <v>41850</v>
      </c>
      <c r="Z42" s="228">
        <v>5.1128785404909172E-3</v>
      </c>
      <c r="AA42" s="230">
        <v>5.0206447331535564E-3</v>
      </c>
    </row>
    <row r="43" spans="10:27" x14ac:dyDescent="0.2">
      <c r="M43" s="221" t="str">
        <v>obj_0050c#0003</v>
      </c>
      <c r="N43" s="221" t="str">
        <f>_xll.qlRateHelperQuoteName(M43)</f>
        <v>GBPSB6L20Y_Quote</v>
      </c>
      <c r="O43" s="222">
        <f>_xll.qlRateHelperLatestDate(M43,Trigger)</f>
        <v>49122</v>
      </c>
      <c r="P43" s="237">
        <f>_xll.qlRateHelperQuoteValue(M43,_xll.ohTrigger(RecalcTrigger,YieldCurve))</f>
        <v>3.1939999999999996E-2</v>
      </c>
      <c r="Q43" s="238" t="str">
        <f t="shared" si="9"/>
        <v>20Y</v>
      </c>
      <c r="R43" s="209" t="str">
        <f>_xll.qlSwapIndex(,FamilyName,Q43,NDays,Currency,Calendar,"6M","mf","actual/365 (fixed)",IborIndex,Discounting,,_xll.ohTrigger(Trigger,RecalcTrigger))</f>
        <v>obj_0063a#0005</v>
      </c>
      <c r="S43" s="239">
        <f>_xll.qlIndexFixing(R43,$X$19,TRUE,Trigger)</f>
        <v>3.0104116064279169E-2</v>
      </c>
      <c r="T43" s="224">
        <f t="shared" si="8"/>
        <v>-1.8358839357208272E-3</v>
      </c>
      <c r="W43" s="221" t="str">
        <f t="shared" si="7"/>
        <v>1D</v>
      </c>
      <c r="X43" s="222">
        <f>_xll.qlCalendarAdvance(Calendar,X42,W43,"f",FALSE)</f>
        <v>41851</v>
      </c>
      <c r="Y43" s="227">
        <f>_xll.qlCalendarAdvance(Calendar,X43,NDays&amp;"D")</f>
        <v>41851</v>
      </c>
      <c r="Z43" s="228">
        <v>5.1159886452019302E-3</v>
      </c>
      <c r="AA43" s="230">
        <v>5.027892426406888E-3</v>
      </c>
    </row>
    <row r="44" spans="10:27" x14ac:dyDescent="0.2">
      <c r="M44" s="221" t="str">
        <v>obj_004e8#0003</v>
      </c>
      <c r="N44" s="221" t="str">
        <f>_xll.qlRateHelperQuoteName(M44)</f>
        <v>GBPSB6L25Y_Quote</v>
      </c>
      <c r="O44" s="222">
        <f>_xll.qlRateHelperLatestDate(M44,Trigger)</f>
        <v>50948</v>
      </c>
      <c r="P44" s="237">
        <f>_xll.qlRateHelperQuoteValue(M44,_xll.ohTrigger(RecalcTrigger,YieldCurve))</f>
        <v>3.2379999999999999E-2</v>
      </c>
      <c r="Q44" s="238" t="str">
        <f t="shared" si="9"/>
        <v>25Y</v>
      </c>
      <c r="R44" s="209" t="str">
        <f>_xll.qlSwapIndex(,FamilyName,Q44,NDays,Currency,Calendar,"6M","mf","actual/365 (fixed)",IborIndex,Discounting,,_xll.ohTrigger(Trigger,RecalcTrigger))</f>
        <v>obj_00635#0005</v>
      </c>
      <c r="S44" s="239">
        <f>_xll.qlIndexFixing(R44,$X$19,TRUE,Trigger)</f>
        <v>3.0682196112842154E-2</v>
      </c>
      <c r="T44" s="224">
        <f t="shared" si="8"/>
        <v>-1.6978038871578449E-3</v>
      </c>
      <c r="W44" s="221" t="str">
        <f t="shared" si="7"/>
        <v>1D</v>
      </c>
      <c r="X44" s="222">
        <f>_xll.qlCalendarAdvance(Calendar,X43,W44,"f",FALSE)</f>
        <v>41852</v>
      </c>
      <c r="Y44" s="227">
        <f>_xll.qlCalendarAdvance(Calendar,X44,NDays&amp;"D")</f>
        <v>41852</v>
      </c>
      <c r="Z44" s="228">
        <v>5.1269276020502533E-3</v>
      </c>
      <c r="AA44" s="230">
        <v>5.0421150848304714E-3</v>
      </c>
    </row>
    <row r="45" spans="10:27" x14ac:dyDescent="0.2">
      <c r="M45" s="221" t="str">
        <v>obj_0050f#0003</v>
      </c>
      <c r="N45" s="221" t="str">
        <f>_xll.qlRateHelperQuoteName(M45)</f>
        <v>GBPSB6L30Y_Quote</v>
      </c>
      <c r="O45" s="222">
        <f>_xll.qlRateHelperLatestDate(M45,Trigger)</f>
        <v>52775</v>
      </c>
      <c r="P45" s="237">
        <f>_xll.qlRateHelperQuoteValue(M45,_xll.ohTrigger(RecalcTrigger,YieldCurve))</f>
        <v>3.2509999999999997E-2</v>
      </c>
      <c r="Q45" s="238" t="str">
        <f t="shared" si="9"/>
        <v>30Y</v>
      </c>
      <c r="R45" s="209" t="str">
        <f>_xll.qlSwapIndex(,FamilyName,Q45,NDays,Currency,Calendar,"6M","mf","actual/365 (fixed)",IborIndex,Discounting,,_xll.ohTrigger(Trigger,RecalcTrigger))</f>
        <v>obj_00636#0005</v>
      </c>
      <c r="S45" s="239">
        <f>_xll.qlIndexFixing(R45,$X$19,TRUE,Trigger)</f>
        <v>3.0912710743212429E-2</v>
      </c>
      <c r="T45" s="224">
        <f t="shared" si="8"/>
        <v>-1.5972892567875686E-3</v>
      </c>
      <c r="W45" s="221" t="str">
        <f t="shared" si="7"/>
        <v>1D</v>
      </c>
      <c r="X45" s="222">
        <f>_xll.qlCalendarAdvance(Calendar,X44,W45,"f",FALSE)</f>
        <v>41855</v>
      </c>
      <c r="Y45" s="227">
        <f>_xll.qlCalendarAdvance(Calendar,X45,NDays&amp;"D")</f>
        <v>41855</v>
      </c>
      <c r="Z45" s="228">
        <v>5.1433470548789195E-3</v>
      </c>
      <c r="AA45" s="230">
        <v>5.0558560643243489E-3</v>
      </c>
    </row>
    <row r="46" spans="10:27" x14ac:dyDescent="0.2">
      <c r="M46" s="221" t="str">
        <v>obj_004ef#0003</v>
      </c>
      <c r="N46" s="221" t="str">
        <f>_xll.qlRateHelperQuoteName(M46)</f>
        <v>GBPSB6L40Y_Quote</v>
      </c>
      <c r="O46" s="222">
        <f>_xll.qlRateHelperLatestDate(M46,Trigger)</f>
        <v>56429</v>
      </c>
      <c r="P46" s="237">
        <f>_xll.qlRateHelperQuoteValue(M46,_xll.ohTrigger(RecalcTrigger,YieldCurve))</f>
        <v>3.2289999999999999E-2</v>
      </c>
      <c r="Q46" s="238" t="str">
        <f t="shared" si="9"/>
        <v>40Y</v>
      </c>
      <c r="R46" s="209" t="str">
        <f>_xll.qlSwapIndex(,FamilyName,Q46,NDays,Currency,Calendar,"6M","mf","actual/365 (fixed)",IborIndex,Discounting,,_xll.ohTrigger(Trigger,RecalcTrigger))</f>
        <v>obj_00642#0005</v>
      </c>
      <c r="S46" s="239">
        <f>_xll.qlIndexFixing(R46,$X$19,TRUE,Trigger)</f>
        <v>3.069270460605979E-2</v>
      </c>
      <c r="T46" s="224">
        <f t="shared" si="8"/>
        <v>-1.5972953939402089E-3</v>
      </c>
      <c r="W46" s="221" t="str">
        <f t="shared" si="7"/>
        <v>1D</v>
      </c>
      <c r="X46" s="222">
        <f>_xll.qlCalendarAdvance(Calendar,X45,W46,"f",FALSE)</f>
        <v>41856</v>
      </c>
      <c r="Y46" s="227">
        <f>_xll.qlCalendarAdvance(Calendar,X46,NDays&amp;"D")</f>
        <v>41856</v>
      </c>
      <c r="Z46" s="228">
        <v>5.1486638288164846E-3</v>
      </c>
      <c r="AA46" s="230">
        <v>5.0625901899892245E-3</v>
      </c>
    </row>
    <row r="47" spans="10:27" x14ac:dyDescent="0.2">
      <c r="M47" s="221" t="str">
        <v>obj_0050d#0003</v>
      </c>
      <c r="N47" s="221" t="str">
        <f>_xll.qlRateHelperQuoteName(M47)</f>
        <v>GBPSB6L50Y_Quote</v>
      </c>
      <c r="O47" s="222">
        <f>_xll.qlRateHelperLatestDate(M47,Trigger)</f>
        <v>60080</v>
      </c>
      <c r="P47" s="237">
        <f>_xll.qlRateHelperQuoteValue(M47,_xll.ohTrigger(RecalcTrigger,YieldCurve))</f>
        <v>3.2219999999999999E-2</v>
      </c>
      <c r="Q47" s="238" t="str">
        <f t="shared" si="9"/>
        <v>50Y</v>
      </c>
      <c r="R47" s="209" t="str">
        <f>_xll.qlSwapIndex(,FamilyName,Q47,NDays,Currency,Calendar,"6M","mf","actual/365 (fixed)",IborIndex,Discounting,,_xll.ohTrigger(Trigger,RecalcTrigger))</f>
        <v>obj_00640#0005</v>
      </c>
      <c r="S47" s="239">
        <f>_xll.qlIndexFixing(R47,$X$19,TRUE,Trigger)</f>
        <v>3.0622675031374155E-2</v>
      </c>
      <c r="T47" s="224">
        <f t="shared" si="8"/>
        <v>-1.5973249686258434E-3</v>
      </c>
      <c r="W47" s="221" t="str">
        <f t="shared" si="7"/>
        <v>1D</v>
      </c>
      <c r="X47" s="222">
        <f>_xll.qlCalendarAdvance(Calendar,X46,W47,"f",FALSE)</f>
        <v>41857</v>
      </c>
      <c r="Y47" s="227">
        <f>_xll.qlCalendarAdvance(Calendar,X47,NDays&amp;"D")</f>
        <v>41857</v>
      </c>
      <c r="Z47" s="228">
        <v>5.1587709536055574E-3</v>
      </c>
      <c r="AA47" s="230">
        <v>5.0692216019743164E-3</v>
      </c>
    </row>
    <row r="48" spans="10:27" x14ac:dyDescent="0.2">
      <c r="J48" s="240" t="b">
        <v>1</v>
      </c>
      <c r="M48" s="221" t="str">
        <v>obj_00502#0003</v>
      </c>
      <c r="N48" s="221" t="str">
        <f>_xll.qlRateHelperQuoteName(M48)</f>
        <v>GBPSB6L60Y_Quote</v>
      </c>
      <c r="O48" s="222">
        <f>_xll.qlRateHelperLatestDate(M48,Trigger)</f>
        <v>63732</v>
      </c>
      <c r="P48" s="237">
        <f>_xll.qlRateHelperQuoteValue(M48,_xll.ohTrigger(RecalcTrigger,YieldCurve))</f>
        <v>3.2370000000000003E-2</v>
      </c>
      <c r="Q48" s="238" t="str">
        <f t="shared" si="9"/>
        <v>60Y</v>
      </c>
      <c r="R48" s="209" t="str">
        <f>_xll.qlSwapIndex(,FamilyName,Q48,NDays,Currency,Calendar,"6M","mf","actual/365 (fixed)",IborIndex,Discounting,,_xll.ohTrigger(Trigger,RecalcTrigger))</f>
        <v>obj_00641#0005</v>
      </c>
      <c r="S48" s="239">
        <f>_xll.qlIndexFixing(R48,$X$19,TRUE,Trigger)</f>
        <v>3.0772595699065482E-2</v>
      </c>
      <c r="T48" s="224">
        <f t="shared" si="8"/>
        <v>-1.5974043009345205E-3</v>
      </c>
      <c r="W48" s="221" t="str">
        <f t="shared" si="7"/>
        <v>1D</v>
      </c>
      <c r="X48" s="222">
        <f>_xll.qlCalendarAdvance(Calendar,X47,W48,"f",FALSE)</f>
        <v>41858</v>
      </c>
      <c r="Y48" s="227">
        <f>_xll.qlCalendarAdvance(Calendar,X48,NDays&amp;"D")</f>
        <v>41858</v>
      </c>
      <c r="Z48" s="228">
        <v>5.1614976865281201E-3</v>
      </c>
      <c r="AA48" s="230">
        <v>5.0757503005227633E-3</v>
      </c>
    </row>
    <row r="49" spans="10:27" x14ac:dyDescent="0.2">
      <c r="M49" s="221" t="e">
        <v>#N/A</v>
      </c>
      <c r="N49" s="221" t="e">
        <f>_xll.qlRateHelperQuoteName(M49)</f>
        <v>#VALUE!</v>
      </c>
      <c r="O49" s="222" t="e">
        <f>_xll.qlRateHelperLatestDate(M49,Trigger)</f>
        <v>#VALUE!</v>
      </c>
      <c r="P49" s="237" t="e">
        <f>_xll.qlRateHelperQuoteValue(M49,_xll.ohTrigger(RecalcTrigger,YieldCurve))</f>
        <v>#VALUE!</v>
      </c>
      <c r="Q49" s="238" t="e">
        <f t="shared" si="9"/>
        <v>#VALUE!</v>
      </c>
      <c r="R49" s="209" t="e">
        <f>_xll.qlSwapIndex(,FamilyName,Q49,NDays,Currency,Calendar,"6M","mf","actual/365 (fixed)",IborIndex,Discounting,,_xll.ohTrigger(Trigger,RecalcTrigger))</f>
        <v>#VALUE!</v>
      </c>
      <c r="S49" s="239" t="e">
        <f>_xll.qlIndexFixing(R49,$X$19,TRUE,Trigger)</f>
        <v>#VALUE!</v>
      </c>
      <c r="T49" s="224" t="e">
        <f t="shared" si="8"/>
        <v>#VALUE!</v>
      </c>
      <c r="W49" s="221" t="str">
        <f t="shared" si="7"/>
        <v>1D</v>
      </c>
      <c r="X49" s="222">
        <f>_xll.qlCalendarAdvance(Calendar,X48,W49,"f",FALSE)</f>
        <v>41859</v>
      </c>
      <c r="Y49" s="227">
        <f>_xll.qlCalendarAdvance(Calendar,X49,NDays&amp;"D")</f>
        <v>41859</v>
      </c>
      <c r="Z49" s="228">
        <v>5.1641919171298697E-3</v>
      </c>
      <c r="AA49" s="230">
        <v>5.0885362576321338E-3</v>
      </c>
    </row>
    <row r="50" spans="10:27" x14ac:dyDescent="0.2">
      <c r="M50" s="221" t="e">
        <v>#N/A</v>
      </c>
      <c r="N50" s="221" t="e">
        <f>_xll.qlRateHelperQuoteName(M50)</f>
        <v>#VALUE!</v>
      </c>
      <c r="O50" s="222" t="e">
        <f>_xll.qlRateHelperLatestDate(M50,Trigger)</f>
        <v>#VALUE!</v>
      </c>
      <c r="P50" s="237" t="e">
        <f>_xll.qlRateHelperQuoteValue(M50,_xll.ohTrigger(RecalcTrigger,YieldCurve))</f>
        <v>#VALUE!</v>
      </c>
      <c r="Q50" s="238" t="e">
        <f t="shared" si="9"/>
        <v>#VALUE!</v>
      </c>
      <c r="R50" s="209" t="e">
        <f>_xll.qlSwapIndex(,FamilyName,Q50,NDays,Currency,Calendar,"6M","mf","actual/365 (fixed)",IborIndex,Discounting,,_xll.ohTrigger(Trigger,RecalcTrigger))</f>
        <v>#VALUE!</v>
      </c>
      <c r="S50" s="239" t="e">
        <f>_xll.qlIndexFixing(R50,$X$19,TRUE,Trigger)</f>
        <v>#VALUE!</v>
      </c>
      <c r="T50" s="224" t="e">
        <f t="shared" si="8"/>
        <v>#VALUE!</v>
      </c>
      <c r="W50" s="221" t="str">
        <f t="shared" si="7"/>
        <v>1D</v>
      </c>
      <c r="X50" s="222">
        <f>_xll.qlCalendarAdvance(Calendar,X49,W50,"f",FALSE)</f>
        <v>41862</v>
      </c>
      <c r="Y50" s="227">
        <f>_xll.qlCalendarAdvance(Calendar,X50,NDays&amp;"D")</f>
        <v>41862</v>
      </c>
      <c r="Z50" s="228">
        <v>5.1791570018797353E-3</v>
      </c>
      <c r="AA50" s="230">
        <v>5.1008379588912689E-3</v>
      </c>
    </row>
    <row r="51" spans="10:27" x14ac:dyDescent="0.2">
      <c r="M51" s="221" t="e">
        <v>#N/A</v>
      </c>
      <c r="N51" s="221" t="e">
        <f>_xll.qlRateHelperQuoteName(M51)</f>
        <v>#VALUE!</v>
      </c>
      <c r="O51" s="222" t="e">
        <f>_xll.qlRateHelperLatestDate(M51,Trigger)</f>
        <v>#VALUE!</v>
      </c>
      <c r="P51" s="237" t="e">
        <f>_xll.qlRateHelperQuoteValue(M51,_xll.ohTrigger(RecalcTrigger,YieldCurve))</f>
        <v>#VALUE!</v>
      </c>
      <c r="Q51" s="238" t="e">
        <f t="shared" si="9"/>
        <v>#VALUE!</v>
      </c>
      <c r="R51" s="209" t="e">
        <f>_xll.qlSwapIndex(,FamilyName,Q51,NDays,Currency,Calendar,"6M","mf","actual/365 (fixed)",IborIndex,Discounting,,_xll.ohTrigger(Trigger,RecalcTrigger))</f>
        <v>#VALUE!</v>
      </c>
      <c r="S51" s="239" t="e">
        <f>_xll.qlIndexFixing(R51,$X$19,TRUE,Trigger)</f>
        <v>#VALUE!</v>
      </c>
      <c r="T51" s="224" t="e">
        <f t="shared" si="8"/>
        <v>#VALUE!</v>
      </c>
      <c r="W51" s="221" t="str">
        <f t="shared" si="7"/>
        <v>1D</v>
      </c>
      <c r="X51" s="222">
        <f>_xll.qlCalendarAdvance(Calendar,X50,W51,"f",FALSE)</f>
        <v>41863</v>
      </c>
      <c r="Y51" s="227">
        <f>_xll.qlCalendarAdvance(Calendar,X51,NDays&amp;"D")</f>
        <v>41863</v>
      </c>
      <c r="Z51" s="228">
        <v>5.1840358842183696E-3</v>
      </c>
      <c r="AA51" s="230">
        <v>5.106853089608121E-3</v>
      </c>
    </row>
    <row r="52" spans="10:27" ht="15" x14ac:dyDescent="0.25">
      <c r="J52"/>
      <c r="M52" s="221" t="e">
        <v>#N/A</v>
      </c>
      <c r="N52" s="221" t="e">
        <f>_xll.qlRateHelperQuoteName(M52)</f>
        <v>#VALUE!</v>
      </c>
      <c r="O52" s="222" t="e">
        <f>_xll.qlRateHelperLatestDate(M52,Trigger)</f>
        <v>#VALUE!</v>
      </c>
      <c r="P52" s="237" t="e">
        <f>_xll.qlRateHelperQuoteValue(M52,_xll.ohTrigger(RecalcTrigger,YieldCurve))</f>
        <v>#VALUE!</v>
      </c>
      <c r="Q52" s="238" t="e">
        <f t="shared" si="9"/>
        <v>#VALUE!</v>
      </c>
      <c r="R52" s="209" t="e">
        <f>_xll.qlSwapIndex(,FamilyName,Q52,NDays,Currency,Calendar,"6M","mf","actual/365 (fixed)",IborIndex,Discounting,,_xll.ohTrigger(Trigger,RecalcTrigger))</f>
        <v>#VALUE!</v>
      </c>
      <c r="S52" s="239" t="e">
        <f>_xll.qlIndexFixing(R52,$X$19,TRUE,Trigger)</f>
        <v>#VALUE!</v>
      </c>
      <c r="T52" s="224" t="e">
        <f t="shared" si="8"/>
        <v>#VALUE!</v>
      </c>
      <c r="W52" s="221" t="str">
        <f t="shared" si="7"/>
        <v>1D</v>
      </c>
      <c r="X52" s="222">
        <f>_xll.qlCalendarAdvance(Calendar,X51,W52,"f",FALSE)</f>
        <v>41864</v>
      </c>
      <c r="Y52" s="227">
        <f>_xll.qlCalendarAdvance(Calendar,X52,NDays&amp;"D")</f>
        <v>41864</v>
      </c>
      <c r="Z52" s="228">
        <v>5.1935166787878718E-3</v>
      </c>
      <c r="AA52" s="230">
        <v>5.1127655066451894E-3</v>
      </c>
    </row>
    <row r="53" spans="10:27" x14ac:dyDescent="0.2">
      <c r="M53" s="221" t="e">
        <v>#N/A</v>
      </c>
      <c r="N53" s="221" t="e">
        <f>_xll.qlRateHelperQuoteName(M53)</f>
        <v>#VALUE!</v>
      </c>
      <c r="O53" s="222" t="e">
        <f>_xll.qlRateHelperLatestDate(M53,Trigger)</f>
        <v>#VALUE!</v>
      </c>
      <c r="P53" s="237" t="e">
        <f>_xll.qlRateHelperQuoteValue(M53,_xll.ohTrigger(RecalcTrigger,YieldCurve))</f>
        <v>#VALUE!</v>
      </c>
      <c r="Q53" s="238" t="e">
        <f t="shared" si="9"/>
        <v>#VALUE!</v>
      </c>
      <c r="R53" s="209" t="e">
        <f>_xll.qlSwapIndex(,FamilyName,Q53,NDays,Currency,Calendar,"6M","mf","actual/365 (fixed)",IborIndex,Discounting,,_xll.ohTrigger(Trigger,RecalcTrigger))</f>
        <v>#VALUE!</v>
      </c>
      <c r="S53" s="239" t="e">
        <f>_xll.qlIndexFixing(R53,$X$19,TRUE,Trigger)</f>
        <v>#VALUE!</v>
      </c>
      <c r="T53" s="224" t="e">
        <f t="shared" si="8"/>
        <v>#VALUE!</v>
      </c>
      <c r="W53" s="221" t="str">
        <f t="shared" si="7"/>
        <v>1D</v>
      </c>
      <c r="X53" s="222">
        <f>_xll.qlCalendarAdvance(Calendar,X52,W53,"f",FALSE)</f>
        <v>41865</v>
      </c>
      <c r="Y53" s="227">
        <f>_xll.qlCalendarAdvance(Calendar,X53,NDays&amp;"D")</f>
        <v>41865</v>
      </c>
      <c r="Z53" s="228">
        <v>5.1959673700064171E-3</v>
      </c>
      <c r="AA53" s="230">
        <v>5.1185752100835202E-3</v>
      </c>
    </row>
    <row r="54" spans="10:27" x14ac:dyDescent="0.2">
      <c r="M54" s="221" t="e">
        <v>#N/A</v>
      </c>
      <c r="N54" s="221" t="e">
        <f>_xll.qlRateHelperQuoteName(M54)</f>
        <v>#VALUE!</v>
      </c>
      <c r="O54" s="222" t="e">
        <f>_xll.qlRateHelperLatestDate(M54,Trigger)</f>
        <v>#VALUE!</v>
      </c>
      <c r="P54" s="237" t="e">
        <f>_xll.qlRateHelperQuoteValue(M54,_xll.ohTrigger(RecalcTrigger,YieldCurve))</f>
        <v>#VALUE!</v>
      </c>
      <c r="Q54" s="238" t="e">
        <f t="shared" si="9"/>
        <v>#VALUE!</v>
      </c>
      <c r="R54" s="209" t="e">
        <f>_xll.qlSwapIndex(,FamilyName,Q54,NDays,Currency,Calendar,"6M","mf","actual/365 (fixed)",IborIndex,Discounting,,_xll.ohTrigger(Trigger,RecalcTrigger))</f>
        <v>#VALUE!</v>
      </c>
      <c r="S54" s="239" t="e">
        <f>_xll.qlIndexFixing(R54,$X$19,TRUE,Trigger)</f>
        <v>#VALUE!</v>
      </c>
      <c r="T54" s="224" t="e">
        <f t="shared" si="8"/>
        <v>#VALUE!</v>
      </c>
      <c r="W54" s="221" t="str">
        <f t="shared" si="7"/>
        <v>1D</v>
      </c>
      <c r="X54" s="222">
        <f>_xll.qlCalendarAdvance(Calendar,X53,W54,"f",FALSE)</f>
        <v>41866</v>
      </c>
      <c r="Y54" s="227">
        <f>_xll.qlCalendarAdvance(Calendar,X54,NDays&amp;"D")</f>
        <v>41866</v>
      </c>
      <c r="Z54" s="228">
        <v>5.1983909916914822E-3</v>
      </c>
      <c r="AA54" s="230">
        <v>5.1299243356102888E-3</v>
      </c>
    </row>
    <row r="55" spans="10:27" ht="15" x14ac:dyDescent="0.25">
      <c r="J55"/>
      <c r="M55" s="221" t="e">
        <v>#N/A</v>
      </c>
      <c r="N55" s="221" t="e">
        <f>_xll.qlRateHelperQuoteName(M55)</f>
        <v>#VALUE!</v>
      </c>
      <c r="O55" s="222" t="e">
        <f>_xll.qlRateHelperLatestDate(M55,Trigger)</f>
        <v>#VALUE!</v>
      </c>
      <c r="P55" s="237" t="e">
        <f>_xll.qlRateHelperQuoteValue(M55,_xll.ohTrigger(RecalcTrigger,YieldCurve))</f>
        <v>#VALUE!</v>
      </c>
      <c r="Q55" s="238" t="e">
        <f t="shared" si="9"/>
        <v>#VALUE!</v>
      </c>
      <c r="R55" s="209" t="e">
        <f>_xll.qlSwapIndex(,FamilyName,Q55,NDays,Currency,Calendar,"6M","mf","actual/365 (fixed)",IborIndex,Discounting,,_xll.ohTrigger(Trigger,RecalcTrigger))</f>
        <v>#VALUE!</v>
      </c>
      <c r="S55" s="239" t="e">
        <f>_xll.qlIndexFixing(R55,$X$19,TRUE,Trigger)</f>
        <v>#VALUE!</v>
      </c>
      <c r="T55" s="224" t="e">
        <f t="shared" si="8"/>
        <v>#VALUE!</v>
      </c>
      <c r="W55" s="221" t="str">
        <f t="shared" si="7"/>
        <v>1D</v>
      </c>
      <c r="X55" s="222">
        <f>_xll.qlCalendarAdvance(Calendar,X54,W55,"f",FALSE)</f>
        <v>41869</v>
      </c>
      <c r="Y55" s="227">
        <f>_xll.qlCalendarAdvance(Calendar,X55,NDays&amp;"D")</f>
        <v>41869</v>
      </c>
      <c r="Z55" s="228">
        <v>5.2123941374652757E-3</v>
      </c>
      <c r="AA55" s="230">
        <v>5.1407868878494689E-3</v>
      </c>
    </row>
    <row r="56" spans="10:27" x14ac:dyDescent="0.2">
      <c r="M56" s="221" t="e">
        <v>#N/A</v>
      </c>
      <c r="N56" s="221" t="e">
        <f>_xll.qlRateHelperQuoteName(M56)</f>
        <v>#VALUE!</v>
      </c>
      <c r="O56" s="222" t="e">
        <f>_xll.qlRateHelperLatestDate(M56,Trigger)</f>
        <v>#VALUE!</v>
      </c>
      <c r="P56" s="237" t="e">
        <f>_xll.qlRateHelperQuoteValue(M56,_xll.ohTrigger(RecalcTrigger,YieldCurve))</f>
        <v>#VALUE!</v>
      </c>
      <c r="Q56" s="238" t="e">
        <f t="shared" si="9"/>
        <v>#VALUE!</v>
      </c>
      <c r="R56" s="209" t="e">
        <f>_xll.qlSwapIndex(,FamilyName,Q56,NDays,Currency,Calendar,"6M","mf","actual/365 (fixed)",IborIndex,Discounting,,_xll.ohTrigger(Trigger,RecalcTrigger))</f>
        <v>#VALUE!</v>
      </c>
      <c r="S56" s="239" t="e">
        <f>_xll.qlIndexFixing(R56,$X$19,TRUE,Trigger)</f>
        <v>#VALUE!</v>
      </c>
      <c r="T56" s="224" t="e">
        <f t="shared" si="8"/>
        <v>#VALUE!</v>
      </c>
      <c r="W56" s="221" t="str">
        <f t="shared" si="7"/>
        <v>1D</v>
      </c>
      <c r="X56" s="222">
        <f>_xll.qlCalendarAdvance(Calendar,X55,W56,"f",FALSE)</f>
        <v>41870</v>
      </c>
      <c r="Y56" s="227">
        <f>_xll.qlCalendarAdvance(Calendar,X56,NDays&amp;"D")</f>
        <v>41870</v>
      </c>
      <c r="Z56" s="228">
        <v>5.2169992718701626E-3</v>
      </c>
      <c r="AA56" s="230">
        <v>5.1460830232941124E-3</v>
      </c>
    </row>
    <row r="57" spans="10:27" x14ac:dyDescent="0.2">
      <c r="M57" s="221" t="e">
        <v>#N/A</v>
      </c>
      <c r="N57" s="221" t="e">
        <f>_xll.qlRateHelperQuoteName(M57)</f>
        <v>#VALUE!</v>
      </c>
      <c r="O57" s="222" t="e">
        <f>_xll.qlRateHelperLatestDate(M57,Trigger)</f>
        <v>#VALUE!</v>
      </c>
      <c r="P57" s="237" t="e">
        <f>_xll.qlRateHelperQuoteValue(M57,_xll.ohTrigger(RecalcTrigger,YieldCurve))</f>
        <v>#VALUE!</v>
      </c>
      <c r="Q57" s="238" t="e">
        <f t="shared" si="9"/>
        <v>#VALUE!</v>
      </c>
      <c r="R57" s="209" t="e">
        <f>_xll.qlSwapIndex(,FamilyName,Q57,NDays,Currency,Calendar,"6M","mf","actual/365 (fixed)",IborIndex,Discounting,,_xll.ohTrigger(Trigger,RecalcTrigger))</f>
        <v>#VALUE!</v>
      </c>
      <c r="S57" s="239" t="e">
        <f>_xll.qlIndexFixing(R57,$X$19,TRUE,Trigger)</f>
        <v>#VALUE!</v>
      </c>
      <c r="T57" s="224" t="e">
        <f t="shared" si="8"/>
        <v>#VALUE!</v>
      </c>
      <c r="W57" s="221" t="str">
        <f t="shared" si="7"/>
        <v>1D</v>
      </c>
      <c r="X57" s="222">
        <f>_xll.qlCalendarAdvance(Calendar,X56,W57,"f",FALSE)</f>
        <v>41871</v>
      </c>
      <c r="Y57" s="227">
        <f>_xll.qlCalendarAdvance(Calendar,X57,NDays&amp;"D")</f>
        <v>41871</v>
      </c>
      <c r="Z57" s="228">
        <v>5.226157101008256E-3</v>
      </c>
      <c r="AA57" s="230">
        <v>5.1512764451400184E-3</v>
      </c>
    </row>
    <row r="58" spans="10:27" x14ac:dyDescent="0.2">
      <c r="M58" s="221" t="e">
        <v>#N/A</v>
      </c>
      <c r="N58" s="221" t="e">
        <f>_xll.qlRateHelperQuoteName(M58)</f>
        <v>#VALUE!</v>
      </c>
      <c r="O58" s="222" t="e">
        <f>_xll.qlRateHelperLatestDate(M58,Trigger)</f>
        <v>#VALUE!</v>
      </c>
      <c r="P58" s="237" t="e">
        <f>_xll.qlRateHelperQuoteValue(M58,_xll.ohTrigger(RecalcTrigger,YieldCurve))</f>
        <v>#VALUE!</v>
      </c>
      <c r="Q58" s="238" t="e">
        <f t="shared" si="9"/>
        <v>#VALUE!</v>
      </c>
      <c r="R58" s="209" t="e">
        <f>_xll.qlSwapIndex(,FamilyName,Q58,NDays,Currency,Calendar,"6M","mf","actual/365 (fixed)",IborIndex,Discounting,,_xll.ohTrigger(Trigger,RecalcTrigger))</f>
        <v>#VALUE!</v>
      </c>
      <c r="S58" s="239" t="e">
        <f>_xll.qlIndexFixing(R58,$X$19,TRUE,Trigger)</f>
        <v>#VALUE!</v>
      </c>
      <c r="T58" s="224" t="e">
        <f t="shared" si="8"/>
        <v>#VALUE!</v>
      </c>
      <c r="W58" s="221" t="str">
        <f t="shared" si="7"/>
        <v>1D</v>
      </c>
      <c r="X58" s="222">
        <f>_xll.qlCalendarAdvance(Calendar,X57,W58,"f",FALSE)</f>
        <v>41872</v>
      </c>
      <c r="Y58" s="227">
        <f>_xll.qlCalendarAdvance(Calendar,X58,NDays&amp;"D")</f>
        <v>41872</v>
      </c>
      <c r="Z58" s="228">
        <v>5.2284233323150048E-3</v>
      </c>
      <c r="AA58" s="230">
        <v>5.1563671533061406E-3</v>
      </c>
    </row>
    <row r="59" spans="10:27" x14ac:dyDescent="0.2">
      <c r="M59" s="221" t="e">
        <v>#N/A</v>
      </c>
      <c r="N59" s="221" t="e">
        <f>_xll.qlRateHelperQuoteName(M59)</f>
        <v>#VALUE!</v>
      </c>
      <c r="O59" s="222" t="e">
        <f>_xll.qlRateHelperLatestDate(M59,Trigger)</f>
        <v>#VALUE!</v>
      </c>
      <c r="P59" s="237" t="e">
        <f>_xll.qlRateHelperQuoteValue(M59,_xll.ohTrigger(RecalcTrigger,YieldCurve))</f>
        <v>#VALUE!</v>
      </c>
      <c r="Q59" s="238" t="e">
        <f t="shared" si="9"/>
        <v>#VALUE!</v>
      </c>
      <c r="R59" s="209" t="e">
        <f>_xll.qlSwapIndex(,FamilyName,Q59,NDays,Currency,Calendar,"6M","mf","actual/365 (fixed)",IborIndex,Discounting,,_xll.ohTrigger(Trigger,RecalcTrigger))</f>
        <v>#VALUE!</v>
      </c>
      <c r="S59" s="239" t="e">
        <f>_xll.qlIndexFixing(R59,$X$19,TRUE,Trigger)</f>
        <v>#VALUE!</v>
      </c>
      <c r="T59" s="224" t="e">
        <f t="shared" si="8"/>
        <v>#VALUE!</v>
      </c>
      <c r="W59" s="221" t="str">
        <f t="shared" si="7"/>
        <v>1D</v>
      </c>
      <c r="X59" s="222">
        <f>_xll.qlCalendarAdvance(Calendar,X58,W59,"f",FALSE)</f>
        <v>41873</v>
      </c>
      <c r="Y59" s="227">
        <f>_xll.qlCalendarAdvance(Calendar,X59,NDays&amp;"D")</f>
        <v>41873</v>
      </c>
      <c r="Z59" s="228">
        <v>5.2306738312815713E-3</v>
      </c>
      <c r="AA59" s="230">
        <v>5.1686901410399888E-3</v>
      </c>
    </row>
    <row r="60" spans="10:27" x14ac:dyDescent="0.2">
      <c r="M60" s="221" t="e">
        <v>#N/A</v>
      </c>
      <c r="N60" s="221" t="e">
        <f>_xll.qlRateHelperQuoteName(M60)</f>
        <v>#VALUE!</v>
      </c>
      <c r="O60" s="222" t="e">
        <f>_xll.qlRateHelperLatestDate(M60,Trigger)</f>
        <v>#VALUE!</v>
      </c>
      <c r="P60" s="237" t="e">
        <f>_xll.qlRateHelperQuoteValue(M60,_xll.ohTrigger(RecalcTrigger,YieldCurve))</f>
        <v>#VALUE!</v>
      </c>
      <c r="Q60" s="238" t="e">
        <f t="shared" si="9"/>
        <v>#VALUE!</v>
      </c>
      <c r="R60" s="209" t="e">
        <f>_xll.qlSwapIndex(,FamilyName,Q60,NDays,Currency,Calendar,"6M","mf","actual/365 (fixed)",IborIndex,Discounting,,_xll.ohTrigger(Trigger,RecalcTrigger))</f>
        <v>#VALUE!</v>
      </c>
      <c r="S60" s="239" t="e">
        <f>_xll.qlIndexFixing(R60,$X$19,TRUE,Trigger)</f>
        <v>#VALUE!</v>
      </c>
      <c r="T60" s="224" t="e">
        <f t="shared" si="8"/>
        <v>#VALUE!</v>
      </c>
      <c r="W60" s="221" t="str">
        <f t="shared" si="7"/>
        <v>1D</v>
      </c>
      <c r="X60" s="222">
        <f>_xll.qlCalendarAdvance(Calendar,X59,W60,"f",FALSE)</f>
        <v>41877</v>
      </c>
      <c r="Y60" s="227">
        <f>_xll.qlCalendarAdvance(Calendar,X60,NDays&amp;"D")</f>
        <v>41877</v>
      </c>
      <c r="Z60" s="228">
        <v>5.2487030055536898E-3</v>
      </c>
      <c r="AA60" s="230">
        <v>5.1802799896694118E-3</v>
      </c>
    </row>
    <row r="61" spans="10:27" x14ac:dyDescent="0.2">
      <c r="M61" s="221" t="e">
        <v>#N/A</v>
      </c>
      <c r="N61" s="221" t="e">
        <f>_xll.qlRateHelperQuoteName(M61)</f>
        <v>#VALUE!</v>
      </c>
      <c r="O61" s="222" t="e">
        <f>_xll.qlRateHelperLatestDate(M61,Trigger)</f>
        <v>#VALUE!</v>
      </c>
      <c r="P61" s="237" t="e">
        <f>_xll.qlRateHelperQuoteValue(M61,_xll.ohTrigger(RecalcTrigger,YieldCurve))</f>
        <v>#VALUE!</v>
      </c>
      <c r="Q61" s="238" t="e">
        <f t="shared" si="9"/>
        <v>#VALUE!</v>
      </c>
      <c r="R61" s="209" t="e">
        <f>_xll.qlSwapIndex(,FamilyName,Q61,NDays,Currency,Calendar,"6M","mf","actual/365 (fixed)",IborIndex,Discounting,,_xll.ohTrigger(Trigger,RecalcTrigger))</f>
        <v>#VALUE!</v>
      </c>
      <c r="S61" s="239" t="e">
        <f>_xll.qlIndexFixing(R61,$X$19,TRUE,Trigger)</f>
        <v>#VALUE!</v>
      </c>
      <c r="T61" s="224" t="e">
        <f t="shared" si="8"/>
        <v>#VALUE!</v>
      </c>
      <c r="W61" s="221" t="str">
        <f t="shared" si="7"/>
        <v>1D</v>
      </c>
      <c r="X61" s="222">
        <f>_xll.qlCalendarAdvance(Calendar,X60,W61,"f",FALSE)</f>
        <v>41878</v>
      </c>
      <c r="Y61" s="227">
        <f>_xll.qlCalendarAdvance(Calendar,X61,NDays&amp;"D")</f>
        <v>41878</v>
      </c>
      <c r="Z61" s="228">
        <v>5.2577716291306179E-3</v>
      </c>
      <c r="AA61" s="230">
        <v>5.1847717165443008E-3</v>
      </c>
    </row>
    <row r="62" spans="10:27" x14ac:dyDescent="0.2">
      <c r="M62" s="221" t="e">
        <v>#N/A</v>
      </c>
      <c r="N62" s="221" t="e">
        <f>_xll.qlRateHelperQuoteName(M62)</f>
        <v>#VALUE!</v>
      </c>
      <c r="O62" s="222" t="e">
        <f>_xll.qlRateHelperLatestDate(M62,Trigger)</f>
        <v>#VALUE!</v>
      </c>
      <c r="P62" s="237" t="e">
        <f>_xll.qlRateHelperQuoteValue(M62,_xll.ohTrigger(RecalcTrigger,YieldCurve))</f>
        <v>#VALUE!</v>
      </c>
      <c r="Q62" s="238" t="e">
        <f>SUBSTITUTE(SUBSTITUTE(N62,"_Quote",""),"GBPSB6L","")</f>
        <v>#VALUE!</v>
      </c>
      <c r="R62" s="209" t="e">
        <f>_xll.qlSwapIndex(,FamilyName,Q62,NDays,Currency,Calendar,"6M","mf","actual/365 (fixed)",IborIndex,Discounting,,_xll.ohTrigger(Trigger,RecalcTrigger))</f>
        <v>#VALUE!</v>
      </c>
      <c r="S62" s="239" t="e">
        <f>_xll.qlIndexFixing(R62,$X$19,TRUE,Trigger)</f>
        <v>#VALUE!</v>
      </c>
      <c r="T62" s="224" t="e">
        <f t="shared" si="8"/>
        <v>#VALUE!</v>
      </c>
      <c r="W62" s="221" t="str">
        <f t="shared" si="7"/>
        <v>1D</v>
      </c>
      <c r="X62" s="222">
        <f>_xll.qlCalendarAdvance(Calendar,X61,W62,"f",FALSE)</f>
        <v>41879</v>
      </c>
      <c r="Y62" s="227">
        <f>_xll.qlCalendarAdvance(Calendar,X62,NDays&amp;"D")</f>
        <v>41879</v>
      </c>
      <c r="Z62" s="228">
        <v>5.259978159176705E-3</v>
      </c>
      <c r="AA62" s="230">
        <v>5.1892472330283823E-3</v>
      </c>
    </row>
    <row r="63" spans="10:27" x14ac:dyDescent="0.2">
      <c r="M63" s="221" t="e">
        <v>#N/A</v>
      </c>
      <c r="N63" s="221" t="e">
        <f>_xll.qlRateHelperQuoteName(M63)</f>
        <v>#VALUE!</v>
      </c>
      <c r="O63" s="222" t="e">
        <f>_xll.qlRateHelperLatestDate(M63,Trigger)</f>
        <v>#VALUE!</v>
      </c>
      <c r="P63" s="237" t="e">
        <f>_xll.qlRateHelperQuoteValue(M63,_xll.ohTrigger(RecalcTrigger,YieldCurve))</f>
        <v>#VALUE!</v>
      </c>
      <c r="Q63" s="238" t="e">
        <f t="shared" si="9"/>
        <v>#VALUE!</v>
      </c>
      <c r="R63" s="209" t="e">
        <f>_xll.qlSwapIndex(,FamilyName,Q63,NDays,Currency,Calendar,"6M","mf","actual/365 (fixed)",IborIndex,Discounting,,_xll.ohTrigger(Trigger,RecalcTrigger))</f>
        <v>#VALUE!</v>
      </c>
      <c r="S63" s="239" t="e">
        <f>_xll.qlIndexFixing(R63,$X$19,TRUE,Trigger)</f>
        <v>#VALUE!</v>
      </c>
      <c r="T63" s="224" t="e">
        <f t="shared" si="8"/>
        <v>#VALUE!</v>
      </c>
      <c r="W63" s="221" t="str">
        <f t="shared" si="7"/>
        <v>1D</v>
      </c>
      <c r="X63" s="222">
        <f>_xll.qlCalendarAdvance(Calendar,X62,W63,"f",FALSE)</f>
        <v>41880</v>
      </c>
      <c r="Y63" s="227">
        <f>_xll.qlCalendarAdvance(Calendar,X63,NDays&amp;"D")</f>
        <v>41880</v>
      </c>
      <c r="Z63" s="228">
        <v>5.2644790122047258E-3</v>
      </c>
      <c r="AA63" s="230">
        <v>5.1982759308914312E-3</v>
      </c>
    </row>
    <row r="64" spans="10:27" x14ac:dyDescent="0.2">
      <c r="M64" s="221" t="e">
        <v>#N/A</v>
      </c>
      <c r="N64" s="221" t="e">
        <f>_xll.qlRateHelperQuoteName(M64)</f>
        <v>#VALUE!</v>
      </c>
      <c r="O64" s="222" t="e">
        <f>_xll.qlRateHelperLatestDate(M64,Trigger)</f>
        <v>#VALUE!</v>
      </c>
      <c r="P64" s="237" t="e">
        <f>_xll.qlRateHelperQuoteValue(M64,_xll.ohTrigger(RecalcTrigger,YieldCurve))</f>
        <v>#VALUE!</v>
      </c>
      <c r="Q64" s="238" t="e">
        <f t="shared" si="9"/>
        <v>#VALUE!</v>
      </c>
      <c r="R64" s="209" t="e">
        <f>_xll.qlSwapIndex(,FamilyName,Q64,NDays,Currency,Calendar,"6M","mf","actual/365 (fixed)",IborIndex,Discounting,,_xll.ohTrigger(Trigger,RecalcTrigger))</f>
        <v>#VALUE!</v>
      </c>
      <c r="S64" s="239" t="e">
        <f>_xll.qlIndexFixing(R64,$X$19,TRUE,Trigger)</f>
        <v>#VALUE!</v>
      </c>
      <c r="T64" s="224" t="e">
        <f t="shared" si="8"/>
        <v>#VALUE!</v>
      </c>
      <c r="W64" s="221" t="str">
        <f t="shared" si="7"/>
        <v>1D</v>
      </c>
      <c r="X64" s="222">
        <f>_xll.qlCalendarAdvance(Calendar,X63,W64,"f",FALSE)</f>
        <v>41883</v>
      </c>
      <c r="Y64" s="227">
        <f>_xll.qlCalendarAdvance(Calendar,X64,NDays&amp;"D")</f>
        <v>41883</v>
      </c>
      <c r="Z64" s="228">
        <v>5.2734317383269502E-3</v>
      </c>
      <c r="AA64" s="230">
        <v>5.2071601998515682E-3</v>
      </c>
    </row>
    <row r="65" spans="10:27" x14ac:dyDescent="0.2">
      <c r="M65" s="221" t="e">
        <v>#N/A</v>
      </c>
      <c r="N65" s="221" t="e">
        <f>_xll.qlRateHelperQuoteName(M65)</f>
        <v>#VALUE!</v>
      </c>
      <c r="O65" s="222" t="e">
        <f>_xll.qlRateHelperLatestDate(M65,Trigger)</f>
        <v>#VALUE!</v>
      </c>
      <c r="P65" s="237" t="e">
        <f>_xll.qlRateHelperQuoteValue(M65,_xll.ohTrigger(RecalcTrigger,YieldCurve))</f>
        <v>#VALUE!</v>
      </c>
      <c r="Q65" s="238" t="e">
        <f t="shared" si="9"/>
        <v>#VALUE!</v>
      </c>
      <c r="R65" s="209" t="e">
        <f>_xll.qlSwapIndex(,FamilyName,Q65,NDays,Currency,Calendar,"6M","mf","actual/365 (fixed)",IborIndex,Discounting,,_xll.ohTrigger(Trigger,RecalcTrigger))</f>
        <v>#VALUE!</v>
      </c>
      <c r="S65" s="239" t="e">
        <f>_xll.qlIndexFixing(R65,$X$19,TRUE,Trigger)</f>
        <v>#VALUE!</v>
      </c>
      <c r="T65" s="224" t="e">
        <f t="shared" si="8"/>
        <v>#VALUE!</v>
      </c>
      <c r="W65" s="221" t="str">
        <f t="shared" si="7"/>
        <v>1D</v>
      </c>
      <c r="X65" s="222">
        <f>_xll.qlCalendarAdvance(Calendar,X64,W65,"f",FALSE)</f>
        <v>41884</v>
      </c>
      <c r="Y65" s="227">
        <f>_xll.qlCalendarAdvance(Calendar,X65,NDays&amp;"D")</f>
        <v>41884</v>
      </c>
      <c r="Z65" s="228">
        <v>5.2780386490568123E-3</v>
      </c>
      <c r="AA65" s="230">
        <v>5.2116411668601259E-3</v>
      </c>
    </row>
    <row r="66" spans="10:27" ht="12" thickBot="1" x14ac:dyDescent="0.25">
      <c r="M66" s="221" t="e">
        <v>#N/A</v>
      </c>
      <c r="N66" s="221" t="e">
        <f>_xll.qlRateHelperQuoteName(M66)</f>
        <v>#VALUE!</v>
      </c>
      <c r="O66" s="222" t="e">
        <f>_xll.qlRateHelperLatestDate(M66,Trigger)</f>
        <v>#VALUE!</v>
      </c>
      <c r="P66" s="237" t="e">
        <f>_xll.qlRateHelperQuoteValue(M66,_xll.ohTrigger(RecalcTrigger,YieldCurve))</f>
        <v>#VALUE!</v>
      </c>
      <c r="Q66" s="238" t="e">
        <f t="shared" si="9"/>
        <v>#VALUE!</v>
      </c>
      <c r="R66" s="209" t="e">
        <f>_xll.qlSwapIndex(,FamilyName,Q66,NDays,Currency,Calendar,"6M","mf","actual/365 (fixed)",IborIndex,Discounting,,_xll.ohTrigger(Trigger,RecalcTrigger))</f>
        <v>#VALUE!</v>
      </c>
      <c r="S66" s="239" t="e">
        <f>_xll.qlIndexFixing(R66,$X$19,TRUE,Trigger)</f>
        <v>#VALUE!</v>
      </c>
      <c r="T66" s="224" t="e">
        <f t="shared" si="8"/>
        <v>#VALUE!</v>
      </c>
      <c r="W66" s="221" t="str">
        <f t="shared" si="7"/>
        <v>1D</v>
      </c>
      <c r="X66" s="222">
        <f>_xll.qlCalendarAdvance(Calendar,X65,W66,"f",FALSE)</f>
        <v>41885</v>
      </c>
      <c r="Y66" s="227">
        <f>_xll.qlCalendarAdvance(Calendar,X66,NDays&amp;"D")</f>
        <v>41885</v>
      </c>
      <c r="Z66" s="228">
        <v>5.2827492069061899E-3</v>
      </c>
      <c r="AA66" s="230">
        <v>5.2161232239411603E-3</v>
      </c>
    </row>
    <row r="67" spans="10:27" x14ac:dyDescent="0.2">
      <c r="M67" s="207"/>
      <c r="N67" s="207"/>
      <c r="O67" s="207"/>
      <c r="P67" s="207"/>
      <c r="Q67" s="207"/>
      <c r="R67" s="207"/>
      <c r="S67" s="207"/>
      <c r="T67" s="235"/>
      <c r="W67" s="221" t="str">
        <f t="shared" si="7"/>
        <v>1D</v>
      </c>
      <c r="X67" s="222">
        <f>_xll.qlCalendarAdvance(Calendar,X66,W67,"f",FALSE)</f>
        <v>41886</v>
      </c>
      <c r="Y67" s="227">
        <f>_xll.qlCalendarAdvance(Calendar,X67,NDays&amp;"D")</f>
        <v>41886</v>
      </c>
      <c r="Z67" s="228">
        <v>5.2933018326127221E-3</v>
      </c>
      <c r="AA67" s="230">
        <v>5.2206063710946715E-3</v>
      </c>
    </row>
    <row r="68" spans="10:27" x14ac:dyDescent="0.2">
      <c r="S68" s="32"/>
      <c r="T68" s="187"/>
      <c r="W68" s="221" t="str">
        <f t="shared" si="7"/>
        <v>1D</v>
      </c>
      <c r="X68" s="222">
        <f>_xll.qlCalendarAdvance(Calendar,X67,W68,"f",FALSE)</f>
        <v>41887</v>
      </c>
      <c r="Y68" s="227">
        <f>_xll.qlCalendarAdvance(Calendar,X68,NDays&amp;"D")</f>
        <v>41887</v>
      </c>
      <c r="Z68" s="228">
        <v>5.2955711047810291E-3</v>
      </c>
      <c r="AA68" s="230">
        <v>5.2296512268575537E-3</v>
      </c>
    </row>
    <row r="69" spans="10:27" x14ac:dyDescent="0.2">
      <c r="S69" s="32"/>
      <c r="T69" s="187"/>
      <c r="W69" s="221" t="str">
        <f t="shared" si="7"/>
        <v>1D</v>
      </c>
      <c r="X69" s="222">
        <f>_xll.qlCalendarAdvance(Calendar,X68,W69,"f",FALSE)</f>
        <v>41890</v>
      </c>
      <c r="Y69" s="227">
        <f>_xll.qlCalendarAdvance(Calendar,X69,NDays&amp;"D")</f>
        <v>41890</v>
      </c>
      <c r="Z69" s="228">
        <v>5.3090531831404926E-3</v>
      </c>
      <c r="AA69" s="230">
        <v>5.2385498610008074E-3</v>
      </c>
    </row>
    <row r="70" spans="10:27" x14ac:dyDescent="0.2">
      <c r="S70" s="32"/>
      <c r="T70" s="187"/>
      <c r="W70" s="221" t="str">
        <f t="shared" si="7"/>
        <v>1D</v>
      </c>
      <c r="X70" s="222">
        <f>_xll.qlCalendarAdvance(Calendar,X69,W70,"f",FALSE)</f>
        <v>41891</v>
      </c>
      <c r="Y70" s="227">
        <f>_xll.qlCalendarAdvance(Calendar,X70,NDays&amp;"D")</f>
        <v>41891</v>
      </c>
      <c r="Z70" s="228">
        <v>5.3151035127649848E-3</v>
      </c>
      <c r="AA70" s="230">
        <v>5.2430384587598411E-3</v>
      </c>
    </row>
    <row r="71" spans="10:27" x14ac:dyDescent="0.2">
      <c r="J71" s="32"/>
      <c r="S71" s="32"/>
      <c r="T71" s="187"/>
      <c r="W71" s="221" t="str">
        <f t="shared" si="7"/>
        <v>1D</v>
      </c>
      <c r="X71" s="222">
        <f>_xll.qlCalendarAdvance(Calendar,X70,W71,"f",FALSE)</f>
        <v>41892</v>
      </c>
      <c r="Y71" s="227">
        <f>_xll.qlCalendarAdvance(Calendar,X71,NDays&amp;"D")</f>
        <v>41892</v>
      </c>
      <c r="Z71" s="228">
        <v>5.3214967865361507E-3</v>
      </c>
      <c r="AA71" s="230">
        <v>5.2475281465103052E-3</v>
      </c>
    </row>
    <row r="72" spans="10:27" x14ac:dyDescent="0.2">
      <c r="S72" s="32"/>
      <c r="T72" s="187"/>
      <c r="W72" s="221" t="str">
        <f t="shared" si="7"/>
        <v>1D</v>
      </c>
      <c r="X72" s="222">
        <f>_xll.qlCalendarAdvance(Calendar,X71,W72,"f",FALSE)</f>
        <v>41893</v>
      </c>
      <c r="Y72" s="227">
        <f>_xll.qlCalendarAdvance(Calendar,X72,NDays&amp;"D")</f>
        <v>41893</v>
      </c>
      <c r="Z72" s="228">
        <v>5.337672005200321E-3</v>
      </c>
      <c r="AA72" s="230">
        <v>5.2520189244953386E-3</v>
      </c>
    </row>
    <row r="73" spans="10:27" x14ac:dyDescent="0.2">
      <c r="S73" s="32"/>
      <c r="T73" s="187"/>
      <c r="W73" s="221" t="str">
        <f t="shared" si="7"/>
        <v>1D</v>
      </c>
      <c r="X73" s="222">
        <f>_xll.qlCalendarAdvance(Calendar,X72,W73,"f",FALSE)</f>
        <v>41894</v>
      </c>
      <c r="Y73" s="227">
        <f>_xll.qlCalendarAdvance(Calendar,X73,NDays&amp;"D")</f>
        <v>41894</v>
      </c>
      <c r="Z73" s="228">
        <v>5.3403581648915309E-3</v>
      </c>
      <c r="AA73" s="230">
        <v>5.2610799450469878E-3</v>
      </c>
    </row>
    <row r="74" spans="10:27" x14ac:dyDescent="0.2">
      <c r="S74" s="32"/>
      <c r="T74" s="187"/>
      <c r="W74" s="221" t="str">
        <f t="shared" si="7"/>
        <v>1D</v>
      </c>
      <c r="X74" s="222">
        <f>_xll.qlCalendarAdvance(Calendar,X73,W74,"f",FALSE)</f>
        <v>41897</v>
      </c>
      <c r="Y74" s="227">
        <f>_xll.qlCalendarAdvance(Calendar,X74,NDays&amp;"D")</f>
        <v>41897</v>
      </c>
      <c r="Z74" s="228">
        <v>5.3598038184778565E-3</v>
      </c>
      <c r="AA74" s="230">
        <v>5.2699929374033783E-3</v>
      </c>
    </row>
    <row r="75" spans="10:27" x14ac:dyDescent="0.2">
      <c r="S75" s="32"/>
      <c r="T75" s="187"/>
      <c r="W75" s="221" t="str">
        <f t="shared" si="7"/>
        <v>1D</v>
      </c>
      <c r="X75" s="222">
        <f>_xll.qlCalendarAdvance(Calendar,X74,W75,"f",FALSE)</f>
        <v>41898</v>
      </c>
      <c r="Y75" s="227">
        <f>_xll.qlCalendarAdvance(Calendar,X75,NDays&amp;"D")</f>
        <v>41898</v>
      </c>
      <c r="Z75" s="228">
        <v>5.3689726594435463E-3</v>
      </c>
      <c r="AA75" s="230">
        <v>5.2744891658318416E-3</v>
      </c>
    </row>
    <row r="76" spans="10:27" x14ac:dyDescent="0.2">
      <c r="S76" s="32"/>
      <c r="T76" s="187"/>
      <c r="W76" s="221" t="str">
        <f t="shared" si="7"/>
        <v>1D</v>
      </c>
      <c r="X76" s="222">
        <f>_xll.qlCalendarAdvance(Calendar,X75,W76,"f",FALSE)</f>
        <v>41899</v>
      </c>
      <c r="Y76" s="227">
        <f>_xll.qlCalendarAdvance(Calendar,X76,NDays&amp;"D")</f>
        <v>41899</v>
      </c>
      <c r="Z76" s="228">
        <v>5.3787237466268456E-3</v>
      </c>
      <c r="AA76" s="230">
        <v>5.2789864844948742E-3</v>
      </c>
    </row>
    <row r="77" spans="10:27" x14ac:dyDescent="0.2">
      <c r="S77" s="32"/>
      <c r="T77" s="187"/>
      <c r="W77" s="221" t="str">
        <f t="shared" si="7"/>
        <v>1D</v>
      </c>
      <c r="X77" s="222">
        <f>_xll.qlCalendarAdvance(Calendar,X76,W77,"f",FALSE)</f>
        <v>41900</v>
      </c>
      <c r="Y77" s="227">
        <f>_xll.qlCalendarAdvance(Calendar,X77,NDays&amp;"D")</f>
        <v>41900</v>
      </c>
      <c r="Z77" s="228">
        <v>5.4040818348254083E-3</v>
      </c>
      <c r="AA77" s="230">
        <v>5.2834848932303835E-3</v>
      </c>
    </row>
    <row r="78" spans="10:27" x14ac:dyDescent="0.2">
      <c r="S78" s="32"/>
      <c r="T78" s="187"/>
      <c r="W78" s="221" t="str">
        <f t="shared" si="7"/>
        <v>1D</v>
      </c>
      <c r="X78" s="222">
        <f>_xll.qlCalendarAdvance(Calendar,X77,W78,"f",FALSE)</f>
        <v>41901</v>
      </c>
      <c r="Y78" s="227">
        <f>_xll.qlCalendarAdvance(Calendar,X78,NDays&amp;"D")</f>
        <v>41901</v>
      </c>
      <c r="Z78" s="228">
        <v>5.4078937778576355E-3</v>
      </c>
      <c r="AA78" s="230">
        <v>5.2925620854867485E-3</v>
      </c>
    </row>
    <row r="79" spans="10:27" x14ac:dyDescent="0.2">
      <c r="S79" s="32"/>
      <c r="T79" s="187"/>
      <c r="W79" s="221" t="str">
        <f t="shared" si="7"/>
        <v>1D</v>
      </c>
      <c r="X79" s="222">
        <f>_xll.qlCalendarAdvance(Calendar,X78,W79,"f",FALSE)</f>
        <v>41904</v>
      </c>
      <c r="Y79" s="227">
        <f>_xll.qlCalendarAdvance(Calendar,X79,NDays&amp;"D")</f>
        <v>41904</v>
      </c>
      <c r="Z79" s="228">
        <v>5.4374094162681725E-3</v>
      </c>
      <c r="AA79" s="230">
        <v>5.3014894291403269E-3</v>
      </c>
    </row>
    <row r="80" spans="10:27" x14ac:dyDescent="0.2">
      <c r="S80" s="32"/>
      <c r="T80" s="187"/>
      <c r="W80" s="221" t="str">
        <f t="shared" si="7"/>
        <v>1D</v>
      </c>
      <c r="X80" s="222">
        <f>_xll.qlCalendarAdvance(Calendar,X79,W80,"f",FALSE)</f>
        <v>41905</v>
      </c>
      <c r="Y80" s="227">
        <f>_xll.qlCalendarAdvance(Calendar,X80,NDays&amp;"D")</f>
        <v>41905</v>
      </c>
      <c r="Z80" s="228">
        <v>5.4513719083418479E-3</v>
      </c>
      <c r="AA80" s="230">
        <v>5.3059932883192662E-3</v>
      </c>
    </row>
    <row r="81" spans="19:27" x14ac:dyDescent="0.2">
      <c r="S81" s="32"/>
      <c r="T81" s="187"/>
      <c r="W81" s="221" t="str">
        <f t="shared" si="7"/>
        <v>1D</v>
      </c>
      <c r="X81" s="222">
        <f>_xll.qlCalendarAdvance(Calendar,X80,W81,"f",FALSE)</f>
        <v>41906</v>
      </c>
      <c r="Y81" s="227">
        <f>_xll.qlCalendarAdvance(Calendar,X81,NDays&amp;"D")</f>
        <v>41906</v>
      </c>
      <c r="Z81" s="228">
        <v>5.4661559581972909E-3</v>
      </c>
      <c r="AA81" s="230">
        <v>5.3104982377327747E-3</v>
      </c>
    </row>
    <row r="82" spans="19:27" x14ac:dyDescent="0.2">
      <c r="S82" s="32"/>
      <c r="T82" s="187"/>
      <c r="W82" s="221" t="str">
        <f t="shared" si="7"/>
        <v>1D</v>
      </c>
      <c r="X82" s="222">
        <f>_xll.qlCalendarAdvance(Calendar,X81,W82,"f",FALSE)</f>
        <v>41907</v>
      </c>
      <c r="Y82" s="227">
        <f>_xll.qlCalendarAdvance(Calendar,X82,NDays&amp;"D")</f>
        <v>41907</v>
      </c>
      <c r="Z82" s="228">
        <v>5.5035248311071511E-3</v>
      </c>
      <c r="AA82" s="230">
        <v>5.31500427721876E-3</v>
      </c>
    </row>
    <row r="83" spans="19:27" x14ac:dyDescent="0.2">
      <c r="S83" s="32"/>
      <c r="T83" s="187"/>
      <c r="W83" s="221" t="str">
        <f t="shared" si="7"/>
        <v>1D</v>
      </c>
      <c r="X83" s="222">
        <f>_xll.qlCalendarAdvance(Calendar,X82,W83,"f",FALSE)</f>
        <v>41908</v>
      </c>
      <c r="Y83" s="227">
        <f>_xll.qlCalendarAdvance(Calendar,X83,NDays&amp;"D")</f>
        <v>41908</v>
      </c>
      <c r="Z83" s="228">
        <v>5.5095259114791616E-3</v>
      </c>
      <c r="AA83" s="230">
        <v>5.324097648257883E-3</v>
      </c>
    </row>
    <row r="84" spans="19:27" x14ac:dyDescent="0.2">
      <c r="S84" s="32"/>
      <c r="T84" s="187"/>
      <c r="W84" s="221" t="str">
        <f t="shared" si="7"/>
        <v>1D</v>
      </c>
      <c r="X84" s="222">
        <f>_xll.qlCalendarAdvance(Calendar,X83,W84,"f",FALSE)</f>
        <v>41911</v>
      </c>
      <c r="Y84" s="227">
        <f>_xll.qlCalendarAdvance(Calendar,X84,NDays&amp;"D")</f>
        <v>41911</v>
      </c>
      <c r="Z84" s="228">
        <v>5.5535123824666339E-3</v>
      </c>
      <c r="AA84" s="230">
        <v>5.3332101892278327E-3</v>
      </c>
    </row>
    <row r="85" spans="19:27" x14ac:dyDescent="0.2">
      <c r="S85" s="32"/>
      <c r="T85" s="187"/>
      <c r="W85" s="221" t="str">
        <f t="shared" ref="W85:W148" si="10">W84</f>
        <v>1D</v>
      </c>
      <c r="X85" s="222">
        <f>_xll.qlCalendarAdvance(Calendar,X84,W85,"f",FALSE)</f>
        <v>41912</v>
      </c>
      <c r="Y85" s="227">
        <f>_xll.qlCalendarAdvance(Calendar,X85,NDays&amp;"D")</f>
        <v>41912</v>
      </c>
      <c r="Z85" s="228">
        <v>5.5866230955016879E-3</v>
      </c>
      <c r="AA85" s="230">
        <v>5.3387467978216474E-3</v>
      </c>
    </row>
    <row r="86" spans="19:27" x14ac:dyDescent="0.2">
      <c r="S86" s="32"/>
      <c r="T86" s="187"/>
      <c r="W86" s="221" t="str">
        <f t="shared" si="10"/>
        <v>1D</v>
      </c>
      <c r="X86" s="222">
        <f>_xll.qlCalendarAdvance(Calendar,X85,W86,"f",FALSE)</f>
        <v>41913</v>
      </c>
      <c r="Y86" s="227">
        <f>_xll.qlCalendarAdvance(Calendar,X86,NDays&amp;"D")</f>
        <v>41913</v>
      </c>
      <c r="Z86" s="228">
        <v>5.6345269108750169E-3</v>
      </c>
      <c r="AA86" s="230">
        <v>5.3453096149902457E-3</v>
      </c>
    </row>
    <row r="87" spans="19:27" x14ac:dyDescent="0.2">
      <c r="S87" s="32"/>
      <c r="T87" s="187"/>
      <c r="W87" s="221" t="str">
        <f t="shared" si="10"/>
        <v>1D</v>
      </c>
      <c r="X87" s="222">
        <f>_xll.qlCalendarAdvance(Calendar,X86,W87,"f",FALSE)</f>
        <v>41914</v>
      </c>
      <c r="Y87" s="227">
        <f>_xll.qlCalendarAdvance(Calendar,X87,NDays&amp;"D")</f>
        <v>41914</v>
      </c>
      <c r="Z87" s="228">
        <v>5.643482304355657E-3</v>
      </c>
      <c r="AA87" s="230">
        <v>5.3528986409767665E-3</v>
      </c>
    </row>
    <row r="88" spans="19:27" x14ac:dyDescent="0.2">
      <c r="S88" s="32"/>
      <c r="T88" s="187"/>
      <c r="W88" s="221" t="str">
        <f t="shared" si="10"/>
        <v>1D</v>
      </c>
      <c r="X88" s="222">
        <f>_xll.qlCalendarAdvance(Calendar,X87,W88,"f",FALSE)</f>
        <v>41915</v>
      </c>
      <c r="Y88" s="227">
        <f>_xll.qlCalendarAdvance(Calendar,X88,NDays&amp;"D")</f>
        <v>41915</v>
      </c>
      <c r="Z88" s="228">
        <v>5.6527730703096364E-3</v>
      </c>
      <c r="AA88" s="230">
        <v>5.3715764386071587E-3</v>
      </c>
    </row>
    <row r="89" spans="19:27" x14ac:dyDescent="0.2">
      <c r="S89" s="32"/>
      <c r="T89" s="187"/>
      <c r="W89" s="221" t="str">
        <f t="shared" si="10"/>
        <v>1D</v>
      </c>
      <c r="X89" s="222">
        <f>_xll.qlCalendarAdvance(Calendar,X88,W89,"f",FALSE)</f>
        <v>41918</v>
      </c>
      <c r="Y89" s="227">
        <f>_xll.qlCalendarAdvance(Calendar,X89,NDays&amp;"D")</f>
        <v>41918</v>
      </c>
      <c r="Z89" s="228">
        <v>5.7243316054139144E-3</v>
      </c>
      <c r="AA89" s="230">
        <v>5.3935168335883521E-3</v>
      </c>
    </row>
    <row r="90" spans="19:27" x14ac:dyDescent="0.2">
      <c r="S90" s="32"/>
      <c r="T90" s="187"/>
      <c r="W90" s="221" t="str">
        <f t="shared" si="10"/>
        <v>1D</v>
      </c>
      <c r="X90" s="222">
        <f>_xll.qlCalendarAdvance(Calendar,X89,W90,"f",FALSE)</f>
        <v>41919</v>
      </c>
      <c r="Y90" s="227">
        <f>_xll.qlCalendarAdvance(Calendar,X90,NDays&amp;"D")</f>
        <v>41919</v>
      </c>
      <c r="Z90" s="228">
        <v>5.7491025139757498E-3</v>
      </c>
      <c r="AA90" s="230">
        <v>5.4062369043939018E-3</v>
      </c>
    </row>
    <row r="91" spans="19:27" x14ac:dyDescent="0.2">
      <c r="S91" s="32"/>
      <c r="T91" s="187"/>
      <c r="W91" s="221" t="str">
        <f t="shared" si="10"/>
        <v>1D</v>
      </c>
      <c r="X91" s="222">
        <f>_xll.qlCalendarAdvance(Calendar,X90,W91,"f",FALSE)</f>
        <v>41920</v>
      </c>
      <c r="Y91" s="227">
        <f>_xll.qlCalendarAdvance(Calendar,X91,NDays&amp;"D")</f>
        <v>41920</v>
      </c>
      <c r="Z91" s="228">
        <v>5.8013649960166353E-3</v>
      </c>
      <c r="AA91" s="230">
        <v>5.4199831844226054E-3</v>
      </c>
    </row>
    <row r="92" spans="19:27" x14ac:dyDescent="0.2">
      <c r="S92" s="32"/>
      <c r="T92" s="187"/>
      <c r="W92" s="221" t="str">
        <f t="shared" si="10"/>
        <v>1D</v>
      </c>
      <c r="X92" s="222">
        <f>_xll.qlCalendarAdvance(Calendar,X91,W92,"f",FALSE)</f>
        <v>41921</v>
      </c>
      <c r="Y92" s="227">
        <f>_xll.qlCalendarAdvance(Calendar,X92,NDays&amp;"D")</f>
        <v>41921</v>
      </c>
      <c r="Z92" s="228">
        <v>5.8131968559064356E-3</v>
      </c>
      <c r="AA92" s="230">
        <v>5.4347556738365554E-3</v>
      </c>
    </row>
    <row r="93" spans="19:27" x14ac:dyDescent="0.2">
      <c r="S93" s="32"/>
      <c r="T93" s="187"/>
      <c r="W93" s="221" t="str">
        <f t="shared" si="10"/>
        <v>1D</v>
      </c>
      <c r="X93" s="222">
        <f>_xll.qlCalendarAdvance(Calendar,X92,W93,"f",FALSE)</f>
        <v>41922</v>
      </c>
      <c r="Y93" s="227">
        <f>_xll.qlCalendarAdvance(Calendar,X93,NDays&amp;"D")</f>
        <v>41922</v>
      </c>
      <c r="Z93" s="228">
        <v>5.8253178984970797E-3</v>
      </c>
      <c r="AA93" s="230">
        <v>5.4678032580398241E-3</v>
      </c>
    </row>
    <row r="94" spans="19:27" x14ac:dyDescent="0.2">
      <c r="S94" s="32"/>
      <c r="T94" s="187"/>
      <c r="W94" s="221" t="str">
        <f t="shared" si="10"/>
        <v>1D</v>
      </c>
      <c r="X94" s="222">
        <f>_xll.qlCalendarAdvance(Calendar,X93,W94,"f",FALSE)</f>
        <v>41925</v>
      </c>
      <c r="Y94" s="227">
        <f>_xll.qlCalendarAdvance(Calendar,X94,NDays&amp;"D")</f>
        <v>41925</v>
      </c>
      <c r="Z94" s="228">
        <v>5.9031099477519127E-3</v>
      </c>
      <c r="AA94" s="230">
        <v>5.5041077276141159E-3</v>
      </c>
    </row>
    <row r="95" spans="19:27" x14ac:dyDescent="0.2">
      <c r="S95" s="32"/>
      <c r="T95" s="187"/>
      <c r="W95" s="221" t="str">
        <f t="shared" si="10"/>
        <v>1D</v>
      </c>
      <c r="X95" s="222">
        <f>_xll.qlCalendarAdvance(Calendar,X94,W95,"f",FALSE)</f>
        <v>41926</v>
      </c>
      <c r="Y95" s="227">
        <f>_xll.qlCalendarAdvance(Calendar,X95,NDays&amp;"D")</f>
        <v>41926</v>
      </c>
      <c r="Z95" s="228">
        <v>5.9291071462341093E-3</v>
      </c>
      <c r="AA95" s="230">
        <v>5.5240112658994089E-3</v>
      </c>
    </row>
    <row r="96" spans="19:27" x14ac:dyDescent="0.2">
      <c r="S96" s="32"/>
      <c r="T96" s="187"/>
      <c r="W96" s="221" t="str">
        <f t="shared" si="10"/>
        <v>1D</v>
      </c>
      <c r="X96" s="222">
        <f>_xll.qlCalendarAdvance(Calendar,X95,W96,"f",FALSE)</f>
        <v>41927</v>
      </c>
      <c r="Y96" s="227">
        <f>_xll.qlCalendarAdvance(Calendar,X96,NDays&amp;"D")</f>
        <v>41927</v>
      </c>
      <c r="Z96" s="228">
        <v>5.9793163342286735E-3</v>
      </c>
      <c r="AA96" s="230">
        <v>5.5449410144614575E-3</v>
      </c>
    </row>
    <row r="97" spans="19:27" x14ac:dyDescent="0.2">
      <c r="S97" s="32"/>
      <c r="T97" s="187"/>
      <c r="W97" s="221" t="str">
        <f t="shared" si="10"/>
        <v>1D</v>
      </c>
      <c r="X97" s="222">
        <f>_xll.qlCalendarAdvance(Calendar,X96,W97,"f",FALSE)</f>
        <v>41928</v>
      </c>
      <c r="Y97" s="227">
        <f>_xll.qlCalendarAdvance(Calendar,X97,NDays&amp;"D")</f>
        <v>41928</v>
      </c>
      <c r="Z97" s="228">
        <v>5.9927995226432412E-3</v>
      </c>
      <c r="AA97" s="230">
        <v>5.5668969733813078E-3</v>
      </c>
    </row>
    <row r="98" spans="19:27" x14ac:dyDescent="0.2">
      <c r="S98" s="32"/>
      <c r="T98" s="187"/>
      <c r="W98" s="221" t="str">
        <f t="shared" si="10"/>
        <v>1D</v>
      </c>
      <c r="X98" s="222">
        <f>_xll.qlCalendarAdvance(Calendar,X97,W98,"f",FALSE)</f>
        <v>41929</v>
      </c>
      <c r="Y98" s="227">
        <f>_xll.qlCalendarAdvance(Calendar,X98,NDays&amp;"D")</f>
        <v>41929</v>
      </c>
      <c r="Z98" s="228">
        <v>6.006446705596003E-3</v>
      </c>
      <c r="AA98" s="230">
        <v>5.6143159484415657E-3</v>
      </c>
    </row>
    <row r="99" spans="19:27" x14ac:dyDescent="0.2">
      <c r="S99" s="32"/>
      <c r="T99" s="187"/>
      <c r="W99" s="221" t="str">
        <f t="shared" si="10"/>
        <v>1D</v>
      </c>
      <c r="X99" s="222">
        <f>_xll.qlCalendarAdvance(Calendar,X98,W99,"f",FALSE)</f>
        <v>41932</v>
      </c>
      <c r="Y99" s="227">
        <f>_xll.qlCalendarAdvance(Calendar,X99,NDays&amp;"D")</f>
        <v>41932</v>
      </c>
      <c r="Z99" s="228">
        <v>6.0815308096408326E-3</v>
      </c>
      <c r="AA99" s="230">
        <v>5.6649829170962729E-3</v>
      </c>
    </row>
    <row r="100" spans="19:27" x14ac:dyDescent="0.2">
      <c r="S100" s="32"/>
      <c r="T100" s="187"/>
      <c r="W100" s="221" t="str">
        <f t="shared" si="10"/>
        <v>1D</v>
      </c>
      <c r="X100" s="222">
        <f>_xll.qlCalendarAdvance(Calendar,X99,W100,"f",FALSE)</f>
        <v>41933</v>
      </c>
      <c r="Y100" s="227">
        <f>_xll.qlCalendarAdvance(Calendar,X100,NDays&amp;"D")</f>
        <v>41933</v>
      </c>
      <c r="Z100" s="228">
        <v>6.1057737603607788E-3</v>
      </c>
      <c r="AA100" s="230">
        <v>5.6920699310469836E-3</v>
      </c>
    </row>
    <row r="101" spans="19:27" x14ac:dyDescent="0.2">
      <c r="S101" s="32"/>
      <c r="T101" s="187"/>
      <c r="W101" s="221" t="str">
        <f t="shared" si="10"/>
        <v>1D</v>
      </c>
      <c r="X101" s="222">
        <f>_xll.qlCalendarAdvance(Calendar,X100,W101,"f",FALSE)</f>
        <v>41934</v>
      </c>
      <c r="Y101" s="227">
        <f>_xll.qlCalendarAdvance(Calendar,X101,NDays&amp;"D")</f>
        <v>41934</v>
      </c>
      <c r="Z101" s="228">
        <v>6.1487811817236802E-3</v>
      </c>
      <c r="AA101" s="230">
        <v>5.7201831567332828E-3</v>
      </c>
    </row>
    <row r="102" spans="19:27" x14ac:dyDescent="0.2">
      <c r="S102" s="32"/>
      <c r="T102" s="187"/>
      <c r="W102" s="221" t="str">
        <f t="shared" si="10"/>
        <v>1D</v>
      </c>
      <c r="X102" s="222">
        <f>_xll.qlCalendarAdvance(Calendar,X101,W102,"f",FALSE)</f>
        <v>41935</v>
      </c>
      <c r="Y102" s="227">
        <f>_xll.qlCalendarAdvance(Calendar,X102,NDays&amp;"D")</f>
        <v>41935</v>
      </c>
      <c r="Z102" s="228">
        <v>6.1620782995468193E-3</v>
      </c>
      <c r="AA102" s="230">
        <v>5.7493225942362169E-3</v>
      </c>
    </row>
    <row r="103" spans="19:27" x14ac:dyDescent="0.2">
      <c r="S103" s="32"/>
      <c r="T103" s="187"/>
      <c r="W103" s="221" t="str">
        <f t="shared" si="10"/>
        <v>1D</v>
      </c>
      <c r="X103" s="222">
        <f>_xll.qlCalendarAdvance(Calendar,X102,W103,"f",FALSE)</f>
        <v>41936</v>
      </c>
      <c r="Y103" s="227">
        <f>_xll.qlCalendarAdvance(Calendar,X103,NDays&amp;"D")</f>
        <v>41936</v>
      </c>
      <c r="Z103" s="228">
        <v>6.1752957291222503E-3</v>
      </c>
      <c r="AA103" s="230">
        <v>5.8111146915181457E-3</v>
      </c>
    </row>
    <row r="104" spans="19:27" x14ac:dyDescent="0.2">
      <c r="S104" s="32"/>
      <c r="T104" s="187"/>
      <c r="W104" s="221" t="str">
        <f t="shared" si="10"/>
        <v>1D</v>
      </c>
      <c r="X104" s="222">
        <f>_xll.qlCalendarAdvance(Calendar,X103,W104,"f",FALSE)</f>
        <v>41939</v>
      </c>
      <c r="Y104" s="227">
        <f>_xll.qlCalendarAdvance(Calendar,X104,NDays&amp;"D")</f>
        <v>41939</v>
      </c>
      <c r="Z104" s="228">
        <v>6.238729904044075E-3</v>
      </c>
      <c r="AA104" s="230">
        <v>5.8758283481019635E-3</v>
      </c>
    </row>
    <row r="105" spans="19:27" x14ac:dyDescent="0.2">
      <c r="S105" s="32"/>
      <c r="T105" s="187"/>
      <c r="W105" s="221" t="str">
        <f t="shared" si="10"/>
        <v>1D</v>
      </c>
      <c r="X105" s="222">
        <f>_xll.qlCalendarAdvance(Calendar,X104,W105,"f",FALSE)</f>
        <v>41940</v>
      </c>
      <c r="Y105" s="227">
        <f>_xll.qlCalendarAdvance(Calendar,X105,NDays&amp;"D")</f>
        <v>41940</v>
      </c>
      <c r="Z105" s="228">
        <v>6.2582585086761395E-3</v>
      </c>
      <c r="AA105" s="230">
        <v>5.9082141266386667E-3</v>
      </c>
    </row>
    <row r="106" spans="19:27" x14ac:dyDescent="0.2">
      <c r="S106" s="32"/>
      <c r="T106" s="187"/>
      <c r="W106" s="221" t="str">
        <f t="shared" si="10"/>
        <v>1D</v>
      </c>
      <c r="X106" s="222">
        <f>_xll.qlCalendarAdvance(Calendar,X105,W106,"f",FALSE)</f>
        <v>41941</v>
      </c>
      <c r="Y106" s="227">
        <f>_xll.qlCalendarAdvance(Calendar,X106,NDays&amp;"D")</f>
        <v>41941</v>
      </c>
      <c r="Z106" s="228">
        <v>6.2698251657843374E-3</v>
      </c>
      <c r="AA106" s="230">
        <v>5.9397413958628409E-3</v>
      </c>
    </row>
    <row r="107" spans="19:27" x14ac:dyDescent="0.2">
      <c r="S107" s="32"/>
      <c r="T107" s="187"/>
      <c r="W107" s="221" t="str">
        <f t="shared" si="10"/>
        <v>1D</v>
      </c>
      <c r="X107" s="222">
        <f>_xll.qlCalendarAdvance(Calendar,X106,W107,"f",FALSE)</f>
        <v>41942</v>
      </c>
      <c r="Y107" s="227">
        <f>_xll.qlCalendarAdvance(Calendar,X107,NDays&amp;"D")</f>
        <v>41942</v>
      </c>
      <c r="Z107" s="228">
        <v>6.2811051506645853E-3</v>
      </c>
      <c r="AA107" s="230">
        <v>5.9704101555313471E-3</v>
      </c>
    </row>
    <row r="108" spans="19:27" x14ac:dyDescent="0.2">
      <c r="S108" s="32"/>
      <c r="T108" s="187"/>
      <c r="W108" s="221" t="str">
        <f t="shared" si="10"/>
        <v>1D</v>
      </c>
      <c r="X108" s="222">
        <f>_xll.qlCalendarAdvance(Calendar,X107,W108,"f",FALSE)</f>
        <v>41943</v>
      </c>
      <c r="Y108" s="227">
        <f>_xll.qlCalendarAdvance(Calendar,X108,NDays&amp;"D")</f>
        <v>41943</v>
      </c>
      <c r="Z108" s="228">
        <v>6.2920984788230761E-3</v>
      </c>
      <c r="AA108" s="230">
        <v>6.0289855571582516E-3</v>
      </c>
    </row>
    <row r="109" spans="19:27" x14ac:dyDescent="0.2">
      <c r="S109" s="32"/>
      <c r="T109" s="187"/>
      <c r="W109" s="221" t="str">
        <f t="shared" si="10"/>
        <v>1D</v>
      </c>
      <c r="X109" s="222">
        <f>_xll.qlCalendarAdvance(Calendar,X108,W109,"f",FALSE)</f>
        <v>41946</v>
      </c>
      <c r="Y109" s="227">
        <f>_xll.qlCalendarAdvance(Calendar,X109,NDays&amp;"D")</f>
        <v>41946</v>
      </c>
      <c r="Z109" s="228">
        <v>6.354709160387495E-3</v>
      </c>
      <c r="AA109" s="230">
        <v>6.0845000943532401E-3</v>
      </c>
    </row>
    <row r="110" spans="19:27" x14ac:dyDescent="0.2">
      <c r="S110" s="32"/>
      <c r="T110" s="187"/>
      <c r="W110" s="221" t="str">
        <f t="shared" si="10"/>
        <v>1D</v>
      </c>
      <c r="X110" s="222">
        <f>_xll.qlCalendarAdvance(Calendar,X109,W110,"f",FALSE)</f>
        <v>41947</v>
      </c>
      <c r="Y110" s="227">
        <f>_xll.qlCalendarAdvance(Calendar,X110,NDays&amp;"D")</f>
        <v>41947</v>
      </c>
      <c r="Z110" s="228">
        <v>6.3700179511256101E-3</v>
      </c>
      <c r="AA110" s="230">
        <v>6.1108763030826019E-3</v>
      </c>
    </row>
    <row r="111" spans="19:27" x14ac:dyDescent="0.2">
      <c r="S111" s="32"/>
      <c r="T111" s="187"/>
      <c r="W111" s="221" t="str">
        <f t="shared" si="10"/>
        <v>1D</v>
      </c>
      <c r="X111" s="222">
        <f>_xll.qlCalendarAdvance(Calendar,X110,W111,"f",FALSE)</f>
        <v>41948</v>
      </c>
      <c r="Y111" s="227">
        <f>_xll.qlCalendarAdvance(Calendar,X111,NDays&amp;"D")</f>
        <v>41948</v>
      </c>
      <c r="Z111" s="228">
        <v>6.3849221949198922E-3</v>
      </c>
      <c r="AA111" s="230">
        <v>6.1363940012026941E-3</v>
      </c>
    </row>
    <row r="112" spans="19:27" x14ac:dyDescent="0.2">
      <c r="S112" s="32"/>
      <c r="T112" s="187"/>
      <c r="W112" s="221" t="str">
        <f t="shared" si="10"/>
        <v>1D</v>
      </c>
      <c r="X112" s="222">
        <f>_xll.qlCalendarAdvance(Calendar,X111,W112,"f",FALSE)</f>
        <v>41949</v>
      </c>
      <c r="Y112" s="227">
        <f>_xll.qlCalendarAdvance(Calendar,X112,NDays&amp;"D")</f>
        <v>41949</v>
      </c>
      <c r="Z112" s="228">
        <v>6.4121323926391582E-3</v>
      </c>
      <c r="AA112" s="230">
        <v>6.161053188227239E-3</v>
      </c>
    </row>
    <row r="113" spans="19:27" x14ac:dyDescent="0.2">
      <c r="S113" s="32"/>
      <c r="T113" s="187"/>
      <c r="W113" s="221" t="str">
        <f t="shared" si="10"/>
        <v>1D</v>
      </c>
      <c r="X113" s="222">
        <f>_xll.qlCalendarAdvance(Calendar,X112,W113,"f",FALSE)</f>
        <v>41950</v>
      </c>
      <c r="Y113" s="227">
        <f>_xll.qlCalendarAdvance(Calendar,X113,NDays&amp;"D")</f>
        <v>41950</v>
      </c>
      <c r="Z113" s="228">
        <v>6.420123352714021E-3</v>
      </c>
      <c r="AA113" s="230">
        <v>6.207615428807471E-3</v>
      </c>
    </row>
    <row r="114" spans="19:27" x14ac:dyDescent="0.2">
      <c r="S114" s="32"/>
      <c r="T114" s="187"/>
      <c r="W114" s="221" t="str">
        <f t="shared" si="10"/>
        <v>1D</v>
      </c>
      <c r="X114" s="222">
        <f>_xll.qlCalendarAdvance(Calendar,X113,W114,"f",FALSE)</f>
        <v>41953</v>
      </c>
      <c r="Y114" s="227">
        <f>_xll.qlCalendarAdvance(Calendar,X114,NDays&amp;"D")</f>
        <v>41953</v>
      </c>
      <c r="Z114" s="228">
        <v>6.4556470850047898E-3</v>
      </c>
      <c r="AA114" s="230">
        <v>6.2511048235869282E-3</v>
      </c>
    </row>
    <row r="115" spans="19:27" x14ac:dyDescent="0.2">
      <c r="S115" s="32"/>
      <c r="T115" s="187"/>
      <c r="W115" s="221" t="str">
        <f t="shared" si="10"/>
        <v>1D</v>
      </c>
      <c r="X115" s="222">
        <f>_xll.qlCalendarAdvance(Calendar,X114,W115,"f",FALSE)</f>
        <v>41954</v>
      </c>
      <c r="Y115" s="227">
        <f>_xll.qlCalendarAdvance(Calendar,X115,NDays&amp;"D")</f>
        <v>41954</v>
      </c>
      <c r="Z115" s="228">
        <v>6.46948717679241E-3</v>
      </c>
      <c r="AA115" s="230">
        <v>6.2714714535128113E-3</v>
      </c>
    </row>
    <row r="116" spans="19:27" x14ac:dyDescent="0.2">
      <c r="S116" s="32"/>
      <c r="T116" s="187"/>
      <c r="W116" s="221" t="str">
        <f t="shared" si="10"/>
        <v>1D</v>
      </c>
      <c r="X116" s="222">
        <f>_xll.qlCalendarAdvance(Calendar,X115,W116,"f",FALSE)</f>
        <v>41955</v>
      </c>
      <c r="Y116" s="227">
        <f>_xll.qlCalendarAdvance(Calendar,X116,NDays&amp;"D")</f>
        <v>41955</v>
      </c>
      <c r="Z116" s="228">
        <v>6.4833771011014729E-3</v>
      </c>
      <c r="AA116" s="230">
        <v>6.2909795714516381E-3</v>
      </c>
    </row>
    <row r="117" spans="19:27" x14ac:dyDescent="0.2">
      <c r="S117" s="32"/>
      <c r="T117" s="187"/>
      <c r="W117" s="221" t="str">
        <f t="shared" si="10"/>
        <v>1D</v>
      </c>
      <c r="X117" s="222">
        <f>_xll.qlCalendarAdvance(Calendar,X116,W117,"f",FALSE)</f>
        <v>41956</v>
      </c>
      <c r="Y117" s="227">
        <f>_xll.qlCalendarAdvance(Calendar,X117,NDays&amp;"D")</f>
        <v>41956</v>
      </c>
      <c r="Z117" s="228">
        <v>6.5132433461950745E-3</v>
      </c>
      <c r="AA117" s="230">
        <v>6.3096291774034086E-3</v>
      </c>
    </row>
    <row r="118" spans="19:27" x14ac:dyDescent="0.2">
      <c r="S118" s="32"/>
      <c r="T118" s="187"/>
      <c r="W118" s="221" t="str">
        <f t="shared" si="10"/>
        <v>1D</v>
      </c>
      <c r="X118" s="222">
        <f>_xll.qlCalendarAdvance(Calendar,X117,W118,"f",FALSE)</f>
        <v>41957</v>
      </c>
      <c r="Y118" s="227">
        <f>_xll.qlCalendarAdvance(Calendar,X118,NDays&amp;"D")</f>
        <v>41957</v>
      </c>
      <c r="Z118" s="228">
        <v>6.5196988414015136E-3</v>
      </c>
      <c r="AA118" s="230">
        <v>6.3441769484717811E-3</v>
      </c>
    </row>
    <row r="119" spans="19:27" x14ac:dyDescent="0.2">
      <c r="S119" s="32"/>
      <c r="T119" s="187"/>
      <c r="W119" s="221" t="str">
        <f t="shared" si="10"/>
        <v>1D</v>
      </c>
      <c r="X119" s="222">
        <f>_xll.qlCalendarAdvance(Calendar,X118,W119,"f",FALSE)</f>
        <v>41960</v>
      </c>
      <c r="Y119" s="227">
        <f>_xll.qlCalendarAdvance(Calendar,X119,NDays&amp;"D")</f>
        <v>41960</v>
      </c>
      <c r="Z119" s="228">
        <v>6.5558461610692271E-3</v>
      </c>
      <c r="AA119" s="230">
        <v>6.3756424782601684E-3</v>
      </c>
    </row>
    <row r="120" spans="19:27" x14ac:dyDescent="0.2">
      <c r="S120" s="32"/>
      <c r="T120" s="187"/>
      <c r="W120" s="221" t="str">
        <f t="shared" si="10"/>
        <v>1D</v>
      </c>
      <c r="X120" s="222">
        <f>_xll.qlCalendarAdvance(Calendar,X119,W120,"f",FALSE)</f>
        <v>41961</v>
      </c>
      <c r="Y120" s="227">
        <f>_xll.qlCalendarAdvance(Calendar,X120,NDays&amp;"D")</f>
        <v>41961</v>
      </c>
      <c r="Z120" s="228">
        <v>6.5713982553033592E-3</v>
      </c>
      <c r="AA120" s="230">
        <v>6.3899995221694539E-3</v>
      </c>
    </row>
    <row r="121" spans="19:27" x14ac:dyDescent="0.2">
      <c r="S121" s="32"/>
      <c r="T121" s="187"/>
      <c r="W121" s="221" t="str">
        <f t="shared" si="10"/>
        <v>1D</v>
      </c>
      <c r="X121" s="222">
        <f>_xll.qlCalendarAdvance(Calendar,X120,W121,"f",FALSE)</f>
        <v>41962</v>
      </c>
      <c r="Y121" s="227">
        <f>_xll.qlCalendarAdvance(Calendar,X121,NDays&amp;"D")</f>
        <v>41962</v>
      </c>
      <c r="Z121" s="228">
        <v>6.5874545767447001E-3</v>
      </c>
      <c r="AA121" s="230">
        <v>6.4034980533622665E-3</v>
      </c>
    </row>
    <row r="122" spans="19:27" x14ac:dyDescent="0.2">
      <c r="S122" s="32"/>
      <c r="T122" s="187"/>
      <c r="W122" s="221" t="str">
        <f t="shared" si="10"/>
        <v>1D</v>
      </c>
      <c r="X122" s="222">
        <f>_xll.qlCalendarAdvance(Calendar,X121,W122,"f",FALSE)</f>
        <v>41963</v>
      </c>
      <c r="Y122" s="227">
        <f>_xll.qlCalendarAdvance(Calendar,X122,NDays&amp;"D")</f>
        <v>41963</v>
      </c>
      <c r="Z122" s="228">
        <v>6.6259412916788371E-3</v>
      </c>
      <c r="AA122" s="230">
        <v>6.41613807175756E-3</v>
      </c>
    </row>
    <row r="123" spans="19:27" x14ac:dyDescent="0.2">
      <c r="S123" s="32"/>
      <c r="T123" s="187"/>
      <c r="W123" s="221" t="str">
        <f t="shared" si="10"/>
        <v>1D</v>
      </c>
      <c r="X123" s="222">
        <f>_xll.qlCalendarAdvance(Calendar,X122,W123,"f",FALSE)</f>
        <v>41964</v>
      </c>
      <c r="Y123" s="227">
        <f>_xll.qlCalendarAdvance(Calendar,X123,NDays&amp;"D")</f>
        <v>41964</v>
      </c>
      <c r="Z123" s="228">
        <v>6.6325925467188964E-3</v>
      </c>
      <c r="AA123" s="230">
        <v>6.4386699745092963E-3</v>
      </c>
    </row>
    <row r="124" spans="19:27" x14ac:dyDescent="0.2">
      <c r="S124" s="32"/>
      <c r="T124" s="187"/>
      <c r="W124" s="221" t="str">
        <f t="shared" si="10"/>
        <v>1D</v>
      </c>
      <c r="X124" s="222">
        <f>_xll.qlCalendarAdvance(Calendar,X123,W124,"f",FALSE)</f>
        <v>41967</v>
      </c>
      <c r="Y124" s="227">
        <f>_xll.qlCalendarAdvance(Calendar,X124,NDays&amp;"D")</f>
        <v>41967</v>
      </c>
      <c r="Z124" s="228">
        <v>6.6775716313736133E-3</v>
      </c>
      <c r="AA124" s="230">
        <v>6.458113015175293E-3</v>
      </c>
    </row>
    <row r="125" spans="19:27" x14ac:dyDescent="0.2">
      <c r="S125" s="32"/>
      <c r="T125" s="187"/>
      <c r="W125" s="221" t="str">
        <f t="shared" si="10"/>
        <v>1D</v>
      </c>
      <c r="X125" s="222">
        <f>_xll.qlCalendarAdvance(Calendar,X124,W125,"f",FALSE)</f>
        <v>41968</v>
      </c>
      <c r="Y125" s="227">
        <f>_xll.qlCalendarAdvance(Calendar,X125,NDays&amp;"D")</f>
        <v>41968</v>
      </c>
      <c r="Z125" s="228">
        <v>6.7536307209336462E-3</v>
      </c>
      <c r="AA125" s="230">
        <v>6.466460468205204E-3</v>
      </c>
    </row>
    <row r="126" spans="19:27" x14ac:dyDescent="0.2">
      <c r="S126" s="32"/>
      <c r="T126" s="187"/>
      <c r="W126" s="221" t="str">
        <f t="shared" si="10"/>
        <v>1D</v>
      </c>
      <c r="X126" s="222">
        <f>_xll.qlCalendarAdvance(Calendar,X125,W126,"f",FALSE)</f>
        <v>41969</v>
      </c>
      <c r="Y126" s="227">
        <f>_xll.qlCalendarAdvance(Calendar,X126,NDays&amp;"D")</f>
        <v>41969</v>
      </c>
      <c r="Z126" s="228">
        <v>6.7622130482062372E-3</v>
      </c>
      <c r="AA126" s="230">
        <v>6.4739494079513182E-3</v>
      </c>
    </row>
    <row r="127" spans="19:27" x14ac:dyDescent="0.2">
      <c r="S127" s="32"/>
      <c r="T127" s="187"/>
      <c r="W127" s="221" t="str">
        <f t="shared" si="10"/>
        <v>1D</v>
      </c>
      <c r="X127" s="222">
        <f>_xll.qlCalendarAdvance(Calendar,X126,W127,"f",FALSE)</f>
        <v>41970</v>
      </c>
      <c r="Y127" s="227">
        <f>_xll.qlCalendarAdvance(Calendar,X127,NDays&amp;"D")</f>
        <v>41970</v>
      </c>
      <c r="Z127" s="228">
        <v>6.7711011889736925E-3</v>
      </c>
      <c r="AA127" s="230">
        <v>6.4809042288793695E-3</v>
      </c>
    </row>
    <row r="128" spans="19:27" x14ac:dyDescent="0.2">
      <c r="S128" s="32"/>
      <c r="T128" s="187"/>
      <c r="W128" s="221" t="str">
        <f t="shared" si="10"/>
        <v>1D</v>
      </c>
      <c r="X128" s="222">
        <f>_xll.qlCalendarAdvance(Calendar,X127,W128,"f",FALSE)</f>
        <v>41971</v>
      </c>
      <c r="Y128" s="227">
        <f>_xll.qlCalendarAdvance(Calendar,X128,NDays&amp;"D")</f>
        <v>41971</v>
      </c>
      <c r="Z128" s="228">
        <v>6.8113401403427616E-3</v>
      </c>
      <c r="AA128" s="230">
        <v>6.4979069362055188E-3</v>
      </c>
    </row>
    <row r="129" spans="19:27" x14ac:dyDescent="0.2">
      <c r="S129" s="32"/>
      <c r="T129" s="187"/>
      <c r="W129" s="221" t="str">
        <f t="shared" si="10"/>
        <v>1D</v>
      </c>
      <c r="X129" s="222">
        <f>_xll.qlCalendarAdvance(Calendar,X128,W129,"f",FALSE)</f>
        <v>41974</v>
      </c>
      <c r="Y129" s="227">
        <f>_xll.qlCalendarAdvance(Calendar,X129,NDays&amp;"D")</f>
        <v>41974</v>
      </c>
      <c r="Z129" s="228">
        <v>6.8754147600446486E-3</v>
      </c>
      <c r="AA129" s="230">
        <v>6.5183044723471362E-3</v>
      </c>
    </row>
    <row r="130" spans="19:27" x14ac:dyDescent="0.2">
      <c r="S130" s="32"/>
      <c r="T130" s="187"/>
      <c r="W130" s="221" t="str">
        <f t="shared" si="10"/>
        <v>1D</v>
      </c>
      <c r="X130" s="222">
        <f>_xll.qlCalendarAdvance(Calendar,X129,W130,"f",FALSE)</f>
        <v>41975</v>
      </c>
      <c r="Y130" s="227">
        <f>_xll.qlCalendarAdvance(Calendar,X130,NDays&amp;"D")</f>
        <v>41975</v>
      </c>
      <c r="Z130" s="228">
        <v>6.8868114595284939E-3</v>
      </c>
      <c r="AA130" s="230">
        <v>6.5303741680644567E-3</v>
      </c>
    </row>
    <row r="131" spans="19:27" x14ac:dyDescent="0.2">
      <c r="S131" s="32"/>
      <c r="T131" s="187"/>
      <c r="W131" s="221" t="str">
        <f t="shared" si="10"/>
        <v>1D</v>
      </c>
      <c r="X131" s="222">
        <f>_xll.qlCalendarAdvance(Calendar,X130,W131,"f",FALSE)</f>
        <v>41976</v>
      </c>
      <c r="Y131" s="227">
        <f>_xll.qlCalendarAdvance(Calendar,X131,NDays&amp;"D")</f>
        <v>41976</v>
      </c>
      <c r="Z131" s="228">
        <v>6.9503460587069547E-3</v>
      </c>
      <c r="AA131" s="230">
        <v>6.5435317179407537E-3</v>
      </c>
    </row>
    <row r="132" spans="19:27" x14ac:dyDescent="0.2">
      <c r="S132" s="32"/>
      <c r="T132" s="187"/>
      <c r="W132" s="221" t="str">
        <f t="shared" si="10"/>
        <v>1D</v>
      </c>
      <c r="X132" s="222">
        <f>_xll.qlCalendarAdvance(Calendar,X131,W132,"f",FALSE)</f>
        <v>41977</v>
      </c>
      <c r="Y132" s="227">
        <f>_xll.qlCalendarAdvance(Calendar,X132,NDays&amp;"D")</f>
        <v>41977</v>
      </c>
      <c r="Z132" s="228">
        <v>6.9629341789664498E-3</v>
      </c>
      <c r="AA132" s="230">
        <v>6.5577771220570735E-3</v>
      </c>
    </row>
    <row r="133" spans="19:27" x14ac:dyDescent="0.2">
      <c r="S133" s="32"/>
      <c r="T133" s="187"/>
      <c r="W133" s="221" t="str">
        <f t="shared" si="10"/>
        <v>1D</v>
      </c>
      <c r="X133" s="222">
        <f>_xll.qlCalendarAdvance(Calendar,X132,W133,"f",FALSE)</f>
        <v>41978</v>
      </c>
      <c r="Y133" s="227">
        <f>_xll.qlCalendarAdvance(Calendar,X133,NDays&amp;"D")</f>
        <v>41978</v>
      </c>
      <c r="Z133" s="228">
        <v>6.9758784292382348E-3</v>
      </c>
      <c r="AA133" s="230">
        <v>6.5900130895424356E-3</v>
      </c>
    </row>
    <row r="134" spans="19:27" x14ac:dyDescent="0.2">
      <c r="S134" s="32"/>
      <c r="T134" s="187"/>
      <c r="W134" s="221" t="str">
        <f t="shared" si="10"/>
        <v>1D</v>
      </c>
      <c r="X134" s="222">
        <f>_xll.qlCalendarAdvance(Calendar,X133,W134,"f",FALSE)</f>
        <v>41981</v>
      </c>
      <c r="Y134" s="227">
        <f>_xll.qlCalendarAdvance(Calendar,X134,NDays&amp;"D")</f>
        <v>41981</v>
      </c>
      <c r="Z134" s="228">
        <v>7.0711182323075642E-3</v>
      </c>
      <c r="AA134" s="230">
        <v>6.6256372839212929E-3</v>
      </c>
    </row>
    <row r="135" spans="19:27" x14ac:dyDescent="0.2">
      <c r="S135" s="32"/>
      <c r="T135" s="187"/>
      <c r="W135" s="221" t="str">
        <f t="shared" si="10"/>
        <v>1D</v>
      </c>
      <c r="X135" s="222">
        <f>_xll.qlCalendarAdvance(Calendar,X134,W135,"f",FALSE)</f>
        <v>41982</v>
      </c>
      <c r="Y135" s="227">
        <f>_xll.qlCalendarAdvance(Calendar,X135,NDays&amp;"D")</f>
        <v>41982</v>
      </c>
      <c r="Z135" s="228">
        <v>7.1039681377020741E-3</v>
      </c>
      <c r="AA135" s="230">
        <v>6.6453219614259762E-3</v>
      </c>
    </row>
    <row r="136" spans="19:27" x14ac:dyDescent="0.2">
      <c r="S136" s="32"/>
      <c r="T136" s="187"/>
      <c r="W136" s="221" t="str">
        <f t="shared" si="10"/>
        <v>1D</v>
      </c>
      <c r="X136" s="222">
        <f>_xll.qlCalendarAdvance(Calendar,X135,W136,"f",FALSE)</f>
        <v>41983</v>
      </c>
      <c r="Y136" s="227">
        <f>_xll.qlCalendarAdvance(Calendar,X136,NDays&amp;"D")</f>
        <v>41983</v>
      </c>
      <c r="Z136" s="228">
        <v>7.1732739086768325E-3</v>
      </c>
      <c r="AA136" s="230">
        <v>6.6660944941432376E-3</v>
      </c>
    </row>
    <row r="137" spans="19:27" x14ac:dyDescent="0.2">
      <c r="S137" s="32"/>
      <c r="T137" s="187"/>
      <c r="W137" s="221" t="str">
        <f t="shared" si="10"/>
        <v>1D</v>
      </c>
      <c r="X137" s="222">
        <f>_xll.qlCalendarAdvance(Calendar,X136,W137,"f",FALSE)</f>
        <v>41984</v>
      </c>
      <c r="Y137" s="227">
        <f>_xll.qlCalendarAdvance(Calendar,X137,NDays&amp;"D")</f>
        <v>41984</v>
      </c>
      <c r="Z137" s="228">
        <v>7.1889919708620006E-3</v>
      </c>
      <c r="AA137" s="230">
        <v>6.6879548822351698E-3</v>
      </c>
    </row>
    <row r="138" spans="19:27" x14ac:dyDescent="0.2">
      <c r="S138" s="32"/>
      <c r="T138" s="187"/>
      <c r="W138" s="221" t="str">
        <f t="shared" si="10"/>
        <v>1D</v>
      </c>
      <c r="X138" s="222">
        <f>_xll.qlCalendarAdvance(Calendar,X137,W138,"f",FALSE)</f>
        <v>41985</v>
      </c>
      <c r="Y138" s="227">
        <f>_xll.qlCalendarAdvance(Calendar,X138,NDays&amp;"D")</f>
        <v>41985</v>
      </c>
      <c r="Z138" s="228">
        <v>7.2050224387848298E-3</v>
      </c>
      <c r="AA138" s="230">
        <v>6.7354261298502313E-3</v>
      </c>
    </row>
    <row r="139" spans="19:27" x14ac:dyDescent="0.2">
      <c r="S139" s="32"/>
      <c r="T139" s="187"/>
      <c r="W139" s="221" t="str">
        <f t="shared" si="10"/>
        <v>1D</v>
      </c>
      <c r="X139" s="222">
        <f>_xll.qlCalendarAdvance(Calendar,X138,W139,"f",FALSE)</f>
        <v>41988</v>
      </c>
      <c r="Y139" s="227">
        <f>_xll.qlCalendarAdvance(Calendar,X139,NDays&amp;"D")</f>
        <v>41988</v>
      </c>
      <c r="Z139" s="228">
        <v>7.3086255929669559E-3</v>
      </c>
      <c r="AA139" s="230">
        <v>6.7862749921587806E-3</v>
      </c>
    </row>
    <row r="140" spans="19:27" x14ac:dyDescent="0.2">
      <c r="S140" s="32"/>
      <c r="T140" s="187"/>
      <c r="W140" s="221" t="str">
        <f t="shared" si="10"/>
        <v>1D</v>
      </c>
      <c r="X140" s="222">
        <f>_xll.qlCalendarAdvance(Calendar,X139,W140,"f",FALSE)</f>
        <v>41989</v>
      </c>
      <c r="Y140" s="227">
        <f>_xll.qlCalendarAdvance(Calendar,X140,NDays&amp;"D")</f>
        <v>41989</v>
      </c>
      <c r="Z140" s="228">
        <v>7.3434579336449602E-3</v>
      </c>
      <c r="AA140" s="230">
        <v>6.813574660203825E-3</v>
      </c>
    </row>
    <row r="141" spans="19:27" x14ac:dyDescent="0.2">
      <c r="S141" s="32"/>
      <c r="T141" s="187"/>
      <c r="W141" s="221" t="str">
        <f t="shared" si="10"/>
        <v>1D</v>
      </c>
      <c r="X141" s="222">
        <f>_xll.qlCalendarAdvance(Calendar,X140,W141,"f",FALSE)</f>
        <v>41990</v>
      </c>
      <c r="Y141" s="227">
        <f>_xll.qlCalendarAdvance(Calendar,X141,NDays&amp;"D")</f>
        <v>41990</v>
      </c>
      <c r="Z141" s="228">
        <v>7.4124712055311003E-3</v>
      </c>
      <c r="AA141" s="230">
        <v>6.8419621848392342E-3</v>
      </c>
    </row>
    <row r="142" spans="19:27" x14ac:dyDescent="0.2">
      <c r="S142" s="32"/>
      <c r="T142" s="187"/>
      <c r="W142" s="221" t="str">
        <f t="shared" si="10"/>
        <v>1D</v>
      </c>
      <c r="X142" s="222">
        <f>_xll.qlCalendarAdvance(Calendar,X141,W142,"f",FALSE)</f>
        <v>41991</v>
      </c>
      <c r="Y142" s="227">
        <f>_xll.qlCalendarAdvance(Calendar,X142,NDays&amp;"D")</f>
        <v>41991</v>
      </c>
      <c r="Z142" s="228">
        <v>7.4301603333152416E-3</v>
      </c>
      <c r="AA142" s="230">
        <v>6.8714375664702398E-3</v>
      </c>
    </row>
    <row r="143" spans="19:27" x14ac:dyDescent="0.2">
      <c r="S143" s="32"/>
      <c r="T143" s="187"/>
      <c r="W143" s="221" t="str">
        <f t="shared" si="10"/>
        <v>1D</v>
      </c>
      <c r="X143" s="222">
        <f>_xll.qlCalendarAdvance(Calendar,X142,W143,"f",FALSE)</f>
        <v>41992</v>
      </c>
      <c r="Y143" s="227">
        <f>_xll.qlCalendarAdvance(Calendar,X143,NDays&amp;"D")</f>
        <v>41992</v>
      </c>
      <c r="Z143" s="228">
        <v>7.4480434325808363E-3</v>
      </c>
      <c r="AA143" s="230">
        <v>6.9341462482090206E-3</v>
      </c>
    </row>
    <row r="144" spans="19:27" x14ac:dyDescent="0.2">
      <c r="S144" s="32"/>
      <c r="T144" s="187"/>
      <c r="W144" s="221" t="str">
        <f t="shared" si="10"/>
        <v>1D</v>
      </c>
      <c r="X144" s="222">
        <f>_xll.qlCalendarAdvance(Calendar,X143,W144,"f",FALSE)</f>
        <v>41995</v>
      </c>
      <c r="Y144" s="227">
        <f>_xll.qlCalendarAdvance(Calendar,X144,NDays&amp;"D")</f>
        <v>41995</v>
      </c>
      <c r="Z144" s="228">
        <v>7.5515535248167846E-3</v>
      </c>
      <c r="AA144" s="230">
        <v>7.0002176675698635E-3</v>
      </c>
    </row>
    <row r="145" spans="19:27" x14ac:dyDescent="0.2">
      <c r="S145" s="32"/>
      <c r="T145" s="187"/>
      <c r="W145" s="221" t="str">
        <f t="shared" si="10"/>
        <v>1D</v>
      </c>
      <c r="X145" s="222">
        <f>_xll.qlCalendarAdvance(Calendar,X144,W145,"f",FALSE)</f>
        <v>41996</v>
      </c>
      <c r="Y145" s="227">
        <f>_xll.qlCalendarAdvance(Calendar,X145,NDays&amp;"D")</f>
        <v>41996</v>
      </c>
      <c r="Z145" s="228">
        <v>7.5855494317773756E-3</v>
      </c>
      <c r="AA145" s="230">
        <v>7.035132337988026E-3</v>
      </c>
    </row>
    <row r="146" spans="19:27" x14ac:dyDescent="0.2">
      <c r="S146" s="32"/>
      <c r="T146" s="187"/>
      <c r="W146" s="221" t="str">
        <f t="shared" si="10"/>
        <v>1D</v>
      </c>
      <c r="X146" s="222">
        <f>_xll.qlCalendarAdvance(Calendar,X145,W146,"f",FALSE)</f>
        <v>41997</v>
      </c>
      <c r="Y146" s="227">
        <f>_xll.qlCalendarAdvance(Calendar,X146,NDays&amp;"D")</f>
        <v>41997</v>
      </c>
      <c r="Z146" s="228">
        <v>7.6494012755338884E-3</v>
      </c>
      <c r="AA146" s="230">
        <v>7.1477712902674462E-3</v>
      </c>
    </row>
    <row r="147" spans="19:27" x14ac:dyDescent="0.2">
      <c r="S147" s="32"/>
      <c r="T147" s="187"/>
      <c r="W147" s="221" t="str">
        <f t="shared" si="10"/>
        <v>1D</v>
      </c>
      <c r="X147" s="222">
        <f>_xll.qlCalendarAdvance(Calendar,X146,W147,"f",FALSE)</f>
        <v>42002</v>
      </c>
      <c r="Y147" s="227">
        <f>_xll.qlCalendarAdvance(Calendar,X147,NDays&amp;"D")</f>
        <v>42002</v>
      </c>
      <c r="Z147" s="228">
        <v>7.780196498326025E-3</v>
      </c>
      <c r="AA147" s="230">
        <v>7.2671683513947372E-3</v>
      </c>
    </row>
    <row r="148" spans="19:27" x14ac:dyDescent="0.2">
      <c r="S148" s="32"/>
      <c r="T148" s="187"/>
      <c r="W148" s="221" t="str">
        <f t="shared" si="10"/>
        <v>1D</v>
      </c>
      <c r="X148" s="222">
        <f>_xll.qlCalendarAdvance(Calendar,X147,W148,"f",FALSE)</f>
        <v>42003</v>
      </c>
      <c r="Y148" s="227">
        <f>_xll.qlCalendarAdvance(Calendar,X148,NDays&amp;"D")</f>
        <v>42003</v>
      </c>
      <c r="Z148" s="228">
        <v>7.8106111574648817E-3</v>
      </c>
      <c r="AA148" s="230">
        <v>7.3079157247268878E-3</v>
      </c>
    </row>
    <row r="149" spans="19:27" x14ac:dyDescent="0.2">
      <c r="S149" s="32"/>
      <c r="T149" s="187"/>
      <c r="W149" s="221" t="str">
        <f t="shared" ref="W149:W212" si="11">W148</f>
        <v>1D</v>
      </c>
      <c r="X149" s="222">
        <f>_xll.qlCalendarAdvance(Calendar,X148,W149,"f",FALSE)</f>
        <v>42004</v>
      </c>
      <c r="Y149" s="227">
        <f>_xll.qlCalendarAdvance(Calendar,X149,NDays&amp;"D")</f>
        <v>42004</v>
      </c>
      <c r="Z149" s="228">
        <v>7.8272109579210873E-3</v>
      </c>
      <c r="AA149" s="230">
        <v>7.3677222345552851E-3</v>
      </c>
    </row>
    <row r="150" spans="19:27" x14ac:dyDescent="0.2">
      <c r="S150" s="32"/>
      <c r="T150" s="187"/>
      <c r="W150" s="221" t="str">
        <f t="shared" si="11"/>
        <v>1D</v>
      </c>
      <c r="X150" s="222">
        <f>_xll.qlCalendarAdvance(Calendar,X149,W150,"f",FALSE)</f>
        <v>42006</v>
      </c>
      <c r="Y150" s="227">
        <f>_xll.qlCalendarAdvance(Calendar,X150,NDays&amp;"D")</f>
        <v>42006</v>
      </c>
      <c r="Z150" s="228">
        <v>7.8981355839946223E-3</v>
      </c>
      <c r="AA150" s="230">
        <v>7.4638818096321273E-3</v>
      </c>
    </row>
    <row r="151" spans="19:27" x14ac:dyDescent="0.2">
      <c r="S151" s="32"/>
      <c r="T151" s="187"/>
      <c r="W151" s="221" t="str">
        <f t="shared" si="11"/>
        <v>1D</v>
      </c>
      <c r="X151" s="222">
        <f>_xll.qlCalendarAdvance(Calendar,X150,W151,"f",FALSE)</f>
        <v>42009</v>
      </c>
      <c r="Y151" s="227">
        <f>_xll.qlCalendarAdvance(Calendar,X151,NDays&amp;"D")</f>
        <v>42009</v>
      </c>
      <c r="Z151" s="228">
        <v>7.9805096051972294E-3</v>
      </c>
      <c r="AA151" s="230">
        <v>7.5378164158257377E-3</v>
      </c>
    </row>
    <row r="152" spans="19:27" x14ac:dyDescent="0.2">
      <c r="S152" s="32"/>
      <c r="T152" s="187"/>
      <c r="W152" s="221" t="str">
        <f t="shared" si="11"/>
        <v>1D</v>
      </c>
      <c r="X152" s="222">
        <f>_xll.qlCalendarAdvance(Calendar,X151,W152,"f",FALSE)</f>
        <v>42010</v>
      </c>
      <c r="Y152" s="227">
        <f>_xll.qlCalendarAdvance(Calendar,X152,NDays&amp;"D")</f>
        <v>42010</v>
      </c>
      <c r="Z152" s="228">
        <v>8.0069183961367103E-3</v>
      </c>
      <c r="AA152" s="230">
        <v>7.5737026042210776E-3</v>
      </c>
    </row>
    <row r="153" spans="19:27" x14ac:dyDescent="0.2">
      <c r="S153" s="32"/>
      <c r="T153" s="187"/>
      <c r="W153" s="221" t="str">
        <f t="shared" si="11"/>
        <v>1D</v>
      </c>
      <c r="X153" s="222">
        <f>_xll.qlCalendarAdvance(Calendar,X152,W153,"f",FALSE)</f>
        <v>42011</v>
      </c>
      <c r="Y153" s="227">
        <f>_xll.qlCalendarAdvance(Calendar,X153,NDays&amp;"D")</f>
        <v>42011</v>
      </c>
      <c r="Z153" s="228">
        <v>8.0558997608041905E-3</v>
      </c>
      <c r="AA153" s="230">
        <v>7.6088943367802475E-3</v>
      </c>
    </row>
    <row r="154" spans="19:27" x14ac:dyDescent="0.2">
      <c r="S154" s="32"/>
      <c r="T154" s="187"/>
      <c r="W154" s="221" t="str">
        <f t="shared" si="11"/>
        <v>1D</v>
      </c>
      <c r="X154" s="222">
        <f>_xll.qlCalendarAdvance(Calendar,X153,W154,"f",FALSE)</f>
        <v>42012</v>
      </c>
      <c r="Y154" s="227">
        <f>_xll.qlCalendarAdvance(Calendar,X154,NDays&amp;"D")</f>
        <v>42012</v>
      </c>
      <c r="Z154" s="228">
        <v>8.069700457022759E-3</v>
      </c>
      <c r="AA154" s="230">
        <v>7.643391613341155E-3</v>
      </c>
    </row>
    <row r="155" spans="19:27" x14ac:dyDescent="0.2">
      <c r="S155" s="32"/>
      <c r="T155" s="187"/>
      <c r="W155" s="221" t="str">
        <f t="shared" si="11"/>
        <v>1D</v>
      </c>
      <c r="X155" s="222">
        <f>_xll.qlCalendarAdvance(Calendar,X154,W155,"f",FALSE)</f>
        <v>42013</v>
      </c>
      <c r="Y155" s="227">
        <f>_xll.qlCalendarAdvance(Calendar,X155,NDays&amp;"D")</f>
        <v>42013</v>
      </c>
      <c r="Z155" s="228">
        <v>8.0832830847988833E-3</v>
      </c>
      <c r="AA155" s="230">
        <v>7.7102341757177388E-3</v>
      </c>
    </row>
    <row r="156" spans="19:27" x14ac:dyDescent="0.2">
      <c r="S156" s="32"/>
      <c r="T156" s="187"/>
      <c r="W156" s="221" t="str">
        <f t="shared" si="11"/>
        <v>1D</v>
      </c>
      <c r="X156" s="222">
        <f>_xll.qlCalendarAdvance(Calendar,X155,W156,"f",FALSE)</f>
        <v>42016</v>
      </c>
      <c r="Y156" s="227">
        <f>_xll.qlCalendarAdvance(Calendar,X156,NDays&amp;"D")</f>
        <v>42016</v>
      </c>
      <c r="Z156" s="228">
        <v>8.155784205984248E-3</v>
      </c>
      <c r="AA156" s="230">
        <v>7.7744361552256613E-3</v>
      </c>
    </row>
    <row r="157" spans="19:27" x14ac:dyDescent="0.2">
      <c r="S157" s="32"/>
      <c r="T157" s="187"/>
      <c r="W157" s="221" t="str">
        <f t="shared" si="11"/>
        <v>1D</v>
      </c>
      <c r="X157" s="222">
        <f>_xll.qlCalendarAdvance(Calendar,X156,W157,"f",FALSE)</f>
        <v>42017</v>
      </c>
      <c r="Y157" s="227">
        <f>_xll.qlCalendarAdvance(Calendar,X157,NDays&amp;"D")</f>
        <v>42017</v>
      </c>
      <c r="Z157" s="228">
        <v>8.1791880020409113E-3</v>
      </c>
      <c r="AA157" s="230">
        <v>7.8054611487965442E-3</v>
      </c>
    </row>
    <row r="158" spans="19:27" x14ac:dyDescent="0.2">
      <c r="S158" s="32"/>
      <c r="T158" s="187"/>
      <c r="W158" s="221" t="str">
        <f t="shared" si="11"/>
        <v>1D</v>
      </c>
      <c r="X158" s="222">
        <f>_xll.qlCalendarAdvance(Calendar,X157,W158,"f",FALSE)</f>
        <v>42018</v>
      </c>
      <c r="Y158" s="227">
        <f>_xll.qlCalendarAdvance(Calendar,X158,NDays&amp;"D")</f>
        <v>42018</v>
      </c>
      <c r="Z158" s="228">
        <v>8.2236864087428044E-3</v>
      </c>
      <c r="AA158" s="230">
        <v>7.8357916851534704E-3</v>
      </c>
    </row>
    <row r="159" spans="19:27" x14ac:dyDescent="0.2">
      <c r="S159" s="32"/>
      <c r="T159" s="187"/>
      <c r="W159" s="221" t="str">
        <f t="shared" si="11"/>
        <v>1D</v>
      </c>
      <c r="X159" s="222">
        <f>_xll.qlCalendarAdvance(Calendar,X158,W159,"f",FALSE)</f>
        <v>42019</v>
      </c>
      <c r="Y159" s="227">
        <f>_xll.qlCalendarAdvance(Calendar,X159,NDays&amp;"D")</f>
        <v>42019</v>
      </c>
      <c r="Z159" s="228">
        <v>8.2356313169607356E-3</v>
      </c>
      <c r="AA159" s="230">
        <v>7.8654277641343473E-3</v>
      </c>
    </row>
    <row r="160" spans="19:27" x14ac:dyDescent="0.2">
      <c r="S160" s="32"/>
      <c r="T160" s="187"/>
      <c r="W160" s="221" t="str">
        <f t="shared" si="11"/>
        <v>1D</v>
      </c>
      <c r="X160" s="222">
        <f>_xll.qlCalendarAdvance(Calendar,X159,W160,"f",FALSE)</f>
        <v>42020</v>
      </c>
      <c r="Y160" s="227">
        <f>_xll.qlCalendarAdvance(Calendar,X160,NDays&amp;"D")</f>
        <v>42020</v>
      </c>
      <c r="Z160" s="228">
        <v>8.2473956429555736E-3</v>
      </c>
      <c r="AA160" s="230">
        <v>7.9225570207993225E-3</v>
      </c>
    </row>
    <row r="161" spans="19:27" x14ac:dyDescent="0.2">
      <c r="S161" s="32"/>
      <c r="T161" s="187"/>
      <c r="W161" s="221" t="str">
        <f t="shared" si="11"/>
        <v>1D</v>
      </c>
      <c r="X161" s="222">
        <f>_xll.qlCalendarAdvance(Calendar,X160,W161,"f",FALSE)</f>
        <v>42023</v>
      </c>
      <c r="Y161" s="227">
        <f>_xll.qlCalendarAdvance(Calendar,X161,NDays&amp;"D")</f>
        <v>42023</v>
      </c>
      <c r="Z161" s="228">
        <v>8.3130266514836078E-3</v>
      </c>
      <c r="AA161" s="230">
        <v>7.9770275036228355E-3</v>
      </c>
    </row>
    <row r="162" spans="19:27" x14ac:dyDescent="0.2">
      <c r="S162" s="32"/>
      <c r="T162" s="187"/>
      <c r="W162" s="221" t="str">
        <f t="shared" si="11"/>
        <v>1D</v>
      </c>
      <c r="X162" s="222">
        <f>_xll.qlCalendarAdvance(Calendar,X161,W162,"f",FALSE)</f>
        <v>42024</v>
      </c>
      <c r="Y162" s="227">
        <f>_xll.qlCalendarAdvance(Calendar,X162,NDays&amp;"D")</f>
        <v>42024</v>
      </c>
      <c r="Z162" s="228">
        <v>8.3344264017679651E-3</v>
      </c>
      <c r="AA162" s="230">
        <v>8.003191293616263E-3</v>
      </c>
    </row>
    <row r="163" spans="19:27" x14ac:dyDescent="0.2">
      <c r="S163" s="32"/>
      <c r="T163" s="187"/>
      <c r="W163" s="221" t="str">
        <f t="shared" si="11"/>
        <v>1D</v>
      </c>
      <c r="X163" s="222">
        <f>_xll.qlCalendarAdvance(Calendar,X162,W163,"f",FALSE)</f>
        <v>42025</v>
      </c>
      <c r="Y163" s="227">
        <f>_xll.qlCalendarAdvance(Calendar,X163,NDays&amp;"D")</f>
        <v>42025</v>
      </c>
      <c r="Z163" s="228">
        <v>8.3762309137884339E-3</v>
      </c>
      <c r="AA163" s="230">
        <v>8.0286606251800396E-3</v>
      </c>
    </row>
    <row r="164" spans="19:27" x14ac:dyDescent="0.2">
      <c r="S164" s="32"/>
      <c r="T164" s="187"/>
      <c r="W164" s="221" t="str">
        <f t="shared" si="11"/>
        <v>1D</v>
      </c>
      <c r="X164" s="222">
        <f>_xll.qlCalendarAdvance(Calendar,X163,W164,"f",FALSE)</f>
        <v>42026</v>
      </c>
      <c r="Y164" s="227">
        <f>_xll.qlCalendarAdvance(Calendar,X164,NDays&amp;"D")</f>
        <v>42026</v>
      </c>
      <c r="Z164" s="228">
        <v>8.3869080041058808E-3</v>
      </c>
      <c r="AA164" s="230">
        <v>8.0534354984762579E-3</v>
      </c>
    </row>
    <row r="165" spans="19:27" x14ac:dyDescent="0.2">
      <c r="S165" s="32"/>
      <c r="T165" s="187"/>
      <c r="W165" s="221" t="str">
        <f t="shared" si="11"/>
        <v>1D</v>
      </c>
      <c r="X165" s="222">
        <f>_xll.qlCalendarAdvance(Calendar,X164,W165,"f",FALSE)</f>
        <v>42027</v>
      </c>
      <c r="Y165" s="227">
        <f>_xll.qlCalendarAdvance(Calendar,X165,NDays&amp;"D")</f>
        <v>42027</v>
      </c>
      <c r="Z165" s="228">
        <v>8.3974798979742152E-3</v>
      </c>
      <c r="AA165" s="230">
        <v>8.1008501667641699E-3</v>
      </c>
    </row>
    <row r="166" spans="19:27" x14ac:dyDescent="0.2">
      <c r="S166" s="32"/>
      <c r="T166" s="187"/>
      <c r="W166" s="221" t="str">
        <f t="shared" si="11"/>
        <v>1D</v>
      </c>
      <c r="X166" s="222">
        <f>_xll.qlCalendarAdvance(Calendar,X165,W166,"f",FALSE)</f>
        <v>42030</v>
      </c>
      <c r="Y166" s="227">
        <f>_xll.qlCalendarAdvance(Calendar,X166,NDays&amp;"D")</f>
        <v>42030</v>
      </c>
      <c r="Z166" s="228">
        <v>8.4592437749760278E-3</v>
      </c>
      <c r="AA166" s="230">
        <v>8.1455904042038174E-3</v>
      </c>
    </row>
    <row r="167" spans="19:27" x14ac:dyDescent="0.2">
      <c r="S167" s="32"/>
      <c r="T167" s="187"/>
      <c r="W167" s="221" t="str">
        <f t="shared" si="11"/>
        <v>1D</v>
      </c>
      <c r="X167" s="222">
        <f>_xll.qlCalendarAdvance(Calendar,X166,W167,"f",FALSE)</f>
        <v>42031</v>
      </c>
      <c r="Y167" s="227">
        <f>_xll.qlCalendarAdvance(Calendar,X167,NDays&amp;"D")</f>
        <v>42031</v>
      </c>
      <c r="Z167" s="228">
        <v>8.4796404894931093E-3</v>
      </c>
      <c r="AA167" s="230">
        <v>8.1669984658705452E-3</v>
      </c>
    </row>
    <row r="168" spans="19:27" x14ac:dyDescent="0.2">
      <c r="S168" s="32"/>
      <c r="T168" s="187"/>
      <c r="W168" s="221" t="str">
        <f t="shared" si="11"/>
        <v>1D</v>
      </c>
      <c r="X168" s="222">
        <f>_xll.qlCalendarAdvance(Calendar,X167,W168,"f",FALSE)</f>
        <v>42032</v>
      </c>
      <c r="Y168" s="227">
        <f>_xll.qlCalendarAdvance(Calendar,X168,NDays&amp;"D")</f>
        <v>42032</v>
      </c>
      <c r="Z168" s="228">
        <v>8.4898719265243221E-3</v>
      </c>
      <c r="AA168" s="230">
        <v>8.1882394812649029E-3</v>
      </c>
    </row>
    <row r="169" spans="19:27" x14ac:dyDescent="0.2">
      <c r="S169" s="32"/>
      <c r="T169" s="187"/>
      <c r="W169" s="221" t="str">
        <f t="shared" si="11"/>
        <v>1D</v>
      </c>
      <c r="X169" s="222">
        <f>_xll.qlCalendarAdvance(Calendar,X168,W169,"f",FALSE)</f>
        <v>42033</v>
      </c>
      <c r="Y169" s="227">
        <f>_xll.qlCalendarAdvance(Calendar,X169,NDays&amp;"D")</f>
        <v>42033</v>
      </c>
      <c r="Z169" s="228">
        <v>8.5000823584491618E-3</v>
      </c>
      <c r="AA169" s="230">
        <v>8.2094189330939038E-3</v>
      </c>
    </row>
    <row r="170" spans="19:27" x14ac:dyDescent="0.2">
      <c r="S170" s="32"/>
      <c r="T170" s="187"/>
      <c r="W170" s="221" t="str">
        <f t="shared" si="11"/>
        <v>1D</v>
      </c>
      <c r="X170" s="222">
        <f>_xll.qlCalendarAdvance(Calendar,X169,W170,"f",FALSE)</f>
        <v>42034</v>
      </c>
      <c r="Y170" s="227">
        <f>_xll.qlCalendarAdvance(Calendar,X170,NDays&amp;"D")</f>
        <v>42034</v>
      </c>
      <c r="Z170" s="228">
        <v>8.5102717857925472E-3</v>
      </c>
      <c r="AA170" s="230">
        <v>8.2517591691189107E-3</v>
      </c>
    </row>
    <row r="171" spans="19:27" x14ac:dyDescent="0.2">
      <c r="S171" s="32"/>
      <c r="T171" s="187"/>
      <c r="W171" s="221" t="str">
        <f t="shared" si="11"/>
        <v>1D</v>
      </c>
      <c r="X171" s="222">
        <f>_xll.qlCalendarAdvance(Calendar,X170,W171,"f",FALSE)</f>
        <v>42037</v>
      </c>
      <c r="Y171" s="227">
        <f>_xll.qlCalendarAdvance(Calendar,X171,NDays&amp;"D")</f>
        <v>42037</v>
      </c>
      <c r="Z171" s="228">
        <v>8.5709221533607806E-3</v>
      </c>
      <c r="AA171" s="230">
        <v>8.2935211035406464E-3</v>
      </c>
    </row>
    <row r="172" spans="19:27" x14ac:dyDescent="0.2">
      <c r="S172" s="32"/>
      <c r="T172" s="187"/>
      <c r="W172" s="221" t="str">
        <f t="shared" si="11"/>
        <v>1D</v>
      </c>
      <c r="X172" s="222">
        <f>_xll.qlCalendarAdvance(Calendar,X171,W172,"f",FALSE)</f>
        <v>42038</v>
      </c>
      <c r="Y172" s="227">
        <f>_xll.qlCalendarAdvance(Calendar,X172,NDays&amp;"D")</f>
        <v>42038</v>
      </c>
      <c r="Z172" s="228">
        <v>8.5911414878771433E-3</v>
      </c>
      <c r="AA172" s="230">
        <v>8.3143927369755399E-3</v>
      </c>
    </row>
    <row r="173" spans="19:27" x14ac:dyDescent="0.2">
      <c r="S173" s="32"/>
      <c r="T173" s="187"/>
      <c r="W173" s="221" t="str">
        <f t="shared" si="11"/>
        <v>1D</v>
      </c>
      <c r="X173" s="222">
        <f>_xll.qlCalendarAdvance(Calendar,X172,W173,"f",FALSE)</f>
        <v>42039</v>
      </c>
      <c r="Y173" s="227">
        <f>_xll.qlCalendarAdvance(Calendar,X173,NDays&amp;"D")</f>
        <v>42039</v>
      </c>
      <c r="Z173" s="228">
        <v>8.6114069847080723E-3</v>
      </c>
      <c r="AA173" s="230">
        <v>8.3352028066829842E-3</v>
      </c>
    </row>
    <row r="174" spans="19:27" x14ac:dyDescent="0.2">
      <c r="S174" s="32"/>
      <c r="T174" s="187"/>
      <c r="W174" s="221" t="str">
        <f t="shared" si="11"/>
        <v>1D</v>
      </c>
      <c r="X174" s="222">
        <f>_xll.qlCalendarAdvance(Calendar,X173,W174,"f",FALSE)</f>
        <v>42040</v>
      </c>
      <c r="Y174" s="227">
        <f>_xll.qlCalendarAdvance(Calendar,X174,NDays&amp;"D")</f>
        <v>42040</v>
      </c>
      <c r="Z174" s="228">
        <v>8.6317455778888077E-3</v>
      </c>
      <c r="AA174" s="230">
        <v>8.3559513126629792E-3</v>
      </c>
    </row>
    <row r="175" spans="19:27" x14ac:dyDescent="0.2">
      <c r="S175" s="32"/>
      <c r="T175" s="187"/>
      <c r="W175" s="221" t="str">
        <f t="shared" si="11"/>
        <v>1D</v>
      </c>
      <c r="X175" s="222">
        <f>_xll.qlCalendarAdvance(Calendar,X174,W175,"f",FALSE)</f>
        <v>42041</v>
      </c>
      <c r="Y175" s="227">
        <f>_xll.qlCalendarAdvance(Calendar,X175,NDays&amp;"D")</f>
        <v>42041</v>
      </c>
      <c r="Z175" s="228">
        <v>8.6521842016311547E-3</v>
      </c>
      <c r="AA175" s="230">
        <v>8.3974363015152757E-3</v>
      </c>
    </row>
    <row r="176" spans="19:27" x14ac:dyDescent="0.2">
      <c r="S176" s="32"/>
      <c r="T176" s="187"/>
      <c r="W176" s="221" t="str">
        <f t="shared" si="11"/>
        <v>1D</v>
      </c>
      <c r="X176" s="222">
        <f>_xll.qlCalendarAdvance(Calendar,X175,W176,"f",FALSE)</f>
        <v>42044</v>
      </c>
      <c r="Y176" s="227">
        <f>_xll.qlCalendarAdvance(Calendar,X176,NDays&amp;"D")</f>
        <v>42044</v>
      </c>
      <c r="Z176" s="228">
        <v>8.7143696008786155E-3</v>
      </c>
      <c r="AA176" s="230">
        <v>8.4383296993084667E-3</v>
      </c>
    </row>
    <row r="177" spans="19:27" x14ac:dyDescent="0.2">
      <c r="S177" s="32"/>
      <c r="T177" s="187"/>
      <c r="W177" s="221" t="str">
        <f t="shared" si="11"/>
        <v>1D</v>
      </c>
      <c r="X177" s="222">
        <f>_xll.qlCalendarAdvance(Calendar,X176,W177,"f",FALSE)</f>
        <v>42045</v>
      </c>
      <c r="Y177" s="227">
        <f>_xll.qlCalendarAdvance(Calendar,X177,NDays&amp;"D")</f>
        <v>42045</v>
      </c>
      <c r="Z177" s="228">
        <v>8.7354776924009839E-3</v>
      </c>
      <c r="AA177" s="230">
        <v>8.4587703865701691E-3</v>
      </c>
    </row>
    <row r="178" spans="19:27" x14ac:dyDescent="0.2">
      <c r="S178" s="32"/>
      <c r="T178" s="187"/>
      <c r="W178" s="221" t="str">
        <f t="shared" si="11"/>
        <v>1D</v>
      </c>
      <c r="X178" s="222">
        <f>_xll.qlCalendarAdvance(Calendar,X177,W178,"f",FALSE)</f>
        <v>42046</v>
      </c>
      <c r="Y178" s="227">
        <f>_xll.qlCalendarAdvance(Calendar,X178,NDays&amp;"D")</f>
        <v>42046</v>
      </c>
      <c r="Z178" s="228">
        <v>8.7568204881403669E-3</v>
      </c>
      <c r="AA178" s="230">
        <v>8.4791495101044223E-3</v>
      </c>
    </row>
    <row r="179" spans="19:27" x14ac:dyDescent="0.2">
      <c r="S179" s="32"/>
      <c r="T179" s="187"/>
      <c r="W179" s="221" t="str">
        <f t="shared" si="11"/>
        <v>1D</v>
      </c>
      <c r="X179" s="222">
        <f>_xll.qlCalendarAdvance(Calendar,X178,W179,"f",FALSE)</f>
        <v>42047</v>
      </c>
      <c r="Y179" s="227">
        <f>_xll.qlCalendarAdvance(Calendar,X179,NDays&amp;"D")</f>
        <v>42047</v>
      </c>
      <c r="Z179" s="228">
        <v>8.7784249233795377E-3</v>
      </c>
      <c r="AA179" s="230">
        <v>8.49946706983018E-3</v>
      </c>
    </row>
    <row r="180" spans="19:27" x14ac:dyDescent="0.2">
      <c r="S180" s="32"/>
      <c r="T180" s="187"/>
      <c r="W180" s="221" t="str">
        <f t="shared" si="11"/>
        <v>1D</v>
      </c>
      <c r="X180" s="222">
        <f>_xll.qlCalendarAdvance(Calendar,X179,W180,"f",FALSE)</f>
        <v>42048</v>
      </c>
      <c r="Y180" s="227">
        <f>_xll.qlCalendarAdvance(Calendar,X180,NDays&amp;"D")</f>
        <v>42048</v>
      </c>
      <c r="Z180" s="228">
        <v>8.8003179335923078E-3</v>
      </c>
      <c r="AA180" s="230">
        <v>8.5400967855479397E-3</v>
      </c>
    </row>
    <row r="181" spans="19:27" x14ac:dyDescent="0.2">
      <c r="S181" s="32"/>
      <c r="T181" s="187"/>
      <c r="W181" s="221" t="str">
        <f t="shared" si="11"/>
        <v>1D</v>
      </c>
      <c r="X181" s="222">
        <f>_xll.qlCalendarAdvance(Calendar,X180,W181,"f",FALSE)</f>
        <v>42051</v>
      </c>
      <c r="Y181" s="227">
        <f>_xll.qlCalendarAdvance(Calendar,X181,NDays&amp;"D")</f>
        <v>42051</v>
      </c>
      <c r="Z181" s="228">
        <v>8.8679977717974669E-3</v>
      </c>
      <c r="AA181" s="230">
        <v>8.580121670567209E-3</v>
      </c>
    </row>
    <row r="182" spans="19:27" x14ac:dyDescent="0.2">
      <c r="S182" s="32"/>
      <c r="T182" s="187"/>
      <c r="W182" s="221" t="str">
        <f t="shared" si="11"/>
        <v>1D</v>
      </c>
      <c r="X182" s="222">
        <f>_xll.qlCalendarAdvance(Calendar,X181,W182,"f",FALSE)</f>
        <v>42052</v>
      </c>
      <c r="Y182" s="227">
        <f>_xll.qlCalendarAdvance(Calendar,X182,NDays&amp;"D")</f>
        <v>42052</v>
      </c>
      <c r="Z182" s="228">
        <v>8.8913144406921728E-3</v>
      </c>
      <c r="AA182" s="230">
        <v>8.6001314111694427E-3</v>
      </c>
    </row>
    <row r="183" spans="19:27" x14ac:dyDescent="0.2">
      <c r="S183" s="32"/>
      <c r="T183" s="187"/>
      <c r="W183" s="221" t="str">
        <f t="shared" si="11"/>
        <v>1D</v>
      </c>
      <c r="X183" s="222">
        <f>_xll.qlCalendarAdvance(Calendar,X182,W183,"f",FALSE)</f>
        <v>42053</v>
      </c>
      <c r="Y183" s="227">
        <f>_xll.qlCalendarAdvance(Calendar,X183,NDays&amp;"D")</f>
        <v>42053</v>
      </c>
      <c r="Z183" s="228">
        <v>8.9150543650353443E-3</v>
      </c>
      <c r="AA183" s="230">
        <v>8.6200795879631809E-3</v>
      </c>
    </row>
    <row r="184" spans="19:27" x14ac:dyDescent="0.2">
      <c r="S184" s="32"/>
      <c r="T184" s="187"/>
      <c r="W184" s="221" t="str">
        <f t="shared" si="11"/>
        <v>1D</v>
      </c>
      <c r="X184" s="222">
        <f>_xll.qlCalendarAdvance(Calendar,X183,W184,"f",FALSE)</f>
        <v>42054</v>
      </c>
      <c r="Y184" s="227">
        <f>_xll.qlCalendarAdvance(Calendar,X184,NDays&amp;"D")</f>
        <v>42054</v>
      </c>
      <c r="Z184" s="228">
        <v>8.9392444816004304E-3</v>
      </c>
      <c r="AA184" s="230">
        <v>8.6399662009484235E-3</v>
      </c>
    </row>
    <row r="185" spans="19:27" x14ac:dyDescent="0.2">
      <c r="S185" s="32"/>
      <c r="T185" s="187"/>
      <c r="W185" s="221" t="str">
        <f t="shared" si="11"/>
        <v>1D</v>
      </c>
      <c r="X185" s="222">
        <f>_xll.qlCalendarAdvance(Calendar,X184,W185,"f",FALSE)</f>
        <v>42055</v>
      </c>
      <c r="Y185" s="227">
        <f>_xll.qlCalendarAdvance(Calendar,X185,NDays&amp;"D")</f>
        <v>42055</v>
      </c>
      <c r="Z185" s="228">
        <v>8.9639117273982282E-3</v>
      </c>
      <c r="AA185" s="230">
        <v>8.6797406105187935E-3</v>
      </c>
    </row>
    <row r="186" spans="19:27" x14ac:dyDescent="0.2">
      <c r="S186" s="32"/>
      <c r="T186" s="187"/>
      <c r="W186" s="221" t="str">
        <f t="shared" si="11"/>
        <v>1D</v>
      </c>
      <c r="X186" s="222">
        <f>_xll.qlCalendarAdvance(Calendar,X185,W186,"f",FALSE)</f>
        <v>42058</v>
      </c>
      <c r="Y186" s="227">
        <f>_xll.qlCalendarAdvance(Calendar,X186,NDays&amp;"D")</f>
        <v>42058</v>
      </c>
      <c r="Z186" s="228">
        <v>9.041045614220802E-3</v>
      </c>
      <c r="AA186" s="230">
        <v>8.7188970138318833E-3</v>
      </c>
    </row>
    <row r="187" spans="19:27" x14ac:dyDescent="0.2">
      <c r="S187" s="32"/>
      <c r="T187" s="187"/>
      <c r="W187" s="221" t="str">
        <f t="shared" si="11"/>
        <v>1D</v>
      </c>
      <c r="X187" s="222">
        <f>_xll.qlCalendarAdvance(Calendar,X186,W187,"f",FALSE)</f>
        <v>42059</v>
      </c>
      <c r="Y187" s="227">
        <f>_xll.qlCalendarAdvance(Calendar,X187,NDays&amp;"D")</f>
        <v>42059</v>
      </c>
      <c r="Z187" s="228">
        <v>9.0678907523427821E-3</v>
      </c>
      <c r="AA187" s="230">
        <v>8.7384758072883706E-3</v>
      </c>
    </row>
    <row r="188" spans="19:27" x14ac:dyDescent="0.2">
      <c r="S188" s="32"/>
      <c r="T188" s="187"/>
      <c r="W188" s="221" t="str">
        <f t="shared" si="11"/>
        <v>1D</v>
      </c>
      <c r="X188" s="222">
        <f>_xll.qlCalendarAdvance(Calendar,X187,W188,"f",FALSE)</f>
        <v>42060</v>
      </c>
      <c r="Y188" s="227">
        <f>_xll.qlCalendarAdvance(Calendar,X188,NDays&amp;"D")</f>
        <v>42060</v>
      </c>
      <c r="Z188" s="228">
        <v>9.0953477087979805E-3</v>
      </c>
      <c r="AA188" s="230">
        <v>8.757993036855316E-3</v>
      </c>
    </row>
    <row r="189" spans="19:27" x14ac:dyDescent="0.2">
      <c r="S189" s="32"/>
      <c r="T189" s="187"/>
      <c r="W189" s="221" t="str">
        <f t="shared" si="11"/>
        <v>1D</v>
      </c>
      <c r="X189" s="222">
        <f>_xll.qlCalendarAdvance(Calendar,X188,W189,"f",FALSE)</f>
        <v>42061</v>
      </c>
      <c r="Y189" s="227">
        <f>_xll.qlCalendarAdvance(Calendar,X189,NDays&amp;"D")</f>
        <v>42061</v>
      </c>
      <c r="Z189" s="228">
        <v>9.123443422287587E-3</v>
      </c>
      <c r="AA189" s="230">
        <v>8.7774487025327197E-3</v>
      </c>
    </row>
    <row r="190" spans="19:27" x14ac:dyDescent="0.2">
      <c r="S190" s="32"/>
      <c r="T190" s="187"/>
      <c r="W190" s="221" t="str">
        <f t="shared" si="11"/>
        <v>1D</v>
      </c>
      <c r="X190" s="222">
        <f>_xll.qlCalendarAdvance(Calendar,X189,W190,"f",FALSE)</f>
        <v>42062</v>
      </c>
      <c r="Y190" s="227">
        <f>_xll.qlCalendarAdvance(Calendar,X190,NDays&amp;"D")</f>
        <v>42062</v>
      </c>
      <c r="Z190" s="228">
        <v>9.2186796398267129E-3</v>
      </c>
      <c r="AA190" s="230">
        <v>8.8174983200943018E-3</v>
      </c>
    </row>
    <row r="191" spans="19:27" x14ac:dyDescent="0.2">
      <c r="S191" s="32"/>
      <c r="T191" s="187"/>
      <c r="W191" s="221" t="str">
        <f t="shared" si="11"/>
        <v>1D</v>
      </c>
      <c r="X191" s="222">
        <f>_xll.qlCalendarAdvance(Calendar,X190,W191,"f",FALSE)</f>
        <v>42065</v>
      </c>
      <c r="Y191" s="227">
        <f>_xll.qlCalendarAdvance(Calendar,X191,NDays&amp;"D")</f>
        <v>42065</v>
      </c>
      <c r="Z191" s="228">
        <v>9.2938744982595436E-3</v>
      </c>
      <c r="AA191" s="230">
        <v>8.8593033346395789E-3</v>
      </c>
    </row>
    <row r="192" spans="19:27" x14ac:dyDescent="0.2">
      <c r="S192" s="32"/>
      <c r="T192" s="187"/>
      <c r="W192" s="221" t="str">
        <f t="shared" si="11"/>
        <v>1D</v>
      </c>
      <c r="X192" s="222">
        <f>_xll.qlCalendarAdvance(Calendar,X191,W192,"f",FALSE)</f>
        <v>42066</v>
      </c>
      <c r="Y192" s="227">
        <f>_xll.qlCalendarAdvance(Calendar,X192,NDays&amp;"D")</f>
        <v>42066</v>
      </c>
      <c r="Z192" s="228">
        <v>9.3938685982915323E-3</v>
      </c>
      <c r="AA192" s="230">
        <v>8.8814658463276519E-3</v>
      </c>
    </row>
    <row r="193" spans="19:27" x14ac:dyDescent="0.2">
      <c r="S193" s="32"/>
      <c r="T193" s="187"/>
      <c r="W193" s="221" t="str">
        <f t="shared" si="11"/>
        <v>1D</v>
      </c>
      <c r="X193" s="222">
        <f>_xll.qlCalendarAdvance(Calendar,X192,W193,"f",FALSE)</f>
        <v>42067</v>
      </c>
      <c r="Y193" s="227">
        <f>_xll.qlCalendarAdvance(Calendar,X193,NDays&amp;"D")</f>
        <v>42067</v>
      </c>
      <c r="Z193" s="228">
        <v>9.4087103273584657E-3</v>
      </c>
      <c r="AA193" s="230">
        <v>8.9043204607541782E-3</v>
      </c>
    </row>
    <row r="194" spans="19:27" x14ac:dyDescent="0.2">
      <c r="S194" s="32"/>
      <c r="T194" s="187"/>
      <c r="W194" s="221" t="str">
        <f t="shared" si="11"/>
        <v>1D</v>
      </c>
      <c r="X194" s="222">
        <f>_xll.qlCalendarAdvance(Calendar,X193,W194,"f",FALSE)</f>
        <v>42068</v>
      </c>
      <c r="Y194" s="227">
        <f>_xll.qlCalendarAdvance(Calendar,X194,NDays&amp;"D")</f>
        <v>42068</v>
      </c>
      <c r="Z194" s="228">
        <v>9.423764972266796E-3</v>
      </c>
      <c r="AA194" s="230">
        <v>8.9278671780812502E-3</v>
      </c>
    </row>
    <row r="195" spans="19:27" x14ac:dyDescent="0.2">
      <c r="S195" s="32"/>
      <c r="T195" s="187"/>
      <c r="W195" s="221" t="str">
        <f t="shared" si="11"/>
        <v>1D</v>
      </c>
      <c r="X195" s="222">
        <f>_xll.qlCalendarAdvance(Calendar,X194,W195,"f",FALSE)</f>
        <v>42069</v>
      </c>
      <c r="Y195" s="227">
        <f>_xll.qlCalendarAdvance(Calendar,X195,NDays&amp;"D")</f>
        <v>42069</v>
      </c>
      <c r="Z195" s="228">
        <v>9.4390309004881157E-3</v>
      </c>
      <c r="AA195" s="230">
        <v>8.9774884226760214E-3</v>
      </c>
    </row>
    <row r="196" spans="19:27" x14ac:dyDescent="0.2">
      <c r="S196" s="32"/>
      <c r="T196" s="187"/>
      <c r="W196" s="221" t="str">
        <f t="shared" si="11"/>
        <v>1D</v>
      </c>
      <c r="X196" s="222">
        <f>_xll.qlCalendarAdvance(Calendar,X195,W196,"f",FALSE)</f>
        <v>42072</v>
      </c>
      <c r="Y196" s="227">
        <f>_xll.qlCalendarAdvance(Calendar,X196,NDays&amp;"D")</f>
        <v>42072</v>
      </c>
      <c r="Z196" s="228">
        <v>9.5201650621271876E-3</v>
      </c>
      <c r="AA196" s="230">
        <v>9.0289750794747548E-3</v>
      </c>
    </row>
    <row r="197" spans="19:27" x14ac:dyDescent="0.2">
      <c r="S197" s="32"/>
      <c r="T197" s="187"/>
      <c r="W197" s="221" t="str">
        <f t="shared" si="11"/>
        <v>1D</v>
      </c>
      <c r="X197" s="222">
        <f>_xll.qlCalendarAdvance(Calendar,X196,W197,"f",FALSE)</f>
        <v>42073</v>
      </c>
      <c r="Y197" s="227">
        <f>_xll.qlCalendarAdvance(Calendar,X197,NDays&amp;"D")</f>
        <v>42073</v>
      </c>
      <c r="Z197" s="228">
        <v>9.5530990218142906E-3</v>
      </c>
      <c r="AA197" s="230">
        <v>9.0559823135738515E-3</v>
      </c>
    </row>
    <row r="198" spans="19:27" x14ac:dyDescent="0.2">
      <c r="S198" s="32"/>
      <c r="T198" s="187"/>
      <c r="W198" s="221" t="str">
        <f t="shared" si="11"/>
        <v>1D</v>
      </c>
      <c r="X198" s="222">
        <f>_xll.qlCalendarAdvance(Calendar,X197,W198,"f",FALSE)</f>
        <v>42074</v>
      </c>
      <c r="Y198" s="227">
        <f>_xll.qlCalendarAdvance(Calendar,X198,NDays&amp;"D")</f>
        <v>42074</v>
      </c>
      <c r="Z198" s="228">
        <v>9.6186210307442968E-3</v>
      </c>
      <c r="AA198" s="230">
        <v>9.0836816513839569E-3</v>
      </c>
    </row>
    <row r="199" spans="19:27" x14ac:dyDescent="0.2">
      <c r="S199" s="32"/>
      <c r="T199" s="187"/>
      <c r="W199" s="221" t="str">
        <f t="shared" si="11"/>
        <v>1D</v>
      </c>
      <c r="X199" s="222">
        <f>_xll.qlCalendarAdvance(Calendar,X198,W199,"f",FALSE)</f>
        <v>42075</v>
      </c>
      <c r="Y199" s="227">
        <f>_xll.qlCalendarAdvance(Calendar,X199,NDays&amp;"D")</f>
        <v>42075</v>
      </c>
      <c r="Z199" s="228">
        <v>9.6350980996013497E-3</v>
      </c>
      <c r="AA199" s="230">
        <v>9.1120730931482097E-3</v>
      </c>
    </row>
    <row r="200" spans="19:27" x14ac:dyDescent="0.2">
      <c r="S200" s="32"/>
      <c r="T200" s="187"/>
      <c r="W200" s="221" t="str">
        <f t="shared" si="11"/>
        <v>1D</v>
      </c>
      <c r="X200" s="222">
        <f>_xll.qlCalendarAdvance(Calendar,X199,W200,"f",FALSE)</f>
        <v>42076</v>
      </c>
      <c r="Y200" s="227">
        <f>_xll.qlCalendarAdvance(Calendar,X200,NDays&amp;"D")</f>
        <v>42076</v>
      </c>
      <c r="Z200" s="228">
        <v>9.6517289226076327E-3</v>
      </c>
      <c r="AA200" s="230">
        <v>9.1713934307195259E-3</v>
      </c>
    </row>
    <row r="201" spans="19:27" x14ac:dyDescent="0.2">
      <c r="S201" s="32"/>
      <c r="T201" s="187"/>
      <c r="W201" s="221" t="str">
        <f t="shared" si="11"/>
        <v>1D</v>
      </c>
      <c r="X201" s="222">
        <f>_xll.qlCalendarAdvance(Calendar,X200,W201,"f",FALSE)</f>
        <v>42079</v>
      </c>
      <c r="Y201" s="227">
        <f>_xll.qlCalendarAdvance(Calendar,X201,NDays&amp;"D")</f>
        <v>42079</v>
      </c>
      <c r="Z201" s="228">
        <v>9.749067918755466E-3</v>
      </c>
      <c r="AA201" s="230">
        <v>9.2325599029075001E-3</v>
      </c>
    </row>
    <row r="202" spans="19:27" x14ac:dyDescent="0.2">
      <c r="S202" s="32"/>
      <c r="T202" s="187"/>
      <c r="W202" s="221" t="str">
        <f t="shared" si="11"/>
        <v>1D</v>
      </c>
      <c r="X202" s="222">
        <f>_xll.qlCalendarAdvance(Calendar,X201,W202,"f",FALSE)</f>
        <v>42080</v>
      </c>
      <c r="Y202" s="227">
        <f>_xll.qlCalendarAdvance(Calendar,X202,NDays&amp;"D")</f>
        <v>42080</v>
      </c>
      <c r="Z202" s="228">
        <v>9.7809978364569606E-3</v>
      </c>
      <c r="AA202" s="230">
        <v>9.2644118668738784E-3</v>
      </c>
    </row>
    <row r="203" spans="19:27" x14ac:dyDescent="0.2">
      <c r="S203" s="32"/>
      <c r="T203" s="187"/>
      <c r="W203" s="221" t="str">
        <f t="shared" si="11"/>
        <v>1D</v>
      </c>
      <c r="X203" s="222">
        <f>_xll.qlCalendarAdvance(Calendar,X202,W203,"f",FALSE)</f>
        <v>42081</v>
      </c>
      <c r="Y203" s="227">
        <f>_xll.qlCalendarAdvance(Calendar,X203,NDays&amp;"D")</f>
        <v>42081</v>
      </c>
      <c r="Z203" s="228">
        <v>9.8410317601525504E-3</v>
      </c>
      <c r="AA203" s="230">
        <v>9.2969559358480058E-3</v>
      </c>
    </row>
    <row r="204" spans="19:27" x14ac:dyDescent="0.2">
      <c r="S204" s="32"/>
      <c r="T204" s="187"/>
      <c r="W204" s="221" t="str">
        <f t="shared" si="11"/>
        <v>1D</v>
      </c>
      <c r="X204" s="222">
        <f>_xll.qlCalendarAdvance(Calendar,X203,W204,"f",FALSE)</f>
        <v>42082</v>
      </c>
      <c r="Y204" s="227">
        <f>_xll.qlCalendarAdvance(Calendar,X204,NDays&amp;"D")</f>
        <v>42082</v>
      </c>
      <c r="Z204" s="228">
        <v>9.8577830409646641E-3</v>
      </c>
      <c r="AA204" s="230">
        <v>9.3301921099109286E-3</v>
      </c>
    </row>
    <row r="205" spans="19:27" x14ac:dyDescent="0.2">
      <c r="S205" s="32"/>
      <c r="T205" s="187"/>
      <c r="W205" s="221" t="str">
        <f t="shared" si="11"/>
        <v>1D</v>
      </c>
      <c r="X205" s="222">
        <f>_xll.qlCalendarAdvance(Calendar,X204,W205,"f",FALSE)</f>
        <v>42083</v>
      </c>
      <c r="Y205" s="227">
        <f>_xll.qlCalendarAdvance(Calendar,X205,NDays&amp;"D")</f>
        <v>42083</v>
      </c>
      <c r="Z205" s="228">
        <v>9.8745496883354614E-3</v>
      </c>
      <c r="AA205" s="230">
        <v>9.3992135064254381E-3</v>
      </c>
    </row>
    <row r="206" spans="19:27" x14ac:dyDescent="0.2">
      <c r="S206" s="32"/>
      <c r="T206" s="187"/>
      <c r="W206" s="221" t="str">
        <f t="shared" si="11"/>
        <v>1D</v>
      </c>
      <c r="X206" s="222">
        <f>_xll.qlCalendarAdvance(Calendar,X205,W206,"f",FALSE)</f>
        <v>42086</v>
      </c>
      <c r="Y206" s="227">
        <f>_xll.qlCalendarAdvance(Calendar,X206,NDays&amp;"D")</f>
        <v>42086</v>
      </c>
      <c r="Z206" s="228">
        <v>9.963711675536174E-3</v>
      </c>
      <c r="AA206" s="230">
        <v>9.4700578616702114E-3</v>
      </c>
    </row>
    <row r="207" spans="19:27" x14ac:dyDescent="0.2">
      <c r="S207" s="32"/>
      <c r="T207" s="187"/>
      <c r="W207" s="221" t="str">
        <f t="shared" si="11"/>
        <v>1D</v>
      </c>
      <c r="X207" s="222">
        <f>_xll.qlCalendarAdvance(Calendar,X206,W207,"f",FALSE)</f>
        <v>42087</v>
      </c>
      <c r="Y207" s="227">
        <f>_xll.qlCalendarAdvance(Calendar,X207,NDays&amp;"D")</f>
        <v>42087</v>
      </c>
      <c r="Z207" s="228">
        <v>9.9922272498677699E-3</v>
      </c>
      <c r="AA207" s="230">
        <v>9.5067545645000084E-3</v>
      </c>
    </row>
    <row r="208" spans="19:27" x14ac:dyDescent="0.2">
      <c r="S208" s="32"/>
      <c r="T208" s="187"/>
      <c r="W208" s="221" t="str">
        <f t="shared" si="11"/>
        <v>1D</v>
      </c>
      <c r="X208" s="222">
        <f>_xll.qlCalendarAdvance(Calendar,X207,W208,"f",FALSE)</f>
        <v>42088</v>
      </c>
      <c r="Y208" s="227">
        <f>_xll.qlCalendarAdvance(Calendar,X208,NDays&amp;"D")</f>
        <v>42088</v>
      </c>
      <c r="Z208" s="228">
        <v>1.0043047039773946E-2</v>
      </c>
      <c r="AA208" s="230">
        <v>9.5441433735532488E-3</v>
      </c>
    </row>
    <row r="209" spans="19:27" x14ac:dyDescent="0.2">
      <c r="S209" s="32"/>
      <c r="T209" s="187"/>
      <c r="W209" s="221" t="str">
        <f t="shared" si="11"/>
        <v>1D</v>
      </c>
      <c r="X209" s="222">
        <f>_xll.qlCalendarAdvance(Calendar,X208,W209,"f",FALSE)</f>
        <v>42089</v>
      </c>
      <c r="Y209" s="227">
        <f>_xll.qlCalendarAdvance(Calendar,X209,NDays&amp;"D")</f>
        <v>42089</v>
      </c>
      <c r="Z209" s="228">
        <v>1.0058374769558627E-2</v>
      </c>
      <c r="AA209" s="230">
        <v>9.5822242893162102E-3</v>
      </c>
    </row>
    <row r="210" spans="19:27" x14ac:dyDescent="0.2">
      <c r="S210" s="32"/>
      <c r="T210" s="187"/>
      <c r="W210" s="221" t="str">
        <f t="shared" si="11"/>
        <v>1D</v>
      </c>
      <c r="X210" s="222">
        <f>_xll.qlCalendarAdvance(Calendar,X209,W210,"f",FALSE)</f>
        <v>42090</v>
      </c>
      <c r="Y210" s="227">
        <f>_xll.qlCalendarAdvance(Calendar,X210,NDays&amp;"D")</f>
        <v>42090</v>
      </c>
      <c r="Z210" s="228">
        <v>1.0073470006993983E-2</v>
      </c>
      <c r="AA210" s="230">
        <v>9.6586633441571781E-3</v>
      </c>
    </row>
    <row r="211" spans="19:27" x14ac:dyDescent="0.2">
      <c r="S211" s="32"/>
      <c r="T211" s="187"/>
      <c r="W211" s="221" t="str">
        <f t="shared" si="11"/>
        <v>1D</v>
      </c>
      <c r="X211" s="222">
        <f>_xll.qlCalendarAdvance(Calendar,X210,W211,"f",FALSE)</f>
        <v>42093</v>
      </c>
      <c r="Y211" s="227">
        <f>_xll.qlCalendarAdvance(Calendar,X211,NDays&amp;"D")</f>
        <v>42093</v>
      </c>
      <c r="Z211" s="228">
        <v>1.0147589374329441E-2</v>
      </c>
      <c r="AA211" s="230">
        <v>9.7320735888295484E-3</v>
      </c>
    </row>
    <row r="212" spans="19:27" x14ac:dyDescent="0.2">
      <c r="S212" s="32"/>
      <c r="T212" s="187"/>
      <c r="W212" s="221" t="str">
        <f t="shared" si="11"/>
        <v>1D</v>
      </c>
      <c r="X212" s="222">
        <f>_xll.qlCalendarAdvance(Calendar,X211,W212,"f",FALSE)</f>
        <v>42094</v>
      </c>
      <c r="Y212" s="227">
        <f>_xll.qlCalendarAdvance(Calendar,X212,NDays&amp;"D")</f>
        <v>42094</v>
      </c>
      <c r="Z212" s="228">
        <v>1.0161168971076292E-2</v>
      </c>
      <c r="AA212" s="230">
        <v>9.7675207038927514E-3</v>
      </c>
    </row>
    <row r="213" spans="19:27" x14ac:dyDescent="0.2">
      <c r="S213" s="32"/>
      <c r="T213" s="187"/>
      <c r="W213" s="221" t="str">
        <f t="shared" ref="W213:W276" si="12">W212</f>
        <v>1D</v>
      </c>
      <c r="X213" s="222">
        <f>_xll.qlCalendarAdvance(Calendar,X212,W213,"f",FALSE)</f>
        <v>42095</v>
      </c>
      <c r="Y213" s="227">
        <f>_xll.qlCalendarAdvance(Calendar,X213,NDays&amp;"D")</f>
        <v>42095</v>
      </c>
      <c r="Z213" s="228">
        <v>1.0183950693218091E-2</v>
      </c>
      <c r="AA213" s="230">
        <v>9.80213634165783E-3</v>
      </c>
    </row>
    <row r="214" spans="19:27" x14ac:dyDescent="0.2">
      <c r="S214" s="32"/>
      <c r="T214" s="187"/>
      <c r="W214" s="221" t="str">
        <f t="shared" si="12"/>
        <v>1D</v>
      </c>
      <c r="X214" s="222">
        <f>_xll.qlCalendarAdvance(Calendar,X213,W214,"f",FALSE)</f>
        <v>42096</v>
      </c>
      <c r="Y214" s="227">
        <f>_xll.qlCalendarAdvance(Calendar,X214,NDays&amp;"D")</f>
        <v>42096</v>
      </c>
      <c r="Z214" s="228">
        <v>1.0232847364345444E-2</v>
      </c>
      <c r="AA214" s="230">
        <v>9.90069997991605E-3</v>
      </c>
    </row>
    <row r="215" spans="19:27" x14ac:dyDescent="0.2">
      <c r="S215" s="32"/>
      <c r="T215" s="187"/>
      <c r="W215" s="221" t="str">
        <f t="shared" si="12"/>
        <v>1D</v>
      </c>
      <c r="X215" s="222">
        <f>_xll.qlCalendarAdvance(Calendar,X214,W215,"f",FALSE)</f>
        <v>42101</v>
      </c>
      <c r="Y215" s="227">
        <f>_xll.qlCalendarAdvance(Calendar,X215,NDays&amp;"D")</f>
        <v>42101</v>
      </c>
      <c r="Z215" s="228">
        <v>1.0307108978111009E-2</v>
      </c>
      <c r="AA215" s="230">
        <v>9.9923691285352945E-3</v>
      </c>
    </row>
    <row r="216" spans="19:27" x14ac:dyDescent="0.2">
      <c r="S216" s="32"/>
      <c r="T216" s="187"/>
      <c r="W216" s="221" t="str">
        <f t="shared" si="12"/>
        <v>1D</v>
      </c>
      <c r="X216" s="222">
        <f>_xll.qlCalendarAdvance(Calendar,X215,W216,"f",FALSE)</f>
        <v>42102</v>
      </c>
      <c r="Y216" s="227">
        <f>_xll.qlCalendarAdvance(Calendar,X216,NDays&amp;"D")</f>
        <v>42102</v>
      </c>
      <c r="Z216" s="228">
        <v>1.032568920225178E-2</v>
      </c>
      <c r="AA216" s="230">
        <v>1.0021164417838291E-2</v>
      </c>
    </row>
    <row r="217" spans="19:27" x14ac:dyDescent="0.2">
      <c r="S217" s="32"/>
      <c r="T217" s="187"/>
      <c r="W217" s="221" t="str">
        <f t="shared" si="12"/>
        <v>1D</v>
      </c>
      <c r="X217" s="222">
        <f>_xll.qlCalendarAdvance(Calendar,X216,W217,"f",FALSE)</f>
        <v>42103</v>
      </c>
      <c r="Y217" s="227">
        <f>_xll.qlCalendarAdvance(Calendar,X217,NDays&amp;"D")</f>
        <v>42103</v>
      </c>
      <c r="Z217" s="228">
        <v>1.0359547474745427E-2</v>
      </c>
      <c r="AA217" s="230">
        <v>1.0049128227979098E-2</v>
      </c>
    </row>
    <row r="218" spans="19:27" x14ac:dyDescent="0.2">
      <c r="S218" s="32"/>
      <c r="T218" s="187"/>
      <c r="W218" s="221" t="str">
        <f t="shared" si="12"/>
        <v>1D</v>
      </c>
      <c r="X218" s="222">
        <f>_xll.qlCalendarAdvance(Calendar,X217,W218,"f",FALSE)</f>
        <v>42104</v>
      </c>
      <c r="Y218" s="227">
        <f>_xll.qlCalendarAdvance(Calendar,X218,NDays&amp;"D")</f>
        <v>42104</v>
      </c>
      <c r="Z218" s="228">
        <v>1.0369275513412516E-2</v>
      </c>
      <c r="AA218" s="230">
        <v>1.0102563857750473E-2</v>
      </c>
    </row>
    <row r="219" spans="19:27" x14ac:dyDescent="0.2">
      <c r="S219" s="32"/>
      <c r="T219" s="187"/>
      <c r="W219" s="221" t="str">
        <f t="shared" si="12"/>
        <v>1D</v>
      </c>
      <c r="X219" s="222">
        <f>_xll.qlCalendarAdvance(Calendar,X218,W219,"f",FALSE)</f>
        <v>42107</v>
      </c>
      <c r="Y219" s="227">
        <f>_xll.qlCalendarAdvance(Calendar,X219,NDays&amp;"D")</f>
        <v>42107</v>
      </c>
      <c r="Z219" s="228">
        <v>1.0412237322742842E-2</v>
      </c>
      <c r="AA219" s="230">
        <v>1.015266867278708E-2</v>
      </c>
    </row>
    <row r="220" spans="19:27" x14ac:dyDescent="0.2">
      <c r="S220" s="32"/>
      <c r="T220" s="187"/>
      <c r="W220" s="221" t="str">
        <f t="shared" si="12"/>
        <v>1D</v>
      </c>
      <c r="X220" s="222">
        <f>_xll.qlCalendarAdvance(Calendar,X219,W220,"f",FALSE)</f>
        <v>42108</v>
      </c>
      <c r="Y220" s="227">
        <f>_xll.qlCalendarAdvance(Calendar,X220,NDays&amp;"D")</f>
        <v>42108</v>
      </c>
      <c r="Z220" s="228">
        <v>1.0428508247414555E-2</v>
      </c>
      <c r="AA220" s="230">
        <v>1.0176475084199277E-2</v>
      </c>
    </row>
    <row r="221" spans="19:27" x14ac:dyDescent="0.2">
      <c r="S221" s="32"/>
      <c r="T221" s="187"/>
      <c r="W221" s="221" t="str">
        <f t="shared" si="12"/>
        <v>1D</v>
      </c>
      <c r="X221" s="222">
        <f>_xll.qlCalendarAdvance(Calendar,X220,W221,"f",FALSE)</f>
        <v>42109</v>
      </c>
      <c r="Y221" s="227">
        <f>_xll.qlCalendarAdvance(Calendar,X221,NDays&amp;"D")</f>
        <v>42109</v>
      </c>
      <c r="Z221" s="228">
        <v>1.0444510240159651E-2</v>
      </c>
      <c r="AA221" s="230">
        <v>1.019945001547673E-2</v>
      </c>
    </row>
    <row r="222" spans="19:27" x14ac:dyDescent="0.2">
      <c r="S222" s="32"/>
      <c r="T222" s="187"/>
      <c r="W222" s="221" t="str">
        <f t="shared" si="12"/>
        <v>1D</v>
      </c>
      <c r="X222" s="222">
        <f>_xll.qlCalendarAdvance(Calendar,X221,W222,"f",FALSE)</f>
        <v>42110</v>
      </c>
      <c r="Y222" s="227">
        <f>_xll.qlCalendarAdvance(Calendar,X222,NDays&amp;"D")</f>
        <v>42110</v>
      </c>
      <c r="Z222" s="228">
        <v>1.0475607814831311E-2</v>
      </c>
      <c r="AA222" s="230">
        <v>1.0221593466214207E-2</v>
      </c>
    </row>
    <row r="223" spans="19:27" x14ac:dyDescent="0.2">
      <c r="S223" s="32"/>
      <c r="T223" s="187"/>
      <c r="W223" s="221" t="str">
        <f t="shared" si="12"/>
        <v>1D</v>
      </c>
      <c r="X223" s="222">
        <f>_xll.qlCalendarAdvance(Calendar,X222,W223,"f",FALSE)</f>
        <v>42111</v>
      </c>
      <c r="Y223" s="227">
        <f>_xll.qlCalendarAdvance(Calendar,X223,NDays&amp;"D")</f>
        <v>42111</v>
      </c>
      <c r="Z223" s="228">
        <v>1.0483508242076509E-2</v>
      </c>
      <c r="AA223" s="230">
        <v>1.0263397347327249E-2</v>
      </c>
    </row>
    <row r="224" spans="19:27" x14ac:dyDescent="0.2">
      <c r="S224" s="32"/>
      <c r="T224" s="187"/>
      <c r="W224" s="221" t="str">
        <f t="shared" si="12"/>
        <v>1D</v>
      </c>
      <c r="X224" s="222">
        <f>_xll.qlCalendarAdvance(Calendar,X223,W224,"f",FALSE)</f>
        <v>42114</v>
      </c>
      <c r="Y224" s="227">
        <f>_xll.qlCalendarAdvance(Calendar,X224,NDays&amp;"D")</f>
        <v>42114</v>
      </c>
      <c r="Z224" s="228">
        <v>1.0521645763594156E-2</v>
      </c>
      <c r="AA224" s="230">
        <v>1.0301852462629713E-2</v>
      </c>
    </row>
    <row r="225" spans="19:27" x14ac:dyDescent="0.2">
      <c r="S225" s="32"/>
      <c r="T225" s="187"/>
      <c r="W225" s="221" t="str">
        <f t="shared" si="12"/>
        <v>1D</v>
      </c>
      <c r="X225" s="222">
        <f>_xll.qlCalendarAdvance(Calendar,X224,W225,"f",FALSE)</f>
        <v>42115</v>
      </c>
      <c r="Y225" s="227">
        <f>_xll.qlCalendarAdvance(Calendar,X225,NDays&amp;"D")</f>
        <v>42115</v>
      </c>
      <c r="Z225" s="228">
        <v>1.0536729890446147E-2</v>
      </c>
      <c r="AA225" s="230">
        <v>1.0319838509289525E-2</v>
      </c>
    </row>
    <row r="226" spans="19:27" x14ac:dyDescent="0.2">
      <c r="S226" s="32"/>
      <c r="T226" s="187"/>
      <c r="W226" s="221" t="str">
        <f t="shared" si="12"/>
        <v>1D</v>
      </c>
      <c r="X226" s="222">
        <f>_xll.qlCalendarAdvance(Calendar,X225,W226,"f",FALSE)</f>
        <v>42116</v>
      </c>
      <c r="Y226" s="227">
        <f>_xll.qlCalendarAdvance(Calendar,X226,NDays&amp;"D")</f>
        <v>42116</v>
      </c>
      <c r="Z226" s="228">
        <v>1.0551776995554282E-2</v>
      </c>
      <c r="AA226" s="230">
        <v>1.0336993074760992E-2</v>
      </c>
    </row>
    <row r="227" spans="19:27" x14ac:dyDescent="0.2">
      <c r="S227" s="32"/>
      <c r="T227" s="187"/>
      <c r="W227" s="221" t="str">
        <f t="shared" si="12"/>
        <v>1D</v>
      </c>
      <c r="X227" s="222">
        <f>_xll.qlCalendarAdvance(Calendar,X226,W227,"f",FALSE)</f>
        <v>42117</v>
      </c>
      <c r="Y227" s="227">
        <f>_xll.qlCalendarAdvance(Calendar,X227,NDays&amp;"D")</f>
        <v>42117</v>
      </c>
      <c r="Z227" s="228">
        <v>1.0590949763716917E-2</v>
      </c>
      <c r="AA227" s="230">
        <v>1.0353316158800974E-2</v>
      </c>
    </row>
    <row r="228" spans="19:27" x14ac:dyDescent="0.2">
      <c r="S228" s="32"/>
      <c r="T228" s="187"/>
      <c r="W228" s="221" t="str">
        <f t="shared" si="12"/>
        <v>1D</v>
      </c>
      <c r="X228" s="222">
        <f>_xll.qlCalendarAdvance(Calendar,X227,W228,"f",FALSE)</f>
        <v>42118</v>
      </c>
      <c r="Y228" s="227">
        <f>_xll.qlCalendarAdvance(Calendar,X228,NDays&amp;"D")</f>
        <v>42118</v>
      </c>
      <c r="Z228" s="228">
        <v>1.0598075196818386E-2</v>
      </c>
      <c r="AA228" s="230">
        <v>1.0383486096333291E-2</v>
      </c>
    </row>
    <row r="229" spans="19:27" x14ac:dyDescent="0.2">
      <c r="S229" s="32"/>
      <c r="T229" s="187"/>
      <c r="W229" s="221" t="str">
        <f t="shared" si="12"/>
        <v>1D</v>
      </c>
      <c r="X229" s="222">
        <f>_xll.qlCalendarAdvance(Calendar,X228,W229,"f",FALSE)</f>
        <v>42121</v>
      </c>
      <c r="Y229" s="227">
        <f>_xll.qlCalendarAdvance(Calendar,X229,NDays&amp;"D")</f>
        <v>42121</v>
      </c>
      <c r="Z229" s="228">
        <v>1.0627616775386891E-2</v>
      </c>
      <c r="AA229" s="230">
        <v>1.0410459194981625E-2</v>
      </c>
    </row>
    <row r="230" spans="19:27" x14ac:dyDescent="0.2">
      <c r="S230" s="32"/>
      <c r="T230" s="187"/>
      <c r="W230" s="221" t="str">
        <f t="shared" si="12"/>
        <v>1D</v>
      </c>
      <c r="X230" s="222">
        <f>_xll.qlCalendarAdvance(Calendar,X229,W230,"f",FALSE)</f>
        <v>42122</v>
      </c>
      <c r="Y230" s="227">
        <f>_xll.qlCalendarAdvance(Calendar,X230,NDays&amp;"D")</f>
        <v>42122</v>
      </c>
      <c r="Z230" s="228">
        <v>1.0643132874687619E-2</v>
      </c>
      <c r="AA230" s="230">
        <v>1.0423617962010967E-2</v>
      </c>
    </row>
    <row r="231" spans="19:27" x14ac:dyDescent="0.2">
      <c r="S231" s="32"/>
      <c r="T231" s="187"/>
      <c r="W231" s="221" t="str">
        <f t="shared" si="12"/>
        <v>1D</v>
      </c>
      <c r="X231" s="222">
        <f>_xll.qlCalendarAdvance(Calendar,X230,W231,"f",FALSE)</f>
        <v>42123</v>
      </c>
      <c r="Y231" s="227">
        <f>_xll.qlCalendarAdvance(Calendar,X231,NDays&amp;"D")</f>
        <v>42123</v>
      </c>
      <c r="Z231" s="228">
        <v>1.0658816115065955E-2</v>
      </c>
      <c r="AA231" s="230">
        <v>1.0436938338403978E-2</v>
      </c>
    </row>
    <row r="232" spans="19:27" x14ac:dyDescent="0.2">
      <c r="S232" s="32"/>
      <c r="T232" s="187"/>
      <c r="W232" s="221" t="str">
        <f t="shared" si="12"/>
        <v>1D</v>
      </c>
      <c r="X232" s="222">
        <f>_xll.qlCalendarAdvance(Calendar,X231,W232,"f",FALSE)</f>
        <v>42124</v>
      </c>
      <c r="Y232" s="227">
        <f>_xll.qlCalendarAdvance(Calendar,X232,NDays&amp;"D")</f>
        <v>42124</v>
      </c>
      <c r="Z232" s="228">
        <v>1.0666162080892978E-2</v>
      </c>
      <c r="AA232" s="230">
        <v>1.0450420323998566E-2</v>
      </c>
    </row>
    <row r="233" spans="19:27" x14ac:dyDescent="0.2">
      <c r="S233" s="32"/>
      <c r="T233" s="187"/>
      <c r="W233" s="221" t="str">
        <f t="shared" si="12"/>
        <v>1D</v>
      </c>
      <c r="X233" s="222">
        <f>_xll.qlCalendarAdvance(Calendar,X232,W233,"f",FALSE)</f>
        <v>42125</v>
      </c>
      <c r="Y233" s="227">
        <f>_xll.qlCalendarAdvance(Calendar,X233,NDays&amp;"D")</f>
        <v>42125</v>
      </c>
      <c r="Z233" s="228">
        <v>1.0699385349974009E-2</v>
      </c>
      <c r="AA233" s="230">
        <v>1.0485385126262348E-2</v>
      </c>
    </row>
    <row r="234" spans="19:27" x14ac:dyDescent="0.2">
      <c r="S234" s="32"/>
      <c r="T234" s="187"/>
      <c r="W234" s="221" t="str">
        <f t="shared" si="12"/>
        <v>1D</v>
      </c>
      <c r="X234" s="222">
        <f>_xll.qlCalendarAdvance(Calendar,X233,W234,"f",FALSE)</f>
        <v>42129</v>
      </c>
      <c r="Y234" s="227">
        <f>_xll.qlCalendarAdvance(Calendar,X234,NDays&amp;"D")</f>
        <v>42129</v>
      </c>
      <c r="Z234" s="228">
        <v>1.07658542162915E-2</v>
      </c>
      <c r="AA234" s="230">
        <v>1.0520254393155959E-2</v>
      </c>
    </row>
    <row r="235" spans="19:27" x14ac:dyDescent="0.2">
      <c r="S235" s="32"/>
      <c r="T235" s="187"/>
      <c r="W235" s="221" t="str">
        <f t="shared" si="12"/>
        <v>1D</v>
      </c>
      <c r="X235" s="222">
        <f>_xll.qlCalendarAdvance(Calendar,X234,W235,"f",FALSE)</f>
        <v>42130</v>
      </c>
      <c r="Y235" s="227">
        <f>_xll.qlCalendarAdvance(Calendar,X235,NDays&amp;"D")</f>
        <v>42130</v>
      </c>
      <c r="Z235" s="228">
        <v>1.0801755071744537E-2</v>
      </c>
      <c r="AA235" s="230">
        <v>1.0534706035256747E-2</v>
      </c>
    </row>
    <row r="236" spans="19:27" x14ac:dyDescent="0.2">
      <c r="S236" s="32"/>
      <c r="T236" s="187"/>
      <c r="W236" s="221" t="str">
        <f t="shared" si="12"/>
        <v>1D</v>
      </c>
      <c r="X236" s="222">
        <f>_xll.qlCalendarAdvance(Calendar,X235,W236,"f",FALSE)</f>
        <v>42131</v>
      </c>
      <c r="Y236" s="227">
        <f>_xll.qlCalendarAdvance(Calendar,X236,NDays&amp;"D")</f>
        <v>42131</v>
      </c>
      <c r="Z236" s="228">
        <v>1.0809788359767737E-2</v>
      </c>
      <c r="AA236" s="230">
        <v>1.054931928680225E-2</v>
      </c>
    </row>
    <row r="237" spans="19:27" x14ac:dyDescent="0.2">
      <c r="S237" s="32"/>
      <c r="T237" s="187"/>
      <c r="W237" s="221" t="str">
        <f t="shared" si="12"/>
        <v>1D</v>
      </c>
      <c r="X237" s="222">
        <f>_xll.qlCalendarAdvance(Calendar,X236,W237,"f",FALSE)</f>
        <v>42132</v>
      </c>
      <c r="Y237" s="227">
        <f>_xll.qlCalendarAdvance(Calendar,X237,NDays&amp;"D")</f>
        <v>42132</v>
      </c>
      <c r="Z237" s="228">
        <v>1.0817877926974084E-2</v>
      </c>
      <c r="AA237" s="230">
        <v>1.0579391113056948E-2</v>
      </c>
    </row>
    <row r="238" spans="19:27" x14ac:dyDescent="0.2">
      <c r="S238" s="32"/>
      <c r="T238" s="187"/>
      <c r="W238" s="221" t="str">
        <f t="shared" si="12"/>
        <v>1D</v>
      </c>
      <c r="X238" s="222">
        <f>_xll.qlCalendarAdvance(Calendar,X237,W238,"f",FALSE)</f>
        <v>42135</v>
      </c>
      <c r="Y238" s="227">
        <f>_xll.qlCalendarAdvance(Calendar,X238,NDays&amp;"D")</f>
        <v>42135</v>
      </c>
      <c r="Z238" s="228">
        <v>1.0871919502002858E-2</v>
      </c>
      <c r="AA238" s="230">
        <v>1.0609388388160834E-2</v>
      </c>
    </row>
    <row r="239" spans="19:27" x14ac:dyDescent="0.2">
      <c r="S239" s="32"/>
      <c r="T239" s="187"/>
      <c r="W239" s="221" t="str">
        <f t="shared" si="12"/>
        <v>1D</v>
      </c>
      <c r="X239" s="222">
        <f>_xll.qlCalendarAdvance(Calendar,X238,W239,"f",FALSE)</f>
        <v>42136</v>
      </c>
      <c r="Y239" s="227">
        <f>_xll.qlCalendarAdvance(Calendar,X239,NDays&amp;"D")</f>
        <v>42136</v>
      </c>
      <c r="Z239" s="228">
        <v>1.0890406057088737E-2</v>
      </c>
      <c r="AA239" s="230">
        <v>1.0624809687416192E-2</v>
      </c>
    </row>
    <row r="240" spans="19:27" x14ac:dyDescent="0.2">
      <c r="S240" s="32"/>
      <c r="T240" s="187"/>
      <c r="W240" s="221" t="str">
        <f t="shared" si="12"/>
        <v>1D</v>
      </c>
      <c r="X240" s="222">
        <f>_xll.qlCalendarAdvance(Calendar,X239,W240,"f",FALSE)</f>
        <v>42137</v>
      </c>
      <c r="Y240" s="227">
        <f>_xll.qlCalendarAdvance(Calendar,X240,NDays&amp;"D")</f>
        <v>42137</v>
      </c>
      <c r="Z240" s="228">
        <v>1.0929839337661689E-2</v>
      </c>
      <c r="AA240" s="230">
        <v>1.0640392596197312E-2</v>
      </c>
    </row>
    <row r="241" spans="19:27" x14ac:dyDescent="0.2">
      <c r="S241" s="32"/>
      <c r="T241" s="187"/>
      <c r="W241" s="221" t="str">
        <f t="shared" si="12"/>
        <v>1D</v>
      </c>
      <c r="X241" s="222">
        <f>_xll.qlCalendarAdvance(Calendar,X240,W241,"f",FALSE)</f>
        <v>42138</v>
      </c>
      <c r="Y241" s="227">
        <f>_xll.qlCalendarAdvance(Calendar,X241,NDays&amp;"D")</f>
        <v>42138</v>
      </c>
      <c r="Z241" s="228">
        <v>1.093856566988672E-2</v>
      </c>
      <c r="AA241" s="230">
        <v>1.0656137114666286E-2</v>
      </c>
    </row>
    <row r="242" spans="19:27" x14ac:dyDescent="0.2">
      <c r="S242" s="32"/>
      <c r="T242" s="187"/>
      <c r="W242" s="221" t="str">
        <f t="shared" si="12"/>
        <v>1D</v>
      </c>
      <c r="X242" s="222">
        <f>_xll.qlCalendarAdvance(Calendar,X241,W242,"f",FALSE)</f>
        <v>42139</v>
      </c>
      <c r="Y242" s="227">
        <f>_xll.qlCalendarAdvance(Calendar,X242,NDays&amp;"D")</f>
        <v>42139</v>
      </c>
      <c r="Z242" s="228">
        <v>1.0947356661500552E-2</v>
      </c>
      <c r="AA242" s="230">
        <v>1.0688477830768466E-2</v>
      </c>
    </row>
    <row r="243" spans="19:27" x14ac:dyDescent="0.2">
      <c r="S243" s="32"/>
      <c r="T243" s="187"/>
      <c r="W243" s="221" t="str">
        <f t="shared" si="12"/>
        <v>1D</v>
      </c>
      <c r="X243" s="222">
        <f>_xll.qlCalendarAdvance(Calendar,X242,W243,"f",FALSE)</f>
        <v>42142</v>
      </c>
      <c r="Y243" s="227">
        <f>_xll.qlCalendarAdvance(Calendar,X243,NDays&amp;"D")</f>
        <v>42142</v>
      </c>
      <c r="Z243" s="228">
        <v>1.1006652950649929E-2</v>
      </c>
      <c r="AA243" s="230">
        <v>1.0720731284772356E-2</v>
      </c>
    </row>
    <row r="244" spans="19:27" x14ac:dyDescent="0.2">
      <c r="S244" s="32"/>
      <c r="T244" s="187"/>
      <c r="W244" s="221" t="str">
        <f t="shared" si="12"/>
        <v>1D</v>
      </c>
      <c r="X244" s="222">
        <f>_xll.qlCalendarAdvance(Calendar,X243,W244,"f",FALSE)</f>
        <v>42143</v>
      </c>
      <c r="Y244" s="227">
        <f>_xll.qlCalendarAdvance(Calendar,X244,NDays&amp;"D")</f>
        <v>42143</v>
      </c>
      <c r="Z244" s="228">
        <v>1.1026963927676497E-2</v>
      </c>
      <c r="AA244" s="230">
        <v>1.0737283851518509E-2</v>
      </c>
    </row>
    <row r="245" spans="19:27" x14ac:dyDescent="0.2">
      <c r="S245" s="32"/>
      <c r="T245" s="187"/>
      <c r="W245" s="221" t="str">
        <f t="shared" si="12"/>
        <v>1D</v>
      </c>
      <c r="X245" s="222">
        <f>_xll.qlCalendarAdvance(Calendar,X244,W245,"f",FALSE)</f>
        <v>42144</v>
      </c>
      <c r="Y245" s="227">
        <f>_xll.qlCalendarAdvance(Calendar,X245,NDays&amp;"D")</f>
        <v>42144</v>
      </c>
      <c r="Z245" s="228">
        <v>1.107040181299839E-2</v>
      </c>
      <c r="AA245" s="230">
        <v>1.0753998028033562E-2</v>
      </c>
    </row>
    <row r="246" spans="19:27" x14ac:dyDescent="0.2">
      <c r="S246" s="32"/>
      <c r="T246" s="187"/>
      <c r="W246" s="221" t="str">
        <f t="shared" si="12"/>
        <v>1D</v>
      </c>
      <c r="X246" s="222">
        <f>_xll.qlCalendarAdvance(Calendar,X245,W246,"f",FALSE)</f>
        <v>42145</v>
      </c>
      <c r="Y246" s="227">
        <f>_xll.qlCalendarAdvance(Calendar,X246,NDays&amp;"D")</f>
        <v>42145</v>
      </c>
      <c r="Z246" s="228">
        <v>1.1079962982236402E-2</v>
      </c>
      <c r="AA246" s="230">
        <v>1.0770873814317516E-2</v>
      </c>
    </row>
    <row r="247" spans="19:27" x14ac:dyDescent="0.2">
      <c r="S247" s="32"/>
      <c r="T247" s="187"/>
      <c r="W247" s="221" t="str">
        <f t="shared" si="12"/>
        <v>1D</v>
      </c>
      <c r="X247" s="222">
        <f>_xll.qlCalendarAdvance(Calendar,X246,W247,"f",FALSE)</f>
        <v>42146</v>
      </c>
      <c r="Y247" s="227">
        <f>_xll.qlCalendarAdvance(Calendar,X247,NDays&amp;"D")</f>
        <v>42146</v>
      </c>
      <c r="Z247" s="228">
        <v>1.1089606354665479E-2</v>
      </c>
      <c r="AA247" s="230">
        <v>1.0814351912548925E-2</v>
      </c>
    </row>
    <row r="248" spans="19:27" x14ac:dyDescent="0.2">
      <c r="S248" s="32"/>
      <c r="T248" s="187"/>
      <c r="W248" s="221" t="str">
        <f t="shared" si="12"/>
        <v>1D</v>
      </c>
      <c r="X248" s="222">
        <f>_xll.qlCalendarAdvance(Calendar,X247,W248,"f",FALSE)</f>
        <v>42150</v>
      </c>
      <c r="Y248" s="227">
        <f>_xll.qlCalendarAdvance(Calendar,X248,NDays&amp;"D")</f>
        <v>42150</v>
      </c>
      <c r="Z248" s="228">
        <v>1.1177312697684943E-2</v>
      </c>
      <c r="AA248" s="230">
        <v>1.085767689283812E-2</v>
      </c>
    </row>
    <row r="249" spans="19:27" x14ac:dyDescent="0.2">
      <c r="S249" s="32"/>
      <c r="T249" s="187"/>
      <c r="W249" s="221" t="str">
        <f t="shared" si="12"/>
        <v>1D</v>
      </c>
      <c r="X249" s="222">
        <f>_xll.qlCalendarAdvance(Calendar,X248,W249,"f",FALSE)</f>
        <v>42151</v>
      </c>
      <c r="Y249" s="227">
        <f>_xll.qlCalendarAdvance(Calendar,X249,NDays&amp;"D")</f>
        <v>42151</v>
      </c>
      <c r="Z249" s="228">
        <v>1.122511938646357E-2</v>
      </c>
      <c r="AA249" s="230">
        <v>1.0875549192987943E-2</v>
      </c>
    </row>
    <row r="250" spans="19:27" x14ac:dyDescent="0.2">
      <c r="S250" s="32"/>
      <c r="T250" s="187"/>
      <c r="W250" s="221" t="str">
        <f t="shared" si="12"/>
        <v>1D</v>
      </c>
      <c r="X250" s="222">
        <f>_xll.qlCalendarAdvance(Calendar,X249,W250,"f",FALSE)</f>
        <v>42152</v>
      </c>
      <c r="Y250" s="227">
        <f>_xll.qlCalendarAdvance(Calendar,X250,NDays&amp;"D")</f>
        <v>42152</v>
      </c>
      <c r="Z250" s="228">
        <v>1.1235708675552125E-2</v>
      </c>
      <c r="AA250" s="230">
        <v>1.0893717377142842E-2</v>
      </c>
    </row>
    <row r="251" spans="19:27" x14ac:dyDescent="0.2">
      <c r="S251" s="32"/>
      <c r="T251" s="187"/>
      <c r="W251" s="221" t="str">
        <f t="shared" si="12"/>
        <v>1D</v>
      </c>
      <c r="X251" s="222">
        <f>_xll.qlCalendarAdvance(Calendar,X250,W251,"f",FALSE)</f>
        <v>42153</v>
      </c>
      <c r="Y251" s="227">
        <f>_xll.qlCalendarAdvance(Calendar,X251,NDays&amp;"D")</f>
        <v>42153</v>
      </c>
      <c r="Z251" s="228">
        <v>1.1259222667196409E-2</v>
      </c>
      <c r="AA251" s="230">
        <v>1.093145691335488E-2</v>
      </c>
    </row>
    <row r="252" spans="19:27" x14ac:dyDescent="0.2">
      <c r="S252" s="32"/>
      <c r="T252" s="187"/>
      <c r="W252" s="221" t="str">
        <f t="shared" si="12"/>
        <v>1D</v>
      </c>
      <c r="X252" s="222">
        <f>_xll.qlCalendarAdvance(Calendar,X251,W252,"f",FALSE)</f>
        <v>42156</v>
      </c>
      <c r="Y252" s="227">
        <f>_xll.qlCalendarAdvance(Calendar,X252,NDays&amp;"D")</f>
        <v>42156</v>
      </c>
      <c r="Z252" s="228">
        <v>1.1305190656681008E-2</v>
      </c>
      <c r="AA252" s="230">
        <v>1.0969617502771811E-2</v>
      </c>
    </row>
    <row r="253" spans="19:27" x14ac:dyDescent="0.2">
      <c r="S253" s="32"/>
      <c r="T253" s="187"/>
      <c r="W253" s="221" t="str">
        <f t="shared" si="12"/>
        <v>1D</v>
      </c>
      <c r="X253" s="222">
        <f>_xll.qlCalendarAdvance(Calendar,X252,W253,"f",FALSE)</f>
        <v>42157</v>
      </c>
      <c r="Y253" s="227">
        <f>_xll.qlCalendarAdvance(Calendar,X253,NDays&amp;"D")</f>
        <v>42157</v>
      </c>
      <c r="Z253" s="228">
        <v>1.1329637097769574E-2</v>
      </c>
      <c r="AA253" s="230">
        <v>1.0989399381755582E-2</v>
      </c>
    </row>
    <row r="254" spans="19:27" x14ac:dyDescent="0.2">
      <c r="S254" s="32"/>
      <c r="T254" s="187"/>
      <c r="W254" s="221" t="str">
        <f t="shared" si="12"/>
        <v>1D</v>
      </c>
      <c r="X254" s="222">
        <f>_xll.qlCalendarAdvance(Calendar,X253,W254,"f",FALSE)</f>
        <v>42158</v>
      </c>
      <c r="Y254" s="227">
        <f>_xll.qlCalendarAdvance(Calendar,X254,NDays&amp;"D")</f>
        <v>42158</v>
      </c>
      <c r="Z254" s="228">
        <v>1.1354371416130937E-2</v>
      </c>
      <c r="AA254" s="230">
        <v>1.1009503999753756E-2</v>
      </c>
    </row>
    <row r="255" spans="19:27" x14ac:dyDescent="0.2">
      <c r="S255" s="32"/>
      <c r="T255" s="187"/>
      <c r="W255" s="221" t="str">
        <f t="shared" si="12"/>
        <v>1D</v>
      </c>
      <c r="X255" s="222">
        <f>_xll.qlCalendarAdvance(Calendar,X254,W255,"f",FALSE)</f>
        <v>42159</v>
      </c>
      <c r="Y255" s="227">
        <f>_xll.qlCalendarAdvance(Calendar,X255,NDays&amp;"D")</f>
        <v>42159</v>
      </c>
      <c r="Z255" s="228">
        <v>1.1406475640619862E-2</v>
      </c>
      <c r="AA255" s="230">
        <v>1.1029931357090517E-2</v>
      </c>
    </row>
    <row r="256" spans="19:27" x14ac:dyDescent="0.2">
      <c r="S256" s="32"/>
      <c r="T256" s="187"/>
      <c r="W256" s="221" t="str">
        <f t="shared" si="12"/>
        <v>1D</v>
      </c>
      <c r="X256" s="222">
        <f>_xll.qlCalendarAdvance(Calendar,X255,W256,"f",FALSE)</f>
        <v>42160</v>
      </c>
      <c r="Y256" s="227">
        <f>_xll.qlCalendarAdvance(Calendar,X256,NDays&amp;"D")</f>
        <v>42160</v>
      </c>
      <c r="Z256" s="228">
        <v>1.1418277181606621E-2</v>
      </c>
      <c r="AA256" s="230">
        <v>1.1072197724455448E-2</v>
      </c>
    </row>
    <row r="257" spans="19:27" x14ac:dyDescent="0.2">
      <c r="S257" s="32"/>
      <c r="T257" s="187"/>
      <c r="W257" s="221" t="str">
        <f t="shared" si="12"/>
        <v>1D</v>
      </c>
      <c r="X257" s="222">
        <f>_xll.qlCalendarAdvance(Calendar,X256,W257,"f",FALSE)</f>
        <v>42163</v>
      </c>
      <c r="Y257" s="227">
        <f>_xll.qlCalendarAdvance(Calendar,X257,NDays&amp;"D")</f>
        <v>42163</v>
      </c>
      <c r="Z257" s="228">
        <v>1.1481950543060154E-2</v>
      </c>
      <c r="AA257" s="230">
        <v>1.1114868178850879E-2</v>
      </c>
    </row>
    <row r="258" spans="19:27" x14ac:dyDescent="0.2">
      <c r="S258" s="32"/>
      <c r="T258" s="187"/>
      <c r="W258" s="221" t="str">
        <f t="shared" si="12"/>
        <v>1D</v>
      </c>
      <c r="X258" s="222">
        <f>_xll.qlCalendarAdvance(Calendar,X257,W258,"f",FALSE)</f>
        <v>42164</v>
      </c>
      <c r="Y258" s="227">
        <f>_xll.qlCalendarAdvance(Calendar,X258,NDays&amp;"D")</f>
        <v>42164</v>
      </c>
      <c r="Z258" s="228">
        <v>1.1508165749540833E-2</v>
      </c>
      <c r="AA258" s="230">
        <v>1.1136909232880576E-2</v>
      </c>
    </row>
    <row r="259" spans="19:27" x14ac:dyDescent="0.2">
      <c r="S259" s="32"/>
      <c r="T259" s="187"/>
      <c r="W259" s="221" t="str">
        <f t="shared" si="12"/>
        <v>1D</v>
      </c>
      <c r="X259" s="222">
        <f>_xll.qlCalendarAdvance(Calendar,X258,W259,"f",FALSE)</f>
        <v>42165</v>
      </c>
      <c r="Y259" s="227">
        <f>_xll.qlCalendarAdvance(Calendar,X259,NDays&amp;"D")</f>
        <v>42165</v>
      </c>
      <c r="Z259" s="228">
        <v>1.153458670734738E-2</v>
      </c>
      <c r="AA259" s="230">
        <v>1.1159273026248862E-2</v>
      </c>
    </row>
    <row r="260" spans="19:27" x14ac:dyDescent="0.2">
      <c r="S260" s="32"/>
      <c r="T260" s="187"/>
      <c r="W260" s="221" t="str">
        <f t="shared" si="12"/>
        <v>1D</v>
      </c>
      <c r="X260" s="222">
        <f>_xll.qlCalendarAdvance(Calendar,X259,W260,"f",FALSE)</f>
        <v>42166</v>
      </c>
      <c r="Y260" s="227">
        <f>_xll.qlCalendarAdvance(Calendar,X260,NDays&amp;"D")</f>
        <v>42166</v>
      </c>
      <c r="Z260" s="228">
        <v>1.1589301457420147E-2</v>
      </c>
      <c r="AA260" s="230">
        <v>1.1181959559279919E-2</v>
      </c>
    </row>
    <row r="261" spans="19:27" x14ac:dyDescent="0.2">
      <c r="S261" s="32"/>
      <c r="T261" s="187"/>
      <c r="W261" s="221" t="str">
        <f t="shared" si="12"/>
        <v>1D</v>
      </c>
      <c r="X261" s="222">
        <f>_xll.qlCalendarAdvance(Calendar,X260,W261,"f",FALSE)</f>
        <v>42167</v>
      </c>
      <c r="Y261" s="227">
        <f>_xll.qlCalendarAdvance(Calendar,X261,NDays&amp;"D")</f>
        <v>42167</v>
      </c>
      <c r="Z261" s="228">
        <v>1.1602086082873574E-2</v>
      </c>
      <c r="AA261" s="230">
        <v>1.1228753844115074E-2</v>
      </c>
    </row>
    <row r="262" spans="19:27" x14ac:dyDescent="0.2">
      <c r="S262" s="32"/>
      <c r="T262" s="187"/>
      <c r="W262" s="221" t="str">
        <f t="shared" si="12"/>
        <v>1D</v>
      </c>
      <c r="X262" s="222">
        <f>_xll.qlCalendarAdvance(Calendar,X261,W262,"f",FALSE)</f>
        <v>42170</v>
      </c>
      <c r="Y262" s="227">
        <f>_xll.qlCalendarAdvance(Calendar,X262,NDays&amp;"D")</f>
        <v>42170</v>
      </c>
      <c r="Z262" s="228">
        <v>1.1669367121080614E-2</v>
      </c>
      <c r="AA262" s="230">
        <v>1.127593308835606E-2</v>
      </c>
    </row>
    <row r="263" spans="19:27" x14ac:dyDescent="0.2">
      <c r="S263" s="32"/>
      <c r="T263" s="187"/>
      <c r="W263" s="221" t="str">
        <f t="shared" si="12"/>
        <v>1D</v>
      </c>
      <c r="X263" s="222">
        <f>_xll.qlCalendarAdvance(Calendar,X262,W263,"f",FALSE)</f>
        <v>42171</v>
      </c>
      <c r="Y263" s="227">
        <f>_xll.qlCalendarAdvance(Calendar,X263,NDays&amp;"D")</f>
        <v>42171</v>
      </c>
      <c r="Z263" s="228">
        <v>1.1696776198398004E-2</v>
      </c>
      <c r="AA263" s="230">
        <v>1.1300233320106212E-2</v>
      </c>
    </row>
    <row r="264" spans="19:27" x14ac:dyDescent="0.2">
      <c r="S264" s="32"/>
      <c r="T264" s="187"/>
      <c r="W264" s="221" t="str">
        <f t="shared" si="12"/>
        <v>1D</v>
      </c>
      <c r="X264" s="222">
        <f>_xll.qlCalendarAdvance(Calendar,X263,W264,"f",FALSE)</f>
        <v>42172</v>
      </c>
      <c r="Y264" s="227">
        <f>_xll.qlCalendarAdvance(Calendar,X264,NDays&amp;"D")</f>
        <v>42172</v>
      </c>
      <c r="Z264" s="228">
        <v>1.1724308896652991E-2</v>
      </c>
      <c r="AA264" s="230">
        <v>1.1324856291843322E-2</v>
      </c>
    </row>
    <row r="265" spans="19:27" x14ac:dyDescent="0.2">
      <c r="S265" s="32"/>
      <c r="T265" s="187"/>
      <c r="W265" s="221" t="str">
        <f t="shared" si="12"/>
        <v>1D</v>
      </c>
      <c r="X265" s="222">
        <f>_xll.qlCalendarAdvance(Calendar,X264,W265,"f",FALSE)</f>
        <v>42173</v>
      </c>
      <c r="Y265" s="227">
        <f>_xll.qlCalendarAdvance(Calendar,X265,NDays&amp;"D")</f>
        <v>42173</v>
      </c>
      <c r="Z265" s="228">
        <v>1.1780413190559426E-2</v>
      </c>
      <c r="AA265" s="230">
        <v>1.1349802003648435E-2</v>
      </c>
    </row>
    <row r="266" spans="19:27" x14ac:dyDescent="0.2">
      <c r="S266" s="32"/>
      <c r="T266" s="187"/>
      <c r="W266" s="221" t="str">
        <f t="shared" si="12"/>
        <v>1D</v>
      </c>
      <c r="X266" s="222">
        <f>_xll.qlCalendarAdvance(Calendar,X265,W266,"f",FALSE)</f>
        <v>42174</v>
      </c>
      <c r="Y266" s="227">
        <f>_xll.qlCalendarAdvance(Calendar,X266,NDays&amp;"D")</f>
        <v>42174</v>
      </c>
      <c r="Z266" s="228">
        <v>1.1793937137428068E-2</v>
      </c>
      <c r="AA266" s="230">
        <v>1.1401125333388626E-2</v>
      </c>
    </row>
    <row r="267" spans="19:27" x14ac:dyDescent="0.2">
      <c r="S267" s="32"/>
      <c r="T267" s="187"/>
      <c r="W267" s="221" t="str">
        <f t="shared" si="12"/>
        <v>1D</v>
      </c>
      <c r="X267" s="222">
        <f>_xll.qlCalendarAdvance(Calendar,X266,W267,"f",FALSE)</f>
        <v>42177</v>
      </c>
      <c r="Y267" s="227">
        <f>_xll.qlCalendarAdvance(Calendar,X267,NDays&amp;"D")</f>
        <v>42177</v>
      </c>
      <c r="Z267" s="228">
        <v>1.1863416032563467E-2</v>
      </c>
      <c r="AA267" s="230">
        <v>1.1452812252035205E-2</v>
      </c>
    </row>
    <row r="268" spans="19:27" x14ac:dyDescent="0.2">
      <c r="S268" s="32"/>
      <c r="T268" s="187"/>
      <c r="W268" s="221" t="str">
        <f t="shared" si="12"/>
        <v>1D</v>
      </c>
      <c r="X268" s="222">
        <f>_xll.qlCalendarAdvance(Calendar,X267,W268,"f",FALSE)</f>
        <v>42178</v>
      </c>
      <c r="Y268" s="227">
        <f>_xll.qlCalendarAdvance(Calendar,X268,NDays&amp;"D")</f>
        <v>42178</v>
      </c>
      <c r="Z268" s="228">
        <v>1.1891444053311403E-2</v>
      </c>
      <c r="AA268" s="230">
        <v>1.1479371664828708E-2</v>
      </c>
    </row>
    <row r="269" spans="19:27" x14ac:dyDescent="0.2">
      <c r="S269" s="32"/>
      <c r="T269" s="187"/>
      <c r="W269" s="221" t="str">
        <f t="shared" si="12"/>
        <v>1D</v>
      </c>
      <c r="X269" s="222">
        <f>_xll.qlCalendarAdvance(Calendar,X268,W269,"f",FALSE)</f>
        <v>42179</v>
      </c>
      <c r="Y269" s="227">
        <f>_xll.qlCalendarAdvance(Calendar,X269,NDays&amp;"D")</f>
        <v>42179</v>
      </c>
      <c r="Z269" s="228">
        <v>1.1919513559635128E-2</v>
      </c>
      <c r="AA269" s="230">
        <v>1.15062538180144E-2</v>
      </c>
    </row>
    <row r="270" spans="19:27" x14ac:dyDescent="0.2">
      <c r="S270" s="32"/>
      <c r="T270" s="187"/>
      <c r="W270" s="221" t="str">
        <f t="shared" si="12"/>
        <v>1D</v>
      </c>
      <c r="X270" s="222">
        <f>_xll.qlCalendarAdvance(Calendar,X269,W270,"f",FALSE)</f>
        <v>42180</v>
      </c>
      <c r="Y270" s="227">
        <f>_xll.qlCalendarAdvance(Calendar,X270,NDays&amp;"D")</f>
        <v>42180</v>
      </c>
      <c r="Z270" s="228">
        <v>1.1976037676759733E-2</v>
      </c>
      <c r="AA270" s="230">
        <v>1.1533458711754374E-2</v>
      </c>
    </row>
    <row r="271" spans="19:27" x14ac:dyDescent="0.2">
      <c r="S271" s="32"/>
      <c r="T271" s="187"/>
      <c r="W271" s="221" t="str">
        <f t="shared" si="12"/>
        <v>1D</v>
      </c>
      <c r="X271" s="222">
        <f>_xll.qlCalendarAdvance(Calendar,X270,W271,"f",FALSE)</f>
        <v>42181</v>
      </c>
      <c r="Y271" s="227">
        <f>_xll.qlCalendarAdvance(Calendar,X271,NDays&amp;"D")</f>
        <v>42181</v>
      </c>
      <c r="Z271" s="228">
        <v>1.1989935553385506E-2</v>
      </c>
      <c r="AA271" s="230">
        <v>1.1589312259490486E-2</v>
      </c>
    </row>
    <row r="272" spans="19:27" x14ac:dyDescent="0.2">
      <c r="S272" s="32"/>
      <c r="T272" s="187"/>
      <c r="W272" s="221" t="str">
        <f t="shared" si="12"/>
        <v>1D</v>
      </c>
      <c r="X272" s="222">
        <f>_xll.qlCalendarAdvance(Calendar,X271,W272,"f",FALSE)</f>
        <v>42184</v>
      </c>
      <c r="Y272" s="227">
        <f>_xll.qlCalendarAdvance(Calendar,X272,NDays&amp;"D")</f>
        <v>42184</v>
      </c>
      <c r="Z272" s="228">
        <v>1.2060072679346353E-2</v>
      </c>
      <c r="AA272" s="230">
        <v>1.1645447076993332E-2</v>
      </c>
    </row>
    <row r="273" spans="19:27" x14ac:dyDescent="0.2">
      <c r="S273" s="32"/>
      <c r="T273" s="187"/>
      <c r="W273" s="221" t="str">
        <f t="shared" si="12"/>
        <v>1D</v>
      </c>
      <c r="X273" s="222">
        <f>_xll.qlCalendarAdvance(Calendar,X272,W273,"f",FALSE)</f>
        <v>42185</v>
      </c>
      <c r="Y273" s="227">
        <f>_xll.qlCalendarAdvance(Calendar,X273,NDays&amp;"D")</f>
        <v>42185</v>
      </c>
      <c r="Z273" s="228">
        <v>1.2102299665386269E-2</v>
      </c>
      <c r="AA273" s="230">
        <v>1.1673913978194062E-2</v>
      </c>
    </row>
    <row r="274" spans="19:27" x14ac:dyDescent="0.2">
      <c r="S274" s="32"/>
      <c r="T274" s="187"/>
      <c r="W274" s="221" t="str">
        <f t="shared" si="12"/>
        <v>1D</v>
      </c>
      <c r="X274" s="222">
        <f>_xll.qlCalendarAdvance(Calendar,X273,W274,"f",FALSE)</f>
        <v>42186</v>
      </c>
      <c r="Y274" s="227">
        <f>_xll.qlCalendarAdvance(Calendar,X274,NDays&amp;"D")</f>
        <v>42186</v>
      </c>
      <c r="Z274" s="228">
        <v>1.2158584022944273E-2</v>
      </c>
      <c r="AA274" s="230">
        <v>1.1702351924476329E-2</v>
      </c>
    </row>
    <row r="275" spans="19:27" x14ac:dyDescent="0.2">
      <c r="S275" s="32"/>
      <c r="T275" s="187"/>
      <c r="W275" s="221" t="str">
        <f t="shared" si="12"/>
        <v>1D</v>
      </c>
      <c r="X275" s="222">
        <f>_xll.qlCalendarAdvance(Calendar,X274,W275,"f",FALSE)</f>
        <v>42187</v>
      </c>
      <c r="Y275" s="227">
        <f>_xll.qlCalendarAdvance(Calendar,X275,NDays&amp;"D")</f>
        <v>42187</v>
      </c>
      <c r="Z275" s="228">
        <v>1.2172451012171098E-2</v>
      </c>
      <c r="AA275" s="230">
        <v>1.1730760915434901E-2</v>
      </c>
    </row>
    <row r="276" spans="19:27" x14ac:dyDescent="0.2">
      <c r="S276" s="32"/>
      <c r="T276" s="187"/>
      <c r="W276" s="221" t="str">
        <f t="shared" si="12"/>
        <v>1D</v>
      </c>
      <c r="X276" s="222">
        <f>_xll.qlCalendarAdvance(Calendar,X275,W276,"f",FALSE)</f>
        <v>42188</v>
      </c>
      <c r="Y276" s="227">
        <f>_xll.qlCalendarAdvance(Calendar,X276,NDays&amp;"D")</f>
        <v>42188</v>
      </c>
      <c r="Z276" s="228">
        <v>1.2186307423208734E-2</v>
      </c>
      <c r="AA276" s="230">
        <v>1.1787863054230446E-2</v>
      </c>
    </row>
    <row r="277" spans="19:27" x14ac:dyDescent="0.2">
      <c r="S277" s="32"/>
      <c r="T277" s="187"/>
      <c r="W277" s="221" t="str">
        <f t="shared" ref="W277:W340" si="13">W276</f>
        <v>1D</v>
      </c>
      <c r="X277" s="222">
        <f>_xll.qlCalendarAdvance(Calendar,X276,W277,"f",FALSE)</f>
        <v>42191</v>
      </c>
      <c r="Y277" s="227">
        <f>_xll.qlCalendarAdvance(Calendar,X277,NDays&amp;"D")</f>
        <v>42191</v>
      </c>
      <c r="Z277" s="228">
        <v>1.2270054900474271E-2</v>
      </c>
      <c r="AA277" s="230">
        <v>1.1844107328058406E-2</v>
      </c>
    </row>
    <row r="278" spans="19:27" x14ac:dyDescent="0.2">
      <c r="S278" s="32"/>
      <c r="T278" s="187"/>
      <c r="W278" s="221" t="str">
        <f t="shared" si="13"/>
        <v>1D</v>
      </c>
      <c r="X278" s="222">
        <f>_xll.qlCalendarAdvance(Calendar,X277,W278,"f",FALSE)</f>
        <v>42192</v>
      </c>
      <c r="Y278" s="227">
        <f>_xll.qlCalendarAdvance(Calendar,X278,NDays&amp;"D")</f>
        <v>42192</v>
      </c>
      <c r="Z278" s="228">
        <v>1.2297912885145042E-2</v>
      </c>
      <c r="AA278" s="230">
        <v>1.1872371543371063E-2</v>
      </c>
    </row>
    <row r="279" spans="19:27" x14ac:dyDescent="0.2">
      <c r="S279" s="32"/>
      <c r="T279" s="187"/>
      <c r="W279" s="221" t="str">
        <f t="shared" si="13"/>
        <v>1D</v>
      </c>
      <c r="X279" s="222">
        <f>_xll.qlCalendarAdvance(Calendar,X278,W279,"f",FALSE)</f>
        <v>42193</v>
      </c>
      <c r="Y279" s="227">
        <f>_xll.qlCalendarAdvance(Calendar,X279,NDays&amp;"D")</f>
        <v>42193</v>
      </c>
      <c r="Z279" s="228">
        <v>1.2353805457784238E-2</v>
      </c>
      <c r="AA279" s="230">
        <v>1.1900606803441072E-2</v>
      </c>
    </row>
    <row r="280" spans="19:27" x14ac:dyDescent="0.2">
      <c r="S280" s="32"/>
      <c r="T280" s="187"/>
      <c r="W280" s="221" t="str">
        <f t="shared" si="13"/>
        <v>1D</v>
      </c>
      <c r="X280" s="222">
        <f>_xll.qlCalendarAdvance(Calendar,X279,W280,"f",FALSE)</f>
        <v>42194</v>
      </c>
      <c r="Y280" s="227">
        <f>_xll.qlCalendarAdvance(Calendar,X280,NDays&amp;"D")</f>
        <v>42194</v>
      </c>
      <c r="Z280" s="228">
        <v>1.2367564678679895E-2</v>
      </c>
      <c r="AA280" s="230">
        <v>1.1928813108349479E-2</v>
      </c>
    </row>
    <row r="281" spans="19:27" x14ac:dyDescent="0.2">
      <c r="S281" s="32"/>
      <c r="T281" s="187"/>
      <c r="W281" s="221" t="str">
        <f t="shared" si="13"/>
        <v>1D</v>
      </c>
      <c r="X281" s="222">
        <f>_xll.qlCalendarAdvance(Calendar,X280,W281,"f",FALSE)</f>
        <v>42195</v>
      </c>
      <c r="Y281" s="227">
        <f>_xll.qlCalendarAdvance(Calendar,X281,NDays&amp;"D")</f>
        <v>42195</v>
      </c>
      <c r="Z281" s="228">
        <v>1.2381313313023071E-2</v>
      </c>
      <c r="AA281" s="230">
        <v>1.1985522747868609E-2</v>
      </c>
    </row>
    <row r="282" spans="19:27" x14ac:dyDescent="0.2">
      <c r="S282" s="32"/>
      <c r="T282" s="187"/>
      <c r="W282" s="221" t="str">
        <f t="shared" si="13"/>
        <v>1D</v>
      </c>
      <c r="X282" s="222">
        <f>_xll.qlCalendarAdvance(Calendar,X281,W282,"f",FALSE)</f>
        <v>42198</v>
      </c>
      <c r="Y282" s="227">
        <f>_xll.qlCalendarAdvance(Calendar,X282,NDays&amp;"D")</f>
        <v>42198</v>
      </c>
      <c r="Z282" s="228">
        <v>1.2464453447405526E-2</v>
      </c>
      <c r="AA282" s="230">
        <v>1.204134877612395E-2</v>
      </c>
    </row>
    <row r="283" spans="19:27" x14ac:dyDescent="0.2">
      <c r="S283" s="32"/>
      <c r="T283" s="187"/>
      <c r="W283" s="221" t="str">
        <f t="shared" si="13"/>
        <v>1D</v>
      </c>
      <c r="X283" s="222">
        <f>_xll.qlCalendarAdvance(Calendar,X282,W283,"f",FALSE)</f>
        <v>42199</v>
      </c>
      <c r="Y283" s="227">
        <f>_xll.qlCalendarAdvance(Calendar,X283,NDays&amp;"D")</f>
        <v>42199</v>
      </c>
      <c r="Z283" s="228">
        <v>1.2492108981577996E-2</v>
      </c>
      <c r="AA283" s="230">
        <v>1.2069410305062256E-2</v>
      </c>
    </row>
    <row r="284" spans="19:27" x14ac:dyDescent="0.2">
      <c r="S284" s="32"/>
      <c r="T284" s="187"/>
      <c r="W284" s="221" t="str">
        <f t="shared" si="13"/>
        <v>1D</v>
      </c>
      <c r="X284" s="222">
        <f>_xll.qlCalendarAdvance(Calendar,X283,W284,"f",FALSE)</f>
        <v>42200</v>
      </c>
      <c r="Y284" s="227">
        <f>_xll.qlCalendarAdvance(Calendar,X284,NDays&amp;"D")</f>
        <v>42200</v>
      </c>
      <c r="Z284" s="228">
        <v>1.2547609860431876E-2</v>
      </c>
      <c r="AA284" s="230">
        <v>1.2097442878757914E-2</v>
      </c>
    </row>
    <row r="285" spans="19:27" x14ac:dyDescent="0.2">
      <c r="S285" s="32"/>
      <c r="T285" s="187"/>
      <c r="W285" s="221" t="str">
        <f t="shared" si="13"/>
        <v>1D</v>
      </c>
      <c r="X285" s="222">
        <f>_xll.qlCalendarAdvance(Calendar,X284,W285,"f",FALSE)</f>
        <v>42201</v>
      </c>
      <c r="Y285" s="227">
        <f>_xll.qlCalendarAdvance(Calendar,X285,NDays&amp;"D")</f>
        <v>42201</v>
      </c>
      <c r="Z285" s="228">
        <v>1.2561261252197302E-2</v>
      </c>
      <c r="AA285" s="230">
        <v>1.212544649729197E-2</v>
      </c>
    </row>
    <row r="286" spans="19:27" x14ac:dyDescent="0.2">
      <c r="S286" s="32"/>
      <c r="T286" s="187"/>
      <c r="W286" s="221" t="str">
        <f t="shared" si="13"/>
        <v>1D</v>
      </c>
      <c r="X286" s="222">
        <f>_xll.qlCalendarAdvance(Calendar,X285,W286,"f",FALSE)</f>
        <v>42202</v>
      </c>
      <c r="Y286" s="227">
        <f>_xll.qlCalendarAdvance(Calendar,X286,NDays&amp;"D")</f>
        <v>42202</v>
      </c>
      <c r="Z286" s="228">
        <v>1.2574902049385904E-2</v>
      </c>
      <c r="AA286" s="230">
        <v>1.2181763756105395E-2</v>
      </c>
    </row>
    <row r="287" spans="19:27" x14ac:dyDescent="0.2">
      <c r="S287" s="32"/>
      <c r="T287" s="187"/>
      <c r="W287" s="221" t="str">
        <f t="shared" si="13"/>
        <v>1D</v>
      </c>
      <c r="X287" s="222">
        <f>_xll.qlCalendarAdvance(Calendar,X286,W287,"f",FALSE)</f>
        <v>42205</v>
      </c>
      <c r="Y287" s="227">
        <f>_xll.qlCalendarAdvance(Calendar,X287,NDays&amp;"D")</f>
        <v>42205</v>
      </c>
      <c r="Z287" s="228">
        <v>1.2657434810848477E-2</v>
      </c>
      <c r="AA287" s="230">
        <v>1.2237171418758575E-2</v>
      </c>
    </row>
    <row r="288" spans="19:27" x14ac:dyDescent="0.2">
      <c r="S288" s="32"/>
      <c r="T288" s="187"/>
      <c r="W288" s="221" t="str">
        <f t="shared" si="13"/>
        <v>1D</v>
      </c>
      <c r="X288" s="222">
        <f>_xll.qlCalendarAdvance(Calendar,X287,W288,"f",FALSE)</f>
        <v>42206</v>
      </c>
      <c r="Y288" s="227">
        <f>_xll.qlCalendarAdvance(Calendar,X288,NDays&amp;"D")</f>
        <v>42206</v>
      </c>
      <c r="Z288" s="228">
        <v>1.2684887884538268E-2</v>
      </c>
      <c r="AA288" s="230">
        <v>1.226503026107939E-2</v>
      </c>
    </row>
    <row r="289" spans="19:27" x14ac:dyDescent="0.2">
      <c r="S289" s="32"/>
      <c r="T289" s="187"/>
      <c r="W289" s="221" t="str">
        <f t="shared" si="13"/>
        <v>1D</v>
      </c>
      <c r="X289" s="222">
        <f>_xll.qlCalendarAdvance(Calendar,X288,W289,"f",FALSE)</f>
        <v>42207</v>
      </c>
      <c r="Y289" s="227">
        <f>_xll.qlCalendarAdvance(Calendar,X289,NDays&amp;"D")</f>
        <v>42207</v>
      </c>
      <c r="Z289" s="228">
        <v>1.2739997156363906E-2</v>
      </c>
      <c r="AA289" s="230">
        <v>1.2292860148076512E-2</v>
      </c>
    </row>
    <row r="290" spans="19:27" x14ac:dyDescent="0.2">
      <c r="S290" s="32"/>
      <c r="T290" s="187"/>
      <c r="W290" s="221" t="str">
        <f t="shared" si="13"/>
        <v>1D</v>
      </c>
      <c r="X290" s="222">
        <f>_xll.qlCalendarAdvance(Calendar,X289,W290,"f",FALSE)</f>
        <v>42208</v>
      </c>
      <c r="Y290" s="227">
        <f>_xll.qlCalendarAdvance(Calendar,X290,NDays&amp;"D")</f>
        <v>42208</v>
      </c>
      <c r="Z290" s="228">
        <v>1.2753540660498421E-2</v>
      </c>
      <c r="AA290" s="230">
        <v>1.2320661079749939E-2</v>
      </c>
    </row>
    <row r="291" spans="19:27" x14ac:dyDescent="0.2">
      <c r="S291" s="32"/>
      <c r="T291" s="187"/>
      <c r="W291" s="221" t="str">
        <f t="shared" si="13"/>
        <v>1D</v>
      </c>
      <c r="X291" s="222">
        <f>_xll.qlCalendarAdvance(Calendar,X290,W291,"f",FALSE)</f>
        <v>42209</v>
      </c>
      <c r="Y291" s="227">
        <f>_xll.qlCalendarAdvance(Calendar,X291,NDays&amp;"D")</f>
        <v>42209</v>
      </c>
      <c r="Z291" s="228">
        <v>1.2767073562362131E-2</v>
      </c>
      <c r="AA291" s="230">
        <v>1.2376586072132916E-2</v>
      </c>
    </row>
    <row r="292" spans="19:27" x14ac:dyDescent="0.2">
      <c r="S292" s="32"/>
      <c r="T292" s="187"/>
      <c r="W292" s="221" t="str">
        <f t="shared" si="13"/>
        <v>1D</v>
      </c>
      <c r="X292" s="222">
        <f>_xll.qlCalendarAdvance(Calendar,X291,W292,"f",FALSE)</f>
        <v>42212</v>
      </c>
      <c r="Y292" s="227">
        <f>_xll.qlCalendarAdvance(Calendar,X292,NDays&amp;"D")</f>
        <v>42212</v>
      </c>
      <c r="Z292" s="228">
        <v>1.2848998921095482E-2</v>
      </c>
      <c r="AA292" s="230">
        <v>1.2431575253855076E-2</v>
      </c>
    </row>
    <row r="293" spans="19:27" x14ac:dyDescent="0.2">
      <c r="S293" s="32"/>
      <c r="T293" s="187"/>
      <c r="W293" s="221" t="str">
        <f t="shared" si="13"/>
        <v>1D</v>
      </c>
      <c r="X293" s="222">
        <f>_xll.qlCalendarAdvance(Calendar,X292,W293,"f",FALSE)</f>
        <v>42213</v>
      </c>
      <c r="Y293" s="227">
        <f>_xll.qlCalendarAdvance(Calendar,X293,NDays&amp;"D")</f>
        <v>42213</v>
      </c>
      <c r="Z293" s="228">
        <v>1.287624952437573E-2</v>
      </c>
      <c r="AA293" s="230">
        <v>1.2459231409072125E-2</v>
      </c>
    </row>
    <row r="294" spans="19:27" x14ac:dyDescent="0.2">
      <c r="S294" s="32"/>
      <c r="T294" s="187"/>
      <c r="W294" s="221" t="str">
        <f t="shared" si="13"/>
        <v>1D</v>
      </c>
      <c r="X294" s="222">
        <f>_xll.qlCalendarAdvance(Calendar,X293,W294,"f",FALSE)</f>
        <v>42214</v>
      </c>
      <c r="Y294" s="227">
        <f>_xll.qlCalendarAdvance(Calendar,X294,NDays&amp;"D")</f>
        <v>42214</v>
      </c>
      <c r="Z294" s="228">
        <v>1.2889710139501725E-2</v>
      </c>
      <c r="AA294" s="230">
        <v>1.2486858609046525E-2</v>
      </c>
    </row>
    <row r="295" spans="19:27" x14ac:dyDescent="0.2">
      <c r="S295" s="32"/>
      <c r="T295" s="187"/>
      <c r="W295" s="221" t="str">
        <f t="shared" si="13"/>
        <v>1D</v>
      </c>
      <c r="X295" s="222">
        <f>_xll.qlCalendarAdvance(Calendar,X294,W295,"f",FALSE)</f>
        <v>42215</v>
      </c>
      <c r="Y295" s="227">
        <f>_xll.qlCalendarAdvance(Calendar,X295,NDays&amp;"D")</f>
        <v>42215</v>
      </c>
      <c r="Z295" s="228">
        <v>1.2903160147104437E-2</v>
      </c>
      <c r="AA295" s="230">
        <v>1.2514456853697231E-2</v>
      </c>
    </row>
    <row r="296" spans="19:27" x14ac:dyDescent="0.2">
      <c r="S296" s="32"/>
      <c r="T296" s="187"/>
      <c r="W296" s="221" t="str">
        <f t="shared" si="13"/>
        <v>1D</v>
      </c>
      <c r="X296" s="222">
        <f>_xll.qlCalendarAdvance(Calendar,X295,W296,"f",FALSE)</f>
        <v>42216</v>
      </c>
      <c r="Y296" s="227">
        <f>_xll.qlCalendarAdvance(Calendar,X296,NDays&amp;"D")</f>
        <v>42216</v>
      </c>
      <c r="Z296" s="228">
        <v>1.2916599546683449E-2</v>
      </c>
      <c r="AA296" s="230">
        <v>1.2569989689089253E-2</v>
      </c>
    </row>
    <row r="297" spans="19:27" x14ac:dyDescent="0.2">
      <c r="S297" s="32"/>
      <c r="T297" s="187"/>
      <c r="W297" s="221" t="str">
        <f t="shared" si="13"/>
        <v>1D</v>
      </c>
      <c r="X297" s="222">
        <f>_xll.qlCalendarAdvance(Calendar,X296,W297,"f",FALSE)</f>
        <v>42219</v>
      </c>
      <c r="Y297" s="227">
        <f>_xll.qlCalendarAdvance(Calendar,X297,NDays&amp;"D")</f>
        <v>42219</v>
      </c>
      <c r="Z297" s="228">
        <v>1.3039145708933013E-2</v>
      </c>
      <c r="AA297" s="230">
        <v>1.262456027890102E-2</v>
      </c>
    </row>
    <row r="298" spans="19:27" x14ac:dyDescent="0.2">
      <c r="S298" s="32"/>
      <c r="T298" s="187"/>
      <c r="W298" s="221" t="str">
        <f t="shared" si="13"/>
        <v>1D</v>
      </c>
      <c r="X298" s="222">
        <f>_xll.qlCalendarAdvance(Calendar,X297,W298,"f",FALSE)</f>
        <v>42220</v>
      </c>
      <c r="Y298" s="227">
        <f>_xll.qlCalendarAdvance(Calendar,X298,NDays&amp;"D")</f>
        <v>42220</v>
      </c>
      <c r="Z298" s="228">
        <v>1.3066193831968363E-2</v>
      </c>
      <c r="AA298" s="230">
        <v>1.2652013746852209E-2</v>
      </c>
    </row>
    <row r="299" spans="19:27" x14ac:dyDescent="0.2">
      <c r="S299" s="32"/>
      <c r="T299" s="187"/>
      <c r="W299" s="221" t="str">
        <f t="shared" si="13"/>
        <v>1D</v>
      </c>
      <c r="X299" s="222">
        <f>_xll.qlCalendarAdvance(Calendar,X298,W299,"f",FALSE)</f>
        <v>42221</v>
      </c>
      <c r="Y299" s="227">
        <f>_xll.qlCalendarAdvance(Calendar,X299,NDays&amp;"D")</f>
        <v>42221</v>
      </c>
      <c r="Z299" s="228">
        <v>1.3120520132699369E-2</v>
      </c>
      <c r="AA299" s="230">
        <v>1.2679438259479703E-2</v>
      </c>
    </row>
    <row r="300" spans="19:27" x14ac:dyDescent="0.2">
      <c r="S300" s="32"/>
      <c r="T300" s="187"/>
      <c r="W300" s="221" t="str">
        <f t="shared" si="13"/>
        <v>1D</v>
      </c>
      <c r="X300" s="222">
        <f>_xll.qlCalendarAdvance(Calendar,X299,W300,"f",FALSE)</f>
        <v>42222</v>
      </c>
      <c r="Y300" s="227">
        <f>_xll.qlCalendarAdvance(Calendar,X300,NDays&amp;"D")</f>
        <v>42222</v>
      </c>
      <c r="Z300" s="228">
        <v>1.3133847695181132E-2</v>
      </c>
      <c r="AA300" s="230">
        <v>1.2706833816702456E-2</v>
      </c>
    </row>
    <row r="301" spans="19:27" x14ac:dyDescent="0.2">
      <c r="S301" s="32"/>
      <c r="T301" s="187"/>
      <c r="W301" s="221" t="str">
        <f t="shared" si="13"/>
        <v>1D</v>
      </c>
      <c r="X301" s="222">
        <f>_xll.qlCalendarAdvance(Calendar,X300,W301,"f",FALSE)</f>
        <v>42223</v>
      </c>
      <c r="Y301" s="227">
        <f>_xll.qlCalendarAdvance(Calendar,X301,NDays&amp;"D")</f>
        <v>42223</v>
      </c>
      <c r="Z301" s="228">
        <v>1.3147164640979115E-2</v>
      </c>
      <c r="AA301" s="230">
        <v>1.2761974600247566E-2</v>
      </c>
    </row>
    <row r="302" spans="19:27" x14ac:dyDescent="0.2">
      <c r="S302" s="32"/>
      <c r="T302" s="187"/>
      <c r="W302" s="221" t="str">
        <f t="shared" si="13"/>
        <v>1D</v>
      </c>
      <c r="X302" s="222">
        <f>_xll.qlCalendarAdvance(Calendar,X301,W302,"f",FALSE)</f>
        <v>42226</v>
      </c>
      <c r="Y302" s="227">
        <f>_xll.qlCalendarAdvance(Calendar,X302,NDays&amp;"D")</f>
        <v>42226</v>
      </c>
      <c r="Z302" s="228">
        <v>1.3227875105675659E-2</v>
      </c>
      <c r="AA302" s="230">
        <v>1.2816126491789204E-2</v>
      </c>
    </row>
    <row r="303" spans="19:27" x14ac:dyDescent="0.2">
      <c r="S303" s="32"/>
      <c r="T303" s="187"/>
      <c r="W303" s="221" t="str">
        <f t="shared" si="13"/>
        <v>1D</v>
      </c>
      <c r="X303" s="222">
        <f>_xll.qlCalendarAdvance(Calendar,X302,W303,"f",FALSE)</f>
        <v>42227</v>
      </c>
      <c r="Y303" s="227">
        <f>_xll.qlCalendarAdvance(Calendar,X303,NDays&amp;"D")</f>
        <v>42227</v>
      </c>
      <c r="Z303" s="228">
        <v>1.3254720738690879E-2</v>
      </c>
      <c r="AA303" s="230">
        <v>1.2843377272150347E-2</v>
      </c>
    </row>
    <row r="304" spans="19:27" x14ac:dyDescent="0.2">
      <c r="S304" s="32"/>
      <c r="T304" s="187"/>
      <c r="W304" s="221" t="str">
        <f t="shared" si="13"/>
        <v>1D</v>
      </c>
      <c r="X304" s="222">
        <f>_xll.qlCalendarAdvance(Calendar,X303,W304,"f",FALSE)</f>
        <v>42228</v>
      </c>
      <c r="Y304" s="227">
        <f>_xll.qlCalendarAdvance(Calendar,X304,NDays&amp;"D")</f>
        <v>42228</v>
      </c>
      <c r="Z304" s="228">
        <v>1.3308655666772515E-2</v>
      </c>
      <c r="AA304" s="230">
        <v>1.2870599097025703E-2</v>
      </c>
    </row>
    <row r="305" spans="19:27" x14ac:dyDescent="0.2">
      <c r="S305" s="32"/>
      <c r="T305" s="187"/>
      <c r="W305" s="221" t="str">
        <f t="shared" si="13"/>
        <v>1D</v>
      </c>
      <c r="X305" s="222">
        <f>_xll.qlCalendarAdvance(Calendar,X304,W305,"f",FALSE)</f>
        <v>42229</v>
      </c>
      <c r="Y305" s="227">
        <f>_xll.qlCalendarAdvance(Calendar,X305,NDays&amp;"D")</f>
        <v>42229</v>
      </c>
      <c r="Z305" s="228">
        <v>1.3321875179741864E-2</v>
      </c>
      <c r="AA305" s="230">
        <v>1.2897791966577365E-2</v>
      </c>
    </row>
    <row r="306" spans="19:27" x14ac:dyDescent="0.2">
      <c r="S306" s="32"/>
      <c r="T306" s="187"/>
      <c r="W306" s="221" t="str">
        <f t="shared" si="13"/>
        <v>1D</v>
      </c>
      <c r="X306" s="222">
        <f>_xll.qlCalendarAdvance(Calendar,X305,W306,"f",FALSE)</f>
        <v>42230</v>
      </c>
      <c r="Y306" s="227">
        <f>_xll.qlCalendarAdvance(Calendar,X306,NDays&amp;"D")</f>
        <v>42230</v>
      </c>
      <c r="Z306" s="228">
        <v>1.3335084069311781E-2</v>
      </c>
      <c r="AA306" s="230">
        <v>1.2952540798853997E-2</v>
      </c>
    </row>
    <row r="307" spans="19:27" x14ac:dyDescent="0.2">
      <c r="S307" s="32"/>
      <c r="T307" s="187"/>
      <c r="W307" s="221" t="str">
        <f t="shared" si="13"/>
        <v>1D</v>
      </c>
      <c r="X307" s="222">
        <f>_xll.qlCalendarAdvance(Calendar,X306,W307,"f",FALSE)</f>
        <v>42233</v>
      </c>
      <c r="Y307" s="227">
        <f>_xll.qlCalendarAdvance(Calendar,X307,NDays&amp;"D")</f>
        <v>42233</v>
      </c>
      <c r="Z307" s="228">
        <v>1.3415187043142578E-2</v>
      </c>
      <c r="AA307" s="230">
        <v>1.3006273890331377E-2</v>
      </c>
    </row>
    <row r="308" spans="19:27" x14ac:dyDescent="0.2">
      <c r="S308" s="32"/>
      <c r="T308" s="187"/>
      <c r="W308" s="221" t="str">
        <f t="shared" si="13"/>
        <v>1D</v>
      </c>
      <c r="X308" s="222">
        <f>_xll.qlCalendarAdvance(Calendar,X307,W308,"f",FALSE)</f>
        <v>42234</v>
      </c>
      <c r="Y308" s="227">
        <f>_xll.qlCalendarAdvance(Calendar,X308,NDays&amp;"D")</f>
        <v>42234</v>
      </c>
      <c r="Z308" s="228">
        <v>1.3441830176440876E-2</v>
      </c>
      <c r="AA308" s="230">
        <v>1.3033321982697244E-2</v>
      </c>
    </row>
    <row r="309" spans="19:27" x14ac:dyDescent="0.2">
      <c r="S309" s="32"/>
      <c r="T309" s="187"/>
      <c r="W309" s="221" t="str">
        <f t="shared" si="13"/>
        <v>1D</v>
      </c>
      <c r="X309" s="222">
        <f>_xll.qlCalendarAdvance(Calendar,X308,W309,"f",FALSE)</f>
        <v>42235</v>
      </c>
      <c r="Y309" s="227">
        <f>_xll.qlCalendarAdvance(Calendar,X309,NDays&amp;"D")</f>
        <v>42235</v>
      </c>
      <c r="Z309" s="228">
        <v>1.3495373801471932E-2</v>
      </c>
      <c r="AA309" s="230">
        <v>1.3060341119577323E-2</v>
      </c>
    </row>
    <row r="310" spans="19:27" x14ac:dyDescent="0.2">
      <c r="S310" s="32"/>
      <c r="T310" s="187"/>
      <c r="W310" s="221" t="str">
        <f t="shared" si="13"/>
        <v>1D</v>
      </c>
      <c r="X310" s="222">
        <f>_xll.qlCalendarAdvance(Calendar,X309,W310,"f",FALSE)</f>
        <v>42236</v>
      </c>
      <c r="Y310" s="227">
        <f>_xll.qlCalendarAdvance(Calendar,X310,NDays&amp;"D")</f>
        <v>42236</v>
      </c>
      <c r="Z310" s="228">
        <v>1.3508485215452185E-2</v>
      </c>
      <c r="AA310" s="230">
        <v>1.3087331301052663E-2</v>
      </c>
    </row>
    <row r="311" spans="19:27" x14ac:dyDescent="0.2">
      <c r="S311" s="32"/>
      <c r="T311" s="187"/>
      <c r="W311" s="221" t="str">
        <f t="shared" si="13"/>
        <v>1D</v>
      </c>
      <c r="X311" s="222">
        <f>_xll.qlCalendarAdvance(Calendar,X310,W311,"f",FALSE)</f>
        <v>42237</v>
      </c>
      <c r="Y311" s="227">
        <f>_xll.qlCalendarAdvance(Calendar,X311,NDays&amp;"D")</f>
        <v>42237</v>
      </c>
      <c r="Z311" s="228">
        <v>1.352158599963383E-2</v>
      </c>
      <c r="AA311" s="230">
        <v>1.314168827826275E-2</v>
      </c>
    </row>
    <row r="312" spans="19:27" x14ac:dyDescent="0.2">
      <c r="S312" s="32"/>
      <c r="T312" s="187"/>
      <c r="W312" s="221" t="str">
        <f t="shared" si="13"/>
        <v>1D</v>
      </c>
      <c r="X312" s="222">
        <f>_xll.qlCalendarAdvance(Calendar,X311,W312,"f",FALSE)</f>
        <v>42240</v>
      </c>
      <c r="Y312" s="227">
        <f>_xll.qlCalendarAdvance(Calendar,X312,NDays&amp;"D")</f>
        <v>42240</v>
      </c>
      <c r="Z312" s="228">
        <v>1.3601081453665356E-2</v>
      </c>
      <c r="AA312" s="230">
        <v>1.3195002472177197E-2</v>
      </c>
    </row>
    <row r="313" spans="19:27" x14ac:dyDescent="0.2">
      <c r="S313" s="32"/>
      <c r="T313" s="187"/>
      <c r="W313" s="221" t="str">
        <f t="shared" si="13"/>
        <v>1D</v>
      </c>
      <c r="X313" s="222">
        <f>_xll.qlCalendarAdvance(Calendar,X312,W313,"f",FALSE)</f>
        <v>42241</v>
      </c>
      <c r="Y313" s="227">
        <f>_xll.qlCalendarAdvance(Calendar,X313,NDays&amp;"D")</f>
        <v>42241</v>
      </c>
      <c r="Z313" s="228">
        <v>1.362752207761791E-2</v>
      </c>
      <c r="AA313" s="230">
        <v>1.3221847876304649E-2</v>
      </c>
    </row>
    <row r="314" spans="19:27" x14ac:dyDescent="0.2">
      <c r="S314" s="32"/>
      <c r="T314" s="187"/>
      <c r="W314" s="221" t="str">
        <f t="shared" si="13"/>
        <v>1D</v>
      </c>
      <c r="X314" s="222">
        <f>_xll.qlCalendarAdvance(Calendar,X313,W314,"f",FALSE)</f>
        <v>42242</v>
      </c>
      <c r="Y314" s="227">
        <f>_xll.qlCalendarAdvance(Calendar,X314,NDays&amp;"D")</f>
        <v>42242</v>
      </c>
      <c r="Z314" s="228">
        <v>1.3680674464990614E-2</v>
      </c>
      <c r="AA314" s="230">
        <v>1.3248664324865267E-2</v>
      </c>
    </row>
    <row r="315" spans="19:27" x14ac:dyDescent="0.2">
      <c r="S315" s="32"/>
      <c r="T315" s="187"/>
      <c r="W315" s="221" t="str">
        <f t="shared" si="13"/>
        <v>1D</v>
      </c>
      <c r="X315" s="222">
        <f>_xll.qlCalendarAdvance(Calendar,X314,W315,"f",FALSE)</f>
        <v>42243</v>
      </c>
      <c r="Y315" s="227">
        <f>_xll.qlCalendarAdvance(Calendar,X315,NDays&amp;"D")</f>
        <v>42243</v>
      </c>
      <c r="Z315" s="228">
        <v>1.3693677732718665E-2</v>
      </c>
      <c r="AA315" s="230">
        <v>1.3275451817940098E-2</v>
      </c>
    </row>
    <row r="316" spans="19:27" x14ac:dyDescent="0.2">
      <c r="S316" s="32"/>
      <c r="T316" s="187"/>
      <c r="W316" s="221" t="str">
        <f t="shared" si="13"/>
        <v>1D</v>
      </c>
      <c r="X316" s="222">
        <f>_xll.qlCalendarAdvance(Calendar,X315,W316,"f",FALSE)</f>
        <v>42244</v>
      </c>
      <c r="Y316" s="227">
        <f>_xll.qlCalendarAdvance(Calendar,X316,NDays&amp;"D")</f>
        <v>42244</v>
      </c>
      <c r="Z316" s="228">
        <v>1.3733357149875681E-2</v>
      </c>
      <c r="AA316" s="230">
        <v>1.3343007363710857E-2</v>
      </c>
    </row>
    <row r="317" spans="19:27" x14ac:dyDescent="0.2">
      <c r="S317" s="32"/>
      <c r="T317" s="187"/>
      <c r="W317" s="221" t="str">
        <f t="shared" si="13"/>
        <v>1D</v>
      </c>
      <c r="X317" s="222">
        <f>_xll.qlCalendarAdvance(Calendar,X316,W317,"f",FALSE)</f>
        <v>42248</v>
      </c>
      <c r="Y317" s="227">
        <f>_xll.qlCalendarAdvance(Calendar,X317,NDays&amp;"D")</f>
        <v>42248</v>
      </c>
      <c r="Z317" s="228">
        <v>1.3798493898402747E-2</v>
      </c>
      <c r="AA317" s="230">
        <v>1.3408954950784313E-2</v>
      </c>
    </row>
    <row r="318" spans="19:27" x14ac:dyDescent="0.2">
      <c r="S318" s="32"/>
      <c r="T318" s="187"/>
      <c r="W318" s="221" t="str">
        <f t="shared" si="13"/>
        <v>1D</v>
      </c>
      <c r="X318" s="222">
        <f>_xll.qlCalendarAdvance(Calendar,X317,W318,"f",FALSE)</f>
        <v>42249</v>
      </c>
      <c r="Y318" s="227">
        <f>_xll.qlCalendarAdvance(Calendar,X318,NDays&amp;"D")</f>
        <v>42249</v>
      </c>
      <c r="Z318" s="228">
        <v>1.3824716545901857E-2</v>
      </c>
      <c r="AA318" s="230">
        <v>1.3435568710701284E-2</v>
      </c>
    </row>
    <row r="319" spans="19:27" x14ac:dyDescent="0.2">
      <c r="S319" s="32"/>
      <c r="T319" s="187"/>
      <c r="W319" s="221" t="str">
        <f t="shared" si="13"/>
        <v>1D</v>
      </c>
      <c r="X319" s="222">
        <f>_xll.qlCalendarAdvance(Calendar,X318,W319,"f",FALSE)</f>
        <v>42250</v>
      </c>
      <c r="Y319" s="227">
        <f>_xll.qlCalendarAdvance(Calendar,X319,NDays&amp;"D")</f>
        <v>42250</v>
      </c>
      <c r="Z319" s="228">
        <v>1.3877452662487341E-2</v>
      </c>
      <c r="AA319" s="230">
        <v>1.3462153515132469E-2</v>
      </c>
    </row>
    <row r="320" spans="19:27" x14ac:dyDescent="0.2">
      <c r="S320" s="32"/>
      <c r="T320" s="187"/>
      <c r="W320" s="221" t="str">
        <f t="shared" si="13"/>
        <v>1D</v>
      </c>
      <c r="X320" s="222">
        <f>_xll.qlCalendarAdvance(Calendar,X319,W320,"f",FALSE)</f>
        <v>42251</v>
      </c>
      <c r="Y320" s="227">
        <f>_xll.qlCalendarAdvance(Calendar,X320,NDays&amp;"D")</f>
        <v>42251</v>
      </c>
      <c r="Z320" s="228">
        <v>1.3890337097256081E-2</v>
      </c>
      <c r="AA320" s="230">
        <v>1.3515727053066142E-2</v>
      </c>
    </row>
    <row r="321" spans="19:27" x14ac:dyDescent="0.2">
      <c r="S321" s="32"/>
      <c r="T321" s="187"/>
      <c r="W321" s="221" t="str">
        <f t="shared" si="13"/>
        <v>1D</v>
      </c>
      <c r="X321" s="222">
        <f>_xll.qlCalendarAdvance(Calendar,X320,W321,"f",FALSE)</f>
        <v>42254</v>
      </c>
      <c r="Y321" s="227">
        <f>_xll.qlCalendarAdvance(Calendar,X321,NDays&amp;"D")</f>
        <v>42254</v>
      </c>
      <c r="Z321" s="228">
        <v>1.3955395785750706E-2</v>
      </c>
      <c r="AA321" s="230">
        <v>1.3568203177269922E-2</v>
      </c>
    </row>
    <row r="322" spans="19:27" x14ac:dyDescent="0.2">
      <c r="S322" s="32"/>
      <c r="T322" s="187"/>
      <c r="W322" s="221" t="str">
        <f t="shared" si="13"/>
        <v>1D</v>
      </c>
      <c r="X322" s="222">
        <f>_xll.qlCalendarAdvance(Calendar,X321,W322,"f",FALSE)</f>
        <v>42255</v>
      </c>
      <c r="Y322" s="227">
        <f>_xll.qlCalendarAdvance(Calendar,X322,NDays&amp;"D")</f>
        <v>42255</v>
      </c>
      <c r="Z322" s="228">
        <v>1.3981444832886289E-2</v>
      </c>
      <c r="AA322" s="230">
        <v>1.3594643203866941E-2</v>
      </c>
    </row>
    <row r="323" spans="19:27" x14ac:dyDescent="0.2">
      <c r="S323" s="32"/>
      <c r="T323" s="187"/>
      <c r="W323" s="221" t="str">
        <f t="shared" si="13"/>
        <v>1D</v>
      </c>
      <c r="X323" s="222">
        <f>_xll.qlCalendarAdvance(Calendar,X322,W323,"f",FALSE)</f>
        <v>42256</v>
      </c>
      <c r="Y323" s="227">
        <f>_xll.qlCalendarAdvance(Calendar,X323,NDays&amp;"D")</f>
        <v>42256</v>
      </c>
      <c r="Z323" s="228">
        <v>1.4007464945972825E-2</v>
      </c>
      <c r="AA323" s="230">
        <v>1.3621054274897126E-2</v>
      </c>
    </row>
    <row r="324" spans="19:27" x14ac:dyDescent="0.2">
      <c r="S324" s="32"/>
      <c r="T324" s="187"/>
      <c r="W324" s="221" t="str">
        <f t="shared" si="13"/>
        <v>1D</v>
      </c>
      <c r="X324" s="222">
        <f>_xll.qlCalendarAdvance(Calendar,X323,W324,"f",FALSE)</f>
        <v>42257</v>
      </c>
      <c r="Y324" s="227">
        <f>_xll.qlCalendarAdvance(Calendar,X324,NDays&amp;"D")</f>
        <v>42257</v>
      </c>
      <c r="Z324" s="228">
        <v>1.4059809936215854E-2</v>
      </c>
      <c r="AA324" s="230">
        <v>1.3647436390360479E-2</v>
      </c>
    </row>
    <row r="325" spans="19:27" x14ac:dyDescent="0.2">
      <c r="S325" s="32"/>
      <c r="T325" s="187"/>
      <c r="W325" s="221" t="str">
        <f t="shared" si="13"/>
        <v>1D</v>
      </c>
      <c r="X325" s="222">
        <f>_xll.qlCalendarAdvance(Calendar,X324,W325,"f",FALSE)</f>
        <v>42258</v>
      </c>
      <c r="Y325" s="227">
        <f>_xll.qlCalendarAdvance(Calendar,X325,NDays&amp;"D")</f>
        <v>42258</v>
      </c>
      <c r="Z325" s="228">
        <v>1.4072586131337113E-2</v>
      </c>
      <c r="AA325" s="230">
        <v>1.3700618335385311E-2</v>
      </c>
    </row>
    <row r="326" spans="19:27" x14ac:dyDescent="0.2">
      <c r="S326" s="32"/>
      <c r="T326" s="187"/>
      <c r="W326" s="221" t="str">
        <f t="shared" si="13"/>
        <v>1D</v>
      </c>
      <c r="X326" s="222">
        <f>_xll.qlCalendarAdvance(Calendar,X325,W326,"f",FALSE)</f>
        <v>42261</v>
      </c>
      <c r="Y326" s="227">
        <f>_xll.qlCalendarAdvance(Calendar,X326,NDays&amp;"D")</f>
        <v>42261</v>
      </c>
      <c r="Z326" s="228">
        <v>1.4137131494234753E-2</v>
      </c>
      <c r="AA326" s="230">
        <v>1.375267529605928E-2</v>
      </c>
    </row>
    <row r="327" spans="19:27" x14ac:dyDescent="0.2">
      <c r="S327" s="32"/>
      <c r="T327" s="187"/>
      <c r="W327" s="221" t="str">
        <f t="shared" si="13"/>
        <v>1D</v>
      </c>
      <c r="X327" s="222">
        <f>_xll.qlCalendarAdvance(Calendar,X326,W327,"f",FALSE)</f>
        <v>42262</v>
      </c>
      <c r="Y327" s="227">
        <f>_xll.qlCalendarAdvance(Calendar,X327,NDays&amp;"D")</f>
        <v>42262</v>
      </c>
      <c r="Z327" s="228">
        <v>1.4162977999155706E-2</v>
      </c>
      <c r="AA327" s="230">
        <v>1.3778912633526375E-2</v>
      </c>
    </row>
    <row r="328" spans="19:27" x14ac:dyDescent="0.2">
      <c r="S328" s="32"/>
      <c r="T328" s="187"/>
      <c r="W328" s="221" t="str">
        <f t="shared" si="13"/>
        <v>1D</v>
      </c>
      <c r="X328" s="222">
        <f>_xll.qlCalendarAdvance(Calendar,X327,W328,"f",FALSE)</f>
        <v>42263</v>
      </c>
      <c r="Y328" s="227">
        <f>_xll.qlCalendarAdvance(Calendar,X328,NDays&amp;"D")</f>
        <v>42263</v>
      </c>
      <c r="Z328" s="228">
        <v>1.4188795568733575E-2</v>
      </c>
      <c r="AA328" s="230">
        <v>1.3805121015264543E-2</v>
      </c>
    </row>
    <row r="329" spans="19:27" x14ac:dyDescent="0.2">
      <c r="S329" s="32"/>
      <c r="T329" s="187"/>
      <c r="W329" s="221" t="str">
        <f t="shared" si="13"/>
        <v>1D</v>
      </c>
      <c r="X329" s="222">
        <f>_xll.qlCalendarAdvance(Calendar,X328,W329,"f",FALSE)</f>
        <v>42264</v>
      </c>
      <c r="Y329" s="227">
        <f>_xll.qlCalendarAdvance(Calendar,X329,NDays&amp;"D")</f>
        <v>42264</v>
      </c>
      <c r="Z329" s="228">
        <v>1.4240749485903842E-2</v>
      </c>
      <c r="AA329" s="230">
        <v>1.3831300441435879E-2</v>
      </c>
    </row>
    <row r="330" spans="19:27" x14ac:dyDescent="0.2">
      <c r="S330" s="32"/>
      <c r="T330" s="187"/>
      <c r="W330" s="221" t="str">
        <f t="shared" si="13"/>
        <v>1D</v>
      </c>
      <c r="X330" s="222">
        <f>_xll.qlCalendarAdvance(Calendar,X329,W330,"f",FALSE)</f>
        <v>42265</v>
      </c>
      <c r="Y330" s="227">
        <f>_xll.qlCalendarAdvance(Calendar,X330,NDays&amp;"D")</f>
        <v>42265</v>
      </c>
      <c r="Z330" s="228">
        <v>1.4253417400969186E-2</v>
      </c>
      <c r="AA330" s="230">
        <v>1.388409087230184E-2</v>
      </c>
    </row>
    <row r="331" spans="19:27" x14ac:dyDescent="0.2">
      <c r="S331" s="32"/>
      <c r="T331" s="187"/>
      <c r="W331" s="221" t="str">
        <f t="shared" si="13"/>
        <v>1D</v>
      </c>
      <c r="X331" s="222">
        <f>_xll.qlCalendarAdvance(Calendar,X330,W331,"f",FALSE)</f>
        <v>42268</v>
      </c>
      <c r="Y331" s="227">
        <f>_xll.qlCalendarAdvance(Calendar,X331,NDays&amp;"D")</f>
        <v>42268</v>
      </c>
      <c r="Z331" s="228">
        <v>1.4317449380068589E-2</v>
      </c>
      <c r="AA331" s="230">
        <v>1.3935728589642427E-2</v>
      </c>
    </row>
    <row r="332" spans="19:27" x14ac:dyDescent="0.2">
      <c r="S332" s="32"/>
      <c r="T332" s="187"/>
      <c r="W332" s="221" t="str">
        <f t="shared" si="13"/>
        <v>1D</v>
      </c>
      <c r="X332" s="222">
        <f>_xll.qlCalendarAdvance(Calendar,X331,W332,"f",FALSE)</f>
        <v>42269</v>
      </c>
      <c r="Y332" s="227">
        <f>_xll.qlCalendarAdvance(Calendar,X332,NDays&amp;"D")</f>
        <v>42269</v>
      </c>
      <c r="Z332" s="228">
        <v>1.4343093333738252E-2</v>
      </c>
      <c r="AA332" s="230">
        <v>1.3961763237493319E-2</v>
      </c>
    </row>
    <row r="333" spans="19:27" x14ac:dyDescent="0.2">
      <c r="S333" s="32"/>
      <c r="T333" s="187"/>
      <c r="W333" s="221" t="str">
        <f t="shared" si="13"/>
        <v>1D</v>
      </c>
      <c r="X333" s="222">
        <f>_xll.qlCalendarAdvance(Calendar,X332,W333,"f",FALSE)</f>
        <v>42270</v>
      </c>
      <c r="Y333" s="227">
        <f>_xll.qlCalendarAdvance(Calendar,X333,NDays&amp;"D")</f>
        <v>42270</v>
      </c>
      <c r="Z333" s="228">
        <v>1.4368708350781597E-2</v>
      </c>
      <c r="AA333" s="230">
        <v>1.3987768929777378E-2</v>
      </c>
    </row>
    <row r="334" spans="19:27" x14ac:dyDescent="0.2">
      <c r="S334" s="32"/>
      <c r="T334" s="187"/>
      <c r="W334" s="221" t="str">
        <f t="shared" si="13"/>
        <v>1D</v>
      </c>
      <c r="X334" s="222">
        <f>_xll.qlCalendarAdvance(Calendar,X333,W334,"f",FALSE)</f>
        <v>42271</v>
      </c>
      <c r="Y334" s="227">
        <f>_xll.qlCalendarAdvance(Calendar,X334,NDays&amp;"D")</f>
        <v>42271</v>
      </c>
      <c r="Z334" s="228">
        <v>1.4420271244070144E-2</v>
      </c>
      <c r="AA334" s="230">
        <v>1.4013745666251465E-2</v>
      </c>
    </row>
    <row r="335" spans="19:27" x14ac:dyDescent="0.2">
      <c r="S335" s="32"/>
      <c r="T335" s="187"/>
      <c r="W335" s="221" t="str">
        <f t="shared" si="13"/>
        <v>1D</v>
      </c>
      <c r="X335" s="222">
        <f>_xll.qlCalendarAdvance(Calendar,X334,W335,"f",FALSE)</f>
        <v>42272</v>
      </c>
      <c r="Y335" s="227">
        <f>_xll.qlCalendarAdvance(Calendar,X335,NDays&amp;"D")</f>
        <v>42272</v>
      </c>
      <c r="Z335" s="228">
        <v>1.4432830840823767E-2</v>
      </c>
      <c r="AA335" s="230">
        <v>1.4066144657440088E-2</v>
      </c>
    </row>
    <row r="336" spans="19:27" x14ac:dyDescent="0.2">
      <c r="S336" s="32"/>
      <c r="T336" s="187"/>
      <c r="W336" s="221" t="str">
        <f t="shared" si="13"/>
        <v>1D</v>
      </c>
      <c r="X336" s="222">
        <f>_xll.qlCalendarAdvance(Calendar,X335,W336,"f",FALSE)</f>
        <v>42275</v>
      </c>
      <c r="Y336" s="227">
        <f>_xll.qlCalendarAdvance(Calendar,X336,NDays&amp;"D")</f>
        <v>42275</v>
      </c>
      <c r="Z336" s="228">
        <v>1.4496349380211715E-2</v>
      </c>
      <c r="AA336" s="230">
        <v>1.4117363055669019E-2</v>
      </c>
    </row>
    <row r="337" spans="19:27" x14ac:dyDescent="0.2">
      <c r="S337" s="32"/>
      <c r="T337" s="187"/>
      <c r="W337" s="221" t="str">
        <f t="shared" si="13"/>
        <v>1D</v>
      </c>
      <c r="X337" s="222">
        <f>_xll.qlCalendarAdvance(Calendar,X336,W337,"f",FALSE)</f>
        <v>42276</v>
      </c>
      <c r="Y337" s="227">
        <f>_xll.qlCalendarAdvance(Calendar,X337,NDays&amp;"D")</f>
        <v>42276</v>
      </c>
      <c r="Z337" s="228">
        <v>1.4521790773663668E-2</v>
      </c>
      <c r="AA337" s="230">
        <v>1.4143195013741616E-2</v>
      </c>
    </row>
    <row r="338" spans="19:27" x14ac:dyDescent="0.2">
      <c r="S338" s="32"/>
      <c r="T338" s="187"/>
      <c r="W338" s="221" t="str">
        <f t="shared" si="13"/>
        <v>1D</v>
      </c>
      <c r="X338" s="222">
        <f>_xll.qlCalendarAdvance(Calendar,X337,W338,"f",FALSE)</f>
        <v>42277</v>
      </c>
      <c r="Y338" s="227">
        <f>_xll.qlCalendarAdvance(Calendar,X338,NDays&amp;"D")</f>
        <v>42277</v>
      </c>
      <c r="Z338" s="228">
        <v>1.4547203229214175E-2</v>
      </c>
      <c r="AA338" s="230">
        <v>1.4168998016085288E-2</v>
      </c>
    </row>
    <row r="339" spans="19:27" x14ac:dyDescent="0.2">
      <c r="S339" s="32"/>
      <c r="T339" s="187"/>
      <c r="W339" s="221" t="str">
        <f t="shared" si="13"/>
        <v>1D</v>
      </c>
      <c r="X339" s="222">
        <f>_xll.qlCalendarAdvance(Calendar,X338,W339,"f",FALSE)</f>
        <v>42278</v>
      </c>
      <c r="Y339" s="227">
        <f>_xll.qlCalendarAdvance(Calendar,X339,NDays&amp;"D")</f>
        <v>42278</v>
      </c>
      <c r="Z339" s="228">
        <v>1.4598375143770534E-2</v>
      </c>
      <c r="AA339" s="230">
        <v>1.419477206278108E-2</v>
      </c>
    </row>
    <row r="340" spans="19:27" x14ac:dyDescent="0.2">
      <c r="S340" s="32"/>
      <c r="T340" s="187"/>
      <c r="W340" s="221" t="str">
        <f t="shared" si="13"/>
        <v>1D</v>
      </c>
      <c r="X340" s="222">
        <f>_xll.qlCalendarAdvance(Calendar,X339,W340,"f",FALSE)</f>
        <v>42279</v>
      </c>
      <c r="Y340" s="227">
        <f>_xll.qlCalendarAdvance(Calendar,X340,NDays&amp;"D")</f>
        <v>42279</v>
      </c>
      <c r="Z340" s="228">
        <v>1.4610826386076907E-2</v>
      </c>
      <c r="AA340" s="230">
        <v>1.4246779684424412E-2</v>
      </c>
    </row>
    <row r="341" spans="19:27" x14ac:dyDescent="0.2">
      <c r="S341" s="32"/>
      <c r="T341" s="187"/>
      <c r="W341" s="221" t="str">
        <f t="shared" ref="W341:W404" si="14">W340</f>
        <v>1D</v>
      </c>
      <c r="X341" s="222">
        <f>_xll.qlCalendarAdvance(Calendar,X340,W341,"f",FALSE)</f>
        <v>42282</v>
      </c>
      <c r="Y341" s="227">
        <f>_xll.qlCalendarAdvance(Calendar,X341,NDays&amp;"D")</f>
        <v>42282</v>
      </c>
      <c r="Z341" s="228">
        <v>1.4686676125863173E-2</v>
      </c>
      <c r="AA341" s="230">
        <v>1.42975786921129E-2</v>
      </c>
    </row>
    <row r="342" spans="19:27" x14ac:dyDescent="0.2">
      <c r="S342" s="32"/>
      <c r="T342" s="187"/>
      <c r="W342" s="221" t="str">
        <f t="shared" si="14"/>
        <v>1D</v>
      </c>
      <c r="X342" s="222">
        <f>_xll.qlCalendarAdvance(Calendar,X341,W342,"f",FALSE)</f>
        <v>42283</v>
      </c>
      <c r="Y342" s="227">
        <f>_xll.qlCalendarAdvance(Calendar,X342,NDays&amp;"D")</f>
        <v>42283</v>
      </c>
      <c r="Z342" s="228">
        <v>1.4711901495713825E-2</v>
      </c>
      <c r="AA342" s="230">
        <v>1.4323207960083018E-2</v>
      </c>
    </row>
    <row r="343" spans="19:27" x14ac:dyDescent="0.2">
      <c r="S343" s="32"/>
      <c r="T343" s="187"/>
      <c r="W343" s="221" t="str">
        <f t="shared" si="14"/>
        <v>1D</v>
      </c>
      <c r="X343" s="222">
        <f>_xll.qlCalendarAdvance(Calendar,X342,W343,"f",FALSE)</f>
        <v>42284</v>
      </c>
      <c r="Y343" s="227">
        <f>_xll.qlCalendarAdvance(Calendar,X343,NDays&amp;"D")</f>
        <v>42284</v>
      </c>
      <c r="Z343" s="228">
        <v>1.4762707598920854E-2</v>
      </c>
      <c r="AA343" s="230">
        <v>1.4348808272324209E-2</v>
      </c>
    </row>
    <row r="344" spans="19:27" x14ac:dyDescent="0.2">
      <c r="S344" s="32"/>
      <c r="T344" s="187"/>
      <c r="W344" s="221" t="str">
        <f t="shared" si="14"/>
        <v>1D</v>
      </c>
      <c r="X344" s="222">
        <f>_xll.qlCalendarAdvance(Calendar,X343,W344,"f",FALSE)</f>
        <v>42285</v>
      </c>
      <c r="Y344" s="227">
        <f>_xll.qlCalendarAdvance(Calendar,X344,NDays&amp;"D")</f>
        <v>42285</v>
      </c>
      <c r="Z344" s="228">
        <v>1.4775061118577452E-2</v>
      </c>
      <c r="AA344" s="230">
        <v>1.4374379628755429E-2</v>
      </c>
    </row>
    <row r="345" spans="19:27" x14ac:dyDescent="0.2">
      <c r="S345" s="32"/>
      <c r="T345" s="187"/>
      <c r="W345" s="221" t="str">
        <f t="shared" si="14"/>
        <v>1D</v>
      </c>
      <c r="X345" s="222">
        <f>_xll.qlCalendarAdvance(Calendar,X344,W345,"f",FALSE)</f>
        <v>42286</v>
      </c>
      <c r="Y345" s="227">
        <f>_xll.qlCalendarAdvance(Calendar,X345,NDays&amp;"D")</f>
        <v>42286</v>
      </c>
      <c r="Z345" s="228">
        <v>1.47874039724223E-2</v>
      </c>
      <c r="AA345" s="230">
        <v>1.4425995946960221E-2</v>
      </c>
    </row>
    <row r="346" spans="19:27" x14ac:dyDescent="0.2">
      <c r="S346" s="32"/>
      <c r="T346" s="187"/>
      <c r="W346" s="221" t="str">
        <f t="shared" si="14"/>
        <v>1D</v>
      </c>
      <c r="X346" s="222">
        <f>_xll.qlCalendarAdvance(Calendar,X345,W346,"f",FALSE)</f>
        <v>42289</v>
      </c>
      <c r="Y346" s="227">
        <f>_xll.qlCalendarAdvance(Calendar,X346,NDays&amp;"D")</f>
        <v>42289</v>
      </c>
      <c r="Z346" s="228">
        <v>1.4862645995974028E-2</v>
      </c>
      <c r="AA346" s="230">
        <v>1.4476375496866867E-2</v>
      </c>
    </row>
    <row r="347" spans="19:27" x14ac:dyDescent="0.2">
      <c r="S347" s="32"/>
      <c r="T347" s="187"/>
      <c r="W347" s="221" t="str">
        <f t="shared" si="14"/>
        <v>1D</v>
      </c>
      <c r="X347" s="222">
        <f>_xll.qlCalendarAdvance(Calendar,X346,W347,"f",FALSE)</f>
        <v>42290</v>
      </c>
      <c r="Y347" s="227">
        <f>_xll.qlCalendarAdvance(Calendar,X347,NDays&amp;"D")</f>
        <v>42290</v>
      </c>
      <c r="Z347" s="228">
        <v>1.4887668791150404E-2</v>
      </c>
      <c r="AA347" s="230">
        <v>1.4501802074410319E-2</v>
      </c>
    </row>
    <row r="348" spans="19:27" x14ac:dyDescent="0.2">
      <c r="S348" s="32"/>
      <c r="T348" s="187"/>
      <c r="W348" s="221" t="str">
        <f t="shared" si="14"/>
        <v>1D</v>
      </c>
      <c r="X348" s="222">
        <f>_xll.qlCalendarAdvance(Calendar,X347,W348,"f",FALSE)</f>
        <v>42291</v>
      </c>
      <c r="Y348" s="227">
        <f>_xll.qlCalendarAdvance(Calendar,X348,NDays&amp;"D")</f>
        <v>42291</v>
      </c>
      <c r="Z348" s="228">
        <v>1.4938083999401337E-2</v>
      </c>
      <c r="AA348" s="230">
        <v>1.4527199696224846E-2</v>
      </c>
    </row>
    <row r="349" spans="19:27" x14ac:dyDescent="0.2">
      <c r="S349" s="32"/>
      <c r="T349" s="187"/>
      <c r="W349" s="221" t="str">
        <f t="shared" si="14"/>
        <v>1D</v>
      </c>
      <c r="X349" s="222">
        <f>_xll.qlCalendarAdvance(Calendar,X348,W349,"f",FALSE)</f>
        <v>42292</v>
      </c>
      <c r="Y349" s="227">
        <f>_xll.qlCalendarAdvance(Calendar,X349,NDays&amp;"D")</f>
        <v>42292</v>
      </c>
      <c r="Z349" s="228">
        <v>1.4950329102600274E-2</v>
      </c>
      <c r="AA349" s="230">
        <v>1.4552568362148355E-2</v>
      </c>
    </row>
    <row r="350" spans="19:27" x14ac:dyDescent="0.2">
      <c r="S350" s="32"/>
      <c r="T350" s="187"/>
      <c r="W350" s="221" t="str">
        <f t="shared" si="14"/>
        <v>1D</v>
      </c>
      <c r="X350" s="222">
        <f>_xll.qlCalendarAdvance(Calendar,X349,W350,"f",FALSE)</f>
        <v>42293</v>
      </c>
      <c r="Y350" s="227">
        <f>_xll.qlCalendarAdvance(Calendar,X350,NDays&amp;"D")</f>
        <v>42293</v>
      </c>
      <c r="Z350" s="228">
        <v>1.4962563536066068E-2</v>
      </c>
      <c r="AA350" s="230">
        <v>1.4603793438698888E-2</v>
      </c>
    </row>
    <row r="351" spans="19:27" x14ac:dyDescent="0.2">
      <c r="S351" s="32"/>
      <c r="T351" s="187"/>
      <c r="W351" s="221" t="str">
        <f t="shared" si="14"/>
        <v>1D</v>
      </c>
      <c r="X351" s="222">
        <f>_xll.qlCalendarAdvance(Calendar,X350,W351,"f",FALSE)</f>
        <v>42296</v>
      </c>
      <c r="Y351" s="227">
        <f>_xll.qlCalendarAdvance(Calendar,X351,NDays&amp;"D")</f>
        <v>42296</v>
      </c>
      <c r="Z351" s="228">
        <v>1.5037197816198765E-2</v>
      </c>
      <c r="AA351" s="230">
        <v>1.4653753467904762E-2</v>
      </c>
    </row>
    <row r="352" spans="19:27" x14ac:dyDescent="0.2">
      <c r="S352" s="32"/>
      <c r="T352" s="187"/>
      <c r="W352" s="221" t="str">
        <f t="shared" si="14"/>
        <v>1D</v>
      </c>
      <c r="X352" s="222">
        <f>_xll.qlCalendarAdvance(Calendar,X351,W352,"f",FALSE)</f>
        <v>42297</v>
      </c>
      <c r="Y352" s="227">
        <f>_xll.qlCalendarAdvance(Calendar,X352,NDays&amp;"D")</f>
        <v>42297</v>
      </c>
      <c r="Z352" s="228">
        <v>1.5062018027657669E-2</v>
      </c>
      <c r="AA352" s="230">
        <v>1.4678977354697365E-2</v>
      </c>
    </row>
    <row r="353" spans="19:27" x14ac:dyDescent="0.2">
      <c r="S353" s="32"/>
      <c r="T353" s="187"/>
      <c r="W353" s="221" t="str">
        <f t="shared" si="14"/>
        <v>1D</v>
      </c>
      <c r="X353" s="222">
        <f>_xll.qlCalendarAdvance(Calendar,X352,W353,"f",FALSE)</f>
        <v>42298</v>
      </c>
      <c r="Y353" s="227">
        <f>_xll.qlCalendarAdvance(Calendar,X353,NDays&amp;"D")</f>
        <v>42298</v>
      </c>
      <c r="Z353" s="228">
        <v>1.5112042373872984E-2</v>
      </c>
      <c r="AA353" s="230">
        <v>1.4704172285761041E-2</v>
      </c>
    </row>
    <row r="354" spans="19:27" x14ac:dyDescent="0.2">
      <c r="S354" s="32"/>
      <c r="T354" s="187"/>
      <c r="W354" s="221" t="str">
        <f t="shared" si="14"/>
        <v>1D</v>
      </c>
      <c r="X354" s="222">
        <f>_xll.qlCalendarAdvance(Calendar,X353,W354,"f",FALSE)</f>
        <v>42299</v>
      </c>
      <c r="Y354" s="227">
        <f>_xll.qlCalendarAdvance(Calendar,X354,NDays&amp;"D")</f>
        <v>42299</v>
      </c>
      <c r="Z354" s="228">
        <v>1.5124179030470107E-2</v>
      </c>
      <c r="AA354" s="230">
        <v>1.47293382609337E-2</v>
      </c>
    </row>
    <row r="355" spans="19:27" x14ac:dyDescent="0.2">
      <c r="S355" s="32"/>
      <c r="T355" s="187"/>
      <c r="W355" s="221" t="str">
        <f t="shared" si="14"/>
        <v>1D</v>
      </c>
      <c r="X355" s="222">
        <f>_xll.qlCalendarAdvance(Calendar,X354,W355,"f",FALSE)</f>
        <v>42300</v>
      </c>
      <c r="Y355" s="227">
        <f>_xll.qlCalendarAdvance(Calendar,X355,NDays&amp;"D")</f>
        <v>42300</v>
      </c>
      <c r="Z355" s="228">
        <v>1.5136305013716295E-2</v>
      </c>
      <c r="AA355" s="230">
        <v>1.4780172153480894E-2</v>
      </c>
    </row>
    <row r="356" spans="19:27" x14ac:dyDescent="0.2">
      <c r="S356" s="32"/>
      <c r="T356" s="187"/>
      <c r="W356" s="221" t="str">
        <f t="shared" si="14"/>
        <v>1D</v>
      </c>
      <c r="X356" s="222">
        <f>_xll.qlCalendarAdvance(Calendar,X355,W356,"f",FALSE)</f>
        <v>42303</v>
      </c>
      <c r="Y356" s="227">
        <f>_xll.qlCalendarAdvance(Calendar,X356,NDays&amp;"D")</f>
        <v>42303</v>
      </c>
      <c r="Z356" s="228">
        <v>1.5210331523467692E-2</v>
      </c>
      <c r="AA356" s="230">
        <v>1.4829712603038336E-2</v>
      </c>
    </row>
    <row r="357" spans="19:27" x14ac:dyDescent="0.2">
      <c r="S357" s="32"/>
      <c r="T357" s="187"/>
      <c r="W357" s="221" t="str">
        <f t="shared" si="14"/>
        <v>1D</v>
      </c>
      <c r="X357" s="222">
        <f>_xll.qlCalendarAdvance(Calendar,X356,W357,"f",FALSE)</f>
        <v>42304</v>
      </c>
      <c r="Y357" s="227">
        <f>_xll.qlCalendarAdvance(Calendar,X357,NDays&amp;"D")</f>
        <v>42304</v>
      </c>
      <c r="Z357" s="228">
        <v>1.5234949142244361E-2</v>
      </c>
      <c r="AA357" s="230">
        <v>1.4854733798917996E-2</v>
      </c>
    </row>
    <row r="358" spans="19:27" x14ac:dyDescent="0.2">
      <c r="S358" s="32"/>
      <c r="T358" s="187"/>
      <c r="W358" s="221" t="str">
        <f t="shared" si="14"/>
        <v>1D</v>
      </c>
      <c r="X358" s="222">
        <f>_xll.qlCalendarAdvance(Calendar,X357,W358,"f",FALSE)</f>
        <v>42305</v>
      </c>
      <c r="Y358" s="227">
        <f>_xll.qlCalendarAdvance(Calendar,X358,NDays&amp;"D")</f>
        <v>42305</v>
      </c>
      <c r="Z358" s="228">
        <v>1.5284582655425948E-2</v>
      </c>
      <c r="AA358" s="230">
        <v>1.4879726038825591E-2</v>
      </c>
    </row>
    <row r="359" spans="19:27" x14ac:dyDescent="0.2">
      <c r="S359" s="32"/>
      <c r="T359" s="187"/>
      <c r="W359" s="221" t="str">
        <f t="shared" si="14"/>
        <v>1D</v>
      </c>
      <c r="X359" s="222">
        <f>_xll.qlCalendarAdvance(Calendar,X358,W359,"f",FALSE)</f>
        <v>42306</v>
      </c>
      <c r="Y359" s="227">
        <f>_xll.qlCalendarAdvance(Calendar,X359,NDays&amp;"D")</f>
        <v>42306</v>
      </c>
      <c r="Z359" s="228">
        <v>1.5296610837357526E-2</v>
      </c>
      <c r="AA359" s="230">
        <v>1.4904689322923215E-2</v>
      </c>
    </row>
    <row r="360" spans="19:27" x14ac:dyDescent="0.2">
      <c r="S360" s="32"/>
      <c r="T360" s="187"/>
      <c r="W360" s="221" t="str">
        <f t="shared" si="14"/>
        <v>1D</v>
      </c>
      <c r="X360" s="222">
        <f>_xll.qlCalendarAdvance(Calendar,X359,W360,"f",FALSE)</f>
        <v>42307</v>
      </c>
      <c r="Y360" s="227">
        <f>_xll.qlCalendarAdvance(Calendar,X360,NDays&amp;"D")</f>
        <v>42307</v>
      </c>
      <c r="Z360" s="228">
        <v>1.5308628342609168E-2</v>
      </c>
      <c r="AA360" s="230">
        <v>1.4955132085173741E-2</v>
      </c>
    </row>
    <row r="361" spans="19:27" x14ac:dyDescent="0.2">
      <c r="S361" s="32"/>
      <c r="T361" s="187"/>
      <c r="W361" s="221" t="str">
        <f t="shared" si="14"/>
        <v>1D</v>
      </c>
      <c r="X361" s="222">
        <f>_xll.qlCalendarAdvance(Calendar,X360,W361,"f",FALSE)</f>
        <v>42310</v>
      </c>
      <c r="Y361" s="227">
        <f>_xll.qlCalendarAdvance(Calendar,X361,NDays&amp;"D")</f>
        <v>42310</v>
      </c>
      <c r="Z361" s="228">
        <v>1.5369578923564203E-2</v>
      </c>
      <c r="AA361" s="230">
        <v>1.5004252900322479E-2</v>
      </c>
    </row>
    <row r="362" spans="19:27" x14ac:dyDescent="0.2">
      <c r="S362" s="32"/>
      <c r="T362" s="187"/>
      <c r="W362" s="221" t="str">
        <f t="shared" si="14"/>
        <v>1D</v>
      </c>
      <c r="X362" s="222">
        <f>_xll.qlCalendarAdvance(Calendar,X361,W362,"f",FALSE)</f>
        <v>42311</v>
      </c>
      <c r="Y362" s="227">
        <f>_xll.qlCalendarAdvance(Calendar,X362,NDays&amp;"D")</f>
        <v>42311</v>
      </c>
      <c r="Z362" s="228">
        <v>1.5394007383916719E-2</v>
      </c>
      <c r="AA362" s="230">
        <v>1.5029071404802918E-2</v>
      </c>
    </row>
    <row r="363" spans="19:27" x14ac:dyDescent="0.2">
      <c r="S363" s="32"/>
      <c r="T363" s="187"/>
      <c r="W363" s="221" t="str">
        <f t="shared" si="14"/>
        <v>1D</v>
      </c>
      <c r="X363" s="222">
        <f>_xll.qlCalendarAdvance(Calendar,X362,W363,"f",FALSE)</f>
        <v>42312</v>
      </c>
      <c r="Y363" s="227">
        <f>_xll.qlCalendarAdvance(Calendar,X363,NDays&amp;"D")</f>
        <v>42312</v>
      </c>
      <c r="Z363" s="228">
        <v>1.5418406900146139E-2</v>
      </c>
      <c r="AA363" s="230">
        <v>1.5053860953473386E-2</v>
      </c>
    </row>
    <row r="364" spans="19:27" x14ac:dyDescent="0.2">
      <c r="S364" s="32"/>
      <c r="T364" s="187"/>
      <c r="W364" s="221" t="str">
        <f t="shared" si="14"/>
        <v>1D</v>
      </c>
      <c r="X364" s="222">
        <f>_xll.qlCalendarAdvance(Calendar,X363,W364,"f",FALSE)</f>
        <v>42313</v>
      </c>
      <c r="Y364" s="227">
        <f>_xll.qlCalendarAdvance(Calendar,X364,NDays&amp;"D")</f>
        <v>42313</v>
      </c>
      <c r="Z364" s="228">
        <v>1.5467624458944708E-2</v>
      </c>
      <c r="AA364" s="230">
        <v>1.5078621546171789E-2</v>
      </c>
    </row>
    <row r="365" spans="19:27" x14ac:dyDescent="0.2">
      <c r="S365" s="32"/>
      <c r="T365" s="187"/>
      <c r="W365" s="221" t="str">
        <f t="shared" si="14"/>
        <v>1D</v>
      </c>
      <c r="X365" s="222">
        <f>_xll.qlCalendarAdvance(Calendar,X364,W365,"f",FALSE)</f>
        <v>42314</v>
      </c>
      <c r="Y365" s="227">
        <f>_xll.qlCalendarAdvance(Calendar,X365,NDays&amp;"D")</f>
        <v>42314</v>
      </c>
      <c r="Z365" s="228">
        <v>1.547953346047762E-2</v>
      </c>
      <c r="AA365" s="230">
        <v>1.5128673227563876E-2</v>
      </c>
    </row>
    <row r="366" spans="19:27" x14ac:dyDescent="0.2">
      <c r="S366" s="32"/>
      <c r="T366" s="187"/>
      <c r="W366" s="221" t="str">
        <f t="shared" si="14"/>
        <v>1D</v>
      </c>
      <c r="X366" s="222">
        <f>_xll.qlCalendarAdvance(Calendar,X365,W366,"f",FALSE)</f>
        <v>42317</v>
      </c>
      <c r="Y366" s="227">
        <f>_xll.qlCalendarAdvance(Calendar,X366,NDays&amp;"D")</f>
        <v>42317</v>
      </c>
      <c r="Z366" s="228">
        <v>1.5539970313308856E-2</v>
      </c>
      <c r="AA366" s="230">
        <v>1.5177374357649986E-2</v>
      </c>
    </row>
    <row r="367" spans="19:27" x14ac:dyDescent="0.2">
      <c r="S367" s="32"/>
      <c r="T367" s="187"/>
      <c r="W367" s="221" t="str">
        <f t="shared" si="14"/>
        <v>1D</v>
      </c>
      <c r="X367" s="222">
        <f>_xll.qlCalendarAdvance(Calendar,X366,W367,"f",FALSE)</f>
        <v>42318</v>
      </c>
      <c r="Y367" s="227">
        <f>_xll.qlCalendarAdvance(Calendar,X367,NDays&amp;"D")</f>
        <v>42318</v>
      </c>
      <c r="Z367" s="228">
        <v>1.5564196161133692E-2</v>
      </c>
      <c r="AA367" s="230">
        <v>1.5201990170569113E-2</v>
      </c>
    </row>
    <row r="368" spans="19:27" x14ac:dyDescent="0.2">
      <c r="S368" s="32"/>
      <c r="T368" s="187"/>
      <c r="W368" s="221" t="str">
        <f t="shared" si="14"/>
        <v>1D</v>
      </c>
      <c r="X368" s="222">
        <f>_xll.qlCalendarAdvance(Calendar,X367,W368,"f",FALSE)</f>
        <v>42319</v>
      </c>
      <c r="Y368" s="227">
        <f>_xll.qlCalendarAdvance(Calendar,X368,NDays&amp;"D")</f>
        <v>42319</v>
      </c>
      <c r="Z368" s="228">
        <v>1.5588393063617034E-2</v>
      </c>
      <c r="AA368" s="230">
        <v>1.5226577027678267E-2</v>
      </c>
    </row>
    <row r="369" spans="19:27" x14ac:dyDescent="0.2">
      <c r="S369" s="32"/>
      <c r="T369" s="187"/>
      <c r="W369" s="221" t="str">
        <f t="shared" si="14"/>
        <v>1D</v>
      </c>
      <c r="X369" s="222">
        <f>_xll.qlCalendarAdvance(Calendar,X368,W369,"f",FALSE)</f>
        <v>42320</v>
      </c>
      <c r="Y369" s="227">
        <f>_xll.qlCalendarAdvance(Calendar,X369,NDays&amp;"D")</f>
        <v>42320</v>
      </c>
      <c r="Z369" s="228">
        <v>1.5637219831455829E-2</v>
      </c>
      <c r="AA369" s="230">
        <v>1.5251134928653265E-2</v>
      </c>
    </row>
    <row r="370" spans="19:27" x14ac:dyDescent="0.2">
      <c r="S370" s="32"/>
      <c r="T370" s="187"/>
      <c r="W370" s="221" t="str">
        <f t="shared" si="14"/>
        <v>1D</v>
      </c>
      <c r="X370" s="222">
        <f>_xll.qlCalendarAdvance(Calendar,X369,W370,"f",FALSE)</f>
        <v>42321</v>
      </c>
      <c r="Y370" s="227">
        <f>_xll.qlCalendarAdvance(Calendar,X370,NDays&amp;"D")</f>
        <v>42321</v>
      </c>
      <c r="Z370" s="228">
        <v>1.5649020305569607E-2</v>
      </c>
      <c r="AA370" s="230">
        <v>1.5300795574626862E-2</v>
      </c>
    </row>
    <row r="371" spans="19:27" x14ac:dyDescent="0.2">
      <c r="S371" s="32"/>
      <c r="T371" s="187"/>
      <c r="W371" s="221" t="str">
        <f t="shared" si="14"/>
        <v>1D</v>
      </c>
      <c r="X371" s="222">
        <f>_xll.qlCalendarAdvance(Calendar,X370,W371,"f",FALSE)</f>
        <v>42324</v>
      </c>
      <c r="Y371" s="227">
        <f>_xll.qlCalendarAdvance(Calendar,X371,NDays&amp;"D")</f>
        <v>42324</v>
      </c>
      <c r="Z371" s="228">
        <v>1.5708943389903106E-2</v>
      </c>
      <c r="AA371" s="230">
        <v>1.5349076972994702E-2</v>
      </c>
    </row>
    <row r="372" spans="19:27" x14ac:dyDescent="0.2">
      <c r="S372" s="32"/>
      <c r="T372" s="187"/>
      <c r="W372" s="221" t="str">
        <f t="shared" si="14"/>
        <v>1D</v>
      </c>
      <c r="X372" s="222">
        <f>_xll.qlCalendarAdvance(Calendar,X371,W372,"f",FALSE)</f>
        <v>42325</v>
      </c>
      <c r="Y372" s="227">
        <f>_xll.qlCalendarAdvance(Calendar,X372,NDays&amp;"D")</f>
        <v>42325</v>
      </c>
      <c r="Z372" s="228">
        <v>1.5732966616728222E-2</v>
      </c>
      <c r="AA372" s="230">
        <v>1.5373490094109377E-2</v>
      </c>
    </row>
    <row r="373" spans="19:27" x14ac:dyDescent="0.2">
      <c r="S373" s="32"/>
      <c r="T373" s="187"/>
      <c r="W373" s="221" t="str">
        <f t="shared" si="14"/>
        <v>1D</v>
      </c>
      <c r="X373" s="222">
        <f>_xll.qlCalendarAdvance(Calendar,X372,W373,"f",FALSE)</f>
        <v>42326</v>
      </c>
      <c r="Y373" s="227">
        <f>_xll.qlCalendarAdvance(Calendar,X373,NDays&amp;"D")</f>
        <v>42326</v>
      </c>
      <c r="Z373" s="228">
        <v>1.5756960897012361E-2</v>
      </c>
      <c r="AA373" s="230">
        <v>1.5397874259251987E-2</v>
      </c>
    </row>
    <row r="374" spans="19:27" x14ac:dyDescent="0.2">
      <c r="S374" s="32"/>
      <c r="T374" s="187"/>
      <c r="W374" s="221" t="str">
        <f t="shared" si="14"/>
        <v>1D</v>
      </c>
      <c r="X374" s="222">
        <f>_xll.qlCalendarAdvance(Calendar,X373,W374,"f",FALSE)</f>
        <v>42327</v>
      </c>
      <c r="Y374" s="227">
        <f>_xll.qlCalendarAdvance(Calendar,X374,NDays&amp;"D")</f>
        <v>42327</v>
      </c>
      <c r="Z374" s="228">
        <v>1.5805396891639331E-2</v>
      </c>
      <c r="AA374" s="230">
        <v>1.5422229468341486E-2</v>
      </c>
    </row>
    <row r="375" spans="19:27" x14ac:dyDescent="0.2">
      <c r="S375" s="32"/>
      <c r="T375" s="187"/>
      <c r="W375" s="221" t="str">
        <f t="shared" si="14"/>
        <v>1D</v>
      </c>
      <c r="X375" s="222">
        <f>_xll.qlCalendarAdvance(Calendar,X374,W375,"f",FALSE)</f>
        <v>42328</v>
      </c>
      <c r="Y375" s="227">
        <f>_xll.qlCalendarAdvance(Calendar,X375,NDays&amp;"D")</f>
        <v>42328</v>
      </c>
      <c r="Z375" s="228">
        <v>1.5817088816655979E-2</v>
      </c>
      <c r="AA375" s="230">
        <v>1.5471499120311243E-2</v>
      </c>
    </row>
    <row r="376" spans="19:27" x14ac:dyDescent="0.2">
      <c r="S376" s="32"/>
      <c r="T376" s="187"/>
      <c r="W376" s="221" t="str">
        <f t="shared" si="14"/>
        <v>1D</v>
      </c>
      <c r="X376" s="222">
        <f>_xll.qlCalendarAdvance(Calendar,X375,W376,"f",FALSE)</f>
        <v>42331</v>
      </c>
      <c r="Y376" s="227">
        <f>_xll.qlCalendarAdvance(Calendar,X376,NDays&amp;"D")</f>
        <v>42331</v>
      </c>
      <c r="Z376" s="228">
        <v>1.5876498094264207E-2</v>
      </c>
      <c r="AA376" s="230">
        <v>1.5519360744492561E-2</v>
      </c>
    </row>
    <row r="377" spans="19:27" x14ac:dyDescent="0.2">
      <c r="S377" s="32"/>
      <c r="T377" s="187"/>
      <c r="W377" s="221" t="str">
        <f t="shared" si="14"/>
        <v>1D</v>
      </c>
      <c r="X377" s="222">
        <f>_xll.qlCalendarAdvance(Calendar,X376,W377,"f",FALSE)</f>
        <v>42332</v>
      </c>
      <c r="Y377" s="227">
        <f>_xll.qlCalendarAdvance(Calendar,X377,NDays&amp;"D")</f>
        <v>42332</v>
      </c>
      <c r="Z377" s="228">
        <v>1.5900318691690507E-2</v>
      </c>
      <c r="AA377" s="230">
        <v>1.5543571173397552E-2</v>
      </c>
    </row>
    <row r="378" spans="19:27" x14ac:dyDescent="0.2">
      <c r="S378" s="32"/>
      <c r="T378" s="187"/>
      <c r="W378" s="221" t="str">
        <f t="shared" si="14"/>
        <v>1D</v>
      </c>
      <c r="X378" s="222">
        <f>_xll.qlCalendarAdvance(Calendar,X377,W378,"f",FALSE)</f>
        <v>42333</v>
      </c>
      <c r="Y378" s="227">
        <f>_xll.qlCalendarAdvance(Calendar,X378,NDays&amp;"D")</f>
        <v>42333</v>
      </c>
      <c r="Z378" s="228">
        <v>1.5972694704715139E-2</v>
      </c>
      <c r="AA378" s="230">
        <v>1.5567752646330479E-2</v>
      </c>
    </row>
    <row r="379" spans="19:27" x14ac:dyDescent="0.2">
      <c r="S379" s="32"/>
      <c r="T379" s="187"/>
      <c r="W379" s="221" t="str">
        <f t="shared" si="14"/>
        <v>1D</v>
      </c>
      <c r="X379" s="222">
        <f>_xll.qlCalendarAdvance(Calendar,X378,W379,"f",FALSE)</f>
        <v>42334</v>
      </c>
      <c r="Y379" s="227">
        <f>_xll.qlCalendarAdvance(Calendar,X379,NDays&amp;"D")</f>
        <v>42334</v>
      </c>
      <c r="Z379" s="228">
        <v>1.5984283924460201E-2</v>
      </c>
      <c r="AA379" s="230">
        <v>1.5591905163129249E-2</v>
      </c>
    </row>
    <row r="380" spans="19:27" x14ac:dyDescent="0.2">
      <c r="S380" s="32"/>
      <c r="T380" s="187"/>
      <c r="W380" s="221" t="str">
        <f t="shared" si="14"/>
        <v>1D</v>
      </c>
      <c r="X380" s="222">
        <f>_xll.qlCalendarAdvance(Calendar,X379,W380,"f",FALSE)</f>
        <v>42335</v>
      </c>
      <c r="Y380" s="227">
        <f>_xll.qlCalendarAdvance(Calendar,X380,NDays&amp;"D")</f>
        <v>42335</v>
      </c>
      <c r="Z380" s="228">
        <v>1.5995862456721771E-2</v>
      </c>
      <c r="AA380" s="230">
        <v>1.5640783858727657E-2</v>
      </c>
    </row>
    <row r="381" spans="19:27" x14ac:dyDescent="0.2">
      <c r="S381" s="32"/>
      <c r="T381" s="187"/>
      <c r="W381" s="221" t="str">
        <f t="shared" si="14"/>
        <v>1D</v>
      </c>
      <c r="X381" s="222">
        <f>_xll.qlCalendarAdvance(Calendar,X380,W381,"f",FALSE)</f>
        <v>42338</v>
      </c>
      <c r="Y381" s="227">
        <f>_xll.qlCalendarAdvance(Calendar,X381,NDays&amp;"D")</f>
        <v>42338</v>
      </c>
      <c r="Z381" s="228">
        <v>1.6054726194028323E-2</v>
      </c>
      <c r="AA381" s="230">
        <v>1.5688225669955314E-2</v>
      </c>
    </row>
    <row r="382" spans="19:27" x14ac:dyDescent="0.2">
      <c r="S382" s="32"/>
      <c r="T382" s="187"/>
      <c r="W382" s="221" t="str">
        <f t="shared" si="14"/>
        <v>1D</v>
      </c>
      <c r="X382" s="222">
        <f>_xll.qlCalendarAdvance(Calendar,X381,W382,"f",FALSE)</f>
        <v>42339</v>
      </c>
      <c r="Y382" s="227">
        <f>_xll.qlCalendarAdvance(Calendar,X382,NDays&amp;"D")</f>
        <v>42339</v>
      </c>
      <c r="Z382" s="228">
        <v>1.611451421816747E-2</v>
      </c>
      <c r="AA382" s="230">
        <v>1.5712233406488529E-2</v>
      </c>
    </row>
    <row r="383" spans="19:27" x14ac:dyDescent="0.2">
      <c r="S383" s="32"/>
      <c r="T383" s="187"/>
      <c r="W383" s="221" t="str">
        <f t="shared" si="14"/>
        <v>1D</v>
      </c>
      <c r="X383" s="222">
        <f>_xll.qlCalendarAdvance(Calendar,X382,W383,"f",FALSE)</f>
        <v>42340</v>
      </c>
      <c r="Y383" s="227">
        <f>_xll.qlCalendarAdvance(Calendar,X383,NDays&amp;"D")</f>
        <v>42340</v>
      </c>
      <c r="Z383" s="228">
        <v>1.6126010365962274E-2</v>
      </c>
      <c r="AA383" s="230">
        <v>1.5736212186887588E-2</v>
      </c>
    </row>
    <row r="384" spans="19:27" x14ac:dyDescent="0.2">
      <c r="S384" s="32"/>
      <c r="T384" s="187"/>
      <c r="W384" s="221" t="str">
        <f t="shared" si="14"/>
        <v>1D</v>
      </c>
      <c r="X384" s="222">
        <f>_xll.qlCalendarAdvance(Calendar,X383,W384,"f",FALSE)</f>
        <v>42341</v>
      </c>
      <c r="Y384" s="227">
        <f>_xll.qlCalendarAdvance(Calendar,X384,NDays&amp;"D")</f>
        <v>42341</v>
      </c>
      <c r="Z384" s="228">
        <v>1.6137495824651259E-2</v>
      </c>
      <c r="AA384" s="230">
        <v>1.5760162011233536E-2</v>
      </c>
    </row>
    <row r="385" spans="19:27" x14ac:dyDescent="0.2">
      <c r="S385" s="32"/>
      <c r="T385" s="187"/>
      <c r="W385" s="221" t="str">
        <f t="shared" si="14"/>
        <v>1D</v>
      </c>
      <c r="X385" s="222">
        <f>_xll.qlCalendarAdvance(Calendar,X384,W385,"f",FALSE)</f>
        <v>42342</v>
      </c>
      <c r="Y385" s="227">
        <f>_xll.qlCalendarAdvance(Calendar,X385,NDays&amp;"D")</f>
        <v>42342</v>
      </c>
      <c r="Z385" s="228">
        <v>1.6148970594402436E-2</v>
      </c>
      <c r="AA385" s="230">
        <v>1.5808649783878675E-2</v>
      </c>
    </row>
    <row r="386" spans="19:27" x14ac:dyDescent="0.2">
      <c r="S386" s="32"/>
      <c r="T386" s="187"/>
      <c r="W386" s="221" t="str">
        <f t="shared" si="14"/>
        <v>1D</v>
      </c>
      <c r="X386" s="222">
        <f>_xll.qlCalendarAdvance(Calendar,X385,W386,"f",FALSE)</f>
        <v>42345</v>
      </c>
      <c r="Y386" s="227">
        <f>_xll.qlCalendarAdvance(Calendar,X386,NDays&amp;"D")</f>
        <v>42345</v>
      </c>
      <c r="Z386" s="228">
        <v>1.6219349927854582E-2</v>
      </c>
      <c r="AA386" s="230">
        <v>1.5855671747518896E-2</v>
      </c>
    </row>
    <row r="387" spans="19:27" x14ac:dyDescent="0.2">
      <c r="S387" s="32"/>
      <c r="T387" s="187"/>
      <c r="W387" s="221" t="str">
        <f t="shared" si="14"/>
        <v>1D</v>
      </c>
      <c r="X387" s="222">
        <f>_xll.qlCalendarAdvance(Calendar,X386,W387,"f",FALSE)</f>
        <v>42346</v>
      </c>
      <c r="Y387" s="227">
        <f>_xll.qlCalendarAdvance(Calendar,X387,NDays&amp;"D")</f>
        <v>42346</v>
      </c>
      <c r="Z387" s="228">
        <v>1.6242751806309182E-2</v>
      </c>
      <c r="AA387" s="230">
        <v>1.5879476791356151E-2</v>
      </c>
    </row>
    <row r="388" spans="19:27" x14ac:dyDescent="0.2">
      <c r="S388" s="32"/>
      <c r="T388" s="187"/>
      <c r="W388" s="221" t="str">
        <f t="shared" si="14"/>
        <v>1D</v>
      </c>
      <c r="X388" s="222">
        <f>_xll.qlCalendarAdvance(Calendar,X387,W388,"f",FALSE)</f>
        <v>42347</v>
      </c>
      <c r="Y388" s="227">
        <f>_xll.qlCalendarAdvance(Calendar,X388,NDays&amp;"D")</f>
        <v>42347</v>
      </c>
      <c r="Z388" s="228">
        <v>1.6290040715549098E-2</v>
      </c>
      <c r="AA388" s="230">
        <v>1.5903252878978202E-2</v>
      </c>
    </row>
    <row r="389" spans="19:27" x14ac:dyDescent="0.2">
      <c r="S389" s="32"/>
      <c r="T389" s="187"/>
      <c r="W389" s="221" t="str">
        <f t="shared" si="14"/>
        <v>1D</v>
      </c>
      <c r="X389" s="222">
        <f>_xll.qlCalendarAdvance(Calendar,X388,W389,"f",FALSE)</f>
        <v>42348</v>
      </c>
      <c r="Y389" s="227">
        <f>_xll.qlCalendarAdvance(Calendar,X389,NDays&amp;"D")</f>
        <v>42348</v>
      </c>
      <c r="Z389" s="228">
        <v>1.6301417573618172E-2</v>
      </c>
      <c r="AA389" s="230">
        <v>1.5927000010547143E-2</v>
      </c>
    </row>
    <row r="390" spans="19:27" x14ac:dyDescent="0.2">
      <c r="S390" s="32"/>
      <c r="T390" s="187"/>
      <c r="W390" s="221" t="str">
        <f t="shared" si="14"/>
        <v>1D</v>
      </c>
      <c r="X390" s="222">
        <f>_xll.qlCalendarAdvance(Calendar,X389,W390,"f",FALSE)</f>
        <v>42349</v>
      </c>
      <c r="Y390" s="227">
        <f>_xll.qlCalendarAdvance(Calendar,X390,NDays&amp;"D")</f>
        <v>42349</v>
      </c>
      <c r="Z390" s="228">
        <v>1.6312783741148012E-2</v>
      </c>
      <c r="AA390" s="230">
        <v>1.5975096889901952E-2</v>
      </c>
    </row>
    <row r="391" spans="19:27" x14ac:dyDescent="0.2">
      <c r="S391" s="32"/>
      <c r="T391" s="187"/>
      <c r="W391" s="221" t="str">
        <f t="shared" si="14"/>
        <v>1D</v>
      </c>
      <c r="X391" s="222">
        <f>_xll.qlCalendarAdvance(Calendar,X390,W391,"f",FALSE)</f>
        <v>42352</v>
      </c>
      <c r="Y391" s="227">
        <f>_xll.qlCalendarAdvance(Calendar,X391,NDays&amp;"D")</f>
        <v>42352</v>
      </c>
      <c r="Z391" s="228">
        <v>1.638255512160329E-2</v>
      </c>
      <c r="AA391" s="230">
        <v>1.6021698975319243E-2</v>
      </c>
    </row>
    <row r="392" spans="19:27" x14ac:dyDescent="0.2">
      <c r="S392" s="32"/>
      <c r="T392" s="187"/>
      <c r="W392" s="221" t="str">
        <f t="shared" si="14"/>
        <v>1D</v>
      </c>
      <c r="X392" s="222">
        <f>_xll.qlCalendarAdvance(Calendar,X391,W392,"f",FALSE)</f>
        <v>42353</v>
      </c>
      <c r="Y392" s="227">
        <f>_xll.qlCalendarAdvance(Calendar,X392,NDays&amp;"D")</f>
        <v>42353</v>
      </c>
      <c r="Z392" s="228">
        <v>1.6405754346645846E-2</v>
      </c>
      <c r="AA392" s="230">
        <v>1.6045301326055306E-2</v>
      </c>
    </row>
    <row r="393" spans="19:27" x14ac:dyDescent="0.2">
      <c r="S393" s="32"/>
      <c r="T393" s="187"/>
      <c r="W393" s="221" t="str">
        <f t="shared" si="14"/>
        <v>1D</v>
      </c>
      <c r="X393" s="222">
        <f>_xll.qlCalendarAdvance(Calendar,X392,W393,"f",FALSE)</f>
        <v>42354</v>
      </c>
      <c r="Y393" s="227">
        <f>_xll.qlCalendarAdvance(Calendar,X393,NDays&amp;"D")</f>
        <v>42354</v>
      </c>
      <c r="Z393" s="228">
        <v>1.6452652519148882E-2</v>
      </c>
      <c r="AA393" s="230">
        <v>1.6068874720738258E-2</v>
      </c>
    </row>
    <row r="394" spans="19:27" x14ac:dyDescent="0.2">
      <c r="S394" s="32"/>
      <c r="T394" s="187"/>
      <c r="W394" s="221" t="str">
        <f t="shared" si="14"/>
        <v>1D</v>
      </c>
      <c r="X394" s="222">
        <f>_xll.qlCalendarAdvance(Calendar,X393,W394,"f",FALSE)</f>
        <v>42355</v>
      </c>
      <c r="Y394" s="227">
        <f>_xll.qlCalendarAdvance(Calendar,X394,NDays&amp;"D")</f>
        <v>42355</v>
      </c>
      <c r="Z394" s="228">
        <v>1.6463920762526847E-2</v>
      </c>
      <c r="AA394" s="230">
        <v>1.6092419159206006E-2</v>
      </c>
    </row>
    <row r="395" spans="19:27" x14ac:dyDescent="0.2">
      <c r="S395" s="32"/>
      <c r="T395" s="187"/>
      <c r="W395" s="221" t="str">
        <f t="shared" si="14"/>
        <v>1D</v>
      </c>
      <c r="X395" s="222">
        <f>_xll.qlCalendarAdvance(Calendar,X394,W395,"f",FALSE)</f>
        <v>42356</v>
      </c>
      <c r="Y395" s="227">
        <f>_xll.qlCalendarAdvance(Calendar,X395,NDays&amp;"D")</f>
        <v>42356</v>
      </c>
      <c r="Z395" s="228">
        <v>1.6475178314051112E-2</v>
      </c>
      <c r="AA395" s="230">
        <v>1.6140125170989172E-2</v>
      </c>
    </row>
    <row r="396" spans="19:27" x14ac:dyDescent="0.2">
      <c r="S396" s="32"/>
      <c r="T396" s="187"/>
      <c r="W396" s="221" t="str">
        <f t="shared" si="14"/>
        <v>1D</v>
      </c>
      <c r="X396" s="222">
        <f>_xll.qlCalendarAdvance(Calendar,X395,W396,"f",FALSE)</f>
        <v>42359</v>
      </c>
      <c r="Y396" s="227">
        <f>_xll.qlCalendarAdvance(Calendar,X396,NDays&amp;"D")</f>
        <v>42359</v>
      </c>
      <c r="Z396" s="228">
        <v>1.6544341716296283E-2</v>
      </c>
      <c r="AA396" s="230">
        <v>1.6186307351168105E-2</v>
      </c>
    </row>
    <row r="397" spans="19:27" x14ac:dyDescent="0.2">
      <c r="S397" s="32"/>
      <c r="T397" s="187"/>
      <c r="W397" s="221" t="str">
        <f t="shared" si="14"/>
        <v>1D</v>
      </c>
      <c r="X397" s="222">
        <f>_xll.qlCalendarAdvance(Calendar,X396,W397,"f",FALSE)</f>
        <v>42360</v>
      </c>
      <c r="Y397" s="227">
        <f>_xll.qlCalendarAdvance(Calendar,X397,NDays&amp;"D")</f>
        <v>42360</v>
      </c>
      <c r="Z397" s="228">
        <v>1.6567338279547657E-2</v>
      </c>
      <c r="AA397" s="230">
        <v>1.620970700872193E-2</v>
      </c>
    </row>
    <row r="398" spans="19:27" x14ac:dyDescent="0.2">
      <c r="S398" s="32"/>
      <c r="T398" s="187"/>
      <c r="W398" s="221" t="str">
        <f t="shared" si="14"/>
        <v>1D</v>
      </c>
      <c r="X398" s="222">
        <f>_xll.qlCalendarAdvance(Calendar,X397,W398,"f",FALSE)</f>
        <v>42361</v>
      </c>
      <c r="Y398" s="227">
        <f>_xll.qlCalendarAdvance(Calendar,X398,NDays&amp;"D")</f>
        <v>42361</v>
      </c>
      <c r="Z398" s="228">
        <v>1.6613845714216001E-2</v>
      </c>
      <c r="AA398" s="230">
        <v>1.6233077710060551E-2</v>
      </c>
    </row>
    <row r="399" spans="19:27" x14ac:dyDescent="0.2">
      <c r="S399" s="32"/>
      <c r="T399" s="187"/>
      <c r="W399" s="221" t="str">
        <f t="shared" si="14"/>
        <v>1D</v>
      </c>
      <c r="X399" s="222">
        <f>_xll.qlCalendarAdvance(Calendar,X398,W399,"f",FALSE)</f>
        <v>42362</v>
      </c>
      <c r="Y399" s="227">
        <f>_xll.qlCalendarAdvance(Calendar,X399,NDays&amp;"D")</f>
        <v>42362</v>
      </c>
      <c r="Z399" s="228">
        <v>1.6625005330774927E-2</v>
      </c>
      <c r="AA399" s="230">
        <v>1.6304443553357695E-2</v>
      </c>
    </row>
    <row r="400" spans="19:27" x14ac:dyDescent="0.2">
      <c r="S400" s="32"/>
      <c r="T400" s="187"/>
      <c r="W400" s="221" t="str">
        <f t="shared" si="14"/>
        <v>1D</v>
      </c>
      <c r="X400" s="222">
        <f>_xll.qlCalendarAdvance(Calendar,X399,W400,"f",FALSE)</f>
        <v>42367</v>
      </c>
      <c r="Y400" s="227">
        <f>_xll.qlCalendarAdvance(Calendar,X400,NDays&amp;"D")</f>
        <v>42367</v>
      </c>
      <c r="Z400" s="228">
        <v>1.67275035466273E-2</v>
      </c>
      <c r="AA400" s="230">
        <v>1.6372693837410912E-2</v>
      </c>
    </row>
    <row r="401" spans="19:27" x14ac:dyDescent="0.2">
      <c r="S401" s="32"/>
      <c r="T401" s="187"/>
      <c r="W401" s="221" t="str">
        <f t="shared" si="14"/>
        <v>1D</v>
      </c>
      <c r="X401" s="222">
        <f>_xll.qlCalendarAdvance(Calendar,X400,W401,"f",FALSE)</f>
        <v>42368</v>
      </c>
      <c r="Y401" s="227">
        <f>_xll.qlCalendarAdvance(Calendar,X401,NDays&amp;"D")</f>
        <v>42368</v>
      </c>
      <c r="Z401" s="228">
        <v>1.6738579699564642E-2</v>
      </c>
      <c r="AA401" s="230">
        <v>1.6395861845162063E-2</v>
      </c>
    </row>
    <row r="402" spans="19:27" x14ac:dyDescent="0.2">
      <c r="S402" s="32"/>
      <c r="T402" s="187"/>
      <c r="W402" s="221" t="str">
        <f t="shared" si="14"/>
        <v>1D</v>
      </c>
      <c r="X402" s="222">
        <f>_xll.qlCalendarAdvance(Calendar,X401,W402,"f",FALSE)</f>
        <v>42369</v>
      </c>
      <c r="Y402" s="227">
        <f>_xll.qlCalendarAdvance(Calendar,X402,NDays&amp;"D")</f>
        <v>42369</v>
      </c>
      <c r="Z402" s="228">
        <v>1.6749645159711939E-2</v>
      </c>
      <c r="AA402" s="230">
        <v>1.6454749672664137E-2</v>
      </c>
    </row>
    <row r="403" spans="19:27" x14ac:dyDescent="0.2">
      <c r="S403" s="32"/>
      <c r="T403" s="187"/>
      <c r="W403" s="221" t="str">
        <f t="shared" si="14"/>
        <v>1D</v>
      </c>
      <c r="X403" s="222">
        <f>_xll.qlCalendarAdvance(Calendar,X402,W403,"f",FALSE)</f>
        <v>42373</v>
      </c>
      <c r="Y403" s="227">
        <f>_xll.qlCalendarAdvance(Calendar,X403,NDays&amp;"D")</f>
        <v>42373</v>
      </c>
      <c r="Z403" s="228">
        <v>1.6863658875203795E-2</v>
      </c>
      <c r="AA403" s="230">
        <v>1.6511267540041397E-2</v>
      </c>
    </row>
    <row r="404" spans="19:27" x14ac:dyDescent="0.2">
      <c r="S404" s="32"/>
      <c r="T404" s="187"/>
      <c r="W404" s="221" t="str">
        <f t="shared" si="14"/>
        <v>1D</v>
      </c>
      <c r="X404" s="222">
        <f>_xll.qlCalendarAdvance(Calendar,X403,W404,"f",FALSE)</f>
        <v>42374</v>
      </c>
      <c r="Y404" s="227">
        <f>_xll.qlCalendarAdvance(Calendar,X404,NDays&amp;"D")</f>
        <v>42374</v>
      </c>
      <c r="Z404" s="228">
        <v>1.6886250090017735E-2</v>
      </c>
      <c r="AA404" s="230">
        <v>1.6534261810177142E-2</v>
      </c>
    </row>
    <row r="405" spans="19:27" x14ac:dyDescent="0.2">
      <c r="S405" s="32"/>
      <c r="T405" s="187"/>
      <c r="W405" s="221" t="str">
        <f t="shared" ref="W405:W468" si="15">W404</f>
        <v>1D</v>
      </c>
      <c r="X405" s="222">
        <f>_xll.qlCalendarAdvance(Calendar,X404,W405,"f",FALSE)</f>
        <v>42375</v>
      </c>
      <c r="Y405" s="227">
        <f>_xll.qlCalendarAdvance(Calendar,X405,NDays&amp;"D")</f>
        <v>42375</v>
      </c>
      <c r="Z405" s="228">
        <v>1.6931976031295849E-2</v>
      </c>
      <c r="AA405" s="230">
        <v>1.6557227124097684E-2</v>
      </c>
    </row>
    <row r="406" spans="19:27" x14ac:dyDescent="0.2">
      <c r="S406" s="32"/>
      <c r="T406" s="187"/>
      <c r="W406" s="221" t="str">
        <f t="shared" si="15"/>
        <v>1D</v>
      </c>
      <c r="X406" s="222">
        <f>_xll.qlCalendarAdvance(Calendar,X405,W406,"f",FALSE)</f>
        <v>42376</v>
      </c>
      <c r="Y406" s="227">
        <f>_xll.qlCalendarAdvance(Calendar,X406,NDays&amp;"D")</f>
        <v>42376</v>
      </c>
      <c r="Z406" s="228">
        <v>1.6942918365473354E-2</v>
      </c>
      <c r="AA406" s="230">
        <v>1.6580163481721977E-2</v>
      </c>
    </row>
    <row r="407" spans="19:27" x14ac:dyDescent="0.2">
      <c r="S407" s="32"/>
      <c r="T407" s="187"/>
      <c r="W407" s="221" t="str">
        <f t="shared" si="15"/>
        <v>1D</v>
      </c>
      <c r="X407" s="222">
        <f>_xll.qlCalendarAdvance(Calendar,X406,W407,"f",FALSE)</f>
        <v>42377</v>
      </c>
      <c r="Y407" s="227">
        <f>_xll.qlCalendarAdvance(Calendar,X407,NDays&amp;"D")</f>
        <v>42377</v>
      </c>
      <c r="Z407" s="228">
        <v>1.6953850005495184E-2</v>
      </c>
      <c r="AA407" s="230">
        <v>1.6626697007145662E-2</v>
      </c>
    </row>
    <row r="408" spans="19:27" x14ac:dyDescent="0.2">
      <c r="S408" s="32"/>
      <c r="T408" s="187"/>
      <c r="W408" s="221" t="str">
        <f t="shared" si="15"/>
        <v>1D</v>
      </c>
      <c r="X408" s="222">
        <f>_xll.qlCalendarAdvance(Calendar,X407,W408,"f",FALSE)</f>
        <v>42380</v>
      </c>
      <c r="Y408" s="227">
        <f>_xll.qlCalendarAdvance(Calendar,X408,NDays&amp;"D")</f>
        <v>42380</v>
      </c>
      <c r="Z408" s="228">
        <v>1.7021189324039784E-2</v>
      </c>
      <c r="AA408" s="230">
        <v>1.6671619349094557E-2</v>
      </c>
    </row>
    <row r="409" spans="19:27" x14ac:dyDescent="0.2">
      <c r="S409" s="32"/>
      <c r="T409" s="187"/>
      <c r="W409" s="221" t="str">
        <f t="shared" si="15"/>
        <v>1D</v>
      </c>
      <c r="X409" s="222">
        <f>_xll.qlCalendarAdvance(Calendar,X408,W409,"f",FALSE)</f>
        <v>42381</v>
      </c>
      <c r="Y409" s="227">
        <f>_xll.qlCalendarAdvance(Calendar,X409,NDays&amp;"D")</f>
        <v>42381</v>
      </c>
      <c r="Z409" s="228">
        <v>1.7043577852351263E-2</v>
      </c>
      <c r="AA409" s="230">
        <v>1.6694410925237602E-2</v>
      </c>
    </row>
    <row r="410" spans="19:27" x14ac:dyDescent="0.2">
      <c r="S410" s="32"/>
      <c r="T410" s="187"/>
      <c r="W410" s="221" t="str">
        <f t="shared" si="15"/>
        <v>1D</v>
      </c>
      <c r="X410" s="222">
        <f>_xll.qlCalendarAdvance(Calendar,X409,W410,"f",FALSE)</f>
        <v>42382</v>
      </c>
      <c r="Y410" s="227">
        <f>_xll.qlCalendarAdvance(Calendar,X410,NDays&amp;"D")</f>
        <v>42382</v>
      </c>
      <c r="Z410" s="228">
        <v>1.7088913030945882E-2</v>
      </c>
      <c r="AA410" s="230">
        <v>1.671717354500335E-2</v>
      </c>
    </row>
    <row r="411" spans="19:27" x14ac:dyDescent="0.2">
      <c r="S411" s="32"/>
      <c r="T411" s="187"/>
      <c r="W411" s="221" t="str">
        <f t="shared" si="15"/>
        <v>1D</v>
      </c>
      <c r="X411" s="222">
        <f>_xll.qlCalendarAdvance(Calendar,X410,W411,"f",FALSE)</f>
        <v>42383</v>
      </c>
      <c r="Y411" s="227">
        <f>_xll.qlCalendarAdvance(Calendar,X411,NDays&amp;"D")</f>
        <v>42383</v>
      </c>
      <c r="Z411" s="228">
        <v>1.7099746713350461E-2</v>
      </c>
      <c r="AA411" s="230">
        <v>1.6739907208472848E-2</v>
      </c>
    </row>
    <row r="412" spans="19:27" x14ac:dyDescent="0.2">
      <c r="S412" s="32"/>
      <c r="T412" s="187"/>
      <c r="W412" s="221" t="str">
        <f t="shared" si="15"/>
        <v>1D</v>
      </c>
      <c r="X412" s="222">
        <f>_xll.qlCalendarAdvance(Calendar,X411,W412,"f",FALSE)</f>
        <v>42384</v>
      </c>
      <c r="Y412" s="227">
        <f>_xll.qlCalendarAdvance(Calendar,X412,NDays&amp;"D")</f>
        <v>42384</v>
      </c>
      <c r="Z412" s="228">
        <v>1.7110569701372279E-2</v>
      </c>
      <c r="AA412" s="230">
        <v>1.6786049931242962E-2</v>
      </c>
    </row>
    <row r="413" spans="19:27" x14ac:dyDescent="0.2">
      <c r="S413" s="32"/>
      <c r="T413" s="187"/>
      <c r="W413" s="221" t="str">
        <f t="shared" si="15"/>
        <v>1D</v>
      </c>
      <c r="X413" s="222">
        <f>_xll.qlCalendarAdvance(Calendar,X412,W413,"f",FALSE)</f>
        <v>42387</v>
      </c>
      <c r="Y413" s="227">
        <f>_xll.qlCalendarAdvance(Calendar,X413,NDays&amp;"D")</f>
        <v>42387</v>
      </c>
      <c r="Z413" s="228">
        <v>1.7177300943057763E-2</v>
      </c>
      <c r="AA413" s="230">
        <v>1.6830552298902068E-2</v>
      </c>
    </row>
    <row r="414" spans="19:27" x14ac:dyDescent="0.2">
      <c r="S414" s="32"/>
      <c r="T414" s="187"/>
      <c r="W414" s="221" t="str">
        <f t="shared" si="15"/>
        <v>1D</v>
      </c>
      <c r="X414" s="222">
        <f>_xll.qlCalendarAdvance(Calendar,X413,W414,"f",FALSE)</f>
        <v>42388</v>
      </c>
      <c r="Y414" s="227">
        <f>_xll.qlCalendarAdvance(Calendar,X414,NDays&amp;"D")</f>
        <v>42388</v>
      </c>
      <c r="Z414" s="228">
        <v>1.7199486776783075E-2</v>
      </c>
      <c r="AA414" s="230">
        <v>1.6853141180566134E-2</v>
      </c>
    </row>
    <row r="415" spans="19:27" x14ac:dyDescent="0.2">
      <c r="S415" s="32"/>
      <c r="T415" s="187"/>
      <c r="W415" s="221" t="str">
        <f t="shared" si="15"/>
        <v>1D</v>
      </c>
      <c r="X415" s="222">
        <f>_xll.qlCalendarAdvance(Calendar,X414,W415,"f",FALSE)</f>
        <v>42389</v>
      </c>
      <c r="Y415" s="227">
        <f>_xll.qlCalendarAdvance(Calendar,X415,NDays&amp;"D")</f>
        <v>42389</v>
      </c>
      <c r="Z415" s="228">
        <v>1.7244431177332958E-2</v>
      </c>
      <c r="AA415" s="230">
        <v>1.6875701106014995E-2</v>
      </c>
    </row>
    <row r="416" spans="19:27" x14ac:dyDescent="0.2">
      <c r="S416" s="32"/>
      <c r="T416" s="187"/>
      <c r="W416" s="221" t="str">
        <f t="shared" si="15"/>
        <v>1D</v>
      </c>
      <c r="X416" s="222">
        <f>_xll.qlCalendarAdvance(Calendar,X415,W416,"f",FALSE)</f>
        <v>42390</v>
      </c>
      <c r="Y416" s="227">
        <f>_xll.qlCalendarAdvance(Calendar,X416,NDays&amp;"D")</f>
        <v>42390</v>
      </c>
      <c r="Z416" s="228">
        <v>1.7255156203407826E-2</v>
      </c>
      <c r="AA416" s="230">
        <v>1.6898232075005515E-2</v>
      </c>
    </row>
    <row r="417" spans="19:27" x14ac:dyDescent="0.2">
      <c r="S417" s="32"/>
      <c r="T417" s="187"/>
      <c r="W417" s="221" t="str">
        <f t="shared" si="15"/>
        <v>1D</v>
      </c>
      <c r="X417" s="222">
        <f>_xll.qlCalendarAdvance(Calendar,X416,W417,"f",FALSE)</f>
        <v>42391</v>
      </c>
      <c r="Y417" s="227">
        <f>_xll.qlCalendarAdvance(Calendar,X417,NDays&amp;"D")</f>
        <v>42391</v>
      </c>
      <c r="Z417" s="228">
        <v>1.7265870535138349E-2</v>
      </c>
      <c r="AA417" s="230">
        <v>1.6943984002038004E-2</v>
      </c>
    </row>
    <row r="418" spans="19:27" x14ac:dyDescent="0.2">
      <c r="S418" s="32"/>
      <c r="T418" s="187"/>
      <c r="W418" s="221" t="str">
        <f t="shared" si="15"/>
        <v>1D</v>
      </c>
      <c r="X418" s="222">
        <f>_xll.qlCalendarAdvance(Calendar,X417,W418,"f",FALSE)</f>
        <v>42394</v>
      </c>
      <c r="Y418" s="227">
        <f>_xll.qlCalendarAdvance(Calendar,X418,NDays&amp;"D")</f>
        <v>42394</v>
      </c>
      <c r="Z418" s="228">
        <v>1.7331993675857367E-2</v>
      </c>
      <c r="AA418" s="230">
        <v>1.6988066387356726E-2</v>
      </c>
    </row>
    <row r="419" spans="19:27" x14ac:dyDescent="0.2">
      <c r="S419" s="32"/>
      <c r="T419" s="187"/>
      <c r="W419" s="221" t="str">
        <f t="shared" si="15"/>
        <v>1D</v>
      </c>
      <c r="X419" s="222">
        <f>_xll.qlCalendarAdvance(Calendar,X418,W419,"f",FALSE)</f>
        <v>42395</v>
      </c>
      <c r="Y419" s="227">
        <f>_xll.qlCalendarAdvance(Calendar,X419,NDays&amp;"D")</f>
        <v>42395</v>
      </c>
      <c r="Z419" s="228">
        <v>1.735397680697293E-2</v>
      </c>
      <c r="AA419" s="230">
        <v>1.7010452574541812E-2</v>
      </c>
    </row>
    <row r="420" spans="19:27" x14ac:dyDescent="0.2">
      <c r="S420" s="32"/>
      <c r="T420" s="187"/>
      <c r="W420" s="221" t="str">
        <f t="shared" si="15"/>
        <v>1D</v>
      </c>
      <c r="X420" s="222">
        <f>_xll.qlCalendarAdvance(Calendar,X419,W420,"f",FALSE)</f>
        <v>42396</v>
      </c>
      <c r="Y420" s="227">
        <f>_xll.qlCalendarAdvance(Calendar,X420,NDays&amp;"D")</f>
        <v>42396</v>
      </c>
      <c r="Z420" s="228">
        <v>1.7398530410640007E-2</v>
      </c>
      <c r="AA420" s="230">
        <v>1.7032809805268556E-2</v>
      </c>
    </row>
    <row r="421" spans="19:27" x14ac:dyDescent="0.2">
      <c r="S421" s="32"/>
      <c r="T421" s="187"/>
      <c r="W421" s="221" t="str">
        <f t="shared" si="15"/>
        <v>1D</v>
      </c>
      <c r="X421" s="222">
        <f>_xll.qlCalendarAdvance(Calendar,X420,W421,"f",FALSE)</f>
        <v>42397</v>
      </c>
      <c r="Y421" s="227">
        <f>_xll.qlCalendarAdvance(Calendar,X421,NDays&amp;"D")</f>
        <v>42397</v>
      </c>
      <c r="Z421" s="228">
        <v>1.7409146777677097E-2</v>
      </c>
      <c r="AA421" s="230">
        <v>1.7055138079536958E-2</v>
      </c>
    </row>
    <row r="422" spans="19:27" x14ac:dyDescent="0.2">
      <c r="S422" s="32"/>
      <c r="T422" s="187"/>
      <c r="W422" s="221" t="str">
        <f t="shared" si="15"/>
        <v>1D</v>
      </c>
      <c r="X422" s="222">
        <f>_xll.qlCalendarAdvance(Calendar,X421,W422,"f",FALSE)</f>
        <v>42398</v>
      </c>
      <c r="Y422" s="227">
        <f>_xll.qlCalendarAdvance(Calendar,X422,NDays&amp;"D")</f>
        <v>42398</v>
      </c>
      <c r="Z422" s="228">
        <v>1.7419752450680604E-2</v>
      </c>
      <c r="AA422" s="230">
        <v>1.7100499213965614E-2</v>
      </c>
    </row>
    <row r="423" spans="19:27" x14ac:dyDescent="0.2">
      <c r="S423" s="32"/>
      <c r="T423" s="187"/>
      <c r="W423" s="221" t="str">
        <f t="shared" si="15"/>
        <v>1D</v>
      </c>
      <c r="X423" s="222">
        <f>_xll.qlCalendarAdvance(Calendar,X422,W423,"f",FALSE)</f>
        <v>42401</v>
      </c>
      <c r="Y423" s="227">
        <f>_xll.qlCalendarAdvance(Calendar,X423,NDays&amp;"D")</f>
        <v>42401</v>
      </c>
      <c r="Z423" s="228">
        <v>1.7462767968464188E-2</v>
      </c>
      <c r="AA423" s="230">
        <v>1.7144161612837605E-2</v>
      </c>
    </row>
    <row r="424" spans="19:27" x14ac:dyDescent="0.2">
      <c r="S424" s="32"/>
      <c r="T424" s="187"/>
      <c r="W424" s="221" t="str">
        <f t="shared" si="15"/>
        <v>1D</v>
      </c>
      <c r="X424" s="222">
        <f>_xll.qlCalendarAdvance(Calendar,X423,W424,"f",FALSE)</f>
        <v>42402</v>
      </c>
      <c r="Y424" s="227">
        <f>_xll.qlCalendarAdvance(Calendar,X424,NDays&amp;"D")</f>
        <v>42402</v>
      </c>
      <c r="Z424" s="228">
        <v>1.7484575261812883E-2</v>
      </c>
      <c r="AA424" s="230">
        <v>1.7166345105057434E-2</v>
      </c>
    </row>
    <row r="425" spans="19:27" x14ac:dyDescent="0.2">
      <c r="S425" s="32"/>
      <c r="T425" s="187"/>
      <c r="W425" s="221" t="str">
        <f t="shared" si="15"/>
        <v>1D</v>
      </c>
      <c r="X425" s="222">
        <f>_xll.qlCalendarAdvance(Calendar,X424,W425,"f",FALSE)</f>
        <v>42403</v>
      </c>
      <c r="Y425" s="227">
        <f>_xll.qlCalendarAdvance(Calendar,X425,NDays&amp;"D")</f>
        <v>42403</v>
      </c>
      <c r="Z425" s="228">
        <v>1.7506353596204772E-2</v>
      </c>
      <c r="AA425" s="230">
        <v>1.7188499640899968E-2</v>
      </c>
    </row>
    <row r="426" spans="19:27" x14ac:dyDescent="0.2">
      <c r="S426" s="32"/>
      <c r="T426" s="187"/>
      <c r="W426" s="221" t="str">
        <f t="shared" si="15"/>
        <v>1D</v>
      </c>
      <c r="X426" s="222">
        <f>_xll.qlCalendarAdvance(Calendar,X425,W426,"f",FALSE)</f>
        <v>42404</v>
      </c>
      <c r="Y426" s="227">
        <f>_xll.qlCalendarAdvance(Calendar,X426,NDays&amp;"D")</f>
        <v>42404</v>
      </c>
      <c r="Z426" s="228">
        <v>1.7528102971483356E-2</v>
      </c>
      <c r="AA426" s="230">
        <v>1.7210625220365205E-2</v>
      </c>
    </row>
    <row r="427" spans="19:27" x14ac:dyDescent="0.2">
      <c r="S427" s="32"/>
      <c r="T427" s="187"/>
      <c r="W427" s="221" t="str">
        <f t="shared" si="15"/>
        <v>1D</v>
      </c>
      <c r="X427" s="222">
        <f>_xll.qlCalendarAdvance(Calendar,X426,W427,"f",FALSE)</f>
        <v>42405</v>
      </c>
      <c r="Y427" s="227">
        <f>_xll.qlCalendarAdvance(Calendar,X427,NDays&amp;"D")</f>
        <v>42405</v>
      </c>
      <c r="Z427" s="228">
        <v>1.7572215392385612E-2</v>
      </c>
      <c r="AA427" s="230">
        <v>1.7255595561595692E-2</v>
      </c>
    </row>
    <row r="428" spans="19:27" x14ac:dyDescent="0.2">
      <c r="S428" s="32"/>
      <c r="T428" s="187"/>
      <c r="W428" s="221" t="str">
        <f t="shared" si="15"/>
        <v>1D</v>
      </c>
      <c r="X428" s="222">
        <f>_xll.qlCalendarAdvance(Calendar,X427,W428,"f",FALSE)</f>
        <v>42408</v>
      </c>
      <c r="Y428" s="227">
        <f>_xll.qlCalendarAdvance(Calendar,X428,NDays&amp;"D")</f>
        <v>42408</v>
      </c>
      <c r="Z428" s="228">
        <v>1.7614810878499452E-2</v>
      </c>
      <c r="AA428" s="230">
        <v>1.7298837973399595E-2</v>
      </c>
    </row>
    <row r="429" spans="19:27" x14ac:dyDescent="0.2">
      <c r="S429" s="32"/>
      <c r="T429" s="187"/>
      <c r="W429" s="221" t="str">
        <f t="shared" si="15"/>
        <v>1D</v>
      </c>
      <c r="X429" s="222">
        <f>_xll.qlCalendarAdvance(Calendar,X428,W429,"f",FALSE)</f>
        <v>42409</v>
      </c>
      <c r="Y429" s="227">
        <f>_xll.qlCalendarAdvance(Calendar,X429,NDays&amp;"D")</f>
        <v>42409</v>
      </c>
      <c r="Z429" s="228">
        <v>1.7636415455981332E-2</v>
      </c>
      <c r="AA429" s="230">
        <v>1.7320818770573121E-2</v>
      </c>
    </row>
    <row r="430" spans="19:27" x14ac:dyDescent="0.2">
      <c r="S430" s="32"/>
      <c r="T430" s="187"/>
      <c r="W430" s="221" t="str">
        <f t="shared" si="15"/>
        <v>1D</v>
      </c>
      <c r="X430" s="222">
        <f>_xll.qlCalendarAdvance(Calendar,X429,W430,"f",FALSE)</f>
        <v>42410</v>
      </c>
      <c r="Y430" s="227">
        <f>_xll.qlCalendarAdvance(Calendar,X430,NDays&amp;"D")</f>
        <v>42410</v>
      </c>
      <c r="Z430" s="228">
        <v>1.7657991073452808E-2</v>
      </c>
      <c r="AA430" s="230">
        <v>1.7342770611207259E-2</v>
      </c>
    </row>
    <row r="431" spans="19:27" x14ac:dyDescent="0.2">
      <c r="S431" s="32"/>
      <c r="T431" s="187"/>
      <c r="W431" s="221" t="str">
        <f t="shared" si="15"/>
        <v>1D</v>
      </c>
      <c r="X431" s="222">
        <f>_xll.qlCalendarAdvance(Calendar,X430,W431,"f",FALSE)</f>
        <v>42411</v>
      </c>
      <c r="Y431" s="227">
        <f>_xll.qlCalendarAdvance(Calendar,X431,NDays&amp;"D")</f>
        <v>42411</v>
      </c>
      <c r="Z431" s="228">
        <v>1.7679537730768555E-2</v>
      </c>
      <c r="AA431" s="230">
        <v>1.7364693495383055E-2</v>
      </c>
    </row>
    <row r="432" spans="19:27" x14ac:dyDescent="0.2">
      <c r="S432" s="32"/>
      <c r="T432" s="187"/>
      <c r="W432" s="221" t="str">
        <f t="shared" si="15"/>
        <v>1D</v>
      </c>
      <c r="X432" s="222">
        <f>_xll.qlCalendarAdvance(Calendar,X431,W432,"f",FALSE)</f>
        <v>42412</v>
      </c>
      <c r="Y432" s="227">
        <f>_xll.qlCalendarAdvance(Calendar,X432,NDays&amp;"D")</f>
        <v>42412</v>
      </c>
      <c r="Z432" s="228">
        <v>1.7723259305170661E-2</v>
      </c>
      <c r="AA432" s="230">
        <v>1.740927303949813E-2</v>
      </c>
    </row>
    <row r="433" spans="19:27" x14ac:dyDescent="0.2">
      <c r="S433" s="32"/>
      <c r="T433" s="187"/>
      <c r="W433" s="221" t="str">
        <f t="shared" si="15"/>
        <v>1D</v>
      </c>
      <c r="X433" s="222">
        <f>_xll.qlCalendarAdvance(Calendar,X432,W433,"f",FALSE)</f>
        <v>42415</v>
      </c>
      <c r="Y433" s="227">
        <f>_xll.qlCalendarAdvance(Calendar,X433,NDays&amp;"D")</f>
        <v>42415</v>
      </c>
      <c r="Z433" s="228">
        <v>1.7765434755495097E-2</v>
      </c>
      <c r="AA433" s="230">
        <v>1.7452095467259676E-2</v>
      </c>
    </row>
    <row r="434" spans="19:27" x14ac:dyDescent="0.2">
      <c r="S434" s="32"/>
      <c r="T434" s="187"/>
      <c r="W434" s="221" t="str">
        <f t="shared" si="15"/>
        <v>1D</v>
      </c>
      <c r="X434" s="222">
        <f>_xll.qlCalendarAdvance(Calendar,X433,W434,"f",FALSE)</f>
        <v>42416</v>
      </c>
      <c r="Y434" s="227">
        <f>_xll.qlCalendarAdvance(Calendar,X434,NDays&amp;"D")</f>
        <v>42416</v>
      </c>
      <c r="Z434" s="228">
        <v>1.7786836609802025E-2</v>
      </c>
      <c r="AA434" s="230">
        <v>1.7473873568981668E-2</v>
      </c>
    </row>
    <row r="435" spans="19:27" x14ac:dyDescent="0.2">
      <c r="S435" s="32"/>
      <c r="T435" s="187"/>
      <c r="W435" s="221" t="str">
        <f t="shared" si="15"/>
        <v>1D</v>
      </c>
      <c r="X435" s="222">
        <f>_xll.qlCalendarAdvance(Calendar,X434,W435,"f",FALSE)</f>
        <v>42417</v>
      </c>
      <c r="Y435" s="227">
        <f>_xll.qlCalendarAdvance(Calendar,X435,NDays&amp;"D")</f>
        <v>42417</v>
      </c>
      <c r="Z435" s="228">
        <v>1.7808209503061716E-2</v>
      </c>
      <c r="AA435" s="230">
        <v>1.7495622714245318E-2</v>
      </c>
    </row>
    <row r="436" spans="19:27" x14ac:dyDescent="0.2">
      <c r="S436" s="32"/>
      <c r="T436" s="187"/>
      <c r="W436" s="221" t="str">
        <f t="shared" si="15"/>
        <v>1D</v>
      </c>
      <c r="X436" s="222">
        <f>_xll.qlCalendarAdvance(Calendar,X435,W436,"f",FALSE)</f>
        <v>42418</v>
      </c>
      <c r="Y436" s="227">
        <f>_xll.qlCalendarAdvance(Calendar,X436,NDays&amp;"D")</f>
        <v>42418</v>
      </c>
      <c r="Z436" s="228">
        <v>1.7829553435131641E-2</v>
      </c>
      <c r="AA436" s="230">
        <v>1.7517342902969579E-2</v>
      </c>
    </row>
    <row r="437" spans="19:27" x14ac:dyDescent="0.2">
      <c r="S437" s="32"/>
      <c r="T437" s="187"/>
      <c r="W437" s="221" t="str">
        <f t="shared" si="15"/>
        <v>1D</v>
      </c>
      <c r="X437" s="222">
        <f>_xll.qlCalendarAdvance(Calendar,X436,W437,"f",FALSE)</f>
        <v>42419</v>
      </c>
      <c r="Y437" s="227">
        <f>_xll.qlCalendarAdvance(Calendar,X437,NDays&amp;"D")</f>
        <v>42419</v>
      </c>
      <c r="Z437" s="228">
        <v>1.7872884134444541E-2</v>
      </c>
      <c r="AA437" s="230">
        <v>1.756153164226985E-2</v>
      </c>
    </row>
    <row r="438" spans="19:27" x14ac:dyDescent="0.2">
      <c r="S438" s="32"/>
      <c r="T438" s="187"/>
      <c r="W438" s="221" t="str">
        <f t="shared" si="15"/>
        <v>1D</v>
      </c>
      <c r="X438" s="222">
        <f>_xll.qlCalendarAdvance(Calendar,X437,W438,"f",FALSE)</f>
        <v>42422</v>
      </c>
      <c r="Y438" s="227">
        <f>_xll.qlCalendarAdvance(Calendar,X438,NDays&amp;"D")</f>
        <v>42422</v>
      </c>
      <c r="Z438" s="228">
        <v>1.7914639548528909E-2</v>
      </c>
      <c r="AA438" s="230">
        <v>1.7603934092634832E-2</v>
      </c>
    </row>
    <row r="439" spans="19:27" x14ac:dyDescent="0.2">
      <c r="S439" s="32"/>
      <c r="T439" s="187"/>
      <c r="W439" s="221" t="str">
        <f t="shared" si="15"/>
        <v>1D</v>
      </c>
      <c r="X439" s="222">
        <f>_xll.qlCalendarAdvance(Calendar,X438,W439,"f",FALSE)</f>
        <v>42423</v>
      </c>
      <c r="Y439" s="227">
        <f>_xll.qlCalendarAdvance(Calendar,X439,NDays&amp;"D")</f>
        <v>42423</v>
      </c>
      <c r="Z439" s="228">
        <v>1.793583867242541E-2</v>
      </c>
      <c r="AA439" s="230">
        <v>1.7625509498824243E-2</v>
      </c>
    </row>
    <row r="440" spans="19:27" x14ac:dyDescent="0.2">
      <c r="S440" s="32"/>
      <c r="T440" s="187"/>
      <c r="W440" s="221" t="str">
        <f t="shared" si="15"/>
        <v>1D</v>
      </c>
      <c r="X440" s="222">
        <f>_xll.qlCalendarAdvance(Calendar,X439,W440,"f",FALSE)</f>
        <v>42424</v>
      </c>
      <c r="Y440" s="227">
        <f>_xll.qlCalendarAdvance(Calendar,X440,NDays&amp;"D")</f>
        <v>42424</v>
      </c>
      <c r="Z440" s="228">
        <v>1.7957008834249017E-2</v>
      </c>
      <c r="AA440" s="230">
        <v>1.7647055948312174E-2</v>
      </c>
    </row>
    <row r="441" spans="19:27" x14ac:dyDescent="0.2">
      <c r="S441" s="32"/>
      <c r="T441" s="187"/>
      <c r="W441" s="221" t="str">
        <f t="shared" si="15"/>
        <v>1D</v>
      </c>
      <c r="X441" s="222">
        <f>_xll.qlCalendarAdvance(Calendar,X440,W441,"f",FALSE)</f>
        <v>42425</v>
      </c>
      <c r="Y441" s="227">
        <f>_xll.qlCalendarAdvance(Calendar,X441,NDays&amp;"D")</f>
        <v>42425</v>
      </c>
      <c r="Z441" s="228">
        <v>1.8021824468501535E-2</v>
      </c>
      <c r="AA441" s="230">
        <v>1.7668573441341762E-2</v>
      </c>
    </row>
    <row r="442" spans="19:27" x14ac:dyDescent="0.2">
      <c r="S442" s="32"/>
      <c r="T442" s="187"/>
      <c r="W442" s="221" t="str">
        <f t="shared" si="15"/>
        <v>1D</v>
      </c>
      <c r="X442" s="222">
        <f>_xll.qlCalendarAdvance(Calendar,X441,W442,"f",FALSE)</f>
        <v>42426</v>
      </c>
      <c r="Y442" s="227">
        <f>_xll.qlCalendarAdvance(Calendar,X442,NDays&amp;"D")</f>
        <v>42426</v>
      </c>
      <c r="Z442" s="228">
        <v>1.8031990687617724E-2</v>
      </c>
      <c r="AA442" s="230">
        <v>1.7712371364615825E-2</v>
      </c>
    </row>
    <row r="443" spans="19:27" x14ac:dyDescent="0.2">
      <c r="S443" s="32"/>
      <c r="T443" s="187"/>
      <c r="W443" s="221" t="str">
        <f t="shared" si="15"/>
        <v>1D</v>
      </c>
      <c r="X443" s="222">
        <f>_xll.qlCalendarAdvance(Calendar,X442,W443,"f",FALSE)</f>
        <v>42429</v>
      </c>
      <c r="Y443" s="227">
        <f>_xll.qlCalendarAdvance(Calendar,X443,NDays&amp;"D")</f>
        <v>42429</v>
      </c>
      <c r="Z443" s="228">
        <v>1.8084172108002405E-2</v>
      </c>
      <c r="AA443" s="230">
        <v>1.775435384782309E-2</v>
      </c>
    </row>
    <row r="444" spans="19:27" x14ac:dyDescent="0.2">
      <c r="S444" s="32"/>
      <c r="T444" s="187"/>
      <c r="W444" s="221" t="str">
        <f t="shared" si="15"/>
        <v>1D</v>
      </c>
      <c r="X444" s="222">
        <f>_xll.qlCalendarAdvance(Calendar,X443,W444,"f",FALSE)</f>
        <v>42430</v>
      </c>
      <c r="Y444" s="227">
        <f>_xll.qlCalendarAdvance(Calendar,X444,NDays&amp;"D")</f>
        <v>42430</v>
      </c>
      <c r="Z444" s="228">
        <v>1.8105141608392626E-2</v>
      </c>
      <c r="AA444" s="230">
        <v>1.7775726557993643E-2</v>
      </c>
    </row>
    <row r="445" spans="19:27" x14ac:dyDescent="0.2">
      <c r="S445" s="32"/>
      <c r="T445" s="187"/>
      <c r="W445" s="221" t="str">
        <f t="shared" si="15"/>
        <v>1D</v>
      </c>
      <c r="X445" s="222">
        <f>_xll.qlCalendarAdvance(Calendar,X444,W445,"f",FALSE)</f>
        <v>42431</v>
      </c>
      <c r="Y445" s="227">
        <f>_xll.qlCalendarAdvance(Calendar,X445,NDays&amp;"D")</f>
        <v>42431</v>
      </c>
      <c r="Z445" s="228">
        <v>1.8147740825444666E-2</v>
      </c>
      <c r="AA445" s="230">
        <v>1.7797070311624807E-2</v>
      </c>
    </row>
    <row r="446" spans="19:27" x14ac:dyDescent="0.2">
      <c r="S446" s="32"/>
      <c r="T446" s="187"/>
      <c r="W446" s="221" t="str">
        <f t="shared" si="15"/>
        <v>1D</v>
      </c>
      <c r="X446" s="222">
        <f>_xll.qlCalendarAdvance(Calendar,X445,W446,"f",FALSE)</f>
        <v>42432</v>
      </c>
      <c r="Y446" s="227">
        <f>_xll.qlCalendarAdvance(Calendar,X446,NDays&amp;"D")</f>
        <v>42432</v>
      </c>
      <c r="Z446" s="228">
        <v>1.8157813920395977E-2</v>
      </c>
      <c r="AA446" s="230">
        <v>1.7818385108716583E-2</v>
      </c>
    </row>
    <row r="447" spans="19:27" x14ac:dyDescent="0.2">
      <c r="S447" s="32"/>
      <c r="T447" s="187"/>
      <c r="W447" s="221" t="str">
        <f t="shared" si="15"/>
        <v>1D</v>
      </c>
      <c r="X447" s="222">
        <f>_xll.qlCalendarAdvance(Calendar,X446,W447,"f",FALSE)</f>
        <v>42433</v>
      </c>
      <c r="Y447" s="227">
        <f>_xll.qlCalendarAdvance(Calendar,X447,NDays&amp;"D")</f>
        <v>42433</v>
      </c>
      <c r="Z447" s="228">
        <v>1.8167876326718835E-2</v>
      </c>
      <c r="AA447" s="230">
        <v>1.7861792201241032E-2</v>
      </c>
    </row>
    <row r="448" spans="19:27" x14ac:dyDescent="0.2">
      <c r="S448" s="32"/>
      <c r="T448" s="187"/>
      <c r="W448" s="221" t="str">
        <f t="shared" si="15"/>
        <v>1D</v>
      </c>
      <c r="X448" s="222">
        <f>_xll.qlCalendarAdvance(Calendar,X447,W448,"f",FALSE)</f>
        <v>42436</v>
      </c>
      <c r="Y448" s="227">
        <f>_xll.qlCalendarAdvance(Calendar,X448,NDays&amp;"D")</f>
        <v>42436</v>
      </c>
      <c r="Z448" s="228">
        <v>1.8230350367536501E-2</v>
      </c>
      <c r="AA448" s="230">
        <v>1.7903354730960386E-2</v>
      </c>
    </row>
    <row r="449" spans="19:27" x14ac:dyDescent="0.2">
      <c r="S449" s="32"/>
      <c r="T449" s="187"/>
      <c r="W449" s="221" t="str">
        <f t="shared" si="15"/>
        <v>1D</v>
      </c>
      <c r="X449" s="222">
        <f>_xll.qlCalendarAdvance(Calendar,X448,W449,"f",FALSE)</f>
        <v>42437</v>
      </c>
      <c r="Y449" s="227">
        <f>_xll.qlCalendarAdvance(Calendar,X449,NDays&amp;"D")</f>
        <v>42437</v>
      </c>
      <c r="Z449" s="228">
        <v>1.8251117118757189E-2</v>
      </c>
      <c r="AA449" s="230">
        <v>1.7924524745031034E-2</v>
      </c>
    </row>
    <row r="450" spans="19:27" x14ac:dyDescent="0.2">
      <c r="S450" s="32"/>
      <c r="T450" s="187"/>
      <c r="W450" s="221" t="str">
        <f t="shared" si="15"/>
        <v>1D</v>
      </c>
      <c r="X450" s="222">
        <f>_xll.qlCalendarAdvance(Calendar,X449,W450,"f",FALSE)</f>
        <v>42438</v>
      </c>
      <c r="Y450" s="227">
        <f>_xll.qlCalendarAdvance(Calendar,X450,NDays&amp;"D")</f>
        <v>42438</v>
      </c>
      <c r="Z450" s="228">
        <v>1.8293325354593905E-2</v>
      </c>
      <c r="AA450" s="230">
        <v>1.7945665802481248E-2</v>
      </c>
    </row>
    <row r="451" spans="19:27" x14ac:dyDescent="0.2">
      <c r="S451" s="32"/>
      <c r="T451" s="187"/>
      <c r="W451" s="221" t="str">
        <f t="shared" si="15"/>
        <v>1D</v>
      </c>
      <c r="X451" s="222">
        <f>_xll.qlCalendarAdvance(Calendar,X450,W451,"f",FALSE)</f>
        <v>42439</v>
      </c>
      <c r="Y451" s="227">
        <f>_xll.qlCalendarAdvance(Calendar,X451,NDays&amp;"D")</f>
        <v>42439</v>
      </c>
      <c r="Z451" s="228">
        <v>1.8303289812249025E-2</v>
      </c>
      <c r="AA451" s="230">
        <v>1.7966777903311026E-2</v>
      </c>
    </row>
    <row r="452" spans="19:27" x14ac:dyDescent="0.2">
      <c r="S452" s="32"/>
      <c r="T452" s="187"/>
      <c r="W452" s="221" t="str">
        <f t="shared" si="15"/>
        <v>1D</v>
      </c>
      <c r="X452" s="222">
        <f>_xll.qlCalendarAdvance(Calendar,X451,W452,"f",FALSE)</f>
        <v>42440</v>
      </c>
      <c r="Y452" s="227">
        <f>_xll.qlCalendarAdvance(Calendar,X452,NDays&amp;"D")</f>
        <v>42440</v>
      </c>
      <c r="Z452" s="228">
        <v>1.8313243583119858E-2</v>
      </c>
      <c r="AA452" s="230">
        <v>1.8009794146931494E-2</v>
      </c>
    </row>
    <row r="453" spans="19:27" x14ac:dyDescent="0.2">
      <c r="S453" s="32"/>
      <c r="T453" s="187"/>
      <c r="W453" s="221" t="str">
        <f t="shared" si="15"/>
        <v>1D</v>
      </c>
      <c r="X453" s="222">
        <f>_xll.qlCalendarAdvance(Calendar,X452,W453,"f",FALSE)</f>
        <v>42443</v>
      </c>
      <c r="Y453" s="227">
        <f>_xll.qlCalendarAdvance(Calendar,X453,NDays&amp;"D")</f>
        <v>42443</v>
      </c>
      <c r="Z453" s="228">
        <v>1.8375109360321631E-2</v>
      </c>
      <c r="AA453" s="230">
        <v>1.8050936740344747E-2</v>
      </c>
    </row>
    <row r="454" spans="19:27" x14ac:dyDescent="0.2">
      <c r="S454" s="32"/>
      <c r="T454" s="187"/>
      <c r="W454" s="221" t="str">
        <f t="shared" si="15"/>
        <v>1D</v>
      </c>
      <c r="X454" s="222">
        <f>_xll.qlCalendarAdvance(Calendar,X453,W454,"f",FALSE)</f>
        <v>42444</v>
      </c>
      <c r="Y454" s="227">
        <f>_xll.qlCalendarAdvance(Calendar,X454,NDays&amp;"D")</f>
        <v>42444</v>
      </c>
      <c r="Z454" s="228">
        <v>1.8395673354866859E-2</v>
      </c>
      <c r="AA454" s="230">
        <v>1.8071904058072352E-2</v>
      </c>
    </row>
    <row r="455" spans="19:27" x14ac:dyDescent="0.2">
      <c r="S455" s="32"/>
      <c r="T455" s="187"/>
      <c r="W455" s="221" t="str">
        <f t="shared" si="15"/>
        <v>1D</v>
      </c>
      <c r="X455" s="222">
        <f>_xll.qlCalendarAdvance(Calendar,X454,W455,"f",FALSE)</f>
        <v>42445</v>
      </c>
      <c r="Y455" s="227">
        <f>_xll.qlCalendarAdvance(Calendar,X455,NDays&amp;"D")</f>
        <v>42445</v>
      </c>
      <c r="Z455" s="228">
        <v>1.8437490567195083E-2</v>
      </c>
      <c r="AA455" s="230">
        <v>1.8092842419098476E-2</v>
      </c>
    </row>
    <row r="456" spans="19:27" x14ac:dyDescent="0.2">
      <c r="S456" s="32"/>
      <c r="T456" s="187"/>
      <c r="W456" s="221" t="str">
        <f t="shared" si="15"/>
        <v>1D</v>
      </c>
      <c r="X456" s="222">
        <f>_xll.qlCalendarAdvance(Calendar,X455,W456,"f",FALSE)</f>
        <v>42446</v>
      </c>
      <c r="Y456" s="227">
        <f>_xll.qlCalendarAdvance(Calendar,X456,NDays&amp;"D")</f>
        <v>42446</v>
      </c>
      <c r="Z456" s="228">
        <v>1.8447346397354319E-2</v>
      </c>
      <c r="AA456" s="230">
        <v>1.8113751823504165E-2</v>
      </c>
    </row>
    <row r="457" spans="19:27" x14ac:dyDescent="0.2">
      <c r="S457" s="32"/>
      <c r="T457" s="187"/>
      <c r="W457" s="221" t="str">
        <f t="shared" si="15"/>
        <v>1D</v>
      </c>
      <c r="X457" s="222">
        <f>_xll.qlCalendarAdvance(Calendar,X456,W457,"f",FALSE)</f>
        <v>42447</v>
      </c>
      <c r="Y457" s="227">
        <f>_xll.qlCalendarAdvance(Calendar,X457,NDays&amp;"D")</f>
        <v>42447</v>
      </c>
      <c r="Z457" s="228">
        <v>1.8457191542813549E-2</v>
      </c>
      <c r="AA457" s="230">
        <v>1.8156377196473231E-2</v>
      </c>
    </row>
    <row r="458" spans="19:27" x14ac:dyDescent="0.2">
      <c r="S458" s="32"/>
      <c r="T458" s="187"/>
      <c r="W458" s="221" t="str">
        <f t="shared" si="15"/>
        <v>1D</v>
      </c>
      <c r="X458" s="222">
        <f>_xll.qlCalendarAdvance(Calendar,X457,W458,"f",FALSE)</f>
        <v>42450</v>
      </c>
      <c r="Y458" s="227">
        <f>_xll.qlCalendarAdvance(Calendar,X458,NDays&amp;"D")</f>
        <v>42450</v>
      </c>
      <c r="Z458" s="228">
        <v>1.8518449034048961E-2</v>
      </c>
      <c r="AA458" s="230">
        <v>1.8197099874355249E-2</v>
      </c>
    </row>
    <row r="459" spans="19:27" x14ac:dyDescent="0.2">
      <c r="S459" s="32"/>
      <c r="T459" s="187"/>
      <c r="W459" s="221" t="str">
        <f t="shared" si="15"/>
        <v>1D</v>
      </c>
      <c r="X459" s="222">
        <f>_xll.qlCalendarAdvance(Calendar,X458,W459,"f",FALSE)</f>
        <v>42451</v>
      </c>
      <c r="Y459" s="227">
        <f>_xll.qlCalendarAdvance(Calendar,X459,NDays&amp;"D")</f>
        <v>42451</v>
      </c>
      <c r="Z459" s="228">
        <v>1.8538810264488611E-2</v>
      </c>
      <c r="AA459" s="230">
        <v>1.8217864495415625E-2</v>
      </c>
    </row>
    <row r="460" spans="19:27" x14ac:dyDescent="0.2">
      <c r="S460" s="32"/>
      <c r="T460" s="187"/>
      <c r="W460" s="221" t="str">
        <f t="shared" si="15"/>
        <v>1D</v>
      </c>
      <c r="X460" s="222">
        <f>_xll.qlCalendarAdvance(Calendar,X459,W460,"f",FALSE)</f>
        <v>42452</v>
      </c>
      <c r="Y460" s="227">
        <f>_xll.qlCalendarAdvance(Calendar,X460,NDays&amp;"D")</f>
        <v>42452</v>
      </c>
      <c r="Z460" s="228">
        <v>1.858023640779044E-2</v>
      </c>
      <c r="AA460" s="230">
        <v>1.8238600159693474E-2</v>
      </c>
    </row>
    <row r="461" spans="19:27" x14ac:dyDescent="0.2">
      <c r="S461" s="32"/>
      <c r="T461" s="187"/>
      <c r="W461" s="221" t="str">
        <f t="shared" si="15"/>
        <v>1D</v>
      </c>
      <c r="X461" s="222">
        <f>_xll.qlCalendarAdvance(Calendar,X460,W461,"f",FALSE)</f>
        <v>42453</v>
      </c>
      <c r="Y461" s="227">
        <f>_xll.qlCalendarAdvance(Calendar,X461,NDays&amp;"D")</f>
        <v>42453</v>
      </c>
      <c r="Z461" s="228">
        <v>1.8589983621973109E-2</v>
      </c>
      <c r="AA461" s="230">
        <v>1.8302439681749716E-2</v>
      </c>
    </row>
    <row r="462" spans="19:27" x14ac:dyDescent="0.2">
      <c r="S462" s="32"/>
      <c r="T462" s="187"/>
      <c r="W462" s="221" t="str">
        <f t="shared" si="15"/>
        <v>1D</v>
      </c>
      <c r="X462" s="222">
        <f>_xll.qlCalendarAdvance(Calendar,X461,W462,"f",FALSE)</f>
        <v>42458</v>
      </c>
      <c r="Y462" s="227">
        <f>_xll.qlCalendarAdvance(Calendar,X462,NDays&amp;"D")</f>
        <v>42458</v>
      </c>
      <c r="Z462" s="228">
        <v>1.8680527795888774E-2</v>
      </c>
      <c r="AA462" s="230">
        <v>1.8362406055277836E-2</v>
      </c>
    </row>
    <row r="463" spans="19:27" x14ac:dyDescent="0.2">
      <c r="S463" s="32"/>
      <c r="T463" s="187"/>
      <c r="W463" s="221" t="str">
        <f t="shared" si="15"/>
        <v>1D</v>
      </c>
      <c r="X463" s="222">
        <f>_xll.qlCalendarAdvance(Calendar,X462,W463,"f",FALSE)</f>
        <v>42459</v>
      </c>
      <c r="Y463" s="227">
        <f>_xll.qlCalendarAdvance(Calendar,X463,NDays&amp;"D")</f>
        <v>42459</v>
      </c>
      <c r="Z463" s="228">
        <v>1.8690191588463856E-2</v>
      </c>
      <c r="AA463" s="230">
        <v>1.8382939022726363E-2</v>
      </c>
    </row>
    <row r="464" spans="19:27" x14ac:dyDescent="0.2">
      <c r="S464" s="32"/>
      <c r="T464" s="187"/>
      <c r="W464" s="221" t="str">
        <f t="shared" si="15"/>
        <v>1D</v>
      </c>
      <c r="X464" s="222">
        <f>_xll.qlCalendarAdvance(Calendar,X463,W464,"f",FALSE)</f>
        <v>42460</v>
      </c>
      <c r="Y464" s="227">
        <f>_xll.qlCalendarAdvance(Calendar,X464,NDays&amp;"D")</f>
        <v>42460</v>
      </c>
      <c r="Z464" s="228">
        <v>1.8699844701497513E-2</v>
      </c>
      <c r="AA464" s="230">
        <v>1.840344303347341E-2</v>
      </c>
    </row>
    <row r="465" spans="19:27" x14ac:dyDescent="0.2">
      <c r="S465" s="32"/>
      <c r="T465" s="187"/>
      <c r="W465" s="221" t="str">
        <f t="shared" si="15"/>
        <v>1D</v>
      </c>
      <c r="X465" s="222">
        <f>_xll.qlCalendarAdvance(Calendar,X464,W465,"f",FALSE)</f>
        <v>42461</v>
      </c>
      <c r="Y465" s="227">
        <f>_xll.qlCalendarAdvance(Calendar,X465,NDays&amp;"D")</f>
        <v>42461</v>
      </c>
      <c r="Z465" s="228">
        <v>1.8751259532301945E-2</v>
      </c>
      <c r="AA465" s="230">
        <v>1.8445286586767921E-2</v>
      </c>
    </row>
    <row r="466" spans="19:27" x14ac:dyDescent="0.2">
      <c r="S466" s="32"/>
      <c r="T466" s="187"/>
      <c r="W466" s="221" t="str">
        <f t="shared" si="15"/>
        <v>1D</v>
      </c>
      <c r="X466" s="222">
        <f>_xll.qlCalendarAdvance(Calendar,X465,W466,"f",FALSE)</f>
        <v>42464</v>
      </c>
      <c r="Y466" s="227">
        <f>_xll.qlCalendarAdvance(Calendar,X466,NDays&amp;"D")</f>
        <v>42464</v>
      </c>
      <c r="Z466" s="228">
        <v>1.8790471795991436E-2</v>
      </c>
      <c r="AA466" s="230">
        <v>1.8485169509122601E-2</v>
      </c>
    </row>
    <row r="467" spans="19:27" x14ac:dyDescent="0.2">
      <c r="S467" s="32"/>
      <c r="T467" s="187"/>
      <c r="W467" s="221" t="str">
        <f t="shared" si="15"/>
        <v>1D</v>
      </c>
      <c r="X467" s="222">
        <f>_xll.qlCalendarAdvance(Calendar,X466,W467,"f",FALSE)</f>
        <v>42465</v>
      </c>
      <c r="Y467" s="227">
        <f>_xll.qlCalendarAdvance(Calendar,X467,NDays&amp;"D")</f>
        <v>42465</v>
      </c>
      <c r="Z467" s="228">
        <v>1.8810440932971611E-2</v>
      </c>
      <c r="AA467" s="230">
        <v>1.8505528736119103E-2</v>
      </c>
    </row>
    <row r="468" spans="19:27" x14ac:dyDescent="0.2">
      <c r="S468" s="32"/>
      <c r="T468" s="187"/>
      <c r="W468" s="221" t="str">
        <f t="shared" si="15"/>
        <v>1D</v>
      </c>
      <c r="X468" s="222">
        <f>_xll.qlCalendarAdvance(Calendar,X467,W468,"f",FALSE)</f>
        <v>42466</v>
      </c>
      <c r="Y468" s="227">
        <f>_xll.qlCalendarAdvance(Calendar,X468,NDays&amp;"D")</f>
        <v>42466</v>
      </c>
      <c r="Z468" s="228">
        <v>1.8830381101447267E-2</v>
      </c>
      <c r="AA468" s="230">
        <v>1.8525859006414125E-2</v>
      </c>
    </row>
    <row r="469" spans="19:27" x14ac:dyDescent="0.2">
      <c r="S469" s="32"/>
      <c r="T469" s="187"/>
      <c r="W469" s="221" t="str">
        <f t="shared" ref="W469:W532" si="16">W468</f>
        <v>1D</v>
      </c>
      <c r="X469" s="222">
        <f>_xll.qlCalendarAdvance(Calendar,X468,W469,"f",FALSE)</f>
        <v>42467</v>
      </c>
      <c r="Y469" s="227">
        <f>_xll.qlCalendarAdvance(Calendar,X469,NDays&amp;"D")</f>
        <v>42467</v>
      </c>
      <c r="Z469" s="228">
        <v>1.8870999777450444E-2</v>
      </c>
      <c r="AA469" s="230">
        <v>1.8546160320007665E-2</v>
      </c>
    </row>
    <row r="470" spans="19:27" x14ac:dyDescent="0.2">
      <c r="S470" s="32"/>
      <c r="T470" s="187"/>
      <c r="W470" s="221" t="str">
        <f t="shared" si="16"/>
        <v>1D</v>
      </c>
      <c r="X470" s="222">
        <f>_xll.qlCalendarAdvance(Calendar,X469,W470,"f",FALSE)</f>
        <v>42468</v>
      </c>
      <c r="Y470" s="227">
        <f>_xll.qlCalendarAdvance(Calendar,X470,NDays&amp;"D")</f>
        <v>42468</v>
      </c>
      <c r="Z470" s="228">
        <v>1.8880519124052499E-2</v>
      </c>
      <c r="AA470" s="230">
        <v>1.8587612917390087E-2</v>
      </c>
    </row>
    <row r="471" spans="19:27" x14ac:dyDescent="0.2">
      <c r="S471" s="32"/>
      <c r="T471" s="187"/>
      <c r="W471" s="221" t="str">
        <f t="shared" si="16"/>
        <v>1D</v>
      </c>
      <c r="X471" s="222">
        <f>_xll.qlCalendarAdvance(Calendar,X470,W471,"f",FALSE)</f>
        <v>42471</v>
      </c>
      <c r="Y471" s="227">
        <f>_xll.qlCalendarAdvance(Calendar,X471,NDays&amp;"D")</f>
        <v>42471</v>
      </c>
      <c r="Z471" s="228">
        <v>1.8929647411240962E-2</v>
      </c>
      <c r="AA471" s="230">
        <v>1.8627076006475507E-2</v>
      </c>
    </row>
    <row r="472" spans="19:27" x14ac:dyDescent="0.2">
      <c r="S472" s="32"/>
      <c r="T472" s="187"/>
      <c r="W472" s="221" t="str">
        <f t="shared" si="16"/>
        <v>1D</v>
      </c>
      <c r="X472" s="222">
        <f>_xll.qlCalendarAdvance(Calendar,X471,W472,"f",FALSE)</f>
        <v>42472</v>
      </c>
      <c r="Y472" s="227">
        <f>_xll.qlCalendarAdvance(Calendar,X472,NDays&amp;"D")</f>
        <v>42472</v>
      </c>
      <c r="Z472" s="228">
        <v>1.8949413765693479E-2</v>
      </c>
      <c r="AA472" s="230">
        <v>1.8647232536237457E-2</v>
      </c>
    </row>
    <row r="473" spans="19:27" x14ac:dyDescent="0.2">
      <c r="S473" s="32"/>
      <c r="T473" s="187"/>
      <c r="W473" s="221" t="str">
        <f t="shared" si="16"/>
        <v>1D</v>
      </c>
      <c r="X473" s="222">
        <f>_xll.qlCalendarAdvance(Calendar,X472,W473,"f",FALSE)</f>
        <v>42473</v>
      </c>
      <c r="Y473" s="227">
        <f>_xll.qlCalendarAdvance(Calendar,X473,NDays&amp;"D")</f>
        <v>42473</v>
      </c>
      <c r="Z473" s="228">
        <v>1.8969151150644608E-2</v>
      </c>
      <c r="AA473" s="230">
        <v>1.8667360109135833E-2</v>
      </c>
    </row>
    <row r="474" spans="19:27" x14ac:dyDescent="0.2">
      <c r="S474" s="32"/>
      <c r="T474" s="187"/>
      <c r="W474" s="221" t="str">
        <f t="shared" si="16"/>
        <v>1D</v>
      </c>
      <c r="X474" s="222">
        <f>_xll.qlCalendarAdvance(Calendar,X473,W474,"f",FALSE)</f>
        <v>42474</v>
      </c>
      <c r="Y474" s="227">
        <f>_xll.qlCalendarAdvance(Calendar,X474,NDays&amp;"D")</f>
        <v>42474</v>
      </c>
      <c r="Z474" s="228">
        <v>1.9009378603483222E-2</v>
      </c>
      <c r="AA474" s="230">
        <v>1.8687458725251682E-2</v>
      </c>
    </row>
    <row r="475" spans="19:27" x14ac:dyDescent="0.2">
      <c r="S475" s="32"/>
      <c r="T475" s="187"/>
      <c r="W475" s="221" t="str">
        <f t="shared" si="16"/>
        <v>1D</v>
      </c>
      <c r="X475" s="222">
        <f>_xll.qlCalendarAdvance(Calendar,X474,W475,"f",FALSE)</f>
        <v>42475</v>
      </c>
      <c r="Y475" s="227">
        <f>_xll.qlCalendarAdvance(Calendar,X475,NDays&amp;"D")</f>
        <v>42475</v>
      </c>
      <c r="Z475" s="228">
        <v>1.9018789381872986E-2</v>
      </c>
      <c r="AA475" s="230">
        <v>1.8728520331655989E-2</v>
      </c>
    </row>
    <row r="476" spans="19:27" x14ac:dyDescent="0.2">
      <c r="S476" s="32"/>
      <c r="T476" s="187"/>
      <c r="W476" s="221" t="str">
        <f t="shared" si="16"/>
        <v>1D</v>
      </c>
      <c r="X476" s="222">
        <f>_xll.qlCalendarAdvance(Calendar,X475,W476,"f",FALSE)</f>
        <v>42478</v>
      </c>
      <c r="Y476" s="227">
        <f>_xll.qlCalendarAdvance(Calendar,X476,NDays&amp;"D")</f>
        <v>42478</v>
      </c>
      <c r="Z476" s="228">
        <v>1.90674035279896E-2</v>
      </c>
      <c r="AA476" s="230">
        <v>1.8767563621727712E-2</v>
      </c>
    </row>
    <row r="477" spans="19:27" x14ac:dyDescent="0.2">
      <c r="S477" s="32"/>
      <c r="T477" s="187"/>
      <c r="W477" s="221" t="str">
        <f t="shared" si="16"/>
        <v>1D</v>
      </c>
      <c r="X477" s="222">
        <f>_xll.qlCalendarAdvance(Calendar,X476,W477,"f",FALSE)</f>
        <v>42479</v>
      </c>
      <c r="Y477" s="227">
        <f>_xll.qlCalendarAdvance(Calendar,X477,NDays&amp;"D")</f>
        <v>42479</v>
      </c>
      <c r="Z477" s="228">
        <v>1.9086967092993106E-2</v>
      </c>
      <c r="AA477" s="230">
        <v>1.8787517453849878E-2</v>
      </c>
    </row>
    <row r="478" spans="19:27" x14ac:dyDescent="0.2">
      <c r="S478" s="32"/>
      <c r="T478" s="187"/>
      <c r="W478" s="221" t="str">
        <f t="shared" si="16"/>
        <v>1D</v>
      </c>
      <c r="X478" s="222">
        <f>_xll.qlCalendarAdvance(Calendar,X477,W478,"f",FALSE)</f>
        <v>42480</v>
      </c>
      <c r="Y478" s="227">
        <f>_xll.qlCalendarAdvance(Calendar,X478,NDays&amp;"D")</f>
        <v>42480</v>
      </c>
      <c r="Z478" s="228">
        <v>1.9106501687519966E-2</v>
      </c>
      <c r="AA478" s="230">
        <v>1.880744232910847E-2</v>
      </c>
    </row>
    <row r="479" spans="19:27" x14ac:dyDescent="0.2">
      <c r="S479" s="32"/>
      <c r="T479" s="187"/>
      <c r="W479" s="221" t="str">
        <f t="shared" si="16"/>
        <v>1D</v>
      </c>
      <c r="X479" s="222">
        <f>_xll.qlCalendarAdvance(Calendar,X478,W479,"f",FALSE)</f>
        <v>42481</v>
      </c>
      <c r="Y479" s="227">
        <f>_xll.qlCalendarAdvance(Calendar,X479,NDays&amp;"D")</f>
        <v>42481</v>
      </c>
      <c r="Z479" s="228">
        <v>1.9146337859375431E-2</v>
      </c>
      <c r="AA479" s="230">
        <v>1.8827338247584535E-2</v>
      </c>
    </row>
    <row r="480" spans="19:27" x14ac:dyDescent="0.2">
      <c r="S480" s="32"/>
      <c r="T480" s="187"/>
      <c r="W480" s="221" t="str">
        <f t="shared" si="16"/>
        <v>1D</v>
      </c>
      <c r="X480" s="222">
        <f>_xll.qlCalendarAdvance(Calendar,X479,W480,"f",FALSE)</f>
        <v>42482</v>
      </c>
      <c r="Y480" s="227">
        <f>_xll.qlCalendarAdvance(Calendar,X480,NDays&amp;"D")</f>
        <v>42482</v>
      </c>
      <c r="Z480" s="228">
        <v>1.915564008802239E-2</v>
      </c>
      <c r="AA480" s="230">
        <v>1.886800882467584E-2</v>
      </c>
    </row>
    <row r="481" spans="19:27" x14ac:dyDescent="0.2">
      <c r="S481" s="32"/>
      <c r="T481" s="187"/>
      <c r="W481" s="221" t="str">
        <f t="shared" si="16"/>
        <v>1D</v>
      </c>
      <c r="X481" s="222">
        <f>_xll.qlCalendarAdvance(Calendar,X480,W481,"f",FALSE)</f>
        <v>42485</v>
      </c>
      <c r="Y481" s="227">
        <f>_xll.qlCalendarAdvance(Calendar,X481,NDays&amp;"D")</f>
        <v>42485</v>
      </c>
      <c r="Z481" s="228">
        <v>1.9203740098055332E-2</v>
      </c>
      <c r="AA481" s="230">
        <v>1.8906632353177244E-2</v>
      </c>
    </row>
    <row r="482" spans="19:27" x14ac:dyDescent="0.2">
      <c r="S482" s="32"/>
      <c r="T482" s="187"/>
      <c r="W482" s="221" t="str">
        <f t="shared" si="16"/>
        <v>1D</v>
      </c>
      <c r="X482" s="222">
        <f>_xll.qlCalendarAdvance(Calendar,X481,W482,"f",FALSE)</f>
        <v>42486</v>
      </c>
      <c r="Y482" s="227">
        <f>_xll.qlCalendarAdvance(Calendar,X482,NDays&amp;"D")</f>
        <v>42486</v>
      </c>
      <c r="Z482" s="228">
        <v>1.9223100866774923E-2</v>
      </c>
      <c r="AA482" s="230">
        <v>1.8926383487497533E-2</v>
      </c>
    </row>
    <row r="483" spans="19:27" x14ac:dyDescent="0.2">
      <c r="S483" s="32"/>
      <c r="T483" s="187"/>
      <c r="W483" s="221" t="str">
        <f t="shared" si="16"/>
        <v>1D</v>
      </c>
      <c r="X483" s="222">
        <f>_xll.qlCalendarAdvance(Calendar,X482,W483,"f",FALSE)</f>
        <v>42487</v>
      </c>
      <c r="Y483" s="227">
        <f>_xll.qlCalendarAdvance(Calendar,X483,NDays&amp;"D")</f>
        <v>42487</v>
      </c>
      <c r="Z483" s="228">
        <v>1.924243266403991E-2</v>
      </c>
      <c r="AA483" s="230">
        <v>1.8946105664873203E-2</v>
      </c>
    </row>
    <row r="484" spans="19:27" x14ac:dyDescent="0.2">
      <c r="S484" s="32"/>
      <c r="T484" s="187"/>
      <c r="W484" s="221" t="str">
        <f t="shared" si="16"/>
        <v>1D</v>
      </c>
      <c r="X484" s="222">
        <f>_xll.qlCalendarAdvance(Calendar,X483,W484,"f",FALSE)</f>
        <v>42488</v>
      </c>
      <c r="Y484" s="227">
        <f>_xll.qlCalendarAdvance(Calendar,X484,NDays&amp;"D")</f>
        <v>42488</v>
      </c>
      <c r="Z484" s="228">
        <v>1.9291935545479505E-2</v>
      </c>
      <c r="AA484" s="230">
        <v>1.8965798885466345E-2</v>
      </c>
    </row>
    <row r="485" spans="19:27" x14ac:dyDescent="0.2">
      <c r="S485" s="32"/>
      <c r="T485" s="187"/>
      <c r="W485" s="221" t="str">
        <f t="shared" si="16"/>
        <v>1D</v>
      </c>
      <c r="X485" s="222">
        <f>_xll.qlCalendarAdvance(Calendar,X484,W485,"f",FALSE)</f>
        <v>42489</v>
      </c>
      <c r="Y485" s="227">
        <f>_xll.qlCalendarAdvance(Calendar,X485,NDays&amp;"D")</f>
        <v>42489</v>
      </c>
      <c r="Z485" s="228">
        <v>1.9301124408586598E-2</v>
      </c>
      <c r="AA485" s="230">
        <v>1.9016373090965932E-2</v>
      </c>
    </row>
    <row r="486" spans="19:27" x14ac:dyDescent="0.2">
      <c r="S486" s="32"/>
      <c r="T486" s="187"/>
      <c r="W486" s="221" t="str">
        <f t="shared" si="16"/>
        <v>1D</v>
      </c>
      <c r="X486" s="222">
        <f>_xll.qlCalendarAdvance(Calendar,X485,W486,"f",FALSE)</f>
        <v>42493</v>
      </c>
      <c r="Y486" s="227">
        <f>_xll.qlCalendarAdvance(Calendar,X486,NDays&amp;"D")</f>
        <v>42493</v>
      </c>
      <c r="Z486" s="228">
        <v>1.9367823005122825E-2</v>
      </c>
      <c r="AA486" s="230">
        <v>1.9063830635397405E-2</v>
      </c>
    </row>
    <row r="487" spans="19:27" x14ac:dyDescent="0.2">
      <c r="S487" s="32"/>
      <c r="T487" s="187"/>
      <c r="W487" s="221" t="str">
        <f t="shared" si="16"/>
        <v>1D</v>
      </c>
      <c r="X487" s="222">
        <f>_xll.qlCalendarAdvance(Calendar,X486,W487,"f",FALSE)</f>
        <v>42494</v>
      </c>
      <c r="Y487" s="227">
        <f>_xll.qlCalendarAdvance(Calendar,X487,NDays&amp;"D")</f>
        <v>42494</v>
      </c>
      <c r="Z487" s="228">
        <v>1.9406901602443571E-2</v>
      </c>
      <c r="AA487" s="230">
        <v>1.9083350114728059E-2</v>
      </c>
    </row>
    <row r="488" spans="19:27" x14ac:dyDescent="0.2">
      <c r="S488" s="32"/>
      <c r="T488" s="187"/>
      <c r="W488" s="221" t="str">
        <f t="shared" si="16"/>
        <v>1D</v>
      </c>
      <c r="X488" s="222">
        <f>_xll.qlCalendarAdvance(Calendar,X487,W488,"f",FALSE)</f>
        <v>42495</v>
      </c>
      <c r="Y488" s="227">
        <f>_xll.qlCalendarAdvance(Calendar,X488,NDays&amp;"D")</f>
        <v>42495</v>
      </c>
      <c r="Z488" s="228">
        <v>1.9415997456906746E-2</v>
      </c>
      <c r="AA488" s="230">
        <v>1.910284063719514E-2</v>
      </c>
    </row>
    <row r="489" spans="19:27" x14ac:dyDescent="0.2">
      <c r="S489" s="32"/>
      <c r="T489" s="187"/>
      <c r="W489" s="221" t="str">
        <f t="shared" si="16"/>
        <v>1D</v>
      </c>
      <c r="X489" s="222">
        <f>_xll.qlCalendarAdvance(Calendar,X488,W489,"f",FALSE)</f>
        <v>42496</v>
      </c>
      <c r="Y489" s="227">
        <f>_xll.qlCalendarAdvance(Calendar,X489,NDays&amp;"D")</f>
        <v>42496</v>
      </c>
      <c r="Z489" s="228">
        <v>1.9425082647996843E-2</v>
      </c>
      <c r="AA489" s="230">
        <v>1.914272902744522E-2</v>
      </c>
    </row>
    <row r="490" spans="19:27" x14ac:dyDescent="0.2">
      <c r="S490" s="32"/>
      <c r="T490" s="187"/>
      <c r="W490" s="221" t="str">
        <f t="shared" si="16"/>
        <v>1D</v>
      </c>
      <c r="X490" s="222">
        <f>_xll.qlCalendarAdvance(Calendar,X489,W490,"f",FALSE)</f>
        <v>42499</v>
      </c>
      <c r="Y490" s="227">
        <f>_xll.qlCalendarAdvance(Calendar,X490,NDays&amp;"D")</f>
        <v>42499</v>
      </c>
      <c r="Z490" s="228">
        <v>1.9482081529913414E-2</v>
      </c>
      <c r="AA490" s="230">
        <v>1.918051315810354E-2</v>
      </c>
    </row>
    <row r="491" spans="19:27" x14ac:dyDescent="0.2">
      <c r="S491" s="32"/>
      <c r="T491" s="187"/>
      <c r="W491" s="221" t="str">
        <f t="shared" si="16"/>
        <v>1D</v>
      </c>
      <c r="X491" s="222">
        <f>_xll.qlCalendarAdvance(Calendar,X490,W491,"f",FALSE)</f>
        <v>42500</v>
      </c>
      <c r="Y491" s="227">
        <f>_xll.qlCalendarAdvance(Calendar,X491,NDays&amp;"D")</f>
        <v>42500</v>
      </c>
      <c r="Z491" s="228">
        <v>1.9501023209688519E-2</v>
      </c>
      <c r="AA491" s="230">
        <v>1.919985889609066E-2</v>
      </c>
    </row>
    <row r="492" spans="19:27" x14ac:dyDescent="0.2">
      <c r="S492" s="32"/>
      <c r="T492" s="187"/>
      <c r="W492" s="221" t="str">
        <f t="shared" si="16"/>
        <v>1D</v>
      </c>
      <c r="X492" s="222">
        <f>_xll.qlCalendarAdvance(Calendar,X491,W492,"f",FALSE)</f>
        <v>42501</v>
      </c>
      <c r="Y492" s="227">
        <f>_xll.qlCalendarAdvance(Calendar,X492,NDays&amp;"D")</f>
        <v>42501</v>
      </c>
      <c r="Z492" s="228">
        <v>1.9539710332050653E-2</v>
      </c>
      <c r="AA492" s="230">
        <v>1.921917567713316E-2</v>
      </c>
    </row>
    <row r="493" spans="19:27" x14ac:dyDescent="0.2">
      <c r="S493" s="32"/>
      <c r="T493" s="187"/>
      <c r="W493" s="221" t="str">
        <f t="shared" si="16"/>
        <v>1D</v>
      </c>
      <c r="X493" s="222">
        <f>_xll.qlCalendarAdvance(Calendar,X492,W493,"f",FALSE)</f>
        <v>42502</v>
      </c>
      <c r="Y493" s="227">
        <f>_xll.qlCalendarAdvance(Calendar,X493,NDays&amp;"D")</f>
        <v>42502</v>
      </c>
      <c r="Z493" s="228">
        <v>1.9548697697949688E-2</v>
      </c>
      <c r="AA493" s="230">
        <v>1.923846350123104E-2</v>
      </c>
    </row>
    <row r="494" spans="19:27" x14ac:dyDescent="0.2">
      <c r="S494" s="32"/>
      <c r="T494" s="187"/>
      <c r="W494" s="221" t="str">
        <f t="shared" si="16"/>
        <v>1D</v>
      </c>
      <c r="X494" s="222">
        <f>_xll.qlCalendarAdvance(Calendar,X493,W494,"f",FALSE)</f>
        <v>42503</v>
      </c>
      <c r="Y494" s="227">
        <f>_xll.qlCalendarAdvance(Calendar,X494,NDays&amp;"D")</f>
        <v>42503</v>
      </c>
      <c r="Z494" s="228">
        <v>1.9557674404448715E-2</v>
      </c>
      <c r="AA494" s="230">
        <v>1.9277960727577263E-2</v>
      </c>
    </row>
    <row r="495" spans="19:27" x14ac:dyDescent="0.2">
      <c r="S495" s="32"/>
      <c r="T495" s="187"/>
      <c r="W495" s="221" t="str">
        <f t="shared" si="16"/>
        <v>1D</v>
      </c>
      <c r="X495" s="222">
        <f>_xll.qlCalendarAdvance(Calendar,X494,W495,"f",FALSE)</f>
        <v>42506</v>
      </c>
      <c r="Y495" s="227">
        <f>_xll.qlCalendarAdvance(Calendar,X495,NDays&amp;"D")</f>
        <v>42506</v>
      </c>
      <c r="Z495" s="228">
        <v>1.9614064829454013E-2</v>
      </c>
      <c r="AA495" s="230">
        <v>1.93153252284195E-2</v>
      </c>
    </row>
    <row r="496" spans="19:27" x14ac:dyDescent="0.2">
      <c r="S496" s="32"/>
      <c r="T496" s="187"/>
      <c r="W496" s="221" t="str">
        <f t="shared" si="16"/>
        <v>1D</v>
      </c>
      <c r="X496" s="222">
        <f>_xll.qlCalendarAdvance(Calendar,X495,W496,"f",FALSE)</f>
        <v>42507</v>
      </c>
      <c r="Y496" s="227">
        <f>_xll.qlCalendarAdvance(Calendar,X496,NDays&amp;"D")</f>
        <v>42507</v>
      </c>
      <c r="Z496" s="228">
        <v>1.9632803688307481E-2</v>
      </c>
      <c r="AA496" s="230">
        <v>1.9334468267875327E-2</v>
      </c>
    </row>
    <row r="497" spans="19:27" x14ac:dyDescent="0.2">
      <c r="S497" s="32"/>
      <c r="T497" s="187"/>
      <c r="W497" s="221" t="str">
        <f t="shared" si="16"/>
        <v>1D</v>
      </c>
      <c r="X497" s="222">
        <f>_xll.qlCalendarAdvance(Calendar,X496,W497,"f",FALSE)</f>
        <v>42508</v>
      </c>
      <c r="Y497" s="227">
        <f>_xll.qlCalendarAdvance(Calendar,X497,NDays&amp;"D")</f>
        <v>42508</v>
      </c>
      <c r="Z497" s="228">
        <v>1.9671099265644788E-2</v>
      </c>
      <c r="AA497" s="230">
        <v>1.9353582350386533E-2</v>
      </c>
    </row>
    <row r="498" spans="19:27" x14ac:dyDescent="0.2">
      <c r="S498" s="32"/>
      <c r="T498" s="187"/>
      <c r="W498" s="221" t="str">
        <f t="shared" si="16"/>
        <v>1D</v>
      </c>
      <c r="X498" s="222">
        <f>_xll.qlCalendarAdvance(Calendar,X497,W498,"f",FALSE)</f>
        <v>42509</v>
      </c>
      <c r="Y498" s="227">
        <f>_xll.qlCalendarAdvance(Calendar,X498,NDays&amp;"D")</f>
        <v>42509</v>
      </c>
      <c r="Z498" s="228">
        <v>1.9679978167664799E-2</v>
      </c>
      <c r="AA498" s="230">
        <v>1.937266747595312E-2</v>
      </c>
    </row>
    <row r="499" spans="19:27" x14ac:dyDescent="0.2">
      <c r="S499" s="32"/>
      <c r="T499" s="187"/>
      <c r="W499" s="221" t="str">
        <f t="shared" si="16"/>
        <v>1D</v>
      </c>
      <c r="X499" s="222">
        <f>_xll.qlCalendarAdvance(Calendar,X498,W499,"f",FALSE)</f>
        <v>42510</v>
      </c>
      <c r="Y499" s="227">
        <f>_xll.qlCalendarAdvance(Calendar,X499,NDays&amp;"D")</f>
        <v>42510</v>
      </c>
      <c r="Z499" s="228">
        <v>1.968884641448574E-2</v>
      </c>
      <c r="AA499" s="230">
        <v>1.9411773487228261E-2</v>
      </c>
    </row>
    <row r="500" spans="19:27" x14ac:dyDescent="0.2">
      <c r="S500" s="32"/>
      <c r="T500" s="187"/>
      <c r="W500" s="221" t="str">
        <f t="shared" si="16"/>
        <v>1D</v>
      </c>
      <c r="X500" s="222">
        <f>_xll.qlCalendarAdvance(Calendar,X499,W500,"f",FALSE)</f>
        <v>42513</v>
      </c>
      <c r="Y500" s="227">
        <f>_xll.qlCalendarAdvance(Calendar,X500,NDays&amp;"D")</f>
        <v>42513</v>
      </c>
      <c r="Z500" s="228">
        <v>1.9744628362197935E-2</v>
      </c>
      <c r="AA500" s="230">
        <v>1.944871840853013E-2</v>
      </c>
    </row>
    <row r="501" spans="19:27" x14ac:dyDescent="0.2">
      <c r="S501" s="32"/>
      <c r="T501" s="187"/>
      <c r="W501" s="221" t="str">
        <f t="shared" si="16"/>
        <v>1D</v>
      </c>
      <c r="X501" s="222">
        <f>_xll.qlCalendarAdvance(Calendar,X500,W501,"f",FALSE)</f>
        <v>42514</v>
      </c>
      <c r="Y501" s="227">
        <f>_xll.qlCalendarAdvance(Calendar,X501,NDays&amp;"D")</f>
        <v>42514</v>
      </c>
      <c r="Z501" s="228">
        <v>1.9763164393358484E-2</v>
      </c>
      <c r="AA501" s="230">
        <v>1.9467658749292571E-2</v>
      </c>
    </row>
    <row r="502" spans="19:27" x14ac:dyDescent="0.2">
      <c r="S502" s="32"/>
      <c r="T502" s="187"/>
      <c r="W502" s="221" t="str">
        <f t="shared" si="16"/>
        <v>1D</v>
      </c>
      <c r="X502" s="222">
        <f>_xll.qlCalendarAdvance(Calendar,X501,W502,"f",FALSE)</f>
        <v>42515</v>
      </c>
      <c r="Y502" s="227">
        <f>_xll.qlCalendarAdvance(Calendar,X502,NDays&amp;"D")</f>
        <v>42515</v>
      </c>
      <c r="Z502" s="228">
        <v>1.9801068352680112E-2</v>
      </c>
      <c r="AA502" s="230">
        <v>1.9486570133029346E-2</v>
      </c>
    </row>
    <row r="503" spans="19:27" x14ac:dyDescent="0.2">
      <c r="S503" s="32"/>
      <c r="T503" s="187"/>
      <c r="W503" s="221" t="str">
        <f t="shared" si="16"/>
        <v>1D</v>
      </c>
      <c r="X503" s="222">
        <f>_xll.qlCalendarAdvance(Calendar,X502,W503,"f",FALSE)</f>
        <v>42516</v>
      </c>
      <c r="Y503" s="227">
        <f>_xll.qlCalendarAdvance(Calendar,X503,NDays&amp;"D")</f>
        <v>42516</v>
      </c>
      <c r="Z503" s="228">
        <v>1.98098388170748E-2</v>
      </c>
      <c r="AA503" s="230">
        <v>1.9505452559740455E-2</v>
      </c>
    </row>
    <row r="504" spans="19:27" x14ac:dyDescent="0.2">
      <c r="S504" s="32"/>
      <c r="T504" s="187"/>
      <c r="W504" s="221" t="str">
        <f t="shared" si="16"/>
        <v>1D</v>
      </c>
      <c r="X504" s="222">
        <f>_xll.qlCalendarAdvance(Calendar,X503,W504,"f",FALSE)</f>
        <v>42517</v>
      </c>
      <c r="Y504" s="227">
        <f>_xll.qlCalendarAdvance(Calendar,X504,NDays&amp;"D")</f>
        <v>42517</v>
      </c>
      <c r="Z504" s="228">
        <v>1.9818598630695853E-2</v>
      </c>
      <c r="AA504" s="230">
        <v>1.9554084996383503E-2</v>
      </c>
    </row>
    <row r="505" spans="19:27" x14ac:dyDescent="0.2">
      <c r="S505" s="32"/>
      <c r="T505" s="187"/>
      <c r="W505" s="221" t="str">
        <f t="shared" si="16"/>
        <v>1D</v>
      </c>
      <c r="X505" s="222">
        <f>_xll.qlCalendarAdvance(Calendar,X504,W505,"f",FALSE)</f>
        <v>42521</v>
      </c>
      <c r="Y505" s="227">
        <f>_xll.qlCalendarAdvance(Calendar,X505,NDays&amp;"D")</f>
        <v>42521</v>
      </c>
      <c r="Z505" s="228">
        <v>1.9882475031097191E-2</v>
      </c>
      <c r="AA505" s="230">
        <v>1.9599430338721469E-2</v>
      </c>
    </row>
    <row r="506" spans="19:27" x14ac:dyDescent="0.2">
      <c r="S506" s="32"/>
      <c r="T506" s="187"/>
      <c r="W506" s="221" t="str">
        <f t="shared" si="16"/>
        <v>1D</v>
      </c>
      <c r="X506" s="222">
        <f>_xll.qlCalendarAdvance(Calendar,X505,W506,"f",FALSE)</f>
        <v>42522</v>
      </c>
      <c r="Y506" s="227">
        <f>_xll.qlCalendarAdvance(Calendar,X506,NDays&amp;"D")</f>
        <v>42522</v>
      </c>
      <c r="Z506" s="228">
        <v>1.9900793080939432E-2</v>
      </c>
      <c r="AA506" s="230">
        <v>1.9618139023440673E-2</v>
      </c>
    </row>
    <row r="507" spans="19:27" x14ac:dyDescent="0.2">
      <c r="S507" s="32"/>
      <c r="T507" s="187"/>
      <c r="W507" s="221" t="str">
        <f t="shared" si="16"/>
        <v>1D</v>
      </c>
      <c r="X507" s="222">
        <f>_xll.qlCalendarAdvance(Calendar,X506,W507,"f",FALSE)</f>
        <v>42523</v>
      </c>
      <c r="Y507" s="227">
        <f>_xll.qlCalendarAdvance(Calendar,X507,NDays&amp;"D")</f>
        <v>42523</v>
      </c>
      <c r="Z507" s="228">
        <v>1.9938282543108081E-2</v>
      </c>
      <c r="AA507" s="230">
        <v>1.9636818751215257E-2</v>
      </c>
    </row>
    <row r="508" spans="19:27" x14ac:dyDescent="0.2">
      <c r="S508" s="32"/>
      <c r="T508" s="187"/>
      <c r="W508" s="221" t="str">
        <f t="shared" si="16"/>
        <v>1D</v>
      </c>
      <c r="X508" s="222">
        <f>_xll.qlCalendarAdvance(Calendar,X507,W508,"f",FALSE)</f>
        <v>42524</v>
      </c>
      <c r="Y508" s="227">
        <f>_xll.qlCalendarAdvance(Calendar,X508,NDays&amp;"D")</f>
        <v>42524</v>
      </c>
      <c r="Z508" s="228">
        <v>1.994693404641101E-2</v>
      </c>
      <c r="AA508" s="230">
        <v>1.9675142166365459E-2</v>
      </c>
    </row>
    <row r="509" spans="19:27" x14ac:dyDescent="0.2">
      <c r="S509" s="32"/>
      <c r="T509" s="187"/>
      <c r="W509" s="221" t="str">
        <f t="shared" si="16"/>
        <v>1D</v>
      </c>
      <c r="X509" s="222">
        <f>_xll.qlCalendarAdvance(Calendar,X508,W509,"f",FALSE)</f>
        <v>42527</v>
      </c>
      <c r="Y509" s="227">
        <f>_xll.qlCalendarAdvance(Calendar,X509,NDays&amp;"D")</f>
        <v>42527</v>
      </c>
      <c r="Z509" s="228">
        <v>1.9991953079335621E-2</v>
      </c>
      <c r="AA509" s="230">
        <v>1.971124809189484E-2</v>
      </c>
    </row>
    <row r="510" spans="19:27" x14ac:dyDescent="0.2">
      <c r="S510" s="32"/>
      <c r="T510" s="187"/>
      <c r="W510" s="221" t="str">
        <f t="shared" si="16"/>
        <v>1D</v>
      </c>
      <c r="X510" s="222">
        <f>_xll.qlCalendarAdvance(Calendar,X509,W510,"f",FALSE)</f>
        <v>42528</v>
      </c>
      <c r="Y510" s="227">
        <f>_xll.qlCalendarAdvance(Calendar,X510,NDays&amp;"D")</f>
        <v>42528</v>
      </c>
      <c r="Z510" s="228">
        <v>2.0010099412613558E-2</v>
      </c>
      <c r="AA510" s="230">
        <v>1.9729783034541093E-2</v>
      </c>
    </row>
    <row r="511" spans="19:27" x14ac:dyDescent="0.2">
      <c r="S511" s="32"/>
      <c r="T511" s="187"/>
      <c r="W511" s="221" t="str">
        <f t="shared" si="16"/>
        <v>1D</v>
      </c>
      <c r="X511" s="222">
        <f>_xll.qlCalendarAdvance(Calendar,X510,W511,"f",FALSE)</f>
        <v>42529</v>
      </c>
      <c r="Y511" s="227">
        <f>_xll.qlCalendarAdvance(Calendar,X511,NDays&amp;"D")</f>
        <v>42529</v>
      </c>
      <c r="Z511" s="228">
        <v>2.0028217318343887E-2</v>
      </c>
      <c r="AA511" s="230">
        <v>1.9748289020080634E-2</v>
      </c>
    </row>
    <row r="512" spans="19:27" x14ac:dyDescent="0.2">
      <c r="S512" s="32"/>
      <c r="T512" s="187"/>
      <c r="W512" s="221" t="str">
        <f t="shared" si="16"/>
        <v>1D</v>
      </c>
      <c r="X512" s="222">
        <f>_xll.qlCalendarAdvance(Calendar,X511,W512,"f",FALSE)</f>
        <v>42530</v>
      </c>
      <c r="Y512" s="227">
        <f>_xll.qlCalendarAdvance(Calendar,X512,NDays&amp;"D")</f>
        <v>42530</v>
      </c>
      <c r="Z512" s="228">
        <v>2.0065324024955665E-2</v>
      </c>
      <c r="AA512" s="230">
        <v>1.9766766048675555E-2</v>
      </c>
    </row>
    <row r="513" spans="19:27" x14ac:dyDescent="0.2">
      <c r="S513" s="32"/>
      <c r="T513" s="187"/>
      <c r="W513" s="221" t="str">
        <f t="shared" si="16"/>
        <v>1D</v>
      </c>
      <c r="X513" s="222">
        <f>_xll.qlCalendarAdvance(Calendar,X512,W513,"f",FALSE)</f>
        <v>42531</v>
      </c>
      <c r="Y513" s="227">
        <f>_xll.qlCalendarAdvance(Calendar,X513,NDays&amp;"D")</f>
        <v>42531</v>
      </c>
      <c r="Z513" s="228">
        <v>2.0073867816598139E-2</v>
      </c>
      <c r="AA513" s="230">
        <v>1.9804698076666408E-2</v>
      </c>
    </row>
    <row r="514" spans="19:27" x14ac:dyDescent="0.2">
      <c r="S514" s="32"/>
      <c r="T514" s="187"/>
      <c r="W514" s="221" t="str">
        <f t="shared" si="16"/>
        <v>1D</v>
      </c>
      <c r="X514" s="222">
        <f>_xll.qlCalendarAdvance(Calendar,X513,W514,"f",FALSE)</f>
        <v>42534</v>
      </c>
      <c r="Y514" s="227">
        <f>_xll.qlCalendarAdvance(Calendar,X514,NDays&amp;"D")</f>
        <v>42534</v>
      </c>
      <c r="Z514" s="228">
        <v>2.0118382352722231E-2</v>
      </c>
      <c r="AA514" s="230">
        <v>1.9840384592150206E-2</v>
      </c>
    </row>
    <row r="515" spans="19:27" x14ac:dyDescent="0.2">
      <c r="S515" s="32"/>
      <c r="T515" s="187"/>
      <c r="W515" s="221" t="str">
        <f t="shared" si="16"/>
        <v>1D</v>
      </c>
      <c r="X515" s="222">
        <f>_xll.qlCalendarAdvance(Calendar,X514,W515,"f",FALSE)</f>
        <v>42535</v>
      </c>
      <c r="Y515" s="227">
        <f>_xll.qlCalendarAdvance(Calendar,X515,NDays&amp;"D")</f>
        <v>42535</v>
      </c>
      <c r="Z515" s="228">
        <v>2.0136330844526561E-2</v>
      </c>
      <c r="AA515" s="230">
        <v>1.9858716835454704E-2</v>
      </c>
    </row>
    <row r="516" spans="19:27" x14ac:dyDescent="0.2">
      <c r="S516" s="32"/>
      <c r="T516" s="187"/>
      <c r="W516" s="221" t="str">
        <f t="shared" si="16"/>
        <v>1D</v>
      </c>
      <c r="X516" s="222">
        <f>_xll.qlCalendarAdvance(Calendar,X515,W516,"f",FALSE)</f>
        <v>42536</v>
      </c>
      <c r="Y516" s="227">
        <f>_xll.qlCalendarAdvance(Calendar,X516,NDays&amp;"D")</f>
        <v>42536</v>
      </c>
      <c r="Z516" s="228">
        <v>2.0154251292569834E-2</v>
      </c>
      <c r="AA516" s="230">
        <v>1.9877020121571443E-2</v>
      </c>
    </row>
    <row r="517" spans="19:27" x14ac:dyDescent="0.2">
      <c r="S517" s="32"/>
      <c r="T517" s="187"/>
      <c r="W517" s="221" t="str">
        <f t="shared" si="16"/>
        <v>1D</v>
      </c>
      <c r="X517" s="222">
        <f>_xll.qlCalendarAdvance(Calendar,X516,W517,"f",FALSE)</f>
        <v>42537</v>
      </c>
      <c r="Y517" s="227">
        <f>_xll.qlCalendarAdvance(Calendar,X517,NDays&amp;"D")</f>
        <v>42537</v>
      </c>
      <c r="Z517" s="228">
        <v>2.0190980888415803E-2</v>
      </c>
      <c r="AA517" s="230">
        <v>1.9895294450662515E-2</v>
      </c>
    </row>
    <row r="518" spans="19:27" x14ac:dyDescent="0.2">
      <c r="S518" s="32"/>
      <c r="T518" s="187"/>
      <c r="W518" s="221" t="str">
        <f t="shared" si="16"/>
        <v>1D</v>
      </c>
      <c r="X518" s="222">
        <f>_xll.qlCalendarAdvance(Calendar,X517,W518,"f",FALSE)</f>
        <v>42538</v>
      </c>
      <c r="Y518" s="227">
        <f>_xll.qlCalendarAdvance(Calendar,X518,NDays&amp;"D")</f>
        <v>42538</v>
      </c>
      <c r="Z518" s="228">
        <v>2.019941813766624E-2</v>
      </c>
      <c r="AA518" s="230">
        <v>1.9932835028061795E-2</v>
      </c>
    </row>
    <row r="519" spans="19:27" x14ac:dyDescent="0.2">
      <c r="S519" s="32"/>
      <c r="T519" s="187"/>
      <c r="W519" s="221" t="str">
        <f t="shared" si="16"/>
        <v>1D</v>
      </c>
      <c r="X519" s="222">
        <f>_xll.qlCalendarAdvance(Calendar,X518,W519,"f",FALSE)</f>
        <v>42541</v>
      </c>
      <c r="Y519" s="227">
        <f>_xll.qlCalendarAdvance(Calendar,X519,NDays&amp;"D")</f>
        <v>42541</v>
      </c>
      <c r="Z519" s="228">
        <v>2.0243434795422049E-2</v>
      </c>
      <c r="AA519" s="230">
        <v>1.9968102196121773E-2</v>
      </c>
    </row>
    <row r="520" spans="19:27" x14ac:dyDescent="0.2">
      <c r="S520" s="32"/>
      <c r="T520" s="187"/>
      <c r="W520" s="221" t="str">
        <f t="shared" si="16"/>
        <v>1D</v>
      </c>
      <c r="X520" s="222">
        <f>_xll.qlCalendarAdvance(Calendar,X519,W520,"f",FALSE)</f>
        <v>42542</v>
      </c>
      <c r="Y520" s="227">
        <f>_xll.qlCalendarAdvance(Calendar,X520,NDays&amp;"D")</f>
        <v>42542</v>
      </c>
      <c r="Z520" s="228">
        <v>2.0261188132328911E-2</v>
      </c>
      <c r="AA520" s="230">
        <v>1.998623173976033E-2</v>
      </c>
    </row>
    <row r="521" spans="19:27" x14ac:dyDescent="0.2">
      <c r="S521" s="32"/>
      <c r="T521" s="187"/>
      <c r="W521" s="221" t="str">
        <f t="shared" si="16"/>
        <v>1D</v>
      </c>
      <c r="X521" s="222">
        <f>_xll.qlCalendarAdvance(Calendar,X520,W521,"f",FALSE)</f>
        <v>42543</v>
      </c>
      <c r="Y521" s="227">
        <f>_xll.qlCalendarAdvance(Calendar,X521,NDays&amp;"D")</f>
        <v>42543</v>
      </c>
      <c r="Z521" s="228">
        <v>2.0278913809285593E-2</v>
      </c>
      <c r="AA521" s="230">
        <v>2.0004332326211127E-2</v>
      </c>
    </row>
    <row r="522" spans="19:27" x14ac:dyDescent="0.2">
      <c r="S522" s="32"/>
      <c r="T522" s="187"/>
      <c r="W522" s="221" t="str">
        <f t="shared" si="16"/>
        <v>1D</v>
      </c>
      <c r="X522" s="222">
        <f>_xll.qlCalendarAdvance(Calendar,X521,W522,"f",FALSE)</f>
        <v>42544</v>
      </c>
      <c r="Y522" s="227">
        <f>_xll.qlCalendarAdvance(Calendar,X522,NDays&amp;"D")</f>
        <v>42544</v>
      </c>
      <c r="Z522" s="228">
        <v>2.031527076057589E-2</v>
      </c>
      <c r="AA522" s="230">
        <v>2.0022403955717305E-2</v>
      </c>
    </row>
    <row r="523" spans="19:27" x14ac:dyDescent="0.2">
      <c r="S523" s="32"/>
      <c r="T523" s="187"/>
      <c r="W523" s="221" t="str">
        <f t="shared" si="16"/>
        <v>1D</v>
      </c>
      <c r="X523" s="222">
        <f>_xll.qlCalendarAdvance(Calendar,X522,W523,"f",FALSE)</f>
        <v>42545</v>
      </c>
      <c r="Y523" s="227">
        <f>_xll.qlCalendarAdvance(Calendar,X523,NDays&amp;"D")</f>
        <v>42545</v>
      </c>
      <c r="Z523" s="228">
        <v>2.03236032072923E-2</v>
      </c>
      <c r="AA523" s="230">
        <v>2.0059553016013035E-2</v>
      </c>
    </row>
    <row r="524" spans="19:27" x14ac:dyDescent="0.2">
      <c r="S524" s="32"/>
      <c r="T524" s="187"/>
      <c r="W524" s="221" t="str">
        <f t="shared" si="16"/>
        <v>1D</v>
      </c>
      <c r="X524" s="222">
        <f>_xll.qlCalendarAdvance(Calendar,X523,W524,"f",FALSE)</f>
        <v>42548</v>
      </c>
      <c r="Y524" s="227">
        <f>_xll.qlCalendarAdvance(Calendar,X524,NDays&amp;"D")</f>
        <v>42548</v>
      </c>
      <c r="Z524" s="228">
        <v>2.0367129213997602E-2</v>
      </c>
      <c r="AA524" s="230">
        <v>2.0094401176530274E-2</v>
      </c>
    </row>
    <row r="525" spans="19:27" x14ac:dyDescent="0.2">
      <c r="S525" s="32"/>
      <c r="T525" s="187"/>
      <c r="W525" s="221" t="str">
        <f t="shared" si="16"/>
        <v>1D</v>
      </c>
      <c r="X525" s="222">
        <f>_xll.qlCalendarAdvance(Calendar,X524,W525,"f",FALSE)</f>
        <v>42549</v>
      </c>
      <c r="Y525" s="227">
        <f>_xll.qlCalendarAdvance(Calendar,X525,NDays&amp;"D")</f>
        <v>42549</v>
      </c>
      <c r="Z525" s="228">
        <v>2.0384690073597816E-2</v>
      </c>
      <c r="AA525" s="230">
        <v>2.0112329666228668E-2</v>
      </c>
    </row>
    <row r="526" spans="19:27" x14ac:dyDescent="0.2">
      <c r="S526" s="32"/>
      <c r="T526" s="187"/>
      <c r="W526" s="221" t="str">
        <f t="shared" si="16"/>
        <v>1D</v>
      </c>
      <c r="X526" s="222">
        <f>_xll.qlCalendarAdvance(Calendar,X525,W526,"f",FALSE)</f>
        <v>42550</v>
      </c>
      <c r="Y526" s="227">
        <f>_xll.qlCalendarAdvance(Calendar,X526,NDays&amp;"D")</f>
        <v>42550</v>
      </c>
      <c r="Z526" s="228">
        <v>2.0402223602133656E-2</v>
      </c>
      <c r="AA526" s="230">
        <v>2.0130230844789265E-2</v>
      </c>
    </row>
    <row r="527" spans="19:27" x14ac:dyDescent="0.2">
      <c r="S527" s="32"/>
      <c r="T527" s="187"/>
      <c r="W527" s="221" t="str">
        <f t="shared" si="16"/>
        <v>1D</v>
      </c>
      <c r="X527" s="222">
        <f>_xll.qlCalendarAdvance(Calendar,X526,W527,"f",FALSE)</f>
        <v>42551</v>
      </c>
      <c r="Y527" s="227">
        <f>_xll.qlCalendarAdvance(Calendar,X527,NDays&amp;"D")</f>
        <v>42551</v>
      </c>
      <c r="Z527" s="228">
        <v>2.0410476998037407E-2</v>
      </c>
      <c r="AA527" s="230">
        <v>2.0148104712131021E-2</v>
      </c>
    </row>
    <row r="528" spans="19:27" x14ac:dyDescent="0.2">
      <c r="S528" s="32"/>
      <c r="T528" s="187"/>
      <c r="W528" s="221" t="str">
        <f t="shared" si="16"/>
        <v>1D</v>
      </c>
      <c r="X528" s="222">
        <f>_xll.qlCalendarAdvance(Calendar,X527,W528,"f",FALSE)</f>
        <v>42552</v>
      </c>
      <c r="Y528" s="227">
        <f>_xll.qlCalendarAdvance(Calendar,X528,NDays&amp;"D")</f>
        <v>42552</v>
      </c>
      <c r="Z528" s="228">
        <v>2.0446440657110394E-2</v>
      </c>
      <c r="AA528" s="230">
        <v>2.0184877550971651E-2</v>
      </c>
    </row>
    <row r="529" spans="19:27" x14ac:dyDescent="0.2">
      <c r="S529" s="32"/>
      <c r="T529" s="187"/>
      <c r="W529" s="221" t="str">
        <f t="shared" si="16"/>
        <v>1D</v>
      </c>
      <c r="X529" s="222">
        <f>_xll.qlCalendarAdvance(Calendar,X528,W529,"f",FALSE)</f>
        <v>42555</v>
      </c>
      <c r="Y529" s="227">
        <f>_xll.qlCalendarAdvance(Calendar,X529,NDays&amp;"D")</f>
        <v>42555</v>
      </c>
      <c r="Z529" s="228">
        <v>2.0498675195702837E-2</v>
      </c>
      <c r="AA529" s="230">
        <v>2.0219327069471715E-2</v>
      </c>
    </row>
    <row r="530" spans="19:27" x14ac:dyDescent="0.2">
      <c r="S530" s="32"/>
      <c r="T530" s="187"/>
      <c r="W530" s="221" t="str">
        <f t="shared" si="16"/>
        <v>1D</v>
      </c>
      <c r="X530" s="222">
        <f>_xll.qlCalendarAdvance(Calendar,X529,W530,"f",FALSE)</f>
        <v>42556</v>
      </c>
      <c r="Y530" s="227">
        <f>_xll.qlCalendarAdvance(Calendar,X530,NDays&amp;"D")</f>
        <v>42556</v>
      </c>
      <c r="Z530" s="228">
        <v>2.051603204365321E-2</v>
      </c>
      <c r="AA530" s="230">
        <v>2.0237064380719261E-2</v>
      </c>
    </row>
    <row r="531" spans="19:27" x14ac:dyDescent="0.2">
      <c r="S531" s="32"/>
      <c r="T531" s="187"/>
      <c r="W531" s="221" t="str">
        <f t="shared" si="16"/>
        <v>1D</v>
      </c>
      <c r="X531" s="222">
        <f>_xll.qlCalendarAdvance(Calendar,X530,W531,"f",FALSE)</f>
        <v>42557</v>
      </c>
      <c r="Y531" s="227">
        <f>_xll.qlCalendarAdvance(Calendar,X531,NDays&amp;"D")</f>
        <v>42557</v>
      </c>
      <c r="Z531" s="228">
        <v>2.0551674253093559E-2</v>
      </c>
      <c r="AA531" s="230">
        <v>2.025477438082901E-2</v>
      </c>
    </row>
    <row r="532" spans="19:27" x14ac:dyDescent="0.2">
      <c r="S532" s="32"/>
      <c r="T532" s="187"/>
      <c r="W532" s="221" t="str">
        <f t="shared" si="16"/>
        <v>1D</v>
      </c>
      <c r="X532" s="222">
        <f>_xll.qlCalendarAdvance(Calendar,X531,W532,"f",FALSE)</f>
        <v>42558</v>
      </c>
      <c r="Y532" s="227">
        <f>_xll.qlCalendarAdvance(Calendar,X532,NDays&amp;"D")</f>
        <v>42558</v>
      </c>
      <c r="Z532" s="228">
        <v>2.0559811458094358E-2</v>
      </c>
      <c r="AA532" s="230">
        <v>2.0272457069638872E-2</v>
      </c>
    </row>
    <row r="533" spans="19:27" x14ac:dyDescent="0.2">
      <c r="S533" s="32"/>
      <c r="T533" s="187"/>
      <c r="W533" s="221" t="str">
        <f t="shared" ref="W533:W596" si="17">W532</f>
        <v>1D</v>
      </c>
      <c r="X533" s="222">
        <f>_xll.qlCalendarAdvance(Calendar,X532,W533,"f",FALSE)</f>
        <v>42559</v>
      </c>
      <c r="Y533" s="227">
        <f>_xll.qlCalendarAdvance(Calendar,X533,NDays&amp;"D")</f>
        <v>42559</v>
      </c>
      <c r="Z533" s="228">
        <v>2.0567938591066239E-2</v>
      </c>
      <c r="AA533" s="230">
        <v>2.0308861304321194E-2</v>
      </c>
    </row>
    <row r="534" spans="19:27" x14ac:dyDescent="0.2">
      <c r="S534" s="32"/>
      <c r="T534" s="187"/>
      <c r="W534" s="221" t="str">
        <f t="shared" si="17"/>
        <v>1D</v>
      </c>
      <c r="X534" s="222">
        <f>_xll.qlCalendarAdvance(Calendar,X533,W534,"f",FALSE)</f>
        <v>42562</v>
      </c>
      <c r="Y534" s="227">
        <f>_xll.qlCalendarAdvance(Calendar,X534,NDays&amp;"D")</f>
        <v>42562</v>
      </c>
      <c r="Z534" s="228">
        <v>2.0619599141299263E-2</v>
      </c>
      <c r="AA534" s="230">
        <v>2.0342914712527804E-2</v>
      </c>
    </row>
    <row r="535" spans="19:27" x14ac:dyDescent="0.2">
      <c r="S535" s="32"/>
      <c r="T535" s="187"/>
      <c r="W535" s="221" t="str">
        <f t="shared" si="17"/>
        <v>1D</v>
      </c>
      <c r="X535" s="222">
        <f>_xll.qlCalendarAdvance(Calendar,X534,W535,"f",FALSE)</f>
        <v>42563</v>
      </c>
      <c r="Y535" s="227">
        <f>_xll.qlCalendarAdvance(Calendar,X535,NDays&amp;"D")</f>
        <v>42563</v>
      </c>
      <c r="Z535" s="228">
        <v>2.063676465811282E-2</v>
      </c>
      <c r="AA535" s="230">
        <v>2.0360460845081363E-2</v>
      </c>
    </row>
    <row r="536" spans="19:27" x14ac:dyDescent="0.2">
      <c r="S536" s="32"/>
      <c r="T536" s="187"/>
      <c r="W536" s="221" t="str">
        <f t="shared" si="17"/>
        <v>1D</v>
      </c>
      <c r="X536" s="222">
        <f>_xll.qlCalendarAdvance(Calendar,X535,W536,"f",FALSE)</f>
        <v>42564</v>
      </c>
      <c r="Y536" s="227">
        <f>_xll.qlCalendarAdvance(Calendar,X536,NDays&amp;"D")</f>
        <v>42564</v>
      </c>
      <c r="Z536" s="228">
        <v>2.0672037781906117E-2</v>
      </c>
      <c r="AA536" s="230">
        <v>2.0377979666497126E-2</v>
      </c>
    </row>
    <row r="537" spans="19:27" x14ac:dyDescent="0.2">
      <c r="S537" s="32"/>
      <c r="T537" s="187"/>
      <c r="W537" s="221" t="s">
        <v>191</v>
      </c>
      <c r="X537" s="222">
        <f>_xll.qlCalendarAdvance(Calendar,X536,W537,"f",FALSE)</f>
        <v>42571</v>
      </c>
      <c r="Y537" s="227">
        <f>_xll.qlCalendarAdvance(Calendar,X537,NDays&amp;"D")</f>
        <v>42571</v>
      </c>
      <c r="Z537" s="228">
        <v>2.0791061884436735E-2</v>
      </c>
      <c r="AA537" s="230">
        <v>2.0499846700415825E-2</v>
      </c>
    </row>
    <row r="538" spans="19:27" x14ac:dyDescent="0.2">
      <c r="S538" s="32"/>
      <c r="T538" s="187"/>
      <c r="W538" s="221" t="str">
        <f t="shared" si="17"/>
        <v>1w</v>
      </c>
      <c r="X538" s="222">
        <f>_xll.qlCalendarAdvance(Calendar,X537,W538,"f",FALSE)</f>
        <v>42578</v>
      </c>
      <c r="Y538" s="227">
        <f>_xll.qlCalendarAdvance(Calendar,X538,NDays&amp;"D")</f>
        <v>42578</v>
      </c>
      <c r="Z538" s="228">
        <v>2.0917623899253765E-2</v>
      </c>
      <c r="AA538" s="230">
        <v>2.0620375481450459E-2</v>
      </c>
    </row>
    <row r="539" spans="19:27" x14ac:dyDescent="0.2">
      <c r="S539" s="32"/>
      <c r="T539" s="187"/>
      <c r="W539" s="221" t="str">
        <f t="shared" si="17"/>
        <v>1w</v>
      </c>
      <c r="X539" s="222">
        <f>_xll.qlCalendarAdvance(Calendar,X538,W539,"f",FALSE)</f>
        <v>42585</v>
      </c>
      <c r="Y539" s="227">
        <f>_xll.qlCalendarAdvance(Calendar,X539,NDays&amp;"D")</f>
        <v>42585</v>
      </c>
      <c r="Z539" s="228">
        <v>2.1025091638367403E-2</v>
      </c>
      <c r="AA539" s="230">
        <v>2.073956600806115E-2</v>
      </c>
    </row>
    <row r="540" spans="19:27" x14ac:dyDescent="0.2">
      <c r="S540" s="32"/>
      <c r="T540" s="187"/>
      <c r="W540" s="221" t="str">
        <f t="shared" si="17"/>
        <v>1w</v>
      </c>
      <c r="X540" s="222">
        <f>_xll.qlCalendarAdvance(Calendar,X539,W540,"f",FALSE)</f>
        <v>42592</v>
      </c>
      <c r="Y540" s="227">
        <f>_xll.qlCalendarAdvance(Calendar,X540,NDays&amp;"D")</f>
        <v>42592</v>
      </c>
      <c r="Z540" s="228">
        <v>2.1140097204845686E-2</v>
      </c>
      <c r="AA540" s="230">
        <v>2.0857418279032203E-2</v>
      </c>
    </row>
    <row r="541" spans="19:27" x14ac:dyDescent="0.2">
      <c r="S541" s="32"/>
      <c r="T541" s="187"/>
      <c r="W541" s="221" t="str">
        <f t="shared" si="17"/>
        <v>1w</v>
      </c>
      <c r="X541" s="222">
        <f>_xll.qlCalendarAdvance(Calendar,X540,W541,"f",FALSE)</f>
        <v>42599</v>
      </c>
      <c r="Y541" s="227">
        <f>_xll.qlCalendarAdvance(Calendar,X541,NDays&amp;"D")</f>
        <v>42599</v>
      </c>
      <c r="Z541" s="228">
        <v>2.1253763175205859E-2</v>
      </c>
      <c r="AA541" s="230">
        <v>2.0973932293147923E-2</v>
      </c>
    </row>
    <row r="542" spans="19:27" x14ac:dyDescent="0.2">
      <c r="S542" s="32"/>
      <c r="T542" s="187"/>
      <c r="W542" s="221" t="str">
        <f t="shared" si="17"/>
        <v>1w</v>
      </c>
      <c r="X542" s="222">
        <f>_xll.qlCalendarAdvance(Calendar,X541,W542,"f",FALSE)</f>
        <v>42606</v>
      </c>
      <c r="Y542" s="227">
        <f>_xll.qlCalendarAdvance(Calendar,X542,NDays&amp;"D")</f>
        <v>42606</v>
      </c>
      <c r="Z542" s="228">
        <v>2.1366089508190456E-2</v>
      </c>
      <c r="AA542" s="230">
        <v>2.1089108048949479E-2</v>
      </c>
    </row>
    <row r="543" spans="19:27" x14ac:dyDescent="0.2">
      <c r="S543" s="32"/>
      <c r="T543" s="187"/>
      <c r="W543" s="221" t="str">
        <f t="shared" si="17"/>
        <v>1w</v>
      </c>
      <c r="X543" s="222">
        <f>_xll.qlCalendarAdvance(Calendar,X542,W543,"f",FALSE)</f>
        <v>42613</v>
      </c>
      <c r="Y543" s="227">
        <f>_xll.qlCalendarAdvance(Calendar,X543,NDays&amp;"D")</f>
        <v>42613</v>
      </c>
      <c r="Z543" s="228">
        <v>2.145173143942547E-2</v>
      </c>
      <c r="AA543" s="230">
        <v>2.1202945545302221E-2</v>
      </c>
    </row>
    <row r="544" spans="19:27" x14ac:dyDescent="0.2">
      <c r="S544" s="32"/>
      <c r="T544" s="187"/>
      <c r="W544" s="221" t="str">
        <f t="shared" si="17"/>
        <v>1w</v>
      </c>
      <c r="X544" s="222">
        <f>_xll.qlCalendarAdvance(Calendar,X543,W544,"f",FALSE)</f>
        <v>42620</v>
      </c>
      <c r="Y544" s="227">
        <f>_xll.qlCalendarAdvance(Calendar,X544,NDays&amp;"D")</f>
        <v>42620</v>
      </c>
      <c r="Z544" s="228">
        <v>2.1561646050025567E-2</v>
      </c>
      <c r="AA544" s="230">
        <v>2.1315444780909409E-2</v>
      </c>
    </row>
    <row r="545" spans="19:27" x14ac:dyDescent="0.2">
      <c r="S545" s="32"/>
      <c r="T545" s="187"/>
      <c r="W545" s="221" t="str">
        <f t="shared" si="17"/>
        <v>1w</v>
      </c>
      <c r="X545" s="222">
        <f>_xll.qlCalendarAdvance(Calendar,X544,W545,"f",FALSE)</f>
        <v>42627</v>
      </c>
      <c r="Y545" s="227">
        <f>_xll.qlCalendarAdvance(Calendar,X545,NDays&amp;"D")</f>
        <v>42627</v>
      </c>
      <c r="Z545" s="228">
        <v>2.1670221050170468E-2</v>
      </c>
      <c r="AA545" s="230">
        <v>2.142660575455535E-2</v>
      </c>
    </row>
    <row r="546" spans="19:27" x14ac:dyDescent="0.2">
      <c r="S546" s="32"/>
      <c r="T546" s="187"/>
      <c r="W546" s="221" t="str">
        <f t="shared" si="17"/>
        <v>1w</v>
      </c>
      <c r="X546" s="222">
        <f>_xll.qlCalendarAdvance(Calendar,X545,W546,"f",FALSE)</f>
        <v>42634</v>
      </c>
      <c r="Y546" s="227">
        <f>_xll.qlCalendarAdvance(Calendar,X546,NDays&amp;"D")</f>
        <v>42634</v>
      </c>
      <c r="Z546" s="228">
        <v>2.1777456404040423E-2</v>
      </c>
      <c r="AA546" s="230">
        <v>2.1536428464943302E-2</v>
      </c>
    </row>
    <row r="547" spans="19:27" x14ac:dyDescent="0.2">
      <c r="S547" s="32"/>
      <c r="T547" s="187"/>
      <c r="W547" s="221" t="str">
        <f t="shared" si="17"/>
        <v>1w</v>
      </c>
      <c r="X547" s="222">
        <f>_xll.qlCalendarAdvance(Calendar,X546,W547,"f",FALSE)</f>
        <v>42641</v>
      </c>
      <c r="Y547" s="227">
        <f>_xll.qlCalendarAdvance(Calendar,X547,NDays&amp;"D")</f>
        <v>42641</v>
      </c>
      <c r="Z547" s="228">
        <v>2.1883352076261429E-2</v>
      </c>
      <c r="AA547" s="230">
        <v>2.1644912910938618E-2</v>
      </c>
    </row>
    <row r="548" spans="19:27" x14ac:dyDescent="0.2">
      <c r="S548" s="32"/>
      <c r="T548" s="187"/>
      <c r="W548" s="221" t="str">
        <f t="shared" si="17"/>
        <v>1w</v>
      </c>
      <c r="X548" s="222">
        <f>_xll.qlCalendarAdvance(Calendar,X547,W548,"f",FALSE)</f>
        <v>42648</v>
      </c>
      <c r="Y548" s="227">
        <f>_xll.qlCalendarAdvance(Calendar,X548,NDays&amp;"D")</f>
        <v>42648</v>
      </c>
      <c r="Z548" s="228">
        <v>2.2011912872812758E-2</v>
      </c>
      <c r="AA548" s="230">
        <v>2.175205909140665E-2</v>
      </c>
    </row>
    <row r="549" spans="19:27" x14ac:dyDescent="0.2">
      <c r="S549" s="32"/>
      <c r="T549" s="187"/>
      <c r="W549" s="221" t="str">
        <f t="shared" si="17"/>
        <v>1w</v>
      </c>
      <c r="X549" s="222">
        <f>_xll.qlCalendarAdvance(Calendar,X548,W549,"f",FALSE)</f>
        <v>42655</v>
      </c>
      <c r="Y549" s="227">
        <f>_xll.qlCalendarAdvance(Calendar,X549,NDays&amp;"D")</f>
        <v>42655</v>
      </c>
      <c r="Z549" s="228">
        <v>2.2114860630150359E-2</v>
      </c>
      <c r="AA549" s="230">
        <v>2.1857867004969611E-2</v>
      </c>
    </row>
    <row r="550" spans="19:27" x14ac:dyDescent="0.2">
      <c r="S550" s="32"/>
      <c r="T550" s="187"/>
      <c r="W550" s="221" t="str">
        <f t="shared" si="17"/>
        <v>1w</v>
      </c>
      <c r="X550" s="222">
        <f>_xll.qlCalendarAdvance(Calendar,X549,W550,"f",FALSE)</f>
        <v>42662</v>
      </c>
      <c r="Y550" s="227">
        <f>_xll.qlCalendarAdvance(Calendar,X550,NDays&amp;"D")</f>
        <v>42662</v>
      </c>
      <c r="Z550" s="228">
        <v>2.2216468437649496E-2</v>
      </c>
      <c r="AA550" s="230">
        <v>2.1962336650735992E-2</v>
      </c>
    </row>
    <row r="551" spans="19:27" x14ac:dyDescent="0.2">
      <c r="S551" s="32"/>
      <c r="T551" s="187"/>
      <c r="W551" s="221" t="str">
        <f t="shared" si="17"/>
        <v>1w</v>
      </c>
      <c r="X551" s="222">
        <f>_xll.qlCalendarAdvance(Calendar,X550,W551,"f",FALSE)</f>
        <v>42669</v>
      </c>
      <c r="Y551" s="227">
        <f>_xll.qlCalendarAdvance(Calendar,X551,NDays&amp;"D")</f>
        <v>42669</v>
      </c>
      <c r="Z551" s="228">
        <v>2.2316736258436578E-2</v>
      </c>
      <c r="AA551" s="230">
        <v>2.2065468027246959E-2</v>
      </c>
    </row>
    <row r="552" spans="19:27" x14ac:dyDescent="0.2">
      <c r="S552" s="32"/>
      <c r="T552" s="187"/>
      <c r="W552" s="221" t="str">
        <f t="shared" si="17"/>
        <v>1w</v>
      </c>
      <c r="X552" s="222">
        <f>_xll.qlCalendarAdvance(Calendar,X551,W552,"f",FALSE)</f>
        <v>42676</v>
      </c>
      <c r="Y552" s="227">
        <f>_xll.qlCalendarAdvance(Calendar,X552,NDays&amp;"D")</f>
        <v>42676</v>
      </c>
      <c r="Z552" s="228">
        <v>2.2392734005369529E-2</v>
      </c>
      <c r="AA552" s="230">
        <v>2.2167261133611005E-2</v>
      </c>
    </row>
    <row r="553" spans="19:27" x14ac:dyDescent="0.2">
      <c r="S553" s="32"/>
      <c r="T553" s="187"/>
      <c r="W553" s="221" t="str">
        <f t="shared" si="17"/>
        <v>1w</v>
      </c>
      <c r="X553" s="222">
        <f>_xll.qlCalendarAdvance(Calendar,X552,W553,"f",FALSE)</f>
        <v>42683</v>
      </c>
      <c r="Y553" s="227">
        <f>_xll.qlCalendarAdvance(Calendar,X553,NDays&amp;"D")</f>
        <v>42683</v>
      </c>
      <c r="Z553" s="228">
        <v>2.2490590869529536E-2</v>
      </c>
      <c r="AA553" s="230">
        <v>2.2267715968612434E-2</v>
      </c>
    </row>
    <row r="554" spans="19:27" x14ac:dyDescent="0.2">
      <c r="S554" s="32"/>
      <c r="T554" s="187"/>
      <c r="W554" s="221" t="str">
        <f t="shared" si="17"/>
        <v>1w</v>
      </c>
      <c r="X554" s="222">
        <f>_xll.qlCalendarAdvance(Calendar,X553,W554,"f",FALSE)</f>
        <v>42690</v>
      </c>
      <c r="Y554" s="227">
        <f>_xll.qlCalendarAdvance(Calendar,X554,NDays&amp;"D")</f>
        <v>42690</v>
      </c>
      <c r="Z554" s="228">
        <v>2.2587107816774053E-2</v>
      </c>
      <c r="AA554" s="230">
        <v>2.2366832531197645E-2</v>
      </c>
    </row>
    <row r="555" spans="19:27" x14ac:dyDescent="0.2">
      <c r="S555" s="32"/>
      <c r="T555" s="187"/>
      <c r="W555" s="221" t="str">
        <f t="shared" si="17"/>
        <v>1w</v>
      </c>
      <c r="X555" s="222">
        <f>_xll.qlCalendarAdvance(Calendar,X554,W555,"f",FALSE)</f>
        <v>42697</v>
      </c>
      <c r="Y555" s="227">
        <f>_xll.qlCalendarAdvance(Calendar,X555,NDays&amp;"D")</f>
        <v>42697</v>
      </c>
      <c r="Z555" s="228">
        <v>2.2682284815262688E-2</v>
      </c>
      <c r="AA555" s="230">
        <v>2.2464610820150943E-2</v>
      </c>
    </row>
    <row r="556" spans="19:27" x14ac:dyDescent="0.2">
      <c r="S556" s="32"/>
      <c r="T556" s="187"/>
      <c r="W556" s="221" t="str">
        <f t="shared" si="17"/>
        <v>1w</v>
      </c>
      <c r="X556" s="222">
        <f>_xll.qlCalendarAdvance(Calendar,X555,W556,"f",FALSE)</f>
        <v>42704</v>
      </c>
      <c r="Y556" s="227">
        <f>_xll.qlCalendarAdvance(Calendar,X556,NDays&amp;"D")</f>
        <v>42704</v>
      </c>
      <c r="Z556" s="228">
        <v>2.2776121833595418E-2</v>
      </c>
      <c r="AA556" s="230">
        <v>2.256105083458082E-2</v>
      </c>
    </row>
    <row r="557" spans="19:27" x14ac:dyDescent="0.2">
      <c r="S557" s="32"/>
      <c r="T557" s="187"/>
      <c r="W557" s="221" t="str">
        <f t="shared" si="17"/>
        <v>1w</v>
      </c>
      <c r="X557" s="222">
        <f>_xll.qlCalendarAdvance(Calendar,X556,W557,"f",FALSE)</f>
        <v>42711</v>
      </c>
      <c r="Y557" s="227">
        <f>_xll.qlCalendarAdvance(Calendar,X557,NDays&amp;"D")</f>
        <v>42711</v>
      </c>
      <c r="Z557" s="228">
        <v>2.289020145860662E-2</v>
      </c>
      <c r="AA557" s="230">
        <v>2.2656152573271582E-2</v>
      </c>
    </row>
    <row r="558" spans="19:27" x14ac:dyDescent="0.2">
      <c r="S558" s="32"/>
      <c r="T558" s="187"/>
      <c r="W558" s="221" t="str">
        <f t="shared" si="17"/>
        <v>1w</v>
      </c>
      <c r="X558" s="222">
        <f>_xll.qlCalendarAdvance(Calendar,X557,W558,"f",FALSE)</f>
        <v>42718</v>
      </c>
      <c r="Y558" s="227">
        <f>_xll.qlCalendarAdvance(Calendar,X558,NDays&amp;"D")</f>
        <v>42718</v>
      </c>
      <c r="Z558" s="228">
        <v>2.2981088380822759E-2</v>
      </c>
      <c r="AA558" s="230">
        <v>2.2749916035250672E-2</v>
      </c>
    </row>
    <row r="559" spans="19:27" x14ac:dyDescent="0.2">
      <c r="S559" s="32"/>
      <c r="T559" s="187"/>
      <c r="W559" s="221" t="str">
        <f t="shared" si="17"/>
        <v>1w</v>
      </c>
      <c r="X559" s="222">
        <f>_xll.qlCalendarAdvance(Calendar,X558,W559,"f",FALSE)</f>
        <v>42725</v>
      </c>
      <c r="Y559" s="227">
        <f>_xll.qlCalendarAdvance(Calendar,X559,NDays&amp;"D")</f>
        <v>42725</v>
      </c>
      <c r="Z559" s="228">
        <v>2.3070635038851386E-2</v>
      </c>
      <c r="AA559" s="230">
        <v>2.284234121946449E-2</v>
      </c>
    </row>
    <row r="560" spans="19:27" x14ac:dyDescent="0.2">
      <c r="S560" s="32"/>
      <c r="T560" s="187"/>
      <c r="W560" s="221" t="str">
        <f t="shared" si="17"/>
        <v>1w</v>
      </c>
      <c r="X560" s="222">
        <f>_xll.qlCalendarAdvance(Calendar,X559,W560,"f",FALSE)</f>
        <v>42732</v>
      </c>
      <c r="Y560" s="227">
        <f>_xll.qlCalendarAdvance(Calendar,X560,NDays&amp;"D")</f>
        <v>42732</v>
      </c>
      <c r="Z560" s="228">
        <v>2.3158841400192944E-2</v>
      </c>
      <c r="AA560" s="230">
        <v>2.293342812494048E-2</v>
      </c>
    </row>
    <row r="561" spans="19:27" x14ac:dyDescent="0.2">
      <c r="S561" s="32"/>
      <c r="T561" s="187"/>
      <c r="W561" s="221" t="str">
        <f t="shared" si="17"/>
        <v>1w</v>
      </c>
      <c r="X561" s="222">
        <f>_xll.qlCalendarAdvance(Calendar,X560,W561,"f",FALSE)</f>
        <v>42739</v>
      </c>
      <c r="Y561" s="227">
        <f>_xll.qlCalendarAdvance(Calendar,X561,NDays&amp;"D")</f>
        <v>42739</v>
      </c>
      <c r="Z561" s="228">
        <v>2.3245707432836608E-2</v>
      </c>
      <c r="AA561" s="230">
        <v>2.3023176750625041E-2</v>
      </c>
    </row>
    <row r="562" spans="19:27" x14ac:dyDescent="0.2">
      <c r="S562" s="32"/>
      <c r="T562" s="187"/>
      <c r="W562" s="221" t="str">
        <f t="shared" si="17"/>
        <v>1w</v>
      </c>
      <c r="X562" s="222">
        <f>_xll.qlCalendarAdvance(Calendar,X561,W562,"f",FALSE)</f>
        <v>42746</v>
      </c>
      <c r="Y562" s="227">
        <f>_xll.qlCalendarAdvance(Calendar,X562,NDays&amp;"D")</f>
        <v>42746</v>
      </c>
      <c r="Z562" s="228">
        <v>2.3331233105262739E-2</v>
      </c>
      <c r="AA562" s="230">
        <v>2.3111587095545616E-2</v>
      </c>
    </row>
    <row r="563" spans="19:27" x14ac:dyDescent="0.2">
      <c r="S563" s="32"/>
      <c r="T563" s="187"/>
      <c r="W563" s="221" t="str">
        <f t="shared" si="17"/>
        <v>1w</v>
      </c>
      <c r="X563" s="222">
        <f>_xll.qlCalendarAdvance(Calendar,X562,W563,"f",FALSE)</f>
        <v>42753</v>
      </c>
      <c r="Y563" s="227">
        <f>_xll.qlCalendarAdvance(Calendar,X563,NDays&amp;"D")</f>
        <v>42753</v>
      </c>
      <c r="Z563" s="228">
        <v>2.3415418386430614E-2</v>
      </c>
      <c r="AA563" s="230">
        <v>2.3198659158729651E-2</v>
      </c>
    </row>
    <row r="564" spans="19:27" x14ac:dyDescent="0.2">
      <c r="S564" s="32"/>
      <c r="T564" s="187"/>
      <c r="W564" s="221" t="str">
        <f t="shared" si="17"/>
        <v>1w</v>
      </c>
      <c r="X564" s="222">
        <f>_xll.qlCalendarAdvance(Calendar,X563,W564,"f",FALSE)</f>
        <v>42760</v>
      </c>
      <c r="Y564" s="227">
        <f>_xll.qlCalendarAdvance(Calendar,X564,NDays&amp;"D")</f>
        <v>42760</v>
      </c>
      <c r="Z564" s="228">
        <v>2.3498263245788242E-2</v>
      </c>
      <c r="AA564" s="230">
        <v>2.328439293920459E-2</v>
      </c>
    </row>
    <row r="565" spans="19:27" x14ac:dyDescent="0.2">
      <c r="S565" s="32"/>
      <c r="T565" s="187"/>
      <c r="W565" s="221" t="str">
        <f t="shared" si="17"/>
        <v>1w</v>
      </c>
      <c r="X565" s="222">
        <f>_xll.qlCalendarAdvance(Calendar,X564,W565,"f",FALSE)</f>
        <v>42767</v>
      </c>
      <c r="Y565" s="227">
        <f>_xll.qlCalendarAdvance(Calendar,X565,NDays&amp;"D")</f>
        <v>42767</v>
      </c>
      <c r="Z565" s="228">
        <v>2.3547364707164418E-2</v>
      </c>
      <c r="AA565" s="230">
        <v>2.3368788435997878E-2</v>
      </c>
    </row>
    <row r="566" spans="19:27" x14ac:dyDescent="0.2">
      <c r="S566" s="32"/>
      <c r="T566" s="187"/>
      <c r="W566" s="221" t="str">
        <f t="shared" si="17"/>
        <v>1w</v>
      </c>
      <c r="X566" s="222">
        <f>_xll.qlCalendarAdvance(Calendar,X565,W566,"f",FALSE)</f>
        <v>42774</v>
      </c>
      <c r="Y566" s="227">
        <f>_xll.qlCalendarAdvance(Calendar,X566,NDays&amp;"D")</f>
        <v>42774</v>
      </c>
      <c r="Z566" s="228">
        <v>2.3627981353045325E-2</v>
      </c>
      <c r="AA566" s="230">
        <v>2.3451845648299052E-2</v>
      </c>
    </row>
    <row r="567" spans="19:27" x14ac:dyDescent="0.2">
      <c r="S567" s="32"/>
      <c r="T567" s="187"/>
      <c r="W567" s="221" t="str">
        <f t="shared" si="17"/>
        <v>1w</v>
      </c>
      <c r="X567" s="222">
        <f>_xll.qlCalendarAdvance(Calendar,X566,W567,"f",FALSE)</f>
        <v>42781</v>
      </c>
      <c r="Y567" s="227">
        <f>_xll.qlCalendarAdvance(Calendar,X567,NDays&amp;"D")</f>
        <v>42781</v>
      </c>
      <c r="Z567" s="228">
        <v>2.3707257844690632E-2</v>
      </c>
      <c r="AA567" s="230">
        <v>2.3533564575135557E-2</v>
      </c>
    </row>
    <row r="568" spans="19:27" x14ac:dyDescent="0.2">
      <c r="S568" s="32"/>
      <c r="T568" s="187"/>
      <c r="W568" s="221" t="str">
        <f t="shared" si="17"/>
        <v>1w</v>
      </c>
      <c r="X568" s="222">
        <f>_xll.qlCalendarAdvance(Calendar,X567,W568,"f",FALSE)</f>
        <v>42788</v>
      </c>
      <c r="Y568" s="227">
        <f>_xll.qlCalendarAdvance(Calendar,X568,NDays&amp;"D")</f>
        <v>42788</v>
      </c>
      <c r="Z568" s="228">
        <v>2.3785194157682248E-2</v>
      </c>
      <c r="AA568" s="230">
        <v>2.3613945215534837E-2</v>
      </c>
    </row>
    <row r="569" spans="19:27" x14ac:dyDescent="0.2">
      <c r="S569" s="32"/>
      <c r="T569" s="187"/>
      <c r="W569" s="221" t="str">
        <f t="shared" si="17"/>
        <v>1w</v>
      </c>
      <c r="X569" s="222">
        <f>_xll.qlCalendarAdvance(Calendar,X568,W569,"f",FALSE)</f>
        <v>42795</v>
      </c>
      <c r="Y569" s="227">
        <f>_xll.qlCalendarAdvance(Calendar,X569,NDays&amp;"D")</f>
        <v>42795</v>
      </c>
      <c r="Z569" s="228">
        <v>2.3892380180154667E-2</v>
      </c>
      <c r="AA569" s="230">
        <v>2.369298756868643E-2</v>
      </c>
    </row>
    <row r="570" spans="19:27" x14ac:dyDescent="0.2">
      <c r="S570" s="32"/>
      <c r="T570" s="187"/>
      <c r="W570" s="221" t="str">
        <f t="shared" si="17"/>
        <v>1w</v>
      </c>
      <c r="X570" s="222">
        <f>_xll.qlCalendarAdvance(Calendar,X569,W570,"f",FALSE)</f>
        <v>42802</v>
      </c>
      <c r="Y570" s="227">
        <f>_xll.qlCalendarAdvance(Calendar,X570,NDays&amp;"D")</f>
        <v>42802</v>
      </c>
      <c r="Z570" s="228">
        <v>2.3967181894300353E-2</v>
      </c>
      <c r="AA570" s="230">
        <v>2.3770691633698826E-2</v>
      </c>
    </row>
    <row r="571" spans="19:27" x14ac:dyDescent="0.2">
      <c r="S571" s="32"/>
      <c r="T571" s="187"/>
      <c r="W571" s="221" t="str">
        <f t="shared" si="17"/>
        <v>1w</v>
      </c>
      <c r="X571" s="222">
        <f>_xll.qlCalendarAdvance(Calendar,X570,W571,"f",FALSE)</f>
        <v>42809</v>
      </c>
      <c r="Y571" s="227">
        <f>_xll.qlCalendarAdvance(Calendar,X571,NDays&amp;"D")</f>
        <v>42809</v>
      </c>
      <c r="Z571" s="228">
        <v>2.4046553996484588E-2</v>
      </c>
      <c r="AA571" s="230">
        <v>2.3847057409761563E-2</v>
      </c>
    </row>
    <row r="572" spans="19:27" x14ac:dyDescent="0.2">
      <c r="S572" s="32"/>
      <c r="T572" s="187"/>
      <c r="W572" s="221" t="str">
        <f t="shared" si="17"/>
        <v>1w</v>
      </c>
      <c r="X572" s="222">
        <f>_xll.qlCalendarAdvance(Calendar,X571,W572,"f",FALSE)</f>
        <v>42816</v>
      </c>
      <c r="Y572" s="227">
        <f>_xll.qlCalendarAdvance(Calendar,X572,NDays&amp;"D")</f>
        <v>42816</v>
      </c>
      <c r="Z572" s="228">
        <v>2.4112763429762072E-2</v>
      </c>
      <c r="AA572" s="230">
        <v>2.3922084895983131E-2</v>
      </c>
    </row>
    <row r="573" spans="19:27" x14ac:dyDescent="0.2">
      <c r="S573" s="32"/>
      <c r="T573" s="187"/>
      <c r="W573" s="221" t="str">
        <f t="shared" si="17"/>
        <v>1w</v>
      </c>
      <c r="X573" s="222">
        <f>_xll.qlCalendarAdvance(Calendar,X572,W573,"f",FALSE)</f>
        <v>42823</v>
      </c>
      <c r="Y573" s="227">
        <f>_xll.qlCalendarAdvance(Calendar,X573,NDays&amp;"D")</f>
        <v>42823</v>
      </c>
      <c r="Z573" s="228">
        <v>2.4166305896248502E-2</v>
      </c>
      <c r="AA573" s="230">
        <v>2.3995774091553068E-2</v>
      </c>
    </row>
    <row r="574" spans="19:27" x14ac:dyDescent="0.2">
      <c r="S574" s="32"/>
      <c r="T574" s="187"/>
      <c r="W574" s="221" t="str">
        <f t="shared" si="17"/>
        <v>1w</v>
      </c>
      <c r="X574" s="222">
        <f>_xll.qlCalendarAdvance(Calendar,X573,W574,"f",FALSE)</f>
        <v>42830</v>
      </c>
      <c r="Y574" s="227">
        <f>_xll.qlCalendarAdvance(Calendar,X574,NDays&amp;"D")</f>
        <v>42830</v>
      </c>
      <c r="Z574" s="228">
        <v>2.4236018406253262E-2</v>
      </c>
      <c r="AA574" s="230">
        <v>2.4068124995660911E-2</v>
      </c>
    </row>
    <row r="575" spans="19:27" x14ac:dyDescent="0.2">
      <c r="S575" s="32"/>
      <c r="T575" s="187"/>
      <c r="W575" s="221" t="str">
        <f t="shared" si="17"/>
        <v>1w</v>
      </c>
      <c r="X575" s="222">
        <f>_xll.qlCalendarAdvance(Calendar,X574,W575,"f",FALSE)</f>
        <v>42837</v>
      </c>
      <c r="Y575" s="227">
        <f>_xll.qlCalendarAdvance(Calendar,X575,NDays&amp;"D")</f>
        <v>42837</v>
      </c>
      <c r="Z575" s="228">
        <v>2.4304390423487088E-2</v>
      </c>
      <c r="AA575" s="230">
        <v>2.4139137607577243E-2</v>
      </c>
    </row>
    <row r="576" spans="19:27" x14ac:dyDescent="0.2">
      <c r="S576" s="32"/>
      <c r="T576" s="187"/>
      <c r="W576" s="221" t="str">
        <f t="shared" si="17"/>
        <v>1w</v>
      </c>
      <c r="X576" s="222">
        <f>_xll.qlCalendarAdvance(Calendar,X575,W576,"f",FALSE)</f>
        <v>42844</v>
      </c>
      <c r="Y576" s="227">
        <f>_xll.qlCalendarAdvance(Calendar,X576,NDays&amp;"D")</f>
        <v>42844</v>
      </c>
      <c r="Z576" s="228">
        <v>2.4371421925394803E-2</v>
      </c>
      <c r="AA576" s="230">
        <v>2.4208811926410556E-2</v>
      </c>
    </row>
    <row r="577" spans="19:27" x14ac:dyDescent="0.2">
      <c r="S577" s="32"/>
      <c r="T577" s="187"/>
      <c r="W577" s="221" t="str">
        <f t="shared" si="17"/>
        <v>1w</v>
      </c>
      <c r="X577" s="222">
        <f>_xll.qlCalendarAdvance(Calendar,X576,W577,"f",FALSE)</f>
        <v>42851</v>
      </c>
      <c r="Y577" s="227">
        <f>_xll.qlCalendarAdvance(Calendar,X577,NDays&amp;"D")</f>
        <v>42851</v>
      </c>
      <c r="Z577" s="228">
        <v>2.4437112889848067E-2</v>
      </c>
      <c r="AA577" s="230">
        <v>2.4277147951350386E-2</v>
      </c>
    </row>
    <row r="578" spans="19:27" x14ac:dyDescent="0.2">
      <c r="S578" s="32"/>
      <c r="T578" s="187"/>
      <c r="W578" s="221" t="str">
        <f t="shared" si="17"/>
        <v>1w</v>
      </c>
      <c r="X578" s="222">
        <f>_xll.qlCalendarAdvance(Calendar,X577,W578,"f",FALSE)</f>
        <v>42858</v>
      </c>
      <c r="Y578" s="227">
        <f>_xll.qlCalendarAdvance(Calendar,X578,NDays&amp;"D")</f>
        <v>42858</v>
      </c>
      <c r="Z578" s="228">
        <v>2.4517331035261249E-2</v>
      </c>
      <c r="AA578" s="230">
        <v>2.434414568182941E-2</v>
      </c>
    </row>
    <row r="579" spans="19:27" x14ac:dyDescent="0.2">
      <c r="S579" s="32"/>
      <c r="T579" s="187"/>
      <c r="W579" s="221" t="str">
        <f t="shared" si="17"/>
        <v>1w</v>
      </c>
      <c r="X579" s="222">
        <f>_xll.qlCalendarAdvance(Calendar,X578,W579,"f",FALSE)</f>
        <v>42865</v>
      </c>
      <c r="Y579" s="227">
        <f>_xll.qlCalendarAdvance(Calendar,X579,NDays&amp;"D")</f>
        <v>42865</v>
      </c>
      <c r="Z579" s="228">
        <v>2.4580066231985827E-2</v>
      </c>
      <c r="AA579" s="230">
        <v>2.4409805116956118E-2</v>
      </c>
    </row>
    <row r="580" spans="19:27" x14ac:dyDescent="0.2">
      <c r="S580" s="32"/>
      <c r="T580" s="187"/>
      <c r="W580" s="221" t="str">
        <f t="shared" si="17"/>
        <v>1w</v>
      </c>
      <c r="X580" s="222">
        <f>_xll.qlCalendarAdvance(Calendar,X579,W580,"f",FALSE)</f>
        <v>42872</v>
      </c>
      <c r="Y580" s="227">
        <f>_xll.qlCalendarAdvance(Calendar,X580,NDays&amp;"D")</f>
        <v>42872</v>
      </c>
      <c r="Z580" s="228">
        <v>2.4641460584216787E-2</v>
      </c>
      <c r="AA580" s="230">
        <v>2.4474126256163187E-2</v>
      </c>
    </row>
    <row r="581" spans="19:27" x14ac:dyDescent="0.2">
      <c r="S581" s="32"/>
      <c r="T581" s="187"/>
      <c r="W581" s="221" t="str">
        <f t="shared" si="17"/>
        <v>1w</v>
      </c>
      <c r="X581" s="222">
        <f>_xll.qlCalendarAdvance(Calendar,X580,W581,"f",FALSE)</f>
        <v>42879</v>
      </c>
      <c r="Y581" s="227">
        <f>_xll.qlCalendarAdvance(Calendar,X581,NDays&amp;"D")</f>
        <v>42879</v>
      </c>
      <c r="Z581" s="228">
        <v>2.4701514069681137E-2</v>
      </c>
      <c r="AA581" s="230">
        <v>2.4537109098559107E-2</v>
      </c>
    </row>
    <row r="582" spans="19:27" x14ac:dyDescent="0.2">
      <c r="S582" s="32"/>
      <c r="T582" s="187"/>
      <c r="W582" s="221" t="str">
        <f t="shared" si="17"/>
        <v>1w</v>
      </c>
      <c r="X582" s="222">
        <f>_xll.qlCalendarAdvance(Calendar,X581,W582,"f",FALSE)</f>
        <v>42886</v>
      </c>
      <c r="Y582" s="227">
        <f>_xll.qlCalendarAdvance(Calendar,X582,NDays&amp;"D")</f>
        <v>42886</v>
      </c>
      <c r="Z582" s="228">
        <v>2.4745461446937012E-2</v>
      </c>
      <c r="AA582" s="230">
        <v>2.4598753643576554E-2</v>
      </c>
    </row>
    <row r="583" spans="19:27" x14ac:dyDescent="0.2">
      <c r="S583" s="32"/>
      <c r="T583" s="187"/>
      <c r="W583" s="221" t="str">
        <f t="shared" si="17"/>
        <v>1w</v>
      </c>
      <c r="X583" s="222">
        <f>_xll.qlCalendarAdvance(Calendar,X582,W583,"f",FALSE)</f>
        <v>42893</v>
      </c>
      <c r="Y583" s="227">
        <f>_xll.qlCalendarAdvance(Calendar,X583,NDays&amp;"D")</f>
        <v>42893</v>
      </c>
      <c r="Z583" s="228">
        <v>2.4803200268281277E-2</v>
      </c>
      <c r="AA583" s="230">
        <v>2.4659059890486112E-2</v>
      </c>
    </row>
    <row r="584" spans="19:27" x14ac:dyDescent="0.2">
      <c r="S584" s="32"/>
      <c r="T584" s="187"/>
      <c r="W584" s="221" t="str">
        <f t="shared" si="17"/>
        <v>1w</v>
      </c>
      <c r="X584" s="222">
        <f>_xll.qlCalendarAdvance(Calendar,X583,W584,"f",FALSE)</f>
        <v>42900</v>
      </c>
      <c r="Y584" s="227">
        <f>_xll.qlCalendarAdvance(Calendar,X584,NDays&amp;"D")</f>
        <v>42900</v>
      </c>
      <c r="Z584" s="228">
        <v>2.4859874950867243E-2</v>
      </c>
      <c r="AA584" s="230">
        <v>2.4718027838639411E-2</v>
      </c>
    </row>
    <row r="585" spans="19:27" x14ac:dyDescent="0.2">
      <c r="S585" s="32"/>
      <c r="T585" s="187"/>
      <c r="W585" s="221" t="str">
        <f t="shared" si="17"/>
        <v>1w</v>
      </c>
      <c r="X585" s="222">
        <f>_xll.qlCalendarAdvance(Calendar,X584,W585,"f",FALSE)</f>
        <v>42907</v>
      </c>
      <c r="Y585" s="227">
        <f>_xll.qlCalendarAdvance(Calendar,X585,NDays&amp;"D")</f>
        <v>42907</v>
      </c>
      <c r="Z585" s="228">
        <v>2.4915679058934846E-2</v>
      </c>
      <c r="AA585" s="230">
        <v>2.4775657487469127E-2</v>
      </c>
    </row>
    <row r="586" spans="19:27" x14ac:dyDescent="0.2">
      <c r="S586" s="32"/>
      <c r="T586" s="187"/>
      <c r="W586" s="221" t="str">
        <f t="shared" si="17"/>
        <v>1w</v>
      </c>
      <c r="X586" s="222">
        <f>_xll.qlCalendarAdvance(Calendar,X585,W586,"f",FALSE)</f>
        <v>42914</v>
      </c>
      <c r="Y586" s="227">
        <f>_xll.qlCalendarAdvance(Calendar,X586,NDays&amp;"D")</f>
        <v>42914</v>
      </c>
      <c r="Z586" s="228">
        <v>2.4970806066419549E-2</v>
      </c>
      <c r="AA586" s="230">
        <v>2.4831968550105277E-2</v>
      </c>
    </row>
    <row r="587" spans="19:27" x14ac:dyDescent="0.2">
      <c r="S587" s="32"/>
      <c r="T587" s="187"/>
      <c r="W587" s="221" t="str">
        <f t="shared" si="17"/>
        <v>1w</v>
      </c>
      <c r="X587" s="222">
        <f>_xll.qlCalendarAdvance(Calendar,X586,W587,"f",FALSE)</f>
        <v>42921</v>
      </c>
      <c r="Y587" s="227">
        <f>_xll.qlCalendarAdvance(Calendar,X587,NDays&amp;"D")</f>
        <v>42921</v>
      </c>
      <c r="Z587" s="228">
        <v>2.503952655331149E-2</v>
      </c>
      <c r="AA587" s="230">
        <v>2.4887513016476071E-2</v>
      </c>
    </row>
    <row r="588" spans="19:27" x14ac:dyDescent="0.2">
      <c r="S588" s="32"/>
      <c r="T588" s="187"/>
      <c r="W588" s="221" t="str">
        <f t="shared" si="17"/>
        <v>1w</v>
      </c>
      <c r="X588" s="222">
        <f>_xll.qlCalendarAdvance(Calendar,X587,W588,"f",FALSE)</f>
        <v>42928</v>
      </c>
      <c r="Y588" s="227">
        <f>_xll.qlCalendarAdvance(Calendar,X588,NDays&amp;"D")</f>
        <v>42928</v>
      </c>
      <c r="Z588" s="228">
        <v>2.5093512644576457E-2</v>
      </c>
      <c r="AA588" s="230">
        <v>2.4942547167483564E-2</v>
      </c>
    </row>
    <row r="589" spans="19:27" x14ac:dyDescent="0.2">
      <c r="S589" s="32"/>
      <c r="T589" s="187"/>
      <c r="W589" s="221" t="str">
        <f t="shared" si="17"/>
        <v>1w</v>
      </c>
      <c r="X589" s="222">
        <f>_xll.qlCalendarAdvance(Calendar,X588,W589,"f",FALSE)</f>
        <v>42935</v>
      </c>
      <c r="Y589" s="227">
        <f>_xll.qlCalendarAdvance(Calendar,X589,NDays&amp;"D")</f>
        <v>42935</v>
      </c>
      <c r="Z589" s="228">
        <v>2.5146987549623554E-2</v>
      </c>
      <c r="AA589" s="230">
        <v>2.4997071002803573E-2</v>
      </c>
    </row>
    <row r="590" spans="19:27" x14ac:dyDescent="0.2">
      <c r="S590" s="32"/>
      <c r="T590" s="187"/>
      <c r="W590" s="221" t="str">
        <f t="shared" si="17"/>
        <v>1w</v>
      </c>
      <c r="X590" s="222">
        <f>_xll.qlCalendarAdvance(Calendar,X589,W590,"f",FALSE)</f>
        <v>42942</v>
      </c>
      <c r="Y590" s="227">
        <f>_xll.qlCalendarAdvance(Calendar,X590,NDays&amp;"D")</f>
        <v>42942</v>
      </c>
      <c r="Z590" s="228">
        <v>2.5204555215379072E-2</v>
      </c>
      <c r="AA590" s="230">
        <v>2.5051084522436096E-2</v>
      </c>
    </row>
    <row r="591" spans="19:27" x14ac:dyDescent="0.2">
      <c r="S591" s="32"/>
      <c r="T591" s="187"/>
      <c r="W591" s="221" t="str">
        <f t="shared" si="17"/>
        <v>1w</v>
      </c>
      <c r="X591" s="222">
        <f>_xll.qlCalendarAdvance(Calendar,X590,W591,"f",FALSE)</f>
        <v>42949</v>
      </c>
      <c r="Y591" s="227">
        <f>_xll.qlCalendarAdvance(Calendar,X591,NDays&amp;"D")</f>
        <v>42949</v>
      </c>
      <c r="Z591" s="228">
        <v>2.5252403771533836E-2</v>
      </c>
      <c r="AA591" s="230">
        <v>2.5104587725975902E-2</v>
      </c>
    </row>
    <row r="592" spans="19:27" x14ac:dyDescent="0.2">
      <c r="S592" s="32"/>
      <c r="T592" s="187"/>
      <c r="W592" s="221" t="str">
        <f t="shared" si="17"/>
        <v>1w</v>
      </c>
      <c r="X592" s="222">
        <f>_xll.qlCalendarAdvance(Calendar,X591,W592,"f",FALSE)</f>
        <v>42956</v>
      </c>
      <c r="Y592" s="227">
        <f>_xll.qlCalendarAdvance(Calendar,X592,NDays&amp;"D")</f>
        <v>42956</v>
      </c>
      <c r="Z592" s="228">
        <v>2.5304345073808684E-2</v>
      </c>
      <c r="AA592" s="230">
        <v>2.5157580613260899E-2</v>
      </c>
    </row>
    <row r="593" spans="19:27" x14ac:dyDescent="0.2">
      <c r="S593" s="32"/>
      <c r="T593" s="187"/>
      <c r="W593" s="221" t="str">
        <f t="shared" si="17"/>
        <v>1w</v>
      </c>
      <c r="X593" s="222">
        <f>_xll.qlCalendarAdvance(Calendar,X592,W593,"f",FALSE)</f>
        <v>42963</v>
      </c>
      <c r="Y593" s="227">
        <f>_xll.qlCalendarAdvance(Calendar,X593,NDays&amp;"D")</f>
        <v>42963</v>
      </c>
      <c r="Z593" s="228">
        <v>2.5355775160686551E-2</v>
      </c>
      <c r="AA593" s="230">
        <v>2.5210063183966902E-2</v>
      </c>
    </row>
    <row r="594" spans="19:27" x14ac:dyDescent="0.2">
      <c r="S594" s="32"/>
      <c r="T594" s="187"/>
      <c r="W594" s="221" t="str">
        <f t="shared" si="17"/>
        <v>1w</v>
      </c>
      <c r="X594" s="222">
        <f>_xll.qlCalendarAdvance(Calendar,X593,W594,"f",FALSE)</f>
        <v>42970</v>
      </c>
      <c r="Y594" s="227">
        <f>_xll.qlCalendarAdvance(Calendar,X594,NDays&amp;"D")</f>
        <v>42970</v>
      </c>
      <c r="Z594" s="228">
        <v>2.5406694025055007E-2</v>
      </c>
      <c r="AA594" s="230">
        <v>2.5262035438012864E-2</v>
      </c>
    </row>
    <row r="595" spans="19:27" x14ac:dyDescent="0.2">
      <c r="S595" s="32"/>
      <c r="T595" s="187"/>
      <c r="W595" s="221" t="str">
        <f t="shared" si="17"/>
        <v>1w</v>
      </c>
      <c r="X595" s="222">
        <f>_xll.qlCalendarAdvance(Calendar,X594,W595,"f",FALSE)</f>
        <v>42977</v>
      </c>
      <c r="Y595" s="227">
        <f>_xll.qlCalendarAdvance(Calendar,X595,NDays&amp;"D")</f>
        <v>42977</v>
      </c>
      <c r="Z595" s="228">
        <v>2.5443766440914728E-2</v>
      </c>
      <c r="AA595" s="230">
        <v>2.5313497375236693E-2</v>
      </c>
    </row>
    <row r="596" spans="19:27" x14ac:dyDescent="0.2">
      <c r="S596" s="32"/>
      <c r="T596" s="187"/>
      <c r="W596" s="221" t="str">
        <f t="shared" si="17"/>
        <v>1w</v>
      </c>
      <c r="X596" s="222">
        <f>_xll.qlCalendarAdvance(Calendar,X595,W596,"f",FALSE)</f>
        <v>42984</v>
      </c>
      <c r="Y596" s="227">
        <f>_xll.qlCalendarAdvance(Calendar,X596,NDays&amp;"D")</f>
        <v>42984</v>
      </c>
      <c r="Z596" s="228">
        <v>2.5493761935005931E-2</v>
      </c>
      <c r="AA596" s="230">
        <v>2.5364448995233158E-2</v>
      </c>
    </row>
    <row r="597" spans="19:27" x14ac:dyDescent="0.2">
      <c r="S597" s="32"/>
      <c r="T597" s="187"/>
      <c r="W597" s="221" t="str">
        <f t="shared" ref="W597:W660" si="18">W596</f>
        <v>1w</v>
      </c>
      <c r="X597" s="222">
        <f>_xll.qlCalendarAdvance(Calendar,X596,W597,"f",FALSE)</f>
        <v>42991</v>
      </c>
      <c r="Y597" s="227">
        <f>_xll.qlCalendarAdvance(Calendar,X597,NDays&amp;"D")</f>
        <v>42991</v>
      </c>
      <c r="Z597" s="228">
        <v>2.5543246273835012E-2</v>
      </c>
      <c r="AA597" s="230">
        <v>2.5414890297840165E-2</v>
      </c>
    </row>
    <row r="598" spans="19:27" x14ac:dyDescent="0.2">
      <c r="S598" s="32"/>
      <c r="T598" s="187"/>
      <c r="W598" s="221" t="str">
        <f t="shared" si="18"/>
        <v>1w</v>
      </c>
      <c r="X598" s="222">
        <f>_xll.qlCalendarAdvance(Calendar,X597,W598,"f",FALSE)</f>
        <v>42998</v>
      </c>
      <c r="Y598" s="227">
        <f>_xll.qlCalendarAdvance(Calendar,X598,NDays&amp;"D")</f>
        <v>42998</v>
      </c>
      <c r="Z598" s="228">
        <v>2.5592219451177622E-2</v>
      </c>
      <c r="AA598" s="230">
        <v>2.5464821282895622E-2</v>
      </c>
    </row>
    <row r="599" spans="19:27" x14ac:dyDescent="0.2">
      <c r="S599" s="32"/>
      <c r="T599" s="187"/>
      <c r="W599" s="221" t="str">
        <f t="shared" si="18"/>
        <v>1w</v>
      </c>
      <c r="X599" s="222">
        <f>_xll.qlCalendarAdvance(Calendar,X598,W599,"f",FALSE)</f>
        <v>43005</v>
      </c>
      <c r="Y599" s="227">
        <f>_xll.qlCalendarAdvance(Calendar,X599,NDays&amp;"D")</f>
        <v>43005</v>
      </c>
      <c r="Z599" s="228">
        <v>2.5640681460874247E-2</v>
      </c>
      <c r="AA599" s="230">
        <v>2.5514241950156391E-2</v>
      </c>
    </row>
    <row r="600" spans="19:27" x14ac:dyDescent="0.2">
      <c r="S600" s="32"/>
      <c r="T600" s="187"/>
      <c r="W600" s="221" t="str">
        <f t="shared" si="18"/>
        <v>1w</v>
      </c>
      <c r="X600" s="222">
        <f>_xll.qlCalendarAdvance(Calendar,X599,W600,"f",FALSE)</f>
        <v>43012</v>
      </c>
      <c r="Y600" s="227">
        <f>_xll.qlCalendarAdvance(Calendar,X600,NDays&amp;"D")</f>
        <v>43012</v>
      </c>
      <c r="Z600" s="228">
        <v>2.5701471148863252E-2</v>
      </c>
      <c r="AA600" s="230">
        <v>2.5563152299460379E-2</v>
      </c>
    </row>
    <row r="601" spans="19:27" x14ac:dyDescent="0.2">
      <c r="S601" s="32"/>
      <c r="T601" s="187"/>
      <c r="W601" s="221" t="str">
        <f t="shared" si="18"/>
        <v>1w</v>
      </c>
      <c r="X601" s="222">
        <f>_xll.qlCalendarAdvance(Calendar,X600,W601,"f",FALSE)</f>
        <v>43019</v>
      </c>
      <c r="Y601" s="227">
        <f>_xll.qlCalendarAdvance(Calendar,X601,NDays&amp;"D")</f>
        <v>43019</v>
      </c>
      <c r="Z601" s="228">
        <v>2.574881126231152E-2</v>
      </c>
      <c r="AA601" s="230">
        <v>2.5611552330564447E-2</v>
      </c>
    </row>
    <row r="602" spans="19:27" x14ac:dyDescent="0.2">
      <c r="S602" s="32"/>
      <c r="T602" s="187"/>
      <c r="W602" s="221" t="str">
        <f t="shared" si="18"/>
        <v>1w</v>
      </c>
      <c r="X602" s="222">
        <f>_xll.qlCalendarAdvance(Calendar,X601,W602,"f",FALSE)</f>
        <v>43026</v>
      </c>
      <c r="Y602" s="227">
        <f>_xll.qlCalendarAdvance(Calendar,X602,NDays&amp;"D")</f>
        <v>43026</v>
      </c>
      <c r="Z602" s="228">
        <v>2.5795640098851134E-2</v>
      </c>
      <c r="AA602" s="230">
        <v>2.5659442043306502E-2</v>
      </c>
    </row>
    <row r="603" spans="19:27" x14ac:dyDescent="0.2">
      <c r="S603" s="32"/>
      <c r="T603" s="187"/>
      <c r="W603" s="221" t="str">
        <f t="shared" si="18"/>
        <v>1w</v>
      </c>
      <c r="X603" s="222">
        <f>_xll.qlCalendarAdvance(Calendar,X602,W603,"f",FALSE)</f>
        <v>43033</v>
      </c>
      <c r="Y603" s="227">
        <f>_xll.qlCalendarAdvance(Calendar,X603,NDays&amp;"D")</f>
        <v>43033</v>
      </c>
      <c r="Z603" s="228">
        <v>2.584195765201067E-2</v>
      </c>
      <c r="AA603" s="230">
        <v>2.5706821437362359E-2</v>
      </c>
    </row>
    <row r="604" spans="19:27" x14ac:dyDescent="0.2">
      <c r="S604" s="32"/>
      <c r="T604" s="187"/>
      <c r="W604" s="221" t="str">
        <f t="shared" si="18"/>
        <v>1w</v>
      </c>
      <c r="X604" s="222">
        <f>_xll.qlCalendarAdvance(Calendar,X603,W604,"f",FALSE)</f>
        <v>43040</v>
      </c>
      <c r="Y604" s="227">
        <f>_xll.qlCalendarAdvance(Calendar,X604,NDays&amp;"D")</f>
        <v>43040</v>
      </c>
      <c r="Z604" s="228">
        <v>2.5875323783493331E-2</v>
      </c>
      <c r="AA604" s="230">
        <v>2.5753690512650973E-2</v>
      </c>
    </row>
    <row r="605" spans="19:27" x14ac:dyDescent="0.2">
      <c r="S605" s="32"/>
      <c r="T605" s="187"/>
      <c r="W605" s="221" t="str">
        <f t="shared" si="18"/>
        <v>1w</v>
      </c>
      <c r="X605" s="222">
        <f>_xll.qlCalendarAdvance(Calendar,X604,W605,"f",FALSE)</f>
        <v>43047</v>
      </c>
      <c r="Y605" s="227">
        <f>_xll.qlCalendarAdvance(Calendar,X605,NDays&amp;"D")</f>
        <v>43047</v>
      </c>
      <c r="Z605" s="228">
        <v>2.5920718661519387E-2</v>
      </c>
      <c r="AA605" s="230">
        <v>2.580004926901025E-2</v>
      </c>
    </row>
    <row r="606" spans="19:27" x14ac:dyDescent="0.2">
      <c r="S606" s="32"/>
      <c r="T606" s="187"/>
      <c r="W606" s="221" t="str">
        <f t="shared" si="18"/>
        <v>1w</v>
      </c>
      <c r="X606" s="222">
        <f>_xll.qlCalendarAdvance(Calendar,X605,W606,"f",FALSE)</f>
        <v>43054</v>
      </c>
      <c r="Y606" s="227">
        <f>_xll.qlCalendarAdvance(Calendar,X606,NDays&amp;"D")</f>
        <v>43054</v>
      </c>
      <c r="Z606" s="228">
        <v>2.5965602330568549E-2</v>
      </c>
      <c r="AA606" s="230">
        <v>2.5845897706116006E-2</v>
      </c>
    </row>
    <row r="607" spans="19:27" x14ac:dyDescent="0.2">
      <c r="S607" s="32"/>
      <c r="T607" s="187"/>
      <c r="W607" s="221" t="str">
        <f t="shared" si="18"/>
        <v>1w</v>
      </c>
      <c r="X607" s="222">
        <f>_xll.qlCalendarAdvance(Calendar,X606,W607,"f",FALSE)</f>
        <v>43061</v>
      </c>
      <c r="Y607" s="227">
        <f>_xll.qlCalendarAdvance(Calendar,X607,NDays&amp;"D")</f>
        <v>43061</v>
      </c>
      <c r="Z607" s="228">
        <v>2.6009974784997301E-2</v>
      </c>
      <c r="AA607" s="230">
        <v>2.5891235823887193E-2</v>
      </c>
    </row>
    <row r="608" spans="19:27" x14ac:dyDescent="0.2">
      <c r="S608" s="32"/>
      <c r="T608" s="187"/>
      <c r="W608" s="221" t="str">
        <f t="shared" si="18"/>
        <v>1w</v>
      </c>
      <c r="X608" s="222">
        <f>_xll.qlCalendarAdvance(Calendar,X607,W608,"f",FALSE)</f>
        <v>43068</v>
      </c>
      <c r="Y608" s="227">
        <f>_xll.qlCalendarAdvance(Calendar,X608,NDays&amp;"D")</f>
        <v>43068</v>
      </c>
      <c r="Z608" s="228">
        <v>2.6053836019218846E-2</v>
      </c>
      <c r="AA608" s="230">
        <v>2.5936063622080674E-2</v>
      </c>
    </row>
    <row r="609" spans="19:27" x14ac:dyDescent="0.2">
      <c r="S609" s="32"/>
      <c r="T609" s="187"/>
      <c r="W609" s="221" t="str">
        <f t="shared" si="18"/>
        <v>1w</v>
      </c>
      <c r="X609" s="222">
        <f>_xll.qlCalendarAdvance(Calendar,X608,W609,"f",FALSE)</f>
        <v>43075</v>
      </c>
      <c r="Y609" s="227">
        <f>_xll.qlCalendarAdvance(Calendar,X609,NDays&amp;"D")</f>
        <v>43075</v>
      </c>
      <c r="Z609" s="228">
        <v>2.610912566590487E-2</v>
      </c>
      <c r="AA609" s="230">
        <v>2.5980381100453309E-2</v>
      </c>
    </row>
    <row r="610" spans="19:27" x14ac:dyDescent="0.2">
      <c r="S610" s="32"/>
      <c r="T610" s="187"/>
      <c r="W610" s="221" t="str">
        <f t="shared" si="18"/>
        <v>1w</v>
      </c>
      <c r="X610" s="222">
        <f>_xll.qlCalendarAdvance(Calendar,X609,W610,"f",FALSE)</f>
        <v>43082</v>
      </c>
      <c r="Y610" s="227">
        <f>_xll.qlCalendarAdvance(Calendar,X610,NDays&amp;"D")</f>
        <v>43082</v>
      </c>
      <c r="Z610" s="228">
        <v>2.6151864059862528E-2</v>
      </c>
      <c r="AA610" s="230">
        <v>2.6024188258924053E-2</v>
      </c>
    </row>
    <row r="611" spans="19:27" x14ac:dyDescent="0.2">
      <c r="S611" s="32"/>
      <c r="T611" s="187"/>
      <c r="W611" s="221" t="str">
        <f t="shared" si="18"/>
        <v>1w</v>
      </c>
      <c r="X611" s="222">
        <f>_xll.qlCalendarAdvance(Calendar,X610,W611,"f",FALSE)</f>
        <v>43089</v>
      </c>
      <c r="Y611" s="227">
        <f>_xll.qlCalendarAdvance(Calendar,X611,NDays&amp;"D")</f>
        <v>43089</v>
      </c>
      <c r="Z611" s="228">
        <v>2.619409112113941E-2</v>
      </c>
      <c r="AA611" s="230">
        <v>2.6067485097330811E-2</v>
      </c>
    </row>
    <row r="612" spans="19:27" x14ac:dyDescent="0.2">
      <c r="S612" s="32"/>
      <c r="T612" s="187"/>
      <c r="W612" s="221" t="str">
        <f t="shared" si="18"/>
        <v>1w</v>
      </c>
      <c r="X612" s="222">
        <f>_xll.qlCalendarAdvance(Calendar,X611,W612,"f",FALSE)</f>
        <v>43096</v>
      </c>
      <c r="Y612" s="227">
        <f>_xll.qlCalendarAdvance(Calendar,X612,NDays&amp;"D")</f>
        <v>43096</v>
      </c>
      <c r="Z612" s="228">
        <v>2.6235806843890361E-2</v>
      </c>
      <c r="AA612" s="230">
        <v>2.6110271615349401E-2</v>
      </c>
    </row>
    <row r="613" spans="19:27" x14ac:dyDescent="0.2">
      <c r="S613" s="32"/>
      <c r="T613" s="187"/>
      <c r="W613" s="221" t="str">
        <f t="shared" si="18"/>
        <v>1w</v>
      </c>
      <c r="X613" s="222">
        <f>_xll.qlCalendarAdvance(Calendar,X612,W613,"f",FALSE)</f>
        <v>43103</v>
      </c>
      <c r="Y613" s="227">
        <f>_xll.qlCalendarAdvance(Calendar,X613,NDays&amp;"D")</f>
        <v>43103</v>
      </c>
      <c r="Z613" s="228">
        <v>2.6277011222338987E-2</v>
      </c>
      <c r="AA613" s="230">
        <v>2.6152547812898774E-2</v>
      </c>
    </row>
    <row r="614" spans="19:27" x14ac:dyDescent="0.2">
      <c r="S614" s="32"/>
      <c r="T614" s="187"/>
      <c r="W614" s="221" t="str">
        <f t="shared" si="18"/>
        <v>1w</v>
      </c>
      <c r="X614" s="222">
        <f>_xll.qlCalendarAdvance(Calendar,X613,W614,"f",FALSE)</f>
        <v>43110</v>
      </c>
      <c r="Y614" s="227">
        <f>_xll.qlCalendarAdvance(Calendar,X614,NDays&amp;"D")</f>
        <v>43110</v>
      </c>
      <c r="Z614" s="228">
        <v>2.6317704250789952E-2</v>
      </c>
      <c r="AA614" s="230">
        <v>2.6194313689816839E-2</v>
      </c>
    </row>
    <row r="615" spans="19:27" x14ac:dyDescent="0.2">
      <c r="S615" s="32"/>
      <c r="T615" s="187"/>
      <c r="W615" s="221" t="str">
        <f t="shared" si="18"/>
        <v>1w</v>
      </c>
      <c r="X615" s="222">
        <f>_xll.qlCalendarAdvance(Calendar,X614,W615,"f",FALSE)</f>
        <v>43117</v>
      </c>
      <c r="Y615" s="227">
        <f>_xll.qlCalendarAdvance(Calendar,X615,NDays&amp;"D")</f>
        <v>43117</v>
      </c>
      <c r="Z615" s="228">
        <v>2.6357885923609305E-2</v>
      </c>
      <c r="AA615" s="230">
        <v>2.6235569245860457E-2</v>
      </c>
    </row>
    <row r="616" spans="19:27" x14ac:dyDescent="0.2">
      <c r="S616" s="32"/>
      <c r="T616" s="187"/>
      <c r="W616" s="221" t="str">
        <f t="shared" si="18"/>
        <v>1w</v>
      </c>
      <c r="X616" s="222">
        <f>_xll.qlCalendarAdvance(Calendar,X615,W616,"f",FALSE)</f>
        <v>43124</v>
      </c>
      <c r="Y616" s="227">
        <f>_xll.qlCalendarAdvance(Calendar,X616,NDays&amp;"D")</f>
        <v>43124</v>
      </c>
      <c r="Z616" s="228">
        <v>2.6397556235231871E-2</v>
      </c>
      <c r="AA616" s="230">
        <v>2.6276314480948582E-2</v>
      </c>
    </row>
    <row r="617" spans="19:27" x14ac:dyDescent="0.2">
      <c r="S617" s="32"/>
      <c r="T617" s="187"/>
      <c r="W617" s="221" t="str">
        <f t="shared" si="18"/>
        <v>1w</v>
      </c>
      <c r="X617" s="222">
        <f>_xll.qlCalendarAdvance(Calendar,X616,W617,"f",FALSE)</f>
        <v>43131</v>
      </c>
      <c r="Y617" s="227">
        <f>_xll.qlCalendarAdvance(Calendar,X617,NDays&amp;"D")</f>
        <v>43131</v>
      </c>
      <c r="Z617" s="228">
        <v>2.641814359507523E-2</v>
      </c>
      <c r="AA617" s="230">
        <v>2.6316549394757027E-2</v>
      </c>
    </row>
    <row r="618" spans="19:27" x14ac:dyDescent="0.2">
      <c r="S618" s="32"/>
      <c r="T618" s="187"/>
      <c r="W618" s="221" t="str">
        <f t="shared" si="18"/>
        <v>1w</v>
      </c>
      <c r="X618" s="222">
        <f>_xll.qlCalendarAdvance(Calendar,X617,W618,"f",FALSE)</f>
        <v>43138</v>
      </c>
      <c r="Y618" s="227">
        <f>_xll.qlCalendarAdvance(Calendar,X618,NDays&amp;"D")</f>
        <v>43138</v>
      </c>
      <c r="Z618" s="228">
        <v>2.6456959755991008E-2</v>
      </c>
      <c r="AA618" s="230">
        <v>2.6356273987285794E-2</v>
      </c>
    </row>
    <row r="619" spans="19:27" x14ac:dyDescent="0.2">
      <c r="S619" s="32"/>
      <c r="T619" s="187"/>
      <c r="W619" s="221" t="str">
        <f t="shared" si="18"/>
        <v>1w</v>
      </c>
      <c r="X619" s="222">
        <f>_xll.qlCalendarAdvance(Calendar,X618,W619,"f",FALSE)</f>
        <v>43145</v>
      </c>
      <c r="Y619" s="227">
        <f>_xll.qlCalendarAdvance(Calendar,X619,NDays&amp;"D")</f>
        <v>43145</v>
      </c>
      <c r="Z619" s="228">
        <v>2.6495264706135491E-2</v>
      </c>
      <c r="AA619" s="230">
        <v>2.6395488258210698E-2</v>
      </c>
    </row>
    <row r="620" spans="19:27" x14ac:dyDescent="0.2">
      <c r="S620" s="32"/>
      <c r="T620" s="187"/>
      <c r="W620" s="221" t="str">
        <f t="shared" si="18"/>
        <v>1w</v>
      </c>
      <c r="X620" s="222">
        <f>_xll.qlCalendarAdvance(Calendar,X619,W620,"f",FALSE)</f>
        <v>43152</v>
      </c>
      <c r="Y620" s="227">
        <f>_xll.qlCalendarAdvance(Calendar,X620,NDays&amp;"D")</f>
        <v>43152</v>
      </c>
      <c r="Z620" s="228">
        <v>2.6533058441010615E-2</v>
      </c>
      <c r="AA620" s="230">
        <v>2.6434192207531737E-2</v>
      </c>
    </row>
    <row r="621" spans="19:27" x14ac:dyDescent="0.2">
      <c r="S621" s="32"/>
      <c r="T621" s="187"/>
      <c r="W621" s="221" t="str">
        <f t="shared" si="18"/>
        <v>1w</v>
      </c>
      <c r="X621" s="222">
        <f>_xll.qlCalendarAdvance(Calendar,X620,W621,"f",FALSE)</f>
        <v>43159</v>
      </c>
      <c r="Y621" s="227">
        <f>_xll.qlCalendarAdvance(Calendar,X621,NDays&amp;"D")</f>
        <v>43159</v>
      </c>
      <c r="Z621" s="228">
        <v>2.6573926304576837E-2</v>
      </c>
      <c r="AA621" s="230">
        <v>2.6472385835005774E-2</v>
      </c>
    </row>
    <row r="622" spans="19:27" x14ac:dyDescent="0.2">
      <c r="S622" s="32"/>
      <c r="T622" s="187"/>
      <c r="W622" s="221" t="str">
        <f t="shared" si="18"/>
        <v>1w</v>
      </c>
      <c r="X622" s="222">
        <f>_xll.qlCalendarAdvance(Calendar,X621,W622,"f",FALSE)</f>
        <v>43166</v>
      </c>
      <c r="Y622" s="227">
        <f>_xll.qlCalendarAdvance(Calendar,X622,NDays&amp;"D")</f>
        <v>43166</v>
      </c>
      <c r="Z622" s="228">
        <v>2.6624839217404397E-2</v>
      </c>
      <c r="AA622" s="230">
        <v>2.6510069140470716E-2</v>
      </c>
    </row>
    <row r="623" spans="19:27" x14ac:dyDescent="0.2">
      <c r="S623" s="32"/>
      <c r="T623" s="187"/>
      <c r="W623" s="221" t="str">
        <f t="shared" si="18"/>
        <v>1w</v>
      </c>
      <c r="X623" s="222">
        <f>_xll.qlCalendarAdvance(Calendar,X622,W623,"f",FALSE)</f>
        <v>43173</v>
      </c>
      <c r="Y623" s="227">
        <f>_xll.qlCalendarAdvance(Calendar,X623,NDays&amp;"D")</f>
        <v>43173</v>
      </c>
      <c r="Z623" s="228">
        <v>2.6660929850910311E-2</v>
      </c>
      <c r="AA623" s="230">
        <v>2.6547242123683423E-2</v>
      </c>
    </row>
    <row r="624" spans="19:27" x14ac:dyDescent="0.2">
      <c r="S624" s="32"/>
      <c r="T624" s="187"/>
      <c r="W624" s="221" t="str">
        <f t="shared" si="18"/>
        <v>1w</v>
      </c>
      <c r="X624" s="222">
        <f>_xll.qlCalendarAdvance(Calendar,X623,W624,"f",FALSE)</f>
        <v>43180</v>
      </c>
      <c r="Y624" s="227">
        <f>_xll.qlCalendarAdvance(Calendar,X624,NDays&amp;"D")</f>
        <v>43180</v>
      </c>
      <c r="Z624" s="228">
        <v>2.6696509081279209E-2</v>
      </c>
      <c r="AA624" s="230">
        <v>2.6583904784724943E-2</v>
      </c>
    </row>
    <row r="625" spans="19:27" x14ac:dyDescent="0.2">
      <c r="S625" s="32"/>
      <c r="T625" s="187"/>
      <c r="W625" s="221" t="str">
        <f t="shared" si="18"/>
        <v>1w</v>
      </c>
      <c r="X625" s="222">
        <f>_xll.qlCalendarAdvance(Calendar,X624,W625,"f",FALSE)</f>
        <v>43187</v>
      </c>
      <c r="Y625" s="227">
        <f>_xll.qlCalendarAdvance(Calendar,X625,NDays&amp;"D")</f>
        <v>43187</v>
      </c>
      <c r="Z625" s="228">
        <v>2.6731576903594297E-2</v>
      </c>
      <c r="AA625" s="230">
        <v>2.6620057123190044E-2</v>
      </c>
    </row>
    <row r="626" spans="19:27" x14ac:dyDescent="0.2">
      <c r="S626" s="32"/>
      <c r="T626" s="187"/>
      <c r="W626" s="221" t="str">
        <f t="shared" si="18"/>
        <v>1w</v>
      </c>
      <c r="X626" s="222">
        <f>_xll.qlCalendarAdvance(Calendar,X625,W626,"f",FALSE)</f>
        <v>43194</v>
      </c>
      <c r="Y626" s="227">
        <f>_xll.qlCalendarAdvance(Calendar,X626,NDays&amp;"D")</f>
        <v>43194</v>
      </c>
      <c r="Z626" s="228">
        <v>2.6755913600871855E-2</v>
      </c>
      <c r="AA626" s="230">
        <v>2.6655699139078726E-2</v>
      </c>
    </row>
    <row r="627" spans="19:27" x14ac:dyDescent="0.2">
      <c r="S627" s="32"/>
      <c r="T627" s="187"/>
      <c r="W627" s="221" t="str">
        <f t="shared" si="18"/>
        <v>1w</v>
      </c>
      <c r="X627" s="222">
        <f>_xll.qlCalendarAdvance(Calendar,X626,W627,"f",FALSE)</f>
        <v>43201</v>
      </c>
      <c r="Y627" s="227">
        <f>_xll.qlCalendarAdvance(Calendar,X627,NDays&amp;"D")</f>
        <v>43201</v>
      </c>
      <c r="Z627" s="228">
        <v>2.67900606760401E-2</v>
      </c>
      <c r="AA627" s="230">
        <v>2.6690830832147849E-2</v>
      </c>
    </row>
    <row r="628" spans="19:27" x14ac:dyDescent="0.2">
      <c r="S628" s="32"/>
      <c r="T628" s="187"/>
      <c r="W628" s="221" t="str">
        <f t="shared" si="18"/>
        <v>1w</v>
      </c>
      <c r="X628" s="222">
        <f>_xll.qlCalendarAdvance(Calendar,X627,W628,"f",FALSE)</f>
        <v>43208</v>
      </c>
      <c r="Y628" s="227">
        <f>_xll.qlCalendarAdvance(Calendar,X628,NDays&amp;"D")</f>
        <v>43208</v>
      </c>
      <c r="Z628" s="228">
        <v>2.6823696432854094E-2</v>
      </c>
      <c r="AA628" s="230">
        <v>2.6725452202235322E-2</v>
      </c>
    </row>
    <row r="629" spans="19:27" x14ac:dyDescent="0.2">
      <c r="S629" s="32"/>
      <c r="T629" s="187"/>
      <c r="W629" s="221" t="str">
        <f t="shared" si="18"/>
        <v>1w</v>
      </c>
      <c r="X629" s="222">
        <f>_xll.qlCalendarAdvance(Calendar,X628,W629,"f",FALSE)</f>
        <v>43215</v>
      </c>
      <c r="Y629" s="227">
        <f>_xll.qlCalendarAdvance(Calendar,X629,NDays&amp;"D")</f>
        <v>43215</v>
      </c>
      <c r="Z629" s="228">
        <v>2.6856820867085927E-2</v>
      </c>
      <c r="AA629" s="230">
        <v>2.6759563249341145E-2</v>
      </c>
    </row>
    <row r="630" spans="19:27" x14ac:dyDescent="0.2">
      <c r="S630" s="32"/>
      <c r="T630" s="187"/>
      <c r="W630" s="221" t="str">
        <f t="shared" si="18"/>
        <v>1w</v>
      </c>
      <c r="X630" s="222">
        <f>_xll.qlCalendarAdvance(Calendar,X629,W630,"f",FALSE)</f>
        <v>43222</v>
      </c>
      <c r="Y630" s="227">
        <f>_xll.qlCalendarAdvance(Calendar,X630,NDays&amp;"D")</f>
        <v>43222</v>
      </c>
      <c r="Z630" s="228">
        <v>2.6899244726903651E-2</v>
      </c>
      <c r="AA630" s="230">
        <v>2.6793163973222178E-2</v>
      </c>
    </row>
    <row r="631" spans="19:27" x14ac:dyDescent="0.2">
      <c r="S631" s="32"/>
      <c r="T631" s="187"/>
      <c r="W631" s="221" t="str">
        <f t="shared" si="18"/>
        <v>1w</v>
      </c>
      <c r="X631" s="222">
        <f>_xll.qlCalendarAdvance(Calendar,X630,W631,"f",FALSE)</f>
        <v>43229</v>
      </c>
      <c r="Y631" s="227">
        <f>_xll.qlCalendarAdvance(Calendar,X631,NDays&amp;"D")</f>
        <v>43229</v>
      </c>
      <c r="Z631" s="228">
        <v>2.6931244001425027E-2</v>
      </c>
      <c r="AA631" s="230">
        <v>2.6826254373797376E-2</v>
      </c>
    </row>
    <row r="632" spans="19:27" x14ac:dyDescent="0.2">
      <c r="S632" s="32"/>
      <c r="T632" s="187"/>
      <c r="W632" s="221" t="str">
        <f t="shared" si="18"/>
        <v>1w</v>
      </c>
      <c r="X632" s="222">
        <f>_xll.qlCalendarAdvance(Calendar,X631,W632,"f",FALSE)</f>
        <v>43236</v>
      </c>
      <c r="Y632" s="227">
        <f>_xll.qlCalendarAdvance(Calendar,X632,NDays&amp;"D")</f>
        <v>43236</v>
      </c>
      <c r="Z632" s="228">
        <v>2.6962731835405311E-2</v>
      </c>
      <c r="AA632" s="230">
        <v>2.6858834450904645E-2</v>
      </c>
    </row>
    <row r="633" spans="19:27" x14ac:dyDescent="0.2">
      <c r="S633" s="32"/>
      <c r="T633" s="187"/>
      <c r="W633" s="221" t="str">
        <f t="shared" si="18"/>
        <v>1w</v>
      </c>
      <c r="X633" s="222">
        <f>_xll.qlCalendarAdvance(Calendar,X632,W633,"f",FALSE)</f>
        <v>43243</v>
      </c>
      <c r="Y633" s="227">
        <f>_xll.qlCalendarAdvance(Calendar,X633,NDays&amp;"D")</f>
        <v>43243</v>
      </c>
      <c r="Z633" s="228">
        <v>2.6993708224482733E-2</v>
      </c>
      <c r="AA633" s="230">
        <v>2.6890904204300847E-2</v>
      </c>
    </row>
    <row r="634" spans="19:27" x14ac:dyDescent="0.2">
      <c r="S634" s="32"/>
      <c r="T634" s="187"/>
      <c r="W634" s="221" t="str">
        <f t="shared" si="18"/>
        <v>1w</v>
      </c>
      <c r="X634" s="222">
        <f>_xll.qlCalendarAdvance(Calendar,X633,W634,"f",FALSE)</f>
        <v>43250</v>
      </c>
      <c r="Y634" s="227">
        <f>_xll.qlCalendarAdvance(Calendar,X634,NDays&amp;"D")</f>
        <v>43250</v>
      </c>
      <c r="Z634" s="228">
        <v>2.7014773422595211E-2</v>
      </c>
      <c r="AA634" s="230">
        <v>2.6922463633904936E-2</v>
      </c>
    </row>
    <row r="635" spans="19:27" x14ac:dyDescent="0.2">
      <c r="S635" s="32"/>
      <c r="T635" s="187"/>
      <c r="W635" s="221" t="str">
        <f t="shared" si="18"/>
        <v>1w</v>
      </c>
      <c r="X635" s="222">
        <f>_xll.qlCalendarAdvance(Calendar,X634,W635,"f",FALSE)</f>
        <v>43257</v>
      </c>
      <c r="Y635" s="227">
        <f>_xll.qlCalendarAdvance(Calendar,X635,NDays&amp;"D")</f>
        <v>43257</v>
      </c>
      <c r="Z635" s="228">
        <v>2.7044862886257702E-2</v>
      </c>
      <c r="AA635" s="230">
        <v>2.6953512739716912E-2</v>
      </c>
    </row>
    <row r="636" spans="19:27" x14ac:dyDescent="0.2">
      <c r="S636" s="32"/>
      <c r="T636" s="187"/>
      <c r="W636" s="221" t="str">
        <f t="shared" si="18"/>
        <v>1w</v>
      </c>
      <c r="X636" s="222">
        <f>_xll.qlCalendarAdvance(Calendar,X635,W636,"f",FALSE)</f>
        <v>43264</v>
      </c>
      <c r="Y636" s="227">
        <f>_xll.qlCalendarAdvance(Calendar,X636,NDays&amp;"D")</f>
        <v>43264</v>
      </c>
      <c r="Z636" s="228">
        <v>2.7074562290979709E-2</v>
      </c>
      <c r="AA636" s="230">
        <v>2.6984051521412589E-2</v>
      </c>
    </row>
    <row r="637" spans="19:27" x14ac:dyDescent="0.2">
      <c r="S637" s="32"/>
      <c r="T637" s="187"/>
      <c r="W637" s="221" t="str">
        <f t="shared" si="18"/>
        <v>1w</v>
      </c>
      <c r="X637" s="222">
        <f>_xll.qlCalendarAdvance(Calendar,X636,W637,"f",FALSE)</f>
        <v>43271</v>
      </c>
      <c r="Y637" s="227">
        <f>_xll.qlCalendarAdvance(Calendar,X637,NDays&amp;"D")</f>
        <v>43271</v>
      </c>
      <c r="Z637" s="228">
        <v>2.7103965971817079E-2</v>
      </c>
      <c r="AA637" s="230">
        <v>2.7014079978991967E-2</v>
      </c>
    </row>
    <row r="638" spans="19:27" x14ac:dyDescent="0.2">
      <c r="S638" s="32"/>
      <c r="T638" s="187"/>
      <c r="W638" s="221" t="str">
        <f t="shared" si="18"/>
        <v>1w</v>
      </c>
      <c r="X638" s="222">
        <f>_xll.qlCalendarAdvance(Calendar,X637,W638,"f",FALSE)</f>
        <v>43278</v>
      </c>
      <c r="Y638" s="227">
        <f>_xll.qlCalendarAdvance(Calendar,X638,NDays&amp;"D")</f>
        <v>43278</v>
      </c>
      <c r="Z638" s="228">
        <v>2.7133168264768491E-2</v>
      </c>
      <c r="AA638" s="230">
        <v>2.7043599484487535E-2</v>
      </c>
    </row>
    <row r="639" spans="19:27" x14ac:dyDescent="0.2">
      <c r="S639" s="32"/>
      <c r="T639" s="187"/>
      <c r="W639" s="221" t="str">
        <f t="shared" si="18"/>
        <v>1w</v>
      </c>
      <c r="X639" s="222">
        <f>_xll.qlCalendarAdvance(Calendar,X638,W639,"f",FALSE)</f>
        <v>43285</v>
      </c>
      <c r="Y639" s="227">
        <f>_xll.qlCalendarAdvance(Calendar,X639,NDays&amp;"D")</f>
        <v>43285</v>
      </c>
      <c r="Z639" s="228">
        <v>2.717147932434736E-2</v>
      </c>
      <c r="AA639" s="230">
        <v>2.7072837828602259E-2</v>
      </c>
    </row>
    <row r="640" spans="19:27" x14ac:dyDescent="0.2">
      <c r="S640" s="32"/>
      <c r="T640" s="187"/>
      <c r="W640" s="221" t="str">
        <f t="shared" si="18"/>
        <v>1w</v>
      </c>
      <c r="X640" s="222">
        <f>_xll.qlCalendarAdvance(Calendar,X639,W640,"f",FALSE)</f>
        <v>43292</v>
      </c>
      <c r="Y640" s="227">
        <f>_xll.qlCalendarAdvance(Calendar,X640,NDays&amp;"D")</f>
        <v>43292</v>
      </c>
      <c r="Z640" s="228">
        <v>2.7200435313080414E-2</v>
      </c>
      <c r="AA640" s="230">
        <v>2.7101969284829552E-2</v>
      </c>
    </row>
    <row r="641" spans="19:27" x14ac:dyDescent="0.2">
      <c r="S641" s="32"/>
      <c r="T641" s="187"/>
      <c r="W641" s="221" t="str">
        <f t="shared" si="18"/>
        <v>1w</v>
      </c>
      <c r="X641" s="222">
        <f>_xll.qlCalendarAdvance(Calendar,X640,W641,"f",FALSE)</f>
        <v>43299</v>
      </c>
      <c r="Y641" s="227">
        <f>_xll.qlCalendarAdvance(Calendar,X641,NDays&amp;"D")</f>
        <v>43299</v>
      </c>
      <c r="Z641" s="228">
        <v>2.7229284232011524E-2</v>
      </c>
      <c r="AA641" s="230">
        <v>2.7130993853007324E-2</v>
      </c>
    </row>
    <row r="642" spans="19:27" x14ac:dyDescent="0.2">
      <c r="S642" s="32"/>
      <c r="T642" s="187"/>
      <c r="W642" s="221" t="str">
        <f t="shared" si="18"/>
        <v>1w</v>
      </c>
      <c r="X642" s="222">
        <f>_xll.qlCalendarAdvance(Calendar,X641,W642,"f",FALSE)</f>
        <v>43306</v>
      </c>
      <c r="Y642" s="227">
        <f>_xll.qlCalendarAdvance(Calendar,X642,NDays&amp;"D")</f>
        <v>43306</v>
      </c>
      <c r="Z642" s="228">
        <v>2.726108601875897E-2</v>
      </c>
      <c r="AA642" s="230">
        <v>2.7159911533378711E-2</v>
      </c>
    </row>
    <row r="643" spans="19:27" x14ac:dyDescent="0.2">
      <c r="S643" s="32"/>
      <c r="T643" s="187"/>
      <c r="W643" s="221" t="str">
        <f t="shared" si="18"/>
        <v>1w</v>
      </c>
      <c r="X643" s="222">
        <f>_xll.qlCalendarAdvance(Calendar,X642,W643,"f",FALSE)</f>
        <v>43313</v>
      </c>
      <c r="Y643" s="227">
        <f>_xll.qlCalendarAdvance(Calendar,X643,NDays&amp;"D")</f>
        <v>43313</v>
      </c>
      <c r="Z643" s="228">
        <v>2.7286660857132723E-2</v>
      </c>
      <c r="AA643" s="230">
        <v>2.7188722325781622E-2</v>
      </c>
    </row>
    <row r="644" spans="19:27" x14ac:dyDescent="0.2">
      <c r="S644" s="32"/>
      <c r="T644" s="187"/>
      <c r="W644" s="221" t="str">
        <f t="shared" si="18"/>
        <v>1w</v>
      </c>
      <c r="X644" s="222">
        <f>_xll.qlCalendarAdvance(Calendar,X643,W644,"f",FALSE)</f>
        <v>43320</v>
      </c>
      <c r="Y644" s="227">
        <f>_xll.qlCalendarAdvance(Calendar,X644,NDays&amp;"D")</f>
        <v>43320</v>
      </c>
      <c r="Z644" s="228">
        <v>2.7315188561657679E-2</v>
      </c>
      <c r="AA644" s="230">
        <v>2.7217426230135011E-2</v>
      </c>
    </row>
    <row r="645" spans="19:27" x14ac:dyDescent="0.2">
      <c r="S645" s="32"/>
      <c r="T645" s="187"/>
      <c r="W645" s="221" t="str">
        <f t="shared" si="18"/>
        <v>1w</v>
      </c>
      <c r="X645" s="222">
        <f>_xll.qlCalendarAdvance(Calendar,X644,W645,"f",FALSE)</f>
        <v>43327</v>
      </c>
      <c r="Y645" s="227">
        <f>_xll.qlCalendarAdvance(Calendar,X645,NDays&amp;"D")</f>
        <v>43327</v>
      </c>
      <c r="Z645" s="228">
        <v>2.7343609193057793E-2</v>
      </c>
      <c r="AA645" s="230">
        <v>2.7246023246519924E-2</v>
      </c>
    </row>
    <row r="646" spans="19:27" x14ac:dyDescent="0.2">
      <c r="S646" s="32"/>
      <c r="T646" s="187"/>
      <c r="W646" s="221" t="str">
        <f t="shared" si="18"/>
        <v>1w</v>
      </c>
      <c r="X646" s="222">
        <f>_xll.qlCalendarAdvance(Calendar,X645,W646,"f",FALSE)</f>
        <v>43334</v>
      </c>
      <c r="Y646" s="227">
        <f>_xll.qlCalendarAdvance(Calendar,X646,NDays&amp;"D")</f>
        <v>43334</v>
      </c>
      <c r="Z646" s="228">
        <v>2.7371922750510317E-2</v>
      </c>
      <c r="AA646" s="230">
        <v>2.7274513374855314E-2</v>
      </c>
    </row>
    <row r="647" spans="19:27" x14ac:dyDescent="0.2">
      <c r="S647" s="32"/>
      <c r="T647" s="187"/>
      <c r="W647" s="221" t="str">
        <f t="shared" si="18"/>
        <v>1w</v>
      </c>
      <c r="X647" s="222">
        <f>_xll.qlCalendarAdvance(Calendar,X646,W647,"f",FALSE)</f>
        <v>43341</v>
      </c>
      <c r="Y647" s="227">
        <f>_xll.qlCalendarAdvance(Calendar,X647,NDays&amp;"D")</f>
        <v>43341</v>
      </c>
      <c r="Z647" s="228">
        <v>2.7391030005858186E-2</v>
      </c>
      <c r="AA647" s="230">
        <v>2.7302896615222227E-2</v>
      </c>
    </row>
    <row r="648" spans="19:27" x14ac:dyDescent="0.2">
      <c r="S648" s="32"/>
      <c r="T648" s="187"/>
      <c r="W648" s="221" t="str">
        <f t="shared" si="18"/>
        <v>1w</v>
      </c>
      <c r="X648" s="222">
        <f>_xll.qlCalendarAdvance(Calendar,X647,W648,"f",FALSE)</f>
        <v>43348</v>
      </c>
      <c r="Y648" s="227">
        <f>_xll.qlCalendarAdvance(Calendar,X648,NDays&amp;"D")</f>
        <v>43348</v>
      </c>
      <c r="Z648" s="228">
        <v>2.7419146031182895E-2</v>
      </c>
      <c r="AA648" s="230">
        <v>2.733117296729648E-2</v>
      </c>
    </row>
    <row r="649" spans="19:27" x14ac:dyDescent="0.2">
      <c r="S649" s="32"/>
      <c r="T649" s="187"/>
      <c r="W649" s="221" t="str">
        <f t="shared" si="18"/>
        <v>1w</v>
      </c>
      <c r="X649" s="222">
        <f>_xll.qlCalendarAdvance(Calendar,X648,W649,"f",FALSE)</f>
        <v>43355</v>
      </c>
      <c r="Y649" s="227">
        <f>_xll.qlCalendarAdvance(Calendar,X649,NDays&amp;"D")</f>
        <v>43355</v>
      </c>
      <c r="Z649" s="228">
        <v>2.74471549979232E-2</v>
      </c>
      <c r="AA649" s="230">
        <v>2.7359342431402256E-2</v>
      </c>
    </row>
    <row r="650" spans="19:27" x14ac:dyDescent="0.2">
      <c r="S650" s="32"/>
      <c r="T650" s="187"/>
      <c r="W650" s="221" t="str">
        <f t="shared" si="18"/>
        <v>1w</v>
      </c>
      <c r="X650" s="222">
        <f>_xll.qlCalendarAdvance(Calendar,X649,W650,"f",FALSE)</f>
        <v>43362</v>
      </c>
      <c r="Y650" s="227">
        <f>_xll.qlCalendarAdvance(Calendar,X650,NDays&amp;"D")</f>
        <v>43362</v>
      </c>
      <c r="Z650" s="228">
        <v>2.7475056905338878E-2</v>
      </c>
      <c r="AA650" s="230">
        <v>2.7387405007296417E-2</v>
      </c>
    </row>
    <row r="651" spans="19:27" x14ac:dyDescent="0.2">
      <c r="S651" s="32"/>
      <c r="T651" s="187"/>
      <c r="W651" s="221" t="str">
        <f t="shared" si="18"/>
        <v>1w</v>
      </c>
      <c r="X651" s="222">
        <f>_xll.qlCalendarAdvance(Calendar,X650,W651,"f",FALSE)</f>
        <v>43369</v>
      </c>
      <c r="Y651" s="227">
        <f>_xll.qlCalendarAdvance(Calendar,X651,NDays&amp;"D")</f>
        <v>43369</v>
      </c>
      <c r="Z651" s="228">
        <v>2.7502851752697809E-2</v>
      </c>
      <c r="AA651" s="230">
        <v>2.7415360695060009E-2</v>
      </c>
    </row>
    <row r="652" spans="19:27" x14ac:dyDescent="0.2">
      <c r="S652" s="32"/>
      <c r="T652" s="187"/>
      <c r="W652" s="221" t="str">
        <f t="shared" si="18"/>
        <v>1w</v>
      </c>
      <c r="X652" s="222">
        <f>_xll.qlCalendarAdvance(Calendar,X651,W652,"f",FALSE)</f>
        <v>43376</v>
      </c>
      <c r="Y652" s="227">
        <f>_xll.qlCalendarAdvance(Calendar,X652,NDays&amp;"D")</f>
        <v>43376</v>
      </c>
      <c r="Z652" s="228">
        <v>2.7539555496534994E-2</v>
      </c>
      <c r="AA652" s="230">
        <v>2.7443209494693033E-2</v>
      </c>
    </row>
    <row r="653" spans="19:27" x14ac:dyDescent="0.2">
      <c r="S653" s="32"/>
      <c r="T653" s="187"/>
      <c r="W653" s="221" t="str">
        <f t="shared" si="18"/>
        <v>1w</v>
      </c>
      <c r="X653" s="222">
        <f>_xll.qlCalendarAdvance(Calendar,X652,W653,"f",FALSE)</f>
        <v>43383</v>
      </c>
      <c r="Y653" s="227">
        <f>_xll.qlCalendarAdvance(Calendar,X653,NDays&amp;"D")</f>
        <v>43383</v>
      </c>
      <c r="Z653" s="228">
        <v>2.7567119513533741E-2</v>
      </c>
      <c r="AA653" s="230">
        <v>2.7470951406033395E-2</v>
      </c>
    </row>
    <row r="654" spans="19:27" x14ac:dyDescent="0.2">
      <c r="S654" s="32"/>
      <c r="T654" s="187"/>
      <c r="W654" s="221" t="str">
        <f t="shared" si="18"/>
        <v>1w</v>
      </c>
      <c r="X654" s="222">
        <f>_xll.qlCalendarAdvance(Calendar,X653,W654,"f",FALSE)</f>
        <v>43390</v>
      </c>
      <c r="Y654" s="227">
        <f>_xll.qlCalendarAdvance(Calendar,X654,NDays&amp;"D")</f>
        <v>43390</v>
      </c>
      <c r="Z654" s="228">
        <v>2.7594576450106111E-2</v>
      </c>
      <c r="AA654" s="230">
        <v>2.7498586429162142E-2</v>
      </c>
    </row>
    <row r="655" spans="19:27" x14ac:dyDescent="0.2">
      <c r="S655" s="32"/>
      <c r="T655" s="187"/>
      <c r="W655" s="221" t="str">
        <f t="shared" si="18"/>
        <v>1w</v>
      </c>
      <c r="X655" s="222">
        <f>_xll.qlCalendarAdvance(Calendar,X654,W655,"f",FALSE)</f>
        <v>43397</v>
      </c>
      <c r="Y655" s="227">
        <f>_xll.qlCalendarAdvance(Calendar,X655,NDays&amp;"D")</f>
        <v>43397</v>
      </c>
      <c r="Z655" s="228">
        <v>2.7621926305453921E-2</v>
      </c>
      <c r="AA655" s="230">
        <v>2.7526114563998227E-2</v>
      </c>
    </row>
    <row r="656" spans="19:27" x14ac:dyDescent="0.2">
      <c r="S656" s="32"/>
      <c r="T656" s="187"/>
      <c r="W656" s="221" t="str">
        <f t="shared" si="18"/>
        <v>1w</v>
      </c>
      <c r="X656" s="222">
        <f>_xll.qlCalendarAdvance(Calendar,X655,W656,"f",FALSE)</f>
        <v>43404</v>
      </c>
      <c r="Y656" s="227">
        <f>_xll.qlCalendarAdvance(Calendar,X656,NDays&amp;"D")</f>
        <v>43404</v>
      </c>
      <c r="Z656" s="228">
        <v>2.764022006308468E-2</v>
      </c>
      <c r="AA656" s="230">
        <v>2.7553535810622698E-2</v>
      </c>
    </row>
    <row r="657" spans="19:27" x14ac:dyDescent="0.2">
      <c r="S657" s="32"/>
      <c r="T657" s="187"/>
      <c r="W657" s="221" t="str">
        <f t="shared" si="18"/>
        <v>1w</v>
      </c>
      <c r="X657" s="222">
        <f>_xll.qlCalendarAdvance(Calendar,X656,W657,"f",FALSE)</f>
        <v>43411</v>
      </c>
      <c r="Y657" s="227">
        <f>_xll.qlCalendarAdvance(Calendar,X657,NDays&amp;"D")</f>
        <v>43411</v>
      </c>
      <c r="Z657" s="228">
        <v>2.7667372534812405E-2</v>
      </c>
      <c r="AA657" s="230">
        <v>2.7580850168873461E-2</v>
      </c>
    </row>
    <row r="658" spans="19:27" x14ac:dyDescent="0.2">
      <c r="S658" s="32"/>
      <c r="T658" s="187"/>
      <c r="W658" s="221" t="str">
        <f t="shared" si="18"/>
        <v>1w</v>
      </c>
      <c r="X658" s="222">
        <f>_xll.qlCalendarAdvance(Calendar,X657,W658,"f",FALSE)</f>
        <v>43418</v>
      </c>
      <c r="Y658" s="227">
        <f>_xll.qlCalendarAdvance(Calendar,X658,NDays&amp;"D")</f>
        <v>43418</v>
      </c>
      <c r="Z658" s="228">
        <v>2.7694417941415288E-2</v>
      </c>
      <c r="AA658" s="230">
        <v>2.7608057638831562E-2</v>
      </c>
    </row>
    <row r="659" spans="19:27" x14ac:dyDescent="0.2">
      <c r="S659" s="32"/>
      <c r="T659" s="187"/>
      <c r="W659" s="221" t="str">
        <f t="shared" si="18"/>
        <v>1w</v>
      </c>
      <c r="X659" s="222">
        <f>_xll.qlCalendarAdvance(Calendar,X658,W659,"f",FALSE)</f>
        <v>43425</v>
      </c>
      <c r="Y659" s="227">
        <f>_xll.qlCalendarAdvance(Calendar,X659,NDays&amp;"D")</f>
        <v>43425</v>
      </c>
      <c r="Z659" s="228">
        <v>2.7721356282177423E-2</v>
      </c>
      <c r="AA659" s="230">
        <v>2.7635158220415956E-2</v>
      </c>
    </row>
    <row r="660" spans="19:27" x14ac:dyDescent="0.2">
      <c r="S660" s="32"/>
      <c r="T660" s="187"/>
      <c r="W660" s="221" t="str">
        <f t="shared" si="18"/>
        <v>1w</v>
      </c>
      <c r="X660" s="222">
        <f>_xll.qlCalendarAdvance(Calendar,X659,W660,"f",FALSE)</f>
        <v>43432</v>
      </c>
      <c r="Y660" s="227">
        <f>_xll.qlCalendarAdvance(Calendar,X660,NDays&amp;"D")</f>
        <v>43432</v>
      </c>
      <c r="Z660" s="228">
        <v>2.7748187556393709E-2</v>
      </c>
      <c r="AA660" s="230">
        <v>2.7662151913626642E-2</v>
      </c>
    </row>
    <row r="661" spans="19:27" x14ac:dyDescent="0.2">
      <c r="S661" s="32"/>
      <c r="T661" s="187"/>
      <c r="W661" s="221" t="str">
        <f t="shared" ref="W661:W724" si="19">W660</f>
        <v>1w</v>
      </c>
      <c r="X661" s="222">
        <f>_xll.qlCalendarAdvance(Calendar,X660,W661,"f",FALSE)</f>
        <v>43439</v>
      </c>
      <c r="Y661" s="227">
        <f>_xll.qlCalendarAdvance(Calendar,X661,NDays&amp;"D")</f>
        <v>43439</v>
      </c>
      <c r="Z661" s="228">
        <v>2.7783776687671968E-2</v>
      </c>
      <c r="AA661" s="230">
        <v>2.7689038718382575E-2</v>
      </c>
    </row>
    <row r="662" spans="19:27" x14ac:dyDescent="0.2">
      <c r="S662" s="32"/>
      <c r="T662" s="187"/>
      <c r="W662" s="221" t="str">
        <f t="shared" si="19"/>
        <v>1w</v>
      </c>
      <c r="X662" s="222">
        <f>_xll.qlCalendarAdvance(Calendar,X661,W662,"f",FALSE)</f>
        <v>43446</v>
      </c>
      <c r="Y662" s="227">
        <f>_xll.qlCalendarAdvance(Calendar,X662,NDays&amp;"D")</f>
        <v>43446</v>
      </c>
      <c r="Z662" s="228">
        <v>2.7810376952432735E-2</v>
      </c>
      <c r="AA662" s="230">
        <v>2.7715818634764799E-2</v>
      </c>
    </row>
    <row r="663" spans="19:27" x14ac:dyDescent="0.2">
      <c r="S663" s="32"/>
      <c r="T663" s="187"/>
      <c r="W663" s="221" t="str">
        <f t="shared" si="19"/>
        <v>1w</v>
      </c>
      <c r="X663" s="222">
        <f>_xll.qlCalendarAdvance(Calendar,X662,W663,"f",FALSE)</f>
        <v>43453</v>
      </c>
      <c r="Y663" s="227">
        <f>_xll.qlCalendarAdvance(Calendar,X663,NDays&amp;"D")</f>
        <v>43453</v>
      </c>
      <c r="Z663" s="228">
        <v>2.7836870129716095E-2</v>
      </c>
      <c r="AA663" s="230">
        <v>2.7742491662611224E-2</v>
      </c>
    </row>
    <row r="664" spans="19:27" x14ac:dyDescent="0.2">
      <c r="S664" s="32"/>
      <c r="T664" s="187"/>
      <c r="W664" s="221" t="str">
        <f t="shared" si="19"/>
        <v>1w</v>
      </c>
      <c r="X664" s="222">
        <f>_xll.qlCalendarAdvance(Calendar,X663,W664,"f",FALSE)</f>
        <v>43461</v>
      </c>
      <c r="Y664" s="227">
        <f>_xll.qlCalendarAdvance(Calendar,X664,NDays&amp;"D")</f>
        <v>43461</v>
      </c>
      <c r="Z664" s="228">
        <v>2.7864080030918642E-2</v>
      </c>
      <c r="AA664" s="230">
        <v>2.7772844239261074E-2</v>
      </c>
    </row>
    <row r="665" spans="19:27" x14ac:dyDescent="0.2">
      <c r="S665" s="32"/>
      <c r="T665" s="187"/>
      <c r="W665" s="221" t="str">
        <f t="shared" si="19"/>
        <v>1w</v>
      </c>
      <c r="X665" s="222">
        <f>_xll.qlCalendarAdvance(Calendar,X664,W665,"f",FALSE)</f>
        <v>43468</v>
      </c>
      <c r="Y665" s="227">
        <f>_xll.qlCalendarAdvance(Calendar,X665,NDays&amp;"D")</f>
        <v>43468</v>
      </c>
      <c r="Z665" s="228">
        <v>2.789034937773844E-2</v>
      </c>
      <c r="AA665" s="230">
        <v>2.7799288220430318E-2</v>
      </c>
    </row>
    <row r="666" spans="19:27" x14ac:dyDescent="0.2">
      <c r="S666" s="32"/>
      <c r="T666" s="187"/>
      <c r="W666" s="221" t="str">
        <f t="shared" si="19"/>
        <v>1w</v>
      </c>
      <c r="X666" s="222">
        <f>_xll.qlCalendarAdvance(Calendar,X665,W666,"f",FALSE)</f>
        <v>43475</v>
      </c>
      <c r="Y666" s="227">
        <f>_xll.qlCalendarAdvance(Calendar,X666,NDays&amp;"D")</f>
        <v>43475</v>
      </c>
      <c r="Z666" s="228">
        <v>2.7916511641025085E-2</v>
      </c>
      <c r="AA666" s="230">
        <v>2.7825625313063762E-2</v>
      </c>
    </row>
    <row r="667" spans="19:27" x14ac:dyDescent="0.2">
      <c r="S667" s="32"/>
      <c r="T667" s="187"/>
      <c r="W667" s="221" t="str">
        <f t="shared" si="19"/>
        <v>1w</v>
      </c>
      <c r="X667" s="222">
        <f>_xll.qlCalendarAdvance(Calendar,X666,W667,"f",FALSE)</f>
        <v>43482</v>
      </c>
      <c r="Y667" s="227">
        <f>_xll.qlCalendarAdvance(Calendar,X667,NDays&amp;"D")</f>
        <v>43482</v>
      </c>
      <c r="Z667" s="228">
        <v>2.794256682004663E-2</v>
      </c>
      <c r="AA667" s="230">
        <v>2.7851855517080359E-2</v>
      </c>
    </row>
    <row r="668" spans="19:27" x14ac:dyDescent="0.2">
      <c r="S668" s="32"/>
      <c r="T668" s="187"/>
      <c r="W668" s="221" t="str">
        <f t="shared" si="19"/>
        <v>1w</v>
      </c>
      <c r="X668" s="222">
        <f>_xll.qlCalendarAdvance(Calendar,X667,W668,"f",FALSE)</f>
        <v>43489</v>
      </c>
      <c r="Y668" s="227">
        <f>_xll.qlCalendarAdvance(Calendar,X668,NDays&amp;"D")</f>
        <v>43489</v>
      </c>
      <c r="Z668" s="228">
        <v>2.7968514914063526E-2</v>
      </c>
      <c r="AA668" s="230">
        <v>2.7877978832642203E-2</v>
      </c>
    </row>
    <row r="669" spans="19:27" x14ac:dyDescent="0.2">
      <c r="S669" s="32"/>
      <c r="T669" s="187"/>
      <c r="W669" s="221" t="str">
        <f t="shared" si="19"/>
        <v>1w</v>
      </c>
      <c r="X669" s="222">
        <f>_xll.qlCalendarAdvance(Calendar,X668,W669,"f",FALSE)</f>
        <v>43496</v>
      </c>
      <c r="Y669" s="227">
        <f>_xll.qlCalendarAdvance(Calendar,X669,NDays&amp;"D")</f>
        <v>43496</v>
      </c>
      <c r="Z669" s="228">
        <v>2.7982717610445993E-2</v>
      </c>
      <c r="AA669" s="230">
        <v>2.7903995259506154E-2</v>
      </c>
    </row>
    <row r="670" spans="19:27" x14ac:dyDescent="0.2">
      <c r="S670" s="32"/>
      <c r="T670" s="187"/>
      <c r="W670" s="221" t="str">
        <f t="shared" si="19"/>
        <v>1w</v>
      </c>
      <c r="X670" s="222">
        <f>_xll.qlCalendarAdvance(Calendar,X669,W670,"f",FALSE)</f>
        <v>43503</v>
      </c>
      <c r="Y670" s="227">
        <f>_xll.qlCalendarAdvance(Calendar,X670,NDays&amp;"D")</f>
        <v>43503</v>
      </c>
      <c r="Z670" s="228">
        <v>2.8008474233635772E-2</v>
      </c>
      <c r="AA670" s="230">
        <v>2.7929904797753258E-2</v>
      </c>
    </row>
    <row r="671" spans="19:27" x14ac:dyDescent="0.2">
      <c r="S671" s="32"/>
      <c r="T671" s="187"/>
      <c r="W671" s="221" t="str">
        <f t="shared" si="19"/>
        <v>1w</v>
      </c>
      <c r="X671" s="222">
        <f>_xll.qlCalendarAdvance(Calendar,X670,W671,"f",FALSE)</f>
        <v>43510</v>
      </c>
      <c r="Y671" s="227">
        <f>_xll.qlCalendarAdvance(Calendar,X671,NDays&amp;"D")</f>
        <v>43510</v>
      </c>
      <c r="Z671" s="228">
        <v>2.8034123795458561E-2</v>
      </c>
      <c r="AA671" s="230">
        <v>2.7955707447464562E-2</v>
      </c>
    </row>
    <row r="672" spans="19:27" x14ac:dyDescent="0.2">
      <c r="S672" s="32"/>
      <c r="T672" s="187"/>
      <c r="W672" s="221" t="str">
        <f t="shared" si="19"/>
        <v>1w</v>
      </c>
      <c r="X672" s="222">
        <f>_xll.qlCalendarAdvance(Calendar,X671,W672,"f",FALSE)</f>
        <v>43517</v>
      </c>
      <c r="Y672" s="227">
        <f>_xll.qlCalendarAdvance(Calendar,X672,NDays&amp;"D")</f>
        <v>43517</v>
      </c>
      <c r="Z672" s="228">
        <v>2.8059666295280457E-2</v>
      </c>
      <c r="AA672" s="230">
        <v>2.7981403208396927E-2</v>
      </c>
    </row>
    <row r="673" spans="19:27" x14ac:dyDescent="0.2">
      <c r="S673" s="32"/>
      <c r="T673" s="187"/>
      <c r="W673" s="221" t="str">
        <f t="shared" si="19"/>
        <v>1w</v>
      </c>
      <c r="X673" s="222">
        <f>_xll.qlCalendarAdvance(Calendar,X672,W673,"f",FALSE)</f>
        <v>43524</v>
      </c>
      <c r="Y673" s="227">
        <f>_xll.qlCalendarAdvance(Calendar,X673,NDays&amp;"D")</f>
        <v>43524</v>
      </c>
      <c r="Z673" s="228">
        <v>2.8087989163281982E-2</v>
      </c>
      <c r="AA673" s="230">
        <v>2.8006992080793491E-2</v>
      </c>
    </row>
    <row r="674" spans="19:27" x14ac:dyDescent="0.2">
      <c r="S674" s="32"/>
      <c r="T674" s="187"/>
      <c r="W674" s="221" t="str">
        <f t="shared" si="19"/>
        <v>1w</v>
      </c>
      <c r="X674" s="222">
        <f>_xll.qlCalendarAdvance(Calendar,X673,W674,"f",FALSE)</f>
        <v>43531</v>
      </c>
      <c r="Y674" s="227">
        <f>_xll.qlCalendarAdvance(Calendar,X674,NDays&amp;"D")</f>
        <v>43531</v>
      </c>
      <c r="Z674" s="228">
        <v>2.812195465253655E-2</v>
      </c>
      <c r="AA674" s="230">
        <v>2.8032474064330071E-2</v>
      </c>
    </row>
    <row r="675" spans="19:27" x14ac:dyDescent="0.2">
      <c r="S675" s="32"/>
      <c r="T675" s="187"/>
      <c r="W675" s="221" t="str">
        <f t="shared" si="19"/>
        <v>1w</v>
      </c>
      <c r="X675" s="222">
        <f>_xll.qlCalendarAdvance(Calendar,X674,W675,"f",FALSE)</f>
        <v>43538</v>
      </c>
      <c r="Y675" s="227">
        <f>_xll.qlCalendarAdvance(Calendar,X675,NDays&amp;"D")</f>
        <v>43538</v>
      </c>
      <c r="Z675" s="228">
        <v>2.8147153131299861E-2</v>
      </c>
      <c r="AA675" s="230">
        <v>2.8057849159168757E-2</v>
      </c>
    </row>
    <row r="676" spans="19:27" x14ac:dyDescent="0.2">
      <c r="S676" s="32"/>
      <c r="T676" s="187"/>
      <c r="W676" s="221" t="str">
        <f t="shared" si="19"/>
        <v>1w</v>
      </c>
      <c r="X676" s="222">
        <f>_xll.qlCalendarAdvance(Calendar,X675,W676,"f",FALSE)</f>
        <v>43545</v>
      </c>
      <c r="Y676" s="227">
        <f>_xll.qlCalendarAdvance(Calendar,X676,NDays&amp;"D")</f>
        <v>43545</v>
      </c>
      <c r="Z676" s="228">
        <v>2.8175113239067968E-2</v>
      </c>
      <c r="AA676" s="230">
        <v>2.8083117365309551E-2</v>
      </c>
    </row>
    <row r="677" spans="19:27" x14ac:dyDescent="0.2">
      <c r="S677" s="32"/>
      <c r="T677" s="187"/>
      <c r="W677" s="221" t="str">
        <f t="shared" si="19"/>
        <v>1w</v>
      </c>
      <c r="X677" s="222">
        <f>_xll.qlCalendarAdvance(Calendar,X676,W677,"f",FALSE)</f>
        <v>43552</v>
      </c>
      <c r="Y677" s="227">
        <f>_xll.qlCalendarAdvance(Calendar,X677,NDays&amp;"D")</f>
        <v>43552</v>
      </c>
      <c r="Z677" s="228">
        <v>2.8197228815870917E-2</v>
      </c>
      <c r="AA677" s="230">
        <v>2.810827868259036E-2</v>
      </c>
    </row>
    <row r="678" spans="19:27" x14ac:dyDescent="0.2">
      <c r="S678" s="32"/>
      <c r="T678" s="187"/>
      <c r="W678" s="221" t="str">
        <f t="shared" si="19"/>
        <v>1w</v>
      </c>
      <c r="X678" s="222">
        <f>_xll.qlCalendarAdvance(Calendar,X677,W678,"f",FALSE)</f>
        <v>43559</v>
      </c>
      <c r="Y678" s="227">
        <f>_xll.qlCalendarAdvance(Calendar,X678,NDays&amp;"D")</f>
        <v>43559</v>
      </c>
      <c r="Z678" s="228">
        <v>2.8224963287498246E-2</v>
      </c>
      <c r="AA678" s="230">
        <v>2.8133333111173275E-2</v>
      </c>
    </row>
    <row r="679" spans="19:27" x14ac:dyDescent="0.2">
      <c r="S679" s="32"/>
      <c r="T679" s="187"/>
      <c r="W679" s="221" t="str">
        <f t="shared" si="19"/>
        <v>1w</v>
      </c>
      <c r="X679" s="222">
        <f>_xll.qlCalendarAdvance(Calendar,X678,W679,"f",FALSE)</f>
        <v>43566</v>
      </c>
      <c r="Y679" s="227">
        <f>_xll.qlCalendarAdvance(Calendar,X679,NDays&amp;"D")</f>
        <v>43566</v>
      </c>
      <c r="Z679" s="228">
        <v>2.824687613181151E-2</v>
      </c>
      <c r="AA679" s="230">
        <v>2.8158280650896206E-2</v>
      </c>
    </row>
    <row r="680" spans="19:27" x14ac:dyDescent="0.2">
      <c r="S680" s="32"/>
      <c r="T680" s="187"/>
      <c r="W680" s="221" t="str">
        <f t="shared" si="19"/>
        <v>1w</v>
      </c>
      <c r="X680" s="222">
        <f>_xll.qlCalendarAdvance(Calendar,X679,W680,"f",FALSE)</f>
        <v>43573</v>
      </c>
      <c r="Y680" s="227">
        <f>_xll.qlCalendarAdvance(Calendar,X680,NDays&amp;"D")</f>
        <v>43573</v>
      </c>
      <c r="Z680" s="228">
        <v>2.8271539149800039E-2</v>
      </c>
      <c r="AA680" s="230">
        <v>2.8194551603202944E-2</v>
      </c>
    </row>
    <row r="681" spans="19:27" x14ac:dyDescent="0.2">
      <c r="S681" s="32"/>
      <c r="T681" s="187"/>
      <c r="W681" s="221" t="str">
        <f t="shared" si="19"/>
        <v>1w</v>
      </c>
      <c r="X681" s="222">
        <f>_xll.qlCalendarAdvance(Calendar,X680,W681,"f",FALSE)</f>
        <v>43580</v>
      </c>
      <c r="Y681" s="227">
        <f>_xll.qlCalendarAdvance(Calendar,X681,NDays&amp;"D")</f>
        <v>43580</v>
      </c>
      <c r="Z681" s="228">
        <v>2.8298935112145596E-2</v>
      </c>
      <c r="AA681" s="230">
        <v>2.8207855063843157E-2</v>
      </c>
    </row>
    <row r="682" spans="19:27" x14ac:dyDescent="0.2">
      <c r="S682" s="32"/>
      <c r="T682" s="187"/>
      <c r="W682" s="221" t="str">
        <f t="shared" si="19"/>
        <v>1w</v>
      </c>
      <c r="X682" s="222">
        <f>_xll.qlCalendarAdvance(Calendar,X681,W682,"f",FALSE)</f>
        <v>43587</v>
      </c>
      <c r="Y682" s="227">
        <f>_xll.qlCalendarAdvance(Calendar,X682,NDays&amp;"D")</f>
        <v>43587</v>
      </c>
      <c r="Z682" s="228">
        <v>2.8320543902346298E-2</v>
      </c>
      <c r="AA682" s="230">
        <v>2.8232481936905085E-2</v>
      </c>
    </row>
    <row r="683" spans="19:27" x14ac:dyDescent="0.2">
      <c r="S683" s="32"/>
      <c r="T683" s="187"/>
      <c r="W683" s="221" t="str">
        <f t="shared" si="19"/>
        <v>1w</v>
      </c>
      <c r="X683" s="222">
        <f>_xll.qlCalendarAdvance(Calendar,X682,W683,"f",FALSE)</f>
        <v>43594</v>
      </c>
      <c r="Y683" s="227">
        <f>_xll.qlCalendarAdvance(Calendar,X683,NDays&amp;"D")</f>
        <v>43594</v>
      </c>
      <c r="Z683" s="228">
        <v>2.8344885635526243E-2</v>
      </c>
      <c r="AA683" s="230">
        <v>2.8257001921107028E-2</v>
      </c>
    </row>
    <row r="684" spans="19:27" x14ac:dyDescent="0.2">
      <c r="S684" s="32"/>
      <c r="T684" s="187"/>
      <c r="W684" s="221" t="str">
        <f t="shared" si="19"/>
        <v>1w</v>
      </c>
      <c r="X684" s="222">
        <f>_xll.qlCalendarAdvance(Calendar,X683,W684,"f",FALSE)</f>
        <v>43601</v>
      </c>
      <c r="Y684" s="227">
        <f>_xll.qlCalendarAdvance(Calendar,X684,NDays&amp;"D")</f>
        <v>43601</v>
      </c>
      <c r="Z684" s="228">
        <v>2.8369120272398116E-2</v>
      </c>
      <c r="AA684" s="230">
        <v>2.8281415016448985E-2</v>
      </c>
    </row>
    <row r="685" spans="19:27" x14ac:dyDescent="0.2">
      <c r="S685" s="32"/>
      <c r="T685" s="187"/>
      <c r="W685" s="221" t="str">
        <f t="shared" si="19"/>
        <v>1w</v>
      </c>
      <c r="X685" s="222">
        <f>_xll.qlCalendarAdvance(Calendar,X684,W685,"f",FALSE)</f>
        <v>43608</v>
      </c>
      <c r="Y685" s="227">
        <f>_xll.qlCalendarAdvance(Calendar,X685,NDays&amp;"D")</f>
        <v>43608</v>
      </c>
      <c r="Z685" s="228">
        <v>2.8393247812280621E-2</v>
      </c>
      <c r="AA685" s="230">
        <v>2.8305721222768865E-2</v>
      </c>
    </row>
    <row r="686" spans="19:27" x14ac:dyDescent="0.2">
      <c r="S686" s="32"/>
      <c r="T686" s="187"/>
      <c r="W686" s="221" t="str">
        <f t="shared" si="19"/>
        <v>1w</v>
      </c>
      <c r="X686" s="222">
        <f>_xll.qlCalendarAdvance(Calendar,X685,W686,"f",FALSE)</f>
        <v>43615</v>
      </c>
      <c r="Y686" s="227">
        <f>_xll.qlCalendarAdvance(Calendar,X686,NDays&amp;"D")</f>
        <v>43615</v>
      </c>
      <c r="Z686" s="228">
        <v>2.8408832281776517E-2</v>
      </c>
      <c r="AA686" s="230">
        <v>2.8329920540147713E-2</v>
      </c>
    </row>
    <row r="687" spans="19:27" x14ac:dyDescent="0.2">
      <c r="S687" s="32"/>
      <c r="T687" s="187"/>
      <c r="W687" s="221" t="str">
        <f t="shared" si="19"/>
        <v>1w</v>
      </c>
      <c r="X687" s="222">
        <f>_xll.qlCalendarAdvance(Calendar,X686,W687,"f",FALSE)</f>
        <v>43622</v>
      </c>
      <c r="Y687" s="227">
        <f>_xll.qlCalendarAdvance(Calendar,X687,NDays&amp;"D")</f>
        <v>43622</v>
      </c>
      <c r="Z687" s="228">
        <v>2.8441220948119891E-2</v>
      </c>
      <c r="AA687" s="230">
        <v>2.8354012968585529E-2</v>
      </c>
    </row>
    <row r="688" spans="19:27" x14ac:dyDescent="0.2">
      <c r="S688" s="32"/>
      <c r="T688" s="187"/>
      <c r="W688" s="221" t="str">
        <f t="shared" si="19"/>
        <v>1w</v>
      </c>
      <c r="X688" s="222">
        <f>_xll.qlCalendarAdvance(Calendar,X687,W688,"f",FALSE)</f>
        <v>43629</v>
      </c>
      <c r="Y688" s="227">
        <f>_xll.qlCalendarAdvance(Calendar,X688,NDays&amp;"D")</f>
        <v>43629</v>
      </c>
      <c r="Z688" s="228">
        <v>2.8465160261138059E-2</v>
      </c>
      <c r="AA688" s="230">
        <v>2.8377998507920221E-2</v>
      </c>
    </row>
    <row r="689" spans="19:27" x14ac:dyDescent="0.2">
      <c r="S689" s="32"/>
      <c r="T689" s="187"/>
      <c r="W689" s="221" t="str">
        <f t="shared" si="19"/>
        <v>1w</v>
      </c>
      <c r="X689" s="222">
        <f>_xll.qlCalendarAdvance(Calendar,X688,W689,"f",FALSE)</f>
        <v>43636</v>
      </c>
      <c r="Y689" s="227">
        <f>_xll.qlCalendarAdvance(Calendar,X689,NDays&amp;"D")</f>
        <v>43636</v>
      </c>
      <c r="Z689" s="228">
        <v>2.8489148928643911E-2</v>
      </c>
      <c r="AA689" s="230">
        <v>2.8401877158232836E-2</v>
      </c>
    </row>
    <row r="690" spans="19:27" x14ac:dyDescent="0.2">
      <c r="S690" s="32"/>
      <c r="T690" s="187"/>
      <c r="W690" s="221" t="str">
        <f t="shared" si="19"/>
        <v>1w</v>
      </c>
      <c r="X690" s="222">
        <f>_xll.qlCalendarAdvance(Calendar,X689,W690,"f",FALSE)</f>
        <v>43643</v>
      </c>
      <c r="Y690" s="227">
        <f>_xll.qlCalendarAdvance(Calendar,X690,NDays&amp;"D")</f>
        <v>43643</v>
      </c>
      <c r="Z690" s="228">
        <v>2.8513247794152187E-2</v>
      </c>
      <c r="AA690" s="230">
        <v>2.8425649863307312E-2</v>
      </c>
    </row>
    <row r="691" spans="19:27" x14ac:dyDescent="0.2">
      <c r="S691" s="32"/>
      <c r="T691" s="187"/>
      <c r="W691" s="221" t="str">
        <f t="shared" si="19"/>
        <v>1w</v>
      </c>
      <c r="X691" s="222">
        <f>_xll.qlCalendarAdvance(Calendar,X690,W691,"f",FALSE)</f>
        <v>43650</v>
      </c>
      <c r="Y691" s="227">
        <f>_xll.qlCalendarAdvance(Calendar,X691,NDays&amp;"D")</f>
        <v>43650</v>
      </c>
      <c r="Z691" s="228">
        <v>2.8537507561135524E-2</v>
      </c>
      <c r="AA691" s="230">
        <v>2.8449473288927329E-2</v>
      </c>
    </row>
    <row r="692" spans="19:27" x14ac:dyDescent="0.2">
      <c r="S692" s="32"/>
      <c r="T692" s="187"/>
      <c r="W692" s="221" t="str">
        <f t="shared" si="19"/>
        <v>1w</v>
      </c>
      <c r="X692" s="222">
        <f>_xll.qlCalendarAdvance(Calendar,X691,W692,"f",FALSE)</f>
        <v>43657</v>
      </c>
      <c r="Y692" s="227">
        <f>_xll.qlCalendarAdvance(Calendar,X692,NDays&amp;"D")</f>
        <v>43657</v>
      </c>
      <c r="Z692" s="228">
        <v>2.8561938371196166E-2</v>
      </c>
      <c r="AA692" s="230">
        <v>2.8473467293870236E-2</v>
      </c>
    </row>
    <row r="693" spans="19:27" x14ac:dyDescent="0.2">
      <c r="S693" s="32"/>
      <c r="T693" s="187"/>
      <c r="W693" s="221" t="str">
        <f t="shared" si="19"/>
        <v>1w</v>
      </c>
      <c r="X693" s="222">
        <f>_xll.qlCalendarAdvance(Calendar,X692,W693,"f",FALSE)</f>
        <v>43664</v>
      </c>
      <c r="Y693" s="227">
        <f>_xll.qlCalendarAdvance(Calendar,X693,NDays&amp;"D")</f>
        <v>43664</v>
      </c>
      <c r="Z693" s="228">
        <v>2.8586540225430772E-2</v>
      </c>
      <c r="AA693" s="230">
        <v>2.8497631878217078E-2</v>
      </c>
    </row>
    <row r="694" spans="19:27" x14ac:dyDescent="0.2">
      <c r="S694" s="32"/>
      <c r="T694" s="187"/>
      <c r="W694" s="221" t="str">
        <f t="shared" si="19"/>
        <v>1w</v>
      </c>
      <c r="X694" s="222">
        <f>_xll.qlCalendarAdvance(Calendar,X693,W694,"f",FALSE)</f>
        <v>43671</v>
      </c>
      <c r="Y694" s="227">
        <f>_xll.qlCalendarAdvance(Calendar,X694,NDays&amp;"D")</f>
        <v>43671</v>
      </c>
      <c r="Z694" s="228">
        <v>2.8614219226374769E-2</v>
      </c>
      <c r="AA694" s="230">
        <v>2.8521967041967855E-2</v>
      </c>
    </row>
    <row r="695" spans="19:27" x14ac:dyDescent="0.2">
      <c r="S695" s="32"/>
      <c r="T695" s="187"/>
      <c r="W695" s="221" t="str">
        <f t="shared" si="19"/>
        <v>1w</v>
      </c>
      <c r="X695" s="222">
        <f>_xll.qlCalendarAdvance(Calendar,X694,W695,"f",FALSE)</f>
        <v>43678</v>
      </c>
      <c r="Y695" s="227">
        <f>_xll.qlCalendarAdvance(Calendar,X695,NDays&amp;"D")</f>
        <v>43678</v>
      </c>
      <c r="Z695" s="228">
        <v>2.8636257070836363E-2</v>
      </c>
      <c r="AA695" s="230">
        <v>2.854647278528466E-2</v>
      </c>
    </row>
    <row r="696" spans="19:27" x14ac:dyDescent="0.2">
      <c r="S696" s="32"/>
      <c r="T696" s="187"/>
      <c r="W696" s="221" t="str">
        <f t="shared" si="19"/>
        <v>1w</v>
      </c>
      <c r="X696" s="222">
        <f>_xll.qlCalendarAdvance(Calendar,X695,W696,"f",FALSE)</f>
        <v>43685</v>
      </c>
      <c r="Y696" s="227">
        <f>_xll.qlCalendarAdvance(Calendar,X696,NDays&amp;"D")</f>
        <v>43685</v>
      </c>
      <c r="Z696" s="228">
        <v>2.8661372064241186E-2</v>
      </c>
      <c r="AA696" s="230">
        <v>2.85711491080054E-2</v>
      </c>
    </row>
    <row r="697" spans="19:27" x14ac:dyDescent="0.2">
      <c r="S697" s="32"/>
      <c r="T697" s="187"/>
      <c r="W697" s="221" t="str">
        <f t="shared" si="19"/>
        <v>1w</v>
      </c>
      <c r="X697" s="222">
        <f>_xll.qlCalendarAdvance(Calendar,X696,W697,"f",FALSE)</f>
        <v>43692</v>
      </c>
      <c r="Y697" s="227">
        <f>_xll.qlCalendarAdvance(Calendar,X697,NDays&amp;"D")</f>
        <v>43692</v>
      </c>
      <c r="Z697" s="228">
        <v>2.8686658106280051E-2</v>
      </c>
      <c r="AA697" s="230">
        <v>2.8595996010292168E-2</v>
      </c>
    </row>
    <row r="698" spans="19:27" x14ac:dyDescent="0.2">
      <c r="S698" s="32"/>
      <c r="T698" s="187"/>
      <c r="W698" s="221" t="str">
        <f t="shared" si="19"/>
        <v>1w</v>
      </c>
      <c r="X698" s="222">
        <f>_xll.qlCalendarAdvance(Calendar,X697,W698,"f",FALSE)</f>
        <v>43699</v>
      </c>
      <c r="Y698" s="227">
        <f>_xll.qlCalendarAdvance(Calendar,X698,NDays&amp;"D")</f>
        <v>43699</v>
      </c>
      <c r="Z698" s="228">
        <v>2.8712115198087605E-2</v>
      </c>
      <c r="AA698" s="230">
        <v>2.8621013492144964E-2</v>
      </c>
    </row>
    <row r="699" spans="19:27" x14ac:dyDescent="0.2">
      <c r="S699" s="32"/>
      <c r="T699" s="187"/>
      <c r="W699" s="221" t="str">
        <f t="shared" si="19"/>
        <v>1w</v>
      </c>
      <c r="X699" s="222">
        <f>_xll.qlCalendarAdvance(Calendar,X698,W699,"f",FALSE)</f>
        <v>43706</v>
      </c>
      <c r="Y699" s="227">
        <f>_xll.qlCalendarAdvance(Calendar,X699,NDays&amp;"D")</f>
        <v>43706</v>
      </c>
      <c r="Z699" s="228">
        <v>2.8737743340803562E-2</v>
      </c>
      <c r="AA699" s="230">
        <v>2.8646201553644834E-2</v>
      </c>
    </row>
    <row r="700" spans="19:27" x14ac:dyDescent="0.2">
      <c r="S700" s="32"/>
      <c r="T700" s="187"/>
      <c r="W700" s="221" t="str">
        <f t="shared" si="19"/>
        <v>1w</v>
      </c>
      <c r="X700" s="222">
        <f>_xll.qlCalendarAdvance(Calendar,X699,W700,"f",FALSE)</f>
        <v>43713</v>
      </c>
      <c r="Y700" s="227">
        <f>_xll.qlCalendarAdvance(Calendar,X700,NDays&amp;"D")</f>
        <v>43713</v>
      </c>
      <c r="Z700" s="228">
        <v>2.8763542535580298E-2</v>
      </c>
      <c r="AA700" s="230">
        <v>2.8671560194710732E-2</v>
      </c>
    </row>
    <row r="701" spans="19:27" x14ac:dyDescent="0.2">
      <c r="S701" s="32"/>
      <c r="T701" s="187"/>
      <c r="W701" s="221" t="str">
        <f t="shared" si="19"/>
        <v>1w</v>
      </c>
      <c r="X701" s="222">
        <f>_xll.qlCalendarAdvance(Calendar,X700,W701,"f",FALSE)</f>
        <v>43720</v>
      </c>
      <c r="Y701" s="227">
        <f>_xll.qlCalendarAdvance(Calendar,X701,NDays&amp;"D")</f>
        <v>43720</v>
      </c>
      <c r="Z701" s="228">
        <v>2.8789512783577789E-2</v>
      </c>
      <c r="AA701" s="230">
        <v>2.8697089415585797E-2</v>
      </c>
    </row>
    <row r="702" spans="19:27" x14ac:dyDescent="0.2">
      <c r="S702" s="32"/>
      <c r="T702" s="187"/>
      <c r="W702" s="221" t="str">
        <f t="shared" si="19"/>
        <v>1w</v>
      </c>
      <c r="X702" s="222">
        <f>_xll.qlCalendarAdvance(Calendar,X701,W702,"f",FALSE)</f>
        <v>43727</v>
      </c>
      <c r="Y702" s="227">
        <f>_xll.qlCalendarAdvance(Calendar,X702,NDays&amp;"D")</f>
        <v>43727</v>
      </c>
      <c r="Z702" s="228">
        <v>2.8815654085953477E-2</v>
      </c>
      <c r="AA702" s="230">
        <v>2.8722789216026889E-2</v>
      </c>
    </row>
    <row r="703" spans="19:27" x14ac:dyDescent="0.2">
      <c r="S703" s="32"/>
      <c r="T703" s="187"/>
      <c r="W703" s="221" t="str">
        <f t="shared" si="19"/>
        <v>1w</v>
      </c>
      <c r="X703" s="222">
        <f>_xll.qlCalendarAdvance(Calendar,X702,W703,"f",FALSE)</f>
        <v>43734</v>
      </c>
      <c r="Y703" s="227">
        <f>_xll.qlCalendarAdvance(Calendar,X703,NDays&amp;"D")</f>
        <v>43734</v>
      </c>
      <c r="Z703" s="228">
        <v>2.8841966443887597E-2</v>
      </c>
      <c r="AA703" s="230">
        <v>2.8748659596277149E-2</v>
      </c>
    </row>
    <row r="704" spans="19:27" x14ac:dyDescent="0.2">
      <c r="S704" s="32"/>
      <c r="T704" s="187"/>
      <c r="W704" s="221" t="str">
        <f t="shared" si="19"/>
        <v>1w</v>
      </c>
      <c r="X704" s="222">
        <f>_xll.qlCalendarAdvance(Calendar,X703,W704,"f",FALSE)</f>
        <v>43741</v>
      </c>
      <c r="Y704" s="227">
        <f>_xll.qlCalendarAdvance(Calendar,X704,NDays&amp;"D")</f>
        <v>43741</v>
      </c>
      <c r="Z704" s="228">
        <v>2.8868449858557854E-2</v>
      </c>
      <c r="AA704" s="230">
        <v>2.8774700556336574E-2</v>
      </c>
    </row>
    <row r="705" spans="19:27" x14ac:dyDescent="0.2">
      <c r="S705" s="32"/>
      <c r="T705" s="187"/>
      <c r="W705" s="221" t="str">
        <f t="shared" si="19"/>
        <v>1w</v>
      </c>
      <c r="X705" s="222">
        <f>_xll.qlCalendarAdvance(Calendar,X704,W705,"f",FALSE)</f>
        <v>43748</v>
      </c>
      <c r="Y705" s="227">
        <f>_xll.qlCalendarAdvance(Calendar,X705,NDays&amp;"D")</f>
        <v>43748</v>
      </c>
      <c r="Z705" s="228">
        <v>2.8895104331152083E-2</v>
      </c>
      <c r="AA705" s="230">
        <v>2.8800912096205167E-2</v>
      </c>
    </row>
    <row r="706" spans="19:27" x14ac:dyDescent="0.2">
      <c r="S706" s="32"/>
      <c r="T706" s="187"/>
      <c r="W706" s="221" t="str">
        <f t="shared" si="19"/>
        <v>1w</v>
      </c>
      <c r="X706" s="222">
        <f>_xll.qlCalendarAdvance(Calendar,X705,W706,"f",FALSE)</f>
        <v>43755</v>
      </c>
      <c r="Y706" s="227">
        <f>_xll.qlCalendarAdvance(Calendar,X706,NDays&amp;"D")</f>
        <v>43755</v>
      </c>
      <c r="Z706" s="228">
        <v>2.8921929862868248E-2</v>
      </c>
      <c r="AA706" s="230">
        <v>2.8827294215882926E-2</v>
      </c>
    </row>
    <row r="707" spans="19:27" x14ac:dyDescent="0.2">
      <c r="S707" s="32"/>
      <c r="T707" s="187"/>
      <c r="W707" s="221" t="str">
        <f t="shared" si="19"/>
        <v>1w</v>
      </c>
      <c r="X707" s="222">
        <f>_xll.qlCalendarAdvance(Calendar,X706,W707,"f",FALSE)</f>
        <v>43762</v>
      </c>
      <c r="Y707" s="227">
        <f>_xll.qlCalendarAdvance(Calendar,X707,NDays&amp;"D")</f>
        <v>43762</v>
      </c>
      <c r="Z707" s="228">
        <v>2.8948926454906848E-2</v>
      </c>
      <c r="AA707" s="230">
        <v>2.8853846915450898E-2</v>
      </c>
    </row>
    <row r="708" spans="19:27" x14ac:dyDescent="0.2">
      <c r="S708" s="32"/>
      <c r="T708" s="187"/>
      <c r="W708" s="221" t="str">
        <f t="shared" si="19"/>
        <v>1w</v>
      </c>
      <c r="X708" s="222">
        <f>_xll.qlCalendarAdvance(Calendar,X707,W708,"f",FALSE)</f>
        <v>43769</v>
      </c>
      <c r="Y708" s="227">
        <f>_xll.qlCalendarAdvance(Calendar,X708,NDays&amp;"D")</f>
        <v>43769</v>
      </c>
      <c r="Z708" s="228">
        <v>2.8966785575493887E-2</v>
      </c>
      <c r="AA708" s="230">
        <v>2.8880570194990129E-2</v>
      </c>
    </row>
    <row r="709" spans="19:27" x14ac:dyDescent="0.2">
      <c r="S709" s="32"/>
      <c r="T709" s="187"/>
      <c r="W709" s="221" t="str">
        <f t="shared" si="19"/>
        <v>1w</v>
      </c>
      <c r="X709" s="222">
        <f>_xll.qlCalendarAdvance(Calendar,X708,W709,"f",FALSE)</f>
        <v>43776</v>
      </c>
      <c r="Y709" s="227">
        <f>_xll.qlCalendarAdvance(Calendar,X709,NDays&amp;"D")</f>
        <v>43776</v>
      </c>
      <c r="Z709" s="228">
        <v>2.9003432824806531E-2</v>
      </c>
      <c r="AA709" s="230">
        <v>2.890746405450062E-2</v>
      </c>
    </row>
    <row r="710" spans="19:27" x14ac:dyDescent="0.2">
      <c r="S710" s="32"/>
      <c r="T710" s="187"/>
      <c r="W710" s="221" t="str">
        <f t="shared" si="19"/>
        <v>1w</v>
      </c>
      <c r="X710" s="222">
        <f>_xll.qlCalendarAdvance(Calendar,X709,W710,"f",FALSE)</f>
        <v>43783</v>
      </c>
      <c r="Y710" s="227">
        <f>_xll.qlCalendarAdvance(Calendar,X710,NDays&amp;"D")</f>
        <v>43783</v>
      </c>
      <c r="Z710" s="228">
        <v>2.9030942605116732E-2</v>
      </c>
      <c r="AA710" s="230">
        <v>2.893452849398237E-2</v>
      </c>
    </row>
    <row r="711" spans="19:27" x14ac:dyDescent="0.2">
      <c r="S711" s="32"/>
      <c r="T711" s="187"/>
      <c r="W711" s="221" t="str">
        <f t="shared" si="19"/>
        <v>1w</v>
      </c>
      <c r="X711" s="222">
        <f>_xll.qlCalendarAdvance(Calendar,X710,W711,"f",FALSE)</f>
        <v>43790</v>
      </c>
      <c r="Y711" s="227">
        <f>_xll.qlCalendarAdvance(Calendar,X711,NDays&amp;"D")</f>
        <v>43790</v>
      </c>
      <c r="Z711" s="228">
        <v>2.9058623450642536E-2</v>
      </c>
      <c r="AA711" s="230">
        <v>2.8961763513597472E-2</v>
      </c>
    </row>
    <row r="712" spans="19:27" x14ac:dyDescent="0.2">
      <c r="S712" s="32"/>
      <c r="T712" s="187"/>
      <c r="W712" s="221" t="str">
        <f t="shared" si="19"/>
        <v>1w</v>
      </c>
      <c r="X712" s="222">
        <f>_xll.qlCalendarAdvance(Calendar,X711,W712,"f",FALSE)</f>
        <v>43797</v>
      </c>
      <c r="Y712" s="227">
        <f>_xll.qlCalendarAdvance(Calendar,X712,NDays&amp;"D")</f>
        <v>43797</v>
      </c>
      <c r="Z712" s="228">
        <v>2.9086475362622433E-2</v>
      </c>
      <c r="AA712" s="230">
        <v>2.8989169113264879E-2</v>
      </c>
    </row>
    <row r="713" spans="19:27" x14ac:dyDescent="0.2">
      <c r="S713" s="32"/>
      <c r="T713" s="187"/>
      <c r="W713" s="221" t="str">
        <f t="shared" si="19"/>
        <v>1w</v>
      </c>
      <c r="X713" s="222">
        <f>_xll.qlCalendarAdvance(Calendar,X712,W713,"f",FALSE)</f>
        <v>43804</v>
      </c>
      <c r="Y713" s="227">
        <f>_xll.qlCalendarAdvance(Calendar,X713,NDays&amp;"D")</f>
        <v>43804</v>
      </c>
      <c r="Z713" s="228">
        <v>2.9114498342310106E-2</v>
      </c>
      <c r="AA713" s="230">
        <v>2.9016745293065638E-2</v>
      </c>
    </row>
    <row r="714" spans="19:27" x14ac:dyDescent="0.2">
      <c r="S714" s="32"/>
      <c r="T714" s="187"/>
      <c r="W714" s="221" t="str">
        <f t="shared" si="19"/>
        <v>1w</v>
      </c>
      <c r="X714" s="222">
        <f>_xll.qlCalendarAdvance(Calendar,X713,W714,"f",FALSE)</f>
        <v>43811</v>
      </c>
      <c r="Y714" s="227">
        <f>_xll.qlCalendarAdvance(Calendar,X714,NDays&amp;"D")</f>
        <v>43811</v>
      </c>
      <c r="Z714" s="228">
        <v>2.9142692390959242E-2</v>
      </c>
      <c r="AA714" s="230">
        <v>2.9044492052918702E-2</v>
      </c>
    </row>
    <row r="715" spans="19:27" x14ac:dyDescent="0.2">
      <c r="S715" s="32"/>
      <c r="T715" s="187"/>
      <c r="W715" s="221" t="str">
        <f t="shared" si="19"/>
        <v>1w</v>
      </c>
      <c r="X715" s="222">
        <f>_xll.qlCalendarAdvance(Calendar,X714,W715,"f",FALSE)</f>
        <v>43818</v>
      </c>
      <c r="Y715" s="227">
        <f>_xll.qlCalendarAdvance(Calendar,X715,NDays&amp;"D")</f>
        <v>43818</v>
      </c>
      <c r="Z715" s="228">
        <v>2.9171057509841253E-2</v>
      </c>
      <c r="AA715" s="230">
        <v>2.9072409393067211E-2</v>
      </c>
    </row>
    <row r="716" spans="19:27" x14ac:dyDescent="0.2">
      <c r="S716" s="32"/>
      <c r="T716" s="187"/>
      <c r="W716" s="221" t="str">
        <f t="shared" si="19"/>
        <v>1w</v>
      </c>
      <c r="X716" s="222">
        <f>_xll.qlCalendarAdvance(Calendar,X715,W716,"f",FALSE)</f>
        <v>43826</v>
      </c>
      <c r="Y716" s="227">
        <f>_xll.qlCalendarAdvance(Calendar,X716,NDays&amp;"D")</f>
        <v>43826</v>
      </c>
      <c r="Z716" s="228">
        <v>2.9200462281217442E-2</v>
      </c>
      <c r="AA716" s="230">
        <v>2.9110876378434979E-2</v>
      </c>
    </row>
    <row r="717" spans="19:27" x14ac:dyDescent="0.2">
      <c r="S717" s="32"/>
      <c r="T717" s="187"/>
      <c r="W717" s="221" t="str">
        <f t="shared" si="19"/>
        <v>1w</v>
      </c>
      <c r="X717" s="222">
        <f>_xll.qlCalendarAdvance(Calendar,X716,W717,"f",FALSE)</f>
        <v>43833</v>
      </c>
      <c r="Y717" s="227">
        <f>_xll.qlCalendarAdvance(Calendar,X717,NDays&amp;"D")</f>
        <v>43833</v>
      </c>
      <c r="Z717" s="228">
        <v>2.9229179468107228E-2</v>
      </c>
      <c r="AA717" s="230">
        <v>2.9139188133658903E-2</v>
      </c>
    </row>
    <row r="718" spans="19:27" x14ac:dyDescent="0.2">
      <c r="S718" s="32"/>
      <c r="T718" s="187"/>
      <c r="W718" s="221" t="str">
        <f t="shared" si="19"/>
        <v>1w</v>
      </c>
      <c r="X718" s="222">
        <f>_xll.qlCalendarAdvance(Calendar,X717,W718,"f",FALSE)</f>
        <v>43840</v>
      </c>
      <c r="Y718" s="227">
        <f>_xll.qlCalendarAdvance(Calendar,X718,NDays&amp;"D")</f>
        <v>43840</v>
      </c>
      <c r="Z718" s="228">
        <v>2.9258067713209306E-2</v>
      </c>
      <c r="AA718" s="230">
        <v>2.9167670500867365E-2</v>
      </c>
    </row>
    <row r="719" spans="19:27" x14ac:dyDescent="0.2">
      <c r="S719" s="32"/>
      <c r="T719" s="187"/>
      <c r="W719" s="221" t="str">
        <f t="shared" si="19"/>
        <v>1w</v>
      </c>
      <c r="X719" s="222">
        <f>_xll.qlCalendarAdvance(Calendar,X718,W719,"f",FALSE)</f>
        <v>43847</v>
      </c>
      <c r="Y719" s="227">
        <f>_xll.qlCalendarAdvance(Calendar,X719,NDays&amp;"D")</f>
        <v>43847</v>
      </c>
      <c r="Z719" s="228">
        <v>2.9287127017775968E-2</v>
      </c>
      <c r="AA719" s="230">
        <v>2.9196323480168433E-2</v>
      </c>
    </row>
    <row r="720" spans="19:27" x14ac:dyDescent="0.2">
      <c r="S720" s="32"/>
      <c r="T720" s="187"/>
      <c r="W720" s="221" t="str">
        <f t="shared" si="19"/>
        <v>1w</v>
      </c>
      <c r="X720" s="222">
        <f>_xll.qlCalendarAdvance(Calendar,X719,W720,"f",FALSE)</f>
        <v>43854</v>
      </c>
      <c r="Y720" s="227">
        <f>_xll.qlCalendarAdvance(Calendar,X720,NDays&amp;"D")</f>
        <v>43854</v>
      </c>
      <c r="Z720" s="228">
        <v>2.931635738307781E-2</v>
      </c>
      <c r="AA720" s="230">
        <v>2.9225147071697176E-2</v>
      </c>
    </row>
    <row r="721" spans="19:27" x14ac:dyDescent="0.2">
      <c r="S721" s="32"/>
      <c r="T721" s="187"/>
      <c r="W721" s="221" t="str">
        <f t="shared" si="19"/>
        <v>1w</v>
      </c>
      <c r="X721" s="222">
        <f>_xll.qlCalendarAdvance(Calendar,X720,W721,"f",FALSE)</f>
        <v>43861</v>
      </c>
      <c r="Y721" s="227">
        <f>_xll.qlCalendarAdvance(Calendar,X721,NDays&amp;"D")</f>
        <v>43861</v>
      </c>
      <c r="Z721" s="228">
        <v>2.9335884046362559E-2</v>
      </c>
      <c r="AA721" s="230">
        <v>2.9254141275561661E-2</v>
      </c>
    </row>
    <row r="722" spans="19:27" x14ac:dyDescent="0.2">
      <c r="S722" s="32"/>
      <c r="T722" s="187"/>
      <c r="W722" s="221" t="str">
        <f t="shared" si="19"/>
        <v>1w</v>
      </c>
      <c r="X722" s="222">
        <f>_xll.qlCalendarAdvance(Calendar,X721,W722,"f",FALSE)</f>
        <v>43868</v>
      </c>
      <c r="Y722" s="227">
        <f>_xll.qlCalendarAdvance(Calendar,X722,NDays&amp;"D")</f>
        <v>43868</v>
      </c>
      <c r="Z722" s="228">
        <v>2.937533130096159E-2</v>
      </c>
      <c r="AA722" s="230">
        <v>2.9283306091923981E-2</v>
      </c>
    </row>
    <row r="723" spans="19:27" x14ac:dyDescent="0.2">
      <c r="S723" s="32"/>
      <c r="T723" s="187"/>
      <c r="W723" s="221" t="str">
        <f t="shared" si="19"/>
        <v>1w</v>
      </c>
      <c r="X723" s="222">
        <f>_xll.qlCalendarAdvance(Calendar,X722,W723,"f",FALSE)</f>
        <v>43875</v>
      </c>
      <c r="Y723" s="227">
        <f>_xll.qlCalendarAdvance(Calendar,X723,NDays&amp;"D")</f>
        <v>43875</v>
      </c>
      <c r="Z723" s="228">
        <v>2.9405074856110863E-2</v>
      </c>
      <c r="AA723" s="230">
        <v>2.9312641520838161E-2</v>
      </c>
    </row>
    <row r="724" spans="19:27" x14ac:dyDescent="0.2">
      <c r="S724" s="32"/>
      <c r="T724" s="187"/>
      <c r="W724" s="221" t="str">
        <f t="shared" si="19"/>
        <v>1w</v>
      </c>
      <c r="X724" s="222">
        <f>_xll.qlCalendarAdvance(Calendar,X723,W724,"f",FALSE)</f>
        <v>43882</v>
      </c>
      <c r="Y724" s="227">
        <f>_xll.qlCalendarAdvance(Calendar,X724,NDays&amp;"D")</f>
        <v>43882</v>
      </c>
      <c r="Z724" s="228">
        <v>2.9434989477114305E-2</v>
      </c>
      <c r="AA724" s="230">
        <v>2.9342147562466302E-2</v>
      </c>
    </row>
    <row r="725" spans="19:27" x14ac:dyDescent="0.2">
      <c r="S725" s="32"/>
      <c r="T725" s="187"/>
      <c r="W725" s="221" t="str">
        <f t="shared" ref="W725:W788" si="20">W724</f>
        <v>1w</v>
      </c>
      <c r="X725" s="222">
        <f>_xll.qlCalendarAdvance(Calendar,X724,W725,"f",FALSE)</f>
        <v>43889</v>
      </c>
      <c r="Y725" s="227">
        <f>_xll.qlCalendarAdvance(Calendar,X725,NDays&amp;"D")</f>
        <v>43889</v>
      </c>
      <c r="Z725" s="228">
        <v>2.9468428367138699E-2</v>
      </c>
      <c r="AA725" s="230">
        <v>2.9371824216943475E-2</v>
      </c>
    </row>
    <row r="726" spans="19:27" x14ac:dyDescent="0.2">
      <c r="S726" s="32"/>
      <c r="T726" s="187"/>
      <c r="W726" s="221" t="str">
        <f t="shared" si="20"/>
        <v>1w</v>
      </c>
      <c r="X726" s="222">
        <f>_xll.qlCalendarAdvance(Calendar,X725,W726,"f",FALSE)</f>
        <v>43896</v>
      </c>
      <c r="Y726" s="227">
        <f>_xll.qlCalendarAdvance(Calendar,X726,NDays&amp;"D")</f>
        <v>43896</v>
      </c>
      <c r="Z726" s="228">
        <v>2.9495331921907262E-2</v>
      </c>
      <c r="AA726" s="230">
        <v>2.9401671484377744E-2</v>
      </c>
    </row>
    <row r="727" spans="19:27" x14ac:dyDescent="0.2">
      <c r="S727" s="32"/>
      <c r="T727" s="187"/>
      <c r="W727" s="221" t="str">
        <f t="shared" si="20"/>
        <v>1w</v>
      </c>
      <c r="X727" s="222">
        <f>_xll.qlCalendarAdvance(Calendar,X726,W727,"f",FALSE)</f>
        <v>43903</v>
      </c>
      <c r="Y727" s="227">
        <f>_xll.qlCalendarAdvance(Calendar,X727,NDays&amp;"D")</f>
        <v>43903</v>
      </c>
      <c r="Z727" s="228">
        <v>2.9529142289055864E-2</v>
      </c>
      <c r="AA727" s="230">
        <v>2.9431689364904184E-2</v>
      </c>
    </row>
    <row r="728" spans="19:27" x14ac:dyDescent="0.2">
      <c r="S728" s="32"/>
      <c r="T728" s="187"/>
      <c r="W728" s="221" t="str">
        <f t="shared" si="20"/>
        <v>1w</v>
      </c>
      <c r="X728" s="222">
        <f>_xll.qlCalendarAdvance(Calendar,X727,W728,"f",FALSE)</f>
        <v>43910</v>
      </c>
      <c r="Y728" s="227">
        <f>_xll.qlCalendarAdvance(Calendar,X728,NDays&amp;"D")</f>
        <v>43910</v>
      </c>
      <c r="Z728" s="228">
        <v>2.9556358645834654E-2</v>
      </c>
      <c r="AA728" s="230">
        <v>2.9461877858630862E-2</v>
      </c>
    </row>
    <row r="729" spans="19:27" x14ac:dyDescent="0.2">
      <c r="S729" s="32"/>
      <c r="T729" s="187"/>
      <c r="W729" s="221" t="str">
        <f t="shared" si="20"/>
        <v>1w</v>
      </c>
      <c r="X729" s="222">
        <f>_xll.qlCalendarAdvance(Calendar,X728,W729,"f",FALSE)</f>
        <v>43917</v>
      </c>
      <c r="Y729" s="227">
        <f>_xll.qlCalendarAdvance(Calendar,X729,NDays&amp;"D")</f>
        <v>43917</v>
      </c>
      <c r="Z729" s="228">
        <v>2.9587128615782277E-2</v>
      </c>
      <c r="AA729" s="230">
        <v>2.9492236965692847E-2</v>
      </c>
    </row>
    <row r="730" spans="19:27" x14ac:dyDescent="0.2">
      <c r="S730" s="32"/>
      <c r="T730" s="187"/>
      <c r="W730" s="221" t="str">
        <f t="shared" si="20"/>
        <v>1w</v>
      </c>
      <c r="X730" s="222">
        <f>_xll.qlCalendarAdvance(Calendar,X729,W730,"f",FALSE)</f>
        <v>43924</v>
      </c>
      <c r="Y730" s="227">
        <f>_xll.qlCalendarAdvance(Calendar,X730,NDays&amp;"D")</f>
        <v>43924</v>
      </c>
      <c r="Z730" s="228">
        <v>2.9621496332138605E-2</v>
      </c>
      <c r="AA730" s="230">
        <v>2.9522766686225225E-2</v>
      </c>
    </row>
    <row r="731" spans="19:27" x14ac:dyDescent="0.2">
      <c r="S731" s="32"/>
      <c r="T731" s="187"/>
      <c r="W731" s="221" t="str">
        <f t="shared" si="20"/>
        <v>1w</v>
      </c>
      <c r="X731" s="222">
        <f>_xll.qlCalendarAdvance(Calendar,X730,W731,"f",FALSE)</f>
        <v>43935</v>
      </c>
      <c r="Y731" s="227">
        <f>_xll.qlCalendarAdvance(Calendar,X731,NDays&amp;"D")</f>
        <v>43935</v>
      </c>
      <c r="Z731" s="228">
        <v>2.966358868607244E-2</v>
      </c>
      <c r="AA731" s="230">
        <v>2.9564280661414921E-2</v>
      </c>
    </row>
    <row r="732" spans="19:27" x14ac:dyDescent="0.2">
      <c r="S732" s="32"/>
      <c r="T732" s="187"/>
      <c r="W732" s="221" t="str">
        <f t="shared" si="20"/>
        <v>1w</v>
      </c>
      <c r="X732" s="222">
        <f>_xll.qlCalendarAdvance(Calendar,X731,W732,"f",FALSE)</f>
        <v>43942</v>
      </c>
      <c r="Y732" s="227">
        <f>_xll.qlCalendarAdvance(Calendar,X732,NDays&amp;"D")</f>
        <v>43942</v>
      </c>
      <c r="Z732" s="228">
        <v>2.9694954872617606E-2</v>
      </c>
      <c r="AA732" s="230">
        <v>2.9595219714644294E-2</v>
      </c>
    </row>
    <row r="733" spans="19:27" x14ac:dyDescent="0.2">
      <c r="S733" s="32"/>
      <c r="T733" s="187"/>
      <c r="W733" s="221" t="str">
        <f t="shared" si="20"/>
        <v>1w</v>
      </c>
      <c r="X733" s="222">
        <f>_xll.qlCalendarAdvance(Calendar,X732,W733,"f",FALSE)</f>
        <v>43949</v>
      </c>
      <c r="Y733" s="227">
        <f>_xll.qlCalendarAdvance(Calendar,X733,NDays&amp;"D")</f>
        <v>43949</v>
      </c>
      <c r="Z733" s="228">
        <v>2.9726492121064929E-2</v>
      </c>
      <c r="AA733" s="230">
        <v>2.9626329348817482E-2</v>
      </c>
    </row>
    <row r="734" spans="19:27" x14ac:dyDescent="0.2">
      <c r="S734" s="32"/>
      <c r="T734" s="187"/>
      <c r="W734" s="221" t="str">
        <f t="shared" si="20"/>
        <v>1w</v>
      </c>
      <c r="X734" s="222">
        <f>_xll.qlCalendarAdvance(Calendar,X733,W734,"f",FALSE)</f>
        <v>43956</v>
      </c>
      <c r="Y734" s="227">
        <f>_xll.qlCalendarAdvance(Calendar,X734,NDays&amp;"D")</f>
        <v>43956</v>
      </c>
      <c r="Z734" s="228">
        <v>2.976169304058866E-2</v>
      </c>
      <c r="AA734" s="230">
        <v>2.9657609564096576E-2</v>
      </c>
    </row>
    <row r="735" spans="19:27" x14ac:dyDescent="0.2">
      <c r="S735" s="32"/>
      <c r="T735" s="187"/>
      <c r="W735" s="221" t="str">
        <f t="shared" si="20"/>
        <v>1w</v>
      </c>
      <c r="X735" s="222">
        <f>_xll.qlCalendarAdvance(Calendar,X734,W735,"f",FALSE)</f>
        <v>43963</v>
      </c>
      <c r="Y735" s="227">
        <f>_xll.qlCalendarAdvance(Calendar,X735,NDays&amp;"D")</f>
        <v>43963</v>
      </c>
      <c r="Z735" s="228">
        <v>2.9793587234430763E-2</v>
      </c>
      <c r="AA735" s="230">
        <v>2.9689060360319486E-2</v>
      </c>
    </row>
    <row r="736" spans="19:27" x14ac:dyDescent="0.2">
      <c r="S736" s="32"/>
      <c r="T736" s="187"/>
      <c r="W736" s="221" t="str">
        <f t="shared" si="20"/>
        <v>1w</v>
      </c>
      <c r="X736" s="222">
        <f>_xll.qlCalendarAdvance(Calendar,X735,W736,"f",FALSE)</f>
        <v>43970</v>
      </c>
      <c r="Y736" s="227">
        <f>_xll.qlCalendarAdvance(Calendar,X736,NDays&amp;"D")</f>
        <v>43970</v>
      </c>
      <c r="Z736" s="228">
        <v>2.9825652511018649E-2</v>
      </c>
      <c r="AA736" s="230">
        <v>2.9720681737648302E-2</v>
      </c>
    </row>
    <row r="737" spans="19:27" x14ac:dyDescent="0.2">
      <c r="S737" s="32"/>
      <c r="T737" s="187"/>
      <c r="W737" s="221" t="str">
        <f t="shared" si="20"/>
        <v>1w</v>
      </c>
      <c r="X737" s="222">
        <f>_xll.qlCalendarAdvance(Calendar,X736,W737,"f",FALSE)</f>
        <v>43977</v>
      </c>
      <c r="Y737" s="227">
        <f>_xll.qlCalendarAdvance(Calendar,X737,NDays&amp;"D")</f>
        <v>43977</v>
      </c>
      <c r="Z737" s="228">
        <v>2.985788887174318E-2</v>
      </c>
      <c r="AA737" s="230">
        <v>2.9752473696245119E-2</v>
      </c>
    </row>
    <row r="738" spans="19:27" x14ac:dyDescent="0.2">
      <c r="S738" s="32"/>
      <c r="T738" s="187"/>
      <c r="W738" s="221" t="str">
        <f t="shared" si="20"/>
        <v>1w</v>
      </c>
      <c r="X738" s="222">
        <f>_xll.qlCalendarAdvance(Calendar,X737,W738,"f",FALSE)</f>
        <v>43984</v>
      </c>
      <c r="Y738" s="227">
        <f>_xll.qlCalendarAdvance(Calendar,X738,NDays&amp;"D")</f>
        <v>43984</v>
      </c>
      <c r="Z738" s="228">
        <v>2.9886743779048763E-2</v>
      </c>
      <c r="AA738" s="230">
        <v>2.9784436235947842E-2</v>
      </c>
    </row>
    <row r="739" spans="19:27" x14ac:dyDescent="0.2">
      <c r="S739" s="32"/>
      <c r="T739" s="187"/>
      <c r="W739" s="221" t="str">
        <f t="shared" si="20"/>
        <v>1w</v>
      </c>
      <c r="X739" s="222">
        <f>_xll.qlCalendarAdvance(Calendar,X738,W739,"f",FALSE)</f>
        <v>43991</v>
      </c>
      <c r="Y739" s="227">
        <f>_xll.qlCalendarAdvance(Calendar,X739,NDays&amp;"D")</f>
        <v>43991</v>
      </c>
      <c r="Z739" s="228">
        <v>2.9919287262674232E-2</v>
      </c>
      <c r="AA739" s="230">
        <v>2.9816569356837519E-2</v>
      </c>
    </row>
    <row r="740" spans="19:27" x14ac:dyDescent="0.2">
      <c r="S740" s="32"/>
      <c r="T740" s="187"/>
      <c r="W740" s="221" t="str">
        <f t="shared" si="20"/>
        <v>1w</v>
      </c>
      <c r="X740" s="222">
        <f>_xll.qlCalendarAdvance(Calendar,X739,W740,"f",FALSE)</f>
        <v>43998</v>
      </c>
      <c r="Y740" s="227">
        <f>_xll.qlCalendarAdvance(Calendar,X740,NDays&amp;"D")</f>
        <v>43998</v>
      </c>
      <c r="Z740" s="228">
        <v>2.9951940889062501E-2</v>
      </c>
      <c r="AA740" s="230">
        <v>2.9848873059076242E-2</v>
      </c>
    </row>
    <row r="741" spans="19:27" x14ac:dyDescent="0.2">
      <c r="S741" s="32"/>
      <c r="T741" s="187"/>
      <c r="W741" s="221" t="str">
        <f t="shared" si="20"/>
        <v>1w</v>
      </c>
      <c r="X741" s="222">
        <f>_xll.qlCalendarAdvance(Calendar,X740,W741,"f",FALSE)</f>
        <v>44005</v>
      </c>
      <c r="Y741" s="227">
        <f>_xll.qlCalendarAdvance(Calendar,X741,NDays&amp;"D")</f>
        <v>44005</v>
      </c>
      <c r="Z741" s="228">
        <v>2.9984662009048223E-2</v>
      </c>
      <c r="AA741" s="230">
        <v>2.9881347342664011E-2</v>
      </c>
    </row>
    <row r="742" spans="19:27" x14ac:dyDescent="0.2">
      <c r="S742" s="32"/>
      <c r="T742" s="187"/>
      <c r="W742" s="221" t="str">
        <f t="shared" si="20"/>
        <v>1w</v>
      </c>
      <c r="X742" s="222">
        <f>_xll.qlCalendarAdvance(Calendar,X741,W742,"f",FALSE)</f>
        <v>44012</v>
      </c>
      <c r="Y742" s="227">
        <f>_xll.qlCalendarAdvance(Calendar,X742,NDays&amp;"D")</f>
        <v>44012</v>
      </c>
      <c r="Z742" s="228">
        <v>3.0020979771982249E-2</v>
      </c>
      <c r="AA742" s="230">
        <v>2.9913987865870517E-2</v>
      </c>
    </row>
    <row r="743" spans="19:27" x14ac:dyDescent="0.2">
      <c r="S743" s="32"/>
      <c r="T743" s="187"/>
      <c r="W743" s="221" t="str">
        <f t="shared" si="20"/>
        <v>1w</v>
      </c>
      <c r="X743" s="222">
        <f>_xll.qlCalendarAdvance(Calendar,X742,W743,"f",FALSE)</f>
        <v>44019</v>
      </c>
      <c r="Y743" s="227">
        <f>_xll.qlCalendarAdvance(Calendar,X743,NDays&amp;"D")</f>
        <v>44019</v>
      </c>
      <c r="Z743" s="228">
        <v>3.0053720374043493E-2</v>
      </c>
      <c r="AA743" s="230">
        <v>2.9946673061219675E-2</v>
      </c>
    </row>
    <row r="744" spans="19:27" x14ac:dyDescent="0.2">
      <c r="S744" s="32"/>
      <c r="T744" s="187"/>
      <c r="W744" s="221" t="str">
        <f t="shared" si="20"/>
        <v>1w</v>
      </c>
      <c r="X744" s="222">
        <f>_xll.qlCalendarAdvance(Calendar,X743,W744,"f",FALSE)</f>
        <v>44026</v>
      </c>
      <c r="Y744" s="227">
        <f>_xll.qlCalendarAdvance(Calendar,X744,NDays&amp;"D")</f>
        <v>44026</v>
      </c>
      <c r="Z744" s="228">
        <v>3.0086449264796897E-2</v>
      </c>
      <c r="AA744" s="230">
        <v>2.9979346486379566E-2</v>
      </c>
    </row>
    <row r="745" spans="19:27" x14ac:dyDescent="0.2">
      <c r="S745" s="32"/>
      <c r="T745" s="187"/>
      <c r="W745" s="221" t="str">
        <f t="shared" si="20"/>
        <v>1w</v>
      </c>
      <c r="X745" s="222">
        <f>_xll.qlCalendarAdvance(Calendar,X744,W745,"f",FALSE)</f>
        <v>44033</v>
      </c>
      <c r="Y745" s="227">
        <f>_xll.qlCalendarAdvance(Calendar,X745,NDays&amp;"D")</f>
        <v>44033</v>
      </c>
      <c r="Z745" s="228">
        <v>3.0119166444140505E-2</v>
      </c>
      <c r="AA745" s="230">
        <v>3.0012008141512281E-2</v>
      </c>
    </row>
    <row r="746" spans="19:27" x14ac:dyDescent="0.2">
      <c r="S746" s="32"/>
      <c r="T746" s="187"/>
      <c r="W746" s="221" t="str">
        <f t="shared" si="20"/>
        <v>1w</v>
      </c>
      <c r="X746" s="222">
        <f>_xll.qlCalendarAdvance(Calendar,X745,W746,"f",FALSE)</f>
        <v>44040</v>
      </c>
      <c r="Y746" s="227">
        <f>_xll.qlCalendarAdvance(Calendar,X746,NDays&amp;"D")</f>
        <v>44040</v>
      </c>
      <c r="Z746" s="228">
        <v>3.0151871911977584E-2</v>
      </c>
      <c r="AA746" s="230">
        <v>3.0044658026536775E-2</v>
      </c>
    </row>
    <row r="747" spans="19:27" x14ac:dyDescent="0.2">
      <c r="S747" s="32"/>
      <c r="T747" s="187"/>
      <c r="W747" s="221" t="str">
        <f t="shared" si="20"/>
        <v>1w</v>
      </c>
      <c r="X747" s="222">
        <f>_xll.qlCalendarAdvance(Calendar,X746,W747,"f",FALSE)</f>
        <v>44047</v>
      </c>
      <c r="Y747" s="227">
        <f>_xll.qlCalendarAdvance(Calendar,X747,NDays&amp;"D")</f>
        <v>44047</v>
      </c>
      <c r="Z747" s="228">
        <v>3.0184565668211392E-2</v>
      </c>
      <c r="AA747" s="230">
        <v>3.0077296141453047E-2</v>
      </c>
    </row>
    <row r="748" spans="19:27" x14ac:dyDescent="0.2">
      <c r="S748" s="32"/>
      <c r="T748" s="187"/>
      <c r="W748" s="221" t="str">
        <f t="shared" si="20"/>
        <v>1w</v>
      </c>
      <c r="X748" s="222">
        <f>_xll.qlCalendarAdvance(Calendar,X747,W748,"f",FALSE)</f>
        <v>44054</v>
      </c>
      <c r="Y748" s="227">
        <f>_xll.qlCalendarAdvance(Calendar,X748,NDays&amp;"D")</f>
        <v>44054</v>
      </c>
      <c r="Z748" s="228">
        <v>3.0217247712739981E-2</v>
      </c>
      <c r="AA748" s="230">
        <v>3.0109922486342144E-2</v>
      </c>
    </row>
    <row r="749" spans="19:27" x14ac:dyDescent="0.2">
      <c r="S749" s="32"/>
      <c r="T749" s="187"/>
      <c r="W749" s="221" t="str">
        <f t="shared" si="20"/>
        <v>1w</v>
      </c>
      <c r="X749" s="222">
        <f>_xll.qlCalendarAdvance(Calendar,X748,W749,"f",FALSE)</f>
        <v>44061</v>
      </c>
      <c r="Y749" s="227">
        <f>_xll.qlCalendarAdvance(Calendar,X749,NDays&amp;"D")</f>
        <v>44061</v>
      </c>
      <c r="Z749" s="228">
        <v>3.0249918045471835E-2</v>
      </c>
      <c r="AA749" s="230">
        <v>3.014253706112302E-2</v>
      </c>
    </row>
    <row r="750" spans="19:27" x14ac:dyDescent="0.2">
      <c r="S750" s="32"/>
      <c r="T750" s="187"/>
      <c r="W750" s="221" t="str">
        <f t="shared" si="20"/>
        <v>1w</v>
      </c>
      <c r="X750" s="222">
        <f>_xll.qlCalendarAdvance(Calendar,X749,W750,"f",FALSE)</f>
        <v>44068</v>
      </c>
      <c r="Y750" s="227">
        <f>_xll.qlCalendarAdvance(Calendar,X750,NDays&amp;"D")</f>
        <v>44068</v>
      </c>
      <c r="Z750" s="228">
        <v>3.0282576666305003E-2</v>
      </c>
      <c r="AA750" s="230">
        <v>3.0175139865714629E-2</v>
      </c>
    </row>
    <row r="751" spans="19:27" x14ac:dyDescent="0.2">
      <c r="S751" s="32"/>
      <c r="T751" s="187"/>
      <c r="W751" s="221" t="str">
        <f t="shared" si="20"/>
        <v>1w</v>
      </c>
      <c r="X751" s="222">
        <f>_xll.qlCalendarAdvance(Calendar,X750,W751,"f",FALSE)</f>
        <v>44075</v>
      </c>
      <c r="Y751" s="227">
        <f>_xll.qlCalendarAdvance(Calendar,X751,NDays&amp;"D")</f>
        <v>44075</v>
      </c>
      <c r="Z751" s="228">
        <v>3.0311635039256345E-2</v>
      </c>
      <c r="AA751" s="230">
        <v>3.0207730900279062E-2</v>
      </c>
    </row>
    <row r="752" spans="19:27" x14ac:dyDescent="0.2">
      <c r="S752" s="32"/>
      <c r="T752" s="187"/>
      <c r="W752" s="221" t="str">
        <f t="shared" si="20"/>
        <v>1w</v>
      </c>
      <c r="X752" s="222">
        <f>_xll.qlCalendarAdvance(Calendar,X751,W752,"f",FALSE)</f>
        <v>44082</v>
      </c>
      <c r="Y752" s="227">
        <f>_xll.qlCalendarAdvance(Calendar,X752,NDays&amp;"D")</f>
        <v>44082</v>
      </c>
      <c r="Z752" s="228">
        <v>3.0344268364334719E-2</v>
      </c>
      <c r="AA752" s="230">
        <v>3.0240310164735273E-2</v>
      </c>
    </row>
    <row r="753" spans="19:27" x14ac:dyDescent="0.2">
      <c r="S753" s="32"/>
      <c r="T753" s="187"/>
      <c r="W753" s="221" t="str">
        <f t="shared" si="20"/>
        <v>1w</v>
      </c>
      <c r="X753" s="222">
        <f>_xll.qlCalendarAdvance(Calendar,X752,W753,"f",FALSE)</f>
        <v>44089</v>
      </c>
      <c r="Y753" s="227">
        <f>_xll.qlCalendarAdvance(Calendar,X753,NDays&amp;"D")</f>
        <v>44089</v>
      </c>
      <c r="Z753" s="228">
        <v>3.0376889975288944E-2</v>
      </c>
      <c r="AA753" s="230">
        <v>3.0272877659002217E-2</v>
      </c>
    </row>
    <row r="754" spans="19:27" x14ac:dyDescent="0.2">
      <c r="S754" s="32"/>
      <c r="T754" s="187"/>
      <c r="W754" s="221" t="str">
        <f t="shared" si="20"/>
        <v>1w</v>
      </c>
      <c r="X754" s="222">
        <f>_xll.qlCalendarAdvance(Calendar,X753,W754,"f",FALSE)</f>
        <v>44096</v>
      </c>
      <c r="Y754" s="227">
        <f>_xll.qlCalendarAdvance(Calendar,X754,NDays&amp;"D")</f>
        <v>44096</v>
      </c>
      <c r="Z754" s="228">
        <v>3.0409499872032564E-2</v>
      </c>
      <c r="AA754" s="230">
        <v>3.0305433383241986E-2</v>
      </c>
    </row>
    <row r="755" spans="19:27" x14ac:dyDescent="0.2">
      <c r="S755" s="32"/>
      <c r="T755" s="187"/>
      <c r="W755" s="221" t="str">
        <f t="shared" si="20"/>
        <v>1w</v>
      </c>
      <c r="X755" s="222">
        <f>_xll.qlCalendarAdvance(Calendar,X754,W755,"f",FALSE)</f>
        <v>44103</v>
      </c>
      <c r="Y755" s="227">
        <f>_xll.qlCalendarAdvance(Calendar,X755,NDays&amp;"D")</f>
        <v>44103</v>
      </c>
      <c r="Z755" s="228">
        <v>3.0442098054462928E-2</v>
      </c>
      <c r="AA755" s="230">
        <v>3.0337977337373534E-2</v>
      </c>
    </row>
    <row r="756" spans="19:27" x14ac:dyDescent="0.2">
      <c r="S756" s="32"/>
      <c r="T756" s="187"/>
      <c r="W756" s="221" t="str">
        <f t="shared" si="20"/>
        <v>1w</v>
      </c>
      <c r="X756" s="222">
        <f>_xll.qlCalendarAdvance(Calendar,X755,W756,"f",FALSE)</f>
        <v>44110</v>
      </c>
      <c r="Y756" s="227">
        <f>_xll.qlCalendarAdvance(Calendar,X756,NDays&amp;"D")</f>
        <v>44110</v>
      </c>
      <c r="Z756" s="228">
        <v>3.0478282435983078E-2</v>
      </c>
      <c r="AA756" s="230">
        <v>3.037050952139686E-2</v>
      </c>
    </row>
    <row r="757" spans="19:27" x14ac:dyDescent="0.2">
      <c r="S757" s="32"/>
      <c r="T757" s="187"/>
      <c r="W757" s="221" t="str">
        <f t="shared" si="20"/>
        <v>1w</v>
      </c>
      <c r="X757" s="222">
        <f>_xll.qlCalendarAdvance(Calendar,X756,W757,"f",FALSE)</f>
        <v>44117</v>
      </c>
      <c r="Y757" s="227">
        <f>_xll.qlCalendarAdvance(Calendar,X757,NDays&amp;"D")</f>
        <v>44117</v>
      </c>
      <c r="Z757" s="228">
        <v>3.0510859070795978E-2</v>
      </c>
      <c r="AA757" s="230">
        <v>3.0403029935149872E-2</v>
      </c>
    </row>
    <row r="758" spans="19:27" x14ac:dyDescent="0.2">
      <c r="S758" s="32"/>
      <c r="T758" s="187"/>
      <c r="W758" s="221" t="str">
        <f t="shared" si="20"/>
        <v>1w</v>
      </c>
      <c r="X758" s="222">
        <f>_xll.qlCalendarAdvance(Calendar,X757,W758,"f",FALSE)</f>
        <v>44124</v>
      </c>
      <c r="Y758" s="227">
        <f>_xll.qlCalendarAdvance(Calendar,X758,NDays&amp;"D")</f>
        <v>44124</v>
      </c>
      <c r="Z758" s="228">
        <v>3.0543423992933711E-2</v>
      </c>
      <c r="AA758" s="230">
        <v>3.0435538578956756E-2</v>
      </c>
    </row>
    <row r="759" spans="19:27" x14ac:dyDescent="0.2">
      <c r="S759" s="32"/>
      <c r="T759" s="187"/>
      <c r="W759" s="221" t="str">
        <f t="shared" si="20"/>
        <v>1w</v>
      </c>
      <c r="X759" s="222">
        <f>_xll.qlCalendarAdvance(Calendar,X758,W759,"f",FALSE)</f>
        <v>44131</v>
      </c>
      <c r="Y759" s="227">
        <f>_xll.qlCalendarAdvance(Calendar,X759,NDays&amp;"D")</f>
        <v>44131</v>
      </c>
      <c r="Z759" s="228">
        <v>3.057597720229693E-2</v>
      </c>
      <c r="AA759" s="230">
        <v>3.0468035452574371E-2</v>
      </c>
    </row>
    <row r="760" spans="19:27" x14ac:dyDescent="0.2">
      <c r="S760" s="32"/>
      <c r="T760" s="187"/>
      <c r="W760" s="221" t="str">
        <f t="shared" si="20"/>
        <v>1w</v>
      </c>
      <c r="X760" s="222">
        <f>_xll.qlCalendarAdvance(Calendar,X759,W760,"f",FALSE)</f>
        <v>44138</v>
      </c>
      <c r="Y760" s="227">
        <f>_xll.qlCalendarAdvance(Calendar,X760,NDays&amp;"D")</f>
        <v>44138</v>
      </c>
      <c r="Z760" s="228">
        <v>3.0604913248676684E-2</v>
      </c>
      <c r="AA760" s="230">
        <v>3.0500520556083766E-2</v>
      </c>
    </row>
    <row r="761" spans="19:27" x14ac:dyDescent="0.2">
      <c r="S761" s="32"/>
      <c r="T761" s="187"/>
      <c r="W761" s="221" t="str">
        <f t="shared" si="20"/>
        <v>1w</v>
      </c>
      <c r="X761" s="222">
        <f>_xll.qlCalendarAdvance(Calendar,X760,W761,"f",FALSE)</f>
        <v>44145</v>
      </c>
      <c r="Y761" s="227">
        <f>_xll.qlCalendarAdvance(Calendar,X761,NDays&amp;"D")</f>
        <v>44145</v>
      </c>
      <c r="Z761" s="228">
        <v>3.0637441143268867E-2</v>
      </c>
      <c r="AA761" s="230">
        <v>3.0532993889403892E-2</v>
      </c>
    </row>
    <row r="762" spans="19:27" x14ac:dyDescent="0.2">
      <c r="S762" s="32"/>
      <c r="T762" s="187"/>
      <c r="W762" s="221" t="str">
        <f t="shared" si="20"/>
        <v>1w</v>
      </c>
      <c r="X762" s="222">
        <f>_xll.qlCalendarAdvance(Calendar,X761,W762,"f",FALSE)</f>
        <v>44152</v>
      </c>
      <c r="Y762" s="227">
        <f>_xll.qlCalendarAdvance(Calendar,X762,NDays&amp;"D")</f>
        <v>44152</v>
      </c>
      <c r="Z762" s="228">
        <v>3.0669957322894015E-2</v>
      </c>
      <c r="AA762" s="230">
        <v>3.0565455452615797E-2</v>
      </c>
    </row>
    <row r="763" spans="19:27" x14ac:dyDescent="0.2">
      <c r="S763" s="32"/>
      <c r="T763" s="187"/>
      <c r="W763" s="221" t="str">
        <f t="shared" si="20"/>
        <v>1w</v>
      </c>
      <c r="X763" s="222">
        <f>_xll.qlCalendarAdvance(Calendar,X762,W763,"f",FALSE)</f>
        <v>44159</v>
      </c>
      <c r="Y763" s="227">
        <f>_xll.qlCalendarAdvance(Calendar,X763,NDays&amp;"D")</f>
        <v>44159</v>
      </c>
      <c r="Z763" s="228">
        <v>3.0702461787452173E-2</v>
      </c>
      <c r="AA763" s="230">
        <v>3.0597905245719481E-2</v>
      </c>
    </row>
    <row r="764" spans="19:27" x14ac:dyDescent="0.2">
      <c r="S764" s="32"/>
      <c r="T764" s="187"/>
      <c r="W764" s="221" t="str">
        <f t="shared" si="20"/>
        <v>1w</v>
      </c>
      <c r="X764" s="222">
        <f>_xll.qlCalendarAdvance(Calendar,X763,W764,"f",FALSE)</f>
        <v>44166</v>
      </c>
      <c r="Y764" s="227">
        <f>_xll.qlCalendarAdvance(Calendar,X764,NDays&amp;"D")</f>
        <v>44166</v>
      </c>
      <c r="Z764" s="228">
        <v>3.0749408903612385E-2</v>
      </c>
      <c r="AA764" s="230">
        <v>3.0630343268633897E-2</v>
      </c>
    </row>
    <row r="765" spans="19:27" x14ac:dyDescent="0.2">
      <c r="S765" s="32"/>
      <c r="T765" s="187"/>
      <c r="W765" s="221" t="str">
        <f t="shared" si="20"/>
        <v>1w</v>
      </c>
      <c r="X765" s="222">
        <f>_xll.qlCalendarAdvance(Calendar,X764,W765,"f",FALSE)</f>
        <v>44173</v>
      </c>
      <c r="Y765" s="227">
        <f>_xll.qlCalendarAdvance(Calendar,X765,NDays&amp;"D")</f>
        <v>44173</v>
      </c>
      <c r="Z765" s="228">
        <v>3.0771050484718603E-2</v>
      </c>
      <c r="AA765" s="230">
        <v>3.0662769521359046E-2</v>
      </c>
    </row>
    <row r="766" spans="19:27" x14ac:dyDescent="0.2">
      <c r="S766" s="32"/>
      <c r="T766" s="187"/>
      <c r="W766" s="221" t="str">
        <f t="shared" si="20"/>
        <v>1w</v>
      </c>
      <c r="X766" s="222">
        <f>_xll.qlCalendarAdvance(Calendar,X765,W766,"f",FALSE)</f>
        <v>44180</v>
      </c>
      <c r="Y766" s="227">
        <f>_xll.qlCalendarAdvance(Calendar,X766,NDays&amp;"D")</f>
        <v>44180</v>
      </c>
      <c r="Z766" s="228">
        <v>3.0803521701922954E-2</v>
      </c>
      <c r="AA766" s="230">
        <v>3.0695184004057019E-2</v>
      </c>
    </row>
    <row r="767" spans="19:27" x14ac:dyDescent="0.2">
      <c r="S767" s="32"/>
      <c r="T767" s="187"/>
      <c r="W767" s="221" t="str">
        <f t="shared" si="20"/>
        <v>1w</v>
      </c>
      <c r="X767" s="222">
        <f>_xll.qlCalendarAdvance(Calendar,X766,W767,"f",FALSE)</f>
        <v>44187</v>
      </c>
      <c r="Y767" s="227">
        <f>_xll.qlCalendarAdvance(Calendar,X767,NDays&amp;"D")</f>
        <v>44187</v>
      </c>
      <c r="Z767" s="228">
        <v>3.0835981205573699E-2</v>
      </c>
      <c r="AA767" s="230">
        <v>3.0727586716484678E-2</v>
      </c>
    </row>
    <row r="768" spans="19:27" x14ac:dyDescent="0.2">
      <c r="S768" s="32"/>
      <c r="T768" s="187"/>
      <c r="W768" s="221" t="str">
        <f t="shared" si="20"/>
        <v>1w</v>
      </c>
      <c r="X768" s="222">
        <f>_xll.qlCalendarAdvance(Calendar,X767,W768,"f",FALSE)</f>
        <v>44194</v>
      </c>
      <c r="Y768" s="227">
        <f>_xll.qlCalendarAdvance(Calendar,X768,NDays&amp;"D")</f>
        <v>44194</v>
      </c>
      <c r="Z768" s="228">
        <v>3.0868428995574109E-2</v>
      </c>
      <c r="AA768" s="230">
        <v>3.0759977658885163E-2</v>
      </c>
    </row>
    <row r="769" spans="19:27" x14ac:dyDescent="0.2">
      <c r="S769" s="32"/>
      <c r="T769" s="187"/>
      <c r="W769" s="221" t="str">
        <f t="shared" si="20"/>
        <v>1w</v>
      </c>
      <c r="X769" s="222">
        <f>_xll.qlCalendarAdvance(Calendar,X768,W769,"f",FALSE)</f>
        <v>44201</v>
      </c>
      <c r="Y769" s="227">
        <f>_xll.qlCalendarAdvance(Calendar,X769,NDays&amp;"D")</f>
        <v>44201</v>
      </c>
      <c r="Z769" s="228">
        <v>3.0900865071827446E-2</v>
      </c>
      <c r="AA769" s="230">
        <v>3.0792356831015333E-2</v>
      </c>
    </row>
    <row r="770" spans="19:27" x14ac:dyDescent="0.2">
      <c r="S770" s="32"/>
      <c r="T770" s="187"/>
      <c r="W770" s="221" t="str">
        <f t="shared" si="20"/>
        <v>1w</v>
      </c>
      <c r="X770" s="222">
        <f>_xll.qlCalendarAdvance(Calendar,X769,W770,"f",FALSE)</f>
        <v>44208</v>
      </c>
      <c r="Y770" s="227">
        <f>_xll.qlCalendarAdvance(Calendar,X770,NDays&amp;"D")</f>
        <v>44208</v>
      </c>
      <c r="Z770" s="228">
        <v>3.093328943423437E-2</v>
      </c>
      <c r="AA770" s="230">
        <v>3.0824724232956235E-2</v>
      </c>
    </row>
    <row r="771" spans="19:27" x14ac:dyDescent="0.2">
      <c r="S771" s="32"/>
      <c r="T771" s="187"/>
      <c r="W771" s="221" t="str">
        <f t="shared" si="20"/>
        <v>1w</v>
      </c>
      <c r="X771" s="222">
        <f>_xll.qlCalendarAdvance(Calendar,X770,W771,"f",FALSE)</f>
        <v>44215</v>
      </c>
      <c r="Y771" s="227">
        <f>_xll.qlCalendarAdvance(Calendar,X771,NDays&amp;"D")</f>
        <v>44215</v>
      </c>
      <c r="Z771" s="228">
        <v>3.0965702082698148E-2</v>
      </c>
      <c r="AA771" s="230">
        <v>3.0857079864788917E-2</v>
      </c>
    </row>
    <row r="772" spans="19:27" x14ac:dyDescent="0.2">
      <c r="S772" s="32"/>
      <c r="T772" s="187"/>
      <c r="W772" s="221" t="str">
        <f t="shared" si="20"/>
        <v>1w</v>
      </c>
      <c r="X772" s="222">
        <f>_xll.qlCalendarAdvance(Calendar,X771,W772,"f",FALSE)</f>
        <v>44222</v>
      </c>
      <c r="Y772" s="227">
        <f>_xll.qlCalendarAdvance(Calendar,X772,NDays&amp;"D")</f>
        <v>44222</v>
      </c>
      <c r="Z772" s="228">
        <v>3.0998103017122039E-2</v>
      </c>
      <c r="AA772" s="230">
        <v>3.0889423726513376E-2</v>
      </c>
    </row>
    <row r="773" spans="19:27" x14ac:dyDescent="0.2">
      <c r="S773" s="32"/>
      <c r="T773" s="187"/>
      <c r="W773" s="221" t="str">
        <f t="shared" si="20"/>
        <v>1w</v>
      </c>
      <c r="X773" s="222">
        <f>_xll.qlCalendarAdvance(Calendar,X772,W773,"f",FALSE)</f>
        <v>44229</v>
      </c>
      <c r="Y773" s="227">
        <f>_xll.qlCalendarAdvance(Calendar,X773,NDays&amp;"D")</f>
        <v>44229</v>
      </c>
      <c r="Z773" s="228">
        <v>3.1019602938797686E-2</v>
      </c>
      <c r="AA773" s="230">
        <v>3.0921755817967522E-2</v>
      </c>
    </row>
    <row r="774" spans="19:27" x14ac:dyDescent="0.2">
      <c r="S774" s="32"/>
      <c r="T774" s="187"/>
      <c r="W774" s="221" t="str">
        <f t="shared" si="20"/>
        <v>1w</v>
      </c>
      <c r="X774" s="222">
        <f>_xll.qlCalendarAdvance(Calendar,X773,W774,"f",FALSE)</f>
        <v>44236</v>
      </c>
      <c r="Y774" s="227">
        <f>_xll.qlCalendarAdvance(Calendar,X774,NDays&amp;"D")</f>
        <v>44236</v>
      </c>
      <c r="Z774" s="228">
        <v>3.1051974706151775E-2</v>
      </c>
      <c r="AA774" s="230">
        <v>3.0954076139313447E-2</v>
      </c>
    </row>
    <row r="775" spans="19:27" x14ac:dyDescent="0.2">
      <c r="S775" s="32"/>
      <c r="T775" s="187"/>
      <c r="W775" s="221" t="str">
        <f t="shared" si="20"/>
        <v>1w</v>
      </c>
      <c r="X775" s="222">
        <f>_xll.qlCalendarAdvance(Calendar,X774,W775,"f",FALSE)</f>
        <v>44243</v>
      </c>
      <c r="Y775" s="227">
        <f>_xll.qlCalendarAdvance(Calendar,X775,NDays&amp;"D")</f>
        <v>44243</v>
      </c>
      <c r="Z775" s="228">
        <v>3.1084334753594241E-2</v>
      </c>
      <c r="AA775" s="230">
        <v>3.0986384690470103E-2</v>
      </c>
    </row>
    <row r="776" spans="19:27" x14ac:dyDescent="0.2">
      <c r="S776" s="32"/>
      <c r="T776" s="187"/>
      <c r="W776" s="221" t="str">
        <f t="shared" si="20"/>
        <v>1w</v>
      </c>
      <c r="X776" s="222">
        <f>_xll.qlCalendarAdvance(Calendar,X775,W776,"f",FALSE)</f>
        <v>44250</v>
      </c>
      <c r="Y776" s="227">
        <f>_xll.qlCalendarAdvance(Calendar,X776,NDays&amp;"D")</f>
        <v>44250</v>
      </c>
      <c r="Z776" s="228">
        <v>3.1116683081032451E-2</v>
      </c>
      <c r="AA776" s="230">
        <v>3.1018681471356446E-2</v>
      </c>
    </row>
    <row r="777" spans="19:27" x14ac:dyDescent="0.2">
      <c r="S777" s="32"/>
      <c r="T777" s="187"/>
      <c r="W777" s="221" t="str">
        <f t="shared" si="20"/>
        <v>1w</v>
      </c>
      <c r="X777" s="222">
        <f>_xll.qlCalendarAdvance(Calendar,X776,W777,"f",FALSE)</f>
        <v>44257</v>
      </c>
      <c r="Y777" s="227">
        <f>_xll.qlCalendarAdvance(Calendar,X777,NDays&amp;"D")</f>
        <v>44257</v>
      </c>
      <c r="Z777" s="228">
        <v>3.117448714369301E-2</v>
      </c>
      <c r="AA777" s="230">
        <v>3.1050966482134568E-2</v>
      </c>
    </row>
    <row r="778" spans="19:27" x14ac:dyDescent="0.2">
      <c r="S778" s="32"/>
      <c r="T778" s="187"/>
      <c r="W778" s="221" t="str">
        <f t="shared" si="20"/>
        <v>1w</v>
      </c>
      <c r="X778" s="222">
        <f>_xll.qlCalendarAdvance(Calendar,X777,W778,"f",FALSE)</f>
        <v>44264</v>
      </c>
      <c r="Y778" s="227">
        <f>_xll.qlCalendarAdvance(Calendar,X778,NDays&amp;"D")</f>
        <v>44264</v>
      </c>
      <c r="Z778" s="228">
        <v>3.1192262623423936E-2</v>
      </c>
      <c r="AA778" s="230">
        <v>3.1083239722804468E-2</v>
      </c>
    </row>
    <row r="779" spans="19:27" x14ac:dyDescent="0.2">
      <c r="S779" s="32"/>
      <c r="T779" s="187"/>
      <c r="W779" s="221" t="str">
        <f t="shared" si="20"/>
        <v>1w</v>
      </c>
      <c r="X779" s="222">
        <f>_xll.qlCalendarAdvance(Calendar,X778,W779,"f",FALSE)</f>
        <v>44271</v>
      </c>
      <c r="Y779" s="227">
        <f>_xll.qlCalendarAdvance(Calendar,X779,NDays&amp;"D")</f>
        <v>44271</v>
      </c>
      <c r="Z779" s="228">
        <v>3.1224581556865371E-2</v>
      </c>
      <c r="AA779" s="230">
        <v>3.1115501193204054E-2</v>
      </c>
    </row>
    <row r="780" spans="19:27" x14ac:dyDescent="0.2">
      <c r="S780" s="32"/>
      <c r="T780" s="187"/>
      <c r="W780" s="221" t="str">
        <f t="shared" si="20"/>
        <v>1w</v>
      </c>
      <c r="X780" s="222">
        <f>_xll.qlCalendarAdvance(Calendar,X779,W780,"f",FALSE)</f>
        <v>44278</v>
      </c>
      <c r="Y780" s="227">
        <f>_xll.qlCalendarAdvance(Calendar,X780,NDays&amp;"D")</f>
        <v>44278</v>
      </c>
      <c r="Z780" s="228">
        <v>3.1256888775487837E-2</v>
      </c>
      <c r="AA780" s="230">
        <v>3.1147750893333326E-2</v>
      </c>
    </row>
    <row r="781" spans="19:27" x14ac:dyDescent="0.2">
      <c r="S781" s="32"/>
      <c r="T781" s="187"/>
      <c r="W781" s="221" t="str">
        <f t="shared" si="20"/>
        <v>1w</v>
      </c>
      <c r="X781" s="222">
        <f>_xll.qlCalendarAdvance(Calendar,X780,W781,"f",FALSE)</f>
        <v>44285</v>
      </c>
      <c r="Y781" s="227">
        <f>_xll.qlCalendarAdvance(Calendar,X781,NDays&amp;"D")</f>
        <v>44285</v>
      </c>
      <c r="Z781" s="228">
        <v>3.1289184279199828E-2</v>
      </c>
      <c r="AA781" s="230">
        <v>3.1179988823354376E-2</v>
      </c>
    </row>
    <row r="782" spans="19:27" x14ac:dyDescent="0.2">
      <c r="S782" s="32"/>
      <c r="T782" s="187"/>
      <c r="W782" s="221" t="str">
        <f t="shared" si="20"/>
        <v>1w</v>
      </c>
      <c r="X782" s="222">
        <f>_xll.qlCalendarAdvance(Calendar,X781,W782,"f",FALSE)</f>
        <v>44292</v>
      </c>
      <c r="Y782" s="227">
        <f>_xll.qlCalendarAdvance(Calendar,X782,NDays&amp;"D")</f>
        <v>44292</v>
      </c>
      <c r="Z782" s="228">
        <v>3.1317820627025594E-2</v>
      </c>
      <c r="AA782" s="230">
        <v>3.121221498318616E-2</v>
      </c>
    </row>
    <row r="783" spans="19:27" x14ac:dyDescent="0.2">
      <c r="S783" s="32"/>
      <c r="T783" s="187"/>
      <c r="W783" s="221" t="str">
        <f t="shared" si="20"/>
        <v>1w</v>
      </c>
      <c r="X783" s="222">
        <f>_xll.qlCalendarAdvance(Calendar,X782,W783,"f",FALSE)</f>
        <v>44299</v>
      </c>
      <c r="Y783" s="227">
        <f>_xll.qlCalendarAdvance(Calendar,X783,NDays&amp;"D")</f>
        <v>44299</v>
      </c>
      <c r="Z783" s="228">
        <v>3.135009077059292E-2</v>
      </c>
      <c r="AA783" s="230">
        <v>3.1244429372828675E-2</v>
      </c>
    </row>
    <row r="784" spans="19:27" x14ac:dyDescent="0.2">
      <c r="S784" s="32"/>
      <c r="T784" s="187"/>
      <c r="W784" s="221" t="str">
        <f t="shared" si="20"/>
        <v>1w</v>
      </c>
      <c r="X784" s="222">
        <f>_xll.qlCalendarAdvance(Calendar,X783,W784,"f",FALSE)</f>
        <v>44306</v>
      </c>
      <c r="Y784" s="227">
        <f>_xll.qlCalendarAdvance(Calendar,X784,NDays&amp;"D")</f>
        <v>44306</v>
      </c>
      <c r="Z784" s="228">
        <v>3.1382349197126534E-2</v>
      </c>
      <c r="AA784" s="230">
        <v>3.1276631992200876E-2</v>
      </c>
    </row>
    <row r="785" spans="19:27" x14ac:dyDescent="0.2">
      <c r="S785" s="32"/>
      <c r="T785" s="187"/>
      <c r="W785" s="221" t="str">
        <f t="shared" si="20"/>
        <v>1w</v>
      </c>
      <c r="X785" s="222">
        <f>_xll.qlCalendarAdvance(Calendar,X784,W785,"f",FALSE)</f>
        <v>44313</v>
      </c>
      <c r="Y785" s="227">
        <f>_xll.qlCalendarAdvance(Calendar,X785,NDays&amp;"D")</f>
        <v>44313</v>
      </c>
      <c r="Z785" s="228">
        <v>3.1414595906531881E-2</v>
      </c>
      <c r="AA785" s="230">
        <v>3.130882284138381E-2</v>
      </c>
    </row>
    <row r="786" spans="19:27" x14ac:dyDescent="0.2">
      <c r="S786" s="32"/>
      <c r="T786" s="187"/>
      <c r="W786" s="221" t="str">
        <f t="shared" si="20"/>
        <v>1w</v>
      </c>
      <c r="X786" s="222">
        <f>_xll.qlCalendarAdvance(Calendar,X785,W786,"f",FALSE)</f>
        <v>44320</v>
      </c>
      <c r="Y786" s="227">
        <f>_xll.qlCalendarAdvance(Calendar,X786,NDays&amp;"D")</f>
        <v>44320</v>
      </c>
      <c r="Z786" s="228">
        <v>3.1450486070735313E-2</v>
      </c>
      <c r="AA786" s="230">
        <v>3.1341001920377476E-2</v>
      </c>
    </row>
    <row r="787" spans="19:27" x14ac:dyDescent="0.2">
      <c r="S787" s="32"/>
      <c r="T787" s="187"/>
      <c r="W787" s="221" t="str">
        <f t="shared" si="20"/>
        <v>1w</v>
      </c>
      <c r="X787" s="222">
        <f>_xll.qlCalendarAdvance(Calendar,X786,W787,"f",FALSE)</f>
        <v>44327</v>
      </c>
      <c r="Y787" s="227">
        <f>_xll.qlCalendarAdvance(Calendar,X787,NDays&amp;"D")</f>
        <v>44327</v>
      </c>
      <c r="Z787" s="228">
        <v>3.1482711282960908E-2</v>
      </c>
      <c r="AA787" s="230">
        <v>3.1373169229100828E-2</v>
      </c>
    </row>
    <row r="788" spans="19:27" x14ac:dyDescent="0.2">
      <c r="S788" s="32"/>
      <c r="T788" s="187"/>
      <c r="W788" s="221" t="str">
        <f t="shared" si="20"/>
        <v>1w</v>
      </c>
      <c r="X788" s="222">
        <f>_xll.qlCalendarAdvance(Calendar,X787,W788,"f",FALSE)</f>
        <v>44334</v>
      </c>
      <c r="Y788" s="227">
        <f>_xll.qlCalendarAdvance(Calendar,X788,NDays&amp;"D")</f>
        <v>44334</v>
      </c>
      <c r="Z788" s="228">
        <v>3.1514924779596283E-2</v>
      </c>
      <c r="AA788" s="230">
        <v>3.1405324767634912E-2</v>
      </c>
    </row>
    <row r="789" spans="19:27" x14ac:dyDescent="0.2">
      <c r="S789" s="32"/>
      <c r="T789" s="187"/>
      <c r="W789" s="221" t="str">
        <f t="shared" ref="W789:W852" si="21">W788</f>
        <v>1w</v>
      </c>
      <c r="X789" s="222">
        <f>_xll.qlCalendarAdvance(Calendar,X788,W789,"f",FALSE)</f>
        <v>44341</v>
      </c>
      <c r="Y789" s="227">
        <f>_xll.qlCalendarAdvance(Calendar,X789,NDays&amp;"D")</f>
        <v>44341</v>
      </c>
      <c r="Z789" s="228">
        <v>3.1547126560552551E-2</v>
      </c>
      <c r="AA789" s="230">
        <v>3.1437468535979729E-2</v>
      </c>
    </row>
    <row r="790" spans="19:27" x14ac:dyDescent="0.2">
      <c r="S790" s="32"/>
      <c r="T790" s="187"/>
      <c r="W790" s="221" t="str">
        <f t="shared" si="21"/>
        <v>1w</v>
      </c>
      <c r="X790" s="222">
        <f>_xll.qlCalendarAdvance(Calendar,X789,W790,"f",FALSE)</f>
        <v>44348</v>
      </c>
      <c r="Y790" s="227">
        <f>_xll.qlCalendarAdvance(Calendar,X790,NDays&amp;"D")</f>
        <v>44348</v>
      </c>
      <c r="Z790" s="228">
        <v>3.1575652244739093E-2</v>
      </c>
      <c r="AA790" s="230">
        <v>3.1469600534054232E-2</v>
      </c>
    </row>
    <row r="791" spans="19:27" x14ac:dyDescent="0.2">
      <c r="S791" s="32"/>
      <c r="T791" s="187"/>
      <c r="W791" s="221" t="str">
        <f t="shared" si="21"/>
        <v>1w</v>
      </c>
      <c r="X791" s="222">
        <f>_xll.qlCalendarAdvance(Calendar,X790,W791,"f",FALSE)</f>
        <v>44355</v>
      </c>
      <c r="Y791" s="227">
        <f>_xll.qlCalendarAdvance(Calendar,X791,NDays&amp;"D")</f>
        <v>44355</v>
      </c>
      <c r="Z791" s="228">
        <v>3.1607776443635438E-2</v>
      </c>
      <c r="AA791" s="230">
        <v>3.1501720761939467E-2</v>
      </c>
    </row>
    <row r="792" spans="19:27" x14ac:dyDescent="0.2">
      <c r="S792" s="32"/>
      <c r="T792" s="187"/>
      <c r="W792" s="221" t="str">
        <f t="shared" si="21"/>
        <v>1w</v>
      </c>
      <c r="X792" s="222">
        <f>_xll.qlCalendarAdvance(Calendar,X791,W792,"f",FALSE)</f>
        <v>44362</v>
      </c>
      <c r="Y792" s="227">
        <f>_xll.qlCalendarAdvance(Calendar,X792,NDays&amp;"D")</f>
        <v>44362</v>
      </c>
      <c r="Z792" s="228">
        <v>3.1639731179956408E-2</v>
      </c>
      <c r="AA792" s="230">
        <v>3.1533829219554388E-2</v>
      </c>
    </row>
    <row r="793" spans="19:27" x14ac:dyDescent="0.2">
      <c r="S793" s="32"/>
      <c r="T793" s="187"/>
      <c r="W793" s="221" t="str">
        <f t="shared" si="21"/>
        <v>1w</v>
      </c>
      <c r="X793" s="222">
        <f>_xll.qlCalendarAdvance(Calendar,X792,W793,"f",FALSE)</f>
        <v>44369</v>
      </c>
      <c r="Y793" s="227">
        <f>_xll.qlCalendarAdvance(Calendar,X793,NDays&amp;"D")</f>
        <v>44369</v>
      </c>
      <c r="Z793" s="228">
        <v>3.1671406030918892E-2</v>
      </c>
      <c r="AA793" s="230">
        <v>3.1565925906980041E-2</v>
      </c>
    </row>
    <row r="794" spans="19:27" x14ac:dyDescent="0.2">
      <c r="S794" s="32"/>
      <c r="T794" s="187"/>
      <c r="W794" s="221" t="str">
        <f t="shared" si="21"/>
        <v>1w</v>
      </c>
      <c r="X794" s="222">
        <f>_xll.qlCalendarAdvance(Calendar,X793,W794,"f",FALSE)</f>
        <v>44376</v>
      </c>
      <c r="Y794" s="227">
        <f>_xll.qlCalendarAdvance(Calendar,X794,NDays&amp;"D")</f>
        <v>44376</v>
      </c>
      <c r="Z794" s="228">
        <v>3.1702690626268591E-2</v>
      </c>
      <c r="AA794" s="230">
        <v>3.1597999584961345E-2</v>
      </c>
    </row>
    <row r="795" spans="19:27" x14ac:dyDescent="0.2">
      <c r="S795" s="32"/>
      <c r="T795" s="187"/>
      <c r="W795" s="221" t="str">
        <f t="shared" si="21"/>
        <v>1w</v>
      </c>
      <c r="X795" s="222">
        <f>_xll.qlCalendarAdvance(Calendar,X794,W795,"f",FALSE)</f>
        <v>44383</v>
      </c>
      <c r="Y795" s="227">
        <f>_xll.qlCalendarAdvance(Calendar,X795,NDays&amp;"D")</f>
        <v>44383</v>
      </c>
      <c r="Z795" s="228">
        <v>3.1737037438794892E-2</v>
      </c>
      <c r="AA795" s="230">
        <v>3.1629735555409599E-2</v>
      </c>
    </row>
    <row r="796" spans="19:27" x14ac:dyDescent="0.2">
      <c r="S796" s="32"/>
      <c r="T796" s="187"/>
      <c r="W796" s="221" t="str">
        <f t="shared" si="21"/>
        <v>1w</v>
      </c>
      <c r="X796" s="222">
        <f>_xll.qlCalendarAdvance(Calendar,X795,W796,"f",FALSE)</f>
        <v>44390</v>
      </c>
      <c r="Y796" s="227">
        <f>_xll.qlCalendarAdvance(Calendar,X796,NDays&amp;"D")</f>
        <v>44390</v>
      </c>
      <c r="Z796" s="228">
        <v>3.1767331691843023E-2</v>
      </c>
      <c r="AA796" s="230">
        <v>3.1660987708657107E-2</v>
      </c>
    </row>
    <row r="797" spans="19:27" x14ac:dyDescent="0.2">
      <c r="S797" s="32"/>
      <c r="T797" s="187"/>
      <c r="W797" s="221" t="str">
        <f t="shared" si="21"/>
        <v>1w</v>
      </c>
      <c r="X797" s="222">
        <f>_xll.qlCalendarAdvance(Calendar,X796,W797,"f",FALSE)</f>
        <v>44397</v>
      </c>
      <c r="Y797" s="227">
        <f>_xll.qlCalendarAdvance(Calendar,X797,NDays&amp;"D")</f>
        <v>44397</v>
      </c>
      <c r="Z797" s="228">
        <v>3.1797140938004211E-2</v>
      </c>
      <c r="AA797" s="230">
        <v>3.1691756044298636E-2</v>
      </c>
    </row>
    <row r="798" spans="19:27" x14ac:dyDescent="0.2">
      <c r="S798" s="32"/>
      <c r="T798" s="187"/>
      <c r="W798" s="221" t="str">
        <f t="shared" si="21"/>
        <v>1w</v>
      </c>
      <c r="X798" s="222">
        <f>_xll.qlCalendarAdvance(Calendar,X797,W798,"f",FALSE)</f>
        <v>44404</v>
      </c>
      <c r="Y798" s="227">
        <f>_xll.qlCalendarAdvance(Calendar,X798,NDays&amp;"D")</f>
        <v>44404</v>
      </c>
      <c r="Z798" s="228">
        <v>3.1826465173599994E-2</v>
      </c>
      <c r="AA798" s="230">
        <v>3.1722040562415232E-2</v>
      </c>
    </row>
    <row r="799" spans="19:27" x14ac:dyDescent="0.2">
      <c r="S799" s="32"/>
      <c r="T799" s="187"/>
      <c r="W799" s="221" t="str">
        <f t="shared" si="21"/>
        <v>1w</v>
      </c>
      <c r="X799" s="222">
        <f>_xll.qlCalendarAdvance(Calendar,X798,W799,"f",FALSE)</f>
        <v>44411</v>
      </c>
      <c r="Y799" s="227">
        <f>_xll.qlCalendarAdvance(Calendar,X799,NDays&amp;"D")</f>
        <v>44411</v>
      </c>
      <c r="Z799" s="228">
        <v>3.1855304395014668E-2</v>
      </c>
      <c r="AA799" s="230">
        <v>3.1751841262763758E-2</v>
      </c>
    </row>
    <row r="800" spans="19:27" x14ac:dyDescent="0.2">
      <c r="S800" s="32"/>
      <c r="T800" s="187"/>
      <c r="W800" s="221" t="str">
        <f t="shared" si="21"/>
        <v>1w</v>
      </c>
      <c r="X800" s="222">
        <f>_xll.qlCalendarAdvance(Calendar,X799,W800,"f",FALSE)</f>
        <v>44418</v>
      </c>
      <c r="Y800" s="227">
        <f>_xll.qlCalendarAdvance(Calendar,X800,NDays&amp;"D")</f>
        <v>44418</v>
      </c>
      <c r="Z800" s="228">
        <v>3.1883658598697878E-2</v>
      </c>
      <c r="AA800" s="230">
        <v>3.1781158145344213E-2</v>
      </c>
    </row>
    <row r="801" spans="19:27" x14ac:dyDescent="0.2">
      <c r="S801" s="32"/>
      <c r="T801" s="187"/>
      <c r="W801" s="221" t="str">
        <f t="shared" si="21"/>
        <v>1w</v>
      </c>
      <c r="X801" s="222">
        <f>_xll.qlCalendarAdvance(Calendar,X800,W801,"f",FALSE)</f>
        <v>44425</v>
      </c>
      <c r="Y801" s="227">
        <f>_xll.qlCalendarAdvance(Calendar,X801,NDays&amp;"D")</f>
        <v>44425</v>
      </c>
      <c r="Z801" s="228">
        <v>3.1911527781154178E-2</v>
      </c>
      <c r="AA801" s="230">
        <v>3.180999121007555E-2</v>
      </c>
    </row>
    <row r="802" spans="19:27" x14ac:dyDescent="0.2">
      <c r="S802" s="32"/>
      <c r="T802" s="187"/>
      <c r="W802" s="221" t="str">
        <f t="shared" si="21"/>
        <v>1w</v>
      </c>
      <c r="X802" s="222">
        <f>_xll.qlCalendarAdvance(Calendar,X801,W802,"f",FALSE)</f>
        <v>44432</v>
      </c>
      <c r="Y802" s="227">
        <f>_xll.qlCalendarAdvance(Calendar,X802,NDays&amp;"D")</f>
        <v>44432</v>
      </c>
      <c r="Z802" s="228">
        <v>3.193891193894826E-2</v>
      </c>
      <c r="AA802" s="230">
        <v>3.1838340456552539E-2</v>
      </c>
    </row>
    <row r="803" spans="19:27" x14ac:dyDescent="0.2">
      <c r="S803" s="32"/>
      <c r="T803" s="187"/>
      <c r="W803" s="221" t="str">
        <f t="shared" si="21"/>
        <v>1w</v>
      </c>
      <c r="X803" s="222">
        <f>_xll.qlCalendarAdvance(Calendar,X802,W803,"f",FALSE)</f>
        <v>44439</v>
      </c>
      <c r="Y803" s="227">
        <f>_xll.qlCalendarAdvance(Calendar,X803,NDays&amp;"D")</f>
        <v>44439</v>
      </c>
      <c r="Z803" s="228">
        <v>3.1962532675800182E-2</v>
      </c>
      <c r="AA803" s="230">
        <v>3.1866205885018317E-2</v>
      </c>
    </row>
    <row r="804" spans="19:27" x14ac:dyDescent="0.2">
      <c r="S804" s="32"/>
      <c r="T804" s="187"/>
      <c r="W804" s="221" t="str">
        <f t="shared" si="21"/>
        <v>1w</v>
      </c>
      <c r="X804" s="222">
        <f>_xll.qlCalendarAdvance(Calendar,X803,W804,"f",FALSE)</f>
        <v>44446</v>
      </c>
      <c r="Y804" s="227">
        <f>_xll.qlCalendarAdvance(Calendar,X804,NDays&amp;"D")</f>
        <v>44446</v>
      </c>
      <c r="Z804" s="228">
        <v>3.1988979105566681E-2</v>
      </c>
      <c r="AA804" s="230">
        <v>3.1893587495148701E-2</v>
      </c>
    </row>
    <row r="805" spans="19:27" x14ac:dyDescent="0.2">
      <c r="S805" s="32"/>
      <c r="T805" s="187"/>
      <c r="W805" s="221" t="str">
        <f t="shared" si="21"/>
        <v>1w</v>
      </c>
      <c r="X805" s="222">
        <f>_xll.qlCalendarAdvance(Calendar,X804,W805,"f",FALSE)</f>
        <v>44453</v>
      </c>
      <c r="Y805" s="227">
        <f>_xll.qlCalendarAdvance(Calendar,X805,NDays&amp;"D")</f>
        <v>44453</v>
      </c>
      <c r="Z805" s="228">
        <v>3.2014940541529535E-2</v>
      </c>
      <c r="AA805" s="230">
        <v>3.1920485286862643E-2</v>
      </c>
    </row>
    <row r="806" spans="19:27" x14ac:dyDescent="0.2">
      <c r="S806" s="32"/>
      <c r="T806" s="187"/>
      <c r="W806" s="221" t="str">
        <f t="shared" si="21"/>
        <v>1w</v>
      </c>
      <c r="X806" s="222">
        <f>_xll.qlCalendarAdvance(Calendar,X805,W806,"f",FALSE)</f>
        <v>44460</v>
      </c>
      <c r="Y806" s="227">
        <f>_xll.qlCalendarAdvance(Calendar,X806,NDays&amp;"D")</f>
        <v>44460</v>
      </c>
      <c r="Z806" s="228">
        <v>3.2040416980587391E-2</v>
      </c>
      <c r="AA806" s="230">
        <v>3.1946899260079098E-2</v>
      </c>
    </row>
    <row r="807" spans="19:27" x14ac:dyDescent="0.2">
      <c r="S807" s="32"/>
      <c r="T807" s="187"/>
      <c r="W807" s="221" t="str">
        <f t="shared" si="21"/>
        <v>1w</v>
      </c>
      <c r="X807" s="222">
        <f>_xll.qlCalendarAdvance(Calendar,X806,W807,"f",FALSE)</f>
        <v>44467</v>
      </c>
      <c r="Y807" s="227">
        <f>_xll.qlCalendarAdvance(Calendar,X807,NDays&amp;"D")</f>
        <v>44467</v>
      </c>
      <c r="Z807" s="228">
        <v>3.2065408419706398E-2</v>
      </c>
      <c r="AA807" s="230">
        <v>3.1972829414798065E-2</v>
      </c>
    </row>
    <row r="808" spans="19:27" x14ac:dyDescent="0.2">
      <c r="S808" s="32"/>
      <c r="T808" s="187"/>
      <c r="W808" s="221" t="str">
        <f t="shared" si="21"/>
        <v>1w</v>
      </c>
      <c r="X808" s="222">
        <f>_xll.qlCalendarAdvance(Calendar,X807,W808,"f",FALSE)</f>
        <v>44474</v>
      </c>
      <c r="Y808" s="227">
        <f>_xll.qlCalendarAdvance(Calendar,X808,NDays&amp;"D")</f>
        <v>44474</v>
      </c>
      <c r="Z808" s="228">
        <v>3.2093031182957713E-2</v>
      </c>
      <c r="AA808" s="230">
        <v>3.199827575069536E-2</v>
      </c>
    </row>
    <row r="809" spans="19:27" x14ac:dyDescent="0.2">
      <c r="S809" s="32"/>
      <c r="T809" s="187"/>
      <c r="W809" s="221" t="str">
        <f t="shared" si="21"/>
        <v>1w</v>
      </c>
      <c r="X809" s="222">
        <f>_xll.qlCalendarAdvance(Calendar,X808,W809,"f",FALSE)</f>
        <v>44481</v>
      </c>
      <c r="Y809" s="227">
        <f>_xll.qlCalendarAdvance(Calendar,X809,NDays&amp;"D")</f>
        <v>44481</v>
      </c>
      <c r="Z809" s="228">
        <v>3.2117020076949603E-2</v>
      </c>
      <c r="AA809" s="230">
        <v>3.2023238267852028E-2</v>
      </c>
    </row>
    <row r="810" spans="19:27" x14ac:dyDescent="0.2">
      <c r="S810" s="32"/>
      <c r="T810" s="187"/>
      <c r="W810" s="221" t="str">
        <f t="shared" si="21"/>
        <v>1w</v>
      </c>
      <c r="X810" s="222">
        <f>_xll.qlCalendarAdvance(Calendar,X809,W810,"f",FALSE)</f>
        <v>44488</v>
      </c>
      <c r="Y810" s="227">
        <f>_xll.qlCalendarAdvance(Calendar,X810,NDays&amp;"D")</f>
        <v>44488</v>
      </c>
      <c r="Z810" s="228">
        <v>3.2140523920951E-2</v>
      </c>
      <c r="AA810" s="230">
        <v>3.2047716966187023E-2</v>
      </c>
    </row>
    <row r="811" spans="19:27" x14ac:dyDescent="0.2">
      <c r="S811" s="32"/>
      <c r="T811" s="187"/>
      <c r="W811" s="221" t="str">
        <f t="shared" si="21"/>
        <v>1w</v>
      </c>
      <c r="X811" s="222">
        <f>_xll.qlCalendarAdvance(Calendar,X810,W811,"f",FALSE)</f>
        <v>44495</v>
      </c>
      <c r="Y811" s="227">
        <f>_xll.qlCalendarAdvance(Calendar,X811,NDays&amp;"D")</f>
        <v>44495</v>
      </c>
      <c r="Z811" s="228">
        <v>3.216354271206253E-2</v>
      </c>
      <c r="AA811" s="230">
        <v>3.2071711845376161E-2</v>
      </c>
    </row>
    <row r="812" spans="19:27" x14ac:dyDescent="0.2">
      <c r="S812" s="32"/>
      <c r="T812" s="187"/>
      <c r="W812" s="221" t="str">
        <f t="shared" si="21"/>
        <v>1w</v>
      </c>
      <c r="X812" s="222">
        <f>_xll.qlCalendarAdvance(Calendar,X811,W812,"f",FALSE)</f>
        <v>44502</v>
      </c>
      <c r="Y812" s="227">
        <f>_xll.qlCalendarAdvance(Calendar,X812,NDays&amp;"D")</f>
        <v>44502</v>
      </c>
      <c r="Z812" s="228">
        <v>3.218309051387902E-2</v>
      </c>
      <c r="AA812" s="230">
        <v>3.2095222905500487E-2</v>
      </c>
    </row>
    <row r="813" spans="19:27" x14ac:dyDescent="0.2">
      <c r="S813" s="32"/>
      <c r="T813" s="187"/>
      <c r="W813" s="221" t="str">
        <f t="shared" si="21"/>
        <v>1w</v>
      </c>
      <c r="X813" s="222">
        <f>_xll.qlCalendarAdvance(Calendar,X812,W813,"f",FALSE)</f>
        <v>44509</v>
      </c>
      <c r="Y813" s="227">
        <f>_xll.qlCalendarAdvance(Calendar,X813,NDays&amp;"D")</f>
        <v>44509</v>
      </c>
      <c r="Z813" s="228">
        <v>3.2205171892777495E-2</v>
      </c>
      <c r="AA813" s="230">
        <v>3.2118250146478955E-2</v>
      </c>
    </row>
    <row r="814" spans="19:27" x14ac:dyDescent="0.2">
      <c r="S814" s="32"/>
      <c r="T814" s="187"/>
      <c r="W814" s="221" t="str">
        <f t="shared" si="21"/>
        <v>1w</v>
      </c>
      <c r="X814" s="222">
        <f>_xll.qlCalendarAdvance(Calendar,X813,W814,"f",FALSE)</f>
        <v>44516</v>
      </c>
      <c r="Y814" s="227">
        <f>_xll.qlCalendarAdvance(Calendar,X814,NDays&amp;"D")</f>
        <v>44516</v>
      </c>
      <c r="Z814" s="228">
        <v>3.2226768252080706E-2</v>
      </c>
      <c r="AA814" s="230">
        <v>3.2140793568149473E-2</v>
      </c>
    </row>
    <row r="815" spans="19:27" x14ac:dyDescent="0.2">
      <c r="S815" s="32"/>
      <c r="T815" s="187"/>
      <c r="W815" s="221" t="str">
        <f t="shared" si="21"/>
        <v>1w</v>
      </c>
      <c r="X815" s="222">
        <f>_xll.qlCalendarAdvance(Calendar,X814,W815,"f",FALSE)</f>
        <v>44523</v>
      </c>
      <c r="Y815" s="227">
        <f>_xll.qlCalendarAdvance(Calendar,X815,NDays&amp;"D")</f>
        <v>44523</v>
      </c>
      <c r="Z815" s="228">
        <v>3.2247879589216787E-2</v>
      </c>
      <c r="AA815" s="230">
        <v>3.2162853170430994E-2</v>
      </c>
    </row>
    <row r="816" spans="19:27" x14ac:dyDescent="0.2">
      <c r="S816" s="32"/>
      <c r="T816" s="187"/>
      <c r="W816" s="221" t="str">
        <f t="shared" si="21"/>
        <v>1w</v>
      </c>
      <c r="X816" s="222">
        <f>_xll.qlCalendarAdvance(Calendar,X815,W816,"f",FALSE)</f>
        <v>44530</v>
      </c>
      <c r="Y816" s="227">
        <f>_xll.qlCalendarAdvance(Calendar,X816,NDays&amp;"D")</f>
        <v>44530</v>
      </c>
      <c r="Z816" s="228">
        <v>3.227136077707949E-2</v>
      </c>
      <c r="AA816" s="230">
        <v>3.2184428953242472E-2</v>
      </c>
    </row>
    <row r="817" spans="19:27" x14ac:dyDescent="0.2">
      <c r="S817" s="32"/>
      <c r="T817" s="187"/>
      <c r="W817" s="221" t="str">
        <f t="shared" si="21"/>
        <v>1w</v>
      </c>
      <c r="X817" s="222">
        <f>_xll.qlCalendarAdvance(Calendar,X816,W817,"f",FALSE)</f>
        <v>44537</v>
      </c>
      <c r="Y817" s="227">
        <f>_xll.qlCalendarAdvance(Calendar,X817,NDays&amp;"D")</f>
        <v>44537</v>
      </c>
      <c r="Z817" s="228">
        <v>3.2291469193369129E-2</v>
      </c>
      <c r="AA817" s="230">
        <v>3.2205520916502861E-2</v>
      </c>
    </row>
    <row r="818" spans="19:27" x14ac:dyDescent="0.2">
      <c r="S818" s="32"/>
      <c r="T818" s="187"/>
      <c r="W818" s="221" t="str">
        <f t="shared" si="21"/>
        <v>1w</v>
      </c>
      <c r="X818" s="222">
        <f>_xll.qlCalendarAdvance(Calendar,X817,W818,"f",FALSE)</f>
        <v>44544</v>
      </c>
      <c r="Y818" s="227">
        <f>_xll.qlCalendarAdvance(Calendar,X818,NDays&amp;"D")</f>
        <v>44544</v>
      </c>
      <c r="Z818" s="228">
        <v>3.231109253816225E-2</v>
      </c>
      <c r="AA818" s="230">
        <v>3.2226129060212161E-2</v>
      </c>
    </row>
    <row r="819" spans="19:27" x14ac:dyDescent="0.2">
      <c r="S819" s="32"/>
      <c r="T819" s="187"/>
      <c r="W819" s="221" t="str">
        <f t="shared" si="21"/>
        <v>1w</v>
      </c>
      <c r="X819" s="222">
        <f>_xll.qlCalendarAdvance(Calendar,X818,W819,"f",FALSE)</f>
        <v>44551</v>
      </c>
      <c r="Y819" s="227">
        <f>_xll.qlCalendarAdvance(Calendar,X819,NDays&amp;"D")</f>
        <v>44551</v>
      </c>
      <c r="Z819" s="228">
        <v>3.2330230809043153E-2</v>
      </c>
      <c r="AA819" s="230">
        <v>3.2246253384127233E-2</v>
      </c>
    </row>
    <row r="820" spans="19:27" x14ac:dyDescent="0.2">
      <c r="S820" s="32"/>
      <c r="T820" s="187"/>
      <c r="W820" s="221" t="str">
        <f t="shared" si="21"/>
        <v>1w</v>
      </c>
      <c r="X820" s="222">
        <f>_xll.qlCalendarAdvance(Calendar,X819,W820,"f",FALSE)</f>
        <v>44559</v>
      </c>
      <c r="Y820" s="227">
        <f>_xll.qlCalendarAdvance(Calendar,X820,NDays&amp;"D")</f>
        <v>44559</v>
      </c>
      <c r="Z820" s="228">
        <v>3.23569370436032E-2</v>
      </c>
      <c r="AA820" s="230">
        <v>3.226866017911223E-2</v>
      </c>
    </row>
    <row r="821" spans="19:27" x14ac:dyDescent="0.2">
      <c r="S821" s="32"/>
      <c r="T821" s="187"/>
      <c r="W821" s="221" t="str">
        <f t="shared" si="21"/>
        <v>1w</v>
      </c>
      <c r="X821" s="222">
        <f>_xll.qlCalendarAdvance(Calendar,X820,W821,"f",FALSE)</f>
        <v>44566</v>
      </c>
      <c r="Y821" s="227">
        <f>_xll.qlCalendarAdvance(Calendar,X821,NDays&amp;"D")</f>
        <v>44566</v>
      </c>
      <c r="Z821" s="228">
        <v>3.2374969758376629E-2</v>
      </c>
      <c r="AA821" s="230">
        <v>3.2287747746279072E-2</v>
      </c>
    </row>
    <row r="822" spans="19:27" x14ac:dyDescent="0.2">
      <c r="S822" s="32"/>
      <c r="T822" s="187"/>
      <c r="W822" s="221" t="str">
        <f t="shared" si="21"/>
        <v>1w</v>
      </c>
      <c r="X822" s="222">
        <f>_xll.qlCalendarAdvance(Calendar,X821,W822,"f",FALSE)</f>
        <v>44573</v>
      </c>
      <c r="Y822" s="227">
        <f>_xll.qlCalendarAdvance(Calendar,X822,NDays&amp;"D")</f>
        <v>44573</v>
      </c>
      <c r="Z822" s="228">
        <v>3.2392517307511109E-2</v>
      </c>
      <c r="AA822" s="230">
        <v>3.2306351493489593E-2</v>
      </c>
    </row>
    <row r="823" spans="19:27" x14ac:dyDescent="0.2">
      <c r="S823" s="32"/>
      <c r="T823" s="187"/>
      <c r="W823" s="221" t="str">
        <f t="shared" si="21"/>
        <v>1w</v>
      </c>
      <c r="X823" s="222">
        <f>_xll.qlCalendarAdvance(Calendar,X822,W823,"f",FALSE)</f>
        <v>44580</v>
      </c>
      <c r="Y823" s="227">
        <f>_xll.qlCalendarAdvance(Calendar,X823,NDays&amp;"D")</f>
        <v>44580</v>
      </c>
      <c r="Z823" s="228">
        <v>3.2409579688695608E-2</v>
      </c>
      <c r="AA823" s="230">
        <v>3.2324471420662748E-2</v>
      </c>
    </row>
    <row r="824" spans="19:27" x14ac:dyDescent="0.2">
      <c r="S824" s="32"/>
      <c r="T824" s="187"/>
      <c r="W824" s="221" t="str">
        <f t="shared" si="21"/>
        <v>1w</v>
      </c>
      <c r="X824" s="222">
        <f>_xll.qlCalendarAdvance(Calendar,X823,W824,"f",FALSE)</f>
        <v>44587</v>
      </c>
      <c r="Y824" s="227">
        <f>_xll.qlCalendarAdvance(Calendar,X824,NDays&amp;"D")</f>
        <v>44587</v>
      </c>
      <c r="Z824" s="228">
        <v>3.2426156899700111E-2</v>
      </c>
      <c r="AA824" s="230">
        <v>3.234210752771749E-2</v>
      </c>
    </row>
    <row r="825" spans="19:27" x14ac:dyDescent="0.2">
      <c r="S825" s="32"/>
      <c r="T825" s="187"/>
      <c r="W825" s="221" t="str">
        <f t="shared" si="21"/>
        <v>1w</v>
      </c>
      <c r="X825" s="222">
        <f>_xll.qlCalendarAdvance(Calendar,X824,W825,"f",FALSE)</f>
        <v>44594</v>
      </c>
      <c r="Y825" s="227">
        <f>_xll.qlCalendarAdvance(Calendar,X825,NDays&amp;"D")</f>
        <v>44594</v>
      </c>
      <c r="Z825" s="228">
        <v>3.242948498687729E-2</v>
      </c>
      <c r="AA825" s="230">
        <v>3.2359259814653818E-2</v>
      </c>
    </row>
    <row r="826" spans="19:27" x14ac:dyDescent="0.2">
      <c r="S826" s="32"/>
      <c r="T826" s="187"/>
      <c r="W826" s="221" t="str">
        <f t="shared" si="21"/>
        <v>1w</v>
      </c>
      <c r="X826" s="222">
        <f>_xll.qlCalendarAdvance(Calendar,X825,W826,"f",FALSE)</f>
        <v>44601</v>
      </c>
      <c r="Y826" s="227">
        <f>_xll.qlCalendarAdvance(Calendar,X826,NDays&amp;"D")</f>
        <v>44601</v>
      </c>
      <c r="Z826" s="228">
        <v>3.2445258126461152E-2</v>
      </c>
      <c r="AA826" s="230">
        <v>3.2375928281309641E-2</v>
      </c>
    </row>
    <row r="827" spans="19:27" x14ac:dyDescent="0.2">
      <c r="S827" s="32"/>
      <c r="T827" s="187"/>
      <c r="W827" s="221" t="str">
        <f t="shared" si="21"/>
        <v>1w</v>
      </c>
      <c r="X827" s="222">
        <f>_xll.qlCalendarAdvance(Calendar,X826,W827,"f",FALSE)</f>
        <v>44608</v>
      </c>
      <c r="Y827" s="227">
        <f>_xll.qlCalendarAdvance(Calendar,X827,NDays&amp;"D")</f>
        <v>44608</v>
      </c>
      <c r="Z827" s="228">
        <v>3.2460546302273845E-2</v>
      </c>
      <c r="AA827" s="230">
        <v>3.2392112927684957E-2</v>
      </c>
    </row>
    <row r="828" spans="19:27" x14ac:dyDescent="0.2">
      <c r="S828" s="32"/>
      <c r="T828" s="187"/>
      <c r="W828" s="221" t="str">
        <f t="shared" si="21"/>
        <v>1w</v>
      </c>
      <c r="X828" s="222">
        <f>_xll.qlCalendarAdvance(Calendar,X827,W828,"f",FALSE)</f>
        <v>44615</v>
      </c>
      <c r="Y828" s="227">
        <f>_xll.qlCalendarAdvance(Calendar,X828,NDays&amp;"D")</f>
        <v>44615</v>
      </c>
      <c r="Z828" s="228">
        <v>3.2475349512613397E-2</v>
      </c>
      <c r="AA828" s="230">
        <v>3.2407813753617676E-2</v>
      </c>
    </row>
    <row r="829" spans="19:27" x14ac:dyDescent="0.2">
      <c r="S829" s="32"/>
      <c r="T829" s="187"/>
      <c r="W829" s="221" t="str">
        <f t="shared" si="21"/>
        <v>1w</v>
      </c>
      <c r="X829" s="222">
        <f>_xll.qlCalendarAdvance(Calendar,X828,W829,"f",FALSE)</f>
        <v>44622</v>
      </c>
      <c r="Y829" s="227">
        <f>_xll.qlCalendarAdvance(Calendar,X829,NDays&amp;"D")</f>
        <v>44622</v>
      </c>
      <c r="Z829" s="228">
        <v>3.2501765328064355E-2</v>
      </c>
      <c r="AA829" s="230">
        <v>3.2423030759188842E-2</v>
      </c>
    </row>
    <row r="830" spans="19:27" x14ac:dyDescent="0.2">
      <c r="S830" s="32"/>
      <c r="T830" s="187"/>
      <c r="W830" s="221" t="str">
        <f t="shared" si="21"/>
        <v>1w</v>
      </c>
      <c r="X830" s="222">
        <f>_xll.qlCalendarAdvance(Calendar,X829,W830,"f",FALSE)</f>
        <v>44629</v>
      </c>
      <c r="Y830" s="227">
        <f>_xll.qlCalendarAdvance(Calendar,X830,NDays&amp;"D")</f>
        <v>44629</v>
      </c>
      <c r="Z830" s="228">
        <v>3.2515431474518637E-2</v>
      </c>
      <c r="AA830" s="230">
        <v>3.2437763944236364E-2</v>
      </c>
    </row>
    <row r="831" spans="19:27" x14ac:dyDescent="0.2">
      <c r="S831" s="32"/>
      <c r="T831" s="187"/>
      <c r="W831" s="221" t="str">
        <f t="shared" si="21"/>
        <v>1w</v>
      </c>
      <c r="X831" s="222">
        <f>_xll.qlCalendarAdvance(Calendar,X830,W831,"f",FALSE)</f>
        <v>44636</v>
      </c>
      <c r="Y831" s="227">
        <f>_xll.qlCalendarAdvance(Calendar,X831,NDays&amp;"D")</f>
        <v>44636</v>
      </c>
      <c r="Z831" s="228">
        <v>3.2530955895604001E-2</v>
      </c>
      <c r="AA831" s="230">
        <v>3.2452013308760241E-2</v>
      </c>
    </row>
    <row r="832" spans="19:27" x14ac:dyDescent="0.2">
      <c r="S832" s="32"/>
      <c r="T832" s="187"/>
      <c r="W832" s="221" t="str">
        <f t="shared" si="21"/>
        <v>1w</v>
      </c>
      <c r="X832" s="222">
        <f>_xll.qlCalendarAdvance(Calendar,X831,W832,"f",FALSE)</f>
        <v>44643</v>
      </c>
      <c r="Y832" s="227">
        <f>_xll.qlCalendarAdvance(Calendar,X832,NDays&amp;"D")</f>
        <v>44643</v>
      </c>
      <c r="Z832" s="228">
        <v>3.2541308213478344E-2</v>
      </c>
      <c r="AA832" s="230">
        <v>3.2465778852598381E-2</v>
      </c>
    </row>
    <row r="833" spans="19:27" x14ac:dyDescent="0.2">
      <c r="S833" s="32"/>
      <c r="T833" s="187"/>
      <c r="W833" s="221" t="str">
        <f t="shared" si="21"/>
        <v>1w</v>
      </c>
      <c r="X833" s="222">
        <f>_xll.qlCalendarAdvance(Calendar,X832,W833,"f",FALSE)</f>
        <v>44650</v>
      </c>
      <c r="Y833" s="227">
        <f>_xll.qlCalendarAdvance(Calendar,X833,NDays&amp;"D")</f>
        <v>44650</v>
      </c>
      <c r="Z833" s="228">
        <v>3.2546671331344854E-2</v>
      </c>
      <c r="AA833" s="230">
        <v>3.2479060575912877E-2</v>
      </c>
    </row>
    <row r="834" spans="19:27" x14ac:dyDescent="0.2">
      <c r="S834" s="32"/>
      <c r="T834" s="187"/>
      <c r="W834" s="221" t="str">
        <f t="shared" si="21"/>
        <v>1w</v>
      </c>
      <c r="X834" s="222">
        <f>_xll.qlCalendarAdvance(Calendar,X833,W834,"f",FALSE)</f>
        <v>44657</v>
      </c>
      <c r="Y834" s="227">
        <f>_xll.qlCalendarAdvance(Calendar,X834,NDays&amp;"D")</f>
        <v>44657</v>
      </c>
      <c r="Z834" s="228">
        <v>3.2558497540323215E-2</v>
      </c>
      <c r="AA834" s="230">
        <v>3.2491858478460589E-2</v>
      </c>
    </row>
    <row r="835" spans="19:27" x14ac:dyDescent="0.2">
      <c r="S835" s="32"/>
      <c r="T835" s="187"/>
      <c r="W835" s="221" t="str">
        <f t="shared" si="21"/>
        <v>1w</v>
      </c>
      <c r="X835" s="222">
        <f>_xll.qlCalendarAdvance(Calendar,X834,W835,"f",FALSE)</f>
        <v>44664</v>
      </c>
      <c r="Y835" s="227">
        <f>_xll.qlCalendarAdvance(Calendar,X835,NDays&amp;"D")</f>
        <v>44664</v>
      </c>
      <c r="Z835" s="228">
        <v>3.2569838687559548E-2</v>
      </c>
      <c r="AA835" s="230">
        <v>3.2504172560160471E-2</v>
      </c>
    </row>
    <row r="836" spans="19:27" x14ac:dyDescent="0.2">
      <c r="S836" s="32"/>
      <c r="T836" s="187"/>
      <c r="W836" s="221" t="str">
        <f t="shared" si="21"/>
        <v>1w</v>
      </c>
      <c r="X836" s="222">
        <f>_xll.qlCalendarAdvance(Calendar,X835,W836,"f",FALSE)</f>
        <v>44671</v>
      </c>
      <c r="Y836" s="227">
        <f>_xll.qlCalendarAdvance(Calendar,X836,NDays&amp;"D")</f>
        <v>44671</v>
      </c>
      <c r="Z836" s="228">
        <v>3.2580694771703077E-2</v>
      </c>
      <c r="AA836" s="230">
        <v>3.251600282109357E-2</v>
      </c>
    </row>
    <row r="837" spans="19:27" x14ac:dyDescent="0.2">
      <c r="S837" s="32"/>
      <c r="T837" s="187"/>
      <c r="W837" s="221" t="str">
        <f t="shared" si="21"/>
        <v>1w</v>
      </c>
      <c r="X837" s="222">
        <f>_xll.qlCalendarAdvance(Calendar,X836,W837,"f",FALSE)</f>
        <v>44678</v>
      </c>
      <c r="Y837" s="227">
        <f>_xll.qlCalendarAdvance(Calendar,X837,NDays&amp;"D")</f>
        <v>44678</v>
      </c>
      <c r="Z837" s="228">
        <v>3.2591065791462467E-2</v>
      </c>
      <c r="AA837" s="230">
        <v>3.252734926117884E-2</v>
      </c>
    </row>
    <row r="838" spans="19:27" x14ac:dyDescent="0.2">
      <c r="S838" s="32"/>
      <c r="T838" s="187"/>
      <c r="W838" s="221" t="str">
        <f t="shared" si="21"/>
        <v>1w</v>
      </c>
      <c r="X838" s="222">
        <f>_xll.qlCalendarAdvance(Calendar,X837,W838,"f",FALSE)</f>
        <v>44685</v>
      </c>
      <c r="Y838" s="227">
        <f>_xll.qlCalendarAdvance(Calendar,X838,NDays&amp;"D")</f>
        <v>44685</v>
      </c>
      <c r="Z838" s="228">
        <v>3.2607293882271231E-2</v>
      </c>
      <c r="AA838" s="230">
        <v>3.2538211880335233E-2</v>
      </c>
    </row>
    <row r="839" spans="19:27" x14ac:dyDescent="0.2">
      <c r="S839" s="32"/>
      <c r="T839" s="187"/>
      <c r="W839" s="221" t="str">
        <f t="shared" si="21"/>
        <v>1w</v>
      </c>
      <c r="X839" s="222">
        <f>_xll.qlCalendarAdvance(Calendar,X838,W839,"f",FALSE)</f>
        <v>44692</v>
      </c>
      <c r="Y839" s="227">
        <f>_xll.qlCalendarAdvance(Calendar,X839,NDays&amp;"D")</f>
        <v>44692</v>
      </c>
      <c r="Z839" s="228">
        <v>3.2616593315156692E-2</v>
      </c>
      <c r="AA839" s="230">
        <v>3.254859067856275E-2</v>
      </c>
    </row>
    <row r="840" spans="19:27" x14ac:dyDescent="0.2">
      <c r="S840" s="32"/>
      <c r="T840" s="187"/>
      <c r="W840" s="221" t="str">
        <f t="shared" si="21"/>
        <v>1w</v>
      </c>
      <c r="X840" s="222">
        <f>_xll.qlCalendarAdvance(Calendar,X839,W840,"f",FALSE)</f>
        <v>44699</v>
      </c>
      <c r="Y840" s="227">
        <f>_xll.qlCalendarAdvance(Calendar,X840,NDays&amp;"D")</f>
        <v>44699</v>
      </c>
      <c r="Z840" s="228">
        <v>3.2625407550694471E-2</v>
      </c>
      <c r="AA840" s="230">
        <v>3.2558485655780345E-2</v>
      </c>
    </row>
    <row r="841" spans="19:27" x14ac:dyDescent="0.2">
      <c r="S841" s="32"/>
      <c r="T841" s="187"/>
      <c r="W841" s="221" t="str">
        <f t="shared" si="21"/>
        <v>1w</v>
      </c>
      <c r="X841" s="222">
        <f>_xll.qlCalendarAdvance(Calendar,X840,W841,"f",FALSE)</f>
        <v>44706</v>
      </c>
      <c r="Y841" s="227">
        <f>_xll.qlCalendarAdvance(Calendar,X841,NDays&amp;"D")</f>
        <v>44706</v>
      </c>
      <c r="Z841" s="228">
        <v>3.2633736587727807E-2</v>
      </c>
      <c r="AA841" s="230">
        <v>3.2567896811906971E-2</v>
      </c>
    </row>
    <row r="842" spans="19:27" x14ac:dyDescent="0.2">
      <c r="S842" s="32"/>
      <c r="T842" s="187"/>
      <c r="W842" s="221" t="str">
        <f t="shared" si="21"/>
        <v>1w</v>
      </c>
      <c r="X842" s="222">
        <f>_xll.qlCalendarAdvance(Calendar,X841,W842,"f",FALSE)</f>
        <v>44713</v>
      </c>
      <c r="Y842" s="227">
        <f>_xll.qlCalendarAdvance(Calendar,X842,NDays&amp;"D")</f>
        <v>44713</v>
      </c>
      <c r="Z842" s="228">
        <v>3.2635649765580754E-2</v>
      </c>
      <c r="AA842" s="230">
        <v>3.2576824147023675E-2</v>
      </c>
    </row>
    <row r="843" spans="19:27" x14ac:dyDescent="0.2">
      <c r="S843" s="32"/>
      <c r="T843" s="187"/>
      <c r="W843" s="221" t="str">
        <f t="shared" si="21"/>
        <v>1w</v>
      </c>
      <c r="X843" s="222">
        <f>_xll.qlCalendarAdvance(Calendar,X842,W843,"f",FALSE)</f>
        <v>44720</v>
      </c>
      <c r="Y843" s="227">
        <f>_xll.qlCalendarAdvance(Calendar,X843,NDays&amp;"D")</f>
        <v>44720</v>
      </c>
      <c r="Z843" s="228">
        <v>3.2643207031950415E-2</v>
      </c>
      <c r="AA843" s="230">
        <v>3.2585267661049411E-2</v>
      </c>
    </row>
    <row r="844" spans="19:27" x14ac:dyDescent="0.2">
      <c r="S844" s="32"/>
      <c r="T844" s="187"/>
      <c r="W844" s="221" t="str">
        <f t="shared" si="21"/>
        <v>1w</v>
      </c>
      <c r="X844" s="222">
        <f>_xll.qlCalendarAdvance(Calendar,X843,W844,"f",FALSE)</f>
        <v>44727</v>
      </c>
      <c r="Y844" s="227">
        <f>_xll.qlCalendarAdvance(Calendar,X844,NDays&amp;"D")</f>
        <v>44727</v>
      </c>
      <c r="Z844" s="228">
        <v>3.2650525942121367E-2</v>
      </c>
      <c r="AA844" s="230">
        <v>3.2593227353903131E-2</v>
      </c>
    </row>
    <row r="845" spans="19:27" x14ac:dyDescent="0.2">
      <c r="S845" s="32"/>
      <c r="T845" s="187"/>
      <c r="W845" s="221" t="str">
        <f t="shared" si="21"/>
        <v>1w</v>
      </c>
      <c r="X845" s="222">
        <f>_xll.qlCalendarAdvance(Calendar,X844,W845,"f",FALSE)</f>
        <v>44734</v>
      </c>
      <c r="Y845" s="227">
        <f>_xll.qlCalendarAdvance(Calendar,X845,NDays&amp;"D")</f>
        <v>44734</v>
      </c>
      <c r="Z845" s="228">
        <v>3.2657763496552514E-2</v>
      </c>
      <c r="AA845" s="230">
        <v>3.2600703225584837E-2</v>
      </c>
    </row>
    <row r="846" spans="19:27" x14ac:dyDescent="0.2">
      <c r="S846" s="32"/>
      <c r="T846" s="187"/>
      <c r="W846" s="221" t="str">
        <f t="shared" si="21"/>
        <v>1w</v>
      </c>
      <c r="X846" s="222">
        <f>_xll.qlCalendarAdvance(Calendar,X845,W846,"f",FALSE)</f>
        <v>44741</v>
      </c>
      <c r="Y846" s="227">
        <f>_xll.qlCalendarAdvance(Calendar,X846,NDays&amp;"D")</f>
        <v>44741</v>
      </c>
      <c r="Z846" s="228">
        <v>3.2665076085767339E-2</v>
      </c>
      <c r="AA846" s="230">
        <v>3.2607738647849605E-2</v>
      </c>
    </row>
    <row r="847" spans="19:27" x14ac:dyDescent="0.2">
      <c r="S847" s="32"/>
      <c r="T847" s="187"/>
      <c r="W847" s="221" t="str">
        <f t="shared" si="21"/>
        <v>1w</v>
      </c>
      <c r="X847" s="222">
        <f>_xll.qlCalendarAdvance(Calendar,X846,W847,"f",FALSE)</f>
        <v>44748</v>
      </c>
      <c r="Y847" s="227">
        <f>_xll.qlCalendarAdvance(Calendar,X847,NDays&amp;"D")</f>
        <v>44748</v>
      </c>
      <c r="Z847" s="228">
        <v>3.2678610607536206E-2</v>
      </c>
      <c r="AA847" s="230">
        <v>3.2614822122454257E-2</v>
      </c>
    </row>
    <row r="848" spans="19:27" x14ac:dyDescent="0.2">
      <c r="S848" s="32"/>
      <c r="T848" s="187"/>
      <c r="W848" s="221" t="str">
        <f t="shared" si="21"/>
        <v>1w</v>
      </c>
      <c r="X848" s="222">
        <f>_xll.qlCalendarAdvance(Calendar,X847,W848,"f",FALSE)</f>
        <v>44755</v>
      </c>
      <c r="Y848" s="227">
        <f>_xll.qlCalendarAdvance(Calendar,X848,NDays&amp;"D")</f>
        <v>44755</v>
      </c>
      <c r="Z848" s="228">
        <v>3.2686331550053828E-2</v>
      </c>
      <c r="AA848" s="230">
        <v>3.2622092895581156E-2</v>
      </c>
    </row>
    <row r="849" spans="19:27" x14ac:dyDescent="0.2">
      <c r="S849" s="32"/>
      <c r="T849" s="187"/>
      <c r="W849" s="221" t="str">
        <f t="shared" si="21"/>
        <v>1w</v>
      </c>
      <c r="X849" s="222">
        <f>_xll.qlCalendarAdvance(Calendar,X848,W849,"f",FALSE)</f>
        <v>44762</v>
      </c>
      <c r="Y849" s="227">
        <f>_xll.qlCalendarAdvance(Calendar,X849,NDays&amp;"D")</f>
        <v>44762</v>
      </c>
      <c r="Z849" s="228">
        <v>3.2694240333069821E-2</v>
      </c>
      <c r="AA849" s="230">
        <v>3.262955096706821E-2</v>
      </c>
    </row>
    <row r="850" spans="19:27" x14ac:dyDescent="0.2">
      <c r="S850" s="32"/>
      <c r="T850" s="187"/>
      <c r="W850" s="221" t="str">
        <f t="shared" si="21"/>
        <v>1w</v>
      </c>
      <c r="X850" s="222">
        <f>_xll.qlCalendarAdvance(Calendar,X849,W850,"f",FALSE)</f>
        <v>44769</v>
      </c>
      <c r="Y850" s="227">
        <f>_xll.qlCalendarAdvance(Calendar,X850,NDays&amp;"D")</f>
        <v>44769</v>
      </c>
      <c r="Z850" s="228">
        <v>3.2704396822071734E-2</v>
      </c>
      <c r="AA850" s="230">
        <v>3.2637196336996466E-2</v>
      </c>
    </row>
    <row r="851" spans="19:27" x14ac:dyDescent="0.2">
      <c r="S851" s="32"/>
      <c r="T851" s="187"/>
      <c r="W851" s="221" t="str">
        <f t="shared" si="21"/>
        <v>1w</v>
      </c>
      <c r="X851" s="222">
        <f>_xll.qlCalendarAdvance(Calendar,X850,W851,"f",FALSE)</f>
        <v>44776</v>
      </c>
      <c r="Y851" s="227">
        <f>_xll.qlCalendarAdvance(Calendar,X851,NDays&amp;"D")</f>
        <v>44776</v>
      </c>
      <c r="Z851" s="228">
        <v>3.2710621422220316E-2</v>
      </c>
      <c r="AA851" s="230">
        <v>3.2645029005446968E-2</v>
      </c>
    </row>
    <row r="852" spans="19:27" x14ac:dyDescent="0.2">
      <c r="S852" s="32"/>
      <c r="T852" s="187"/>
      <c r="W852" s="221" t="str">
        <f t="shared" si="21"/>
        <v>1w</v>
      </c>
      <c r="X852" s="222">
        <f>_xll.qlCalendarAdvance(Calendar,X851,W852,"f",FALSE)</f>
        <v>44783</v>
      </c>
      <c r="Y852" s="227">
        <f>_xll.qlCalendarAdvance(Calendar,X852,NDays&amp;"D")</f>
        <v>44783</v>
      </c>
      <c r="Z852" s="228">
        <v>3.2719093729184925E-2</v>
      </c>
      <c r="AA852" s="230">
        <v>3.2653048972257626E-2</v>
      </c>
    </row>
    <row r="853" spans="19:27" x14ac:dyDescent="0.2">
      <c r="S853" s="32"/>
      <c r="T853" s="187"/>
      <c r="W853" s="221" t="str">
        <f t="shared" ref="W853:W916" si="22">W852</f>
        <v>1w</v>
      </c>
      <c r="X853" s="222">
        <f>_xll.qlCalendarAdvance(Calendar,X852,W853,"f",FALSE)</f>
        <v>44790</v>
      </c>
      <c r="Y853" s="227">
        <f>_xll.qlCalendarAdvance(Calendar,X853,NDays&amp;"D")</f>
        <v>44790</v>
      </c>
      <c r="Z853" s="228">
        <v>3.2727753878310589E-2</v>
      </c>
      <c r="AA853" s="230">
        <v>3.266125623759053E-2</v>
      </c>
    </row>
    <row r="854" spans="19:27" x14ac:dyDescent="0.2">
      <c r="S854" s="32"/>
      <c r="T854" s="187"/>
      <c r="W854" s="221" t="str">
        <f t="shared" si="22"/>
        <v>1w</v>
      </c>
      <c r="X854" s="222">
        <f>_xll.qlCalendarAdvance(Calendar,X853,W854,"f",FALSE)</f>
        <v>44797</v>
      </c>
      <c r="Y854" s="227">
        <f>_xll.qlCalendarAdvance(Calendar,X854,NDays&amp;"D")</f>
        <v>44797</v>
      </c>
      <c r="Z854" s="228">
        <v>3.2736601870041827E-2</v>
      </c>
      <c r="AA854" s="230">
        <v>3.2669650801445682E-2</v>
      </c>
    </row>
    <row r="855" spans="19:27" x14ac:dyDescent="0.2">
      <c r="S855" s="32"/>
      <c r="T855" s="187"/>
      <c r="W855" s="221" t="str">
        <f t="shared" si="22"/>
        <v>1w</v>
      </c>
      <c r="X855" s="222">
        <f>_xll.qlCalendarAdvance(Calendar,X854,W855,"f",FALSE)</f>
        <v>44804</v>
      </c>
      <c r="Y855" s="227">
        <f>_xll.qlCalendarAdvance(Calendar,X855,NDays&amp;"D")</f>
        <v>44804</v>
      </c>
      <c r="Z855" s="228">
        <v>3.2739254105642088E-2</v>
      </c>
      <c r="AA855" s="230">
        <v>3.2678232663742035E-2</v>
      </c>
    </row>
    <row r="856" spans="19:27" x14ac:dyDescent="0.2">
      <c r="S856" s="32"/>
      <c r="T856" s="187"/>
      <c r="W856" s="221" t="str">
        <f t="shared" si="22"/>
        <v>1w</v>
      </c>
      <c r="X856" s="222">
        <f>_xll.qlCalendarAdvance(Calendar,X855,W856,"f",FALSE)</f>
        <v>44811</v>
      </c>
      <c r="Y856" s="227">
        <f>_xll.qlCalendarAdvance(Calendar,X856,NDays&amp;"D")</f>
        <v>44811</v>
      </c>
      <c r="Z856" s="228">
        <v>3.2748435063831814E-2</v>
      </c>
      <c r="AA856" s="230">
        <v>3.2687001824560635E-2</v>
      </c>
    </row>
    <row r="857" spans="19:27" x14ac:dyDescent="0.2">
      <c r="S857" s="32"/>
      <c r="T857" s="187"/>
      <c r="W857" s="221" t="str">
        <f t="shared" si="22"/>
        <v>1w</v>
      </c>
      <c r="X857" s="222">
        <f>_xll.qlCalendarAdvance(Calendar,X856,W857,"f",FALSE)</f>
        <v>44818</v>
      </c>
      <c r="Y857" s="227">
        <f>_xll.qlCalendarAdvance(Calendar,X857,NDays&amp;"D")</f>
        <v>44818</v>
      </c>
      <c r="Z857" s="228">
        <v>3.2757803814709982E-2</v>
      </c>
      <c r="AA857" s="230">
        <v>3.2695958283982529E-2</v>
      </c>
    </row>
    <row r="858" spans="19:27" x14ac:dyDescent="0.2">
      <c r="S858" s="32"/>
      <c r="T858" s="187"/>
      <c r="W858" s="221" t="str">
        <f t="shared" si="22"/>
        <v>1w</v>
      </c>
      <c r="X858" s="222">
        <f>_xll.qlCalendarAdvance(Calendar,X857,W858,"f",FALSE)</f>
        <v>44825</v>
      </c>
      <c r="Y858" s="227">
        <f>_xll.qlCalendarAdvance(Calendar,X858,NDays&amp;"D")</f>
        <v>44825</v>
      </c>
      <c r="Z858" s="228">
        <v>3.276736035870613E-2</v>
      </c>
      <c r="AA858" s="230">
        <v>3.2705102041845624E-2</v>
      </c>
    </row>
    <row r="859" spans="19:27" x14ac:dyDescent="0.2">
      <c r="S859" s="32"/>
      <c r="T859" s="187"/>
      <c r="W859" s="221" t="str">
        <f t="shared" si="22"/>
        <v>1w</v>
      </c>
      <c r="X859" s="222">
        <f>_xll.qlCalendarAdvance(Calendar,X858,W859,"f",FALSE)</f>
        <v>44832</v>
      </c>
      <c r="Y859" s="227">
        <f>_xll.qlCalendarAdvance(Calendar,X859,NDays&amp;"D")</f>
        <v>44832</v>
      </c>
      <c r="Z859" s="228">
        <v>3.2777104696266011E-2</v>
      </c>
      <c r="AA859" s="230">
        <v>3.2714433098312012E-2</v>
      </c>
    </row>
    <row r="860" spans="19:27" x14ac:dyDescent="0.2">
      <c r="S860" s="32"/>
      <c r="T860" s="187"/>
      <c r="W860" s="221" t="str">
        <f t="shared" si="22"/>
        <v>1w</v>
      </c>
      <c r="X860" s="222">
        <f>_xll.qlCalendarAdvance(Calendar,X859,W860,"f",FALSE)</f>
        <v>44839</v>
      </c>
      <c r="Y860" s="227">
        <f>_xll.qlCalendarAdvance(Calendar,X860,NDays&amp;"D")</f>
        <v>44839</v>
      </c>
      <c r="Z860" s="228">
        <v>3.2793634540941224E-2</v>
      </c>
      <c r="AA860" s="230">
        <v>3.2723951453300648E-2</v>
      </c>
    </row>
    <row r="861" spans="19:27" x14ac:dyDescent="0.2">
      <c r="S861" s="32"/>
      <c r="T861" s="187"/>
      <c r="W861" s="221" t="str">
        <f t="shared" si="22"/>
        <v>1w</v>
      </c>
      <c r="X861" s="222">
        <f>_xll.qlCalendarAdvance(Calendar,X860,W861,"f",FALSE)</f>
        <v>44846</v>
      </c>
      <c r="Y861" s="227">
        <f>_xll.qlCalendarAdvance(Calendar,X861,NDays&amp;"D")</f>
        <v>44846</v>
      </c>
      <c r="Z861" s="228">
        <v>3.2803797444018901E-2</v>
      </c>
      <c r="AA861" s="230">
        <v>3.2733657106892577E-2</v>
      </c>
    </row>
    <row r="862" spans="19:27" x14ac:dyDescent="0.2">
      <c r="S862" s="32"/>
      <c r="T862" s="187"/>
      <c r="W862" s="221" t="str">
        <f t="shared" si="22"/>
        <v>1w</v>
      </c>
      <c r="X862" s="222">
        <f>_xll.qlCalendarAdvance(Calendar,X861,W862,"f",FALSE)</f>
        <v>44853</v>
      </c>
      <c r="Y862" s="227">
        <f>_xll.qlCalendarAdvance(Calendar,X862,NDays&amp;"D")</f>
        <v>44853</v>
      </c>
      <c r="Z862" s="228">
        <v>3.2814148193560454E-2</v>
      </c>
      <c r="AA862" s="230">
        <v>3.2743550059168847E-2</v>
      </c>
    </row>
    <row r="863" spans="19:27" x14ac:dyDescent="0.2">
      <c r="S863" s="32"/>
      <c r="T863" s="187"/>
      <c r="W863" s="221" t="str">
        <f t="shared" si="22"/>
        <v>1w</v>
      </c>
      <c r="X863" s="222">
        <f>_xll.qlCalendarAdvance(Calendar,X862,W863,"f",FALSE)</f>
        <v>44860</v>
      </c>
      <c r="Y863" s="227">
        <f>_xll.qlCalendarAdvance(Calendar,X863,NDays&amp;"D")</f>
        <v>44860</v>
      </c>
      <c r="Z863" s="228">
        <v>3.2824686790093906E-2</v>
      </c>
      <c r="AA863" s="230">
        <v>3.2753630309886317E-2</v>
      </c>
    </row>
    <row r="864" spans="19:27" x14ac:dyDescent="0.2">
      <c r="S864" s="32"/>
      <c r="T864" s="187"/>
      <c r="W864" s="221" t="str">
        <f t="shared" si="22"/>
        <v>1w</v>
      </c>
      <c r="X864" s="222">
        <f>_xll.qlCalendarAdvance(Calendar,X863,W864,"f",FALSE)</f>
        <v>44867</v>
      </c>
      <c r="Y864" s="227">
        <f>_xll.qlCalendarAdvance(Calendar,X864,NDays&amp;"D")</f>
        <v>44867</v>
      </c>
      <c r="Z864" s="228">
        <v>3.2828643303530823E-2</v>
      </c>
      <c r="AA864" s="230">
        <v>3.2763897859288127E-2</v>
      </c>
    </row>
    <row r="865" spans="19:27" x14ac:dyDescent="0.2">
      <c r="S865" s="32"/>
      <c r="T865" s="187"/>
      <c r="W865" s="221" t="str">
        <f t="shared" si="22"/>
        <v>1w</v>
      </c>
      <c r="X865" s="222">
        <f>_xll.qlCalendarAdvance(Calendar,X864,W865,"f",FALSE)</f>
        <v>44874</v>
      </c>
      <c r="Y865" s="227">
        <f>_xll.qlCalendarAdvance(Calendar,X865,NDays&amp;"D")</f>
        <v>44874</v>
      </c>
      <c r="Z865" s="228">
        <v>3.2839514412209489E-2</v>
      </c>
      <c r="AA865" s="230">
        <v>3.2774352707455323E-2</v>
      </c>
    </row>
    <row r="866" spans="19:27" x14ac:dyDescent="0.2">
      <c r="S866" s="32"/>
      <c r="T866" s="187"/>
      <c r="W866" s="221" t="str">
        <f t="shared" si="22"/>
        <v>1w</v>
      </c>
      <c r="X866" s="222">
        <f>_xll.qlCalendarAdvance(Calendar,X865,W866,"f",FALSE)</f>
        <v>44881</v>
      </c>
      <c r="Y866" s="227">
        <f>_xll.qlCalendarAdvance(Calendar,X866,NDays&amp;"D")</f>
        <v>44881</v>
      </c>
      <c r="Z866" s="228">
        <v>3.2850573317782891E-2</v>
      </c>
      <c r="AA866" s="230">
        <v>3.2784994854144767E-2</v>
      </c>
    </row>
    <row r="867" spans="19:27" x14ac:dyDescent="0.2">
      <c r="S867" s="32"/>
      <c r="T867" s="187"/>
      <c r="W867" s="221" t="str">
        <f t="shared" si="22"/>
        <v>1w</v>
      </c>
      <c r="X867" s="222">
        <f>_xll.qlCalendarAdvance(Calendar,X866,W867,"f",FALSE)</f>
        <v>44888</v>
      </c>
      <c r="Y867" s="227">
        <f>_xll.qlCalendarAdvance(Calendar,X867,NDays&amp;"D")</f>
        <v>44888</v>
      </c>
      <c r="Z867" s="228">
        <v>3.2861820020761622E-2</v>
      </c>
      <c r="AA867" s="230">
        <v>3.2795824299599596E-2</v>
      </c>
    </row>
    <row r="868" spans="19:27" x14ac:dyDescent="0.2">
      <c r="S868" s="32"/>
      <c r="T868" s="187"/>
      <c r="W868" s="221" t="str">
        <f t="shared" si="22"/>
        <v>1w</v>
      </c>
      <c r="X868" s="222">
        <f>_xll.qlCalendarAdvance(Calendar,X867,W868,"f",FALSE)</f>
        <v>44895</v>
      </c>
      <c r="Y868" s="227">
        <f>_xll.qlCalendarAdvance(Calendar,X868,NDays&amp;"D")</f>
        <v>44895</v>
      </c>
      <c r="Z868" s="228">
        <v>3.2873254521661677E-2</v>
      </c>
      <c r="AA868" s="230">
        <v>3.280684104365772E-2</v>
      </c>
    </row>
    <row r="869" spans="19:27" x14ac:dyDescent="0.2">
      <c r="S869" s="32"/>
      <c r="T869" s="187"/>
      <c r="W869" s="221" t="str">
        <f t="shared" si="22"/>
        <v>1w</v>
      </c>
      <c r="X869" s="222">
        <f>_xll.qlCalendarAdvance(Calendar,X868,W869,"f",FALSE)</f>
        <v>44902</v>
      </c>
      <c r="Y869" s="227">
        <f>_xll.qlCalendarAdvance(Calendar,X869,NDays&amp;"D")</f>
        <v>44902</v>
      </c>
      <c r="Z869" s="228">
        <v>3.2891863186782125E-2</v>
      </c>
      <c r="AA869" s="230">
        <v>3.2818045086481229E-2</v>
      </c>
    </row>
    <row r="870" spans="19:27" x14ac:dyDescent="0.2">
      <c r="S870" s="32"/>
      <c r="T870" s="187"/>
      <c r="W870" s="221" t="str">
        <f t="shared" si="22"/>
        <v>1w</v>
      </c>
      <c r="X870" s="222">
        <f>_xll.qlCalendarAdvance(Calendar,X869,W870,"f",FALSE)</f>
        <v>44909</v>
      </c>
      <c r="Y870" s="227">
        <f>_xll.qlCalendarAdvance(Calendar,X870,NDays&amp;"D")</f>
        <v>44909</v>
      </c>
      <c r="Z870" s="228">
        <v>3.2903716727785387E-2</v>
      </c>
      <c r="AA870" s="230">
        <v>3.2829436428070125E-2</v>
      </c>
    </row>
    <row r="871" spans="19:27" x14ac:dyDescent="0.2">
      <c r="S871" s="32"/>
      <c r="T871" s="187"/>
      <c r="W871" s="221" t="str">
        <f t="shared" si="22"/>
        <v>1w</v>
      </c>
      <c r="X871" s="222">
        <f>_xll.qlCalendarAdvance(Calendar,X870,W871,"f",FALSE)</f>
        <v>44916</v>
      </c>
      <c r="Y871" s="227">
        <f>_xll.qlCalendarAdvance(Calendar,X871,NDays&amp;"D")</f>
        <v>44916</v>
      </c>
      <c r="Z871" s="228">
        <v>3.2915758120328965E-2</v>
      </c>
      <c r="AA871" s="230">
        <v>3.284101506834336E-2</v>
      </c>
    </row>
    <row r="872" spans="19:27" x14ac:dyDescent="0.2">
      <c r="S872" s="32"/>
      <c r="T872" s="187"/>
      <c r="W872" s="221" t="str">
        <f t="shared" si="22"/>
        <v>1w</v>
      </c>
      <c r="X872" s="222">
        <f>_xll.qlCalendarAdvance(Calendar,X871,W872,"f",FALSE)</f>
        <v>44923</v>
      </c>
      <c r="Y872" s="227">
        <f>_xll.qlCalendarAdvance(Calendar,X872,NDays&amp;"D")</f>
        <v>44923</v>
      </c>
      <c r="Z872" s="228">
        <v>3.2927987365026848E-2</v>
      </c>
      <c r="AA872" s="230">
        <v>3.2852781007381981E-2</v>
      </c>
    </row>
    <row r="873" spans="19:27" x14ac:dyDescent="0.2">
      <c r="S873" s="32"/>
      <c r="T873" s="187"/>
      <c r="W873" s="221" t="str">
        <f t="shared" si="22"/>
        <v>1w</v>
      </c>
      <c r="X873" s="222">
        <f>_xll.qlCalendarAdvance(Calendar,X872,W873,"f",FALSE)</f>
        <v>44930</v>
      </c>
      <c r="Y873" s="227">
        <f>_xll.qlCalendarAdvance(Calendar,X873,NDays&amp;"D")</f>
        <v>44930</v>
      </c>
      <c r="Z873" s="228">
        <v>3.2940404462502841E-2</v>
      </c>
      <c r="AA873" s="230">
        <v>3.2864734245185989E-2</v>
      </c>
    </row>
    <row r="874" spans="19:27" x14ac:dyDescent="0.2">
      <c r="S874" s="32"/>
      <c r="T874" s="187"/>
      <c r="W874" s="221" t="str">
        <f t="shared" si="22"/>
        <v>1w</v>
      </c>
      <c r="X874" s="222">
        <f>_xll.qlCalendarAdvance(Calendar,X873,W874,"f",FALSE)</f>
        <v>44937</v>
      </c>
      <c r="Y874" s="227">
        <f>_xll.qlCalendarAdvance(Calendar,X874,NDays&amp;"D")</f>
        <v>44937</v>
      </c>
      <c r="Z874" s="228">
        <v>3.2953009413383215E-2</v>
      </c>
      <c r="AA874" s="230">
        <v>3.2876874781836429E-2</v>
      </c>
    </row>
    <row r="875" spans="19:27" x14ac:dyDescent="0.2">
      <c r="S875" s="32"/>
      <c r="T875" s="187"/>
      <c r="W875" s="221" t="str">
        <f t="shared" si="22"/>
        <v>1w</v>
      </c>
      <c r="X875" s="222">
        <f>_xll.qlCalendarAdvance(Calendar,X874,W875,"f",FALSE)</f>
        <v>44944</v>
      </c>
      <c r="Y875" s="227">
        <f>_xll.qlCalendarAdvance(Calendar,X875,NDays&amp;"D")</f>
        <v>44944</v>
      </c>
      <c r="Z875" s="228">
        <v>3.2965802218308971E-2</v>
      </c>
      <c r="AA875" s="230">
        <v>3.2889202617252256E-2</v>
      </c>
    </row>
    <row r="876" spans="19:27" x14ac:dyDescent="0.2">
      <c r="S876" s="32"/>
      <c r="T876" s="187"/>
      <c r="W876" s="221" t="str">
        <f t="shared" si="22"/>
        <v>1w</v>
      </c>
      <c r="X876" s="222">
        <f>_xll.qlCalendarAdvance(Calendar,X875,W876,"f",FALSE)</f>
        <v>44951</v>
      </c>
      <c r="Y876" s="227">
        <f>_xll.qlCalendarAdvance(Calendar,X876,NDays&amp;"D")</f>
        <v>44951</v>
      </c>
      <c r="Z876" s="228">
        <v>3.2978782877930941E-2</v>
      </c>
      <c r="AA876" s="230">
        <v>3.2901717751514514E-2</v>
      </c>
    </row>
    <row r="877" spans="19:27" x14ac:dyDescent="0.2">
      <c r="S877" s="32"/>
      <c r="T877" s="187"/>
      <c r="W877" s="221" t="str">
        <f t="shared" si="22"/>
        <v>1w</v>
      </c>
      <c r="X877" s="222">
        <f>_xll.qlCalendarAdvance(Calendar,X876,W877,"f",FALSE)</f>
        <v>44958</v>
      </c>
      <c r="Y877" s="227">
        <f>_xll.qlCalendarAdvance(Calendar,X877,NDays&amp;"D")</f>
        <v>44958</v>
      </c>
      <c r="Z877" s="228">
        <v>3.2979733479087947E-2</v>
      </c>
      <c r="AA877" s="230">
        <v>3.2914420184704252E-2</v>
      </c>
    </row>
    <row r="878" spans="19:27" x14ac:dyDescent="0.2">
      <c r="S878" s="32"/>
      <c r="T878" s="187"/>
      <c r="W878" s="221" t="str">
        <f t="shared" si="22"/>
        <v>1w</v>
      </c>
      <c r="X878" s="222">
        <f>_xll.qlCalendarAdvance(Calendar,X877,W878,"f",FALSE)</f>
        <v>44965</v>
      </c>
      <c r="Y878" s="227">
        <f>_xll.qlCalendarAdvance(Calendar,X878,NDays&amp;"D")</f>
        <v>44965</v>
      </c>
      <c r="Z878" s="228">
        <v>3.2993016762453614E-2</v>
      </c>
      <c r="AA878" s="230">
        <v>3.2927309916740422E-2</v>
      </c>
    </row>
    <row r="879" spans="19:27" x14ac:dyDescent="0.2">
      <c r="S879" s="32"/>
      <c r="T879" s="187"/>
      <c r="W879" s="221" t="str">
        <f t="shared" si="22"/>
        <v>1w</v>
      </c>
      <c r="X879" s="222">
        <f>_xll.qlCalendarAdvance(Calendar,X878,W879,"f",FALSE)</f>
        <v>44972</v>
      </c>
      <c r="Y879" s="227">
        <f>_xll.qlCalendarAdvance(Calendar,X879,NDays&amp;"D")</f>
        <v>44972</v>
      </c>
      <c r="Z879" s="228">
        <v>3.3006487815052547E-2</v>
      </c>
      <c r="AA879" s="230">
        <v>3.2940386947623024E-2</v>
      </c>
    </row>
    <row r="880" spans="19:27" x14ac:dyDescent="0.2">
      <c r="S880" s="32"/>
      <c r="T880" s="187"/>
      <c r="W880" s="221" t="str">
        <f t="shared" si="22"/>
        <v>1w</v>
      </c>
      <c r="X880" s="222">
        <f>_xll.qlCalendarAdvance(Calendar,X879,W880,"f",FALSE)</f>
        <v>44979</v>
      </c>
      <c r="Y880" s="227">
        <f>_xll.qlCalendarAdvance(Calendar,X880,NDays&amp;"D")</f>
        <v>44979</v>
      </c>
      <c r="Z880" s="228">
        <v>3.3020146637472318E-2</v>
      </c>
      <c r="AA880" s="230">
        <v>3.2953651277433105E-2</v>
      </c>
    </row>
    <row r="881" spans="19:27" x14ac:dyDescent="0.2">
      <c r="S881" s="32"/>
      <c r="T881" s="187"/>
      <c r="W881" s="221" t="str">
        <f t="shared" si="22"/>
        <v>1w</v>
      </c>
      <c r="X881" s="222">
        <f>_xll.qlCalendarAdvance(Calendar,X880,W881,"f",FALSE)</f>
        <v>44986</v>
      </c>
      <c r="Y881" s="227">
        <f>_xll.qlCalendarAdvance(Calendar,X881,NDays&amp;"D")</f>
        <v>44986</v>
      </c>
      <c r="Z881" s="228">
        <v>3.3046504019891558E-2</v>
      </c>
      <c r="AA881" s="230">
        <v>3.2967102906251711E-2</v>
      </c>
    </row>
    <row r="882" spans="19:27" x14ac:dyDescent="0.2">
      <c r="S882" s="32"/>
      <c r="T882" s="187"/>
      <c r="W882" s="221" t="str">
        <f t="shared" si="22"/>
        <v>1w</v>
      </c>
      <c r="X882" s="222">
        <f>_xll.qlCalendarAdvance(Calendar,X881,W882,"f",FALSE)</f>
        <v>44993</v>
      </c>
      <c r="Y882" s="227">
        <f>_xll.qlCalendarAdvance(Calendar,X882,NDays&amp;"D")</f>
        <v>44993</v>
      </c>
      <c r="Z882" s="228">
        <v>3.3063133326475258E-2</v>
      </c>
      <c r="AA882" s="230">
        <v>3.2980741833916749E-2</v>
      </c>
    </row>
    <row r="883" spans="19:27" x14ac:dyDescent="0.2">
      <c r="S883" s="32"/>
      <c r="T883" s="187"/>
      <c r="W883" s="221" t="str">
        <f t="shared" si="22"/>
        <v>1w</v>
      </c>
      <c r="X883" s="222">
        <f>_xll.qlCalendarAdvance(Calendar,X882,W883,"f",FALSE)</f>
        <v>45000</v>
      </c>
      <c r="Y883" s="227">
        <f>_xll.qlCalendarAdvance(Calendar,X883,NDays&amp;"D")</f>
        <v>45000</v>
      </c>
      <c r="Z883" s="228">
        <v>3.3074907483361157E-2</v>
      </c>
      <c r="AA883" s="230">
        <v>3.2994568060590312E-2</v>
      </c>
    </row>
    <row r="884" spans="19:27" x14ac:dyDescent="0.2">
      <c r="S884" s="32"/>
      <c r="T884" s="187"/>
      <c r="W884" s="221" t="str">
        <f t="shared" si="22"/>
        <v>1w</v>
      </c>
      <c r="X884" s="222">
        <f>_xll.qlCalendarAdvance(Calendar,X883,W884,"f",FALSE)</f>
        <v>45007</v>
      </c>
      <c r="Y884" s="227">
        <f>_xll.qlCalendarAdvance(Calendar,X884,NDays&amp;"D")</f>
        <v>45007</v>
      </c>
      <c r="Z884" s="228">
        <v>3.308939100509263E-2</v>
      </c>
      <c r="AA884" s="230">
        <v>3.3008581586353447E-2</v>
      </c>
    </row>
    <row r="885" spans="19:27" x14ac:dyDescent="0.2">
      <c r="S885" s="32"/>
      <c r="T885" s="187"/>
      <c r="W885" s="221" t="str">
        <f t="shared" si="22"/>
        <v>1w</v>
      </c>
      <c r="X885" s="222">
        <f>_xll.qlCalendarAdvance(Calendar,X884,W885,"f",FALSE)</f>
        <v>45014</v>
      </c>
      <c r="Y885" s="227">
        <f>_xll.qlCalendarAdvance(Calendar,X885,NDays&amp;"D")</f>
        <v>45014</v>
      </c>
      <c r="Z885" s="228">
        <v>3.3096374664539741E-2</v>
      </c>
      <c r="AA885" s="230">
        <v>3.302278241104406E-2</v>
      </c>
    </row>
    <row r="886" spans="19:27" x14ac:dyDescent="0.2">
      <c r="S886" s="32"/>
      <c r="T886" s="187"/>
      <c r="W886" s="221" t="str">
        <f t="shared" si="22"/>
        <v>1w</v>
      </c>
      <c r="X886" s="222">
        <f>_xll.qlCalendarAdvance(Calendar,X885,W886,"f",FALSE)</f>
        <v>45021</v>
      </c>
      <c r="Y886" s="227">
        <f>_xll.qlCalendarAdvance(Calendar,X886,NDays&amp;"D")</f>
        <v>45021</v>
      </c>
      <c r="Z886" s="228">
        <v>3.311118962675963E-2</v>
      </c>
      <c r="AA886" s="230">
        <v>3.3037170534824245E-2</v>
      </c>
    </row>
    <row r="887" spans="19:27" x14ac:dyDescent="0.2">
      <c r="S887" s="32"/>
      <c r="T887" s="187"/>
      <c r="W887" s="221" t="str">
        <f t="shared" si="22"/>
        <v>1w</v>
      </c>
      <c r="X887" s="222">
        <f>_xll.qlCalendarAdvance(Calendar,X886,W887,"f",FALSE)</f>
        <v>45028</v>
      </c>
      <c r="Y887" s="227">
        <f>_xll.qlCalendarAdvance(Calendar,X887,NDays&amp;"D")</f>
        <v>45028</v>
      </c>
      <c r="Z887" s="228">
        <v>3.3126192398422925E-2</v>
      </c>
      <c r="AA887" s="230">
        <v>3.3051745957694001E-2</v>
      </c>
    </row>
    <row r="888" spans="19:27" x14ac:dyDescent="0.2">
      <c r="S888" s="32"/>
      <c r="T888" s="187"/>
      <c r="W888" s="221" t="str">
        <f t="shared" si="22"/>
        <v>1w</v>
      </c>
      <c r="X888" s="222">
        <f>_xll.qlCalendarAdvance(Calendar,X887,W888,"f",FALSE)</f>
        <v>45035</v>
      </c>
      <c r="Y888" s="227">
        <f>_xll.qlCalendarAdvance(Calendar,X888,NDays&amp;"D")</f>
        <v>45035</v>
      </c>
      <c r="Z888" s="228">
        <v>3.3141382980215815E-2</v>
      </c>
      <c r="AA888" s="230">
        <v>3.3066508679491236E-2</v>
      </c>
    </row>
    <row r="889" spans="19:27" x14ac:dyDescent="0.2">
      <c r="S889" s="32"/>
      <c r="T889" s="187"/>
      <c r="W889" s="221" t="str">
        <f t="shared" si="22"/>
        <v>1w</v>
      </c>
      <c r="X889" s="222">
        <f>_xll.qlCalendarAdvance(Calendar,X888,W889,"f",FALSE)</f>
        <v>45042</v>
      </c>
      <c r="Y889" s="227">
        <f>_xll.qlCalendarAdvance(Calendar,X889,NDays&amp;"D")</f>
        <v>45042</v>
      </c>
      <c r="Z889" s="228">
        <v>3.3156761372843402E-2</v>
      </c>
      <c r="AA889" s="230">
        <v>3.3081458700540134E-2</v>
      </c>
    </row>
    <row r="890" spans="19:27" x14ac:dyDescent="0.2">
      <c r="S890" s="32"/>
      <c r="T890" s="187"/>
      <c r="W890" s="221" t="str">
        <f t="shared" si="22"/>
        <v>1w</v>
      </c>
      <c r="X890" s="222">
        <f>_xll.qlCalendarAdvance(Calendar,X889,W890,"f",FALSE)</f>
        <v>45049</v>
      </c>
      <c r="Y890" s="227">
        <f>_xll.qlCalendarAdvance(Calendar,X890,NDays&amp;"D")</f>
        <v>45049</v>
      </c>
      <c r="Z890" s="228">
        <v>3.3180237242341051E-2</v>
      </c>
      <c r="AA890" s="230">
        <v>3.309659602075965E-2</v>
      </c>
    </row>
    <row r="891" spans="19:27" x14ac:dyDescent="0.2">
      <c r="S891" s="32"/>
      <c r="T891" s="187"/>
      <c r="W891" s="221" t="str">
        <f t="shared" si="22"/>
        <v>1w</v>
      </c>
      <c r="X891" s="222">
        <f>_xll.qlCalendarAdvance(Calendar,X890,W891,"f",FALSE)</f>
        <v>45056</v>
      </c>
      <c r="Y891" s="227">
        <f>_xll.qlCalendarAdvance(Calendar,X891,NDays&amp;"D")</f>
        <v>45056</v>
      </c>
      <c r="Z891" s="228">
        <v>3.3196035806873574E-2</v>
      </c>
      <c r="AA891" s="230">
        <v>3.3111920639987691E-2</v>
      </c>
    </row>
    <row r="892" spans="19:27" x14ac:dyDescent="0.2">
      <c r="S892" s="32"/>
      <c r="T892" s="187"/>
      <c r="W892" s="221" t="str">
        <f t="shared" si="22"/>
        <v>1w</v>
      </c>
      <c r="X892" s="222">
        <f>_xll.qlCalendarAdvance(Calendar,X891,W892,"f",FALSE)</f>
        <v>45063</v>
      </c>
      <c r="Y892" s="227">
        <f>_xll.qlCalendarAdvance(Calendar,X892,NDays&amp;"D")</f>
        <v>45063</v>
      </c>
      <c r="Z892" s="228">
        <v>3.3212022237797532E-2</v>
      </c>
      <c r="AA892" s="230">
        <v>3.3127432558467396E-2</v>
      </c>
    </row>
    <row r="893" spans="19:27" x14ac:dyDescent="0.2">
      <c r="S893" s="32"/>
      <c r="T893" s="187"/>
      <c r="W893" s="221" t="str">
        <f t="shared" si="22"/>
        <v>1w</v>
      </c>
      <c r="X893" s="222">
        <f>_xll.qlCalendarAdvance(Calendar,X892,W893,"f",FALSE)</f>
        <v>45070</v>
      </c>
      <c r="Y893" s="227">
        <f>_xll.qlCalendarAdvance(Calendar,X893,NDays&amp;"D")</f>
        <v>45070</v>
      </c>
      <c r="Z893" s="228">
        <v>3.3228196535925847E-2</v>
      </c>
      <c r="AA893" s="230">
        <v>3.3143131776198764E-2</v>
      </c>
    </row>
    <row r="894" spans="19:27" x14ac:dyDescent="0.2">
      <c r="S894" s="32"/>
      <c r="T894" s="187"/>
      <c r="W894" s="221" t="str">
        <f t="shared" si="22"/>
        <v>1w</v>
      </c>
      <c r="X894" s="222">
        <f>_xll.qlCalendarAdvance(Calendar,X893,W894,"f",FALSE)</f>
        <v>45077</v>
      </c>
      <c r="Y894" s="227">
        <f>_xll.qlCalendarAdvance(Calendar,X894,NDays&amp;"D")</f>
        <v>45077</v>
      </c>
      <c r="Z894" s="228">
        <v>3.3236470079814048E-2</v>
      </c>
      <c r="AA894" s="230">
        <v>3.3159018293019704E-2</v>
      </c>
    </row>
    <row r="895" spans="19:27" x14ac:dyDescent="0.2">
      <c r="S895" s="32"/>
      <c r="T895" s="187"/>
      <c r="W895" s="221" t="str">
        <f t="shared" si="22"/>
        <v>1w</v>
      </c>
      <c r="X895" s="222">
        <f>_xll.qlCalendarAdvance(Calendar,X894,W895,"f",FALSE)</f>
        <v>45084</v>
      </c>
      <c r="Y895" s="227">
        <f>_xll.qlCalendarAdvance(Calendar,X895,NDays&amp;"D")</f>
        <v>45084</v>
      </c>
      <c r="Z895" s="228">
        <v>3.3252959358475873E-2</v>
      </c>
      <c r="AA895" s="230">
        <v>3.31750921092544E-2</v>
      </c>
    </row>
    <row r="896" spans="19:27" x14ac:dyDescent="0.2">
      <c r="S896" s="32"/>
      <c r="T896" s="187"/>
      <c r="W896" s="221" t="str">
        <f t="shared" si="22"/>
        <v>1w</v>
      </c>
      <c r="X896" s="222">
        <f>_xll.qlCalendarAdvance(Calendar,X895,W896,"f",FALSE)</f>
        <v>45091</v>
      </c>
      <c r="Y896" s="227">
        <f>_xll.qlCalendarAdvance(Calendar,X896,NDays&amp;"D")</f>
        <v>45091</v>
      </c>
      <c r="Z896" s="228">
        <v>3.3269588125267521E-2</v>
      </c>
      <c r="AA896" s="230">
        <v>3.3191353224740761E-2</v>
      </c>
    </row>
    <row r="897" spans="19:27" x14ac:dyDescent="0.2">
      <c r="S897" s="32"/>
      <c r="T897" s="187"/>
      <c r="W897" s="221" t="str">
        <f t="shared" si="22"/>
        <v>1w</v>
      </c>
      <c r="X897" s="222">
        <f>_xll.qlCalendarAdvance(Calendar,X896,W897,"f",FALSE)</f>
        <v>45098</v>
      </c>
      <c r="Y897" s="227">
        <f>_xll.qlCalendarAdvance(Calendar,X897,NDays&amp;"D")</f>
        <v>45098</v>
      </c>
      <c r="Z897" s="228">
        <v>3.3286322551247159E-2</v>
      </c>
      <c r="AA897" s="230">
        <v>3.3207801639478784E-2</v>
      </c>
    </row>
    <row r="898" spans="19:27" x14ac:dyDescent="0.2">
      <c r="S898" s="32"/>
      <c r="T898" s="187"/>
      <c r="W898" s="221" t="str">
        <f t="shared" si="22"/>
        <v>1w</v>
      </c>
      <c r="X898" s="222">
        <f>_xll.qlCalendarAdvance(Calendar,X897,W898,"f",FALSE)</f>
        <v>45105</v>
      </c>
      <c r="Y898" s="227">
        <f>_xll.qlCalendarAdvance(Calendar,X898,NDays&amp;"D")</f>
        <v>45105</v>
      </c>
      <c r="Z898" s="228">
        <v>3.3303128823720038E-2</v>
      </c>
      <c r="AA898" s="230">
        <v>3.322443391070351E-2</v>
      </c>
    </row>
    <row r="899" spans="19:27" x14ac:dyDescent="0.2">
      <c r="S899" s="32"/>
      <c r="T899" s="187"/>
      <c r="W899" s="221" t="str">
        <f t="shared" si="22"/>
        <v>1w</v>
      </c>
      <c r="X899" s="222">
        <f>_xll.qlCalendarAdvance(Calendar,X898,W899,"f",FALSE)</f>
        <v>45112</v>
      </c>
      <c r="Y899" s="227">
        <f>_xll.qlCalendarAdvance(Calendar,X899,NDays&amp;"D")</f>
        <v>45112</v>
      </c>
      <c r="Z899" s="228">
        <v>3.332816501723581E-2</v>
      </c>
      <c r="AA899" s="230">
        <v>3.3241153637511012E-2</v>
      </c>
    </row>
    <row r="900" spans="19:27" x14ac:dyDescent="0.2">
      <c r="S900" s="32"/>
      <c r="T900" s="187"/>
      <c r="W900" s="221" t="str">
        <f t="shared" si="22"/>
        <v>1w</v>
      </c>
      <c r="X900" s="222">
        <f>_xll.qlCalendarAdvance(Calendar,X899,W900,"f",FALSE)</f>
        <v>45119</v>
      </c>
      <c r="Y900" s="227">
        <f>_xll.qlCalendarAdvance(Calendar,X900,NDays&amp;"D")</f>
        <v>45119</v>
      </c>
      <c r="Z900" s="228">
        <v>3.3345074311849146E-2</v>
      </c>
      <c r="AA900" s="230">
        <v>3.3257916062416903E-2</v>
      </c>
    </row>
    <row r="901" spans="19:27" x14ac:dyDescent="0.2">
      <c r="S901" s="32"/>
      <c r="T901" s="187"/>
      <c r="W901" s="221" t="str">
        <f t="shared" si="22"/>
        <v>1w</v>
      </c>
      <c r="X901" s="222">
        <f>_xll.qlCalendarAdvance(Calendar,X900,W901,"f",FALSE)</f>
        <v>45126</v>
      </c>
      <c r="Y901" s="227">
        <f>_xll.qlCalendarAdvance(Calendar,X901,NDays&amp;"D")</f>
        <v>45126</v>
      </c>
      <c r="Z901" s="228">
        <v>3.3362026454484203E-2</v>
      </c>
      <c r="AA901" s="230">
        <v>3.3274721185583278E-2</v>
      </c>
    </row>
    <row r="902" spans="19:27" x14ac:dyDescent="0.2">
      <c r="S902" s="32"/>
      <c r="T902" s="187"/>
      <c r="W902" s="221" t="str">
        <f t="shared" si="22"/>
        <v>1w</v>
      </c>
      <c r="X902" s="222">
        <f>_xll.qlCalendarAdvance(Calendar,X901,W902,"f",FALSE)</f>
        <v>45133</v>
      </c>
      <c r="Y902" s="227">
        <f>_xll.qlCalendarAdvance(Calendar,X902,NDays&amp;"D")</f>
        <v>45133</v>
      </c>
      <c r="Z902" s="228">
        <v>3.338176432251793E-2</v>
      </c>
      <c r="AA902" s="230">
        <v>3.3291569006766997E-2</v>
      </c>
    </row>
    <row r="903" spans="19:27" x14ac:dyDescent="0.2">
      <c r="S903" s="32"/>
      <c r="T903" s="187"/>
      <c r="W903" s="221" t="str">
        <f t="shared" si="22"/>
        <v>1w</v>
      </c>
      <c r="X903" s="222">
        <f>_xll.qlCalendarAdvance(Calendar,X902,W903,"f",FALSE)</f>
        <v>45140</v>
      </c>
      <c r="Y903" s="227">
        <f>_xll.qlCalendarAdvance(Calendar,X903,NDays&amp;"D")</f>
        <v>45140</v>
      </c>
      <c r="Z903" s="228">
        <v>3.339605928461279E-2</v>
      </c>
      <c r="AA903" s="230">
        <v>3.3308459526130152E-2</v>
      </c>
    </row>
    <row r="904" spans="19:27" x14ac:dyDescent="0.2">
      <c r="S904" s="32"/>
      <c r="T904" s="187"/>
      <c r="W904" s="221" t="str">
        <f t="shared" si="22"/>
        <v>1w</v>
      </c>
      <c r="X904" s="222">
        <f>_xll.qlCalendarAdvance(Calendar,X903,W904,"f",FALSE)</f>
        <v>45147</v>
      </c>
      <c r="Y904" s="227">
        <f>_xll.qlCalendarAdvance(Calendar,X904,NDays&amp;"D")</f>
        <v>45147</v>
      </c>
      <c r="Z904" s="228">
        <v>3.3413139972496807E-2</v>
      </c>
      <c r="AA904" s="230">
        <v>3.332539274375379E-2</v>
      </c>
    </row>
    <row r="905" spans="19:27" x14ac:dyDescent="0.2">
      <c r="S905" s="32"/>
      <c r="T905" s="187"/>
      <c r="W905" s="221" t="str">
        <f t="shared" si="22"/>
        <v>1w</v>
      </c>
      <c r="X905" s="222">
        <f>_xll.qlCalendarAdvance(Calendar,X904,W905,"f",FALSE)</f>
        <v>45154</v>
      </c>
      <c r="Y905" s="227">
        <f>_xll.qlCalendarAdvance(Calendar,X905,NDays&amp;"D")</f>
        <v>45154</v>
      </c>
      <c r="Z905" s="228">
        <v>3.3430263509190913E-2</v>
      </c>
      <c r="AA905" s="230">
        <v>3.3342368659394772E-2</v>
      </c>
    </row>
    <row r="906" spans="19:27" x14ac:dyDescent="0.2">
      <c r="S906" s="32"/>
      <c r="T906" s="187"/>
      <c r="W906" s="221" t="str">
        <f t="shared" si="22"/>
        <v>1w</v>
      </c>
      <c r="X906" s="222">
        <f>_xll.qlCalendarAdvance(Calendar,X905,W906,"f",FALSE)</f>
        <v>45161</v>
      </c>
      <c r="Y906" s="227">
        <f>_xll.qlCalendarAdvance(Calendar,X906,NDays&amp;"D")</f>
        <v>45161</v>
      </c>
      <c r="Z906" s="228">
        <v>3.3447429894894042E-2</v>
      </c>
      <c r="AA906" s="230">
        <v>3.3359387273296237E-2</v>
      </c>
    </row>
    <row r="907" spans="19:27" x14ac:dyDescent="0.2">
      <c r="S907" s="32"/>
      <c r="T907" s="187"/>
      <c r="W907" s="221" t="str">
        <f t="shared" si="22"/>
        <v>1w</v>
      </c>
      <c r="X907" s="222">
        <f>_xll.qlCalendarAdvance(Calendar,X906,W907,"f",FALSE)</f>
        <v>45168</v>
      </c>
      <c r="Y907" s="227">
        <f>_xll.qlCalendarAdvance(Calendar,X907,NDays&amp;"D")</f>
        <v>45168</v>
      </c>
      <c r="Z907" s="228">
        <v>3.3456344763001522E-2</v>
      </c>
      <c r="AA907" s="230">
        <v>3.3376448585377139E-2</v>
      </c>
    </row>
    <row r="908" spans="19:27" x14ac:dyDescent="0.2">
      <c r="S908" s="32"/>
      <c r="T908" s="187"/>
      <c r="W908" s="221" t="str">
        <f t="shared" si="22"/>
        <v>1w</v>
      </c>
      <c r="X908" s="222">
        <f>_xll.qlCalendarAdvance(Calendar,X907,W908,"f",FALSE)</f>
        <v>45175</v>
      </c>
      <c r="Y908" s="227">
        <f>_xll.qlCalendarAdvance(Calendar,X908,NDays&amp;"D")</f>
        <v>45175</v>
      </c>
      <c r="Z908" s="228">
        <v>3.3473582929699972E-2</v>
      </c>
      <c r="AA908" s="230">
        <v>3.3393552595556431E-2</v>
      </c>
    </row>
    <row r="909" spans="19:27" x14ac:dyDescent="0.2">
      <c r="S909" s="32"/>
      <c r="T909" s="187"/>
      <c r="W909" s="221" t="str">
        <f t="shared" si="22"/>
        <v>1w</v>
      </c>
      <c r="X909" s="222">
        <f>_xll.qlCalendarAdvance(Calendar,X908,W909,"f",FALSE)</f>
        <v>45182</v>
      </c>
      <c r="Y909" s="227">
        <f>_xll.qlCalendarAdvance(Calendar,X909,NDays&amp;"D")</f>
        <v>45182</v>
      </c>
      <c r="Z909" s="228">
        <v>3.3490863931754086E-2</v>
      </c>
      <c r="AA909" s="230">
        <v>3.3410699303915159E-2</v>
      </c>
    </row>
    <row r="910" spans="19:27" x14ac:dyDescent="0.2">
      <c r="S910" s="32"/>
      <c r="T910" s="187"/>
      <c r="W910" s="221" t="str">
        <f t="shared" si="22"/>
        <v>1w</v>
      </c>
      <c r="X910" s="222">
        <f>_xll.qlCalendarAdvance(Calendar,X909,W910,"f",FALSE)</f>
        <v>45189</v>
      </c>
      <c r="Y910" s="227">
        <f>_xll.qlCalendarAdvance(Calendar,X910,NDays&amp;"D")</f>
        <v>45189</v>
      </c>
      <c r="Z910" s="228">
        <v>3.350818776933677E-2</v>
      </c>
      <c r="AA910" s="230">
        <v>3.342788871053437E-2</v>
      </c>
    </row>
    <row r="911" spans="19:27" x14ac:dyDescent="0.2">
      <c r="S911" s="32"/>
      <c r="T911" s="187"/>
      <c r="W911" s="221" t="str">
        <f t="shared" si="22"/>
        <v>1w</v>
      </c>
      <c r="X911" s="222">
        <f>_xll.qlCalendarAdvance(Calendar,X910,W911,"f",FALSE)</f>
        <v>45196</v>
      </c>
      <c r="Y911" s="227">
        <f>_xll.qlCalendarAdvance(Calendar,X911,NDays&amp;"D")</f>
        <v>45196</v>
      </c>
      <c r="Z911" s="228">
        <v>3.3525554442637127E-2</v>
      </c>
      <c r="AA911" s="230">
        <v>3.3445120815251972E-2</v>
      </c>
    </row>
    <row r="912" spans="19:27" x14ac:dyDescent="0.2">
      <c r="S912" s="32"/>
      <c r="T912" s="187"/>
      <c r="W912" s="221" t="str">
        <f t="shared" si="22"/>
        <v>1w</v>
      </c>
      <c r="X912" s="222">
        <f>_xll.qlCalendarAdvance(Calendar,X911,W912,"f",FALSE)</f>
        <v>45203</v>
      </c>
      <c r="Y912" s="227">
        <f>_xll.qlCalendarAdvance(Calendar,X912,NDays&amp;"D")</f>
        <v>45203</v>
      </c>
      <c r="Z912" s="228">
        <v>3.3551328049484193E-2</v>
      </c>
      <c r="AA912" s="230">
        <v>3.3462395618230056E-2</v>
      </c>
    </row>
    <row r="913" spans="19:27" x14ac:dyDescent="0.2">
      <c r="S913" s="32"/>
      <c r="T913" s="187"/>
      <c r="W913" s="221" t="str">
        <f t="shared" si="22"/>
        <v>1w</v>
      </c>
      <c r="X913" s="222">
        <f>_xll.qlCalendarAdvance(Calendar,X912,W913,"f",FALSE)</f>
        <v>45210</v>
      </c>
      <c r="Y913" s="227">
        <f>_xll.qlCalendarAdvance(Calendar,X913,NDays&amp;"D")</f>
        <v>45210</v>
      </c>
      <c r="Z913" s="228">
        <v>3.3568794383850027E-2</v>
      </c>
      <c r="AA913" s="230">
        <v>3.3479713119387577E-2</v>
      </c>
    </row>
    <row r="914" spans="19:27" x14ac:dyDescent="0.2">
      <c r="S914" s="32"/>
      <c r="T914" s="187"/>
      <c r="W914" s="221" t="str">
        <f t="shared" si="22"/>
        <v>1w</v>
      </c>
      <c r="X914" s="222">
        <f>_xll.qlCalendarAdvance(Calendar,X913,W914,"f",FALSE)</f>
        <v>45217</v>
      </c>
      <c r="Y914" s="227">
        <f>_xll.qlCalendarAdvance(Calendar,X914,NDays&amp;"D")</f>
        <v>45217</v>
      </c>
      <c r="Z914" s="228">
        <v>3.3586303568826165E-2</v>
      </c>
      <c r="AA914" s="230">
        <v>3.3497073318886628E-2</v>
      </c>
    </row>
    <row r="915" spans="19:27" x14ac:dyDescent="0.2">
      <c r="S915" s="32"/>
      <c r="T915" s="187"/>
      <c r="W915" s="221" t="str">
        <f t="shared" si="22"/>
        <v>1w</v>
      </c>
      <c r="X915" s="222">
        <f>_xll.qlCalendarAdvance(Calendar,X914,W915,"f",FALSE)</f>
        <v>45224</v>
      </c>
      <c r="Y915" s="227">
        <f>_xll.qlCalendarAdvance(Calendar,X915,NDays&amp;"D")</f>
        <v>45224</v>
      </c>
      <c r="Z915" s="228">
        <v>3.3603855604621355E-2</v>
      </c>
      <c r="AA915" s="230">
        <v>3.3514476216403022E-2</v>
      </c>
    </row>
    <row r="916" spans="19:27" x14ac:dyDescent="0.2">
      <c r="S916" s="32"/>
      <c r="T916" s="187"/>
      <c r="W916" s="221" t="str">
        <f t="shared" si="22"/>
        <v>1w</v>
      </c>
      <c r="X916" s="222">
        <f>_xll.qlCalendarAdvance(Calendar,X915,W916,"f",FALSE)</f>
        <v>45231</v>
      </c>
      <c r="Y916" s="227">
        <f>_xll.qlCalendarAdvance(Calendar,X916,NDays&amp;"D")</f>
        <v>45231</v>
      </c>
      <c r="Z916" s="228">
        <v>3.3613030351293226E-2</v>
      </c>
      <c r="AA916" s="230">
        <v>3.3531921812341992E-2</v>
      </c>
    </row>
    <row r="917" spans="19:27" x14ac:dyDescent="0.2">
      <c r="S917" s="32"/>
      <c r="T917" s="187"/>
      <c r="W917" s="221" t="str">
        <f t="shared" ref="W917:W980" si="23">W916</f>
        <v>1w</v>
      </c>
      <c r="X917" s="222">
        <f>_xll.qlCalendarAdvance(Calendar,X916,W917,"f",FALSE)</f>
        <v>45238</v>
      </c>
      <c r="Y917" s="227">
        <f>_xll.qlCalendarAdvance(Calendar,X917,NDays&amp;"D")</f>
        <v>45238</v>
      </c>
      <c r="Z917" s="228">
        <v>3.3630654042743943E-2</v>
      </c>
      <c r="AA917" s="230">
        <v>3.3549410106460398E-2</v>
      </c>
    </row>
    <row r="918" spans="19:27" x14ac:dyDescent="0.2">
      <c r="S918" s="32"/>
      <c r="T918" s="187"/>
      <c r="W918" s="221" t="str">
        <f t="shared" si="23"/>
        <v>1w</v>
      </c>
      <c r="X918" s="222">
        <f>_xll.qlCalendarAdvance(Calendar,X917,W918,"f",FALSE)</f>
        <v>45245</v>
      </c>
      <c r="Y918" s="227">
        <f>_xll.qlCalendarAdvance(Calendar,X918,NDays&amp;"D")</f>
        <v>45245</v>
      </c>
      <c r="Z918" s="228">
        <v>3.3648320571198265E-2</v>
      </c>
      <c r="AA918" s="230">
        <v>3.3566941098677194E-2</v>
      </c>
    </row>
    <row r="919" spans="19:27" x14ac:dyDescent="0.2">
      <c r="S919" s="32"/>
      <c r="T919" s="187"/>
      <c r="W919" s="221" t="str">
        <f t="shared" si="23"/>
        <v>1w</v>
      </c>
      <c r="X919" s="222">
        <f>_xll.qlCalendarAdvance(Calendar,X918,W919,"f",FALSE)</f>
        <v>45252</v>
      </c>
      <c r="Y919" s="227">
        <f>_xll.qlCalendarAdvance(Calendar,X919,NDays&amp;"D")</f>
        <v>45252</v>
      </c>
      <c r="Z919" s="228">
        <v>3.366602993684531E-2</v>
      </c>
      <c r="AA919" s="230">
        <v>3.358451478923552E-2</v>
      </c>
    </row>
    <row r="920" spans="19:27" x14ac:dyDescent="0.2">
      <c r="S920" s="32"/>
      <c r="T920" s="187"/>
      <c r="W920" s="221" t="str">
        <f t="shared" si="23"/>
        <v>1w</v>
      </c>
      <c r="X920" s="222">
        <f>_xll.qlCalendarAdvance(Calendar,X919,W920,"f",FALSE)</f>
        <v>45259</v>
      </c>
      <c r="Y920" s="227">
        <f>_xll.qlCalendarAdvance(Calendar,X920,NDays&amp;"D")</f>
        <v>45259</v>
      </c>
      <c r="Z920" s="228">
        <v>3.3683782139871485E-2</v>
      </c>
      <c r="AA920" s="230">
        <v>3.3602131178054329E-2</v>
      </c>
    </row>
    <row r="921" spans="19:27" x14ac:dyDescent="0.2">
      <c r="S921" s="32"/>
      <c r="T921" s="187"/>
      <c r="W921" s="221" t="str">
        <f t="shared" si="23"/>
        <v>1w</v>
      </c>
      <c r="X921" s="222">
        <f>_xll.qlCalendarAdvance(Calendar,X920,W921,"f",FALSE)</f>
        <v>45266</v>
      </c>
      <c r="Y921" s="227">
        <f>_xll.qlCalendarAdvance(Calendar,X921,NDays&amp;"D")</f>
        <v>45266</v>
      </c>
      <c r="Z921" s="228">
        <v>3.3710067697956328E-2</v>
      </c>
      <c r="AA921" s="230">
        <v>3.361979026513362E-2</v>
      </c>
    </row>
    <row r="922" spans="19:27" x14ac:dyDescent="0.2">
      <c r="S922" s="32"/>
      <c r="T922" s="187"/>
      <c r="W922" s="221" t="str">
        <f t="shared" si="23"/>
        <v>1w</v>
      </c>
      <c r="X922" s="222">
        <f>_xll.qlCalendarAdvance(Calendar,X921,W922,"f",FALSE)</f>
        <v>45273</v>
      </c>
      <c r="Y922" s="227">
        <f>_xll.qlCalendarAdvance(Calendar,X922,NDays&amp;"D")</f>
        <v>45273</v>
      </c>
      <c r="Z922" s="228">
        <v>3.3727919695187611E-2</v>
      </c>
      <c r="AA922" s="230">
        <v>3.3637492050473394E-2</v>
      </c>
    </row>
    <row r="923" spans="19:27" x14ac:dyDescent="0.2">
      <c r="S923" s="32"/>
      <c r="T923" s="187"/>
      <c r="W923" s="221" t="str">
        <f t="shared" si="23"/>
        <v>1w</v>
      </c>
      <c r="X923" s="222">
        <f>_xll.qlCalendarAdvance(Calendar,X922,W923,"f",FALSE)</f>
        <v>45280</v>
      </c>
      <c r="Y923" s="227">
        <f>_xll.qlCalendarAdvance(Calendar,X923,NDays&amp;"D")</f>
        <v>45280</v>
      </c>
      <c r="Z923" s="228">
        <v>3.3745814544876067E-2</v>
      </c>
      <c r="AA923" s="230">
        <v>3.3655236534073651E-2</v>
      </c>
    </row>
    <row r="924" spans="19:27" x14ac:dyDescent="0.2">
      <c r="S924" s="32"/>
      <c r="T924" s="187"/>
      <c r="W924" s="221" t="str">
        <f t="shared" si="23"/>
        <v>1w</v>
      </c>
      <c r="X924" s="222">
        <f>_xll.qlCalendarAdvance(Calendar,X923,W924,"f",FALSE)</f>
        <v>45287</v>
      </c>
      <c r="Y924" s="227">
        <f>_xll.qlCalendarAdvance(Calendar,X924,NDays&amp;"D")</f>
        <v>45287</v>
      </c>
      <c r="Z924" s="228">
        <v>3.3763752247227996E-2</v>
      </c>
      <c r="AA924" s="230">
        <v>3.3673023715934391E-2</v>
      </c>
    </row>
    <row r="925" spans="19:27" x14ac:dyDescent="0.2">
      <c r="S925" s="32"/>
      <c r="T925" s="187"/>
      <c r="W925" s="221" t="str">
        <f t="shared" si="23"/>
        <v>1w</v>
      </c>
      <c r="X925" s="222">
        <f>_xll.qlCalendarAdvance(Calendar,X924,W925,"f",FALSE)</f>
        <v>45294</v>
      </c>
      <c r="Y925" s="227">
        <f>_xll.qlCalendarAdvance(Calendar,X925,NDays&amp;"D")</f>
        <v>45294</v>
      </c>
      <c r="Z925" s="228">
        <v>3.3781732802452155E-2</v>
      </c>
      <c r="AA925" s="230">
        <v>3.3690853596136661E-2</v>
      </c>
    </row>
    <row r="926" spans="19:27" x14ac:dyDescent="0.2">
      <c r="S926" s="32"/>
      <c r="T926" s="187"/>
      <c r="W926" s="221" t="str">
        <f t="shared" si="23"/>
        <v>1w</v>
      </c>
      <c r="X926" s="222">
        <f>_xll.qlCalendarAdvance(Calendar,X925,W926,"f",FALSE)</f>
        <v>45301</v>
      </c>
      <c r="Y926" s="227">
        <f>_xll.qlCalendarAdvance(Calendar,X926,NDays&amp;"D")</f>
        <v>45301</v>
      </c>
      <c r="Z926" s="228">
        <v>3.3799756210754837E-2</v>
      </c>
      <c r="AA926" s="230">
        <v>3.3708726174518366E-2</v>
      </c>
    </row>
    <row r="927" spans="19:27" x14ac:dyDescent="0.2">
      <c r="S927" s="32"/>
      <c r="T927" s="187"/>
      <c r="W927" s="221" t="str">
        <f t="shared" si="23"/>
        <v>1w</v>
      </c>
      <c r="X927" s="222">
        <f>_xll.qlCalendarAdvance(Calendar,X926,W927,"f",FALSE)</f>
        <v>45308</v>
      </c>
      <c r="Y927" s="227">
        <f>_xll.qlCalendarAdvance(Calendar,X927,NDays&amp;"D")</f>
        <v>45308</v>
      </c>
      <c r="Z927" s="228">
        <v>3.3817822472347256E-2</v>
      </c>
      <c r="AA927" s="230">
        <v>3.3726641451241601E-2</v>
      </c>
    </row>
    <row r="928" spans="19:27" x14ac:dyDescent="0.2">
      <c r="S928" s="32"/>
      <c r="T928" s="187"/>
      <c r="W928" s="221" t="str">
        <f t="shared" si="23"/>
        <v>1w</v>
      </c>
      <c r="X928" s="222">
        <f>_xll.qlCalendarAdvance(Calendar,X927,W928,"f",FALSE)</f>
        <v>45315</v>
      </c>
      <c r="Y928" s="227">
        <f>_xll.qlCalendarAdvance(Calendar,X928,NDays&amp;"D")</f>
        <v>45315</v>
      </c>
      <c r="Z928" s="228">
        <v>3.3835931587438174E-2</v>
      </c>
      <c r="AA928" s="230">
        <v>3.3744599426225319E-2</v>
      </c>
    </row>
    <row r="929" spans="19:27" x14ac:dyDescent="0.2">
      <c r="S929" s="32"/>
      <c r="T929" s="187"/>
      <c r="W929" s="221" t="str">
        <f t="shared" si="23"/>
        <v>1w</v>
      </c>
      <c r="X929" s="222">
        <f>_xll.qlCalendarAdvance(Calendar,X928,W929,"f",FALSE)</f>
        <v>45322</v>
      </c>
      <c r="Y929" s="227">
        <f>_xll.qlCalendarAdvance(Calendar,X929,NDays&amp;"D")</f>
        <v>45322</v>
      </c>
      <c r="Z929" s="228">
        <v>3.384261297915634E-2</v>
      </c>
      <c r="AA929" s="230">
        <v>3.3762600099631612E-2</v>
      </c>
    </row>
    <row r="930" spans="19:27" x14ac:dyDescent="0.2">
      <c r="S930" s="32"/>
      <c r="T930" s="187"/>
      <c r="W930" s="221" t="str">
        <f t="shared" si="23"/>
        <v>1w</v>
      </c>
      <c r="X930" s="222">
        <f>_xll.qlCalendarAdvance(Calendar,X929,W930,"f",FALSE)</f>
        <v>45329</v>
      </c>
      <c r="Y930" s="227">
        <f>_xll.qlCalendarAdvance(Calendar,X930,NDays&amp;"D")</f>
        <v>45329</v>
      </c>
      <c r="Z930" s="228">
        <v>3.3860788822835941E-2</v>
      </c>
      <c r="AA930" s="230">
        <v>3.3780643471298388E-2</v>
      </c>
    </row>
    <row r="931" spans="19:27" x14ac:dyDescent="0.2">
      <c r="S931" s="32"/>
      <c r="T931" s="187"/>
      <c r="W931" s="221" t="str">
        <f t="shared" si="23"/>
        <v>1w</v>
      </c>
      <c r="X931" s="222">
        <f>_xll.qlCalendarAdvance(Calendar,X930,W931,"f",FALSE)</f>
        <v>45336</v>
      </c>
      <c r="Y931" s="227">
        <f>_xll.qlCalendarAdvance(Calendar,X931,NDays&amp;"D")</f>
        <v>45336</v>
      </c>
      <c r="Z931" s="228">
        <v>3.3879007501084683E-2</v>
      </c>
      <c r="AA931" s="230">
        <v>3.3798729541225647E-2</v>
      </c>
    </row>
    <row r="932" spans="19:27" x14ac:dyDescent="0.2">
      <c r="S932" s="32"/>
      <c r="T932" s="187"/>
      <c r="W932" s="221" t="str">
        <f t="shared" si="23"/>
        <v>1w</v>
      </c>
      <c r="X932" s="222">
        <f>_xll.qlCalendarAdvance(Calendar,X931,W932,"f",FALSE)</f>
        <v>45343</v>
      </c>
      <c r="Y932" s="227">
        <f>_xll.qlCalendarAdvance(Calendar,X932,NDays&amp;"D")</f>
        <v>45343</v>
      </c>
      <c r="Z932" s="228">
        <v>3.3897269014092624E-2</v>
      </c>
      <c r="AA932" s="230">
        <v>3.3816858309494435E-2</v>
      </c>
    </row>
    <row r="933" spans="19:27" x14ac:dyDescent="0.2">
      <c r="S933" s="32"/>
      <c r="T933" s="187"/>
      <c r="W933" s="221" t="str">
        <f t="shared" si="23"/>
        <v>1w</v>
      </c>
      <c r="X933" s="222">
        <f>_xll.qlCalendarAdvance(Calendar,X932,W933,"f",FALSE)</f>
        <v>45350</v>
      </c>
      <c r="Y933" s="227">
        <f>_xll.qlCalendarAdvance(Calendar,X933,NDays&amp;"D")</f>
        <v>45350</v>
      </c>
      <c r="Z933" s="228">
        <v>3.3915573362041401E-2</v>
      </c>
      <c r="AA933" s="230">
        <v>3.3835029776185799E-2</v>
      </c>
    </row>
    <row r="934" spans="19:27" x14ac:dyDescent="0.2">
      <c r="S934" s="32"/>
      <c r="T934" s="187"/>
      <c r="W934" s="221" t="str">
        <f t="shared" si="23"/>
        <v>1w</v>
      </c>
      <c r="X934" s="222">
        <f>_xll.qlCalendarAdvance(Calendar,X933,W934,"f",FALSE)</f>
        <v>45357</v>
      </c>
      <c r="Y934" s="227">
        <f>_xll.qlCalendarAdvance(Calendar,X934,NDays&amp;"D")</f>
        <v>45357</v>
      </c>
      <c r="Z934" s="228">
        <v>3.3945486213225851E-2</v>
      </c>
      <c r="AA934" s="230">
        <v>3.3853243941137645E-2</v>
      </c>
    </row>
    <row r="935" spans="19:27" x14ac:dyDescent="0.2">
      <c r="S935" s="32"/>
      <c r="T935" s="187"/>
      <c r="W935" s="221" t="str">
        <f t="shared" si="23"/>
        <v>1w</v>
      </c>
      <c r="X935" s="222">
        <f>_xll.qlCalendarAdvance(Calendar,X934,W935,"f",FALSE)</f>
        <v>45364</v>
      </c>
      <c r="Y935" s="227">
        <f>_xll.qlCalendarAdvance(Calendar,X935,NDays&amp;"D")</f>
        <v>45364</v>
      </c>
      <c r="Z935" s="228">
        <v>3.3963895308705409E-2</v>
      </c>
      <c r="AA935" s="230">
        <v>3.3871500804431021E-2</v>
      </c>
    </row>
    <row r="936" spans="19:27" x14ac:dyDescent="0.2">
      <c r="S936" s="32"/>
      <c r="T936" s="187"/>
      <c r="W936" s="221" t="str">
        <f t="shared" si="23"/>
        <v>1w</v>
      </c>
      <c r="X936" s="222">
        <f>_xll.qlCalendarAdvance(Calendar,X935,W936,"f",FALSE)</f>
        <v>45371</v>
      </c>
      <c r="Y936" s="227">
        <f>_xll.qlCalendarAdvance(Calendar,X936,NDays&amp;"D")</f>
        <v>45371</v>
      </c>
      <c r="Z936" s="228">
        <v>3.3982347259373151E-2</v>
      </c>
      <c r="AA936" s="230">
        <v>3.3889800366146972E-2</v>
      </c>
    </row>
    <row r="937" spans="19:27" x14ac:dyDescent="0.2">
      <c r="S937" s="32"/>
      <c r="T937" s="187"/>
      <c r="W937" s="221" t="str">
        <f t="shared" si="23"/>
        <v>1w</v>
      </c>
      <c r="X937" s="222">
        <f>_xll.qlCalendarAdvance(Calendar,X936,W937,"f",FALSE)</f>
        <v>45378</v>
      </c>
      <c r="Y937" s="227">
        <f>_xll.qlCalendarAdvance(Calendar,X937,NDays&amp;"D")</f>
        <v>45378</v>
      </c>
      <c r="Z937" s="228">
        <v>3.4000842065447665E-2</v>
      </c>
      <c r="AA937" s="230">
        <v>3.3908142626123405E-2</v>
      </c>
    </row>
    <row r="938" spans="19:27" x14ac:dyDescent="0.2">
      <c r="S938" s="32"/>
      <c r="T938" s="187"/>
      <c r="W938" s="221" t="str">
        <f t="shared" si="23"/>
        <v>1w</v>
      </c>
      <c r="X938" s="222">
        <f>_xll.qlCalendarAdvance(Calendar,X937,W938,"f",FALSE)</f>
        <v>45385</v>
      </c>
      <c r="Y938" s="227">
        <f>_xll.qlCalendarAdvance(Calendar,X938,NDays&amp;"D")</f>
        <v>45385</v>
      </c>
      <c r="Z938" s="228">
        <v>3.4010647201196884E-2</v>
      </c>
      <c r="AA938" s="230">
        <v>3.3926527584441368E-2</v>
      </c>
    </row>
    <row r="939" spans="19:27" x14ac:dyDescent="0.2">
      <c r="S939" s="32"/>
      <c r="T939" s="187"/>
      <c r="W939" s="221" t="str">
        <f t="shared" si="23"/>
        <v>1w</v>
      </c>
      <c r="X939" s="222">
        <f>_xll.qlCalendarAdvance(Calendar,X938,W939,"f",FALSE)</f>
        <v>45392</v>
      </c>
      <c r="Y939" s="227">
        <f>_xll.qlCalendarAdvance(Calendar,X939,NDays&amp;"D")</f>
        <v>45392</v>
      </c>
      <c r="Z939" s="228">
        <v>3.4029213350429896E-2</v>
      </c>
      <c r="AA939" s="230">
        <v>3.3944955241262953E-2</v>
      </c>
    </row>
    <row r="940" spans="19:27" x14ac:dyDescent="0.2">
      <c r="S940" s="32"/>
      <c r="T940" s="187"/>
      <c r="W940" s="221" t="str">
        <f t="shared" si="23"/>
        <v>1w</v>
      </c>
      <c r="X940" s="222">
        <f>_xll.qlCalendarAdvance(Calendar,X939,W940,"f",FALSE)</f>
        <v>45399</v>
      </c>
      <c r="Y940" s="227">
        <f>_xll.qlCalendarAdvance(Calendar,X940,NDays&amp;"D")</f>
        <v>45399</v>
      </c>
      <c r="Z940" s="228">
        <v>3.4047822340864717E-2</v>
      </c>
      <c r="AA940" s="230">
        <v>3.3963425596426067E-2</v>
      </c>
    </row>
    <row r="941" spans="19:27" x14ac:dyDescent="0.2">
      <c r="S941" s="32"/>
      <c r="T941" s="187"/>
      <c r="W941" s="221" t="str">
        <f t="shared" si="23"/>
        <v>1w</v>
      </c>
      <c r="X941" s="222">
        <f>_xll.qlCalendarAdvance(Calendar,X940,W941,"f",FALSE)</f>
        <v>45406</v>
      </c>
      <c r="Y941" s="227">
        <f>_xll.qlCalendarAdvance(Calendar,X941,NDays&amp;"D")</f>
        <v>45406</v>
      </c>
      <c r="Z941" s="228">
        <v>3.4066474172695857E-2</v>
      </c>
      <c r="AA941" s="230">
        <v>3.3981938649849663E-2</v>
      </c>
    </row>
    <row r="942" spans="19:27" x14ac:dyDescent="0.2">
      <c r="S942" s="32"/>
      <c r="T942" s="187"/>
      <c r="W942" s="221" t="str">
        <f t="shared" si="23"/>
        <v>1w</v>
      </c>
      <c r="X942" s="222">
        <f>_xll.qlCalendarAdvance(Calendar,X941,W942,"f",FALSE)</f>
        <v>45413</v>
      </c>
      <c r="Y942" s="227">
        <f>_xll.qlCalendarAdvance(Calendar,X942,NDays&amp;"D")</f>
        <v>45413</v>
      </c>
      <c r="Z942" s="228">
        <v>3.4093958934382863E-2</v>
      </c>
      <c r="AA942" s="230">
        <v>3.4000494401776882E-2</v>
      </c>
    </row>
    <row r="943" spans="19:27" x14ac:dyDescent="0.2">
      <c r="S943" s="32"/>
      <c r="T943" s="187"/>
      <c r="W943" s="221" t="str">
        <f t="shared" si="23"/>
        <v>1w</v>
      </c>
      <c r="X943" s="222">
        <f>_xll.qlCalendarAdvance(Calendar,X942,W943,"f",FALSE)</f>
        <v>45420</v>
      </c>
      <c r="Y943" s="227">
        <f>_xll.qlCalendarAdvance(Calendar,X943,NDays&amp;"D")</f>
        <v>45420</v>
      </c>
      <c r="Z943" s="228">
        <v>3.4112710877392351E-2</v>
      </c>
      <c r="AA943" s="230">
        <v>3.4019092852045629E-2</v>
      </c>
    </row>
    <row r="944" spans="19:27" x14ac:dyDescent="0.2">
      <c r="S944" s="32"/>
      <c r="T944" s="187"/>
      <c r="W944" s="221" t="str">
        <f t="shared" si="23"/>
        <v>1w</v>
      </c>
      <c r="X944" s="222">
        <f>_xll.qlCalendarAdvance(Calendar,X943,W944,"f",FALSE)</f>
        <v>45427</v>
      </c>
      <c r="Y944" s="227">
        <f>_xll.qlCalendarAdvance(Calendar,X944,NDays&amp;"D")</f>
        <v>45427</v>
      </c>
      <c r="Z944" s="228">
        <v>3.4131505677319013E-2</v>
      </c>
      <c r="AA944" s="230">
        <v>3.4037734000817998E-2</v>
      </c>
    </row>
    <row r="945" spans="19:27" x14ac:dyDescent="0.2">
      <c r="S945" s="32"/>
      <c r="T945" s="187"/>
      <c r="W945" s="221" t="str">
        <f t="shared" si="23"/>
        <v>1w</v>
      </c>
      <c r="X945" s="222">
        <f>_xll.qlCalendarAdvance(Calendar,X944,W945,"f",FALSE)</f>
        <v>45434</v>
      </c>
      <c r="Y945" s="227">
        <f>_xll.qlCalendarAdvance(Calendar,X945,NDays&amp;"D")</f>
        <v>45434</v>
      </c>
      <c r="Z945" s="228">
        <v>3.4150343334374056E-2</v>
      </c>
      <c r="AA945" s="230">
        <v>3.4056417847931897E-2</v>
      </c>
    </row>
    <row r="946" spans="19:27" x14ac:dyDescent="0.2">
      <c r="S946" s="32"/>
      <c r="T946" s="187"/>
      <c r="W946" s="221" t="str">
        <f t="shared" si="23"/>
        <v>1w</v>
      </c>
      <c r="X946" s="222">
        <f>_xll.qlCalendarAdvance(Calendar,X945,W946,"f",FALSE)</f>
        <v>45441</v>
      </c>
      <c r="Y946" s="227">
        <f>_xll.qlCalendarAdvance(Calendar,X946,NDays&amp;"D")</f>
        <v>45441</v>
      </c>
      <c r="Z946" s="228">
        <v>3.4160375946704367E-2</v>
      </c>
      <c r="AA946" s="230">
        <v>3.4075144393387324E-2</v>
      </c>
    </row>
    <row r="947" spans="19:27" x14ac:dyDescent="0.2">
      <c r="S947" s="32"/>
      <c r="T947" s="187"/>
      <c r="W947" s="221" t="str">
        <f t="shared" si="23"/>
        <v>1w</v>
      </c>
      <c r="X947" s="222">
        <f>_xll.qlCalendarAdvance(Calendar,X946,W947,"f",FALSE)</f>
        <v>45448</v>
      </c>
      <c r="Y947" s="227">
        <f>_xll.qlCalendarAdvance(Calendar,X947,NDays&amp;"D")</f>
        <v>45448</v>
      </c>
      <c r="Z947" s="228">
        <v>3.4179278185808279E-2</v>
      </c>
      <c r="AA947" s="230">
        <v>3.4093913637346374E-2</v>
      </c>
    </row>
    <row r="948" spans="19:27" x14ac:dyDescent="0.2">
      <c r="S948" s="32"/>
      <c r="T948" s="187"/>
      <c r="W948" s="221" t="str">
        <f t="shared" si="23"/>
        <v>1w</v>
      </c>
      <c r="X948" s="222">
        <f>_xll.qlCalendarAdvance(Calendar,X947,W948,"f",FALSE)</f>
        <v>45455</v>
      </c>
      <c r="Y948" s="227">
        <f>_xll.qlCalendarAdvance(Calendar,X948,NDays&amp;"D")</f>
        <v>45455</v>
      </c>
      <c r="Z948" s="228">
        <v>3.4198192681254867E-2</v>
      </c>
      <c r="AA948" s="230">
        <v>3.4112725579727998E-2</v>
      </c>
    </row>
    <row r="949" spans="19:27" x14ac:dyDescent="0.2">
      <c r="S949" s="32"/>
      <c r="T949" s="187"/>
      <c r="W949" s="221" t="str">
        <f t="shared" si="23"/>
        <v>1w</v>
      </c>
      <c r="X949" s="222">
        <f>_xll.qlCalendarAdvance(Calendar,X948,W949,"f",FALSE)</f>
        <v>45462</v>
      </c>
      <c r="Y949" s="227">
        <f>_xll.qlCalendarAdvance(Calendar,X949,NDays&amp;"D")</f>
        <v>45462</v>
      </c>
      <c r="Z949" s="228">
        <v>3.4217092669930491E-2</v>
      </c>
      <c r="AA949" s="230">
        <v>3.4131580220613245E-2</v>
      </c>
    </row>
    <row r="950" spans="19:27" x14ac:dyDescent="0.2">
      <c r="S950" s="32"/>
      <c r="T950" s="187"/>
      <c r="W950" s="221" t="str">
        <f t="shared" si="23"/>
        <v>1w</v>
      </c>
      <c r="X950" s="222">
        <f>_xll.qlCalendarAdvance(Calendar,X949,W950,"f",FALSE)</f>
        <v>45469</v>
      </c>
      <c r="Y950" s="227">
        <f>_xll.qlCalendarAdvance(Calendar,X950,NDays&amp;"D")</f>
        <v>45469</v>
      </c>
      <c r="Z950" s="228">
        <v>3.4235951388570204E-2</v>
      </c>
      <c r="AA950" s="230">
        <v>3.415047755984002E-2</v>
      </c>
    </row>
    <row r="951" spans="19:27" x14ac:dyDescent="0.2">
      <c r="S951" s="32"/>
      <c r="T951" s="187"/>
      <c r="W951" s="221" t="str">
        <f t="shared" si="23"/>
        <v>1w</v>
      </c>
      <c r="X951" s="222">
        <f>_xll.qlCalendarAdvance(Calendar,X950,W951,"f",FALSE)</f>
        <v>45476</v>
      </c>
      <c r="Y951" s="227">
        <f>_xll.qlCalendarAdvance(Calendar,X951,NDays&amp;"D")</f>
        <v>45476</v>
      </c>
      <c r="Z951" s="228">
        <v>3.4263570360643897E-2</v>
      </c>
      <c r="AA951" s="230">
        <v>3.4169368184868709E-2</v>
      </c>
    </row>
    <row r="952" spans="19:27" x14ac:dyDescent="0.2">
      <c r="S952" s="32"/>
      <c r="T952" s="187"/>
      <c r="W952" s="221" t="str">
        <f t="shared" si="23"/>
        <v>1w</v>
      </c>
      <c r="X952" s="222">
        <f>_xll.qlCalendarAdvance(Calendar,X951,W952,"f",FALSE)</f>
        <v>45483</v>
      </c>
      <c r="Y952" s="227">
        <f>_xll.qlCalendarAdvance(Calendar,X952,NDays&amp;"D")</f>
        <v>45483</v>
      </c>
      <c r="Z952" s="228">
        <v>3.4282281874730515E-2</v>
      </c>
      <c r="AA952" s="230">
        <v>3.4188187509188728E-2</v>
      </c>
    </row>
    <row r="953" spans="19:27" x14ac:dyDescent="0.2">
      <c r="S953" s="32"/>
      <c r="T953" s="187"/>
      <c r="W953" s="221" t="str">
        <f t="shared" si="23"/>
        <v>1w</v>
      </c>
      <c r="X953" s="222">
        <f>_xll.qlCalendarAdvance(Calendar,X952,W953,"f",FALSE)</f>
        <v>45490</v>
      </c>
      <c r="Y953" s="227">
        <f>_xll.qlCalendarAdvance(Calendar,X953,NDays&amp;"D")</f>
        <v>45490</v>
      </c>
      <c r="Z953" s="228">
        <v>3.4300921513952053E-2</v>
      </c>
      <c r="AA953" s="230">
        <v>3.4206935143615835E-2</v>
      </c>
    </row>
    <row r="954" spans="19:27" x14ac:dyDescent="0.2">
      <c r="S954" s="32"/>
      <c r="T954" s="187"/>
      <c r="W954" s="221" t="str">
        <f t="shared" si="23"/>
        <v>1w</v>
      </c>
      <c r="X954" s="222">
        <f>_xll.qlCalendarAdvance(Calendar,X953,W954,"f",FALSE)</f>
        <v>45497</v>
      </c>
      <c r="Y954" s="227">
        <f>_xll.qlCalendarAdvance(Calendar,X954,NDays&amp;"D")</f>
        <v>45497</v>
      </c>
      <c r="Z954" s="228">
        <v>3.4322420669994712E-2</v>
      </c>
      <c r="AA954" s="230">
        <v>3.4225611088150032E-2</v>
      </c>
    </row>
    <row r="955" spans="19:27" x14ac:dyDescent="0.2">
      <c r="S955" s="32"/>
      <c r="T955" s="187"/>
      <c r="W955" s="221" t="str">
        <f t="shared" si="23"/>
        <v>1w</v>
      </c>
      <c r="X955" s="222">
        <f>_xll.qlCalendarAdvance(Calendar,X954,W955,"f",FALSE)</f>
        <v>45504</v>
      </c>
      <c r="Y955" s="227">
        <f>_xll.qlCalendarAdvance(Calendar,X955,NDays&amp;"D")</f>
        <v>45504</v>
      </c>
      <c r="Z955" s="228">
        <v>3.4329200336967035E-2</v>
      </c>
      <c r="AA955" s="230">
        <v>3.4244215342791318E-2</v>
      </c>
    </row>
    <row r="956" spans="19:27" x14ac:dyDescent="0.2">
      <c r="S956" s="32"/>
      <c r="T956" s="187"/>
      <c r="W956" s="221" t="str">
        <f t="shared" si="23"/>
        <v>1w</v>
      </c>
      <c r="X956" s="222">
        <f>_xll.qlCalendarAdvance(Calendar,X955,W956,"f",FALSE)</f>
        <v>45511</v>
      </c>
      <c r="Y956" s="227">
        <f>_xll.qlCalendarAdvance(Calendar,X956,NDays&amp;"D")</f>
        <v>45511</v>
      </c>
      <c r="Z956" s="228">
        <v>3.4356409178806085E-2</v>
      </c>
      <c r="AA956" s="230">
        <v>3.4262747907620739E-2</v>
      </c>
    </row>
    <row r="957" spans="19:27" x14ac:dyDescent="0.2">
      <c r="S957" s="32"/>
      <c r="T957" s="187"/>
      <c r="W957" s="221" t="str">
        <f t="shared" si="23"/>
        <v>1w</v>
      </c>
      <c r="X957" s="222">
        <f>_xll.qlCalendarAdvance(Calendar,X956,W957,"f",FALSE)</f>
        <v>45518</v>
      </c>
      <c r="Y957" s="227">
        <f>_xll.qlCalendarAdvance(Calendar,X957,NDays&amp;"D")</f>
        <v>45518</v>
      </c>
      <c r="Z957" s="228">
        <v>3.437476131495705E-2</v>
      </c>
      <c r="AA957" s="230">
        <v>3.4281208782395156E-2</v>
      </c>
    </row>
    <row r="958" spans="19:27" x14ac:dyDescent="0.2">
      <c r="S958" s="32"/>
      <c r="T958" s="187"/>
      <c r="W958" s="221" t="str">
        <f t="shared" si="23"/>
        <v>1w</v>
      </c>
      <c r="X958" s="222">
        <f>_xll.qlCalendarAdvance(Calendar,X957,W958,"f",FALSE)</f>
        <v>45525</v>
      </c>
      <c r="Y958" s="227">
        <f>_xll.qlCalendarAdvance(Calendar,X958,NDays&amp;"D")</f>
        <v>45525</v>
      </c>
      <c r="Z958" s="228">
        <v>3.4393041574445171E-2</v>
      </c>
      <c r="AA958" s="230">
        <v>3.4299597967357709E-2</v>
      </c>
    </row>
    <row r="959" spans="19:27" x14ac:dyDescent="0.2">
      <c r="S959" s="32"/>
      <c r="T959" s="187"/>
      <c r="W959" s="221" t="str">
        <f t="shared" si="23"/>
        <v>1w</v>
      </c>
      <c r="X959" s="222">
        <f>_xll.qlCalendarAdvance(Calendar,X958,W959,"f",FALSE)</f>
        <v>45532</v>
      </c>
      <c r="Y959" s="227">
        <f>_xll.qlCalendarAdvance(Calendar,X959,NDays&amp;"D")</f>
        <v>45532</v>
      </c>
      <c r="Z959" s="228">
        <v>3.4411249956911881E-2</v>
      </c>
      <c r="AA959" s="230">
        <v>3.4317915462427351E-2</v>
      </c>
    </row>
    <row r="960" spans="19:27" x14ac:dyDescent="0.2">
      <c r="S960" s="32"/>
      <c r="T960" s="187"/>
      <c r="W960" s="221" t="str">
        <f t="shared" si="23"/>
        <v>1w</v>
      </c>
      <c r="X960" s="222">
        <f>_xll.qlCalendarAdvance(Calendar,X959,W960,"f",FALSE)</f>
        <v>45539</v>
      </c>
      <c r="Y960" s="227">
        <f>_xll.qlCalendarAdvance(Calendar,X960,NDays&amp;"D")</f>
        <v>45539</v>
      </c>
      <c r="Z960" s="228">
        <v>3.4420652837960773E-2</v>
      </c>
      <c r="AA960" s="230">
        <v>3.4336161267441989E-2</v>
      </c>
    </row>
    <row r="961" spans="19:27" x14ac:dyDescent="0.2">
      <c r="S961" s="32"/>
      <c r="T961" s="187"/>
      <c r="W961" s="221" t="str">
        <f t="shared" si="23"/>
        <v>1w</v>
      </c>
      <c r="X961" s="222">
        <f>_xll.qlCalendarAdvance(Calendar,X960,W961,"f",FALSE)</f>
        <v>45546</v>
      </c>
      <c r="Y961" s="227">
        <f>_xll.qlCalendarAdvance(Calendar,X961,NDays&amp;"D")</f>
        <v>45546</v>
      </c>
      <c r="Z961" s="228">
        <v>3.4438727759342647E-2</v>
      </c>
      <c r="AA961" s="230">
        <v>3.4354335382563717E-2</v>
      </c>
    </row>
    <row r="962" spans="19:27" x14ac:dyDescent="0.2">
      <c r="S962" s="32"/>
      <c r="T962" s="187"/>
      <c r="W962" s="221" t="str">
        <f t="shared" si="23"/>
        <v>1w</v>
      </c>
      <c r="X962" s="222">
        <f>_xll.qlCalendarAdvance(Calendar,X961,W962,"f",FALSE)</f>
        <v>45553</v>
      </c>
      <c r="Y962" s="227">
        <f>_xll.qlCalendarAdvance(Calendar,X962,NDays&amp;"D")</f>
        <v>45553</v>
      </c>
      <c r="Z962" s="228">
        <v>3.4456730820366974E-2</v>
      </c>
      <c r="AA962" s="230">
        <v>3.4372437807711487E-2</v>
      </c>
    </row>
    <row r="963" spans="19:27" x14ac:dyDescent="0.2">
      <c r="S963" s="32"/>
      <c r="T963" s="187"/>
      <c r="W963" s="221" t="str">
        <f t="shared" si="23"/>
        <v>1w</v>
      </c>
      <c r="X963" s="222">
        <f>_xll.qlCalendarAdvance(Calendar,X962,W963,"f",FALSE)</f>
        <v>45560</v>
      </c>
      <c r="Y963" s="227">
        <f>_xll.qlCalendarAdvance(Calendar,X963,NDays&amp;"D")</f>
        <v>45560</v>
      </c>
      <c r="Z963" s="228">
        <v>3.4474662020720359E-2</v>
      </c>
      <c r="AA963" s="230">
        <v>3.43904685428853E-2</v>
      </c>
    </row>
    <row r="964" spans="19:27" x14ac:dyDescent="0.2">
      <c r="S964" s="32"/>
      <c r="T964" s="187"/>
      <c r="W964" s="221" t="str">
        <f t="shared" si="23"/>
        <v>1w</v>
      </c>
      <c r="X964" s="222">
        <f>_xll.qlCalendarAdvance(Calendar,X963,W964,"f",FALSE)</f>
        <v>45567</v>
      </c>
      <c r="Y964" s="227">
        <f>_xll.qlCalendarAdvance(Calendar,X964,NDays&amp;"D")</f>
        <v>45567</v>
      </c>
      <c r="Z964" s="228">
        <v>3.4501213701627453E-2</v>
      </c>
      <c r="AA964" s="230">
        <v>3.4408427588085155E-2</v>
      </c>
    </row>
    <row r="965" spans="19:27" x14ac:dyDescent="0.2">
      <c r="S965" s="32"/>
      <c r="T965" s="187"/>
      <c r="W965" s="221" t="str">
        <f t="shared" si="23"/>
        <v>1w</v>
      </c>
      <c r="X965" s="222">
        <f>_xll.qlCalendarAdvance(Calendar,X964,W965,"f",FALSE)</f>
        <v>45574</v>
      </c>
      <c r="Y965" s="227">
        <f>_xll.qlCalendarAdvance(Calendar,X965,NDays&amp;"D")</f>
        <v>45574</v>
      </c>
      <c r="Z965" s="228">
        <v>3.4518990814600345E-2</v>
      </c>
      <c r="AA965" s="230">
        <v>3.4426314943311054E-2</v>
      </c>
    </row>
    <row r="966" spans="19:27" x14ac:dyDescent="0.2">
      <c r="S966" s="32"/>
      <c r="T966" s="187"/>
      <c r="W966" s="221" t="str">
        <f t="shared" si="23"/>
        <v>1w</v>
      </c>
      <c r="X966" s="222">
        <f>_xll.qlCalendarAdvance(Calendar,X965,W966,"f",FALSE)</f>
        <v>45581</v>
      </c>
      <c r="Y966" s="227">
        <f>_xll.qlCalendarAdvance(Calendar,X966,NDays&amp;"D")</f>
        <v>45581</v>
      </c>
      <c r="Z966" s="228">
        <v>3.4536696048103256E-2</v>
      </c>
      <c r="AA966" s="230">
        <v>3.4444130608481949E-2</v>
      </c>
    </row>
    <row r="967" spans="19:27" x14ac:dyDescent="0.2">
      <c r="S967" s="32"/>
      <c r="T967" s="187"/>
      <c r="W967" s="221" t="str">
        <f t="shared" si="23"/>
        <v>1w</v>
      </c>
      <c r="X967" s="222">
        <f>_xll.qlCalendarAdvance(Calendar,X966,W967,"f",FALSE)</f>
        <v>45588</v>
      </c>
      <c r="Y967" s="227">
        <f>_xll.qlCalendarAdvance(Calendar,X967,NDays&amp;"D")</f>
        <v>45588</v>
      </c>
      <c r="Z967" s="228">
        <v>3.4554329401792344E-2</v>
      </c>
      <c r="AA967" s="230">
        <v>3.446187458359784E-2</v>
      </c>
    </row>
    <row r="968" spans="19:27" x14ac:dyDescent="0.2">
      <c r="S968" s="32"/>
      <c r="T968" s="187"/>
      <c r="W968" s="221" t="str">
        <f t="shared" si="23"/>
        <v>1w</v>
      </c>
      <c r="X968" s="222">
        <f>_xll.qlCalendarAdvance(Calendar,X967,W968,"f",FALSE)</f>
        <v>45595</v>
      </c>
      <c r="Y968" s="227">
        <f>_xll.qlCalendarAdvance(Calendar,X968,NDays&amp;"D")</f>
        <v>45595</v>
      </c>
      <c r="Z968" s="228">
        <v>3.4563240101352408E-2</v>
      </c>
      <c r="AA968" s="230">
        <v>3.4479546868820821E-2</v>
      </c>
    </row>
    <row r="969" spans="19:27" x14ac:dyDescent="0.2">
      <c r="S969" s="32"/>
      <c r="T969" s="187"/>
      <c r="W969" s="221" t="str">
        <f t="shared" si="23"/>
        <v>1w</v>
      </c>
      <c r="X969" s="222">
        <f>_xll.qlCalendarAdvance(Calendar,X968,W969,"f",FALSE)</f>
        <v>45602</v>
      </c>
      <c r="Y969" s="227">
        <f>_xll.qlCalendarAdvance(Calendar,X969,NDays&amp;"D")</f>
        <v>45602</v>
      </c>
      <c r="Z969" s="228">
        <v>3.4580740131061424E-2</v>
      </c>
      <c r="AA969" s="230">
        <v>3.4497147463907751E-2</v>
      </c>
    </row>
    <row r="970" spans="19:27" x14ac:dyDescent="0.2">
      <c r="S970" s="32"/>
      <c r="T970" s="187"/>
      <c r="W970" s="221" t="str">
        <f t="shared" si="23"/>
        <v>1w</v>
      </c>
      <c r="X970" s="222">
        <f>_xll.qlCalendarAdvance(Calendar,X969,W970,"f",FALSE)</f>
        <v>45609</v>
      </c>
      <c r="Y970" s="227">
        <f>_xll.qlCalendarAdvance(Calendar,X970,NDays&amp;"D")</f>
        <v>45609</v>
      </c>
      <c r="Z970" s="228">
        <v>3.4598168297903152E-2</v>
      </c>
      <c r="AA970" s="230">
        <v>3.4514676368939678E-2</v>
      </c>
    </row>
    <row r="971" spans="19:27" x14ac:dyDescent="0.2">
      <c r="S971" s="32"/>
      <c r="T971" s="187"/>
      <c r="W971" s="221" t="str">
        <f t="shared" si="23"/>
        <v>1w</v>
      </c>
      <c r="X971" s="222">
        <f>_xll.qlCalendarAdvance(Calendar,X970,W971,"f",FALSE)</f>
        <v>45616</v>
      </c>
      <c r="Y971" s="227">
        <f>_xll.qlCalendarAdvance(Calendar,X971,NDays&amp;"D")</f>
        <v>45616</v>
      </c>
      <c r="Z971" s="228">
        <v>3.4615524601572321E-2</v>
      </c>
      <c r="AA971" s="230">
        <v>3.4532133583997648E-2</v>
      </c>
    </row>
    <row r="972" spans="19:27" x14ac:dyDescent="0.2">
      <c r="S972" s="32"/>
      <c r="T972" s="187"/>
      <c r="W972" s="221" t="str">
        <f t="shared" si="23"/>
        <v>1w</v>
      </c>
      <c r="X972" s="222">
        <f>_xll.qlCalendarAdvance(Calendar,X971,W972,"f",FALSE)</f>
        <v>45623</v>
      </c>
      <c r="Y972" s="227">
        <f>_xll.qlCalendarAdvance(Calendar,X972,NDays&amp;"D")</f>
        <v>45623</v>
      </c>
      <c r="Z972" s="228">
        <v>3.4632809041763656E-2</v>
      </c>
      <c r="AA972" s="230">
        <v>3.4549519108919569E-2</v>
      </c>
    </row>
    <row r="973" spans="19:27" x14ac:dyDescent="0.2">
      <c r="S973" s="32"/>
      <c r="T973" s="187"/>
      <c r="W973" s="221" t="str">
        <f t="shared" si="23"/>
        <v>1w</v>
      </c>
      <c r="X973" s="222">
        <f>_xll.qlCalendarAdvance(Calendar,X972,W973,"f",FALSE)</f>
        <v>45630</v>
      </c>
      <c r="Y973" s="227">
        <f>_xll.qlCalendarAdvance(Calendar,X973,NDays&amp;"D")</f>
        <v>45630</v>
      </c>
      <c r="Z973" s="228">
        <v>3.4658620028803114E-2</v>
      </c>
      <c r="AA973" s="230">
        <v>3.4566832943786485E-2</v>
      </c>
    </row>
    <row r="974" spans="19:27" x14ac:dyDescent="0.2">
      <c r="S974" s="32"/>
      <c r="T974" s="187"/>
      <c r="W974" s="221" t="str">
        <f t="shared" si="23"/>
        <v>1w</v>
      </c>
      <c r="X974" s="222">
        <f>_xll.qlCalendarAdvance(Calendar,X973,W974,"f",FALSE)</f>
        <v>45637</v>
      </c>
      <c r="Y974" s="227">
        <f>_xll.qlCalendarAdvance(Calendar,X974,NDays&amp;"D")</f>
        <v>45637</v>
      </c>
      <c r="Z974" s="228">
        <v>3.4675750214295878E-2</v>
      </c>
      <c r="AA974" s="230">
        <v>3.4584075088598398E-2</v>
      </c>
    </row>
    <row r="975" spans="19:27" x14ac:dyDescent="0.2">
      <c r="S975" s="32"/>
      <c r="T975" s="187"/>
      <c r="W975" s="221" t="str">
        <f t="shared" si="23"/>
        <v>1w</v>
      </c>
      <c r="X975" s="222">
        <f>_xll.qlCalendarAdvance(Calendar,X974,W975,"f",FALSE)</f>
        <v>45644</v>
      </c>
      <c r="Y975" s="227">
        <f>_xll.qlCalendarAdvance(Calendar,X975,NDays&amp;"D")</f>
        <v>45644</v>
      </c>
      <c r="Z975" s="228">
        <v>3.4692808517273271E-2</v>
      </c>
      <c r="AA975" s="230">
        <v>3.4601245543274262E-2</v>
      </c>
    </row>
    <row r="976" spans="19:27" x14ac:dyDescent="0.2">
      <c r="S976" s="32"/>
      <c r="T976" s="187"/>
      <c r="W976" s="221" t="str">
        <f t="shared" si="23"/>
        <v>1w</v>
      </c>
      <c r="X976" s="222">
        <f>_xll.qlCalendarAdvance(Calendar,X975,W976,"f",FALSE)</f>
        <v>45653</v>
      </c>
      <c r="Y976" s="227">
        <f>_xll.qlCalendarAdvance(Calendar,X976,NDays&amp;"D")</f>
        <v>45653</v>
      </c>
      <c r="Z976" s="228">
        <v>3.4708925983264541E-2</v>
      </c>
      <c r="AA976" s="230">
        <v>3.4628934775180475E-2</v>
      </c>
    </row>
    <row r="977" spans="19:27" x14ac:dyDescent="0.2">
      <c r="S977" s="32"/>
      <c r="T977" s="187"/>
      <c r="W977" s="221" t="str">
        <f t="shared" si="23"/>
        <v>1w</v>
      </c>
      <c r="X977" s="222">
        <f>_xll.qlCalendarAdvance(Calendar,X976,W977,"f",FALSE)</f>
        <v>45660</v>
      </c>
      <c r="Y977" s="227">
        <f>_xll.qlCalendarAdvance(Calendar,X977,NDays&amp;"D")</f>
        <v>45660</v>
      </c>
      <c r="Z977" s="228">
        <v>3.4725827040476893E-2</v>
      </c>
      <c r="AA977" s="230">
        <v>3.4645934350959383E-2</v>
      </c>
    </row>
    <row r="978" spans="19:27" x14ac:dyDescent="0.2">
      <c r="S978" s="32"/>
      <c r="T978" s="187"/>
      <c r="W978" s="221" t="str">
        <f t="shared" si="23"/>
        <v>1w</v>
      </c>
      <c r="X978" s="222">
        <f>_xll.qlCalendarAdvance(Calendar,X977,W978,"f",FALSE)</f>
        <v>45667</v>
      </c>
      <c r="Y978" s="227">
        <f>_xll.qlCalendarAdvance(Calendar,X978,NDays&amp;"D")</f>
        <v>45667</v>
      </c>
      <c r="Z978" s="228">
        <v>3.4742656226242209E-2</v>
      </c>
      <c r="AA978" s="230">
        <v>3.4662862224553358E-2</v>
      </c>
    </row>
    <row r="979" spans="19:27" x14ac:dyDescent="0.2">
      <c r="S979" s="32"/>
      <c r="T979" s="187"/>
      <c r="W979" s="221" t="str">
        <f t="shared" si="23"/>
        <v>1w</v>
      </c>
      <c r="X979" s="222">
        <f>_xll.qlCalendarAdvance(Calendar,X978,W979,"f",FALSE)</f>
        <v>45674</v>
      </c>
      <c r="Y979" s="227">
        <f>_xll.qlCalendarAdvance(Calendar,X979,NDays&amp;"D")</f>
        <v>45674</v>
      </c>
      <c r="Z979" s="228">
        <v>3.4759413540249369E-2</v>
      </c>
      <c r="AA979" s="230">
        <v>3.46797183959624E-2</v>
      </c>
    </row>
    <row r="980" spans="19:27" x14ac:dyDescent="0.2">
      <c r="S980" s="32"/>
      <c r="T980" s="187"/>
      <c r="W980" s="221" t="str">
        <f t="shared" si="23"/>
        <v>1w</v>
      </c>
      <c r="X980" s="222">
        <f>_xll.qlCalendarAdvance(Calendar,X979,W980,"f",FALSE)</f>
        <v>45681</v>
      </c>
      <c r="Y980" s="227">
        <f>_xll.qlCalendarAdvance(Calendar,X980,NDays&amp;"D")</f>
        <v>45681</v>
      </c>
      <c r="Z980" s="228">
        <v>3.4776098982189883E-2</v>
      </c>
      <c r="AA980" s="230">
        <v>3.4696502865132484E-2</v>
      </c>
    </row>
    <row r="981" spans="19:27" x14ac:dyDescent="0.2">
      <c r="S981" s="32"/>
      <c r="T981" s="187"/>
      <c r="W981" s="221" t="str">
        <f t="shared" ref="W981:W1044" si="24">W980</f>
        <v>1w</v>
      </c>
      <c r="X981" s="222">
        <f>_xll.qlCalendarAdvance(Calendar,X980,W981,"f",FALSE)</f>
        <v>45688</v>
      </c>
      <c r="Y981" s="227">
        <f>_xll.qlCalendarAdvance(Calendar,X981,NDays&amp;"D")</f>
        <v>45688</v>
      </c>
      <c r="Z981" s="228">
        <v>3.478420095779957E-2</v>
      </c>
      <c r="AA981" s="230">
        <v>3.4713215632063608E-2</v>
      </c>
    </row>
    <row r="982" spans="19:27" x14ac:dyDescent="0.2">
      <c r="S982" s="32"/>
      <c r="T982" s="187"/>
      <c r="W982" s="221" t="str">
        <f t="shared" si="24"/>
        <v>1w</v>
      </c>
      <c r="X982" s="222">
        <f>_xll.qlCalendarAdvance(Calendar,X981,W982,"f",FALSE)</f>
        <v>45695</v>
      </c>
      <c r="Y982" s="227">
        <f>_xll.qlCalendarAdvance(Calendar,X982,NDays&amp;"D")</f>
        <v>45695</v>
      </c>
      <c r="Z982" s="228">
        <v>3.4800753328251631E-2</v>
      </c>
      <c r="AA982" s="230">
        <v>3.4729856696728754E-2</v>
      </c>
    </row>
    <row r="983" spans="19:27" x14ac:dyDescent="0.2">
      <c r="S983" s="32"/>
      <c r="T983" s="187"/>
      <c r="W983" s="221" t="str">
        <f t="shared" si="24"/>
        <v>1w</v>
      </c>
      <c r="X983" s="222">
        <f>_xll.qlCalendarAdvance(Calendar,X982,W983,"f",FALSE)</f>
        <v>45702</v>
      </c>
      <c r="Y983" s="227">
        <f>_xll.qlCalendarAdvance(Calendar,X983,NDays&amp;"D")</f>
        <v>45702</v>
      </c>
      <c r="Z983" s="228">
        <v>3.4817233844090002E-2</v>
      </c>
      <c r="AA983" s="230">
        <v>3.4746426059046875E-2</v>
      </c>
    </row>
    <row r="984" spans="19:27" x14ac:dyDescent="0.2">
      <c r="S984" s="32"/>
      <c r="T984" s="187"/>
      <c r="W984" s="221" t="str">
        <f t="shared" si="24"/>
        <v>1w</v>
      </c>
      <c r="X984" s="222">
        <f>_xll.qlCalendarAdvance(Calendar,X983,W984,"f",FALSE)</f>
        <v>45709</v>
      </c>
      <c r="Y984" s="227">
        <f>_xll.qlCalendarAdvance(Calendar,X984,NDays&amp;"D")</f>
        <v>45709</v>
      </c>
      <c r="Z984" s="228">
        <v>3.4833642505033922E-2</v>
      </c>
      <c r="AA984" s="230">
        <v>3.4762923719044991E-2</v>
      </c>
    </row>
    <row r="985" spans="19:27" x14ac:dyDescent="0.2">
      <c r="S985" s="32"/>
      <c r="T985" s="187"/>
      <c r="W985" s="221" t="str">
        <f t="shared" si="24"/>
        <v>1w</v>
      </c>
      <c r="X985" s="222">
        <f>_xll.qlCalendarAdvance(Calendar,X984,W985,"f",FALSE)</f>
        <v>45716</v>
      </c>
      <c r="Y985" s="227">
        <f>_xll.qlCalendarAdvance(Calendar,X985,NDays&amp;"D")</f>
        <v>45716</v>
      </c>
      <c r="Z985" s="228">
        <v>3.4858448100338391E-2</v>
      </c>
      <c r="AA985" s="230">
        <v>3.4779349676642056E-2</v>
      </c>
    </row>
    <row r="986" spans="19:27" x14ac:dyDescent="0.2">
      <c r="S986" s="32"/>
      <c r="T986" s="187"/>
      <c r="W986" s="221" t="str">
        <f t="shared" si="24"/>
        <v>1w</v>
      </c>
      <c r="X986" s="222">
        <f>_xll.qlCalendarAdvance(Calendar,X985,W986,"f",FALSE)</f>
        <v>45723</v>
      </c>
      <c r="Y986" s="227">
        <f>_xll.qlCalendarAdvance(Calendar,X986,NDays&amp;"D")</f>
        <v>45723</v>
      </c>
      <c r="Z986" s="228">
        <v>3.4874702303549554E-2</v>
      </c>
      <c r="AA986" s="230">
        <v>3.4795703931865082E-2</v>
      </c>
    </row>
    <row r="987" spans="19:27" x14ac:dyDescent="0.2">
      <c r="S987" s="32"/>
      <c r="T987" s="187"/>
      <c r="W987" s="221" t="str">
        <f t="shared" si="24"/>
        <v>1w</v>
      </c>
      <c r="X987" s="222">
        <f>_xll.qlCalendarAdvance(Calendar,X986,W987,"f",FALSE)</f>
        <v>45730</v>
      </c>
      <c r="Y987" s="227">
        <f>_xll.qlCalendarAdvance(Calendar,X987,NDays&amp;"D")</f>
        <v>45730</v>
      </c>
      <c r="Z987" s="228">
        <v>3.4890884632589478E-2</v>
      </c>
      <c r="AA987" s="230">
        <v>3.4811986484633017E-2</v>
      </c>
    </row>
    <row r="988" spans="19:27" x14ac:dyDescent="0.2">
      <c r="S988" s="32"/>
      <c r="T988" s="187"/>
      <c r="W988" s="221" t="str">
        <f t="shared" si="24"/>
        <v>1w</v>
      </c>
      <c r="X988" s="222">
        <f>_xll.qlCalendarAdvance(Calendar,X987,W988,"f",FALSE)</f>
        <v>45737</v>
      </c>
      <c r="Y988" s="227">
        <f>_xll.qlCalendarAdvance(Calendar,X988,NDays&amp;"D")</f>
        <v>45737</v>
      </c>
      <c r="Z988" s="228">
        <v>3.4909806923036843E-2</v>
      </c>
      <c r="AA988" s="230">
        <v>3.4828197334972888E-2</v>
      </c>
    </row>
    <row r="989" spans="19:27" x14ac:dyDescent="0.2">
      <c r="S989" s="32"/>
      <c r="T989" s="187"/>
      <c r="W989" s="221" t="str">
        <f t="shared" si="24"/>
        <v>1w</v>
      </c>
      <c r="X989" s="222">
        <f>_xll.qlCalendarAdvance(Calendar,X988,W989,"f",FALSE)</f>
        <v>45744</v>
      </c>
      <c r="Y989" s="227">
        <f>_xll.qlCalendarAdvance(Calendar,X989,NDays&amp;"D")</f>
        <v>45744</v>
      </c>
      <c r="Z989" s="228">
        <v>3.4923033666986979E-2</v>
      </c>
      <c r="AA989" s="230">
        <v>3.4844336482803648E-2</v>
      </c>
    </row>
    <row r="990" spans="19:27" x14ac:dyDescent="0.2">
      <c r="S990" s="32"/>
      <c r="T990" s="187"/>
      <c r="W990" s="221" t="str">
        <f t="shared" si="24"/>
        <v>1w</v>
      </c>
      <c r="X990" s="222">
        <f>_xll.qlCalendarAdvance(Calendar,X989,W990,"f",FALSE)</f>
        <v>45751</v>
      </c>
      <c r="Y990" s="227">
        <f>_xll.qlCalendarAdvance(Calendar,X990,NDays&amp;"D")</f>
        <v>45751</v>
      </c>
      <c r="Z990" s="228">
        <v>3.4941804996726639E-2</v>
      </c>
      <c r="AA990" s="230">
        <v>3.4860403928125283E-2</v>
      </c>
    </row>
    <row r="991" spans="19:27" x14ac:dyDescent="0.2">
      <c r="S991" s="32"/>
      <c r="T991" s="187"/>
      <c r="W991" s="221" t="str">
        <f t="shared" si="24"/>
        <v>1w</v>
      </c>
      <c r="X991" s="222">
        <f>_xll.qlCalendarAdvance(Calendar,X990,W991,"f",FALSE)</f>
        <v>45758</v>
      </c>
      <c r="Y991" s="227">
        <f>_xll.qlCalendarAdvance(Calendar,X991,NDays&amp;"D")</f>
        <v>45758</v>
      </c>
      <c r="Z991" s="228">
        <v>3.4954895201177935E-2</v>
      </c>
      <c r="AA991" s="230">
        <v>3.4876399670883781E-2</v>
      </c>
    </row>
    <row r="992" spans="19:27" x14ac:dyDescent="0.2">
      <c r="S992" s="32"/>
      <c r="T992" s="187"/>
      <c r="W992" s="221" t="str">
        <f t="shared" si="24"/>
        <v>1w</v>
      </c>
      <c r="X992" s="222">
        <f>_xll.qlCalendarAdvance(Calendar,X991,W992,"f",FALSE)</f>
        <v>45769</v>
      </c>
      <c r="Y992" s="227">
        <f>_xll.qlCalendarAdvance(Calendar,X992,NDays&amp;"D")</f>
        <v>45769</v>
      </c>
      <c r="Z992" s="228">
        <v>3.4976932087059286E-2</v>
      </c>
      <c r="AA992" s="230">
        <v>3.4895790522688763E-2</v>
      </c>
    </row>
    <row r="993" spans="19:27" x14ac:dyDescent="0.2">
      <c r="S993" s="32"/>
      <c r="T993" s="187"/>
      <c r="W993" s="221" t="str">
        <f t="shared" si="24"/>
        <v>1w</v>
      </c>
      <c r="X993" s="222">
        <f>_xll.qlCalendarAdvance(Calendar,X992,W993,"f",FALSE)</f>
        <v>45776</v>
      </c>
      <c r="Y993" s="227">
        <f>_xll.qlCalendarAdvance(Calendar,X993,NDays&amp;"D")</f>
        <v>45776</v>
      </c>
      <c r="Z993" s="228">
        <v>3.4992645722818648E-2</v>
      </c>
      <c r="AA993" s="230">
        <v>3.4911609105139352E-2</v>
      </c>
    </row>
    <row r="994" spans="19:27" x14ac:dyDescent="0.2">
      <c r="S994" s="32"/>
      <c r="T994" s="187"/>
      <c r="W994" s="221" t="str">
        <f t="shared" si="24"/>
        <v>1w</v>
      </c>
      <c r="X994" s="222">
        <f>_xll.qlCalendarAdvance(Calendar,X993,W994,"f",FALSE)</f>
        <v>45783</v>
      </c>
      <c r="Y994" s="227">
        <f>_xll.qlCalendarAdvance(Calendar,X994,NDays&amp;"D")</f>
        <v>45783</v>
      </c>
      <c r="Z994" s="228">
        <v>3.50110757072414E-2</v>
      </c>
      <c r="AA994" s="230">
        <v>3.4927355997210752E-2</v>
      </c>
    </row>
    <row r="995" spans="19:27" x14ac:dyDescent="0.2">
      <c r="S995" s="32"/>
      <c r="T995" s="187"/>
      <c r="W995" s="221" t="str">
        <f t="shared" si="24"/>
        <v>1w</v>
      </c>
      <c r="X995" s="222">
        <f>_xll.qlCalendarAdvance(Calendar,X994,W995,"f",FALSE)</f>
        <v>45790</v>
      </c>
      <c r="Y995" s="227">
        <f>_xll.qlCalendarAdvance(Calendar,X995,NDays&amp;"D")</f>
        <v>45790</v>
      </c>
      <c r="Z995" s="228">
        <v>3.5026641959992201E-2</v>
      </c>
      <c r="AA995" s="230">
        <v>3.4943031199065056E-2</v>
      </c>
    </row>
    <row r="996" spans="19:27" x14ac:dyDescent="0.2">
      <c r="S996" s="32"/>
      <c r="T996" s="187"/>
      <c r="W996" s="221" t="str">
        <f t="shared" si="24"/>
        <v>1w</v>
      </c>
      <c r="X996" s="222">
        <f>_xll.qlCalendarAdvance(Calendar,X995,W996,"f",FALSE)</f>
        <v>45797</v>
      </c>
      <c r="Y996" s="227">
        <f>_xll.qlCalendarAdvance(Calendar,X996,NDays&amp;"D")</f>
        <v>45797</v>
      </c>
      <c r="Z996" s="228">
        <v>3.50421363358005E-2</v>
      </c>
      <c r="AA996" s="230">
        <v>3.4958634710621217E-2</v>
      </c>
    </row>
    <row r="997" spans="19:27" x14ac:dyDescent="0.2">
      <c r="S997" s="32"/>
      <c r="T997" s="187"/>
      <c r="W997" s="221" t="str">
        <f t="shared" si="24"/>
        <v>1w</v>
      </c>
      <c r="X997" s="222">
        <f>_xll.qlCalendarAdvance(Calendar,X996,W997,"f",FALSE)</f>
        <v>45804</v>
      </c>
      <c r="Y997" s="227">
        <f>_xll.qlCalendarAdvance(Calendar,X997,NDays&amp;"D")</f>
        <v>45804</v>
      </c>
      <c r="Z997" s="228">
        <v>3.5057558834378721E-2</v>
      </c>
      <c r="AA997" s="230">
        <v>3.4974166531717144E-2</v>
      </c>
    </row>
    <row r="998" spans="19:27" x14ac:dyDescent="0.2">
      <c r="S998" s="32"/>
      <c r="T998" s="187"/>
      <c r="W998" s="221" t="str">
        <f t="shared" si="24"/>
        <v>1w</v>
      </c>
      <c r="X998" s="222">
        <f>_xll.qlCalendarAdvance(Calendar,X997,W998,"f",FALSE)</f>
        <v>45811</v>
      </c>
      <c r="Y998" s="227">
        <f>_xll.qlCalendarAdvance(Calendar,X998,NDays&amp;"D")</f>
        <v>45811</v>
      </c>
      <c r="Z998" s="228">
        <v>3.5070135843955394E-2</v>
      </c>
      <c r="AA998" s="230">
        <v>3.4989626662595974E-2</v>
      </c>
    </row>
    <row r="999" spans="19:27" x14ac:dyDescent="0.2">
      <c r="S999" s="32"/>
      <c r="T999" s="187"/>
      <c r="W999" s="221" t="str">
        <f t="shared" si="24"/>
        <v>1w</v>
      </c>
      <c r="X999" s="222">
        <f>_xll.qlCalendarAdvance(Calendar,X998,W999,"f",FALSE)</f>
        <v>45818</v>
      </c>
      <c r="Y999" s="227">
        <f>_xll.qlCalendarAdvance(Calendar,X999,NDays&amp;"D")</f>
        <v>45818</v>
      </c>
      <c r="Z999" s="228">
        <v>3.5085418254731549E-2</v>
      </c>
      <c r="AA999" s="230">
        <v>3.5005015103176662E-2</v>
      </c>
    </row>
    <row r="1000" spans="19:27" x14ac:dyDescent="0.2">
      <c r="S1000" s="32"/>
      <c r="T1000" s="187"/>
      <c r="W1000" s="221" t="str">
        <f t="shared" si="24"/>
        <v>1w</v>
      </c>
      <c r="X1000" s="222">
        <f>_xll.qlCalendarAdvance(Calendar,X999,W1000,"f",FALSE)</f>
        <v>45825</v>
      </c>
      <c r="Y1000" s="227">
        <f>_xll.qlCalendarAdvance(Calendar,X1000,NDays&amp;"D")</f>
        <v>45825</v>
      </c>
      <c r="Z1000" s="228">
        <v>3.5100628793722631E-2</v>
      </c>
      <c r="AA1000" s="230">
        <v>3.5020331853297115E-2</v>
      </c>
    </row>
    <row r="1001" spans="19:27" x14ac:dyDescent="0.2">
      <c r="S1001" s="32"/>
      <c r="T1001" s="187"/>
      <c r="W1001" s="221" t="str">
        <f t="shared" si="24"/>
        <v>1w</v>
      </c>
      <c r="X1001" s="222">
        <f>_xll.qlCalendarAdvance(Calendar,X1000,W1001,"f",FALSE)</f>
        <v>45832</v>
      </c>
      <c r="Y1001" s="227">
        <f>_xll.qlCalendarAdvance(Calendar,X1001,NDays&amp;"D")</f>
        <v>45832</v>
      </c>
      <c r="Z1001" s="228">
        <v>3.5115767460658476E-2</v>
      </c>
      <c r="AA1001" s="230">
        <v>3.5035576913119426E-2</v>
      </c>
    </row>
    <row r="1002" spans="19:27" x14ac:dyDescent="0.2">
      <c r="S1002" s="32"/>
      <c r="T1002" s="187"/>
      <c r="W1002" s="221" t="str">
        <f t="shared" si="24"/>
        <v>1w</v>
      </c>
      <c r="X1002" s="222">
        <f>_xll.qlCalendarAdvance(Calendar,X1001,W1002,"f",FALSE)</f>
        <v>45839</v>
      </c>
      <c r="Y1002" s="227">
        <f>_xll.qlCalendarAdvance(Calendar,X1002,NDays&amp;"D")</f>
        <v>45839</v>
      </c>
      <c r="Z1002" s="228">
        <v>3.5133593159072135E-2</v>
      </c>
      <c r="AA1002" s="230">
        <v>3.5050750282643595E-2</v>
      </c>
    </row>
    <row r="1003" spans="19:27" x14ac:dyDescent="0.2">
      <c r="S1003" s="32"/>
      <c r="T1003" s="187"/>
      <c r="W1003" s="221" t="str">
        <f t="shared" si="24"/>
        <v>1w</v>
      </c>
      <c r="X1003" s="222">
        <f>_xll.qlCalendarAdvance(Calendar,X1002,W1003,"f",FALSE)</f>
        <v>45846</v>
      </c>
      <c r="Y1003" s="227">
        <f>_xll.qlCalendarAdvance(Calendar,X1003,NDays&amp;"D")</f>
        <v>45846</v>
      </c>
      <c r="Z1003" s="228">
        <v>3.5148584388424074E-2</v>
      </c>
      <c r="AA1003" s="230">
        <v>3.5065851961707528E-2</v>
      </c>
    </row>
    <row r="1004" spans="19:27" x14ac:dyDescent="0.2">
      <c r="S1004" s="32"/>
      <c r="T1004" s="187"/>
      <c r="W1004" s="221" t="str">
        <f t="shared" si="24"/>
        <v>1w</v>
      </c>
      <c r="X1004" s="222">
        <f>_xll.qlCalendarAdvance(Calendar,X1003,W1004,"f",FALSE)</f>
        <v>45853</v>
      </c>
      <c r="Y1004" s="227">
        <f>_xll.qlCalendarAdvance(Calendar,X1004,NDays&amp;"D")</f>
        <v>45853</v>
      </c>
      <c r="Z1004" s="228">
        <v>3.516350373860605E-2</v>
      </c>
      <c r="AA1004" s="230">
        <v>3.5080881950392273E-2</v>
      </c>
    </row>
    <row r="1005" spans="19:27" x14ac:dyDescent="0.2">
      <c r="S1005" s="32"/>
      <c r="T1005" s="187"/>
      <c r="W1005" s="221" t="str">
        <f t="shared" si="24"/>
        <v>1w</v>
      </c>
      <c r="X1005" s="222">
        <f>_xll.qlCalendarAdvance(Calendar,X1004,W1005,"f",FALSE)</f>
        <v>45860</v>
      </c>
      <c r="Y1005" s="227">
        <f>_xll.qlCalendarAdvance(Calendar,X1005,NDays&amp;"D")</f>
        <v>45860</v>
      </c>
      <c r="Z1005" s="228">
        <v>3.5178351209346169E-2</v>
      </c>
      <c r="AA1005" s="230">
        <v>3.5095840248697829E-2</v>
      </c>
    </row>
    <row r="1006" spans="19:27" x14ac:dyDescent="0.2">
      <c r="S1006" s="32"/>
      <c r="T1006" s="187"/>
      <c r="W1006" s="221" t="str">
        <f t="shared" si="24"/>
        <v>1w</v>
      </c>
      <c r="X1006" s="222">
        <f>_xll.qlCalendarAdvance(Calendar,X1005,W1006,"f",FALSE)</f>
        <v>45867</v>
      </c>
      <c r="Y1006" s="227">
        <f>_xll.qlCalendarAdvance(Calendar,X1006,NDays&amp;"D")</f>
        <v>45867</v>
      </c>
      <c r="Z1006" s="228">
        <v>3.5193126800369914E-2</v>
      </c>
      <c r="AA1006" s="230">
        <v>3.5110726856543151E-2</v>
      </c>
    </row>
    <row r="1007" spans="19:27" x14ac:dyDescent="0.2">
      <c r="S1007" s="32"/>
      <c r="T1007" s="187"/>
      <c r="W1007" s="221" t="str">
        <f t="shared" si="24"/>
        <v>1w</v>
      </c>
      <c r="X1007" s="222">
        <f>_xll.qlCalendarAdvance(Calendar,X1006,W1007,"f",FALSE)</f>
        <v>45874</v>
      </c>
      <c r="Y1007" s="227">
        <f>_xll.qlCalendarAdvance(Calendar,X1007,NDays&amp;"D")</f>
        <v>45874</v>
      </c>
      <c r="Z1007" s="228">
        <v>3.5207830511408002E-2</v>
      </c>
      <c r="AA1007" s="230">
        <v>3.512554177409033E-2</v>
      </c>
    </row>
    <row r="1008" spans="19:27" x14ac:dyDescent="0.2">
      <c r="S1008" s="32"/>
      <c r="T1008" s="187"/>
      <c r="W1008" s="221" t="str">
        <f t="shared" si="24"/>
        <v>1w</v>
      </c>
      <c r="X1008" s="222">
        <f>_xll.qlCalendarAdvance(Calendar,X1007,W1008,"f",FALSE)</f>
        <v>45881</v>
      </c>
      <c r="Y1008" s="227">
        <f>_xll.qlCalendarAdvance(Calendar,X1008,NDays&amp;"D")</f>
        <v>45881</v>
      </c>
      <c r="Z1008" s="228">
        <v>3.5222462342196378E-2</v>
      </c>
      <c r="AA1008" s="230">
        <v>3.5140285001177274E-2</v>
      </c>
    </row>
    <row r="1009" spans="19:27" x14ac:dyDescent="0.2">
      <c r="S1009" s="32"/>
      <c r="T1009" s="187"/>
      <c r="W1009" s="221" t="str">
        <f t="shared" si="24"/>
        <v>1w</v>
      </c>
      <c r="X1009" s="222">
        <f>_xll.qlCalendarAdvance(Calendar,X1008,W1009,"f",FALSE)</f>
        <v>45888</v>
      </c>
      <c r="Y1009" s="227">
        <f>_xll.qlCalendarAdvance(Calendar,X1009,NDays&amp;"D")</f>
        <v>45888</v>
      </c>
      <c r="Z1009" s="228">
        <v>3.5237022292465767E-2</v>
      </c>
      <c r="AA1009" s="230">
        <v>3.5154956537885029E-2</v>
      </c>
    </row>
    <row r="1010" spans="19:27" x14ac:dyDescent="0.2">
      <c r="S1010" s="32"/>
      <c r="T1010" s="187"/>
      <c r="W1010" s="221" t="str">
        <f t="shared" si="24"/>
        <v>1w</v>
      </c>
      <c r="X1010" s="222">
        <f>_xll.qlCalendarAdvance(Calendar,X1009,W1010,"f",FALSE)</f>
        <v>45895</v>
      </c>
      <c r="Y1010" s="227">
        <f>_xll.qlCalendarAdvance(Calendar,X1010,NDays&amp;"D")</f>
        <v>45895</v>
      </c>
      <c r="Z1010" s="228">
        <v>3.5251510361946875E-2</v>
      </c>
      <c r="AA1010" s="230">
        <v>3.516955638413255E-2</v>
      </c>
    </row>
    <row r="1011" spans="19:27" x14ac:dyDescent="0.2">
      <c r="S1011" s="32"/>
      <c r="T1011" s="187"/>
      <c r="W1011" s="221" t="str">
        <f t="shared" si="24"/>
        <v>1w</v>
      </c>
      <c r="X1011" s="222">
        <f>_xll.qlCalendarAdvance(Calendar,X1010,W1011,"f",FALSE)</f>
        <v>45902</v>
      </c>
      <c r="Y1011" s="227">
        <f>_xll.qlCalendarAdvance(Calendar,X1011,NDays&amp;"D")</f>
        <v>45902</v>
      </c>
      <c r="Z1011" s="228">
        <v>3.5263201108917563E-2</v>
      </c>
      <c r="AA1011" s="230">
        <v>3.5184084539919835E-2</v>
      </c>
    </row>
    <row r="1012" spans="19:27" x14ac:dyDescent="0.2">
      <c r="S1012" s="32"/>
      <c r="T1012" s="187"/>
      <c r="W1012" s="221" t="str">
        <f t="shared" si="24"/>
        <v>1w</v>
      </c>
      <c r="X1012" s="222">
        <f>_xll.qlCalendarAdvance(Calendar,X1011,W1012,"f",FALSE)</f>
        <v>45909</v>
      </c>
      <c r="Y1012" s="227">
        <f>_xll.qlCalendarAdvance(Calendar,X1012,NDays&amp;"D")</f>
        <v>45909</v>
      </c>
      <c r="Z1012" s="228">
        <v>3.5277549165899244E-2</v>
      </c>
      <c r="AA1012" s="230">
        <v>3.5198541005246886E-2</v>
      </c>
    </row>
    <row r="1013" spans="19:27" x14ac:dyDescent="0.2">
      <c r="S1013" s="32"/>
      <c r="T1013" s="187"/>
      <c r="W1013" s="221" t="str">
        <f t="shared" si="24"/>
        <v>1w</v>
      </c>
      <c r="X1013" s="222">
        <f>_xll.qlCalendarAdvance(Calendar,X1012,W1013,"f",FALSE)</f>
        <v>45916</v>
      </c>
      <c r="Y1013" s="227">
        <f>_xll.qlCalendarAdvance(Calendar,X1013,NDays&amp;"D")</f>
        <v>45916</v>
      </c>
      <c r="Z1013" s="228">
        <v>3.52918253477E-2</v>
      </c>
      <c r="AA1013" s="230">
        <v>3.5212925780113702E-2</v>
      </c>
    </row>
    <row r="1014" spans="19:27" x14ac:dyDescent="0.2">
      <c r="S1014" s="32"/>
      <c r="T1014" s="187"/>
      <c r="W1014" s="221" t="str">
        <f t="shared" si="24"/>
        <v>1w</v>
      </c>
      <c r="X1014" s="222">
        <f>_xll.qlCalendarAdvance(Calendar,X1013,W1014,"f",FALSE)</f>
        <v>45923</v>
      </c>
      <c r="Y1014" s="227">
        <f>_xll.qlCalendarAdvance(Calendar,X1014,NDays&amp;"D")</f>
        <v>45923</v>
      </c>
      <c r="Z1014" s="228">
        <v>3.5306029654068594E-2</v>
      </c>
      <c r="AA1014" s="230">
        <v>3.5227238864520283E-2</v>
      </c>
    </row>
    <row r="1015" spans="19:27" x14ac:dyDescent="0.2">
      <c r="S1015" s="32"/>
      <c r="T1015" s="187"/>
      <c r="W1015" s="221" t="str">
        <f t="shared" si="24"/>
        <v>1w</v>
      </c>
      <c r="X1015" s="222">
        <f>_xll.qlCalendarAdvance(Calendar,X1014,W1015,"f",FALSE)</f>
        <v>45930</v>
      </c>
      <c r="Y1015" s="227">
        <f>_xll.qlCalendarAdvance(Calendar,X1015,NDays&amp;"D")</f>
        <v>45930</v>
      </c>
      <c r="Z1015" s="228">
        <v>3.5322872488351781E-2</v>
      </c>
      <c r="AA1015" s="230">
        <v>3.5241480258466629E-2</v>
      </c>
    </row>
    <row r="1016" spans="19:27" x14ac:dyDescent="0.2">
      <c r="S1016" s="32"/>
      <c r="T1016" s="187"/>
      <c r="W1016" s="221" t="str">
        <f t="shared" si="24"/>
        <v>1w</v>
      </c>
      <c r="X1016" s="222">
        <f>_xll.qlCalendarAdvance(Calendar,X1015,W1016,"f",FALSE)</f>
        <v>45937</v>
      </c>
      <c r="Y1016" s="227">
        <f>_xll.qlCalendarAdvance(Calendar,X1016,NDays&amp;"D")</f>
        <v>45937</v>
      </c>
      <c r="Z1016" s="228">
        <v>3.5336929267607779E-2</v>
      </c>
      <c r="AA1016" s="230">
        <v>3.5255649961871693E-2</v>
      </c>
    </row>
    <row r="1017" spans="19:27" x14ac:dyDescent="0.2">
      <c r="S1017" s="32"/>
      <c r="T1017" s="187"/>
      <c r="W1017" s="221" t="str">
        <f t="shared" si="24"/>
        <v>1w</v>
      </c>
      <c r="X1017" s="222">
        <f>_xll.qlCalendarAdvance(Calendar,X1016,W1017,"f",FALSE)</f>
        <v>45944</v>
      </c>
      <c r="Y1017" s="227">
        <f>_xll.qlCalendarAdvance(Calendar,X1017,NDays&amp;"D")</f>
        <v>45944</v>
      </c>
      <c r="Z1017" s="228">
        <v>3.5350914164253275E-2</v>
      </c>
      <c r="AA1017" s="230">
        <v>3.5269747974816523E-2</v>
      </c>
    </row>
    <row r="1018" spans="19:27" x14ac:dyDescent="0.2">
      <c r="S1018" s="32"/>
      <c r="T1018" s="187"/>
      <c r="W1018" s="221" t="str">
        <f t="shared" si="24"/>
        <v>1w</v>
      </c>
      <c r="X1018" s="222">
        <f>_xll.qlCalendarAdvance(Calendar,X1017,W1018,"f",FALSE)</f>
        <v>45951</v>
      </c>
      <c r="Y1018" s="227">
        <f>_xll.qlCalendarAdvance(Calendar,X1018,NDays&amp;"D")</f>
        <v>45951</v>
      </c>
      <c r="Z1018" s="228">
        <v>3.5364827178034658E-2</v>
      </c>
      <c r="AA1018" s="230">
        <v>3.5283774297301118E-2</v>
      </c>
    </row>
    <row r="1019" spans="19:27" x14ac:dyDescent="0.2">
      <c r="S1019" s="32"/>
      <c r="T1019" s="187"/>
      <c r="W1019" s="221" t="str">
        <f t="shared" si="24"/>
        <v>1w</v>
      </c>
      <c r="X1019" s="222">
        <f>_xll.qlCalendarAdvance(Calendar,X1018,W1019,"f",FALSE)</f>
        <v>45958</v>
      </c>
      <c r="Y1019" s="227">
        <f>_xll.qlCalendarAdvance(Calendar,X1019,NDays&amp;"D")</f>
        <v>45958</v>
      </c>
      <c r="Z1019" s="228">
        <v>3.5378668308693115E-2</v>
      </c>
      <c r="AA1019" s="230">
        <v>3.5297728929163386E-2</v>
      </c>
    </row>
    <row r="1020" spans="19:27" x14ac:dyDescent="0.2">
      <c r="S1020" s="32"/>
      <c r="T1020" s="187"/>
      <c r="W1020" s="221" t="str">
        <f t="shared" si="24"/>
        <v>1w</v>
      </c>
      <c r="X1020" s="222">
        <f>_xll.qlCalendarAdvance(Calendar,X1019,W1020,"f",FALSE)</f>
        <v>45965</v>
      </c>
      <c r="Y1020" s="227">
        <f>_xll.qlCalendarAdvance(Calendar,X1020,NDays&amp;"D")</f>
        <v>45965</v>
      </c>
      <c r="Z1020" s="228">
        <v>3.5389746094237805E-2</v>
      </c>
      <c r="AA1020" s="230">
        <v>3.5311611870565418E-2</v>
      </c>
    </row>
    <row r="1021" spans="19:27" x14ac:dyDescent="0.2">
      <c r="S1021" s="32"/>
      <c r="T1021" s="187"/>
      <c r="W1021" s="221" t="str">
        <f t="shared" si="24"/>
        <v>1w</v>
      </c>
      <c r="X1021" s="222">
        <f>_xll.qlCalendarAdvance(Calendar,X1020,W1021,"f",FALSE)</f>
        <v>45972</v>
      </c>
      <c r="Y1021" s="227">
        <f>_xll.qlCalendarAdvance(Calendar,X1021,NDays&amp;"D")</f>
        <v>45972</v>
      </c>
      <c r="Z1021" s="228">
        <v>3.5403447265624798E-2</v>
      </c>
      <c r="AA1021" s="230">
        <v>3.5325423121507216E-2</v>
      </c>
    </row>
    <row r="1022" spans="19:27" x14ac:dyDescent="0.2">
      <c r="S1022" s="32"/>
      <c r="T1022" s="187"/>
      <c r="W1022" s="221" t="str">
        <f t="shared" si="24"/>
        <v>1w</v>
      </c>
      <c r="X1022" s="222">
        <f>_xll.qlCalendarAdvance(Calendar,X1021,W1022,"f",FALSE)</f>
        <v>45979</v>
      </c>
      <c r="Y1022" s="227">
        <f>_xll.qlCalendarAdvance(Calendar,X1022,NDays&amp;"D")</f>
        <v>45979</v>
      </c>
      <c r="Z1022" s="228">
        <v>3.5417076559607505E-2</v>
      </c>
      <c r="AA1022" s="230">
        <v>3.5339162681826686E-2</v>
      </c>
    </row>
    <row r="1023" spans="19:27" x14ac:dyDescent="0.2">
      <c r="S1023" s="32"/>
      <c r="T1023" s="187"/>
      <c r="W1023" s="221" t="str">
        <f t="shared" si="24"/>
        <v>1w</v>
      </c>
      <c r="X1023" s="222">
        <f>_xll.qlCalendarAdvance(Calendar,X1022,W1023,"f",FALSE)</f>
        <v>45986</v>
      </c>
      <c r="Y1023" s="227">
        <f>_xll.qlCalendarAdvance(Calendar,X1023,NDays&amp;"D")</f>
        <v>45986</v>
      </c>
      <c r="Z1023" s="228">
        <v>3.5441352902993238E-2</v>
      </c>
      <c r="AA1023" s="230">
        <v>3.5352830551685921E-2</v>
      </c>
    </row>
    <row r="1024" spans="19:27" x14ac:dyDescent="0.2">
      <c r="S1024" s="32"/>
      <c r="T1024" s="187"/>
      <c r="W1024" s="221" t="str">
        <f t="shared" si="24"/>
        <v>1w</v>
      </c>
      <c r="X1024" s="222">
        <f>_xll.qlCalendarAdvance(Calendar,X1023,W1024,"f",FALSE)</f>
        <v>45993</v>
      </c>
      <c r="Y1024" s="227">
        <f>_xll.qlCalendarAdvance(Calendar,X1024,NDays&amp;"D")</f>
        <v>45993</v>
      </c>
      <c r="Z1024" s="228">
        <v>3.5446795706393662E-2</v>
      </c>
      <c r="AA1024" s="230">
        <v>3.5366426731003875E-2</v>
      </c>
    </row>
    <row r="1025" spans="19:27" x14ac:dyDescent="0.2">
      <c r="S1025" s="32"/>
      <c r="T1025" s="187"/>
      <c r="W1025" s="221" t="str">
        <f t="shared" si="24"/>
        <v>1w</v>
      </c>
      <c r="X1025" s="222">
        <f>_xll.qlCalendarAdvance(Calendar,X1024,W1025,"f",FALSE)</f>
        <v>46000</v>
      </c>
      <c r="Y1025" s="227">
        <f>_xll.qlCalendarAdvance(Calendar,X1025,NDays&amp;"D")</f>
        <v>46000</v>
      </c>
      <c r="Z1025" s="228">
        <v>3.5460205533070055E-2</v>
      </c>
      <c r="AA1025" s="230">
        <v>3.5379951219618455E-2</v>
      </c>
    </row>
    <row r="1026" spans="19:27" x14ac:dyDescent="0.2">
      <c r="S1026" s="32"/>
      <c r="T1026" s="187"/>
      <c r="W1026" s="221" t="str">
        <f t="shared" si="24"/>
        <v>1w</v>
      </c>
      <c r="X1026" s="222">
        <f>_xll.qlCalendarAdvance(Calendar,X1025,W1026,"f",FALSE)</f>
        <v>46007</v>
      </c>
      <c r="Y1026" s="227">
        <f>_xll.qlCalendarAdvance(Calendar,X1026,NDays&amp;"D")</f>
        <v>46007</v>
      </c>
      <c r="Z1026" s="228">
        <v>3.547354347488494E-2</v>
      </c>
      <c r="AA1026" s="230">
        <v>3.53934040177728E-2</v>
      </c>
    </row>
    <row r="1027" spans="19:27" x14ac:dyDescent="0.2">
      <c r="S1027" s="32"/>
      <c r="T1027" s="187"/>
      <c r="W1027" s="221" t="str">
        <f t="shared" si="24"/>
        <v>1w</v>
      </c>
      <c r="X1027" s="222">
        <f>_xll.qlCalendarAdvance(Calendar,X1026,W1027,"f",FALSE)</f>
        <v>46014</v>
      </c>
      <c r="Y1027" s="227">
        <f>_xll.qlCalendarAdvance(Calendar,X1027,NDays&amp;"D")</f>
        <v>46014</v>
      </c>
      <c r="Z1027" s="228">
        <v>3.5486809531597802E-2</v>
      </c>
      <c r="AA1027" s="230">
        <v>3.5406785125304818E-2</v>
      </c>
    </row>
    <row r="1028" spans="19:27" x14ac:dyDescent="0.2">
      <c r="S1028" s="32"/>
      <c r="T1028" s="187"/>
      <c r="W1028" s="221" t="str">
        <f t="shared" si="24"/>
        <v>1w</v>
      </c>
      <c r="X1028" s="222">
        <f>_xll.qlCalendarAdvance(Calendar,X1027,W1028,"f",FALSE)</f>
        <v>46021</v>
      </c>
      <c r="Y1028" s="227">
        <f>_xll.qlCalendarAdvance(Calendar,X1028,NDays&amp;"D")</f>
        <v>46021</v>
      </c>
      <c r="Z1028" s="228">
        <v>3.5500003702960262E-2</v>
      </c>
      <c r="AA1028" s="230">
        <v>3.5420094542295555E-2</v>
      </c>
    </row>
    <row r="1029" spans="19:27" x14ac:dyDescent="0.2">
      <c r="S1029" s="32"/>
      <c r="T1029" s="187"/>
      <c r="W1029" s="221" t="str">
        <f t="shared" si="24"/>
        <v>1w</v>
      </c>
      <c r="X1029" s="222">
        <f>_xll.qlCalendarAdvance(Calendar,X1028,W1029,"f",FALSE)</f>
        <v>46028</v>
      </c>
      <c r="Y1029" s="227">
        <f>_xll.qlCalendarAdvance(Calendar,X1029,NDays&amp;"D")</f>
        <v>46028</v>
      </c>
      <c r="Z1029" s="228">
        <v>3.551312598873442E-2</v>
      </c>
      <c r="AA1029" s="230">
        <v>3.5433332268663964E-2</v>
      </c>
    </row>
    <row r="1030" spans="19:27" x14ac:dyDescent="0.2">
      <c r="S1030" s="32"/>
      <c r="T1030" s="187"/>
      <c r="W1030" s="221" t="str">
        <f t="shared" si="24"/>
        <v>1w</v>
      </c>
      <c r="X1030" s="222">
        <f>_xll.qlCalendarAdvance(Calendar,X1029,W1030,"f",FALSE)</f>
        <v>46035</v>
      </c>
      <c r="Y1030" s="227">
        <f>_xll.qlCalendarAdvance(Calendar,X1030,NDays&amp;"D")</f>
        <v>46035</v>
      </c>
      <c r="Z1030" s="228">
        <v>3.5526176388677132E-2</v>
      </c>
      <c r="AA1030" s="230">
        <v>3.5446498304491092E-2</v>
      </c>
    </row>
    <row r="1031" spans="19:27" x14ac:dyDescent="0.2">
      <c r="S1031" s="32"/>
      <c r="T1031" s="187"/>
      <c r="W1031" s="221" t="str">
        <f t="shared" si="24"/>
        <v>1w</v>
      </c>
      <c r="X1031" s="222">
        <f>_xll.qlCalendarAdvance(Calendar,X1030,W1031,"f",FALSE)</f>
        <v>46042</v>
      </c>
      <c r="Y1031" s="227">
        <f>_xll.qlCalendarAdvance(Calendar,X1031,NDays&amp;"D")</f>
        <v>46042</v>
      </c>
      <c r="Z1031" s="228">
        <v>3.553915490255833E-2</v>
      </c>
      <c r="AA1031" s="230">
        <v>3.5459592649695892E-2</v>
      </c>
    </row>
    <row r="1032" spans="19:27" x14ac:dyDescent="0.2">
      <c r="S1032" s="32"/>
      <c r="T1032" s="187"/>
      <c r="W1032" s="221" t="str">
        <f t="shared" si="24"/>
        <v>1w</v>
      </c>
      <c r="X1032" s="222">
        <f>_xll.qlCalendarAdvance(Calendar,X1031,W1032,"f",FALSE)</f>
        <v>46049</v>
      </c>
      <c r="Y1032" s="227">
        <f>_xll.qlCalendarAdvance(Calendar,X1032,NDays&amp;"D")</f>
        <v>46049</v>
      </c>
      <c r="Z1032" s="228">
        <v>3.5552061530132267E-2</v>
      </c>
      <c r="AA1032" s="230">
        <v>3.5472615304278365E-2</v>
      </c>
    </row>
    <row r="1033" spans="19:27" x14ac:dyDescent="0.2">
      <c r="S1033" s="32"/>
      <c r="T1033" s="187"/>
      <c r="W1033" s="221" t="str">
        <f t="shared" si="24"/>
        <v>1w</v>
      </c>
      <c r="X1033" s="222">
        <f>_xll.qlCalendarAdvance(Calendar,X1032,W1033,"f",FALSE)</f>
        <v>46056</v>
      </c>
      <c r="Y1033" s="227">
        <f>_xll.qlCalendarAdvance(Calendar,X1033,NDays&amp;"D")</f>
        <v>46056</v>
      </c>
      <c r="Z1033" s="228">
        <v>3.5556971309404377E-2</v>
      </c>
      <c r="AA1033" s="230">
        <v>3.5485566268157465E-2</v>
      </c>
    </row>
    <row r="1034" spans="19:27" x14ac:dyDescent="0.2">
      <c r="S1034" s="32"/>
      <c r="T1034" s="187"/>
      <c r="W1034" s="221" t="str">
        <f t="shared" si="24"/>
        <v>1w</v>
      </c>
      <c r="X1034" s="222">
        <f>_xll.qlCalendarAdvance(Calendar,X1033,W1034,"f",FALSE)</f>
        <v>46063</v>
      </c>
      <c r="Y1034" s="227">
        <f>_xll.qlCalendarAdvance(Calendar,X1034,NDays&amp;"D")</f>
        <v>46063</v>
      </c>
      <c r="Z1034" s="228">
        <v>3.5569745838531786E-2</v>
      </c>
      <c r="AA1034" s="230">
        <v>3.5498445541495283E-2</v>
      </c>
    </row>
    <row r="1035" spans="19:27" x14ac:dyDescent="0.2">
      <c r="S1035" s="32"/>
      <c r="T1035" s="187"/>
      <c r="W1035" s="221" t="str">
        <f t="shared" si="24"/>
        <v>1w</v>
      </c>
      <c r="X1035" s="222">
        <f>_xll.qlCalendarAdvance(Calendar,X1034,W1035,"f",FALSE)</f>
        <v>46070</v>
      </c>
      <c r="Y1035" s="227">
        <f>_xll.qlCalendarAdvance(Calendar,X1035,NDays&amp;"D")</f>
        <v>46070</v>
      </c>
      <c r="Z1035" s="228">
        <v>3.5582448500355975E-2</v>
      </c>
      <c r="AA1035" s="230">
        <v>3.5511253124210773E-2</v>
      </c>
    </row>
    <row r="1036" spans="19:27" x14ac:dyDescent="0.2">
      <c r="S1036" s="32"/>
      <c r="T1036" s="187"/>
      <c r="W1036" s="221" t="str">
        <f t="shared" si="24"/>
        <v>1w</v>
      </c>
      <c r="X1036" s="222">
        <f>_xll.qlCalendarAdvance(Calendar,X1035,W1036,"f",FALSE)</f>
        <v>46077</v>
      </c>
      <c r="Y1036" s="227">
        <f>_xll.qlCalendarAdvance(Calendar,X1036,NDays&amp;"D")</f>
        <v>46077</v>
      </c>
      <c r="Z1036" s="228">
        <v>3.5595079294665648E-2</v>
      </c>
      <c r="AA1036" s="230">
        <v>3.552398901622289E-2</v>
      </c>
    </row>
    <row r="1037" spans="19:27" x14ac:dyDescent="0.2">
      <c r="S1037" s="32"/>
      <c r="T1037" s="187"/>
      <c r="W1037" s="221" t="str">
        <f t="shared" si="24"/>
        <v>1w</v>
      </c>
      <c r="X1037" s="222">
        <f>_xll.qlCalendarAdvance(Calendar,X1036,W1037,"f",FALSE)</f>
        <v>46084</v>
      </c>
      <c r="Y1037" s="227">
        <f>_xll.qlCalendarAdvance(Calendar,X1037,NDays&amp;"D")</f>
        <v>46084</v>
      </c>
      <c r="Z1037" s="228">
        <v>3.5626017716467499E-2</v>
      </c>
      <c r="AA1037" s="230">
        <v>3.5536653217612679E-2</v>
      </c>
    </row>
    <row r="1038" spans="19:27" x14ac:dyDescent="0.2">
      <c r="S1038" s="32"/>
      <c r="T1038" s="187"/>
      <c r="W1038" s="221" t="str">
        <f t="shared" si="24"/>
        <v>1w</v>
      </c>
      <c r="X1038" s="222">
        <f>_xll.qlCalendarAdvance(Calendar,X1037,W1038,"f",FALSE)</f>
        <v>46091</v>
      </c>
      <c r="Y1038" s="227">
        <f>_xll.qlCalendarAdvance(Calendar,X1038,NDays&amp;"D")</f>
        <v>46091</v>
      </c>
      <c r="Z1038" s="228">
        <v>3.5627991670095768E-2</v>
      </c>
      <c r="AA1038" s="230">
        <v>3.5549245728299095E-2</v>
      </c>
    </row>
    <row r="1039" spans="19:27" x14ac:dyDescent="0.2">
      <c r="S1039" s="32"/>
      <c r="T1039" s="187"/>
      <c r="W1039" s="221" t="str">
        <f t="shared" si="24"/>
        <v>1w</v>
      </c>
      <c r="X1039" s="222">
        <f>_xll.qlCalendarAdvance(Calendar,X1038,W1039,"f",FALSE)</f>
        <v>46098</v>
      </c>
      <c r="Y1039" s="227">
        <f>_xll.qlCalendarAdvance(Calendar,X1039,NDays&amp;"D")</f>
        <v>46098</v>
      </c>
      <c r="Z1039" s="228">
        <v>3.5640395087016837E-2</v>
      </c>
      <c r="AA1039" s="230">
        <v>3.5561766548363183E-2</v>
      </c>
    </row>
    <row r="1040" spans="19:27" x14ac:dyDescent="0.2">
      <c r="S1040" s="32"/>
      <c r="T1040" s="187"/>
      <c r="W1040" s="221" t="str">
        <f t="shared" si="24"/>
        <v>1w</v>
      </c>
      <c r="X1040" s="222">
        <f>_xll.qlCalendarAdvance(Calendar,X1039,W1040,"f",FALSE)</f>
        <v>46105</v>
      </c>
      <c r="Y1040" s="227">
        <f>_xll.qlCalendarAdvance(Calendar,X1040,NDays&amp;"D")</f>
        <v>46105</v>
      </c>
      <c r="Z1040" s="228">
        <v>3.56527266157875E-2</v>
      </c>
      <c r="AA1040" s="230">
        <v>3.5574215677723897E-2</v>
      </c>
    </row>
    <row r="1041" spans="19:27" x14ac:dyDescent="0.2">
      <c r="S1041" s="32"/>
      <c r="T1041" s="187"/>
      <c r="W1041" s="221" t="str">
        <f t="shared" si="24"/>
        <v>1w</v>
      </c>
      <c r="X1041" s="222">
        <f>_xll.qlCalendarAdvance(Calendar,X1040,W1041,"f",FALSE)</f>
        <v>46112</v>
      </c>
      <c r="Y1041" s="227">
        <f>_xll.qlCalendarAdvance(Calendar,X1041,NDays&amp;"D")</f>
        <v>46112</v>
      </c>
      <c r="Z1041" s="228">
        <v>3.5662376125590464E-2</v>
      </c>
      <c r="AA1041" s="230">
        <v>3.5586593116462284E-2</v>
      </c>
    </row>
    <row r="1042" spans="19:27" x14ac:dyDescent="0.2">
      <c r="S1042" s="32"/>
      <c r="T1042" s="187"/>
      <c r="W1042" s="221" t="str">
        <f t="shared" si="24"/>
        <v>1w</v>
      </c>
      <c r="X1042" s="222">
        <f>_xll.qlCalendarAdvance(Calendar,X1041,W1042,"f",FALSE)</f>
        <v>46119</v>
      </c>
      <c r="Y1042" s="227">
        <f>_xll.qlCalendarAdvance(Calendar,X1042,NDays&amp;"D")</f>
        <v>46119</v>
      </c>
      <c r="Z1042" s="228">
        <v>3.5674567822581382E-2</v>
      </c>
      <c r="AA1042" s="230">
        <v>3.5598898864497297E-2</v>
      </c>
    </row>
    <row r="1043" spans="19:27" x14ac:dyDescent="0.2">
      <c r="S1043" s="32"/>
      <c r="T1043" s="187"/>
      <c r="W1043" s="221" t="str">
        <f t="shared" si="24"/>
        <v>1w</v>
      </c>
      <c r="X1043" s="222">
        <f>_xll.qlCalendarAdvance(Calendar,X1042,W1043,"f",FALSE)</f>
        <v>46126</v>
      </c>
      <c r="Y1043" s="227">
        <f>_xll.qlCalendarAdvance(Calendar,X1043,NDays&amp;"D")</f>
        <v>46126</v>
      </c>
      <c r="Z1043" s="228">
        <v>3.568668763737548E-2</v>
      </c>
      <c r="AA1043" s="230">
        <v>3.5611132921828936E-2</v>
      </c>
    </row>
    <row r="1044" spans="19:27" x14ac:dyDescent="0.2">
      <c r="S1044" s="32"/>
      <c r="T1044" s="187"/>
      <c r="W1044" s="221" t="str">
        <f t="shared" si="24"/>
        <v>1w</v>
      </c>
      <c r="X1044" s="222">
        <f>_xll.qlCalendarAdvance(Calendar,X1043,W1044,"f",FALSE)</f>
        <v>46133</v>
      </c>
      <c r="Y1044" s="227">
        <f>_xll.qlCalendarAdvance(Calendar,X1044,NDays&amp;"D")</f>
        <v>46133</v>
      </c>
      <c r="Z1044" s="228">
        <v>3.5698735569756633E-2</v>
      </c>
      <c r="AA1044" s="230">
        <v>3.5623295288376156E-2</v>
      </c>
    </row>
    <row r="1045" spans="19:27" x14ac:dyDescent="0.2">
      <c r="S1045" s="32"/>
      <c r="T1045" s="187"/>
      <c r="W1045" s="221" t="str">
        <f t="shared" ref="W1045:W1108" si="25">W1044</f>
        <v>1w</v>
      </c>
      <c r="X1045" s="222">
        <f>_xll.qlCalendarAdvance(Calendar,X1044,W1045,"f",FALSE)</f>
        <v>46140</v>
      </c>
      <c r="Y1045" s="227">
        <f>_xll.qlCalendarAdvance(Calendar,X1045,NDays&amp;"D")</f>
        <v>46140</v>
      </c>
      <c r="Z1045" s="228">
        <v>3.5710711619516819E-2</v>
      </c>
      <c r="AA1045" s="230">
        <v>3.5635385964301047E-2</v>
      </c>
    </row>
    <row r="1046" spans="19:27" x14ac:dyDescent="0.2">
      <c r="S1046" s="32"/>
      <c r="T1046" s="187"/>
      <c r="W1046" s="221" t="str">
        <f t="shared" si="25"/>
        <v>1w</v>
      </c>
      <c r="X1046" s="222">
        <f>_xll.qlCalendarAdvance(Calendar,X1045,W1046,"f",FALSE)</f>
        <v>46147</v>
      </c>
      <c r="Y1046" s="227">
        <f>_xll.qlCalendarAdvance(Calendar,X1046,NDays&amp;"D")</f>
        <v>46147</v>
      </c>
      <c r="Z1046" s="228">
        <v>3.5725206124672275E-2</v>
      </c>
      <c r="AA1046" s="230">
        <v>3.5647404949522565E-2</v>
      </c>
    </row>
    <row r="1047" spans="19:27" x14ac:dyDescent="0.2">
      <c r="S1047" s="32"/>
      <c r="T1047" s="187"/>
      <c r="W1047" s="221" t="str">
        <f t="shared" si="25"/>
        <v>1w</v>
      </c>
      <c r="X1047" s="222">
        <f>_xll.qlCalendarAdvance(Calendar,X1046,W1047,"f",FALSE)</f>
        <v>46154</v>
      </c>
      <c r="Y1047" s="227">
        <f>_xll.qlCalendarAdvance(Calendar,X1047,NDays&amp;"D")</f>
        <v>46154</v>
      </c>
      <c r="Z1047" s="228">
        <v>3.5737034430141632E-2</v>
      </c>
      <c r="AA1047" s="230">
        <v>3.5659352243959663E-2</v>
      </c>
    </row>
    <row r="1048" spans="19:27" x14ac:dyDescent="0.2">
      <c r="S1048" s="32"/>
      <c r="T1048" s="187"/>
      <c r="W1048" s="221" t="str">
        <f t="shared" si="25"/>
        <v>1w</v>
      </c>
      <c r="X1048" s="222">
        <f>_xll.qlCalendarAdvance(Calendar,X1047,W1048,"f",FALSE)</f>
        <v>46161</v>
      </c>
      <c r="Y1048" s="227">
        <f>_xll.qlCalendarAdvance(Calendar,X1048,NDays&amp;"D")</f>
        <v>46161</v>
      </c>
      <c r="Z1048" s="228">
        <v>3.5748790845690617E-2</v>
      </c>
      <c r="AA1048" s="230">
        <v>3.5671227847693388E-2</v>
      </c>
    </row>
    <row r="1049" spans="19:27" x14ac:dyDescent="0.2">
      <c r="S1049" s="32"/>
      <c r="T1049" s="187"/>
      <c r="W1049" s="221" t="str">
        <f t="shared" si="25"/>
        <v>1w</v>
      </c>
      <c r="X1049" s="222">
        <f>_xll.qlCalendarAdvance(Calendar,X1048,W1049,"f",FALSE)</f>
        <v>46168</v>
      </c>
      <c r="Y1049" s="227">
        <f>_xll.qlCalendarAdvance(Calendar,X1049,NDays&amp;"D")</f>
        <v>46168</v>
      </c>
      <c r="Z1049" s="228">
        <v>3.5760475371107485E-2</v>
      </c>
      <c r="AA1049" s="230">
        <v>3.5683031760642692E-2</v>
      </c>
    </row>
    <row r="1050" spans="19:27" x14ac:dyDescent="0.2">
      <c r="S1050" s="32"/>
      <c r="T1050" s="187"/>
      <c r="W1050" s="221" t="str">
        <f t="shared" si="25"/>
        <v>1w</v>
      </c>
      <c r="X1050" s="222">
        <f>_xll.qlCalendarAdvance(Calendar,X1049,W1050,"f",FALSE)</f>
        <v>46175</v>
      </c>
      <c r="Y1050" s="227">
        <f>_xll.qlCalendarAdvance(Calendar,X1050,NDays&amp;"D")</f>
        <v>46175</v>
      </c>
      <c r="Z1050" s="228">
        <v>3.57695136492567E-2</v>
      </c>
      <c r="AA1050" s="230">
        <v>3.5694763982888622E-2</v>
      </c>
    </row>
    <row r="1051" spans="19:27" x14ac:dyDescent="0.2">
      <c r="S1051" s="32"/>
      <c r="T1051" s="187"/>
      <c r="W1051" s="221" t="str">
        <f t="shared" si="25"/>
        <v>1w</v>
      </c>
      <c r="X1051" s="222">
        <f>_xll.qlCalendarAdvance(Calendar,X1050,W1051,"f",FALSE)</f>
        <v>46182</v>
      </c>
      <c r="Y1051" s="227">
        <f>_xll.qlCalendarAdvance(Calendar,X1051,NDays&amp;"D")</f>
        <v>46182</v>
      </c>
      <c r="Z1051" s="228">
        <v>3.5781059395775736E-2</v>
      </c>
      <c r="AA1051" s="230">
        <v>3.5706424514431179E-2</v>
      </c>
    </row>
    <row r="1052" spans="19:27" x14ac:dyDescent="0.2">
      <c r="S1052" s="32"/>
      <c r="T1052" s="187"/>
      <c r="W1052" s="221" t="str">
        <f t="shared" si="25"/>
        <v>1w</v>
      </c>
      <c r="X1052" s="222">
        <f>_xll.qlCalendarAdvance(Calendar,X1051,W1052,"f",FALSE)</f>
        <v>46189</v>
      </c>
      <c r="Y1052" s="227">
        <f>_xll.qlCalendarAdvance(Calendar,X1052,NDays&amp;"D")</f>
        <v>46189</v>
      </c>
      <c r="Z1052" s="228">
        <v>3.5792536270440475E-2</v>
      </c>
      <c r="AA1052" s="230">
        <v>3.5718013355189315E-2</v>
      </c>
    </row>
    <row r="1053" spans="19:27" x14ac:dyDescent="0.2">
      <c r="S1053" s="32"/>
      <c r="T1053" s="187"/>
      <c r="W1053" s="221" t="str">
        <f t="shared" si="25"/>
        <v>1w</v>
      </c>
      <c r="X1053" s="222">
        <f>_xll.qlCalendarAdvance(Calendar,X1052,W1053,"f",FALSE)</f>
        <v>46196</v>
      </c>
      <c r="Y1053" s="227">
        <f>_xll.qlCalendarAdvance(Calendar,X1053,NDays&amp;"D")</f>
        <v>46196</v>
      </c>
      <c r="Z1053" s="228">
        <v>3.5803946381621286E-2</v>
      </c>
      <c r="AA1053" s="230">
        <v>3.5729530505163032E-2</v>
      </c>
    </row>
    <row r="1054" spans="19:27" x14ac:dyDescent="0.2">
      <c r="S1054" s="32"/>
      <c r="T1054" s="187"/>
      <c r="W1054" s="221" t="str">
        <f t="shared" si="25"/>
        <v>1w</v>
      </c>
      <c r="X1054" s="222">
        <f>_xll.qlCalendarAdvance(Calendar,X1053,W1054,"f",FALSE)</f>
        <v>46203</v>
      </c>
      <c r="Y1054" s="227">
        <f>_xll.qlCalendarAdvance(Calendar,X1054,NDays&amp;"D")</f>
        <v>46203</v>
      </c>
      <c r="Z1054" s="228">
        <v>3.5817852131023301E-2</v>
      </c>
      <c r="AA1054" s="230">
        <v>3.5740976178881834E-2</v>
      </c>
    </row>
    <row r="1055" spans="19:27" x14ac:dyDescent="0.2">
      <c r="S1055" s="32"/>
      <c r="T1055" s="187"/>
      <c r="W1055" s="221" t="str">
        <f t="shared" si="25"/>
        <v>1w</v>
      </c>
      <c r="X1055" s="222">
        <f>_xll.qlCalendarAdvance(Calendar,X1054,W1055,"f",FALSE)</f>
        <v>46210</v>
      </c>
      <c r="Y1055" s="227">
        <f>_xll.qlCalendarAdvance(Calendar,X1055,NDays&amp;"D")</f>
        <v>46210</v>
      </c>
      <c r="Z1055" s="228">
        <v>3.5829131132916622E-2</v>
      </c>
      <c r="AA1055" s="230">
        <v>3.5752356383739192E-2</v>
      </c>
    </row>
    <row r="1056" spans="19:27" x14ac:dyDescent="0.2">
      <c r="S1056" s="32"/>
      <c r="T1056" s="187"/>
      <c r="W1056" s="221" t="str">
        <f t="shared" si="25"/>
        <v>1w</v>
      </c>
      <c r="X1056" s="222">
        <f>_xll.qlCalendarAdvance(Calendar,X1055,W1056,"f",FALSE)</f>
        <v>46217</v>
      </c>
      <c r="Y1056" s="227">
        <f>_xll.qlCalendarAdvance(Calendar,X1056,NDays&amp;"D")</f>
        <v>46217</v>
      </c>
      <c r="Z1056" s="228">
        <v>3.5840347280857075E-2</v>
      </c>
      <c r="AA1056" s="230">
        <v>3.5763673908942861E-2</v>
      </c>
    </row>
    <row r="1057" spans="19:27" x14ac:dyDescent="0.2">
      <c r="S1057" s="32"/>
      <c r="T1057" s="187"/>
      <c r="W1057" s="221" t="str">
        <f t="shared" si="25"/>
        <v>1w</v>
      </c>
      <c r="X1057" s="222">
        <f>_xll.qlCalendarAdvance(Calendar,X1056,W1057,"f",FALSE)</f>
        <v>46224</v>
      </c>
      <c r="Y1057" s="227">
        <f>_xll.qlCalendarAdvance(Calendar,X1057,NDays&amp;"D")</f>
        <v>46224</v>
      </c>
      <c r="Z1057" s="228">
        <v>3.5851500574659044E-2</v>
      </c>
      <c r="AA1057" s="230">
        <v>3.5774928754249702E-2</v>
      </c>
    </row>
    <row r="1058" spans="19:27" x14ac:dyDescent="0.2">
      <c r="S1058" s="32"/>
      <c r="T1058" s="187"/>
      <c r="W1058" s="221" t="str">
        <f t="shared" si="25"/>
        <v>1w</v>
      </c>
      <c r="X1058" s="222">
        <f>_xll.qlCalendarAdvance(Calendar,X1057,W1058,"f",FALSE)</f>
        <v>46231</v>
      </c>
      <c r="Y1058" s="227">
        <f>_xll.qlCalendarAdvance(Calendar,X1058,NDays&amp;"D")</f>
        <v>46231</v>
      </c>
      <c r="Z1058" s="228">
        <v>3.5862591014149965E-2</v>
      </c>
      <c r="AA1058" s="230">
        <v>3.5786120919902853E-2</v>
      </c>
    </row>
    <row r="1059" spans="19:27" x14ac:dyDescent="0.2">
      <c r="S1059" s="32"/>
      <c r="T1059" s="187"/>
      <c r="W1059" s="221" t="str">
        <f t="shared" si="25"/>
        <v>1w</v>
      </c>
      <c r="X1059" s="222">
        <f>_xll.qlCalendarAdvance(Calendar,X1058,W1059,"f",FALSE)</f>
        <v>46238</v>
      </c>
      <c r="Y1059" s="227">
        <f>_xll.qlCalendarAdvance(Calendar,X1059,NDays&amp;"D")</f>
        <v>46238</v>
      </c>
      <c r="Z1059" s="228">
        <v>3.5873618599152078E-2</v>
      </c>
      <c r="AA1059" s="230">
        <v>3.5797250405821268E-2</v>
      </c>
    </row>
    <row r="1060" spans="19:27" x14ac:dyDescent="0.2">
      <c r="S1060" s="32"/>
      <c r="T1060" s="187"/>
      <c r="W1060" s="221" t="str">
        <f t="shared" si="25"/>
        <v>1w</v>
      </c>
      <c r="X1060" s="222">
        <f>_xll.qlCalendarAdvance(Calendar,X1059,W1060,"f",FALSE)</f>
        <v>46245</v>
      </c>
      <c r="Y1060" s="227">
        <f>_xll.qlCalendarAdvance(Calendar,X1060,NDays&amp;"D")</f>
        <v>46245</v>
      </c>
      <c r="Z1060" s="228">
        <v>3.5884583329490204E-2</v>
      </c>
      <c r="AA1060" s="230">
        <v>3.5808317212085994E-2</v>
      </c>
    </row>
    <row r="1061" spans="19:27" x14ac:dyDescent="0.2">
      <c r="S1061" s="32"/>
      <c r="T1061" s="187"/>
      <c r="W1061" s="221" t="str">
        <f t="shared" si="25"/>
        <v>1w</v>
      </c>
      <c r="X1061" s="222">
        <f>_xll.qlCalendarAdvance(Calendar,X1060,W1061,"f",FALSE)</f>
        <v>46252</v>
      </c>
      <c r="Y1061" s="227">
        <f>_xll.qlCalendarAdvance(Calendar,X1061,NDays&amp;"D")</f>
        <v>46252</v>
      </c>
      <c r="Z1061" s="228">
        <v>3.5895485204986567E-2</v>
      </c>
      <c r="AA1061" s="230">
        <v>3.5819321338453891E-2</v>
      </c>
    </row>
    <row r="1062" spans="19:27" x14ac:dyDescent="0.2">
      <c r="S1062" s="32"/>
      <c r="T1062" s="187"/>
      <c r="W1062" s="221" t="str">
        <f t="shared" si="25"/>
        <v>1w</v>
      </c>
      <c r="X1062" s="222">
        <f>_xll.qlCalendarAdvance(Calendar,X1061,W1062,"f",FALSE)</f>
        <v>46259</v>
      </c>
      <c r="Y1062" s="227">
        <f>_xll.qlCalendarAdvance(Calendar,X1062,NDays&amp;"D")</f>
        <v>46259</v>
      </c>
      <c r="Z1062" s="228">
        <v>3.5906324225466003E-2</v>
      </c>
      <c r="AA1062" s="230">
        <v>3.5830262785006006E-2</v>
      </c>
    </row>
    <row r="1063" spans="19:27" x14ac:dyDescent="0.2">
      <c r="S1063" s="32"/>
      <c r="T1063" s="187"/>
      <c r="W1063" s="221" t="str">
        <f t="shared" si="25"/>
        <v>1w</v>
      </c>
      <c r="X1063" s="222">
        <f>_xll.qlCalendarAdvance(Calendar,X1062,W1063,"f",FALSE)</f>
        <v>46266</v>
      </c>
      <c r="Y1063" s="227">
        <f>_xll.qlCalendarAdvance(Calendar,X1063,NDays&amp;"D")</f>
        <v>46266</v>
      </c>
      <c r="Z1063" s="228">
        <v>3.5914570761649653E-2</v>
      </c>
      <c r="AA1063" s="230">
        <v>3.5841141551823386E-2</v>
      </c>
    </row>
    <row r="1064" spans="19:27" x14ac:dyDescent="0.2">
      <c r="S1064" s="32"/>
      <c r="T1064" s="187"/>
      <c r="W1064" s="221" t="str">
        <f t="shared" si="25"/>
        <v>1w</v>
      </c>
      <c r="X1064" s="222">
        <f>_xll.qlCalendarAdvance(Calendar,X1063,W1064,"f",FALSE)</f>
        <v>46273</v>
      </c>
      <c r="Y1064" s="227">
        <f>_xll.qlCalendarAdvance(Calendar,X1064,NDays&amp;"D")</f>
        <v>46273</v>
      </c>
      <c r="Z1064" s="228">
        <v>3.5925287508120372E-2</v>
      </c>
      <c r="AA1064" s="230">
        <v>3.5851957638906029E-2</v>
      </c>
    </row>
    <row r="1065" spans="19:27" x14ac:dyDescent="0.2">
      <c r="S1065" s="32"/>
      <c r="T1065" s="187"/>
      <c r="W1065" s="221" t="str">
        <f t="shared" si="25"/>
        <v>1w</v>
      </c>
      <c r="X1065" s="222">
        <f>_xll.qlCalendarAdvance(Calendar,X1064,W1065,"f",FALSE)</f>
        <v>46280</v>
      </c>
      <c r="Y1065" s="227">
        <f>_xll.qlCalendarAdvance(Calendar,X1065,NDays&amp;"D")</f>
        <v>46280</v>
      </c>
      <c r="Z1065" s="228">
        <v>3.593594140493743E-2</v>
      </c>
      <c r="AA1065" s="230">
        <v>3.586271104617289E-2</v>
      </c>
    </row>
    <row r="1066" spans="19:27" x14ac:dyDescent="0.2">
      <c r="S1066" s="32"/>
      <c r="T1066" s="187"/>
      <c r="W1066" s="221" t="str">
        <f t="shared" si="25"/>
        <v>1w</v>
      </c>
      <c r="X1066" s="222">
        <f>_xll.qlCalendarAdvance(Calendar,X1065,W1066,"f",FALSE)</f>
        <v>46287</v>
      </c>
      <c r="Y1066" s="227">
        <f>_xll.qlCalendarAdvance(Calendar,X1066,NDays&amp;"D")</f>
        <v>46287</v>
      </c>
      <c r="Z1066" s="228">
        <v>3.594653245193602E-2</v>
      </c>
      <c r="AA1066" s="230">
        <v>3.587340177362397E-2</v>
      </c>
    </row>
    <row r="1067" spans="19:27" x14ac:dyDescent="0.2">
      <c r="S1067" s="32"/>
      <c r="T1067" s="187"/>
      <c r="W1067" s="221" t="str">
        <f t="shared" si="25"/>
        <v>1w</v>
      </c>
      <c r="X1067" s="222">
        <f>_xll.qlCalendarAdvance(Calendar,X1066,W1067,"f",FALSE)</f>
        <v>46294</v>
      </c>
      <c r="Y1067" s="227">
        <f>_xll.qlCalendarAdvance(Calendar,X1067,NDays&amp;"D")</f>
        <v>46294</v>
      </c>
      <c r="Z1067" s="228">
        <v>3.5957060648954063E-2</v>
      </c>
      <c r="AA1067" s="230">
        <v>3.5884029821259267E-2</v>
      </c>
    </row>
    <row r="1068" spans="19:27" x14ac:dyDescent="0.2">
      <c r="S1068" s="32"/>
      <c r="T1068" s="187"/>
      <c r="W1068" s="221" t="str">
        <f t="shared" si="25"/>
        <v>1w</v>
      </c>
      <c r="X1068" s="222">
        <f>_xll.qlCalendarAdvance(Calendar,X1067,W1068,"f",FALSE)</f>
        <v>46301</v>
      </c>
      <c r="Y1068" s="227">
        <f>_xll.qlCalendarAdvance(Calendar,X1068,NDays&amp;"D")</f>
        <v>46301</v>
      </c>
      <c r="Z1068" s="228">
        <v>3.5970038383428951E-2</v>
      </c>
      <c r="AA1068" s="230">
        <v>3.5894595189240874E-2</v>
      </c>
    </row>
    <row r="1069" spans="19:27" x14ac:dyDescent="0.2">
      <c r="S1069" s="32"/>
      <c r="T1069" s="187"/>
      <c r="W1069" s="221" t="str">
        <f t="shared" si="25"/>
        <v>1w</v>
      </c>
      <c r="X1069" s="222">
        <f>_xll.qlCalendarAdvance(Calendar,X1068,W1069,"f",FALSE)</f>
        <v>46308</v>
      </c>
      <c r="Y1069" s="227">
        <f>_xll.qlCalendarAdvance(Calendar,X1069,NDays&amp;"D")</f>
        <v>46308</v>
      </c>
      <c r="Z1069" s="228">
        <v>3.5980437414018636E-2</v>
      </c>
      <c r="AA1069" s="230">
        <v>3.5905097877325653E-2</v>
      </c>
    </row>
    <row r="1070" spans="19:27" x14ac:dyDescent="0.2">
      <c r="S1070" s="32"/>
      <c r="T1070" s="187"/>
      <c r="W1070" s="221" t="str">
        <f t="shared" si="25"/>
        <v>1w</v>
      </c>
      <c r="X1070" s="222">
        <f>_xll.qlCalendarAdvance(Calendar,X1069,W1070,"f",FALSE)</f>
        <v>46315</v>
      </c>
      <c r="Y1070" s="227">
        <f>_xll.qlCalendarAdvance(Calendar,X1070,NDays&amp;"D")</f>
        <v>46315</v>
      </c>
      <c r="Z1070" s="228">
        <v>3.5990773588239752E-2</v>
      </c>
      <c r="AA1070" s="230">
        <v>3.5915537885513604E-2</v>
      </c>
    </row>
    <row r="1071" spans="19:27" x14ac:dyDescent="0.2">
      <c r="S1071" s="32"/>
      <c r="T1071" s="187"/>
      <c r="W1071" s="221" t="str">
        <f t="shared" si="25"/>
        <v>1w</v>
      </c>
      <c r="X1071" s="222">
        <f>_xll.qlCalendarAdvance(Calendar,X1070,W1071,"f",FALSE)</f>
        <v>46322</v>
      </c>
      <c r="Y1071" s="227">
        <f>_xll.qlCalendarAdvance(Calendar,X1071,NDays&amp;"D")</f>
        <v>46322</v>
      </c>
      <c r="Z1071" s="228">
        <v>3.600104690592236E-2</v>
      </c>
      <c r="AA1071" s="230">
        <v>3.5925915213966819E-2</v>
      </c>
    </row>
    <row r="1072" spans="19:27" x14ac:dyDescent="0.2">
      <c r="S1072" s="32"/>
      <c r="T1072" s="187"/>
      <c r="W1072" s="221" t="str">
        <f t="shared" si="25"/>
        <v>1w</v>
      </c>
      <c r="X1072" s="222">
        <f>_xll.qlCalendarAdvance(Calendar,X1071,W1072,"f",FALSE)</f>
        <v>46329</v>
      </c>
      <c r="Y1072" s="227">
        <f>_xll.qlCalendarAdvance(Calendar,X1072,NDays&amp;"D")</f>
        <v>46329</v>
      </c>
      <c r="Z1072" s="228">
        <v>3.6008758878657329E-2</v>
      </c>
      <c r="AA1072" s="230">
        <v>3.5936229862523206E-2</v>
      </c>
    </row>
    <row r="1073" spans="19:27" x14ac:dyDescent="0.2">
      <c r="S1073" s="32"/>
      <c r="T1073" s="187"/>
      <c r="W1073" s="221" t="str">
        <f t="shared" si="25"/>
        <v>1w</v>
      </c>
      <c r="X1073" s="222">
        <f>_xll.qlCalendarAdvance(Calendar,X1072,W1073,"f",FALSE)</f>
        <v>46336</v>
      </c>
      <c r="Y1073" s="227">
        <f>_xll.qlCalendarAdvance(Calendar,X1073,NDays&amp;"D")</f>
        <v>46336</v>
      </c>
      <c r="Z1073" s="228">
        <v>3.6018909972401612E-2</v>
      </c>
      <c r="AA1073" s="230">
        <v>3.5946481831344856E-2</v>
      </c>
    </row>
    <row r="1074" spans="19:27" x14ac:dyDescent="0.2">
      <c r="S1074" s="32"/>
      <c r="T1074" s="187"/>
      <c r="W1074" s="221" t="str">
        <f t="shared" si="25"/>
        <v>1w</v>
      </c>
      <c r="X1074" s="222">
        <f>_xll.qlCalendarAdvance(Calendar,X1073,W1074,"f",FALSE)</f>
        <v>46343</v>
      </c>
      <c r="Y1074" s="227">
        <f>_xll.qlCalendarAdvance(Calendar,X1074,NDays&amp;"D")</f>
        <v>46343</v>
      </c>
      <c r="Z1074" s="228">
        <v>3.6028998215046903E-2</v>
      </c>
      <c r="AA1074" s="230">
        <v>3.5956671120350725E-2</v>
      </c>
    </row>
    <row r="1075" spans="19:27" x14ac:dyDescent="0.2">
      <c r="S1075" s="32"/>
      <c r="T1075" s="187"/>
      <c r="W1075" s="221" t="str">
        <f t="shared" si="25"/>
        <v>1w</v>
      </c>
      <c r="X1075" s="222">
        <f>_xll.qlCalendarAdvance(Calendar,X1074,W1075,"f",FALSE)</f>
        <v>46350</v>
      </c>
      <c r="Y1075" s="227">
        <f>_xll.qlCalendarAdvance(Calendar,X1075,NDays&amp;"D")</f>
        <v>46350</v>
      </c>
      <c r="Z1075" s="228">
        <v>3.6039023606433816E-2</v>
      </c>
      <c r="AA1075" s="230">
        <v>3.5966797729378719E-2</v>
      </c>
    </row>
    <row r="1076" spans="19:27" x14ac:dyDescent="0.2">
      <c r="S1076" s="32"/>
      <c r="T1076" s="187"/>
      <c r="W1076" s="221" t="str">
        <f t="shared" si="25"/>
        <v>1w</v>
      </c>
      <c r="X1076" s="222">
        <f>_xll.qlCalendarAdvance(Calendar,X1075,W1076,"f",FALSE)</f>
        <v>46357</v>
      </c>
      <c r="Y1076" s="227">
        <f>_xll.qlCalendarAdvance(Calendar,X1076,NDays&amp;"D")</f>
        <v>46357</v>
      </c>
      <c r="Z1076" s="228">
        <v>3.6058923094108783E-2</v>
      </c>
      <c r="AA1076" s="230">
        <v>3.5976861658671977E-2</v>
      </c>
    </row>
    <row r="1077" spans="19:27" x14ac:dyDescent="0.2">
      <c r="S1077" s="32"/>
      <c r="T1077" s="187"/>
      <c r="W1077" s="221" t="str">
        <f t="shared" si="25"/>
        <v>1w</v>
      </c>
      <c r="X1077" s="222">
        <f>_xll.qlCalendarAdvance(Calendar,X1076,W1077,"f",FALSE)</f>
        <v>46364</v>
      </c>
      <c r="Y1077" s="227">
        <f>_xll.qlCalendarAdvance(Calendar,X1077,NDays&amp;"D")</f>
        <v>46364</v>
      </c>
      <c r="Z1077" s="228">
        <v>3.6061366815640081E-2</v>
      </c>
      <c r="AA1077" s="230">
        <v>3.5986862908149453E-2</v>
      </c>
    </row>
    <row r="1078" spans="19:27" x14ac:dyDescent="0.2">
      <c r="S1078" s="32"/>
      <c r="T1078" s="187"/>
      <c r="W1078" s="221" t="str">
        <f t="shared" si="25"/>
        <v>1w</v>
      </c>
      <c r="X1078" s="222">
        <f>_xll.qlCalendarAdvance(Calendar,X1077,W1078,"f",FALSE)</f>
        <v>46371</v>
      </c>
      <c r="Y1078" s="227">
        <f>_xll.qlCalendarAdvance(Calendar,X1078,NDays&amp;"D")</f>
        <v>46371</v>
      </c>
      <c r="Z1078" s="228">
        <v>3.6071200133032867E-2</v>
      </c>
      <c r="AA1078" s="230">
        <v>3.5996801477649054E-2</v>
      </c>
    </row>
    <row r="1079" spans="19:27" x14ac:dyDescent="0.2">
      <c r="S1079" s="32"/>
      <c r="T1079" s="187"/>
      <c r="W1079" s="221" t="str">
        <f t="shared" si="25"/>
        <v>1w</v>
      </c>
      <c r="X1079" s="222">
        <f>_xll.qlCalendarAdvance(Calendar,X1078,W1079,"f",FALSE)</f>
        <v>46378</v>
      </c>
      <c r="Y1079" s="227">
        <f>_xll.qlCalendarAdvance(Calendar,X1079,NDays&amp;"D")</f>
        <v>46378</v>
      </c>
      <c r="Z1079" s="228">
        <v>3.6080970592603477E-2</v>
      </c>
      <c r="AA1079" s="230">
        <v>3.6006677367332873E-2</v>
      </c>
    </row>
    <row r="1080" spans="19:27" x14ac:dyDescent="0.2">
      <c r="S1080" s="32"/>
      <c r="T1080" s="187"/>
      <c r="W1080" s="221" t="str">
        <f t="shared" si="25"/>
        <v>1w</v>
      </c>
      <c r="X1080" s="222">
        <f>_xll.qlCalendarAdvance(Calendar,X1079,W1080,"f",FALSE)</f>
        <v>46385</v>
      </c>
      <c r="Y1080" s="227">
        <f>_xll.qlCalendarAdvance(Calendar,X1080,NDays&amp;"D")</f>
        <v>46385</v>
      </c>
      <c r="Z1080" s="228">
        <v>3.6090678194200282E-2</v>
      </c>
      <c r="AA1080" s="230">
        <v>3.601649057720091E-2</v>
      </c>
    </row>
    <row r="1081" spans="19:27" x14ac:dyDescent="0.2">
      <c r="S1081" s="32"/>
      <c r="T1081" s="187"/>
      <c r="W1081" s="221" t="str">
        <f t="shared" si="25"/>
        <v>1w</v>
      </c>
      <c r="X1081" s="222">
        <f>_xll.qlCalendarAdvance(Calendar,X1080,W1081,"f",FALSE)</f>
        <v>46392</v>
      </c>
      <c r="Y1081" s="227">
        <f>_xll.qlCalendarAdvance(Calendar,X1081,NDays&amp;"D")</f>
        <v>46392</v>
      </c>
      <c r="Z1081" s="228">
        <v>3.6100322937666414E-2</v>
      </c>
      <c r="AA1081" s="230">
        <v>3.6026241107172119E-2</v>
      </c>
    </row>
    <row r="1082" spans="19:27" x14ac:dyDescent="0.2">
      <c r="S1082" s="32"/>
      <c r="T1082" s="187"/>
      <c r="W1082" s="221" t="str">
        <f t="shared" si="25"/>
        <v>1w</v>
      </c>
      <c r="X1082" s="222">
        <f>_xll.qlCalendarAdvance(Calendar,X1081,W1082,"f",FALSE)</f>
        <v>46399</v>
      </c>
      <c r="Y1082" s="227">
        <f>_xll.qlCalendarAdvance(Calendar,X1082,NDays&amp;"D")</f>
        <v>46399</v>
      </c>
      <c r="Z1082" s="228">
        <v>3.6109904822842397E-2</v>
      </c>
      <c r="AA1082" s="230">
        <v>3.6035928957246499E-2</v>
      </c>
    </row>
    <row r="1083" spans="19:27" x14ac:dyDescent="0.2">
      <c r="S1083" s="32"/>
      <c r="T1083" s="187"/>
      <c r="W1083" s="221" t="str">
        <f t="shared" si="25"/>
        <v>1w</v>
      </c>
      <c r="X1083" s="222">
        <f>_xll.qlCalendarAdvance(Calendar,X1082,W1083,"f",FALSE)</f>
        <v>46406</v>
      </c>
      <c r="Y1083" s="227">
        <f>_xll.qlCalendarAdvance(Calendar,X1083,NDays&amp;"D")</f>
        <v>46406</v>
      </c>
      <c r="Z1083" s="228">
        <v>3.6119423849581826E-2</v>
      </c>
      <c r="AA1083" s="230">
        <v>3.6045554127343005E-2</v>
      </c>
    </row>
    <row r="1084" spans="19:27" x14ac:dyDescent="0.2">
      <c r="S1084" s="32"/>
      <c r="T1084" s="187"/>
      <c r="W1084" s="221" t="str">
        <f t="shared" si="25"/>
        <v>1w</v>
      </c>
      <c r="X1084" s="222">
        <f>_xll.qlCalendarAdvance(Calendar,X1083,W1084,"f",FALSE)</f>
        <v>46413</v>
      </c>
      <c r="Y1084" s="227">
        <f>_xll.qlCalendarAdvance(Calendar,X1084,NDays&amp;"D")</f>
        <v>46413</v>
      </c>
      <c r="Z1084" s="228">
        <v>3.612888001773306E-2</v>
      </c>
      <c r="AA1084" s="230">
        <v>3.6055116617704774E-2</v>
      </c>
    </row>
    <row r="1085" spans="19:27" x14ac:dyDescent="0.2">
      <c r="S1085" s="32"/>
      <c r="T1085" s="187"/>
      <c r="W1085" s="221" t="str">
        <f t="shared" si="25"/>
        <v>1w</v>
      </c>
      <c r="X1085" s="222">
        <f>_xll.qlCalendarAdvance(Calendar,X1084,W1085,"f",FALSE)</f>
        <v>46420</v>
      </c>
      <c r="Y1085" s="227">
        <f>_xll.qlCalendarAdvance(Calendar,X1085,NDays&amp;"D")</f>
        <v>46420</v>
      </c>
      <c r="Z1085" s="228">
        <v>3.6130914814254317E-2</v>
      </c>
      <c r="AA1085" s="230">
        <v>3.6064616428088669E-2</v>
      </c>
    </row>
    <row r="1086" spans="19:27" x14ac:dyDescent="0.2">
      <c r="S1086" s="32"/>
      <c r="T1086" s="187"/>
      <c r="W1086" s="221" t="str">
        <f t="shared" si="25"/>
        <v>1w</v>
      </c>
      <c r="X1086" s="222">
        <f>_xll.qlCalendarAdvance(Calendar,X1085,W1086,"f",FALSE)</f>
        <v>46427</v>
      </c>
      <c r="Y1086" s="227">
        <f>_xll.qlCalendarAdvance(Calendar,X1086,NDays&amp;"D")</f>
        <v>46427</v>
      </c>
      <c r="Z1086" s="228">
        <v>3.6140255963616669E-2</v>
      </c>
      <c r="AA1086" s="230">
        <v>3.6074053558737829E-2</v>
      </c>
    </row>
    <row r="1087" spans="19:27" x14ac:dyDescent="0.2">
      <c r="S1087" s="32"/>
      <c r="T1087" s="187"/>
      <c r="W1087" s="221" t="str">
        <f t="shared" si="25"/>
        <v>1w</v>
      </c>
      <c r="X1087" s="222">
        <f>_xll.qlCalendarAdvance(Calendar,X1086,W1087,"f",FALSE)</f>
        <v>46434</v>
      </c>
      <c r="Y1087" s="227">
        <f>_xll.qlCalendarAdvance(Calendar,X1087,NDays&amp;"D")</f>
        <v>46434</v>
      </c>
      <c r="Z1087" s="228">
        <v>3.6149534271904295E-2</v>
      </c>
      <c r="AA1087" s="230">
        <v>3.6083428009328067E-2</v>
      </c>
    </row>
    <row r="1088" spans="19:27" x14ac:dyDescent="0.2">
      <c r="S1088" s="32"/>
      <c r="T1088" s="187"/>
      <c r="W1088" s="221" t="str">
        <f t="shared" si="25"/>
        <v>1w</v>
      </c>
      <c r="X1088" s="222">
        <f>_xll.qlCalendarAdvance(Calendar,X1087,W1088,"f",FALSE)</f>
        <v>46441</v>
      </c>
      <c r="Y1088" s="227">
        <f>_xll.qlCalendarAdvance(Calendar,X1088,NDays&amp;"D")</f>
        <v>46441</v>
      </c>
      <c r="Z1088" s="228">
        <v>3.6158749738978264E-2</v>
      </c>
      <c r="AA1088" s="230">
        <v>3.6092739780021477E-2</v>
      </c>
    </row>
    <row r="1089" spans="19:27" x14ac:dyDescent="0.2">
      <c r="S1089" s="32"/>
      <c r="T1089" s="187"/>
      <c r="W1089" s="221" t="str">
        <f t="shared" si="25"/>
        <v>1w</v>
      </c>
      <c r="X1089" s="222">
        <f>_xll.qlCalendarAdvance(Calendar,X1088,W1089,"f",FALSE)</f>
        <v>46448</v>
      </c>
      <c r="Y1089" s="227">
        <f>_xll.qlCalendarAdvance(Calendar,X1089,NDays&amp;"D")</f>
        <v>46448</v>
      </c>
      <c r="Z1089" s="228">
        <v>3.6175217974377449E-2</v>
      </c>
      <c r="AA1089" s="230">
        <v>3.6101988870899104E-2</v>
      </c>
    </row>
    <row r="1090" spans="19:27" x14ac:dyDescent="0.2">
      <c r="S1090" s="32"/>
      <c r="T1090" s="187"/>
      <c r="W1090" s="221" t="str">
        <f t="shared" si="25"/>
        <v>1w</v>
      </c>
      <c r="X1090" s="222">
        <f>_xll.qlCalendarAdvance(Calendar,X1089,W1090,"f",FALSE)</f>
        <v>46455</v>
      </c>
      <c r="Y1090" s="227">
        <f>_xll.qlCalendarAdvance(Calendar,X1090,NDays&amp;"D")</f>
        <v>46455</v>
      </c>
      <c r="Z1090" s="228">
        <v>3.6184296987846573E-2</v>
      </c>
      <c r="AA1090" s="230">
        <v>3.6111175281717811E-2</v>
      </c>
    </row>
    <row r="1091" spans="19:27" x14ac:dyDescent="0.2">
      <c r="S1091" s="32"/>
      <c r="T1091" s="187"/>
      <c r="W1091" s="221" t="str">
        <f t="shared" si="25"/>
        <v>1w</v>
      </c>
      <c r="X1091" s="222">
        <f>_xll.qlCalendarAdvance(Calendar,X1090,W1091,"f",FALSE)</f>
        <v>46462</v>
      </c>
      <c r="Y1091" s="227">
        <f>_xll.qlCalendarAdvance(Calendar,X1091,NDays&amp;"D")</f>
        <v>46462</v>
      </c>
      <c r="Z1091" s="228">
        <v>3.6193313141689595E-2</v>
      </c>
      <c r="AA1091" s="230">
        <v>3.6120299012720736E-2</v>
      </c>
    </row>
    <row r="1092" spans="19:27" x14ac:dyDescent="0.2">
      <c r="S1092" s="32"/>
      <c r="T1092" s="187"/>
      <c r="W1092" s="221" t="str">
        <f t="shared" si="25"/>
        <v>1w</v>
      </c>
      <c r="X1092" s="222">
        <f>_xll.qlCalendarAdvance(Calendar,X1091,W1092,"f",FALSE)</f>
        <v>46469</v>
      </c>
      <c r="Y1092" s="227">
        <f>_xll.qlCalendarAdvance(Calendar,X1092,NDays&amp;"D")</f>
        <v>46469</v>
      </c>
      <c r="Z1092" s="228">
        <v>3.620226643576533E-2</v>
      </c>
      <c r="AA1092" s="230">
        <v>3.6129360063745786E-2</v>
      </c>
    </row>
    <row r="1093" spans="19:27" x14ac:dyDescent="0.2">
      <c r="S1093" s="32"/>
      <c r="T1093" s="187"/>
      <c r="W1093" s="221" t="str">
        <f t="shared" si="25"/>
        <v>1w</v>
      </c>
      <c r="X1093" s="222">
        <f>_xll.qlCalendarAdvance(Calendar,X1092,W1093,"f",FALSE)</f>
        <v>46476</v>
      </c>
      <c r="Y1093" s="227">
        <f>_xll.qlCalendarAdvance(Calendar,X1093,NDays&amp;"D")</f>
        <v>46476</v>
      </c>
      <c r="Z1093" s="228">
        <v>3.6211156869927381E-2</v>
      </c>
      <c r="AA1093" s="230">
        <v>3.6138358434955054E-2</v>
      </c>
    </row>
    <row r="1094" spans="19:27" x14ac:dyDescent="0.2">
      <c r="S1094" s="32"/>
      <c r="T1094" s="187"/>
      <c r="W1094" s="221" t="str">
        <f t="shared" si="25"/>
        <v>1w</v>
      </c>
      <c r="X1094" s="222">
        <f>_xll.qlCalendarAdvance(Calendar,X1093,W1094,"f",FALSE)</f>
        <v>46483</v>
      </c>
      <c r="Y1094" s="227">
        <f>_xll.qlCalendarAdvance(Calendar,X1094,NDays&amp;"D")</f>
        <v>46483</v>
      </c>
      <c r="Z1094" s="228">
        <v>3.6217564103945686E-2</v>
      </c>
      <c r="AA1094" s="230">
        <v>3.61472941261054E-2</v>
      </c>
    </row>
    <row r="1095" spans="19:27" x14ac:dyDescent="0.2">
      <c r="S1095" s="32"/>
      <c r="T1095" s="187"/>
      <c r="W1095" s="221" t="str">
        <f t="shared" si="25"/>
        <v>1w</v>
      </c>
      <c r="X1095" s="222">
        <f>_xll.qlCalendarAdvance(Calendar,X1094,W1095,"f",FALSE)</f>
        <v>46490</v>
      </c>
      <c r="Y1095" s="227">
        <f>_xll.qlCalendarAdvance(Calendar,X1095,NDays&amp;"D")</f>
        <v>46490</v>
      </c>
      <c r="Z1095" s="228">
        <v>3.6226332438970221E-2</v>
      </c>
      <c r="AA1095" s="230">
        <v>3.6156167137358919E-2</v>
      </c>
    </row>
    <row r="1096" spans="19:27" x14ac:dyDescent="0.2">
      <c r="S1096" s="32"/>
      <c r="T1096" s="187"/>
      <c r="W1096" s="221" t="str">
        <f t="shared" si="25"/>
        <v>1w</v>
      </c>
      <c r="X1096" s="222">
        <f>_xll.qlCalendarAdvance(Calendar,X1095,W1096,"f",FALSE)</f>
        <v>46497</v>
      </c>
      <c r="Y1096" s="227">
        <f>_xll.qlCalendarAdvance(Calendar,X1096,NDays&amp;"D")</f>
        <v>46497</v>
      </c>
      <c r="Z1096" s="228">
        <v>3.6235037919691737E-2</v>
      </c>
      <c r="AA1096" s="230">
        <v>3.6164977468634563E-2</v>
      </c>
    </row>
    <row r="1097" spans="19:27" x14ac:dyDescent="0.2">
      <c r="S1097" s="32"/>
      <c r="T1097" s="187"/>
      <c r="W1097" s="221" t="str">
        <f t="shared" si="25"/>
        <v>1w</v>
      </c>
      <c r="X1097" s="222">
        <f>_xll.qlCalendarAdvance(Calendar,X1096,W1097,"f",FALSE)</f>
        <v>46504</v>
      </c>
      <c r="Y1097" s="227">
        <f>_xll.qlCalendarAdvance(Calendar,X1097,NDays&amp;"D")</f>
        <v>46504</v>
      </c>
      <c r="Z1097" s="228">
        <v>3.6243680545972455E-2</v>
      </c>
      <c r="AA1097" s="230">
        <v>3.6173725120013378E-2</v>
      </c>
    </row>
    <row r="1098" spans="19:27" x14ac:dyDescent="0.2">
      <c r="S1098" s="32"/>
      <c r="T1098" s="187"/>
      <c r="W1098" s="221" t="str">
        <f t="shared" si="25"/>
        <v>1w</v>
      </c>
      <c r="X1098" s="222">
        <f>_xll.qlCalendarAdvance(Calendar,X1097,W1098,"f",FALSE)</f>
        <v>46511</v>
      </c>
      <c r="Y1098" s="227">
        <f>_xll.qlCalendarAdvance(Calendar,X1098,NDays&amp;"D")</f>
        <v>46511</v>
      </c>
      <c r="Z1098" s="228">
        <v>3.6254666137096284E-2</v>
      </c>
      <c r="AA1098" s="230">
        <v>3.6182410091414319E-2</v>
      </c>
    </row>
    <row r="1099" spans="19:27" x14ac:dyDescent="0.2">
      <c r="S1099" s="32"/>
      <c r="T1099" s="187"/>
      <c r="W1099" s="221" t="str">
        <f t="shared" si="25"/>
        <v>1w</v>
      </c>
      <c r="X1099" s="222">
        <f>_xll.qlCalendarAdvance(Calendar,X1098,W1099,"f",FALSE)</f>
        <v>46518</v>
      </c>
      <c r="Y1099" s="227">
        <f>_xll.qlCalendarAdvance(Calendar,X1099,NDays&amp;"D")</f>
        <v>46518</v>
      </c>
      <c r="Z1099" s="228">
        <v>3.6263179408829761E-2</v>
      </c>
      <c r="AA1099" s="230">
        <v>3.6191032382918431E-2</v>
      </c>
    </row>
    <row r="1100" spans="19:27" x14ac:dyDescent="0.2">
      <c r="S1100" s="32"/>
      <c r="T1100" s="187"/>
      <c r="W1100" s="221" t="str">
        <f t="shared" si="25"/>
        <v>1w</v>
      </c>
      <c r="X1100" s="222">
        <f>_xll.qlCalendarAdvance(Calendar,X1099,W1100,"f",FALSE)</f>
        <v>46525</v>
      </c>
      <c r="Y1100" s="227">
        <f>_xll.qlCalendarAdvance(Calendar,X1100,NDays&amp;"D")</f>
        <v>46525</v>
      </c>
      <c r="Z1100" s="228">
        <v>3.6271629819679616E-2</v>
      </c>
      <c r="AA1100" s="230">
        <v>3.6199591994444669E-2</v>
      </c>
    </row>
    <row r="1101" spans="19:27" x14ac:dyDescent="0.2">
      <c r="S1101" s="32"/>
      <c r="T1101" s="187"/>
      <c r="W1101" s="221" t="str">
        <f t="shared" si="25"/>
        <v>1w</v>
      </c>
      <c r="X1101" s="222">
        <f>_xll.qlCalendarAdvance(Calendar,X1100,W1101,"f",FALSE)</f>
        <v>46532</v>
      </c>
      <c r="Y1101" s="227">
        <f>_xll.qlCalendarAdvance(Calendar,X1101,NDays&amp;"D")</f>
        <v>46532</v>
      </c>
      <c r="Z1101" s="228">
        <v>3.628001736950727E-2</v>
      </c>
      <c r="AA1101" s="230">
        <v>3.6208088925830939E-2</v>
      </c>
    </row>
    <row r="1102" spans="19:27" x14ac:dyDescent="0.2">
      <c r="S1102" s="32"/>
      <c r="T1102" s="187"/>
      <c r="W1102" s="221" t="str">
        <f t="shared" si="25"/>
        <v>1w</v>
      </c>
      <c r="X1102" s="222">
        <f>_xll.qlCalendarAdvance(Calendar,X1101,W1102,"f",FALSE)</f>
        <v>46539</v>
      </c>
      <c r="Y1102" s="227">
        <f>_xll.qlCalendarAdvance(Calendar,X1102,NDays&amp;"D")</f>
        <v>46539</v>
      </c>
      <c r="Z1102" s="228">
        <v>3.6285950856136284E-2</v>
      </c>
      <c r="AA1102" s="230">
        <v>3.6216523177482474E-2</v>
      </c>
    </row>
    <row r="1103" spans="19:27" x14ac:dyDescent="0.2">
      <c r="S1103" s="32"/>
      <c r="T1103" s="187"/>
      <c r="W1103" s="221" t="str">
        <f t="shared" si="25"/>
        <v>1w</v>
      </c>
      <c r="X1103" s="222">
        <f>_xll.qlCalendarAdvance(Calendar,X1102,W1103,"f",FALSE)</f>
        <v>46546</v>
      </c>
      <c r="Y1103" s="227">
        <f>_xll.qlCalendarAdvance(Calendar,X1103,NDays&amp;"D")</f>
        <v>46546</v>
      </c>
      <c r="Z1103" s="228">
        <v>3.6294216353003117E-2</v>
      </c>
      <c r="AA1103" s="230">
        <v>3.6224894749075087E-2</v>
      </c>
    </row>
    <row r="1104" spans="19:27" x14ac:dyDescent="0.2">
      <c r="S1104" s="32"/>
      <c r="T1104" s="187"/>
      <c r="W1104" s="221" t="str">
        <f t="shared" si="25"/>
        <v>1w</v>
      </c>
      <c r="X1104" s="222">
        <f>_xll.qlCalendarAdvance(Calendar,X1103,W1104,"f",FALSE)</f>
        <v>46553</v>
      </c>
      <c r="Y1104" s="227">
        <f>_xll.qlCalendarAdvance(Calendar,X1104,NDays&amp;"D")</f>
        <v>46553</v>
      </c>
      <c r="Z1104" s="228">
        <v>3.6302418994521433E-2</v>
      </c>
      <c r="AA1104" s="230">
        <v>3.6233203640689826E-2</v>
      </c>
    </row>
    <row r="1105" spans="19:27" x14ac:dyDescent="0.2">
      <c r="S1105" s="32"/>
      <c r="T1105" s="187"/>
      <c r="W1105" s="221" t="str">
        <f t="shared" si="25"/>
        <v>1w</v>
      </c>
      <c r="X1105" s="222">
        <f>_xll.qlCalendarAdvance(Calendar,X1104,W1105,"f",FALSE)</f>
        <v>46560</v>
      </c>
      <c r="Y1105" s="227">
        <f>_xll.qlCalendarAdvance(Calendar,X1105,NDays&amp;"D")</f>
        <v>46560</v>
      </c>
      <c r="Z1105" s="228">
        <v>3.6310558780553448E-2</v>
      </c>
      <c r="AA1105" s="230">
        <v>3.6241449852245644E-2</v>
      </c>
    </row>
    <row r="1106" spans="19:27" x14ac:dyDescent="0.2">
      <c r="S1106" s="32"/>
      <c r="T1106" s="187"/>
      <c r="W1106" s="221" t="str">
        <f t="shared" si="25"/>
        <v>1w</v>
      </c>
      <c r="X1106" s="222">
        <f>_xll.qlCalendarAdvance(Calendar,X1105,W1106,"f",FALSE)</f>
        <v>46567</v>
      </c>
      <c r="Y1106" s="227">
        <f>_xll.qlCalendarAdvance(Calendar,X1106,NDays&amp;"D")</f>
        <v>46567</v>
      </c>
      <c r="Z1106" s="228">
        <v>3.6318635710983004E-2</v>
      </c>
      <c r="AA1106" s="230">
        <v>3.6249633383904634E-2</v>
      </c>
    </row>
    <row r="1107" spans="19:27" x14ac:dyDescent="0.2">
      <c r="S1107" s="32"/>
      <c r="T1107" s="187"/>
      <c r="W1107" s="221" t="str">
        <f t="shared" si="25"/>
        <v>1w</v>
      </c>
      <c r="X1107" s="222">
        <f>_xll.qlCalendarAdvance(Calendar,X1106,W1107,"f",FALSE)</f>
        <v>46574</v>
      </c>
      <c r="Y1107" s="227">
        <f>_xll.qlCalendarAdvance(Calendar,X1107,NDays&amp;"D")</f>
        <v>46574</v>
      </c>
      <c r="Z1107" s="228">
        <v>3.6329022579605783E-2</v>
      </c>
      <c r="AA1107" s="230">
        <v>3.6257754235504702E-2</v>
      </c>
    </row>
    <row r="1108" spans="19:27" x14ac:dyDescent="0.2">
      <c r="S1108" s="32"/>
      <c r="T1108" s="187"/>
      <c r="W1108" s="221" t="str">
        <f t="shared" si="25"/>
        <v>1w</v>
      </c>
      <c r="X1108" s="222">
        <f>_xll.qlCalendarAdvance(Calendar,X1107,W1108,"f",FALSE)</f>
        <v>46581</v>
      </c>
      <c r="Y1108" s="227">
        <f>_xll.qlCalendarAdvance(Calendar,X1108,NDays&amp;"D")</f>
        <v>46581</v>
      </c>
      <c r="Z1108" s="228">
        <v>3.6336970098591784E-2</v>
      </c>
      <c r="AA1108" s="230">
        <v>3.6265812407207942E-2</v>
      </c>
    </row>
    <row r="1109" spans="19:27" x14ac:dyDescent="0.2">
      <c r="S1109" s="32"/>
      <c r="T1109" s="187"/>
      <c r="W1109" s="221" t="str">
        <f t="shared" ref="W1109:W1172" si="26">W1108</f>
        <v>1w</v>
      </c>
      <c r="X1109" s="222">
        <f>_xll.qlCalendarAdvance(Calendar,X1108,W1109,"f",FALSE)</f>
        <v>46588</v>
      </c>
      <c r="Y1109" s="227">
        <f>_xll.qlCalendarAdvance(Calendar,X1109,NDays&amp;"D")</f>
        <v>46588</v>
      </c>
      <c r="Z1109" s="228">
        <v>3.6344854755515063E-2</v>
      </c>
      <c r="AA1109" s="230">
        <v>3.6273807898852262E-2</v>
      </c>
    </row>
    <row r="1110" spans="19:27" x14ac:dyDescent="0.2">
      <c r="S1110" s="32"/>
      <c r="T1110" s="187"/>
      <c r="W1110" s="221" t="str">
        <f t="shared" si="26"/>
        <v>1w</v>
      </c>
      <c r="X1110" s="222">
        <f>_xll.qlCalendarAdvance(Calendar,X1109,W1110,"f",FALSE)</f>
        <v>46595</v>
      </c>
      <c r="Y1110" s="227">
        <f>_xll.qlCalendarAdvance(Calendar,X1110,NDays&amp;"D")</f>
        <v>46595</v>
      </c>
      <c r="Z1110" s="228">
        <v>3.6352676550247508E-2</v>
      </c>
      <c r="AA1110" s="230">
        <v>3.6281740710518706E-2</v>
      </c>
    </row>
    <row r="1111" spans="19:27" x14ac:dyDescent="0.2">
      <c r="S1111" s="32"/>
      <c r="T1111" s="187"/>
      <c r="W1111" s="221" t="str">
        <f t="shared" si="26"/>
        <v>1w</v>
      </c>
      <c r="X1111" s="222">
        <f>_xll.qlCalendarAdvance(Calendar,X1110,W1111,"f",FALSE)</f>
        <v>46602</v>
      </c>
      <c r="Y1111" s="227">
        <f>_xll.qlCalendarAdvance(Calendar,X1111,NDays&amp;"D")</f>
        <v>46602</v>
      </c>
      <c r="Z1111" s="228">
        <v>3.6360435482666251E-2</v>
      </c>
      <c r="AA1111" s="230">
        <v>3.628961084212623E-2</v>
      </c>
    </row>
    <row r="1112" spans="19:27" x14ac:dyDescent="0.2">
      <c r="S1112" s="32"/>
      <c r="T1112" s="187"/>
      <c r="W1112" s="221" t="str">
        <f t="shared" si="26"/>
        <v>1w</v>
      </c>
      <c r="X1112" s="222">
        <f>_xll.qlCalendarAdvance(Calendar,X1111,W1112,"f",FALSE)</f>
        <v>46609</v>
      </c>
      <c r="Y1112" s="227">
        <f>_xll.qlCalendarAdvance(Calendar,X1112,NDays&amp;"D")</f>
        <v>46609</v>
      </c>
      <c r="Z1112" s="228">
        <v>3.6368131552643179E-2</v>
      </c>
      <c r="AA1112" s="230">
        <v>3.6297418293755879E-2</v>
      </c>
    </row>
    <row r="1113" spans="19:27" x14ac:dyDescent="0.2">
      <c r="S1113" s="32"/>
      <c r="T1113" s="187"/>
      <c r="W1113" s="221" t="str">
        <f t="shared" si="26"/>
        <v>1w</v>
      </c>
      <c r="X1113" s="222">
        <f>_xll.qlCalendarAdvance(Calendar,X1112,W1113,"f",FALSE)</f>
        <v>46616</v>
      </c>
      <c r="Y1113" s="227">
        <f>_xll.qlCalendarAdvance(Calendar,X1113,NDays&amp;"D")</f>
        <v>46616</v>
      </c>
      <c r="Z1113" s="228">
        <v>3.6375764760058035E-2</v>
      </c>
      <c r="AA1113" s="230">
        <v>3.6305163065326607E-2</v>
      </c>
    </row>
    <row r="1114" spans="19:27" x14ac:dyDescent="0.2">
      <c r="S1114" s="32"/>
      <c r="T1114" s="187"/>
      <c r="W1114" s="221" t="str">
        <f t="shared" si="26"/>
        <v>1w</v>
      </c>
      <c r="X1114" s="222">
        <f>_xll.qlCalendarAdvance(Calendar,X1113,W1114,"f",FALSE)</f>
        <v>46623</v>
      </c>
      <c r="Y1114" s="227">
        <f>_xll.qlCalendarAdvance(Calendar,X1114,NDays&amp;"D")</f>
        <v>46623</v>
      </c>
      <c r="Z1114" s="228">
        <v>3.6383335104793177E-2</v>
      </c>
      <c r="AA1114" s="230">
        <v>3.6312845157000506E-2</v>
      </c>
    </row>
    <row r="1115" spans="19:27" x14ac:dyDescent="0.2">
      <c r="S1115" s="32"/>
      <c r="T1115" s="187"/>
      <c r="W1115" s="221" t="str">
        <f t="shared" si="26"/>
        <v>1w</v>
      </c>
      <c r="X1115" s="222">
        <f>_xll.qlCalendarAdvance(Calendar,X1114,W1115,"f",FALSE)</f>
        <v>46630</v>
      </c>
      <c r="Y1115" s="227">
        <f>_xll.qlCalendarAdvance(Calendar,X1115,NDays&amp;"D")</f>
        <v>46630</v>
      </c>
      <c r="Z1115" s="228">
        <v>3.638849956223611E-2</v>
      </c>
      <c r="AA1115" s="230">
        <v>3.6320464568534438E-2</v>
      </c>
    </row>
    <row r="1116" spans="19:27" x14ac:dyDescent="0.2">
      <c r="S1116" s="32"/>
      <c r="T1116" s="187"/>
      <c r="W1116" s="221" t="str">
        <f t="shared" si="26"/>
        <v>1w</v>
      </c>
      <c r="X1116" s="222">
        <f>_xll.qlCalendarAdvance(Calendar,X1115,W1116,"f",FALSE)</f>
        <v>46637</v>
      </c>
      <c r="Y1116" s="227">
        <f>_xll.qlCalendarAdvance(Calendar,X1116,NDays&amp;"D")</f>
        <v>46637</v>
      </c>
      <c r="Z1116" s="228">
        <v>3.6395947929889871E-2</v>
      </c>
      <c r="AA1116" s="230">
        <v>3.632802130000945E-2</v>
      </c>
    </row>
    <row r="1117" spans="19:27" x14ac:dyDescent="0.2">
      <c r="S1117" s="32"/>
      <c r="T1117" s="187"/>
      <c r="W1117" s="221" t="str">
        <f t="shared" si="26"/>
        <v>1w</v>
      </c>
      <c r="X1117" s="222">
        <f>_xll.qlCalendarAdvance(Calendar,X1116,W1117,"f",FALSE)</f>
        <v>46644</v>
      </c>
      <c r="Y1117" s="227">
        <f>_xll.qlCalendarAdvance(Calendar,X1117,NDays&amp;"D")</f>
        <v>46644</v>
      </c>
      <c r="Z1117" s="228">
        <v>3.6403333440614714E-2</v>
      </c>
      <c r="AA1117" s="230">
        <v>3.6335515351587633E-2</v>
      </c>
    </row>
    <row r="1118" spans="19:27" x14ac:dyDescent="0.2">
      <c r="S1118" s="32"/>
      <c r="T1118" s="187"/>
      <c r="W1118" s="221" t="str">
        <f t="shared" si="26"/>
        <v>1w</v>
      </c>
      <c r="X1118" s="222">
        <f>_xll.qlCalendarAdvance(Calendar,X1117,W1118,"f",FALSE)</f>
        <v>46651</v>
      </c>
      <c r="Y1118" s="227">
        <f>_xll.qlCalendarAdvance(Calendar,X1118,NDays&amp;"D")</f>
        <v>46651</v>
      </c>
      <c r="Z1118" s="228">
        <v>3.6410656094299873E-2</v>
      </c>
      <c r="AA1118" s="230">
        <v>3.6342946723025848E-2</v>
      </c>
    </row>
    <row r="1119" spans="19:27" x14ac:dyDescent="0.2">
      <c r="S1119" s="32"/>
      <c r="T1119" s="187"/>
      <c r="W1119" s="221" t="str">
        <f t="shared" si="26"/>
        <v>1w</v>
      </c>
      <c r="X1119" s="222">
        <f>_xll.qlCalendarAdvance(Calendar,X1118,W1119,"f",FALSE)</f>
        <v>46658</v>
      </c>
      <c r="Y1119" s="227">
        <f>_xll.qlCalendarAdvance(Calendar,X1119,NDays&amp;"D")</f>
        <v>46658</v>
      </c>
      <c r="Z1119" s="228">
        <v>3.6417915890829176E-2</v>
      </c>
      <c r="AA1119" s="230">
        <v>3.635031541448619E-2</v>
      </c>
    </row>
    <row r="1120" spans="19:27" x14ac:dyDescent="0.2">
      <c r="S1120" s="32"/>
      <c r="T1120" s="187"/>
      <c r="W1120" s="221" t="str">
        <f t="shared" si="26"/>
        <v>1w</v>
      </c>
      <c r="X1120" s="222">
        <f>_xll.qlCalendarAdvance(Calendar,X1119,W1120,"f",FALSE)</f>
        <v>46665</v>
      </c>
      <c r="Y1120" s="227">
        <f>_xll.qlCalendarAdvance(Calendar,X1120,NDays&amp;"D")</f>
        <v>46665</v>
      </c>
      <c r="Z1120" s="228">
        <v>3.6427437050127187E-2</v>
      </c>
      <c r="AA1120" s="230">
        <v>3.6357621425806563E-2</v>
      </c>
    </row>
    <row r="1121" spans="19:27" x14ac:dyDescent="0.2">
      <c r="S1121" s="32"/>
      <c r="T1121" s="187"/>
      <c r="W1121" s="221" t="str">
        <f t="shared" si="26"/>
        <v>1w</v>
      </c>
      <c r="X1121" s="222">
        <f>_xll.qlCalendarAdvance(Calendar,X1120,W1121,"f",FALSE)</f>
        <v>46672</v>
      </c>
      <c r="Y1121" s="227">
        <f>_xll.qlCalendarAdvance(Calendar,X1121,NDays&amp;"D")</f>
        <v>46672</v>
      </c>
      <c r="Z1121" s="228">
        <v>3.6434567352744779E-2</v>
      </c>
      <c r="AA1121" s="230">
        <v>3.6364864757149062E-2</v>
      </c>
    </row>
    <row r="1122" spans="19:27" x14ac:dyDescent="0.2">
      <c r="S1122" s="32"/>
      <c r="T1122" s="187"/>
      <c r="W1122" s="221" t="str">
        <f t="shared" si="26"/>
        <v>1w</v>
      </c>
      <c r="X1122" s="222">
        <f>_xll.qlCalendarAdvance(Calendar,X1121,W1122,"f",FALSE)</f>
        <v>46679</v>
      </c>
      <c r="Y1122" s="227">
        <f>_xll.qlCalendarAdvance(Calendar,X1122,NDays&amp;"D")</f>
        <v>46679</v>
      </c>
      <c r="Z1122" s="228">
        <v>3.6441634791738849E-2</v>
      </c>
      <c r="AA1122" s="230">
        <v>3.6372045408432641E-2</v>
      </c>
    </row>
    <row r="1123" spans="19:27" x14ac:dyDescent="0.2">
      <c r="S1123" s="32"/>
      <c r="T1123" s="187"/>
      <c r="W1123" s="221" t="str">
        <f t="shared" si="26"/>
        <v>1w</v>
      </c>
      <c r="X1123" s="222">
        <f>_xll.qlCalendarAdvance(Calendar,X1122,W1123,"f",FALSE)</f>
        <v>46686</v>
      </c>
      <c r="Y1123" s="227">
        <f>_xll.qlCalendarAdvance(Calendar,X1123,NDays&amp;"D")</f>
        <v>46686</v>
      </c>
      <c r="Z1123" s="228">
        <v>3.6448639366996979E-2</v>
      </c>
      <c r="AA1123" s="230">
        <v>3.6379163379738344E-2</v>
      </c>
    </row>
    <row r="1124" spans="19:27" x14ac:dyDescent="0.2">
      <c r="S1124" s="32"/>
      <c r="T1124" s="187"/>
      <c r="W1124" s="221" t="str">
        <f t="shared" si="26"/>
        <v>1w</v>
      </c>
      <c r="X1124" s="222">
        <f>_xll.qlCalendarAdvance(Calendar,X1123,W1124,"f",FALSE)</f>
        <v>46693</v>
      </c>
      <c r="Y1124" s="227">
        <f>_xll.qlCalendarAdvance(Calendar,X1124,NDays&amp;"D")</f>
        <v>46693</v>
      </c>
      <c r="Z1124" s="228">
        <v>3.6453272012285542E-2</v>
      </c>
      <c r="AA1124" s="230">
        <v>3.638621867090408E-2</v>
      </c>
    </row>
    <row r="1125" spans="19:27" x14ac:dyDescent="0.2">
      <c r="S1125" s="32"/>
      <c r="T1125" s="187"/>
      <c r="W1125" s="221" t="str">
        <f t="shared" si="26"/>
        <v>1w</v>
      </c>
      <c r="X1125" s="222">
        <f>_xll.qlCalendarAdvance(Calendar,X1124,W1125,"f",FALSE)</f>
        <v>46700</v>
      </c>
      <c r="Y1125" s="227">
        <f>_xll.qlCalendarAdvance(Calendar,X1125,NDays&amp;"D")</f>
        <v>46700</v>
      </c>
      <c r="Z1125" s="228">
        <v>3.646015466356993E-2</v>
      </c>
      <c r="AA1125" s="230">
        <v>3.6393211282010896E-2</v>
      </c>
    </row>
    <row r="1126" spans="19:27" x14ac:dyDescent="0.2">
      <c r="S1126" s="32"/>
      <c r="T1126" s="187"/>
      <c r="W1126" s="221" t="str">
        <f t="shared" si="26"/>
        <v>1w</v>
      </c>
      <c r="X1126" s="222">
        <f>_xll.qlCalendarAdvance(Calendar,X1125,W1126,"f",FALSE)</f>
        <v>46707</v>
      </c>
      <c r="Y1126" s="227">
        <f>_xll.qlCalendarAdvance(Calendar,X1126,NDays&amp;"D")</f>
        <v>46707</v>
      </c>
      <c r="Z1126" s="228">
        <v>3.6466974456939326E-2</v>
      </c>
      <c r="AA1126" s="230">
        <v>3.640014121305879E-2</v>
      </c>
    </row>
    <row r="1127" spans="19:27" x14ac:dyDescent="0.2">
      <c r="S1127" s="32"/>
      <c r="T1127" s="187"/>
      <c r="W1127" s="221" t="str">
        <f t="shared" si="26"/>
        <v>1w</v>
      </c>
      <c r="X1127" s="222">
        <f>_xll.qlCalendarAdvance(Calendar,X1126,W1127,"f",FALSE)</f>
        <v>46714</v>
      </c>
      <c r="Y1127" s="227">
        <f>_xll.qlCalendarAdvance(Calendar,X1127,NDays&amp;"D")</f>
        <v>46714</v>
      </c>
      <c r="Z1127" s="228">
        <v>3.6473731392280273E-2</v>
      </c>
      <c r="AA1127" s="230">
        <v>3.6407008464047763E-2</v>
      </c>
    </row>
    <row r="1128" spans="19:27" x14ac:dyDescent="0.2">
      <c r="S1128" s="32"/>
      <c r="T1128" s="187"/>
      <c r="W1128" s="221" t="str">
        <f t="shared" si="26"/>
        <v>1w</v>
      </c>
      <c r="X1128" s="222">
        <f>_xll.qlCalendarAdvance(Calendar,X1127,W1128,"f",FALSE)</f>
        <v>46721</v>
      </c>
      <c r="Y1128" s="227">
        <f>_xll.qlCalendarAdvance(Calendar,X1128,NDays&amp;"D")</f>
        <v>46721</v>
      </c>
      <c r="Z1128" s="228">
        <v>3.6482719283374057E-2</v>
      </c>
      <c r="AA1128" s="230">
        <v>3.6413813034977816E-2</v>
      </c>
    </row>
    <row r="1129" spans="19:27" x14ac:dyDescent="0.2">
      <c r="S1129" s="32"/>
      <c r="T1129" s="187"/>
      <c r="W1129" s="221" t="str">
        <f t="shared" si="26"/>
        <v>1w</v>
      </c>
      <c r="X1129" s="222">
        <f>_xll.qlCalendarAdvance(Calendar,X1128,W1129,"f",FALSE)</f>
        <v>46728</v>
      </c>
      <c r="Y1129" s="227">
        <f>_xll.qlCalendarAdvance(Calendar,X1129,NDays&amp;"D")</f>
        <v>46728</v>
      </c>
      <c r="Z1129" s="228">
        <v>3.6489346673905444E-2</v>
      </c>
      <c r="AA1129" s="230">
        <v>3.6420554925767901E-2</v>
      </c>
    </row>
    <row r="1130" spans="19:27" x14ac:dyDescent="0.2">
      <c r="S1130" s="32"/>
      <c r="T1130" s="187"/>
      <c r="W1130" s="221" t="str">
        <f t="shared" si="26"/>
        <v>1w</v>
      </c>
      <c r="X1130" s="222">
        <f>_xll.qlCalendarAdvance(Calendar,X1129,W1130,"f",FALSE)</f>
        <v>46735</v>
      </c>
      <c r="Y1130" s="227">
        <f>_xll.qlCalendarAdvance(Calendar,X1130,NDays&amp;"D")</f>
        <v>46735</v>
      </c>
      <c r="Z1130" s="228">
        <v>3.6495911199940098E-2</v>
      </c>
      <c r="AA1130" s="230">
        <v>3.6427234136580111E-2</v>
      </c>
    </row>
    <row r="1131" spans="19:27" x14ac:dyDescent="0.2">
      <c r="S1131" s="32"/>
      <c r="T1131" s="187"/>
      <c r="W1131" s="221" t="str">
        <f t="shared" si="26"/>
        <v>1w</v>
      </c>
      <c r="X1131" s="222">
        <f>_xll.qlCalendarAdvance(Calendar,X1130,W1131,"f",FALSE)</f>
        <v>46742</v>
      </c>
      <c r="Y1131" s="227">
        <f>_xll.qlCalendarAdvance(Calendar,X1131,NDays&amp;"D")</f>
        <v>46742</v>
      </c>
      <c r="Z1131" s="228">
        <v>3.6502412861370841E-2</v>
      </c>
      <c r="AA1131" s="230">
        <v>3.6433850667252354E-2</v>
      </c>
    </row>
    <row r="1132" spans="19:27" x14ac:dyDescent="0.2">
      <c r="S1132" s="32"/>
      <c r="T1132" s="187"/>
      <c r="W1132" s="221" t="str">
        <f t="shared" si="26"/>
        <v>1w</v>
      </c>
      <c r="X1132" s="222">
        <f>_xll.qlCalendarAdvance(Calendar,X1131,W1132,"f",FALSE)</f>
        <v>46750</v>
      </c>
      <c r="Y1132" s="227">
        <f>_xll.qlCalendarAdvance(Calendar,X1132,NDays&amp;"D")</f>
        <v>46750</v>
      </c>
      <c r="Z1132" s="228">
        <v>3.6514321533656614E-2</v>
      </c>
      <c r="AA1132" s="230">
        <v>3.6441335665474694E-2</v>
      </c>
    </row>
    <row r="1133" spans="19:27" x14ac:dyDescent="0.2">
      <c r="S1133" s="32"/>
      <c r="T1133" s="187"/>
      <c r="W1133" s="221" t="str">
        <f t="shared" si="26"/>
        <v>1w</v>
      </c>
      <c r="X1133" s="222">
        <f>_xll.qlCalendarAdvance(Calendar,X1132,W1133,"f",FALSE)</f>
        <v>46757</v>
      </c>
      <c r="Y1133" s="227">
        <f>_xll.qlCalendarAdvance(Calendar,X1133,NDays&amp;"D")</f>
        <v>46757</v>
      </c>
      <c r="Z1133" s="228">
        <v>3.6520680774410431E-2</v>
      </c>
      <c r="AA1133" s="230">
        <v>3.6447817881711808E-2</v>
      </c>
    </row>
    <row r="1134" spans="19:27" x14ac:dyDescent="0.2">
      <c r="S1134" s="32"/>
      <c r="T1134" s="187"/>
      <c r="W1134" s="221" t="str">
        <f t="shared" si="26"/>
        <v>1w</v>
      </c>
      <c r="X1134" s="222">
        <f>_xll.qlCalendarAdvance(Calendar,X1133,W1134,"f",FALSE)</f>
        <v>46764</v>
      </c>
      <c r="Y1134" s="227">
        <f>_xll.qlCalendarAdvance(Calendar,X1134,NDays&amp;"D")</f>
        <v>46764</v>
      </c>
      <c r="Z1134" s="228">
        <v>3.6526977137882888E-2</v>
      </c>
      <c r="AA1134" s="230">
        <v>3.6454237417808955E-2</v>
      </c>
    </row>
    <row r="1135" spans="19:27" x14ac:dyDescent="0.2">
      <c r="S1135" s="32"/>
      <c r="T1135" s="187"/>
      <c r="W1135" s="221" t="str">
        <f t="shared" si="26"/>
        <v>1w</v>
      </c>
      <c r="X1135" s="222">
        <f>_xll.qlCalendarAdvance(Calendar,X1134,W1135,"f",FALSE)</f>
        <v>46771</v>
      </c>
      <c r="Y1135" s="227">
        <f>_xll.qlCalendarAdvance(Calendar,X1135,NDays&amp;"D")</f>
        <v>46771</v>
      </c>
      <c r="Z1135" s="228">
        <v>3.6533210623965917E-2</v>
      </c>
      <c r="AA1135" s="230">
        <v>3.6460594273766134E-2</v>
      </c>
    </row>
    <row r="1136" spans="19:27" x14ac:dyDescent="0.2">
      <c r="S1136" s="32"/>
      <c r="T1136" s="187"/>
      <c r="W1136" s="221" t="str">
        <f t="shared" si="26"/>
        <v>1w</v>
      </c>
      <c r="X1136" s="222">
        <f>_xll.qlCalendarAdvance(Calendar,X1135,W1136,"f",FALSE)</f>
        <v>46778</v>
      </c>
      <c r="Y1136" s="227">
        <f>_xll.qlCalendarAdvance(Calendar,X1136,NDays&amp;"D")</f>
        <v>46778</v>
      </c>
      <c r="Z1136" s="228">
        <v>3.6539381232556373E-2</v>
      </c>
      <c r="AA1136" s="230">
        <v>3.6466888449664392E-2</v>
      </c>
    </row>
    <row r="1137" spans="19:27" x14ac:dyDescent="0.2">
      <c r="S1137" s="32"/>
      <c r="T1137" s="187"/>
      <c r="W1137" s="221" t="str">
        <f t="shared" si="26"/>
        <v>1w</v>
      </c>
      <c r="X1137" s="222">
        <f>_xll.qlCalendarAdvance(Calendar,X1136,W1137,"f",FALSE)</f>
        <v>46785</v>
      </c>
      <c r="Y1137" s="227">
        <f>_xll.qlCalendarAdvance(Calendar,X1137,NDays&amp;"D")</f>
        <v>46785</v>
      </c>
      <c r="Z1137" s="228">
        <v>3.6536455078291216E-2</v>
      </c>
      <c r="AA1137" s="230">
        <v>3.6473119945503729E-2</v>
      </c>
    </row>
    <row r="1138" spans="19:27" x14ac:dyDescent="0.2">
      <c r="S1138" s="32"/>
      <c r="T1138" s="187"/>
      <c r="W1138" s="221" t="str">
        <f t="shared" si="26"/>
        <v>1w</v>
      </c>
      <c r="X1138" s="222">
        <f>_xll.qlCalendarAdvance(Calendar,X1137,W1138,"f",FALSE)</f>
        <v>46792</v>
      </c>
      <c r="Y1138" s="227">
        <f>_xll.qlCalendarAdvance(Calendar,X1138,NDays&amp;"D")</f>
        <v>46792</v>
      </c>
      <c r="Z1138" s="228">
        <v>3.6542515472905948E-2</v>
      </c>
      <c r="AA1138" s="230">
        <v>3.6479288761203099E-2</v>
      </c>
    </row>
    <row r="1139" spans="19:27" x14ac:dyDescent="0.2">
      <c r="S1139" s="32"/>
      <c r="T1139" s="187"/>
      <c r="W1139" s="221" t="str">
        <f t="shared" si="26"/>
        <v>1w</v>
      </c>
      <c r="X1139" s="222">
        <f>_xll.qlCalendarAdvance(Calendar,X1138,W1139,"f",FALSE)</f>
        <v>46799</v>
      </c>
      <c r="Y1139" s="227">
        <f>_xll.qlCalendarAdvance(Calendar,X1139,NDays&amp;"D")</f>
        <v>46799</v>
      </c>
      <c r="Z1139" s="228">
        <v>3.6548513014483842E-2</v>
      </c>
      <c r="AA1139" s="230">
        <v>3.6485394896762502E-2</v>
      </c>
    </row>
    <row r="1140" spans="19:27" x14ac:dyDescent="0.2">
      <c r="S1140" s="32"/>
      <c r="T1140" s="187"/>
      <c r="W1140" s="221" t="str">
        <f t="shared" si="26"/>
        <v>1w</v>
      </c>
      <c r="X1140" s="222">
        <f>_xll.qlCalendarAdvance(Calendar,X1139,W1140,"f",FALSE)</f>
        <v>46806</v>
      </c>
      <c r="Y1140" s="227">
        <f>_xll.qlCalendarAdvance(Calendar,X1140,NDays&amp;"D")</f>
        <v>46806</v>
      </c>
      <c r="Z1140" s="228">
        <v>3.6554447702935471E-2</v>
      </c>
      <c r="AA1140" s="230">
        <v>3.649143835234403E-2</v>
      </c>
    </row>
    <row r="1141" spans="19:27" x14ac:dyDescent="0.2">
      <c r="S1141" s="32"/>
      <c r="T1141" s="187"/>
      <c r="W1141" s="221" t="str">
        <f t="shared" si="26"/>
        <v>1w</v>
      </c>
      <c r="X1141" s="222">
        <f>_xll.qlCalendarAdvance(Calendar,X1140,W1141,"f",FALSE)</f>
        <v>46813</v>
      </c>
      <c r="Y1141" s="227">
        <f>_xll.qlCalendarAdvance(Calendar,X1141,NDays&amp;"D")</f>
        <v>46813</v>
      </c>
      <c r="Z1141" s="228">
        <v>3.6569291109445977E-2</v>
      </c>
      <c r="AA1141" s="230">
        <v>3.6497419127623498E-2</v>
      </c>
    </row>
    <row r="1142" spans="19:27" x14ac:dyDescent="0.2">
      <c r="S1142" s="32"/>
      <c r="T1142" s="187"/>
      <c r="W1142" s="221" t="str">
        <f t="shared" si="26"/>
        <v>1w</v>
      </c>
      <c r="X1142" s="222">
        <f>_xll.qlCalendarAdvance(Calendar,X1141,W1142,"f",FALSE)</f>
        <v>46820</v>
      </c>
      <c r="Y1142" s="227">
        <f>_xll.qlCalendarAdvance(Calendar,X1142,NDays&amp;"D")</f>
        <v>46820</v>
      </c>
      <c r="Z1142" s="228">
        <v>3.6575084450902573E-2</v>
      </c>
      <c r="AA1142" s="230">
        <v>3.6503337222925092E-2</v>
      </c>
    </row>
    <row r="1143" spans="19:27" x14ac:dyDescent="0.2">
      <c r="S1143" s="32"/>
      <c r="T1143" s="187"/>
      <c r="W1143" s="221" t="str">
        <f t="shared" si="26"/>
        <v>1w</v>
      </c>
      <c r="X1143" s="222">
        <f>_xll.qlCalendarAdvance(Calendar,X1142,W1143,"f",FALSE)</f>
        <v>46827</v>
      </c>
      <c r="Y1143" s="227">
        <f>_xll.qlCalendarAdvance(Calendar,X1143,NDays&amp;"D")</f>
        <v>46827</v>
      </c>
      <c r="Z1143" s="228">
        <v>3.6583049418734234E-2</v>
      </c>
      <c r="AA1143" s="230">
        <v>3.6509192638005672E-2</v>
      </c>
    </row>
    <row r="1144" spans="19:27" x14ac:dyDescent="0.2">
      <c r="S1144" s="32"/>
      <c r="T1144" s="187"/>
      <c r="W1144" s="221" t="str">
        <f t="shared" si="26"/>
        <v>1w</v>
      </c>
      <c r="X1144" s="222">
        <f>_xll.qlCalendarAdvance(Calendar,X1143,W1144,"f",FALSE)</f>
        <v>46834</v>
      </c>
      <c r="Y1144" s="227">
        <f>_xll.qlCalendarAdvance(Calendar,X1144,NDays&amp;"D")</f>
        <v>46834</v>
      </c>
      <c r="Z1144" s="228">
        <v>3.6586482499095761E-2</v>
      </c>
      <c r="AA1144" s="230">
        <v>3.6514985372946285E-2</v>
      </c>
    </row>
    <row r="1145" spans="19:27" x14ac:dyDescent="0.2">
      <c r="S1145" s="32"/>
      <c r="T1145" s="187"/>
      <c r="W1145" s="221" t="str">
        <f t="shared" si="26"/>
        <v>1w</v>
      </c>
      <c r="X1145" s="222">
        <f>_xll.qlCalendarAdvance(Calendar,X1144,W1145,"f",FALSE)</f>
        <v>46841</v>
      </c>
      <c r="Y1145" s="227">
        <f>_xll.qlCalendarAdvance(Calendar,X1145,NDays&amp;"D")</f>
        <v>46841</v>
      </c>
      <c r="Z1145" s="228">
        <v>3.6585405899704868E-2</v>
      </c>
      <c r="AA1145" s="230">
        <v>3.6520715427827977E-2</v>
      </c>
    </row>
    <row r="1146" spans="19:27" x14ac:dyDescent="0.2">
      <c r="S1146" s="32"/>
      <c r="T1146" s="187"/>
      <c r="W1146" s="221" t="str">
        <f t="shared" si="26"/>
        <v>1w</v>
      </c>
      <c r="X1146" s="222">
        <f>_xll.qlCalendarAdvance(Calendar,X1145,W1146,"f",FALSE)</f>
        <v>46848</v>
      </c>
      <c r="Y1146" s="227">
        <f>_xll.qlCalendarAdvance(Calendar,X1146,NDays&amp;"D")</f>
        <v>46848</v>
      </c>
      <c r="Z1146" s="228">
        <v>3.659095953387189E-2</v>
      </c>
      <c r="AA1146" s="230">
        <v>3.6526382802569701E-2</v>
      </c>
    </row>
    <row r="1147" spans="19:27" x14ac:dyDescent="0.2">
      <c r="S1147" s="32"/>
      <c r="T1147" s="187"/>
      <c r="W1147" s="221" t="str">
        <f t="shared" si="26"/>
        <v>1w</v>
      </c>
      <c r="X1147" s="222">
        <f>_xll.qlCalendarAdvance(Calendar,X1146,W1147,"f",FALSE)</f>
        <v>46855</v>
      </c>
      <c r="Y1147" s="227">
        <f>_xll.qlCalendarAdvance(Calendar,X1147,NDays&amp;"D")</f>
        <v>46855</v>
      </c>
      <c r="Z1147" s="228">
        <v>3.6596450308095073E-2</v>
      </c>
      <c r="AA1147" s="230">
        <v>3.6531987497171459E-2</v>
      </c>
    </row>
    <row r="1148" spans="19:27" x14ac:dyDescent="0.2">
      <c r="S1148" s="32"/>
      <c r="T1148" s="187"/>
      <c r="W1148" s="221" t="str">
        <f t="shared" si="26"/>
        <v>1w</v>
      </c>
      <c r="X1148" s="222">
        <f>_xll.qlCalendarAdvance(Calendar,X1147,W1148,"f",FALSE)</f>
        <v>46862</v>
      </c>
      <c r="Y1148" s="227">
        <f>_xll.qlCalendarAdvance(Calendar,X1148,NDays&amp;"D")</f>
        <v>46862</v>
      </c>
      <c r="Z1148" s="228">
        <v>3.6601878222298767E-2</v>
      </c>
      <c r="AA1148" s="230">
        <v>3.6537529511714295E-2</v>
      </c>
    </row>
    <row r="1149" spans="19:27" x14ac:dyDescent="0.2">
      <c r="S1149" s="32"/>
      <c r="T1149" s="187"/>
      <c r="W1149" s="221" t="str">
        <f t="shared" si="26"/>
        <v>1w</v>
      </c>
      <c r="X1149" s="222">
        <f>_xll.qlCalendarAdvance(Calendar,X1148,W1149,"f",FALSE)</f>
        <v>46869</v>
      </c>
      <c r="Y1149" s="227">
        <f>_xll.qlCalendarAdvance(Calendar,X1149,NDays&amp;"D")</f>
        <v>46869</v>
      </c>
      <c r="Z1149" s="228">
        <v>3.660724327639113E-2</v>
      </c>
      <c r="AA1149" s="230">
        <v>3.6543008846036118E-2</v>
      </c>
    </row>
    <row r="1150" spans="19:27" x14ac:dyDescent="0.2">
      <c r="S1150" s="32"/>
      <c r="T1150" s="187"/>
      <c r="W1150" s="221" t="str">
        <f t="shared" si="26"/>
        <v>1w</v>
      </c>
      <c r="X1150" s="222">
        <f>_xll.qlCalendarAdvance(Calendar,X1149,W1150,"f",FALSE)</f>
        <v>46876</v>
      </c>
      <c r="Y1150" s="227">
        <f>_xll.qlCalendarAdvance(Calendar,X1150,NDays&amp;"D")</f>
        <v>46876</v>
      </c>
      <c r="Z1150" s="228">
        <v>3.6619167559063248E-2</v>
      </c>
      <c r="AA1150" s="230">
        <v>3.6548425500217974E-2</v>
      </c>
    </row>
    <row r="1151" spans="19:27" x14ac:dyDescent="0.2">
      <c r="S1151" s="32"/>
      <c r="T1151" s="187"/>
      <c r="W1151" s="221" t="str">
        <f t="shared" si="26"/>
        <v>1w</v>
      </c>
      <c r="X1151" s="222">
        <f>_xll.qlCalendarAdvance(Calendar,X1150,W1151,"f",FALSE)</f>
        <v>46883</v>
      </c>
      <c r="Y1151" s="227">
        <f>_xll.qlCalendarAdvance(Calendar,X1151,NDays&amp;"D")</f>
        <v>46883</v>
      </c>
      <c r="Z1151" s="228">
        <v>3.6624394993245706E-2</v>
      </c>
      <c r="AA1151" s="230">
        <v>3.6553779474259862E-2</v>
      </c>
    </row>
    <row r="1152" spans="19:27" x14ac:dyDescent="0.2">
      <c r="S1152" s="32"/>
      <c r="T1152" s="187"/>
      <c r="W1152" s="221" t="str">
        <f t="shared" si="26"/>
        <v>1w</v>
      </c>
      <c r="X1152" s="222">
        <f>_xll.qlCalendarAdvance(Calendar,X1151,W1152,"f",FALSE)</f>
        <v>46890</v>
      </c>
      <c r="Y1152" s="227">
        <f>_xll.qlCalendarAdvance(Calendar,X1152,NDays&amp;"D")</f>
        <v>46890</v>
      </c>
      <c r="Z1152" s="228">
        <v>3.6629559548378515E-2</v>
      </c>
      <c r="AA1152" s="230">
        <v>3.6559070768080737E-2</v>
      </c>
    </row>
    <row r="1153" spans="19:27" x14ac:dyDescent="0.2">
      <c r="S1153" s="32"/>
      <c r="T1153" s="187"/>
      <c r="W1153" s="221" t="str">
        <f t="shared" si="26"/>
        <v>1w</v>
      </c>
      <c r="X1153" s="222">
        <f>_xll.qlCalendarAdvance(Calendar,X1152,W1153,"f",FALSE)</f>
        <v>46897</v>
      </c>
      <c r="Y1153" s="227">
        <f>_xll.qlCalendarAdvance(Calendar,X1153,NDays&amp;"D")</f>
        <v>46897</v>
      </c>
      <c r="Z1153" s="228">
        <v>3.6634661224380638E-2</v>
      </c>
      <c r="AA1153" s="230">
        <v>3.6564299381842691E-2</v>
      </c>
    </row>
    <row r="1154" spans="19:27" x14ac:dyDescent="0.2">
      <c r="S1154" s="32"/>
      <c r="T1154" s="187"/>
      <c r="W1154" s="221" t="str">
        <f t="shared" si="26"/>
        <v>1w</v>
      </c>
      <c r="X1154" s="222">
        <f>_xll.qlCalendarAdvance(Calendar,X1153,W1154,"f",FALSE)</f>
        <v>46904</v>
      </c>
      <c r="Y1154" s="227">
        <f>_xll.qlCalendarAdvance(Calendar,X1154,NDays&amp;"D")</f>
        <v>46904</v>
      </c>
      <c r="Z1154" s="228">
        <v>3.663312564234622E-2</v>
      </c>
      <c r="AA1154" s="230">
        <v>3.6569465315464678E-2</v>
      </c>
    </row>
    <row r="1155" spans="19:27" x14ac:dyDescent="0.2">
      <c r="S1155" s="32"/>
      <c r="T1155" s="187"/>
      <c r="W1155" s="221" t="str">
        <f t="shared" si="26"/>
        <v>1w</v>
      </c>
      <c r="X1155" s="222">
        <f>_xll.qlCalendarAdvance(Calendar,X1154,W1155,"f",FALSE)</f>
        <v>46911</v>
      </c>
      <c r="Y1155" s="227">
        <f>_xll.qlCalendarAdvance(Calendar,X1155,NDays&amp;"D")</f>
        <v>46911</v>
      </c>
      <c r="Z1155" s="228">
        <v>3.6638113534076686E-2</v>
      </c>
      <c r="AA1155" s="230">
        <v>3.6574568568946697E-2</v>
      </c>
    </row>
    <row r="1156" spans="19:27" x14ac:dyDescent="0.2">
      <c r="S1156" s="32"/>
      <c r="T1156" s="187"/>
      <c r="W1156" s="221" t="str">
        <f t="shared" si="26"/>
        <v>1w</v>
      </c>
      <c r="X1156" s="222">
        <f>_xll.qlCalendarAdvance(Calendar,X1155,W1156,"f",FALSE)</f>
        <v>46918</v>
      </c>
      <c r="Y1156" s="227">
        <f>_xll.qlCalendarAdvance(Calendar,X1156,NDays&amp;"D")</f>
        <v>46918</v>
      </c>
      <c r="Z1156" s="228">
        <v>3.6643038565139285E-2</v>
      </c>
      <c r="AA1156" s="230">
        <v>3.6579609142207703E-2</v>
      </c>
    </row>
    <row r="1157" spans="19:27" x14ac:dyDescent="0.2">
      <c r="S1157" s="32"/>
      <c r="T1157" s="187"/>
      <c r="W1157" s="221" t="str">
        <f t="shared" si="26"/>
        <v>1w</v>
      </c>
      <c r="X1157" s="222">
        <f>_xll.qlCalendarAdvance(Calendar,X1156,W1157,"f",FALSE)</f>
        <v>46925</v>
      </c>
      <c r="Y1157" s="227">
        <f>_xll.qlCalendarAdvance(Calendar,X1157,NDays&amp;"D")</f>
        <v>46925</v>
      </c>
      <c r="Z1157" s="228">
        <v>3.6647900735455693E-2</v>
      </c>
      <c r="AA1157" s="230">
        <v>3.6584587035328742E-2</v>
      </c>
    </row>
    <row r="1158" spans="19:27" x14ac:dyDescent="0.2">
      <c r="S1158" s="32"/>
      <c r="T1158" s="187"/>
      <c r="W1158" s="221" t="str">
        <f t="shared" si="26"/>
        <v>1w</v>
      </c>
      <c r="X1158" s="222">
        <f>_xll.qlCalendarAdvance(Calendar,X1157,W1158,"f",FALSE)</f>
        <v>46932</v>
      </c>
      <c r="Y1158" s="227">
        <f>_xll.qlCalendarAdvance(Calendar,X1158,NDays&amp;"D")</f>
        <v>46932</v>
      </c>
      <c r="Z1158" s="228">
        <v>3.6652700044952954E-2</v>
      </c>
      <c r="AA1158" s="230">
        <v>3.6589502248309813E-2</v>
      </c>
    </row>
    <row r="1159" spans="19:27" x14ac:dyDescent="0.2">
      <c r="S1159" s="32"/>
      <c r="T1159" s="187"/>
      <c r="W1159" s="221" t="str">
        <f t="shared" si="26"/>
        <v>1w</v>
      </c>
      <c r="X1159" s="222">
        <f>_xll.qlCalendarAdvance(Calendar,X1158,W1159,"f",FALSE)</f>
        <v>46939</v>
      </c>
      <c r="Y1159" s="227">
        <f>_xll.qlCalendarAdvance(Calendar,X1159,NDays&amp;"D")</f>
        <v>46939</v>
      </c>
      <c r="Z1159" s="228">
        <v>3.6663950813832759E-2</v>
      </c>
      <c r="AA1159" s="230">
        <v>3.6594354781069871E-2</v>
      </c>
    </row>
    <row r="1160" spans="19:27" x14ac:dyDescent="0.2">
      <c r="S1160" s="32"/>
      <c r="T1160" s="187"/>
      <c r="W1160" s="221" t="str">
        <f t="shared" si="26"/>
        <v>1w</v>
      </c>
      <c r="X1160" s="222">
        <f>_xll.qlCalendarAdvance(Calendar,X1159,W1160,"f",FALSE)</f>
        <v>46946</v>
      </c>
      <c r="Y1160" s="227">
        <f>_xll.qlCalendarAdvance(Calendar,X1160,NDays&amp;"D")</f>
        <v>46946</v>
      </c>
      <c r="Z1160" s="228">
        <v>3.666861233354024E-2</v>
      </c>
      <c r="AA1160" s="230">
        <v>3.6599144633608915E-2</v>
      </c>
    </row>
    <row r="1161" spans="19:27" x14ac:dyDescent="0.2">
      <c r="S1161" s="32"/>
      <c r="T1161" s="187"/>
      <c r="W1161" s="221" t="str">
        <f t="shared" si="26"/>
        <v>1w</v>
      </c>
      <c r="X1161" s="222">
        <f>_xll.qlCalendarAdvance(Calendar,X1160,W1161,"f",FALSE)</f>
        <v>46953</v>
      </c>
      <c r="Y1161" s="227">
        <f>_xll.qlCalendarAdvance(Calendar,X1161,NDays&amp;"D")</f>
        <v>46953</v>
      </c>
      <c r="Z1161" s="228">
        <v>3.6673210973449007E-2</v>
      </c>
      <c r="AA1161" s="230">
        <v>3.6603871806089039E-2</v>
      </c>
    </row>
    <row r="1162" spans="19:27" x14ac:dyDescent="0.2">
      <c r="S1162" s="32"/>
      <c r="T1162" s="187"/>
      <c r="W1162" s="221" t="str">
        <f t="shared" si="26"/>
        <v>1w</v>
      </c>
      <c r="X1162" s="222">
        <f>_xll.qlCalendarAdvance(Calendar,X1161,W1162,"f",FALSE)</f>
        <v>46960</v>
      </c>
      <c r="Y1162" s="227">
        <f>_xll.qlCalendarAdvance(Calendar,X1162,NDays&amp;"D")</f>
        <v>46960</v>
      </c>
      <c r="Z1162" s="228">
        <v>3.6679905605506123E-2</v>
      </c>
      <c r="AA1162" s="230">
        <v>3.6608536298348149E-2</v>
      </c>
    </row>
    <row r="1163" spans="19:27" x14ac:dyDescent="0.2">
      <c r="S1163" s="32"/>
      <c r="T1163" s="187"/>
      <c r="W1163" s="221" t="str">
        <f t="shared" si="26"/>
        <v>1w</v>
      </c>
      <c r="X1163" s="222">
        <f>_xll.qlCalendarAdvance(Calendar,X1162,W1163,"f",FALSE)</f>
        <v>46967</v>
      </c>
      <c r="Y1163" s="227">
        <f>_xll.qlCalendarAdvance(Calendar,X1163,NDays&amp;"D")</f>
        <v>46967</v>
      </c>
      <c r="Z1163" s="228">
        <v>3.6682219613568344E-2</v>
      </c>
      <c r="AA1163" s="230">
        <v>3.6613138110467291E-2</v>
      </c>
    </row>
    <row r="1164" spans="19:27" x14ac:dyDescent="0.2">
      <c r="S1164" s="32"/>
      <c r="T1164" s="187"/>
      <c r="W1164" s="221" t="str">
        <f t="shared" si="26"/>
        <v>1w</v>
      </c>
      <c r="X1164" s="222">
        <f>_xll.qlCalendarAdvance(Calendar,X1163,W1164,"f",FALSE)</f>
        <v>46974</v>
      </c>
      <c r="Y1164" s="227">
        <f>_xll.qlCalendarAdvance(Calendar,X1164,NDays&amp;"D")</f>
        <v>46974</v>
      </c>
      <c r="Z1164" s="228">
        <v>3.6686629613626634E-2</v>
      </c>
      <c r="AA1164" s="230">
        <v>3.6617677242365421E-2</v>
      </c>
    </row>
    <row r="1165" spans="19:27" x14ac:dyDescent="0.2">
      <c r="S1165" s="32"/>
      <c r="T1165" s="187"/>
      <c r="W1165" s="221" t="str">
        <f t="shared" si="26"/>
        <v>1w</v>
      </c>
      <c r="X1165" s="222">
        <f>_xll.qlCalendarAdvance(Calendar,X1164,W1165,"f",FALSE)</f>
        <v>46981</v>
      </c>
      <c r="Y1165" s="227">
        <f>_xll.qlCalendarAdvance(Calendar,X1165,NDays&amp;"D")</f>
        <v>46981</v>
      </c>
      <c r="Z1165" s="228">
        <v>3.6690976733579232E-2</v>
      </c>
      <c r="AA1165" s="230">
        <v>3.6622153694123583E-2</v>
      </c>
    </row>
    <row r="1166" spans="19:27" x14ac:dyDescent="0.2">
      <c r="S1166" s="32"/>
      <c r="T1166" s="187"/>
      <c r="W1166" s="221" t="str">
        <f t="shared" si="26"/>
        <v>1w</v>
      </c>
      <c r="X1166" s="222">
        <f>_xll.qlCalendarAdvance(Calendar,X1165,W1166,"f",FALSE)</f>
        <v>46988</v>
      </c>
      <c r="Y1166" s="227">
        <f>_xll.qlCalendarAdvance(Calendar,X1166,NDays&amp;"D")</f>
        <v>46988</v>
      </c>
      <c r="Z1166" s="228">
        <v>3.669526097335736E-2</v>
      </c>
      <c r="AA1166" s="230">
        <v>3.6626567465660731E-2</v>
      </c>
    </row>
    <row r="1167" spans="19:27" x14ac:dyDescent="0.2">
      <c r="S1167" s="32"/>
      <c r="T1167" s="187"/>
      <c r="W1167" s="221" t="str">
        <f t="shared" si="26"/>
        <v>1w</v>
      </c>
      <c r="X1167" s="222">
        <f>_xll.qlCalendarAdvance(Calendar,X1166,W1167,"f",FALSE)</f>
        <v>46995</v>
      </c>
      <c r="Y1167" s="227">
        <f>_xll.qlCalendarAdvance(Calendar,X1167,NDays&amp;"D")</f>
        <v>46995</v>
      </c>
      <c r="Z1167" s="228">
        <v>3.6693065081599051E-2</v>
      </c>
      <c r="AA1167" s="230">
        <v>3.6630918557057912E-2</v>
      </c>
    </row>
    <row r="1168" spans="19:27" x14ac:dyDescent="0.2">
      <c r="S1168" s="32"/>
      <c r="T1168" s="187"/>
      <c r="W1168" s="221" t="str">
        <f t="shared" si="26"/>
        <v>1w</v>
      </c>
      <c r="X1168" s="222">
        <f>_xll.qlCalendarAdvance(Calendar,X1167,W1168,"f",FALSE)</f>
        <v>47002</v>
      </c>
      <c r="Y1168" s="227">
        <f>_xll.qlCalendarAdvance(Calendar,X1168,NDays&amp;"D")</f>
        <v>47002</v>
      </c>
      <c r="Z1168" s="228">
        <v>3.6697235778976843E-2</v>
      </c>
      <c r="AA1168" s="230">
        <v>3.663520696823408E-2</v>
      </c>
    </row>
    <row r="1169" spans="19:27" x14ac:dyDescent="0.2">
      <c r="S1169" s="32"/>
      <c r="T1169" s="187"/>
      <c r="W1169" s="221" t="str">
        <f t="shared" si="26"/>
        <v>1w</v>
      </c>
      <c r="X1169" s="222">
        <f>_xll.qlCalendarAdvance(Calendar,X1168,W1169,"f",FALSE)</f>
        <v>47009</v>
      </c>
      <c r="Y1169" s="227">
        <f>_xll.qlCalendarAdvance(Calendar,X1169,NDays&amp;"D")</f>
        <v>47009</v>
      </c>
      <c r="Z1169" s="228">
        <v>3.6701343614768255E-2</v>
      </c>
      <c r="AA1169" s="230">
        <v>3.6639432699189234E-2</v>
      </c>
    </row>
    <row r="1170" spans="19:27" x14ac:dyDescent="0.2">
      <c r="S1170" s="32"/>
      <c r="T1170" s="187"/>
      <c r="W1170" s="221" t="str">
        <f t="shared" si="26"/>
        <v>1w</v>
      </c>
      <c r="X1170" s="222">
        <f>_xll.qlCalendarAdvance(Calendar,X1169,W1170,"f",FALSE)</f>
        <v>47016</v>
      </c>
      <c r="Y1170" s="227">
        <f>_xll.qlCalendarAdvance(Calendar,X1170,NDays&amp;"D")</f>
        <v>47016</v>
      </c>
      <c r="Z1170" s="228">
        <v>3.6705388588916553E-2</v>
      </c>
      <c r="AA1170" s="230">
        <v>3.6643595750004421E-2</v>
      </c>
    </row>
    <row r="1171" spans="19:27" x14ac:dyDescent="0.2">
      <c r="S1171" s="32"/>
      <c r="T1171" s="187"/>
      <c r="W1171" s="221" t="str">
        <f t="shared" si="26"/>
        <v>1w</v>
      </c>
      <c r="X1171" s="222">
        <f>_xll.qlCalendarAdvance(Calendar,X1170,W1171,"f",FALSE)</f>
        <v>47023</v>
      </c>
      <c r="Y1171" s="227">
        <f>_xll.qlCalendarAdvance(Calendar,X1171,NDays&amp;"D")</f>
        <v>47023</v>
      </c>
      <c r="Z1171" s="228">
        <v>3.6709370701354202E-2</v>
      </c>
      <c r="AA1171" s="230">
        <v>3.6647696120598594E-2</v>
      </c>
    </row>
    <row r="1172" spans="19:27" x14ac:dyDescent="0.2">
      <c r="S1172" s="32"/>
      <c r="T1172" s="187"/>
      <c r="W1172" s="221" t="str">
        <f t="shared" si="26"/>
        <v>1w</v>
      </c>
      <c r="X1172" s="222">
        <f>_xll.qlCalendarAdvance(Calendar,X1171,W1172,"f",FALSE)</f>
        <v>47030</v>
      </c>
      <c r="Y1172" s="227">
        <f>_xll.qlCalendarAdvance(Calendar,X1172,NDays&amp;"D")</f>
        <v>47030</v>
      </c>
      <c r="Z1172" s="228">
        <v>3.6719645924309971E-2</v>
      </c>
      <c r="AA1172" s="230">
        <v>3.66517338110528E-2</v>
      </c>
    </row>
    <row r="1173" spans="19:27" x14ac:dyDescent="0.2">
      <c r="S1173" s="32"/>
      <c r="T1173" s="187"/>
      <c r="W1173" s="221" t="str">
        <f t="shared" ref="W1173:W1236" si="27">W1172</f>
        <v>1w</v>
      </c>
      <c r="X1173" s="222">
        <f>_xll.qlCalendarAdvance(Calendar,X1172,W1173,"f",FALSE)</f>
        <v>47037</v>
      </c>
      <c r="Y1173" s="227">
        <f>_xll.qlCalendarAdvance(Calendar,X1173,NDays&amp;"D")</f>
        <v>47037</v>
      </c>
      <c r="Z1173" s="228">
        <v>3.6723490000870135E-2</v>
      </c>
      <c r="AA1173" s="230">
        <v>3.6655708821204946E-2</v>
      </c>
    </row>
    <row r="1174" spans="19:27" x14ac:dyDescent="0.2">
      <c r="S1174" s="32"/>
      <c r="T1174" s="187"/>
      <c r="W1174" s="221" t="str">
        <f t="shared" si="27"/>
        <v>1w</v>
      </c>
      <c r="X1174" s="222">
        <f>_xll.qlCalendarAdvance(Calendar,X1173,W1174,"f",FALSE)</f>
        <v>47044</v>
      </c>
      <c r="Y1174" s="227">
        <f>_xll.qlCalendarAdvance(Calendar,X1174,NDays&amp;"D")</f>
        <v>47044</v>
      </c>
      <c r="Z1174" s="228">
        <v>3.6727271196705699E-2</v>
      </c>
      <c r="AA1174" s="230">
        <v>3.6659621151217126E-2</v>
      </c>
    </row>
    <row r="1175" spans="19:27" x14ac:dyDescent="0.2">
      <c r="S1175" s="32"/>
      <c r="T1175" s="187"/>
      <c r="W1175" s="221" t="str">
        <f t="shared" si="27"/>
        <v>1w</v>
      </c>
      <c r="X1175" s="222">
        <f>_xll.qlCalendarAdvance(Calendar,X1174,W1175,"f",FALSE)</f>
        <v>47051</v>
      </c>
      <c r="Y1175" s="227">
        <f>_xll.qlCalendarAdvance(Calendar,X1175,NDays&amp;"D")</f>
        <v>47051</v>
      </c>
      <c r="Z1175" s="228">
        <v>3.6730989511745436E-2</v>
      </c>
      <c r="AA1175" s="230">
        <v>3.6663470801008291E-2</v>
      </c>
    </row>
    <row r="1176" spans="19:27" x14ac:dyDescent="0.2">
      <c r="S1176" s="32"/>
      <c r="T1176" s="187"/>
      <c r="W1176" s="221" t="str">
        <f t="shared" si="27"/>
        <v>1w</v>
      </c>
      <c r="X1176" s="222">
        <f>_xll.qlCalendarAdvance(Calendar,X1175,W1176,"f",FALSE)</f>
        <v>47058</v>
      </c>
      <c r="Y1176" s="227">
        <f>_xll.qlCalendarAdvance(Calendar,X1176,NDays&amp;"D")</f>
        <v>47058</v>
      </c>
      <c r="Z1176" s="228">
        <v>3.6728338335799769E-2</v>
      </c>
      <c r="AA1176" s="230">
        <v>3.6667257770740536E-2</v>
      </c>
    </row>
    <row r="1177" spans="19:27" x14ac:dyDescent="0.2">
      <c r="S1177" s="32"/>
      <c r="T1177" s="187"/>
      <c r="W1177" s="221" t="str">
        <f t="shared" si="27"/>
        <v>1w</v>
      </c>
      <c r="X1177" s="222">
        <f>_xll.qlCalendarAdvance(Calendar,X1176,W1177,"f",FALSE)</f>
        <v>47065</v>
      </c>
      <c r="Y1177" s="227">
        <f>_xll.qlCalendarAdvance(Calendar,X1177,NDays&amp;"D")</f>
        <v>47065</v>
      </c>
      <c r="Z1177" s="228">
        <v>3.6731943276730794E-2</v>
      </c>
      <c r="AA1177" s="230">
        <v>3.6670982060089674E-2</v>
      </c>
    </row>
    <row r="1178" spans="19:27" x14ac:dyDescent="0.2">
      <c r="S1178" s="32"/>
      <c r="T1178" s="187"/>
      <c r="W1178" s="221" t="str">
        <f t="shared" si="27"/>
        <v>1w</v>
      </c>
      <c r="X1178" s="222">
        <f>_xll.qlCalendarAdvance(Calendar,X1177,W1178,"f",FALSE)</f>
        <v>47072</v>
      </c>
      <c r="Y1178" s="227">
        <f>_xll.qlCalendarAdvance(Calendar,X1178,NDays&amp;"D")</f>
        <v>47072</v>
      </c>
      <c r="Z1178" s="228">
        <v>3.673548535554054E-2</v>
      </c>
      <c r="AA1178" s="230">
        <v>3.6674643669298845E-2</v>
      </c>
    </row>
    <row r="1179" spans="19:27" x14ac:dyDescent="0.2">
      <c r="S1179" s="32"/>
      <c r="T1179" s="187"/>
      <c r="W1179" s="221" t="str">
        <f t="shared" si="27"/>
        <v>1w</v>
      </c>
      <c r="X1179" s="222">
        <f>_xll.qlCalendarAdvance(Calendar,X1178,W1179,"f",FALSE)</f>
        <v>47079</v>
      </c>
      <c r="Y1179" s="227">
        <f>_xll.qlCalendarAdvance(Calendar,X1179,NDays&amp;"D")</f>
        <v>47079</v>
      </c>
      <c r="Z1179" s="228">
        <v>3.6738964572177665E-2</v>
      </c>
      <c r="AA1179" s="230">
        <v>3.6678242598287003E-2</v>
      </c>
    </row>
    <row r="1180" spans="19:27" x14ac:dyDescent="0.2">
      <c r="S1180" s="32"/>
      <c r="T1180" s="187"/>
      <c r="W1180" s="221" t="str">
        <f t="shared" si="27"/>
        <v>1w</v>
      </c>
      <c r="X1180" s="222">
        <f>_xll.qlCalendarAdvance(Calendar,X1179,W1180,"f",FALSE)</f>
        <v>47086</v>
      </c>
      <c r="Y1180" s="227">
        <f>_xll.qlCalendarAdvance(Calendar,X1180,NDays&amp;"D")</f>
        <v>47086</v>
      </c>
      <c r="Z1180" s="228">
        <v>3.6742380926585438E-2</v>
      </c>
      <c r="AA1180" s="230">
        <v>3.6681778846973101E-2</v>
      </c>
    </row>
    <row r="1181" spans="19:27" x14ac:dyDescent="0.2">
      <c r="S1181" s="32"/>
      <c r="T1181" s="187"/>
      <c r="W1181" s="221" t="str">
        <f t="shared" si="27"/>
        <v>1w</v>
      </c>
      <c r="X1181" s="222">
        <f>_xll.qlCalendarAdvance(Calendar,X1180,W1181,"f",FALSE)</f>
        <v>47093</v>
      </c>
      <c r="Y1181" s="227">
        <f>_xll.qlCalendarAdvance(Calendar,X1181,NDays&amp;"D")</f>
        <v>47093</v>
      </c>
      <c r="Z1181" s="228">
        <v>3.6751978901850474E-2</v>
      </c>
      <c r="AA1181" s="230">
        <v>3.6685252415519232E-2</v>
      </c>
    </row>
    <row r="1182" spans="19:27" x14ac:dyDescent="0.2">
      <c r="S1182" s="32"/>
      <c r="T1182" s="187"/>
      <c r="W1182" s="221" t="str">
        <f t="shared" si="27"/>
        <v>1w</v>
      </c>
      <c r="X1182" s="222">
        <f>_xll.qlCalendarAdvance(Calendar,X1181,W1182,"f",FALSE)</f>
        <v>47100</v>
      </c>
      <c r="Y1182" s="227">
        <f>_xll.qlCalendarAdvance(Calendar,X1182,NDays&amp;"D")</f>
        <v>47100</v>
      </c>
      <c r="Z1182" s="228">
        <v>3.6755257049622396E-2</v>
      </c>
      <c r="AA1182" s="230">
        <v>3.6688663303844349E-2</v>
      </c>
    </row>
    <row r="1183" spans="19:27" x14ac:dyDescent="0.2">
      <c r="S1183" s="32"/>
      <c r="T1183" s="187"/>
      <c r="W1183" s="221" t="str">
        <f t="shared" si="27"/>
        <v>1w</v>
      </c>
      <c r="X1183" s="222">
        <f>_xll.qlCalendarAdvance(Calendar,X1182,W1183,"f",FALSE)</f>
        <v>47107</v>
      </c>
      <c r="Y1183" s="227">
        <f>_xll.qlCalendarAdvance(Calendar,X1183,NDays&amp;"D")</f>
        <v>47107</v>
      </c>
      <c r="Z1183" s="228">
        <v>3.6758472316131864E-2</v>
      </c>
      <c r="AA1183" s="230">
        <v>3.6692011511948452E-2</v>
      </c>
    </row>
    <row r="1184" spans="19:27" x14ac:dyDescent="0.2">
      <c r="S1184" s="32"/>
      <c r="T1184" s="187"/>
      <c r="W1184" s="221" t="str">
        <f t="shared" si="27"/>
        <v>1w</v>
      </c>
      <c r="X1184" s="222">
        <f>_xll.qlCalendarAdvance(Calendar,X1183,W1184,"f",FALSE)</f>
        <v>47114</v>
      </c>
      <c r="Y1184" s="227">
        <f>_xll.qlCalendarAdvance(Calendar,X1184,NDays&amp;"D")</f>
        <v>47114</v>
      </c>
      <c r="Z1184" s="228">
        <v>3.676162470131257E-2</v>
      </c>
      <c r="AA1184" s="230">
        <v>3.6695297039912589E-2</v>
      </c>
    </row>
    <row r="1185" spans="19:27" x14ac:dyDescent="0.2">
      <c r="S1185" s="32"/>
      <c r="T1185" s="187"/>
      <c r="W1185" s="221" t="str">
        <f t="shared" si="27"/>
        <v>1w</v>
      </c>
      <c r="X1185" s="222">
        <f>_xll.qlCalendarAdvance(Calendar,X1184,W1185,"f",FALSE)</f>
        <v>47121</v>
      </c>
      <c r="Y1185" s="227">
        <f>_xll.qlCalendarAdvance(Calendar,X1185,NDays&amp;"D")</f>
        <v>47121</v>
      </c>
      <c r="Z1185" s="228">
        <v>3.6764714205115387E-2</v>
      </c>
      <c r="AA1185" s="230">
        <v>3.6698519887574665E-2</v>
      </c>
    </row>
    <row r="1186" spans="19:27" x14ac:dyDescent="0.2">
      <c r="S1186" s="32"/>
      <c r="T1186" s="187"/>
      <c r="W1186" s="221" t="str">
        <f t="shared" si="27"/>
        <v>1w</v>
      </c>
      <c r="X1186" s="222">
        <f>_xll.qlCalendarAdvance(Calendar,X1185,W1186,"f",FALSE)</f>
        <v>47128</v>
      </c>
      <c r="Y1186" s="227">
        <f>_xll.qlCalendarAdvance(Calendar,X1186,NDays&amp;"D")</f>
        <v>47128</v>
      </c>
      <c r="Z1186" s="228">
        <v>3.6767740827488751E-2</v>
      </c>
      <c r="AA1186" s="230">
        <v>3.6701680055015728E-2</v>
      </c>
    </row>
    <row r="1187" spans="19:27" x14ac:dyDescent="0.2">
      <c r="S1187" s="32"/>
      <c r="T1187" s="187"/>
      <c r="W1187" s="221" t="str">
        <f t="shared" si="27"/>
        <v>1w</v>
      </c>
      <c r="X1187" s="222">
        <f>_xll.qlCalendarAdvance(Calendar,X1186,W1187,"f",FALSE)</f>
        <v>47135</v>
      </c>
      <c r="Y1187" s="227">
        <f>_xll.qlCalendarAdvance(Calendar,X1187,NDays&amp;"D")</f>
        <v>47135</v>
      </c>
      <c r="Z1187" s="228">
        <v>3.6770704568383543E-2</v>
      </c>
      <c r="AA1187" s="230">
        <v>3.6704777542316824E-2</v>
      </c>
    </row>
    <row r="1188" spans="19:27" x14ac:dyDescent="0.2">
      <c r="S1188" s="32"/>
      <c r="T1188" s="187"/>
      <c r="W1188" s="221" t="str">
        <f t="shared" si="27"/>
        <v>1w</v>
      </c>
      <c r="X1188" s="222">
        <f>_xll.qlCalendarAdvance(Calendar,X1187,W1188,"f",FALSE)</f>
        <v>47142</v>
      </c>
      <c r="Y1188" s="227">
        <f>_xll.qlCalendarAdvance(Calendar,X1188,NDays&amp;"D")</f>
        <v>47142</v>
      </c>
      <c r="Z1188" s="228">
        <v>3.6773605427743272E-2</v>
      </c>
      <c r="AA1188" s="230">
        <v>3.670781234931586E-2</v>
      </c>
    </row>
    <row r="1189" spans="19:27" x14ac:dyDescent="0.2">
      <c r="S1189" s="32"/>
      <c r="T1189" s="187"/>
      <c r="W1189" s="221" t="str">
        <f t="shared" si="27"/>
        <v>1w</v>
      </c>
      <c r="X1189" s="222">
        <f>_xll.qlCalendarAdvance(Calendar,X1188,W1189,"f",FALSE)</f>
        <v>47149</v>
      </c>
      <c r="Y1189" s="227">
        <f>_xll.qlCalendarAdvance(Calendar,X1189,NDays&amp;"D")</f>
        <v>47149</v>
      </c>
      <c r="Z1189" s="228">
        <v>3.6766201923870735E-2</v>
      </c>
      <c r="AA1189" s="230">
        <v>3.6710784476012837E-2</v>
      </c>
    </row>
    <row r="1190" spans="19:27" x14ac:dyDescent="0.2">
      <c r="S1190" s="32"/>
      <c r="T1190" s="187"/>
      <c r="W1190" s="221" t="str">
        <f t="shared" si="27"/>
        <v>1w</v>
      </c>
      <c r="X1190" s="222">
        <f>_xll.qlCalendarAdvance(Calendar,X1189,W1190,"f",FALSE)</f>
        <v>47156</v>
      </c>
      <c r="Y1190" s="227">
        <f>_xll.qlCalendarAdvance(Calendar,X1190,NDays&amp;"D")</f>
        <v>47156</v>
      </c>
      <c r="Z1190" s="228">
        <v>3.6768998071061668E-2</v>
      </c>
      <c r="AA1190" s="230">
        <v>3.6713693922650892E-2</v>
      </c>
    </row>
    <row r="1191" spans="19:27" x14ac:dyDescent="0.2">
      <c r="S1191" s="32"/>
      <c r="T1191" s="187"/>
      <c r="W1191" s="221" t="str">
        <f t="shared" si="27"/>
        <v>1w</v>
      </c>
      <c r="X1191" s="222">
        <f>_xll.qlCalendarAdvance(Calendar,X1190,W1191,"f",FALSE)</f>
        <v>47163</v>
      </c>
      <c r="Y1191" s="227">
        <f>_xll.qlCalendarAdvance(Calendar,X1191,NDays&amp;"D")</f>
        <v>47163</v>
      </c>
      <c r="Z1191" s="228">
        <v>3.6771731368103584E-2</v>
      </c>
      <c r="AA1191" s="230">
        <v>3.6716540688986887E-2</v>
      </c>
    </row>
    <row r="1192" spans="19:27" x14ac:dyDescent="0.2">
      <c r="S1192" s="32"/>
      <c r="T1192" s="187"/>
      <c r="W1192" s="221" t="str">
        <f t="shared" si="27"/>
        <v>1w</v>
      </c>
      <c r="X1192" s="222">
        <f>_xll.qlCalendarAdvance(Calendar,X1191,W1192,"f",FALSE)</f>
        <v>47170</v>
      </c>
      <c r="Y1192" s="227">
        <f>_xll.qlCalendarAdvance(Calendar,X1192,NDays&amp;"D")</f>
        <v>47170</v>
      </c>
      <c r="Z1192" s="228">
        <v>3.6774401814967543E-2</v>
      </c>
      <c r="AA1192" s="230">
        <v>3.6719324775101869E-2</v>
      </c>
    </row>
    <row r="1193" spans="19:27" x14ac:dyDescent="0.2">
      <c r="S1193" s="32"/>
      <c r="T1193" s="187"/>
      <c r="W1193" s="221" t="str">
        <f t="shared" si="27"/>
        <v>1w</v>
      </c>
      <c r="X1193" s="222">
        <f>_xll.qlCalendarAdvance(Calendar,X1192,W1193,"f",FALSE)</f>
        <v>47177</v>
      </c>
      <c r="Y1193" s="227">
        <f>_xll.qlCalendarAdvance(Calendar,X1193,NDays&amp;"D")</f>
        <v>47177</v>
      </c>
      <c r="Z1193" s="228">
        <v>3.6779041363580067E-2</v>
      </c>
      <c r="AA1193" s="230">
        <v>3.6722046180914791E-2</v>
      </c>
    </row>
    <row r="1194" spans="19:27" x14ac:dyDescent="0.2">
      <c r="S1194" s="32"/>
      <c r="T1194" s="187"/>
      <c r="W1194" s="221" t="str">
        <f t="shared" si="27"/>
        <v>1w</v>
      </c>
      <c r="X1194" s="222">
        <f>_xll.qlCalendarAdvance(Calendar,X1193,W1194,"f",FALSE)</f>
        <v>47184</v>
      </c>
      <c r="Y1194" s="227">
        <f>_xll.qlCalendarAdvance(Calendar,X1194,NDays&amp;"D")</f>
        <v>47184</v>
      </c>
      <c r="Z1194" s="228">
        <v>3.6789690069052167E-2</v>
      </c>
      <c r="AA1194" s="230">
        <v>3.6724704906587746E-2</v>
      </c>
    </row>
    <row r="1195" spans="19:27" x14ac:dyDescent="0.2">
      <c r="S1195" s="32"/>
      <c r="T1195" s="187"/>
      <c r="W1195" s="221" t="str">
        <f t="shared" si="27"/>
        <v>1w</v>
      </c>
      <c r="X1195" s="222">
        <f>_xll.qlCalendarAdvance(Calendar,X1194,W1195,"f",FALSE)</f>
        <v>47191</v>
      </c>
      <c r="Y1195" s="227">
        <f>_xll.qlCalendarAdvance(Calendar,X1195,NDays&amp;"D")</f>
        <v>47191</v>
      </c>
      <c r="Z1195" s="228">
        <v>3.6792150756367256E-2</v>
      </c>
      <c r="AA1195" s="230">
        <v>3.6727300951958641E-2</v>
      </c>
    </row>
    <row r="1196" spans="19:27" x14ac:dyDescent="0.2">
      <c r="S1196" s="32"/>
      <c r="T1196" s="187"/>
      <c r="W1196" s="221" t="str">
        <f t="shared" si="27"/>
        <v>1w</v>
      </c>
      <c r="X1196" s="222">
        <f>_xll.qlCalendarAdvance(Calendar,X1195,W1196,"f",FALSE)</f>
        <v>47198</v>
      </c>
      <c r="Y1196" s="227">
        <f>_xll.qlCalendarAdvance(Calendar,X1196,NDays&amp;"D")</f>
        <v>47198</v>
      </c>
      <c r="Z1196" s="228">
        <v>3.679454856178626E-2</v>
      </c>
      <c r="AA1196" s="230">
        <v>3.6729834317027477E-2</v>
      </c>
    </row>
    <row r="1197" spans="19:27" x14ac:dyDescent="0.2">
      <c r="S1197" s="32"/>
      <c r="T1197" s="187"/>
      <c r="W1197" s="221" t="str">
        <f t="shared" si="27"/>
        <v>1w</v>
      </c>
      <c r="X1197" s="222">
        <f>_xll.qlCalendarAdvance(Calendar,X1196,W1197,"f",FALSE)</f>
        <v>47205</v>
      </c>
      <c r="Y1197" s="227">
        <f>_xll.qlCalendarAdvance(Calendar,X1197,NDays&amp;"D")</f>
        <v>47205</v>
      </c>
      <c r="Z1197" s="228">
        <v>3.6796883485272332E-2</v>
      </c>
      <c r="AA1197" s="230">
        <v>3.6732305002037391E-2</v>
      </c>
    </row>
    <row r="1198" spans="19:27" x14ac:dyDescent="0.2">
      <c r="S1198" s="32"/>
      <c r="T1198" s="187"/>
      <c r="W1198" s="221" t="str">
        <f t="shared" si="27"/>
        <v>1w</v>
      </c>
      <c r="X1198" s="222">
        <f>_xll.qlCalendarAdvance(Calendar,X1197,W1198,"f",FALSE)</f>
        <v>47212</v>
      </c>
      <c r="Y1198" s="227">
        <f>_xll.qlCalendarAdvance(Calendar,X1198,NDays&amp;"D")</f>
        <v>47212</v>
      </c>
      <c r="Z1198" s="228">
        <v>3.6793125809573876E-2</v>
      </c>
      <c r="AA1198" s="230">
        <v>3.6734713006664199E-2</v>
      </c>
    </row>
    <row r="1199" spans="19:27" x14ac:dyDescent="0.2">
      <c r="S1199" s="32"/>
      <c r="T1199" s="187"/>
      <c r="W1199" s="221" t="str">
        <f t="shared" si="27"/>
        <v>1w</v>
      </c>
      <c r="X1199" s="222">
        <f>_xll.qlCalendarAdvance(Calendar,X1198,W1199,"f",FALSE)</f>
        <v>47219</v>
      </c>
      <c r="Y1199" s="227">
        <f>_xll.qlCalendarAdvance(Calendar,X1199,NDays&amp;"D")</f>
        <v>47219</v>
      </c>
      <c r="Z1199" s="228">
        <v>3.6795347772733265E-2</v>
      </c>
      <c r="AA1199" s="230">
        <v>3.6737058331069994E-2</v>
      </c>
    </row>
    <row r="1200" spans="19:27" x14ac:dyDescent="0.2">
      <c r="S1200" s="32"/>
      <c r="T1200" s="187"/>
      <c r="W1200" s="221" t="str">
        <f t="shared" si="27"/>
        <v>1w</v>
      </c>
      <c r="X1200" s="222">
        <f>_xll.qlCalendarAdvance(Calendar,X1199,W1200,"f",FALSE)</f>
        <v>47226</v>
      </c>
      <c r="Y1200" s="227">
        <f>_xll.qlCalendarAdvance(Calendar,X1200,NDays&amp;"D")</f>
        <v>47226</v>
      </c>
      <c r="Z1200" s="228">
        <v>3.6797506872798813E-2</v>
      </c>
      <c r="AA1200" s="230">
        <v>3.6739340975254775E-2</v>
      </c>
    </row>
    <row r="1201" spans="19:27" x14ac:dyDescent="0.2">
      <c r="S1201" s="32"/>
      <c r="T1201" s="187"/>
      <c r="W1201" s="221" t="str">
        <f t="shared" si="27"/>
        <v>1w</v>
      </c>
      <c r="X1201" s="222">
        <f>_xll.qlCalendarAdvance(Calendar,X1200,W1201,"f",FALSE)</f>
        <v>47233</v>
      </c>
      <c r="Y1201" s="227">
        <f>_xll.qlCalendarAdvance(Calendar,X1201,NDays&amp;"D")</f>
        <v>47233</v>
      </c>
      <c r="Z1201" s="228">
        <v>3.6799603109732702E-2</v>
      </c>
      <c r="AA1201" s="230">
        <v>3.6741560939218543E-2</v>
      </c>
    </row>
    <row r="1202" spans="19:27" x14ac:dyDescent="0.2">
      <c r="S1202" s="32"/>
      <c r="T1202" s="187"/>
      <c r="W1202" s="221" t="str">
        <f t="shared" si="27"/>
        <v>1w</v>
      </c>
      <c r="X1202" s="222">
        <f>_xll.qlCalendarAdvance(Calendar,X1201,W1202,"f",FALSE)</f>
        <v>47240</v>
      </c>
      <c r="Y1202" s="227">
        <f>_xll.qlCalendarAdvance(Calendar,X1202,NDays&amp;"D")</f>
        <v>47240</v>
      </c>
      <c r="Z1202" s="228">
        <v>3.6807614872274526E-2</v>
      </c>
      <c r="AA1202" s="230">
        <v>3.6743718222880251E-2</v>
      </c>
    </row>
    <row r="1203" spans="19:27" x14ac:dyDescent="0.2">
      <c r="S1203" s="32"/>
      <c r="T1203" s="187"/>
      <c r="W1203" s="221" t="str">
        <f t="shared" si="27"/>
        <v>1w</v>
      </c>
      <c r="X1203" s="222">
        <f>_xll.qlCalendarAdvance(Calendar,X1202,W1203,"f",FALSE)</f>
        <v>47247</v>
      </c>
      <c r="Y1203" s="227">
        <f>_xll.qlCalendarAdvance(Calendar,X1203,NDays&amp;"D")</f>
        <v>47247</v>
      </c>
      <c r="Z1203" s="228">
        <v>3.6809572503340292E-2</v>
      </c>
      <c r="AA1203" s="230">
        <v>3.6745812826320945E-2</v>
      </c>
    </row>
    <row r="1204" spans="19:27" x14ac:dyDescent="0.2">
      <c r="S1204" s="32"/>
      <c r="T1204" s="187"/>
      <c r="W1204" s="221" t="str">
        <f t="shared" si="27"/>
        <v>1w</v>
      </c>
      <c r="X1204" s="222">
        <f>_xll.qlCalendarAdvance(Calendar,X1203,W1204,"f",FALSE)</f>
        <v>47254</v>
      </c>
      <c r="Y1204" s="227">
        <f>_xll.qlCalendarAdvance(Calendar,X1204,NDays&amp;"D")</f>
        <v>47254</v>
      </c>
      <c r="Z1204" s="228">
        <v>3.681146725221035E-2</v>
      </c>
      <c r="AA1204" s="230">
        <v>3.6747844749621672E-2</v>
      </c>
    </row>
    <row r="1205" spans="19:27" x14ac:dyDescent="0.2">
      <c r="S1205" s="32"/>
      <c r="T1205" s="187"/>
      <c r="W1205" s="221" t="str">
        <f t="shared" si="27"/>
        <v>1w</v>
      </c>
      <c r="X1205" s="222">
        <f>_xll.qlCalendarAdvance(Calendar,X1204,W1205,"f",FALSE)</f>
        <v>47261</v>
      </c>
      <c r="Y1205" s="227">
        <f>_xll.qlCalendarAdvance(Calendar,X1205,NDays&amp;"D")</f>
        <v>47261</v>
      </c>
      <c r="Z1205" s="228">
        <v>3.6813299118857681E-2</v>
      </c>
      <c r="AA1205" s="230">
        <v>3.6749813992539293E-2</v>
      </c>
    </row>
    <row r="1206" spans="19:27" x14ac:dyDescent="0.2">
      <c r="S1206" s="32"/>
      <c r="T1206" s="187"/>
      <c r="W1206" s="221" t="str">
        <f t="shared" si="27"/>
        <v>1w</v>
      </c>
      <c r="X1206" s="222">
        <f>_xll.qlCalendarAdvance(Calendar,X1205,W1206,"f",FALSE)</f>
        <v>47268</v>
      </c>
      <c r="Y1206" s="227">
        <f>_xll.qlCalendarAdvance(Calendar,X1206,NDays&amp;"D")</f>
        <v>47268</v>
      </c>
      <c r="Z1206" s="228">
        <v>3.6809141349558705E-2</v>
      </c>
      <c r="AA1206" s="230">
        <v>3.6751720555316947E-2</v>
      </c>
    </row>
    <row r="1207" spans="19:27" x14ac:dyDescent="0.2">
      <c r="S1207" s="32"/>
      <c r="T1207" s="187"/>
      <c r="W1207" s="221" t="str">
        <f t="shared" si="27"/>
        <v>1w</v>
      </c>
      <c r="X1207" s="222">
        <f>_xll.qlCalendarAdvance(Calendar,X1206,W1207,"f",FALSE)</f>
        <v>47275</v>
      </c>
      <c r="Y1207" s="227">
        <f>_xll.qlCalendarAdvance(Calendar,X1207,NDays&amp;"D")</f>
        <v>47275</v>
      </c>
      <c r="Z1207" s="228">
        <v>3.6810860699336853E-2</v>
      </c>
      <c r="AA1207" s="230">
        <v>3.6753564437711495E-2</v>
      </c>
    </row>
    <row r="1208" spans="19:27" x14ac:dyDescent="0.2">
      <c r="S1208" s="32"/>
      <c r="T1208" s="187"/>
      <c r="W1208" s="221" t="str">
        <f t="shared" si="27"/>
        <v>1w</v>
      </c>
      <c r="X1208" s="222">
        <f>_xll.qlCalendarAdvance(Calendar,X1207,W1208,"f",FALSE)</f>
        <v>47282</v>
      </c>
      <c r="Y1208" s="227">
        <f>_xll.qlCalendarAdvance(Calendar,X1208,NDays&amp;"D")</f>
        <v>47282</v>
      </c>
      <c r="Z1208" s="228">
        <v>3.6812518258422841E-2</v>
      </c>
      <c r="AA1208" s="230">
        <v>3.6755345639885029E-2</v>
      </c>
    </row>
    <row r="1209" spans="19:27" x14ac:dyDescent="0.2">
      <c r="S1209" s="32"/>
      <c r="T1209" s="187"/>
      <c r="W1209" s="221" t="str">
        <f t="shared" si="27"/>
        <v>1w</v>
      </c>
      <c r="X1209" s="222">
        <f>_xll.qlCalendarAdvance(Calendar,X1208,W1209,"f",FALSE)</f>
        <v>47289</v>
      </c>
      <c r="Y1209" s="227">
        <f>_xll.qlCalendarAdvance(Calendar,X1209,NDays&amp;"D")</f>
        <v>47289</v>
      </c>
      <c r="Z1209" s="228">
        <v>3.681411486108007E-2</v>
      </c>
      <c r="AA1209" s="230">
        <v>3.6757064161918596E-2</v>
      </c>
    </row>
    <row r="1210" spans="19:27" x14ac:dyDescent="0.2">
      <c r="S1210" s="32"/>
      <c r="T1210" s="187"/>
      <c r="W1210" s="221" t="str">
        <f t="shared" si="27"/>
        <v>1w</v>
      </c>
      <c r="X1210" s="222">
        <f>_xll.qlCalendarAdvance(Calendar,X1209,W1210,"f",FALSE)</f>
        <v>47296</v>
      </c>
      <c r="Y1210" s="227">
        <f>_xll.qlCalendarAdvance(Calendar,X1210,NDays&amp;"D")</f>
        <v>47296</v>
      </c>
      <c r="Z1210" s="228">
        <v>3.6815651341566544E-2</v>
      </c>
      <c r="AA1210" s="230">
        <v>3.6758720015644952E-2</v>
      </c>
    </row>
    <row r="1211" spans="19:27" x14ac:dyDescent="0.2">
      <c r="S1211" s="32"/>
      <c r="T1211" s="187"/>
      <c r="W1211" s="221" t="str">
        <f t="shared" si="27"/>
        <v>1w</v>
      </c>
      <c r="X1211" s="222">
        <f>_xll.qlCalendarAdvance(Calendar,X1210,W1211,"f",FALSE)</f>
        <v>47303</v>
      </c>
      <c r="Y1211" s="227">
        <f>_xll.qlCalendarAdvance(Calendar,X1211,NDays&amp;"D")</f>
        <v>47303</v>
      </c>
      <c r="Z1211" s="228">
        <v>3.6822993257101776E-2</v>
      </c>
      <c r="AA1211" s="230">
        <v>3.6760315214415806E-2</v>
      </c>
    </row>
    <row r="1212" spans="19:27" x14ac:dyDescent="0.2">
      <c r="S1212" s="32"/>
      <c r="T1212" s="187"/>
      <c r="W1212" s="221" t="str">
        <f t="shared" si="27"/>
        <v>1w</v>
      </c>
      <c r="X1212" s="222">
        <f>_xll.qlCalendarAdvance(Calendar,X1211,W1212,"f",FALSE)</f>
        <v>47310</v>
      </c>
      <c r="Y1212" s="227">
        <f>_xll.qlCalendarAdvance(Calendar,X1212,NDays&amp;"D")</f>
        <v>47310</v>
      </c>
      <c r="Z1212" s="228">
        <v>3.6824398742753277E-2</v>
      </c>
      <c r="AA1212" s="230">
        <v>3.6761851297786308E-2</v>
      </c>
    </row>
    <row r="1213" spans="19:27" x14ac:dyDescent="0.2">
      <c r="S1213" s="32"/>
      <c r="T1213" s="187"/>
      <c r="W1213" s="221" t="str">
        <f t="shared" si="27"/>
        <v>1w</v>
      </c>
      <c r="X1213" s="222">
        <f>_xll.qlCalendarAdvance(Calendar,X1212,W1213,"f",FALSE)</f>
        <v>47317</v>
      </c>
      <c r="Y1213" s="227">
        <f>_xll.qlCalendarAdvance(Calendar,X1213,NDays&amp;"D")</f>
        <v>47317</v>
      </c>
      <c r="Z1213" s="228">
        <v>3.6825744922548115E-2</v>
      </c>
      <c r="AA1213" s="230">
        <v>3.6763328266161688E-2</v>
      </c>
    </row>
    <row r="1214" spans="19:27" x14ac:dyDescent="0.2">
      <c r="S1214" s="32"/>
      <c r="T1214" s="187"/>
      <c r="W1214" s="221" t="str">
        <f t="shared" si="27"/>
        <v>1w</v>
      </c>
      <c r="X1214" s="222">
        <f>_xll.qlCalendarAdvance(Calendar,X1213,W1214,"f",FALSE)</f>
        <v>47324</v>
      </c>
      <c r="Y1214" s="227">
        <f>_xll.qlCalendarAdvance(Calendar,X1214,NDays&amp;"D")</f>
        <v>47324</v>
      </c>
      <c r="Z1214" s="228">
        <v>3.6828973930025932E-2</v>
      </c>
      <c r="AA1214" s="230">
        <v>3.6764746119217762E-2</v>
      </c>
    </row>
    <row r="1215" spans="19:27" x14ac:dyDescent="0.2">
      <c r="S1215" s="32"/>
      <c r="T1215" s="187"/>
      <c r="W1215" s="221" t="str">
        <f t="shared" si="27"/>
        <v>1w</v>
      </c>
      <c r="X1215" s="222">
        <f>_xll.qlCalendarAdvance(Calendar,X1214,W1215,"f",FALSE)</f>
        <v>47331</v>
      </c>
      <c r="Y1215" s="227">
        <f>_xll.qlCalendarAdvance(Calendar,X1215,NDays&amp;"D")</f>
        <v>47331</v>
      </c>
      <c r="Z1215" s="228">
        <v>3.6828259364476958E-2</v>
      </c>
      <c r="AA1215" s="230">
        <v>3.6766104857116622E-2</v>
      </c>
    </row>
    <row r="1216" spans="19:27" x14ac:dyDescent="0.2">
      <c r="S1216" s="32"/>
      <c r="T1216" s="187"/>
      <c r="W1216" s="221" t="str">
        <f t="shared" si="27"/>
        <v>1w</v>
      </c>
      <c r="X1216" s="222">
        <f>_xll.qlCalendarAdvance(Calendar,X1215,W1216,"f",FALSE)</f>
        <v>47338</v>
      </c>
      <c r="Y1216" s="227">
        <f>_xll.qlCalendarAdvance(Calendar,X1216,NDays&amp;"D")</f>
        <v>47338</v>
      </c>
      <c r="Z1216" s="228">
        <v>3.6829427626569211E-2</v>
      </c>
      <c r="AA1216" s="230">
        <v>3.6767404479858268E-2</v>
      </c>
    </row>
    <row r="1217" spans="19:27" x14ac:dyDescent="0.2">
      <c r="S1217" s="32"/>
      <c r="T1217" s="187"/>
      <c r="W1217" s="221" t="str">
        <f t="shared" si="27"/>
        <v>1w</v>
      </c>
      <c r="X1217" s="222">
        <f>_xll.qlCalendarAdvance(Calendar,X1216,W1217,"f",FALSE)</f>
        <v>47345</v>
      </c>
      <c r="Y1217" s="227">
        <f>_xll.qlCalendarAdvance(Calendar,X1217,NDays&amp;"D")</f>
        <v>47345</v>
      </c>
      <c r="Z1217" s="228">
        <v>3.6830536582726218E-2</v>
      </c>
      <c r="AA1217" s="230">
        <v>3.6768644987361654E-2</v>
      </c>
    </row>
    <row r="1218" spans="19:27" x14ac:dyDescent="0.2">
      <c r="S1218" s="32"/>
      <c r="T1218" s="187"/>
      <c r="W1218" s="221" t="str">
        <f t="shared" si="27"/>
        <v>1w</v>
      </c>
      <c r="X1218" s="222">
        <f>_xll.qlCalendarAdvance(Calendar,X1217,W1218,"f",FALSE)</f>
        <v>47352</v>
      </c>
      <c r="Y1218" s="227">
        <f>_xll.qlCalendarAdvance(Calendar,X1218,NDays&amp;"D")</f>
        <v>47352</v>
      </c>
      <c r="Z1218" s="228">
        <v>3.683158623292096E-2</v>
      </c>
      <c r="AA1218" s="230">
        <v>3.6769826379707826E-2</v>
      </c>
    </row>
    <row r="1219" spans="19:27" x14ac:dyDescent="0.2">
      <c r="S1219" s="32"/>
      <c r="T1219" s="187"/>
      <c r="W1219" s="221" t="str">
        <f t="shared" si="27"/>
        <v>1w</v>
      </c>
      <c r="X1219" s="222">
        <f>_xll.qlCalendarAdvance(Calendar,X1218,W1219,"f",FALSE)</f>
        <v>47359</v>
      </c>
      <c r="Y1219" s="227">
        <f>_xll.qlCalendarAdvance(Calendar,X1219,NDays&amp;"D")</f>
        <v>47359</v>
      </c>
      <c r="Z1219" s="228">
        <v>3.6826810456176272E-2</v>
      </c>
      <c r="AA1219" s="230">
        <v>3.6770948656815738E-2</v>
      </c>
    </row>
    <row r="1220" spans="19:27" x14ac:dyDescent="0.2">
      <c r="S1220" s="32"/>
      <c r="T1220" s="187"/>
      <c r="W1220" s="221" t="str">
        <f t="shared" si="27"/>
        <v>1w</v>
      </c>
      <c r="X1220" s="222">
        <f>_xll.qlCalendarAdvance(Calendar,X1219,W1220,"f",FALSE)</f>
        <v>47366</v>
      </c>
      <c r="Y1220" s="227">
        <f>_xll.qlCalendarAdvance(Calendar,X1220,NDays&amp;"D")</f>
        <v>47366</v>
      </c>
      <c r="Z1220" s="228">
        <v>3.6827753917651918E-2</v>
      </c>
      <c r="AA1220" s="230">
        <v>3.6772011818847483E-2</v>
      </c>
    </row>
    <row r="1221" spans="19:27" x14ac:dyDescent="0.2">
      <c r="S1221" s="32"/>
      <c r="T1221" s="187"/>
      <c r="W1221" s="221" t="str">
        <f t="shared" si="27"/>
        <v>1w</v>
      </c>
      <c r="X1221" s="222">
        <f>_xll.qlCalendarAdvance(Calendar,X1220,W1221,"f",FALSE)</f>
        <v>47373</v>
      </c>
      <c r="Y1221" s="227">
        <f>_xll.qlCalendarAdvance(Calendar,X1221,NDays&amp;"D")</f>
        <v>47373</v>
      </c>
      <c r="Z1221" s="228">
        <v>3.6828638091041907E-2</v>
      </c>
      <c r="AA1221" s="230">
        <v>3.6773015865640968E-2</v>
      </c>
    </row>
    <row r="1222" spans="19:27" x14ac:dyDescent="0.2">
      <c r="S1222" s="32"/>
      <c r="T1222" s="187"/>
      <c r="W1222" s="221" t="str">
        <f t="shared" si="27"/>
        <v>1w</v>
      </c>
      <c r="X1222" s="222">
        <f>_xll.qlCalendarAdvance(Calendar,X1221,W1222,"f",FALSE)</f>
        <v>47380</v>
      </c>
      <c r="Y1222" s="227">
        <f>_xll.qlCalendarAdvance(Calendar,X1222,NDays&amp;"D")</f>
        <v>47380</v>
      </c>
      <c r="Z1222" s="228">
        <v>3.6829462976332716E-2</v>
      </c>
      <c r="AA1222" s="230">
        <v>3.6773960797358285E-2</v>
      </c>
    </row>
    <row r="1223" spans="19:27" x14ac:dyDescent="0.2">
      <c r="S1223" s="32"/>
      <c r="T1223" s="187"/>
      <c r="W1223" s="221" t="str">
        <f t="shared" si="27"/>
        <v>1w</v>
      </c>
      <c r="X1223" s="222">
        <f>_xll.qlCalendarAdvance(Calendar,X1222,W1223,"f",FALSE)</f>
        <v>47387</v>
      </c>
      <c r="Y1223" s="227">
        <f>_xll.qlCalendarAdvance(Calendar,X1223,NDays&amp;"D")</f>
        <v>47387</v>
      </c>
      <c r="Z1223" s="228">
        <v>3.6830228573510856E-2</v>
      </c>
      <c r="AA1223" s="230">
        <v>3.6774846613675249E-2</v>
      </c>
    </row>
    <row r="1224" spans="19:27" x14ac:dyDescent="0.2">
      <c r="S1224" s="32"/>
      <c r="T1224" s="187"/>
      <c r="W1224" s="221" t="str">
        <f t="shared" si="27"/>
        <v>1w</v>
      </c>
      <c r="X1224" s="222">
        <f>_xll.qlCalendarAdvance(Calendar,X1223,W1224,"f",FALSE)</f>
        <v>47394</v>
      </c>
      <c r="Y1224" s="227">
        <f>_xll.qlCalendarAdvance(Calendar,X1224,NDays&amp;"D")</f>
        <v>47394</v>
      </c>
      <c r="Z1224" s="228">
        <v>3.6836638708147573E-2</v>
      </c>
      <c r="AA1224" s="230">
        <v>3.6775673314916046E-2</v>
      </c>
    </row>
    <row r="1225" spans="19:27" x14ac:dyDescent="0.2">
      <c r="S1225" s="32"/>
      <c r="T1225" s="187"/>
      <c r="W1225" s="221" t="str">
        <f t="shared" si="27"/>
        <v>1w</v>
      </c>
      <c r="X1225" s="222">
        <f>_xll.qlCalendarAdvance(Calendar,X1224,W1225,"f",FALSE)</f>
        <v>47401</v>
      </c>
      <c r="Y1225" s="227">
        <f>_xll.qlCalendarAdvance(Calendar,X1225,NDays&amp;"D")</f>
        <v>47401</v>
      </c>
      <c r="Z1225" s="228">
        <v>3.6837273216233174E-2</v>
      </c>
      <c r="AA1225" s="230">
        <v>3.677644090099963E-2</v>
      </c>
    </row>
    <row r="1226" spans="19:27" x14ac:dyDescent="0.2">
      <c r="S1226" s="32"/>
      <c r="T1226" s="187"/>
      <c r="W1226" s="221" t="str">
        <f t="shared" si="27"/>
        <v>1w</v>
      </c>
      <c r="X1226" s="222">
        <f>_xll.qlCalendarAdvance(Calendar,X1225,W1226,"f",FALSE)</f>
        <v>47408</v>
      </c>
      <c r="Y1226" s="227">
        <f>_xll.qlCalendarAdvance(Calendar,X1226,NDays&amp;"D")</f>
        <v>47408</v>
      </c>
      <c r="Z1226" s="228">
        <v>3.6837848418248449E-2</v>
      </c>
      <c r="AA1226" s="230">
        <v>3.6777149371844953E-2</v>
      </c>
    </row>
    <row r="1227" spans="19:27" x14ac:dyDescent="0.2">
      <c r="S1227" s="32"/>
      <c r="T1227" s="187"/>
      <c r="W1227" s="221" t="str">
        <f t="shared" si="27"/>
        <v>1w</v>
      </c>
      <c r="X1227" s="222">
        <f>_xll.qlCalendarAdvance(Calendar,X1226,W1227,"f",FALSE)</f>
        <v>47415</v>
      </c>
      <c r="Y1227" s="227">
        <f>_xll.qlCalendarAdvance(Calendar,X1227,NDays&amp;"D")</f>
        <v>47415</v>
      </c>
      <c r="Z1227" s="228">
        <v>3.6838364314198319E-2</v>
      </c>
      <c r="AA1227" s="230">
        <v>3.6777798727533062E-2</v>
      </c>
    </row>
    <row r="1228" spans="19:27" x14ac:dyDescent="0.2">
      <c r="S1228" s="32"/>
      <c r="T1228" s="187"/>
      <c r="W1228" s="221" t="str">
        <f t="shared" si="27"/>
        <v>1w</v>
      </c>
      <c r="X1228" s="222">
        <f>_xll.qlCalendarAdvance(Calendar,X1227,W1228,"f",FALSE)</f>
        <v>47422</v>
      </c>
      <c r="Y1228" s="227">
        <f>_xll.qlCalendarAdvance(Calendar,X1228,NDays&amp;"D")</f>
        <v>47422</v>
      </c>
      <c r="Z1228" s="228">
        <v>3.6833167237379061E-2</v>
      </c>
      <c r="AA1228" s="230">
        <v>3.6778388967982911E-2</v>
      </c>
    </row>
    <row r="1229" spans="19:27" x14ac:dyDescent="0.2">
      <c r="S1229" s="32"/>
      <c r="T1229" s="187"/>
      <c r="W1229" s="221" t="str">
        <f t="shared" si="27"/>
        <v>1w</v>
      </c>
      <c r="X1229" s="222">
        <f>_xll.qlCalendarAdvance(Calendar,X1228,W1229,"f",FALSE)</f>
        <v>47429</v>
      </c>
      <c r="Y1229" s="227">
        <f>_xll.qlCalendarAdvance(Calendar,X1229,NDays&amp;"D")</f>
        <v>47429</v>
      </c>
      <c r="Z1229" s="228">
        <v>3.6833577105686618E-2</v>
      </c>
      <c r="AA1229" s="230">
        <v>3.6778920093275547E-2</v>
      </c>
    </row>
    <row r="1230" spans="19:27" x14ac:dyDescent="0.2">
      <c r="S1230" s="32"/>
      <c r="T1230" s="187"/>
      <c r="W1230" s="221" t="str">
        <f t="shared" si="27"/>
        <v>1w</v>
      </c>
      <c r="X1230" s="222">
        <f>_xll.qlCalendarAdvance(Calendar,X1229,W1230,"f",FALSE)</f>
        <v>47436</v>
      </c>
      <c r="Y1230" s="227">
        <f>_xll.qlCalendarAdvance(Calendar,X1230,NDays&amp;"D")</f>
        <v>47436</v>
      </c>
      <c r="Z1230" s="228">
        <v>3.6833927685822054E-2</v>
      </c>
      <c r="AA1230" s="230">
        <v>3.6779392103329922E-2</v>
      </c>
    </row>
    <row r="1231" spans="19:27" x14ac:dyDescent="0.2">
      <c r="S1231" s="32"/>
      <c r="T1231" s="187"/>
      <c r="W1231" s="221" t="str">
        <f t="shared" si="27"/>
        <v>1w</v>
      </c>
      <c r="X1231" s="222">
        <f>_xll.qlCalendarAdvance(Calendar,X1230,W1231,"f",FALSE)</f>
        <v>47443</v>
      </c>
      <c r="Y1231" s="227">
        <f>_xll.qlCalendarAdvance(Calendar,X1231,NDays&amp;"D")</f>
        <v>47443</v>
      </c>
      <c r="Z1231" s="228">
        <v>3.6834218977782683E-2</v>
      </c>
      <c r="AA1231" s="230">
        <v>3.677980499830813E-2</v>
      </c>
    </row>
    <row r="1232" spans="19:27" x14ac:dyDescent="0.2">
      <c r="S1232" s="32"/>
      <c r="T1232" s="187"/>
      <c r="W1232" s="221" t="str">
        <f t="shared" si="27"/>
        <v>1w</v>
      </c>
      <c r="X1232" s="222">
        <f>_xll.qlCalendarAdvance(Calendar,X1231,W1232,"f",FALSE)</f>
        <v>47450</v>
      </c>
      <c r="Y1232" s="227">
        <f>_xll.qlCalendarAdvance(Calendar,X1232,NDays&amp;"D")</f>
        <v>47450</v>
      </c>
      <c r="Z1232" s="228">
        <v>3.6834450981563092E-2</v>
      </c>
      <c r="AA1232" s="230">
        <v>3.6780158777967031E-2</v>
      </c>
    </row>
    <row r="1233" spans="19:27" x14ac:dyDescent="0.2">
      <c r="S1233" s="32"/>
      <c r="T1233" s="187"/>
      <c r="W1233" s="221" t="str">
        <f t="shared" si="27"/>
        <v>1w</v>
      </c>
      <c r="X1233" s="222">
        <f>_xll.qlCalendarAdvance(Calendar,X1232,W1233,"f",FALSE)</f>
        <v>47457</v>
      </c>
      <c r="Y1233" s="227">
        <f>_xll.qlCalendarAdvance(Calendar,X1233,NDays&amp;"D")</f>
        <v>47457</v>
      </c>
      <c r="Z1233" s="228">
        <v>3.6840214261922147E-2</v>
      </c>
      <c r="AA1233" s="230">
        <v>3.6780453442549765E-2</v>
      </c>
    </row>
    <row r="1234" spans="19:27" x14ac:dyDescent="0.2">
      <c r="S1234" s="32"/>
      <c r="T1234" s="187"/>
      <c r="W1234" s="221" t="str">
        <f t="shared" si="27"/>
        <v>1w</v>
      </c>
      <c r="X1234" s="222">
        <f>_xll.qlCalendarAdvance(Calendar,X1233,W1234,"f",FALSE)</f>
        <v>47464</v>
      </c>
      <c r="Y1234" s="227">
        <f>_xll.qlCalendarAdvance(Calendar,X1234,NDays&amp;"D")</f>
        <v>47464</v>
      </c>
      <c r="Z1234" s="228">
        <v>3.6840315015173444E-2</v>
      </c>
      <c r="AA1234" s="230">
        <v>3.6780688991894239E-2</v>
      </c>
    </row>
    <row r="1235" spans="19:27" x14ac:dyDescent="0.2">
      <c r="S1235" s="32"/>
      <c r="T1235" s="187"/>
      <c r="W1235" s="221" t="str">
        <f t="shared" si="27"/>
        <v>1w</v>
      </c>
      <c r="X1235" s="222">
        <f>_xll.qlCalendarAdvance(Calendar,X1234,W1235,"f",FALSE)</f>
        <v>47471</v>
      </c>
      <c r="Y1235" s="227">
        <f>_xll.qlCalendarAdvance(Calendar,X1235,NDays&amp;"D")</f>
        <v>47471</v>
      </c>
      <c r="Z1235" s="228">
        <v>3.6840356462310209E-2</v>
      </c>
      <c r="AA1235" s="230">
        <v>3.6780865426000453E-2</v>
      </c>
    </row>
    <row r="1236" spans="19:27" x14ac:dyDescent="0.2">
      <c r="S1236" s="32"/>
      <c r="T1236" s="187"/>
      <c r="W1236" s="221" t="str">
        <f t="shared" si="27"/>
        <v>1w</v>
      </c>
      <c r="X1236" s="222">
        <f>_xll.qlCalendarAdvance(Calendar,X1235,W1236,"f",FALSE)</f>
        <v>47479</v>
      </c>
      <c r="Y1236" s="227">
        <f>_xll.qlCalendarAdvance(Calendar,X1236,NDays&amp;"D")</f>
        <v>47479</v>
      </c>
      <c r="Z1236" s="228">
        <v>3.6838481266937319E-2</v>
      </c>
      <c r="AA1236" s="230">
        <v>3.6780994679014301E-2</v>
      </c>
    </row>
    <row r="1237" spans="19:27" x14ac:dyDescent="0.2">
      <c r="S1237" s="32"/>
      <c r="T1237" s="187"/>
      <c r="W1237" s="221" t="str">
        <f t="shared" ref="W1237:W1300" si="28">W1236</f>
        <v>1w</v>
      </c>
      <c r="X1237" s="222">
        <f>_xll.qlCalendarAdvance(Calendar,X1236,W1237,"f",FALSE)</f>
        <v>47486</v>
      </c>
      <c r="Y1237" s="227">
        <f>_xll.qlCalendarAdvance(Calendar,X1237,NDays&amp;"D")</f>
        <v>47486</v>
      </c>
      <c r="Z1237" s="228">
        <v>3.6838399873897476E-2</v>
      </c>
      <c r="AA1237" s="230">
        <v>3.6781044437783628E-2</v>
      </c>
    </row>
    <row r="1238" spans="19:27" x14ac:dyDescent="0.2">
      <c r="S1238" s="32"/>
      <c r="T1238" s="187"/>
      <c r="W1238" s="221" t="str">
        <f t="shared" si="28"/>
        <v>1w</v>
      </c>
      <c r="X1238" s="222">
        <f>_xll.qlCalendarAdvance(Calendar,X1237,W1238,"f",FALSE)</f>
        <v>47493</v>
      </c>
      <c r="Y1238" s="227">
        <f>_xll.qlCalendarAdvance(Calendar,X1238,NDays&amp;"D")</f>
        <v>47493</v>
      </c>
      <c r="Z1238" s="228">
        <v>3.6838259180722414E-2</v>
      </c>
      <c r="AA1238" s="230">
        <v>3.6781035081395741E-2</v>
      </c>
    </row>
    <row r="1239" spans="19:27" x14ac:dyDescent="0.2">
      <c r="S1239" s="32"/>
      <c r="T1239" s="187"/>
      <c r="W1239" s="221" t="str">
        <f t="shared" si="28"/>
        <v>1w</v>
      </c>
      <c r="X1239" s="222">
        <f>_xll.qlCalendarAdvance(Calendar,X1238,W1239,"f",FALSE)</f>
        <v>47500</v>
      </c>
      <c r="Y1239" s="227">
        <f>_xll.qlCalendarAdvance(Calendar,X1239,NDays&amp;"D")</f>
        <v>47500</v>
      </c>
      <c r="Z1239" s="228">
        <v>3.6838059187409601E-2</v>
      </c>
      <c r="AA1239" s="230">
        <v>3.6780966609688548E-2</v>
      </c>
    </row>
    <row r="1240" spans="19:27" x14ac:dyDescent="0.2">
      <c r="S1240" s="32"/>
      <c r="T1240" s="187"/>
      <c r="W1240" s="221" t="str">
        <f t="shared" si="28"/>
        <v>1w</v>
      </c>
      <c r="X1240" s="222">
        <f>_xll.qlCalendarAdvance(Calendar,X1239,W1240,"f",FALSE)</f>
        <v>47507</v>
      </c>
      <c r="Y1240" s="227">
        <f>_xll.qlCalendarAdvance(Calendar,X1240,NDays&amp;"D")</f>
        <v>47507</v>
      </c>
      <c r="Z1240" s="228">
        <v>3.6837799893966634E-2</v>
      </c>
      <c r="AA1240" s="230">
        <v>3.6780839022905187E-2</v>
      </c>
    </row>
    <row r="1241" spans="19:27" x14ac:dyDescent="0.2">
      <c r="S1241" s="32"/>
      <c r="T1241" s="187"/>
      <c r="W1241" s="221" t="str">
        <f t="shared" si="28"/>
        <v>1w</v>
      </c>
      <c r="X1241" s="222">
        <f>_xll.qlCalendarAdvance(Calendar,X1240,W1241,"f",FALSE)</f>
        <v>47514</v>
      </c>
      <c r="Y1241" s="227">
        <f>_xll.qlCalendarAdvance(Calendar,X1241,NDays&amp;"D")</f>
        <v>47514</v>
      </c>
      <c r="Z1241" s="228">
        <v>3.6830163809460477E-2</v>
      </c>
      <c r="AA1241" s="230">
        <v>3.678065232080252E-2</v>
      </c>
    </row>
    <row r="1242" spans="19:27" x14ac:dyDescent="0.2">
      <c r="S1242" s="32"/>
      <c r="T1242" s="187"/>
      <c r="W1242" s="221" t="str">
        <f t="shared" si="28"/>
        <v>1w</v>
      </c>
      <c r="X1242" s="222">
        <f>_xll.qlCalendarAdvance(Calendar,X1241,W1242,"f",FALSE)</f>
        <v>47521</v>
      </c>
      <c r="Y1242" s="227">
        <f>_xll.qlCalendarAdvance(Calendar,X1242,NDays&amp;"D")</f>
        <v>47521</v>
      </c>
      <c r="Z1242" s="228">
        <v>3.6829803004110789E-2</v>
      </c>
      <c r="AA1242" s="230">
        <v>3.6780406503623686E-2</v>
      </c>
    </row>
    <row r="1243" spans="19:27" x14ac:dyDescent="0.2">
      <c r="S1243" s="32"/>
      <c r="T1243" s="187"/>
      <c r="W1243" s="221" t="str">
        <f t="shared" si="28"/>
        <v>1w</v>
      </c>
      <c r="X1243" s="222">
        <f>_xll.qlCalendarAdvance(Calendar,X1242,W1243,"f",FALSE)</f>
        <v>47528</v>
      </c>
      <c r="Y1243" s="227">
        <f>_xll.qlCalendarAdvance(Calendar,X1243,NDays&amp;"D")</f>
        <v>47528</v>
      </c>
      <c r="Z1243" s="228">
        <v>3.6829382922538879E-2</v>
      </c>
      <c r="AA1243" s="230">
        <v>3.6780101571206592E-2</v>
      </c>
    </row>
    <row r="1244" spans="19:27" x14ac:dyDescent="0.2">
      <c r="S1244" s="32"/>
      <c r="T1244" s="187"/>
      <c r="W1244" s="221" t="str">
        <f t="shared" si="28"/>
        <v>1w</v>
      </c>
      <c r="X1244" s="222">
        <f>_xll.qlCalendarAdvance(Calendar,X1243,W1244,"f",FALSE)</f>
        <v>47535</v>
      </c>
      <c r="Y1244" s="227">
        <f>_xll.qlCalendarAdvance(Calendar,X1244,NDays&amp;"D")</f>
        <v>47535</v>
      </c>
      <c r="Z1244" s="228">
        <v>3.6828903564741854E-2</v>
      </c>
      <c r="AA1244" s="230">
        <v>3.6779737523551237E-2</v>
      </c>
    </row>
    <row r="1245" spans="19:27" x14ac:dyDescent="0.2">
      <c r="S1245" s="32"/>
      <c r="T1245" s="187"/>
      <c r="W1245" s="221" t="str">
        <f t="shared" si="28"/>
        <v>1w</v>
      </c>
      <c r="X1245" s="222">
        <f>_xll.qlCalendarAdvance(Calendar,X1244,W1245,"f",FALSE)</f>
        <v>47542</v>
      </c>
      <c r="Y1245" s="227">
        <f>_xll.qlCalendarAdvance(Calendar,X1245,NDays&amp;"D")</f>
        <v>47542</v>
      </c>
      <c r="Z1245" s="228">
        <v>3.6830177610486389E-2</v>
      </c>
      <c r="AA1245" s="230">
        <v>3.6779314360819715E-2</v>
      </c>
    </row>
    <row r="1246" spans="19:27" x14ac:dyDescent="0.2">
      <c r="S1246" s="32"/>
      <c r="T1246" s="187"/>
      <c r="W1246" s="221" t="str">
        <f t="shared" si="28"/>
        <v>1w</v>
      </c>
      <c r="X1246" s="222">
        <f>_xll.qlCalendarAdvance(Calendar,X1245,W1246,"f",FALSE)</f>
        <v>47549</v>
      </c>
      <c r="Y1246" s="227">
        <f>_xll.qlCalendarAdvance(Calendar,X1246,NDays&amp;"D")</f>
        <v>47549</v>
      </c>
      <c r="Z1246" s="228">
        <v>3.6834998830841542E-2</v>
      </c>
      <c r="AA1246" s="230">
        <v>3.6778832082849933E-2</v>
      </c>
    </row>
    <row r="1247" spans="19:27" x14ac:dyDescent="0.2">
      <c r="S1247" s="32"/>
      <c r="T1247" s="187"/>
      <c r="W1247" s="221" t="str">
        <f t="shared" si="28"/>
        <v>1w</v>
      </c>
      <c r="X1247" s="222">
        <f>_xll.qlCalendarAdvance(Calendar,X1246,W1247,"f",FALSE)</f>
        <v>47556</v>
      </c>
      <c r="Y1247" s="227">
        <f>_xll.qlCalendarAdvance(Calendar,X1247,NDays&amp;"D")</f>
        <v>47556</v>
      </c>
      <c r="Z1247" s="228">
        <v>3.6834324436639462E-2</v>
      </c>
      <c r="AA1247" s="230">
        <v>3.677829068964189E-2</v>
      </c>
    </row>
    <row r="1248" spans="19:27" x14ac:dyDescent="0.2">
      <c r="S1248" s="32"/>
      <c r="T1248" s="187"/>
      <c r="W1248" s="221" t="str">
        <f t="shared" si="28"/>
        <v>1w</v>
      </c>
      <c r="X1248" s="222">
        <f>_xll.qlCalendarAdvance(Calendar,X1247,W1248,"f",FALSE)</f>
        <v>47563</v>
      </c>
      <c r="Y1248" s="227">
        <f>_xll.qlCalendarAdvance(Calendar,X1248,NDays&amp;"D")</f>
        <v>47563</v>
      </c>
      <c r="Z1248" s="228">
        <v>3.6835389359597674E-2</v>
      </c>
      <c r="AA1248" s="230">
        <v>3.6777690181276634E-2</v>
      </c>
    </row>
    <row r="1249" spans="19:27" x14ac:dyDescent="0.2">
      <c r="S1249" s="32"/>
      <c r="T1249" s="187"/>
      <c r="W1249" s="221" t="str">
        <f t="shared" si="28"/>
        <v>1w</v>
      </c>
      <c r="X1249" s="222">
        <f>_xll.qlCalendarAdvance(Calendar,X1248,W1249,"f",FALSE)</f>
        <v>47570</v>
      </c>
      <c r="Y1249" s="227">
        <f>_xll.qlCalendarAdvance(Calendar,X1249,NDays&amp;"D")</f>
        <v>47570</v>
      </c>
      <c r="Z1249" s="228">
        <v>3.6832797748037327E-2</v>
      </c>
      <c r="AA1249" s="230">
        <v>3.6777030557835211E-2</v>
      </c>
    </row>
    <row r="1250" spans="19:27" x14ac:dyDescent="0.2">
      <c r="S1250" s="32"/>
      <c r="T1250" s="187"/>
      <c r="W1250" s="221" t="str">
        <f t="shared" si="28"/>
        <v>1w</v>
      </c>
      <c r="X1250" s="222">
        <f>_xll.qlCalendarAdvance(Calendar,X1249,W1250,"f",FALSE)</f>
        <v>47577</v>
      </c>
      <c r="Y1250" s="227">
        <f>_xll.qlCalendarAdvance(Calendar,X1250,NDays&amp;"D")</f>
        <v>47577</v>
      </c>
      <c r="Z1250" s="228">
        <v>3.6833735432820321E-2</v>
      </c>
      <c r="AA1250" s="230">
        <v>3.6776311818993435E-2</v>
      </c>
    </row>
    <row r="1251" spans="19:27" x14ac:dyDescent="0.2">
      <c r="S1251" s="32"/>
      <c r="T1251" s="187"/>
      <c r="W1251" s="221" t="str">
        <f t="shared" si="28"/>
        <v>1w</v>
      </c>
      <c r="X1251" s="222">
        <f>_xll.qlCalendarAdvance(Calendar,X1250,W1251,"f",FALSE)</f>
        <v>47584</v>
      </c>
      <c r="Y1251" s="227">
        <f>_xll.qlCalendarAdvance(Calendar,X1251,NDays&amp;"D")</f>
        <v>47584</v>
      </c>
      <c r="Z1251" s="228">
        <v>3.6831033859231165E-2</v>
      </c>
      <c r="AA1251" s="230">
        <v>3.6775533965075491E-2</v>
      </c>
    </row>
    <row r="1252" spans="19:27" x14ac:dyDescent="0.2">
      <c r="S1252" s="32"/>
      <c r="T1252" s="187"/>
      <c r="W1252" s="221" t="str">
        <f t="shared" si="28"/>
        <v>1w</v>
      </c>
      <c r="X1252" s="222">
        <f>_xll.qlCalendarAdvance(Calendar,X1251,W1252,"f",FALSE)</f>
        <v>47591</v>
      </c>
      <c r="Y1252" s="227">
        <f>_xll.qlCalendarAdvance(Calendar,X1252,NDays&amp;"D")</f>
        <v>47591</v>
      </c>
      <c r="Z1252" s="228">
        <v>3.6830062964788614E-2</v>
      </c>
      <c r="AA1252" s="230">
        <v>3.6781856735236262E-2</v>
      </c>
    </row>
    <row r="1253" spans="19:27" x14ac:dyDescent="0.2">
      <c r="S1253" s="32"/>
      <c r="T1253" s="187"/>
      <c r="W1253" s="221" t="str">
        <f t="shared" si="28"/>
        <v>1w</v>
      </c>
      <c r="X1253" s="222">
        <f>_xll.qlCalendarAdvance(Calendar,X1252,W1253,"f",FALSE)</f>
        <v>47598</v>
      </c>
      <c r="Y1253" s="227">
        <f>_xll.qlCalendarAdvance(Calendar,X1253,NDays&amp;"D")</f>
        <v>47598</v>
      </c>
      <c r="Z1253" s="228">
        <v>3.6830809747634016E-2</v>
      </c>
      <c r="AA1253" s="230">
        <v>3.6773800911686916E-2</v>
      </c>
    </row>
    <row r="1254" spans="19:27" x14ac:dyDescent="0.2">
      <c r="S1254" s="32"/>
      <c r="T1254" s="187"/>
      <c r="W1254" s="221" t="str">
        <f t="shared" si="28"/>
        <v>1w</v>
      </c>
      <c r="X1254" s="222">
        <f>_xll.qlCalendarAdvance(Calendar,X1253,W1254,"f",FALSE)</f>
        <v>47605</v>
      </c>
      <c r="Y1254" s="227">
        <f>_xll.qlCalendarAdvance(Calendar,X1254,NDays&amp;"D")</f>
        <v>47605</v>
      </c>
      <c r="Z1254" s="228">
        <v>3.6827943275898022E-2</v>
      </c>
      <c r="AA1254" s="230">
        <v>3.6772845712135238E-2</v>
      </c>
    </row>
    <row r="1255" spans="19:27" x14ac:dyDescent="0.2">
      <c r="S1255" s="32"/>
      <c r="T1255" s="187"/>
      <c r="W1255" s="221" t="str">
        <f t="shared" si="28"/>
        <v>1w</v>
      </c>
      <c r="X1255" s="222">
        <f>_xll.qlCalendarAdvance(Calendar,X1254,W1255,"f",FALSE)</f>
        <v>47612</v>
      </c>
      <c r="Y1255" s="227">
        <f>_xll.qlCalendarAdvance(Calendar,X1255,NDays&amp;"D")</f>
        <v>47612</v>
      </c>
      <c r="Z1255" s="228">
        <v>3.6826794481482905E-2</v>
      </c>
      <c r="AA1255" s="230">
        <v>3.6771831397507393E-2</v>
      </c>
    </row>
    <row r="1256" spans="19:27" x14ac:dyDescent="0.2">
      <c r="S1256" s="32"/>
      <c r="T1256" s="187"/>
      <c r="W1256" s="221" t="str">
        <f t="shared" si="28"/>
        <v>1w</v>
      </c>
      <c r="X1256" s="222">
        <f>_xll.qlCalendarAdvance(Calendar,X1255,W1256,"f",FALSE)</f>
        <v>47619</v>
      </c>
      <c r="Y1256" s="227">
        <f>_xll.qlCalendarAdvance(Calendar,X1256,NDays&amp;"D")</f>
        <v>47619</v>
      </c>
      <c r="Z1256" s="228">
        <v>3.6825586387109858E-2</v>
      </c>
      <c r="AA1256" s="230">
        <v>3.6770757967560241E-2</v>
      </c>
    </row>
    <row r="1257" spans="19:27" x14ac:dyDescent="0.2">
      <c r="S1257" s="32"/>
      <c r="T1257" s="187"/>
      <c r="W1257" s="221" t="str">
        <f t="shared" si="28"/>
        <v>1w</v>
      </c>
      <c r="X1257" s="222">
        <f>_xll.qlCalendarAdvance(Calendar,X1256,W1257,"f",FALSE)</f>
        <v>47626</v>
      </c>
      <c r="Y1257" s="227">
        <f>_xll.qlCalendarAdvance(Calendar,X1257,NDays&amp;"D")</f>
        <v>47626</v>
      </c>
      <c r="Z1257" s="228">
        <v>3.6824318992801676E-2</v>
      </c>
      <c r="AA1257" s="230">
        <v>3.6769625422536922E-2</v>
      </c>
    </row>
    <row r="1258" spans="19:27" x14ac:dyDescent="0.2">
      <c r="S1258" s="32"/>
      <c r="T1258" s="187"/>
      <c r="W1258" s="221" t="str">
        <f t="shared" si="28"/>
        <v>1w</v>
      </c>
      <c r="X1258" s="222">
        <f>_xll.qlCalendarAdvance(Calendar,X1257,W1258,"f",FALSE)</f>
        <v>47633</v>
      </c>
      <c r="Y1258" s="227">
        <f>_xll.qlCalendarAdvance(Calendar,X1258,NDays&amp;"D")</f>
        <v>47633</v>
      </c>
      <c r="Z1258" s="228">
        <v>3.6817724941001773E-2</v>
      </c>
      <c r="AA1258" s="230">
        <v>3.6768433762356389E-2</v>
      </c>
    </row>
    <row r="1259" spans="19:27" x14ac:dyDescent="0.2">
      <c r="S1259" s="32"/>
      <c r="T1259" s="187"/>
      <c r="W1259" s="221" t="str">
        <f t="shared" si="28"/>
        <v>1w</v>
      </c>
      <c r="X1259" s="222">
        <f>_xll.qlCalendarAdvance(Calendar,X1258,W1259,"f",FALSE)</f>
        <v>47640</v>
      </c>
      <c r="Y1259" s="227">
        <f>_xll.qlCalendarAdvance(Calendar,X1259,NDays&amp;"D")</f>
        <v>47640</v>
      </c>
      <c r="Z1259" s="228">
        <v>3.6821606304450819E-2</v>
      </c>
      <c r="AA1259" s="230">
        <v>3.676718298685655E-2</v>
      </c>
    </row>
    <row r="1260" spans="19:27" x14ac:dyDescent="0.2">
      <c r="S1260" s="32"/>
      <c r="T1260" s="187"/>
      <c r="W1260" s="221" t="str">
        <f t="shared" si="28"/>
        <v>1w</v>
      </c>
      <c r="X1260" s="222">
        <f>_xll.qlCalendarAdvance(Calendar,X1259,W1260,"f",FALSE)</f>
        <v>47647</v>
      </c>
      <c r="Y1260" s="227">
        <f>_xll.qlCalendarAdvance(Calendar,X1260,NDays&amp;"D")</f>
        <v>47647</v>
      </c>
      <c r="Z1260" s="228">
        <v>3.6820161010451199E-2</v>
      </c>
      <c r="AA1260" s="230">
        <v>3.6765873096280544E-2</v>
      </c>
    </row>
    <row r="1261" spans="19:27" x14ac:dyDescent="0.2">
      <c r="S1261" s="32"/>
      <c r="T1261" s="187"/>
      <c r="W1261" s="221" t="str">
        <f t="shared" si="28"/>
        <v>1w</v>
      </c>
      <c r="X1261" s="222">
        <f>_xll.qlCalendarAdvance(Calendar,X1260,W1261,"f",FALSE)</f>
        <v>47654</v>
      </c>
      <c r="Y1261" s="227">
        <f>_xll.qlCalendarAdvance(Calendar,X1261,NDays&amp;"D")</f>
        <v>47654</v>
      </c>
      <c r="Z1261" s="228">
        <v>3.6818656416594958E-2</v>
      </c>
      <c r="AA1261" s="230">
        <v>3.6764504090466277E-2</v>
      </c>
    </row>
    <row r="1262" spans="19:27" x14ac:dyDescent="0.2">
      <c r="S1262" s="32"/>
      <c r="T1262" s="187"/>
      <c r="W1262" s="221" t="str">
        <f t="shared" si="28"/>
        <v>1w</v>
      </c>
      <c r="X1262" s="222">
        <f>_xll.qlCalendarAdvance(Calendar,X1261,W1262,"f",FALSE)</f>
        <v>47661</v>
      </c>
      <c r="Y1262" s="227">
        <f>_xll.qlCalendarAdvance(Calendar,X1262,NDays&amp;"D")</f>
        <v>47661</v>
      </c>
      <c r="Z1262" s="228">
        <v>3.6817092522915019E-2</v>
      </c>
      <c r="AA1262" s="230">
        <v>3.6763075969494796E-2</v>
      </c>
    </row>
    <row r="1263" spans="19:27" x14ac:dyDescent="0.2">
      <c r="S1263" s="32"/>
      <c r="T1263" s="187"/>
      <c r="W1263" s="221" t="str">
        <f t="shared" si="28"/>
        <v>1w</v>
      </c>
      <c r="X1263" s="222">
        <f>_xll.qlCalendarAdvance(Calendar,X1262,W1263,"f",FALSE)</f>
        <v>47668</v>
      </c>
      <c r="Y1263" s="227">
        <f>_xll.qlCalendarAdvance(Calendar,X1263,NDays&amp;"D")</f>
        <v>47668</v>
      </c>
      <c r="Z1263" s="228">
        <v>3.681546932942658E-2</v>
      </c>
      <c r="AA1263" s="230">
        <v>3.6761588733366102E-2</v>
      </c>
    </row>
    <row r="1264" spans="19:27" x14ac:dyDescent="0.2">
      <c r="S1264" s="32"/>
      <c r="T1264" s="187"/>
      <c r="W1264" s="221" t="str">
        <f t="shared" si="28"/>
        <v>1w</v>
      </c>
      <c r="X1264" s="222">
        <f>_xll.qlCalendarAdvance(Calendar,X1263,W1264,"f",FALSE)</f>
        <v>47675</v>
      </c>
      <c r="Y1264" s="227">
        <f>_xll.qlCalendarAdvance(Calendar,X1264,NDays&amp;"D")</f>
        <v>47675</v>
      </c>
      <c r="Z1264" s="228">
        <v>3.6813786836154966E-2</v>
      </c>
      <c r="AA1264" s="230">
        <v>3.6760042381999147E-2</v>
      </c>
    </row>
    <row r="1265" spans="19:27" x14ac:dyDescent="0.2">
      <c r="S1265" s="32"/>
      <c r="T1265" s="187"/>
      <c r="W1265" s="221" t="str">
        <f t="shared" si="28"/>
        <v>1w</v>
      </c>
      <c r="X1265" s="222">
        <f>_xll.qlCalendarAdvance(Calendar,X1264,W1265,"f",FALSE)</f>
        <v>47682</v>
      </c>
      <c r="Y1265" s="227">
        <f>_xll.qlCalendarAdvance(Calendar,X1265,NDays&amp;"D")</f>
        <v>47682</v>
      </c>
      <c r="Z1265" s="228">
        <v>3.6812045043133103E-2</v>
      </c>
      <c r="AA1265" s="230">
        <v>3.6758436915474979E-2</v>
      </c>
    </row>
    <row r="1266" spans="19:27" x14ac:dyDescent="0.2">
      <c r="S1266" s="32"/>
      <c r="T1266" s="187"/>
      <c r="W1266" s="221" t="str">
        <f t="shared" si="28"/>
        <v>1w</v>
      </c>
      <c r="X1266" s="222">
        <f>_xll.qlCalendarAdvance(Calendar,X1265,W1266,"f",FALSE)</f>
        <v>47689</v>
      </c>
      <c r="Y1266" s="227">
        <f>_xll.qlCalendarAdvance(Calendar,X1266,NDays&amp;"D")</f>
        <v>47689</v>
      </c>
      <c r="Z1266" s="228">
        <v>3.6811963965610726E-2</v>
      </c>
      <c r="AA1266" s="230">
        <v>3.6756772333793597E-2</v>
      </c>
    </row>
    <row r="1267" spans="19:27" x14ac:dyDescent="0.2">
      <c r="S1267" s="32"/>
      <c r="T1267" s="187"/>
      <c r="W1267" s="221" t="str">
        <f t="shared" si="28"/>
        <v>1w</v>
      </c>
      <c r="X1267" s="222">
        <f>_xll.qlCalendarAdvance(Calendar,X1266,W1267,"f",FALSE)</f>
        <v>47696</v>
      </c>
      <c r="Y1267" s="227">
        <f>_xll.qlCalendarAdvance(Calendar,X1267,NDays&amp;"D")</f>
        <v>47696</v>
      </c>
      <c r="Z1267" s="228">
        <v>3.6808383557932339E-2</v>
      </c>
      <c r="AA1267" s="230">
        <v>3.6755048636873955E-2</v>
      </c>
    </row>
    <row r="1268" spans="19:27" x14ac:dyDescent="0.2">
      <c r="S1268" s="32"/>
      <c r="T1268" s="187"/>
      <c r="W1268" s="221" t="str">
        <f t="shared" si="28"/>
        <v>1w</v>
      </c>
      <c r="X1268" s="222">
        <f>_xll.qlCalendarAdvance(Calendar,X1267,W1268,"f",FALSE)</f>
        <v>47703</v>
      </c>
      <c r="Y1268" s="227">
        <f>_xll.qlCalendarAdvance(Calendar,X1268,NDays&amp;"D")</f>
        <v>47703</v>
      </c>
      <c r="Z1268" s="228">
        <v>3.6806463865814223E-2</v>
      </c>
      <c r="AA1268" s="230">
        <v>3.6753265824797099E-2</v>
      </c>
    </row>
    <row r="1269" spans="19:27" x14ac:dyDescent="0.2">
      <c r="S1269" s="32"/>
      <c r="T1269" s="187"/>
      <c r="W1269" s="221" t="str">
        <f t="shared" si="28"/>
        <v>1w</v>
      </c>
      <c r="X1269" s="222">
        <f>_xll.qlCalendarAdvance(Calendar,X1268,W1269,"f",FALSE)</f>
        <v>47710</v>
      </c>
      <c r="Y1269" s="227">
        <f>_xll.qlCalendarAdvance(Calendar,X1269,NDays&amp;"D")</f>
        <v>47710</v>
      </c>
      <c r="Z1269" s="228">
        <v>3.6804484874054764E-2</v>
      </c>
      <c r="AA1269" s="230">
        <v>3.6751423897563029E-2</v>
      </c>
    </row>
    <row r="1270" spans="19:27" x14ac:dyDescent="0.2">
      <c r="S1270" s="32"/>
      <c r="T1270" s="187"/>
      <c r="W1270" s="221" t="str">
        <f t="shared" si="28"/>
        <v>1w</v>
      </c>
      <c r="X1270" s="222">
        <f>_xll.qlCalendarAdvance(Calendar,X1269,W1270,"f",FALSE)</f>
        <v>47717</v>
      </c>
      <c r="Y1270" s="227">
        <f>_xll.qlCalendarAdvance(Calendar,X1270,NDays&amp;"D")</f>
        <v>47717</v>
      </c>
      <c r="Z1270" s="228">
        <v>3.6802446582684355E-2</v>
      </c>
      <c r="AA1270" s="230">
        <v>3.6749522855171746E-2</v>
      </c>
    </row>
    <row r="1271" spans="19:27" x14ac:dyDescent="0.2">
      <c r="S1271" s="32"/>
      <c r="T1271" s="187"/>
      <c r="W1271" s="221" t="str">
        <f t="shared" si="28"/>
        <v>1w</v>
      </c>
      <c r="X1271" s="222">
        <f>_xll.qlCalendarAdvance(Calendar,X1270,W1271,"f",FALSE)</f>
        <v>47724</v>
      </c>
      <c r="Y1271" s="227">
        <f>_xll.qlCalendarAdvance(Calendar,X1271,NDays&amp;"D")</f>
        <v>47724</v>
      </c>
      <c r="Z1271" s="228">
        <v>3.6800348991735919E-2</v>
      </c>
      <c r="AA1271" s="230">
        <v>3.6747562697542202E-2</v>
      </c>
    </row>
    <row r="1272" spans="19:27" x14ac:dyDescent="0.2">
      <c r="S1272" s="32"/>
      <c r="T1272" s="187"/>
      <c r="W1272" s="221" t="str">
        <f t="shared" si="28"/>
        <v>1w</v>
      </c>
      <c r="X1272" s="222">
        <f>_xll.qlCalendarAdvance(Calendar,X1271,W1272,"f",FALSE)</f>
        <v>47731</v>
      </c>
      <c r="Y1272" s="227">
        <f>_xll.qlCalendarAdvance(Calendar,X1272,NDays&amp;"D")</f>
        <v>47731</v>
      </c>
      <c r="Z1272" s="228">
        <v>3.6798192101247448E-2</v>
      </c>
      <c r="AA1272" s="230">
        <v>3.6745543424755445E-2</v>
      </c>
    </row>
    <row r="1273" spans="19:27" x14ac:dyDescent="0.2">
      <c r="S1273" s="32"/>
      <c r="T1273" s="187"/>
      <c r="W1273" s="221" t="str">
        <f t="shared" si="28"/>
        <v>1w</v>
      </c>
      <c r="X1273" s="222">
        <f>_xll.qlCalendarAdvance(Calendar,X1272,W1273,"f",FALSE)</f>
        <v>47738</v>
      </c>
      <c r="Y1273" s="227">
        <f>_xll.qlCalendarAdvance(Calendar,X1273,NDays&amp;"D")</f>
        <v>47738</v>
      </c>
      <c r="Z1273" s="228">
        <v>3.6795975911241736E-2</v>
      </c>
      <c r="AA1273" s="230">
        <v>3.674346503689252E-2</v>
      </c>
    </row>
    <row r="1274" spans="19:27" x14ac:dyDescent="0.2">
      <c r="S1274" s="32"/>
      <c r="T1274" s="187"/>
      <c r="W1274" s="221" t="str">
        <f t="shared" si="28"/>
        <v>1w</v>
      </c>
      <c r="X1274" s="222">
        <f>_xll.qlCalendarAdvance(Calendar,X1273,W1274,"f",FALSE)</f>
        <v>47745</v>
      </c>
      <c r="Y1274" s="227">
        <f>_xll.qlCalendarAdvance(Calendar,X1274,NDays&amp;"D")</f>
        <v>47745</v>
      </c>
      <c r="Z1274" s="228">
        <v>3.6793700421759307E-2</v>
      </c>
      <c r="AA1274" s="230">
        <v>3.6741327533710288E-2</v>
      </c>
    </row>
    <row r="1275" spans="19:27" x14ac:dyDescent="0.2">
      <c r="S1275" s="32"/>
      <c r="T1275" s="187"/>
      <c r="W1275" s="221" t="str">
        <f t="shared" si="28"/>
        <v>1w</v>
      </c>
      <c r="X1275" s="222">
        <f>_xll.qlCalendarAdvance(Calendar,X1274,W1275,"f",FALSE)</f>
        <v>47752</v>
      </c>
      <c r="Y1275" s="227">
        <f>_xll.qlCalendarAdvance(Calendar,X1275,NDays&amp;"D")</f>
        <v>47752</v>
      </c>
      <c r="Z1275" s="228">
        <v>3.6791365632835617E-2</v>
      </c>
      <c r="AA1275" s="230">
        <v>3.673913091545189E-2</v>
      </c>
    </row>
    <row r="1276" spans="19:27" x14ac:dyDescent="0.2">
      <c r="S1276" s="32"/>
      <c r="T1276" s="187"/>
      <c r="W1276" s="221" t="str">
        <f t="shared" si="28"/>
        <v>1w</v>
      </c>
      <c r="X1276" s="222">
        <f>_xll.qlCalendarAdvance(Calendar,X1275,W1276,"f",FALSE)</f>
        <v>47759</v>
      </c>
      <c r="Y1276" s="227">
        <f>_xll.qlCalendarAdvance(Calendar,X1276,NDays&amp;"D")</f>
        <v>47759</v>
      </c>
      <c r="Z1276" s="228">
        <v>3.6788971544508657E-2</v>
      </c>
      <c r="AA1276" s="230">
        <v>3.6736875182036277E-2</v>
      </c>
    </row>
    <row r="1277" spans="19:27" x14ac:dyDescent="0.2">
      <c r="S1277" s="32"/>
      <c r="T1277" s="187"/>
      <c r="W1277" s="221" t="str">
        <f t="shared" si="28"/>
        <v>1w</v>
      </c>
      <c r="X1277" s="222">
        <f>_xll.qlCalendarAdvance(Calendar,X1276,W1277,"f",FALSE)</f>
        <v>47766</v>
      </c>
      <c r="Y1277" s="227">
        <f>_xll.qlCalendarAdvance(Calendar,X1277,NDays&amp;"D")</f>
        <v>47766</v>
      </c>
      <c r="Z1277" s="228">
        <v>3.678651815680882E-2</v>
      </c>
      <c r="AA1277" s="230">
        <v>3.6734560333301358E-2</v>
      </c>
    </row>
    <row r="1278" spans="19:27" x14ac:dyDescent="0.2">
      <c r="S1278" s="32"/>
      <c r="T1278" s="187"/>
      <c r="W1278" s="221" t="str">
        <f t="shared" si="28"/>
        <v>1w</v>
      </c>
      <c r="X1278" s="222">
        <f>_xll.qlCalendarAdvance(Calendar,X1277,W1278,"f",FALSE)</f>
        <v>47773</v>
      </c>
      <c r="Y1278" s="227">
        <f>_xll.qlCalendarAdvance(Calendar,X1278,NDays&amp;"D")</f>
        <v>47773</v>
      </c>
      <c r="Z1278" s="228">
        <v>3.6784005469784227E-2</v>
      </c>
      <c r="AA1278" s="230">
        <v>3.6732186369571318E-2</v>
      </c>
    </row>
    <row r="1279" spans="19:27" x14ac:dyDescent="0.2">
      <c r="S1279" s="32"/>
      <c r="T1279" s="187"/>
      <c r="W1279" s="221" t="str">
        <f t="shared" si="28"/>
        <v>1w</v>
      </c>
      <c r="X1279" s="222">
        <f>_xll.qlCalendarAdvance(Calendar,X1278,W1279,"f",FALSE)</f>
        <v>47780</v>
      </c>
      <c r="Y1279" s="227">
        <f>_xll.qlCalendarAdvance(Calendar,X1279,NDays&amp;"D")</f>
        <v>47780</v>
      </c>
      <c r="Z1279" s="228">
        <v>3.678143348346527E-2</v>
      </c>
      <c r="AA1279" s="230">
        <v>3.6729753290684064E-2</v>
      </c>
    </row>
    <row r="1280" spans="19:27" x14ac:dyDescent="0.2">
      <c r="S1280" s="32"/>
      <c r="T1280" s="187"/>
      <c r="W1280" s="221" t="str">
        <f t="shared" si="28"/>
        <v>1w</v>
      </c>
      <c r="X1280" s="222">
        <f>_xll.qlCalendarAdvance(Calendar,X1279,W1280,"f",FALSE)</f>
        <v>47787</v>
      </c>
      <c r="Y1280" s="227">
        <f>_xll.qlCalendarAdvance(Calendar,X1280,NDays&amp;"D")</f>
        <v>47787</v>
      </c>
      <c r="Z1280" s="228">
        <v>3.6773827654055881E-2</v>
      </c>
      <c r="AA1280" s="230">
        <v>3.6727261096477504E-2</v>
      </c>
    </row>
    <row r="1281" spans="19:27" x14ac:dyDescent="0.2">
      <c r="S1281" s="32"/>
      <c r="T1281" s="187"/>
      <c r="W1281" s="221" t="str">
        <f t="shared" si="28"/>
        <v>1w</v>
      </c>
      <c r="X1281" s="222">
        <f>_xll.qlCalendarAdvance(Calendar,X1280,W1281,"f",FALSE)</f>
        <v>47794</v>
      </c>
      <c r="Y1281" s="227">
        <f>_xll.qlCalendarAdvance(Calendar,X1281,NDays&amp;"D")</f>
        <v>47794</v>
      </c>
      <c r="Z1281" s="228">
        <v>3.6776111613116488E-2</v>
      </c>
      <c r="AA1281" s="230">
        <v>3.6724709787275822E-2</v>
      </c>
    </row>
    <row r="1282" spans="19:27" x14ac:dyDescent="0.2">
      <c r="S1282" s="32"/>
      <c r="T1282" s="187"/>
      <c r="W1282" s="221" t="str">
        <f t="shared" si="28"/>
        <v>1w</v>
      </c>
      <c r="X1282" s="222">
        <f>_xll.qlCalendarAdvance(Calendar,X1281,W1282,"f",FALSE)</f>
        <v>47801</v>
      </c>
      <c r="Y1282" s="227">
        <f>_xll.qlCalendarAdvance(Calendar,X1282,NDays&amp;"D")</f>
        <v>47801</v>
      </c>
      <c r="Z1282" s="228">
        <v>3.677336172916771E-2</v>
      </c>
      <c r="AA1282" s="230">
        <v>3.6722099362754834E-2</v>
      </c>
    </row>
    <row r="1283" spans="19:27" x14ac:dyDescent="0.2">
      <c r="S1283" s="32"/>
      <c r="T1283" s="187"/>
      <c r="W1283" s="221" t="str">
        <f t="shared" si="28"/>
        <v>1w</v>
      </c>
      <c r="X1283" s="222">
        <f>_xll.qlCalendarAdvance(Calendar,X1282,W1283,"f",FALSE)</f>
        <v>47808</v>
      </c>
      <c r="Y1283" s="227">
        <f>_xll.qlCalendarAdvance(Calendar,X1283,NDays&amp;"D")</f>
        <v>47808</v>
      </c>
      <c r="Z1283" s="228">
        <v>3.6770552546091725E-2</v>
      </c>
      <c r="AA1283" s="230">
        <v>3.6719429823076633E-2</v>
      </c>
    </row>
    <row r="1284" spans="19:27" x14ac:dyDescent="0.2">
      <c r="S1284" s="32"/>
      <c r="T1284" s="187"/>
      <c r="W1284" s="221" t="str">
        <f t="shared" si="28"/>
        <v>1w</v>
      </c>
      <c r="X1284" s="222">
        <f>_xll.qlCalendarAdvance(Calendar,X1283,W1284,"f",FALSE)</f>
        <v>47815</v>
      </c>
      <c r="Y1284" s="227">
        <f>_xll.qlCalendarAdvance(Calendar,X1284,NDays&amp;"D")</f>
        <v>47815</v>
      </c>
      <c r="Z1284" s="228">
        <v>3.6767684063936656E-2</v>
      </c>
      <c r="AA1284" s="230">
        <v>3.6716701168322263E-2</v>
      </c>
    </row>
    <row r="1285" spans="19:27" x14ac:dyDescent="0.2">
      <c r="S1285" s="32"/>
      <c r="T1285" s="187"/>
      <c r="W1285" s="221" t="str">
        <f t="shared" si="28"/>
        <v>1w</v>
      </c>
      <c r="X1285" s="222">
        <f>_xll.qlCalendarAdvance(Calendar,X1284,W1285,"f",FALSE)</f>
        <v>47822</v>
      </c>
      <c r="Y1285" s="227">
        <f>_xll.qlCalendarAdvance(Calendar,X1285,NDays&amp;"D")</f>
        <v>47822</v>
      </c>
      <c r="Z1285" s="228">
        <v>3.6764756282743026E-2</v>
      </c>
      <c r="AA1285" s="230">
        <v>3.671391339841068E-2</v>
      </c>
    </row>
    <row r="1286" spans="19:27" x14ac:dyDescent="0.2">
      <c r="S1286" s="32"/>
      <c r="T1286" s="187"/>
      <c r="W1286" s="221" t="str">
        <f t="shared" si="28"/>
        <v>1w</v>
      </c>
      <c r="X1286" s="222">
        <f>_xll.qlCalendarAdvance(Calendar,X1285,W1286,"f",FALSE)</f>
        <v>47829</v>
      </c>
      <c r="Y1286" s="227">
        <f>_xll.qlCalendarAdvance(Calendar,X1286,NDays&amp;"D")</f>
        <v>47829</v>
      </c>
      <c r="Z1286" s="228">
        <v>3.6761769202558955E-2</v>
      </c>
      <c r="AA1286" s="230">
        <v>3.6711066513341883E-2</v>
      </c>
    </row>
    <row r="1287" spans="19:27" x14ac:dyDescent="0.2">
      <c r="S1287" s="32"/>
      <c r="T1287" s="187"/>
      <c r="W1287" s="221" t="str">
        <f t="shared" si="28"/>
        <v>1w</v>
      </c>
      <c r="X1287" s="222">
        <f>_xll.qlCalendarAdvance(Calendar,X1286,W1287,"f",FALSE)</f>
        <v>47836</v>
      </c>
      <c r="Y1287" s="227">
        <f>_xll.qlCalendarAdvance(Calendar,X1287,NDays&amp;"D")</f>
        <v>47836</v>
      </c>
      <c r="Z1287" s="228">
        <v>3.67587228234275E-2</v>
      </c>
      <c r="AA1287" s="230">
        <v>3.6708160513034827E-2</v>
      </c>
    </row>
    <row r="1288" spans="19:27" x14ac:dyDescent="0.2">
      <c r="S1288" s="32"/>
      <c r="T1288" s="187"/>
      <c r="W1288" s="221" t="str">
        <f t="shared" si="28"/>
        <v>1w</v>
      </c>
      <c r="X1288" s="222">
        <f>_xll.qlCalendarAdvance(Calendar,X1287,W1288,"f",FALSE)</f>
        <v>47844</v>
      </c>
      <c r="Y1288" s="227">
        <f>_xll.qlCalendarAdvance(Calendar,X1288,NDays&amp;"D")</f>
        <v>47844</v>
      </c>
      <c r="Z1288" s="228">
        <v>3.6753547636548201E-2</v>
      </c>
      <c r="AA1288" s="230">
        <v>3.67080280672838E-2</v>
      </c>
    </row>
    <row r="1289" spans="19:27" x14ac:dyDescent="0.2">
      <c r="S1289" s="32"/>
      <c r="T1289" s="187"/>
      <c r="W1289" s="221" t="str">
        <f t="shared" si="28"/>
        <v>1w</v>
      </c>
      <c r="X1289" s="222">
        <f>_xll.qlCalendarAdvance(Calendar,X1288,W1289,"f",FALSE)</f>
        <v>47851</v>
      </c>
      <c r="Y1289" s="227">
        <f>_xll.qlCalendarAdvance(Calendar,X1289,NDays&amp;"D")</f>
        <v>47851</v>
      </c>
      <c r="Z1289" s="228">
        <v>3.6750378742631866E-2</v>
      </c>
      <c r="AA1289" s="230">
        <v>3.6704986335042163E-2</v>
      </c>
    </row>
    <row r="1290" spans="19:27" x14ac:dyDescent="0.2">
      <c r="S1290" s="32"/>
      <c r="T1290" s="187"/>
      <c r="W1290" s="221" t="str">
        <f t="shared" si="28"/>
        <v>1w</v>
      </c>
      <c r="X1290" s="222">
        <f>_xll.qlCalendarAdvance(Calendar,X1289,W1290,"f",FALSE)</f>
        <v>47858</v>
      </c>
      <c r="Y1290" s="227">
        <f>_xll.qlCalendarAdvance(Calendar,X1290,NDays&amp;"D")</f>
        <v>47858</v>
      </c>
      <c r="Z1290" s="228">
        <v>3.6747150555852572E-2</v>
      </c>
      <c r="AA1290" s="230">
        <v>3.6701885475783534E-2</v>
      </c>
    </row>
    <row r="1291" spans="19:27" x14ac:dyDescent="0.2">
      <c r="S1291" s="32"/>
      <c r="T1291" s="187"/>
      <c r="W1291" s="221" t="str">
        <f t="shared" si="28"/>
        <v>1w</v>
      </c>
      <c r="X1291" s="222">
        <f>_xll.qlCalendarAdvance(Calendar,X1290,W1291,"f",FALSE)</f>
        <v>47865</v>
      </c>
      <c r="Y1291" s="227">
        <f>_xll.qlCalendarAdvance(Calendar,X1291,NDays&amp;"D")</f>
        <v>47865</v>
      </c>
      <c r="Z1291" s="228">
        <v>3.6743863076262623E-2</v>
      </c>
      <c r="AA1291" s="230">
        <v>3.6698725489588975E-2</v>
      </c>
    </row>
    <row r="1292" spans="19:27" x14ac:dyDescent="0.2">
      <c r="S1292" s="32"/>
      <c r="T1292" s="187"/>
      <c r="W1292" s="221" t="str">
        <f t="shared" si="28"/>
        <v>1w</v>
      </c>
      <c r="X1292" s="222">
        <f>_xll.qlCalendarAdvance(Calendar,X1291,W1292,"f",FALSE)</f>
        <v>47872</v>
      </c>
      <c r="Y1292" s="227">
        <f>_xll.qlCalendarAdvance(Calendar,X1292,NDays&amp;"D")</f>
        <v>47872</v>
      </c>
      <c r="Z1292" s="228">
        <v>3.674051630390384E-2</v>
      </c>
      <c r="AA1292" s="230">
        <v>3.6695506376377425E-2</v>
      </c>
    </row>
    <row r="1293" spans="19:27" x14ac:dyDescent="0.2">
      <c r="S1293" s="32"/>
      <c r="T1293" s="187"/>
      <c r="W1293" s="221" t="str">
        <f t="shared" si="28"/>
        <v>1w</v>
      </c>
      <c r="X1293" s="222">
        <f>_xll.qlCalendarAdvance(Calendar,X1292,W1293,"f",FALSE)</f>
        <v>47879</v>
      </c>
      <c r="Y1293" s="227">
        <f>_xll.qlCalendarAdvance(Calendar,X1293,NDays&amp;"D")</f>
        <v>47879</v>
      </c>
      <c r="Z1293" s="228">
        <v>3.6732313753756345E-2</v>
      </c>
      <c r="AA1293" s="230">
        <v>3.6692228136202917E-2</v>
      </c>
    </row>
    <row r="1294" spans="19:27" x14ac:dyDescent="0.2">
      <c r="S1294" s="32"/>
      <c r="T1294" s="187"/>
      <c r="W1294" s="221" t="str">
        <f t="shared" si="28"/>
        <v>1w</v>
      </c>
      <c r="X1294" s="222">
        <f>_xll.qlCalendarAdvance(Calendar,X1293,W1294,"f",FALSE)</f>
        <v>47886</v>
      </c>
      <c r="Y1294" s="227">
        <f>_xll.qlCalendarAdvance(Calendar,X1294,NDays&amp;"D")</f>
        <v>47886</v>
      </c>
      <c r="Z1294" s="228">
        <v>3.672886214229755E-2</v>
      </c>
      <c r="AA1294" s="230">
        <v>3.6688890769038439E-2</v>
      </c>
    </row>
    <row r="1295" spans="19:27" x14ac:dyDescent="0.2">
      <c r="S1295" s="32"/>
      <c r="T1295" s="187"/>
      <c r="W1295" s="221" t="str">
        <f t="shared" si="28"/>
        <v>1w</v>
      </c>
      <c r="X1295" s="222">
        <f>_xll.qlCalendarAdvance(Calendar,X1294,W1295,"f",FALSE)</f>
        <v>47893</v>
      </c>
      <c r="Y1295" s="227">
        <f>_xll.qlCalendarAdvance(Calendar,X1295,NDays&amp;"D")</f>
        <v>47893</v>
      </c>
      <c r="Z1295" s="228">
        <v>3.6725351255991426E-2</v>
      </c>
      <c r="AA1295" s="230">
        <v>3.6685494274965043E-2</v>
      </c>
    </row>
    <row r="1296" spans="19:27" x14ac:dyDescent="0.2">
      <c r="S1296" s="32"/>
      <c r="T1296" s="187"/>
      <c r="W1296" s="221" t="str">
        <f t="shared" si="28"/>
        <v>1w</v>
      </c>
      <c r="X1296" s="222">
        <f>_xll.qlCalendarAdvance(Calendar,X1295,W1296,"f",FALSE)</f>
        <v>47900</v>
      </c>
      <c r="Y1296" s="227">
        <f>_xll.qlCalendarAdvance(Calendar,X1296,NDays&amp;"D")</f>
        <v>47900</v>
      </c>
      <c r="Z1296" s="228">
        <v>3.6721781094875595E-2</v>
      </c>
      <c r="AA1296" s="230">
        <v>3.6682038653874656E-2</v>
      </c>
    </row>
    <row r="1297" spans="19:27" x14ac:dyDescent="0.2">
      <c r="S1297" s="32"/>
      <c r="T1297" s="187"/>
      <c r="W1297" s="221" t="str">
        <f t="shared" si="28"/>
        <v>1w</v>
      </c>
      <c r="X1297" s="222">
        <f>_xll.qlCalendarAdvance(Calendar,X1296,W1297,"f",FALSE)</f>
        <v>47907</v>
      </c>
      <c r="Y1297" s="227">
        <f>_xll.qlCalendarAdvance(Calendar,X1297,NDays&amp;"D")</f>
        <v>47907</v>
      </c>
      <c r="Z1297" s="228">
        <v>3.6722893052412775E-2</v>
      </c>
      <c r="AA1297" s="230">
        <v>3.6678523905848325E-2</v>
      </c>
    </row>
    <row r="1298" spans="19:27" x14ac:dyDescent="0.2">
      <c r="S1298" s="32"/>
      <c r="T1298" s="187"/>
      <c r="W1298" s="221" t="str">
        <f t="shared" si="28"/>
        <v>1w</v>
      </c>
      <c r="X1298" s="222">
        <f>_xll.qlCalendarAdvance(Calendar,X1297,W1298,"f",FALSE)</f>
        <v>47914</v>
      </c>
      <c r="Y1298" s="227">
        <f>_xll.qlCalendarAdvance(Calendar,X1298,NDays&amp;"D")</f>
        <v>47914</v>
      </c>
      <c r="Z1298" s="228">
        <v>3.6719190524546898E-2</v>
      </c>
      <c r="AA1298" s="230">
        <v>3.6674950030886062E-2</v>
      </c>
    </row>
    <row r="1299" spans="19:27" x14ac:dyDescent="0.2">
      <c r="S1299" s="32"/>
      <c r="T1299" s="187"/>
      <c r="W1299" s="221" t="str">
        <f t="shared" si="28"/>
        <v>1w</v>
      </c>
      <c r="X1299" s="222">
        <f>_xll.qlCalendarAdvance(Calendar,X1298,W1299,"f",FALSE)</f>
        <v>47921</v>
      </c>
      <c r="Y1299" s="227">
        <f>_xll.qlCalendarAdvance(Calendar,X1299,NDays&amp;"D")</f>
        <v>47921</v>
      </c>
      <c r="Z1299" s="228">
        <v>3.6716999281809215E-2</v>
      </c>
      <c r="AA1299" s="230">
        <v>3.6671317028933823E-2</v>
      </c>
    </row>
    <row r="1300" spans="19:27" x14ac:dyDescent="0.2">
      <c r="S1300" s="32"/>
      <c r="T1300" s="187"/>
      <c r="W1300" s="221" t="str">
        <f t="shared" si="28"/>
        <v>1w</v>
      </c>
      <c r="X1300" s="222">
        <f>_xll.qlCalendarAdvance(Calendar,X1299,W1300,"f",FALSE)</f>
        <v>47928</v>
      </c>
      <c r="Y1300" s="227">
        <f>_xll.qlCalendarAdvance(Calendar,X1300,NDays&amp;"D")</f>
        <v>47928</v>
      </c>
      <c r="Z1300" s="228">
        <v>3.6711607591690357E-2</v>
      </c>
      <c r="AA1300" s="230">
        <v>3.6667624900099678E-2</v>
      </c>
    </row>
    <row r="1301" spans="19:27" x14ac:dyDescent="0.2">
      <c r="S1301" s="32"/>
      <c r="T1301" s="187"/>
      <c r="W1301" s="221" t="str">
        <f t="shared" ref="W1301:W1364" si="29">W1300</f>
        <v>1w</v>
      </c>
      <c r="X1301" s="222">
        <f>_xll.qlCalendarAdvance(Calendar,X1300,W1301,"f",FALSE)</f>
        <v>47935</v>
      </c>
      <c r="Y1301" s="227">
        <f>_xll.qlCalendarAdvance(Calendar,X1301,NDays&amp;"D")</f>
        <v>47935</v>
      </c>
      <c r="Z1301" s="228">
        <v>3.670772718681211E-2</v>
      </c>
      <c r="AA1301" s="230">
        <v>3.6663873644248543E-2</v>
      </c>
    </row>
    <row r="1302" spans="19:27" x14ac:dyDescent="0.2">
      <c r="S1302" s="32"/>
      <c r="T1302" s="187"/>
      <c r="W1302" s="221" t="str">
        <f t="shared" si="29"/>
        <v>1w</v>
      </c>
      <c r="X1302" s="222">
        <f>_xll.qlCalendarAdvance(Calendar,X1301,W1302,"f",FALSE)</f>
        <v>47942</v>
      </c>
      <c r="Y1302" s="227">
        <f>_xll.qlCalendarAdvance(Calendar,X1302,NDays&amp;"D")</f>
        <v>47942</v>
      </c>
      <c r="Z1302" s="228">
        <v>3.6705344191445485E-2</v>
      </c>
      <c r="AA1302" s="230">
        <v>3.6660063261542516E-2</v>
      </c>
    </row>
    <row r="1303" spans="19:27" x14ac:dyDescent="0.2">
      <c r="S1303" s="32"/>
      <c r="T1303" s="187"/>
      <c r="W1303" s="221" t="str">
        <f t="shared" si="29"/>
        <v>1w</v>
      </c>
      <c r="X1303" s="222">
        <f>_xll.qlCalendarAdvance(Calendar,X1302,W1303,"f",FALSE)</f>
        <v>47953</v>
      </c>
      <c r="Y1303" s="227">
        <f>_xll.qlCalendarAdvance(Calendar,X1303,NDays&amp;"D")</f>
        <v>47953</v>
      </c>
      <c r="Z1303" s="228">
        <v>3.6695926991667648E-2</v>
      </c>
      <c r="AA1303" s="230">
        <v>3.6650837339743392E-2</v>
      </c>
    </row>
    <row r="1304" spans="19:27" x14ac:dyDescent="0.2">
      <c r="S1304" s="32"/>
      <c r="T1304" s="187"/>
      <c r="W1304" s="221" t="str">
        <f t="shared" si="29"/>
        <v>1w</v>
      </c>
      <c r="X1304" s="222">
        <f>_xll.qlCalendarAdvance(Calendar,X1303,W1304,"f",FALSE)</f>
        <v>47960</v>
      </c>
      <c r="Y1304" s="227">
        <f>_xll.qlCalendarAdvance(Calendar,X1304,NDays&amp;"D")</f>
        <v>47960</v>
      </c>
      <c r="Z1304" s="228">
        <v>3.6691839474597573E-2</v>
      </c>
      <c r="AA1304" s="230">
        <v>3.664688415697559E-2</v>
      </c>
    </row>
    <row r="1305" spans="19:27" x14ac:dyDescent="0.2">
      <c r="S1305" s="32"/>
      <c r="T1305" s="187"/>
      <c r="W1305" s="221" t="str">
        <f t="shared" si="29"/>
        <v>1w</v>
      </c>
      <c r="X1305" s="222">
        <f>_xll.qlCalendarAdvance(Calendar,X1304,W1305,"f",FALSE)</f>
        <v>47967</v>
      </c>
      <c r="Y1305" s="227">
        <f>_xll.qlCalendarAdvance(Calendar,X1305,NDays&amp;"D")</f>
        <v>47967</v>
      </c>
      <c r="Z1305" s="228">
        <v>3.6687692671424764E-2</v>
      </c>
      <c r="AA1305" s="230">
        <v>3.6642871859050574E-2</v>
      </c>
    </row>
    <row r="1306" spans="19:27" x14ac:dyDescent="0.2">
      <c r="S1306" s="32"/>
      <c r="T1306" s="187"/>
      <c r="W1306" s="221" t="str">
        <f t="shared" si="29"/>
        <v>1w</v>
      </c>
      <c r="X1306" s="222">
        <f>_xll.qlCalendarAdvance(Calendar,X1305,W1306,"f",FALSE)</f>
        <v>47974</v>
      </c>
      <c r="Y1306" s="227">
        <f>_xll.qlCalendarAdvance(Calendar,X1306,NDays&amp;"D")</f>
        <v>47974</v>
      </c>
      <c r="Z1306" s="228">
        <v>3.6685022379217287E-2</v>
      </c>
      <c r="AA1306" s="230">
        <v>3.6638800446049391E-2</v>
      </c>
    </row>
    <row r="1307" spans="19:27" x14ac:dyDescent="0.2">
      <c r="S1307" s="32"/>
      <c r="T1307" s="187"/>
      <c r="W1307" s="221" t="str">
        <f t="shared" si="29"/>
        <v>1w</v>
      </c>
      <c r="X1307" s="222">
        <f>_xll.qlCalendarAdvance(Calendar,X1306,W1307,"f",FALSE)</f>
        <v>47981</v>
      </c>
      <c r="Y1307" s="227">
        <f>_xll.qlCalendarAdvance(Calendar,X1307,NDays&amp;"D")</f>
        <v>47981</v>
      </c>
      <c r="Z1307" s="228">
        <v>3.6680752340851275E-2</v>
      </c>
      <c r="AA1307" s="230">
        <v>3.6634669917890994E-2</v>
      </c>
    </row>
    <row r="1308" spans="19:27" x14ac:dyDescent="0.2">
      <c r="S1308" s="32"/>
      <c r="T1308" s="187"/>
      <c r="W1308" s="221" t="str">
        <f t="shared" si="29"/>
        <v>1w</v>
      </c>
      <c r="X1308" s="222">
        <f>_xll.qlCalendarAdvance(Calendar,X1307,W1308,"f",FALSE)</f>
        <v>47988</v>
      </c>
      <c r="Y1308" s="227">
        <f>_xll.qlCalendarAdvance(Calendar,X1308,NDays&amp;"D")</f>
        <v>47988</v>
      </c>
      <c r="Z1308" s="228">
        <v>3.6676423010668077E-2</v>
      </c>
      <c r="AA1308" s="230">
        <v>3.663048027465643E-2</v>
      </c>
    </row>
    <row r="1309" spans="19:27" x14ac:dyDescent="0.2">
      <c r="S1309" s="32"/>
      <c r="T1309" s="187"/>
      <c r="W1309" s="221" t="str">
        <f t="shared" si="29"/>
        <v>1w</v>
      </c>
      <c r="X1309" s="222">
        <f>_xll.qlCalendarAdvance(Calendar,X1308,W1309,"f",FALSE)</f>
        <v>47995</v>
      </c>
      <c r="Y1309" s="227">
        <f>_xll.qlCalendarAdvance(Calendar,X1309,NDays&amp;"D")</f>
        <v>47995</v>
      </c>
      <c r="Z1309" s="228">
        <v>3.6672034388735654E-2</v>
      </c>
      <c r="AA1309" s="230">
        <v>3.6626231516183605E-2</v>
      </c>
    </row>
    <row r="1310" spans="19:27" x14ac:dyDescent="0.2">
      <c r="S1310" s="32"/>
      <c r="T1310" s="187"/>
      <c r="W1310" s="221" t="str">
        <f t="shared" si="29"/>
        <v>1w</v>
      </c>
      <c r="X1310" s="222">
        <f>_xll.qlCalendarAdvance(Calendar,X1309,W1310,"f",FALSE)</f>
        <v>48002</v>
      </c>
      <c r="Y1310" s="227">
        <f>_xll.qlCalendarAdvance(Calendar,X1310,NDays&amp;"D")</f>
        <v>48002</v>
      </c>
      <c r="Z1310" s="228">
        <v>3.6666069366124265E-2</v>
      </c>
      <c r="AA1310" s="230">
        <v>3.6621923642715659E-2</v>
      </c>
    </row>
    <row r="1311" spans="19:27" x14ac:dyDescent="0.2">
      <c r="S1311" s="32"/>
      <c r="T1311" s="187"/>
      <c r="W1311" s="221" t="str">
        <f t="shared" si="29"/>
        <v>1w</v>
      </c>
      <c r="X1311" s="222">
        <f>_xll.qlCalendarAdvance(Calendar,X1310,W1311,"f",FALSE)</f>
        <v>48009</v>
      </c>
      <c r="Y1311" s="227">
        <f>_xll.qlCalendarAdvance(Calendar,X1311,NDays&amp;"D")</f>
        <v>48009</v>
      </c>
      <c r="Z1311" s="228">
        <v>3.6661566847621008E-2</v>
      </c>
      <c r="AA1311" s="230">
        <v>3.6617556654171546E-2</v>
      </c>
    </row>
    <row r="1312" spans="19:27" x14ac:dyDescent="0.2">
      <c r="S1312" s="32"/>
      <c r="T1312" s="187"/>
      <c r="W1312" s="221" t="str">
        <f t="shared" si="29"/>
        <v>1w</v>
      </c>
      <c r="X1312" s="222">
        <f>_xll.qlCalendarAdvance(Calendar,X1311,W1312,"f",FALSE)</f>
        <v>48016</v>
      </c>
      <c r="Y1312" s="227">
        <f>_xll.qlCalendarAdvance(Calendar,X1312,NDays&amp;"D")</f>
        <v>48016</v>
      </c>
      <c r="Z1312" s="228">
        <v>3.6657005043447266E-2</v>
      </c>
      <c r="AA1312" s="230">
        <v>3.6613130550389172E-2</v>
      </c>
    </row>
    <row r="1313" spans="19:27" x14ac:dyDescent="0.2">
      <c r="S1313" s="32"/>
      <c r="T1313" s="187"/>
      <c r="W1313" s="221" t="str">
        <f t="shared" si="29"/>
        <v>1w</v>
      </c>
      <c r="X1313" s="222">
        <f>_xll.qlCalendarAdvance(Calendar,X1312,W1313,"f",FALSE)</f>
        <v>48023</v>
      </c>
      <c r="Y1313" s="227">
        <f>_xll.qlCalendarAdvance(Calendar,X1313,NDays&amp;"D")</f>
        <v>48023</v>
      </c>
      <c r="Z1313" s="228">
        <v>3.6652383953684087E-2</v>
      </c>
      <c r="AA1313" s="230">
        <v>3.6608645331530631E-2</v>
      </c>
    </row>
    <row r="1314" spans="19:27" x14ac:dyDescent="0.2">
      <c r="S1314" s="32"/>
      <c r="T1314" s="187"/>
      <c r="W1314" s="221" t="str">
        <f t="shared" si="29"/>
        <v>1w</v>
      </c>
      <c r="X1314" s="222">
        <f>_xll.qlCalendarAdvance(Calendar,X1313,W1314,"f",FALSE)</f>
        <v>48030</v>
      </c>
      <c r="Y1314" s="227">
        <f>_xll.qlCalendarAdvance(Calendar,X1314,NDays&amp;"D")</f>
        <v>48030</v>
      </c>
      <c r="Z1314" s="228">
        <v>3.6649201905169966E-2</v>
      </c>
      <c r="AA1314" s="230">
        <v>3.6604100997595923E-2</v>
      </c>
    </row>
    <row r="1315" spans="19:27" x14ac:dyDescent="0.2">
      <c r="S1315" s="32"/>
      <c r="T1315" s="187"/>
      <c r="W1315" s="221" t="str">
        <f t="shared" si="29"/>
        <v>1w</v>
      </c>
      <c r="X1315" s="222">
        <f>_xll.qlCalendarAdvance(Calendar,X1314,W1315,"f",FALSE)</f>
        <v>48037</v>
      </c>
      <c r="Y1315" s="227">
        <f>_xll.qlCalendarAdvance(Calendar,X1315,NDays&amp;"D")</f>
        <v>48037</v>
      </c>
      <c r="Z1315" s="228">
        <v>3.6644457534154018E-2</v>
      </c>
      <c r="AA1315" s="230">
        <v>3.6599497548504001E-2</v>
      </c>
    </row>
    <row r="1316" spans="19:27" x14ac:dyDescent="0.2">
      <c r="S1316" s="32"/>
      <c r="T1316" s="187"/>
      <c r="W1316" s="221" t="str">
        <f t="shared" si="29"/>
        <v>1w</v>
      </c>
      <c r="X1316" s="222">
        <f>_xll.qlCalendarAdvance(Calendar,X1315,W1316,"f",FALSE)</f>
        <v>48044</v>
      </c>
      <c r="Y1316" s="227">
        <f>_xll.qlCalendarAdvance(Calendar,X1316,NDays&amp;"D")</f>
        <v>48044</v>
      </c>
      <c r="Z1316" s="228">
        <v>3.6639653871869904E-2</v>
      </c>
      <c r="AA1316" s="230">
        <v>3.6594834984335911E-2</v>
      </c>
    </row>
    <row r="1317" spans="19:27" x14ac:dyDescent="0.2">
      <c r="S1317" s="32"/>
      <c r="T1317" s="187"/>
      <c r="W1317" s="221" t="str">
        <f t="shared" si="29"/>
        <v>1w</v>
      </c>
      <c r="X1317" s="222">
        <f>_xll.qlCalendarAdvance(Calendar,X1316,W1317,"f",FALSE)</f>
        <v>48051</v>
      </c>
      <c r="Y1317" s="227">
        <f>_xll.qlCalendarAdvance(Calendar,X1317,NDays&amp;"D")</f>
        <v>48051</v>
      </c>
      <c r="Z1317" s="228">
        <v>3.6634790918393445E-2</v>
      </c>
      <c r="AA1317" s="230">
        <v>3.65901133051727E-2</v>
      </c>
    </row>
    <row r="1318" spans="19:27" x14ac:dyDescent="0.2">
      <c r="S1318" s="32"/>
      <c r="T1318" s="187"/>
      <c r="W1318" s="221" t="str">
        <f t="shared" si="29"/>
        <v>1w</v>
      </c>
      <c r="X1318" s="222">
        <f>_xll.qlCalendarAdvance(Calendar,X1317,W1318,"f",FALSE)</f>
        <v>48058</v>
      </c>
      <c r="Y1318" s="227">
        <f>_xll.qlCalendarAdvance(Calendar,X1318,NDays&amp;"D")</f>
        <v>48058</v>
      </c>
      <c r="Z1318" s="228">
        <v>3.6629868673789992E-2</v>
      </c>
      <c r="AA1318" s="230">
        <v>3.6585332510771229E-2</v>
      </c>
    </row>
    <row r="1319" spans="19:27" x14ac:dyDescent="0.2">
      <c r="S1319" s="32"/>
      <c r="T1319" s="187"/>
      <c r="W1319" s="221" t="str">
        <f t="shared" si="29"/>
        <v>1w</v>
      </c>
      <c r="X1319" s="222">
        <f>_xll.qlCalendarAdvance(Calendar,X1318,W1319,"f",FALSE)</f>
        <v>48065</v>
      </c>
      <c r="Y1319" s="227">
        <f>_xll.qlCalendarAdvance(Calendar,X1319,NDays&amp;"D")</f>
        <v>48065</v>
      </c>
      <c r="Z1319" s="228">
        <v>3.6624887138135366E-2</v>
      </c>
      <c r="AA1319" s="230">
        <v>3.658049260129359E-2</v>
      </c>
    </row>
    <row r="1320" spans="19:27" x14ac:dyDescent="0.2">
      <c r="S1320" s="32"/>
      <c r="T1320" s="187"/>
      <c r="W1320" s="221" t="str">
        <f t="shared" si="29"/>
        <v>1w</v>
      </c>
      <c r="X1320" s="222">
        <f>_xll.qlCalendarAdvance(Calendar,X1319,W1320,"f",FALSE)</f>
        <v>48072</v>
      </c>
      <c r="Y1320" s="227">
        <f>_xll.qlCalendarAdvance(Calendar,X1320,NDays&amp;"D")</f>
        <v>48072</v>
      </c>
      <c r="Z1320" s="228">
        <v>3.6619846311515845E-2</v>
      </c>
      <c r="AA1320" s="230">
        <v>3.6575593576739784E-2</v>
      </c>
    </row>
    <row r="1321" spans="19:27" x14ac:dyDescent="0.2">
      <c r="S1321" s="32"/>
      <c r="T1321" s="187"/>
      <c r="W1321" s="221" t="str">
        <f t="shared" si="29"/>
        <v>1w</v>
      </c>
      <c r="X1321" s="222">
        <f>_xll.qlCalendarAdvance(Calendar,X1320,W1321,"f",FALSE)</f>
        <v>48079</v>
      </c>
      <c r="Y1321" s="227">
        <f>_xll.qlCalendarAdvance(Calendar,X1321,NDays&amp;"D")</f>
        <v>48079</v>
      </c>
      <c r="Z1321" s="228">
        <v>3.6614746193991556E-2</v>
      </c>
      <c r="AA1321" s="230">
        <v>3.6570635437109811E-2</v>
      </c>
    </row>
    <row r="1322" spans="19:27" x14ac:dyDescent="0.2">
      <c r="S1322" s="32"/>
      <c r="T1322" s="187"/>
      <c r="W1322" s="221" t="str">
        <f t="shared" si="29"/>
        <v>1w</v>
      </c>
      <c r="X1322" s="222">
        <f>_xll.qlCalendarAdvance(Calendar,X1321,W1322,"f",FALSE)</f>
        <v>48086</v>
      </c>
      <c r="Y1322" s="227">
        <f>_xll.qlCalendarAdvance(Calendar,X1322,NDays&amp;"D")</f>
        <v>48086</v>
      </c>
      <c r="Z1322" s="228">
        <v>3.6609586785643543E-2</v>
      </c>
      <c r="AA1322" s="230">
        <v>3.656561818240367E-2</v>
      </c>
    </row>
    <row r="1323" spans="19:27" x14ac:dyDescent="0.2">
      <c r="S1323" s="32"/>
      <c r="T1323" s="187"/>
      <c r="W1323" s="221" t="str">
        <f t="shared" si="29"/>
        <v>1w</v>
      </c>
      <c r="X1323" s="222">
        <f>_xll.qlCalendarAdvance(Calendar,X1322,W1323,"f",FALSE)</f>
        <v>48093</v>
      </c>
      <c r="Y1323" s="227">
        <f>_xll.qlCalendarAdvance(Calendar,X1323,NDays&amp;"D")</f>
        <v>48093</v>
      </c>
      <c r="Z1323" s="228">
        <v>3.6602912363378245E-2</v>
      </c>
      <c r="AA1323" s="230">
        <v>3.6560541812540315E-2</v>
      </c>
    </row>
    <row r="1324" spans="19:27" x14ac:dyDescent="0.2">
      <c r="S1324" s="32"/>
      <c r="T1324" s="187"/>
      <c r="W1324" s="221" t="str">
        <f t="shared" si="29"/>
        <v>1w</v>
      </c>
      <c r="X1324" s="222">
        <f>_xll.qlCalendarAdvance(Calendar,X1323,W1324,"f",FALSE)</f>
        <v>48100</v>
      </c>
      <c r="Y1324" s="227">
        <f>_xll.qlCalendarAdvance(Calendar,X1324,NDays&amp;"D")</f>
        <v>48100</v>
      </c>
      <c r="Z1324" s="228">
        <v>3.6597639136672543E-2</v>
      </c>
      <c r="AA1324" s="230">
        <v>3.6555406327681839E-2</v>
      </c>
    </row>
    <row r="1325" spans="19:27" x14ac:dyDescent="0.2">
      <c r="S1325" s="32"/>
      <c r="T1325" s="187"/>
      <c r="W1325" s="221" t="str">
        <f t="shared" si="29"/>
        <v>1w</v>
      </c>
      <c r="X1325" s="222">
        <f>_xll.qlCalendarAdvance(Calendar,X1324,W1325,"f",FALSE)</f>
        <v>48107</v>
      </c>
      <c r="Y1325" s="227">
        <f>_xll.qlCalendarAdvance(Calendar,X1325,NDays&amp;"D")</f>
        <v>48107</v>
      </c>
      <c r="Z1325" s="228">
        <v>3.6592306625236493E-2</v>
      </c>
      <c r="AA1325" s="230">
        <v>3.6550211727747195E-2</v>
      </c>
    </row>
    <row r="1326" spans="19:27" x14ac:dyDescent="0.2">
      <c r="S1326" s="32"/>
      <c r="T1326" s="187"/>
      <c r="W1326" s="221" t="str">
        <f t="shared" si="29"/>
        <v>1w</v>
      </c>
      <c r="X1326" s="222">
        <f>_xll.qlCalendarAdvance(Calendar,X1325,W1326,"f",FALSE)</f>
        <v>48114</v>
      </c>
      <c r="Y1326" s="227">
        <f>_xll.qlCalendarAdvance(Calendar,X1326,NDays&amp;"D")</f>
        <v>48114</v>
      </c>
      <c r="Z1326" s="228">
        <v>3.6586914829140338E-2</v>
      </c>
      <c r="AA1326" s="230">
        <v>3.6544958012736384E-2</v>
      </c>
    </row>
    <row r="1327" spans="19:27" x14ac:dyDescent="0.2">
      <c r="S1327" s="32"/>
      <c r="T1327" s="187"/>
      <c r="W1327" s="221" t="str">
        <f t="shared" si="29"/>
        <v>1w</v>
      </c>
      <c r="X1327" s="222">
        <f>_xll.qlCalendarAdvance(Calendar,X1326,W1327,"f",FALSE)</f>
        <v>48121</v>
      </c>
      <c r="Y1327" s="227">
        <f>_xll.qlCalendarAdvance(Calendar,X1327,NDays&amp;"D")</f>
        <v>48121</v>
      </c>
      <c r="Z1327" s="228">
        <v>3.6582900384350324E-2</v>
      </c>
      <c r="AA1327" s="230">
        <v>3.6539645182406266E-2</v>
      </c>
    </row>
    <row r="1328" spans="19:27" x14ac:dyDescent="0.2">
      <c r="S1328" s="32"/>
      <c r="T1328" s="187"/>
      <c r="W1328" s="221" t="str">
        <f t="shared" si="29"/>
        <v>1w</v>
      </c>
      <c r="X1328" s="222">
        <f>_xll.qlCalendarAdvance(Calendar,X1327,W1328,"f",FALSE)</f>
        <v>48128</v>
      </c>
      <c r="Y1328" s="227">
        <f>_xll.qlCalendarAdvance(Calendar,X1328,NDays&amp;"D")</f>
        <v>48128</v>
      </c>
      <c r="Z1328" s="228">
        <v>3.6577385232738437E-2</v>
      </c>
      <c r="AA1328" s="230">
        <v>3.6534273237324166E-2</v>
      </c>
    </row>
    <row r="1329" spans="19:27" x14ac:dyDescent="0.2">
      <c r="S1329" s="32"/>
      <c r="T1329" s="187"/>
      <c r="W1329" s="221" t="str">
        <f t="shared" si="29"/>
        <v>1w</v>
      </c>
      <c r="X1329" s="222">
        <f>_xll.qlCalendarAdvance(Calendar,X1328,W1329,"f",FALSE)</f>
        <v>48135</v>
      </c>
      <c r="Y1329" s="227">
        <f>_xll.qlCalendarAdvance(Calendar,X1329,NDays&amp;"D")</f>
        <v>48135</v>
      </c>
      <c r="Z1329" s="228">
        <v>3.657181079087015E-2</v>
      </c>
      <c r="AA1329" s="230">
        <v>3.6528842177084853E-2</v>
      </c>
    </row>
    <row r="1330" spans="19:27" x14ac:dyDescent="0.2">
      <c r="S1330" s="32"/>
      <c r="T1330" s="187"/>
      <c r="W1330" s="221" t="str">
        <f t="shared" si="29"/>
        <v>1w</v>
      </c>
      <c r="X1330" s="222">
        <f>_xll.qlCalendarAdvance(Calendar,X1329,W1330,"f",FALSE)</f>
        <v>48142</v>
      </c>
      <c r="Y1330" s="227">
        <f>_xll.qlCalendarAdvance(Calendar,X1330,NDays&amp;"D")</f>
        <v>48142</v>
      </c>
      <c r="Z1330" s="228">
        <v>3.6566177058823902E-2</v>
      </c>
      <c r="AA1330" s="230">
        <v>3.6523352001607279E-2</v>
      </c>
    </row>
    <row r="1331" spans="19:27" x14ac:dyDescent="0.2">
      <c r="S1331" s="32"/>
      <c r="T1331" s="187"/>
      <c r="W1331" s="221" t="str">
        <f t="shared" si="29"/>
        <v>1w</v>
      </c>
      <c r="X1331" s="222">
        <f>_xll.qlCalendarAdvance(Calendar,X1330,W1331,"f",FALSE)</f>
        <v>48149</v>
      </c>
      <c r="Y1331" s="227">
        <f>_xll.qlCalendarAdvance(Calendar,X1331,NDays&amp;"D")</f>
        <v>48149</v>
      </c>
      <c r="Z1331" s="228">
        <v>3.656048403668858E-2</v>
      </c>
      <c r="AA1331" s="230">
        <v>3.651780271121563E-2</v>
      </c>
    </row>
    <row r="1332" spans="19:27" x14ac:dyDescent="0.2">
      <c r="S1332" s="32"/>
      <c r="T1332" s="187"/>
      <c r="W1332" s="221" t="str">
        <f t="shared" si="29"/>
        <v>1w</v>
      </c>
      <c r="X1332" s="222">
        <f>_xll.qlCalendarAdvance(Calendar,X1331,W1332,"f",FALSE)</f>
        <v>48156</v>
      </c>
      <c r="Y1332" s="227">
        <f>_xll.qlCalendarAdvance(Calendar,X1332,NDays&amp;"D")</f>
        <v>48156</v>
      </c>
      <c r="Z1332" s="228">
        <v>3.6553319079293788E-2</v>
      </c>
      <c r="AA1332" s="230">
        <v>3.6512194305747814E-2</v>
      </c>
    </row>
    <row r="1333" spans="19:27" x14ac:dyDescent="0.2">
      <c r="S1333" s="32"/>
      <c r="T1333" s="187"/>
      <c r="W1333" s="221" t="str">
        <f t="shared" si="29"/>
        <v>1w</v>
      </c>
      <c r="X1333" s="222">
        <f>_xll.qlCalendarAdvance(Calendar,X1332,W1333,"f",FALSE)</f>
        <v>48163</v>
      </c>
      <c r="Y1333" s="227">
        <f>_xll.qlCalendarAdvance(Calendar,X1333,NDays&amp;"D")</f>
        <v>48163</v>
      </c>
      <c r="Z1333" s="228">
        <v>3.6547512292865091E-2</v>
      </c>
      <c r="AA1333" s="230">
        <v>3.6506526785284876E-2</v>
      </c>
    </row>
    <row r="1334" spans="19:27" x14ac:dyDescent="0.2">
      <c r="S1334" s="32"/>
      <c r="T1334" s="187"/>
      <c r="W1334" s="221" t="str">
        <f t="shared" si="29"/>
        <v>1w</v>
      </c>
      <c r="X1334" s="222">
        <f>_xll.qlCalendarAdvance(Calendar,X1333,W1334,"f",FALSE)</f>
        <v>48170</v>
      </c>
      <c r="Y1334" s="227">
        <f>_xll.qlCalendarAdvance(Calendar,X1334,NDays&amp;"D")</f>
        <v>48170</v>
      </c>
      <c r="Z1334" s="228">
        <v>3.6541646222438162E-2</v>
      </c>
      <c r="AA1334" s="230">
        <v>3.6500800149664725E-2</v>
      </c>
    </row>
    <row r="1335" spans="19:27" x14ac:dyDescent="0.2">
      <c r="S1335" s="32"/>
      <c r="T1335" s="187"/>
      <c r="W1335" s="221" t="str">
        <f t="shared" si="29"/>
        <v>1w</v>
      </c>
      <c r="X1335" s="222">
        <f>_xll.qlCalendarAdvance(Calendar,X1334,W1335,"f",FALSE)</f>
        <v>48177</v>
      </c>
      <c r="Y1335" s="227">
        <f>_xll.qlCalendarAdvance(Calendar,X1335,NDays&amp;"D")</f>
        <v>48177</v>
      </c>
      <c r="Z1335" s="228">
        <v>3.654131138737314E-2</v>
      </c>
      <c r="AA1335" s="230">
        <v>3.6495014399049452E-2</v>
      </c>
    </row>
    <row r="1336" spans="19:27" x14ac:dyDescent="0.2">
      <c r="S1336" s="32"/>
      <c r="T1336" s="187"/>
      <c r="W1336" s="221" t="str">
        <f t="shared" si="29"/>
        <v>1w</v>
      </c>
      <c r="X1336" s="222">
        <f>_xll.qlCalendarAdvance(Calendar,X1335,W1336,"f",FALSE)</f>
        <v>48184</v>
      </c>
      <c r="Y1336" s="227">
        <f>_xll.qlCalendarAdvance(Calendar,X1336,NDays&amp;"D")</f>
        <v>48184</v>
      </c>
      <c r="Z1336" s="228">
        <v>3.653112957770592E-2</v>
      </c>
      <c r="AA1336" s="230">
        <v>3.6489169533276966E-2</v>
      </c>
    </row>
    <row r="1337" spans="19:27" x14ac:dyDescent="0.2">
      <c r="S1337" s="32"/>
      <c r="T1337" s="187"/>
      <c r="W1337" s="221" t="str">
        <f t="shared" si="29"/>
        <v>1w</v>
      </c>
      <c r="X1337" s="222">
        <f>_xll.qlCalendarAdvance(Calendar,X1336,W1337,"f",FALSE)</f>
        <v>48191</v>
      </c>
      <c r="Y1337" s="227">
        <f>_xll.qlCalendarAdvance(Calendar,X1337,NDays&amp;"D")</f>
        <v>48191</v>
      </c>
      <c r="Z1337" s="228">
        <v>3.6525080816863606E-2</v>
      </c>
      <c r="AA1337" s="230">
        <v>3.6483265552590405E-2</v>
      </c>
    </row>
    <row r="1338" spans="19:27" x14ac:dyDescent="0.2">
      <c r="S1338" s="32"/>
      <c r="T1338" s="187"/>
      <c r="W1338" s="221" t="str">
        <f t="shared" si="29"/>
        <v>1w</v>
      </c>
      <c r="X1338" s="222">
        <f>_xll.qlCalendarAdvance(Calendar,X1337,W1338,"f",FALSE)</f>
        <v>48198</v>
      </c>
      <c r="Y1338" s="227">
        <f>_xll.qlCalendarAdvance(Calendar,X1338,NDays&amp;"D")</f>
        <v>48198</v>
      </c>
      <c r="Z1338" s="228">
        <v>3.6518972766551833E-2</v>
      </c>
      <c r="AA1338" s="230">
        <v>3.6477302456665583E-2</v>
      </c>
    </row>
    <row r="1339" spans="19:27" x14ac:dyDescent="0.2">
      <c r="S1339" s="32"/>
      <c r="T1339" s="187"/>
      <c r="W1339" s="221" t="str">
        <f t="shared" si="29"/>
        <v>1w</v>
      </c>
      <c r="X1339" s="222">
        <f>_xll.qlCalendarAdvance(Calendar,X1338,W1339,"f",FALSE)</f>
        <v>48205</v>
      </c>
      <c r="Y1339" s="227">
        <f>_xll.qlCalendarAdvance(Calendar,X1339,NDays&amp;"D")</f>
        <v>48205</v>
      </c>
      <c r="Z1339" s="228">
        <v>3.6512805426859488E-2</v>
      </c>
      <c r="AA1339" s="230">
        <v>3.6471280245907733E-2</v>
      </c>
    </row>
    <row r="1340" spans="19:27" x14ac:dyDescent="0.2">
      <c r="S1340" s="32"/>
      <c r="T1340" s="187"/>
      <c r="W1340" s="221" t="str">
        <f t="shared" si="29"/>
        <v>1w</v>
      </c>
      <c r="X1340" s="222">
        <f>_xll.qlCalendarAdvance(Calendar,X1339,W1340,"f",FALSE)</f>
        <v>48212</v>
      </c>
      <c r="Y1340" s="227">
        <f>_xll.qlCalendarAdvance(Calendar,X1340,NDays&amp;"D")</f>
        <v>48212</v>
      </c>
      <c r="Z1340" s="228">
        <v>3.6506578797880683E-2</v>
      </c>
      <c r="AA1340" s="230">
        <v>3.646519891999267E-2</v>
      </c>
    </row>
    <row r="1341" spans="19:27" x14ac:dyDescent="0.2">
      <c r="S1341" s="32"/>
      <c r="T1341" s="187"/>
      <c r="W1341" s="221" t="str">
        <f t="shared" si="29"/>
        <v>1w</v>
      </c>
      <c r="X1341" s="222">
        <f>_xll.qlCalendarAdvance(Calendar,X1340,W1341,"f",FALSE)</f>
        <v>48219</v>
      </c>
      <c r="Y1341" s="227">
        <f>_xll.qlCalendarAdvance(Calendar,X1341,NDays&amp;"D")</f>
        <v>48219</v>
      </c>
      <c r="Z1341" s="228">
        <v>3.6500292879712161E-2</v>
      </c>
      <c r="AA1341" s="230">
        <v>3.6459058479001438E-2</v>
      </c>
    </row>
    <row r="1342" spans="19:27" x14ac:dyDescent="0.2">
      <c r="S1342" s="32"/>
      <c r="T1342" s="187"/>
      <c r="W1342" s="221" t="str">
        <f t="shared" si="29"/>
        <v>1w</v>
      </c>
      <c r="X1342" s="222">
        <f>_xll.qlCalendarAdvance(Calendar,X1341,W1342,"f",FALSE)</f>
        <v>48226</v>
      </c>
      <c r="Y1342" s="227">
        <f>_xll.qlCalendarAdvance(Calendar,X1342,NDays&amp;"D")</f>
        <v>48226</v>
      </c>
      <c r="Z1342" s="228">
        <v>3.6493947672448027E-2</v>
      </c>
      <c r="AA1342" s="230">
        <v>3.6452858923177178E-2</v>
      </c>
    </row>
    <row r="1343" spans="19:27" x14ac:dyDescent="0.2">
      <c r="S1343" s="32"/>
      <c r="T1343" s="187"/>
      <c r="W1343" s="221" t="str">
        <f t="shared" si="29"/>
        <v>1w</v>
      </c>
      <c r="X1343" s="222">
        <f>_xll.qlCalendarAdvance(Calendar,X1342,W1343,"f",FALSE)</f>
        <v>48233</v>
      </c>
      <c r="Y1343" s="227">
        <f>_xll.qlCalendarAdvance(Calendar,X1343,NDays&amp;"D")</f>
        <v>48233</v>
      </c>
      <c r="Z1343" s="228">
        <v>3.6487543176177188E-2</v>
      </c>
      <c r="AA1343" s="230">
        <v>3.6446600252114658E-2</v>
      </c>
    </row>
    <row r="1344" spans="19:27" x14ac:dyDescent="0.2">
      <c r="S1344" s="32"/>
      <c r="T1344" s="187"/>
      <c r="W1344" s="221" t="str">
        <f t="shared" si="29"/>
        <v>1w</v>
      </c>
      <c r="X1344" s="222">
        <f>_xll.qlCalendarAdvance(Calendar,X1343,W1344,"f",FALSE)</f>
        <v>48240</v>
      </c>
      <c r="Y1344" s="227">
        <f>_xll.qlCalendarAdvance(Calendar,X1344,NDays&amp;"D")</f>
        <v>48240</v>
      </c>
      <c r="Z1344" s="228">
        <v>3.6481079391004201E-2</v>
      </c>
      <c r="AA1344" s="230">
        <v>3.6440282466219109E-2</v>
      </c>
    </row>
    <row r="1345" spans="19:27" x14ac:dyDescent="0.2">
      <c r="S1345" s="32"/>
      <c r="T1345" s="187"/>
      <c r="W1345" s="221" t="str">
        <f t="shared" si="29"/>
        <v>1w</v>
      </c>
      <c r="X1345" s="222">
        <f>_xll.qlCalendarAdvance(Calendar,X1344,W1345,"f",FALSE)</f>
        <v>48247</v>
      </c>
      <c r="Y1345" s="227">
        <f>_xll.qlCalendarAdvance(Calendar,X1345,NDays&amp;"D")</f>
        <v>48247</v>
      </c>
      <c r="Z1345" s="228">
        <v>3.6471856764202178E-2</v>
      </c>
      <c r="AA1345" s="230">
        <v>3.6433905565166347E-2</v>
      </c>
    </row>
    <row r="1346" spans="19:27" x14ac:dyDescent="0.2">
      <c r="S1346" s="32"/>
      <c r="T1346" s="187"/>
      <c r="W1346" s="221" t="str">
        <f t="shared" si="29"/>
        <v>1w</v>
      </c>
      <c r="X1346" s="222">
        <f>_xll.qlCalendarAdvance(Calendar,X1345,W1346,"f",FALSE)</f>
        <v>48254</v>
      </c>
      <c r="Y1346" s="227">
        <f>_xll.qlCalendarAdvance(Calendar,X1346,NDays&amp;"D")</f>
        <v>48254</v>
      </c>
      <c r="Z1346" s="228">
        <v>3.6465284182932593E-2</v>
      </c>
      <c r="AA1346" s="230">
        <v>3.6427469549037417E-2</v>
      </c>
    </row>
    <row r="1347" spans="19:27" x14ac:dyDescent="0.2">
      <c r="S1347" s="32"/>
      <c r="T1347" s="187"/>
      <c r="W1347" s="221" t="str">
        <f t="shared" si="29"/>
        <v>1w</v>
      </c>
      <c r="X1347" s="222">
        <f>_xll.qlCalendarAdvance(Calendar,X1346,W1347,"f",FALSE)</f>
        <v>48261</v>
      </c>
      <c r="Y1347" s="227">
        <f>_xll.qlCalendarAdvance(Calendar,X1347,NDays&amp;"D")</f>
        <v>48261</v>
      </c>
      <c r="Z1347" s="228">
        <v>3.6458652324622837E-2</v>
      </c>
      <c r="AA1347" s="230">
        <v>3.6420974417913365E-2</v>
      </c>
    </row>
    <row r="1348" spans="19:27" x14ac:dyDescent="0.2">
      <c r="S1348" s="32"/>
      <c r="T1348" s="187"/>
      <c r="W1348" s="221" t="str">
        <f t="shared" si="29"/>
        <v>1w</v>
      </c>
      <c r="X1348" s="222">
        <f>_xll.qlCalendarAdvance(Calendar,X1347,W1348,"f",FALSE)</f>
        <v>48268</v>
      </c>
      <c r="Y1348" s="227">
        <f>_xll.qlCalendarAdvance(Calendar,X1348,NDays&amp;"D")</f>
        <v>48268</v>
      </c>
      <c r="Z1348" s="228">
        <v>3.6451961189376311E-2</v>
      </c>
      <c r="AA1348" s="230">
        <v>3.6414420171794193E-2</v>
      </c>
    </row>
    <row r="1349" spans="19:27" x14ac:dyDescent="0.2">
      <c r="S1349" s="32"/>
      <c r="T1349" s="187"/>
      <c r="W1349" s="221" t="str">
        <f t="shared" si="29"/>
        <v>1w</v>
      </c>
      <c r="X1349" s="222">
        <f>_xll.qlCalendarAdvance(Calendar,X1348,W1349,"f",FALSE)</f>
        <v>48275</v>
      </c>
      <c r="Y1349" s="227">
        <f>_xll.qlCalendarAdvance(Calendar,X1349,NDays&amp;"D")</f>
        <v>48275</v>
      </c>
      <c r="Z1349" s="228">
        <v>3.644787113497977E-2</v>
      </c>
      <c r="AA1349" s="230">
        <v>3.6407806810679899E-2</v>
      </c>
    </row>
    <row r="1350" spans="19:27" x14ac:dyDescent="0.2">
      <c r="S1350" s="32"/>
      <c r="T1350" s="187"/>
      <c r="W1350" s="221" t="str">
        <f t="shared" si="29"/>
        <v>1w</v>
      </c>
      <c r="X1350" s="222">
        <f>_xll.qlCalendarAdvance(Calendar,X1349,W1350,"f",FALSE)</f>
        <v>48282</v>
      </c>
      <c r="Y1350" s="227">
        <f>_xll.qlCalendarAdvance(Calendar,X1350,NDays&amp;"D")</f>
        <v>48282</v>
      </c>
      <c r="Z1350" s="228">
        <v>3.6441051618448864E-2</v>
      </c>
      <c r="AA1350" s="230">
        <v>3.6401134334570484E-2</v>
      </c>
    </row>
    <row r="1351" spans="19:27" x14ac:dyDescent="0.2">
      <c r="S1351" s="32"/>
      <c r="T1351" s="187"/>
      <c r="W1351" s="221" t="str">
        <f t="shared" si="29"/>
        <v>1w</v>
      </c>
      <c r="X1351" s="222">
        <f>_xll.qlCalendarAdvance(Calendar,X1350,W1351,"f",FALSE)</f>
        <v>48289</v>
      </c>
      <c r="Y1351" s="227">
        <f>_xll.qlCalendarAdvance(Calendar,X1351,NDays&amp;"D")</f>
        <v>48289</v>
      </c>
      <c r="Z1351" s="228">
        <v>3.6434172813708643E-2</v>
      </c>
      <c r="AA1351" s="230">
        <v>3.6394402743384902E-2</v>
      </c>
    </row>
    <row r="1352" spans="19:27" x14ac:dyDescent="0.2">
      <c r="S1352" s="32"/>
      <c r="T1352" s="187"/>
      <c r="W1352" s="221" t="str">
        <f t="shared" si="29"/>
        <v>1w</v>
      </c>
      <c r="X1352" s="222">
        <f>_xll.qlCalendarAdvance(Calendar,X1351,W1352,"f",FALSE)</f>
        <v>48296</v>
      </c>
      <c r="Y1352" s="227">
        <f>_xll.qlCalendarAdvance(Calendar,X1352,NDays&amp;"D")</f>
        <v>48296</v>
      </c>
      <c r="Z1352" s="228">
        <v>3.6427234720868895E-2</v>
      </c>
      <c r="AA1352" s="230">
        <v>3.638761203736629E-2</v>
      </c>
    </row>
    <row r="1353" spans="19:27" x14ac:dyDescent="0.2">
      <c r="S1353" s="32"/>
      <c r="T1353" s="187"/>
      <c r="W1353" s="221" t="str">
        <f t="shared" si="29"/>
        <v>1w</v>
      </c>
      <c r="X1353" s="222">
        <f>_xll.qlCalendarAdvance(Calendar,X1352,W1353,"f",FALSE)</f>
        <v>48303</v>
      </c>
      <c r="Y1353" s="227">
        <f>_xll.qlCalendarAdvance(Calendar,X1353,NDays&amp;"D")</f>
        <v>48303</v>
      </c>
      <c r="Z1353" s="228">
        <v>3.6420237340031587E-2</v>
      </c>
      <c r="AA1353" s="230">
        <v>3.6380762216190465E-2</v>
      </c>
    </row>
    <row r="1354" spans="19:27" x14ac:dyDescent="0.2">
      <c r="S1354" s="32"/>
      <c r="T1354" s="187"/>
      <c r="W1354" s="221" t="str">
        <f t="shared" si="29"/>
        <v>1w</v>
      </c>
      <c r="X1354" s="222">
        <f>_xll.qlCalendarAdvance(Calendar,X1353,W1354,"f",FALSE)</f>
        <v>48310</v>
      </c>
      <c r="Y1354" s="227">
        <f>_xll.qlCalendarAdvance(Calendar,X1354,NDays&amp;"D")</f>
        <v>48310</v>
      </c>
      <c r="Z1354" s="228">
        <v>3.6411875311447781E-2</v>
      </c>
      <c r="AA1354" s="230">
        <v>3.6373853280019519E-2</v>
      </c>
    </row>
    <row r="1355" spans="19:27" x14ac:dyDescent="0.2">
      <c r="S1355" s="32"/>
      <c r="T1355" s="187"/>
      <c r="W1355" s="221" t="str">
        <f t="shared" si="29"/>
        <v>1w</v>
      </c>
      <c r="X1355" s="222">
        <f>_xll.qlCalendarAdvance(Calendar,X1354,W1355,"f",FALSE)</f>
        <v>48317</v>
      </c>
      <c r="Y1355" s="227">
        <f>_xll.qlCalendarAdvance(Calendar,X1355,NDays&amp;"D")</f>
        <v>48317</v>
      </c>
      <c r="Z1355" s="228">
        <v>3.6404764298059833E-2</v>
      </c>
      <c r="AA1355" s="230">
        <v>3.6366885229015544E-2</v>
      </c>
    </row>
    <row r="1356" spans="19:27" x14ac:dyDescent="0.2">
      <c r="S1356" s="32"/>
      <c r="T1356" s="187"/>
      <c r="W1356" s="221" t="str">
        <f t="shared" si="29"/>
        <v>1w</v>
      </c>
      <c r="X1356" s="222">
        <f>_xll.qlCalendarAdvance(Calendar,X1355,W1356,"f",FALSE)</f>
        <v>48324</v>
      </c>
      <c r="Y1356" s="227">
        <f>_xll.qlCalendarAdvance(Calendar,X1356,NDays&amp;"D")</f>
        <v>48324</v>
      </c>
      <c r="Z1356" s="228">
        <v>3.6397594002748446E-2</v>
      </c>
      <c r="AA1356" s="230">
        <v>3.6359858062854356E-2</v>
      </c>
    </row>
    <row r="1357" spans="19:27" x14ac:dyDescent="0.2">
      <c r="S1357" s="32"/>
      <c r="T1357" s="187"/>
      <c r="W1357" s="221" t="str">
        <f t="shared" si="29"/>
        <v>1w</v>
      </c>
      <c r="X1357" s="222">
        <f>_xll.qlCalendarAdvance(Calendar,X1356,W1357,"f",FALSE)</f>
        <v>48331</v>
      </c>
      <c r="Y1357" s="227">
        <f>_xll.qlCalendarAdvance(Calendar,X1357,NDays&amp;"D")</f>
        <v>48331</v>
      </c>
      <c r="Z1357" s="228">
        <v>3.6390364425627084E-2</v>
      </c>
      <c r="AA1357" s="230">
        <v>3.6352771781779092E-2</v>
      </c>
    </row>
    <row r="1358" spans="19:27" x14ac:dyDescent="0.2">
      <c r="S1358" s="32"/>
      <c r="T1358" s="187"/>
      <c r="W1358" s="221" t="str">
        <f t="shared" si="29"/>
        <v>1w</v>
      </c>
      <c r="X1358" s="222">
        <f>_xll.qlCalendarAdvance(Calendar,X1357,W1358,"f",FALSE)</f>
        <v>48338</v>
      </c>
      <c r="Y1358" s="227">
        <f>_xll.qlCalendarAdvance(Calendar,X1358,NDays&amp;"D")</f>
        <v>48338</v>
      </c>
      <c r="Z1358" s="228">
        <v>3.6384361119604601E-2</v>
      </c>
      <c r="AA1358" s="230">
        <v>3.6345626385627661E-2</v>
      </c>
    </row>
    <row r="1359" spans="19:27" x14ac:dyDescent="0.2">
      <c r="S1359" s="32"/>
      <c r="T1359" s="187"/>
      <c r="W1359" s="221" t="str">
        <f t="shared" si="29"/>
        <v>1w</v>
      </c>
      <c r="X1359" s="222">
        <f>_xll.qlCalendarAdvance(Calendar,X1358,W1359,"f",FALSE)</f>
        <v>48345</v>
      </c>
      <c r="Y1359" s="227">
        <f>_xll.qlCalendarAdvance(Calendar,X1359,NDays&amp;"D")</f>
        <v>48345</v>
      </c>
      <c r="Z1359" s="228">
        <v>3.6377008013025104E-2</v>
      </c>
      <c r="AA1359" s="230">
        <v>3.6338421874562155E-2</v>
      </c>
    </row>
    <row r="1360" spans="19:27" x14ac:dyDescent="0.2">
      <c r="S1360" s="32"/>
      <c r="T1360" s="187"/>
      <c r="W1360" s="221" t="str">
        <f t="shared" si="29"/>
        <v>1w</v>
      </c>
      <c r="X1360" s="222">
        <f>_xll.qlCalendarAdvance(Calendar,X1359,W1360,"f",FALSE)</f>
        <v>48352</v>
      </c>
      <c r="Y1360" s="227">
        <f>_xll.qlCalendarAdvance(Calendar,X1360,NDays&amp;"D")</f>
        <v>48352</v>
      </c>
      <c r="Z1360" s="228">
        <v>3.6369595619206219E-2</v>
      </c>
      <c r="AA1360" s="230">
        <v>3.6331158248582573E-2</v>
      </c>
    </row>
    <row r="1361" spans="19:27" x14ac:dyDescent="0.2">
      <c r="S1361" s="32"/>
      <c r="T1361" s="187"/>
      <c r="W1361" s="221" t="str">
        <f t="shared" si="29"/>
        <v>1w</v>
      </c>
      <c r="X1361" s="222">
        <f>_xll.qlCalendarAdvance(Calendar,X1360,W1361,"f",FALSE)</f>
        <v>48359</v>
      </c>
      <c r="Y1361" s="227">
        <f>_xll.qlCalendarAdvance(Calendar,X1361,NDays&amp;"D")</f>
        <v>48359</v>
      </c>
      <c r="Z1361" s="228">
        <v>3.6362123938257759E-2</v>
      </c>
      <c r="AA1361" s="230">
        <v>3.6323835507526825E-2</v>
      </c>
    </row>
    <row r="1362" spans="19:27" x14ac:dyDescent="0.2">
      <c r="S1362" s="32"/>
      <c r="T1362" s="187"/>
      <c r="W1362" s="221" t="str">
        <f t="shared" si="29"/>
        <v>1w</v>
      </c>
      <c r="X1362" s="222">
        <f>_xll.qlCalendarAdvance(Calendar,X1361,W1362,"f",FALSE)</f>
        <v>48366</v>
      </c>
      <c r="Y1362" s="227">
        <f>_xll.qlCalendarAdvance(Calendar,X1362,NDays&amp;"D")</f>
        <v>48366</v>
      </c>
      <c r="Z1362" s="228">
        <v>3.635332731646361E-2</v>
      </c>
      <c r="AA1362" s="230">
        <v>3.6316453651638048E-2</v>
      </c>
    </row>
    <row r="1363" spans="19:27" x14ac:dyDescent="0.2">
      <c r="S1363" s="32"/>
      <c r="T1363" s="187"/>
      <c r="W1363" s="221" t="str">
        <f t="shared" si="29"/>
        <v>1w</v>
      </c>
      <c r="X1363" s="222">
        <f>_xll.qlCalendarAdvance(Calendar,X1362,W1363,"f",FALSE)</f>
        <v>48373</v>
      </c>
      <c r="Y1363" s="227">
        <f>_xll.qlCalendarAdvance(Calendar,X1363,NDays&amp;"D")</f>
        <v>48373</v>
      </c>
      <c r="Z1363" s="228">
        <v>3.6345742050678718E-2</v>
      </c>
      <c r="AA1363" s="230">
        <v>3.6309012680592057E-2</v>
      </c>
    </row>
    <row r="1364" spans="19:27" x14ac:dyDescent="0.2">
      <c r="S1364" s="32"/>
      <c r="T1364" s="187"/>
      <c r="W1364" s="221" t="str">
        <f t="shared" si="29"/>
        <v>1w</v>
      </c>
      <c r="X1364" s="222">
        <f>_xll.qlCalendarAdvance(Calendar,X1363,W1364,"f",FALSE)</f>
        <v>48380</v>
      </c>
      <c r="Y1364" s="227">
        <f>_xll.qlCalendarAdvance(Calendar,X1364,NDays&amp;"D")</f>
        <v>48380</v>
      </c>
      <c r="Z1364" s="228">
        <v>3.6338097503832177E-2</v>
      </c>
      <c r="AA1364" s="230">
        <v>3.6301512594713037E-2</v>
      </c>
    </row>
    <row r="1365" spans="19:27" x14ac:dyDescent="0.2">
      <c r="S1365" s="32"/>
      <c r="T1365" s="187"/>
      <c r="W1365" s="221" t="str">
        <f t="shared" ref="W1365:W1428" si="30">W1364</f>
        <v>1w</v>
      </c>
      <c r="X1365" s="222">
        <f>_xll.qlCalendarAdvance(Calendar,X1364,W1365,"f",FALSE)</f>
        <v>48387</v>
      </c>
      <c r="Y1365" s="227">
        <f>_xll.qlCalendarAdvance(Calendar,X1365,NDays&amp;"D")</f>
        <v>48387</v>
      </c>
      <c r="Z1365" s="228">
        <v>3.6330393676037451E-2</v>
      </c>
      <c r="AA1365" s="230">
        <v>3.6293953393919942E-2</v>
      </c>
    </row>
    <row r="1366" spans="19:27" x14ac:dyDescent="0.2">
      <c r="S1366" s="32"/>
      <c r="T1366" s="187"/>
      <c r="W1366" s="221" t="str">
        <f t="shared" si="30"/>
        <v>1w</v>
      </c>
      <c r="X1366" s="222">
        <f>_xll.qlCalendarAdvance(Calendar,X1365,W1366,"f",FALSE)</f>
        <v>48394</v>
      </c>
      <c r="Y1366" s="227">
        <f>_xll.qlCalendarAdvance(Calendar,X1366,NDays&amp;"D")</f>
        <v>48394</v>
      </c>
      <c r="Z1366" s="228">
        <v>3.6322630567405298E-2</v>
      </c>
      <c r="AA1366" s="230">
        <v>3.628633507805068E-2</v>
      </c>
    </row>
    <row r="1367" spans="19:27" x14ac:dyDescent="0.2">
      <c r="S1367" s="32"/>
      <c r="T1367" s="187"/>
      <c r="W1367" s="221" t="str">
        <f t="shared" si="30"/>
        <v>1w</v>
      </c>
      <c r="X1367" s="222">
        <f>_xll.qlCalendarAdvance(Calendar,X1366,W1367,"f",FALSE)</f>
        <v>48401</v>
      </c>
      <c r="Y1367" s="227">
        <f>_xll.qlCalendarAdvance(Calendar,X1367,NDays&amp;"D")</f>
        <v>48401</v>
      </c>
      <c r="Z1367" s="228">
        <v>3.6316048829222354E-2</v>
      </c>
      <c r="AA1367" s="230">
        <v>3.6278657647267343E-2</v>
      </c>
    </row>
    <row r="1368" spans="19:27" x14ac:dyDescent="0.2">
      <c r="S1368" s="32"/>
      <c r="T1368" s="187"/>
      <c r="W1368" s="221" t="str">
        <f t="shared" si="30"/>
        <v>1w</v>
      </c>
      <c r="X1368" s="222">
        <f>_xll.qlCalendarAdvance(Calendar,X1367,W1368,"f",FALSE)</f>
        <v>48408</v>
      </c>
      <c r="Y1368" s="227">
        <f>_xll.qlCalendarAdvance(Calendar,X1368,NDays&amp;"D")</f>
        <v>48408</v>
      </c>
      <c r="Z1368" s="228">
        <v>3.6308162141569476E-2</v>
      </c>
      <c r="AA1368" s="230">
        <v>3.6270921101569931E-2</v>
      </c>
    </row>
    <row r="1369" spans="19:27" x14ac:dyDescent="0.2">
      <c r="S1369" s="32"/>
      <c r="T1369" s="187"/>
      <c r="W1369" s="221" t="str">
        <f t="shared" si="30"/>
        <v>1w</v>
      </c>
      <c r="X1369" s="222">
        <f>_xll.qlCalendarAdvance(Calendar,X1368,W1369,"f",FALSE)</f>
        <v>48415</v>
      </c>
      <c r="Y1369" s="227">
        <f>_xll.qlCalendarAdvance(Calendar,X1369,NDays&amp;"D")</f>
        <v>48415</v>
      </c>
      <c r="Z1369" s="228">
        <v>3.6300216167712521E-2</v>
      </c>
      <c r="AA1369" s="230">
        <v>3.6263125440877397E-2</v>
      </c>
    </row>
    <row r="1370" spans="19:27" x14ac:dyDescent="0.2">
      <c r="S1370" s="32"/>
      <c r="T1370" s="187"/>
      <c r="W1370" s="221" t="str">
        <f t="shared" si="30"/>
        <v>1w</v>
      </c>
      <c r="X1370" s="222">
        <f>_xll.qlCalendarAdvance(Calendar,X1369,W1370,"f",FALSE)</f>
        <v>48422</v>
      </c>
      <c r="Y1370" s="227">
        <f>_xll.qlCalendarAdvance(Calendar,X1370,NDays&amp;"D")</f>
        <v>48422</v>
      </c>
      <c r="Z1370" s="228">
        <v>3.6292210907771738E-2</v>
      </c>
      <c r="AA1370" s="230">
        <v>3.6255270665270789E-2</v>
      </c>
    </row>
    <row r="1371" spans="19:27" x14ac:dyDescent="0.2">
      <c r="S1371" s="32"/>
      <c r="T1371" s="187"/>
      <c r="W1371" s="221" t="str">
        <f t="shared" si="30"/>
        <v>1w</v>
      </c>
      <c r="X1371" s="222">
        <f>_xll.qlCalendarAdvance(Calendar,X1370,W1371,"f",FALSE)</f>
        <v>48429</v>
      </c>
      <c r="Y1371" s="227">
        <f>_xll.qlCalendarAdvance(Calendar,X1371,NDays&amp;"D")</f>
        <v>48429</v>
      </c>
      <c r="Z1371" s="228">
        <v>3.6284146361867407E-2</v>
      </c>
      <c r="AA1371" s="230">
        <v>3.6247356774750106E-2</v>
      </c>
    </row>
    <row r="1372" spans="19:27" x14ac:dyDescent="0.2">
      <c r="S1372" s="32"/>
      <c r="T1372" s="187"/>
      <c r="W1372" s="221" t="str">
        <f t="shared" si="30"/>
        <v>1w</v>
      </c>
      <c r="X1372" s="222">
        <f>_xll.qlCalendarAdvance(Calendar,X1371,W1372,"f",FALSE)</f>
        <v>48436</v>
      </c>
      <c r="Y1372" s="227">
        <f>_xll.qlCalendarAdvance(Calendar,X1372,NDays&amp;"D")</f>
        <v>48436</v>
      </c>
      <c r="Z1372" s="228">
        <v>3.6276022530122388E-2</v>
      </c>
      <c r="AA1372" s="230">
        <v>3.6239383769315348E-2</v>
      </c>
    </row>
    <row r="1373" spans="19:27" x14ac:dyDescent="0.2">
      <c r="S1373" s="32"/>
      <c r="T1373" s="187"/>
      <c r="W1373" s="221" t="str">
        <f t="shared" si="30"/>
        <v>1w</v>
      </c>
      <c r="X1373" s="222">
        <f>_xll.qlCalendarAdvance(Calendar,X1372,W1373,"f",FALSE)</f>
        <v>48443</v>
      </c>
      <c r="Y1373" s="227">
        <f>_xll.qlCalendarAdvance(Calendar,X1373,NDays&amp;"D")</f>
        <v>48443</v>
      </c>
      <c r="Z1373" s="228">
        <v>3.6267839412654337E-2</v>
      </c>
      <c r="AA1373" s="230">
        <v>3.6231351648885468E-2</v>
      </c>
    </row>
    <row r="1374" spans="19:27" x14ac:dyDescent="0.2">
      <c r="S1374" s="32"/>
      <c r="T1374" s="187"/>
      <c r="W1374" s="221" t="str">
        <f t="shared" si="30"/>
        <v>1w</v>
      </c>
      <c r="X1374" s="222">
        <f>_xll.qlCalendarAdvance(Calendar,X1373,W1374,"f",FALSE)</f>
        <v>48450</v>
      </c>
      <c r="Y1374" s="227">
        <f>_xll.qlCalendarAdvance(Calendar,X1374,NDays&amp;"D")</f>
        <v>48450</v>
      </c>
      <c r="Z1374" s="228">
        <v>3.625959700959136E-2</v>
      </c>
      <c r="AA1374" s="230">
        <v>3.622326041362256E-2</v>
      </c>
    </row>
    <row r="1375" spans="19:27" x14ac:dyDescent="0.2">
      <c r="S1375" s="32"/>
      <c r="T1375" s="187"/>
      <c r="W1375" s="221" t="str">
        <f t="shared" si="30"/>
        <v>1w</v>
      </c>
      <c r="X1375" s="222">
        <f>_xll.qlCalendarAdvance(Calendar,X1374,W1375,"f",FALSE)</f>
        <v>48457</v>
      </c>
      <c r="Y1375" s="227">
        <f>_xll.qlCalendarAdvance(Calendar,X1375,NDays&amp;"D")</f>
        <v>48457</v>
      </c>
      <c r="Z1375" s="228">
        <v>3.6250094970985858E-2</v>
      </c>
      <c r="AA1375" s="230">
        <v>3.6215110063364531E-2</v>
      </c>
    </row>
    <row r="1376" spans="19:27" x14ac:dyDescent="0.2">
      <c r="S1376" s="32"/>
      <c r="T1376" s="187"/>
      <c r="W1376" s="221" t="str">
        <f t="shared" si="30"/>
        <v>1w</v>
      </c>
      <c r="X1376" s="222">
        <f>_xll.qlCalendarAdvance(Calendar,X1375,W1376,"f",FALSE)</f>
        <v>48464</v>
      </c>
      <c r="Y1376" s="227">
        <f>_xll.qlCalendarAdvance(Calendar,X1376,NDays&amp;"D")</f>
        <v>48464</v>
      </c>
      <c r="Z1376" s="228">
        <v>3.6241739060347E-2</v>
      </c>
      <c r="AA1376" s="230">
        <v>3.620690059811138E-2</v>
      </c>
    </row>
    <row r="1377" spans="19:27" x14ac:dyDescent="0.2">
      <c r="S1377" s="32"/>
      <c r="T1377" s="187"/>
      <c r="W1377" s="221" t="str">
        <f t="shared" si="30"/>
        <v>1w</v>
      </c>
      <c r="X1377" s="222">
        <f>_xll.qlCalendarAdvance(Calendar,X1376,W1377,"f",FALSE)</f>
        <v>48471</v>
      </c>
      <c r="Y1377" s="227">
        <f>_xll.qlCalendarAdvance(Calendar,X1377,NDays&amp;"D")</f>
        <v>48471</v>
      </c>
      <c r="Z1377" s="228">
        <v>3.6233323870159359E-2</v>
      </c>
      <c r="AA1377" s="230">
        <v>3.6198632018106247E-2</v>
      </c>
    </row>
    <row r="1378" spans="19:27" x14ac:dyDescent="0.2">
      <c r="S1378" s="32"/>
      <c r="T1378" s="187"/>
      <c r="W1378" s="221" t="str">
        <f t="shared" si="30"/>
        <v>1w</v>
      </c>
      <c r="X1378" s="222">
        <f>_xll.qlCalendarAdvance(Calendar,X1377,W1378,"f",FALSE)</f>
        <v>48478</v>
      </c>
      <c r="Y1378" s="227">
        <f>_xll.qlCalendarAdvance(Calendar,X1378,NDays&amp;"D")</f>
        <v>48478</v>
      </c>
      <c r="Z1378" s="228">
        <v>3.6224849400549895E-2</v>
      </c>
      <c r="AA1378" s="230">
        <v>3.6190304323105993E-2</v>
      </c>
    </row>
    <row r="1379" spans="19:27" x14ac:dyDescent="0.2">
      <c r="S1379" s="32"/>
      <c r="T1379" s="187"/>
      <c r="W1379" s="221" t="str">
        <f t="shared" si="30"/>
        <v>1w</v>
      </c>
      <c r="X1379" s="222">
        <f>_xll.qlCalendarAdvance(Calendar,X1378,W1379,"f",FALSE)</f>
        <v>48485</v>
      </c>
      <c r="Y1379" s="227">
        <f>_xll.qlCalendarAdvance(Calendar,X1379,NDays&amp;"D")</f>
        <v>48485</v>
      </c>
      <c r="Z1379" s="228">
        <v>3.6216315651642891E-2</v>
      </c>
      <c r="AA1379" s="230">
        <v>3.618191751327271E-2</v>
      </c>
    </row>
    <row r="1380" spans="19:27" x14ac:dyDescent="0.2">
      <c r="S1380" s="32"/>
      <c r="T1380" s="187"/>
      <c r="W1380" s="221" t="str">
        <f t="shared" si="30"/>
        <v>1w</v>
      </c>
      <c r="X1380" s="222">
        <f>_xll.qlCalendarAdvance(Calendar,X1379,W1380,"f",FALSE)</f>
        <v>48492</v>
      </c>
      <c r="Y1380" s="227">
        <f>_xll.qlCalendarAdvance(Calendar,X1380,NDays&amp;"D")</f>
        <v>48492</v>
      </c>
      <c r="Z1380" s="228">
        <v>3.6208897600689988E-2</v>
      </c>
      <c r="AA1380" s="230">
        <v>3.6173471588525352E-2</v>
      </c>
    </row>
    <row r="1381" spans="19:27" x14ac:dyDescent="0.2">
      <c r="S1381" s="32"/>
      <c r="T1381" s="187"/>
      <c r="W1381" s="221" t="str">
        <f t="shared" si="30"/>
        <v>1w</v>
      </c>
      <c r="X1381" s="222">
        <f>_xll.qlCalendarAdvance(Calendar,X1380,W1381,"f",FALSE)</f>
        <v>48499</v>
      </c>
      <c r="Y1381" s="227">
        <f>_xll.qlCalendarAdvance(Calendar,X1381,NDays&amp;"D")</f>
        <v>48499</v>
      </c>
      <c r="Z1381" s="228">
        <v>3.6200240201973648E-2</v>
      </c>
      <c r="AA1381" s="230">
        <v>3.6164966548701827E-2</v>
      </c>
    </row>
    <row r="1382" spans="19:27" x14ac:dyDescent="0.2">
      <c r="S1382" s="32"/>
      <c r="T1382" s="187"/>
      <c r="W1382" s="221" t="str">
        <f t="shared" si="30"/>
        <v>1w</v>
      </c>
      <c r="X1382" s="222">
        <f>_xll.qlCalendarAdvance(Calendar,X1381,W1382,"f",FALSE)</f>
        <v>48506</v>
      </c>
      <c r="Y1382" s="227">
        <f>_xll.qlCalendarAdvance(Calendar,X1382,NDays&amp;"D")</f>
        <v>48506</v>
      </c>
      <c r="Z1382" s="228">
        <v>3.619152351867938E-2</v>
      </c>
      <c r="AA1382" s="230">
        <v>3.6156402394207365E-2</v>
      </c>
    </row>
    <row r="1383" spans="19:27" x14ac:dyDescent="0.2">
      <c r="S1383" s="32"/>
      <c r="T1383" s="187"/>
      <c r="W1383" s="221" t="str">
        <f t="shared" si="30"/>
        <v>1w</v>
      </c>
      <c r="X1383" s="222">
        <f>_xll.qlCalendarAdvance(Calendar,X1382,W1383,"f",FALSE)</f>
        <v>48513</v>
      </c>
      <c r="Y1383" s="227">
        <f>_xll.qlCalendarAdvance(Calendar,X1383,NDays&amp;"D")</f>
        <v>48513</v>
      </c>
      <c r="Z1383" s="228">
        <v>3.6182747550937908E-2</v>
      </c>
      <c r="AA1383" s="230">
        <v>3.6147779124717783E-2</v>
      </c>
    </row>
    <row r="1384" spans="19:27" x14ac:dyDescent="0.2">
      <c r="S1384" s="32"/>
      <c r="T1384" s="187"/>
      <c r="W1384" s="221" t="str">
        <f t="shared" si="30"/>
        <v>1w</v>
      </c>
      <c r="X1384" s="222">
        <f>_xll.qlCalendarAdvance(Calendar,X1383,W1384,"f",FALSE)</f>
        <v>48520</v>
      </c>
      <c r="Y1384" s="227">
        <f>_xll.qlCalendarAdvance(Calendar,X1384,NDays&amp;"D")</f>
        <v>48520</v>
      </c>
      <c r="Z1384" s="228">
        <v>3.6172757721996872E-2</v>
      </c>
      <c r="AA1384" s="230">
        <v>3.6139096740314125E-2</v>
      </c>
    </row>
    <row r="1385" spans="19:27" x14ac:dyDescent="0.2">
      <c r="S1385" s="32"/>
      <c r="T1385" s="187"/>
      <c r="W1385" s="221" t="str">
        <f t="shared" si="30"/>
        <v>1w</v>
      </c>
      <c r="X1385" s="222">
        <f>_xll.qlCalendarAdvance(Calendar,X1384,W1385,"f",FALSE)</f>
        <v>48527</v>
      </c>
      <c r="Y1385" s="227">
        <f>_xll.qlCalendarAdvance(Calendar,X1385,NDays&amp;"D")</f>
        <v>48527</v>
      </c>
      <c r="Z1385" s="228">
        <v>3.6163868299938604E-2</v>
      </c>
      <c r="AA1385" s="230">
        <v>3.6130355241158485E-2</v>
      </c>
    </row>
    <row r="1386" spans="19:27" x14ac:dyDescent="0.2">
      <c r="S1386" s="32"/>
      <c r="T1386" s="187"/>
      <c r="W1386" s="221" t="str">
        <f t="shared" si="30"/>
        <v>1w</v>
      </c>
      <c r="X1386" s="222">
        <f>_xll.qlCalendarAdvance(Calendar,X1385,W1386,"f",FALSE)</f>
        <v>48534</v>
      </c>
      <c r="Y1386" s="227">
        <f>_xll.qlCalendarAdvance(Calendar,X1386,NDays&amp;"D")</f>
        <v>48534</v>
      </c>
      <c r="Z1386" s="228">
        <v>3.6154919599466193E-2</v>
      </c>
      <c r="AA1386" s="230">
        <v>3.612155462708877E-2</v>
      </c>
    </row>
    <row r="1387" spans="19:27" x14ac:dyDescent="0.2">
      <c r="S1387" s="32"/>
      <c r="T1387" s="187"/>
      <c r="W1387" s="221" t="str">
        <f t="shared" si="30"/>
        <v>1w</v>
      </c>
      <c r="X1387" s="222">
        <f>_xll.qlCalendarAdvance(Calendar,X1386,W1387,"f",FALSE)</f>
        <v>48541</v>
      </c>
      <c r="Y1387" s="227">
        <f>_xll.qlCalendarAdvance(Calendar,X1387,NDays&amp;"D")</f>
        <v>48541</v>
      </c>
      <c r="Z1387" s="228">
        <v>3.6145911620717418E-2</v>
      </c>
      <c r="AA1387" s="230">
        <v>3.611269489810498E-2</v>
      </c>
    </row>
    <row r="1388" spans="19:27" x14ac:dyDescent="0.2">
      <c r="S1388" s="32"/>
      <c r="T1388" s="187"/>
      <c r="W1388" s="221" t="str">
        <f t="shared" si="30"/>
        <v>1w</v>
      </c>
      <c r="X1388" s="222">
        <f>_xll.qlCalendarAdvance(Calendar,X1387,W1388,"f",FALSE)</f>
        <v>48548</v>
      </c>
      <c r="Y1388" s="227">
        <f>_xll.qlCalendarAdvance(Calendar,X1388,NDays&amp;"D")</f>
        <v>48548</v>
      </c>
      <c r="Z1388" s="228">
        <v>3.6137978450173421E-2</v>
      </c>
      <c r="AA1388" s="230">
        <v>3.6103776054288161E-2</v>
      </c>
    </row>
    <row r="1389" spans="19:27" x14ac:dyDescent="0.2">
      <c r="S1389" s="32"/>
      <c r="T1389" s="187"/>
      <c r="W1389" s="221" t="str">
        <f t="shared" si="30"/>
        <v>1w</v>
      </c>
      <c r="X1389" s="222">
        <f>_xll.qlCalendarAdvance(Calendar,X1388,W1389,"f",FALSE)</f>
        <v>48555</v>
      </c>
      <c r="Y1389" s="227">
        <f>_xll.qlCalendarAdvance(Calendar,X1389,NDays&amp;"D")</f>
        <v>48555</v>
      </c>
      <c r="Z1389" s="228">
        <v>3.6128846778551334E-2</v>
      </c>
      <c r="AA1389" s="230">
        <v>3.6094798095638314E-2</v>
      </c>
    </row>
    <row r="1390" spans="19:27" x14ac:dyDescent="0.2">
      <c r="S1390" s="32"/>
      <c r="T1390" s="187"/>
      <c r="W1390" s="221" t="str">
        <f t="shared" si="30"/>
        <v>1w</v>
      </c>
      <c r="X1390" s="222">
        <f>_xll.qlCalendarAdvance(Calendar,X1389,W1390,"f",FALSE)</f>
        <v>48562</v>
      </c>
      <c r="Y1390" s="227">
        <f>_xll.qlCalendarAdvance(Calendar,X1390,NDays&amp;"D")</f>
        <v>48562</v>
      </c>
      <c r="Z1390" s="228">
        <v>3.6119655823428444E-2</v>
      </c>
      <c r="AA1390" s="230">
        <v>3.6085761022074392E-2</v>
      </c>
    </row>
    <row r="1391" spans="19:27" x14ac:dyDescent="0.2">
      <c r="S1391" s="32"/>
      <c r="T1391" s="187"/>
      <c r="W1391" s="221" t="str">
        <f t="shared" si="30"/>
        <v>1w</v>
      </c>
      <c r="X1391" s="222">
        <f>_xll.qlCalendarAdvance(Calendar,X1390,W1391,"f",FALSE)</f>
        <v>48569</v>
      </c>
      <c r="Y1391" s="227">
        <f>_xll.qlCalendarAdvance(Calendar,X1391,NDays&amp;"D")</f>
        <v>48569</v>
      </c>
      <c r="Z1391" s="228">
        <v>3.6110405584938096E-2</v>
      </c>
      <c r="AA1391" s="230">
        <v>3.6076664833677441E-2</v>
      </c>
    </row>
    <row r="1392" spans="19:27" x14ac:dyDescent="0.2">
      <c r="S1392" s="32"/>
      <c r="T1392" s="187"/>
      <c r="W1392" s="221" t="str">
        <f t="shared" si="30"/>
        <v>1w</v>
      </c>
      <c r="X1392" s="222">
        <f>_xll.qlCalendarAdvance(Calendar,X1391,W1392,"f",FALSE)</f>
        <v>48577</v>
      </c>
      <c r="Y1392" s="227">
        <f>_xll.qlCalendarAdvance(Calendar,X1392,NDays&amp;"D")</f>
        <v>48577</v>
      </c>
      <c r="Z1392" s="228">
        <v>3.6101985575260155E-2</v>
      </c>
      <c r="AA1392" s="230">
        <v>3.6066196804224182E-2</v>
      </c>
    </row>
    <row r="1393" spans="19:27" x14ac:dyDescent="0.2">
      <c r="S1393" s="32"/>
      <c r="T1393" s="187"/>
      <c r="W1393" s="221" t="str">
        <f t="shared" si="30"/>
        <v>1w</v>
      </c>
      <c r="X1393" s="222">
        <f>_xll.qlCalendarAdvance(Calendar,X1392,W1393,"f",FALSE)</f>
        <v>48584</v>
      </c>
      <c r="Y1393" s="227">
        <f>_xll.qlCalendarAdvance(Calendar,X1393,NDays&amp;"D")</f>
        <v>48584</v>
      </c>
      <c r="Z1393" s="228">
        <v>3.6092597978869843E-2</v>
      </c>
      <c r="AA1393" s="230">
        <v>3.6056973941057668E-2</v>
      </c>
    </row>
    <row r="1394" spans="19:27" x14ac:dyDescent="0.2">
      <c r="S1394" s="32"/>
      <c r="T1394" s="187"/>
      <c r="W1394" s="221" t="str">
        <f t="shared" si="30"/>
        <v>1w</v>
      </c>
      <c r="X1394" s="222">
        <f>_xll.qlCalendarAdvance(Calendar,X1393,W1394,"f",FALSE)</f>
        <v>48591</v>
      </c>
      <c r="Y1394" s="227">
        <f>_xll.qlCalendarAdvance(Calendar,X1394,NDays&amp;"D")</f>
        <v>48591</v>
      </c>
      <c r="Z1394" s="228">
        <v>3.6083151088352486E-2</v>
      </c>
      <c r="AA1394" s="230">
        <v>3.6047691963220219E-2</v>
      </c>
    </row>
    <row r="1395" spans="19:27" x14ac:dyDescent="0.2">
      <c r="S1395" s="32"/>
      <c r="T1395" s="187"/>
      <c r="W1395" s="221" t="str">
        <f t="shared" si="30"/>
        <v>1w</v>
      </c>
      <c r="X1395" s="222">
        <f>_xll.qlCalendarAdvance(Calendar,X1394,W1395,"f",FALSE)</f>
        <v>48598</v>
      </c>
      <c r="Y1395" s="227">
        <f>_xll.qlCalendarAdvance(Calendar,X1395,NDays&amp;"D")</f>
        <v>48598</v>
      </c>
      <c r="Z1395" s="228">
        <v>3.607364490386035E-2</v>
      </c>
      <c r="AA1395" s="230">
        <v>3.6038350870468694E-2</v>
      </c>
    </row>
    <row r="1396" spans="19:27" x14ac:dyDescent="0.2">
      <c r="S1396" s="32"/>
      <c r="T1396" s="187"/>
      <c r="W1396" s="221" t="str">
        <f t="shared" si="30"/>
        <v>1w</v>
      </c>
      <c r="X1396" s="222">
        <f>_xll.qlCalendarAdvance(Calendar,X1395,W1396,"f",FALSE)</f>
        <v>48605</v>
      </c>
      <c r="Y1396" s="227">
        <f>_xll.qlCalendarAdvance(Calendar,X1396,NDays&amp;"D")</f>
        <v>48605</v>
      </c>
      <c r="Z1396" s="228">
        <v>3.6064079425545695E-2</v>
      </c>
      <c r="AA1396" s="230">
        <v>3.6028950662965187E-2</v>
      </c>
    </row>
    <row r="1397" spans="19:27" x14ac:dyDescent="0.2">
      <c r="S1397" s="32"/>
      <c r="T1397" s="187"/>
      <c r="W1397" s="221" t="str">
        <f t="shared" si="30"/>
        <v>1w</v>
      </c>
      <c r="X1397" s="222">
        <f>_xll.qlCalendarAdvance(Calendar,X1396,W1397,"f",FALSE)</f>
        <v>48612</v>
      </c>
      <c r="Y1397" s="227">
        <f>_xll.qlCalendarAdvance(Calendar,X1397,NDays&amp;"D")</f>
        <v>48612</v>
      </c>
      <c r="Z1397" s="228">
        <v>3.604902008712825E-2</v>
      </c>
      <c r="AA1397" s="230">
        <v>3.6019491340466558E-2</v>
      </c>
    </row>
    <row r="1398" spans="19:27" x14ac:dyDescent="0.2">
      <c r="S1398" s="32"/>
      <c r="T1398" s="187"/>
      <c r="W1398" s="221" t="str">
        <f t="shared" si="30"/>
        <v>1w</v>
      </c>
      <c r="X1398" s="222">
        <f>_xll.qlCalendarAdvance(Calendar,X1397,W1398,"f",FALSE)</f>
        <v>48619</v>
      </c>
      <c r="Y1398" s="227">
        <f>_xll.qlCalendarAdvance(Calendar,X1398,NDays&amp;"D")</f>
        <v>48619</v>
      </c>
      <c r="Z1398" s="228">
        <v>3.6039361961205739E-2</v>
      </c>
      <c r="AA1398" s="230">
        <v>3.6009972903215948E-2</v>
      </c>
    </row>
    <row r="1399" spans="19:27" x14ac:dyDescent="0.2">
      <c r="S1399" s="32"/>
      <c r="T1399" s="187"/>
      <c r="W1399" s="221" t="str">
        <f t="shared" si="30"/>
        <v>1w</v>
      </c>
      <c r="X1399" s="222">
        <f>_xll.qlCalendarAdvance(Calendar,X1398,W1399,"f",FALSE)</f>
        <v>48626</v>
      </c>
      <c r="Y1399" s="227">
        <f>_xll.qlCalendarAdvance(Calendar,X1399,NDays&amp;"D")</f>
        <v>48626</v>
      </c>
      <c r="Z1399" s="228">
        <v>3.6029644569808318E-2</v>
      </c>
      <c r="AA1399" s="230">
        <v>3.6000395351132308E-2</v>
      </c>
    </row>
    <row r="1400" spans="19:27" x14ac:dyDescent="0.2">
      <c r="S1400" s="32"/>
      <c r="T1400" s="187"/>
      <c r="W1400" s="221" t="str">
        <f t="shared" si="30"/>
        <v>1w</v>
      </c>
      <c r="X1400" s="222">
        <f>_xll.qlCalendarAdvance(Calendar,X1399,W1400,"f",FALSE)</f>
        <v>48633</v>
      </c>
      <c r="Y1400" s="227">
        <f>_xll.qlCalendarAdvance(Calendar,X1400,NDays&amp;"D")</f>
        <v>48633</v>
      </c>
      <c r="Z1400" s="228">
        <v>3.6019867913074932E-2</v>
      </c>
      <c r="AA1400" s="230">
        <v>3.5990758684296686E-2</v>
      </c>
    </row>
    <row r="1401" spans="19:27" x14ac:dyDescent="0.2">
      <c r="S1401" s="32"/>
      <c r="T1401" s="187"/>
      <c r="W1401" s="221" t="str">
        <f t="shared" si="30"/>
        <v>1w</v>
      </c>
      <c r="X1401" s="222">
        <f>_xll.qlCalendarAdvance(Calendar,X1400,W1401,"f",FALSE)</f>
        <v>48640</v>
      </c>
      <c r="Y1401" s="227">
        <f>_xll.qlCalendarAdvance(Calendar,X1401,NDays&amp;"D")</f>
        <v>48640</v>
      </c>
      <c r="Z1401" s="228">
        <v>3.6015362632040304E-2</v>
      </c>
      <c r="AA1401" s="230">
        <v>3.5981062902628036E-2</v>
      </c>
    </row>
    <row r="1402" spans="19:27" x14ac:dyDescent="0.2">
      <c r="S1402" s="32"/>
      <c r="T1402" s="187"/>
      <c r="W1402" s="221" t="str">
        <f t="shared" si="30"/>
        <v>1w</v>
      </c>
      <c r="X1402" s="222">
        <f>_xll.qlCalendarAdvance(Calendar,X1401,W1402,"f",FALSE)</f>
        <v>48647</v>
      </c>
      <c r="Y1402" s="227">
        <f>_xll.qlCalendarAdvance(Calendar,X1402,NDays&amp;"D")</f>
        <v>48647</v>
      </c>
      <c r="Z1402" s="228">
        <v>3.6005441394049625E-2</v>
      </c>
      <c r="AA1402" s="230">
        <v>3.5971308006207403E-2</v>
      </c>
    </row>
    <row r="1403" spans="19:27" x14ac:dyDescent="0.2">
      <c r="S1403" s="32"/>
      <c r="T1403" s="187"/>
      <c r="W1403" s="221" t="str">
        <f t="shared" si="30"/>
        <v>1w</v>
      </c>
      <c r="X1403" s="222">
        <f>_xll.qlCalendarAdvance(Calendar,X1402,W1403,"f",FALSE)</f>
        <v>48654</v>
      </c>
      <c r="Y1403" s="227">
        <f>_xll.qlCalendarAdvance(Calendar,X1403,NDays&amp;"D")</f>
        <v>48654</v>
      </c>
      <c r="Z1403" s="228">
        <v>3.5996515280831795E-2</v>
      </c>
      <c r="AA1403" s="230">
        <v>3.5961493994953742E-2</v>
      </c>
    </row>
    <row r="1404" spans="19:27" x14ac:dyDescent="0.2">
      <c r="S1404" s="32"/>
      <c r="T1404" s="187"/>
      <c r="W1404" s="221" t="str">
        <f t="shared" si="30"/>
        <v>1w</v>
      </c>
      <c r="X1404" s="222">
        <f>_xll.qlCalendarAdvance(Calendar,X1403,W1404,"f",FALSE)</f>
        <v>48661</v>
      </c>
      <c r="Y1404" s="227">
        <f>_xll.qlCalendarAdvance(Calendar,X1404,NDays&amp;"D")</f>
        <v>48661</v>
      </c>
      <c r="Z1404" s="228">
        <v>3.5985421040039059E-2</v>
      </c>
      <c r="AA1404" s="230">
        <v>3.5951620868948098E-2</v>
      </c>
    </row>
    <row r="1405" spans="19:27" x14ac:dyDescent="0.2">
      <c r="S1405" s="32"/>
      <c r="T1405" s="187"/>
      <c r="W1405" s="221" t="str">
        <f t="shared" si="30"/>
        <v>1w</v>
      </c>
      <c r="X1405" s="222">
        <f>_xll.qlCalendarAdvance(Calendar,X1404,W1405,"f",FALSE)</f>
        <v>48668</v>
      </c>
      <c r="Y1405" s="227">
        <f>_xll.qlCalendarAdvance(Calendar,X1405,NDays&amp;"D")</f>
        <v>48668</v>
      </c>
      <c r="Z1405" s="228">
        <v>3.597218745169236E-2</v>
      </c>
      <c r="AA1405" s="230">
        <v>3.5941688628028379E-2</v>
      </c>
    </row>
    <row r="1406" spans="19:27" x14ac:dyDescent="0.2">
      <c r="S1406" s="32"/>
      <c r="T1406" s="187"/>
      <c r="W1406" s="221" t="str">
        <f t="shared" si="30"/>
        <v>1w</v>
      </c>
      <c r="X1406" s="222">
        <f>_xll.qlCalendarAdvance(Calendar,X1405,W1406,"f",FALSE)</f>
        <v>48675</v>
      </c>
      <c r="Y1406" s="227">
        <f>_xll.qlCalendarAdvance(Calendar,X1406,NDays&amp;"D")</f>
        <v>48675</v>
      </c>
      <c r="Z1406" s="228">
        <v>3.5962044743614939E-2</v>
      </c>
      <c r="AA1406" s="230">
        <v>3.5931697272437724E-2</v>
      </c>
    </row>
    <row r="1407" spans="19:27" x14ac:dyDescent="0.2">
      <c r="S1407" s="32"/>
      <c r="T1407" s="187"/>
      <c r="W1407" s="221" t="str">
        <f t="shared" si="30"/>
        <v>1w</v>
      </c>
      <c r="X1407" s="222">
        <f>_xll.qlCalendarAdvance(Calendar,X1406,W1407,"f",FALSE)</f>
        <v>48682</v>
      </c>
      <c r="Y1407" s="227">
        <f>_xll.qlCalendarAdvance(Calendar,X1407,NDays&amp;"D")</f>
        <v>48682</v>
      </c>
      <c r="Z1407" s="228">
        <v>3.5951842760068062E-2</v>
      </c>
      <c r="AA1407" s="230">
        <v>3.592164680201404E-2</v>
      </c>
    </row>
    <row r="1408" spans="19:27" x14ac:dyDescent="0.2">
      <c r="S1408" s="32"/>
      <c r="T1408" s="187"/>
      <c r="W1408" s="221" t="str">
        <f t="shared" si="30"/>
        <v>1w</v>
      </c>
      <c r="X1408" s="222">
        <f>_xll.qlCalendarAdvance(Calendar,X1407,W1408,"f",FALSE)</f>
        <v>48689</v>
      </c>
      <c r="Y1408" s="227">
        <f>_xll.qlCalendarAdvance(Calendar,X1408,NDays&amp;"D")</f>
        <v>48689</v>
      </c>
      <c r="Z1408" s="228">
        <v>3.5941581501197604E-2</v>
      </c>
      <c r="AA1408" s="230">
        <v>3.5911537216838374E-2</v>
      </c>
    </row>
    <row r="1409" spans="19:27" x14ac:dyDescent="0.2">
      <c r="S1409" s="32"/>
      <c r="T1409" s="187"/>
      <c r="W1409" s="221" t="str">
        <f t="shared" si="30"/>
        <v>1w</v>
      </c>
      <c r="X1409" s="222">
        <f>_xll.qlCalendarAdvance(Calendar,X1408,W1409,"f",FALSE)</f>
        <v>48696</v>
      </c>
      <c r="Y1409" s="227">
        <f>_xll.qlCalendarAdvance(Calendar,X1409,NDays&amp;"D")</f>
        <v>48696</v>
      </c>
      <c r="Z1409" s="228">
        <v>3.5931260967157562E-2</v>
      </c>
      <c r="AA1409" s="230">
        <v>3.5901368516910726E-2</v>
      </c>
    </row>
    <row r="1410" spans="19:27" x14ac:dyDescent="0.2">
      <c r="S1410" s="32"/>
      <c r="T1410" s="187"/>
      <c r="W1410" s="221" t="str">
        <f t="shared" si="30"/>
        <v>1w</v>
      </c>
      <c r="X1410" s="222">
        <f>_xll.qlCalendarAdvance(Calendar,X1409,W1410,"f",FALSE)</f>
        <v>48703</v>
      </c>
      <c r="Y1410" s="227">
        <f>_xll.qlCalendarAdvance(Calendar,X1410,NDays&amp;"D")</f>
        <v>48703</v>
      </c>
      <c r="Z1410" s="228">
        <v>3.5923936965427158E-2</v>
      </c>
      <c r="AA1410" s="230">
        <v>3.5891140702150048E-2</v>
      </c>
    </row>
    <row r="1411" spans="19:27" x14ac:dyDescent="0.2">
      <c r="S1411" s="32"/>
      <c r="T1411" s="187"/>
      <c r="W1411" s="221" t="str">
        <f t="shared" si="30"/>
        <v>1w</v>
      </c>
      <c r="X1411" s="222">
        <f>_xll.qlCalendarAdvance(Calendar,X1410,W1411,"f",FALSE)</f>
        <v>48710</v>
      </c>
      <c r="Y1411" s="227">
        <f>_xll.qlCalendarAdvance(Calendar,X1411,NDays&amp;"D")</f>
        <v>48710</v>
      </c>
      <c r="Z1411" s="228">
        <v>3.5913482098715102E-2</v>
      </c>
      <c r="AA1411" s="230">
        <v>3.5880853772718435E-2</v>
      </c>
    </row>
    <row r="1412" spans="19:27" x14ac:dyDescent="0.2">
      <c r="S1412" s="32"/>
      <c r="T1412" s="187"/>
      <c r="W1412" s="221" t="str">
        <f t="shared" si="30"/>
        <v>1w</v>
      </c>
      <c r="X1412" s="222">
        <f>_xll.qlCalendarAdvance(Calendar,X1411,W1412,"f",FALSE)</f>
        <v>48717</v>
      </c>
      <c r="Y1412" s="227">
        <f>_xll.qlCalendarAdvance(Calendar,X1412,NDays&amp;"D")</f>
        <v>48717</v>
      </c>
      <c r="Z1412" s="228">
        <v>3.5902967940751908E-2</v>
      </c>
      <c r="AA1412" s="230">
        <v>3.5870507728453793E-2</v>
      </c>
    </row>
    <row r="1413" spans="19:27" x14ac:dyDescent="0.2">
      <c r="S1413" s="32"/>
      <c r="T1413" s="187"/>
      <c r="W1413" s="221" t="str">
        <f t="shared" si="30"/>
        <v>1w</v>
      </c>
      <c r="X1413" s="222">
        <f>_xll.qlCalendarAdvance(Calendar,X1412,W1413,"f",FALSE)</f>
        <v>48724</v>
      </c>
      <c r="Y1413" s="227">
        <f>_xll.qlCalendarAdvance(Calendar,X1413,NDays&amp;"D")</f>
        <v>48724</v>
      </c>
      <c r="Z1413" s="228">
        <v>3.5892394491697212E-2</v>
      </c>
      <c r="AA1413" s="230">
        <v>3.5860102569518215E-2</v>
      </c>
    </row>
    <row r="1414" spans="19:27" x14ac:dyDescent="0.2">
      <c r="S1414" s="32"/>
      <c r="T1414" s="187"/>
      <c r="W1414" s="221" t="str">
        <f t="shared" si="30"/>
        <v>1w</v>
      </c>
      <c r="X1414" s="222">
        <f>_xll.qlCalendarAdvance(Calendar,X1413,W1414,"f",FALSE)</f>
        <v>48731</v>
      </c>
      <c r="Y1414" s="227">
        <f>_xll.qlCalendarAdvance(Calendar,X1414,NDays&amp;"D")</f>
        <v>48731</v>
      </c>
      <c r="Z1414" s="228">
        <v>3.5878769174705859E-2</v>
      </c>
      <c r="AA1414" s="230">
        <v>3.5849638295830655E-2</v>
      </c>
    </row>
    <row r="1415" spans="19:27" x14ac:dyDescent="0.2">
      <c r="S1415" s="32"/>
      <c r="T1415" s="187"/>
      <c r="W1415" s="221" t="str">
        <f t="shared" si="30"/>
        <v>1w</v>
      </c>
      <c r="X1415" s="222">
        <f>_xll.qlCalendarAdvance(Calendar,X1414,W1415,"f",FALSE)</f>
        <v>48738</v>
      </c>
      <c r="Y1415" s="227">
        <f>_xll.qlCalendarAdvance(Calendar,X1415,NDays&amp;"D")</f>
        <v>48738</v>
      </c>
      <c r="Z1415" s="228">
        <v>3.5868092992828005E-2</v>
      </c>
      <c r="AA1415" s="230">
        <v>3.5839114907310066E-2</v>
      </c>
    </row>
    <row r="1416" spans="19:27" x14ac:dyDescent="0.2">
      <c r="S1416" s="32"/>
      <c r="T1416" s="187"/>
      <c r="W1416" s="221" t="str">
        <f t="shared" si="30"/>
        <v>1w</v>
      </c>
      <c r="X1416" s="222">
        <f>_xll.qlCalendarAdvance(Calendar,X1415,W1416,"f",FALSE)</f>
        <v>48745</v>
      </c>
      <c r="Y1416" s="227">
        <f>_xll.qlCalendarAdvance(Calendar,X1416,NDays&amp;"D")</f>
        <v>48745</v>
      </c>
      <c r="Z1416" s="228">
        <v>3.5857357536855781E-2</v>
      </c>
      <c r="AA1416" s="230">
        <v>3.582853240411854E-2</v>
      </c>
    </row>
    <row r="1417" spans="19:27" x14ac:dyDescent="0.2">
      <c r="S1417" s="32"/>
      <c r="T1417" s="187"/>
      <c r="W1417" s="221" t="str">
        <f t="shared" si="30"/>
        <v>1w</v>
      </c>
      <c r="X1417" s="222">
        <f>_xll.qlCalendarAdvance(Calendar,X1416,W1417,"f",FALSE)</f>
        <v>48752</v>
      </c>
      <c r="Y1417" s="227">
        <f>_xll.qlCalendarAdvance(Calendar,X1417,NDays&amp;"D")</f>
        <v>48752</v>
      </c>
      <c r="Z1417" s="228">
        <v>3.5846562806940471E-2</v>
      </c>
      <c r="AA1417" s="230">
        <v>3.5817890786256079E-2</v>
      </c>
    </row>
    <row r="1418" spans="19:27" x14ac:dyDescent="0.2">
      <c r="S1418" s="32"/>
      <c r="T1418" s="187"/>
      <c r="W1418" s="221" t="str">
        <f t="shared" si="30"/>
        <v>1w</v>
      </c>
      <c r="X1418" s="222">
        <f>_xll.qlCalendarAdvance(Calendar,X1417,W1418,"f",FALSE)</f>
        <v>48759</v>
      </c>
      <c r="Y1418" s="227">
        <f>_xll.qlCalendarAdvance(Calendar,X1418,NDays&amp;"D")</f>
        <v>48759</v>
      </c>
      <c r="Z1418" s="228">
        <v>3.5835708803233356E-2</v>
      </c>
      <c r="AA1418" s="230">
        <v>3.5807190053560589E-2</v>
      </c>
    </row>
    <row r="1419" spans="19:27" x14ac:dyDescent="0.2">
      <c r="S1419" s="32"/>
      <c r="T1419" s="187"/>
      <c r="W1419" s="221" t="str">
        <f t="shared" si="30"/>
        <v>1w</v>
      </c>
      <c r="X1419" s="222">
        <f>_xll.qlCalendarAdvance(Calendar,X1418,W1419,"f",FALSE)</f>
        <v>48766</v>
      </c>
      <c r="Y1419" s="227">
        <f>_xll.qlCalendarAdvance(Calendar,X1419,NDays&amp;"D")</f>
        <v>48766</v>
      </c>
      <c r="Z1419" s="228">
        <v>3.5827708694136332E-2</v>
      </c>
      <c r="AA1419" s="230">
        <v>3.5796430206113117E-2</v>
      </c>
    </row>
    <row r="1420" spans="19:27" x14ac:dyDescent="0.2">
      <c r="S1420" s="32"/>
      <c r="T1420" s="187"/>
      <c r="W1420" s="221" t="str">
        <f t="shared" si="30"/>
        <v>1w</v>
      </c>
      <c r="X1420" s="222">
        <f>_xll.qlCalendarAdvance(Calendar,X1419,W1420,"f",FALSE)</f>
        <v>48773</v>
      </c>
      <c r="Y1420" s="227">
        <f>_xll.qlCalendarAdvance(Calendar,X1420,NDays&amp;"D")</f>
        <v>48773</v>
      </c>
      <c r="Z1420" s="228">
        <v>3.5816720212281827E-2</v>
      </c>
      <c r="AA1420" s="230">
        <v>3.5785611244075755E-2</v>
      </c>
    </row>
    <row r="1421" spans="19:27" x14ac:dyDescent="0.2">
      <c r="S1421" s="32"/>
      <c r="T1421" s="187"/>
      <c r="W1421" s="221" t="str">
        <f t="shared" si="30"/>
        <v>1w</v>
      </c>
      <c r="X1421" s="222">
        <f>_xll.qlCalendarAdvance(Calendar,X1420,W1421,"f",FALSE)</f>
        <v>48780</v>
      </c>
      <c r="Y1421" s="227">
        <f>_xll.qlCalendarAdvance(Calendar,X1421,NDays&amp;"D")</f>
        <v>48780</v>
      </c>
      <c r="Z1421" s="228">
        <v>3.5805672440725897E-2</v>
      </c>
      <c r="AA1421" s="230">
        <v>3.577473316728641E-2</v>
      </c>
    </row>
    <row r="1422" spans="19:27" x14ac:dyDescent="0.2">
      <c r="S1422" s="32"/>
      <c r="T1422" s="187"/>
      <c r="W1422" s="221" t="str">
        <f t="shared" si="30"/>
        <v>1w</v>
      </c>
      <c r="X1422" s="222">
        <f>_xll.qlCalendarAdvance(Calendar,X1421,W1422,"f",FALSE)</f>
        <v>48787</v>
      </c>
      <c r="Y1422" s="227">
        <f>_xll.qlCalendarAdvance(Calendar,X1422,NDays&amp;"D")</f>
        <v>48787</v>
      </c>
      <c r="Z1422" s="228">
        <v>3.5795519597848505E-2</v>
      </c>
      <c r="AA1422" s="230">
        <v>3.5763795975826129E-2</v>
      </c>
    </row>
    <row r="1423" spans="19:27" x14ac:dyDescent="0.2">
      <c r="S1423" s="32"/>
      <c r="T1423" s="187"/>
      <c r="W1423" s="221" t="str">
        <f t="shared" si="30"/>
        <v>1w</v>
      </c>
      <c r="X1423" s="222">
        <f>_xll.qlCalendarAdvance(Calendar,X1422,W1423,"f",FALSE)</f>
        <v>48794</v>
      </c>
      <c r="Y1423" s="227">
        <f>_xll.qlCalendarAdvance(Calendar,X1423,NDays&amp;"D")</f>
        <v>48794</v>
      </c>
      <c r="Z1423" s="228">
        <v>3.5783399029212133E-2</v>
      </c>
      <c r="AA1423" s="230">
        <v>3.5752799669694912E-2</v>
      </c>
    </row>
    <row r="1424" spans="19:27" x14ac:dyDescent="0.2">
      <c r="S1424" s="32"/>
      <c r="T1424" s="187"/>
      <c r="W1424" s="221" t="str">
        <f t="shared" si="30"/>
        <v>1w</v>
      </c>
      <c r="X1424" s="222">
        <f>_xll.qlCalendarAdvance(Calendar,X1423,W1424,"f",FALSE)</f>
        <v>48801</v>
      </c>
      <c r="Y1424" s="227">
        <f>_xll.qlCalendarAdvance(Calendar,X1424,NDays&amp;"D")</f>
        <v>48801</v>
      </c>
      <c r="Z1424" s="228">
        <v>3.5772173389610425E-2</v>
      </c>
      <c r="AA1424" s="230">
        <v>3.5741744248811713E-2</v>
      </c>
    </row>
    <row r="1425" spans="19:27" x14ac:dyDescent="0.2">
      <c r="S1425" s="32"/>
      <c r="T1425" s="187"/>
      <c r="W1425" s="221" t="str">
        <f t="shared" si="30"/>
        <v>1w</v>
      </c>
      <c r="X1425" s="222">
        <f>_xll.qlCalendarAdvance(Calendar,X1424,W1425,"f",FALSE)</f>
        <v>48808</v>
      </c>
      <c r="Y1425" s="227">
        <f>_xll.qlCalendarAdvance(Calendar,X1425,NDays&amp;"D")</f>
        <v>48808</v>
      </c>
      <c r="Z1425" s="228">
        <v>3.5760888461019505E-2</v>
      </c>
      <c r="AA1425" s="230">
        <v>3.5730629713338624E-2</v>
      </c>
    </row>
    <row r="1426" spans="19:27" x14ac:dyDescent="0.2">
      <c r="S1426" s="32"/>
      <c r="T1426" s="187"/>
      <c r="W1426" s="221" t="str">
        <f t="shared" si="30"/>
        <v>1w</v>
      </c>
      <c r="X1426" s="222">
        <f>_xll.qlCalendarAdvance(Calendar,X1425,W1426,"f",FALSE)</f>
        <v>48815</v>
      </c>
      <c r="Y1426" s="227">
        <f>_xll.qlCalendarAdvance(Calendar,X1426,NDays&amp;"D")</f>
        <v>48815</v>
      </c>
      <c r="Z1426" s="228">
        <v>3.5749544243621117E-2</v>
      </c>
      <c r="AA1426" s="230">
        <v>3.5719456062870414E-2</v>
      </c>
    </row>
    <row r="1427" spans="19:27" x14ac:dyDescent="0.2">
      <c r="S1427" s="32"/>
      <c r="T1427" s="187"/>
      <c r="W1427" s="221" t="str">
        <f t="shared" si="30"/>
        <v>1w</v>
      </c>
      <c r="X1427" s="222">
        <f>_xll.qlCalendarAdvance(Calendar,X1426,W1427,"f",FALSE)</f>
        <v>48822</v>
      </c>
      <c r="Y1427" s="227">
        <f>_xll.qlCalendarAdvance(Calendar,X1427,NDays&amp;"D")</f>
        <v>48822</v>
      </c>
      <c r="Z1427" s="228">
        <v>3.5735355475929542E-2</v>
      </c>
      <c r="AA1427" s="230">
        <v>3.5708223298136499E-2</v>
      </c>
    </row>
    <row r="1428" spans="19:27" x14ac:dyDescent="0.2">
      <c r="S1428" s="32"/>
      <c r="T1428" s="187"/>
      <c r="W1428" s="221" t="str">
        <f t="shared" si="30"/>
        <v>1w</v>
      </c>
      <c r="X1428" s="222">
        <f>_xll.qlCalendarAdvance(Calendar,X1427,W1428,"f",FALSE)</f>
        <v>48829</v>
      </c>
      <c r="Y1428" s="227">
        <f>_xll.qlCalendarAdvance(Calendar,X1428,NDays&amp;"D")</f>
        <v>48829</v>
      </c>
      <c r="Z1428" s="228">
        <v>3.5723908743211408E-2</v>
      </c>
      <c r="AA1428" s="230">
        <v>3.5696931418569555E-2</v>
      </c>
    </row>
    <row r="1429" spans="19:27" x14ac:dyDescent="0.2">
      <c r="S1429" s="32"/>
      <c r="T1429" s="187"/>
      <c r="W1429" s="221" t="str">
        <f t="shared" ref="W1429:W1492" si="31">W1428</f>
        <v>1w</v>
      </c>
      <c r="X1429" s="222">
        <f>_xll.qlCalendarAdvance(Calendar,X1428,W1429,"f",FALSE)</f>
        <v>48836</v>
      </c>
      <c r="Y1429" s="227">
        <f>_xll.qlCalendarAdvance(Calendar,X1429,NDays&amp;"D")</f>
        <v>48836</v>
      </c>
      <c r="Z1429" s="228">
        <v>3.5712402738492598E-2</v>
      </c>
      <c r="AA1429" s="230">
        <v>3.5685580424250629E-2</v>
      </c>
    </row>
    <row r="1430" spans="19:27" x14ac:dyDescent="0.2">
      <c r="S1430" s="32"/>
      <c r="T1430" s="187"/>
      <c r="W1430" s="221" t="str">
        <f t="shared" si="31"/>
        <v>1w</v>
      </c>
      <c r="X1430" s="222">
        <f>_xll.qlCalendarAdvance(Calendar,X1429,W1430,"f",FALSE)</f>
        <v>48843</v>
      </c>
      <c r="Y1430" s="227">
        <f>_xll.qlCalendarAdvance(Calendar,X1430,NDays&amp;"D")</f>
        <v>48843</v>
      </c>
      <c r="Z1430" s="228">
        <v>3.5700837461946008E-2</v>
      </c>
      <c r="AA1430" s="230">
        <v>3.5674170315341813E-2</v>
      </c>
    </row>
    <row r="1431" spans="19:27" x14ac:dyDescent="0.2">
      <c r="S1431" s="32"/>
      <c r="T1431" s="187"/>
      <c r="W1431" s="221" t="str">
        <f t="shared" si="31"/>
        <v>1w</v>
      </c>
      <c r="X1431" s="222">
        <f>_xll.qlCalendarAdvance(Calendar,X1430,W1431,"f",FALSE)</f>
        <v>48850</v>
      </c>
      <c r="Y1431" s="227">
        <f>_xll.qlCalendarAdvance(Calendar,X1431,NDays&amp;"D")</f>
        <v>48850</v>
      </c>
      <c r="Z1431" s="228">
        <v>3.5689212913733726E-2</v>
      </c>
      <c r="AA1431" s="230">
        <v>3.5662701091762061E-2</v>
      </c>
    </row>
    <row r="1432" spans="19:27" x14ac:dyDescent="0.2">
      <c r="S1432" s="32"/>
      <c r="T1432" s="187"/>
      <c r="W1432" s="221" t="str">
        <f t="shared" si="31"/>
        <v>1w</v>
      </c>
      <c r="X1432" s="222">
        <f>_xll.qlCalendarAdvance(Calendar,X1431,W1432,"f",FALSE)</f>
        <v>48857</v>
      </c>
      <c r="Y1432" s="227">
        <f>_xll.qlCalendarAdvance(Calendar,X1432,NDays&amp;"D")</f>
        <v>48857</v>
      </c>
      <c r="Z1432" s="228">
        <v>3.5680233884515314E-2</v>
      </c>
      <c r="AA1432" s="230">
        <v>3.5651172753592419E-2</v>
      </c>
    </row>
    <row r="1433" spans="19:27" x14ac:dyDescent="0.2">
      <c r="S1433" s="32"/>
      <c r="T1433" s="187"/>
      <c r="W1433" s="221" t="str">
        <f t="shared" si="31"/>
        <v>1w</v>
      </c>
      <c r="X1433" s="222">
        <f>_xll.qlCalendarAdvance(Calendar,X1432,W1433,"f",FALSE)</f>
        <v>48864</v>
      </c>
      <c r="Y1433" s="227">
        <f>_xll.qlCalendarAdvance(Calendar,X1433,NDays&amp;"D")</f>
        <v>48864</v>
      </c>
      <c r="Z1433" s="228">
        <v>3.5668474650602501E-2</v>
      </c>
      <c r="AA1433" s="230">
        <v>3.5639585300670795E-2</v>
      </c>
    </row>
    <row r="1434" spans="19:27" x14ac:dyDescent="0.2">
      <c r="S1434" s="32"/>
      <c r="T1434" s="187"/>
      <c r="W1434" s="221" t="str">
        <f t="shared" si="31"/>
        <v>1w</v>
      </c>
      <c r="X1434" s="222">
        <f>_xll.qlCalendarAdvance(Calendar,X1433,W1434,"f",FALSE)</f>
        <v>48871</v>
      </c>
      <c r="Y1434" s="227">
        <f>_xll.qlCalendarAdvance(Calendar,X1434,NDays&amp;"D")</f>
        <v>48871</v>
      </c>
      <c r="Z1434" s="228">
        <v>3.5656656129368081E-2</v>
      </c>
      <c r="AA1434" s="230">
        <v>3.5627938733240327E-2</v>
      </c>
    </row>
    <row r="1435" spans="19:27" x14ac:dyDescent="0.2">
      <c r="S1435" s="32"/>
      <c r="T1435" s="187"/>
      <c r="W1435" s="221" t="str">
        <f t="shared" si="31"/>
        <v>1w</v>
      </c>
      <c r="X1435" s="222">
        <f>_xll.qlCalendarAdvance(Calendar,X1434,W1435,"f",FALSE)</f>
        <v>48878</v>
      </c>
      <c r="Y1435" s="227">
        <f>_xll.qlCalendarAdvance(Calendar,X1435,NDays&amp;"D")</f>
        <v>48878</v>
      </c>
      <c r="Z1435" s="228">
        <v>3.5644778320993775E-2</v>
      </c>
      <c r="AA1435" s="230">
        <v>3.5616233051057877E-2</v>
      </c>
    </row>
    <row r="1436" spans="19:27" x14ac:dyDescent="0.2">
      <c r="S1436" s="32"/>
      <c r="T1436" s="187"/>
      <c r="W1436" s="221" t="str">
        <f t="shared" si="31"/>
        <v>1w</v>
      </c>
      <c r="X1436" s="222">
        <f>_xll.qlCalendarAdvance(Calendar,X1435,W1436,"f",FALSE)</f>
        <v>48885</v>
      </c>
      <c r="Y1436" s="227">
        <f>_xll.qlCalendarAdvance(Calendar,X1436,NDays&amp;"D")</f>
        <v>48885</v>
      </c>
      <c r="Z1436" s="228">
        <v>3.5630201103711477E-2</v>
      </c>
      <c r="AA1436" s="230">
        <v>3.5604468254285537E-2</v>
      </c>
    </row>
    <row r="1437" spans="19:27" x14ac:dyDescent="0.2">
      <c r="S1437" s="32"/>
      <c r="T1437" s="187"/>
      <c r="W1437" s="221" t="str">
        <f t="shared" si="31"/>
        <v>1w</v>
      </c>
      <c r="X1437" s="222">
        <f>_xll.qlCalendarAdvance(Calendar,X1436,W1437,"f",FALSE)</f>
        <v>48892</v>
      </c>
      <c r="Y1437" s="227">
        <f>_xll.qlCalendarAdvance(Calendar,X1437,NDays&amp;"D")</f>
        <v>48892</v>
      </c>
      <c r="Z1437" s="228">
        <v>3.5618220929119745E-2</v>
      </c>
      <c r="AA1437" s="230">
        <v>3.5592644343004354E-2</v>
      </c>
    </row>
    <row r="1438" spans="19:27" x14ac:dyDescent="0.2">
      <c r="S1438" s="32"/>
      <c r="T1438" s="187"/>
      <c r="W1438" s="221" t="str">
        <f t="shared" si="31"/>
        <v>1w</v>
      </c>
      <c r="X1438" s="222">
        <f>_xll.qlCalendarAdvance(Calendar,X1437,W1438,"f",FALSE)</f>
        <v>48899</v>
      </c>
      <c r="Y1438" s="227">
        <f>_xll.qlCalendarAdvance(Calendar,X1438,NDays&amp;"D")</f>
        <v>48899</v>
      </c>
      <c r="Z1438" s="228">
        <v>3.5606181484061805E-2</v>
      </c>
      <c r="AA1438" s="230">
        <v>3.5580761316971188E-2</v>
      </c>
    </row>
    <row r="1439" spans="19:27" x14ac:dyDescent="0.2">
      <c r="S1439" s="32"/>
      <c r="T1439" s="187"/>
      <c r="W1439" s="221" t="str">
        <f t="shared" si="31"/>
        <v>1w</v>
      </c>
      <c r="X1439" s="222">
        <f>_xll.qlCalendarAdvance(Calendar,X1438,W1439,"f",FALSE)</f>
        <v>48906</v>
      </c>
      <c r="Y1439" s="227">
        <f>_xll.qlCalendarAdvance(Calendar,X1439,NDays&amp;"D")</f>
        <v>48906</v>
      </c>
      <c r="Z1439" s="228">
        <v>3.5594082768729482E-2</v>
      </c>
      <c r="AA1439" s="230">
        <v>3.5568819176429178E-2</v>
      </c>
    </row>
    <row r="1440" spans="19:27" x14ac:dyDescent="0.2">
      <c r="S1440" s="32"/>
      <c r="T1440" s="187"/>
      <c r="W1440" s="221" t="str">
        <f t="shared" si="31"/>
        <v>1w</v>
      </c>
      <c r="X1440" s="222">
        <f>_xll.qlCalendarAdvance(Calendar,X1439,W1440,"f",FALSE)</f>
        <v>48913</v>
      </c>
      <c r="Y1440" s="227">
        <f>_xll.qlCalendarAdvance(Calendar,X1440,NDays&amp;"D")</f>
        <v>48913</v>
      </c>
      <c r="Z1440" s="228">
        <v>3.5581924783284855E-2</v>
      </c>
      <c r="AA1440" s="230">
        <v>3.5556817921297279E-2</v>
      </c>
    </row>
    <row r="1441" spans="19:27" x14ac:dyDescent="0.2">
      <c r="S1441" s="32"/>
      <c r="T1441" s="187"/>
      <c r="W1441" s="221" t="str">
        <f t="shared" si="31"/>
        <v>1w</v>
      </c>
      <c r="X1441" s="222">
        <f>_xll.qlCalendarAdvance(Calendar,X1440,W1441,"f",FALSE)</f>
        <v>48920</v>
      </c>
      <c r="Y1441" s="227">
        <f>_xll.qlCalendarAdvance(Calendar,X1441,NDays&amp;"D")</f>
        <v>48920</v>
      </c>
      <c r="Z1441" s="228">
        <v>3.5572266451601969E-2</v>
      </c>
      <c r="AA1441" s="230">
        <v>3.5544757551413397E-2</v>
      </c>
    </row>
    <row r="1442" spans="19:27" x14ac:dyDescent="0.2">
      <c r="S1442" s="32"/>
      <c r="T1442" s="187"/>
      <c r="W1442" s="221" t="str">
        <f t="shared" si="31"/>
        <v>1w</v>
      </c>
      <c r="X1442" s="222">
        <f>_xll.qlCalendarAdvance(Calendar,X1441,W1442,"f",FALSE)</f>
        <v>48927</v>
      </c>
      <c r="Y1442" s="227">
        <f>_xll.qlCalendarAdvance(Calendar,X1442,NDays&amp;"D")</f>
        <v>48927</v>
      </c>
      <c r="Z1442" s="228">
        <v>3.5559973638651612E-2</v>
      </c>
      <c r="AA1442" s="230">
        <v>3.5532638067101718E-2</v>
      </c>
    </row>
    <row r="1443" spans="19:27" x14ac:dyDescent="0.2">
      <c r="S1443" s="32"/>
      <c r="T1443" s="187"/>
      <c r="W1443" s="221" t="str">
        <f t="shared" si="31"/>
        <v>1w</v>
      </c>
      <c r="X1443" s="222">
        <f>_xll.qlCalendarAdvance(Calendar,X1442,W1443,"f",FALSE)</f>
        <v>48934</v>
      </c>
      <c r="Y1443" s="227">
        <f>_xll.qlCalendarAdvance(Calendar,X1443,NDays&amp;"D")</f>
        <v>48934</v>
      </c>
      <c r="Z1443" s="228">
        <v>3.5547621540113532E-2</v>
      </c>
      <c r="AA1443" s="230">
        <v>3.5520459468119103E-2</v>
      </c>
    </row>
    <row r="1444" spans="19:27" x14ac:dyDescent="0.2">
      <c r="S1444" s="32"/>
      <c r="T1444" s="187"/>
      <c r="W1444" s="221" t="str">
        <f t="shared" si="31"/>
        <v>1w</v>
      </c>
      <c r="X1444" s="222">
        <f>_xll.qlCalendarAdvance(Calendar,X1443,W1444,"f",FALSE)</f>
        <v>48941</v>
      </c>
      <c r="Y1444" s="227">
        <f>_xll.qlCalendarAdvance(Calendar,X1444,NDays&amp;"D")</f>
        <v>48941</v>
      </c>
      <c r="Z1444" s="228">
        <v>3.5535210156189122E-2</v>
      </c>
      <c r="AA1444" s="230">
        <v>3.5508221754546598E-2</v>
      </c>
    </row>
    <row r="1445" spans="19:27" x14ac:dyDescent="0.2">
      <c r="S1445" s="32"/>
      <c r="T1445" s="187"/>
      <c r="W1445" s="221" t="str">
        <f t="shared" si="31"/>
        <v>1w</v>
      </c>
      <c r="X1445" s="222">
        <f>_xll.qlCalendarAdvance(Calendar,X1444,W1445,"f",FALSE)</f>
        <v>48948</v>
      </c>
      <c r="Y1445" s="227">
        <f>_xll.qlCalendarAdvance(Calendar,X1445,NDays&amp;"D")</f>
        <v>48948</v>
      </c>
      <c r="Z1445" s="228">
        <v>3.5522739487072401E-2</v>
      </c>
      <c r="AA1445" s="230">
        <v>3.549592492646525E-2</v>
      </c>
    </row>
    <row r="1446" spans="19:27" x14ac:dyDescent="0.2">
      <c r="S1446" s="32"/>
      <c r="T1446" s="187"/>
      <c r="W1446" s="221" t="str">
        <f t="shared" si="31"/>
        <v>1w</v>
      </c>
      <c r="X1446" s="222">
        <f>_xll.qlCalendarAdvance(Calendar,X1445,W1446,"f",FALSE)</f>
        <v>48955</v>
      </c>
      <c r="Y1446" s="227">
        <f>_xll.qlCalendarAdvance(Calendar,X1446,NDays&amp;"D")</f>
        <v>48955</v>
      </c>
      <c r="Z1446" s="228">
        <v>3.5510209532967213E-2</v>
      </c>
      <c r="AA1446" s="230">
        <v>3.5483568983712965E-2</v>
      </c>
    </row>
    <row r="1447" spans="19:27" x14ac:dyDescent="0.2">
      <c r="S1447" s="32"/>
      <c r="T1447" s="187"/>
      <c r="W1447" s="221" t="str">
        <f t="shared" si="31"/>
        <v>1w</v>
      </c>
      <c r="X1447" s="222">
        <f>_xll.qlCalendarAdvance(Calendar,X1446,W1447,"f",FALSE)</f>
        <v>48962</v>
      </c>
      <c r="Y1447" s="227">
        <f>_xll.qlCalendarAdvance(Calendar,X1447,NDays&amp;"D")</f>
        <v>48962</v>
      </c>
      <c r="Z1447" s="228">
        <v>3.549762029407004E-2</v>
      </c>
      <c r="AA1447" s="230">
        <v>3.5471153926532883E-2</v>
      </c>
    </row>
    <row r="1448" spans="19:27" x14ac:dyDescent="0.2">
      <c r="S1448" s="32"/>
      <c r="T1448" s="187"/>
      <c r="W1448" s="221" t="str">
        <f t="shared" si="31"/>
        <v>1w</v>
      </c>
      <c r="X1448" s="222">
        <f>_xll.qlCalendarAdvance(Calendar,X1447,W1448,"f",FALSE)</f>
        <v>48969</v>
      </c>
      <c r="Y1448" s="227">
        <f>_xll.qlCalendarAdvance(Calendar,X1448,NDays&amp;"D")</f>
        <v>48969</v>
      </c>
      <c r="Z1448" s="228">
        <v>3.5484971770587168E-2</v>
      </c>
      <c r="AA1448" s="230">
        <v>3.5458679754762912E-2</v>
      </c>
    </row>
    <row r="1449" spans="19:27" x14ac:dyDescent="0.2">
      <c r="S1449" s="32"/>
      <c r="T1449" s="187"/>
      <c r="W1449" s="221" t="str">
        <f t="shared" si="31"/>
        <v>1w</v>
      </c>
      <c r="X1449" s="222">
        <f>_xll.qlCalendarAdvance(Calendar,X1448,W1449,"f",FALSE)</f>
        <v>48976</v>
      </c>
      <c r="Y1449" s="227">
        <f>_xll.qlCalendarAdvance(Calendar,X1449,NDays&amp;"D")</f>
        <v>48976</v>
      </c>
      <c r="Z1449" s="228">
        <v>3.5468214662742352E-2</v>
      </c>
      <c r="AA1449" s="230">
        <v>3.544614646840305E-2</v>
      </c>
    </row>
    <row r="1450" spans="19:27" x14ac:dyDescent="0.2">
      <c r="S1450" s="32"/>
      <c r="T1450" s="187"/>
      <c r="W1450" s="221" t="str">
        <f t="shared" si="31"/>
        <v>1w</v>
      </c>
      <c r="X1450" s="222">
        <f>_xll.qlCalendarAdvance(Calendar,X1449,W1450,"f",FALSE)</f>
        <v>48983</v>
      </c>
      <c r="Y1450" s="227">
        <f>_xll.qlCalendarAdvance(Calendar,X1450,NDays&amp;"D")</f>
        <v>48983</v>
      </c>
      <c r="Z1450" s="228">
        <v>3.5455474925364973E-2</v>
      </c>
      <c r="AA1450" s="230">
        <v>3.5433554067534345E-2</v>
      </c>
    </row>
    <row r="1451" spans="19:27" x14ac:dyDescent="0.2">
      <c r="S1451" s="32"/>
      <c r="T1451" s="187"/>
      <c r="W1451" s="221" t="str">
        <f t="shared" si="31"/>
        <v>1w</v>
      </c>
      <c r="X1451" s="222">
        <f>_xll.qlCalendarAdvance(Calendar,X1450,W1451,"f",FALSE)</f>
        <v>48990</v>
      </c>
      <c r="Y1451" s="227">
        <f>_xll.qlCalendarAdvance(Calendar,X1451,NDays&amp;"D")</f>
        <v>48990</v>
      </c>
      <c r="Z1451" s="228">
        <v>3.5442675930455227E-2</v>
      </c>
      <c r="AA1451" s="230">
        <v>3.542090255207575E-2</v>
      </c>
    </row>
    <row r="1452" spans="19:27" x14ac:dyDescent="0.2">
      <c r="S1452" s="32"/>
      <c r="T1452" s="187"/>
      <c r="W1452" s="221" t="str">
        <f t="shared" si="31"/>
        <v>1w</v>
      </c>
      <c r="X1452" s="222">
        <f>_xll.qlCalendarAdvance(Calendar,X1451,W1452,"f",FALSE)</f>
        <v>48997</v>
      </c>
      <c r="Y1452" s="227">
        <f>_xll.qlCalendarAdvance(Calendar,X1452,NDays&amp;"D")</f>
        <v>48997</v>
      </c>
      <c r="Z1452" s="228">
        <v>3.5429817678189673E-2</v>
      </c>
      <c r="AA1452" s="230">
        <v>3.5408191922108312E-2</v>
      </c>
    </row>
    <row r="1453" spans="19:27" x14ac:dyDescent="0.2">
      <c r="S1453" s="32"/>
      <c r="T1453" s="187"/>
      <c r="W1453" s="221" t="str">
        <f t="shared" si="31"/>
        <v>1w</v>
      </c>
      <c r="X1453" s="222">
        <f>_xll.qlCalendarAdvance(Calendar,X1452,W1453,"f",FALSE)</f>
        <v>49004</v>
      </c>
      <c r="Y1453" s="227">
        <f>_xll.qlCalendarAdvance(Calendar,X1453,NDays&amp;"D")</f>
        <v>49004</v>
      </c>
      <c r="Z1453" s="228">
        <v>3.5420839891485124E-2</v>
      </c>
      <c r="AA1453" s="230">
        <v>3.539542217763203E-2</v>
      </c>
    </row>
    <row r="1454" spans="19:27" x14ac:dyDescent="0.2">
      <c r="S1454" s="32"/>
      <c r="T1454" s="187"/>
      <c r="W1454" s="221" t="str">
        <f t="shared" si="31"/>
        <v>1w</v>
      </c>
      <c r="X1454" s="222">
        <f>_xll.qlCalendarAdvance(Calendar,X1453,W1454,"f",FALSE)</f>
        <v>49011</v>
      </c>
      <c r="Y1454" s="227">
        <f>_xll.qlCalendarAdvance(Calendar,X1454,NDays&amp;"D")</f>
        <v>49011</v>
      </c>
      <c r="Z1454" s="228">
        <v>3.5408616697296114E-2</v>
      </c>
      <c r="AA1454" s="230">
        <v>3.5382593318646904E-2</v>
      </c>
    </row>
    <row r="1455" spans="19:27" x14ac:dyDescent="0.2">
      <c r="S1455" s="32"/>
      <c r="T1455" s="187"/>
      <c r="W1455" s="221" t="str">
        <f t="shared" si="31"/>
        <v>1w</v>
      </c>
      <c r="X1455" s="222">
        <f>_xll.qlCalendarAdvance(Calendar,X1454,W1455,"f",FALSE)</f>
        <v>49018</v>
      </c>
      <c r="Y1455" s="227">
        <f>_xll.qlCalendarAdvance(Calendar,X1455,NDays&amp;"D")</f>
        <v>49018</v>
      </c>
      <c r="Z1455" s="228">
        <v>3.5394772154898647E-2</v>
      </c>
      <c r="AA1455" s="230">
        <v>3.5369705345152935E-2</v>
      </c>
    </row>
    <row r="1456" spans="19:27" x14ac:dyDescent="0.2">
      <c r="S1456" s="32"/>
      <c r="T1456" s="187"/>
      <c r="W1456" s="221" t="str">
        <f t="shared" si="31"/>
        <v>1w</v>
      </c>
      <c r="X1456" s="222">
        <f>_xll.qlCalendarAdvance(Calendar,X1455,W1456,"f",FALSE)</f>
        <v>49025</v>
      </c>
      <c r="Y1456" s="227">
        <f>_xll.qlCalendarAdvance(Calendar,X1456,NDays&amp;"D")</f>
        <v>49025</v>
      </c>
      <c r="Z1456" s="228">
        <v>3.5381649362095625E-2</v>
      </c>
      <c r="AA1456" s="230">
        <v>3.5356758257150123E-2</v>
      </c>
    </row>
    <row r="1457" spans="19:27" x14ac:dyDescent="0.2">
      <c r="S1457" s="32"/>
      <c r="T1457" s="187"/>
      <c r="W1457" s="221" t="str">
        <f t="shared" si="31"/>
        <v>1w</v>
      </c>
      <c r="X1457" s="222">
        <f>_xll.qlCalendarAdvance(Calendar,X1456,W1457,"f",FALSE)</f>
        <v>49032</v>
      </c>
      <c r="Y1457" s="227">
        <f>_xll.qlCalendarAdvance(Calendar,X1457,NDays&amp;"D")</f>
        <v>49032</v>
      </c>
      <c r="Z1457" s="228">
        <v>3.5366170879552558E-2</v>
      </c>
      <c r="AA1457" s="230">
        <v>3.534375205455742E-2</v>
      </c>
    </row>
    <row r="1458" spans="19:27" x14ac:dyDescent="0.2">
      <c r="S1458" s="32"/>
      <c r="T1458" s="187"/>
      <c r="W1458" s="221" t="str">
        <f t="shared" si="31"/>
        <v>1w</v>
      </c>
      <c r="X1458" s="222">
        <f>_xll.qlCalendarAdvance(Calendar,X1457,W1458,"f",FALSE)</f>
        <v>49039</v>
      </c>
      <c r="Y1458" s="227">
        <f>_xll.qlCalendarAdvance(Calendar,X1458,NDays&amp;"D")</f>
        <v>49039</v>
      </c>
      <c r="Z1458" s="228">
        <v>3.5352946063335278E-2</v>
      </c>
      <c r="AA1458" s="230">
        <v>3.5330686737617967E-2</v>
      </c>
    </row>
    <row r="1459" spans="19:27" x14ac:dyDescent="0.2">
      <c r="S1459" s="32"/>
      <c r="T1459" s="187"/>
      <c r="W1459" s="221" t="str">
        <f t="shared" si="31"/>
        <v>1w</v>
      </c>
      <c r="X1459" s="222">
        <f>_xll.qlCalendarAdvance(Calendar,X1458,W1459,"f",FALSE)</f>
        <v>49046</v>
      </c>
      <c r="Y1459" s="227">
        <f>_xll.qlCalendarAdvance(Calendar,X1459,NDays&amp;"D")</f>
        <v>49046</v>
      </c>
      <c r="Z1459" s="228">
        <v>3.5339661980523115E-2</v>
      </c>
      <c r="AA1459" s="230">
        <v>3.5317562306088623E-2</v>
      </c>
    </row>
    <row r="1460" spans="19:27" x14ac:dyDescent="0.2">
      <c r="S1460" s="32"/>
      <c r="T1460" s="187"/>
      <c r="W1460" s="221" t="str">
        <f t="shared" si="31"/>
        <v>1w</v>
      </c>
      <c r="X1460" s="222">
        <f>_xll.qlCalendarAdvance(Calendar,X1459,W1460,"f",FALSE)</f>
        <v>49053</v>
      </c>
      <c r="Y1460" s="227">
        <f>_xll.qlCalendarAdvance(Calendar,X1460,NDays&amp;"D")</f>
        <v>49053</v>
      </c>
      <c r="Z1460" s="228">
        <v>3.5326318631313268E-2</v>
      </c>
      <c r="AA1460" s="230">
        <v>3.5304378760131483E-2</v>
      </c>
    </row>
    <row r="1461" spans="19:27" x14ac:dyDescent="0.2">
      <c r="S1461" s="32"/>
      <c r="T1461" s="187"/>
      <c r="W1461" s="221" t="str">
        <f t="shared" si="31"/>
        <v>1w</v>
      </c>
      <c r="X1461" s="222">
        <f>_xll.qlCalendarAdvance(Calendar,X1460,W1461,"f",FALSE)</f>
        <v>49060</v>
      </c>
      <c r="Y1461" s="227">
        <f>_xll.qlCalendarAdvance(Calendar,X1461,NDays&amp;"D")</f>
        <v>49060</v>
      </c>
      <c r="Z1461" s="228">
        <v>3.5312916015900253E-2</v>
      </c>
      <c r="AA1461" s="230">
        <v>3.5291136099746545E-2</v>
      </c>
    </row>
    <row r="1462" spans="19:27" x14ac:dyDescent="0.2">
      <c r="S1462" s="32"/>
      <c r="T1462" s="187"/>
      <c r="W1462" s="221" t="str">
        <f t="shared" si="31"/>
        <v>1w</v>
      </c>
      <c r="X1462" s="222">
        <f>_xll.qlCalendarAdvance(Calendar,X1461,W1462,"f",FALSE)</f>
        <v>49067</v>
      </c>
      <c r="Y1462" s="227">
        <f>_xll.qlCalendarAdvance(Calendar,X1462,NDays&amp;"D")</f>
        <v>49067</v>
      </c>
      <c r="Z1462" s="228">
        <v>3.5301667675392959E-2</v>
      </c>
      <c r="AA1462" s="230">
        <v>3.5277834324771717E-2</v>
      </c>
    </row>
    <row r="1463" spans="19:27" x14ac:dyDescent="0.2">
      <c r="S1463" s="32"/>
      <c r="T1463" s="187"/>
      <c r="W1463" s="221" t="str">
        <f t="shared" si="31"/>
        <v>1w</v>
      </c>
      <c r="X1463" s="222">
        <f>_xll.qlCalendarAdvance(Calendar,X1462,W1463,"f",FALSE)</f>
        <v>49074</v>
      </c>
      <c r="Y1463" s="227">
        <f>_xll.qlCalendarAdvance(Calendar,X1463,NDays&amp;"D")</f>
        <v>49074</v>
      </c>
      <c r="Z1463" s="228">
        <v>3.5288129907959258E-2</v>
      </c>
      <c r="AA1463" s="230">
        <v>3.5264473435450139E-2</v>
      </c>
    </row>
    <row r="1464" spans="19:27" x14ac:dyDescent="0.2">
      <c r="S1464" s="32"/>
      <c r="T1464" s="187"/>
      <c r="W1464" s="221" t="str">
        <f t="shared" si="31"/>
        <v>1w</v>
      </c>
      <c r="X1464" s="222">
        <f>_xll.qlCalendarAdvance(Calendar,X1463,W1464,"f",FALSE)</f>
        <v>49081</v>
      </c>
      <c r="Y1464" s="227">
        <f>_xll.qlCalendarAdvance(Calendar,X1464,NDays&amp;"D")</f>
        <v>49081</v>
      </c>
      <c r="Z1464" s="228">
        <v>3.5274532859294688E-2</v>
      </c>
      <c r="AA1464" s="230">
        <v>3.525105343153867E-2</v>
      </c>
    </row>
    <row r="1465" spans="19:27" x14ac:dyDescent="0.2">
      <c r="S1465" s="32"/>
      <c r="T1465" s="187"/>
      <c r="W1465" s="221" t="str">
        <f t="shared" si="31"/>
        <v>1w</v>
      </c>
      <c r="X1465" s="222">
        <f>_xll.qlCalendarAdvance(Calendar,X1464,W1465,"f",FALSE)</f>
        <v>49088</v>
      </c>
      <c r="Y1465" s="227">
        <f>_xll.qlCalendarAdvance(Calendar,X1465,NDays&amp;"D")</f>
        <v>49088</v>
      </c>
      <c r="Z1465" s="228">
        <v>3.5260876529617832E-2</v>
      </c>
      <c r="AA1465" s="230">
        <v>3.5237574313280451E-2</v>
      </c>
    </row>
    <row r="1466" spans="19:27" x14ac:dyDescent="0.2">
      <c r="S1466" s="32"/>
      <c r="T1466" s="187"/>
      <c r="W1466" s="221" t="str">
        <f t="shared" si="31"/>
        <v>1w</v>
      </c>
      <c r="X1466" s="222">
        <f>_xll.qlCalendarAdvance(Calendar,X1465,W1466,"f",FALSE)</f>
        <v>49095</v>
      </c>
      <c r="Y1466" s="227">
        <f>_xll.qlCalendarAdvance(Calendar,X1466,NDays&amp;"D")</f>
        <v>49095</v>
      </c>
      <c r="Z1466" s="228">
        <v>3.5245014286781805E-2</v>
      </c>
      <c r="AA1466" s="230">
        <v>3.5224036080594434E-2</v>
      </c>
    </row>
    <row r="1467" spans="19:27" x14ac:dyDescent="0.2">
      <c r="S1467" s="32"/>
      <c r="T1467" s="187"/>
      <c r="W1467" s="221" t="str">
        <f t="shared" si="31"/>
        <v>1w</v>
      </c>
      <c r="X1467" s="222">
        <f>_xll.qlCalendarAdvance(Calendar,X1466,W1467,"f",FALSE)</f>
        <v>49102</v>
      </c>
      <c r="Y1467" s="227">
        <f>_xll.qlCalendarAdvance(Calendar,X1467,NDays&amp;"D")</f>
        <v>49102</v>
      </c>
      <c r="Z1467" s="228">
        <v>3.5231268119553315E-2</v>
      </c>
      <c r="AA1467" s="230">
        <v>3.5210438733399574E-2</v>
      </c>
    </row>
    <row r="1468" spans="19:27" x14ac:dyDescent="0.2">
      <c r="S1468" s="32"/>
      <c r="T1468" s="187"/>
      <c r="W1468" s="221" t="str">
        <f t="shared" si="31"/>
        <v>1w</v>
      </c>
      <c r="X1468" s="222">
        <f>_xll.qlCalendarAdvance(Calendar,X1467,W1468,"f",FALSE)</f>
        <v>49109</v>
      </c>
      <c r="Y1468" s="227">
        <f>_xll.qlCalendarAdvance(Calendar,X1468,NDays&amp;"D")</f>
        <v>49109</v>
      </c>
      <c r="Z1468" s="228">
        <v>3.5217499071165934E-2</v>
      </c>
      <c r="AA1468" s="230">
        <v>3.5196782271776916E-2</v>
      </c>
    </row>
    <row r="1469" spans="19:27" x14ac:dyDescent="0.2">
      <c r="S1469" s="32"/>
      <c r="T1469" s="187"/>
      <c r="W1469" s="221" t="str">
        <f t="shared" si="31"/>
        <v>1w</v>
      </c>
      <c r="X1469" s="222">
        <f>_xll.qlCalendarAdvance(Calendar,X1468,W1469,"f",FALSE)</f>
        <v>49116</v>
      </c>
      <c r="Y1469" s="227">
        <f>_xll.qlCalendarAdvance(Calendar,X1469,NDays&amp;"D")</f>
        <v>49116</v>
      </c>
      <c r="Z1469" s="228">
        <v>3.5203732610237792E-2</v>
      </c>
      <c r="AA1469" s="230">
        <v>3.5183066695888554E-2</v>
      </c>
    </row>
    <row r="1470" spans="19:27" x14ac:dyDescent="0.2">
      <c r="S1470" s="32"/>
      <c r="T1470" s="187"/>
      <c r="W1470" s="221" t="str">
        <f t="shared" si="31"/>
        <v>1w</v>
      </c>
      <c r="X1470" s="222">
        <f>_xll.qlCalendarAdvance(Calendar,X1469,W1470,"f",FALSE)</f>
        <v>49123</v>
      </c>
      <c r="Y1470" s="227">
        <f>_xll.qlCalendarAdvance(Calendar,X1470,NDays&amp;"D")</f>
        <v>49123</v>
      </c>
      <c r="Z1470" s="228">
        <v>3.518999419291402E-2</v>
      </c>
      <c r="AA1470" s="230">
        <v>3.5169294597108269E-2</v>
      </c>
    </row>
    <row r="1471" spans="19:27" x14ac:dyDescent="0.2">
      <c r="S1471" s="32"/>
      <c r="T1471" s="187"/>
      <c r="W1471" s="221" t="str">
        <f t="shared" si="31"/>
        <v>1w</v>
      </c>
      <c r="X1471" s="222">
        <f>_xll.qlCalendarAdvance(Calendar,X1470,W1471,"f",FALSE)</f>
        <v>49130</v>
      </c>
      <c r="Y1471" s="227">
        <f>_xll.qlCalendarAdvance(Calendar,X1471,NDays&amp;"D")</f>
        <v>49130</v>
      </c>
      <c r="Z1471" s="228">
        <v>3.5178463508323154E-2</v>
      </c>
      <c r="AA1471" s="230">
        <v>3.5155538539737297E-2</v>
      </c>
    </row>
    <row r="1472" spans="19:27" x14ac:dyDescent="0.2">
      <c r="S1472" s="32"/>
      <c r="T1472" s="187"/>
      <c r="W1472" s="221" t="str">
        <f t="shared" si="31"/>
        <v>1w</v>
      </c>
      <c r="X1472" s="222">
        <f>_xll.qlCalendarAdvance(Calendar,X1471,W1472,"f",FALSE)</f>
        <v>49137</v>
      </c>
      <c r="Y1472" s="227">
        <f>_xll.qlCalendarAdvance(Calendar,X1472,NDays&amp;"D")</f>
        <v>49137</v>
      </c>
      <c r="Z1472" s="228">
        <v>3.5164828944902096E-2</v>
      </c>
      <c r="AA1472" s="230">
        <v>3.5141832214552471E-2</v>
      </c>
    </row>
    <row r="1473" spans="19:27" x14ac:dyDescent="0.2">
      <c r="S1473" s="32"/>
      <c r="T1473" s="187"/>
      <c r="W1473" s="221" t="str">
        <f t="shared" si="31"/>
        <v>1w</v>
      </c>
      <c r="X1473" s="222">
        <f>_xll.qlCalendarAdvance(Calendar,X1472,W1473,"f",FALSE)</f>
        <v>49144</v>
      </c>
      <c r="Y1473" s="227">
        <f>_xll.qlCalendarAdvance(Calendar,X1473,NDays&amp;"D")</f>
        <v>49144</v>
      </c>
      <c r="Z1473" s="228">
        <v>3.5151244283044093E-2</v>
      </c>
      <c r="AA1473" s="230">
        <v>3.5128175621310653E-2</v>
      </c>
    </row>
    <row r="1474" spans="19:27" x14ac:dyDescent="0.2">
      <c r="S1474" s="32"/>
      <c r="T1474" s="187"/>
      <c r="W1474" s="221" t="str">
        <f t="shared" si="31"/>
        <v>1w</v>
      </c>
      <c r="X1474" s="222">
        <f>_xll.qlCalendarAdvance(Calendar,X1473,W1474,"f",FALSE)</f>
        <v>49151</v>
      </c>
      <c r="Y1474" s="227">
        <f>_xll.qlCalendarAdvance(Calendar,X1474,NDays&amp;"D")</f>
        <v>49151</v>
      </c>
      <c r="Z1474" s="228">
        <v>3.5138436992227906E-2</v>
      </c>
      <c r="AA1474" s="230">
        <v>3.5114568760173936E-2</v>
      </c>
    </row>
    <row r="1475" spans="19:27" x14ac:dyDescent="0.2">
      <c r="S1475" s="32"/>
      <c r="T1475" s="187"/>
      <c r="W1475" s="221" t="str">
        <f t="shared" si="31"/>
        <v>1w</v>
      </c>
      <c r="X1475" s="222">
        <f>_xll.qlCalendarAdvance(Calendar,X1474,W1475,"f",FALSE)</f>
        <v>49158</v>
      </c>
      <c r="Y1475" s="227">
        <f>_xll.qlCalendarAdvance(Calendar,X1475,NDays&amp;"D")</f>
        <v>49158</v>
      </c>
      <c r="Z1475" s="228">
        <v>3.5124224663300098E-2</v>
      </c>
      <c r="AA1475" s="230">
        <v>3.510101163114232E-2</v>
      </c>
    </row>
    <row r="1476" spans="19:27" x14ac:dyDescent="0.2">
      <c r="S1476" s="32"/>
      <c r="T1476" s="187"/>
      <c r="W1476" s="221" t="str">
        <f t="shared" si="31"/>
        <v>1w</v>
      </c>
      <c r="X1476" s="222">
        <f>_xll.qlCalendarAdvance(Calendar,X1475,W1476,"f",FALSE)</f>
        <v>49165</v>
      </c>
      <c r="Y1476" s="227">
        <f>_xll.qlCalendarAdvance(Calendar,X1476,NDays&amp;"D")</f>
        <v>49165</v>
      </c>
      <c r="Z1476" s="228">
        <v>3.5110789705043256E-2</v>
      </c>
      <c r="AA1476" s="230">
        <v>3.5087504234296851E-2</v>
      </c>
    </row>
    <row r="1477" spans="19:27" x14ac:dyDescent="0.2">
      <c r="S1477" s="32"/>
      <c r="T1477" s="187"/>
      <c r="W1477" s="221" t="str">
        <f t="shared" si="31"/>
        <v>1w</v>
      </c>
      <c r="X1477" s="222">
        <f>_xll.qlCalendarAdvance(Calendar,X1476,W1477,"f",FALSE)</f>
        <v>49172</v>
      </c>
      <c r="Y1477" s="227">
        <f>_xll.qlCalendarAdvance(Calendar,X1477,NDays&amp;"D")</f>
        <v>49172</v>
      </c>
      <c r="Z1477" s="228">
        <v>3.5097404647629872E-2</v>
      </c>
      <c r="AA1477" s="230">
        <v>3.5074046569313344E-2</v>
      </c>
    </row>
    <row r="1478" spans="19:27" x14ac:dyDescent="0.2">
      <c r="S1478" s="32"/>
      <c r="T1478" s="187"/>
      <c r="W1478" s="221" t="str">
        <f t="shared" si="31"/>
        <v>1w</v>
      </c>
      <c r="X1478" s="222">
        <f>_xll.qlCalendarAdvance(Calendar,X1477,W1478,"f",FALSE)</f>
        <v>49179</v>
      </c>
      <c r="Y1478" s="227">
        <f>_xll.qlCalendarAdvance(Calendar,X1478,NDays&amp;"D")</f>
        <v>49179</v>
      </c>
      <c r="Z1478" s="228">
        <v>3.5084069490868383E-2</v>
      </c>
      <c r="AA1478" s="230">
        <v>3.5060638636515984E-2</v>
      </c>
    </row>
    <row r="1479" spans="19:27" x14ac:dyDescent="0.2">
      <c r="S1479" s="32"/>
      <c r="T1479" s="187"/>
      <c r="W1479" s="221" t="str">
        <f t="shared" si="31"/>
        <v>1w</v>
      </c>
      <c r="X1479" s="222">
        <f>_xll.qlCalendarAdvance(Calendar,X1478,W1479,"f",FALSE)</f>
        <v>49186</v>
      </c>
      <c r="Y1479" s="227">
        <f>_xll.qlCalendarAdvance(Calendar,X1479,NDays&amp;"D")</f>
        <v>49186</v>
      </c>
      <c r="Z1479" s="228">
        <v>3.5068569230218581E-2</v>
      </c>
      <c r="AA1479" s="230">
        <v>3.5047280435661632E-2</v>
      </c>
    </row>
    <row r="1480" spans="19:27" x14ac:dyDescent="0.2">
      <c r="S1480" s="32"/>
      <c r="T1480" s="187"/>
      <c r="W1480" s="221" t="str">
        <f t="shared" si="31"/>
        <v>1w</v>
      </c>
      <c r="X1480" s="222">
        <f>_xll.qlCalendarAdvance(Calendar,X1479,W1480,"f",FALSE)</f>
        <v>49193</v>
      </c>
      <c r="Y1480" s="227">
        <f>_xll.qlCalendarAdvance(Calendar,X1480,NDays&amp;"D")</f>
        <v>49193</v>
      </c>
      <c r="Z1480" s="228">
        <v>3.5055326992552135E-2</v>
      </c>
      <c r="AA1480" s="230">
        <v>3.5033971966831334E-2</v>
      </c>
    </row>
    <row r="1481" spans="19:27" x14ac:dyDescent="0.2">
      <c r="S1481" s="32"/>
      <c r="T1481" s="187"/>
      <c r="W1481" s="221" t="str">
        <f t="shared" si="31"/>
        <v>1w</v>
      </c>
      <c r="X1481" s="222">
        <f>_xll.qlCalendarAdvance(Calendar,X1480,W1481,"f",FALSE)</f>
        <v>49200</v>
      </c>
      <c r="Y1481" s="227">
        <f>_xll.qlCalendarAdvance(Calendar,X1481,NDays&amp;"D")</f>
        <v>49200</v>
      </c>
      <c r="Z1481" s="228">
        <v>3.5042134639255137E-2</v>
      </c>
      <c r="AA1481" s="230">
        <v>3.5020713230187184E-2</v>
      </c>
    </row>
    <row r="1482" spans="19:27" x14ac:dyDescent="0.2">
      <c r="S1482" s="32"/>
      <c r="T1482" s="187"/>
      <c r="W1482" s="221" t="str">
        <f t="shared" si="31"/>
        <v>1w</v>
      </c>
      <c r="X1482" s="222">
        <f>_xll.qlCalendarAdvance(Calendar,X1481,W1482,"f",FALSE)</f>
        <v>49207</v>
      </c>
      <c r="Y1482" s="227">
        <f>_xll.qlCalendarAdvance(Calendar,X1482,NDays&amp;"D")</f>
        <v>49207</v>
      </c>
      <c r="Z1482" s="228">
        <v>3.5028992170165495E-2</v>
      </c>
      <c r="AA1482" s="230">
        <v>3.5007504225404995E-2</v>
      </c>
    </row>
    <row r="1483" spans="19:27" x14ac:dyDescent="0.2">
      <c r="S1483" s="32"/>
      <c r="T1483" s="187"/>
      <c r="W1483" s="221" t="str">
        <f t="shared" si="31"/>
        <v>1w</v>
      </c>
      <c r="X1483" s="222">
        <f>_xll.qlCalendarAdvance(Calendar,X1482,W1483,"f",FALSE)</f>
        <v>49214</v>
      </c>
      <c r="Y1483" s="227">
        <f>_xll.qlCalendarAdvance(Calendar,X1483,NDays&amp;"D")</f>
        <v>49214</v>
      </c>
      <c r="Z1483" s="228">
        <v>3.501589958512652E-2</v>
      </c>
      <c r="AA1483" s="230">
        <v>3.4994344952727907E-2</v>
      </c>
    </row>
    <row r="1484" spans="19:27" x14ac:dyDescent="0.2">
      <c r="S1484" s="32"/>
      <c r="T1484" s="187"/>
      <c r="W1484" s="221" t="str">
        <f t="shared" si="31"/>
        <v>1w</v>
      </c>
      <c r="X1484" s="222">
        <f>_xll.qlCalendarAdvance(Calendar,X1483,W1484,"f",FALSE)</f>
        <v>49221</v>
      </c>
      <c r="Y1484" s="227">
        <f>_xll.qlCalendarAdvance(Calendar,X1484,NDays&amp;"D")</f>
        <v>49221</v>
      </c>
      <c r="Z1484" s="228">
        <v>3.5005106454079463E-2</v>
      </c>
      <c r="AA1484" s="230">
        <v>3.4981235412074874E-2</v>
      </c>
    </row>
    <row r="1485" spans="19:27" x14ac:dyDescent="0.2">
      <c r="S1485" s="32"/>
      <c r="T1485" s="187"/>
      <c r="W1485" s="221" t="str">
        <f t="shared" si="31"/>
        <v>1w</v>
      </c>
      <c r="X1485" s="222">
        <f>_xll.qlCalendarAdvance(Calendar,X1484,W1485,"f",FALSE)</f>
        <v>49228</v>
      </c>
      <c r="Y1485" s="227">
        <f>_xll.qlCalendarAdvance(Calendar,X1485,NDays&amp;"D")</f>
        <v>49228</v>
      </c>
      <c r="Z1485" s="228">
        <v>3.4992120596922666E-2</v>
      </c>
      <c r="AA1485" s="230">
        <v>3.4968175603445895E-2</v>
      </c>
    </row>
    <row r="1486" spans="19:27" x14ac:dyDescent="0.2">
      <c r="S1486" s="32"/>
      <c r="T1486" s="187"/>
      <c r="W1486" s="221" t="str">
        <f t="shared" si="31"/>
        <v>1w</v>
      </c>
      <c r="X1486" s="222">
        <f>_xll.qlCalendarAdvance(Calendar,X1485,W1486,"f",FALSE)</f>
        <v>49235</v>
      </c>
      <c r="Y1486" s="227">
        <f>_xll.qlCalendarAdvance(Calendar,X1486,NDays&amp;"D")</f>
        <v>49235</v>
      </c>
      <c r="Z1486" s="228">
        <v>3.4979184638998233E-2</v>
      </c>
      <c r="AA1486" s="230">
        <v>3.4955165526678877E-2</v>
      </c>
    </row>
    <row r="1487" spans="19:27" x14ac:dyDescent="0.2">
      <c r="S1487" s="32"/>
      <c r="T1487" s="187"/>
      <c r="W1487" s="221" t="str">
        <f t="shared" si="31"/>
        <v>1w</v>
      </c>
      <c r="X1487" s="222">
        <f>_xll.qlCalendarAdvance(Calendar,X1486,W1487,"f",FALSE)</f>
        <v>49242</v>
      </c>
      <c r="Y1487" s="227">
        <f>_xll.qlCalendarAdvance(Calendar,X1487,NDays&amp;"D")</f>
        <v>49242</v>
      </c>
      <c r="Z1487" s="228">
        <v>3.4966298580139145E-2</v>
      </c>
      <c r="AA1487" s="230">
        <v>3.4942205182179054E-2</v>
      </c>
    </row>
    <row r="1488" spans="19:27" x14ac:dyDescent="0.2">
      <c r="S1488" s="32"/>
      <c r="T1488" s="187"/>
      <c r="W1488" s="221" t="str">
        <f t="shared" si="31"/>
        <v>1w</v>
      </c>
      <c r="X1488" s="222">
        <f>_xll.qlCalendarAdvance(Calendar,X1487,W1488,"f",FALSE)</f>
        <v>49249</v>
      </c>
      <c r="Y1488" s="227">
        <f>_xll.qlCalendarAdvance(Calendar,X1488,NDays&amp;"D")</f>
        <v>49249</v>
      </c>
      <c r="Z1488" s="228">
        <v>3.4951184915053557E-2</v>
      </c>
      <c r="AA1488" s="230">
        <v>3.4929294569541192E-2</v>
      </c>
    </row>
    <row r="1489" spans="19:27" x14ac:dyDescent="0.2">
      <c r="S1489" s="32"/>
      <c r="T1489" s="187"/>
      <c r="W1489" s="221" t="str">
        <f t="shared" si="31"/>
        <v>1w</v>
      </c>
      <c r="X1489" s="222">
        <f>_xll.qlCalendarAdvance(Calendar,X1488,W1489,"f",FALSE)</f>
        <v>49256</v>
      </c>
      <c r="Y1489" s="227">
        <f>_xll.qlCalendarAdvance(Calendar,X1489,NDays&amp;"D")</f>
        <v>49256</v>
      </c>
      <c r="Z1489" s="228">
        <v>3.4938391630949771E-2</v>
      </c>
      <c r="AA1489" s="230">
        <v>3.4916433688765292E-2</v>
      </c>
    </row>
    <row r="1490" spans="19:27" x14ac:dyDescent="0.2">
      <c r="S1490" s="32"/>
      <c r="T1490" s="187"/>
      <c r="W1490" s="221" t="str">
        <f t="shared" si="31"/>
        <v>1w</v>
      </c>
      <c r="X1490" s="222">
        <f>_xll.qlCalendarAdvance(Calendar,X1489,W1490,"f",FALSE)</f>
        <v>49263</v>
      </c>
      <c r="Y1490" s="227">
        <f>_xll.qlCalendarAdvance(Calendar,X1490,NDays&amp;"D")</f>
        <v>49263</v>
      </c>
      <c r="Z1490" s="228">
        <v>3.4925648229789018E-2</v>
      </c>
      <c r="AA1490" s="230">
        <v>3.4903622540175538E-2</v>
      </c>
    </row>
    <row r="1491" spans="19:27" x14ac:dyDescent="0.2">
      <c r="S1491" s="32"/>
      <c r="T1491" s="187"/>
      <c r="W1491" s="221" t="str">
        <f t="shared" si="31"/>
        <v>1w</v>
      </c>
      <c r="X1491" s="222">
        <f>_xll.qlCalendarAdvance(Calendar,X1490,W1491,"f",FALSE)</f>
        <v>49270</v>
      </c>
      <c r="Y1491" s="227">
        <f>_xll.qlCalendarAdvance(Calendar,X1491,NDays&amp;"D")</f>
        <v>49270</v>
      </c>
      <c r="Z1491" s="228">
        <v>3.4912954711403807E-2</v>
      </c>
      <c r="AA1491" s="230">
        <v>3.4890861123366701E-2</v>
      </c>
    </row>
    <row r="1492" spans="19:27" x14ac:dyDescent="0.2">
      <c r="S1492" s="32"/>
      <c r="T1492" s="187"/>
      <c r="W1492" s="221" t="str">
        <f t="shared" si="31"/>
        <v>1w</v>
      </c>
      <c r="X1492" s="222">
        <f>_xll.qlCalendarAdvance(Calendar,X1491,W1492,"f",FALSE)</f>
        <v>49277</v>
      </c>
      <c r="Y1492" s="227">
        <f>_xll.qlCalendarAdvance(Calendar,X1492,NDays&amp;"D")</f>
        <v>49277</v>
      </c>
      <c r="Z1492" s="228">
        <v>3.4900311075645549E-2</v>
      </c>
      <c r="AA1492" s="230">
        <v>3.4878149438662964E-2</v>
      </c>
    </row>
    <row r="1493" spans="19:27" x14ac:dyDescent="0.2">
      <c r="S1493" s="32"/>
      <c r="T1493" s="187"/>
      <c r="W1493" s="221" t="str">
        <f t="shared" ref="W1493:W1556" si="32">W1492</f>
        <v>1w</v>
      </c>
      <c r="X1493" s="222">
        <f>_xll.qlCalendarAdvance(Calendar,X1492,W1493,"f",FALSE)</f>
        <v>49284</v>
      </c>
      <c r="Y1493" s="227">
        <f>_xll.qlCalendarAdvance(Calendar,X1493,NDays&amp;"D")</f>
        <v>49284</v>
      </c>
      <c r="Z1493" s="228">
        <v>3.4890030097592138E-2</v>
      </c>
      <c r="AA1493" s="230">
        <v>3.4865487485983282E-2</v>
      </c>
    </row>
    <row r="1494" spans="19:27" x14ac:dyDescent="0.2">
      <c r="S1494" s="32"/>
      <c r="T1494" s="187"/>
      <c r="W1494" s="221" t="str">
        <f t="shared" si="32"/>
        <v>1w</v>
      </c>
      <c r="X1494" s="222">
        <f>_xll.qlCalendarAdvance(Calendar,X1493,W1494,"f",FALSE)</f>
        <v>49291</v>
      </c>
      <c r="Y1494" s="227">
        <f>_xll.qlCalendarAdvance(Calendar,X1494,NDays&amp;"D")</f>
        <v>49291</v>
      </c>
      <c r="Z1494" s="228">
        <v>3.4877493327337555E-2</v>
      </c>
      <c r="AA1494" s="230">
        <v>3.4852875265165562E-2</v>
      </c>
    </row>
    <row r="1495" spans="19:27" x14ac:dyDescent="0.2">
      <c r="S1495" s="32"/>
      <c r="T1495" s="187"/>
      <c r="W1495" s="221" t="str">
        <f t="shared" si="32"/>
        <v>1w</v>
      </c>
      <c r="X1495" s="222">
        <f>_xll.qlCalendarAdvance(Calendar,X1494,W1495,"f",FALSE)</f>
        <v>49298</v>
      </c>
      <c r="Y1495" s="227">
        <f>_xll.qlCalendarAdvance(Calendar,X1495,NDays&amp;"D")</f>
        <v>49298</v>
      </c>
      <c r="Z1495" s="228">
        <v>3.4865006454777907E-2</v>
      </c>
      <c r="AA1495" s="230">
        <v>3.4840312776371896E-2</v>
      </c>
    </row>
    <row r="1496" spans="19:27" x14ac:dyDescent="0.2">
      <c r="S1496" s="32"/>
      <c r="T1496" s="187"/>
      <c r="W1496" s="221" t="str">
        <f t="shared" si="32"/>
        <v>1w</v>
      </c>
      <c r="X1496" s="222">
        <f>_xll.qlCalendarAdvance(Calendar,X1495,W1496,"f",FALSE)</f>
        <v>49305</v>
      </c>
      <c r="Y1496" s="227">
        <f>_xll.qlCalendarAdvance(Calendar,X1496,NDays&amp;"D")</f>
        <v>49305</v>
      </c>
      <c r="Z1496" s="228">
        <v>3.4852569479733905E-2</v>
      </c>
      <c r="AA1496" s="230">
        <v>3.4827800019440192E-2</v>
      </c>
    </row>
    <row r="1497" spans="19:27" x14ac:dyDescent="0.2">
      <c r="S1497" s="32"/>
      <c r="T1497" s="187"/>
      <c r="W1497" s="221" t="str">
        <f t="shared" si="32"/>
        <v>1w</v>
      </c>
      <c r="X1497" s="222">
        <f>_xll.qlCalendarAdvance(Calendar,X1496,W1497,"f",FALSE)</f>
        <v>49312</v>
      </c>
      <c r="Y1497" s="227">
        <f>_xll.qlCalendarAdvance(Calendar,X1497,NDays&amp;"D")</f>
        <v>49312</v>
      </c>
      <c r="Z1497" s="228">
        <v>3.4840182402048371E-2</v>
      </c>
      <c r="AA1497" s="230">
        <v>3.4815336994451496E-2</v>
      </c>
    </row>
    <row r="1498" spans="19:27" x14ac:dyDescent="0.2">
      <c r="S1498" s="32"/>
      <c r="T1498" s="187"/>
      <c r="W1498" s="221" t="str">
        <f t="shared" si="32"/>
        <v>1w</v>
      </c>
      <c r="X1498" s="222">
        <f>_xll.qlCalendarAdvance(Calendar,X1497,W1498,"f",FALSE)</f>
        <v>49319</v>
      </c>
      <c r="Y1498" s="227">
        <f>_xll.qlCalendarAdvance(Calendar,X1498,NDays&amp;"D")</f>
        <v>49319</v>
      </c>
      <c r="Z1498" s="228">
        <v>3.482784522154693E-2</v>
      </c>
      <c r="AA1498" s="230">
        <v>3.4802923701648947E-2</v>
      </c>
    </row>
    <row r="1499" spans="19:27" x14ac:dyDescent="0.2">
      <c r="S1499" s="32"/>
      <c r="T1499" s="187"/>
      <c r="W1499" s="221" t="str">
        <f t="shared" si="32"/>
        <v>1w</v>
      </c>
      <c r="X1499" s="222">
        <f>_xll.qlCalendarAdvance(Calendar,X1498,W1499,"f",FALSE)</f>
        <v>49326</v>
      </c>
      <c r="Y1499" s="227">
        <f>_xll.qlCalendarAdvance(Calendar,X1499,NDays&amp;"D")</f>
        <v>49326</v>
      </c>
      <c r="Z1499" s="228">
        <v>3.4815557938072401E-2</v>
      </c>
      <c r="AA1499" s="230">
        <v>3.4790560140627314E-2</v>
      </c>
    </row>
    <row r="1500" spans="19:27" x14ac:dyDescent="0.2">
      <c r="S1500" s="32"/>
      <c r="T1500" s="187"/>
      <c r="W1500" s="221" t="str">
        <f t="shared" si="32"/>
        <v>1w</v>
      </c>
      <c r="X1500" s="222">
        <f>_xll.qlCalendarAdvance(Calendar,X1499,W1500,"f",FALSE)</f>
        <v>49333</v>
      </c>
      <c r="Y1500" s="227">
        <f>_xll.qlCalendarAdvance(Calendar,X1500,NDays&amp;"D")</f>
        <v>49333</v>
      </c>
      <c r="Z1500" s="228">
        <v>3.4803320551445506E-2</v>
      </c>
      <c r="AA1500" s="230">
        <v>3.4778246311467642E-2</v>
      </c>
    </row>
    <row r="1501" spans="19:27" x14ac:dyDescent="0.2">
      <c r="S1501" s="32"/>
      <c r="T1501" s="187"/>
      <c r="W1501" s="221" t="str">
        <f t="shared" si="32"/>
        <v>1w</v>
      </c>
      <c r="X1501" s="222">
        <f>_xll.qlCalendarAdvance(Calendar,X1500,W1501,"f",FALSE)</f>
        <v>49340</v>
      </c>
      <c r="Y1501" s="227">
        <f>_xll.qlCalendarAdvance(Calendar,X1501,NDays&amp;"D")</f>
        <v>49340</v>
      </c>
      <c r="Z1501" s="228">
        <v>3.4787184433968783E-2</v>
      </c>
      <c r="AA1501" s="230">
        <v>3.4765982214332025E-2</v>
      </c>
    </row>
    <row r="1502" spans="19:27" x14ac:dyDescent="0.2">
      <c r="S1502" s="32"/>
      <c r="T1502" s="187"/>
      <c r="W1502" s="221" t="str">
        <f t="shared" si="32"/>
        <v>1w</v>
      </c>
      <c r="X1502" s="222">
        <f>_xll.qlCalendarAdvance(Calendar,X1501,W1502,"f",FALSE)</f>
        <v>49347</v>
      </c>
      <c r="Y1502" s="227">
        <f>_xll.qlCalendarAdvance(Calendar,X1502,NDays&amp;"D")</f>
        <v>49347</v>
      </c>
      <c r="Z1502" s="228">
        <v>3.4775034802808358E-2</v>
      </c>
      <c r="AA1502" s="230">
        <v>3.475376784905837E-2</v>
      </c>
    </row>
    <row r="1503" spans="19:27" x14ac:dyDescent="0.2">
      <c r="S1503" s="32"/>
      <c r="T1503" s="187"/>
      <c r="W1503" s="221" t="str">
        <f t="shared" si="32"/>
        <v>1w</v>
      </c>
      <c r="X1503" s="222">
        <f>_xll.qlCalendarAdvance(Calendar,X1502,W1503,"f",FALSE)</f>
        <v>49354</v>
      </c>
      <c r="Y1503" s="227">
        <f>_xll.qlCalendarAdvance(Calendar,X1503,NDays&amp;"D")</f>
        <v>49354</v>
      </c>
      <c r="Z1503" s="228">
        <v>3.4762935042324805E-2</v>
      </c>
      <c r="AA1503" s="230">
        <v>3.4741603215727723E-2</v>
      </c>
    </row>
    <row r="1504" spans="19:27" x14ac:dyDescent="0.2">
      <c r="S1504" s="32"/>
      <c r="T1504" s="187"/>
      <c r="W1504" s="221" t="str">
        <f t="shared" si="32"/>
        <v>1w</v>
      </c>
      <c r="X1504" s="222">
        <f>_xll.qlCalendarAdvance(Calendar,X1503,W1504,"f",FALSE)</f>
        <v>49361</v>
      </c>
      <c r="Y1504" s="227">
        <f>_xll.qlCalendarAdvance(Calendar,X1504,NDays&amp;"D")</f>
        <v>49361</v>
      </c>
      <c r="Z1504" s="228">
        <v>3.4750885152384975E-2</v>
      </c>
      <c r="AA1504" s="230">
        <v>3.4729488314259038E-2</v>
      </c>
    </row>
    <row r="1505" spans="19:27" x14ac:dyDescent="0.2">
      <c r="S1505" s="32"/>
      <c r="T1505" s="187"/>
      <c r="W1505" s="221" t="str">
        <f t="shared" si="32"/>
        <v>1w</v>
      </c>
      <c r="X1505" s="222">
        <f>_xll.qlCalendarAdvance(Calendar,X1504,W1505,"f",FALSE)</f>
        <v>49368</v>
      </c>
      <c r="Y1505" s="227">
        <f>_xll.qlCalendarAdvance(Calendar,X1505,NDays&amp;"D")</f>
        <v>49368</v>
      </c>
      <c r="Z1505" s="228">
        <v>3.4740483059962989E-2</v>
      </c>
      <c r="AA1505" s="230">
        <v>3.4717423144814408E-2</v>
      </c>
    </row>
    <row r="1506" spans="19:27" x14ac:dyDescent="0.2">
      <c r="S1506" s="32"/>
      <c r="T1506" s="187"/>
      <c r="W1506" s="221" t="str">
        <f t="shared" si="32"/>
        <v>1w</v>
      </c>
      <c r="X1506" s="222">
        <f>_xll.qlCalendarAdvance(Calendar,X1505,W1506,"f",FALSE)</f>
        <v>49375</v>
      </c>
      <c r="Y1506" s="227">
        <f>_xll.qlCalendarAdvance(Calendar,X1506,NDays&amp;"D")</f>
        <v>49375</v>
      </c>
      <c r="Z1506" s="228">
        <v>3.4730944056468573E-2</v>
      </c>
      <c r="AA1506" s="230">
        <v>3.4705407707150693E-2</v>
      </c>
    </row>
    <row r="1507" spans="19:27" x14ac:dyDescent="0.2">
      <c r="S1507" s="32"/>
      <c r="T1507" s="187"/>
      <c r="W1507" s="221" t="str">
        <f t="shared" si="32"/>
        <v>1w</v>
      </c>
      <c r="X1507" s="222">
        <f>_xll.qlCalendarAdvance(Calendar,X1506,W1507,"f",FALSE)</f>
        <v>49382</v>
      </c>
      <c r="Y1507" s="227">
        <f>_xll.qlCalendarAdvance(Calendar,X1507,NDays&amp;"D")</f>
        <v>49382</v>
      </c>
      <c r="Z1507" s="228">
        <v>3.4719055943243864E-2</v>
      </c>
      <c r="AA1507" s="230">
        <v>3.4693442001429986E-2</v>
      </c>
    </row>
    <row r="1508" spans="19:27" x14ac:dyDescent="0.2">
      <c r="S1508" s="32"/>
      <c r="T1508" s="187"/>
      <c r="W1508" s="221" t="str">
        <f t="shared" si="32"/>
        <v>1w</v>
      </c>
      <c r="X1508" s="222">
        <f>_xll.qlCalendarAdvance(Calendar,X1507,W1508,"f",FALSE)</f>
        <v>49389</v>
      </c>
      <c r="Y1508" s="227">
        <f>_xll.qlCalendarAdvance(Calendar,X1508,NDays&amp;"D")</f>
        <v>49389</v>
      </c>
      <c r="Z1508" s="228">
        <v>3.4707217725577416E-2</v>
      </c>
      <c r="AA1508" s="230">
        <v>3.4681526027733334E-2</v>
      </c>
    </row>
    <row r="1509" spans="19:27" x14ac:dyDescent="0.2">
      <c r="S1509" s="32"/>
      <c r="T1509" s="187"/>
      <c r="W1509" s="221" t="str">
        <f t="shared" si="32"/>
        <v>1w</v>
      </c>
      <c r="X1509" s="222">
        <f>_xll.qlCalendarAdvance(Calendar,X1508,W1509,"f",FALSE)</f>
        <v>49396</v>
      </c>
      <c r="Y1509" s="227">
        <f>_xll.qlCalendarAdvance(Calendar,X1509,NDays&amp;"D")</f>
        <v>49396</v>
      </c>
      <c r="Z1509" s="228">
        <v>3.4695429403299761E-2</v>
      </c>
      <c r="AA1509" s="230">
        <v>3.4669659785736551E-2</v>
      </c>
    </row>
    <row r="1510" spans="19:27" x14ac:dyDescent="0.2">
      <c r="S1510" s="32"/>
      <c r="T1510" s="187"/>
      <c r="W1510" s="221" t="str">
        <f t="shared" si="32"/>
        <v>1w</v>
      </c>
      <c r="X1510" s="222">
        <f>_xll.qlCalendarAdvance(Calendar,X1509,W1510,"f",FALSE)</f>
        <v>49403</v>
      </c>
      <c r="Y1510" s="227">
        <f>_xll.qlCalendarAdvance(Calendar,X1510,NDays&amp;"D")</f>
        <v>49403</v>
      </c>
      <c r="Z1510" s="228">
        <v>3.4681255387105279E-2</v>
      </c>
      <c r="AA1510" s="230">
        <v>3.4657843275844868E-2</v>
      </c>
    </row>
    <row r="1511" spans="19:27" x14ac:dyDescent="0.2">
      <c r="S1511" s="32"/>
      <c r="T1511" s="187"/>
      <c r="W1511" s="221" t="str">
        <f t="shared" si="32"/>
        <v>1w</v>
      </c>
      <c r="X1511" s="222">
        <f>_xll.qlCalendarAdvance(Calendar,X1510,W1511,"f",FALSE)</f>
        <v>49410</v>
      </c>
      <c r="Y1511" s="227">
        <f>_xll.qlCalendarAdvance(Calendar,X1511,NDays&amp;"D")</f>
        <v>49410</v>
      </c>
      <c r="Z1511" s="228">
        <v>3.4669559492460721E-2</v>
      </c>
      <c r="AA1511" s="230">
        <v>3.4646076497572009E-2</v>
      </c>
    </row>
    <row r="1512" spans="19:27" x14ac:dyDescent="0.2">
      <c r="S1512" s="32"/>
      <c r="T1512" s="187"/>
      <c r="W1512" s="221" t="str">
        <f t="shared" si="32"/>
        <v>1w</v>
      </c>
      <c r="X1512" s="222">
        <f>_xll.qlCalendarAdvance(Calendar,X1511,W1512,"f",FALSE)</f>
        <v>49417</v>
      </c>
      <c r="Y1512" s="227">
        <f>_xll.qlCalendarAdvance(Calendar,X1512,NDays&amp;"D")</f>
        <v>49417</v>
      </c>
      <c r="Z1512" s="228">
        <v>3.4657913477460611E-2</v>
      </c>
      <c r="AA1512" s="230">
        <v>3.4634359451323204E-2</v>
      </c>
    </row>
    <row r="1513" spans="19:27" x14ac:dyDescent="0.2">
      <c r="S1513" s="32"/>
      <c r="T1513" s="187"/>
      <c r="W1513" s="221" t="str">
        <f t="shared" si="32"/>
        <v>1w</v>
      </c>
      <c r="X1513" s="222">
        <f>_xll.qlCalendarAdvance(Calendar,X1512,W1513,"f",FALSE)</f>
        <v>49424</v>
      </c>
      <c r="Y1513" s="227">
        <f>_xll.qlCalendarAdvance(Calendar,X1513,NDays&amp;"D")</f>
        <v>49424</v>
      </c>
      <c r="Z1513" s="228">
        <v>3.4646317341956376E-2</v>
      </c>
      <c r="AA1513" s="230">
        <v>3.4622692136855315E-2</v>
      </c>
    </row>
    <row r="1514" spans="19:27" x14ac:dyDescent="0.2">
      <c r="S1514" s="32"/>
      <c r="T1514" s="187"/>
      <c r="W1514" s="221" t="str">
        <f t="shared" si="32"/>
        <v>1w</v>
      </c>
      <c r="X1514" s="222">
        <f>_xll.qlCalendarAdvance(Calendar,X1513,W1514,"f",FALSE)</f>
        <v>49431</v>
      </c>
      <c r="Y1514" s="227">
        <f>_xll.qlCalendarAdvance(Calendar,X1514,NDays&amp;"D")</f>
        <v>49431</v>
      </c>
      <c r="Z1514" s="228">
        <v>3.4637236217293692E-2</v>
      </c>
      <c r="AA1514" s="230">
        <v>3.4611074554492527E-2</v>
      </c>
    </row>
    <row r="1515" spans="19:27" x14ac:dyDescent="0.2">
      <c r="S1515" s="32"/>
      <c r="T1515" s="187"/>
      <c r="W1515" s="221" t="str">
        <f t="shared" si="32"/>
        <v>1w</v>
      </c>
      <c r="X1515" s="222">
        <f>_xll.qlCalendarAdvance(Calendar,X1514,W1515,"f",FALSE)</f>
        <v>49438</v>
      </c>
      <c r="Y1515" s="227">
        <f>_xll.qlCalendarAdvance(Calendar,X1515,NDays&amp;"D")</f>
        <v>49438</v>
      </c>
      <c r="Z1515" s="228">
        <v>3.4625747264067676E-2</v>
      </c>
      <c r="AA1515" s="230">
        <v>3.4599506703748562E-2</v>
      </c>
    </row>
    <row r="1516" spans="19:27" x14ac:dyDescent="0.2">
      <c r="S1516" s="32"/>
      <c r="T1516" s="187"/>
      <c r="W1516" s="221" t="str">
        <f t="shared" si="32"/>
        <v>1w</v>
      </c>
      <c r="X1516" s="222">
        <f>_xll.qlCalendarAdvance(Calendar,X1515,W1516,"f",FALSE)</f>
        <v>49445</v>
      </c>
      <c r="Y1516" s="227">
        <f>_xll.qlCalendarAdvance(Calendar,X1516,NDays&amp;"D")</f>
        <v>49445</v>
      </c>
      <c r="Z1516" s="228">
        <v>3.4614308205130187E-2</v>
      </c>
      <c r="AA1516" s="230">
        <v>3.4587988584866558E-2</v>
      </c>
    </row>
    <row r="1517" spans="19:27" x14ac:dyDescent="0.2">
      <c r="S1517" s="32"/>
      <c r="T1517" s="187"/>
      <c r="W1517" s="221" t="str">
        <f t="shared" si="32"/>
        <v>1w</v>
      </c>
      <c r="X1517" s="222">
        <f>_xll.qlCalendarAdvance(Calendar,X1516,W1517,"f",FALSE)</f>
        <v>49452</v>
      </c>
      <c r="Y1517" s="227">
        <f>_xll.qlCalendarAdvance(Calendar,X1517,NDays&amp;"D")</f>
        <v>49452</v>
      </c>
      <c r="Z1517" s="228">
        <v>3.4602919040341247E-2</v>
      </c>
      <c r="AA1517" s="230">
        <v>3.4576520197927563E-2</v>
      </c>
    </row>
    <row r="1518" spans="19:27" x14ac:dyDescent="0.2">
      <c r="S1518" s="32"/>
      <c r="T1518" s="187"/>
      <c r="W1518" s="221" t="str">
        <f t="shared" si="32"/>
        <v>1w</v>
      </c>
      <c r="X1518" s="222">
        <f>_xll.qlCalendarAdvance(Calendar,X1517,W1518,"f",FALSE)</f>
        <v>49459</v>
      </c>
      <c r="Y1518" s="227">
        <f>_xll.qlCalendarAdvance(Calendar,X1518,NDays&amp;"D")</f>
        <v>49459</v>
      </c>
      <c r="Z1518" s="228">
        <v>3.4589084851948268E-2</v>
      </c>
      <c r="AA1518" s="230">
        <v>3.4565101542850529E-2</v>
      </c>
    </row>
    <row r="1519" spans="19:27" x14ac:dyDescent="0.2">
      <c r="S1519" s="32"/>
      <c r="T1519" s="187"/>
      <c r="W1519" s="221" t="str">
        <f t="shared" si="32"/>
        <v>1w</v>
      </c>
      <c r="X1519" s="222">
        <f>_xll.qlCalendarAdvance(Calendar,X1518,W1519,"f",FALSE)</f>
        <v>49466</v>
      </c>
      <c r="Y1519" s="227">
        <f>_xll.qlCalendarAdvance(Calendar,X1519,NDays&amp;"D")</f>
        <v>49466</v>
      </c>
      <c r="Z1519" s="228">
        <v>3.4577787990466444E-2</v>
      </c>
      <c r="AA1519" s="230">
        <v>3.4553732619554411E-2</v>
      </c>
    </row>
    <row r="1520" spans="19:27" x14ac:dyDescent="0.2">
      <c r="S1520" s="32"/>
      <c r="T1520" s="187"/>
      <c r="W1520" s="221" t="str">
        <f t="shared" si="32"/>
        <v>1w</v>
      </c>
      <c r="X1520" s="222">
        <f>_xll.qlCalendarAdvance(Calendar,X1519,W1520,"f",FALSE)</f>
        <v>49473</v>
      </c>
      <c r="Y1520" s="227">
        <f>_xll.qlCalendarAdvance(Calendar,X1520,NDays&amp;"D")</f>
        <v>49473</v>
      </c>
      <c r="Z1520" s="228">
        <v>3.4566541007502526E-2</v>
      </c>
      <c r="AA1520" s="230">
        <v>3.4542413428201302E-2</v>
      </c>
    </row>
    <row r="1521" spans="19:27" x14ac:dyDescent="0.2">
      <c r="S1521" s="32"/>
      <c r="T1521" s="187"/>
      <c r="W1521" s="221" t="str">
        <f t="shared" si="32"/>
        <v>1w</v>
      </c>
      <c r="X1521" s="222">
        <f>_xll.qlCalendarAdvance(Calendar,X1520,W1521,"f",FALSE)</f>
        <v>49480</v>
      </c>
      <c r="Y1521" s="227">
        <f>_xll.qlCalendarAdvance(Calendar,X1521,NDays&amp;"D")</f>
        <v>49480</v>
      </c>
      <c r="Z1521" s="228">
        <v>3.4555343902907931E-2</v>
      </c>
      <c r="AA1521" s="230">
        <v>3.4531143968548061E-2</v>
      </c>
    </row>
    <row r="1522" spans="19:27" x14ac:dyDescent="0.2">
      <c r="S1522" s="32"/>
      <c r="T1522" s="187"/>
      <c r="W1522" s="221" t="str">
        <f t="shared" si="32"/>
        <v>1w</v>
      </c>
      <c r="X1522" s="222">
        <f>_xll.qlCalendarAdvance(Calendar,X1521,W1522,"f",FALSE)</f>
        <v>49487</v>
      </c>
      <c r="Y1522" s="227">
        <f>_xll.qlCalendarAdvance(Calendar,X1522,NDays&amp;"D")</f>
        <v>49487</v>
      </c>
      <c r="Z1522" s="228">
        <v>3.4544196676561098E-2</v>
      </c>
      <c r="AA1522" s="230">
        <v>3.4519924240756783E-2</v>
      </c>
    </row>
    <row r="1523" spans="19:27" x14ac:dyDescent="0.2">
      <c r="S1523" s="32"/>
      <c r="T1523" s="187"/>
      <c r="W1523" s="221" t="str">
        <f t="shared" si="32"/>
        <v>1w</v>
      </c>
      <c r="X1523" s="222">
        <f>_xll.qlCalendarAdvance(Calendar,X1522,W1523,"f",FALSE)</f>
        <v>49494</v>
      </c>
      <c r="Y1523" s="227">
        <f>_xll.qlCalendarAdvance(Calendar,X1523,NDays&amp;"D")</f>
        <v>49494</v>
      </c>
      <c r="Z1523" s="228">
        <v>3.4535631819983821E-2</v>
      </c>
      <c r="AA1523" s="230">
        <v>3.450875424474642E-2</v>
      </c>
    </row>
    <row r="1524" spans="19:27" x14ac:dyDescent="0.2">
      <c r="S1524" s="32"/>
      <c r="T1524" s="187"/>
      <c r="W1524" s="221" t="str">
        <f t="shared" si="32"/>
        <v>1w</v>
      </c>
      <c r="X1524" s="222">
        <f>_xll.qlCalendarAdvance(Calendar,X1523,W1524,"f",FALSE)</f>
        <v>49501</v>
      </c>
      <c r="Y1524" s="227">
        <f>_xll.qlCalendarAdvance(Calendar,X1524,NDays&amp;"D")</f>
        <v>49501</v>
      </c>
      <c r="Z1524" s="228">
        <v>3.4524591909914672E-2</v>
      </c>
      <c r="AA1524" s="230">
        <v>3.4497633980679066E-2</v>
      </c>
    </row>
    <row r="1525" spans="19:27" x14ac:dyDescent="0.2">
      <c r="S1525" s="32"/>
      <c r="T1525" s="187"/>
      <c r="W1525" s="221" t="str">
        <f t="shared" si="32"/>
        <v>1w</v>
      </c>
      <c r="X1525" s="222">
        <f>_xll.qlCalendarAdvance(Calendar,X1524,W1525,"f",FALSE)</f>
        <v>49508</v>
      </c>
      <c r="Y1525" s="227">
        <f>_xll.qlCalendarAdvance(Calendar,X1525,NDays&amp;"D")</f>
        <v>49508</v>
      </c>
      <c r="Z1525" s="228">
        <v>3.4513601892771001E-2</v>
      </c>
      <c r="AA1525" s="230">
        <v>3.448656344831158E-2</v>
      </c>
    </row>
    <row r="1526" spans="19:27" x14ac:dyDescent="0.2">
      <c r="S1526" s="32"/>
      <c r="T1526" s="187"/>
      <c r="W1526" s="221" t="str">
        <f t="shared" si="32"/>
        <v>1w</v>
      </c>
      <c r="X1526" s="222">
        <f>_xll.qlCalendarAdvance(Calendar,X1525,W1526,"f",FALSE)</f>
        <v>49515</v>
      </c>
      <c r="Y1526" s="227">
        <f>_xll.qlCalendarAdvance(Calendar,X1526,NDays&amp;"D")</f>
        <v>49515</v>
      </c>
      <c r="Z1526" s="228">
        <v>3.4503514098034344E-2</v>
      </c>
      <c r="AA1526" s="230">
        <v>3.4475542647887103E-2</v>
      </c>
    </row>
    <row r="1527" spans="19:27" x14ac:dyDescent="0.2">
      <c r="S1527" s="32"/>
      <c r="T1527" s="187"/>
      <c r="W1527" s="221" t="str">
        <f t="shared" si="32"/>
        <v>1w</v>
      </c>
      <c r="X1527" s="222">
        <f>_xll.qlCalendarAdvance(Calendar,X1526,W1527,"f",FALSE)</f>
        <v>49522</v>
      </c>
      <c r="Y1527" s="227">
        <f>_xll.qlCalendarAdvance(Calendar,X1527,NDays&amp;"D")</f>
        <v>49522</v>
      </c>
      <c r="Z1527" s="228">
        <v>3.4491771536687865E-2</v>
      </c>
      <c r="AA1527" s="230">
        <v>3.4464571579162495E-2</v>
      </c>
    </row>
    <row r="1528" spans="19:27" x14ac:dyDescent="0.2">
      <c r="S1528" s="32"/>
      <c r="T1528" s="187"/>
      <c r="W1528" s="221" t="str">
        <f t="shared" si="32"/>
        <v>1w</v>
      </c>
      <c r="X1528" s="222">
        <f>_xll.qlCalendarAdvance(Calendar,X1527,W1528,"f",FALSE)</f>
        <v>49529</v>
      </c>
      <c r="Y1528" s="227">
        <f>_xll.qlCalendarAdvance(Calendar,X1528,NDays&amp;"D")</f>
        <v>49529</v>
      </c>
      <c r="Z1528" s="228">
        <v>3.4480931197451235E-2</v>
      </c>
      <c r="AA1528" s="230">
        <v>3.4453650242218803E-2</v>
      </c>
    </row>
    <row r="1529" spans="19:27" x14ac:dyDescent="0.2">
      <c r="S1529" s="32"/>
      <c r="T1529" s="187"/>
      <c r="W1529" s="221" t="str">
        <f t="shared" si="32"/>
        <v>1w</v>
      </c>
      <c r="X1529" s="222">
        <f>_xll.qlCalendarAdvance(Calendar,X1528,W1529,"f",FALSE)</f>
        <v>49536</v>
      </c>
      <c r="Y1529" s="227">
        <f>_xll.qlCalendarAdvance(Calendar,X1529,NDays&amp;"D")</f>
        <v>49536</v>
      </c>
      <c r="Z1529" s="228">
        <v>3.4470140750555565E-2</v>
      </c>
      <c r="AA1529" s="230">
        <v>3.4442778637137073E-2</v>
      </c>
    </row>
    <row r="1530" spans="19:27" x14ac:dyDescent="0.2">
      <c r="S1530" s="32"/>
      <c r="T1530" s="187"/>
      <c r="W1530" s="221" t="str">
        <f t="shared" si="32"/>
        <v>1w</v>
      </c>
      <c r="X1530" s="222">
        <f>_xll.qlCalendarAdvance(Calendar,X1529,W1530,"f",FALSE)</f>
        <v>49543</v>
      </c>
      <c r="Y1530" s="227">
        <f>_xll.qlCalendarAdvance(Calendar,X1530,NDays&amp;"D")</f>
        <v>49543</v>
      </c>
      <c r="Z1530" s="228">
        <v>3.4459400195853508E-2</v>
      </c>
      <c r="AA1530" s="230">
        <v>3.4431956763755212E-2</v>
      </c>
    </row>
    <row r="1531" spans="19:27" x14ac:dyDescent="0.2">
      <c r="S1531" s="32"/>
      <c r="T1531" s="187"/>
      <c r="W1531" s="221" t="str">
        <f t="shared" si="32"/>
        <v>1w</v>
      </c>
      <c r="X1531" s="222">
        <f>_xll.qlCalendarAdvance(Calendar,X1530,W1531,"f",FALSE)</f>
        <v>49550</v>
      </c>
      <c r="Y1531" s="227">
        <f>_xll.qlCalendarAdvance(Calendar,X1531,NDays&amp;"D")</f>
        <v>49550</v>
      </c>
      <c r="Z1531" s="228">
        <v>3.4446116137860416E-2</v>
      </c>
      <c r="AA1531" s="230">
        <v>3.4421184622397405E-2</v>
      </c>
    </row>
    <row r="1532" spans="19:27" x14ac:dyDescent="0.2">
      <c r="S1532" s="32"/>
      <c r="T1532" s="187"/>
      <c r="W1532" s="221" t="str">
        <f t="shared" si="32"/>
        <v>1w</v>
      </c>
      <c r="X1532" s="222">
        <f>_xll.qlCalendarAdvance(Calendar,X1531,W1532,"f",FALSE)</f>
        <v>49557</v>
      </c>
      <c r="Y1532" s="227">
        <f>_xll.qlCalendarAdvance(Calendar,X1532,NDays&amp;"D")</f>
        <v>49557</v>
      </c>
      <c r="Z1532" s="228">
        <v>3.4435467686491639E-2</v>
      </c>
      <c r="AA1532" s="230">
        <v>3.4410462212577375E-2</v>
      </c>
    </row>
    <row r="1533" spans="19:27" x14ac:dyDescent="0.2">
      <c r="S1533" s="32"/>
      <c r="T1533" s="187"/>
      <c r="W1533" s="221" t="str">
        <f t="shared" si="32"/>
        <v>1w</v>
      </c>
      <c r="X1533" s="222">
        <f>_xll.qlCalendarAdvance(Calendar,X1532,W1533,"f",FALSE)</f>
        <v>49564</v>
      </c>
      <c r="Y1533" s="227">
        <f>_xll.qlCalendarAdvance(Calendar,X1533,NDays&amp;"D")</f>
        <v>49564</v>
      </c>
      <c r="Z1533" s="228">
        <v>3.4424869111895573E-2</v>
      </c>
      <c r="AA1533" s="230">
        <v>3.4399789534538261E-2</v>
      </c>
    </row>
    <row r="1534" spans="19:27" x14ac:dyDescent="0.2">
      <c r="S1534" s="32"/>
      <c r="T1534" s="187"/>
      <c r="W1534" s="221" t="str">
        <f t="shared" si="32"/>
        <v>1w</v>
      </c>
      <c r="X1534" s="222">
        <f>_xll.qlCalendarAdvance(Calendar,X1533,W1534,"f",FALSE)</f>
        <v>49571</v>
      </c>
      <c r="Y1534" s="227">
        <f>_xll.qlCalendarAdvance(Calendar,X1534,NDays&amp;"D")</f>
        <v>49571</v>
      </c>
      <c r="Z1534" s="228">
        <v>3.4414320413934441E-2</v>
      </c>
      <c r="AA1534" s="230">
        <v>3.4389166588361109E-2</v>
      </c>
    </row>
    <row r="1535" spans="19:27" x14ac:dyDescent="0.2">
      <c r="S1535" s="32"/>
      <c r="T1535" s="187"/>
      <c r="W1535" s="221" t="str">
        <f t="shared" si="32"/>
        <v>1w</v>
      </c>
      <c r="X1535" s="222">
        <f>_xll.qlCalendarAdvance(Calendar,X1534,W1535,"f",FALSE)</f>
        <v>49578</v>
      </c>
      <c r="Y1535" s="227">
        <f>_xll.qlCalendarAdvance(Calendar,X1535,NDays&amp;"D")</f>
        <v>49578</v>
      </c>
      <c r="Z1535" s="228">
        <v>3.4403821592492077E-2</v>
      </c>
      <c r="AA1535" s="230">
        <v>3.4378593374045918E-2</v>
      </c>
    </row>
    <row r="1536" spans="19:27" x14ac:dyDescent="0.2">
      <c r="S1536" s="32"/>
      <c r="T1536" s="187"/>
      <c r="W1536" s="221" t="str">
        <f t="shared" si="32"/>
        <v>1w</v>
      </c>
      <c r="X1536" s="222">
        <f>_xll.qlCalendarAdvance(Calendar,X1535,W1536,"f",FALSE)</f>
        <v>49585</v>
      </c>
      <c r="Y1536" s="227">
        <f>_xll.qlCalendarAdvance(Calendar,X1536,NDays&amp;"D")</f>
        <v>49585</v>
      </c>
      <c r="Z1536" s="228">
        <v>3.4396004595707928E-2</v>
      </c>
      <c r="AA1536" s="230">
        <v>3.4368069891349551E-2</v>
      </c>
    </row>
    <row r="1537" spans="19:27" x14ac:dyDescent="0.2">
      <c r="S1537" s="32"/>
      <c r="T1537" s="187"/>
      <c r="W1537" s="221" t="str">
        <f t="shared" si="32"/>
        <v>1w</v>
      </c>
      <c r="X1537" s="222">
        <f>_xll.qlCalendarAdvance(Calendar,X1536,W1537,"f",FALSE)</f>
        <v>49592</v>
      </c>
      <c r="Y1537" s="227">
        <f>_xll.qlCalendarAdvance(Calendar,X1537,NDays&amp;"D")</f>
        <v>49592</v>
      </c>
      <c r="Z1537" s="228">
        <v>3.4385613282360394E-2</v>
      </c>
      <c r="AA1537" s="230">
        <v>3.4357596140515145E-2</v>
      </c>
    </row>
    <row r="1538" spans="19:27" x14ac:dyDescent="0.2">
      <c r="S1538" s="32"/>
      <c r="T1538" s="187"/>
      <c r="W1538" s="221" t="str">
        <f t="shared" si="32"/>
        <v>1w</v>
      </c>
      <c r="X1538" s="222">
        <f>_xll.qlCalendarAdvance(Calendar,X1537,W1538,"f",FALSE)</f>
        <v>49599</v>
      </c>
      <c r="Y1538" s="227">
        <f>_xll.qlCalendarAdvance(Calendar,X1538,NDays&amp;"D")</f>
        <v>49599</v>
      </c>
      <c r="Z1538" s="228">
        <v>3.4375271860071818E-2</v>
      </c>
      <c r="AA1538" s="230">
        <v>3.4347172121380609E-2</v>
      </c>
    </row>
    <row r="1539" spans="19:27" x14ac:dyDescent="0.2">
      <c r="S1539" s="32"/>
      <c r="T1539" s="187"/>
      <c r="W1539" s="221" t="str">
        <f t="shared" si="32"/>
        <v>1w</v>
      </c>
      <c r="X1539" s="222">
        <f>_xll.qlCalendarAdvance(Calendar,X1538,W1539,"f",FALSE)</f>
        <v>49606</v>
      </c>
      <c r="Y1539" s="227">
        <f>_xll.qlCalendarAdvance(Calendar,X1539,NDays&amp;"D")</f>
        <v>49606</v>
      </c>
      <c r="Z1539" s="228">
        <v>3.4364980328694845E-2</v>
      </c>
      <c r="AA1539" s="230">
        <v>3.4336797834026989E-2</v>
      </c>
    </row>
    <row r="1540" spans="19:27" x14ac:dyDescent="0.2">
      <c r="S1540" s="32"/>
      <c r="T1540" s="187"/>
      <c r="W1540" s="221" t="str">
        <f t="shared" si="32"/>
        <v>1w</v>
      </c>
      <c r="X1540" s="222">
        <f>_xll.qlCalendarAdvance(Calendar,X1539,W1540,"f",FALSE)</f>
        <v>49613</v>
      </c>
      <c r="Y1540" s="227">
        <f>_xll.qlCalendarAdvance(Calendar,X1540,NDays&amp;"D")</f>
        <v>49613</v>
      </c>
      <c r="Z1540" s="228">
        <v>3.4352075628434009E-2</v>
      </c>
      <c r="AA1540" s="230">
        <v>3.4326473278373237E-2</v>
      </c>
    </row>
    <row r="1541" spans="19:27" x14ac:dyDescent="0.2">
      <c r="S1541" s="32"/>
      <c r="T1541" s="187"/>
      <c r="W1541" s="221" t="str">
        <f t="shared" si="32"/>
        <v>1w</v>
      </c>
      <c r="X1541" s="222">
        <f>_xll.qlCalendarAdvance(Calendar,X1540,W1541,"f",FALSE)</f>
        <v>49620</v>
      </c>
      <c r="Y1541" s="227">
        <f>_xll.qlCalendarAdvance(Calendar,X1541,NDays&amp;"D")</f>
        <v>49620</v>
      </c>
      <c r="Z1541" s="228">
        <v>3.4341876063370289E-2</v>
      </c>
      <c r="AA1541" s="230">
        <v>3.4316198454500402E-2</v>
      </c>
    </row>
    <row r="1542" spans="19:27" x14ac:dyDescent="0.2">
      <c r="S1542" s="32"/>
      <c r="T1542" s="187"/>
      <c r="W1542" s="221" t="str">
        <f t="shared" si="32"/>
        <v>1w</v>
      </c>
      <c r="X1542" s="222">
        <f>_xll.qlCalendarAdvance(Calendar,X1541,W1542,"f",FALSE)</f>
        <v>49627</v>
      </c>
      <c r="Y1542" s="227">
        <f>_xll.qlCalendarAdvance(Calendar,X1542,NDays&amp;"D")</f>
        <v>49627</v>
      </c>
      <c r="Z1542" s="228">
        <v>3.4331726373928416E-2</v>
      </c>
      <c r="AA1542" s="230">
        <v>3.4305973362327435E-2</v>
      </c>
    </row>
    <row r="1543" spans="19:27" x14ac:dyDescent="0.2">
      <c r="S1543" s="32"/>
      <c r="T1543" s="187"/>
      <c r="W1543" s="221" t="str">
        <f t="shared" si="32"/>
        <v>1w</v>
      </c>
      <c r="X1543" s="222">
        <f>_xll.qlCalendarAdvance(Calendar,X1542,W1543,"f",FALSE)</f>
        <v>49634</v>
      </c>
      <c r="Y1543" s="227">
        <f>_xll.qlCalendarAdvance(Calendar,X1543,NDays&amp;"D")</f>
        <v>49634</v>
      </c>
      <c r="Z1543" s="228">
        <v>3.4321626559984129E-2</v>
      </c>
      <c r="AA1543" s="230">
        <v>3.4295798002016431E-2</v>
      </c>
    </row>
    <row r="1544" spans="19:27" x14ac:dyDescent="0.2">
      <c r="S1544" s="32"/>
      <c r="T1544" s="187"/>
      <c r="W1544" s="221" t="str">
        <f t="shared" si="32"/>
        <v>1w</v>
      </c>
      <c r="X1544" s="222">
        <f>_xll.qlCalendarAdvance(Calendar,X1543,W1544,"f",FALSE)</f>
        <v>49641</v>
      </c>
      <c r="Y1544" s="227">
        <f>_xll.qlCalendarAdvance(Calendar,X1544,NDays&amp;"D")</f>
        <v>49641</v>
      </c>
      <c r="Z1544" s="228">
        <v>3.4311576621413153E-2</v>
      </c>
      <c r="AA1544" s="230">
        <v>3.4285672373243203E-2</v>
      </c>
    </row>
    <row r="1545" spans="19:27" x14ac:dyDescent="0.2">
      <c r="S1545" s="32"/>
      <c r="T1545" s="187"/>
      <c r="W1545" s="221" t="str">
        <f t="shared" si="32"/>
        <v>1w</v>
      </c>
      <c r="X1545" s="222">
        <f>_xll.qlCalendarAdvance(Calendar,X1544,W1545,"f",FALSE)</f>
        <v>49648</v>
      </c>
      <c r="Y1545" s="227">
        <f>_xll.qlCalendarAdvance(Calendar,X1545,NDays&amp;"D")</f>
        <v>49648</v>
      </c>
      <c r="Z1545" s="228">
        <v>3.430427884196327E-2</v>
      </c>
      <c r="AA1545" s="230">
        <v>3.4275596476331938E-2</v>
      </c>
    </row>
    <row r="1546" spans="19:27" x14ac:dyDescent="0.2">
      <c r="S1546" s="32"/>
      <c r="T1546" s="187"/>
      <c r="W1546" s="221" t="str">
        <f t="shared" si="32"/>
        <v>1w</v>
      </c>
      <c r="X1546" s="222">
        <f>_xll.qlCalendarAdvance(Calendar,X1545,W1546,"f",FALSE)</f>
        <v>49655</v>
      </c>
      <c r="Y1546" s="227">
        <f>_xll.qlCalendarAdvance(Calendar,X1546,NDays&amp;"D")</f>
        <v>49655</v>
      </c>
      <c r="Z1546" s="228">
        <v>3.4294336543155904E-2</v>
      </c>
      <c r="AA1546" s="230">
        <v>3.4265570311120541E-2</v>
      </c>
    </row>
    <row r="1547" spans="19:27" x14ac:dyDescent="0.2">
      <c r="S1547" s="32"/>
      <c r="T1547" s="187"/>
      <c r="W1547" s="221" t="str">
        <f t="shared" si="32"/>
        <v>1w</v>
      </c>
      <c r="X1547" s="222">
        <f>_xll.qlCalendarAdvance(Calendar,X1546,W1547,"f",FALSE)</f>
        <v>49662</v>
      </c>
      <c r="Y1547" s="227">
        <f>_xll.qlCalendarAdvance(Calendar,X1547,NDays&amp;"D")</f>
        <v>49662</v>
      </c>
      <c r="Z1547" s="228">
        <v>3.4284444134169693E-2</v>
      </c>
      <c r="AA1547" s="230">
        <v>3.4255593877609014E-2</v>
      </c>
    </row>
    <row r="1548" spans="19:27" x14ac:dyDescent="0.2">
      <c r="S1548" s="32"/>
      <c r="T1548" s="187"/>
      <c r="W1548" s="221" t="str">
        <f t="shared" si="32"/>
        <v>1w</v>
      </c>
      <c r="X1548" s="222">
        <f>_xll.qlCalendarAdvance(Calendar,X1547,W1548,"f",FALSE)</f>
        <v>49670</v>
      </c>
      <c r="Y1548" s="227">
        <f>_xll.qlCalendarAdvance(Calendar,X1548,NDays&amp;"D")</f>
        <v>49670</v>
      </c>
      <c r="Z1548" s="228">
        <v>3.4272290261451524E-2</v>
      </c>
      <c r="AA1548" s="230">
        <v>3.4244253135239378E-2</v>
      </c>
    </row>
    <row r="1549" spans="19:27" x14ac:dyDescent="0.2">
      <c r="S1549" s="32"/>
      <c r="T1549" s="187"/>
      <c r="W1549" s="221" t="str">
        <f t="shared" si="32"/>
        <v>1w</v>
      </c>
      <c r="X1549" s="222">
        <f>_xll.qlCalendarAdvance(Calendar,X1548,W1549,"f",FALSE)</f>
        <v>49677</v>
      </c>
      <c r="Y1549" s="227">
        <f>_xll.qlCalendarAdvance(Calendar,X1549,NDays&amp;"D")</f>
        <v>49677</v>
      </c>
      <c r="Z1549" s="228">
        <v>3.4262502112861332E-2</v>
      </c>
      <c r="AA1549" s="230">
        <v>3.4234383269806656E-2</v>
      </c>
    </row>
    <row r="1550" spans="19:27" x14ac:dyDescent="0.2">
      <c r="S1550" s="32"/>
      <c r="T1550" s="187"/>
      <c r="W1550" s="221" t="str">
        <f t="shared" si="32"/>
        <v>1w</v>
      </c>
      <c r="X1550" s="222">
        <f>_xll.qlCalendarAdvance(Calendar,X1549,W1550,"f",FALSE)</f>
        <v>49684</v>
      </c>
      <c r="Y1550" s="227">
        <f>_xll.qlCalendarAdvance(Calendar,X1550,NDays&amp;"D")</f>
        <v>49684</v>
      </c>
      <c r="Z1550" s="228">
        <v>3.4252763848755911E-2</v>
      </c>
      <c r="AA1550" s="230">
        <v>3.4224563135911712E-2</v>
      </c>
    </row>
    <row r="1551" spans="19:27" x14ac:dyDescent="0.2">
      <c r="S1551" s="32"/>
      <c r="T1551" s="187"/>
      <c r="W1551" s="221" t="str">
        <f t="shared" si="32"/>
        <v>1w</v>
      </c>
      <c r="X1551" s="222">
        <f>_xll.qlCalendarAdvance(Calendar,X1550,W1551,"f",FALSE)</f>
        <v>49691</v>
      </c>
      <c r="Y1551" s="227">
        <f>_xll.qlCalendarAdvance(Calendar,X1551,NDays&amp;"D")</f>
        <v>49691</v>
      </c>
      <c r="Z1551" s="228">
        <v>3.4243075468998498E-2</v>
      </c>
      <c r="AA1551" s="230">
        <v>3.4214792733797683E-2</v>
      </c>
    </row>
    <row r="1552" spans="19:27" x14ac:dyDescent="0.2">
      <c r="S1552" s="32"/>
      <c r="T1552" s="187"/>
      <c r="W1552" s="221" t="str">
        <f t="shared" si="32"/>
        <v>1w</v>
      </c>
      <c r="X1552" s="222">
        <f>_xll.qlCalendarAdvance(Calendar,X1551,W1552,"f",FALSE)</f>
        <v>49698</v>
      </c>
      <c r="Y1552" s="227">
        <f>_xll.qlCalendarAdvance(Calendar,X1552,NDays&amp;"D")</f>
        <v>49698</v>
      </c>
      <c r="Z1552" s="228">
        <v>3.4233436973470054E-2</v>
      </c>
      <c r="AA1552" s="230">
        <v>3.4205072063383524E-2</v>
      </c>
    </row>
    <row r="1553" spans="19:27" x14ac:dyDescent="0.2">
      <c r="S1553" s="32"/>
      <c r="T1553" s="187"/>
      <c r="W1553" s="221" t="str">
        <f t="shared" si="32"/>
        <v>1w</v>
      </c>
      <c r="X1553" s="222">
        <f>_xll.qlCalendarAdvance(Calendar,X1552,W1553,"f",FALSE)</f>
        <v>49705</v>
      </c>
      <c r="Y1553" s="227">
        <f>_xll.qlCalendarAdvance(Calendar,X1553,NDays&amp;"D")</f>
        <v>49705</v>
      </c>
      <c r="Z1553" s="228">
        <v>3.4221082341569828E-2</v>
      </c>
      <c r="AA1553" s="230">
        <v>3.419540112475028E-2</v>
      </c>
    </row>
    <row r="1554" spans="19:27" x14ac:dyDescent="0.2">
      <c r="S1554" s="32"/>
      <c r="T1554" s="187"/>
      <c r="W1554" s="221" t="str">
        <f t="shared" si="32"/>
        <v>1w</v>
      </c>
      <c r="X1554" s="222">
        <f>_xll.qlCalendarAdvance(Calendar,X1553,W1554,"f",FALSE)</f>
        <v>49712</v>
      </c>
      <c r="Y1554" s="227">
        <f>_xll.qlCalendarAdvance(Calendar,X1554,NDays&amp;"D")</f>
        <v>49712</v>
      </c>
      <c r="Z1554" s="228">
        <v>3.4211535606269682E-2</v>
      </c>
      <c r="AA1554" s="230">
        <v>3.4185779917573766E-2</v>
      </c>
    </row>
    <row r="1555" spans="19:27" x14ac:dyDescent="0.2">
      <c r="S1555" s="32"/>
      <c r="T1555" s="187"/>
      <c r="W1555" s="221" t="str">
        <f t="shared" si="32"/>
        <v>1w</v>
      </c>
      <c r="X1555" s="222">
        <f>_xll.qlCalendarAdvance(Calendar,X1554,W1555,"f",FALSE)</f>
        <v>49719</v>
      </c>
      <c r="Y1555" s="227">
        <f>_xll.qlCalendarAdvance(Calendar,X1555,NDays&amp;"D")</f>
        <v>49719</v>
      </c>
      <c r="Z1555" s="228">
        <v>3.420203874009875E-2</v>
      </c>
      <c r="AA1555" s="230">
        <v>3.4176208442178169E-2</v>
      </c>
    </row>
    <row r="1556" spans="19:27" x14ac:dyDescent="0.2">
      <c r="S1556" s="32"/>
      <c r="T1556" s="187"/>
      <c r="W1556" s="221" t="str">
        <f t="shared" si="32"/>
        <v>1w</v>
      </c>
      <c r="X1556" s="222">
        <f>_xll.qlCalendarAdvance(Calendar,X1555,W1556,"f",FALSE)</f>
        <v>49726</v>
      </c>
      <c r="Y1556" s="227">
        <f>_xll.qlCalendarAdvance(Calendar,X1556,NDays&amp;"D")</f>
        <v>49726</v>
      </c>
      <c r="Z1556" s="228">
        <v>3.4192591742948024E-2</v>
      </c>
      <c r="AA1556" s="230">
        <v>3.4166686698563487E-2</v>
      </c>
    </row>
    <row r="1557" spans="19:27" x14ac:dyDescent="0.2">
      <c r="S1557" s="32"/>
      <c r="T1557" s="187"/>
      <c r="W1557" s="221" t="str">
        <f t="shared" ref="W1557:W1620" si="33">W1556</f>
        <v>1w</v>
      </c>
      <c r="X1557" s="222">
        <f>_xll.qlCalendarAdvance(Calendar,X1556,W1557,"f",FALSE)</f>
        <v>49733</v>
      </c>
      <c r="Y1557" s="227">
        <f>_xll.qlCalendarAdvance(Calendar,X1557,NDays&amp;"D")</f>
        <v>49733</v>
      </c>
      <c r="Z1557" s="228">
        <v>3.4183194614694552E-2</v>
      </c>
      <c r="AA1557" s="230">
        <v>3.4157214686648674E-2</v>
      </c>
    </row>
    <row r="1558" spans="19:27" x14ac:dyDescent="0.2">
      <c r="S1558" s="32"/>
      <c r="T1558" s="187"/>
      <c r="W1558" s="221" t="str">
        <f t="shared" si="33"/>
        <v>1w</v>
      </c>
      <c r="X1558" s="222">
        <f>_xll.qlCalendarAdvance(Calendar,X1557,W1558,"f",FALSE)</f>
        <v>49740</v>
      </c>
      <c r="Y1558" s="227">
        <f>_xll.qlCalendarAdvance(Calendar,X1558,NDays&amp;"D")</f>
        <v>49740</v>
      </c>
      <c r="Z1558" s="228">
        <v>3.4176653562041533E-2</v>
      </c>
      <c r="AA1558" s="230">
        <v>3.4147792406271638E-2</v>
      </c>
    </row>
    <row r="1559" spans="19:27" x14ac:dyDescent="0.2">
      <c r="S1559" s="32"/>
      <c r="T1559" s="187"/>
      <c r="W1559" s="221" t="str">
        <f t="shared" si="33"/>
        <v>1w</v>
      </c>
      <c r="X1559" s="222">
        <f>_xll.qlCalendarAdvance(Calendar,X1558,W1559,"f",FALSE)</f>
        <v>49747</v>
      </c>
      <c r="Y1559" s="227">
        <f>_xll.qlCalendarAdvance(Calendar,X1559,NDays&amp;"D")</f>
        <v>49747</v>
      </c>
      <c r="Z1559" s="228">
        <v>3.4168302979947572E-2</v>
      </c>
      <c r="AA1559" s="230">
        <v>3.4138419857513425E-2</v>
      </c>
    </row>
    <row r="1560" spans="19:27" x14ac:dyDescent="0.2">
      <c r="S1560" s="32"/>
      <c r="T1560" s="187"/>
      <c r="W1560" s="221" t="str">
        <f t="shared" si="33"/>
        <v>1w</v>
      </c>
      <c r="X1560" s="222">
        <f>_xll.qlCalendarAdvance(Calendar,X1559,W1560,"f",FALSE)</f>
        <v>49754</v>
      </c>
      <c r="Y1560" s="227">
        <f>_xll.qlCalendarAdvance(Calendar,X1560,NDays&amp;"D")</f>
        <v>49754</v>
      </c>
      <c r="Z1560" s="228">
        <v>3.4158124826408273E-2</v>
      </c>
      <c r="AA1560" s="230">
        <v>3.412909704069822E-2</v>
      </c>
    </row>
    <row r="1561" spans="19:27" x14ac:dyDescent="0.2">
      <c r="S1561" s="32"/>
      <c r="T1561" s="187"/>
      <c r="W1561" s="221" t="str">
        <f t="shared" si="33"/>
        <v>1w</v>
      </c>
      <c r="X1561" s="222">
        <f>_xll.qlCalendarAdvance(Calendar,X1560,W1561,"f",FALSE)</f>
        <v>49761</v>
      </c>
      <c r="Y1561" s="227">
        <f>_xll.qlCalendarAdvance(Calendar,X1561,NDays&amp;"D")</f>
        <v>49761</v>
      </c>
      <c r="Z1561" s="228">
        <v>3.4148935283323037E-2</v>
      </c>
      <c r="AA1561" s="230">
        <v>3.4119823955258699E-2</v>
      </c>
    </row>
    <row r="1562" spans="19:27" x14ac:dyDescent="0.2">
      <c r="S1562" s="32"/>
      <c r="T1562" s="187"/>
      <c r="W1562" s="221" t="str">
        <f t="shared" si="33"/>
        <v>1w</v>
      </c>
      <c r="X1562" s="222">
        <f>_xll.qlCalendarAdvance(Calendar,X1561,W1562,"f",FALSE)</f>
        <v>49768</v>
      </c>
      <c r="Y1562" s="227">
        <f>_xll.qlCalendarAdvance(Calendar,X1562,NDays&amp;"D")</f>
        <v>49768</v>
      </c>
      <c r="Z1562" s="228">
        <v>3.4140742464946333E-2</v>
      </c>
      <c r="AA1562" s="230">
        <v>3.4110600601762187E-2</v>
      </c>
    </row>
    <row r="1563" spans="19:27" x14ac:dyDescent="0.2">
      <c r="S1563" s="32"/>
      <c r="T1563" s="187"/>
      <c r="W1563" s="221" t="str">
        <f t="shared" si="33"/>
        <v>1w</v>
      </c>
      <c r="X1563" s="222">
        <f>_xll.qlCalendarAdvance(Calendar,X1562,W1563,"f",FALSE)</f>
        <v>49775</v>
      </c>
      <c r="Y1563" s="227">
        <f>_xll.qlCalendarAdvance(Calendar,X1563,NDays&amp;"D")</f>
        <v>49775</v>
      </c>
      <c r="Z1563" s="228">
        <v>3.4130705846022701E-2</v>
      </c>
      <c r="AA1563" s="230">
        <v>3.410518780857652E-2</v>
      </c>
    </row>
    <row r="1564" spans="19:27" x14ac:dyDescent="0.2">
      <c r="S1564" s="32"/>
      <c r="T1564" s="187"/>
      <c r="W1564" s="221" t="str">
        <f t="shared" si="33"/>
        <v>1w</v>
      </c>
      <c r="X1564" s="222">
        <f>_xll.qlCalendarAdvance(Calendar,X1563,W1564,"f",FALSE)</f>
        <v>49782</v>
      </c>
      <c r="Y1564" s="227">
        <f>_xll.qlCalendarAdvance(Calendar,X1564,NDays&amp;"D")</f>
        <v>49782</v>
      </c>
      <c r="Z1564" s="228">
        <v>3.4121665951566994E-2</v>
      </c>
      <c r="AA1564" s="230">
        <v>3.4092303089301446E-2</v>
      </c>
    </row>
    <row r="1565" spans="19:27" x14ac:dyDescent="0.2">
      <c r="S1565" s="32"/>
      <c r="T1565" s="187"/>
      <c r="W1565" s="221" t="str">
        <f t="shared" si="33"/>
        <v>1w</v>
      </c>
      <c r="X1565" s="222">
        <f>_xll.qlCalendarAdvance(Calendar,X1564,W1565,"f",FALSE)</f>
        <v>49789</v>
      </c>
      <c r="Y1565" s="227">
        <f>_xll.qlCalendarAdvance(Calendar,X1565,NDays&amp;"D")</f>
        <v>49789</v>
      </c>
      <c r="Z1565" s="228">
        <v>3.4113630939714576E-2</v>
      </c>
      <c r="AA1565" s="230">
        <v>3.4083228930580356E-2</v>
      </c>
    </row>
    <row r="1566" spans="19:27" x14ac:dyDescent="0.2">
      <c r="S1566" s="32"/>
      <c r="T1566" s="187"/>
      <c r="W1566" s="221" t="str">
        <f t="shared" si="33"/>
        <v>1w</v>
      </c>
      <c r="X1566" s="222">
        <f>_xll.qlCalendarAdvance(Calendar,X1565,W1566,"f",FALSE)</f>
        <v>49796</v>
      </c>
      <c r="Y1566" s="227">
        <f>_xll.qlCalendarAdvance(Calendar,X1566,NDays&amp;"D")</f>
        <v>49796</v>
      </c>
      <c r="Z1566" s="228">
        <v>3.4103735810449322E-2</v>
      </c>
      <c r="AA1566" s="230">
        <v>3.4074204503559136E-2</v>
      </c>
    </row>
    <row r="1567" spans="19:27" x14ac:dyDescent="0.2">
      <c r="S1567" s="32"/>
      <c r="T1567" s="187"/>
      <c r="W1567" s="221" t="str">
        <f t="shared" si="33"/>
        <v>1w</v>
      </c>
      <c r="X1567" s="222">
        <f>_xll.qlCalendarAdvance(Calendar,X1566,W1567,"f",FALSE)</f>
        <v>49803</v>
      </c>
      <c r="Y1567" s="227">
        <f>_xll.qlCalendarAdvance(Calendar,X1567,NDays&amp;"D")</f>
        <v>49803</v>
      </c>
      <c r="Z1567" s="228">
        <v>3.4094845563559413E-2</v>
      </c>
      <c r="AA1567" s="230">
        <v>3.4065229808156738E-2</v>
      </c>
    </row>
    <row r="1568" spans="19:27" x14ac:dyDescent="0.2">
      <c r="S1568" s="32"/>
      <c r="T1568" s="187"/>
      <c r="W1568" s="221" t="str">
        <f t="shared" si="33"/>
        <v>1w</v>
      </c>
      <c r="X1568" s="222">
        <f>_xll.qlCalendarAdvance(Calendar,X1567,W1568,"f",FALSE)</f>
        <v>49810</v>
      </c>
      <c r="Y1568" s="227">
        <f>_xll.qlCalendarAdvance(Calendar,X1568,NDays&amp;"D")</f>
        <v>49810</v>
      </c>
      <c r="Z1568" s="228">
        <v>3.4086005198953363E-2</v>
      </c>
      <c r="AA1568" s="230">
        <v>3.4056304844373164E-2</v>
      </c>
    </row>
    <row r="1569" spans="19:27" x14ac:dyDescent="0.2">
      <c r="S1569" s="32"/>
      <c r="T1569" s="187"/>
      <c r="W1569" s="221" t="str">
        <f t="shared" si="33"/>
        <v>1w</v>
      </c>
      <c r="X1569" s="222">
        <f>_xll.qlCalendarAdvance(Calendar,X1568,W1569,"f",FALSE)</f>
        <v>49817</v>
      </c>
      <c r="Y1569" s="227">
        <f>_xll.qlCalendarAdvance(Calendar,X1569,NDays&amp;"D")</f>
        <v>49817</v>
      </c>
      <c r="Z1569" s="228">
        <v>3.4077214716522267E-2</v>
      </c>
      <c r="AA1569" s="230">
        <v>3.4047429612289459E-2</v>
      </c>
    </row>
    <row r="1570" spans="19:27" x14ac:dyDescent="0.2">
      <c r="S1570" s="32"/>
      <c r="T1570" s="187"/>
      <c r="W1570" s="221" t="str">
        <f t="shared" si="33"/>
        <v>1w</v>
      </c>
      <c r="X1570" s="222">
        <f>_xll.qlCalendarAdvance(Calendar,X1569,W1570,"f",FALSE)</f>
        <v>49824</v>
      </c>
      <c r="Y1570" s="227">
        <f>_xll.qlCalendarAdvance(Calendar,X1570,NDays&amp;"D")</f>
        <v>49824</v>
      </c>
      <c r="Z1570" s="228">
        <v>3.4068474116147086E-2</v>
      </c>
      <c r="AA1570" s="230">
        <v>3.4038604111743531E-2</v>
      </c>
    </row>
    <row r="1571" spans="19:27" x14ac:dyDescent="0.2">
      <c r="S1571" s="32"/>
      <c r="T1571" s="187"/>
      <c r="W1571" s="221" t="str">
        <f t="shared" si="33"/>
        <v>1w</v>
      </c>
      <c r="X1571" s="222">
        <f>_xll.qlCalendarAdvance(Calendar,X1570,W1571,"f",FALSE)</f>
        <v>49831</v>
      </c>
      <c r="Y1571" s="227">
        <f>_xll.qlCalendarAdvance(Calendar,X1571,NDays&amp;"D")</f>
        <v>49831</v>
      </c>
      <c r="Z1571" s="228">
        <v>3.4059783397718917E-2</v>
      </c>
      <c r="AA1571" s="230">
        <v>3.4029828342897472E-2</v>
      </c>
    </row>
    <row r="1572" spans="19:27" x14ac:dyDescent="0.2">
      <c r="S1572" s="32"/>
      <c r="T1572" s="187"/>
      <c r="W1572" s="221" t="str">
        <f t="shared" si="33"/>
        <v>1w</v>
      </c>
      <c r="X1572" s="222">
        <f>_xll.qlCalendarAdvance(Calendar,X1571,W1572,"f",FALSE)</f>
        <v>49838</v>
      </c>
      <c r="Y1572" s="227">
        <f>_xll.qlCalendarAdvance(Calendar,X1572,NDays&amp;"D")</f>
        <v>49838</v>
      </c>
      <c r="Z1572" s="228">
        <v>3.4051142561111122E-2</v>
      </c>
      <c r="AA1572" s="230">
        <v>3.402110230558919E-2</v>
      </c>
    </row>
    <row r="1573" spans="19:27" x14ac:dyDescent="0.2">
      <c r="S1573" s="32"/>
      <c r="T1573" s="187"/>
      <c r="W1573" s="221" t="str">
        <f t="shared" si="33"/>
        <v>1w</v>
      </c>
      <c r="X1573" s="222">
        <f>_xll.qlCalendarAdvance(Calendar,X1572,W1573,"f",FALSE)</f>
        <v>49845</v>
      </c>
      <c r="Y1573" s="227">
        <f>_xll.qlCalendarAdvance(Calendar,X1573,NDays&amp;"D")</f>
        <v>49845</v>
      </c>
      <c r="Z1573" s="228">
        <v>3.4042551606227461E-2</v>
      </c>
      <c r="AA1573" s="230">
        <v>3.4012426000061824E-2</v>
      </c>
    </row>
    <row r="1574" spans="19:27" x14ac:dyDescent="0.2">
      <c r="S1574" s="32"/>
      <c r="T1574" s="187"/>
      <c r="W1574" s="221" t="str">
        <f t="shared" si="33"/>
        <v>1w</v>
      </c>
      <c r="X1574" s="222">
        <f>_xll.qlCalendarAdvance(Calendar,X1573,W1574,"f",FALSE)</f>
        <v>49852</v>
      </c>
      <c r="Y1574" s="227">
        <f>_xll.qlCalendarAdvance(Calendar,X1574,NDays&amp;"D")</f>
        <v>49852</v>
      </c>
      <c r="Z1574" s="228">
        <v>3.4034010532943831E-2</v>
      </c>
      <c r="AA1574" s="230">
        <v>3.4003799425991188E-2</v>
      </c>
    </row>
    <row r="1575" spans="19:27" x14ac:dyDescent="0.2">
      <c r="S1575" s="32"/>
      <c r="T1575" s="187"/>
      <c r="W1575" s="221" t="str">
        <f t="shared" si="33"/>
        <v>1w</v>
      </c>
      <c r="X1575" s="222">
        <f>_xll.qlCalendarAdvance(Calendar,X1574,W1575,"f",FALSE)</f>
        <v>49859</v>
      </c>
      <c r="Y1575" s="227">
        <f>_xll.qlCalendarAdvance(Calendar,X1575,NDays&amp;"D")</f>
        <v>49859</v>
      </c>
      <c r="Z1575" s="228">
        <v>3.4025519341153859E-2</v>
      </c>
      <c r="AA1575" s="230">
        <v>3.3995222583701468E-2</v>
      </c>
    </row>
    <row r="1576" spans="19:27" x14ac:dyDescent="0.2">
      <c r="S1576" s="32"/>
      <c r="T1576" s="187"/>
      <c r="W1576" s="221" t="str">
        <f t="shared" si="33"/>
        <v>1w</v>
      </c>
      <c r="X1576" s="222">
        <f>_xll.qlCalendarAdvance(Calendar,X1575,W1576,"f",FALSE)</f>
        <v>49866</v>
      </c>
      <c r="Y1576" s="227">
        <f>_xll.qlCalendarAdvance(Calendar,X1576,NDays&amp;"D")</f>
        <v>49866</v>
      </c>
      <c r="Z1576" s="228">
        <v>3.4017078030741041E-2</v>
      </c>
      <c r="AA1576" s="230">
        <v>3.3986695472787432E-2</v>
      </c>
    </row>
    <row r="1577" spans="19:27" x14ac:dyDescent="0.2">
      <c r="S1577" s="32"/>
      <c r="T1577" s="187"/>
      <c r="W1577" s="221" t="str">
        <f t="shared" si="33"/>
        <v>1w</v>
      </c>
      <c r="X1577" s="222">
        <f>_xll.qlCalendarAdvance(Calendar,X1576,W1577,"f",FALSE)</f>
        <v>49873</v>
      </c>
      <c r="Y1577" s="227">
        <f>_xll.qlCalendarAdvance(Calendar,X1577,NDays&amp;"D")</f>
        <v>49873</v>
      </c>
      <c r="Z1577" s="228">
        <v>3.4008686601604068E-2</v>
      </c>
      <c r="AA1577" s="230">
        <v>3.3978218093654311E-2</v>
      </c>
    </row>
    <row r="1578" spans="19:27" x14ac:dyDescent="0.2">
      <c r="S1578" s="32"/>
      <c r="T1578" s="187"/>
      <c r="W1578" s="221" t="str">
        <f t="shared" si="33"/>
        <v>1w</v>
      </c>
      <c r="X1578" s="222">
        <f>_xll.qlCalendarAdvance(Calendar,X1577,W1578,"f",FALSE)</f>
        <v>49880</v>
      </c>
      <c r="Y1578" s="227">
        <f>_xll.qlCalendarAdvance(Calendar,X1578,NDays&amp;"D")</f>
        <v>49880</v>
      </c>
      <c r="Z1578" s="228">
        <v>3.4001335910900141E-2</v>
      </c>
      <c r="AA1578" s="230">
        <v>3.3969790446058967E-2</v>
      </c>
    </row>
    <row r="1579" spans="19:27" x14ac:dyDescent="0.2">
      <c r="S1579" s="32"/>
      <c r="T1579" s="187"/>
      <c r="W1579" s="221" t="str">
        <f t="shared" si="33"/>
        <v>1w</v>
      </c>
      <c r="X1579" s="222">
        <f>_xll.qlCalendarAdvance(Calendar,X1578,W1579,"f",FALSE)</f>
        <v>49887</v>
      </c>
      <c r="Y1579" s="227">
        <f>_xll.qlCalendarAdvance(Calendar,X1579,NDays&amp;"D")</f>
        <v>49887</v>
      </c>
      <c r="Z1579" s="228">
        <v>3.3989074406566053E-2</v>
      </c>
      <c r="AA1579" s="230">
        <v>3.39614125300014E-2</v>
      </c>
    </row>
    <row r="1580" spans="19:27" x14ac:dyDescent="0.2">
      <c r="S1580" s="32"/>
      <c r="T1580" s="187"/>
      <c r="W1580" s="221" t="str">
        <f t="shared" si="33"/>
        <v>1w</v>
      </c>
      <c r="X1580" s="222">
        <f>_xll.qlCalendarAdvance(Calendar,X1579,W1580,"f",FALSE)</f>
        <v>49894</v>
      </c>
      <c r="Y1580" s="227">
        <f>_xll.qlCalendarAdvance(Calendar,X1580,NDays&amp;"D")</f>
        <v>49894</v>
      </c>
      <c r="Z1580" s="228">
        <v>3.3983811600716111E-2</v>
      </c>
      <c r="AA1580" s="230">
        <v>3.3953084345562656E-2</v>
      </c>
    </row>
    <row r="1581" spans="19:27" x14ac:dyDescent="0.2">
      <c r="S1581" s="32"/>
      <c r="T1581" s="187"/>
      <c r="W1581" s="221" t="str">
        <f t="shared" si="33"/>
        <v>1w</v>
      </c>
      <c r="X1581" s="222">
        <f>_xll.qlCalendarAdvance(Calendar,X1580,W1581,"f",FALSE)</f>
        <v>49901</v>
      </c>
      <c r="Y1581" s="227">
        <f>_xll.qlCalendarAdvance(Calendar,X1581,NDays&amp;"D")</f>
        <v>49901</v>
      </c>
      <c r="Z1581" s="228">
        <v>3.3975619695570669E-2</v>
      </c>
      <c r="AA1581" s="230">
        <v>3.3944805892823782E-2</v>
      </c>
    </row>
    <row r="1582" spans="19:27" x14ac:dyDescent="0.2">
      <c r="S1582" s="32"/>
      <c r="T1582" s="187"/>
      <c r="W1582" s="221" t="str">
        <f t="shared" si="33"/>
        <v>1w</v>
      </c>
      <c r="X1582" s="222">
        <f>_xll.qlCalendarAdvance(Calendar,X1581,W1582,"f",FALSE)</f>
        <v>49908</v>
      </c>
      <c r="Y1582" s="227">
        <f>_xll.qlCalendarAdvance(Calendar,X1582,NDays&amp;"D")</f>
        <v>49908</v>
      </c>
      <c r="Z1582" s="228">
        <v>3.3967477671151478E-2</v>
      </c>
      <c r="AA1582" s="230">
        <v>3.3936577171622684E-2</v>
      </c>
    </row>
    <row r="1583" spans="19:27" x14ac:dyDescent="0.2">
      <c r="S1583" s="32"/>
      <c r="T1583" s="187"/>
      <c r="W1583" s="221" t="str">
        <f t="shared" si="33"/>
        <v>1w</v>
      </c>
      <c r="X1583" s="222">
        <f>_xll.qlCalendarAdvance(Calendar,X1582,W1583,"f",FALSE)</f>
        <v>49915</v>
      </c>
      <c r="Y1583" s="227">
        <f>_xll.qlCalendarAdvance(Calendar,X1583,NDays&amp;"D")</f>
        <v>49915</v>
      </c>
      <c r="Z1583" s="228">
        <v>3.3959385527352164E-2</v>
      </c>
      <c r="AA1583" s="230">
        <v>3.3928398181959363E-2</v>
      </c>
    </row>
    <row r="1584" spans="19:27" x14ac:dyDescent="0.2">
      <c r="S1584" s="32"/>
      <c r="T1584" s="187"/>
      <c r="W1584" s="221" t="str">
        <f t="shared" si="33"/>
        <v>1w</v>
      </c>
      <c r="X1584" s="222">
        <f>_xll.qlCalendarAdvance(Calendar,X1583,W1584,"f",FALSE)</f>
        <v>49922</v>
      </c>
      <c r="Y1584" s="227">
        <f>_xll.qlCalendarAdvance(Calendar,X1584,NDays&amp;"D")</f>
        <v>49922</v>
      </c>
      <c r="Z1584" s="228">
        <v>3.3951343264073952E-2</v>
      </c>
      <c r="AA1584" s="230">
        <v>3.3920268923995911E-2</v>
      </c>
    </row>
    <row r="1585" spans="19:27" x14ac:dyDescent="0.2">
      <c r="S1585" s="32"/>
      <c r="T1585" s="187"/>
      <c r="W1585" s="221" t="str">
        <f t="shared" si="33"/>
        <v>1w</v>
      </c>
      <c r="X1585" s="222">
        <f>_xll.qlCalendarAdvance(Calendar,X1584,W1585,"f",FALSE)</f>
        <v>49929</v>
      </c>
      <c r="Y1585" s="227">
        <f>_xll.qlCalendarAdvance(Calendar,X1585,NDays&amp;"D")</f>
        <v>49929</v>
      </c>
      <c r="Z1585" s="228">
        <v>3.3943350881202872E-2</v>
      </c>
      <c r="AA1585" s="230">
        <v>3.3912189397570236E-2</v>
      </c>
    </row>
    <row r="1586" spans="19:27" x14ac:dyDescent="0.2">
      <c r="S1586" s="32"/>
      <c r="T1586" s="187"/>
      <c r="W1586" s="221" t="str">
        <f t="shared" si="33"/>
        <v>1w</v>
      </c>
      <c r="X1586" s="222">
        <f>_xll.qlCalendarAdvance(Calendar,X1585,W1586,"f",FALSE)</f>
        <v>49936</v>
      </c>
      <c r="Y1586" s="227">
        <f>_xll.qlCalendarAdvance(Calendar,X1586,NDays&amp;"D")</f>
        <v>49936</v>
      </c>
      <c r="Z1586" s="228">
        <v>3.3935408378640147E-2</v>
      </c>
      <c r="AA1586" s="230">
        <v>3.3904159602601291E-2</v>
      </c>
    </row>
    <row r="1587" spans="19:27" x14ac:dyDescent="0.2">
      <c r="S1587" s="32"/>
      <c r="T1587" s="187"/>
      <c r="W1587" s="221" t="str">
        <f t="shared" si="33"/>
        <v>1w</v>
      </c>
      <c r="X1587" s="222">
        <f>_xll.qlCalendarAdvance(Calendar,X1586,W1587,"f",FALSE)</f>
        <v>49943</v>
      </c>
      <c r="Y1587" s="227">
        <f>_xll.qlCalendarAdvance(Calendar,X1587,NDays&amp;"D")</f>
        <v>49943</v>
      </c>
      <c r="Z1587" s="228">
        <v>3.3927515756279406E-2</v>
      </c>
      <c r="AA1587" s="230">
        <v>3.3896179539332216E-2</v>
      </c>
    </row>
    <row r="1588" spans="19:27" x14ac:dyDescent="0.2">
      <c r="S1588" s="32"/>
      <c r="T1588" s="187"/>
      <c r="W1588" s="221" t="str">
        <f t="shared" si="33"/>
        <v>1w</v>
      </c>
      <c r="X1588" s="222">
        <f>_xll.qlCalendarAdvance(Calendar,X1587,W1588,"f",FALSE)</f>
        <v>49950</v>
      </c>
      <c r="Y1588" s="227">
        <f>_xll.qlCalendarAdvance(Calendar,X1588,NDays&amp;"D")</f>
        <v>49950</v>
      </c>
      <c r="Z1588" s="228">
        <v>3.3919673014016806E-2</v>
      </c>
      <c r="AA1588" s="230">
        <v>3.3888249207519872E-2</v>
      </c>
    </row>
    <row r="1589" spans="19:27" x14ac:dyDescent="0.2">
      <c r="S1589" s="32"/>
      <c r="T1589" s="187"/>
      <c r="W1589" s="221" t="str">
        <f t="shared" si="33"/>
        <v>1w</v>
      </c>
      <c r="X1589" s="222">
        <f>_xll.qlCalendarAdvance(Calendar,X1588,W1589,"f",FALSE)</f>
        <v>49957</v>
      </c>
      <c r="Y1589" s="227">
        <f>_xll.qlCalendarAdvance(Calendar,X1589,NDays&amp;"D")</f>
        <v>49957</v>
      </c>
      <c r="Z1589" s="228">
        <v>3.3911880151751041E-2</v>
      </c>
      <c r="AA1589" s="230">
        <v>3.3880368607407396E-2</v>
      </c>
    </row>
    <row r="1590" spans="19:27" x14ac:dyDescent="0.2">
      <c r="S1590" s="32"/>
      <c r="T1590" s="187"/>
      <c r="W1590" s="221" t="str">
        <f t="shared" si="33"/>
        <v>1w</v>
      </c>
      <c r="X1590" s="222">
        <f>_xll.qlCalendarAdvance(Calendar,X1589,W1590,"f",FALSE)</f>
        <v>49964</v>
      </c>
      <c r="Y1590" s="227">
        <f>_xll.qlCalendarAdvance(Calendar,X1590,NDays&amp;"D")</f>
        <v>49964</v>
      </c>
      <c r="Z1590" s="228">
        <v>3.3904137169380802E-2</v>
      </c>
      <c r="AA1590" s="230">
        <v>3.3872537738751651E-2</v>
      </c>
    </row>
    <row r="1591" spans="19:27" x14ac:dyDescent="0.2">
      <c r="S1591" s="32"/>
      <c r="T1591" s="187"/>
      <c r="W1591" s="221" t="str">
        <f t="shared" si="33"/>
        <v>1w</v>
      </c>
      <c r="X1591" s="222">
        <f>_xll.qlCalendarAdvance(Calendar,X1590,W1591,"f",FALSE)</f>
        <v>49971</v>
      </c>
      <c r="Y1591" s="227">
        <f>_xll.qlCalendarAdvance(Calendar,X1591,NDays&amp;"D")</f>
        <v>49971</v>
      </c>
      <c r="Z1591" s="228">
        <v>3.3896444066804782E-2</v>
      </c>
      <c r="AA1591" s="230">
        <v>3.3864756601714729E-2</v>
      </c>
    </row>
    <row r="1592" spans="19:27" x14ac:dyDescent="0.2">
      <c r="S1592" s="32"/>
      <c r="T1592" s="187"/>
      <c r="W1592" s="221" t="str">
        <f t="shared" si="33"/>
        <v>1w</v>
      </c>
      <c r="X1592" s="222">
        <f>_xll.qlCalendarAdvance(Calendar,X1591,W1592,"f",FALSE)</f>
        <v>49978</v>
      </c>
      <c r="Y1592" s="227">
        <f>_xll.qlCalendarAdvance(Calendar,X1592,NDays&amp;"D")</f>
        <v>49978</v>
      </c>
      <c r="Z1592" s="228">
        <v>3.3885711708618406E-2</v>
      </c>
      <c r="AA1592" s="230">
        <v>3.3857025196215584E-2</v>
      </c>
    </row>
    <row r="1593" spans="19:27" x14ac:dyDescent="0.2">
      <c r="S1593" s="32"/>
      <c r="T1593" s="187"/>
      <c r="W1593" s="221" t="str">
        <f t="shared" si="33"/>
        <v>1w</v>
      </c>
      <c r="X1593" s="222">
        <f>_xll.qlCalendarAdvance(Calendar,X1592,W1593,"f",FALSE)</f>
        <v>49985</v>
      </c>
      <c r="Y1593" s="227">
        <f>_xll.qlCalendarAdvance(Calendar,X1593,NDays&amp;"D")</f>
        <v>49985</v>
      </c>
      <c r="Z1593" s="228">
        <v>3.3881207500627633E-2</v>
      </c>
      <c r="AA1593" s="230">
        <v>3.3849343522254216E-2</v>
      </c>
    </row>
    <row r="1594" spans="19:27" x14ac:dyDescent="0.2">
      <c r="S1594" s="32"/>
      <c r="T1594" s="187"/>
      <c r="W1594" s="221" t="str">
        <f t="shared" si="33"/>
        <v>1w</v>
      </c>
      <c r="X1594" s="222">
        <f>_xll.qlCalendarAdvance(Calendar,X1593,W1594,"f",FALSE)</f>
        <v>49992</v>
      </c>
      <c r="Y1594" s="227">
        <f>_xll.qlCalendarAdvance(Calendar,X1594,NDays&amp;"D")</f>
        <v>49992</v>
      </c>
      <c r="Z1594" s="228">
        <v>3.3873664036831487E-2</v>
      </c>
      <c r="AA1594" s="230">
        <v>3.3841711579830625E-2</v>
      </c>
    </row>
    <row r="1595" spans="19:27" x14ac:dyDescent="0.2">
      <c r="S1595" s="32"/>
      <c r="T1595" s="187"/>
      <c r="W1595" s="221" t="str">
        <f t="shared" si="33"/>
        <v>1w</v>
      </c>
      <c r="X1595" s="222">
        <f>_xll.qlCalendarAdvance(Calendar,X1594,W1595,"f",FALSE)</f>
        <v>49999</v>
      </c>
      <c r="Y1595" s="227">
        <f>_xll.qlCalendarAdvance(Calendar,X1595,NDays&amp;"D")</f>
        <v>49999</v>
      </c>
      <c r="Z1595" s="228">
        <v>3.3866170452429394E-2</v>
      </c>
      <c r="AA1595" s="230">
        <v>3.3834129369025856E-2</v>
      </c>
    </row>
    <row r="1596" spans="19:27" x14ac:dyDescent="0.2">
      <c r="S1596" s="32"/>
      <c r="T1596" s="187"/>
      <c r="W1596" s="221" t="str">
        <f t="shared" si="33"/>
        <v>1w</v>
      </c>
      <c r="X1596" s="222">
        <f>_xll.qlCalendarAdvance(Calendar,X1595,W1596,"f",FALSE)</f>
        <v>50006</v>
      </c>
      <c r="Y1596" s="227">
        <f>_xll.qlCalendarAdvance(Calendar,X1596,NDays&amp;"D")</f>
        <v>50006</v>
      </c>
      <c r="Z1596" s="228">
        <v>3.3858726747322578E-2</v>
      </c>
      <c r="AA1596" s="230">
        <v>3.3826596889758864E-2</v>
      </c>
    </row>
    <row r="1597" spans="19:27" x14ac:dyDescent="0.2">
      <c r="S1597" s="32"/>
      <c r="T1597" s="187"/>
      <c r="W1597" s="221" t="str">
        <f t="shared" si="33"/>
        <v>1w</v>
      </c>
      <c r="X1597" s="222">
        <f>_xll.qlCalendarAdvance(Calendar,X1596,W1597,"f",FALSE)</f>
        <v>50013</v>
      </c>
      <c r="Y1597" s="227">
        <f>_xll.qlCalendarAdvance(Calendar,X1597,NDays&amp;"D")</f>
        <v>50013</v>
      </c>
      <c r="Z1597" s="228">
        <v>3.3851332921414796E-2</v>
      </c>
      <c r="AA1597" s="230">
        <v>3.3819114141948603E-2</v>
      </c>
    </row>
    <row r="1598" spans="19:27" x14ac:dyDescent="0.2">
      <c r="S1598" s="32"/>
      <c r="T1598" s="187"/>
      <c r="W1598" s="221" t="str">
        <f t="shared" si="33"/>
        <v>1w</v>
      </c>
      <c r="X1598" s="222">
        <f>_xll.qlCalendarAdvance(Calendar,X1597,W1598,"f",FALSE)</f>
        <v>50020</v>
      </c>
      <c r="Y1598" s="227">
        <f>_xll.qlCalendarAdvance(Calendar,X1598,NDays&amp;"D")</f>
        <v>50020</v>
      </c>
      <c r="Z1598" s="228">
        <v>3.3843988974614873E-2</v>
      </c>
      <c r="AA1598" s="230">
        <v>3.3811681125757165E-2</v>
      </c>
    </row>
    <row r="1599" spans="19:27" x14ac:dyDescent="0.2">
      <c r="S1599" s="32"/>
      <c r="T1599" s="187"/>
      <c r="W1599" s="221" t="str">
        <f t="shared" si="33"/>
        <v>1w</v>
      </c>
      <c r="X1599" s="222">
        <f>_xll.qlCalendarAdvance(Calendar,X1598,W1599,"f",FALSE)</f>
        <v>50027</v>
      </c>
      <c r="Y1599" s="227">
        <f>_xll.qlCalendarAdvance(Calendar,X1599,NDays&amp;"D")</f>
        <v>50027</v>
      </c>
      <c r="Z1599" s="228">
        <v>3.3836694906816435E-2</v>
      </c>
      <c r="AA1599" s="230">
        <v>3.3804297841022457E-2</v>
      </c>
    </row>
    <row r="1600" spans="19:27" x14ac:dyDescent="0.2">
      <c r="S1600" s="32"/>
      <c r="T1600" s="187"/>
      <c r="W1600" s="221" t="str">
        <f t="shared" si="33"/>
        <v>1w</v>
      </c>
      <c r="X1600" s="222">
        <f>_xll.qlCalendarAdvance(Calendar,X1599,W1600,"f",FALSE)</f>
        <v>50038</v>
      </c>
      <c r="Y1600" s="227">
        <f>_xll.qlCalendarAdvance(Calendar,X1600,NDays&amp;"D")</f>
        <v>50038</v>
      </c>
      <c r="Z1600" s="228">
        <v>3.3824278871115665E-2</v>
      </c>
      <c r="AA1600" s="230">
        <v>3.3792796014550097E-2</v>
      </c>
    </row>
    <row r="1601" spans="19:27" x14ac:dyDescent="0.2">
      <c r="S1601" s="32"/>
      <c r="T1601" s="187"/>
      <c r="W1601" s="221" t="str">
        <f t="shared" si="33"/>
        <v>1w</v>
      </c>
      <c r="X1601" s="222">
        <f>_xll.qlCalendarAdvance(Calendar,X1600,W1601,"f",FALSE)</f>
        <v>50045</v>
      </c>
      <c r="Y1601" s="227">
        <f>_xll.qlCalendarAdvance(Calendar,X1601,NDays&amp;"D")</f>
        <v>50045</v>
      </c>
      <c r="Z1601" s="228">
        <v>3.3817110163747985E-2</v>
      </c>
      <c r="AA1601" s="230">
        <v>3.3785540610958842E-2</v>
      </c>
    </row>
    <row r="1602" spans="19:27" x14ac:dyDescent="0.2">
      <c r="S1602" s="32"/>
      <c r="T1602" s="187"/>
      <c r="W1602" s="221" t="str">
        <f t="shared" si="33"/>
        <v>1w</v>
      </c>
      <c r="X1602" s="222">
        <f>_xll.qlCalendarAdvance(Calendar,X1601,W1602,"f",FALSE)</f>
        <v>50052</v>
      </c>
      <c r="Y1602" s="227">
        <f>_xll.qlCalendarAdvance(Calendar,X1602,NDays&amp;"D")</f>
        <v>50052</v>
      </c>
      <c r="Z1602" s="228">
        <v>3.3809991330303317E-2</v>
      </c>
      <c r="AA1602" s="230">
        <v>3.3778334938824317E-2</v>
      </c>
    </row>
    <row r="1603" spans="19:27" x14ac:dyDescent="0.2">
      <c r="S1603" s="32"/>
      <c r="T1603" s="187"/>
      <c r="W1603" s="221" t="str">
        <f t="shared" si="33"/>
        <v>1w</v>
      </c>
      <c r="X1603" s="222">
        <f>_xll.qlCalendarAdvance(Calendar,X1602,W1603,"f",FALSE)</f>
        <v>50059</v>
      </c>
      <c r="Y1603" s="227">
        <f>_xll.qlCalendarAdvance(Calendar,X1603,NDays&amp;"D")</f>
        <v>50059</v>
      </c>
      <c r="Z1603" s="228">
        <v>3.3802922370690165E-2</v>
      </c>
      <c r="AA1603" s="230">
        <v>3.3771178998227569E-2</v>
      </c>
    </row>
    <row r="1604" spans="19:27" x14ac:dyDescent="0.2">
      <c r="S1604" s="32"/>
      <c r="T1604" s="187"/>
      <c r="W1604" s="221" t="str">
        <f t="shared" si="33"/>
        <v>1w</v>
      </c>
      <c r="X1604" s="222">
        <f>_xll.qlCalendarAdvance(Calendar,X1603,W1604,"f",FALSE)</f>
        <v>50066</v>
      </c>
      <c r="Y1604" s="227">
        <f>_xll.qlCalendarAdvance(Calendar,X1604,NDays&amp;"D")</f>
        <v>50066</v>
      </c>
      <c r="Z1604" s="228">
        <v>3.3795903284817026E-2</v>
      </c>
      <c r="AA1604" s="230">
        <v>3.3764072789168598E-2</v>
      </c>
    </row>
    <row r="1605" spans="19:27" x14ac:dyDescent="0.2">
      <c r="S1605" s="32"/>
      <c r="T1605" s="187"/>
      <c r="W1605" s="221" t="str">
        <f t="shared" si="33"/>
        <v>1w</v>
      </c>
      <c r="X1605" s="222">
        <f>_xll.qlCalendarAdvance(Calendar,X1604,W1605,"f",FALSE)</f>
        <v>50073</v>
      </c>
      <c r="Y1605" s="227">
        <f>_xll.qlCalendarAdvance(Calendar,X1605,NDays&amp;"D")</f>
        <v>50073</v>
      </c>
      <c r="Z1605" s="228">
        <v>3.3785728389868444E-2</v>
      </c>
      <c r="AA1605" s="230">
        <v>3.3757016311647403E-2</v>
      </c>
    </row>
    <row r="1606" spans="19:27" x14ac:dyDescent="0.2">
      <c r="S1606" s="32"/>
      <c r="T1606" s="187"/>
      <c r="W1606" s="221" t="str">
        <f t="shared" si="33"/>
        <v>1w</v>
      </c>
      <c r="X1606" s="222">
        <f>_xll.qlCalendarAdvance(Calendar,X1605,W1606,"f",FALSE)</f>
        <v>50080</v>
      </c>
      <c r="Y1606" s="227">
        <f>_xll.qlCalendarAdvance(Calendar,X1606,NDays&amp;"D")</f>
        <v>50080</v>
      </c>
      <c r="Z1606" s="228">
        <v>3.3778800285487937E-2</v>
      </c>
      <c r="AA1606" s="230">
        <v>3.3750009565582939E-2</v>
      </c>
    </row>
    <row r="1607" spans="19:27" x14ac:dyDescent="0.2">
      <c r="S1607" s="32"/>
      <c r="T1607" s="187"/>
      <c r="W1607" s="221" t="str">
        <f t="shared" si="33"/>
        <v>1w</v>
      </c>
      <c r="X1607" s="222">
        <f>_xll.qlCalendarAdvance(Calendar,X1606,W1607,"f",FALSE)</f>
        <v>50087</v>
      </c>
      <c r="Y1607" s="227">
        <f>_xll.qlCalendarAdvance(Calendar,X1607,NDays&amp;"D")</f>
        <v>50087</v>
      </c>
      <c r="Z1607" s="228">
        <v>3.3771922040385725E-2</v>
      </c>
      <c r="AA1607" s="230">
        <v>3.3743052551056252E-2</v>
      </c>
    </row>
    <row r="1608" spans="19:27" x14ac:dyDescent="0.2">
      <c r="S1608" s="32"/>
      <c r="T1608" s="187"/>
      <c r="W1608" s="221" t="str">
        <f t="shared" si="33"/>
        <v>1w</v>
      </c>
      <c r="X1608" s="222">
        <f>_xll.qlCalendarAdvance(Calendar,X1607,W1608,"f",FALSE)</f>
        <v>50094</v>
      </c>
      <c r="Y1608" s="227">
        <f>_xll.qlCalendarAdvance(Calendar,X1608,NDays&amp;"D")</f>
        <v>50094</v>
      </c>
      <c r="Z1608" s="228">
        <v>3.3765093654483658E-2</v>
      </c>
      <c r="AA1608" s="230">
        <v>3.3736145267986295E-2</v>
      </c>
    </row>
    <row r="1609" spans="19:27" x14ac:dyDescent="0.2">
      <c r="S1609" s="32"/>
      <c r="T1609" s="187"/>
      <c r="W1609" s="221" t="str">
        <f t="shared" si="33"/>
        <v>1w</v>
      </c>
      <c r="X1609" s="222">
        <f>_xll.qlCalendarAdvance(Calendar,X1608,W1609,"f",FALSE)</f>
        <v>50101</v>
      </c>
      <c r="Y1609" s="227">
        <f>_xll.qlCalendarAdvance(Calendar,X1609,NDays&amp;"D")</f>
        <v>50101</v>
      </c>
      <c r="Z1609" s="228">
        <v>3.376155595850576E-2</v>
      </c>
      <c r="AA1609" s="230">
        <v>3.3729287716616208E-2</v>
      </c>
    </row>
    <row r="1610" spans="19:27" x14ac:dyDescent="0.2">
      <c r="S1610" s="32"/>
      <c r="T1610" s="187"/>
      <c r="W1610" s="221" t="str">
        <f t="shared" si="33"/>
        <v>1w</v>
      </c>
      <c r="X1610" s="222">
        <f>_xll.qlCalendarAdvance(Calendar,X1609,W1610,"f",FALSE)</f>
        <v>50108</v>
      </c>
      <c r="Y1610" s="227">
        <f>_xll.qlCalendarAdvance(Calendar,X1610,NDays&amp;"D")</f>
        <v>50108</v>
      </c>
      <c r="Z1610" s="228">
        <v>3.3754836113240004E-2</v>
      </c>
      <c r="AA1610" s="230">
        <v>3.3722479896540758E-2</v>
      </c>
    </row>
    <row r="1611" spans="19:27" x14ac:dyDescent="0.2">
      <c r="S1611" s="32"/>
      <c r="T1611" s="187"/>
      <c r="W1611" s="221" t="str">
        <f t="shared" si="33"/>
        <v>1w</v>
      </c>
      <c r="X1611" s="222">
        <f>_xll.qlCalendarAdvance(Calendar,X1610,W1611,"f",FALSE)</f>
        <v>50115</v>
      </c>
      <c r="Y1611" s="227">
        <f>_xll.qlCalendarAdvance(Calendar,X1611,NDays&amp;"D")</f>
        <v>50115</v>
      </c>
      <c r="Z1611" s="228">
        <v>3.3748166141110335E-2</v>
      </c>
      <c r="AA1611" s="230">
        <v>3.3715721808084131E-2</v>
      </c>
    </row>
    <row r="1612" spans="19:27" x14ac:dyDescent="0.2">
      <c r="S1612" s="32"/>
      <c r="T1612" s="187"/>
      <c r="W1612" s="221" t="str">
        <f t="shared" si="33"/>
        <v>1w</v>
      </c>
      <c r="X1612" s="222">
        <f>_xll.qlCalendarAdvance(Calendar,X1611,W1612,"f",FALSE)</f>
        <v>50122</v>
      </c>
      <c r="Y1612" s="227">
        <f>_xll.qlCalendarAdvance(Calendar,X1612,NDays&amp;"D")</f>
        <v>50122</v>
      </c>
      <c r="Z1612" s="228">
        <v>3.3741546042025249E-2</v>
      </c>
      <c r="AA1612" s="230">
        <v>3.3709013451003189E-2</v>
      </c>
    </row>
    <row r="1613" spans="19:27" x14ac:dyDescent="0.2">
      <c r="S1613" s="32"/>
      <c r="T1613" s="187"/>
      <c r="W1613" s="221" t="str">
        <f t="shared" si="33"/>
        <v>1w</v>
      </c>
      <c r="X1613" s="222">
        <f>_xll.qlCalendarAdvance(Calendar,X1612,W1613,"f",FALSE)</f>
        <v>50129</v>
      </c>
      <c r="Y1613" s="227">
        <f>_xll.qlCalendarAdvance(Calendar,X1613,NDays&amp;"D")</f>
        <v>50129</v>
      </c>
      <c r="Z1613" s="228">
        <v>3.3734975815906315E-2</v>
      </c>
      <c r="AA1613" s="230">
        <v>3.3702354825460024E-2</v>
      </c>
    </row>
    <row r="1614" spans="19:27" x14ac:dyDescent="0.2">
      <c r="S1614" s="32"/>
      <c r="T1614" s="187"/>
      <c r="W1614" s="221" t="str">
        <f t="shared" si="33"/>
        <v>1w</v>
      </c>
      <c r="X1614" s="222">
        <f>_xll.qlCalendarAdvance(Calendar,X1613,W1614,"f",FALSE)</f>
        <v>50137</v>
      </c>
      <c r="Y1614" s="227">
        <f>_xll.qlCalendarAdvance(Calendar,X1614,NDays&amp;"D")</f>
        <v>50137</v>
      </c>
      <c r="Z1614" s="228">
        <v>3.3726432253552319E-2</v>
      </c>
      <c r="AA1614" s="230">
        <v>3.3694805863486721E-2</v>
      </c>
    </row>
    <row r="1615" spans="19:27" x14ac:dyDescent="0.2">
      <c r="S1615" s="32"/>
      <c r="T1615" s="187"/>
      <c r="W1615" s="221" t="str">
        <f t="shared" si="33"/>
        <v>1w</v>
      </c>
      <c r="X1615" s="222">
        <f>_xll.qlCalendarAdvance(Calendar,X1614,W1615,"f",FALSE)</f>
        <v>50144</v>
      </c>
      <c r="Y1615" s="227">
        <f>_xll.qlCalendarAdvance(Calendar,X1615,NDays&amp;"D")</f>
        <v>50144</v>
      </c>
      <c r="Z1615" s="228">
        <v>3.3719965932092887E-2</v>
      </c>
      <c r="AA1615" s="230">
        <v>3.3688253805373991E-2</v>
      </c>
    </row>
    <row r="1616" spans="19:27" x14ac:dyDescent="0.2">
      <c r="S1616" s="32"/>
      <c r="T1616" s="187"/>
      <c r="W1616" s="221" t="str">
        <f t="shared" si="33"/>
        <v>1w</v>
      </c>
      <c r="X1616" s="222">
        <f>_xll.qlCalendarAdvance(Calendar,X1615,W1616,"f",FALSE)</f>
        <v>50151</v>
      </c>
      <c r="Y1616" s="227">
        <f>_xll.qlCalendarAdvance(Calendar,X1616,NDays&amp;"D")</f>
        <v>50151</v>
      </c>
      <c r="Z1616" s="228">
        <v>3.3713549478631553E-2</v>
      </c>
      <c r="AA1616" s="230">
        <v>3.3681751478880084E-2</v>
      </c>
    </row>
    <row r="1617" spans="19:27" x14ac:dyDescent="0.2">
      <c r="S1617" s="32"/>
      <c r="T1617" s="187"/>
      <c r="W1617" s="221" t="str">
        <f t="shared" si="33"/>
        <v>1w</v>
      </c>
      <c r="X1617" s="222">
        <f>_xll.qlCalendarAdvance(Calendar,X1616,W1617,"f",FALSE)</f>
        <v>50158</v>
      </c>
      <c r="Y1617" s="227">
        <f>_xll.qlCalendarAdvance(Calendar,X1617,NDays&amp;"D")</f>
        <v>50158</v>
      </c>
      <c r="Z1617" s="228">
        <v>3.3707182893089979E-2</v>
      </c>
      <c r="AA1617" s="230">
        <v>3.3675298883761862E-2</v>
      </c>
    </row>
    <row r="1618" spans="19:27" x14ac:dyDescent="0.2">
      <c r="S1618" s="32"/>
      <c r="T1618" s="187"/>
      <c r="W1618" s="221" t="str">
        <f t="shared" si="33"/>
        <v>1w</v>
      </c>
      <c r="X1618" s="222">
        <f>_xll.qlCalendarAdvance(Calendar,X1617,W1618,"f",FALSE)</f>
        <v>50165</v>
      </c>
      <c r="Y1618" s="227">
        <f>_xll.qlCalendarAdvance(Calendar,X1618,NDays&amp;"D")</f>
        <v>50165</v>
      </c>
      <c r="Z1618" s="228">
        <v>3.3701973867754392E-2</v>
      </c>
      <c r="AA1618" s="230">
        <v>3.3668896020181416E-2</v>
      </c>
    </row>
    <row r="1619" spans="19:27" x14ac:dyDescent="0.2">
      <c r="S1619" s="32"/>
      <c r="T1619" s="187"/>
      <c r="W1619" s="221" t="str">
        <f t="shared" si="33"/>
        <v>1w</v>
      </c>
      <c r="X1619" s="222">
        <f>_xll.qlCalendarAdvance(Calendar,X1618,W1619,"f",FALSE)</f>
        <v>50172</v>
      </c>
      <c r="Y1619" s="227">
        <f>_xll.qlCalendarAdvance(Calendar,X1619,NDays&amp;"D")</f>
        <v>50172</v>
      </c>
      <c r="Z1619" s="228">
        <v>3.369571000233116E-2</v>
      </c>
      <c r="AA1619" s="230">
        <v>3.3662542887976654E-2</v>
      </c>
    </row>
    <row r="1620" spans="19:27" x14ac:dyDescent="0.2">
      <c r="S1620" s="32"/>
      <c r="T1620" s="187"/>
      <c r="W1620" s="221" t="str">
        <f t="shared" si="33"/>
        <v>1w</v>
      </c>
      <c r="X1620" s="222">
        <f>_xll.qlCalendarAdvance(Calendar,X1619,W1620,"f",FALSE)</f>
        <v>50179</v>
      </c>
      <c r="Y1620" s="227">
        <f>_xll.qlCalendarAdvance(Calendar,X1620,NDays&amp;"D")</f>
        <v>50179</v>
      </c>
      <c r="Z1620" s="228">
        <v>3.3689496009291067E-2</v>
      </c>
      <c r="AA1620" s="230">
        <v>3.3656239487390716E-2</v>
      </c>
    </row>
    <row r="1621" spans="19:27" x14ac:dyDescent="0.2">
      <c r="S1621" s="32"/>
      <c r="T1621" s="187"/>
      <c r="W1621" s="221" t="str">
        <f t="shared" ref="W1621:W1684" si="34">W1620</f>
        <v>1w</v>
      </c>
      <c r="X1621" s="222">
        <f>_xll.qlCalendarAdvance(Calendar,X1620,W1621,"f",FALSE)</f>
        <v>50186</v>
      </c>
      <c r="Y1621" s="227">
        <f>_xll.qlCalendarAdvance(Calendar,X1621,NDays&amp;"D")</f>
        <v>50186</v>
      </c>
      <c r="Z1621" s="228">
        <v>3.3683331888553068E-2</v>
      </c>
      <c r="AA1621" s="230">
        <v>3.3649985818180461E-2</v>
      </c>
    </row>
    <row r="1622" spans="19:27" x14ac:dyDescent="0.2">
      <c r="S1622" s="32"/>
      <c r="T1622" s="187"/>
      <c r="W1622" s="221" t="str">
        <f t="shared" si="34"/>
        <v>1w</v>
      </c>
      <c r="X1622" s="222">
        <f>_xll.qlCalendarAdvance(Calendar,X1621,W1622,"f",FALSE)</f>
        <v>50193</v>
      </c>
      <c r="Y1622" s="227">
        <f>_xll.qlCalendarAdvance(Calendar,X1622,NDays&amp;"D")</f>
        <v>50193</v>
      </c>
      <c r="Z1622" s="228">
        <v>3.3676097981428274E-2</v>
      </c>
      <c r="AA1622" s="230">
        <v>3.3643781880426937E-2</v>
      </c>
    </row>
    <row r="1623" spans="19:27" x14ac:dyDescent="0.2">
      <c r="S1623" s="32"/>
      <c r="T1623" s="187"/>
      <c r="W1623" s="221" t="str">
        <f t="shared" si="34"/>
        <v>1w</v>
      </c>
      <c r="X1623" s="222">
        <f>_xll.qlCalendarAdvance(Calendar,X1622,W1623,"f",FALSE)</f>
        <v>50200</v>
      </c>
      <c r="Y1623" s="227">
        <f>_xll.qlCalendarAdvance(Calendar,X1623,NDays&amp;"D")</f>
        <v>50200</v>
      </c>
      <c r="Z1623" s="228">
        <v>3.3670030601778908E-2</v>
      </c>
      <c r="AA1623" s="230">
        <v>3.3637627674292236E-2</v>
      </c>
    </row>
    <row r="1624" spans="19:27" x14ac:dyDescent="0.2">
      <c r="S1624" s="32"/>
      <c r="T1624" s="187"/>
      <c r="W1624" s="221" t="str">
        <f t="shared" si="34"/>
        <v>1w</v>
      </c>
      <c r="X1624" s="222">
        <f>_xll.qlCalendarAdvance(Calendar,X1623,W1624,"f",FALSE)</f>
        <v>50207</v>
      </c>
      <c r="Y1624" s="227">
        <f>_xll.qlCalendarAdvance(Calendar,X1624,NDays&amp;"D")</f>
        <v>50207</v>
      </c>
      <c r="Z1624" s="228">
        <v>3.366401308950899E-2</v>
      </c>
      <c r="AA1624" s="230">
        <v>3.3631523199452174E-2</v>
      </c>
    </row>
    <row r="1625" spans="19:27" x14ac:dyDescent="0.2">
      <c r="S1625" s="32"/>
      <c r="T1625" s="187"/>
      <c r="W1625" s="221" t="str">
        <f t="shared" si="34"/>
        <v>1w</v>
      </c>
      <c r="X1625" s="222">
        <f>_xll.qlCalendarAdvance(Calendar,X1624,W1625,"f",FALSE)</f>
        <v>50214</v>
      </c>
      <c r="Y1625" s="227">
        <f>_xll.qlCalendarAdvance(Calendar,X1625,NDays&amp;"D")</f>
        <v>50214</v>
      </c>
      <c r="Z1625" s="228">
        <v>3.3658045444548278E-2</v>
      </c>
      <c r="AA1625" s="230">
        <v>3.3625468456149887E-2</v>
      </c>
    </row>
    <row r="1626" spans="19:27" x14ac:dyDescent="0.2">
      <c r="S1626" s="32"/>
      <c r="T1626" s="187"/>
      <c r="W1626" s="221" t="str">
        <f t="shared" si="34"/>
        <v>1w</v>
      </c>
      <c r="X1626" s="222">
        <f>_xll.qlCalendarAdvance(Calendar,X1625,W1626,"f",FALSE)</f>
        <v>50221</v>
      </c>
      <c r="Y1626" s="227">
        <f>_xll.qlCalendarAdvance(Calendar,X1626,NDays&amp;"D")</f>
        <v>50221</v>
      </c>
      <c r="Z1626" s="228">
        <v>3.3653259366738277E-2</v>
      </c>
      <c r="AA1626" s="230">
        <v>3.3619463444223285E-2</v>
      </c>
    </row>
    <row r="1627" spans="19:27" x14ac:dyDescent="0.2">
      <c r="S1627" s="32"/>
      <c r="T1627" s="187"/>
      <c r="W1627" s="221" t="str">
        <f t="shared" si="34"/>
        <v>1w</v>
      </c>
      <c r="X1627" s="222">
        <f>_xll.qlCalendarAdvance(Calendar,X1626,W1627,"f",FALSE)</f>
        <v>50228</v>
      </c>
      <c r="Y1627" s="227">
        <f>_xll.qlCalendarAdvance(Calendar,X1627,NDays&amp;"D")</f>
        <v>50228</v>
      </c>
      <c r="Z1627" s="228">
        <v>3.3647394478212841E-2</v>
      </c>
      <c r="AA1627" s="230">
        <v>3.361350816383446E-2</v>
      </c>
    </row>
    <row r="1628" spans="19:27" x14ac:dyDescent="0.2">
      <c r="S1628" s="32"/>
      <c r="T1628" s="187"/>
      <c r="W1628" s="221" t="str">
        <f t="shared" si="34"/>
        <v>1w</v>
      </c>
      <c r="X1628" s="222">
        <f>_xll.qlCalendarAdvance(Calendar,X1627,W1628,"f",FALSE)</f>
        <v>50235</v>
      </c>
      <c r="Y1628" s="227">
        <f>_xll.qlCalendarAdvance(Calendar,X1628,NDays&amp;"D")</f>
        <v>50235</v>
      </c>
      <c r="Z1628" s="228">
        <v>3.3641579461461388E-2</v>
      </c>
      <c r="AA1628" s="230">
        <v>3.3607602614902365E-2</v>
      </c>
    </row>
    <row r="1629" spans="19:27" x14ac:dyDescent="0.2">
      <c r="S1629" s="32"/>
      <c r="T1629" s="187"/>
      <c r="W1629" s="221" t="str">
        <f t="shared" si="34"/>
        <v>1w</v>
      </c>
      <c r="X1629" s="222">
        <f>_xll.qlCalendarAdvance(Calendar,X1628,W1629,"f",FALSE)</f>
        <v>50242</v>
      </c>
      <c r="Y1629" s="227">
        <f>_xll.qlCalendarAdvance(Calendar,X1629,NDays&amp;"D")</f>
        <v>50242</v>
      </c>
      <c r="Z1629" s="228">
        <v>3.3635814316405485E-2</v>
      </c>
      <c r="AA1629" s="230">
        <v>3.3601746797345955E-2</v>
      </c>
    </row>
    <row r="1630" spans="19:27" x14ac:dyDescent="0.2">
      <c r="S1630" s="32"/>
      <c r="T1630" s="187"/>
      <c r="W1630" s="221" t="str">
        <f t="shared" si="34"/>
        <v>1w</v>
      </c>
      <c r="X1630" s="222">
        <f>_xll.qlCalendarAdvance(Calendar,X1629,W1630,"f",FALSE)</f>
        <v>50249</v>
      </c>
      <c r="Y1630" s="227">
        <f>_xll.qlCalendarAdvance(Calendar,X1630,NDays&amp;"D")</f>
        <v>50249</v>
      </c>
      <c r="Z1630" s="228">
        <v>3.3630099042977167E-2</v>
      </c>
      <c r="AA1630" s="230">
        <v>3.3595940711327321E-2</v>
      </c>
    </row>
    <row r="1631" spans="19:27" x14ac:dyDescent="0.2">
      <c r="S1631" s="32"/>
      <c r="T1631" s="187"/>
      <c r="W1631" s="221" t="str">
        <f t="shared" si="34"/>
        <v>1w</v>
      </c>
      <c r="X1631" s="222">
        <f>_xll.qlCalendarAdvance(Calendar,X1630,W1631,"f",FALSE)</f>
        <v>50256</v>
      </c>
      <c r="Y1631" s="227">
        <f>_xll.qlCalendarAdvance(Calendar,X1631,NDays&amp;"D")</f>
        <v>50256</v>
      </c>
      <c r="Z1631" s="228">
        <v>3.3624433641097996E-2</v>
      </c>
      <c r="AA1631" s="230">
        <v>3.3590184356684372E-2</v>
      </c>
    </row>
    <row r="1632" spans="19:27" x14ac:dyDescent="0.2">
      <c r="S1632" s="32"/>
      <c r="T1632" s="187"/>
      <c r="W1632" s="221" t="str">
        <f t="shared" si="34"/>
        <v>1w</v>
      </c>
      <c r="X1632" s="222">
        <f>_xll.qlCalendarAdvance(Calendar,X1631,W1632,"f",FALSE)</f>
        <v>50263</v>
      </c>
      <c r="Y1632" s="227">
        <f>_xll.qlCalendarAdvance(Calendar,X1632,NDays&amp;"D")</f>
        <v>50263</v>
      </c>
      <c r="Z1632" s="228">
        <v>3.3618818110702615E-2</v>
      </c>
      <c r="AA1632" s="230">
        <v>3.3584477733579199E-2</v>
      </c>
    </row>
    <row r="1633" spans="19:27" x14ac:dyDescent="0.2">
      <c r="S1633" s="32"/>
      <c r="T1633" s="187"/>
      <c r="W1633" s="221" t="str">
        <f t="shared" si="34"/>
        <v>1w</v>
      </c>
      <c r="X1633" s="222">
        <f>_xll.qlCalendarAdvance(Calendar,X1632,W1633,"f",FALSE)</f>
        <v>50270</v>
      </c>
      <c r="Y1633" s="227">
        <f>_xll.qlCalendarAdvance(Calendar,X1633,NDays&amp;"D")</f>
        <v>50270</v>
      </c>
      <c r="Z1633" s="228">
        <v>3.3613252451715203E-2</v>
      </c>
      <c r="AA1633" s="230">
        <v>3.3578820841768664E-2</v>
      </c>
    </row>
    <row r="1634" spans="19:27" x14ac:dyDescent="0.2">
      <c r="S1634" s="32"/>
      <c r="T1634" s="187"/>
      <c r="W1634" s="221" t="str">
        <f t="shared" si="34"/>
        <v>1w</v>
      </c>
      <c r="X1634" s="222">
        <f>_xll.qlCalendarAdvance(Calendar,X1633,W1634,"f",FALSE)</f>
        <v>50277</v>
      </c>
      <c r="Y1634" s="227">
        <f>_xll.qlCalendarAdvance(Calendar,X1634,NDays&amp;"D")</f>
        <v>50277</v>
      </c>
      <c r="Z1634" s="228">
        <v>3.3607736664065177E-2</v>
      </c>
      <c r="AA1634" s="230">
        <v>3.3573213681495906E-2</v>
      </c>
    </row>
    <row r="1635" spans="19:27" x14ac:dyDescent="0.2">
      <c r="S1635" s="32"/>
      <c r="T1635" s="187"/>
      <c r="W1635" s="221" t="str">
        <f t="shared" si="34"/>
        <v>1w</v>
      </c>
      <c r="X1635" s="222">
        <f>_xll.qlCalendarAdvance(Calendar,X1634,W1635,"f",FALSE)</f>
        <v>50284</v>
      </c>
      <c r="Y1635" s="227">
        <f>_xll.qlCalendarAdvance(Calendar,X1635,NDays&amp;"D")</f>
        <v>50284</v>
      </c>
      <c r="Z1635" s="228">
        <v>3.3601111681243544E-2</v>
      </c>
      <c r="AA1635" s="230">
        <v>3.3567656252598832E-2</v>
      </c>
    </row>
    <row r="1636" spans="19:27" x14ac:dyDescent="0.2">
      <c r="S1636" s="32"/>
      <c r="T1636" s="187"/>
      <c r="W1636" s="221" t="str">
        <f t="shared" si="34"/>
        <v>1w</v>
      </c>
      <c r="X1636" s="222">
        <f>_xll.qlCalendarAdvance(Calendar,X1635,W1636,"f",FALSE)</f>
        <v>50291</v>
      </c>
      <c r="Y1636" s="227">
        <f>_xll.qlCalendarAdvance(Calendar,X1636,NDays&amp;"D")</f>
        <v>50291</v>
      </c>
      <c r="Z1636" s="228">
        <v>3.3595692572005051E-2</v>
      </c>
      <c r="AA1636" s="230">
        <v>3.3562148555239535E-2</v>
      </c>
    </row>
    <row r="1637" spans="19:27" x14ac:dyDescent="0.2">
      <c r="S1637" s="32"/>
      <c r="T1637" s="187"/>
      <c r="W1637" s="221" t="str">
        <f t="shared" si="34"/>
        <v>1w</v>
      </c>
      <c r="X1637" s="222">
        <f>_xll.qlCalendarAdvance(Calendar,X1636,W1637,"f",FALSE)</f>
        <v>50298</v>
      </c>
      <c r="Y1637" s="227">
        <f>_xll.qlCalendarAdvance(Calendar,X1637,NDays&amp;"D")</f>
        <v>50298</v>
      </c>
      <c r="Z1637" s="228">
        <v>3.3590323329238281E-2</v>
      </c>
      <c r="AA1637" s="230">
        <v>3.3556690589336968E-2</v>
      </c>
    </row>
    <row r="1638" spans="19:27" x14ac:dyDescent="0.2">
      <c r="S1638" s="32"/>
      <c r="T1638" s="187"/>
      <c r="W1638" s="221" t="str">
        <f t="shared" si="34"/>
        <v>1w</v>
      </c>
      <c r="X1638" s="222">
        <f>_xll.qlCalendarAdvance(Calendar,X1637,W1638,"f",FALSE)</f>
        <v>50305</v>
      </c>
      <c r="Y1638" s="227">
        <f>_xll.qlCalendarAdvance(Calendar,X1638,NDays&amp;"D")</f>
        <v>50305</v>
      </c>
      <c r="Z1638" s="228">
        <v>3.358500395288111E-2</v>
      </c>
      <c r="AA1638" s="230">
        <v>3.355128235472904E-2</v>
      </c>
    </row>
    <row r="1639" spans="19:27" x14ac:dyDescent="0.2">
      <c r="S1639" s="32"/>
      <c r="T1639" s="187"/>
      <c r="W1639" s="221" t="str">
        <f t="shared" si="34"/>
        <v>1w</v>
      </c>
      <c r="X1639" s="222">
        <f>_xll.qlCalendarAdvance(Calendar,X1638,W1639,"f",FALSE)</f>
        <v>50312</v>
      </c>
      <c r="Y1639" s="227">
        <f>_xll.qlCalendarAdvance(Calendar,X1639,NDays&amp;"D")</f>
        <v>50312</v>
      </c>
      <c r="Z1639" s="228">
        <v>3.3579734442865994E-2</v>
      </c>
      <c r="AA1639" s="230">
        <v>3.3545923851577841E-2</v>
      </c>
    </row>
    <row r="1640" spans="19:27" x14ac:dyDescent="0.2">
      <c r="S1640" s="32"/>
      <c r="T1640" s="187"/>
      <c r="W1640" s="221" t="str">
        <f t="shared" si="34"/>
        <v>1w</v>
      </c>
      <c r="X1640" s="222">
        <f>_xll.qlCalendarAdvance(Calendar,X1639,W1640,"f",FALSE)</f>
        <v>50319</v>
      </c>
      <c r="Y1640" s="227">
        <f>_xll.qlCalendarAdvance(Calendar,X1640,NDays&amp;"D")</f>
        <v>50319</v>
      </c>
      <c r="Z1640" s="228">
        <v>3.3575689232422559E-2</v>
      </c>
      <c r="AA1640" s="230">
        <v>3.3540615079883374E-2</v>
      </c>
    </row>
    <row r="1641" spans="19:27" x14ac:dyDescent="0.2">
      <c r="S1641" s="32"/>
      <c r="T1641" s="187"/>
      <c r="W1641" s="221" t="str">
        <f t="shared" si="34"/>
        <v>1w</v>
      </c>
      <c r="X1641" s="222">
        <f>_xll.qlCalendarAdvance(Calendar,X1640,W1641,"f",FALSE)</f>
        <v>50326</v>
      </c>
      <c r="Y1641" s="227">
        <f>_xll.qlCalendarAdvance(Calendar,X1641,NDays&amp;"D")</f>
        <v>50326</v>
      </c>
      <c r="Z1641" s="228">
        <v>3.35705225422257E-2</v>
      </c>
      <c r="AA1641" s="230">
        <v>3.3535356039645636E-2</v>
      </c>
    </row>
    <row r="1642" spans="19:27" x14ac:dyDescent="0.2">
      <c r="S1642" s="32"/>
      <c r="T1642" s="187"/>
      <c r="W1642" s="221" t="str">
        <f t="shared" si="34"/>
        <v>1w</v>
      </c>
      <c r="X1642" s="222">
        <f>_xll.qlCalendarAdvance(Calendar,X1641,W1642,"f",FALSE)</f>
        <v>50333</v>
      </c>
      <c r="Y1642" s="227">
        <f>_xll.qlCalendarAdvance(Calendar,X1642,NDays&amp;"D")</f>
        <v>50333</v>
      </c>
      <c r="Z1642" s="228">
        <v>3.3565405722827651E-2</v>
      </c>
      <c r="AA1642" s="230">
        <v>3.3530146730783583E-2</v>
      </c>
    </row>
    <row r="1643" spans="19:27" x14ac:dyDescent="0.2">
      <c r="S1643" s="32"/>
      <c r="T1643" s="187"/>
      <c r="W1643" s="221" t="str">
        <f t="shared" si="34"/>
        <v>1w</v>
      </c>
      <c r="X1643" s="222">
        <f>_xll.qlCalendarAdvance(Calendar,X1642,W1643,"f",FALSE)</f>
        <v>50340</v>
      </c>
      <c r="Y1643" s="227">
        <f>_xll.qlCalendarAdvance(Calendar,X1643,NDays&amp;"D")</f>
        <v>50340</v>
      </c>
      <c r="Z1643" s="228">
        <v>3.3560338774157837E-2</v>
      </c>
      <c r="AA1643" s="230">
        <v>3.3524987153378261E-2</v>
      </c>
    </row>
    <row r="1644" spans="19:27" x14ac:dyDescent="0.2">
      <c r="S1644" s="32"/>
      <c r="T1644" s="187"/>
      <c r="W1644" s="221" t="str">
        <f t="shared" si="34"/>
        <v>1w</v>
      </c>
      <c r="X1644" s="222">
        <f>_xll.qlCalendarAdvance(Calendar,X1643,W1644,"f",FALSE)</f>
        <v>50347</v>
      </c>
      <c r="Y1644" s="227">
        <f>_xll.qlCalendarAdvance(Calendar,X1644,NDays&amp;"D")</f>
        <v>50347</v>
      </c>
      <c r="Z1644" s="228">
        <v>3.3554134885668163E-2</v>
      </c>
      <c r="AA1644" s="230">
        <v>3.3519877307267576E-2</v>
      </c>
    </row>
    <row r="1645" spans="19:27" x14ac:dyDescent="0.2">
      <c r="S1645" s="32"/>
      <c r="T1645" s="187"/>
      <c r="W1645" s="221" t="str">
        <f t="shared" si="34"/>
        <v>1w</v>
      </c>
      <c r="X1645" s="222">
        <f>_xll.qlCalendarAdvance(Calendar,X1644,W1645,"f",FALSE)</f>
        <v>50354</v>
      </c>
      <c r="Y1645" s="227">
        <f>_xll.qlCalendarAdvance(Calendar,X1645,NDays&amp;"D")</f>
        <v>50354</v>
      </c>
      <c r="Z1645" s="228">
        <v>3.3549164572365418E-2</v>
      </c>
      <c r="AA1645" s="230">
        <v>3.3514817192694668E-2</v>
      </c>
    </row>
    <row r="1646" spans="19:27" x14ac:dyDescent="0.2">
      <c r="S1646" s="32"/>
      <c r="T1646" s="187"/>
      <c r="W1646" s="221" t="str">
        <f t="shared" si="34"/>
        <v>1w</v>
      </c>
      <c r="X1646" s="222">
        <f>_xll.qlCalendarAdvance(Calendar,X1645,W1646,"f",FALSE)</f>
        <v>50361</v>
      </c>
      <c r="Y1646" s="227">
        <f>_xll.qlCalendarAdvance(Calendar,X1646,NDays&amp;"D")</f>
        <v>50361</v>
      </c>
      <c r="Z1646" s="228">
        <v>3.3544244124967079E-2</v>
      </c>
      <c r="AA1646" s="230">
        <v>3.3509806809497444E-2</v>
      </c>
    </row>
    <row r="1647" spans="19:27" x14ac:dyDescent="0.2">
      <c r="S1647" s="32"/>
      <c r="T1647" s="187"/>
      <c r="W1647" s="221" t="str">
        <f t="shared" si="34"/>
        <v>1w</v>
      </c>
      <c r="X1647" s="222">
        <f>_xll.qlCalendarAdvance(Calendar,X1646,W1647,"f",FALSE)</f>
        <v>50368</v>
      </c>
      <c r="Y1647" s="227">
        <f>_xll.qlCalendarAdvance(Calendar,X1647,NDays&amp;"D")</f>
        <v>50368</v>
      </c>
      <c r="Z1647" s="228">
        <v>3.3539373543408302E-2</v>
      </c>
      <c r="AA1647" s="230">
        <v>3.3504846157756951E-2</v>
      </c>
    </row>
    <row r="1648" spans="19:27" x14ac:dyDescent="0.2">
      <c r="S1648" s="32"/>
      <c r="T1648" s="187"/>
      <c r="W1648" s="221" t="str">
        <f t="shared" si="34"/>
        <v>1w</v>
      </c>
      <c r="X1648" s="222">
        <f>_xll.qlCalendarAdvance(Calendar,X1647,W1648,"f",FALSE)</f>
        <v>50375</v>
      </c>
      <c r="Y1648" s="227">
        <f>_xll.qlCalendarAdvance(Calendar,X1648,NDays&amp;"D")</f>
        <v>50375</v>
      </c>
      <c r="Z1648" s="228">
        <v>3.3539352102312937E-2</v>
      </c>
      <c r="AA1648" s="230">
        <v>3.3499935237392142E-2</v>
      </c>
    </row>
    <row r="1649" spans="19:27" x14ac:dyDescent="0.2">
      <c r="S1649" s="32"/>
      <c r="T1649" s="187"/>
      <c r="W1649" s="221" t="str">
        <f t="shared" si="34"/>
        <v>1w</v>
      </c>
      <c r="X1649" s="222">
        <f>_xll.qlCalendarAdvance(Calendar,X1648,W1649,"f",FALSE)</f>
        <v>50382</v>
      </c>
      <c r="Y1649" s="227">
        <f>_xll.qlCalendarAdvance(Calendar,X1649,NDays&amp;"D")</f>
        <v>50382</v>
      </c>
      <c r="Z1649" s="228">
        <v>3.3530984363993793E-2</v>
      </c>
      <c r="AA1649" s="230">
        <v>3.3495074048403017E-2</v>
      </c>
    </row>
    <row r="1650" spans="19:27" x14ac:dyDescent="0.2">
      <c r="S1650" s="32"/>
      <c r="T1650" s="187"/>
      <c r="W1650" s="221" t="str">
        <f t="shared" si="34"/>
        <v>1w</v>
      </c>
      <c r="X1650" s="222">
        <f>_xll.qlCalendarAdvance(Calendar,X1649,W1650,"f",FALSE)</f>
        <v>50389</v>
      </c>
      <c r="Y1650" s="227">
        <f>_xll.qlCalendarAdvance(Calendar,X1650,NDays&amp;"D")</f>
        <v>50389</v>
      </c>
      <c r="Z1650" s="228">
        <v>3.3526266508690845E-2</v>
      </c>
      <c r="AA1650" s="230">
        <v>3.3490262590951669E-2</v>
      </c>
    </row>
    <row r="1651" spans="19:27" x14ac:dyDescent="0.2">
      <c r="S1651" s="32"/>
      <c r="T1651" s="187"/>
      <c r="W1651" s="221" t="str">
        <f t="shared" si="34"/>
        <v>1w</v>
      </c>
      <c r="X1651" s="222">
        <f>_xll.qlCalendarAdvance(Calendar,X1650,W1651,"f",FALSE)</f>
        <v>50396</v>
      </c>
      <c r="Y1651" s="227">
        <f>_xll.qlCalendarAdvance(Calendar,X1651,NDays&amp;"D")</f>
        <v>50396</v>
      </c>
      <c r="Z1651" s="228">
        <v>3.3521598523627232E-2</v>
      </c>
      <c r="AA1651" s="230">
        <v>3.3485500864713913E-2</v>
      </c>
    </row>
    <row r="1652" spans="19:27" x14ac:dyDescent="0.2">
      <c r="S1652" s="32"/>
      <c r="T1652" s="187"/>
      <c r="W1652" s="221" t="str">
        <f t="shared" si="34"/>
        <v>1w</v>
      </c>
      <c r="X1652" s="222">
        <f>_xll.qlCalendarAdvance(Calendar,X1651,W1652,"f",FALSE)</f>
        <v>50403</v>
      </c>
      <c r="Y1652" s="227">
        <f>_xll.qlCalendarAdvance(Calendar,X1652,NDays&amp;"D")</f>
        <v>50403</v>
      </c>
      <c r="Z1652" s="228">
        <v>3.351698040874021E-2</v>
      </c>
      <c r="AA1652" s="230">
        <v>3.3480788870013933E-2</v>
      </c>
    </row>
    <row r="1653" spans="19:27" x14ac:dyDescent="0.2">
      <c r="S1653" s="32"/>
      <c r="T1653" s="187"/>
      <c r="W1653" s="221" t="str">
        <f t="shared" si="34"/>
        <v>1w</v>
      </c>
      <c r="X1653" s="222">
        <f>_xll.qlCalendarAdvance(Calendar,X1652,W1653,"f",FALSE)</f>
        <v>50410</v>
      </c>
      <c r="Y1653" s="227">
        <f>_xll.qlCalendarAdvance(Calendar,X1653,NDays&amp;"D")</f>
        <v>50410</v>
      </c>
      <c r="Z1653" s="228">
        <v>3.351241216397749E-2</v>
      </c>
      <c r="AA1653" s="230">
        <v>3.3476126606608592E-2</v>
      </c>
    </row>
    <row r="1654" spans="19:27" x14ac:dyDescent="0.2">
      <c r="S1654" s="32"/>
      <c r="T1654" s="187"/>
      <c r="W1654" s="221" t="str">
        <f t="shared" si="34"/>
        <v>1w</v>
      </c>
      <c r="X1654" s="222">
        <f>_xll.qlCalendarAdvance(Calendar,X1653,W1654,"f",FALSE)</f>
        <v>50417</v>
      </c>
      <c r="Y1654" s="227">
        <f>_xll.qlCalendarAdvance(Calendar,X1654,NDays&amp;"D")</f>
        <v>50417</v>
      </c>
      <c r="Z1654" s="228">
        <v>3.3507893789271097E-2</v>
      </c>
      <c r="AA1654" s="230">
        <v>3.3471514074741027E-2</v>
      </c>
    </row>
    <row r="1655" spans="19:27" x14ac:dyDescent="0.2">
      <c r="S1655" s="32"/>
      <c r="T1655" s="187"/>
      <c r="W1655" s="221" t="str">
        <f t="shared" si="34"/>
        <v>1w</v>
      </c>
      <c r="X1655" s="222">
        <f>_xll.qlCalendarAdvance(Calendar,X1654,W1655,"f",FALSE)</f>
        <v>50424</v>
      </c>
      <c r="Y1655" s="227">
        <f>_xll.qlCalendarAdvance(Calendar,X1655,NDays&amp;"D")</f>
        <v>50424</v>
      </c>
      <c r="Z1655" s="228">
        <v>3.3503425284571356E-2</v>
      </c>
      <c r="AA1655" s="230">
        <v>3.3466951274087053E-2</v>
      </c>
    </row>
    <row r="1656" spans="19:27" x14ac:dyDescent="0.2">
      <c r="S1656" s="32"/>
      <c r="T1656" s="187"/>
      <c r="W1656" s="221" t="str">
        <f t="shared" si="34"/>
        <v>1w</v>
      </c>
      <c r="X1656" s="222">
        <f>_xll.qlCalendarAdvance(Calendar,X1655,W1656,"f",FALSE)</f>
        <v>50431</v>
      </c>
      <c r="Y1656" s="227">
        <f>_xll.qlCalendarAdvance(Calendar,X1656,NDays&amp;"D")</f>
        <v>50431</v>
      </c>
      <c r="Z1656" s="228">
        <v>3.349900664981291E-2</v>
      </c>
      <c r="AA1656" s="230">
        <v>3.3462438204889811E-2</v>
      </c>
    </row>
    <row r="1657" spans="19:27" x14ac:dyDescent="0.2">
      <c r="S1657" s="32"/>
      <c r="T1657" s="187"/>
      <c r="W1657" s="221" t="str">
        <f t="shared" si="34"/>
        <v>1w</v>
      </c>
      <c r="X1657" s="222">
        <f>_xll.qlCalendarAdvance(Calendar,X1656,W1657,"f",FALSE)</f>
        <v>50438</v>
      </c>
      <c r="Y1657" s="227">
        <f>_xll.qlCalendarAdvance(Calendar,X1657,NDays&amp;"D")</f>
        <v>50438</v>
      </c>
      <c r="Z1657" s="228">
        <v>3.3490956368699656E-2</v>
      </c>
      <c r="AA1657" s="230">
        <v>3.3457974867149298E-2</v>
      </c>
    </row>
    <row r="1658" spans="19:27" x14ac:dyDescent="0.2">
      <c r="S1658" s="32"/>
      <c r="T1658" s="187"/>
      <c r="W1658" s="221" t="str">
        <f t="shared" si="34"/>
        <v>1w</v>
      </c>
      <c r="X1658" s="222">
        <f>_xll.qlCalendarAdvance(Calendar,X1657,W1658,"f",FALSE)</f>
        <v>50445</v>
      </c>
      <c r="Y1658" s="227">
        <f>_xll.qlCalendarAdvance(Calendar,X1658,NDays&amp;"D")</f>
        <v>50445</v>
      </c>
      <c r="Z1658" s="228">
        <v>3.3486627977317912E-2</v>
      </c>
      <c r="AA1658" s="230">
        <v>3.345356126078447E-2</v>
      </c>
    </row>
    <row r="1659" spans="19:27" x14ac:dyDescent="0.2">
      <c r="S1659" s="32"/>
      <c r="T1659" s="187"/>
      <c r="W1659" s="221" t="str">
        <f t="shared" si="34"/>
        <v>1w</v>
      </c>
      <c r="X1659" s="222">
        <f>_xll.qlCalendarAdvance(Calendar,X1658,W1659,"f",FALSE)</f>
        <v>50452</v>
      </c>
      <c r="Y1659" s="227">
        <f>_xll.qlCalendarAdvance(Calendar,X1659,NDays&amp;"D")</f>
        <v>50452</v>
      </c>
      <c r="Z1659" s="228">
        <v>3.3482349441865518E-2</v>
      </c>
      <c r="AA1659" s="230">
        <v>3.3449197385795326E-2</v>
      </c>
    </row>
    <row r="1660" spans="19:27" x14ac:dyDescent="0.2">
      <c r="S1660" s="32"/>
      <c r="T1660" s="187"/>
      <c r="W1660" s="221" t="str">
        <f t="shared" si="34"/>
        <v>1w</v>
      </c>
      <c r="X1660" s="222">
        <f>_xll.qlCalendarAdvance(Calendar,X1659,W1660,"f",FALSE)</f>
        <v>50459</v>
      </c>
      <c r="Y1660" s="227">
        <f>_xll.qlCalendarAdvance(Calendar,X1660,NDays&amp;"D")</f>
        <v>50459</v>
      </c>
      <c r="Z1660" s="228">
        <v>3.347812076229905E-2</v>
      </c>
      <c r="AA1660" s="230">
        <v>3.3444883242262913E-2</v>
      </c>
    </row>
    <row r="1661" spans="19:27" x14ac:dyDescent="0.2">
      <c r="S1661" s="32"/>
      <c r="T1661" s="187"/>
      <c r="W1661" s="221" t="str">
        <f t="shared" si="34"/>
        <v>1w</v>
      </c>
      <c r="X1661" s="222">
        <f>_xll.qlCalendarAdvance(Calendar,X1660,W1661,"f",FALSE)</f>
        <v>50466</v>
      </c>
      <c r="Y1661" s="227">
        <f>_xll.qlCalendarAdvance(Calendar,X1661,NDays&amp;"D")</f>
        <v>50466</v>
      </c>
      <c r="Z1661" s="228">
        <v>3.3477661523317881E-2</v>
      </c>
      <c r="AA1661" s="230">
        <v>3.3440618829944091E-2</v>
      </c>
    </row>
    <row r="1662" spans="19:27" x14ac:dyDescent="0.2">
      <c r="S1662" s="32"/>
      <c r="T1662" s="187"/>
      <c r="W1662" s="221" t="str">
        <f t="shared" si="34"/>
        <v>1w</v>
      </c>
      <c r="X1662" s="222">
        <f>_xll.qlCalendarAdvance(Calendar,X1661,W1662,"f",FALSE)</f>
        <v>50473</v>
      </c>
      <c r="Y1662" s="227">
        <f>_xll.qlCalendarAdvance(Calendar,X1662,NDays&amp;"D")</f>
        <v>50473</v>
      </c>
      <c r="Z1662" s="228">
        <v>3.3473542107096091E-2</v>
      </c>
      <c r="AA1662" s="230">
        <v>3.3436404149082E-2</v>
      </c>
    </row>
    <row r="1663" spans="19:27" x14ac:dyDescent="0.2">
      <c r="S1663" s="32"/>
      <c r="T1663" s="187"/>
      <c r="W1663" s="221" t="str">
        <f t="shared" si="34"/>
        <v>1w</v>
      </c>
      <c r="X1663" s="222">
        <f>_xll.qlCalendarAdvance(Calendar,X1662,W1663,"f",FALSE)</f>
        <v>50480</v>
      </c>
      <c r="Y1663" s="227">
        <f>_xll.qlCalendarAdvance(Calendar,X1663,NDays&amp;"D")</f>
        <v>50480</v>
      </c>
      <c r="Z1663" s="228">
        <v>3.3469472560441735E-2</v>
      </c>
      <c r="AA1663" s="230">
        <v>3.3432239199676639E-2</v>
      </c>
    </row>
    <row r="1664" spans="19:27" x14ac:dyDescent="0.2">
      <c r="S1664" s="32"/>
      <c r="T1664" s="187"/>
      <c r="W1664" s="221" t="str">
        <f t="shared" si="34"/>
        <v>1w</v>
      </c>
      <c r="X1664" s="222">
        <f>_xll.qlCalendarAdvance(Calendar,X1663,W1664,"f",FALSE)</f>
        <v>50487</v>
      </c>
      <c r="Y1664" s="227">
        <f>_xll.qlCalendarAdvance(Calendar,X1664,NDays&amp;"D")</f>
        <v>50487</v>
      </c>
      <c r="Z1664" s="228">
        <v>3.3470455926963946E-2</v>
      </c>
      <c r="AA1664" s="230">
        <v>3.3428123981646962E-2</v>
      </c>
    </row>
    <row r="1665" spans="19:27" x14ac:dyDescent="0.2">
      <c r="S1665" s="32"/>
      <c r="T1665" s="187"/>
      <c r="W1665" s="221" t="str">
        <f t="shared" si="34"/>
        <v>1w</v>
      </c>
      <c r="X1665" s="222">
        <f>_xll.qlCalendarAdvance(Calendar,X1664,W1665,"f",FALSE)</f>
        <v>50494</v>
      </c>
      <c r="Y1665" s="227">
        <f>_xll.qlCalendarAdvance(Calendar,X1665,NDays&amp;"D")</f>
        <v>50494</v>
      </c>
      <c r="Z1665" s="228">
        <v>3.346148307563402E-2</v>
      </c>
      <c r="AA1665" s="230">
        <v>3.3424058494830877E-2</v>
      </c>
    </row>
    <row r="1666" spans="19:27" x14ac:dyDescent="0.2">
      <c r="S1666" s="32"/>
      <c r="T1666" s="187"/>
      <c r="W1666" s="221" t="str">
        <f t="shared" si="34"/>
        <v>1w</v>
      </c>
      <c r="X1666" s="222">
        <f>_xll.qlCalendarAdvance(Calendar,X1665,W1666,"f",FALSE)</f>
        <v>50501</v>
      </c>
      <c r="Y1666" s="227">
        <f>_xll.qlCalendarAdvance(Calendar,X1666,NDays&amp;"D")</f>
        <v>50501</v>
      </c>
      <c r="Z1666" s="228">
        <v>3.345630692802308E-2</v>
      </c>
      <c r="AA1666" s="230">
        <v>3.3420042739552569E-2</v>
      </c>
    </row>
    <row r="1667" spans="19:27" x14ac:dyDescent="0.2">
      <c r="S1667" s="32"/>
      <c r="T1667" s="187"/>
      <c r="W1667" s="221" t="str">
        <f t="shared" si="34"/>
        <v>1w</v>
      </c>
      <c r="X1667" s="222">
        <f>_xll.qlCalendarAdvance(Calendar,X1666,W1667,"f",FALSE)</f>
        <v>50508</v>
      </c>
      <c r="Y1667" s="227">
        <f>_xll.qlCalendarAdvance(Calendar,X1667,NDays&amp;"D")</f>
        <v>50508</v>
      </c>
      <c r="Z1667" s="228">
        <v>3.3452433651576907E-2</v>
      </c>
      <c r="AA1667" s="230">
        <v>3.3416076715568899E-2</v>
      </c>
    </row>
    <row r="1668" spans="19:27" x14ac:dyDescent="0.2">
      <c r="S1668" s="32"/>
      <c r="T1668" s="187"/>
      <c r="W1668" s="221" t="str">
        <f t="shared" si="34"/>
        <v>1w</v>
      </c>
      <c r="X1668" s="222">
        <f>_xll.qlCalendarAdvance(Calendar,X1667,W1668,"f",FALSE)</f>
        <v>50515</v>
      </c>
      <c r="Y1668" s="227">
        <f>_xll.qlCalendarAdvance(Calendar,X1668,NDays&amp;"D")</f>
        <v>50515</v>
      </c>
      <c r="Z1668" s="228">
        <v>3.3448610239846466E-2</v>
      </c>
      <c r="AA1668" s="230">
        <v>3.3412160423041959E-2</v>
      </c>
    </row>
    <row r="1669" spans="19:27" x14ac:dyDescent="0.2">
      <c r="S1669" s="32"/>
      <c r="T1669" s="187"/>
      <c r="W1669" s="221" t="str">
        <f t="shared" si="34"/>
        <v>1w</v>
      </c>
      <c r="X1669" s="222">
        <f>_xll.qlCalendarAdvance(Calendar,X1668,W1669,"f",FALSE)</f>
        <v>50522</v>
      </c>
      <c r="Y1669" s="227">
        <f>_xll.qlCalendarAdvance(Calendar,X1669,NDays&amp;"D")</f>
        <v>50522</v>
      </c>
      <c r="Z1669" s="228">
        <v>3.3444836692785827E-2</v>
      </c>
      <c r="AA1669" s="230">
        <v>3.3408293861890703E-2</v>
      </c>
    </row>
    <row r="1670" spans="19:27" x14ac:dyDescent="0.2">
      <c r="S1670" s="32"/>
      <c r="T1670" s="187"/>
      <c r="W1670" s="221" t="str">
        <f t="shared" si="34"/>
        <v>1w</v>
      </c>
      <c r="X1670" s="222">
        <f>_xll.qlCalendarAdvance(Calendar,X1669,W1670,"f",FALSE)</f>
        <v>50529</v>
      </c>
      <c r="Y1670" s="227">
        <f>_xll.qlCalendarAdvance(Calendar,X1670,NDays&amp;"D")</f>
        <v>50529</v>
      </c>
      <c r="Z1670" s="228">
        <v>3.3442382077535041E-2</v>
      </c>
      <c r="AA1670" s="230">
        <v>3.3404477032034086E-2</v>
      </c>
    </row>
    <row r="1671" spans="19:27" x14ac:dyDescent="0.2">
      <c r="S1671" s="32"/>
      <c r="T1671" s="187"/>
      <c r="W1671" s="221" t="str">
        <f t="shared" si="34"/>
        <v>1w</v>
      </c>
      <c r="X1671" s="222">
        <f>_xll.qlCalendarAdvance(Calendar,X1670,W1671,"f",FALSE)</f>
        <v>50536</v>
      </c>
      <c r="Y1671" s="227">
        <f>_xll.qlCalendarAdvance(Calendar,X1671,NDays&amp;"D")</f>
        <v>50536</v>
      </c>
      <c r="Z1671" s="228">
        <v>3.3438711485629311E-2</v>
      </c>
      <c r="AA1671" s="230">
        <v>3.3400709933553152E-2</v>
      </c>
    </row>
    <row r="1672" spans="19:27" x14ac:dyDescent="0.2">
      <c r="S1672" s="32"/>
      <c r="T1672" s="187"/>
      <c r="W1672" s="221" t="str">
        <f t="shared" si="34"/>
        <v>1w</v>
      </c>
      <c r="X1672" s="222">
        <f>_xll.qlCalendarAdvance(Calendar,X1671,W1672,"f",FALSE)</f>
        <v>50543</v>
      </c>
      <c r="Y1672" s="227">
        <f>_xll.qlCalendarAdvance(Calendar,X1672,NDays&amp;"D")</f>
        <v>50543</v>
      </c>
      <c r="Z1672" s="228">
        <v>3.343509076284918E-2</v>
      </c>
      <c r="AA1672" s="230">
        <v>3.3396992566447903E-2</v>
      </c>
    </row>
    <row r="1673" spans="19:27" x14ac:dyDescent="0.2">
      <c r="S1673" s="32"/>
      <c r="T1673" s="187"/>
      <c r="W1673" s="221" t="str">
        <f t="shared" si="34"/>
        <v>1w</v>
      </c>
      <c r="X1673" s="222">
        <f>_xll.qlCalendarAdvance(Calendar,X1672,W1673,"f",FALSE)</f>
        <v>50550</v>
      </c>
      <c r="Y1673" s="227">
        <f>_xll.qlCalendarAdvance(Calendar,X1673,NDays&amp;"D")</f>
        <v>50550</v>
      </c>
      <c r="Z1673" s="228">
        <v>3.3431519909150213E-2</v>
      </c>
      <c r="AA1673" s="230">
        <v>3.3393324930637291E-2</v>
      </c>
    </row>
    <row r="1674" spans="19:27" x14ac:dyDescent="0.2">
      <c r="S1674" s="32"/>
      <c r="T1674" s="187"/>
      <c r="W1674" s="221" t="str">
        <f t="shared" si="34"/>
        <v>1w</v>
      </c>
      <c r="X1674" s="222">
        <f>_xll.qlCalendarAdvance(Calendar,X1673,W1674,"f",FALSE)</f>
        <v>50557</v>
      </c>
      <c r="Y1674" s="227">
        <f>_xll.qlCalendarAdvance(Calendar,X1674,NDays&amp;"D")</f>
        <v>50557</v>
      </c>
      <c r="Z1674" s="228">
        <v>3.3426716925924915E-2</v>
      </c>
      <c r="AA1674" s="230">
        <v>3.3389707026283411E-2</v>
      </c>
    </row>
    <row r="1675" spans="19:27" x14ac:dyDescent="0.2">
      <c r="S1675" s="32"/>
      <c r="T1675" s="187"/>
      <c r="W1675" s="221" t="str">
        <f t="shared" si="34"/>
        <v>1w</v>
      </c>
      <c r="X1675" s="222">
        <f>_xll.qlCalendarAdvance(Calendar,X1674,W1675,"f",FALSE)</f>
        <v>50564</v>
      </c>
      <c r="Y1675" s="227">
        <f>_xll.qlCalendarAdvance(Calendar,X1675,NDays&amp;"D")</f>
        <v>50564</v>
      </c>
      <c r="Z1675" s="228">
        <v>3.342324256593214E-2</v>
      </c>
      <c r="AA1675" s="230">
        <v>3.3386138853305214E-2</v>
      </c>
    </row>
    <row r="1676" spans="19:27" x14ac:dyDescent="0.2">
      <c r="S1676" s="32"/>
      <c r="T1676" s="187"/>
      <c r="W1676" s="221" t="str">
        <f t="shared" si="34"/>
        <v>1w</v>
      </c>
      <c r="X1676" s="222">
        <f>_xll.qlCalendarAdvance(Calendar,X1675,W1676,"f",FALSE)</f>
        <v>50571</v>
      </c>
      <c r="Y1676" s="227">
        <f>_xll.qlCalendarAdvance(Calendar,X1676,NDays&amp;"D")</f>
        <v>50571</v>
      </c>
      <c r="Z1676" s="228">
        <v>3.3419818070290375E-2</v>
      </c>
      <c r="AA1676" s="230">
        <v>3.3382620411621655E-2</v>
      </c>
    </row>
    <row r="1677" spans="19:27" x14ac:dyDescent="0.2">
      <c r="S1677" s="32"/>
      <c r="T1677" s="187"/>
      <c r="W1677" s="221" t="str">
        <f t="shared" si="34"/>
        <v>1w</v>
      </c>
      <c r="X1677" s="222">
        <f>_xll.qlCalendarAdvance(Calendar,X1676,W1677,"f",FALSE)</f>
        <v>50578</v>
      </c>
      <c r="Y1677" s="227">
        <f>_xll.qlCalendarAdvance(Calendar,X1677,NDays&amp;"D")</f>
        <v>50578</v>
      </c>
      <c r="Z1677" s="228">
        <v>3.3416443438972619E-2</v>
      </c>
      <c r="AA1677" s="230">
        <v>3.3379151701313781E-2</v>
      </c>
    </row>
    <row r="1678" spans="19:27" x14ac:dyDescent="0.2">
      <c r="S1678" s="32"/>
      <c r="T1678" s="187"/>
      <c r="W1678" s="221" t="str">
        <f t="shared" si="34"/>
        <v>1w</v>
      </c>
      <c r="X1678" s="222">
        <f>_xll.qlCalendarAdvance(Calendar,X1677,W1678,"f",FALSE)</f>
        <v>50585</v>
      </c>
      <c r="Y1678" s="227">
        <f>_xll.qlCalendarAdvance(Calendar,X1678,NDays&amp;"D")</f>
        <v>50585</v>
      </c>
      <c r="Z1678" s="228">
        <v>3.3413118671927533E-2</v>
      </c>
      <c r="AA1678" s="230">
        <v>3.3375732722462637E-2</v>
      </c>
    </row>
    <row r="1679" spans="19:27" x14ac:dyDescent="0.2">
      <c r="S1679" s="32"/>
      <c r="T1679" s="187"/>
      <c r="W1679" s="221" t="str">
        <f t="shared" si="34"/>
        <v>1w</v>
      </c>
      <c r="X1679" s="222">
        <f>_xll.qlCalendarAdvance(Calendar,X1678,W1679,"f",FALSE)</f>
        <v>50592</v>
      </c>
      <c r="Y1679" s="227">
        <f>_xll.qlCalendarAdvance(Calendar,X1679,NDays&amp;"D")</f>
        <v>50592</v>
      </c>
      <c r="Z1679" s="228">
        <v>3.3411142035184908E-2</v>
      </c>
      <c r="AA1679" s="230">
        <v>3.3372363474825084E-2</v>
      </c>
    </row>
    <row r="1680" spans="19:27" x14ac:dyDescent="0.2">
      <c r="S1680" s="32"/>
      <c r="T1680" s="187"/>
      <c r="W1680" s="221" t="str">
        <f t="shared" si="34"/>
        <v>1w</v>
      </c>
      <c r="X1680" s="222">
        <f>_xll.qlCalendarAdvance(Calendar,X1679,W1680,"f",FALSE)</f>
        <v>50599</v>
      </c>
      <c r="Y1680" s="227">
        <f>_xll.qlCalendarAdvance(Calendar,X1680,NDays&amp;"D")</f>
        <v>50599</v>
      </c>
      <c r="Z1680" s="228">
        <v>3.3407920263827898E-2</v>
      </c>
      <c r="AA1680" s="230">
        <v>3.3369043958644262E-2</v>
      </c>
    </row>
    <row r="1681" spans="19:27" x14ac:dyDescent="0.2">
      <c r="S1681" s="32"/>
      <c r="T1681" s="187"/>
      <c r="W1681" s="221" t="str">
        <f t="shared" si="34"/>
        <v>1w</v>
      </c>
      <c r="X1681" s="222">
        <f>_xll.qlCalendarAdvance(Calendar,X1680,W1681,"f",FALSE)</f>
        <v>50606</v>
      </c>
      <c r="Y1681" s="227">
        <f>_xll.qlCalendarAdvance(Calendar,X1681,NDays&amp;"D")</f>
        <v>50606</v>
      </c>
      <c r="Z1681" s="228">
        <v>3.3404748361206944E-2</v>
      </c>
      <c r="AA1681" s="230">
        <v>3.3365774173839124E-2</v>
      </c>
    </row>
    <row r="1682" spans="19:27" x14ac:dyDescent="0.2">
      <c r="S1682" s="32"/>
      <c r="T1682" s="187"/>
      <c r="W1682" s="221" t="str">
        <f t="shared" si="34"/>
        <v>1w</v>
      </c>
      <c r="X1682" s="222">
        <f>_xll.qlCalendarAdvance(Calendar,X1681,W1682,"f",FALSE)</f>
        <v>50613</v>
      </c>
      <c r="Y1682" s="227">
        <f>_xll.qlCalendarAdvance(Calendar,X1682,NDays&amp;"D")</f>
        <v>50613</v>
      </c>
      <c r="Z1682" s="228">
        <v>3.3401626327282836E-2</v>
      </c>
      <c r="AA1682" s="230">
        <v>3.3362554120247578E-2</v>
      </c>
    </row>
    <row r="1683" spans="19:27" x14ac:dyDescent="0.2">
      <c r="S1683" s="32"/>
      <c r="T1683" s="187"/>
      <c r="W1683" s="221" t="str">
        <f t="shared" si="34"/>
        <v>1w</v>
      </c>
      <c r="X1683" s="222">
        <f>_xll.qlCalendarAdvance(Calendar,X1682,W1683,"f",FALSE)</f>
        <v>50620</v>
      </c>
      <c r="Y1683" s="227">
        <f>_xll.qlCalendarAdvance(Calendar,X1683,NDays&amp;"D")</f>
        <v>50620</v>
      </c>
      <c r="Z1683" s="228">
        <v>3.3398554162013733E-2</v>
      </c>
      <c r="AA1683" s="230">
        <v>3.3359383798031716E-2</v>
      </c>
    </row>
    <row r="1684" spans="19:27" x14ac:dyDescent="0.2">
      <c r="S1684" s="32"/>
      <c r="T1684" s="187"/>
      <c r="W1684" s="221" t="str">
        <f t="shared" si="34"/>
        <v>1w</v>
      </c>
      <c r="X1684" s="222">
        <f>_xll.qlCalendarAdvance(Calendar,X1683,W1684,"f",FALSE)</f>
        <v>50627</v>
      </c>
      <c r="Y1684" s="227">
        <f>_xll.qlCalendarAdvance(Calendar,X1684,NDays&amp;"D")</f>
        <v>50627</v>
      </c>
      <c r="Z1684" s="228">
        <v>3.3395531865368276E-2</v>
      </c>
      <c r="AA1684" s="230">
        <v>3.3356263207272585E-2</v>
      </c>
    </row>
    <row r="1685" spans="19:27" x14ac:dyDescent="0.2">
      <c r="S1685" s="32"/>
      <c r="T1685" s="187"/>
      <c r="W1685" s="221" t="str">
        <f t="shared" ref="W1685:W1748" si="35">W1684</f>
        <v>1w</v>
      </c>
      <c r="X1685" s="222">
        <f>_xll.qlCalendarAdvance(Calendar,X1684,W1685,"f",FALSE)</f>
        <v>50634</v>
      </c>
      <c r="Y1685" s="227">
        <f>_xll.qlCalendarAdvance(Calendar,X1685,NDays&amp;"D")</f>
        <v>50634</v>
      </c>
      <c r="Z1685" s="228">
        <v>3.33925594372994E-2</v>
      </c>
      <c r="AA1685" s="230">
        <v>3.3353192347808092E-2</v>
      </c>
    </row>
    <row r="1686" spans="19:27" x14ac:dyDescent="0.2">
      <c r="S1686" s="32"/>
      <c r="T1686" s="187"/>
      <c r="W1686" s="221" t="str">
        <f t="shared" si="35"/>
        <v>1w</v>
      </c>
      <c r="X1686" s="222">
        <f>_xll.qlCalendarAdvance(Calendar,X1685,W1686,"f",FALSE)</f>
        <v>50641</v>
      </c>
      <c r="Y1686" s="227">
        <f>_xll.qlCalendarAdvance(Calendar,X1686,NDays&amp;"D")</f>
        <v>50641</v>
      </c>
      <c r="Z1686" s="228">
        <v>3.3389636877775727E-2</v>
      </c>
      <c r="AA1686" s="230">
        <v>3.3350171219638236E-2</v>
      </c>
    </row>
    <row r="1687" spans="19:27" x14ac:dyDescent="0.2">
      <c r="S1687" s="32"/>
      <c r="T1687" s="187"/>
      <c r="W1687" s="221" t="str">
        <f t="shared" si="35"/>
        <v>1w</v>
      </c>
      <c r="X1687" s="222">
        <f>_xll.qlCalendarAdvance(Calendar,X1686,W1687,"f",FALSE)</f>
        <v>50648</v>
      </c>
      <c r="Y1687" s="227">
        <f>_xll.qlCalendarAdvance(Calendar,X1687,NDays&amp;"D")</f>
        <v>50648</v>
      </c>
      <c r="Z1687" s="228">
        <v>3.3385439654362435E-2</v>
      </c>
      <c r="AA1687" s="230">
        <v>3.3347199822844065E-2</v>
      </c>
    </row>
    <row r="1688" spans="19:27" x14ac:dyDescent="0.2">
      <c r="S1688" s="32"/>
      <c r="T1688" s="187"/>
      <c r="W1688" s="221" t="str">
        <f t="shared" si="35"/>
        <v>1w</v>
      </c>
      <c r="X1688" s="222">
        <f>_xll.qlCalendarAdvance(Calendar,X1687,W1688,"f",FALSE)</f>
        <v>50655</v>
      </c>
      <c r="Y1688" s="227">
        <f>_xll.qlCalendarAdvance(Calendar,X1688,NDays&amp;"D")</f>
        <v>50655</v>
      </c>
      <c r="Z1688" s="228">
        <v>3.3382613527928783E-2</v>
      </c>
      <c r="AA1688" s="230">
        <v>3.3344278157506624E-2</v>
      </c>
    </row>
    <row r="1689" spans="19:27" x14ac:dyDescent="0.2">
      <c r="S1689" s="32"/>
      <c r="T1689" s="187"/>
      <c r="W1689" s="221" t="str">
        <f t="shared" si="35"/>
        <v>1w</v>
      </c>
      <c r="X1689" s="222">
        <f>_xll.qlCalendarAdvance(Calendar,X1688,W1689,"f",FALSE)</f>
        <v>50662</v>
      </c>
      <c r="Y1689" s="227">
        <f>_xll.qlCalendarAdvance(Calendar,X1689,NDays&amp;"D")</f>
        <v>50662</v>
      </c>
      <c r="Z1689" s="228">
        <v>3.3379837265351764E-2</v>
      </c>
      <c r="AA1689" s="230">
        <v>3.3341406223301728E-2</v>
      </c>
    </row>
    <row r="1690" spans="19:27" x14ac:dyDescent="0.2">
      <c r="S1690" s="32"/>
      <c r="T1690" s="187"/>
      <c r="W1690" s="221" t="str">
        <f t="shared" si="35"/>
        <v>1w</v>
      </c>
      <c r="X1690" s="222">
        <f>_xll.qlCalendarAdvance(Calendar,X1689,W1690,"f",FALSE)</f>
        <v>50669</v>
      </c>
      <c r="Y1690" s="227">
        <f>_xll.qlCalendarAdvance(Calendar,X1690,NDays&amp;"D")</f>
        <v>50669</v>
      </c>
      <c r="Z1690" s="228">
        <v>3.3377110866598968E-2</v>
      </c>
      <c r="AA1690" s="230">
        <v>3.333858402063461E-2</v>
      </c>
    </row>
    <row r="1691" spans="19:27" x14ac:dyDescent="0.2">
      <c r="S1691" s="32"/>
      <c r="T1691" s="187"/>
      <c r="W1691" s="221" t="str">
        <f t="shared" si="35"/>
        <v>1w</v>
      </c>
      <c r="X1691" s="222">
        <f>_xll.qlCalendarAdvance(Calendar,X1690,W1691,"f",FALSE)</f>
        <v>50676</v>
      </c>
      <c r="Y1691" s="227">
        <f>_xll.qlCalendarAdvance(Calendar,X1691,NDays&amp;"D")</f>
        <v>50676</v>
      </c>
      <c r="Z1691" s="228">
        <v>3.3374434331643374E-2</v>
      </c>
      <c r="AA1691" s="230">
        <v>3.3335811549262129E-2</v>
      </c>
    </row>
    <row r="1692" spans="19:27" x14ac:dyDescent="0.2">
      <c r="S1692" s="32"/>
      <c r="T1692" s="187"/>
      <c r="W1692" s="221" t="str">
        <f t="shared" si="35"/>
        <v>1w</v>
      </c>
      <c r="X1692" s="222">
        <f>_xll.qlCalendarAdvance(Calendar,X1691,W1692,"f",FALSE)</f>
        <v>50683</v>
      </c>
      <c r="Y1692" s="227">
        <f>_xll.qlCalendarAdvance(Calendar,X1692,NDays&amp;"D")</f>
        <v>50683</v>
      </c>
      <c r="Z1692" s="228">
        <v>3.3373148757991536E-2</v>
      </c>
      <c r="AA1692" s="230">
        <v>3.333308880910324E-2</v>
      </c>
    </row>
    <row r="1693" spans="19:27" x14ac:dyDescent="0.2">
      <c r="S1693" s="32"/>
      <c r="T1693" s="187"/>
      <c r="W1693" s="221" t="str">
        <f t="shared" si="35"/>
        <v>1w</v>
      </c>
      <c r="X1693" s="222">
        <f>_xll.qlCalendarAdvance(Calendar,X1692,W1693,"f",FALSE)</f>
        <v>50690</v>
      </c>
      <c r="Y1693" s="227">
        <f>_xll.qlCalendarAdvance(Calendar,X1693,NDays&amp;"D")</f>
        <v>50690</v>
      </c>
      <c r="Z1693" s="228">
        <v>3.3370575277267313E-2</v>
      </c>
      <c r="AA1693" s="230">
        <v>3.3330415800401081E-2</v>
      </c>
    </row>
    <row r="1694" spans="19:27" x14ac:dyDescent="0.2">
      <c r="S1694" s="32"/>
      <c r="T1694" s="187"/>
      <c r="W1694" s="221" t="str">
        <f t="shared" si="35"/>
        <v>1w</v>
      </c>
      <c r="X1694" s="222">
        <f>_xll.qlCalendarAdvance(Calendar,X1693,W1694,"f",FALSE)</f>
        <v>50697</v>
      </c>
      <c r="Y1694" s="227">
        <f>_xll.qlCalendarAdvance(Calendar,X1694,NDays&amp;"D")</f>
        <v>50697</v>
      </c>
      <c r="Z1694" s="228">
        <v>3.3368051664803333E-2</v>
      </c>
      <c r="AA1694" s="230">
        <v>3.332779252299356E-2</v>
      </c>
    </row>
    <row r="1695" spans="19:27" x14ac:dyDescent="0.2">
      <c r="S1695" s="32"/>
      <c r="T1695" s="187"/>
      <c r="W1695" s="221" t="str">
        <f t="shared" si="35"/>
        <v>1w</v>
      </c>
      <c r="X1695" s="222">
        <f>_xll.qlCalendarAdvance(Calendar,X1694,W1695,"f",FALSE)</f>
        <v>50704</v>
      </c>
      <c r="Y1695" s="227">
        <f>_xll.qlCalendarAdvance(Calendar,X1695,NDays&amp;"D")</f>
        <v>50704</v>
      </c>
      <c r="Z1695" s="228">
        <v>3.3365577920573444E-2</v>
      </c>
      <c r="AA1695" s="230">
        <v>3.3325218976961724E-2</v>
      </c>
    </row>
    <row r="1696" spans="19:27" x14ac:dyDescent="0.2">
      <c r="S1696" s="32"/>
      <c r="T1696" s="187"/>
      <c r="W1696" s="221" t="str">
        <f t="shared" si="35"/>
        <v>1w</v>
      </c>
      <c r="X1696" s="222">
        <f>_xll.qlCalendarAdvance(Calendar,X1695,W1696,"f",FALSE)</f>
        <v>50711</v>
      </c>
      <c r="Y1696" s="227">
        <f>_xll.qlCalendarAdvance(Calendar,X1696,NDays&amp;"D")</f>
        <v>50711</v>
      </c>
      <c r="Z1696" s="228">
        <v>3.3361799612610432E-2</v>
      </c>
      <c r="AA1696" s="230">
        <v>3.3322695162224525E-2</v>
      </c>
    </row>
    <row r="1697" spans="19:27" x14ac:dyDescent="0.2">
      <c r="S1697" s="32"/>
      <c r="T1697" s="187"/>
      <c r="W1697" s="221" t="str">
        <f t="shared" si="35"/>
        <v>1w</v>
      </c>
      <c r="X1697" s="222">
        <f>_xll.qlCalendarAdvance(Calendar,X1696,W1697,"f",FALSE)</f>
        <v>50718</v>
      </c>
      <c r="Y1697" s="227">
        <f>_xll.qlCalendarAdvance(Calendar,X1697,NDays&amp;"D")</f>
        <v>50718</v>
      </c>
      <c r="Z1697" s="228">
        <v>3.3359422259741055E-2</v>
      </c>
      <c r="AA1697" s="230">
        <v>3.332022107886301E-2</v>
      </c>
    </row>
    <row r="1698" spans="19:27" x14ac:dyDescent="0.2">
      <c r="S1698" s="32"/>
      <c r="T1698" s="187"/>
      <c r="W1698" s="221" t="str">
        <f t="shared" si="35"/>
        <v>1w</v>
      </c>
      <c r="X1698" s="222">
        <f>_xll.qlCalendarAdvance(Calendar,X1697,W1698,"f",FALSE)</f>
        <v>50725</v>
      </c>
      <c r="Y1698" s="227">
        <f>_xll.qlCalendarAdvance(Calendar,X1698,NDays&amp;"D")</f>
        <v>50725</v>
      </c>
      <c r="Z1698" s="228">
        <v>3.3357094770444649E-2</v>
      </c>
      <c r="AA1698" s="230">
        <v>3.3317796726796134E-2</v>
      </c>
    </row>
    <row r="1699" spans="19:27" x14ac:dyDescent="0.2">
      <c r="S1699" s="32"/>
      <c r="T1699" s="187"/>
      <c r="W1699" s="221" t="str">
        <f t="shared" si="35"/>
        <v>1w</v>
      </c>
      <c r="X1699" s="222">
        <f>_xll.qlCalendarAdvance(Calendar,X1698,W1699,"f",FALSE)</f>
        <v>50732</v>
      </c>
      <c r="Y1699" s="227">
        <f>_xll.qlCalendarAdvance(Calendar,X1699,NDays&amp;"D")</f>
        <v>50732</v>
      </c>
      <c r="Z1699" s="228">
        <v>3.3354817144699608E-2</v>
      </c>
      <c r="AA1699" s="230">
        <v>3.3315422106104942E-2</v>
      </c>
    </row>
    <row r="1700" spans="19:27" x14ac:dyDescent="0.2">
      <c r="S1700" s="32"/>
      <c r="T1700" s="187"/>
      <c r="W1700" s="221" t="str">
        <f t="shared" si="35"/>
        <v>1w</v>
      </c>
      <c r="X1700" s="222">
        <f>_xll.qlCalendarAdvance(Calendar,X1699,W1700,"f",FALSE)</f>
        <v>50739</v>
      </c>
      <c r="Y1700" s="227">
        <f>_xll.qlCalendarAdvance(Calendar,X1700,NDays&amp;"D")</f>
        <v>50739</v>
      </c>
      <c r="Z1700" s="228">
        <v>3.3353957221829524E-2</v>
      </c>
      <c r="AA1700" s="230">
        <v>3.3313097216708387E-2</v>
      </c>
    </row>
    <row r="1701" spans="19:27" x14ac:dyDescent="0.2">
      <c r="S1701" s="32"/>
      <c r="T1701" s="187"/>
      <c r="W1701" s="221" t="str">
        <f t="shared" si="35"/>
        <v>1w</v>
      </c>
      <c r="X1701" s="222">
        <f>_xll.qlCalendarAdvance(Calendar,X1700,W1701,"f",FALSE)</f>
        <v>50746</v>
      </c>
      <c r="Y1701" s="227">
        <f>_xll.qlCalendarAdvance(Calendar,X1701,NDays&amp;"D")</f>
        <v>50746</v>
      </c>
      <c r="Z1701" s="228">
        <v>3.3351782686353214E-2</v>
      </c>
      <c r="AA1701" s="230">
        <v>3.3310822058606471E-2</v>
      </c>
    </row>
    <row r="1702" spans="19:27" x14ac:dyDescent="0.2">
      <c r="S1702" s="32"/>
      <c r="T1702" s="187"/>
      <c r="W1702" s="221" t="str">
        <f t="shared" si="35"/>
        <v>1w</v>
      </c>
      <c r="X1702" s="222">
        <f>_xll.qlCalendarAdvance(Calendar,X1701,W1702,"f",FALSE)</f>
        <v>50753</v>
      </c>
      <c r="Y1702" s="227">
        <f>_xll.qlCalendarAdvance(Calendar,X1702,NDays&amp;"D")</f>
        <v>50753</v>
      </c>
      <c r="Z1702" s="228">
        <v>3.3349658018907075E-2</v>
      </c>
      <c r="AA1702" s="230">
        <v>3.3308596631961285E-2</v>
      </c>
    </row>
    <row r="1703" spans="19:27" x14ac:dyDescent="0.2">
      <c r="S1703" s="32"/>
      <c r="T1703" s="187"/>
      <c r="W1703" s="221" t="str">
        <f t="shared" si="35"/>
        <v>1w</v>
      </c>
      <c r="X1703" s="222">
        <f>_xll.qlCalendarAdvance(Calendar,X1702,W1703,"f",FALSE)</f>
        <v>50760</v>
      </c>
      <c r="Y1703" s="227">
        <f>_xll.qlCalendarAdvance(Calendar,X1703,NDays&amp;"D")</f>
        <v>50760</v>
      </c>
      <c r="Z1703" s="228">
        <v>3.3347583219457126E-2</v>
      </c>
      <c r="AA1703" s="230">
        <v>3.330642093652969E-2</v>
      </c>
    </row>
    <row r="1704" spans="19:27" x14ac:dyDescent="0.2">
      <c r="S1704" s="32"/>
      <c r="T1704" s="187"/>
      <c r="W1704" s="221" t="str">
        <f t="shared" si="35"/>
        <v>1w</v>
      </c>
      <c r="X1704" s="222">
        <f>_xll.qlCalendarAdvance(Calendar,X1703,W1704,"f",FALSE)</f>
        <v>50768</v>
      </c>
      <c r="Y1704" s="227">
        <f>_xll.qlCalendarAdvance(Calendar,X1704,NDays&amp;"D")</f>
        <v>50768</v>
      </c>
      <c r="Z1704" s="228">
        <v>3.3348037907074295E-2</v>
      </c>
      <c r="AA1704" s="230">
        <v>3.33039953230585E-2</v>
      </c>
    </row>
    <row r="1705" spans="19:27" x14ac:dyDescent="0.2">
      <c r="S1705" s="32"/>
      <c r="T1705" s="187"/>
      <c r="W1705" s="221" t="str">
        <f t="shared" si="35"/>
        <v>1w</v>
      </c>
      <c r="X1705" s="222">
        <f>_xll.qlCalendarAdvance(Calendar,X1704,W1705,"f",FALSE)</f>
        <v>50775</v>
      </c>
      <c r="Y1705" s="227">
        <f>_xll.qlCalendarAdvance(Calendar,X1705,NDays&amp;"D")</f>
        <v>50775</v>
      </c>
      <c r="Z1705" s="228">
        <v>3.3346076733743291E-2</v>
      </c>
      <c r="AA1705" s="230">
        <v>3.3301926194733156E-2</v>
      </c>
    </row>
    <row r="1706" spans="19:27" x14ac:dyDescent="0.2">
      <c r="S1706" s="32"/>
      <c r="T1706" s="187"/>
      <c r="W1706" s="221" t="str">
        <f t="shared" si="35"/>
        <v>1w</v>
      </c>
      <c r="X1706" s="222">
        <f>_xll.qlCalendarAdvance(Calendar,X1705,W1706,"f",FALSE)</f>
        <v>50782</v>
      </c>
      <c r="Y1706" s="227">
        <f>_xll.qlCalendarAdvance(Calendar,X1706,NDays&amp;"D")</f>
        <v>50782</v>
      </c>
      <c r="Z1706" s="228">
        <v>3.3344165437450238E-2</v>
      </c>
      <c r="AA1706" s="230">
        <v>3.3299906797864542E-2</v>
      </c>
    </row>
    <row r="1707" spans="19:27" x14ac:dyDescent="0.2">
      <c r="S1707" s="32"/>
      <c r="T1707" s="187"/>
      <c r="W1707" s="221" t="str">
        <f t="shared" si="35"/>
        <v>1w</v>
      </c>
      <c r="X1707" s="222">
        <f>_xll.qlCalendarAdvance(Calendar,X1706,W1707,"f",FALSE)</f>
        <v>50789</v>
      </c>
      <c r="Y1707" s="227">
        <f>_xll.qlCalendarAdvance(Calendar,X1707,NDays&amp;"D")</f>
        <v>50789</v>
      </c>
      <c r="Z1707" s="228">
        <v>3.3342304018160754E-2</v>
      </c>
      <c r="AA1707" s="230">
        <v>3.3297937132209521E-2</v>
      </c>
    </row>
    <row r="1708" spans="19:27" x14ac:dyDescent="0.2">
      <c r="S1708" s="32"/>
      <c r="T1708" s="187"/>
      <c r="W1708" s="221" t="str">
        <f t="shared" si="35"/>
        <v>1w</v>
      </c>
      <c r="X1708" s="222">
        <f>_xll.qlCalendarAdvance(Calendar,X1707,W1708,"f",FALSE)</f>
        <v>50796</v>
      </c>
      <c r="Y1708" s="227">
        <f>_xll.qlCalendarAdvance(Calendar,X1708,NDays&amp;"D")</f>
        <v>50796</v>
      </c>
      <c r="Z1708" s="228">
        <v>3.3340492475860108E-2</v>
      </c>
      <c r="AA1708" s="230">
        <v>3.3296017197930183E-2</v>
      </c>
    </row>
    <row r="1709" spans="19:27" x14ac:dyDescent="0.2">
      <c r="S1709" s="32"/>
      <c r="T1709" s="187"/>
      <c r="W1709" s="221" t="str">
        <f t="shared" si="35"/>
        <v>1w</v>
      </c>
      <c r="X1709" s="222">
        <f>_xll.qlCalendarAdvance(Calendar,X1708,W1709,"f",FALSE)</f>
        <v>50803</v>
      </c>
      <c r="Y1709" s="227">
        <f>_xll.qlCalendarAdvance(Calendar,X1709,NDays&amp;"D")</f>
        <v>50803</v>
      </c>
      <c r="Z1709" s="228">
        <v>3.3331737015602846E-2</v>
      </c>
      <c r="AA1709" s="230">
        <v>3.3294146994945484E-2</v>
      </c>
    </row>
    <row r="1710" spans="19:27" x14ac:dyDescent="0.2">
      <c r="S1710" s="32"/>
      <c r="T1710" s="187"/>
      <c r="W1710" s="221" t="str">
        <f t="shared" si="35"/>
        <v>1w</v>
      </c>
      <c r="X1710" s="222">
        <f>_xll.qlCalendarAdvance(Calendar,X1709,W1710,"f",FALSE)</f>
        <v>50810</v>
      </c>
      <c r="Y1710" s="227">
        <f>_xll.qlCalendarAdvance(Calendar,X1710,NDays&amp;"D")</f>
        <v>50810</v>
      </c>
      <c r="Z1710" s="228">
        <v>3.3330008202529633E-2</v>
      </c>
      <c r="AA1710" s="230">
        <v>3.3292326523336468E-2</v>
      </c>
    </row>
    <row r="1711" spans="19:27" x14ac:dyDescent="0.2">
      <c r="S1711" s="32"/>
      <c r="T1711" s="187"/>
      <c r="W1711" s="221" t="str">
        <f t="shared" si="35"/>
        <v>1w</v>
      </c>
      <c r="X1711" s="222">
        <f>_xll.qlCalendarAdvance(Calendar,X1710,W1711,"f",FALSE)</f>
        <v>50817</v>
      </c>
      <c r="Y1711" s="227">
        <f>_xll.qlCalendarAdvance(Calendar,X1711,NDays&amp;"D")</f>
        <v>50817</v>
      </c>
      <c r="Z1711" s="228">
        <v>3.3328329243608533E-2</v>
      </c>
      <c r="AA1711" s="230">
        <v>3.3290555783022091E-2</v>
      </c>
    </row>
    <row r="1712" spans="19:27" x14ac:dyDescent="0.2">
      <c r="S1712" s="32"/>
      <c r="T1712" s="187"/>
      <c r="W1712" s="221" t="str">
        <f t="shared" si="35"/>
        <v>1w</v>
      </c>
      <c r="X1712" s="222">
        <f>_xll.qlCalendarAdvance(Calendar,X1711,W1712,"f",FALSE)</f>
        <v>50824</v>
      </c>
      <c r="Y1712" s="227">
        <f>_xll.qlCalendarAdvance(Calendar,X1712,NDays&amp;"D")</f>
        <v>50824</v>
      </c>
      <c r="Z1712" s="228">
        <v>3.3326700138804816E-2</v>
      </c>
      <c r="AA1712" s="230">
        <v>3.3288834774002352E-2</v>
      </c>
    </row>
    <row r="1713" spans="19:27" x14ac:dyDescent="0.2">
      <c r="S1713" s="32"/>
      <c r="T1713" s="187"/>
      <c r="W1713" s="221" t="str">
        <f t="shared" si="35"/>
        <v>1w</v>
      </c>
      <c r="X1713" s="222">
        <f>_xll.qlCalendarAdvance(Calendar,X1712,W1713,"f",FALSE)</f>
        <v>50831</v>
      </c>
      <c r="Y1713" s="227">
        <f>_xll.qlCalendarAdvance(Calendar,X1713,NDays&amp;"D")</f>
        <v>50831</v>
      </c>
      <c r="Z1713" s="228">
        <v>3.3332182918268435E-2</v>
      </c>
      <c r="AA1713" s="230">
        <v>3.3287163496358296E-2</v>
      </c>
    </row>
    <row r="1714" spans="19:27" x14ac:dyDescent="0.2">
      <c r="S1714" s="32"/>
      <c r="T1714" s="187"/>
      <c r="W1714" s="221" t="str">
        <f t="shared" si="35"/>
        <v>1w</v>
      </c>
      <c r="X1714" s="222">
        <f>_xll.qlCalendarAdvance(Calendar,X1713,W1714,"f",FALSE)</f>
        <v>50838</v>
      </c>
      <c r="Y1714" s="227">
        <f>_xll.qlCalendarAdvance(Calendar,X1714,NDays&amp;"D")</f>
        <v>50838</v>
      </c>
      <c r="Z1714" s="228">
        <v>3.3332087704780793E-2</v>
      </c>
      <c r="AA1714" s="230">
        <v>3.3285541950008879E-2</v>
      </c>
    </row>
    <row r="1715" spans="19:27" x14ac:dyDescent="0.2">
      <c r="S1715" s="32"/>
      <c r="T1715" s="187"/>
      <c r="W1715" s="221" t="str">
        <f t="shared" si="35"/>
        <v>1w</v>
      </c>
      <c r="X1715" s="222">
        <f>_xll.qlCalendarAdvance(Calendar,X1714,W1715,"f",FALSE)</f>
        <v>50845</v>
      </c>
      <c r="Y1715" s="227">
        <f>_xll.qlCalendarAdvance(Calendar,X1715,NDays&amp;"D")</f>
        <v>50845</v>
      </c>
      <c r="Z1715" s="228">
        <v>3.332920823331368E-2</v>
      </c>
      <c r="AA1715" s="230">
        <v>3.3283970135035146E-2</v>
      </c>
    </row>
    <row r="1716" spans="19:27" x14ac:dyDescent="0.2">
      <c r="S1716" s="32"/>
      <c r="T1716" s="187"/>
      <c r="W1716" s="221" t="str">
        <f t="shared" si="35"/>
        <v>1w</v>
      </c>
      <c r="X1716" s="222">
        <f>_xll.qlCalendarAdvance(Calendar,X1715,W1716,"f",FALSE)</f>
        <v>50852</v>
      </c>
      <c r="Y1716" s="227">
        <f>_xll.qlCalendarAdvance(Calendar,X1716,NDays&amp;"D")</f>
        <v>50852</v>
      </c>
      <c r="Z1716" s="228">
        <v>3.3327795706056769E-2</v>
      </c>
      <c r="AA1716" s="230">
        <v>3.3282448051275004E-2</v>
      </c>
    </row>
    <row r="1717" spans="19:27" x14ac:dyDescent="0.2">
      <c r="S1717" s="32"/>
      <c r="T1717" s="187"/>
      <c r="W1717" s="221" t="str">
        <f t="shared" si="35"/>
        <v>1w</v>
      </c>
      <c r="X1717" s="222">
        <f>_xll.qlCalendarAdvance(Calendar,X1716,W1717,"f",FALSE)</f>
        <v>50859</v>
      </c>
      <c r="Y1717" s="227">
        <f>_xll.qlCalendarAdvance(Calendar,X1717,NDays&amp;"D")</f>
        <v>50859</v>
      </c>
      <c r="Z1717" s="228">
        <v>3.3322153434252121E-2</v>
      </c>
      <c r="AA1717" s="230">
        <v>3.3280975698809501E-2</v>
      </c>
    </row>
    <row r="1718" spans="19:27" x14ac:dyDescent="0.2">
      <c r="S1718" s="32"/>
      <c r="T1718" s="187"/>
      <c r="W1718" s="221" t="str">
        <f t="shared" si="35"/>
        <v>1w</v>
      </c>
      <c r="X1718" s="222">
        <f>_xll.qlCalendarAdvance(Calendar,X1717,W1718,"f",FALSE)</f>
        <v>50866</v>
      </c>
      <c r="Y1718" s="227">
        <f>_xll.qlCalendarAdvance(Calendar,X1718,NDays&amp;"D")</f>
        <v>50866</v>
      </c>
      <c r="Z1718" s="228">
        <v>3.3320830334596582E-2</v>
      </c>
      <c r="AA1718" s="230">
        <v>3.3279553077800728E-2</v>
      </c>
    </row>
    <row r="1719" spans="19:27" x14ac:dyDescent="0.2">
      <c r="S1719" s="32"/>
      <c r="T1719" s="187"/>
      <c r="W1719" s="221" t="str">
        <f t="shared" si="35"/>
        <v>1w</v>
      </c>
      <c r="X1719" s="222">
        <f>_xll.qlCalendarAdvance(Calendar,X1718,W1719,"f",FALSE)</f>
        <v>50873</v>
      </c>
      <c r="Y1719" s="227">
        <f>_xll.qlCalendarAdvance(Calendar,X1719,NDays&amp;"D")</f>
        <v>50873</v>
      </c>
      <c r="Z1719" s="228">
        <v>3.3319557098041241E-2</v>
      </c>
      <c r="AA1719" s="230">
        <v>3.3278180188005546E-2</v>
      </c>
    </row>
    <row r="1720" spans="19:27" x14ac:dyDescent="0.2">
      <c r="S1720" s="32"/>
      <c r="T1720" s="187"/>
      <c r="W1720" s="221" t="str">
        <f t="shared" si="35"/>
        <v>1w</v>
      </c>
      <c r="X1720" s="222">
        <f>_xll.qlCalendarAdvance(Calendar,X1719,W1720,"f",FALSE)</f>
        <v>50880</v>
      </c>
      <c r="Y1720" s="227">
        <f>_xll.qlCalendarAdvance(Calendar,X1720,NDays&amp;"D")</f>
        <v>50880</v>
      </c>
      <c r="Z1720" s="228">
        <v>3.3318333724575308E-2</v>
      </c>
      <c r="AA1720" s="230">
        <v>3.3276857029586049E-2</v>
      </c>
    </row>
    <row r="1721" spans="19:27" x14ac:dyDescent="0.2">
      <c r="S1721" s="32"/>
      <c r="T1721" s="187"/>
      <c r="W1721" s="221" t="str">
        <f t="shared" si="35"/>
        <v>1w</v>
      </c>
      <c r="X1721" s="222">
        <f>_xll.qlCalendarAdvance(Calendar,X1720,W1721,"f",FALSE)</f>
        <v>50887</v>
      </c>
      <c r="Y1721" s="227">
        <f>_xll.qlCalendarAdvance(Calendar,X1721,NDays&amp;"D")</f>
        <v>50887</v>
      </c>
      <c r="Z1721" s="228">
        <v>3.3317160214174454E-2</v>
      </c>
      <c r="AA1721" s="230">
        <v>3.3275583602380143E-2</v>
      </c>
    </row>
    <row r="1722" spans="19:27" x14ac:dyDescent="0.2">
      <c r="S1722" s="32"/>
      <c r="T1722" s="187"/>
      <c r="W1722" s="221" t="str">
        <f t="shared" si="35"/>
        <v>1w</v>
      </c>
      <c r="X1722" s="222">
        <f>_xll.qlCalendarAdvance(Calendar,X1721,W1722,"f",FALSE)</f>
        <v>50894</v>
      </c>
      <c r="Y1722" s="227">
        <f>_xll.qlCalendarAdvance(Calendar,X1722,NDays&amp;"D")</f>
        <v>50894</v>
      </c>
      <c r="Z1722" s="228">
        <v>3.3320367954442619E-2</v>
      </c>
      <c r="AA1722" s="230">
        <v>3.3274359906630968E-2</v>
      </c>
    </row>
    <row r="1723" spans="19:27" x14ac:dyDescent="0.2">
      <c r="S1723" s="32"/>
      <c r="T1723" s="187"/>
      <c r="W1723" s="221" t="str">
        <f t="shared" si="35"/>
        <v>1w</v>
      </c>
      <c r="X1723" s="222">
        <f>_xll.qlCalendarAdvance(Calendar,X1722,W1723,"f",FALSE)</f>
        <v>50901</v>
      </c>
      <c r="Y1723" s="227">
        <f>_xll.qlCalendarAdvance(Calendar,X1723,NDays&amp;"D")</f>
        <v>50901</v>
      </c>
      <c r="Z1723" s="228">
        <v>3.3319304564339271E-2</v>
      </c>
      <c r="AA1723" s="230">
        <v>3.3273185942095385E-2</v>
      </c>
    </row>
    <row r="1724" spans="19:27" x14ac:dyDescent="0.2">
      <c r="S1724" s="32"/>
      <c r="T1724" s="187"/>
      <c r="W1724" s="221" t="str">
        <f t="shared" si="35"/>
        <v>1w</v>
      </c>
      <c r="X1724" s="222">
        <f>_xll.qlCalendarAdvance(Calendar,X1723,W1724,"f",FALSE)</f>
        <v>50908</v>
      </c>
      <c r="Y1724" s="227">
        <f>_xll.qlCalendarAdvance(Calendar,X1724,NDays&amp;"D")</f>
        <v>50908</v>
      </c>
      <c r="Z1724" s="228">
        <v>3.3318291050910401E-2</v>
      </c>
      <c r="AA1724" s="230">
        <v>3.3272061708935485E-2</v>
      </c>
    </row>
    <row r="1725" spans="19:27" x14ac:dyDescent="0.2">
      <c r="S1725" s="32"/>
      <c r="T1725" s="187"/>
      <c r="W1725" s="221" t="str">
        <f t="shared" si="35"/>
        <v>1w</v>
      </c>
      <c r="X1725" s="222">
        <f>_xll.qlCalendarAdvance(Calendar,X1724,W1725,"f",FALSE)</f>
        <v>50915</v>
      </c>
      <c r="Y1725" s="227">
        <f>_xll.qlCalendarAdvance(Calendar,X1725,NDays&amp;"D")</f>
        <v>50915</v>
      </c>
      <c r="Z1725" s="228">
        <v>3.3317327414138807E-2</v>
      </c>
      <c r="AA1725" s="230">
        <v>3.3270987207070224E-2</v>
      </c>
    </row>
    <row r="1726" spans="19:27" x14ac:dyDescent="0.2">
      <c r="S1726" s="32"/>
      <c r="T1726" s="187"/>
      <c r="W1726" s="221" t="str">
        <f t="shared" si="35"/>
        <v>1w</v>
      </c>
      <c r="X1726" s="222">
        <f>_xll.qlCalendarAdvance(Calendar,X1725,W1726,"f",FALSE)</f>
        <v>50922</v>
      </c>
      <c r="Y1726" s="227">
        <f>_xll.qlCalendarAdvance(Calendar,X1726,NDays&amp;"D")</f>
        <v>50922</v>
      </c>
      <c r="Z1726" s="228">
        <v>3.331203986745368E-2</v>
      </c>
      <c r="AA1726" s="230">
        <v>3.3269962436418554E-2</v>
      </c>
    </row>
    <row r="1727" spans="19:27" x14ac:dyDescent="0.2">
      <c r="S1727" s="32"/>
      <c r="T1727" s="187"/>
      <c r="W1727" s="221" t="str">
        <f t="shared" si="35"/>
        <v>1w</v>
      </c>
      <c r="X1727" s="222">
        <f>_xll.qlCalendarAdvance(Calendar,X1726,W1727,"f",FALSE)</f>
        <v>50929</v>
      </c>
      <c r="Y1727" s="227">
        <f>_xll.qlCalendarAdvance(Calendar,X1727,NDays&amp;"D")</f>
        <v>50929</v>
      </c>
      <c r="Z1727" s="228">
        <v>3.3311150878785376E-2</v>
      </c>
      <c r="AA1727" s="230">
        <v>3.3268987397223615E-2</v>
      </c>
    </row>
    <row r="1728" spans="19:27" x14ac:dyDescent="0.2">
      <c r="S1728" s="32"/>
      <c r="T1728" s="187"/>
      <c r="W1728" s="221" t="str">
        <f t="shared" si="35"/>
        <v>1w</v>
      </c>
      <c r="X1728" s="222">
        <f>_xll.qlCalendarAdvance(Calendar,X1727,W1728,"f",FALSE)</f>
        <v>50936</v>
      </c>
      <c r="Y1728" s="227">
        <f>_xll.qlCalendarAdvance(Calendar,X1728,NDays&amp;"D")</f>
        <v>50936</v>
      </c>
      <c r="Z1728" s="228">
        <v>3.3310274342780853E-2</v>
      </c>
      <c r="AA1728" s="230">
        <v>3.3268062089323314E-2</v>
      </c>
    </row>
    <row r="1729" spans="19:27" x14ac:dyDescent="0.2">
      <c r="S1729" s="32"/>
      <c r="T1729" s="187"/>
      <c r="W1729" s="221" t="str">
        <f t="shared" si="35"/>
        <v>1w</v>
      </c>
      <c r="X1729" s="222">
        <f>_xll.qlCalendarAdvance(Calendar,X1728,W1729,"f",FALSE)</f>
        <v>50943</v>
      </c>
      <c r="Y1729" s="227">
        <f>_xll.qlCalendarAdvance(Calendar,X1729,NDays&amp;"D")</f>
        <v>50943</v>
      </c>
      <c r="Z1729" s="228">
        <v>3.3309386452870481E-2</v>
      </c>
      <c r="AA1729" s="230">
        <v>3.3267186512636604E-2</v>
      </c>
    </row>
    <row r="1730" spans="19:27" x14ac:dyDescent="0.2">
      <c r="S1730" s="32"/>
      <c r="T1730" s="187"/>
      <c r="W1730" s="221" t="str">
        <f t="shared" si="35"/>
        <v>1w</v>
      </c>
      <c r="X1730" s="222">
        <f>_xll.qlCalendarAdvance(Calendar,X1729,W1730,"f",FALSE)</f>
        <v>50950</v>
      </c>
      <c r="Y1730" s="227">
        <f>_xll.qlCalendarAdvance(Calendar,X1730,NDays&amp;"D")</f>
        <v>50950</v>
      </c>
      <c r="Z1730" s="228">
        <v>3.3308463495039464E-2</v>
      </c>
      <c r="AA1730" s="230">
        <v>3.3266354091068262E-2</v>
      </c>
    </row>
    <row r="1731" spans="19:27" x14ac:dyDescent="0.2">
      <c r="S1731" s="32"/>
      <c r="T1731" s="187"/>
      <c r="W1731" s="221" t="str">
        <f t="shared" si="35"/>
        <v>1w</v>
      </c>
      <c r="X1731" s="222">
        <f>_xll.qlCalendarAdvance(Calendar,X1730,W1731,"f",FALSE)</f>
        <v>50957</v>
      </c>
      <c r="Y1731" s="227">
        <f>_xll.qlCalendarAdvance(Calendar,X1731,NDays&amp;"D")</f>
        <v>50957</v>
      </c>
      <c r="Z1731" s="228">
        <v>3.3311821334200492E-2</v>
      </c>
      <c r="AA1731" s="230">
        <v>3.3265490755287619E-2</v>
      </c>
    </row>
    <row r="1732" spans="19:27" x14ac:dyDescent="0.2">
      <c r="S1732" s="32"/>
      <c r="T1732" s="187"/>
      <c r="W1732" s="221" t="str">
        <f t="shared" si="35"/>
        <v>1w</v>
      </c>
      <c r="X1732" s="222">
        <f>_xll.qlCalendarAdvance(Calendar,X1731,W1732,"f",FALSE)</f>
        <v>50964</v>
      </c>
      <c r="Y1732" s="227">
        <f>_xll.qlCalendarAdvance(Calendar,X1732,NDays&amp;"D")</f>
        <v>50964</v>
      </c>
      <c r="Z1732" s="228">
        <v>3.3310784030286714E-2</v>
      </c>
      <c r="AA1732" s="230">
        <v>3.3264575391847018E-2</v>
      </c>
    </row>
    <row r="1733" spans="19:27" x14ac:dyDescent="0.2">
      <c r="S1733" s="32"/>
      <c r="T1733" s="187"/>
      <c r="W1733" s="221" t="str">
        <f t="shared" si="35"/>
        <v>1w</v>
      </c>
      <c r="X1733" s="222">
        <f>_xll.qlCalendarAdvance(Calendar,X1732,W1733,"f",FALSE)</f>
        <v>50971</v>
      </c>
      <c r="Y1733" s="227">
        <f>_xll.qlCalendarAdvance(Calendar,X1733,NDays&amp;"D")</f>
        <v>50971</v>
      </c>
      <c r="Z1733" s="228">
        <v>3.3309694547011541E-2</v>
      </c>
      <c r="AA1733" s="230">
        <v>3.3263608000989597E-2</v>
      </c>
    </row>
    <row r="1734" spans="19:27" x14ac:dyDescent="0.2">
      <c r="S1734" s="32"/>
      <c r="T1734" s="187"/>
      <c r="W1734" s="221" t="str">
        <f t="shared" si="35"/>
        <v>1w</v>
      </c>
      <c r="X1734" s="222">
        <f>_xll.qlCalendarAdvance(Calendar,X1733,W1734,"f",FALSE)</f>
        <v>50978</v>
      </c>
      <c r="Y1734" s="227">
        <f>_xll.qlCalendarAdvance(Calendar,X1734,NDays&amp;"D")</f>
        <v>50978</v>
      </c>
      <c r="Z1734" s="228">
        <v>3.3309984690302101E-2</v>
      </c>
      <c r="AA1734" s="230">
        <v>3.3262588582472219E-2</v>
      </c>
    </row>
    <row r="1735" spans="19:27" x14ac:dyDescent="0.2">
      <c r="S1735" s="32"/>
      <c r="T1735" s="187"/>
      <c r="W1735" s="221" t="str">
        <f t="shared" si="35"/>
        <v>1w</v>
      </c>
      <c r="X1735" s="222">
        <f>_xll.qlCalendarAdvance(Calendar,X1734,W1735,"f",FALSE)</f>
        <v>50985</v>
      </c>
      <c r="Y1735" s="227">
        <f>_xll.qlCalendarAdvance(Calendar,X1735,NDays&amp;"D")</f>
        <v>50985</v>
      </c>
      <c r="Z1735" s="228">
        <v>3.3307359042403985E-2</v>
      </c>
      <c r="AA1735" s="230">
        <v>3.3261517136375929E-2</v>
      </c>
    </row>
    <row r="1736" spans="19:27" x14ac:dyDescent="0.2">
      <c r="S1736" s="32"/>
      <c r="T1736" s="187"/>
      <c r="W1736" s="221" t="str">
        <f t="shared" si="35"/>
        <v>1w</v>
      </c>
      <c r="X1736" s="222">
        <f>_xll.qlCalendarAdvance(Calendar,X1735,W1736,"f",FALSE)</f>
        <v>50992</v>
      </c>
      <c r="Y1736" s="227">
        <f>_xll.qlCalendarAdvance(Calendar,X1736,NDays&amp;"D")</f>
        <v>50992</v>
      </c>
      <c r="Z1736" s="228">
        <v>3.3306113021108447E-2</v>
      </c>
      <c r="AA1736" s="230">
        <v>3.3260393662862819E-2</v>
      </c>
    </row>
    <row r="1737" spans="19:27" x14ac:dyDescent="0.2">
      <c r="S1737" s="32"/>
      <c r="T1737" s="187"/>
      <c r="W1737" s="221" t="str">
        <f t="shared" si="35"/>
        <v>1w</v>
      </c>
      <c r="X1737" s="222">
        <f>_xll.qlCalendarAdvance(Calendar,X1736,W1737,"f",FALSE)</f>
        <v>50999</v>
      </c>
      <c r="Y1737" s="227">
        <f>_xll.qlCalendarAdvance(Calendar,X1737,NDays&amp;"D")</f>
        <v>50999</v>
      </c>
      <c r="Z1737" s="228">
        <v>3.3304814820515359E-2</v>
      </c>
      <c r="AA1737" s="230">
        <v>3.3259218161851845E-2</v>
      </c>
    </row>
    <row r="1738" spans="19:27" x14ac:dyDescent="0.2">
      <c r="S1738" s="32"/>
      <c r="T1738" s="187"/>
      <c r="W1738" s="221" t="str">
        <f t="shared" si="35"/>
        <v>1w</v>
      </c>
      <c r="X1738" s="222">
        <f>_xll.qlCalendarAdvance(Calendar,X1737,W1738,"f",FALSE)</f>
        <v>51006</v>
      </c>
      <c r="Y1738" s="227">
        <f>_xll.qlCalendarAdvance(Calendar,X1738,NDays&amp;"D")</f>
        <v>51006</v>
      </c>
      <c r="Z1738" s="228">
        <v>3.3303464440634548E-2</v>
      </c>
      <c r="AA1738" s="230">
        <v>3.3257990633261958E-2</v>
      </c>
    </row>
    <row r="1739" spans="19:27" x14ac:dyDescent="0.2">
      <c r="S1739" s="32"/>
      <c r="T1739" s="187"/>
      <c r="W1739" s="221" t="str">
        <f t="shared" si="35"/>
        <v>1w</v>
      </c>
      <c r="X1739" s="222">
        <f>_xll.qlCalendarAdvance(Calendar,X1738,W1739,"f",FALSE)</f>
        <v>51013</v>
      </c>
      <c r="Y1739" s="227">
        <f>_xll.qlCalendarAdvance(Calendar,X1739,NDays&amp;"D")</f>
        <v>51013</v>
      </c>
      <c r="Z1739" s="228">
        <v>3.3297822458486857E-2</v>
      </c>
      <c r="AA1739" s="230">
        <v>3.3256711077012113E-2</v>
      </c>
    </row>
    <row r="1740" spans="19:27" x14ac:dyDescent="0.2">
      <c r="S1740" s="32"/>
      <c r="T1740" s="187"/>
      <c r="W1740" s="221" t="str">
        <f t="shared" si="35"/>
        <v>1w</v>
      </c>
      <c r="X1740" s="222">
        <f>_xll.qlCalendarAdvance(Calendar,X1739,W1740,"f",FALSE)</f>
        <v>51020</v>
      </c>
      <c r="Y1740" s="227">
        <f>_xll.qlCalendarAdvance(Calendar,X1740,NDays&amp;"D")</f>
        <v>51020</v>
      </c>
      <c r="Z1740" s="228">
        <v>3.3296379295828148E-2</v>
      </c>
      <c r="AA1740" s="230">
        <v>3.3255379493507542E-2</v>
      </c>
    </row>
    <row r="1741" spans="19:27" x14ac:dyDescent="0.2">
      <c r="S1741" s="32"/>
      <c r="T1741" s="187"/>
      <c r="W1741" s="221" t="str">
        <f t="shared" si="35"/>
        <v>1w</v>
      </c>
      <c r="X1741" s="222">
        <f>_xll.qlCalendarAdvance(Calendar,X1740,W1741,"f",FALSE)</f>
        <v>51027</v>
      </c>
      <c r="Y1741" s="227">
        <f>_xll.qlCalendarAdvance(Calendar,X1741,NDays&amp;"D")</f>
        <v>51027</v>
      </c>
      <c r="Z1741" s="228">
        <v>3.3294883968181962E-2</v>
      </c>
      <c r="AA1741" s="230">
        <v>3.325399588218092E-2</v>
      </c>
    </row>
    <row r="1742" spans="19:27" x14ac:dyDescent="0.2">
      <c r="S1742" s="32"/>
      <c r="T1742" s="187"/>
      <c r="W1742" s="221" t="str">
        <f t="shared" si="35"/>
        <v>1w</v>
      </c>
      <c r="X1742" s="222">
        <f>_xll.qlCalendarAdvance(Calendar,X1741,W1742,"f",FALSE)</f>
        <v>51034</v>
      </c>
      <c r="Y1742" s="227">
        <f>_xll.qlCalendarAdvance(Calendar,X1742,NDays&amp;"D")</f>
        <v>51034</v>
      </c>
      <c r="Z1742" s="228">
        <v>3.3293336475564504E-2</v>
      </c>
      <c r="AA1742" s="230">
        <v>3.3252560243518525E-2</v>
      </c>
    </row>
    <row r="1743" spans="19:27" x14ac:dyDescent="0.2">
      <c r="S1743" s="32"/>
      <c r="T1743" s="187"/>
      <c r="W1743" s="221" t="str">
        <f t="shared" si="35"/>
        <v>1w</v>
      </c>
      <c r="X1743" s="222">
        <f>_xll.qlCalendarAdvance(Calendar,X1742,W1743,"f",FALSE)</f>
        <v>51041</v>
      </c>
      <c r="Y1743" s="227">
        <f>_xll.qlCalendarAdvance(Calendar,X1743,NDays&amp;"D")</f>
        <v>51041</v>
      </c>
      <c r="Z1743" s="228">
        <v>3.3291736817994688E-2</v>
      </c>
      <c r="AA1743" s="230">
        <v>3.3251072577196172E-2</v>
      </c>
    </row>
    <row r="1744" spans="19:27" x14ac:dyDescent="0.2">
      <c r="S1744" s="32"/>
      <c r="T1744" s="187"/>
      <c r="W1744" s="221" t="str">
        <f t="shared" si="35"/>
        <v>1w</v>
      </c>
      <c r="X1744" s="222">
        <f>_xll.qlCalendarAdvance(Calendar,X1743,W1744,"f",FALSE)</f>
        <v>51048</v>
      </c>
      <c r="Y1744" s="227">
        <f>_xll.qlCalendarAdvance(Calendar,X1744,NDays&amp;"D")</f>
        <v>51048</v>
      </c>
      <c r="Z1744" s="228">
        <v>3.3294266397474022E-2</v>
      </c>
      <c r="AA1744" s="230">
        <v>3.3249532883375954E-2</v>
      </c>
    </row>
    <row r="1745" spans="19:27" x14ac:dyDescent="0.2">
      <c r="S1745" s="32"/>
      <c r="T1745" s="187"/>
      <c r="W1745" s="221" t="str">
        <f t="shared" si="35"/>
        <v>1w</v>
      </c>
      <c r="X1745" s="222">
        <f>_xll.qlCalendarAdvance(Calendar,X1744,W1745,"f",FALSE)</f>
        <v>51055</v>
      </c>
      <c r="Y1745" s="227">
        <f>_xll.qlCalendarAdvance(Calendar,X1745,NDays&amp;"D")</f>
        <v>51055</v>
      </c>
      <c r="Z1745" s="228">
        <v>3.3292550763171017E-2</v>
      </c>
      <c r="AA1745" s="230">
        <v>3.324794116205787E-2</v>
      </c>
    </row>
    <row r="1746" spans="19:27" x14ac:dyDescent="0.2">
      <c r="S1746" s="32"/>
      <c r="T1746" s="187"/>
      <c r="W1746" s="221" t="str">
        <f t="shared" si="35"/>
        <v>1w</v>
      </c>
      <c r="X1746" s="222">
        <f>_xll.qlCalendarAdvance(Calendar,X1745,W1746,"f",FALSE)</f>
        <v>51062</v>
      </c>
      <c r="Y1746" s="227">
        <f>_xll.qlCalendarAdvance(Calendar,X1746,NDays&amp;"D")</f>
        <v>51062</v>
      </c>
      <c r="Z1746" s="228">
        <v>3.3290782949754655E-2</v>
      </c>
      <c r="AA1746" s="230">
        <v>3.3246297413241921E-2</v>
      </c>
    </row>
    <row r="1747" spans="19:27" x14ac:dyDescent="0.2">
      <c r="S1747" s="32"/>
      <c r="T1747" s="187"/>
      <c r="W1747" s="221" t="str">
        <f t="shared" si="35"/>
        <v>1w</v>
      </c>
      <c r="X1747" s="222">
        <f>_xll.qlCalendarAdvance(Calendar,X1746,W1747,"f",FALSE)</f>
        <v>51069</v>
      </c>
      <c r="Y1747" s="227">
        <f>_xll.qlCalendarAdvance(Calendar,X1747,NDays&amp;"D")</f>
        <v>51069</v>
      </c>
      <c r="Z1747" s="228">
        <v>3.3288962957251957E-2</v>
      </c>
      <c r="AA1747" s="230">
        <v>3.324460163684706E-2</v>
      </c>
    </row>
    <row r="1748" spans="19:27" x14ac:dyDescent="0.2">
      <c r="S1748" s="32"/>
      <c r="T1748" s="187"/>
      <c r="W1748" s="221" t="str">
        <f t="shared" si="35"/>
        <v>1w</v>
      </c>
      <c r="X1748" s="222">
        <f>_xll.qlCalendarAdvance(Calendar,X1747,W1748,"f",FALSE)</f>
        <v>51076</v>
      </c>
      <c r="Y1748" s="227">
        <f>_xll.qlCalendarAdvance(Calendar,X1748,NDays&amp;"D")</f>
        <v>51076</v>
      </c>
      <c r="Z1748" s="228">
        <v>3.3282956056632895E-2</v>
      </c>
      <c r="AA1748" s="230">
        <v>3.3242853832954333E-2</v>
      </c>
    </row>
    <row r="1749" spans="19:27" x14ac:dyDescent="0.2">
      <c r="S1749" s="32"/>
      <c r="T1749" s="187"/>
      <c r="W1749" s="221" t="str">
        <f t="shared" ref="W1749:W1812" si="36">W1748</f>
        <v>1w</v>
      </c>
      <c r="X1749" s="222">
        <f>_xll.qlCalendarAdvance(Calendar,X1748,W1749,"f",FALSE)</f>
        <v>51083</v>
      </c>
      <c r="Y1749" s="227">
        <f>_xll.qlCalendarAdvance(Calendar,X1749,NDays&amp;"D")</f>
        <v>51083</v>
      </c>
      <c r="Z1749" s="228">
        <v>3.3281043409816302E-2</v>
      </c>
      <c r="AA1749" s="230">
        <v>3.3241054001644788E-2</v>
      </c>
    </row>
    <row r="1750" spans="19:27" x14ac:dyDescent="0.2">
      <c r="S1750" s="32"/>
      <c r="T1750" s="187"/>
      <c r="W1750" s="221" t="str">
        <f t="shared" si="36"/>
        <v>1w</v>
      </c>
      <c r="X1750" s="222">
        <f>_xll.qlCalendarAdvance(Calendar,X1749,W1750,"f",FALSE)</f>
        <v>51090</v>
      </c>
      <c r="Y1750" s="227">
        <f>_xll.qlCalendarAdvance(Calendar,X1750,NDays&amp;"D")</f>
        <v>51090</v>
      </c>
      <c r="Z1750" s="228">
        <v>3.3279078598204045E-2</v>
      </c>
      <c r="AA1750" s="230">
        <v>3.3239202142513191E-2</v>
      </c>
    </row>
    <row r="1751" spans="19:27" x14ac:dyDescent="0.2">
      <c r="S1751" s="32"/>
      <c r="T1751" s="187"/>
      <c r="W1751" s="221" t="str">
        <f t="shared" si="36"/>
        <v>1w</v>
      </c>
      <c r="X1751" s="222">
        <f>_xll.qlCalendarAdvance(Calendar,X1750,W1751,"f",FALSE)</f>
        <v>51097</v>
      </c>
      <c r="Y1751" s="227">
        <f>_xll.qlCalendarAdvance(Calendar,X1751,NDays&amp;"D")</f>
        <v>51097</v>
      </c>
      <c r="Z1751" s="228">
        <v>3.3277061621825831E-2</v>
      </c>
      <c r="AA1751" s="230">
        <v>3.3237298256126868E-2</v>
      </c>
    </row>
    <row r="1752" spans="19:27" x14ac:dyDescent="0.2">
      <c r="S1752" s="32"/>
      <c r="T1752" s="187"/>
      <c r="W1752" s="221" t="str">
        <f t="shared" si="36"/>
        <v>1w</v>
      </c>
      <c r="X1752" s="222">
        <f>_xll.qlCalendarAdvance(Calendar,X1751,W1752,"f",FALSE)</f>
        <v>51104</v>
      </c>
      <c r="Y1752" s="227">
        <f>_xll.qlCalendarAdvance(Calendar,X1752,NDays&amp;"D")</f>
        <v>51104</v>
      </c>
      <c r="Z1752" s="228">
        <v>3.3274992480705978E-2</v>
      </c>
      <c r="AA1752" s="230">
        <v>3.3235342342080587E-2</v>
      </c>
    </row>
    <row r="1753" spans="19:27" x14ac:dyDescent="0.2">
      <c r="S1753" s="32"/>
      <c r="T1753" s="187"/>
      <c r="W1753" s="221" t="str">
        <f t="shared" si="36"/>
        <v>1w</v>
      </c>
      <c r="X1753" s="222">
        <f>_xll.qlCalendarAdvance(Calendar,X1752,W1753,"f",FALSE)</f>
        <v>51111</v>
      </c>
      <c r="Y1753" s="227">
        <f>_xll.qlCalendarAdvance(Calendar,X1753,NDays&amp;"D")</f>
        <v>51111</v>
      </c>
      <c r="Z1753" s="228">
        <v>3.3276947242896239E-2</v>
      </c>
      <c r="AA1753" s="230">
        <v>3.3233334400617487E-2</v>
      </c>
    </row>
    <row r="1754" spans="19:27" x14ac:dyDescent="0.2">
      <c r="S1754" s="32"/>
      <c r="T1754" s="187"/>
      <c r="W1754" s="221" t="str">
        <f t="shared" si="36"/>
        <v>1w</v>
      </c>
      <c r="X1754" s="222">
        <f>_xll.qlCalendarAdvance(Calendar,X1753,W1754,"f",FALSE)</f>
        <v>51118</v>
      </c>
      <c r="Y1754" s="227">
        <f>_xll.qlCalendarAdvance(Calendar,X1754,NDays&amp;"D")</f>
        <v>51118</v>
      </c>
      <c r="Z1754" s="228">
        <v>3.3274761997543152E-2</v>
      </c>
      <c r="AA1754" s="230">
        <v>3.3231274431494429E-2</v>
      </c>
    </row>
    <row r="1755" spans="19:27" x14ac:dyDescent="0.2">
      <c r="S1755" s="32"/>
      <c r="T1755" s="187"/>
      <c r="W1755" s="221" t="str">
        <f t="shared" si="36"/>
        <v>1w</v>
      </c>
      <c r="X1755" s="222">
        <f>_xll.qlCalendarAdvance(Calendar,X1754,W1755,"f",FALSE)</f>
        <v>51125</v>
      </c>
      <c r="Y1755" s="227">
        <f>_xll.qlCalendarAdvance(Calendar,X1755,NDays&amp;"D")</f>
        <v>51125</v>
      </c>
      <c r="Z1755" s="228">
        <v>3.3272524573329673E-2</v>
      </c>
      <c r="AA1755" s="230">
        <v>3.3229162435035597E-2</v>
      </c>
    </row>
    <row r="1756" spans="19:27" x14ac:dyDescent="0.2">
      <c r="S1756" s="32"/>
      <c r="T1756" s="187"/>
      <c r="W1756" s="221" t="str">
        <f t="shared" si="36"/>
        <v>1w</v>
      </c>
      <c r="X1756" s="222">
        <f>_xll.qlCalendarAdvance(Calendar,X1755,W1756,"f",FALSE)</f>
        <v>51132</v>
      </c>
      <c r="Y1756" s="227">
        <f>_xll.qlCalendarAdvance(Calendar,X1756,NDays&amp;"D")</f>
        <v>51132</v>
      </c>
      <c r="Z1756" s="228">
        <v>3.3270234970285271E-2</v>
      </c>
      <c r="AA1756" s="230">
        <v>3.3226998410835762E-2</v>
      </c>
    </row>
    <row r="1757" spans="19:27" x14ac:dyDescent="0.2">
      <c r="S1757" s="32"/>
      <c r="T1757" s="187"/>
      <c r="W1757" s="221" t="str">
        <f t="shared" si="36"/>
        <v>1w</v>
      </c>
      <c r="X1757" s="222">
        <f>_xll.qlCalendarAdvance(Calendar,X1756,W1757,"f",FALSE)</f>
        <v>51139</v>
      </c>
      <c r="Y1757" s="227">
        <f>_xll.qlCalendarAdvance(Calendar,X1757,NDays&amp;"D")</f>
        <v>51139</v>
      </c>
      <c r="Z1757" s="228">
        <v>3.3267893188444336E-2</v>
      </c>
      <c r="AA1757" s="230">
        <v>3.3224782359219107E-2</v>
      </c>
    </row>
    <row r="1758" spans="19:27" x14ac:dyDescent="0.2">
      <c r="S1758" s="32"/>
      <c r="T1758" s="187"/>
      <c r="W1758" s="221" t="str">
        <f t="shared" si="36"/>
        <v>1w</v>
      </c>
      <c r="X1758" s="222">
        <f>_xll.qlCalendarAdvance(Calendar,X1757,W1758,"f",FALSE)</f>
        <v>51146</v>
      </c>
      <c r="Y1758" s="227">
        <f>_xll.qlCalendarAdvance(Calendar,X1758,NDays&amp;"D")</f>
        <v>51146</v>
      </c>
      <c r="Z1758" s="228">
        <v>3.326549922784125E-2</v>
      </c>
      <c r="AA1758" s="230">
        <v>3.3222514280104587E-2</v>
      </c>
    </row>
    <row r="1759" spans="19:27" x14ac:dyDescent="0.2">
      <c r="S1759" s="32"/>
      <c r="T1759" s="187"/>
      <c r="W1759" s="221" t="str">
        <f t="shared" si="36"/>
        <v>1w</v>
      </c>
      <c r="X1759" s="222">
        <f>_xll.qlCalendarAdvance(Calendar,X1758,W1759,"f",FALSE)</f>
        <v>51153</v>
      </c>
      <c r="Y1759" s="227">
        <f>_xll.qlCalendarAdvance(Calendar,X1759,NDays&amp;"D")</f>
        <v>51153</v>
      </c>
      <c r="Z1759" s="228">
        <v>3.3263053088505481E-2</v>
      </c>
      <c r="AA1759" s="230">
        <v>3.3220194173492201E-2</v>
      </c>
    </row>
    <row r="1760" spans="19:27" x14ac:dyDescent="0.2">
      <c r="S1760" s="32"/>
      <c r="T1760" s="187"/>
      <c r="W1760" s="221" t="str">
        <f t="shared" si="36"/>
        <v>1w</v>
      </c>
      <c r="X1760" s="222">
        <f>_xll.qlCalendarAdvance(Calendar,X1759,W1760,"f",FALSE)</f>
        <v>51160</v>
      </c>
      <c r="Y1760" s="227">
        <f>_xll.qlCalendarAdvance(Calendar,X1760,NDays&amp;"D")</f>
        <v>51160</v>
      </c>
      <c r="Z1760" s="228">
        <v>3.3260554770476333E-2</v>
      </c>
      <c r="AA1760" s="230">
        <v>3.321782203938195E-2</v>
      </c>
    </row>
    <row r="1761" spans="19:27" x14ac:dyDescent="0.2">
      <c r="S1761" s="32"/>
      <c r="T1761" s="187"/>
      <c r="W1761" s="221" t="str">
        <f t="shared" si="36"/>
        <v>1w</v>
      </c>
      <c r="X1761" s="222">
        <f>_xll.qlCalendarAdvance(Calendar,X1760,W1761,"f",FALSE)</f>
        <v>51167</v>
      </c>
      <c r="Y1761" s="227">
        <f>_xll.qlCalendarAdvance(Calendar,X1761,NDays&amp;"D")</f>
        <v>51167</v>
      </c>
      <c r="Z1761" s="228">
        <v>3.3252695050670321E-2</v>
      </c>
      <c r="AA1761" s="230">
        <v>3.3215397877692787E-2</v>
      </c>
    </row>
    <row r="1762" spans="19:27" x14ac:dyDescent="0.2">
      <c r="S1762" s="32"/>
      <c r="T1762" s="187"/>
      <c r="W1762" s="221" t="str">
        <f t="shared" si="36"/>
        <v>1w</v>
      </c>
      <c r="X1762" s="222">
        <f>_xll.qlCalendarAdvance(Calendar,X1761,W1762,"f",FALSE)</f>
        <v>51174</v>
      </c>
      <c r="Y1762" s="227">
        <f>_xll.qlCalendarAdvance(Calendar,X1762,NDays&amp;"D")</f>
        <v>51174</v>
      </c>
      <c r="Z1762" s="228">
        <v>3.325010822509359E-2</v>
      </c>
      <c r="AA1762" s="230">
        <v>3.3212921688505759E-2</v>
      </c>
    </row>
    <row r="1763" spans="19:27" x14ac:dyDescent="0.2">
      <c r="S1763" s="32"/>
      <c r="T1763" s="187"/>
      <c r="W1763" s="221" t="str">
        <f t="shared" si="36"/>
        <v>1w</v>
      </c>
      <c r="X1763" s="222">
        <f>_xll.qlCalendarAdvance(Calendar,X1762,W1763,"f",FALSE)</f>
        <v>51181</v>
      </c>
      <c r="Y1763" s="227">
        <f>_xll.qlCalendarAdvance(Calendar,X1763,NDays&amp;"D")</f>
        <v>51181</v>
      </c>
      <c r="Z1763" s="228">
        <v>3.3247469239824121E-2</v>
      </c>
      <c r="AA1763" s="230">
        <v>3.3210393471820865E-2</v>
      </c>
    </row>
    <row r="1764" spans="19:27" x14ac:dyDescent="0.2">
      <c r="S1764" s="32"/>
      <c r="T1764" s="187"/>
      <c r="W1764" s="221" t="str">
        <f t="shared" si="36"/>
        <v>1w</v>
      </c>
      <c r="X1764" s="222">
        <f>_xll.qlCalendarAdvance(Calendar,X1763,W1764,"f",FALSE)</f>
        <v>51188</v>
      </c>
      <c r="Y1764" s="227">
        <f>_xll.qlCalendarAdvance(Calendar,X1764,NDays&amp;"D")</f>
        <v>51188</v>
      </c>
      <c r="Z1764" s="228">
        <v>3.3244778094901048E-2</v>
      </c>
      <c r="AA1764" s="230">
        <v>3.3207813227557059E-2</v>
      </c>
    </row>
    <row r="1765" spans="19:27" x14ac:dyDescent="0.2">
      <c r="S1765" s="32"/>
      <c r="T1765" s="187"/>
      <c r="W1765" s="221" t="str">
        <f t="shared" si="36"/>
        <v>1w</v>
      </c>
      <c r="X1765" s="222">
        <f>_xll.qlCalendarAdvance(Calendar,X1764,W1765,"f",FALSE)</f>
        <v>51195</v>
      </c>
      <c r="Y1765" s="227">
        <f>_xll.qlCalendarAdvance(Calendar,X1765,NDays&amp;"D")</f>
        <v>51195</v>
      </c>
      <c r="Z1765" s="228">
        <v>3.3242034790357901E-2</v>
      </c>
      <c r="AA1765" s="230">
        <v>3.3205180955876434E-2</v>
      </c>
    </row>
    <row r="1766" spans="19:27" x14ac:dyDescent="0.2">
      <c r="S1766" s="32"/>
      <c r="T1766" s="187"/>
      <c r="W1766" s="221" t="str">
        <f t="shared" si="36"/>
        <v>1w</v>
      </c>
      <c r="X1766" s="222">
        <f>_xll.qlCalendarAdvance(Calendar,X1765,W1766,"f",FALSE)</f>
        <v>51202</v>
      </c>
      <c r="Y1766" s="227">
        <f>_xll.qlCalendarAdvance(Calendar,X1766,NDays&amp;"D")</f>
        <v>51202</v>
      </c>
      <c r="Z1766" s="228">
        <v>3.3244469111700141E-2</v>
      </c>
      <c r="AA1766" s="230">
        <v>3.3202496656616898E-2</v>
      </c>
    </row>
    <row r="1767" spans="19:27" x14ac:dyDescent="0.2">
      <c r="S1767" s="32"/>
      <c r="T1767" s="187"/>
      <c r="W1767" s="221" t="str">
        <f t="shared" si="36"/>
        <v>1w</v>
      </c>
      <c r="X1767" s="222">
        <f>_xll.qlCalendarAdvance(Calendar,X1766,W1767,"f",FALSE)</f>
        <v>51209</v>
      </c>
      <c r="Y1767" s="227">
        <f>_xll.qlCalendarAdvance(Calendar,X1767,NDays&amp;"D")</f>
        <v>51209</v>
      </c>
      <c r="Z1767" s="228">
        <v>3.3241605543826679E-2</v>
      </c>
      <c r="AA1767" s="230">
        <v>3.3199760329859496E-2</v>
      </c>
    </row>
    <row r="1768" spans="19:27" x14ac:dyDescent="0.2">
      <c r="S1768" s="32"/>
      <c r="T1768" s="187"/>
      <c r="W1768" s="221" t="str">
        <f t="shared" si="36"/>
        <v>1w</v>
      </c>
      <c r="X1768" s="222">
        <f>_xll.qlCalendarAdvance(Calendar,X1767,W1768,"f",FALSE)</f>
        <v>51216</v>
      </c>
      <c r="Y1768" s="227">
        <f>_xll.qlCalendarAdvance(Calendar,X1768,NDays&amp;"D")</f>
        <v>51216</v>
      </c>
      <c r="Z1768" s="228">
        <v>3.3238689797557001E-2</v>
      </c>
      <c r="AA1768" s="230">
        <v>3.3196971975604228E-2</v>
      </c>
    </row>
    <row r="1769" spans="19:27" x14ac:dyDescent="0.2">
      <c r="S1769" s="32"/>
      <c r="T1769" s="187"/>
      <c r="W1769" s="221" t="str">
        <f t="shared" si="36"/>
        <v>1w</v>
      </c>
      <c r="X1769" s="222">
        <f>_xll.qlCalendarAdvance(Calendar,X1768,W1769,"f",FALSE)</f>
        <v>51223</v>
      </c>
      <c r="Y1769" s="227">
        <f>_xll.qlCalendarAdvance(Calendar,X1769,NDays&amp;"D")</f>
        <v>51223</v>
      </c>
      <c r="Z1769" s="228">
        <v>3.3235721872937767E-2</v>
      </c>
      <c r="AA1769" s="230">
        <v>3.3194131593932141E-2</v>
      </c>
    </row>
    <row r="1770" spans="19:27" x14ac:dyDescent="0.2">
      <c r="S1770" s="32"/>
      <c r="T1770" s="187"/>
      <c r="W1770" s="221" t="str">
        <f t="shared" si="36"/>
        <v>1w</v>
      </c>
      <c r="X1770" s="222">
        <f>_xll.qlCalendarAdvance(Calendar,X1769,W1770,"f",FALSE)</f>
        <v>51230</v>
      </c>
      <c r="Y1770" s="227">
        <f>_xll.qlCalendarAdvance(Calendar,X1770,NDays&amp;"D")</f>
        <v>51230</v>
      </c>
      <c r="Z1770" s="228">
        <v>3.3228827803179192E-2</v>
      </c>
      <c r="AA1770" s="230">
        <v>3.3191239184681143E-2</v>
      </c>
    </row>
    <row r="1771" spans="19:27" x14ac:dyDescent="0.2">
      <c r="S1771" s="32"/>
      <c r="T1771" s="187"/>
      <c r="W1771" s="221" t="str">
        <f t="shared" si="36"/>
        <v>1w</v>
      </c>
      <c r="X1771" s="222">
        <f>_xll.qlCalendarAdvance(Calendar,X1770,W1771,"f",FALSE)</f>
        <v>51237</v>
      </c>
      <c r="Y1771" s="227">
        <f>_xll.qlCalendarAdvance(Calendar,X1771,NDays&amp;"D")</f>
        <v>51237</v>
      </c>
      <c r="Z1771" s="228">
        <v>3.3225767537768444E-2</v>
      </c>
      <c r="AA1771" s="230">
        <v>3.3188294747851232E-2</v>
      </c>
    </row>
    <row r="1772" spans="19:27" x14ac:dyDescent="0.2">
      <c r="S1772" s="32"/>
      <c r="T1772" s="187"/>
      <c r="W1772" s="221" t="str">
        <f t="shared" si="36"/>
        <v>1w</v>
      </c>
      <c r="X1772" s="222">
        <f>_xll.qlCalendarAdvance(Calendar,X1771,W1772,"f",FALSE)</f>
        <v>51244</v>
      </c>
      <c r="Y1772" s="227">
        <f>_xll.qlCalendarAdvance(Calendar,X1772,NDays&amp;"D")</f>
        <v>51244</v>
      </c>
      <c r="Z1772" s="228">
        <v>3.3222655108272534E-2</v>
      </c>
      <c r="AA1772" s="230">
        <v>3.3185298283604503E-2</v>
      </c>
    </row>
    <row r="1773" spans="19:27" x14ac:dyDescent="0.2">
      <c r="S1773" s="32"/>
      <c r="T1773" s="187"/>
      <c r="W1773" s="221" t="str">
        <f t="shared" si="36"/>
        <v>1w</v>
      </c>
      <c r="X1773" s="222">
        <f>_xll.qlCalendarAdvance(Calendar,X1772,W1773,"f",FALSE)</f>
        <v>51251</v>
      </c>
      <c r="Y1773" s="227">
        <f>_xll.qlCalendarAdvance(Calendar,X1773,NDays&amp;"D")</f>
        <v>51251</v>
      </c>
      <c r="Z1773" s="228">
        <v>3.3219490514737382E-2</v>
      </c>
      <c r="AA1773" s="230">
        <v>3.3182249791859908E-2</v>
      </c>
    </row>
    <row r="1774" spans="19:27" x14ac:dyDescent="0.2">
      <c r="S1774" s="32"/>
      <c r="T1774" s="187"/>
      <c r="W1774" s="221" t="str">
        <f t="shared" si="36"/>
        <v>1w</v>
      </c>
      <c r="X1774" s="222">
        <f>_xll.qlCalendarAdvance(Calendar,X1773,W1774,"f",FALSE)</f>
        <v>51258</v>
      </c>
      <c r="Y1774" s="227">
        <f>_xll.qlCalendarAdvance(Calendar,X1774,NDays&amp;"D")</f>
        <v>51258</v>
      </c>
      <c r="Z1774" s="228">
        <v>3.3220099576047303E-2</v>
      </c>
      <c r="AA1774" s="230">
        <v>3.3179149272617448E-2</v>
      </c>
    </row>
    <row r="1775" spans="19:27" x14ac:dyDescent="0.2">
      <c r="S1775" s="32"/>
      <c r="T1775" s="187"/>
      <c r="W1775" s="221" t="str">
        <f t="shared" si="36"/>
        <v>1w</v>
      </c>
      <c r="X1775" s="222">
        <f>_xll.qlCalendarAdvance(Calendar,X1774,W1775,"f",FALSE)</f>
        <v>51265</v>
      </c>
      <c r="Y1775" s="227">
        <f>_xll.qlCalendarAdvance(Calendar,X1775,NDays&amp;"D")</f>
        <v>51265</v>
      </c>
      <c r="Z1775" s="228">
        <v>3.3216818582219802E-2</v>
      </c>
      <c r="AA1775" s="230">
        <v>3.3175996725796075E-2</v>
      </c>
    </row>
    <row r="1776" spans="19:27" x14ac:dyDescent="0.2">
      <c r="S1776" s="32"/>
      <c r="T1776" s="187"/>
      <c r="W1776" s="221" t="str">
        <f t="shared" si="36"/>
        <v>1w</v>
      </c>
      <c r="X1776" s="222">
        <f>_xll.qlCalendarAdvance(Calendar,X1775,W1776,"f",FALSE)</f>
        <v>51272</v>
      </c>
      <c r="Y1776" s="227">
        <f>_xll.qlCalendarAdvance(Calendar,X1776,NDays&amp;"D")</f>
        <v>51272</v>
      </c>
      <c r="Z1776" s="228">
        <v>3.3213485410349741E-2</v>
      </c>
      <c r="AA1776" s="230">
        <v>3.3172792151557884E-2</v>
      </c>
    </row>
    <row r="1777" spans="19:27" x14ac:dyDescent="0.2">
      <c r="S1777" s="32"/>
      <c r="T1777" s="187"/>
      <c r="W1777" s="221" t="str">
        <f t="shared" si="36"/>
        <v>1w</v>
      </c>
      <c r="X1777" s="222">
        <f>_xll.qlCalendarAdvance(Calendar,X1776,W1777,"f",FALSE)</f>
        <v>51279</v>
      </c>
      <c r="Y1777" s="227">
        <f>_xll.qlCalendarAdvance(Calendar,X1777,NDays&amp;"D")</f>
        <v>51279</v>
      </c>
      <c r="Z1777" s="228">
        <v>3.3210100060481328E-2</v>
      </c>
      <c r="AA1777" s="230">
        <v>3.3169535549740781E-2</v>
      </c>
    </row>
    <row r="1778" spans="19:27" x14ac:dyDescent="0.2">
      <c r="S1778" s="32"/>
      <c r="T1778" s="187"/>
      <c r="W1778" s="221" t="str">
        <f t="shared" si="36"/>
        <v>1w</v>
      </c>
      <c r="X1778" s="222">
        <f>_xll.qlCalendarAdvance(Calendar,X1777,W1778,"f",FALSE)</f>
        <v>51286</v>
      </c>
      <c r="Y1778" s="227">
        <f>_xll.qlCalendarAdvance(Calendar,X1778,NDays&amp;"D")</f>
        <v>51286</v>
      </c>
      <c r="Z1778" s="228">
        <v>3.3202885087831979E-2</v>
      </c>
      <c r="AA1778" s="230">
        <v>3.3166226920506858E-2</v>
      </c>
    </row>
    <row r="1779" spans="19:27" x14ac:dyDescent="0.2">
      <c r="S1779" s="32"/>
      <c r="T1779" s="187"/>
      <c r="W1779" s="221" t="str">
        <f t="shared" si="36"/>
        <v>1w</v>
      </c>
      <c r="X1779" s="222">
        <f>_xll.qlCalendarAdvance(Calendar,X1778,W1779,"f",FALSE)</f>
        <v>51293</v>
      </c>
      <c r="Y1779" s="227">
        <f>_xll.qlCalendarAdvance(Calendar,X1779,NDays&amp;"D")</f>
        <v>51293</v>
      </c>
      <c r="Z1779" s="228">
        <v>3.3199407510906997E-2</v>
      </c>
      <c r="AA1779" s="230">
        <v>3.316286626377507E-2</v>
      </c>
    </row>
    <row r="1780" spans="19:27" x14ac:dyDescent="0.2">
      <c r="S1780" s="32"/>
      <c r="T1780" s="187"/>
      <c r="W1780" s="221" t="str">
        <f t="shared" si="36"/>
        <v>1w</v>
      </c>
      <c r="X1780" s="222">
        <f>_xll.qlCalendarAdvance(Calendar,X1779,W1780,"f",FALSE)</f>
        <v>51300</v>
      </c>
      <c r="Y1780" s="227">
        <f>_xll.qlCalendarAdvance(Calendar,X1780,NDays&amp;"D")</f>
        <v>51300</v>
      </c>
      <c r="Z1780" s="228">
        <v>3.3195877770234548E-2</v>
      </c>
      <c r="AA1780" s="230">
        <v>3.3159453579545417E-2</v>
      </c>
    </row>
    <row r="1781" spans="19:27" x14ac:dyDescent="0.2">
      <c r="S1781" s="32"/>
      <c r="T1781" s="187"/>
      <c r="W1781" s="221" t="str">
        <f t="shared" si="36"/>
        <v>1w</v>
      </c>
      <c r="X1781" s="222">
        <f>_xll.qlCalendarAdvance(Calendar,X1780,W1781,"f",FALSE)</f>
        <v>51307</v>
      </c>
      <c r="Y1781" s="227">
        <f>_xll.qlCalendarAdvance(Calendar,X1781,NDays&amp;"D")</f>
        <v>51307</v>
      </c>
      <c r="Z1781" s="228">
        <v>3.3192295865863253E-2</v>
      </c>
      <c r="AA1781" s="230">
        <v>3.3155988867736852E-2</v>
      </c>
    </row>
    <row r="1782" spans="19:27" x14ac:dyDescent="0.2">
      <c r="S1782" s="32"/>
      <c r="T1782" s="187"/>
      <c r="W1782" s="221" t="str">
        <f t="shared" si="36"/>
        <v>1w</v>
      </c>
      <c r="X1782" s="222">
        <f>_xll.qlCalendarAdvance(Calendar,X1781,W1782,"f",FALSE)</f>
        <v>51314</v>
      </c>
      <c r="Y1782" s="227">
        <f>_xll.qlCalendarAdvance(Calendar,X1782,NDays&amp;"D")</f>
        <v>51314</v>
      </c>
      <c r="Z1782" s="228">
        <v>3.3188661797836347E-2</v>
      </c>
      <c r="AA1782" s="230">
        <v>3.3152472128592514E-2</v>
      </c>
    </row>
    <row r="1783" spans="19:27" x14ac:dyDescent="0.2">
      <c r="S1783" s="32"/>
      <c r="T1783" s="187"/>
      <c r="W1783" s="221" t="str">
        <f t="shared" si="36"/>
        <v>1w</v>
      </c>
      <c r="X1783" s="222">
        <f>_xll.qlCalendarAdvance(Calendar,X1782,W1783,"f",FALSE)</f>
        <v>51321</v>
      </c>
      <c r="Y1783" s="227">
        <f>_xll.qlCalendarAdvance(Calendar,X1783,NDays&amp;"D")</f>
        <v>51321</v>
      </c>
      <c r="Z1783" s="228">
        <v>3.3188692226073284E-2</v>
      </c>
      <c r="AA1783" s="230">
        <v>3.3148903361869264E-2</v>
      </c>
    </row>
    <row r="1784" spans="19:27" x14ac:dyDescent="0.2">
      <c r="S1784" s="32"/>
      <c r="T1784" s="187"/>
      <c r="W1784" s="221" t="str">
        <f t="shared" si="36"/>
        <v>1w</v>
      </c>
      <c r="X1784" s="222">
        <f>_xll.qlCalendarAdvance(Calendar,X1783,W1784,"f",FALSE)</f>
        <v>51328</v>
      </c>
      <c r="Y1784" s="227">
        <f>_xll.qlCalendarAdvance(Calendar,X1784,NDays&amp;"D")</f>
        <v>51328</v>
      </c>
      <c r="Z1784" s="228">
        <v>3.3184941631611377E-2</v>
      </c>
      <c r="AA1784" s="230">
        <v>3.3145282567729195E-2</v>
      </c>
    </row>
    <row r="1785" spans="19:27" x14ac:dyDescent="0.2">
      <c r="S1785" s="32"/>
      <c r="T1785" s="187"/>
      <c r="W1785" s="221" t="str">
        <f t="shared" si="36"/>
        <v>1w</v>
      </c>
      <c r="X1785" s="222">
        <f>_xll.qlCalendarAdvance(Calendar,X1784,W1785,"f",FALSE)</f>
        <v>51335</v>
      </c>
      <c r="Y1785" s="227">
        <f>_xll.qlCalendarAdvance(Calendar,X1785,NDays&amp;"D")</f>
        <v>51335</v>
      </c>
      <c r="Z1785" s="228">
        <v>3.3181138859551436E-2</v>
      </c>
      <c r="AA1785" s="230">
        <v>3.3141609746010214E-2</v>
      </c>
    </row>
    <row r="1786" spans="19:27" x14ac:dyDescent="0.2">
      <c r="S1786" s="32"/>
      <c r="T1786" s="187"/>
      <c r="W1786" s="221" t="str">
        <f t="shared" si="36"/>
        <v>1w</v>
      </c>
      <c r="X1786" s="222">
        <f>_xll.qlCalendarAdvance(Calendar,X1785,W1786,"f",FALSE)</f>
        <v>51342</v>
      </c>
      <c r="Y1786" s="227">
        <f>_xll.qlCalendarAdvance(Calendar,X1786,NDays&amp;"D")</f>
        <v>51342</v>
      </c>
      <c r="Z1786" s="228">
        <v>3.3178509954084529E-2</v>
      </c>
      <c r="AA1786" s="230">
        <v>3.3137884896793368E-2</v>
      </c>
    </row>
    <row r="1787" spans="19:27" x14ac:dyDescent="0.2">
      <c r="S1787" s="32"/>
      <c r="T1787" s="187"/>
      <c r="W1787" s="221" t="str">
        <f t="shared" si="36"/>
        <v>1w</v>
      </c>
      <c r="X1787" s="222">
        <f>_xll.qlCalendarAdvance(Calendar,X1786,W1787,"f",FALSE)</f>
        <v>51349</v>
      </c>
      <c r="Y1787" s="227">
        <f>_xll.qlCalendarAdvance(Calendar,X1787,NDays&amp;"D")</f>
        <v>51349</v>
      </c>
      <c r="Z1787" s="228">
        <v>3.3173376782870773E-2</v>
      </c>
      <c r="AA1787" s="230">
        <v>3.3134108020240749E-2</v>
      </c>
    </row>
    <row r="1788" spans="19:27" x14ac:dyDescent="0.2">
      <c r="S1788" s="32"/>
      <c r="T1788" s="187"/>
      <c r="W1788" s="221" t="str">
        <f t="shared" si="36"/>
        <v>1w</v>
      </c>
      <c r="X1788" s="222">
        <f>_xll.qlCalendarAdvance(Calendar,X1787,W1788,"f",FALSE)</f>
        <v>51356</v>
      </c>
      <c r="Y1788" s="227">
        <f>_xll.qlCalendarAdvance(Calendar,X1788,NDays&amp;"D")</f>
        <v>51356</v>
      </c>
      <c r="Z1788" s="228">
        <v>3.3169417478355653E-2</v>
      </c>
      <c r="AA1788" s="230">
        <v>3.3130279116109218E-2</v>
      </c>
    </row>
    <row r="1789" spans="19:27" x14ac:dyDescent="0.2">
      <c r="S1789" s="32"/>
      <c r="T1789" s="187"/>
      <c r="W1789" s="221" t="str">
        <f t="shared" si="36"/>
        <v>1w</v>
      </c>
      <c r="X1789" s="222">
        <f>_xll.qlCalendarAdvance(Calendar,X1788,W1789,"f",FALSE)</f>
        <v>51363</v>
      </c>
      <c r="Y1789" s="227">
        <f>_xll.qlCalendarAdvance(Calendar,X1789,NDays&amp;"D")</f>
        <v>51363</v>
      </c>
      <c r="Z1789" s="228">
        <v>3.3165405996465988E-2</v>
      </c>
      <c r="AA1789" s="230">
        <v>3.3126398184479822E-2</v>
      </c>
    </row>
    <row r="1790" spans="19:27" x14ac:dyDescent="0.2">
      <c r="S1790" s="32"/>
      <c r="T1790" s="187"/>
      <c r="W1790" s="221" t="str">
        <f t="shared" si="36"/>
        <v>1w</v>
      </c>
      <c r="X1790" s="222">
        <f>_xll.qlCalendarAdvance(Calendar,X1789,W1790,"f",FALSE)</f>
        <v>51370</v>
      </c>
      <c r="Y1790" s="227">
        <f>_xll.qlCalendarAdvance(Calendar,X1790,NDays&amp;"D")</f>
        <v>51370</v>
      </c>
      <c r="Z1790" s="228">
        <v>3.3161342337255817E-2</v>
      </c>
      <c r="AA1790" s="230">
        <v>3.3122465225433606E-2</v>
      </c>
    </row>
    <row r="1791" spans="19:27" x14ac:dyDescent="0.2">
      <c r="S1791" s="32"/>
      <c r="T1791" s="187"/>
      <c r="W1791" s="221" t="str">
        <f t="shared" si="36"/>
        <v>1w</v>
      </c>
      <c r="X1791" s="222">
        <f>_xll.qlCalendarAdvance(Calendar,X1790,W1791,"f",FALSE)</f>
        <v>51377</v>
      </c>
      <c r="Y1791" s="227">
        <f>_xll.qlCalendarAdvance(Calendar,X1791,NDays&amp;"D")</f>
        <v>51377</v>
      </c>
      <c r="Z1791" s="228">
        <v>3.3153607829058226E-2</v>
      </c>
      <c r="AA1791" s="230">
        <v>3.3118480238889525E-2</v>
      </c>
    </row>
    <row r="1792" spans="19:27" x14ac:dyDescent="0.2">
      <c r="S1792" s="32"/>
      <c r="T1792" s="187"/>
      <c r="W1792" s="221" t="str">
        <f t="shared" si="36"/>
        <v>1w</v>
      </c>
      <c r="X1792" s="222">
        <f>_xll.qlCalendarAdvance(Calendar,X1791,W1792,"f",FALSE)</f>
        <v>51384</v>
      </c>
      <c r="Y1792" s="227">
        <f>_xll.qlCalendarAdvance(Calendar,X1792,NDays&amp;"D")</f>
        <v>51384</v>
      </c>
      <c r="Z1792" s="228">
        <v>3.3149452127163179E-2</v>
      </c>
      <c r="AA1792" s="230">
        <v>3.3114443224847578E-2</v>
      </c>
    </row>
    <row r="1793" spans="19:27" x14ac:dyDescent="0.2">
      <c r="S1793" s="32"/>
      <c r="T1793" s="187"/>
      <c r="W1793" s="221" t="str">
        <f t="shared" si="36"/>
        <v>1w</v>
      </c>
      <c r="X1793" s="222">
        <f>_xll.qlCalendarAdvance(Calendar,X1792,W1793,"f",FALSE)</f>
        <v>51391</v>
      </c>
      <c r="Y1793" s="227">
        <f>_xll.qlCalendarAdvance(Calendar,X1793,NDays&amp;"D")</f>
        <v>51391</v>
      </c>
      <c r="Z1793" s="228">
        <v>3.3145244262158223E-2</v>
      </c>
      <c r="AA1793" s="230">
        <v>3.3110354183307766E-2</v>
      </c>
    </row>
    <row r="1794" spans="19:27" x14ac:dyDescent="0.2">
      <c r="S1794" s="32"/>
      <c r="T1794" s="187"/>
      <c r="W1794" s="221" t="str">
        <f t="shared" si="36"/>
        <v>1w</v>
      </c>
      <c r="X1794" s="222">
        <f>_xll.qlCalendarAdvance(Calendar,X1793,W1794,"f",FALSE)</f>
        <v>51398</v>
      </c>
      <c r="Y1794" s="227">
        <f>_xll.qlCalendarAdvance(Calendar,X1794,NDays&amp;"D")</f>
        <v>51398</v>
      </c>
      <c r="Z1794" s="228">
        <v>3.3140984234105497E-2</v>
      </c>
      <c r="AA1794" s="230">
        <v>3.3106213114432181E-2</v>
      </c>
    </row>
    <row r="1795" spans="19:27" x14ac:dyDescent="0.2">
      <c r="S1795" s="32"/>
      <c r="T1795" s="187"/>
      <c r="W1795" s="221" t="str">
        <f t="shared" si="36"/>
        <v>1w</v>
      </c>
      <c r="X1795" s="222">
        <f>_xll.qlCalendarAdvance(Calendar,X1794,W1795,"f",FALSE)</f>
        <v>51405</v>
      </c>
      <c r="Y1795" s="227">
        <f>_xll.qlCalendarAdvance(Calendar,X1795,NDays&amp;"D")</f>
        <v>51405</v>
      </c>
      <c r="Z1795" s="228">
        <v>3.3136672043056335E-2</v>
      </c>
      <c r="AA1795" s="230">
        <v>3.3102020017977685E-2</v>
      </c>
    </row>
    <row r="1796" spans="19:27" x14ac:dyDescent="0.2">
      <c r="S1796" s="32"/>
      <c r="T1796" s="187"/>
      <c r="W1796" s="221" t="str">
        <f t="shared" si="36"/>
        <v>1w</v>
      </c>
      <c r="X1796" s="222">
        <f>_xll.qlCalendarAdvance(Calendar,X1795,W1796,"f",FALSE)</f>
        <v>51412</v>
      </c>
      <c r="Y1796" s="227">
        <f>_xll.qlCalendarAdvance(Calendar,X1796,NDays&amp;"D")</f>
        <v>51412</v>
      </c>
      <c r="Z1796" s="228">
        <v>3.3135864661594308E-2</v>
      </c>
      <c r="AA1796" s="230">
        <v>3.3097774894106369E-2</v>
      </c>
    </row>
    <row r="1797" spans="19:27" x14ac:dyDescent="0.2">
      <c r="S1797" s="32"/>
      <c r="T1797" s="187"/>
      <c r="W1797" s="221" t="str">
        <f t="shared" si="36"/>
        <v>1w</v>
      </c>
      <c r="X1797" s="222">
        <f>_xll.qlCalendarAdvance(Calendar,X1796,W1797,"f",FALSE)</f>
        <v>51419</v>
      </c>
      <c r="Y1797" s="227">
        <f>_xll.qlCalendarAdvance(Calendar,X1797,NDays&amp;"D")</f>
        <v>51419</v>
      </c>
      <c r="Z1797" s="228">
        <v>3.3131435762808144E-2</v>
      </c>
      <c r="AA1797" s="230">
        <v>3.3093477742737187E-2</v>
      </c>
    </row>
    <row r="1798" spans="19:27" x14ac:dyDescent="0.2">
      <c r="S1798" s="32"/>
      <c r="T1798" s="187"/>
      <c r="W1798" s="221" t="str">
        <f t="shared" si="36"/>
        <v>1w</v>
      </c>
      <c r="X1798" s="222">
        <f>_xll.qlCalendarAdvance(Calendar,X1797,W1798,"f",FALSE)</f>
        <v>51426</v>
      </c>
      <c r="Y1798" s="227">
        <f>_xll.qlCalendarAdvance(Calendar,X1798,NDays&amp;"D")</f>
        <v>51426</v>
      </c>
      <c r="Z1798" s="228">
        <v>3.3126954687182832E-2</v>
      </c>
      <c r="AA1798" s="230">
        <v>3.308912856387014E-2</v>
      </c>
    </row>
    <row r="1799" spans="19:27" x14ac:dyDescent="0.2">
      <c r="S1799" s="32"/>
      <c r="T1799" s="187"/>
      <c r="W1799" s="221" t="str">
        <f t="shared" si="36"/>
        <v>1w</v>
      </c>
      <c r="X1799" s="222">
        <f>_xll.qlCalendarAdvance(Calendar,X1798,W1799,"f",FALSE)</f>
        <v>51433</v>
      </c>
      <c r="Y1799" s="227">
        <f>_xll.qlCalendarAdvance(Calendar,X1799,NDays&amp;"D")</f>
        <v>51433</v>
      </c>
      <c r="Z1799" s="228">
        <v>3.3122421434779774E-2</v>
      </c>
      <c r="AA1799" s="230">
        <v>3.3084727357667321E-2</v>
      </c>
    </row>
    <row r="1800" spans="19:27" x14ac:dyDescent="0.2">
      <c r="S1800" s="32"/>
      <c r="T1800" s="187"/>
      <c r="W1800" s="221" t="str">
        <f t="shared" si="36"/>
        <v>1w</v>
      </c>
      <c r="X1800" s="222">
        <f>_xll.qlCalendarAdvance(Calendar,X1799,W1800,"f",FALSE)</f>
        <v>51440</v>
      </c>
      <c r="Y1800" s="227">
        <f>_xll.qlCalendarAdvance(Calendar,X1800,NDays&amp;"D")</f>
        <v>51440</v>
      </c>
      <c r="Z1800" s="228">
        <v>3.3114328644825219E-2</v>
      </c>
      <c r="AA1800" s="230">
        <v>3.3080274123885589E-2</v>
      </c>
    </row>
    <row r="1801" spans="19:27" x14ac:dyDescent="0.2">
      <c r="S1801" s="32"/>
      <c r="T1801" s="187"/>
      <c r="W1801" s="221" t="str">
        <f t="shared" si="36"/>
        <v>1w</v>
      </c>
      <c r="X1801" s="222">
        <f>_xll.qlCalendarAdvance(Calendar,X1800,W1801,"f",FALSE)</f>
        <v>51447</v>
      </c>
      <c r="Y1801" s="227">
        <f>_xll.qlCalendarAdvance(Calendar,X1801,NDays&amp;"D")</f>
        <v>51447</v>
      </c>
      <c r="Z1801" s="228">
        <v>3.3109703476986094E-2</v>
      </c>
      <c r="AA1801" s="230">
        <v>3.3075768862768085E-2</v>
      </c>
    </row>
    <row r="1802" spans="19:27" x14ac:dyDescent="0.2">
      <c r="S1802" s="32"/>
      <c r="T1802" s="187"/>
      <c r="W1802" s="221" t="str">
        <f t="shared" si="36"/>
        <v>1w</v>
      </c>
      <c r="X1802" s="222">
        <f>_xll.qlCalendarAdvance(Calendar,X1801,W1802,"f",FALSE)</f>
        <v>51454</v>
      </c>
      <c r="Y1802" s="227">
        <f>_xll.qlCalendarAdvance(Calendar,X1802,NDays&amp;"D")</f>
        <v>51454</v>
      </c>
      <c r="Z1802" s="228">
        <v>3.3105026146544946E-2</v>
      </c>
      <c r="AA1802" s="230">
        <v>3.3071211574071668E-2</v>
      </c>
    </row>
    <row r="1803" spans="19:27" x14ac:dyDescent="0.2">
      <c r="S1803" s="32"/>
      <c r="T1803" s="187"/>
      <c r="W1803" s="221" t="str">
        <f t="shared" si="36"/>
        <v>1w</v>
      </c>
      <c r="X1803" s="222">
        <f>_xll.qlCalendarAdvance(Calendar,X1802,W1803,"f",FALSE)</f>
        <v>51461</v>
      </c>
      <c r="Y1803" s="227">
        <f>_xll.qlCalendarAdvance(Calendar,X1803,NDays&amp;"D")</f>
        <v>51461</v>
      </c>
      <c r="Z1803" s="228">
        <v>3.3100296653572024E-2</v>
      </c>
      <c r="AA1803" s="230">
        <v>3.3066602257958433E-2</v>
      </c>
    </row>
    <row r="1804" spans="19:27" x14ac:dyDescent="0.2">
      <c r="S1804" s="32"/>
      <c r="T1804" s="187"/>
      <c r="W1804" s="221" t="str">
        <f t="shared" si="36"/>
        <v>1w</v>
      </c>
      <c r="X1804" s="222">
        <f>_xll.qlCalendarAdvance(Calendar,X1803,W1804,"f",FALSE)</f>
        <v>51468</v>
      </c>
      <c r="Y1804" s="227">
        <f>_xll.qlCalendarAdvance(Calendar,X1804,NDays&amp;"D")</f>
        <v>51468</v>
      </c>
      <c r="Z1804" s="228">
        <v>3.3095514998124062E-2</v>
      </c>
      <c r="AA1804" s="230">
        <v>3.3061940914428378E-2</v>
      </c>
    </row>
    <row r="1805" spans="19:27" x14ac:dyDescent="0.2">
      <c r="S1805" s="32"/>
      <c r="T1805" s="187"/>
      <c r="W1805" s="221" t="str">
        <f t="shared" si="36"/>
        <v>1w</v>
      </c>
      <c r="X1805" s="222">
        <f>_xll.qlCalendarAdvance(Calendar,X1804,W1805,"f",FALSE)</f>
        <v>51475</v>
      </c>
      <c r="Y1805" s="227">
        <f>_xll.qlCalendarAdvance(Calendar,X1805,NDays&amp;"D")</f>
        <v>51475</v>
      </c>
      <c r="Z1805" s="228">
        <v>3.3094126211715126E-2</v>
      </c>
      <c r="AA1805" s="230">
        <v>3.3057227543481504E-2</v>
      </c>
    </row>
    <row r="1806" spans="19:27" x14ac:dyDescent="0.2">
      <c r="S1806" s="32"/>
      <c r="T1806" s="187"/>
      <c r="W1806" s="221" t="str">
        <f t="shared" si="36"/>
        <v>1w</v>
      </c>
      <c r="X1806" s="222">
        <f>_xll.qlCalendarAdvance(Calendar,X1805,W1806,"f",FALSE)</f>
        <v>51482</v>
      </c>
      <c r="Y1806" s="227">
        <f>_xll.qlCalendarAdvance(Calendar,X1806,NDays&amp;"D")</f>
        <v>51482</v>
      </c>
      <c r="Z1806" s="228">
        <v>3.3089227723714719E-2</v>
      </c>
      <c r="AA1806" s="230">
        <v>3.3052462144955719E-2</v>
      </c>
    </row>
    <row r="1807" spans="19:27" x14ac:dyDescent="0.2">
      <c r="S1807" s="32"/>
      <c r="T1807" s="187"/>
      <c r="W1807" s="221" t="str">
        <f t="shared" si="36"/>
        <v>1w</v>
      </c>
      <c r="X1807" s="222">
        <f>_xll.qlCalendarAdvance(Calendar,X1806,W1807,"f",FALSE)</f>
        <v>51489</v>
      </c>
      <c r="Y1807" s="227">
        <f>_xll.qlCalendarAdvance(Calendar,X1807,NDays&amp;"D")</f>
        <v>51489</v>
      </c>
      <c r="Z1807" s="228">
        <v>3.3084277059474414E-2</v>
      </c>
      <c r="AA1807" s="230">
        <v>3.304764471909416E-2</v>
      </c>
    </row>
    <row r="1808" spans="19:27" x14ac:dyDescent="0.2">
      <c r="S1808" s="32"/>
      <c r="T1808" s="187"/>
      <c r="W1808" s="221" t="str">
        <f t="shared" si="36"/>
        <v>1w</v>
      </c>
      <c r="X1808" s="222">
        <f>_xll.qlCalendarAdvance(Calendar,X1807,W1808,"f",FALSE)</f>
        <v>51497</v>
      </c>
      <c r="Y1808" s="227">
        <f>_xll.qlCalendarAdvance(Calendar,X1808,NDays&amp;"D")</f>
        <v>51497</v>
      </c>
      <c r="Z1808" s="228">
        <v>3.3077420373629485E-2</v>
      </c>
      <c r="AA1808" s="230">
        <v>3.304207538247228E-2</v>
      </c>
    </row>
    <row r="1809" spans="19:27" x14ac:dyDescent="0.2">
      <c r="S1809" s="32"/>
      <c r="T1809" s="187"/>
      <c r="W1809" s="221" t="str">
        <f t="shared" si="36"/>
        <v>1w</v>
      </c>
      <c r="X1809" s="222">
        <f>_xll.qlCalendarAdvance(Calendar,X1808,W1809,"f",FALSE)</f>
        <v>51504</v>
      </c>
      <c r="Y1809" s="227">
        <f>_xll.qlCalendarAdvance(Calendar,X1809,NDays&amp;"D")</f>
        <v>51504</v>
      </c>
      <c r="Z1809" s="228">
        <v>3.3072362087967211E-2</v>
      </c>
      <c r="AA1809" s="230">
        <v>3.3037146469184764E-2</v>
      </c>
    </row>
    <row r="1810" spans="19:27" x14ac:dyDescent="0.2">
      <c r="S1810" s="32"/>
      <c r="T1810" s="187"/>
      <c r="W1810" s="221" t="str">
        <f t="shared" si="36"/>
        <v>1w</v>
      </c>
      <c r="X1810" s="222">
        <f>_xll.qlCalendarAdvance(Calendar,X1809,W1810,"f",FALSE)</f>
        <v>51511</v>
      </c>
      <c r="Y1810" s="227">
        <f>_xll.qlCalendarAdvance(Calendar,X1810,NDays&amp;"D")</f>
        <v>51511</v>
      </c>
      <c r="Z1810" s="228">
        <v>3.3067251630932194E-2</v>
      </c>
      <c r="AA1810" s="230">
        <v>3.3032165528480428E-2</v>
      </c>
    </row>
    <row r="1811" spans="19:27" x14ac:dyDescent="0.2">
      <c r="S1811" s="32"/>
      <c r="T1811" s="187"/>
      <c r="W1811" s="221" t="str">
        <f t="shared" si="36"/>
        <v>1w</v>
      </c>
      <c r="X1811" s="222">
        <f>_xll.qlCalendarAdvance(Calendar,X1810,W1811,"f",FALSE)</f>
        <v>51518</v>
      </c>
      <c r="Y1811" s="227">
        <f>_xll.qlCalendarAdvance(Calendar,X1811,NDays&amp;"D")</f>
        <v>51518</v>
      </c>
      <c r="Z1811" s="228">
        <v>3.306208900258522E-2</v>
      </c>
      <c r="AA1811" s="230">
        <v>3.3027132560359274E-2</v>
      </c>
    </row>
    <row r="1812" spans="19:27" x14ac:dyDescent="0.2">
      <c r="S1812" s="32"/>
      <c r="T1812" s="187"/>
      <c r="W1812" s="221" t="str">
        <f t="shared" si="36"/>
        <v>1w</v>
      </c>
      <c r="X1812" s="222">
        <f>_xll.qlCalendarAdvance(Calendar,X1811,W1812,"f",FALSE)</f>
        <v>51525</v>
      </c>
      <c r="Y1812" s="227">
        <f>_xll.qlCalendarAdvance(Calendar,X1812,NDays&amp;"D")</f>
        <v>51525</v>
      </c>
      <c r="Z1812" s="228">
        <v>3.3056874203007333E-2</v>
      </c>
      <c r="AA1812" s="230">
        <v>3.30220475648213E-2</v>
      </c>
    </row>
    <row r="1813" spans="19:27" x14ac:dyDescent="0.2">
      <c r="S1813" s="32"/>
      <c r="T1813" s="187"/>
      <c r="W1813" s="221" t="str">
        <f t="shared" ref="W1813:W1876" si="37">W1812</f>
        <v>1w</v>
      </c>
      <c r="X1813" s="222">
        <f>_xll.qlCalendarAdvance(Calendar,X1812,W1813,"f",FALSE)</f>
        <v>51532</v>
      </c>
      <c r="Y1813" s="227">
        <f>_xll.qlCalendarAdvance(Calendar,X1813,NDays&amp;"D")</f>
        <v>51532</v>
      </c>
      <c r="Z1813" s="228">
        <v>3.3047148195347514E-2</v>
      </c>
      <c r="AA1813" s="230">
        <v>3.3016910541704414E-2</v>
      </c>
    </row>
    <row r="1814" spans="19:27" x14ac:dyDescent="0.2">
      <c r="S1814" s="32"/>
      <c r="T1814" s="187"/>
      <c r="W1814" s="221" t="str">
        <f t="shared" si="37"/>
        <v>1w</v>
      </c>
      <c r="X1814" s="222">
        <f>_xll.qlCalendarAdvance(Calendar,X1813,W1814,"f",FALSE)</f>
        <v>51539</v>
      </c>
      <c r="Y1814" s="227">
        <f>_xll.qlCalendarAdvance(Calendar,X1814,NDays&amp;"D")</f>
        <v>51539</v>
      </c>
      <c r="Z1814" s="228">
        <v>3.304184587757969E-2</v>
      </c>
      <c r="AA1814" s="230">
        <v>3.3011721491413848E-2</v>
      </c>
    </row>
    <row r="1815" spans="19:27" x14ac:dyDescent="0.2">
      <c r="S1815" s="32"/>
      <c r="T1815" s="187"/>
      <c r="W1815" s="221" t="str">
        <f t="shared" si="37"/>
        <v>1w</v>
      </c>
      <c r="X1815" s="222">
        <f>_xll.qlCalendarAdvance(Calendar,X1814,W1815,"f",FALSE)</f>
        <v>51546</v>
      </c>
      <c r="Y1815" s="227">
        <f>_xll.qlCalendarAdvance(Calendar,X1815,NDays&amp;"D")</f>
        <v>51546</v>
      </c>
      <c r="Z1815" s="228">
        <v>3.303649140732326E-2</v>
      </c>
      <c r="AA1815" s="230">
        <v>3.3006480413463324E-2</v>
      </c>
    </row>
    <row r="1816" spans="19:27" x14ac:dyDescent="0.2">
      <c r="S1816" s="32"/>
      <c r="T1816" s="187"/>
      <c r="W1816" s="221" t="str">
        <f t="shared" si="37"/>
        <v>1w</v>
      </c>
      <c r="X1816" s="222">
        <f>_xll.qlCalendarAdvance(Calendar,X1815,W1816,"f",FALSE)</f>
        <v>51553</v>
      </c>
      <c r="Y1816" s="227">
        <f>_xll.qlCalendarAdvance(Calendar,X1816,NDays&amp;"D")</f>
        <v>51553</v>
      </c>
      <c r="Z1816" s="228">
        <v>3.303108478464481E-2</v>
      </c>
      <c r="AA1816" s="230">
        <v>3.3001187308258073E-2</v>
      </c>
    </row>
    <row r="1817" spans="19:27" x14ac:dyDescent="0.2">
      <c r="S1817" s="32"/>
      <c r="T1817" s="187"/>
      <c r="W1817" s="221" t="str">
        <f t="shared" si="37"/>
        <v>1w</v>
      </c>
      <c r="X1817" s="222">
        <f>_xll.qlCalendarAdvance(Calendar,X1816,W1817,"f",FALSE)</f>
        <v>51560</v>
      </c>
      <c r="Y1817" s="227">
        <f>_xll.qlCalendarAdvance(Calendar,X1817,NDays&amp;"D")</f>
        <v>51560</v>
      </c>
      <c r="Z1817" s="228">
        <v>3.3026724421350094E-2</v>
      </c>
      <c r="AA1817" s="230">
        <v>3.2995842175473911E-2</v>
      </c>
    </row>
    <row r="1818" spans="19:27" x14ac:dyDescent="0.2">
      <c r="S1818" s="32"/>
      <c r="T1818" s="187"/>
      <c r="W1818" s="221" t="str">
        <f t="shared" si="37"/>
        <v>1w</v>
      </c>
      <c r="X1818" s="222">
        <f>_xll.qlCalendarAdvance(Calendar,X1817,W1818,"f",FALSE)</f>
        <v>51567</v>
      </c>
      <c r="Y1818" s="227">
        <f>_xll.qlCalendarAdvance(Calendar,X1818,NDays&amp;"D")</f>
        <v>51567</v>
      </c>
      <c r="Z1818" s="228">
        <v>3.3024489813619079E-2</v>
      </c>
      <c r="AA1818" s="230">
        <v>3.2990445015353975E-2</v>
      </c>
    </row>
    <row r="1819" spans="19:27" x14ac:dyDescent="0.2">
      <c r="S1819" s="32"/>
      <c r="T1819" s="187"/>
      <c r="W1819" s="221" t="str">
        <f t="shared" si="37"/>
        <v>1w</v>
      </c>
      <c r="X1819" s="222">
        <f>_xll.qlCalendarAdvance(Calendar,X1818,W1819,"f",FALSE)</f>
        <v>51574</v>
      </c>
      <c r="Y1819" s="227">
        <f>_xll.qlCalendarAdvance(Calendar,X1819,NDays&amp;"D")</f>
        <v>51574</v>
      </c>
      <c r="Z1819" s="228">
        <v>3.3018909817428173E-2</v>
      </c>
      <c r="AA1819" s="230">
        <v>3.2984995827817221E-2</v>
      </c>
    </row>
    <row r="1820" spans="19:27" x14ac:dyDescent="0.2">
      <c r="S1820" s="32"/>
      <c r="T1820" s="187"/>
      <c r="W1820" s="221" t="str">
        <f t="shared" si="37"/>
        <v>1w</v>
      </c>
      <c r="X1820" s="222">
        <f>_xll.qlCalendarAdvance(Calendar,X1819,W1820,"f",FALSE)</f>
        <v>51581</v>
      </c>
      <c r="Y1820" s="227">
        <f>_xll.qlCalendarAdvance(Calendar,X1820,NDays&amp;"D")</f>
        <v>51581</v>
      </c>
      <c r="Z1820" s="228">
        <v>3.3014362024242565E-2</v>
      </c>
      <c r="AA1820" s="230">
        <v>3.2979494612863647E-2</v>
      </c>
    </row>
    <row r="1821" spans="19:27" x14ac:dyDescent="0.2">
      <c r="S1821" s="32"/>
      <c r="T1821" s="187"/>
      <c r="W1821" s="221" t="str">
        <f t="shared" si="37"/>
        <v>1w</v>
      </c>
      <c r="X1821" s="222">
        <f>_xll.qlCalendarAdvance(Calendar,X1820,W1821,"f",FALSE)</f>
        <v>51588</v>
      </c>
      <c r="Y1821" s="227">
        <f>_xll.qlCalendarAdvance(Calendar,X1821,NDays&amp;"D")</f>
        <v>51588</v>
      </c>
      <c r="Z1821" s="228">
        <v>3.3007593313182232E-2</v>
      </c>
      <c r="AA1821" s="230">
        <v>3.29739413705743E-2</v>
      </c>
    </row>
    <row r="1822" spans="19:27" x14ac:dyDescent="0.2">
      <c r="S1822" s="32"/>
      <c r="T1822" s="187"/>
      <c r="W1822" s="221" t="str">
        <f t="shared" si="37"/>
        <v>1w</v>
      </c>
      <c r="X1822" s="222">
        <f>_xll.qlCalendarAdvance(Calendar,X1821,W1822,"f",FALSE)</f>
        <v>51595</v>
      </c>
      <c r="Y1822" s="227">
        <f>_xll.qlCalendarAdvance(Calendar,X1822,NDays&amp;"D")</f>
        <v>51595</v>
      </c>
      <c r="Z1822" s="228">
        <v>3.300293269399502E-2</v>
      </c>
      <c r="AA1822" s="230">
        <v>3.2968336100706042E-2</v>
      </c>
    </row>
    <row r="1823" spans="19:27" x14ac:dyDescent="0.2">
      <c r="S1823" s="32"/>
      <c r="T1823" s="187"/>
      <c r="W1823" s="221" t="str">
        <f t="shared" si="37"/>
        <v>1w</v>
      </c>
      <c r="X1823" s="222">
        <f>_xll.qlCalendarAdvance(Calendar,X1822,W1823,"f",FALSE)</f>
        <v>51602</v>
      </c>
      <c r="Y1823" s="227">
        <f>_xll.qlCalendarAdvance(Calendar,X1823,NDays&amp;"D")</f>
        <v>51602</v>
      </c>
      <c r="Z1823" s="228">
        <v>3.2996068126978431E-2</v>
      </c>
      <c r="AA1823" s="230">
        <v>3.2962678803583056E-2</v>
      </c>
    </row>
    <row r="1824" spans="19:27" x14ac:dyDescent="0.2">
      <c r="S1824" s="32"/>
      <c r="T1824" s="187"/>
      <c r="W1824" s="221" t="str">
        <f t="shared" si="37"/>
        <v>1w</v>
      </c>
      <c r="X1824" s="222">
        <f>_xll.qlCalendarAdvance(Calendar,X1823,W1824,"f",FALSE)</f>
        <v>51609</v>
      </c>
      <c r="Y1824" s="227">
        <f>_xll.qlCalendarAdvance(Calendar,X1824,NDays&amp;"D")</f>
        <v>51609</v>
      </c>
      <c r="Z1824" s="228">
        <v>3.2990227278340833E-2</v>
      </c>
      <c r="AA1824" s="230">
        <v>3.296127914154301E-2</v>
      </c>
    </row>
    <row r="1825" spans="19:27" x14ac:dyDescent="0.2">
      <c r="S1825" s="32"/>
      <c r="T1825" s="187"/>
      <c r="W1825" s="221" t="str">
        <f t="shared" si="37"/>
        <v>1w</v>
      </c>
      <c r="X1825" s="222">
        <f>_xll.qlCalendarAdvance(Calendar,X1824,W1825,"f",FALSE)</f>
        <v>51616</v>
      </c>
      <c r="Y1825" s="227">
        <f>_xll.qlCalendarAdvance(Calendar,X1825,NDays&amp;"D")</f>
        <v>51616</v>
      </c>
      <c r="Z1825" s="228">
        <v>3.2985397386137448E-2</v>
      </c>
      <c r="AA1825" s="230">
        <v>3.2951208126924536E-2</v>
      </c>
    </row>
    <row r="1826" spans="19:27" x14ac:dyDescent="0.2">
      <c r="S1826" s="32"/>
      <c r="T1826" s="187"/>
      <c r="W1826" s="221" t="str">
        <f t="shared" si="37"/>
        <v>1w</v>
      </c>
      <c r="X1826" s="222">
        <f>_xll.qlCalendarAdvance(Calendar,X1825,W1826,"f",FALSE)</f>
        <v>51623</v>
      </c>
      <c r="Y1826" s="227">
        <f>_xll.qlCalendarAdvance(Calendar,X1826,NDays&amp;"D")</f>
        <v>51623</v>
      </c>
      <c r="Z1826" s="228">
        <v>3.2978389070379213E-2</v>
      </c>
      <c r="AA1826" s="230">
        <v>3.2945394747470047E-2</v>
      </c>
    </row>
    <row r="1827" spans="19:27" x14ac:dyDescent="0.2">
      <c r="S1827" s="32"/>
      <c r="T1827" s="187"/>
      <c r="W1827" s="221" t="str">
        <f t="shared" si="37"/>
        <v>1w</v>
      </c>
      <c r="X1827" s="222">
        <f>_xll.qlCalendarAdvance(Calendar,X1826,W1827,"f",FALSE)</f>
        <v>51630</v>
      </c>
      <c r="Y1827" s="227">
        <f>_xll.qlCalendarAdvance(Calendar,X1827,NDays&amp;"D")</f>
        <v>51630</v>
      </c>
      <c r="Z1827" s="228">
        <v>3.2972391711224881E-2</v>
      </c>
      <c r="AA1827" s="230">
        <v>3.2939529340760831E-2</v>
      </c>
    </row>
    <row r="1828" spans="19:27" x14ac:dyDescent="0.2">
      <c r="S1828" s="32"/>
      <c r="T1828" s="187"/>
      <c r="W1828" s="221" t="str">
        <f t="shared" si="37"/>
        <v>1w</v>
      </c>
      <c r="X1828" s="222">
        <f>_xll.qlCalendarAdvance(Calendar,X1827,W1828,"f",FALSE)</f>
        <v>51637</v>
      </c>
      <c r="Y1828" s="227">
        <f>_xll.qlCalendarAdvance(Calendar,X1828,NDays&amp;"D")</f>
        <v>51637</v>
      </c>
      <c r="Z1828" s="228">
        <v>3.296634218206293E-2</v>
      </c>
      <c r="AA1828" s="230">
        <v>3.2933611906472704E-2</v>
      </c>
    </row>
    <row r="1829" spans="19:27" x14ac:dyDescent="0.2">
      <c r="S1829" s="32"/>
      <c r="T1829" s="187"/>
      <c r="W1829" s="221" t="str">
        <f t="shared" si="37"/>
        <v>1w</v>
      </c>
      <c r="X1829" s="222">
        <f>_xll.qlCalendarAdvance(Calendar,X1828,W1829,"f",FALSE)</f>
        <v>51644</v>
      </c>
      <c r="Y1829" s="227">
        <f>_xll.qlCalendarAdvance(Calendar,X1829,NDays&amp;"D")</f>
        <v>51644</v>
      </c>
      <c r="Z1829" s="228">
        <v>3.2960240482971873E-2</v>
      </c>
      <c r="AA1829" s="230">
        <v>3.292764244492985E-2</v>
      </c>
    </row>
    <row r="1830" spans="19:27" x14ac:dyDescent="0.2">
      <c r="S1830" s="32"/>
      <c r="T1830" s="187"/>
      <c r="W1830" s="221" t="str">
        <f t="shared" si="37"/>
        <v>1w</v>
      </c>
      <c r="X1830" s="222">
        <f>_xll.qlCalendarAdvance(Calendar,X1829,W1830,"f",FALSE)</f>
        <v>51651</v>
      </c>
      <c r="Y1830" s="227">
        <f>_xll.qlCalendarAdvance(Calendar,X1830,NDays&amp;"D")</f>
        <v>51651</v>
      </c>
      <c r="Z1830" s="228">
        <v>3.295095924674684E-2</v>
      </c>
      <c r="AA1830" s="230">
        <v>3.2921620955970177E-2</v>
      </c>
    </row>
    <row r="1831" spans="19:27" x14ac:dyDescent="0.2">
      <c r="S1831" s="32"/>
      <c r="T1831" s="187"/>
      <c r="W1831" s="221" t="str">
        <f t="shared" si="37"/>
        <v>1w</v>
      </c>
      <c r="X1831" s="222">
        <f>_xll.qlCalendarAdvance(Calendar,X1830,W1831,"f",FALSE)</f>
        <v>51658</v>
      </c>
      <c r="Y1831" s="227">
        <f>_xll.qlCalendarAdvance(Calendar,X1831,NDays&amp;"D")</f>
        <v>51658</v>
      </c>
      <c r="Z1831" s="228">
        <v>3.294788057534942E-2</v>
      </c>
      <c r="AA1831" s="230">
        <v>3.2915547439593684E-2</v>
      </c>
    </row>
    <row r="1832" spans="19:27" x14ac:dyDescent="0.2">
      <c r="S1832" s="32"/>
      <c r="T1832" s="187"/>
      <c r="W1832" s="221" t="str">
        <f t="shared" si="37"/>
        <v>1w</v>
      </c>
      <c r="X1832" s="222">
        <f>_xll.qlCalendarAdvance(Calendar,X1831,W1832,"f",FALSE)</f>
        <v>51665</v>
      </c>
      <c r="Y1832" s="227">
        <f>_xll.qlCalendarAdvance(Calendar,X1832,NDays&amp;"D")</f>
        <v>51665</v>
      </c>
      <c r="Z1832" s="228">
        <v>3.2941622366987715E-2</v>
      </c>
      <c r="AA1832" s="230">
        <v>3.2909421895800373E-2</v>
      </c>
    </row>
    <row r="1833" spans="19:27" x14ac:dyDescent="0.2">
      <c r="S1833" s="32"/>
      <c r="T1833" s="187"/>
      <c r="W1833" s="221" t="str">
        <f t="shared" si="37"/>
        <v>1w</v>
      </c>
      <c r="X1833" s="222">
        <f>_xll.qlCalendarAdvance(Calendar,X1832,W1833,"f",FALSE)</f>
        <v>51672</v>
      </c>
      <c r="Y1833" s="227">
        <f>_xll.qlCalendarAdvance(Calendar,X1833,NDays&amp;"D")</f>
        <v>51672</v>
      </c>
      <c r="Z1833" s="228">
        <v>3.2935311989036285E-2</v>
      </c>
      <c r="AA1833" s="230">
        <v>3.2903244324671288E-2</v>
      </c>
    </row>
    <row r="1834" spans="19:27" x14ac:dyDescent="0.2">
      <c r="S1834" s="32"/>
      <c r="T1834" s="187"/>
      <c r="W1834" s="221" t="str">
        <f t="shared" si="37"/>
        <v>1w</v>
      </c>
      <c r="X1834" s="222">
        <f>_xll.qlCalendarAdvance(Calendar,X1833,W1834,"f",FALSE)</f>
        <v>51679</v>
      </c>
      <c r="Y1834" s="227">
        <f>_xll.qlCalendarAdvance(Calendar,X1834,NDays&amp;"D")</f>
        <v>51679</v>
      </c>
      <c r="Z1834" s="228">
        <v>3.2928949441583776E-2</v>
      </c>
      <c r="AA1834" s="230">
        <v>3.2897014726206431E-2</v>
      </c>
    </row>
    <row r="1835" spans="19:27" x14ac:dyDescent="0.2">
      <c r="S1835" s="32"/>
      <c r="T1835" s="187"/>
      <c r="W1835" s="221" t="str">
        <f t="shared" si="37"/>
        <v>1w</v>
      </c>
      <c r="X1835" s="222">
        <f>_xll.qlCalendarAdvance(Calendar,X1834,W1835,"f",FALSE)</f>
        <v>51686</v>
      </c>
      <c r="Y1835" s="227">
        <f>_xll.qlCalendarAdvance(Calendar,X1835,NDays&amp;"D")</f>
        <v>51686</v>
      </c>
      <c r="Z1835" s="228">
        <v>3.2922534724716297E-2</v>
      </c>
      <c r="AA1835" s="230">
        <v>3.2890733100162661E-2</v>
      </c>
    </row>
    <row r="1836" spans="19:27" x14ac:dyDescent="0.2">
      <c r="S1836" s="32"/>
      <c r="T1836" s="187"/>
      <c r="W1836" s="221" t="str">
        <f t="shared" si="37"/>
        <v>1w</v>
      </c>
      <c r="X1836" s="222">
        <f>_xll.qlCalendarAdvance(Calendar,X1835,W1836,"f",FALSE)</f>
        <v>51693</v>
      </c>
      <c r="Y1836" s="227">
        <f>_xll.qlCalendarAdvance(Calendar,X1836,NDays&amp;"D")</f>
        <v>51693</v>
      </c>
      <c r="Z1836" s="228">
        <v>3.2916067838525027E-2</v>
      </c>
      <c r="AA1836" s="230">
        <v>3.2884399446945212E-2</v>
      </c>
    </row>
    <row r="1837" spans="19:27" x14ac:dyDescent="0.2">
      <c r="S1837" s="32"/>
      <c r="T1837" s="187"/>
      <c r="W1837" s="221" t="str">
        <f t="shared" si="37"/>
        <v>1w</v>
      </c>
      <c r="X1837" s="222">
        <f>_xll.qlCalendarAdvance(Calendar,X1836,W1837,"f",FALSE)</f>
        <v>51700</v>
      </c>
      <c r="Y1837" s="227">
        <f>_xll.qlCalendarAdvance(Calendar,X1837,NDays&amp;"D")</f>
        <v>51700</v>
      </c>
      <c r="Z1837" s="228">
        <v>3.2909548783093545E-2</v>
      </c>
      <c r="AA1837" s="230">
        <v>3.2878013766310943E-2</v>
      </c>
    </row>
    <row r="1838" spans="19:27" x14ac:dyDescent="0.2">
      <c r="S1838" s="32"/>
      <c r="T1838" s="187"/>
      <c r="W1838" s="221" t="str">
        <f t="shared" si="37"/>
        <v>1w</v>
      </c>
      <c r="X1838" s="222">
        <f>_xll.qlCalendarAdvance(Calendar,X1837,W1838,"f",FALSE)</f>
        <v>51707</v>
      </c>
      <c r="Y1838" s="227">
        <f>_xll.qlCalendarAdvance(Calendar,X1838,NDays&amp;"D")</f>
        <v>51707</v>
      </c>
      <c r="Z1838" s="228">
        <v>3.2903984905019106E-2</v>
      </c>
      <c r="AA1838" s="230">
        <v>3.2871576058340901E-2</v>
      </c>
    </row>
    <row r="1839" spans="19:27" x14ac:dyDescent="0.2">
      <c r="S1839" s="32"/>
      <c r="T1839" s="187"/>
      <c r="W1839" s="221" t="str">
        <f t="shared" si="37"/>
        <v>1w</v>
      </c>
      <c r="X1839" s="222">
        <f>_xll.qlCalendarAdvance(Calendar,X1838,W1839,"f",FALSE)</f>
        <v>51714</v>
      </c>
      <c r="Y1839" s="227">
        <f>_xll.qlCalendarAdvance(Calendar,X1839,NDays&amp;"D")</f>
        <v>51714</v>
      </c>
      <c r="Z1839" s="228">
        <v>3.2896354164877184E-2</v>
      </c>
      <c r="AA1839" s="230">
        <v>3.2865086323035086E-2</v>
      </c>
    </row>
    <row r="1840" spans="19:27" x14ac:dyDescent="0.2">
      <c r="S1840" s="32"/>
      <c r="T1840" s="187"/>
      <c r="W1840" s="221" t="str">
        <f t="shared" si="37"/>
        <v>1w</v>
      </c>
      <c r="X1840" s="222">
        <f>_xll.qlCalendarAdvance(Calendar,X1839,W1840,"f",FALSE)</f>
        <v>51721</v>
      </c>
      <c r="Y1840" s="227">
        <f>_xll.qlCalendarAdvance(Calendar,X1840,NDays&amp;"D")</f>
        <v>51721</v>
      </c>
      <c r="Z1840" s="228">
        <v>3.2889678602269594E-2</v>
      </c>
      <c r="AA1840" s="230">
        <v>3.285854456015036E-2</v>
      </c>
    </row>
    <row r="1841" spans="19:27" x14ac:dyDescent="0.2">
      <c r="S1841" s="32"/>
      <c r="T1841" s="187"/>
      <c r="W1841" s="221" t="str">
        <f t="shared" si="37"/>
        <v>1w</v>
      </c>
      <c r="X1841" s="222">
        <f>_xll.qlCalendarAdvance(Calendar,X1840,W1841,"f",FALSE)</f>
        <v>51728</v>
      </c>
      <c r="Y1841" s="227">
        <f>_xll.qlCalendarAdvance(Calendar,X1841,NDays&amp;"D")</f>
        <v>51728</v>
      </c>
      <c r="Z1841" s="228">
        <v>3.2882950870789032E-2</v>
      </c>
      <c r="AA1841" s="230">
        <v>3.2851950770173E-2</v>
      </c>
    </row>
    <row r="1842" spans="19:27" x14ac:dyDescent="0.2">
      <c r="S1842" s="32"/>
      <c r="T1842" s="187"/>
      <c r="W1842" s="221" t="str">
        <f t="shared" si="37"/>
        <v>1w</v>
      </c>
      <c r="X1842" s="222">
        <f>_xll.qlCalendarAdvance(Calendar,X1841,W1842,"f",FALSE)</f>
        <v>51735</v>
      </c>
      <c r="Y1842" s="227">
        <f>_xll.qlCalendarAdvance(Calendar,X1842,NDays&amp;"D")</f>
        <v>51735</v>
      </c>
      <c r="Z1842" s="228">
        <v>3.2876170970519078E-2</v>
      </c>
      <c r="AA1842" s="230">
        <v>3.2845304952616727E-2</v>
      </c>
    </row>
    <row r="1843" spans="19:27" x14ac:dyDescent="0.2">
      <c r="S1843" s="32"/>
      <c r="T1843" s="187"/>
      <c r="W1843" s="221" t="str">
        <f t="shared" si="37"/>
        <v>1w</v>
      </c>
      <c r="X1843" s="222">
        <f>_xll.qlCalendarAdvance(Calendar,X1842,W1843,"f",FALSE)</f>
        <v>51742</v>
      </c>
      <c r="Y1843" s="227">
        <f>_xll.qlCalendarAdvance(Calendar,X1843,NDays&amp;"D")</f>
        <v>51742</v>
      </c>
      <c r="Z1843" s="228">
        <v>3.2869338901558506E-2</v>
      </c>
      <c r="AA1843" s="230">
        <v>3.2838607107724682E-2</v>
      </c>
    </row>
    <row r="1844" spans="19:27" x14ac:dyDescent="0.2">
      <c r="S1844" s="32"/>
      <c r="T1844" s="187"/>
      <c r="W1844" s="221" t="str">
        <f t="shared" si="37"/>
        <v>1w</v>
      </c>
      <c r="X1844" s="222">
        <f>_xll.qlCalendarAdvance(Calendar,X1843,W1844,"f",FALSE)</f>
        <v>51749</v>
      </c>
      <c r="Y1844" s="227">
        <f>_xll.qlCalendarAdvance(Calendar,X1844,NDays&amp;"D")</f>
        <v>51749</v>
      </c>
      <c r="Z1844" s="228">
        <v>3.286245466400356E-2</v>
      </c>
      <c r="AA1844" s="230">
        <v>3.283185723557791E-2</v>
      </c>
    </row>
    <row r="1845" spans="19:27" x14ac:dyDescent="0.2">
      <c r="S1845" s="32"/>
      <c r="T1845" s="187"/>
      <c r="W1845" s="221" t="str">
        <f t="shared" si="37"/>
        <v>1w</v>
      </c>
      <c r="X1845" s="222">
        <f>_xll.qlCalendarAdvance(Calendar,X1844,W1845,"f",FALSE)</f>
        <v>51756</v>
      </c>
      <c r="Y1845" s="227">
        <f>_xll.qlCalendarAdvance(Calendar,X1845,NDays&amp;"D")</f>
        <v>51756</v>
      </c>
      <c r="Z1845" s="228">
        <v>3.285551825794035E-2</v>
      </c>
      <c r="AA1845" s="230">
        <v>3.2825055336095366E-2</v>
      </c>
    </row>
    <row r="1846" spans="19:27" x14ac:dyDescent="0.2">
      <c r="S1846" s="32"/>
      <c r="T1846" s="187"/>
      <c r="W1846" s="221" t="str">
        <f t="shared" si="37"/>
        <v>1w</v>
      </c>
      <c r="X1846" s="222">
        <f>_xll.qlCalendarAdvance(Calendar,X1845,W1846,"f",FALSE)</f>
        <v>51763</v>
      </c>
      <c r="Y1846" s="227">
        <f>_xll.qlCalendarAdvance(Calendar,X1846,NDays&amp;"D")</f>
        <v>51763</v>
      </c>
      <c r="Z1846" s="228">
        <v>3.2848529683470185E-2</v>
      </c>
      <c r="AA1846" s="230">
        <v>3.2818201409196002E-2</v>
      </c>
    </row>
    <row r="1847" spans="19:27" x14ac:dyDescent="0.2">
      <c r="S1847" s="32"/>
      <c r="T1847" s="187"/>
      <c r="W1847" s="221" t="str">
        <f t="shared" si="37"/>
        <v>1w</v>
      </c>
      <c r="X1847" s="222">
        <f>_xll.qlCalendarAdvance(Calendar,X1846,W1847,"f",FALSE)</f>
        <v>51770</v>
      </c>
      <c r="Y1847" s="227">
        <f>_xll.qlCalendarAdvance(Calendar,X1847,NDays&amp;"D")</f>
        <v>51770</v>
      </c>
      <c r="Z1847" s="228">
        <v>3.2841488940681708E-2</v>
      </c>
      <c r="AA1847" s="230">
        <v>3.2811295454960865E-2</v>
      </c>
    </row>
    <row r="1848" spans="19:27" x14ac:dyDescent="0.2">
      <c r="S1848" s="32"/>
      <c r="T1848" s="187"/>
      <c r="W1848" s="221" t="str">
        <f t="shared" si="37"/>
        <v>1w</v>
      </c>
      <c r="X1848" s="222">
        <f>_xll.qlCalendarAdvance(Calendar,X1847,W1848,"f",FALSE)</f>
        <v>51777</v>
      </c>
      <c r="Y1848" s="227">
        <f>_xll.qlCalendarAdvance(Calendar,X1848,NDays&amp;"D")</f>
        <v>51777</v>
      </c>
      <c r="Z1848" s="228">
        <v>3.2834396029676229E-2</v>
      </c>
      <c r="AA1848" s="230">
        <v>3.2804337473471001E-2</v>
      </c>
    </row>
    <row r="1849" spans="19:27" x14ac:dyDescent="0.2">
      <c r="S1849" s="32"/>
      <c r="T1849" s="187"/>
      <c r="W1849" s="221" t="str">
        <f t="shared" si="37"/>
        <v>1w</v>
      </c>
      <c r="X1849" s="222">
        <f>_xll.qlCalendarAdvance(Calendar,X1848,W1849,"f",FALSE)</f>
        <v>51784</v>
      </c>
      <c r="Y1849" s="227">
        <f>_xll.qlCalendarAdvance(Calendar,X1849,NDays&amp;"D")</f>
        <v>51784</v>
      </c>
      <c r="Z1849" s="228">
        <v>3.2827250950555054E-2</v>
      </c>
      <c r="AA1849" s="230">
        <v>3.2797327464564319E-2</v>
      </c>
    </row>
    <row r="1850" spans="19:27" x14ac:dyDescent="0.2">
      <c r="S1850" s="32"/>
      <c r="T1850" s="187"/>
      <c r="W1850" s="221" t="str">
        <f t="shared" si="37"/>
        <v>1w</v>
      </c>
      <c r="X1850" s="222">
        <f>_xll.qlCalendarAdvance(Calendar,X1849,W1850,"f",FALSE)</f>
        <v>51791</v>
      </c>
      <c r="Y1850" s="227">
        <f>_xll.qlCalendarAdvance(Calendar,X1850,NDays&amp;"D")</f>
        <v>51791</v>
      </c>
      <c r="Z1850" s="228">
        <v>3.282005370340936E-2</v>
      </c>
      <c r="AA1850" s="230">
        <v>3.2790265428321863E-2</v>
      </c>
    </row>
    <row r="1851" spans="19:27" x14ac:dyDescent="0.2">
      <c r="S1851" s="32"/>
      <c r="T1851" s="187"/>
      <c r="W1851" s="221" t="str">
        <f t="shared" si="37"/>
        <v>1w</v>
      </c>
      <c r="X1851" s="222">
        <f>_xll.qlCalendarAdvance(Calendar,X1850,W1851,"f",FALSE)</f>
        <v>51798</v>
      </c>
      <c r="Y1851" s="227">
        <f>_xll.qlCalendarAdvance(Calendar,X1851,NDays&amp;"D")</f>
        <v>51798</v>
      </c>
      <c r="Z1851" s="228">
        <v>3.2812804288337924E-2</v>
      </c>
      <c r="AA1851" s="230">
        <v>3.2783151364662588E-2</v>
      </c>
    </row>
    <row r="1852" spans="19:27" x14ac:dyDescent="0.2">
      <c r="S1852" s="32"/>
      <c r="T1852" s="187"/>
      <c r="W1852" s="221" t="str">
        <f t="shared" si="37"/>
        <v>1w</v>
      </c>
      <c r="X1852" s="222">
        <f>_xll.qlCalendarAdvance(Calendar,X1851,W1852,"f",FALSE)</f>
        <v>51805</v>
      </c>
      <c r="Y1852" s="227">
        <f>_xll.qlCalendarAdvance(Calendar,X1852,NDays&amp;"D")</f>
        <v>51805</v>
      </c>
      <c r="Z1852" s="228">
        <v>3.2802661302850575E-2</v>
      </c>
      <c r="AA1852" s="230">
        <v>3.2775985273829633E-2</v>
      </c>
    </row>
    <row r="1853" spans="19:27" x14ac:dyDescent="0.2">
      <c r="S1853" s="32"/>
      <c r="T1853" s="187"/>
      <c r="W1853" s="221" t="str">
        <f t="shared" si="37"/>
        <v>1w</v>
      </c>
      <c r="X1853" s="222">
        <f>_xll.qlCalendarAdvance(Calendar,X1852,W1853,"f",FALSE)</f>
        <v>51812</v>
      </c>
      <c r="Y1853" s="227">
        <f>_xll.qlCalendarAdvance(Calendar,X1853,NDays&amp;"D")</f>
        <v>51812</v>
      </c>
      <c r="Z1853" s="228">
        <v>3.279814895482052E-2</v>
      </c>
      <c r="AA1853" s="230">
        <v>3.2768767155579859E-2</v>
      </c>
    </row>
    <row r="1854" spans="19:27" x14ac:dyDescent="0.2">
      <c r="S1854" s="32"/>
      <c r="T1854" s="187"/>
      <c r="W1854" s="221" t="str">
        <f t="shared" si="37"/>
        <v>1w</v>
      </c>
      <c r="X1854" s="222">
        <f>_xll.qlCalendarAdvance(Calendar,X1853,W1854,"f",FALSE)</f>
        <v>51819</v>
      </c>
      <c r="Y1854" s="227">
        <f>_xll.qlCalendarAdvance(Calendar,X1854,NDays&amp;"D")</f>
        <v>51819</v>
      </c>
      <c r="Z1854" s="228">
        <v>3.2790743036574636E-2</v>
      </c>
      <c r="AA1854" s="230">
        <v>3.2761497010075358E-2</v>
      </c>
    </row>
    <row r="1855" spans="19:27" x14ac:dyDescent="0.2">
      <c r="S1855" s="32"/>
      <c r="T1855" s="187"/>
      <c r="W1855" s="221" t="str">
        <f t="shared" si="37"/>
        <v>1w</v>
      </c>
      <c r="X1855" s="222">
        <f>_xll.qlCalendarAdvance(Calendar,X1854,W1855,"f",FALSE)</f>
        <v>51826</v>
      </c>
      <c r="Y1855" s="227">
        <f>_xll.qlCalendarAdvance(Calendar,X1855,NDays&amp;"D")</f>
        <v>51826</v>
      </c>
      <c r="Z1855" s="228">
        <v>3.2783284950805708E-2</v>
      </c>
      <c r="AA1855" s="230">
        <v>3.2754174837154038E-2</v>
      </c>
    </row>
    <row r="1856" spans="19:27" x14ac:dyDescent="0.2">
      <c r="S1856" s="32"/>
      <c r="T1856" s="187"/>
      <c r="W1856" s="221" t="str">
        <f t="shared" si="37"/>
        <v>1w</v>
      </c>
      <c r="X1856" s="222">
        <f>_xll.qlCalendarAdvance(Calendar,X1855,W1856,"f",FALSE)</f>
        <v>51833</v>
      </c>
      <c r="Y1856" s="227">
        <f>_xll.qlCalendarAdvance(Calendar,X1856,NDays&amp;"D")</f>
        <v>51833</v>
      </c>
      <c r="Z1856" s="228">
        <v>3.2775774697615043E-2</v>
      </c>
      <c r="AA1856" s="230">
        <v>3.2746800636977991E-2</v>
      </c>
    </row>
    <row r="1857" spans="19:27" x14ac:dyDescent="0.2">
      <c r="S1857" s="32"/>
      <c r="T1857" s="187"/>
      <c r="W1857" s="221" t="str">
        <f t="shared" si="37"/>
        <v>1w</v>
      </c>
      <c r="X1857" s="222">
        <f>_xll.qlCalendarAdvance(Calendar,X1856,W1857,"f",FALSE)</f>
        <v>51840</v>
      </c>
      <c r="Y1857" s="227">
        <f>_xll.qlCalendarAdvance(Calendar,X1857,NDays&amp;"D")</f>
        <v>51840</v>
      </c>
      <c r="Z1857" s="228">
        <v>3.2768212277109014E-2</v>
      </c>
      <c r="AA1857" s="230">
        <v>3.2739374409547217E-2</v>
      </c>
    </row>
    <row r="1858" spans="19:27" x14ac:dyDescent="0.2">
      <c r="S1858" s="32"/>
      <c r="T1858" s="187"/>
      <c r="W1858" s="221" t="str">
        <f t="shared" si="37"/>
        <v>1w</v>
      </c>
      <c r="X1858" s="222">
        <f>_xll.qlCalendarAdvance(Calendar,X1857,W1858,"f",FALSE)</f>
        <v>51847</v>
      </c>
      <c r="Y1858" s="227">
        <f>_xll.qlCalendarAdvance(Calendar,X1858,NDays&amp;"D")</f>
        <v>51847</v>
      </c>
      <c r="Z1858" s="228">
        <v>3.2760597689386398E-2</v>
      </c>
      <c r="AA1858" s="230">
        <v>3.2731896154699625E-2</v>
      </c>
    </row>
    <row r="1859" spans="19:27" x14ac:dyDescent="0.2">
      <c r="S1859" s="32"/>
      <c r="T1859" s="187"/>
      <c r="W1859" s="221" t="str">
        <f t="shared" si="37"/>
        <v>1w</v>
      </c>
      <c r="X1859" s="222">
        <f>_xll.qlCalendarAdvance(Calendar,X1858,W1859,"f",FALSE)</f>
        <v>51854</v>
      </c>
      <c r="Y1859" s="227">
        <f>_xll.qlCalendarAdvance(Calendar,X1859,NDays&amp;"D")</f>
        <v>51854</v>
      </c>
      <c r="Z1859" s="228">
        <v>3.2752930934553566E-2</v>
      </c>
      <c r="AA1859" s="230">
        <v>3.2724365872678352E-2</v>
      </c>
    </row>
    <row r="1860" spans="19:27" x14ac:dyDescent="0.2">
      <c r="S1860" s="32"/>
      <c r="T1860" s="187"/>
      <c r="W1860" s="221" t="str">
        <f t="shared" si="37"/>
        <v>1w</v>
      </c>
      <c r="X1860" s="222">
        <f>_xll.qlCalendarAdvance(Calendar,X1859,W1860,"f",FALSE)</f>
        <v>51862</v>
      </c>
      <c r="Y1860" s="227">
        <f>_xll.qlCalendarAdvance(Calendar,X1860,NDays&amp;"D")</f>
        <v>51862</v>
      </c>
      <c r="Z1860" s="228">
        <v>3.2743194122497168E-2</v>
      </c>
      <c r="AA1860" s="230">
        <v>3.2717539546252006E-2</v>
      </c>
    </row>
    <row r="1861" spans="19:27" x14ac:dyDescent="0.2">
      <c r="S1861" s="32"/>
      <c r="T1861" s="187"/>
      <c r="W1861" s="221" t="str">
        <f t="shared" si="37"/>
        <v>1w</v>
      </c>
      <c r="X1861" s="222">
        <f>_xll.qlCalendarAdvance(Calendar,X1860,W1861,"f",FALSE)</f>
        <v>51869</v>
      </c>
      <c r="Y1861" s="227">
        <f>_xll.qlCalendarAdvance(Calendar,X1861,NDays&amp;"D")</f>
        <v>51869</v>
      </c>
      <c r="Z1861" s="228">
        <v>3.2735420003932217E-2</v>
      </c>
      <c r="AA1861" s="230">
        <v>3.2709888973476708E-2</v>
      </c>
    </row>
    <row r="1862" spans="19:27" x14ac:dyDescent="0.2">
      <c r="S1862" s="32"/>
      <c r="T1862" s="187"/>
      <c r="W1862" s="221" t="str">
        <f t="shared" si="37"/>
        <v>1w</v>
      </c>
      <c r="X1862" s="222">
        <f>_xll.qlCalendarAdvance(Calendar,X1861,W1862,"f",FALSE)</f>
        <v>51876</v>
      </c>
      <c r="Y1862" s="227">
        <f>_xll.qlCalendarAdvance(Calendar,X1862,NDays&amp;"D")</f>
        <v>51876</v>
      </c>
      <c r="Z1862" s="228">
        <v>3.2727593723081587E-2</v>
      </c>
      <c r="AA1862" s="230">
        <v>3.2702186364450547E-2</v>
      </c>
    </row>
    <row r="1863" spans="19:27" x14ac:dyDescent="0.2">
      <c r="S1863" s="32"/>
      <c r="T1863" s="187"/>
      <c r="W1863" s="221" t="str">
        <f t="shared" si="37"/>
        <v>1w</v>
      </c>
      <c r="X1863" s="222">
        <f>_xll.qlCalendarAdvance(Calendar,X1862,W1863,"f",FALSE)</f>
        <v>51883</v>
      </c>
      <c r="Y1863" s="227">
        <f>_xll.qlCalendarAdvance(Calendar,X1863,NDays&amp;"D")</f>
        <v>51883</v>
      </c>
      <c r="Z1863" s="228">
        <v>3.2719715280055094E-2</v>
      </c>
      <c r="AA1863" s="230">
        <v>3.2694431719119496E-2</v>
      </c>
    </row>
    <row r="1864" spans="19:27" x14ac:dyDescent="0.2">
      <c r="S1864" s="32"/>
      <c r="T1864" s="187"/>
      <c r="W1864" s="221" t="str">
        <f t="shared" si="37"/>
        <v>1w</v>
      </c>
      <c r="X1864" s="222">
        <f>_xll.qlCalendarAdvance(Calendar,X1863,W1864,"f",FALSE)</f>
        <v>51890</v>
      </c>
      <c r="Y1864" s="227">
        <f>_xll.qlCalendarAdvance(Calendar,X1864,NDays&amp;"D")</f>
        <v>51890</v>
      </c>
      <c r="Z1864" s="228">
        <v>3.2711784674959915E-2</v>
      </c>
      <c r="AA1864" s="230">
        <v>3.2686625037510561E-2</v>
      </c>
    </row>
    <row r="1865" spans="19:27" x14ac:dyDescent="0.2">
      <c r="S1865" s="32"/>
      <c r="T1865" s="187"/>
      <c r="W1865" s="221" t="str">
        <f t="shared" si="37"/>
        <v>1w</v>
      </c>
      <c r="X1865" s="222">
        <f>_xll.qlCalendarAdvance(Calendar,X1864,W1865,"f",FALSE)</f>
        <v>51897</v>
      </c>
      <c r="Y1865" s="227">
        <f>_xll.qlCalendarAdvance(Calendar,X1865,NDays&amp;"D")</f>
        <v>51897</v>
      </c>
      <c r="Z1865" s="228">
        <v>3.2701133373799401E-2</v>
      </c>
      <c r="AA1865" s="230">
        <v>3.2678766319650762E-2</v>
      </c>
    </row>
    <row r="1866" spans="19:27" x14ac:dyDescent="0.2">
      <c r="S1866" s="32"/>
      <c r="T1866" s="187"/>
      <c r="W1866" s="221" t="str">
        <f t="shared" si="37"/>
        <v>1w</v>
      </c>
      <c r="X1866" s="222">
        <f>_xll.qlCalendarAdvance(Calendar,X1865,W1866,"f",FALSE)</f>
        <v>51904</v>
      </c>
      <c r="Y1866" s="227">
        <f>_xll.qlCalendarAdvance(Calendar,X1866,NDays&amp;"D")</f>
        <v>51904</v>
      </c>
      <c r="Z1866" s="228">
        <v>3.2693111775744202E-2</v>
      </c>
      <c r="AA1866" s="230">
        <v>3.2670855565486066E-2</v>
      </c>
    </row>
    <row r="1867" spans="19:27" x14ac:dyDescent="0.2">
      <c r="S1867" s="32"/>
      <c r="T1867" s="187"/>
      <c r="W1867" s="221" t="str">
        <f t="shared" si="37"/>
        <v>1w</v>
      </c>
      <c r="X1867" s="222">
        <f>_xll.qlCalendarAdvance(Calendar,X1866,W1867,"f",FALSE)</f>
        <v>51911</v>
      </c>
      <c r="Y1867" s="227">
        <f>_xll.qlCalendarAdvance(Calendar,X1867,NDays&amp;"D")</f>
        <v>51911</v>
      </c>
      <c r="Z1867" s="228">
        <v>3.2685038029377181E-2</v>
      </c>
      <c r="AA1867" s="230">
        <v>3.266289277512454E-2</v>
      </c>
    </row>
    <row r="1868" spans="19:27" x14ac:dyDescent="0.2">
      <c r="S1868" s="32"/>
      <c r="T1868" s="187"/>
      <c r="W1868" s="221" t="str">
        <f t="shared" si="37"/>
        <v>1w</v>
      </c>
      <c r="X1868" s="222">
        <f>_xll.qlCalendarAdvance(Calendar,X1867,W1868,"f",FALSE)</f>
        <v>51918</v>
      </c>
      <c r="Y1868" s="227">
        <f>_xll.qlCalendarAdvance(Calendar,X1868,NDays&amp;"D")</f>
        <v>51918</v>
      </c>
      <c r="Z1868" s="228">
        <v>3.2676912134790966E-2</v>
      </c>
      <c r="AA1868" s="230">
        <v>3.2654877948485136E-2</v>
      </c>
    </row>
    <row r="1869" spans="19:27" x14ac:dyDescent="0.2">
      <c r="S1869" s="32"/>
      <c r="T1869" s="187"/>
      <c r="W1869" s="221" t="str">
        <f t="shared" si="37"/>
        <v>1w</v>
      </c>
      <c r="X1869" s="222">
        <f>_xll.qlCalendarAdvance(Calendar,X1868,W1869,"f",FALSE)</f>
        <v>51925</v>
      </c>
      <c r="Y1869" s="227">
        <f>_xll.qlCalendarAdvance(Calendar,X1869,NDays&amp;"D")</f>
        <v>51925</v>
      </c>
      <c r="Z1869" s="228">
        <v>3.2671349222087871E-2</v>
      </c>
      <c r="AA1869" s="230">
        <v>3.2646811085648896E-2</v>
      </c>
    </row>
    <row r="1870" spans="19:27" x14ac:dyDescent="0.2">
      <c r="S1870" s="32"/>
      <c r="T1870" s="187"/>
      <c r="W1870" s="221" t="str">
        <f t="shared" si="37"/>
        <v>1w</v>
      </c>
      <c r="X1870" s="222">
        <f>_xll.qlCalendarAdvance(Calendar,X1869,W1870,"f",FALSE)</f>
        <v>51932</v>
      </c>
      <c r="Y1870" s="227">
        <f>_xll.qlCalendarAdvance(Calendar,X1870,NDays&amp;"D")</f>
        <v>51932</v>
      </c>
      <c r="Z1870" s="228">
        <v>3.2663972147584236E-2</v>
      </c>
      <c r="AA1870" s="230">
        <v>3.2638692186561791E-2</v>
      </c>
    </row>
    <row r="1871" spans="19:27" x14ac:dyDescent="0.2">
      <c r="S1871" s="32"/>
      <c r="T1871" s="187"/>
      <c r="W1871" s="221" t="str">
        <f t="shared" si="37"/>
        <v>1w</v>
      </c>
      <c r="X1871" s="222">
        <f>_xll.qlCalendarAdvance(Calendar,X1870,W1871,"f",FALSE)</f>
        <v>51939</v>
      </c>
      <c r="Y1871" s="227">
        <f>_xll.qlCalendarAdvance(Calendar,X1871,NDays&amp;"D")</f>
        <v>51939</v>
      </c>
      <c r="Z1871" s="228">
        <v>3.2654809910160287E-2</v>
      </c>
      <c r="AA1871" s="230">
        <v>3.2630521251277855E-2</v>
      </c>
    </row>
    <row r="1872" spans="19:27" x14ac:dyDescent="0.2">
      <c r="S1872" s="32"/>
      <c r="T1872" s="187"/>
      <c r="W1872" s="221" t="str">
        <f t="shared" si="37"/>
        <v>1w</v>
      </c>
      <c r="X1872" s="222">
        <f>_xll.qlCalendarAdvance(Calendar,X1871,W1872,"f",FALSE)</f>
        <v>51946</v>
      </c>
      <c r="Y1872" s="227">
        <f>_xll.qlCalendarAdvance(Calendar,X1872,NDays&amp;"D")</f>
        <v>51946</v>
      </c>
      <c r="Z1872" s="228">
        <v>3.2646462012327473E-2</v>
      </c>
      <c r="AA1872" s="230">
        <v>3.2622298279797089E-2</v>
      </c>
    </row>
    <row r="1873" spans="19:27" x14ac:dyDescent="0.2">
      <c r="S1873" s="32"/>
      <c r="T1873" s="187"/>
      <c r="W1873" s="221" t="str">
        <f t="shared" si="37"/>
        <v>1w</v>
      </c>
      <c r="X1873" s="222">
        <f>_xll.qlCalendarAdvance(Calendar,X1872,W1873,"f",FALSE)</f>
        <v>51953</v>
      </c>
      <c r="Y1873" s="227">
        <f>_xll.qlCalendarAdvance(Calendar,X1873,NDays&amp;"D")</f>
        <v>51953</v>
      </c>
      <c r="Z1873" s="228">
        <v>3.2638061953390696E-2</v>
      </c>
      <c r="AA1873" s="230">
        <v>3.2614023272173519E-2</v>
      </c>
    </row>
    <row r="1874" spans="19:27" x14ac:dyDescent="0.2">
      <c r="S1874" s="32"/>
      <c r="T1874" s="187"/>
      <c r="W1874" s="221" t="str">
        <f t="shared" si="37"/>
        <v>1w</v>
      </c>
      <c r="X1874" s="222">
        <f>_xll.qlCalendarAdvance(Calendar,X1873,W1874,"f",FALSE)</f>
        <v>51964</v>
      </c>
      <c r="Y1874" s="227">
        <f>_xll.qlCalendarAdvance(Calendar,X1874,NDays&amp;"D")</f>
        <v>51964</v>
      </c>
      <c r="Z1874" s="228">
        <v>3.2623910055223103E-2</v>
      </c>
      <c r="AA1874" s="230">
        <v>3.2599200304731513E-2</v>
      </c>
    </row>
    <row r="1875" spans="19:27" x14ac:dyDescent="0.2">
      <c r="S1875" s="32"/>
      <c r="T1875" s="187"/>
      <c r="W1875" s="221" t="str">
        <f t="shared" si="37"/>
        <v>1w</v>
      </c>
      <c r="X1875" s="222">
        <f>_xll.qlCalendarAdvance(Calendar,X1874,W1875,"f",FALSE)</f>
        <v>51971</v>
      </c>
      <c r="Y1875" s="227">
        <f>_xll.qlCalendarAdvance(Calendar,X1875,NDays&amp;"D")</f>
        <v>51971</v>
      </c>
      <c r="Z1875" s="228">
        <v>3.261538035532615E-2</v>
      </c>
      <c r="AA1875" s="230">
        <v>3.2590800423835109E-2</v>
      </c>
    </row>
    <row r="1876" spans="19:27" x14ac:dyDescent="0.2">
      <c r="S1876" s="32"/>
      <c r="T1876" s="187"/>
      <c r="W1876" s="221" t="str">
        <f t="shared" si="37"/>
        <v>1w</v>
      </c>
      <c r="X1876" s="222">
        <f>_xll.qlCalendarAdvance(Calendar,X1875,W1876,"f",FALSE)</f>
        <v>51978</v>
      </c>
      <c r="Y1876" s="227">
        <f>_xll.qlCalendarAdvance(Calendar,X1876,NDays&amp;"D")</f>
        <v>51978</v>
      </c>
      <c r="Z1876" s="228">
        <v>3.2606798499170406E-2</v>
      </c>
      <c r="AA1876" s="230">
        <v>3.2582348515683979E-2</v>
      </c>
    </row>
    <row r="1877" spans="19:27" x14ac:dyDescent="0.2">
      <c r="S1877" s="32"/>
      <c r="T1877" s="187"/>
      <c r="W1877" s="221" t="str">
        <f t="shared" ref="W1877:W1940" si="38">W1876</f>
        <v>1w</v>
      </c>
      <c r="X1877" s="222">
        <f>_xll.qlCalendarAdvance(Calendar,X1876,W1877,"f",FALSE)</f>
        <v>51985</v>
      </c>
      <c r="Y1877" s="227">
        <f>_xll.qlCalendarAdvance(Calendar,X1877,NDays&amp;"D")</f>
        <v>51985</v>
      </c>
      <c r="Z1877" s="228">
        <v>3.2598164486874734E-2</v>
      </c>
      <c r="AA1877" s="230">
        <v>3.2573844580359168E-2</v>
      </c>
    </row>
    <row r="1878" spans="19:27" x14ac:dyDescent="0.2">
      <c r="S1878" s="32"/>
      <c r="T1878" s="187"/>
      <c r="W1878" s="221" t="str">
        <f t="shared" si="38"/>
        <v>1w</v>
      </c>
      <c r="X1878" s="222">
        <f>_xll.qlCalendarAdvance(Calendar,X1877,W1878,"f",FALSE)</f>
        <v>51992</v>
      </c>
      <c r="Y1878" s="227">
        <f>_xll.qlCalendarAdvance(Calendar,X1878,NDays&amp;"D")</f>
        <v>51992</v>
      </c>
      <c r="Z1878" s="228">
        <v>3.2590306762703421E-2</v>
      </c>
      <c r="AA1878" s="230">
        <v>3.2565288617617538E-2</v>
      </c>
    </row>
    <row r="1879" spans="19:27" x14ac:dyDescent="0.2">
      <c r="S1879" s="32"/>
      <c r="T1879" s="187"/>
      <c r="W1879" s="221" t="str">
        <f t="shared" si="38"/>
        <v>1w</v>
      </c>
      <c r="X1879" s="222">
        <f>_xll.qlCalendarAdvance(Calendar,X1878,W1879,"f",FALSE)</f>
        <v>51999</v>
      </c>
      <c r="Y1879" s="227">
        <f>_xll.qlCalendarAdvance(Calendar,X1879,NDays&amp;"D")</f>
        <v>51999</v>
      </c>
      <c r="Z1879" s="228">
        <v>3.2581563933614915E-2</v>
      </c>
      <c r="AA1879" s="230">
        <v>3.2556680627783274E-2</v>
      </c>
    </row>
    <row r="1880" spans="19:27" x14ac:dyDescent="0.2">
      <c r="S1880" s="32"/>
      <c r="T1880" s="187"/>
      <c r="W1880" s="221" t="str">
        <f t="shared" si="38"/>
        <v>1w</v>
      </c>
      <c r="X1880" s="222">
        <f>_xll.qlCalendarAdvance(Calendar,X1879,W1880,"f",FALSE)</f>
        <v>52006</v>
      </c>
      <c r="Y1880" s="227">
        <f>_xll.qlCalendarAdvance(Calendar,X1880,NDays&amp;"D")</f>
        <v>52006</v>
      </c>
      <c r="Z1880" s="228">
        <v>3.2572768944285194E-2</v>
      </c>
      <c r="AA1880" s="230">
        <v>3.2548020610694284E-2</v>
      </c>
    </row>
    <row r="1881" spans="19:27" x14ac:dyDescent="0.2">
      <c r="S1881" s="32"/>
      <c r="T1881" s="187"/>
      <c r="W1881" s="221" t="str">
        <f t="shared" si="38"/>
        <v>1w</v>
      </c>
      <c r="X1881" s="222">
        <f>_xll.qlCalendarAdvance(Calendar,X1880,W1881,"f",FALSE)</f>
        <v>52013</v>
      </c>
      <c r="Y1881" s="227">
        <f>_xll.qlCalendarAdvance(Calendar,X1881,NDays&amp;"D")</f>
        <v>52013</v>
      </c>
      <c r="Z1881" s="228">
        <v>3.256392179483452E-2</v>
      </c>
      <c r="AA1881" s="230">
        <v>3.2539308566350567E-2</v>
      </c>
    </row>
    <row r="1882" spans="19:27" x14ac:dyDescent="0.2">
      <c r="S1882" s="32"/>
      <c r="T1882" s="187"/>
      <c r="W1882" s="221" t="str">
        <f t="shared" si="38"/>
        <v>1w</v>
      </c>
      <c r="X1882" s="222">
        <f>_xll.qlCalendarAdvance(Calendar,X1881,W1882,"f",FALSE)</f>
        <v>52020</v>
      </c>
      <c r="Y1882" s="227">
        <f>_xll.qlCalendarAdvance(Calendar,X1882,NDays&amp;"D")</f>
        <v>52020</v>
      </c>
      <c r="Z1882" s="228">
        <v>3.2554212087120171E-2</v>
      </c>
      <c r="AA1882" s="230">
        <v>3.2530544494752123E-2</v>
      </c>
    </row>
    <row r="1883" spans="19:27" x14ac:dyDescent="0.2">
      <c r="S1883" s="32"/>
      <c r="T1883" s="187"/>
      <c r="W1883" s="221" t="str">
        <f t="shared" si="38"/>
        <v>1w</v>
      </c>
      <c r="X1883" s="222">
        <f>_xll.qlCalendarAdvance(Calendar,X1882,W1883,"f",FALSE)</f>
        <v>52027</v>
      </c>
      <c r="Y1883" s="227">
        <f>_xll.qlCalendarAdvance(Calendar,X1883,NDays&amp;"D")</f>
        <v>52027</v>
      </c>
      <c r="Z1883" s="228">
        <v>3.2545265140305576E-2</v>
      </c>
      <c r="AA1883" s="230">
        <v>3.2521728396061045E-2</v>
      </c>
    </row>
    <row r="1884" spans="19:27" x14ac:dyDescent="0.2">
      <c r="S1884" s="32"/>
      <c r="T1884" s="187"/>
      <c r="W1884" s="221" t="str">
        <f t="shared" si="38"/>
        <v>1w</v>
      </c>
      <c r="X1884" s="222">
        <f>_xll.qlCalendarAdvance(Calendar,X1883,W1884,"f",FALSE)</f>
        <v>52034</v>
      </c>
      <c r="Y1884" s="227">
        <f>_xll.qlCalendarAdvance(Calendar,X1884,NDays&amp;"D")</f>
        <v>52034</v>
      </c>
      <c r="Z1884" s="228">
        <v>3.2536266038137196E-2</v>
      </c>
      <c r="AA1884" s="230">
        <v>3.251286027011524E-2</v>
      </c>
    </row>
    <row r="1885" spans="19:27" x14ac:dyDescent="0.2">
      <c r="S1885" s="32"/>
      <c r="T1885" s="187"/>
      <c r="W1885" s="221" t="str">
        <f t="shared" si="38"/>
        <v>1w</v>
      </c>
      <c r="X1885" s="222">
        <f>_xll.qlCalendarAdvance(Calendar,X1884,W1885,"f",FALSE)</f>
        <v>52041</v>
      </c>
      <c r="Y1885" s="227">
        <f>_xll.qlCalendarAdvance(Calendar,X1885,NDays&amp;"D")</f>
        <v>52041</v>
      </c>
      <c r="Z1885" s="228">
        <v>3.2527214780728508E-2</v>
      </c>
      <c r="AA1885" s="230">
        <v>3.2503940116833663E-2</v>
      </c>
    </row>
    <row r="1886" spans="19:27" x14ac:dyDescent="0.2">
      <c r="S1886" s="32"/>
      <c r="T1886" s="187"/>
      <c r="W1886" s="221" t="str">
        <f t="shared" si="38"/>
        <v>1w</v>
      </c>
      <c r="X1886" s="222">
        <f>_xll.qlCalendarAdvance(Calendar,X1885,W1886,"f",FALSE)</f>
        <v>52048</v>
      </c>
      <c r="Y1886" s="227">
        <f>_xll.qlCalendarAdvance(Calendar,X1886,NDays&amp;"D")</f>
        <v>52048</v>
      </c>
      <c r="Z1886" s="228">
        <v>3.2518903649829609E-2</v>
      </c>
      <c r="AA1886" s="230">
        <v>3.2494967936459451E-2</v>
      </c>
    </row>
    <row r="1887" spans="19:27" x14ac:dyDescent="0.2">
      <c r="S1887" s="32"/>
      <c r="T1887" s="187"/>
      <c r="W1887" s="221" t="str">
        <f t="shared" si="38"/>
        <v>1w</v>
      </c>
      <c r="X1887" s="222">
        <f>_xll.qlCalendarAdvance(Calendar,X1886,W1887,"f",FALSE)</f>
        <v>52055</v>
      </c>
      <c r="Y1887" s="227">
        <f>_xll.qlCalendarAdvance(Calendar,X1887,NDays&amp;"D")</f>
        <v>52055</v>
      </c>
      <c r="Z1887" s="228">
        <v>3.2509743542113355E-2</v>
      </c>
      <c r="AA1887" s="230">
        <v>3.2485943728830513E-2</v>
      </c>
    </row>
    <row r="1888" spans="19:27" x14ac:dyDescent="0.2">
      <c r="S1888" s="32"/>
      <c r="T1888" s="187"/>
      <c r="W1888" s="221" t="str">
        <f t="shared" si="38"/>
        <v>1w</v>
      </c>
      <c r="X1888" s="222">
        <f>_xll.qlCalendarAdvance(Calendar,X1887,W1888,"f",FALSE)</f>
        <v>52062</v>
      </c>
      <c r="Y1888" s="227">
        <f>_xll.qlCalendarAdvance(Calendar,X1888,NDays&amp;"D")</f>
        <v>52062</v>
      </c>
      <c r="Z1888" s="228">
        <v>3.2500531275110142E-2</v>
      </c>
      <c r="AA1888" s="230">
        <v>3.2476867494027895E-2</v>
      </c>
    </row>
    <row r="1889" spans="19:27" x14ac:dyDescent="0.2">
      <c r="S1889" s="32"/>
      <c r="T1889" s="187"/>
      <c r="W1889" s="221" t="str">
        <f t="shared" si="38"/>
        <v>1w</v>
      </c>
      <c r="X1889" s="222">
        <f>_xll.qlCalendarAdvance(Calendar,X1888,W1889,"f",FALSE)</f>
        <v>52069</v>
      </c>
      <c r="Y1889" s="227">
        <f>_xll.qlCalendarAdvance(Calendar,X1889,NDays&amp;"D")</f>
        <v>52069</v>
      </c>
      <c r="Z1889" s="228">
        <v>3.2491266848940235E-2</v>
      </c>
      <c r="AA1889" s="230">
        <v>3.2467739231970549E-2</v>
      </c>
    </row>
    <row r="1890" spans="19:27" x14ac:dyDescent="0.2">
      <c r="S1890" s="32"/>
      <c r="T1890" s="187"/>
      <c r="W1890" s="221" t="str">
        <f t="shared" si="38"/>
        <v>1w</v>
      </c>
      <c r="X1890" s="222">
        <f>_xll.qlCalendarAdvance(Calendar,X1889,W1890,"f",FALSE)</f>
        <v>52076</v>
      </c>
      <c r="Y1890" s="227">
        <f>_xll.qlCalendarAdvance(Calendar,X1890,NDays&amp;"D")</f>
        <v>52076</v>
      </c>
      <c r="Z1890" s="228">
        <v>3.2481950263723885E-2</v>
      </c>
      <c r="AA1890" s="230">
        <v>3.2458558942739524E-2</v>
      </c>
    </row>
    <row r="1891" spans="19:27" x14ac:dyDescent="0.2">
      <c r="S1891" s="32"/>
      <c r="T1891" s="187"/>
      <c r="W1891" s="221" t="str">
        <f t="shared" si="38"/>
        <v>1w</v>
      </c>
      <c r="X1891" s="222">
        <f>_xll.qlCalendarAdvance(Calendar,X1890,W1891,"f",FALSE)</f>
        <v>52083</v>
      </c>
      <c r="Y1891" s="227">
        <f>_xll.qlCalendarAdvance(Calendar,X1891,NDays&amp;"D")</f>
        <v>52083</v>
      </c>
      <c r="Z1891" s="228">
        <v>3.2472581519589205E-2</v>
      </c>
      <c r="AA1891" s="230">
        <v>3.2449326626253772E-2</v>
      </c>
    </row>
    <row r="1892" spans="19:27" x14ac:dyDescent="0.2">
      <c r="S1892" s="32"/>
      <c r="T1892" s="187"/>
      <c r="W1892" s="221" t="str">
        <f t="shared" si="38"/>
        <v>1w</v>
      </c>
      <c r="X1892" s="222">
        <f>_xll.qlCalendarAdvance(Calendar,X1891,W1892,"f",FALSE)</f>
        <v>52090</v>
      </c>
      <c r="Y1892" s="227">
        <f>_xll.qlCalendarAdvance(Calendar,X1892,NDays&amp;"D")</f>
        <v>52090</v>
      </c>
      <c r="Z1892" s="228">
        <v>3.246316061665646E-2</v>
      </c>
      <c r="AA1892" s="230">
        <v>3.2440042282756432E-2</v>
      </c>
    </row>
    <row r="1893" spans="19:27" x14ac:dyDescent="0.2">
      <c r="S1893" s="32"/>
      <c r="T1893" s="187"/>
      <c r="W1893" s="221" t="str">
        <f t="shared" si="38"/>
        <v>1w</v>
      </c>
      <c r="X1893" s="222">
        <f>_xll.qlCalendarAdvance(Calendar,X1892,W1893,"f",FALSE)</f>
        <v>52097</v>
      </c>
      <c r="Y1893" s="227">
        <f>_xll.qlCalendarAdvance(Calendar,X1893,NDays&amp;"D")</f>
        <v>52097</v>
      </c>
      <c r="Z1893" s="228">
        <v>3.2453687555051132E-2</v>
      </c>
      <c r="AA1893" s="230">
        <v>3.2430705912004365E-2</v>
      </c>
    </row>
    <row r="1894" spans="19:27" x14ac:dyDescent="0.2">
      <c r="S1894" s="32"/>
      <c r="T1894" s="187"/>
      <c r="W1894" s="221" t="str">
        <f t="shared" si="38"/>
        <v>1w</v>
      </c>
      <c r="X1894" s="222">
        <f>_xll.qlCalendarAdvance(Calendar,X1893,W1894,"f",FALSE)</f>
        <v>52104</v>
      </c>
      <c r="Y1894" s="227">
        <f>_xll.qlCalendarAdvance(Calendar,X1894,NDays&amp;"D")</f>
        <v>52104</v>
      </c>
      <c r="Z1894" s="228">
        <v>3.2444162334898718E-2</v>
      </c>
      <c r="AA1894" s="230">
        <v>3.2421317513997572E-2</v>
      </c>
    </row>
    <row r="1895" spans="19:27" x14ac:dyDescent="0.2">
      <c r="S1895" s="32"/>
      <c r="T1895" s="187"/>
      <c r="W1895" s="221" t="str">
        <f t="shared" si="38"/>
        <v>1w</v>
      </c>
      <c r="X1895" s="222">
        <f>_xll.qlCalendarAdvance(Calendar,X1894,W1895,"f",FALSE)</f>
        <v>52111</v>
      </c>
      <c r="Y1895" s="227">
        <f>_xll.qlCalendarAdvance(Calendar,X1895,NDays&amp;"D")</f>
        <v>52111</v>
      </c>
      <c r="Z1895" s="228">
        <v>3.2433833694345791E-2</v>
      </c>
      <c r="AA1895" s="230">
        <v>3.2411877088898144E-2</v>
      </c>
    </row>
    <row r="1896" spans="19:27" x14ac:dyDescent="0.2">
      <c r="S1896" s="32"/>
      <c r="T1896" s="187"/>
      <c r="W1896" s="221" t="str">
        <f t="shared" si="38"/>
        <v>1w</v>
      </c>
      <c r="X1896" s="222">
        <f>_xll.qlCalendarAdvance(Calendar,X1895,W1896,"f",FALSE)</f>
        <v>52118</v>
      </c>
      <c r="Y1896" s="227">
        <f>_xll.qlCalendarAdvance(Calendar,X1896,NDays&amp;"D")</f>
        <v>52118</v>
      </c>
      <c r="Z1896" s="228">
        <v>3.2424208737111937E-2</v>
      </c>
      <c r="AA1896" s="230">
        <v>3.2402384636625037E-2</v>
      </c>
    </row>
    <row r="1897" spans="19:27" x14ac:dyDescent="0.2">
      <c r="S1897" s="32"/>
      <c r="T1897" s="187"/>
      <c r="W1897" s="221" t="str">
        <f t="shared" si="38"/>
        <v>1w</v>
      </c>
      <c r="X1897" s="222">
        <f>_xll.qlCalendarAdvance(Calendar,X1896,W1897,"f",FALSE)</f>
        <v>52125</v>
      </c>
      <c r="Y1897" s="227">
        <f>_xll.qlCalendarAdvance(Calendar,X1897,NDays&amp;"D")</f>
        <v>52125</v>
      </c>
      <c r="Z1897" s="228">
        <v>3.24145316260777E-2</v>
      </c>
      <c r="AA1897" s="230">
        <v>3.2392840157178249E-2</v>
      </c>
    </row>
    <row r="1898" spans="19:27" x14ac:dyDescent="0.2">
      <c r="S1898" s="32"/>
      <c r="T1898" s="187"/>
      <c r="W1898" s="221" t="str">
        <f t="shared" si="38"/>
        <v>1w</v>
      </c>
      <c r="X1898" s="222">
        <f>_xll.qlCalendarAdvance(Calendar,X1897,W1898,"f",FALSE)</f>
        <v>52132</v>
      </c>
      <c r="Y1898" s="227">
        <f>_xll.qlCalendarAdvance(Calendar,X1898,NDays&amp;"D")</f>
        <v>52132</v>
      </c>
      <c r="Z1898" s="228">
        <v>3.2404802361367335E-2</v>
      </c>
      <c r="AA1898" s="230">
        <v>3.2383243650476734E-2</v>
      </c>
    </row>
    <row r="1899" spans="19:27" x14ac:dyDescent="0.2">
      <c r="S1899" s="32"/>
      <c r="T1899" s="187"/>
      <c r="W1899" s="221" t="str">
        <f t="shared" si="38"/>
        <v>1w</v>
      </c>
      <c r="X1899" s="222">
        <f>_xll.qlCalendarAdvance(Calendar,X1898,W1899,"f",FALSE)</f>
        <v>52139</v>
      </c>
      <c r="Y1899" s="227">
        <f>_xll.qlCalendarAdvance(Calendar,X1899,NDays&amp;"D")</f>
        <v>52139</v>
      </c>
      <c r="Z1899" s="228">
        <v>3.2395753860395733E-2</v>
      </c>
      <c r="AA1899" s="230">
        <v>3.2373595116682585E-2</v>
      </c>
    </row>
    <row r="1900" spans="19:27" x14ac:dyDescent="0.2">
      <c r="S1900" s="32"/>
      <c r="T1900" s="187"/>
      <c r="W1900" s="221" t="str">
        <f t="shared" si="38"/>
        <v>1w</v>
      </c>
      <c r="X1900" s="222">
        <f>_xll.qlCalendarAdvance(Calendar,X1899,W1900,"f",FALSE)</f>
        <v>52146</v>
      </c>
      <c r="Y1900" s="227">
        <f>_xll.qlCalendarAdvance(Calendar,X1900,NDays&amp;"D")</f>
        <v>52146</v>
      </c>
      <c r="Z1900" s="228">
        <v>3.2385915691643168E-2</v>
      </c>
      <c r="AA1900" s="230">
        <v>3.2363894555795802E-2</v>
      </c>
    </row>
    <row r="1901" spans="19:27" x14ac:dyDescent="0.2">
      <c r="S1901" s="32"/>
      <c r="T1901" s="187"/>
      <c r="W1901" s="221" t="str">
        <f t="shared" si="38"/>
        <v>1w</v>
      </c>
      <c r="X1901" s="222">
        <f>_xll.qlCalendarAdvance(Calendar,X1900,W1901,"f",FALSE)</f>
        <v>52153</v>
      </c>
      <c r="Y1901" s="227">
        <f>_xll.qlCalendarAdvance(Calendar,X1901,NDays&amp;"D")</f>
        <v>52153</v>
      </c>
      <c r="Z1901" s="228">
        <v>3.237602536524025E-2</v>
      </c>
      <c r="AA1901" s="230">
        <v>3.2354141967654293E-2</v>
      </c>
    </row>
    <row r="1902" spans="19:27" x14ac:dyDescent="0.2">
      <c r="S1902" s="32"/>
      <c r="T1902" s="187"/>
      <c r="W1902" s="221" t="str">
        <f t="shared" si="38"/>
        <v>1w</v>
      </c>
      <c r="X1902" s="222">
        <f>_xll.qlCalendarAdvance(Calendar,X1901,W1902,"f",FALSE)</f>
        <v>52160</v>
      </c>
      <c r="Y1902" s="227">
        <f>_xll.qlCalendarAdvance(Calendar,X1902,NDays&amp;"D")</f>
        <v>52160</v>
      </c>
      <c r="Z1902" s="228">
        <v>3.2366082881322936E-2</v>
      </c>
      <c r="AA1902" s="230">
        <v>3.2344337352501196E-2</v>
      </c>
    </row>
    <row r="1903" spans="19:27" x14ac:dyDescent="0.2">
      <c r="S1903" s="32"/>
      <c r="T1903" s="187"/>
      <c r="W1903" s="221" t="str">
        <f t="shared" si="38"/>
        <v>1w</v>
      </c>
      <c r="X1903" s="222">
        <f>_xll.qlCalendarAdvance(Calendar,X1902,W1903,"f",FALSE)</f>
        <v>52167</v>
      </c>
      <c r="Y1903" s="227">
        <f>_xll.qlCalendarAdvance(Calendar,X1903,NDays&amp;"D")</f>
        <v>52167</v>
      </c>
      <c r="Z1903" s="228">
        <v>3.2356088240016706E-2</v>
      </c>
      <c r="AA1903" s="230">
        <v>3.2334480710012325E-2</v>
      </c>
    </row>
    <row r="1904" spans="19:27" x14ac:dyDescent="0.2">
      <c r="S1904" s="32"/>
      <c r="T1904" s="187"/>
      <c r="W1904" s="221" t="str">
        <f t="shared" si="38"/>
        <v>1w</v>
      </c>
      <c r="X1904" s="222">
        <f>_xll.qlCalendarAdvance(Calendar,X1903,W1904,"f",FALSE)</f>
        <v>52174</v>
      </c>
      <c r="Y1904" s="227">
        <f>_xll.qlCalendarAdvance(Calendar,X1904,NDays&amp;"D")</f>
        <v>52174</v>
      </c>
      <c r="Z1904" s="228">
        <v>3.2345331552884771E-2</v>
      </c>
      <c r="AA1904" s="230">
        <v>3.2324572040592914E-2</v>
      </c>
    </row>
    <row r="1905" spans="19:27" x14ac:dyDescent="0.2">
      <c r="S1905" s="32"/>
      <c r="T1905" s="187"/>
      <c r="W1905" s="221" t="str">
        <f t="shared" si="38"/>
        <v>1w</v>
      </c>
      <c r="X1905" s="222">
        <f>_xll.qlCalendarAdvance(Calendar,X1904,W1905,"f",FALSE)</f>
        <v>52181</v>
      </c>
      <c r="Y1905" s="227">
        <f>_xll.qlCalendarAdvance(Calendar,X1905,NDays&amp;"D")</f>
        <v>52181</v>
      </c>
      <c r="Z1905" s="228">
        <v>3.233523721595899E-2</v>
      </c>
      <c r="AA1905" s="230">
        <v>3.2314611343837729E-2</v>
      </c>
    </row>
    <row r="1906" spans="19:27" x14ac:dyDescent="0.2">
      <c r="S1906" s="32"/>
      <c r="T1906" s="187"/>
      <c r="W1906" s="221" t="str">
        <f t="shared" si="38"/>
        <v>1w</v>
      </c>
      <c r="X1906" s="222">
        <f>_xll.qlCalendarAdvance(Calendar,X1905,W1906,"f",FALSE)</f>
        <v>52188</v>
      </c>
      <c r="Y1906" s="227">
        <f>_xll.qlCalendarAdvance(Calendar,X1906,NDays&amp;"D")</f>
        <v>52188</v>
      </c>
      <c r="Z1906" s="228">
        <v>3.2325090726367467E-2</v>
      </c>
      <c r="AA1906" s="230">
        <v>3.2304598620152003E-2</v>
      </c>
    </row>
    <row r="1907" spans="19:27" x14ac:dyDescent="0.2">
      <c r="S1907" s="32"/>
      <c r="T1907" s="187"/>
      <c r="W1907" s="221" t="str">
        <f t="shared" si="38"/>
        <v>1w</v>
      </c>
      <c r="X1907" s="222">
        <f>_xll.qlCalendarAdvance(Calendar,X1906,W1907,"f",FALSE)</f>
        <v>52195</v>
      </c>
      <c r="Y1907" s="227">
        <f>_xll.qlCalendarAdvance(Calendar,X1907,NDays&amp;"D")</f>
        <v>52195</v>
      </c>
      <c r="Z1907" s="228">
        <v>3.2317673759800568E-2</v>
      </c>
      <c r="AA1907" s="230">
        <v>3.229453386921155E-2</v>
      </c>
    </row>
    <row r="1908" spans="19:27" x14ac:dyDescent="0.2">
      <c r="S1908" s="32"/>
      <c r="T1908" s="187"/>
      <c r="W1908" s="221" t="str">
        <f t="shared" si="38"/>
        <v>1w</v>
      </c>
      <c r="X1908" s="222">
        <f>_xll.qlCalendarAdvance(Calendar,X1907,W1908,"f",FALSE)</f>
        <v>52202</v>
      </c>
      <c r="Y1908" s="227">
        <f>_xll.qlCalendarAdvance(Calendar,X1908,NDays&amp;"D")</f>
        <v>52202</v>
      </c>
      <c r="Z1908" s="228">
        <v>3.2305332677381379E-2</v>
      </c>
      <c r="AA1908" s="230">
        <v>3.2284417091178463E-2</v>
      </c>
    </row>
    <row r="1909" spans="19:27" x14ac:dyDescent="0.2">
      <c r="S1909" s="32"/>
      <c r="T1909" s="187"/>
      <c r="W1909" s="221" t="str">
        <f t="shared" si="38"/>
        <v>1w</v>
      </c>
      <c r="X1909" s="222">
        <f>_xll.qlCalendarAdvance(Calendar,X1908,W1909,"f",FALSE)</f>
        <v>52209</v>
      </c>
      <c r="Y1909" s="227">
        <f>_xll.qlCalendarAdvance(Calendar,X1909,NDays&amp;"D")</f>
        <v>52209</v>
      </c>
      <c r="Z1909" s="228">
        <v>3.2295025094575699E-2</v>
      </c>
      <c r="AA1909" s="230">
        <v>3.2274248286052742E-2</v>
      </c>
    </row>
    <row r="1910" spans="19:27" x14ac:dyDescent="0.2">
      <c r="S1910" s="32"/>
      <c r="T1910" s="187"/>
      <c r="W1910" s="221" t="str">
        <f t="shared" si="38"/>
        <v>1w</v>
      </c>
      <c r="X1910" s="222">
        <f>_xll.qlCalendarAdvance(Calendar,X1909,W1910,"f",FALSE)</f>
        <v>52216</v>
      </c>
      <c r="Y1910" s="227">
        <f>_xll.qlCalendarAdvance(Calendar,X1910,NDays&amp;"D")</f>
        <v>52216</v>
      </c>
      <c r="Z1910" s="228">
        <v>3.2284665355322296E-2</v>
      </c>
      <c r="AA1910" s="230">
        <v>3.2264027453834387E-2</v>
      </c>
    </row>
    <row r="1911" spans="19:27" x14ac:dyDescent="0.2">
      <c r="S1911" s="32"/>
      <c r="T1911" s="187"/>
      <c r="W1911" s="221" t="str">
        <f t="shared" si="38"/>
        <v>1w</v>
      </c>
      <c r="X1911" s="222">
        <f>_xll.qlCalendarAdvance(Calendar,X1910,W1911,"f",FALSE)</f>
        <v>52223</v>
      </c>
      <c r="Y1911" s="227">
        <f>_xll.qlCalendarAdvance(Calendar,X1911,NDays&amp;"D")</f>
        <v>52223</v>
      </c>
      <c r="Z1911" s="228">
        <v>3.2274253459767567E-2</v>
      </c>
      <c r="AA1911" s="230">
        <v>3.2253754594442352E-2</v>
      </c>
    </row>
    <row r="1912" spans="19:27" x14ac:dyDescent="0.2">
      <c r="S1912" s="32"/>
      <c r="T1912" s="187"/>
      <c r="W1912" s="221" t="str">
        <f t="shared" si="38"/>
        <v>1w</v>
      </c>
      <c r="X1912" s="222">
        <f>_xll.qlCalendarAdvance(Calendar,X1911,W1912,"f",FALSE)</f>
        <v>52230</v>
      </c>
      <c r="Y1912" s="227">
        <f>_xll.qlCalendarAdvance(Calendar,X1912,NDays&amp;"D")</f>
        <v>52230</v>
      </c>
      <c r="Z1912" s="228">
        <v>3.2263789408039631E-2</v>
      </c>
      <c r="AA1912" s="230">
        <v>3.2243429707957683E-2</v>
      </c>
    </row>
    <row r="1913" spans="19:27" x14ac:dyDescent="0.2">
      <c r="S1913" s="32"/>
      <c r="T1913" s="187"/>
      <c r="W1913" s="221" t="str">
        <f t="shared" si="38"/>
        <v>1w</v>
      </c>
      <c r="X1913" s="222">
        <f>_xll.qlCalendarAdvance(Calendar,X1912,W1913,"f",FALSE)</f>
        <v>52237</v>
      </c>
      <c r="Y1913" s="227">
        <f>_xll.qlCalendarAdvance(Calendar,X1913,NDays&amp;"D")</f>
        <v>52237</v>
      </c>
      <c r="Z1913" s="228">
        <v>3.2253273200284878E-2</v>
      </c>
      <c r="AA1913" s="230">
        <v>3.2233052794461425E-2</v>
      </c>
    </row>
    <row r="1914" spans="19:27" x14ac:dyDescent="0.2">
      <c r="S1914" s="32"/>
      <c r="T1914" s="187"/>
      <c r="W1914" s="221" t="str">
        <f t="shared" si="38"/>
        <v>1w</v>
      </c>
      <c r="X1914" s="222">
        <f>_xll.qlCalendarAdvance(Calendar,X1913,W1914,"f",FALSE)</f>
        <v>52244</v>
      </c>
      <c r="Y1914" s="227">
        <f>_xll.qlCalendarAdvance(Calendar,X1914,NDays&amp;"D")</f>
        <v>52244</v>
      </c>
      <c r="Z1914" s="228">
        <v>3.2242704836641878E-2</v>
      </c>
      <c r="AA1914" s="230">
        <v>3.2222623853710441E-2</v>
      </c>
    </row>
    <row r="1915" spans="19:27" x14ac:dyDescent="0.2">
      <c r="S1915" s="32"/>
      <c r="T1915" s="187"/>
      <c r="W1915" s="221" t="str">
        <f t="shared" si="38"/>
        <v>1w</v>
      </c>
      <c r="X1915" s="222">
        <f>_xll.qlCalendarAdvance(Calendar,X1914,W1915,"f",FALSE)</f>
        <v>52251</v>
      </c>
      <c r="Y1915" s="227">
        <f>_xll.qlCalendarAdvance(Calendar,X1915,NDays&amp;"D")</f>
        <v>52251</v>
      </c>
      <c r="Z1915" s="228">
        <v>3.2232084317243968E-2</v>
      </c>
      <c r="AA1915" s="230">
        <v>3.2212142886028916E-2</v>
      </c>
    </row>
    <row r="1916" spans="19:27" x14ac:dyDescent="0.2">
      <c r="S1916" s="32"/>
      <c r="T1916" s="187"/>
      <c r="W1916" s="221" t="str">
        <f t="shared" si="38"/>
        <v>1w</v>
      </c>
      <c r="X1916" s="222">
        <f>_xll.qlCalendarAdvance(Calendar,X1915,W1916,"f",FALSE)</f>
        <v>52258</v>
      </c>
      <c r="Y1916" s="227">
        <f>_xll.qlCalendarAdvance(Calendar,X1916,NDays&amp;"D")</f>
        <v>52258</v>
      </c>
      <c r="Z1916" s="228">
        <v>3.2221411642240169E-2</v>
      </c>
      <c r="AA1916" s="230">
        <v>3.2201609891254757E-2</v>
      </c>
    </row>
    <row r="1917" spans="19:27" x14ac:dyDescent="0.2">
      <c r="S1917" s="32"/>
      <c r="T1917" s="187"/>
      <c r="W1917" s="221" t="str">
        <f t="shared" si="38"/>
        <v>1w</v>
      </c>
      <c r="X1917" s="222">
        <f>_xll.qlCalendarAdvance(Calendar,X1916,W1917,"f",FALSE)</f>
        <v>52265</v>
      </c>
      <c r="Y1917" s="227">
        <f>_xll.qlCalendarAdvance(Calendar,X1917,NDays&amp;"D")</f>
        <v>52265</v>
      </c>
      <c r="Z1917" s="228">
        <v>3.2208737064193367E-2</v>
      </c>
      <c r="AA1917" s="230">
        <v>3.2191024869306917E-2</v>
      </c>
    </row>
    <row r="1918" spans="19:27" x14ac:dyDescent="0.2">
      <c r="S1918" s="32"/>
      <c r="T1918" s="187"/>
      <c r="W1918" s="221" t="str">
        <f t="shared" si="38"/>
        <v>1w</v>
      </c>
      <c r="X1918" s="222">
        <f>_xll.qlCalendarAdvance(Calendar,X1917,W1918,"f",FALSE)</f>
        <v>52272</v>
      </c>
      <c r="Y1918" s="227">
        <f>_xll.qlCalendarAdvance(Calendar,X1918,NDays&amp;"D")</f>
        <v>52272</v>
      </c>
      <c r="Z1918" s="228">
        <v>3.2197974100177738E-2</v>
      </c>
      <c r="AA1918" s="230">
        <v>3.2180387820266443E-2</v>
      </c>
    </row>
    <row r="1919" spans="19:27" x14ac:dyDescent="0.2">
      <c r="S1919" s="32"/>
      <c r="T1919" s="187"/>
      <c r="W1919" s="221" t="str">
        <f t="shared" si="38"/>
        <v>1w</v>
      </c>
      <c r="X1919" s="222">
        <f>_xll.qlCalendarAdvance(Calendar,X1918,W1919,"f",FALSE)</f>
        <v>52279</v>
      </c>
      <c r="Y1919" s="227">
        <f>_xll.qlCalendarAdvance(Calendar,X1919,NDays&amp;"D")</f>
        <v>52279</v>
      </c>
      <c r="Z1919" s="228">
        <v>3.2187158993781141E-2</v>
      </c>
      <c r="AA1919" s="230">
        <v>3.2169698744295427E-2</v>
      </c>
    </row>
    <row r="1920" spans="19:27" x14ac:dyDescent="0.2">
      <c r="S1920" s="32"/>
      <c r="T1920" s="187"/>
      <c r="W1920" s="221" t="str">
        <f t="shared" si="38"/>
        <v>1w</v>
      </c>
      <c r="X1920" s="222">
        <f>_xll.qlCalendarAdvance(Calendar,X1919,W1920,"f",FALSE)</f>
        <v>52286</v>
      </c>
      <c r="Y1920" s="227">
        <f>_xll.qlCalendarAdvance(Calendar,X1920,NDays&amp;"D")</f>
        <v>52286</v>
      </c>
      <c r="Z1920" s="228">
        <v>3.2176291745125152E-2</v>
      </c>
      <c r="AA1920" s="230">
        <v>3.2158957641069685E-2</v>
      </c>
    </row>
    <row r="1921" spans="19:27" x14ac:dyDescent="0.2">
      <c r="S1921" s="32"/>
      <c r="T1921" s="187"/>
      <c r="W1921" s="221" t="str">
        <f t="shared" si="38"/>
        <v>1w</v>
      </c>
      <c r="X1921" s="222">
        <f>_xll.qlCalendarAdvance(Calendar,X1920,W1921,"f",FALSE)</f>
        <v>52293</v>
      </c>
      <c r="Y1921" s="227">
        <f>_xll.qlCalendarAdvance(Calendar,X1921,NDays&amp;"D")</f>
        <v>52293</v>
      </c>
      <c r="Z1921" s="228">
        <v>3.2167265938060935E-2</v>
      </c>
      <c r="AA1921" s="230">
        <v>3.2148164510913402E-2</v>
      </c>
    </row>
    <row r="1922" spans="19:27" x14ac:dyDescent="0.2">
      <c r="S1922" s="32"/>
      <c r="T1922" s="187"/>
      <c r="W1922" s="221" t="str">
        <f t="shared" si="38"/>
        <v>1w</v>
      </c>
      <c r="X1922" s="222">
        <f>_xll.qlCalendarAdvance(Calendar,X1921,W1922,"f",FALSE)</f>
        <v>52300</v>
      </c>
      <c r="Y1922" s="227">
        <f>_xll.qlCalendarAdvance(Calendar,X1922,NDays&amp;"D")</f>
        <v>52300</v>
      </c>
      <c r="Z1922" s="228">
        <v>3.2156280332396966E-2</v>
      </c>
      <c r="AA1922" s="230">
        <v>3.2137319353664484E-2</v>
      </c>
    </row>
    <row r="1923" spans="19:27" x14ac:dyDescent="0.2">
      <c r="S1923" s="32"/>
      <c r="T1923" s="187"/>
      <c r="W1923" s="221" t="str">
        <f t="shared" si="38"/>
        <v>1w</v>
      </c>
      <c r="X1923" s="222">
        <f>_xll.qlCalendarAdvance(Calendar,X1922,W1923,"f",FALSE)</f>
        <v>52307</v>
      </c>
      <c r="Y1923" s="227">
        <f>_xll.qlCalendarAdvance(Calendar,X1923,NDays&amp;"D")</f>
        <v>52307</v>
      </c>
      <c r="Z1923" s="228">
        <v>3.2145242572125809E-2</v>
      </c>
      <c r="AA1923" s="230">
        <v>3.2126422169322932E-2</v>
      </c>
    </row>
    <row r="1924" spans="19:27" x14ac:dyDescent="0.2">
      <c r="S1924" s="32"/>
      <c r="T1924" s="187"/>
      <c r="W1924" s="221" t="str">
        <f t="shared" si="38"/>
        <v>1w</v>
      </c>
      <c r="X1924" s="222">
        <f>_xll.qlCalendarAdvance(Calendar,X1923,W1924,"f",FALSE)</f>
        <v>52314</v>
      </c>
      <c r="Y1924" s="227">
        <f>_xll.qlCalendarAdvance(Calendar,X1924,NDays&amp;"D")</f>
        <v>52314</v>
      </c>
      <c r="Z1924" s="228">
        <v>3.2134152657401709E-2</v>
      </c>
      <c r="AA1924" s="230">
        <v>3.2115472958050839E-2</v>
      </c>
    </row>
    <row r="1925" spans="19:27" x14ac:dyDescent="0.2">
      <c r="S1925" s="32"/>
      <c r="T1925" s="187"/>
      <c r="W1925" s="221" t="str">
        <f t="shared" si="38"/>
        <v>1w</v>
      </c>
      <c r="X1925" s="222">
        <f>_xll.qlCalendarAdvance(Calendar,X1924,W1925,"f",FALSE)</f>
        <v>52321</v>
      </c>
      <c r="Y1925" s="227">
        <f>_xll.qlCalendarAdvance(Calendar,X1925,NDays&amp;"D")</f>
        <v>52321</v>
      </c>
      <c r="Z1925" s="228">
        <v>3.2122398595723342E-2</v>
      </c>
      <c r="AA1925" s="230">
        <v>3.2104471719686112E-2</v>
      </c>
    </row>
    <row r="1926" spans="19:27" x14ac:dyDescent="0.2">
      <c r="S1926" s="32"/>
      <c r="T1926" s="187"/>
      <c r="W1926" s="221" t="str">
        <f t="shared" si="38"/>
        <v>1w</v>
      </c>
      <c r="X1926" s="222">
        <f>_xll.qlCalendarAdvance(Calendar,X1925,W1926,"f",FALSE)</f>
        <v>52328</v>
      </c>
      <c r="Y1926" s="227">
        <f>_xll.qlCalendarAdvance(Calendar,X1926,NDays&amp;"D")</f>
        <v>52328</v>
      </c>
      <c r="Z1926" s="228">
        <v>3.2111209081134559E-2</v>
      </c>
      <c r="AA1926" s="230">
        <v>3.2093418454147704E-2</v>
      </c>
    </row>
    <row r="1927" spans="19:27" x14ac:dyDescent="0.2">
      <c r="S1927" s="32"/>
      <c r="T1927" s="187"/>
      <c r="W1927" s="221" t="str">
        <f t="shared" si="38"/>
        <v>1w</v>
      </c>
      <c r="X1927" s="222">
        <f>_xll.qlCalendarAdvance(Calendar,X1926,W1927,"f",FALSE)</f>
        <v>52335</v>
      </c>
      <c r="Y1927" s="227">
        <f>_xll.qlCalendarAdvance(Calendar,X1927,NDays&amp;"D")</f>
        <v>52335</v>
      </c>
      <c r="Z1927" s="228">
        <v>3.2099967416767981E-2</v>
      </c>
      <c r="AA1927" s="230">
        <v>3.2082313161759801E-2</v>
      </c>
    </row>
    <row r="1928" spans="19:27" x14ac:dyDescent="0.2">
      <c r="S1928" s="32"/>
      <c r="T1928" s="187"/>
      <c r="W1928" s="221" t="str">
        <f t="shared" si="38"/>
        <v>1w</v>
      </c>
      <c r="X1928" s="222">
        <f>_xll.qlCalendarAdvance(Calendar,X1927,W1928,"f",FALSE)</f>
        <v>52342</v>
      </c>
      <c r="Y1928" s="227">
        <f>_xll.qlCalendarAdvance(Calendar,X1928,NDays&amp;"D")</f>
        <v>52342</v>
      </c>
      <c r="Z1928" s="228">
        <v>3.2088673602747884E-2</v>
      </c>
      <c r="AA1928" s="230">
        <v>3.2071155842279264E-2</v>
      </c>
    </row>
    <row r="1929" spans="19:27" x14ac:dyDescent="0.2">
      <c r="S1929" s="32"/>
      <c r="T1929" s="187"/>
      <c r="W1929" s="221" t="str">
        <f t="shared" si="38"/>
        <v>1w</v>
      </c>
      <c r="X1929" s="222">
        <f>_xll.qlCalendarAdvance(Calendar,X1928,W1929,"f",FALSE)</f>
        <v>52349</v>
      </c>
      <c r="Y1929" s="227">
        <f>_xll.qlCalendarAdvance(Calendar,X1929,NDays&amp;"D")</f>
        <v>52349</v>
      </c>
      <c r="Z1929" s="228">
        <v>3.2077327639236361E-2</v>
      </c>
      <c r="AA1929" s="230">
        <v>3.2059946495787139E-2</v>
      </c>
    </row>
    <row r="1930" spans="19:27" x14ac:dyDescent="0.2">
      <c r="S1930" s="32"/>
      <c r="T1930" s="187"/>
      <c r="W1930" s="221" t="str">
        <f t="shared" si="38"/>
        <v>1w</v>
      </c>
      <c r="X1930" s="222">
        <f>_xll.qlCalendarAdvance(Calendar,X1929,W1930,"f",FALSE)</f>
        <v>52356</v>
      </c>
      <c r="Y1930" s="227">
        <f>_xll.qlCalendarAdvance(Calendar,X1930,NDays&amp;"D")</f>
        <v>52356</v>
      </c>
      <c r="Z1930" s="228">
        <v>3.2066517933704838E-2</v>
      </c>
      <c r="AA1930" s="230">
        <v>3.2048685122202381E-2</v>
      </c>
    </row>
    <row r="1931" spans="19:27" x14ac:dyDescent="0.2">
      <c r="S1931" s="32"/>
      <c r="T1931" s="187"/>
      <c r="W1931" s="221" t="str">
        <f t="shared" si="38"/>
        <v>1w</v>
      </c>
      <c r="X1931" s="222">
        <f>_xll.qlCalendarAdvance(Calendar,X1930,W1931,"f",FALSE)</f>
        <v>52363</v>
      </c>
      <c r="Y1931" s="227">
        <f>_xll.qlCalendarAdvance(Calendar,X1931,NDays&amp;"D")</f>
        <v>52363</v>
      </c>
      <c r="Z1931" s="228">
        <v>3.2055062941925193E-2</v>
      </c>
      <c r="AA1931" s="230">
        <v>3.203737172168708E-2</v>
      </c>
    </row>
    <row r="1932" spans="19:27" x14ac:dyDescent="0.2">
      <c r="S1932" s="32"/>
      <c r="T1932" s="187"/>
      <c r="W1932" s="221" t="str">
        <f t="shared" si="38"/>
        <v>1w</v>
      </c>
      <c r="X1932" s="222">
        <f>_xll.qlCalendarAdvance(Calendar,X1931,W1932,"f",FALSE)</f>
        <v>52370</v>
      </c>
      <c r="Y1932" s="227">
        <f>_xll.qlCalendarAdvance(Calendar,X1932,NDays&amp;"D")</f>
        <v>52370</v>
      </c>
      <c r="Z1932" s="228">
        <v>3.2043555796884775E-2</v>
      </c>
      <c r="AA1932" s="230">
        <v>3.2026006294079146E-2</v>
      </c>
    </row>
    <row r="1933" spans="19:27" x14ac:dyDescent="0.2">
      <c r="S1933" s="32"/>
      <c r="T1933" s="187"/>
      <c r="W1933" s="221" t="str">
        <f t="shared" si="38"/>
        <v>1w</v>
      </c>
      <c r="X1933" s="222">
        <f>_xll.qlCalendarAdvance(Calendar,X1932,W1933,"f",FALSE)</f>
        <v>52377</v>
      </c>
      <c r="Y1933" s="227">
        <f>_xll.qlCalendarAdvance(Calendar,X1933,NDays&amp;"D")</f>
        <v>52377</v>
      </c>
      <c r="Z1933" s="228">
        <v>3.2031996498732597E-2</v>
      </c>
      <c r="AA1933" s="230">
        <v>3.201458883954067E-2</v>
      </c>
    </row>
    <row r="1934" spans="19:27" x14ac:dyDescent="0.2">
      <c r="S1934" s="32"/>
      <c r="T1934" s="187"/>
      <c r="W1934" s="221" t="str">
        <f t="shared" si="38"/>
        <v>1w</v>
      </c>
      <c r="X1934" s="222">
        <f>_xll.qlCalendarAdvance(Calendar,X1933,W1934,"f",FALSE)</f>
        <v>52384</v>
      </c>
      <c r="Y1934" s="227">
        <f>_xll.qlCalendarAdvance(Calendar,X1934,NDays&amp;"D")</f>
        <v>52384</v>
      </c>
      <c r="Z1934" s="228">
        <v>3.2019815584305153E-2</v>
      </c>
      <c r="AA1934" s="230">
        <v>3.200311935790956E-2</v>
      </c>
    </row>
    <row r="1935" spans="19:27" x14ac:dyDescent="0.2">
      <c r="S1935" s="32"/>
      <c r="T1935" s="187"/>
      <c r="W1935" s="221" t="str">
        <f t="shared" si="38"/>
        <v>1w</v>
      </c>
      <c r="X1935" s="222">
        <f>_xll.qlCalendarAdvance(Calendar,X1934,W1935,"f",FALSE)</f>
        <v>52391</v>
      </c>
      <c r="Y1935" s="227">
        <f>_xll.qlCalendarAdvance(Calendar,X1935,NDays&amp;"D")</f>
        <v>52391</v>
      </c>
      <c r="Z1935" s="228">
        <v>3.2008156726878886E-2</v>
      </c>
      <c r="AA1935" s="230">
        <v>3.1991597849347908E-2</v>
      </c>
    </row>
    <row r="1936" spans="19:27" x14ac:dyDescent="0.2">
      <c r="S1936" s="32"/>
      <c r="T1936" s="187"/>
      <c r="W1936" s="221" t="str">
        <f t="shared" si="38"/>
        <v>1w</v>
      </c>
      <c r="X1936" s="222">
        <f>_xll.qlCalendarAdvance(Calendar,X1935,W1936,"f",FALSE)</f>
        <v>52398</v>
      </c>
      <c r="Y1936" s="227">
        <f>_xll.qlCalendarAdvance(Calendar,X1936,NDays&amp;"D")</f>
        <v>52398</v>
      </c>
      <c r="Z1936" s="228">
        <v>3.199644572099318E-2</v>
      </c>
      <c r="AA1936" s="230">
        <v>3.1980024313855715E-2</v>
      </c>
    </row>
    <row r="1937" spans="19:27" x14ac:dyDescent="0.2">
      <c r="S1937" s="32"/>
      <c r="T1937" s="187"/>
      <c r="W1937" s="221" t="str">
        <f t="shared" si="38"/>
        <v>1w</v>
      </c>
      <c r="X1937" s="222">
        <f>_xll.qlCalendarAdvance(Calendar,X1936,W1937,"f",FALSE)</f>
        <v>52405</v>
      </c>
      <c r="Y1937" s="227">
        <f>_xll.qlCalendarAdvance(Calendar,X1937,NDays&amp;"D")</f>
        <v>52405</v>
      </c>
      <c r="Z1937" s="228">
        <v>3.1984682566785813E-2</v>
      </c>
      <c r="AA1937" s="230">
        <v>3.1968398751270888E-2</v>
      </c>
    </row>
    <row r="1938" spans="19:27" x14ac:dyDescent="0.2">
      <c r="S1938" s="32"/>
      <c r="T1938" s="187"/>
      <c r="W1938" s="221" t="str">
        <f t="shared" si="38"/>
        <v>1w</v>
      </c>
      <c r="X1938" s="222">
        <f>_xll.qlCalendarAdvance(Calendar,X1937,W1938,"f",FALSE)</f>
        <v>52412</v>
      </c>
      <c r="Y1938" s="227">
        <f>_xll.qlCalendarAdvance(Calendar,X1938,NDays&amp;"D")</f>
        <v>52412</v>
      </c>
      <c r="Z1938" s="228">
        <v>3.1973417716709765E-2</v>
      </c>
      <c r="AA1938" s="230">
        <v>3.1956721161755519E-2</v>
      </c>
    </row>
    <row r="1939" spans="19:27" x14ac:dyDescent="0.2">
      <c r="S1939" s="32"/>
      <c r="T1939" s="187"/>
      <c r="W1939" s="221" t="str">
        <f t="shared" si="38"/>
        <v>1w</v>
      </c>
      <c r="X1939" s="222">
        <f>_xll.qlCalendarAdvance(Calendar,X1938,W1939,"f",FALSE)</f>
        <v>52419</v>
      </c>
      <c r="Y1939" s="227">
        <f>_xll.qlCalendarAdvance(Calendar,X1939,NDays&amp;"D")</f>
        <v>52419</v>
      </c>
      <c r="Z1939" s="228">
        <v>3.1961545503136742E-2</v>
      </c>
      <c r="AA1939" s="230">
        <v>3.1944991545228563E-2</v>
      </c>
    </row>
    <row r="1940" spans="19:27" x14ac:dyDescent="0.2">
      <c r="S1940" s="32"/>
      <c r="T1940" s="187"/>
      <c r="W1940" s="221" t="str">
        <f t="shared" si="38"/>
        <v>1w</v>
      </c>
      <c r="X1940" s="222">
        <f>_xll.qlCalendarAdvance(Calendar,X1939,W1940,"f",FALSE)</f>
        <v>52426</v>
      </c>
      <c r="Y1940" s="227">
        <f>_xll.qlCalendarAdvance(Calendar,X1940,NDays&amp;"D")</f>
        <v>52426</v>
      </c>
      <c r="Z1940" s="228">
        <v>3.1949621137539547E-2</v>
      </c>
      <c r="AA1940" s="230">
        <v>3.1933209901852111E-2</v>
      </c>
    </row>
    <row r="1941" spans="19:27" x14ac:dyDescent="0.2">
      <c r="S1941" s="32"/>
      <c r="T1941" s="187"/>
      <c r="W1941" s="221" t="str">
        <f t="shared" ref="W1941:W2004" si="39">W1940</f>
        <v>1w</v>
      </c>
      <c r="X1941" s="222">
        <f>_xll.qlCalendarAdvance(Calendar,X1940,W1941,"f",FALSE)</f>
        <v>52433</v>
      </c>
      <c r="Y1941" s="227">
        <f>_xll.qlCalendarAdvance(Calendar,X1941,NDays&amp;"D")</f>
        <v>52433</v>
      </c>
      <c r="Z1941" s="228">
        <v>3.1937644620080273E-2</v>
      </c>
      <c r="AA1941" s="230">
        <v>3.1921376231301979E-2</v>
      </c>
    </row>
    <row r="1942" spans="19:27" x14ac:dyDescent="0.2">
      <c r="S1942" s="32"/>
      <c r="T1942" s="187"/>
      <c r="W1942" s="221" t="str">
        <f t="shared" si="39"/>
        <v>1w</v>
      </c>
      <c r="X1942" s="222">
        <f>_xll.qlCalendarAdvance(Calendar,X1941,W1942,"f",FALSE)</f>
        <v>52440</v>
      </c>
      <c r="Y1942" s="227">
        <f>_xll.qlCalendarAdvance(Calendar,X1942,NDays&amp;"D")</f>
        <v>52440</v>
      </c>
      <c r="Z1942" s="228">
        <v>3.1925615950913172E-2</v>
      </c>
      <c r="AA1942" s="230">
        <v>3.1909490533983398E-2</v>
      </c>
    </row>
    <row r="1943" spans="19:27" x14ac:dyDescent="0.2">
      <c r="S1943" s="32"/>
      <c r="T1943" s="187"/>
      <c r="W1943" s="221" t="str">
        <f t="shared" si="39"/>
        <v>1w</v>
      </c>
      <c r="X1943" s="222">
        <f>_xll.qlCalendarAdvance(Calendar,X1942,W1943,"f",FALSE)</f>
        <v>52447</v>
      </c>
      <c r="Y1943" s="227">
        <f>_xll.qlCalendarAdvance(Calendar,X1943,NDays&amp;"D")</f>
        <v>52447</v>
      </c>
      <c r="Z1943" s="228">
        <v>3.1913535130200343E-2</v>
      </c>
      <c r="AA1943" s="230">
        <v>3.1897552809572183E-2</v>
      </c>
    </row>
    <row r="1944" spans="19:27" x14ac:dyDescent="0.2">
      <c r="S1944" s="32"/>
      <c r="T1944" s="187"/>
      <c r="W1944" s="221" t="str">
        <f t="shared" si="39"/>
        <v>1w</v>
      </c>
      <c r="X1944" s="222">
        <f>_xll.qlCalendarAdvance(Calendar,X1943,W1944,"f",FALSE)</f>
        <v>52454</v>
      </c>
      <c r="Y1944" s="227">
        <f>_xll.qlCalendarAdvance(Calendar,X1944,NDays&amp;"D")</f>
        <v>52454</v>
      </c>
      <c r="Z1944" s="228">
        <v>3.1901402158098634E-2</v>
      </c>
      <c r="AA1944" s="230">
        <v>3.1885563058311472E-2</v>
      </c>
    </row>
    <row r="1945" spans="19:27" x14ac:dyDescent="0.2">
      <c r="S1945" s="32"/>
      <c r="T1945" s="187"/>
      <c r="W1945" s="221" t="str">
        <f t="shared" si="39"/>
        <v>1w</v>
      </c>
      <c r="X1945" s="222">
        <f>_xll.qlCalendarAdvance(Calendar,X1944,W1945,"f",FALSE)</f>
        <v>52461</v>
      </c>
      <c r="Y1945" s="227">
        <f>_xll.qlCalendarAdvance(Calendar,X1945,NDays&amp;"D")</f>
        <v>52461</v>
      </c>
      <c r="Z1945" s="228">
        <v>3.1889217034770156E-2</v>
      </c>
      <c r="AA1945" s="230">
        <v>3.1873521279958128E-2</v>
      </c>
    </row>
    <row r="1946" spans="19:27" x14ac:dyDescent="0.2">
      <c r="S1946" s="32"/>
      <c r="T1946" s="187"/>
      <c r="W1946" s="221" t="str">
        <f t="shared" si="39"/>
        <v>1w</v>
      </c>
      <c r="X1946" s="222">
        <f>_xll.qlCalendarAdvance(Calendar,X1945,W1946,"f",FALSE)</f>
        <v>52468</v>
      </c>
      <c r="Y1946" s="227">
        <f>_xll.qlCalendarAdvance(Calendar,X1946,NDays&amp;"D")</f>
        <v>52468</v>
      </c>
      <c r="Z1946" s="228">
        <v>3.1876979760382215E-2</v>
      </c>
      <c r="AA1946" s="230">
        <v>3.1861427474836335E-2</v>
      </c>
    </row>
    <row r="1947" spans="19:27" x14ac:dyDescent="0.2">
      <c r="S1947" s="32"/>
      <c r="T1947" s="187"/>
      <c r="W1947" s="221" t="str">
        <f t="shared" si="39"/>
        <v>1w</v>
      </c>
      <c r="X1947" s="222">
        <f>_xll.qlCalendarAdvance(Calendar,X1946,W1947,"f",FALSE)</f>
        <v>52475</v>
      </c>
      <c r="Y1947" s="227">
        <f>_xll.qlCalendarAdvance(Calendar,X1947,NDays&amp;"D")</f>
        <v>52475</v>
      </c>
      <c r="Z1947" s="228">
        <v>3.1864182900917047E-2</v>
      </c>
      <c r="AA1947" s="230">
        <v>3.1849281642784E-2</v>
      </c>
    </row>
    <row r="1948" spans="19:27" x14ac:dyDescent="0.2">
      <c r="S1948" s="32"/>
      <c r="T1948" s="187"/>
      <c r="W1948" s="221" t="str">
        <f t="shared" si="39"/>
        <v>1w</v>
      </c>
      <c r="X1948" s="222">
        <f>_xll.qlCalendarAdvance(Calendar,X1947,W1948,"f",FALSE)</f>
        <v>52482</v>
      </c>
      <c r="Y1948" s="227">
        <f>_xll.qlCalendarAdvance(Calendar,X1948,NDays&amp;"D")</f>
        <v>52482</v>
      </c>
      <c r="Z1948" s="228">
        <v>3.1851846125345418E-2</v>
      </c>
      <c r="AA1948" s="230">
        <v>3.1837083783639031E-2</v>
      </c>
    </row>
    <row r="1949" spans="19:27" x14ac:dyDescent="0.2">
      <c r="S1949" s="32"/>
      <c r="T1949" s="187"/>
      <c r="W1949" s="221" t="str">
        <f t="shared" si="39"/>
        <v>1w</v>
      </c>
      <c r="X1949" s="222">
        <f>_xll.qlCalendarAdvance(Calendar,X1948,W1949,"f",FALSE)</f>
        <v>52489</v>
      </c>
      <c r="Y1949" s="227">
        <f>_xll.qlCalendarAdvance(Calendar,X1949,NDays&amp;"D")</f>
        <v>52489</v>
      </c>
      <c r="Z1949" s="228">
        <v>3.1839457203318898E-2</v>
      </c>
      <c r="AA1949" s="230">
        <v>3.1824833897806659E-2</v>
      </c>
    </row>
    <row r="1950" spans="19:27" x14ac:dyDescent="0.2">
      <c r="S1950" s="32"/>
      <c r="T1950" s="187"/>
      <c r="W1950" s="221" t="str">
        <f t="shared" si="39"/>
        <v>1w</v>
      </c>
      <c r="X1950" s="222">
        <f>_xll.qlCalendarAdvance(Calendar,X1949,W1950,"f",FALSE)</f>
        <v>52496</v>
      </c>
      <c r="Y1950" s="227">
        <f>_xll.qlCalendarAdvance(Calendar,X1950,NDays&amp;"D")</f>
        <v>52496</v>
      </c>
      <c r="Z1950" s="228">
        <v>3.182701613498877E-2</v>
      </c>
      <c r="AA1950" s="230">
        <v>3.1812531984800607E-2</v>
      </c>
    </row>
    <row r="1951" spans="19:27" x14ac:dyDescent="0.2">
      <c r="S1951" s="32"/>
      <c r="T1951" s="187"/>
      <c r="W1951" s="221" t="str">
        <f t="shared" si="39"/>
        <v>1w</v>
      </c>
      <c r="X1951" s="222">
        <f>_xll.qlCalendarAdvance(Calendar,X1950,W1951,"f",FALSE)</f>
        <v>52503</v>
      </c>
      <c r="Y1951" s="227">
        <f>_xll.qlCalendarAdvance(Calendar,X1951,NDays&amp;"D")</f>
        <v>52503</v>
      </c>
      <c r="Z1951" s="228">
        <v>3.1814522920514419E-2</v>
      </c>
      <c r="AA1951" s="230">
        <v>3.180017804494506E-2</v>
      </c>
    </row>
    <row r="1952" spans="19:27" x14ac:dyDescent="0.2">
      <c r="S1952" s="32"/>
      <c r="T1952" s="187"/>
      <c r="W1952" s="221" t="str">
        <f t="shared" si="39"/>
        <v>1w</v>
      </c>
      <c r="X1952" s="222">
        <f>_xll.qlCalendarAdvance(Calendar,X1951,W1952,"f",FALSE)</f>
        <v>52510</v>
      </c>
      <c r="Y1952" s="227">
        <f>_xll.qlCalendarAdvance(Calendar,X1952,NDays&amp;"D")</f>
        <v>52510</v>
      </c>
      <c r="Z1952" s="228">
        <v>3.1802460950802136E-2</v>
      </c>
      <c r="AA1952" s="230">
        <v>3.1787772078240017E-2</v>
      </c>
    </row>
    <row r="1953" spans="19:27" x14ac:dyDescent="0.2">
      <c r="S1953" s="32"/>
      <c r="T1953" s="187"/>
      <c r="W1953" s="221" t="str">
        <f t="shared" si="39"/>
        <v>1w</v>
      </c>
      <c r="X1953" s="222">
        <f>_xll.qlCalendarAdvance(Calendar,X1952,W1953,"f",FALSE)</f>
        <v>52517</v>
      </c>
      <c r="Y1953" s="227">
        <f>_xll.qlCalendarAdvance(Calendar,X1953,NDays&amp;"D")</f>
        <v>52517</v>
      </c>
      <c r="Z1953" s="228">
        <v>3.1789858623536595E-2</v>
      </c>
      <c r="AA1953" s="230">
        <v>3.1775314084604434E-2</v>
      </c>
    </row>
    <row r="1954" spans="19:27" x14ac:dyDescent="0.2">
      <c r="S1954" s="32"/>
      <c r="T1954" s="187"/>
      <c r="W1954" s="221" t="str">
        <f t="shared" si="39"/>
        <v>1w</v>
      </c>
      <c r="X1954" s="222">
        <f>_xll.qlCalendarAdvance(Calendar,X1953,W1954,"f",FALSE)</f>
        <v>52524</v>
      </c>
      <c r="Y1954" s="227">
        <f>_xll.qlCalendarAdvance(Calendar,X1954,NDays&amp;"D")</f>
        <v>52524</v>
      </c>
      <c r="Z1954" s="228">
        <v>3.1777204146526641E-2</v>
      </c>
      <c r="AA1954" s="230">
        <v>3.1762804064119354E-2</v>
      </c>
    </row>
    <row r="1955" spans="19:27" x14ac:dyDescent="0.2">
      <c r="S1955" s="32"/>
      <c r="T1955" s="187"/>
      <c r="W1955" s="221" t="str">
        <f t="shared" si="39"/>
        <v>1w</v>
      </c>
      <c r="X1955" s="222">
        <f>_xll.qlCalendarAdvance(Calendar,X1954,W1955,"f",FALSE)</f>
        <v>52531</v>
      </c>
      <c r="Y1955" s="227">
        <f>_xll.qlCalendarAdvance(Calendar,X1955,NDays&amp;"D")</f>
        <v>52531</v>
      </c>
      <c r="Z1955" s="228">
        <v>3.1764497519934362E-2</v>
      </c>
      <c r="AA1955" s="230">
        <v>3.1750242016703734E-2</v>
      </c>
    </row>
    <row r="1956" spans="19:27" x14ac:dyDescent="0.2">
      <c r="S1956" s="32"/>
      <c r="T1956" s="187"/>
      <c r="W1956" s="221" t="str">
        <f t="shared" si="39"/>
        <v>1w</v>
      </c>
      <c r="X1956" s="222">
        <f>_xll.qlCalendarAdvance(Calendar,X1955,W1956,"f",FALSE)</f>
        <v>52538</v>
      </c>
      <c r="Y1956" s="227">
        <f>_xll.qlCalendarAdvance(Calendar,X1956,NDays&amp;"D")</f>
        <v>52538</v>
      </c>
      <c r="Z1956" s="228">
        <v>3.1751274661649953E-2</v>
      </c>
      <c r="AA1956" s="230">
        <v>3.1737627942357571E-2</v>
      </c>
    </row>
    <row r="1957" spans="19:27" x14ac:dyDescent="0.2">
      <c r="S1957" s="32"/>
      <c r="T1957" s="187"/>
      <c r="W1957" s="221" t="str">
        <f t="shared" si="39"/>
        <v>1w</v>
      </c>
      <c r="X1957" s="222">
        <f>_xll.qlCalendarAdvance(Calendar,X1956,W1957,"f",FALSE)</f>
        <v>52545</v>
      </c>
      <c r="Y1957" s="227">
        <f>_xll.qlCalendarAdvance(Calendar,X1957,NDays&amp;"D")</f>
        <v>52545</v>
      </c>
      <c r="Z1957" s="228">
        <v>3.1738468573711542E-2</v>
      </c>
      <c r="AA1957" s="230">
        <v>3.1724961841161914E-2</v>
      </c>
    </row>
    <row r="1958" spans="19:27" x14ac:dyDescent="0.2">
      <c r="S1958" s="32"/>
      <c r="T1958" s="187"/>
      <c r="W1958" s="221" t="str">
        <f t="shared" si="39"/>
        <v>1w</v>
      </c>
      <c r="X1958" s="222">
        <f>_xll.qlCalendarAdvance(Calendar,X1957,W1958,"f",FALSE)</f>
        <v>52552</v>
      </c>
      <c r="Y1958" s="227">
        <f>_xll.qlCalendarAdvance(Calendar,X1958,NDays&amp;"D")</f>
        <v>52552</v>
      </c>
      <c r="Z1958" s="228">
        <v>3.172561034076897E-2</v>
      </c>
      <c r="AA1958" s="230">
        <v>3.1712243713197807E-2</v>
      </c>
    </row>
    <row r="1959" spans="19:27" x14ac:dyDescent="0.2">
      <c r="S1959" s="32"/>
      <c r="T1959" s="187"/>
      <c r="W1959" s="221" t="str">
        <f t="shared" si="39"/>
        <v>1w</v>
      </c>
      <c r="X1959" s="222">
        <f>_xll.qlCalendarAdvance(Calendar,X1958,W1959,"f",FALSE)</f>
        <v>52559</v>
      </c>
      <c r="Y1959" s="227">
        <f>_xll.qlCalendarAdvance(Calendar,X1959,NDays&amp;"D")</f>
        <v>52559</v>
      </c>
      <c r="Z1959" s="228">
        <v>3.1712699962984314E-2</v>
      </c>
      <c r="AA1959" s="230">
        <v>3.1699473558141067E-2</v>
      </c>
    </row>
    <row r="1960" spans="19:27" x14ac:dyDescent="0.2">
      <c r="S1960" s="32"/>
      <c r="T1960" s="187"/>
      <c r="W1960" s="221" t="str">
        <f t="shared" si="39"/>
        <v>1w</v>
      </c>
      <c r="X1960" s="222">
        <f>_xll.qlCalendarAdvance(Calendar,X1959,W1960,"f",FALSE)</f>
        <v>52566</v>
      </c>
      <c r="Y1960" s="227">
        <f>_xll.qlCalendarAdvance(Calendar,X1960,NDays&amp;"D")</f>
        <v>52566</v>
      </c>
      <c r="Z1960" s="228">
        <v>3.1701513654556361E-2</v>
      </c>
      <c r="AA1960" s="230">
        <v>3.168665137647797E-2</v>
      </c>
    </row>
    <row r="1961" spans="19:27" x14ac:dyDescent="0.2">
      <c r="S1961" s="32"/>
      <c r="T1961" s="187"/>
      <c r="W1961" s="221" t="str">
        <f t="shared" si="39"/>
        <v>1w</v>
      </c>
      <c r="X1961" s="222">
        <f>_xll.qlCalendarAdvance(Calendar,X1960,W1961,"f",FALSE)</f>
        <v>52573</v>
      </c>
      <c r="Y1961" s="227">
        <f>_xll.qlCalendarAdvance(Calendar,X1961,NDays&amp;"D")</f>
        <v>52573</v>
      </c>
      <c r="Z1961" s="228">
        <v>3.168716262867876E-2</v>
      </c>
      <c r="AA1961" s="230">
        <v>3.1673777167722239E-2</v>
      </c>
    </row>
    <row r="1962" spans="19:27" x14ac:dyDescent="0.2">
      <c r="S1962" s="32"/>
      <c r="T1962" s="187"/>
      <c r="W1962" s="221" t="str">
        <f t="shared" si="39"/>
        <v>1w</v>
      </c>
      <c r="X1962" s="222">
        <f>_xll.qlCalendarAdvance(Calendar,X1961,W1962,"f",FALSE)</f>
        <v>52580</v>
      </c>
      <c r="Y1962" s="227">
        <f>_xll.qlCalendarAdvance(Calendar,X1962,NDays&amp;"D")</f>
        <v>52580</v>
      </c>
      <c r="Z1962" s="228">
        <v>3.1674090959778876E-2</v>
      </c>
      <c r="AA1962" s="230">
        <v>3.1660850932198059E-2</v>
      </c>
    </row>
    <row r="1963" spans="19:27" x14ac:dyDescent="0.2">
      <c r="S1963" s="32"/>
      <c r="T1963" s="187"/>
      <c r="W1963" s="221" t="str">
        <f t="shared" si="39"/>
        <v>1w</v>
      </c>
      <c r="X1963" s="222">
        <f>_xll.qlCalendarAdvance(Calendar,X1962,W1963,"f",FALSE)</f>
        <v>52587</v>
      </c>
      <c r="Y1963" s="227">
        <f>_xll.qlCalendarAdvance(Calendar,X1963,NDays&amp;"D")</f>
        <v>52587</v>
      </c>
      <c r="Z1963" s="228">
        <v>3.166096714266662E-2</v>
      </c>
      <c r="AA1963" s="230">
        <v>3.1647872669824384E-2</v>
      </c>
    </row>
    <row r="1964" spans="19:27" x14ac:dyDescent="0.2">
      <c r="S1964" s="32"/>
      <c r="T1964" s="187"/>
      <c r="W1964" s="221" t="str">
        <f t="shared" si="39"/>
        <v>1w</v>
      </c>
      <c r="X1964" s="222">
        <f>_xll.qlCalendarAdvance(Calendar,X1963,W1964,"f",FALSE)</f>
        <v>52594</v>
      </c>
      <c r="Y1964" s="227">
        <f>_xll.qlCalendarAdvance(Calendar,X1964,NDays&amp;"D")</f>
        <v>52594</v>
      </c>
      <c r="Z1964" s="228">
        <v>3.1647791177514532E-2</v>
      </c>
      <c r="AA1964" s="230">
        <v>3.1634842380601214E-2</v>
      </c>
    </row>
    <row r="1965" spans="19:27" x14ac:dyDescent="0.2">
      <c r="S1965" s="32"/>
      <c r="T1965" s="187"/>
      <c r="W1965" s="221" t="str">
        <f t="shared" si="39"/>
        <v>1w</v>
      </c>
      <c r="X1965" s="222">
        <f>_xll.qlCalendarAdvance(Calendar,X1964,W1965,"f",FALSE)</f>
        <v>52601</v>
      </c>
      <c r="Y1965" s="227">
        <f>_xll.qlCalendarAdvance(Calendar,X1965,NDays&amp;"D")</f>
        <v>52601</v>
      </c>
      <c r="Z1965" s="228">
        <v>3.1634563064503005E-2</v>
      </c>
      <c r="AA1965" s="230">
        <v>3.1621760064528548E-2</v>
      </c>
    </row>
    <row r="1966" spans="19:27" x14ac:dyDescent="0.2">
      <c r="S1966" s="32"/>
      <c r="T1966" s="187"/>
      <c r="W1966" s="221" t="str">
        <f t="shared" si="39"/>
        <v>1w</v>
      </c>
      <c r="X1966" s="222">
        <f>_xll.qlCalendarAdvance(Calendar,X1965,W1966,"f",FALSE)</f>
        <v>52608</v>
      </c>
      <c r="Y1966" s="227">
        <f>_xll.qlCalendarAdvance(Calendar,X1966,NDays&amp;"D")</f>
        <v>52608</v>
      </c>
      <c r="Z1966" s="228">
        <v>3.1621282803796752E-2</v>
      </c>
      <c r="AA1966" s="230">
        <v>3.1608625721687433E-2</v>
      </c>
    </row>
    <row r="1967" spans="19:27" x14ac:dyDescent="0.2">
      <c r="S1967" s="32"/>
      <c r="T1967" s="187"/>
      <c r="W1967" s="221" t="str">
        <f t="shared" si="39"/>
        <v>1w</v>
      </c>
      <c r="X1967" s="222">
        <f>_xll.qlCalendarAdvance(Calendar,X1966,W1967,"f",FALSE)</f>
        <v>52615</v>
      </c>
      <c r="Y1967" s="227">
        <f>_xll.qlCalendarAdvance(Calendar,X1967,NDays&amp;"D")</f>
        <v>52615</v>
      </c>
      <c r="Z1967" s="228">
        <v>3.1607950395576165E-2</v>
      </c>
      <c r="AA1967" s="230">
        <v>3.1595439351996824E-2</v>
      </c>
    </row>
    <row r="1968" spans="19:27" x14ac:dyDescent="0.2">
      <c r="S1968" s="32"/>
      <c r="T1968" s="187"/>
      <c r="W1968" s="221" t="str">
        <f t="shared" si="39"/>
        <v>1w</v>
      </c>
      <c r="X1968" s="222">
        <f>_xll.qlCalendarAdvance(Calendar,X1967,W1968,"f",FALSE)</f>
        <v>52622</v>
      </c>
      <c r="Y1968" s="227">
        <f>_xll.qlCalendarAdvance(Calendar,X1968,NDays&amp;"D")</f>
        <v>52622</v>
      </c>
      <c r="Z1968" s="228">
        <v>3.1594565840021634E-2</v>
      </c>
      <c r="AA1968" s="230">
        <v>3.1582200955456718E-2</v>
      </c>
    </row>
    <row r="1969" spans="19:27" x14ac:dyDescent="0.2">
      <c r="S1969" s="32"/>
      <c r="T1969" s="187"/>
      <c r="W1969" s="221" t="str">
        <f t="shared" si="39"/>
        <v>1w</v>
      </c>
      <c r="X1969" s="222">
        <f>_xll.qlCalendarAdvance(Calendar,X1968,W1969,"f",FALSE)</f>
        <v>52629</v>
      </c>
      <c r="Y1969" s="227">
        <f>_xll.qlCalendarAdvance(Calendar,X1969,NDays&amp;"D")</f>
        <v>52629</v>
      </c>
      <c r="Z1969" s="228">
        <v>3.1580326931260047E-2</v>
      </c>
      <c r="AA1969" s="230">
        <v>3.1568910532148164E-2</v>
      </c>
    </row>
    <row r="1970" spans="19:27" x14ac:dyDescent="0.2">
      <c r="S1970" s="32"/>
      <c r="T1970" s="187"/>
      <c r="W1970" s="221" t="str">
        <f t="shared" si="39"/>
        <v>1w</v>
      </c>
      <c r="X1970" s="222">
        <f>_xll.qlCalendarAdvance(Calendar,X1969,W1970,"f",FALSE)</f>
        <v>52636</v>
      </c>
      <c r="Y1970" s="227">
        <f>_xll.qlCalendarAdvance(Calendar,X1970,NDays&amp;"D")</f>
        <v>52636</v>
      </c>
      <c r="Z1970" s="228">
        <v>3.1566847860355213E-2</v>
      </c>
      <c r="AA1970" s="230">
        <v>3.1555568081909069E-2</v>
      </c>
    </row>
    <row r="1971" spans="19:27" x14ac:dyDescent="0.2">
      <c r="S1971" s="32"/>
      <c r="T1971" s="187"/>
      <c r="W1971" s="221" t="str">
        <f t="shared" si="39"/>
        <v>1w</v>
      </c>
      <c r="X1971" s="222">
        <f>_xll.qlCalendarAdvance(Calendar,X1970,W1971,"f",FALSE)</f>
        <v>52643</v>
      </c>
      <c r="Y1971" s="227">
        <f>_xll.qlCalendarAdvance(Calendar,X1971,NDays&amp;"D")</f>
        <v>52643</v>
      </c>
      <c r="Z1971" s="228">
        <v>3.1553316650636848E-2</v>
      </c>
      <c r="AA1971" s="230">
        <v>3.1542173604982571E-2</v>
      </c>
    </row>
    <row r="1972" spans="19:27" x14ac:dyDescent="0.2">
      <c r="S1972" s="32"/>
      <c r="T1972" s="187"/>
      <c r="W1972" s="221" t="str">
        <f t="shared" si="39"/>
        <v>1w</v>
      </c>
      <c r="X1972" s="222">
        <f>_xll.qlCalendarAdvance(Calendar,X1971,W1972,"f",FALSE)</f>
        <v>52650</v>
      </c>
      <c r="Y1972" s="227">
        <f>_xll.qlCalendarAdvance(Calendar,X1972,NDays&amp;"D")</f>
        <v>52650</v>
      </c>
      <c r="Z1972" s="228">
        <v>3.1539733302264242E-2</v>
      </c>
      <c r="AA1972" s="230">
        <v>3.1528727101287624E-2</v>
      </c>
    </row>
    <row r="1973" spans="19:27" x14ac:dyDescent="0.2">
      <c r="S1973" s="32"/>
      <c r="T1973" s="187"/>
      <c r="W1973" s="221" t="str">
        <f t="shared" si="39"/>
        <v>1w</v>
      </c>
      <c r="X1973" s="222">
        <f>_xll.qlCalendarAdvance(Calendar,X1972,W1973,"f",FALSE)</f>
        <v>52657</v>
      </c>
      <c r="Y1973" s="227">
        <f>_xll.qlCalendarAdvance(Calendar,X1973,NDays&amp;"D")</f>
        <v>52657</v>
      </c>
      <c r="Z1973" s="228">
        <v>3.1526860858422899E-2</v>
      </c>
      <c r="AA1973" s="230">
        <v>3.1515228570662135E-2</v>
      </c>
    </row>
    <row r="1974" spans="19:27" x14ac:dyDescent="0.2">
      <c r="S1974" s="32"/>
      <c r="T1974" s="187"/>
      <c r="W1974" s="221" t="str">
        <f t="shared" si="39"/>
        <v>1w</v>
      </c>
      <c r="X1974" s="222">
        <f>_xll.qlCalendarAdvance(Calendar,X1973,W1974,"f",FALSE)</f>
        <v>52664</v>
      </c>
      <c r="Y1974" s="227">
        <f>_xll.qlCalendarAdvance(Calendar,X1974,NDays&amp;"D")</f>
        <v>52664</v>
      </c>
      <c r="Z1974" s="228">
        <v>3.1513163422595462E-2</v>
      </c>
      <c r="AA1974" s="230">
        <v>3.1501678013349244E-2</v>
      </c>
    </row>
    <row r="1975" spans="19:27" x14ac:dyDescent="0.2">
      <c r="S1975" s="32"/>
      <c r="T1975" s="187"/>
      <c r="W1975" s="221" t="str">
        <f t="shared" si="39"/>
        <v>1w</v>
      </c>
      <c r="X1975" s="222">
        <f>_xll.qlCalendarAdvance(Calendar,X1974,W1975,"f",FALSE)</f>
        <v>52671</v>
      </c>
      <c r="Y1975" s="227">
        <f>_xll.qlCalendarAdvance(Calendar,X1975,NDays&amp;"D")</f>
        <v>52671</v>
      </c>
      <c r="Z1975" s="228">
        <v>3.1500895305782581E-2</v>
      </c>
      <c r="AA1975" s="230">
        <v>3.1488075429186857E-2</v>
      </c>
    </row>
    <row r="1976" spans="19:27" x14ac:dyDescent="0.2">
      <c r="S1976" s="32"/>
      <c r="T1976" s="187"/>
      <c r="W1976" s="221" t="str">
        <f t="shared" si="39"/>
        <v>1w</v>
      </c>
      <c r="X1976" s="222">
        <f>_xll.qlCalendarAdvance(Calendar,X1975,W1976,"f",FALSE)</f>
        <v>52678</v>
      </c>
      <c r="Y1976" s="227">
        <f>_xll.qlCalendarAdvance(Calendar,X1976,NDays&amp;"D")</f>
        <v>52678</v>
      </c>
      <c r="Z1976" s="228">
        <v>3.1485612112883879E-2</v>
      </c>
      <c r="AA1976" s="230">
        <v>3.1474420818337068E-2</v>
      </c>
    </row>
    <row r="1977" spans="19:27" x14ac:dyDescent="0.2">
      <c r="S1977" s="32"/>
      <c r="T1977" s="187"/>
      <c r="W1977" s="221" t="str">
        <f t="shared" si="39"/>
        <v>1w</v>
      </c>
      <c r="X1977" s="222">
        <f>_xll.qlCalendarAdvance(Calendar,X1976,W1977,"f",FALSE)</f>
        <v>52685</v>
      </c>
      <c r="Y1977" s="227">
        <f>_xll.qlCalendarAdvance(Calendar,X1977,NDays&amp;"D")</f>
        <v>52685</v>
      </c>
      <c r="Z1977" s="228">
        <v>3.1471758239363136E-2</v>
      </c>
      <c r="AA1977" s="230">
        <v>3.1460714180637783E-2</v>
      </c>
    </row>
    <row r="1978" spans="19:27" x14ac:dyDescent="0.2">
      <c r="S1978" s="32"/>
      <c r="T1978" s="187"/>
      <c r="W1978" s="221" t="str">
        <f t="shared" si="39"/>
        <v>1w</v>
      </c>
      <c r="X1978" s="222">
        <f>_xll.qlCalendarAdvance(Calendar,X1977,W1978,"f",FALSE)</f>
        <v>52692</v>
      </c>
      <c r="Y1978" s="227">
        <f>_xll.qlCalendarAdvance(Calendar,X1978,NDays&amp;"D")</f>
        <v>52692</v>
      </c>
      <c r="Z1978" s="228">
        <v>3.1457495489445028E-2</v>
      </c>
      <c r="AA1978" s="230">
        <v>3.1446955516332142E-2</v>
      </c>
    </row>
    <row r="1979" spans="19:27" x14ac:dyDescent="0.2">
      <c r="S1979" s="32"/>
      <c r="T1979" s="187"/>
      <c r="W1979" s="221" t="str">
        <f t="shared" si="39"/>
        <v>1w</v>
      </c>
      <c r="X1979" s="222">
        <f>_xll.qlCalendarAdvance(Calendar,X1978,W1979,"f",FALSE)</f>
        <v>52699</v>
      </c>
      <c r="Y1979" s="227">
        <f>_xll.qlCalendarAdvance(Calendar,X1979,NDays&amp;"D")</f>
        <v>52699</v>
      </c>
      <c r="Z1979" s="228">
        <v>3.144354225049547E-2</v>
      </c>
      <c r="AA1979" s="230">
        <v>3.1433144825014914E-2</v>
      </c>
    </row>
    <row r="1980" spans="19:27" x14ac:dyDescent="0.2">
      <c r="S1980" s="32"/>
      <c r="T1980" s="187"/>
      <c r="W1980" s="221" t="str">
        <f t="shared" si="39"/>
        <v>1w</v>
      </c>
      <c r="X1980" s="222">
        <f>_xll.qlCalendarAdvance(Calendar,X1979,W1980,"f",FALSE)</f>
        <v>52706</v>
      </c>
      <c r="Y1980" s="227">
        <f>_xll.qlCalendarAdvance(Calendar,X1980,NDays&amp;"D")</f>
        <v>52706</v>
      </c>
      <c r="Z1980" s="228">
        <v>3.1429536870321205E-2</v>
      </c>
      <c r="AA1980" s="230">
        <v>3.1419282107172375E-2</v>
      </c>
    </row>
    <row r="1981" spans="19:27" x14ac:dyDescent="0.2">
      <c r="S1981" s="32"/>
      <c r="T1981" s="187"/>
      <c r="W1981" s="221" t="str">
        <f t="shared" si="39"/>
        <v>1w</v>
      </c>
      <c r="X1981" s="222">
        <f>_xll.qlCalendarAdvance(Calendar,X1980,W1981,"f",FALSE)</f>
        <v>52713</v>
      </c>
      <c r="Y1981" s="227">
        <f>_xll.qlCalendarAdvance(Calendar,X1981,NDays&amp;"D")</f>
        <v>52713</v>
      </c>
      <c r="Z1981" s="228">
        <v>3.1415479349103236E-2</v>
      </c>
      <c r="AA1981" s="230">
        <v>3.1405367362399295E-2</v>
      </c>
    </row>
    <row r="1982" spans="19:27" x14ac:dyDescent="0.2">
      <c r="S1982" s="32"/>
      <c r="T1982" s="187"/>
      <c r="W1982" s="221" t="str">
        <f t="shared" si="39"/>
        <v>1w</v>
      </c>
      <c r="X1982" s="222">
        <f>_xll.qlCalendarAdvance(Calendar,X1981,W1982,"f",FALSE)</f>
        <v>52720</v>
      </c>
      <c r="Y1982" s="227">
        <f>_xll.qlCalendarAdvance(Calendar,X1982,NDays&amp;"D")</f>
        <v>52720</v>
      </c>
      <c r="Z1982" s="228">
        <v>3.1401706692477299E-2</v>
      </c>
      <c r="AA1982" s="230">
        <v>3.1391400590938812E-2</v>
      </c>
    </row>
    <row r="1983" spans="19:27" x14ac:dyDescent="0.2">
      <c r="S1983" s="32"/>
      <c r="T1983" s="187"/>
      <c r="W1983" s="221" t="str">
        <f t="shared" si="39"/>
        <v>1w</v>
      </c>
      <c r="X1983" s="222">
        <f>_xll.qlCalendarAdvance(Calendar,X1982,W1983,"f",FALSE)</f>
        <v>52727</v>
      </c>
      <c r="Y1983" s="227">
        <f>_xll.qlCalendarAdvance(Calendar,X1983,NDays&amp;"D")</f>
        <v>52727</v>
      </c>
      <c r="Z1983" s="228">
        <v>3.1387539948545158E-2</v>
      </c>
      <c r="AA1983" s="230">
        <v>3.1377381792871972E-2</v>
      </c>
    </row>
    <row r="1984" spans="19:27" x14ac:dyDescent="0.2">
      <c r="S1984" s="32"/>
      <c r="T1984" s="187"/>
      <c r="W1984" s="221" t="str">
        <f t="shared" si="39"/>
        <v>1w</v>
      </c>
      <c r="X1984" s="222">
        <f>_xll.qlCalendarAdvance(Calendar,X1983,W1984,"f",FALSE)</f>
        <v>52734</v>
      </c>
      <c r="Y1984" s="227">
        <f>_xll.qlCalendarAdvance(Calendar,X1984,NDays&amp;"D")</f>
        <v>52734</v>
      </c>
      <c r="Z1984" s="228">
        <v>3.1373321060196732E-2</v>
      </c>
      <c r="AA1984" s="230">
        <v>3.1363310967955638E-2</v>
      </c>
    </row>
    <row r="1985" spans="19:27" x14ac:dyDescent="0.2">
      <c r="S1985" s="32"/>
      <c r="T1985" s="187"/>
      <c r="W1985" s="221" t="str">
        <f t="shared" si="39"/>
        <v>1w</v>
      </c>
      <c r="X1985" s="222">
        <f>_xll.qlCalendarAdvance(Calendar,X1984,W1985,"f",FALSE)</f>
        <v>52741</v>
      </c>
      <c r="Y1985" s="227">
        <f>_xll.qlCalendarAdvance(Calendar,X1985,NDays&amp;"D")</f>
        <v>52741</v>
      </c>
      <c r="Z1985" s="228">
        <v>3.1359050027620267E-2</v>
      </c>
      <c r="AA1985" s="230">
        <v>3.13491881163519E-2</v>
      </c>
    </row>
    <row r="1986" spans="19:27" x14ac:dyDescent="0.2">
      <c r="S1986" s="32"/>
      <c r="T1986" s="187"/>
      <c r="W1986" s="221" t="str">
        <f t="shared" si="39"/>
        <v>1w</v>
      </c>
      <c r="X1986" s="222">
        <f>_xll.qlCalendarAdvance(Calendar,X1985,W1986,"f",FALSE)</f>
        <v>52748</v>
      </c>
      <c r="Y1986" s="227">
        <f>_xll.qlCalendarAdvance(Calendar,X1986,NDays&amp;"D")</f>
        <v>52748</v>
      </c>
      <c r="Z1986" s="228">
        <v>3.1344409900505396E-2</v>
      </c>
      <c r="AA1986" s="230">
        <v>3.1335013237979714E-2</v>
      </c>
    </row>
    <row r="1987" spans="19:27" x14ac:dyDescent="0.2">
      <c r="S1987" s="32"/>
      <c r="T1987" s="187"/>
      <c r="W1987" s="221" t="str">
        <f t="shared" si="39"/>
        <v>1w</v>
      </c>
      <c r="X1987" s="222">
        <f>_xll.qlCalendarAdvance(Calendar,X1986,W1987,"f",FALSE)</f>
        <v>52755</v>
      </c>
      <c r="Y1987" s="227">
        <f>_xll.qlCalendarAdvance(Calendar,X1987,NDays&amp;"D")</f>
        <v>52755</v>
      </c>
      <c r="Z1987" s="228">
        <v>3.1330049151927386E-2</v>
      </c>
      <c r="AA1987" s="230">
        <v>3.1320786333001172E-2</v>
      </c>
    </row>
    <row r="1988" spans="19:27" x14ac:dyDescent="0.2">
      <c r="S1988" s="32"/>
      <c r="T1988" s="187"/>
      <c r="W1988" s="221" t="str">
        <f t="shared" si="39"/>
        <v>1w</v>
      </c>
      <c r="X1988" s="222">
        <f>_xll.qlCalendarAdvance(Calendar,X1987,W1988,"f",FALSE)</f>
        <v>52762</v>
      </c>
      <c r="Y1988" s="227">
        <f>_xll.qlCalendarAdvance(Calendar,X1988,NDays&amp;"D")</f>
        <v>52762</v>
      </c>
      <c r="Z1988" s="228">
        <v>3.1315665316303219E-2</v>
      </c>
      <c r="AA1988" s="230">
        <v>3.130650740125418E-2</v>
      </c>
    </row>
    <row r="1989" spans="19:27" x14ac:dyDescent="0.2">
      <c r="S1989" s="32"/>
      <c r="T1989" s="187"/>
      <c r="W1989" s="221" t="str">
        <f t="shared" si="39"/>
        <v>1w</v>
      </c>
      <c r="X1989" s="222">
        <f>_xll.qlCalendarAdvance(Calendar,X1988,W1989,"f",FALSE)</f>
        <v>52769</v>
      </c>
      <c r="Y1989" s="227">
        <f>_xll.qlCalendarAdvance(Calendar,X1989,NDays&amp;"D")</f>
        <v>52769</v>
      </c>
      <c r="Z1989" s="228">
        <v>3.1301278730622051E-2</v>
      </c>
      <c r="AA1989" s="230">
        <v>3.1292176442819786E-2</v>
      </c>
    </row>
    <row r="1990" spans="19:27" x14ac:dyDescent="0.2">
      <c r="S1990" s="32"/>
      <c r="T1990" s="187"/>
      <c r="W1990" s="221" t="str">
        <f t="shared" si="39"/>
        <v>1w</v>
      </c>
      <c r="X1990" s="222">
        <f>_xll.qlCalendarAdvance(Calendar,X1989,W1990,"f",FALSE)</f>
        <v>52776</v>
      </c>
      <c r="Y1990" s="227">
        <f>_xll.qlCalendarAdvance(Calendar,X1990,NDays&amp;"D")</f>
        <v>52776</v>
      </c>
      <c r="Z1990" s="228">
        <v>3.1286909721885456E-2</v>
      </c>
      <c r="AA1990" s="230">
        <v>3.1277795527701047E-2</v>
      </c>
    </row>
    <row r="1991" spans="19:27" x14ac:dyDescent="0.2">
      <c r="S1991" s="32"/>
      <c r="T1991" s="187"/>
      <c r="W1991" s="221" t="str">
        <f t="shared" si="39"/>
        <v>1w</v>
      </c>
      <c r="X1991" s="222">
        <f>_xll.qlCalendarAdvance(Calendar,X1990,W1991,"f",FALSE)</f>
        <v>52783</v>
      </c>
      <c r="Y1991" s="227">
        <f>_xll.qlCalendarAdvance(Calendar,X1991,NDays&amp;"D")</f>
        <v>52783</v>
      </c>
      <c r="Z1991" s="228">
        <v>3.1272891238341621E-2</v>
      </c>
      <c r="AA1991" s="230">
        <v>3.1263422617280323E-2</v>
      </c>
    </row>
    <row r="1992" spans="19:27" x14ac:dyDescent="0.2">
      <c r="S1992" s="32"/>
      <c r="T1992" s="187"/>
      <c r="W1992" s="221" t="str">
        <f t="shared" si="39"/>
        <v>1w</v>
      </c>
      <c r="X1992" s="222">
        <f>_xll.qlCalendarAdvance(Calendar,X1991,W1992,"f",FALSE)</f>
        <v>52790</v>
      </c>
      <c r="Y1992" s="227">
        <f>_xll.qlCalendarAdvance(Calendar,X1992,NDays&amp;"D")</f>
        <v>52790</v>
      </c>
      <c r="Z1992" s="228">
        <v>3.1258591409773225E-2</v>
      </c>
      <c r="AA1992" s="230">
        <v>3.1249084622083645E-2</v>
      </c>
    </row>
    <row r="1993" spans="19:27" x14ac:dyDescent="0.2">
      <c r="S1993" s="32"/>
      <c r="T1993" s="187"/>
      <c r="W1993" s="221" t="str">
        <f t="shared" si="39"/>
        <v>1w</v>
      </c>
      <c r="X1993" s="222">
        <f>_xll.qlCalendarAdvance(Calendar,X1992,W1993,"f",FALSE)</f>
        <v>52797</v>
      </c>
      <c r="Y1993" s="227">
        <f>_xll.qlCalendarAdvance(Calendar,X1993,NDays&amp;"D")</f>
        <v>52797</v>
      </c>
      <c r="Z1993" s="228">
        <v>3.1244326602860941E-2</v>
      </c>
      <c r="AA1993" s="230">
        <v>3.1234781542111012E-2</v>
      </c>
    </row>
    <row r="1994" spans="19:27" x14ac:dyDescent="0.2">
      <c r="S1994" s="32"/>
      <c r="T1994" s="187"/>
      <c r="W1994" s="221" t="str">
        <f t="shared" si="39"/>
        <v>1w</v>
      </c>
      <c r="X1994" s="222">
        <f>_xll.qlCalendarAdvance(Calendar,X1993,W1994,"f",FALSE)</f>
        <v>52804</v>
      </c>
      <c r="Y1994" s="227">
        <f>_xll.qlCalendarAdvance(Calendar,X1994,NDays&amp;"D")</f>
        <v>52804</v>
      </c>
      <c r="Z1994" s="228">
        <v>3.1230096817479281E-2</v>
      </c>
      <c r="AA1994" s="230">
        <v>3.1220513377443471E-2</v>
      </c>
    </row>
    <row r="1995" spans="19:27" x14ac:dyDescent="0.2">
      <c r="S1995" s="32"/>
      <c r="T1995" s="187"/>
      <c r="W1995" s="221" t="str">
        <f t="shared" si="39"/>
        <v>1w</v>
      </c>
      <c r="X1995" s="222">
        <f>_xll.qlCalendarAdvance(Calendar,X1994,W1995,"f",FALSE)</f>
        <v>52811</v>
      </c>
      <c r="Y1995" s="227">
        <f>_xll.qlCalendarAdvance(Calendar,X1995,NDays&amp;"D")</f>
        <v>52811</v>
      </c>
      <c r="Z1995" s="228">
        <v>3.1215902053502748E-2</v>
      </c>
      <c r="AA1995" s="230">
        <v>3.1206280127999975E-2</v>
      </c>
    </row>
    <row r="1996" spans="19:27" x14ac:dyDescent="0.2">
      <c r="S1996" s="32"/>
      <c r="T1996" s="187"/>
      <c r="W1996" s="221" t="str">
        <f t="shared" si="39"/>
        <v>1w</v>
      </c>
      <c r="X1996" s="222">
        <f>_xll.qlCalendarAdvance(Calendar,X1995,W1996,"f",FALSE)</f>
        <v>52818</v>
      </c>
      <c r="Y1996" s="227">
        <f>_xll.qlCalendarAdvance(Calendar,X1996,NDays&amp;"D")</f>
        <v>52818</v>
      </c>
      <c r="Z1996" s="228">
        <v>3.1201742310800626E-2</v>
      </c>
      <c r="AA1996" s="230">
        <v>3.1192081793780524E-2</v>
      </c>
    </row>
    <row r="1997" spans="19:27" x14ac:dyDescent="0.2">
      <c r="S1997" s="32"/>
      <c r="T1997" s="187"/>
      <c r="W1997" s="221" t="str">
        <f t="shared" si="39"/>
        <v>1w</v>
      </c>
      <c r="X1997" s="222">
        <f>_xll.qlCalendarAdvance(Calendar,X1996,W1997,"f",FALSE)</f>
        <v>52825</v>
      </c>
      <c r="Y1997" s="227">
        <f>_xll.qlCalendarAdvance(Calendar,X1997,NDays&amp;"D")</f>
        <v>52825</v>
      </c>
      <c r="Z1997" s="228">
        <v>3.1187617589250038E-2</v>
      </c>
      <c r="AA1997" s="230">
        <v>3.1177918374785119E-2</v>
      </c>
    </row>
    <row r="1998" spans="19:27" x14ac:dyDescent="0.2">
      <c r="S1998" s="32"/>
      <c r="T1998" s="187"/>
      <c r="W1998" s="221" t="str">
        <f t="shared" si="39"/>
        <v>1w</v>
      </c>
      <c r="X1998" s="222">
        <f>_xll.qlCalendarAdvance(Calendar,X1997,W1998,"f",FALSE)</f>
        <v>52832</v>
      </c>
      <c r="Y1998" s="227">
        <f>_xll.qlCalendarAdvance(Calendar,X1998,NDays&amp;"D")</f>
        <v>52832</v>
      </c>
      <c r="Z1998" s="228">
        <v>3.1173527888725495E-2</v>
      </c>
      <c r="AA1998" s="230">
        <v>3.1163789871013758E-2</v>
      </c>
    </row>
    <row r="1999" spans="19:27" x14ac:dyDescent="0.2">
      <c r="S1999" s="32"/>
      <c r="T1999" s="187"/>
      <c r="W1999" s="221" t="str">
        <f t="shared" si="39"/>
        <v>1w</v>
      </c>
      <c r="X1999" s="222">
        <f>_xll.qlCalendarAdvance(Calendar,X1998,W1999,"f",FALSE)</f>
        <v>52839</v>
      </c>
      <c r="Y1999" s="227">
        <f>_xll.qlCalendarAdvance(Calendar,X1999,NDays&amp;"D")</f>
        <v>52839</v>
      </c>
      <c r="Z1999" s="228">
        <v>3.1159473209101504E-2</v>
      </c>
      <c r="AA1999" s="230">
        <v>3.1149696282385397E-2</v>
      </c>
    </row>
    <row r="2000" spans="19:27" x14ac:dyDescent="0.2">
      <c r="S2000" s="32"/>
      <c r="T2000" s="187"/>
      <c r="W2000" s="221" t="str">
        <f t="shared" si="39"/>
        <v>1w</v>
      </c>
      <c r="X2000" s="222">
        <f>_xll.qlCalendarAdvance(Calendar,X1999,W2000,"f",FALSE)</f>
        <v>52846</v>
      </c>
      <c r="Y2000" s="227">
        <f>_xll.qlCalendarAdvance(Calendar,X2000,NDays&amp;"D")</f>
        <v>52846</v>
      </c>
      <c r="Z2000" s="228">
        <v>3.1145124279215307E-2</v>
      </c>
      <c r="AA2000" s="230">
        <v>3.1135637609062128E-2</v>
      </c>
    </row>
    <row r="2001" spans="19:27" x14ac:dyDescent="0.2">
      <c r="S2001" s="32"/>
      <c r="T2001" s="187"/>
      <c r="W2001" s="221" t="str">
        <f t="shared" si="39"/>
        <v>1w</v>
      </c>
      <c r="X2001" s="222">
        <f>_xll.qlCalendarAdvance(Calendar,X2000,W2001,"f",FALSE)</f>
        <v>52853</v>
      </c>
      <c r="Y2001" s="227">
        <f>_xll.qlCalendarAdvance(Calendar,X2001,NDays&amp;"D")</f>
        <v>52853</v>
      </c>
      <c r="Z2001" s="228">
        <v>3.113113833121332E-2</v>
      </c>
      <c r="AA2001" s="230">
        <v>3.1121613850881857E-2</v>
      </c>
    </row>
    <row r="2002" spans="19:27" x14ac:dyDescent="0.2">
      <c r="S2002" s="32"/>
      <c r="T2002" s="187"/>
      <c r="W2002" s="221" t="str">
        <f t="shared" si="39"/>
        <v>1w</v>
      </c>
      <c r="X2002" s="222">
        <f>_xll.qlCalendarAdvance(Calendar,X2001,W2002,"f",FALSE)</f>
        <v>52860</v>
      </c>
      <c r="Y2002" s="227">
        <f>_xll.qlCalendarAdvance(Calendar,X2002,NDays&amp;"D")</f>
        <v>52860</v>
      </c>
      <c r="Z2002" s="228">
        <v>3.1117187400232209E-2</v>
      </c>
      <c r="AA2002" s="230">
        <v>3.1107625008006679E-2</v>
      </c>
    </row>
    <row r="2003" spans="19:27" x14ac:dyDescent="0.2">
      <c r="S2003" s="32"/>
      <c r="T2003" s="187"/>
      <c r="W2003" s="221" t="str">
        <f t="shared" si="39"/>
        <v>1w</v>
      </c>
      <c r="X2003" s="222">
        <f>_xll.qlCalendarAdvance(Calendar,X2002,W2003,"f",FALSE)</f>
        <v>52867</v>
      </c>
      <c r="Y2003" s="227">
        <f>_xll.qlCalendarAdvance(Calendar,X2003,NDays&amp;"D")</f>
        <v>52867</v>
      </c>
      <c r="Z2003" s="228">
        <v>3.1103271486150406E-2</v>
      </c>
      <c r="AA2003" s="230">
        <v>3.1093671080193452E-2</v>
      </c>
    </row>
    <row r="2004" spans="19:27" x14ac:dyDescent="0.2">
      <c r="S2004" s="32"/>
      <c r="T2004" s="187"/>
      <c r="W2004" s="221" t="str">
        <f t="shared" si="39"/>
        <v>1w</v>
      </c>
      <c r="X2004" s="222">
        <f>_xll.qlCalendarAdvance(Calendar,X2003,W2004,"f",FALSE)</f>
        <v>52874</v>
      </c>
      <c r="Y2004" s="227">
        <f>_xll.qlCalendarAdvance(Calendar,X2004,NDays&amp;"D")</f>
        <v>52874</v>
      </c>
      <c r="Z2004" s="228">
        <v>3.108972512011856E-2</v>
      </c>
      <c r="AA2004" s="230">
        <v>3.1079752067766364E-2</v>
      </c>
    </row>
    <row r="2005" spans="19:27" x14ac:dyDescent="0.2">
      <c r="S2005" s="32"/>
      <c r="T2005" s="187"/>
      <c r="W2005" s="221" t="str">
        <f t="shared" ref="W2005:W2068" si="40">W2004</f>
        <v>1w</v>
      </c>
      <c r="X2005" s="222">
        <f>_xll.qlCalendarAdvance(Calendar,X2004,W2005,"f",FALSE)</f>
        <v>52881</v>
      </c>
      <c r="Y2005" s="227">
        <f>_xll.qlCalendarAdvance(Calendar,X2005,NDays&amp;"D")</f>
        <v>52881</v>
      </c>
      <c r="Z2005" s="228">
        <v>3.1075880563278258E-2</v>
      </c>
      <c r="AA2005" s="230">
        <v>3.1065867970401229E-2</v>
      </c>
    </row>
    <row r="2006" spans="19:27" x14ac:dyDescent="0.2">
      <c r="S2006" s="32"/>
      <c r="T2006" s="187"/>
      <c r="W2006" s="221" t="str">
        <f t="shared" si="40"/>
        <v>1w</v>
      </c>
      <c r="X2006" s="222">
        <f>_xll.qlCalendarAdvance(Calendar,X2005,W2006,"f",FALSE)</f>
        <v>52888</v>
      </c>
      <c r="Y2006" s="227">
        <f>_xll.qlCalendarAdvance(Calendar,X2006,NDays&amp;"D")</f>
        <v>52888</v>
      </c>
      <c r="Z2006" s="228">
        <v>3.1062071026473143E-2</v>
      </c>
      <c r="AA2006" s="230">
        <v>3.1052018788260138E-2</v>
      </c>
    </row>
    <row r="2007" spans="19:27" x14ac:dyDescent="0.2">
      <c r="S2007" s="32"/>
      <c r="T2007" s="187"/>
      <c r="W2007" s="221" t="str">
        <f t="shared" si="40"/>
        <v>1w</v>
      </c>
      <c r="X2007" s="222">
        <f>_xll.qlCalendarAdvance(Calendar,X2006,W2007,"f",FALSE)</f>
        <v>52895</v>
      </c>
      <c r="Y2007" s="227">
        <f>_xll.qlCalendarAdvance(Calendar,X2007,NDays&amp;"D")</f>
        <v>52895</v>
      </c>
      <c r="Z2007" s="228">
        <v>3.1048296509577723E-2</v>
      </c>
      <c r="AA2007" s="230">
        <v>3.1038204521343093E-2</v>
      </c>
    </row>
    <row r="2008" spans="19:27" x14ac:dyDescent="0.2">
      <c r="S2008" s="32"/>
      <c r="T2008" s="187"/>
      <c r="W2008" s="221" t="str">
        <f t="shared" si="40"/>
        <v>1w</v>
      </c>
      <c r="X2008" s="222">
        <f>_xll.qlCalendarAdvance(Calendar,X2007,W2008,"f",FALSE)</f>
        <v>52902</v>
      </c>
      <c r="Y2008" s="227">
        <f>_xll.qlCalendarAdvance(Calendar,X2008,NDays&amp;"D")</f>
        <v>52902</v>
      </c>
      <c r="Z2008" s="228">
        <v>3.1034217165030076E-2</v>
      </c>
      <c r="AA2008" s="230">
        <v>3.1024425169488001E-2</v>
      </c>
    </row>
    <row r="2009" spans="19:27" x14ac:dyDescent="0.2">
      <c r="S2009" s="32"/>
      <c r="T2009" s="187"/>
      <c r="W2009" s="221" t="str">
        <f t="shared" si="40"/>
        <v>1w</v>
      </c>
      <c r="X2009" s="222">
        <f>_xll.qlCalendarAdvance(Calendar,X2008,W2009,"f",FALSE)</f>
        <v>52909</v>
      </c>
      <c r="Y2009" s="227">
        <f>_xll.qlCalendarAdvance(Calendar,X2009,NDays&amp;"D")</f>
        <v>52909</v>
      </c>
      <c r="Z2009" s="228">
        <v>3.1020511349831675E-2</v>
      </c>
      <c r="AA2009" s="230">
        <v>3.1010680732856954E-2</v>
      </c>
    </row>
    <row r="2010" spans="19:27" x14ac:dyDescent="0.2">
      <c r="S2010" s="32"/>
      <c r="T2010" s="187"/>
      <c r="W2010" s="221" t="str">
        <f t="shared" si="40"/>
        <v>1w</v>
      </c>
      <c r="X2010" s="222">
        <f>_xll.qlCalendarAdvance(Calendar,X2009,W2010,"f",FALSE)</f>
        <v>52916</v>
      </c>
      <c r="Y2010" s="227">
        <f>_xll.qlCalendarAdvance(Calendar,X2010,NDays&amp;"D")</f>
        <v>52916</v>
      </c>
      <c r="Z2010" s="228">
        <v>3.1006840550703206E-2</v>
      </c>
      <c r="AA2010" s="230">
        <v>3.0996971211530999E-2</v>
      </c>
    </row>
    <row r="2011" spans="19:27" x14ac:dyDescent="0.2">
      <c r="S2011" s="32"/>
      <c r="T2011" s="187"/>
      <c r="W2011" s="221" t="str">
        <f t="shared" si="40"/>
        <v>1w</v>
      </c>
      <c r="X2011" s="222">
        <f>_xll.qlCalendarAdvance(Calendar,X2010,W2011,"f",FALSE)</f>
        <v>52923</v>
      </c>
      <c r="Y2011" s="227">
        <f>_xll.qlCalendarAdvance(Calendar,X2011,NDays&amp;"D")</f>
        <v>52923</v>
      </c>
      <c r="Z2011" s="228">
        <v>3.0993204767517695E-2</v>
      </c>
      <c r="AA2011" s="230">
        <v>3.0983296605266997E-2</v>
      </c>
    </row>
    <row r="2012" spans="19:27" x14ac:dyDescent="0.2">
      <c r="S2012" s="32"/>
      <c r="T2012" s="187"/>
      <c r="W2012" s="221" t="str">
        <f t="shared" si="40"/>
        <v>1w</v>
      </c>
      <c r="X2012" s="222">
        <f>_xll.qlCalendarAdvance(Calendar,X2011,W2012,"f",FALSE)</f>
        <v>52930</v>
      </c>
      <c r="Y2012" s="227">
        <f>_xll.qlCalendarAdvance(Calendar,X2012,NDays&amp;"D")</f>
        <v>52930</v>
      </c>
      <c r="Z2012" s="228">
        <v>3.0979604000172488E-2</v>
      </c>
      <c r="AA2012" s="230">
        <v>3.0969656914227039E-2</v>
      </c>
    </row>
    <row r="2013" spans="19:27" x14ac:dyDescent="0.2">
      <c r="S2013" s="32"/>
      <c r="T2013" s="187"/>
      <c r="W2013" s="221" t="str">
        <f t="shared" si="40"/>
        <v>1w</v>
      </c>
      <c r="X2013" s="222">
        <f>_xll.qlCalendarAdvance(Calendar,X2012,W2013,"f",FALSE)</f>
        <v>52937</v>
      </c>
      <c r="Y2013" s="227">
        <f>_xll.qlCalendarAdvance(Calendar,X2013,NDays&amp;"D")</f>
        <v>52937</v>
      </c>
      <c r="Z2013" s="228">
        <v>3.096638481943035E-2</v>
      </c>
      <c r="AA2013" s="230">
        <v>3.0956052138330081E-2</v>
      </c>
    </row>
    <row r="2014" spans="19:27" x14ac:dyDescent="0.2">
      <c r="S2014" s="32"/>
      <c r="T2014" s="187"/>
      <c r="W2014" s="221" t="str">
        <f t="shared" si="40"/>
        <v>1w</v>
      </c>
      <c r="X2014" s="222">
        <f>_xll.qlCalendarAdvance(Calendar,X2013,W2014,"f",FALSE)</f>
        <v>52944</v>
      </c>
      <c r="Y2014" s="227">
        <f>_xll.qlCalendarAdvance(Calendar,X2014,NDays&amp;"D")</f>
        <v>52944</v>
      </c>
      <c r="Z2014" s="228">
        <v>3.0952855438477943E-2</v>
      </c>
      <c r="AA2014" s="230">
        <v>3.0942482277576122E-2</v>
      </c>
    </row>
    <row r="2015" spans="19:27" x14ac:dyDescent="0.2">
      <c r="S2015" s="32"/>
      <c r="T2015" s="187"/>
      <c r="W2015" s="221" t="str">
        <f t="shared" si="40"/>
        <v>1w</v>
      </c>
      <c r="X2015" s="222">
        <f>_xll.qlCalendarAdvance(Calendar,X2014,W2015,"f",FALSE)</f>
        <v>52951</v>
      </c>
      <c r="Y2015" s="227">
        <f>_xll.qlCalendarAdvance(Calendar,X2015,NDays&amp;"D")</f>
        <v>52951</v>
      </c>
      <c r="Z2015" s="228">
        <v>3.0939361076465294E-2</v>
      </c>
      <c r="AA2015" s="230">
        <v>3.0928947331965162E-2</v>
      </c>
    </row>
    <row r="2016" spans="19:27" x14ac:dyDescent="0.2">
      <c r="S2016" s="32"/>
      <c r="T2016" s="187"/>
      <c r="W2016" s="221" t="str">
        <f t="shared" si="40"/>
        <v>1w</v>
      </c>
      <c r="X2016" s="222">
        <f>_xll.qlCalendarAdvance(Calendar,X2015,W2016,"f",FALSE)</f>
        <v>52959</v>
      </c>
      <c r="Y2016" s="227">
        <f>_xll.qlCalendarAdvance(Calendar,X2016,NDays&amp;"D")</f>
        <v>52959</v>
      </c>
      <c r="Z2016" s="228">
        <v>3.0924683961248228E-2</v>
      </c>
      <c r="AA2016" s="230">
        <v>3.0913521575974823E-2</v>
      </c>
    </row>
    <row r="2017" spans="19:27" x14ac:dyDescent="0.2">
      <c r="S2017" s="32"/>
      <c r="T2017" s="187"/>
      <c r="W2017" s="221" t="str">
        <f t="shared" si="40"/>
        <v>1w</v>
      </c>
      <c r="X2017" s="222">
        <f>_xll.qlCalendarAdvance(Calendar,X2016,W2017,"f",FALSE)</f>
        <v>52966</v>
      </c>
      <c r="Y2017" s="227">
        <f>_xll.qlCalendarAdvance(Calendar,X2017,NDays&amp;"D")</f>
        <v>52966</v>
      </c>
      <c r="Z2017" s="228">
        <v>3.0911267372472309E-2</v>
      </c>
      <c r="AA2017" s="230">
        <v>3.090006144848112E-2</v>
      </c>
    </row>
    <row r="2018" spans="19:27" x14ac:dyDescent="0.2">
      <c r="S2018" s="32"/>
      <c r="T2018" s="187"/>
      <c r="W2018" s="221" t="str">
        <f t="shared" si="40"/>
        <v>1w</v>
      </c>
      <c r="X2018" s="222">
        <f>_xll.qlCalendarAdvance(Calendar,X2017,W2018,"f",FALSE)</f>
        <v>52973</v>
      </c>
      <c r="Y2018" s="227">
        <f>_xll.qlCalendarAdvance(Calendar,X2018,NDays&amp;"D")</f>
        <v>52973</v>
      </c>
      <c r="Z2018" s="228">
        <v>3.089788580914583E-2</v>
      </c>
      <c r="AA2018" s="230">
        <v>3.0886636236292508E-2</v>
      </c>
    </row>
    <row r="2019" spans="19:27" x14ac:dyDescent="0.2">
      <c r="S2019" s="32"/>
      <c r="T2019" s="187"/>
      <c r="W2019" s="221" t="str">
        <f t="shared" si="40"/>
        <v>1w</v>
      </c>
      <c r="X2019" s="222">
        <f>_xll.qlCalendarAdvance(Calendar,X2018,W2019,"f",FALSE)</f>
        <v>52980</v>
      </c>
      <c r="Y2019" s="227">
        <f>_xll.qlCalendarAdvance(Calendar,X2019,NDays&amp;"D")</f>
        <v>52980</v>
      </c>
      <c r="Z2019" s="228">
        <v>3.0884539271143544E-2</v>
      </c>
      <c r="AA2019" s="230">
        <v>3.0873245939084804E-2</v>
      </c>
    </row>
    <row r="2020" spans="19:27" x14ac:dyDescent="0.2">
      <c r="S2020" s="32"/>
      <c r="T2020" s="187"/>
      <c r="W2020" s="221" t="str">
        <f t="shared" si="40"/>
        <v>1w</v>
      </c>
      <c r="X2020" s="222">
        <f>_xll.qlCalendarAdvance(Calendar,X2019,W2020,"f",FALSE)</f>
        <v>52987</v>
      </c>
      <c r="Y2020" s="227">
        <f>_xll.qlCalendarAdvance(Calendar,X2020,NDays&amp;"D")</f>
        <v>52987</v>
      </c>
      <c r="Z2020" s="228">
        <v>3.0871227758332825E-2</v>
      </c>
      <c r="AA2020" s="230">
        <v>3.0859890557101144E-2</v>
      </c>
    </row>
    <row r="2021" spans="19:27" x14ac:dyDescent="0.2">
      <c r="S2021" s="32"/>
      <c r="T2021" s="187"/>
      <c r="W2021" s="221" t="str">
        <f t="shared" si="40"/>
        <v>1w</v>
      </c>
      <c r="X2021" s="222">
        <f>_xll.qlCalendarAdvance(Calendar,X2020,W2021,"f",FALSE)</f>
        <v>52994</v>
      </c>
      <c r="Y2021" s="227">
        <f>_xll.qlCalendarAdvance(Calendar,X2021,NDays&amp;"D")</f>
        <v>52994</v>
      </c>
      <c r="Z2021" s="228">
        <v>3.0856162742982678E-2</v>
      </c>
      <c r="AA2021" s="230">
        <v>3.0846570090260483E-2</v>
      </c>
    </row>
    <row r="2022" spans="19:27" x14ac:dyDescent="0.2">
      <c r="S2022" s="32"/>
      <c r="T2022" s="187"/>
      <c r="W2022" s="221" t="str">
        <f t="shared" si="40"/>
        <v>1w</v>
      </c>
      <c r="X2022" s="222">
        <f>_xll.qlCalendarAdvance(Calendar,X2021,W2022,"f",FALSE)</f>
        <v>53001</v>
      </c>
      <c r="Y2022" s="227">
        <f>_xll.qlCalendarAdvance(Calendar,X2022,NDays&amp;"D")</f>
        <v>53001</v>
      </c>
      <c r="Z2022" s="228">
        <v>3.0842914364585805E-2</v>
      </c>
      <c r="AA2022" s="230">
        <v>3.0833284538481776E-2</v>
      </c>
    </row>
    <row r="2023" spans="19:27" x14ac:dyDescent="0.2">
      <c r="S2023" s="32"/>
      <c r="T2023" s="187"/>
      <c r="W2023" s="221" t="str">
        <f t="shared" si="40"/>
        <v>1w</v>
      </c>
      <c r="X2023" s="222">
        <f>_xll.qlCalendarAdvance(Calendar,X2022,W2023,"f",FALSE)</f>
        <v>53008</v>
      </c>
      <c r="Y2023" s="227">
        <f>_xll.qlCalendarAdvance(Calendar,X2023,NDays&amp;"D")</f>
        <v>53008</v>
      </c>
      <c r="Z2023" s="228">
        <v>3.0829700993880993E-2</v>
      </c>
      <c r="AA2023" s="230">
        <v>3.0820033902008159E-2</v>
      </c>
    </row>
    <row r="2024" spans="19:27" x14ac:dyDescent="0.2">
      <c r="S2024" s="32"/>
      <c r="T2024" s="187"/>
      <c r="W2024" s="221" t="str">
        <f t="shared" si="40"/>
        <v>1w</v>
      </c>
      <c r="X2024" s="222">
        <f>_xll.qlCalendarAdvance(Calendar,X2023,W2024,"f",FALSE)</f>
        <v>53015</v>
      </c>
      <c r="Y2024" s="227">
        <f>_xll.qlCalendarAdvance(Calendar,X2024,NDays&amp;"D")</f>
        <v>53015</v>
      </c>
      <c r="Z2024" s="228">
        <v>3.0816522630766934E-2</v>
      </c>
      <c r="AA2024" s="230">
        <v>3.0806818180434403E-2</v>
      </c>
    </row>
    <row r="2025" spans="19:27" x14ac:dyDescent="0.2">
      <c r="S2025" s="32"/>
      <c r="T2025" s="187"/>
      <c r="W2025" s="221" t="str">
        <f t="shared" si="40"/>
        <v>1w</v>
      </c>
      <c r="X2025" s="222">
        <f>_xll.qlCalendarAdvance(Calendar,X2024,W2025,"f",FALSE)</f>
        <v>53022</v>
      </c>
      <c r="Y2025" s="227">
        <f>_xll.qlCalendarAdvance(Calendar,X2025,NDays&amp;"D")</f>
        <v>53022</v>
      </c>
      <c r="Z2025" s="228">
        <v>3.0805195567815555E-2</v>
      </c>
      <c r="AA2025" s="230">
        <v>3.0793637374003646E-2</v>
      </c>
    </row>
    <row r="2026" spans="19:27" x14ac:dyDescent="0.2">
      <c r="S2026" s="32"/>
      <c r="T2026" s="187"/>
      <c r="W2026" s="221" t="str">
        <f t="shared" si="40"/>
        <v>1w</v>
      </c>
      <c r="X2026" s="222">
        <f>_xll.qlCalendarAdvance(Calendar,X2025,W2026,"f",FALSE)</f>
        <v>53029</v>
      </c>
      <c r="Y2026" s="227">
        <f>_xll.qlCalendarAdvance(Calendar,X2026,NDays&amp;"D")</f>
        <v>53029</v>
      </c>
      <c r="Z2026" s="228">
        <v>3.0792459320664125E-2</v>
      </c>
      <c r="AA2026" s="230">
        <v>3.0780491482715888E-2</v>
      </c>
    </row>
    <row r="2027" spans="19:27" x14ac:dyDescent="0.2">
      <c r="S2027" s="32"/>
      <c r="T2027" s="187"/>
      <c r="W2027" s="221" t="str">
        <f t="shared" si="40"/>
        <v>1w</v>
      </c>
      <c r="X2027" s="222">
        <f>_xll.qlCalendarAdvance(Calendar,X2026,W2027,"f",FALSE)</f>
        <v>53036</v>
      </c>
      <c r="Y2027" s="227">
        <f>_xll.qlCalendarAdvance(Calendar,X2027,NDays&amp;"D")</f>
        <v>53036</v>
      </c>
      <c r="Z2027" s="228">
        <v>3.0779027863588847E-2</v>
      </c>
      <c r="AA2027" s="230">
        <v>3.0767380506652175E-2</v>
      </c>
    </row>
    <row r="2028" spans="19:27" x14ac:dyDescent="0.2">
      <c r="S2028" s="32"/>
      <c r="T2028" s="187"/>
      <c r="W2028" s="221" t="str">
        <f t="shared" si="40"/>
        <v>1w</v>
      </c>
      <c r="X2028" s="222">
        <f>_xll.qlCalendarAdvance(Calendar,X2027,W2028,"f",FALSE)</f>
        <v>53043</v>
      </c>
      <c r="Y2028" s="227">
        <f>_xll.qlCalendarAdvance(Calendar,X2028,NDays&amp;"D")</f>
        <v>53043</v>
      </c>
      <c r="Z2028" s="228">
        <v>3.0765996547831027E-2</v>
      </c>
      <c r="AA2028" s="230">
        <v>3.0754304445569369E-2</v>
      </c>
    </row>
    <row r="2029" spans="19:27" x14ac:dyDescent="0.2">
      <c r="S2029" s="32"/>
      <c r="T2029" s="187"/>
      <c r="W2029" s="221" t="str">
        <f t="shared" si="40"/>
        <v>1w</v>
      </c>
      <c r="X2029" s="222">
        <f>_xll.qlCalendarAdvance(Calendar,X2028,W2029,"f",FALSE)</f>
        <v>53050</v>
      </c>
      <c r="Y2029" s="227">
        <f>_xll.qlCalendarAdvance(Calendar,X2029,NDays&amp;"D")</f>
        <v>53050</v>
      </c>
      <c r="Z2029" s="228">
        <v>3.0751893192499567E-2</v>
      </c>
      <c r="AA2029" s="230">
        <v>3.0741263299629562E-2</v>
      </c>
    </row>
    <row r="2030" spans="19:27" x14ac:dyDescent="0.2">
      <c r="S2030" s="32"/>
      <c r="T2030" s="187"/>
      <c r="W2030" s="221" t="str">
        <f t="shared" si="40"/>
        <v>1w</v>
      </c>
      <c r="X2030" s="222">
        <f>_xll.qlCalendarAdvance(Calendar,X2029,W2030,"f",FALSE)</f>
        <v>53057</v>
      </c>
      <c r="Y2030" s="227">
        <f>_xll.qlCalendarAdvance(Calendar,X2030,NDays&amp;"D")</f>
        <v>53057</v>
      </c>
      <c r="Z2030" s="228">
        <v>3.0738927692337846E-2</v>
      </c>
      <c r="AA2030" s="230">
        <v>3.0728257068832754E-2</v>
      </c>
    </row>
    <row r="2031" spans="19:27" x14ac:dyDescent="0.2">
      <c r="S2031" s="32"/>
      <c r="T2031" s="187"/>
      <c r="W2031" s="221" t="str">
        <f t="shared" si="40"/>
        <v>1w</v>
      </c>
      <c r="X2031" s="222">
        <f>_xll.qlCalendarAdvance(Calendar,X2030,W2031,"f",FALSE)</f>
        <v>53064</v>
      </c>
      <c r="Y2031" s="227">
        <f>_xll.qlCalendarAdvance(Calendar,X2031,NDays&amp;"D")</f>
        <v>53064</v>
      </c>
      <c r="Z2031" s="228">
        <v>3.0725997205814669E-2</v>
      </c>
      <c r="AA2031" s="230">
        <v>3.0715285753016852E-2</v>
      </c>
    </row>
    <row r="2032" spans="19:27" x14ac:dyDescent="0.2">
      <c r="S2032" s="32"/>
      <c r="T2032" s="187"/>
      <c r="W2032" s="221" t="str">
        <f t="shared" si="40"/>
        <v>1w</v>
      </c>
      <c r="X2032" s="222">
        <f>_xll.qlCalendarAdvance(Calendar,X2031,W2032,"f",FALSE)</f>
        <v>53071</v>
      </c>
      <c r="Y2032" s="227">
        <f>_xll.qlCalendarAdvance(Calendar,X2032,NDays&amp;"D")</f>
        <v>53071</v>
      </c>
      <c r="Z2032" s="228">
        <v>3.0713101732824676E-2</v>
      </c>
      <c r="AA2032" s="230">
        <v>3.0702349352424996E-2</v>
      </c>
    </row>
    <row r="2033" spans="19:27" x14ac:dyDescent="0.2">
      <c r="S2033" s="32"/>
      <c r="T2033" s="187"/>
      <c r="W2033" s="221" t="str">
        <f t="shared" si="40"/>
        <v>1w</v>
      </c>
      <c r="X2033" s="222">
        <f>_xll.qlCalendarAdvance(Calendar,X2032,W2033,"f",FALSE)</f>
        <v>53078</v>
      </c>
      <c r="Y2033" s="227">
        <f>_xll.qlCalendarAdvance(Calendar,X2033,NDays&amp;"D")</f>
        <v>53078</v>
      </c>
      <c r="Z2033" s="228">
        <v>3.0700241273254401E-2</v>
      </c>
      <c r="AA2033" s="230">
        <v>3.0689447866814046E-2</v>
      </c>
    </row>
    <row r="2034" spans="19:27" x14ac:dyDescent="0.2">
      <c r="S2034" s="32"/>
      <c r="T2034" s="187"/>
      <c r="W2034" s="221" t="str">
        <f t="shared" si="40"/>
        <v>1w</v>
      </c>
      <c r="X2034" s="222">
        <f>_xll.qlCalendarAdvance(Calendar,X2033,W2034,"f",FALSE)</f>
        <v>53085</v>
      </c>
      <c r="Y2034" s="227">
        <f>_xll.qlCalendarAdvance(Calendar,X2034,NDays&amp;"D")</f>
        <v>53085</v>
      </c>
      <c r="Z2034" s="228">
        <v>3.0688544154503269E-2</v>
      </c>
      <c r="AA2034" s="230">
        <v>3.0676581296265049E-2</v>
      </c>
    </row>
    <row r="2035" spans="19:27" x14ac:dyDescent="0.2">
      <c r="S2035" s="32"/>
      <c r="T2035" s="187"/>
      <c r="W2035" s="221" t="str">
        <f t="shared" si="40"/>
        <v>1w</v>
      </c>
      <c r="X2035" s="222">
        <f>_xll.qlCalendarAdvance(Calendar,X2034,W2035,"f",FALSE)</f>
        <v>53092</v>
      </c>
      <c r="Y2035" s="227">
        <f>_xll.qlCalendarAdvance(Calendar,X2035,NDays&amp;"D")</f>
        <v>53092</v>
      </c>
      <c r="Z2035" s="228">
        <v>3.067575800468058E-2</v>
      </c>
      <c r="AA2035" s="230">
        <v>3.066374964085905E-2</v>
      </c>
    </row>
    <row r="2036" spans="19:27" x14ac:dyDescent="0.2">
      <c r="S2036" s="32"/>
      <c r="T2036" s="187"/>
      <c r="W2036" s="221" t="str">
        <f t="shared" si="40"/>
        <v>1w</v>
      </c>
      <c r="X2036" s="222">
        <f>_xll.qlCalendarAdvance(Calendar,X2035,W2036,"f",FALSE)</f>
        <v>53099</v>
      </c>
      <c r="Y2036" s="227">
        <f>_xll.qlCalendarAdvance(Calendar,X2036,NDays&amp;"D")</f>
        <v>53099</v>
      </c>
      <c r="Z2036" s="228">
        <v>3.0663006878074876E-2</v>
      </c>
      <c r="AA2036" s="230">
        <v>3.0650952900596051E-2</v>
      </c>
    </row>
    <row r="2037" spans="19:27" x14ac:dyDescent="0.2">
      <c r="S2037" s="32"/>
      <c r="T2037" s="187"/>
      <c r="W2037" s="221" t="str">
        <f t="shared" si="40"/>
        <v>1w</v>
      </c>
      <c r="X2037" s="222">
        <f>_xll.qlCalendarAdvance(Calendar,X2036,W2037,"f",FALSE)</f>
        <v>53106</v>
      </c>
      <c r="Y2037" s="227">
        <f>_xll.qlCalendarAdvance(Calendar,X2037,NDays&amp;"D")</f>
        <v>53106</v>
      </c>
      <c r="Z2037" s="228">
        <v>3.0650290774565818E-2</v>
      </c>
      <c r="AA2037" s="230">
        <v>3.0638191075313959E-2</v>
      </c>
    </row>
    <row r="2038" spans="19:27" x14ac:dyDescent="0.2">
      <c r="S2038" s="32"/>
      <c r="T2038" s="187"/>
      <c r="W2038" s="221" t="str">
        <f t="shared" si="40"/>
        <v>1w</v>
      </c>
      <c r="X2038" s="222">
        <f>_xll.qlCalendarAdvance(Calendar,X2037,W2038,"f",FALSE)</f>
        <v>53113</v>
      </c>
      <c r="Y2038" s="227">
        <f>_xll.qlCalendarAdvance(Calendar,X2038,NDays&amp;"D")</f>
        <v>53113</v>
      </c>
      <c r="Z2038" s="228">
        <v>3.0636464172822103E-2</v>
      </c>
      <c r="AA2038" s="230">
        <v>3.0625464165093819E-2</v>
      </c>
    </row>
    <row r="2039" spans="19:27" x14ac:dyDescent="0.2">
      <c r="S2039" s="32"/>
      <c r="T2039" s="187"/>
      <c r="W2039" s="221" t="str">
        <f t="shared" si="40"/>
        <v>1w</v>
      </c>
      <c r="X2039" s="222">
        <f>_xll.qlCalendarAdvance(Calendar,X2038,W2039,"f",FALSE)</f>
        <v>53120</v>
      </c>
      <c r="Y2039" s="227">
        <f>_xll.qlCalendarAdvance(Calendar,X2039,NDays&amp;"D")</f>
        <v>53120</v>
      </c>
      <c r="Z2039" s="228">
        <v>3.0623813791454922E-2</v>
      </c>
      <c r="AA2039" s="230">
        <v>3.0612772170016678E-2</v>
      </c>
    </row>
    <row r="2040" spans="19:27" x14ac:dyDescent="0.2">
      <c r="S2040" s="32"/>
      <c r="T2040" s="187"/>
      <c r="W2040" s="221" t="str">
        <f t="shared" si="40"/>
        <v>1w</v>
      </c>
      <c r="X2040" s="222">
        <f>_xll.qlCalendarAdvance(Calendar,X2039,W2040,"f",FALSE)</f>
        <v>53127</v>
      </c>
      <c r="Y2040" s="227">
        <f>_xll.qlCalendarAdvance(Calendar,X2040,NDays&amp;"D")</f>
        <v>53127</v>
      </c>
      <c r="Z2040" s="228">
        <v>3.0611198422737518E-2</v>
      </c>
      <c r="AA2040" s="230">
        <v>3.0600115089920443E-2</v>
      </c>
    </row>
    <row r="2041" spans="19:27" x14ac:dyDescent="0.2">
      <c r="S2041" s="32"/>
      <c r="T2041" s="187"/>
      <c r="W2041" s="221" t="str">
        <f t="shared" si="40"/>
        <v>1w</v>
      </c>
      <c r="X2041" s="222">
        <f>_xll.qlCalendarAdvance(Calendar,X2040,W2041,"f",FALSE)</f>
        <v>53134</v>
      </c>
      <c r="Y2041" s="227">
        <f>_xll.qlCalendarAdvance(Calendar,X2041,NDays&amp;"D")</f>
        <v>53134</v>
      </c>
      <c r="Z2041" s="228">
        <v>3.0598618066564536E-2</v>
      </c>
      <c r="AA2041" s="230">
        <v>3.0587492924967208E-2</v>
      </c>
    </row>
    <row r="2042" spans="19:27" x14ac:dyDescent="0.2">
      <c r="S2042" s="32"/>
      <c r="T2042" s="187"/>
      <c r="W2042" s="221" t="str">
        <f t="shared" si="40"/>
        <v>1w</v>
      </c>
      <c r="X2042" s="222">
        <f>_xll.qlCalendarAdvance(Calendar,X2041,W2042,"f",FALSE)</f>
        <v>53141</v>
      </c>
      <c r="Y2042" s="227">
        <f>_xll.qlCalendarAdvance(Calendar,X2042,NDays&amp;"D")</f>
        <v>53141</v>
      </c>
      <c r="Z2042" s="228">
        <v>3.0586072722822509E-2</v>
      </c>
      <c r="AA2042" s="230">
        <v>3.0574905674994879E-2</v>
      </c>
    </row>
    <row r="2043" spans="19:27" x14ac:dyDescent="0.2">
      <c r="S2043" s="32"/>
      <c r="T2043" s="187"/>
      <c r="W2043" s="221" t="str">
        <f t="shared" si="40"/>
        <v>1w</v>
      </c>
      <c r="X2043" s="222">
        <f>_xll.qlCalendarAdvance(Calendar,X2042,W2043,"f",FALSE)</f>
        <v>53148</v>
      </c>
      <c r="Y2043" s="227">
        <f>_xll.qlCalendarAdvance(Calendar,X2043,NDays&amp;"D")</f>
        <v>53148</v>
      </c>
      <c r="Z2043" s="228">
        <v>3.0574729631826451E-2</v>
      </c>
      <c r="AA2043" s="230">
        <v>3.0562353340084503E-2</v>
      </c>
    </row>
    <row r="2044" spans="19:27" x14ac:dyDescent="0.2">
      <c r="S2044" s="32"/>
      <c r="T2044" s="187"/>
      <c r="W2044" s="221" t="str">
        <f t="shared" si="40"/>
        <v>1w</v>
      </c>
      <c r="X2044" s="222">
        <f>_xll.qlCalendarAdvance(Calendar,X2043,W2044,"f",FALSE)</f>
        <v>53155</v>
      </c>
      <c r="Y2044" s="227">
        <f>_xll.qlCalendarAdvance(Calendar,X2044,NDays&amp;"D")</f>
        <v>53155</v>
      </c>
      <c r="Z2044" s="228">
        <v>3.0562258686643994E-2</v>
      </c>
      <c r="AA2044" s="230">
        <v>3.0549835920236079E-2</v>
      </c>
    </row>
    <row r="2045" spans="19:27" x14ac:dyDescent="0.2">
      <c r="S2045" s="32"/>
      <c r="T2045" s="187"/>
      <c r="W2045" s="221" t="str">
        <f t="shared" si="40"/>
        <v>1w</v>
      </c>
      <c r="X2045" s="222">
        <f>_xll.qlCalendarAdvance(Calendar,X2044,W2045,"f",FALSE)</f>
        <v>53162</v>
      </c>
      <c r="Y2045" s="227">
        <f>_xll.qlCalendarAdvance(Calendar,X2045,NDays&amp;"D")</f>
        <v>53162</v>
      </c>
      <c r="Z2045" s="228">
        <v>3.0549822763602821E-2</v>
      </c>
      <c r="AA2045" s="230">
        <v>3.0537353415368562E-2</v>
      </c>
    </row>
    <row r="2046" spans="19:27" x14ac:dyDescent="0.2">
      <c r="S2046" s="32"/>
      <c r="T2046" s="187"/>
      <c r="W2046" s="221" t="str">
        <f t="shared" si="40"/>
        <v>1w</v>
      </c>
      <c r="X2046" s="222">
        <f>_xll.qlCalendarAdvance(Calendar,X2045,W2046,"f",FALSE)</f>
        <v>53169</v>
      </c>
      <c r="Y2046" s="227">
        <f>_xll.qlCalendarAdvance(Calendar,X2046,NDays&amp;"D")</f>
        <v>53169</v>
      </c>
      <c r="Z2046" s="228">
        <v>3.0537815650402405E-2</v>
      </c>
      <c r="AA2046" s="230">
        <v>3.0524905825644044E-2</v>
      </c>
    </row>
    <row r="2047" spans="19:27" x14ac:dyDescent="0.2">
      <c r="S2047" s="32"/>
      <c r="T2047" s="187"/>
      <c r="W2047" s="221" t="str">
        <f t="shared" si="40"/>
        <v>1w</v>
      </c>
      <c r="X2047" s="222">
        <f>_xll.qlCalendarAdvance(Calendar,X2046,W2047,"f",FALSE)</f>
        <v>53176</v>
      </c>
      <c r="Y2047" s="227">
        <f>_xll.qlCalendarAdvance(Calendar,X2047,NDays&amp;"D")</f>
        <v>53176</v>
      </c>
      <c r="Z2047" s="228">
        <v>3.052505598348014E-2</v>
      </c>
      <c r="AA2047" s="230">
        <v>3.0512493150819386E-2</v>
      </c>
    </row>
    <row r="2048" spans="19:27" x14ac:dyDescent="0.2">
      <c r="S2048" s="32"/>
      <c r="T2048" s="187"/>
      <c r="W2048" s="221" t="str">
        <f t="shared" si="40"/>
        <v>1w</v>
      </c>
      <c r="X2048" s="222">
        <f>_xll.qlCalendarAdvance(Calendar,X2047,W2048,"f",FALSE)</f>
        <v>53183</v>
      </c>
      <c r="Y2048" s="227">
        <f>_xll.qlCalendarAdvance(Calendar,X2048,NDays&amp;"D")</f>
        <v>53183</v>
      </c>
      <c r="Z2048" s="228">
        <v>3.0512725126165322E-2</v>
      </c>
      <c r="AA2048" s="230">
        <v>3.0500115391218774E-2</v>
      </c>
    </row>
    <row r="2049" spans="19:27" x14ac:dyDescent="0.2">
      <c r="S2049" s="32"/>
      <c r="T2049" s="187"/>
      <c r="W2049" s="221" t="str">
        <f t="shared" si="40"/>
        <v>1w</v>
      </c>
      <c r="X2049" s="222">
        <f>_xll.qlCalendarAdvance(Calendar,X2048,W2049,"f",FALSE)</f>
        <v>53190</v>
      </c>
      <c r="Y2049" s="227">
        <f>_xll.qlCalendarAdvance(Calendar,X2049,NDays&amp;"D")</f>
        <v>53190</v>
      </c>
      <c r="Z2049" s="228">
        <v>3.0500429290520239E-2</v>
      </c>
      <c r="AA2049" s="230">
        <v>3.0487772546436975E-2</v>
      </c>
    </row>
    <row r="2050" spans="19:27" x14ac:dyDescent="0.2">
      <c r="S2050" s="32"/>
      <c r="T2050" s="187"/>
      <c r="W2050" s="221" t="str">
        <f t="shared" si="40"/>
        <v>1w</v>
      </c>
      <c r="X2050" s="222">
        <f>_xll.qlCalendarAdvance(Calendar,X2049,W2050,"f",FALSE)</f>
        <v>53197</v>
      </c>
      <c r="Y2050" s="227">
        <f>_xll.qlCalendarAdvance(Calendar,X2050,NDays&amp;"D")</f>
        <v>53197</v>
      </c>
      <c r="Z2050" s="228">
        <v>3.0488168476436837E-2</v>
      </c>
      <c r="AA2050" s="230">
        <v>3.0475464616879222E-2</v>
      </c>
    </row>
    <row r="2051" spans="19:27" x14ac:dyDescent="0.2">
      <c r="S2051" s="32"/>
      <c r="T2051" s="187"/>
      <c r="W2051" s="221" t="str">
        <f t="shared" si="40"/>
        <v>1w</v>
      </c>
      <c r="X2051" s="222">
        <f>_xll.qlCalendarAdvance(Calendar,X2050,W2051,"f",FALSE)</f>
        <v>53204</v>
      </c>
      <c r="Y2051" s="227">
        <f>_xll.qlCalendarAdvance(Calendar,X2051,NDays&amp;"D")</f>
        <v>53204</v>
      </c>
      <c r="Z2051" s="228">
        <v>3.0474740170955566E-2</v>
      </c>
      <c r="AA2051" s="230">
        <v>3.0463191602140283E-2</v>
      </c>
    </row>
    <row r="2052" spans="19:27" x14ac:dyDescent="0.2">
      <c r="S2052" s="32"/>
      <c r="T2052" s="187"/>
      <c r="W2052" s="221" t="str">
        <f t="shared" si="40"/>
        <v>1w</v>
      </c>
      <c r="X2052" s="222">
        <f>_xll.qlCalendarAdvance(Calendar,X2051,W2052,"f",FALSE)</f>
        <v>53211</v>
      </c>
      <c r="Y2052" s="227">
        <f>_xll.qlCalendarAdvance(Calendar,X2052,NDays&amp;"D")</f>
        <v>53211</v>
      </c>
      <c r="Z2052" s="228">
        <v>3.0462544945660735E-2</v>
      </c>
      <c r="AA2052" s="230">
        <v>3.0450953502544342E-2</v>
      </c>
    </row>
    <row r="2053" spans="19:27" x14ac:dyDescent="0.2">
      <c r="S2053" s="32"/>
      <c r="T2053" s="187"/>
      <c r="W2053" s="221" t="str">
        <f t="shared" si="40"/>
        <v>1w</v>
      </c>
      <c r="X2053" s="222">
        <f>_xll.qlCalendarAdvance(Calendar,X2052,W2053,"f",FALSE)</f>
        <v>53218</v>
      </c>
      <c r="Y2053" s="227">
        <f>_xll.qlCalendarAdvance(Calendar,X2053,NDays&amp;"D")</f>
        <v>53218</v>
      </c>
      <c r="Z2053" s="228">
        <v>3.0450384731632495E-2</v>
      </c>
      <c r="AA2053" s="230">
        <v>3.0438750318010355E-2</v>
      </c>
    </row>
    <row r="2054" spans="19:27" x14ac:dyDescent="0.2">
      <c r="S2054" s="32"/>
      <c r="T2054" s="187"/>
      <c r="W2054" s="221" t="str">
        <f t="shared" si="40"/>
        <v>1w</v>
      </c>
      <c r="X2054" s="222">
        <f>_xll.qlCalendarAdvance(Calendar,X2053,W2054,"f",FALSE)</f>
        <v>53225</v>
      </c>
      <c r="Y2054" s="227">
        <f>_xll.qlCalendarAdvance(Calendar,X2054,NDays&amp;"D")</f>
        <v>53225</v>
      </c>
      <c r="Z2054" s="228">
        <v>3.043825952876008E-2</v>
      </c>
      <c r="AA2054" s="230">
        <v>3.0426582048376227E-2</v>
      </c>
    </row>
    <row r="2055" spans="19:27" x14ac:dyDescent="0.2">
      <c r="S2055" s="32"/>
      <c r="T2055" s="187"/>
      <c r="W2055" s="221" t="str">
        <f t="shared" si="40"/>
        <v>1w</v>
      </c>
      <c r="X2055" s="222">
        <f>_xll.qlCalendarAdvance(Calendar,X2054,W2055,"f",FALSE)</f>
        <v>53232</v>
      </c>
      <c r="Y2055" s="227">
        <f>_xll.qlCalendarAdvance(Calendar,X2055,NDays&amp;"D")</f>
        <v>53232</v>
      </c>
      <c r="Z2055" s="228">
        <v>3.0426169336943532E-2</v>
      </c>
      <c r="AA2055" s="230">
        <v>3.0414448693804053E-2</v>
      </c>
    </row>
    <row r="2056" spans="19:27" x14ac:dyDescent="0.2">
      <c r="S2056" s="32"/>
      <c r="T2056" s="187"/>
      <c r="W2056" s="221" t="str">
        <f t="shared" si="40"/>
        <v>1w</v>
      </c>
      <c r="X2056" s="222">
        <f>_xll.qlCalendarAdvance(Calendar,X2055,W2056,"f",FALSE)</f>
        <v>53239</v>
      </c>
      <c r="Y2056" s="227">
        <f>_xll.qlCalendarAdvance(Calendar,X2056,NDays&amp;"D")</f>
        <v>53239</v>
      </c>
      <c r="Z2056" s="228">
        <v>3.0415339038149709E-2</v>
      </c>
      <c r="AA2056" s="230">
        <v>3.0402350254293831E-2</v>
      </c>
    </row>
    <row r="2057" spans="19:27" x14ac:dyDescent="0.2">
      <c r="S2057" s="32"/>
      <c r="T2057" s="187"/>
      <c r="W2057" s="221" t="str">
        <f t="shared" si="40"/>
        <v>1w</v>
      </c>
      <c r="X2057" s="222">
        <f>_xll.qlCalendarAdvance(Calendar,X2056,W2057,"f",FALSE)</f>
        <v>53246</v>
      </c>
      <c r="Y2057" s="227">
        <f>_xll.qlCalendarAdvance(Calendar,X2057,NDays&amp;"D")</f>
        <v>53246</v>
      </c>
      <c r="Z2057" s="228">
        <v>3.0403323371736551E-2</v>
      </c>
      <c r="AA2057" s="230">
        <v>3.0390286729764515E-2</v>
      </c>
    </row>
    <row r="2058" spans="19:27" x14ac:dyDescent="0.2">
      <c r="S2058" s="32"/>
      <c r="T2058" s="187"/>
      <c r="W2058" s="221" t="str">
        <f t="shared" si="40"/>
        <v>1w</v>
      </c>
      <c r="X2058" s="222">
        <f>_xll.qlCalendarAdvance(Calendar,X2057,W2058,"f",FALSE)</f>
        <v>53253</v>
      </c>
      <c r="Y2058" s="227">
        <f>_xll.qlCalendarAdvance(Calendar,X2058,NDays&amp;"D")</f>
        <v>53253</v>
      </c>
      <c r="Z2058" s="228">
        <v>3.039134272595672E-2</v>
      </c>
      <c r="AA2058" s="230">
        <v>3.037825812013506E-2</v>
      </c>
    </row>
    <row r="2059" spans="19:27" x14ac:dyDescent="0.2">
      <c r="S2059" s="32"/>
      <c r="T2059" s="187"/>
      <c r="W2059" s="221" t="str">
        <f t="shared" si="40"/>
        <v>1w</v>
      </c>
      <c r="X2059" s="222">
        <f>_xll.qlCalendarAdvance(Calendar,X2058,W2059,"f",FALSE)</f>
        <v>53260</v>
      </c>
      <c r="Y2059" s="227">
        <f>_xll.qlCalendarAdvance(Calendar,X2059,NDays&amp;"D")</f>
        <v>53260</v>
      </c>
      <c r="Z2059" s="228">
        <v>3.0379397100702161E-2</v>
      </c>
      <c r="AA2059" s="230">
        <v>3.0366264425567557E-2</v>
      </c>
    </row>
    <row r="2060" spans="19:27" x14ac:dyDescent="0.2">
      <c r="S2060" s="32"/>
      <c r="T2060" s="187"/>
      <c r="W2060" s="221" t="str">
        <f t="shared" si="40"/>
        <v>1w</v>
      </c>
      <c r="X2060" s="222">
        <f>_xll.qlCalendarAdvance(Calendar,X2059,W2060,"f",FALSE)</f>
        <v>53267</v>
      </c>
      <c r="Y2060" s="227">
        <f>_xll.qlCalendarAdvance(Calendar,X2060,NDays&amp;"D")</f>
        <v>53267</v>
      </c>
      <c r="Z2060" s="228">
        <v>3.0366243540013937E-2</v>
      </c>
      <c r="AA2060" s="230">
        <v>3.0354305645899915E-2</v>
      </c>
    </row>
    <row r="2061" spans="19:27" x14ac:dyDescent="0.2">
      <c r="S2061" s="32"/>
      <c r="T2061" s="187"/>
      <c r="W2061" s="221" t="str">
        <f t="shared" si="40"/>
        <v>1w</v>
      </c>
      <c r="X2061" s="222">
        <f>_xll.qlCalendarAdvance(Calendar,X2060,W2061,"f",FALSE)</f>
        <v>53274</v>
      </c>
      <c r="Y2061" s="227">
        <f>_xll.qlCalendarAdvance(Calendar,X2061,NDays&amp;"D")</f>
        <v>53274</v>
      </c>
      <c r="Z2061" s="228">
        <v>3.0354363412341656E-2</v>
      </c>
      <c r="AA2061" s="230">
        <v>3.0342381781375272E-2</v>
      </c>
    </row>
    <row r="2062" spans="19:27" x14ac:dyDescent="0.2">
      <c r="S2062" s="32"/>
      <c r="T2062" s="187"/>
      <c r="W2062" s="221" t="str">
        <f t="shared" si="40"/>
        <v>1w</v>
      </c>
      <c r="X2062" s="222">
        <f>_xll.qlCalendarAdvance(Calendar,X2061,W2062,"f",FALSE)</f>
        <v>53281</v>
      </c>
      <c r="Y2062" s="227">
        <f>_xll.qlCalendarAdvance(Calendar,X2062,NDays&amp;"D")</f>
        <v>53281</v>
      </c>
      <c r="Z2062" s="228">
        <v>3.0342518294998531E-2</v>
      </c>
      <c r="AA2062" s="230">
        <v>3.0330492831750488E-2</v>
      </c>
    </row>
    <row r="2063" spans="19:27" x14ac:dyDescent="0.2">
      <c r="S2063" s="32"/>
      <c r="T2063" s="187"/>
      <c r="W2063" s="221" t="str">
        <f t="shared" si="40"/>
        <v>1w</v>
      </c>
      <c r="X2063" s="222">
        <f>_xll.qlCalendarAdvance(Calendar,X2062,W2063,"f",FALSE)</f>
        <v>53288</v>
      </c>
      <c r="Y2063" s="227">
        <f>_xll.qlCalendarAdvance(Calendar,X2063,NDays&amp;"D")</f>
        <v>53288</v>
      </c>
      <c r="Z2063" s="228">
        <v>3.0330708187881899E-2</v>
      </c>
      <c r="AA2063" s="230">
        <v>3.0318638797106612E-2</v>
      </c>
    </row>
    <row r="2064" spans="19:27" x14ac:dyDescent="0.2">
      <c r="S2064" s="32"/>
      <c r="T2064" s="187"/>
      <c r="W2064" s="221" t="str">
        <f t="shared" si="40"/>
        <v>1w</v>
      </c>
      <c r="X2064" s="222">
        <f>_xll.qlCalendarAdvance(Calendar,X2063,W2064,"f",FALSE)</f>
        <v>53295</v>
      </c>
      <c r="Y2064" s="227">
        <f>_xll.qlCalendarAdvance(Calendar,X2064,NDays&amp;"D")</f>
        <v>53295</v>
      </c>
      <c r="Z2064" s="228">
        <v>3.0318933090894506E-2</v>
      </c>
      <c r="AA2064" s="230">
        <v>3.0306819677362595E-2</v>
      </c>
    </row>
    <row r="2065" spans="19:27" x14ac:dyDescent="0.2">
      <c r="S2065" s="32"/>
      <c r="T2065" s="187"/>
      <c r="W2065" s="221" t="str">
        <f t="shared" si="40"/>
        <v>1w</v>
      </c>
      <c r="X2065" s="222">
        <f>_xll.qlCalendarAdvance(Calendar,X2064,W2065,"f",FALSE)</f>
        <v>53302</v>
      </c>
      <c r="Y2065" s="227">
        <f>_xll.qlCalendarAdvance(Calendar,X2065,NDays&amp;"D")</f>
        <v>53302</v>
      </c>
      <c r="Z2065" s="228">
        <v>3.0308458773876432E-2</v>
      </c>
      <c r="AA2065" s="230">
        <v>3.0295035472761578E-2</v>
      </c>
    </row>
    <row r="2066" spans="19:27" x14ac:dyDescent="0.2">
      <c r="S2066" s="32"/>
      <c r="T2066" s="187"/>
      <c r="W2066" s="221" t="str">
        <f t="shared" si="40"/>
        <v>1w</v>
      </c>
      <c r="X2066" s="222">
        <f>_xll.qlCalendarAdvance(Calendar,X2065,W2066,"f",FALSE)</f>
        <v>53309</v>
      </c>
      <c r="Y2066" s="227">
        <f>_xll.qlCalendarAdvance(Calendar,X2066,NDays&amp;"D")</f>
        <v>53309</v>
      </c>
      <c r="Z2066" s="228">
        <v>3.0296758289142849E-2</v>
      </c>
      <c r="AA2066" s="230">
        <v>3.0283286183060421E-2</v>
      </c>
    </row>
    <row r="2067" spans="19:27" x14ac:dyDescent="0.2">
      <c r="S2067" s="32"/>
      <c r="T2067" s="187"/>
      <c r="W2067" s="221" t="str">
        <f t="shared" si="40"/>
        <v>1w</v>
      </c>
      <c r="X2067" s="222">
        <f>_xll.qlCalendarAdvance(Calendar,X2066,W2067,"f",FALSE)</f>
        <v>53316</v>
      </c>
      <c r="Y2067" s="227">
        <f>_xll.qlCalendarAdvance(Calendar,X2067,NDays&amp;"D")</f>
        <v>53316</v>
      </c>
      <c r="Z2067" s="228">
        <v>3.0285092824038115E-2</v>
      </c>
      <c r="AA2067" s="230">
        <v>3.0271571808259123E-2</v>
      </c>
    </row>
    <row r="2068" spans="19:27" x14ac:dyDescent="0.2">
      <c r="S2068" s="32"/>
      <c r="T2068" s="187"/>
      <c r="W2068" s="221" t="str">
        <f t="shared" si="40"/>
        <v>1w</v>
      </c>
      <c r="X2068" s="222">
        <f>_xll.qlCalendarAdvance(Calendar,X2067,W2068,"f",FALSE)</f>
        <v>53323</v>
      </c>
      <c r="Y2068" s="227">
        <f>_xll.qlCalendarAdvance(Calendar,X2068,NDays&amp;"D")</f>
        <v>53323</v>
      </c>
      <c r="Z2068" s="228">
        <v>3.0273462378454165E-2</v>
      </c>
      <c r="AA2068" s="230">
        <v>3.0259892348519779E-2</v>
      </c>
    </row>
    <row r="2069" spans="19:27" x14ac:dyDescent="0.2">
      <c r="S2069" s="32"/>
      <c r="T2069" s="187"/>
      <c r="W2069" s="221" t="str">
        <f t="shared" ref="W2069:W2132" si="41">W2068</f>
        <v>1w</v>
      </c>
      <c r="X2069" s="222">
        <f>_xll.qlCalendarAdvance(Calendar,X2068,W2069,"f",FALSE)</f>
        <v>53330</v>
      </c>
      <c r="Y2069" s="227">
        <f>_xll.qlCalendarAdvance(Calendar,X2069,NDays&amp;"D")</f>
        <v>53330</v>
      </c>
      <c r="Z2069" s="228">
        <v>3.0261866952273113E-2</v>
      </c>
      <c r="AA2069" s="230">
        <v>3.0248247803680295E-2</v>
      </c>
    </row>
    <row r="2070" spans="19:27" x14ac:dyDescent="0.2">
      <c r="S2070" s="32"/>
      <c r="T2070" s="187"/>
      <c r="W2070" s="221" t="str">
        <f t="shared" si="41"/>
        <v>1w</v>
      </c>
      <c r="X2070" s="222">
        <f>_xll.qlCalendarAdvance(Calendar,X2069,W2070,"f",FALSE)</f>
        <v>53337</v>
      </c>
      <c r="Y2070" s="227">
        <f>_xll.qlCalendarAdvance(Calendar,X2070,NDays&amp;"D")</f>
        <v>53337</v>
      </c>
      <c r="Z2070" s="228">
        <v>3.0250306545391813E-2</v>
      </c>
      <c r="AA2070" s="230">
        <v>3.0236638173902763E-2</v>
      </c>
    </row>
    <row r="2071" spans="19:27" x14ac:dyDescent="0.2">
      <c r="S2071" s="32"/>
      <c r="T2071" s="187"/>
      <c r="W2071" s="221" t="str">
        <f t="shared" si="41"/>
        <v>1w</v>
      </c>
      <c r="X2071" s="222">
        <f>_xll.qlCalendarAdvance(Calendar,X2070,W2071,"f",FALSE)</f>
        <v>53344</v>
      </c>
      <c r="Y2071" s="227">
        <f>_xll.qlCalendarAdvance(Calendar,X2071,NDays&amp;"D")</f>
        <v>53344</v>
      </c>
      <c r="Z2071" s="228">
        <v>3.0238781157699745E-2</v>
      </c>
      <c r="AA2071" s="230">
        <v>3.0225063458863E-2</v>
      </c>
    </row>
    <row r="2072" spans="19:27" x14ac:dyDescent="0.2">
      <c r="S2072" s="32"/>
      <c r="T2072" s="187"/>
      <c r="W2072" s="221" t="str">
        <f t="shared" si="41"/>
        <v>1w</v>
      </c>
      <c r="X2072" s="222">
        <f>_xll.qlCalendarAdvance(Calendar,X2071,W2072,"f",FALSE)</f>
        <v>53351</v>
      </c>
      <c r="Y2072" s="227">
        <f>_xll.qlCalendarAdvance(Calendar,X2072,NDays&amp;"D")</f>
        <v>53351</v>
      </c>
      <c r="Z2072" s="228">
        <v>3.0227290789088843E-2</v>
      </c>
      <c r="AA2072" s="230">
        <v>3.0213523658885189E-2</v>
      </c>
    </row>
    <row r="2073" spans="19:27" x14ac:dyDescent="0.2">
      <c r="S2073" s="32"/>
      <c r="T2073" s="187"/>
      <c r="W2073" s="221" t="str">
        <f t="shared" si="41"/>
        <v>1w</v>
      </c>
      <c r="X2073" s="222">
        <f>_xll.qlCalendarAdvance(Calendar,X2072,W2073,"f",FALSE)</f>
        <v>53358</v>
      </c>
      <c r="Y2073" s="227">
        <f>_xll.qlCalendarAdvance(Calendar,X2073,NDays&amp;"D")</f>
        <v>53358</v>
      </c>
      <c r="Z2073" s="228">
        <v>3.0213664996530505E-2</v>
      </c>
      <c r="AA2073" s="230">
        <v>3.0202018773888284E-2</v>
      </c>
    </row>
    <row r="2074" spans="19:27" x14ac:dyDescent="0.2">
      <c r="S2074" s="32"/>
      <c r="T2074" s="187"/>
      <c r="W2074" s="221" t="str">
        <f t="shared" si="41"/>
        <v>1w</v>
      </c>
      <c r="X2074" s="222">
        <f>_xll.qlCalendarAdvance(Calendar,X2073,W2074,"f",FALSE)</f>
        <v>53365</v>
      </c>
      <c r="Y2074" s="227">
        <f>_xll.qlCalendarAdvance(Calendar,X2074,NDays&amp;"D")</f>
        <v>53365</v>
      </c>
      <c r="Z2074" s="228">
        <v>3.0202236883581167E-2</v>
      </c>
      <c r="AA2074" s="230">
        <v>3.0190548803872286E-2</v>
      </c>
    </row>
    <row r="2075" spans="19:27" x14ac:dyDescent="0.2">
      <c r="S2075" s="32"/>
      <c r="T2075" s="187"/>
      <c r="W2075" s="221" t="str">
        <f t="shared" si="41"/>
        <v>1w</v>
      </c>
      <c r="X2075" s="222">
        <f>_xll.qlCalendarAdvance(Calendar,X2074,W2075,"f",FALSE)</f>
        <v>53372</v>
      </c>
      <c r="Y2075" s="227">
        <f>_xll.qlCalendarAdvance(Calendar,X2075,NDays&amp;"D")</f>
        <v>53372</v>
      </c>
      <c r="Z2075" s="228">
        <v>3.0190843773174561E-2</v>
      </c>
      <c r="AA2075" s="230">
        <v>3.0179113748675102E-2</v>
      </c>
    </row>
    <row r="2076" spans="19:27" x14ac:dyDescent="0.2">
      <c r="S2076" s="32"/>
      <c r="T2076" s="187"/>
      <c r="W2076" s="221" t="str">
        <f t="shared" si="41"/>
        <v>1w</v>
      </c>
      <c r="X2076" s="222">
        <f>_xll.qlCalendarAdvance(Calendar,X2075,W2076,"f",FALSE)</f>
        <v>53379</v>
      </c>
      <c r="Y2076" s="227">
        <f>_xll.qlCalendarAdvance(Calendar,X2076,NDays&amp;"D")</f>
        <v>53379</v>
      </c>
      <c r="Z2076" s="228">
        <v>3.0179485665226744E-2</v>
      </c>
      <c r="AA2076" s="230">
        <v>3.0167713608458824E-2</v>
      </c>
    </row>
    <row r="2077" spans="19:27" x14ac:dyDescent="0.2">
      <c r="S2077" s="32"/>
      <c r="T2077" s="187"/>
      <c r="W2077" s="221" t="str">
        <f t="shared" si="41"/>
        <v>1w</v>
      </c>
      <c r="X2077" s="222">
        <f>_xll.qlCalendarAdvance(Calendar,X2076,W2077,"f",FALSE)</f>
        <v>53386</v>
      </c>
      <c r="Y2077" s="227">
        <f>_xll.qlCalendarAdvance(Calendar,X2077,NDays&amp;"D")</f>
        <v>53386</v>
      </c>
      <c r="Z2077" s="228">
        <v>3.0169042705955183E-2</v>
      </c>
      <c r="AA2077" s="230">
        <v>3.0156348383223452E-2</v>
      </c>
    </row>
    <row r="2078" spans="19:27" x14ac:dyDescent="0.2">
      <c r="S2078" s="32"/>
      <c r="T2078" s="187"/>
      <c r="W2078" s="221" t="str">
        <f t="shared" si="41"/>
        <v>1w</v>
      </c>
      <c r="X2078" s="222">
        <f>_xll.qlCalendarAdvance(Calendar,X2077,W2078,"f",FALSE)</f>
        <v>53393</v>
      </c>
      <c r="Y2078" s="227">
        <f>_xll.qlCalendarAdvance(Calendar,X2078,NDays&amp;"D")</f>
        <v>53393</v>
      </c>
      <c r="Z2078" s="228">
        <v>3.0159083972015173E-2</v>
      </c>
      <c r="AA2078" s="230">
        <v>3.0145018072887941E-2</v>
      </c>
    </row>
    <row r="2079" spans="19:27" x14ac:dyDescent="0.2">
      <c r="S2079" s="32"/>
      <c r="T2079" s="187"/>
      <c r="W2079" s="221" t="str">
        <f t="shared" si="41"/>
        <v>1w</v>
      </c>
      <c r="X2079" s="222">
        <f>_xll.qlCalendarAdvance(Calendar,X2078,W2079,"f",FALSE)</f>
        <v>53400</v>
      </c>
      <c r="Y2079" s="227">
        <f>_xll.qlCalendarAdvance(Calendar,X2079,NDays&amp;"D")</f>
        <v>53400</v>
      </c>
      <c r="Z2079" s="228">
        <v>3.0147838733932002E-2</v>
      </c>
      <c r="AA2079" s="230">
        <v>3.0133722677533337E-2</v>
      </c>
    </row>
    <row r="2080" spans="19:27" x14ac:dyDescent="0.2">
      <c r="S2080" s="32"/>
      <c r="T2080" s="187"/>
      <c r="W2080" s="221" t="str">
        <f t="shared" si="41"/>
        <v>1w</v>
      </c>
      <c r="X2080" s="222">
        <f>_xll.qlCalendarAdvance(Calendar,X2079,W2080,"f",FALSE)</f>
        <v>53407</v>
      </c>
      <c r="Y2080" s="227">
        <f>_xll.qlCalendarAdvance(Calendar,X2080,NDays&amp;"D")</f>
        <v>53407</v>
      </c>
      <c r="Z2080" s="228">
        <v>3.0136628514063051E-2</v>
      </c>
      <c r="AA2080" s="230">
        <v>3.01224621969165E-2</v>
      </c>
    </row>
    <row r="2081" spans="19:27" x14ac:dyDescent="0.2">
      <c r="S2081" s="32"/>
      <c r="T2081" s="187"/>
      <c r="W2081" s="221" t="str">
        <f t="shared" si="41"/>
        <v>1w</v>
      </c>
      <c r="X2081" s="222">
        <f>_xll.qlCalendarAdvance(Calendar,X2080,W2081,"f",FALSE)</f>
        <v>53414</v>
      </c>
      <c r="Y2081" s="227">
        <f>_xll.qlCalendarAdvance(Calendar,X2081,NDays&amp;"D")</f>
        <v>53414</v>
      </c>
      <c r="Z2081" s="228">
        <v>3.012545331231254E-2</v>
      </c>
      <c r="AA2081" s="230">
        <v>3.0111236631442662E-2</v>
      </c>
    </row>
    <row r="2082" spans="19:27" x14ac:dyDescent="0.2">
      <c r="S2082" s="32"/>
      <c r="T2082" s="187"/>
      <c r="W2082" s="221" t="str">
        <f t="shared" si="41"/>
        <v>1w</v>
      </c>
      <c r="X2082" s="222">
        <f>_xll.qlCalendarAdvance(Calendar,X2081,W2082,"f",FALSE)</f>
        <v>53421</v>
      </c>
      <c r="Y2082" s="227">
        <f>_xll.qlCalendarAdvance(Calendar,X2082,NDays&amp;"D")</f>
        <v>53421</v>
      </c>
      <c r="Z2082" s="228">
        <v>3.0112967962822E-2</v>
      </c>
      <c r="AA2082" s="230">
        <v>3.0100045980706591E-2</v>
      </c>
    </row>
    <row r="2083" spans="19:27" x14ac:dyDescent="0.2">
      <c r="S2083" s="32"/>
      <c r="T2083" s="187"/>
      <c r="W2083" s="221" t="str">
        <f t="shared" si="41"/>
        <v>1w</v>
      </c>
      <c r="X2083" s="222">
        <f>_xll.qlCalendarAdvance(Calendar,X2082,W2083,"f",FALSE)</f>
        <v>53428</v>
      </c>
      <c r="Y2083" s="227">
        <f>_xll.qlCalendarAdvance(Calendar,X2083,NDays&amp;"D")</f>
        <v>53428</v>
      </c>
      <c r="Z2083" s="228">
        <v>3.0101858039336148E-2</v>
      </c>
      <c r="AA2083" s="230">
        <v>3.0088890245032474E-2</v>
      </c>
    </row>
    <row r="2084" spans="19:27" x14ac:dyDescent="0.2">
      <c r="S2084" s="32"/>
      <c r="T2084" s="187"/>
      <c r="W2084" s="221" t="str">
        <f t="shared" si="41"/>
        <v>1w</v>
      </c>
      <c r="X2084" s="222">
        <f>_xll.qlCalendarAdvance(Calendar,X2083,W2084,"f",FALSE)</f>
        <v>53435</v>
      </c>
      <c r="Y2084" s="227">
        <f>_xll.qlCalendarAdvance(Calendar,X2084,NDays&amp;"D")</f>
        <v>53435</v>
      </c>
      <c r="Z2084" s="228">
        <v>3.009078312401281E-2</v>
      </c>
      <c r="AA2084" s="230">
        <v>3.0077769424258216E-2</v>
      </c>
    </row>
    <row r="2085" spans="19:27" x14ac:dyDescent="0.2">
      <c r="S2085" s="32"/>
      <c r="T2085" s="187"/>
      <c r="W2085" s="221" t="str">
        <f t="shared" si="41"/>
        <v>1w</v>
      </c>
      <c r="X2085" s="222">
        <f>_xll.qlCalendarAdvance(Calendar,X2084,W2085,"f",FALSE)</f>
        <v>53442</v>
      </c>
      <c r="Y2085" s="227">
        <f>_xll.qlCalendarAdvance(Calendar,X2085,NDays&amp;"D")</f>
        <v>53442</v>
      </c>
      <c r="Z2085" s="228">
        <v>3.0079743216749333E-2</v>
      </c>
      <c r="AA2085" s="230">
        <v>3.0066683518383819E-2</v>
      </c>
    </row>
    <row r="2086" spans="19:27" x14ac:dyDescent="0.2">
      <c r="S2086" s="32"/>
      <c r="T2086" s="187"/>
      <c r="W2086" s="221" t="str">
        <f t="shared" si="41"/>
        <v>1w</v>
      </c>
      <c r="X2086" s="222">
        <f>_xll.qlCalendarAdvance(Calendar,X2085,W2086,"f",FALSE)</f>
        <v>53449</v>
      </c>
      <c r="Y2086" s="227">
        <f>_xll.qlCalendarAdvance(Calendar,X2086,NDays&amp;"D")</f>
        <v>53449</v>
      </c>
      <c r="Z2086" s="228">
        <v>3.0070102571534755E-2</v>
      </c>
      <c r="AA2086" s="230">
        <v>3.0055632527328235E-2</v>
      </c>
    </row>
    <row r="2087" spans="19:27" x14ac:dyDescent="0.2">
      <c r="S2087" s="32"/>
      <c r="T2087" s="187"/>
      <c r="W2087" s="221" t="str">
        <f t="shared" si="41"/>
        <v>1w</v>
      </c>
      <c r="X2087" s="222">
        <f>_xll.qlCalendarAdvance(Calendar,X2086,W2087,"f",FALSE)</f>
        <v>53456</v>
      </c>
      <c r="Y2087" s="227">
        <f>_xll.qlCalendarAdvance(Calendar,X2087,NDays&amp;"D")</f>
        <v>53456</v>
      </c>
      <c r="Z2087" s="228">
        <v>3.0059137476240314E-2</v>
      </c>
      <c r="AA2087" s="230">
        <v>3.0044616451172512E-2</v>
      </c>
    </row>
    <row r="2088" spans="19:27" x14ac:dyDescent="0.2">
      <c r="S2088" s="32"/>
      <c r="T2088" s="187"/>
      <c r="W2088" s="221" t="str">
        <f t="shared" si="41"/>
        <v>1w</v>
      </c>
      <c r="X2088" s="222">
        <f>_xll.qlCalendarAdvance(Calendar,X2087,W2088,"f",FALSE)</f>
        <v>53463</v>
      </c>
      <c r="Y2088" s="227">
        <f>_xll.qlCalendarAdvance(Calendar,X2088,NDays&amp;"D")</f>
        <v>53463</v>
      </c>
      <c r="Z2088" s="228">
        <v>3.0048207398325071E-2</v>
      </c>
      <c r="AA2088" s="230">
        <v>3.0033635289916649E-2</v>
      </c>
    </row>
    <row r="2089" spans="19:27" x14ac:dyDescent="0.2">
      <c r="S2089" s="32"/>
      <c r="T2089" s="187"/>
      <c r="W2089" s="221" t="str">
        <f t="shared" si="41"/>
        <v>1w</v>
      </c>
      <c r="X2089" s="222">
        <f>_xll.qlCalendarAdvance(Calendar,X2088,W2089,"f",FALSE)</f>
        <v>53470</v>
      </c>
      <c r="Y2089" s="227">
        <f>_xll.qlCalendarAdvance(Calendar,X2089,NDays&amp;"D")</f>
        <v>53470</v>
      </c>
      <c r="Z2089" s="228">
        <v>3.0037312337688336E-2</v>
      </c>
      <c r="AA2089" s="230">
        <v>3.0022689043641693E-2</v>
      </c>
    </row>
    <row r="2090" spans="19:27" x14ac:dyDescent="0.2">
      <c r="S2090" s="32"/>
      <c r="T2090" s="187"/>
      <c r="W2090" s="221" t="str">
        <f t="shared" si="41"/>
        <v>1w</v>
      </c>
      <c r="X2090" s="222">
        <f>_xll.qlCalendarAdvance(Calendar,X2089,W2090,"f",FALSE)</f>
        <v>53477</v>
      </c>
      <c r="Y2090" s="227">
        <f>_xll.qlCalendarAdvance(Calendar,X2090,NDays&amp;"D")</f>
        <v>53477</v>
      </c>
      <c r="Z2090" s="228">
        <v>3.0025068798042048E-2</v>
      </c>
      <c r="AA2090" s="230">
        <v>3.0011777712266596E-2</v>
      </c>
    </row>
    <row r="2091" spans="19:27" x14ac:dyDescent="0.2">
      <c r="S2091" s="32"/>
      <c r="T2091" s="187"/>
      <c r="W2091" s="221" t="str">
        <f t="shared" si="41"/>
        <v>1w</v>
      </c>
      <c r="X2091" s="222">
        <f>_xll.qlCalendarAdvance(Calendar,X2090,W2091,"f",FALSE)</f>
        <v>53484</v>
      </c>
      <c r="Y2091" s="227">
        <f>_xll.qlCalendarAdvance(Calendar,X2091,NDays&amp;"D")</f>
        <v>53484</v>
      </c>
      <c r="Z2091" s="228">
        <v>3.0014238937162895E-2</v>
      </c>
      <c r="AA2091" s="230">
        <v>3.0000901295710314E-2</v>
      </c>
    </row>
    <row r="2092" spans="19:27" x14ac:dyDescent="0.2">
      <c r="S2092" s="32"/>
      <c r="T2092" s="187"/>
      <c r="W2092" s="221" t="str">
        <f t="shared" si="41"/>
        <v>1w</v>
      </c>
      <c r="X2092" s="222">
        <f>_xll.qlCalendarAdvance(Calendar,X2091,W2092,"f",FALSE)</f>
        <v>53491</v>
      </c>
      <c r="Y2092" s="227">
        <f>_xll.qlCalendarAdvance(Calendar,X2092,NDays&amp;"D")</f>
        <v>53491</v>
      </c>
      <c r="Z2092" s="228">
        <v>3.0003444083689823E-2</v>
      </c>
      <c r="AA2092" s="230">
        <v>2.9990059794134938E-2</v>
      </c>
    </row>
    <row r="2093" spans="19:27" x14ac:dyDescent="0.2">
      <c r="S2093" s="32"/>
      <c r="T2093" s="187"/>
      <c r="W2093" s="221" t="str">
        <f t="shared" si="41"/>
        <v>1w</v>
      </c>
      <c r="X2093" s="222">
        <f>_xll.qlCalendarAdvance(Calendar,X2092,W2093,"f",FALSE)</f>
        <v>53498</v>
      </c>
      <c r="Y2093" s="227">
        <f>_xll.qlCalendarAdvance(Calendar,X2093,NDays&amp;"D")</f>
        <v>53498</v>
      </c>
      <c r="Z2093" s="228">
        <v>2.9992684237520183E-2</v>
      </c>
      <c r="AA2093" s="230">
        <v>2.9979253207216283E-2</v>
      </c>
    </row>
    <row r="2094" spans="19:27" x14ac:dyDescent="0.2">
      <c r="S2094" s="32"/>
      <c r="T2094" s="187"/>
      <c r="W2094" s="221" t="str">
        <f t="shared" si="41"/>
        <v>1w</v>
      </c>
      <c r="X2094" s="222">
        <f>_xll.qlCalendarAdvance(Calendar,X2093,W2094,"f",FALSE)</f>
        <v>53505</v>
      </c>
      <c r="Y2094" s="227">
        <f>_xll.qlCalendarAdvance(Calendar,X2094,NDays&amp;"D")</f>
        <v>53505</v>
      </c>
      <c r="Z2094" s="228">
        <v>2.9981959398570217E-2</v>
      </c>
      <c r="AA2094" s="230">
        <v>2.9968481535359581E-2</v>
      </c>
    </row>
    <row r="2095" spans="19:27" x14ac:dyDescent="0.2">
      <c r="S2095" s="32"/>
      <c r="T2095" s="187"/>
      <c r="W2095" s="221" t="str">
        <f t="shared" si="41"/>
        <v>1w</v>
      </c>
      <c r="X2095" s="222">
        <f>_xll.qlCalendarAdvance(Calendar,X2094,W2095,"f",FALSE)</f>
        <v>53512</v>
      </c>
      <c r="Y2095" s="227">
        <f>_xll.qlCalendarAdvance(Calendar,X2095,NDays&amp;"D")</f>
        <v>53512</v>
      </c>
      <c r="Z2095" s="228">
        <v>2.9972677330866438E-2</v>
      </c>
      <c r="AA2095" s="230">
        <v>2.995774477840274E-2</v>
      </c>
    </row>
    <row r="2096" spans="19:27" x14ac:dyDescent="0.2">
      <c r="S2096" s="32"/>
      <c r="T2096" s="187"/>
      <c r="W2096" s="221" t="str">
        <f t="shared" si="41"/>
        <v>1w</v>
      </c>
      <c r="X2096" s="222">
        <f>_xll.qlCalendarAdvance(Calendar,X2095,W2096,"f",FALSE)</f>
        <v>53519</v>
      </c>
      <c r="Y2096" s="227">
        <f>_xll.qlCalendarAdvance(Calendar,X2096,NDays&amp;"D")</f>
        <v>53519</v>
      </c>
      <c r="Z2096" s="228">
        <v>2.9962027388283671E-2</v>
      </c>
      <c r="AA2096" s="230">
        <v>2.9947042936264712E-2</v>
      </c>
    </row>
    <row r="2097" spans="19:27" x14ac:dyDescent="0.2">
      <c r="S2097" s="32"/>
      <c r="T2097" s="187"/>
      <c r="W2097" s="221" t="str">
        <f t="shared" si="41"/>
        <v>1w</v>
      </c>
      <c r="X2097" s="222">
        <f>_xll.qlCalendarAdvance(Calendar,X2096,W2097,"f",FALSE)</f>
        <v>53526</v>
      </c>
      <c r="Y2097" s="227">
        <f>_xll.qlCalendarAdvance(Calendar,X2097,NDays&amp;"D")</f>
        <v>53526</v>
      </c>
      <c r="Z2097" s="228">
        <v>2.9951412462154207E-2</v>
      </c>
      <c r="AA2097" s="230">
        <v>2.9936376009026544E-2</v>
      </c>
    </row>
    <row r="2098" spans="19:27" x14ac:dyDescent="0.2">
      <c r="S2098" s="32"/>
      <c r="T2098" s="187"/>
      <c r="W2098" s="221" t="str">
        <f t="shared" si="41"/>
        <v>1w</v>
      </c>
      <c r="X2098" s="222">
        <f>_xll.qlCalendarAdvance(Calendar,X2097,W2098,"f",FALSE)</f>
        <v>53533</v>
      </c>
      <c r="Y2098" s="227">
        <f>_xll.qlCalendarAdvance(Calendar,X2098,NDays&amp;"D")</f>
        <v>53533</v>
      </c>
      <c r="Z2098" s="228">
        <v>2.994130706258424E-2</v>
      </c>
      <c r="AA2098" s="230">
        <v>2.992574399660719E-2</v>
      </c>
    </row>
    <row r="2099" spans="19:27" x14ac:dyDescent="0.2">
      <c r="S2099" s="32"/>
      <c r="T2099" s="187"/>
      <c r="W2099" s="221" t="str">
        <f t="shared" si="41"/>
        <v>1w</v>
      </c>
      <c r="X2099" s="222">
        <f>_xll.qlCalendarAdvance(Calendar,X2098,W2099,"f",FALSE)</f>
        <v>53540</v>
      </c>
      <c r="Y2099" s="227">
        <f>_xll.qlCalendarAdvance(Calendar,X2099,NDays&amp;"D")</f>
        <v>53540</v>
      </c>
      <c r="Z2099" s="228">
        <v>2.9930287658872075E-2</v>
      </c>
      <c r="AA2099" s="230">
        <v>2.9915146899087697E-2</v>
      </c>
    </row>
    <row r="2100" spans="19:27" x14ac:dyDescent="0.2">
      <c r="S2100" s="32"/>
      <c r="T2100" s="187"/>
      <c r="W2100" s="221" t="str">
        <f t="shared" si="41"/>
        <v>1w</v>
      </c>
      <c r="X2100" s="222">
        <f>_xll.qlCalendarAdvance(Calendar,X2099,W2100,"f",FALSE)</f>
        <v>53547</v>
      </c>
      <c r="Y2100" s="227">
        <f>_xll.qlCalendarAdvance(Calendar,X2100,NDays&amp;"D")</f>
        <v>53547</v>
      </c>
      <c r="Z2100" s="228">
        <v>2.9919777781520468E-2</v>
      </c>
      <c r="AA2100" s="230">
        <v>2.9904584716387017E-2</v>
      </c>
    </row>
    <row r="2101" spans="19:27" x14ac:dyDescent="0.2">
      <c r="S2101" s="32"/>
      <c r="T2101" s="187"/>
      <c r="W2101" s="221" t="str">
        <f t="shared" si="41"/>
        <v>1w</v>
      </c>
      <c r="X2101" s="222">
        <f>_xll.qlCalendarAdvance(Calendar,X2100,W2101,"f",FALSE)</f>
        <v>53554</v>
      </c>
      <c r="Y2101" s="227">
        <f>_xll.qlCalendarAdvance(Calendar,X2101,NDays&amp;"D")</f>
        <v>53554</v>
      </c>
      <c r="Z2101" s="228">
        <v>2.9909302920224309E-2</v>
      </c>
      <c r="AA2101" s="230">
        <v>2.9894057448505151E-2</v>
      </c>
    </row>
    <row r="2102" spans="19:27" x14ac:dyDescent="0.2">
      <c r="S2102" s="32"/>
      <c r="T2102" s="187"/>
      <c r="W2102" s="221" t="str">
        <f t="shared" si="41"/>
        <v>1w</v>
      </c>
      <c r="X2102" s="222">
        <f>_xll.qlCalendarAdvance(Calendar,X2101,W2102,"f",FALSE)</f>
        <v>53561</v>
      </c>
      <c r="Y2102" s="227">
        <f>_xll.qlCalendarAdvance(Calendar,X2102,NDays&amp;"D")</f>
        <v>53561</v>
      </c>
      <c r="Z2102" s="228">
        <v>2.9898863074887806E-2</v>
      </c>
      <c r="AA2102" s="230">
        <v>2.9883565095685238E-2</v>
      </c>
    </row>
    <row r="2103" spans="19:27" x14ac:dyDescent="0.2">
      <c r="S2103" s="32"/>
      <c r="T2103" s="187"/>
      <c r="W2103" s="221" t="str">
        <f t="shared" si="41"/>
        <v>1w</v>
      </c>
      <c r="X2103" s="222">
        <f>_xll.qlCalendarAdvance(Calendar,X2102,W2103,"f",FALSE)</f>
        <v>53568</v>
      </c>
      <c r="Y2103" s="227">
        <f>_xll.qlCalendarAdvance(Calendar,X2103,NDays&amp;"D")</f>
        <v>53568</v>
      </c>
      <c r="Z2103" s="228">
        <v>2.9887011157682886E-2</v>
      </c>
      <c r="AA2103" s="230">
        <v>2.9873107657522047E-2</v>
      </c>
    </row>
    <row r="2104" spans="19:27" x14ac:dyDescent="0.2">
      <c r="S2104" s="32"/>
      <c r="T2104" s="187"/>
      <c r="W2104" s="221" t="str">
        <f t="shared" si="41"/>
        <v>1w</v>
      </c>
      <c r="X2104" s="222">
        <f>_xll.qlCalendarAdvance(Calendar,X2103,W2104,"f",FALSE)</f>
        <v>53575</v>
      </c>
      <c r="Y2104" s="227">
        <f>_xll.qlCalendarAdvance(Calendar,X2104,NDays&amp;"D")</f>
        <v>53575</v>
      </c>
      <c r="Z2104" s="228">
        <v>2.9876636385880527E-2</v>
      </c>
      <c r="AA2104" s="230">
        <v>2.9862685134258715E-2</v>
      </c>
    </row>
    <row r="2105" spans="19:27" x14ac:dyDescent="0.2">
      <c r="S2105" s="32"/>
      <c r="T2105" s="187"/>
      <c r="W2105" s="221" t="str">
        <f t="shared" si="41"/>
        <v>1w</v>
      </c>
      <c r="X2105" s="222">
        <f>_xll.qlCalendarAdvance(Calendar,X2104,W2105,"f",FALSE)</f>
        <v>53582</v>
      </c>
      <c r="Y2105" s="227">
        <f>_xll.qlCalendarAdvance(Calendar,X2105,NDays&amp;"D")</f>
        <v>53582</v>
      </c>
      <c r="Z2105" s="228">
        <v>2.986629662029287E-2</v>
      </c>
      <c r="AA2105" s="230">
        <v>2.9852297525895244E-2</v>
      </c>
    </row>
    <row r="2106" spans="19:27" x14ac:dyDescent="0.2">
      <c r="S2106" s="32"/>
      <c r="T2106" s="187"/>
      <c r="W2106" s="221" t="str">
        <f t="shared" si="41"/>
        <v>1w</v>
      </c>
      <c r="X2106" s="222">
        <f>_xll.qlCalendarAdvance(Calendar,X2105,W2106,"f",FALSE)</f>
        <v>53589</v>
      </c>
      <c r="Y2106" s="227">
        <f>_xll.qlCalendarAdvance(Calendar,X2106,NDays&amp;"D")</f>
        <v>53589</v>
      </c>
      <c r="Z2106" s="228">
        <v>2.9855991860841573E-2</v>
      </c>
      <c r="AA2106" s="230">
        <v>2.984194483226954E-2</v>
      </c>
    </row>
    <row r="2107" spans="19:27" x14ac:dyDescent="0.2">
      <c r="S2107" s="32"/>
      <c r="T2107" s="187"/>
      <c r="W2107" s="221" t="str">
        <f t="shared" si="41"/>
        <v>1w</v>
      </c>
      <c r="X2107" s="222">
        <f>_xll.qlCalendarAdvance(Calendar,X2106,W2107,"f",FALSE)</f>
        <v>53596</v>
      </c>
      <c r="Y2107" s="227">
        <f>_xll.qlCalendarAdvance(Calendar,X2107,NDays&amp;"D")</f>
        <v>53596</v>
      </c>
      <c r="Z2107" s="228">
        <v>2.9845722107421278E-2</v>
      </c>
      <c r="AA2107" s="230">
        <v>2.9831627053624743E-2</v>
      </c>
    </row>
    <row r="2108" spans="19:27" x14ac:dyDescent="0.2">
      <c r="S2108" s="32"/>
      <c r="T2108" s="187"/>
      <c r="W2108" s="221" t="str">
        <f t="shared" si="41"/>
        <v>1w</v>
      </c>
      <c r="X2108" s="222">
        <f>_xll.qlCalendarAdvance(Calendar,X2107,W2108,"f",FALSE)</f>
        <v>53603</v>
      </c>
      <c r="Y2108" s="227">
        <f>_xll.qlCalendarAdvance(Calendar,X2108,NDays&amp;"D")</f>
        <v>53603</v>
      </c>
      <c r="Z2108" s="228">
        <v>2.9836959332500697E-2</v>
      </c>
      <c r="AA2108" s="230">
        <v>2.9821344189555621E-2</v>
      </c>
    </row>
    <row r="2109" spans="19:27" x14ac:dyDescent="0.2">
      <c r="S2109" s="32"/>
      <c r="T2109" s="187"/>
      <c r="W2109" s="221" t="str">
        <f t="shared" si="41"/>
        <v>1w</v>
      </c>
      <c r="X2109" s="222">
        <f>_xll.qlCalendarAdvance(Calendar,X2108,W2109,"f",FALSE)</f>
        <v>53610</v>
      </c>
      <c r="Y2109" s="227">
        <f>_xll.qlCalendarAdvance(Calendar,X2109,NDays&amp;"D")</f>
        <v>53610</v>
      </c>
      <c r="Z2109" s="228">
        <v>2.9826764596133613E-2</v>
      </c>
      <c r="AA2109" s="230">
        <v>2.9811096240629498E-2</v>
      </c>
    </row>
    <row r="2110" spans="19:27" x14ac:dyDescent="0.2">
      <c r="S2110" s="32"/>
      <c r="T2110" s="187"/>
      <c r="W2110" s="221" t="str">
        <f t="shared" si="41"/>
        <v>1w</v>
      </c>
      <c r="X2110" s="222">
        <f>_xll.qlCalendarAdvance(Calendar,X2109,W2110,"f",FALSE)</f>
        <v>53617</v>
      </c>
      <c r="Y2110" s="227">
        <f>_xll.qlCalendarAdvance(Calendar,X2110,NDays&amp;"D")</f>
        <v>53617</v>
      </c>
      <c r="Z2110" s="228">
        <v>2.9816604874937831E-2</v>
      </c>
      <c r="AA2110" s="230">
        <v>2.9800883206441142E-2</v>
      </c>
    </row>
    <row r="2111" spans="19:27" x14ac:dyDescent="0.2">
      <c r="S2111" s="32"/>
      <c r="T2111" s="187"/>
      <c r="W2111" s="221" t="str">
        <f t="shared" si="41"/>
        <v>1w</v>
      </c>
      <c r="X2111" s="222">
        <f>_xll.qlCalendarAdvance(Calendar,X2110,W2111,"f",FALSE)</f>
        <v>53624</v>
      </c>
      <c r="Y2111" s="227">
        <f>_xll.qlCalendarAdvance(Calendar,X2111,NDays&amp;"D")</f>
        <v>53624</v>
      </c>
      <c r="Z2111" s="228">
        <v>2.9806480168829846E-2</v>
      </c>
      <c r="AA2111" s="230">
        <v>2.9790705086990554E-2</v>
      </c>
    </row>
    <row r="2112" spans="19:27" x14ac:dyDescent="0.2">
      <c r="S2112" s="32"/>
      <c r="T2112" s="187"/>
      <c r="W2112" s="221" t="str">
        <f t="shared" si="41"/>
        <v>1w</v>
      </c>
      <c r="X2112" s="222">
        <f>_xll.qlCalendarAdvance(Calendar,X2111,W2112,"f",FALSE)</f>
        <v>53631</v>
      </c>
      <c r="Y2112" s="227">
        <f>_xll.qlCalendarAdvance(Calendar,X2112,NDays&amp;"D")</f>
        <v>53631</v>
      </c>
      <c r="Z2112" s="228">
        <v>2.979489842786983E-2</v>
      </c>
      <c r="AA2112" s="230">
        <v>2.9780561882439827E-2</v>
      </c>
    </row>
    <row r="2113" spans="19:27" x14ac:dyDescent="0.2">
      <c r="S2113" s="32"/>
      <c r="T2113" s="187"/>
      <c r="W2113" s="221" t="str">
        <f t="shared" si="41"/>
        <v>1w</v>
      </c>
      <c r="X2113" s="222">
        <f>_xll.qlCalendarAdvance(Calendar,X2112,W2113,"f",FALSE)</f>
        <v>53638</v>
      </c>
      <c r="Y2113" s="227">
        <f>_xll.qlCalendarAdvance(Calendar,X2113,NDays&amp;"D")</f>
        <v>53638</v>
      </c>
      <c r="Z2113" s="228">
        <v>2.978483870884711E-2</v>
      </c>
      <c r="AA2113" s="230">
        <v>2.9770453592707913E-2</v>
      </c>
    </row>
    <row r="2114" spans="19:27" x14ac:dyDescent="0.2">
      <c r="S2114" s="32"/>
      <c r="T2114" s="187"/>
      <c r="W2114" s="221" t="str">
        <f t="shared" si="41"/>
        <v>1w</v>
      </c>
      <c r="X2114" s="222">
        <f>_xll.qlCalendarAdvance(Calendar,X2113,W2114,"f",FALSE)</f>
        <v>53645</v>
      </c>
      <c r="Y2114" s="227">
        <f>_xll.qlCalendarAdvance(Calendar,X2114,NDays&amp;"D")</f>
        <v>53645</v>
      </c>
      <c r="Z2114" s="228">
        <v>2.9774813995258352E-2</v>
      </c>
      <c r="AA2114" s="230">
        <v>2.9760380217875859E-2</v>
      </c>
    </row>
    <row r="2115" spans="19:27" x14ac:dyDescent="0.2">
      <c r="S2115" s="32"/>
      <c r="T2115" s="187"/>
      <c r="W2115" s="221" t="str">
        <f t="shared" si="41"/>
        <v>1w</v>
      </c>
      <c r="X2115" s="222">
        <f>_xll.qlCalendarAdvance(Calendar,X2114,W2115,"f",FALSE)</f>
        <v>53652</v>
      </c>
      <c r="Y2115" s="227">
        <f>_xll.qlCalendarAdvance(Calendar,X2115,NDays&amp;"D")</f>
        <v>53652</v>
      </c>
      <c r="Z2115" s="228">
        <v>2.9764824287008995E-2</v>
      </c>
      <c r="AA2115" s="230">
        <v>2.9750341757619481E-2</v>
      </c>
    </row>
    <row r="2116" spans="19:27" x14ac:dyDescent="0.2">
      <c r="S2116" s="32"/>
      <c r="T2116" s="187"/>
      <c r="W2116" s="221" t="str">
        <f t="shared" si="41"/>
        <v>1w</v>
      </c>
      <c r="X2116" s="222">
        <f>_xll.qlCalendarAdvance(Calendar,X2115,W2116,"f",FALSE)</f>
        <v>53659</v>
      </c>
      <c r="Y2116" s="227">
        <f>_xll.qlCalendarAdvance(Calendar,X2116,NDays&amp;"D")</f>
        <v>53659</v>
      </c>
      <c r="Z2116" s="228">
        <v>2.9754869584012598E-2</v>
      </c>
      <c r="AA2116" s="230">
        <v>2.9740338212344009E-2</v>
      </c>
    </row>
    <row r="2117" spans="19:27" x14ac:dyDescent="0.2">
      <c r="S2117" s="32"/>
      <c r="T2117" s="187"/>
      <c r="W2117" s="221" t="str">
        <f t="shared" si="41"/>
        <v>1w</v>
      </c>
      <c r="X2117" s="222">
        <f>_xll.qlCalendarAdvance(Calendar,X2116,W2117,"f",FALSE)</f>
        <v>53666</v>
      </c>
      <c r="Y2117" s="227">
        <f>_xll.qlCalendarAdvance(Calendar,X2117,NDays&amp;"D")</f>
        <v>53666</v>
      </c>
      <c r="Z2117" s="228">
        <v>2.9746467243519488E-2</v>
      </c>
      <c r="AA2117" s="230">
        <v>2.9730369581806304E-2</v>
      </c>
    </row>
    <row r="2118" spans="19:27" x14ac:dyDescent="0.2">
      <c r="S2118" s="32"/>
      <c r="T2118" s="187"/>
      <c r="W2118" s="221" t="str">
        <f t="shared" si="41"/>
        <v>1w</v>
      </c>
      <c r="X2118" s="222">
        <f>_xll.qlCalendarAdvance(Calendar,X2117,W2118,"f",FALSE)</f>
        <v>53673</v>
      </c>
      <c r="Y2118" s="227">
        <f>_xll.qlCalendarAdvance(Calendar,X2118,NDays&amp;"D")</f>
        <v>53673</v>
      </c>
      <c r="Z2118" s="228">
        <v>2.973658764031473E-2</v>
      </c>
      <c r="AA2118" s="230">
        <v>2.9720435866087414E-2</v>
      </c>
    </row>
    <row r="2119" spans="19:27" x14ac:dyDescent="0.2">
      <c r="S2119" s="32"/>
      <c r="T2119" s="187"/>
      <c r="W2119" s="221" t="str">
        <f t="shared" si="41"/>
        <v>1w</v>
      </c>
      <c r="X2119" s="222">
        <f>_xll.qlCalendarAdvance(Calendar,X2118,W2119,"f",FALSE)</f>
        <v>53680</v>
      </c>
      <c r="Y2119" s="227">
        <f>_xll.qlCalendarAdvance(Calendar,X2119,NDays&amp;"D")</f>
        <v>53680</v>
      </c>
      <c r="Z2119" s="228">
        <v>2.9726743051429059E-2</v>
      </c>
      <c r="AA2119" s="230">
        <v>2.9710537065268383E-2</v>
      </c>
    </row>
    <row r="2120" spans="19:27" x14ac:dyDescent="0.2">
      <c r="S2120" s="32"/>
      <c r="T2120" s="187"/>
      <c r="W2120" s="221" t="str">
        <f t="shared" si="41"/>
        <v>1w</v>
      </c>
      <c r="X2120" s="222">
        <f>_xll.qlCalendarAdvance(Calendar,X2119,W2120,"f",FALSE)</f>
        <v>53688</v>
      </c>
      <c r="Y2120" s="227">
        <f>_xll.qlCalendarAdvance(Calendar,X2120,NDays&amp;"D")</f>
        <v>53688</v>
      </c>
      <c r="Z2120" s="228">
        <v>2.9715023648865246E-2</v>
      </c>
      <c r="AA2120" s="230">
        <v>2.9699266902781796E-2</v>
      </c>
    </row>
    <row r="2121" spans="19:27" x14ac:dyDescent="0.2">
      <c r="S2121" s="32"/>
      <c r="T2121" s="187"/>
      <c r="W2121" s="221" t="str">
        <f t="shared" si="41"/>
        <v>1w</v>
      </c>
      <c r="X2121" s="222">
        <f>_xll.qlCalendarAdvance(Calendar,X2120,W2121,"f",FALSE)</f>
        <v>53695</v>
      </c>
      <c r="Y2121" s="227">
        <f>_xll.qlCalendarAdvance(Calendar,X2121,NDays&amp;"D")</f>
        <v>53695</v>
      </c>
      <c r="Z2121" s="228">
        <v>2.97052523837147E-2</v>
      </c>
      <c r="AA2121" s="230">
        <v>2.9689442919350606E-2</v>
      </c>
    </row>
    <row r="2122" spans="19:27" x14ac:dyDescent="0.2">
      <c r="S2122" s="32"/>
      <c r="T2122" s="187"/>
      <c r="W2122" s="221" t="str">
        <f t="shared" si="41"/>
        <v>1w</v>
      </c>
      <c r="X2122" s="222">
        <f>_xll.qlCalendarAdvance(Calendar,X2121,W2122,"f",FALSE)</f>
        <v>53702</v>
      </c>
      <c r="Y2122" s="227">
        <f>_xll.qlCalendarAdvance(Calendar,X2122,NDays&amp;"D")</f>
        <v>53702</v>
      </c>
      <c r="Z2122" s="228">
        <v>2.9695516129498792E-2</v>
      </c>
      <c r="AA2122" s="230">
        <v>2.967965385073823E-2</v>
      </c>
    </row>
    <row r="2123" spans="19:27" x14ac:dyDescent="0.2">
      <c r="S2123" s="32"/>
      <c r="T2123" s="187"/>
      <c r="W2123" s="221" t="str">
        <f t="shared" si="41"/>
        <v>1w</v>
      </c>
      <c r="X2123" s="222">
        <f>_xll.qlCalendarAdvance(Calendar,X2122,W2123,"f",FALSE)</f>
        <v>53709</v>
      </c>
      <c r="Y2123" s="227">
        <f>_xll.qlCalendarAdvance(Calendar,X2123,NDays&amp;"D")</f>
        <v>53709</v>
      </c>
      <c r="Z2123" s="228">
        <v>2.9685814886118746E-2</v>
      </c>
      <c r="AA2123" s="230">
        <v>2.9669899696782576E-2</v>
      </c>
    </row>
    <row r="2124" spans="19:27" x14ac:dyDescent="0.2">
      <c r="S2124" s="32"/>
      <c r="T2124" s="187"/>
      <c r="W2124" s="221" t="str">
        <f t="shared" si="41"/>
        <v>1w</v>
      </c>
      <c r="X2124" s="222">
        <f>_xll.qlCalendarAdvance(Calendar,X2123,W2124,"f",FALSE)</f>
        <v>53716</v>
      </c>
      <c r="Y2124" s="227">
        <f>_xll.qlCalendarAdvance(Calendar,X2124,NDays&amp;"D")</f>
        <v>53716</v>
      </c>
      <c r="Z2124" s="228">
        <v>2.9676148653496048E-2</v>
      </c>
      <c r="AA2124" s="230">
        <v>2.9660180457807828E-2</v>
      </c>
    </row>
    <row r="2125" spans="19:27" x14ac:dyDescent="0.2">
      <c r="S2125" s="32"/>
      <c r="T2125" s="187"/>
      <c r="W2125" s="221" t="str">
        <f t="shared" si="41"/>
        <v>1w</v>
      </c>
      <c r="X2125" s="222">
        <f>_xll.qlCalendarAdvance(Calendar,X2124,W2125,"f",FALSE)</f>
        <v>53723</v>
      </c>
      <c r="Y2125" s="227">
        <f>_xll.qlCalendarAdvance(Calendar,X2125,NDays&amp;"D")</f>
        <v>53723</v>
      </c>
      <c r="Z2125" s="228">
        <v>2.9664439822405082E-2</v>
      </c>
      <c r="AA2125" s="230">
        <v>2.9650496133489801E-2</v>
      </c>
    </row>
    <row r="2126" spans="19:27" x14ac:dyDescent="0.2">
      <c r="S2126" s="32"/>
      <c r="T2126" s="187"/>
      <c r="W2126" s="221" t="str">
        <f t="shared" si="41"/>
        <v>1w</v>
      </c>
      <c r="X2126" s="222">
        <f>_xll.qlCalendarAdvance(Calendar,X2125,W2126,"f",FALSE)</f>
        <v>53730</v>
      </c>
      <c r="Y2126" s="227">
        <f>_xll.qlCalendarAdvance(Calendar,X2126,NDays&amp;"D")</f>
        <v>53730</v>
      </c>
      <c r="Z2126" s="228">
        <v>2.9654836726342802E-2</v>
      </c>
      <c r="AA2126" s="230">
        <v>2.9640846724152681E-2</v>
      </c>
    </row>
    <row r="2127" spans="19:27" x14ac:dyDescent="0.2">
      <c r="S2127" s="32"/>
      <c r="T2127" s="187"/>
      <c r="W2127" s="221" t="str">
        <f t="shared" si="41"/>
        <v>1w</v>
      </c>
      <c r="X2127" s="222">
        <f>_xll.qlCalendarAdvance(Calendar,X2126,W2127,"f",FALSE)</f>
        <v>53737</v>
      </c>
      <c r="Y2127" s="227">
        <f>_xll.qlCalendarAdvance(Calendar,X2127,NDays&amp;"D")</f>
        <v>53737</v>
      </c>
      <c r="Z2127" s="228">
        <v>2.9645268628426494E-2</v>
      </c>
      <c r="AA2127" s="230">
        <v>2.9631232229310189E-2</v>
      </c>
    </row>
    <row r="2128" spans="19:27" x14ac:dyDescent="0.2">
      <c r="S2128" s="32"/>
      <c r="T2128" s="187"/>
      <c r="W2128" s="221" t="str">
        <f t="shared" si="41"/>
        <v>1w</v>
      </c>
      <c r="X2128" s="222">
        <f>_xll.qlCalendarAdvance(Calendar,X2127,W2128,"f",FALSE)</f>
        <v>53744</v>
      </c>
      <c r="Y2128" s="227">
        <f>_xll.qlCalendarAdvance(Calendar,X2128,NDays&amp;"D")</f>
        <v>53744</v>
      </c>
      <c r="Z2128" s="228">
        <v>2.9635735528578001E-2</v>
      </c>
      <c r="AA2128" s="230">
        <v>2.9621652649448604E-2</v>
      </c>
    </row>
    <row r="2129" spans="19:27" x14ac:dyDescent="0.2">
      <c r="S2129" s="32"/>
      <c r="T2129" s="187"/>
      <c r="W2129" s="221" t="str">
        <f t="shared" si="41"/>
        <v>1w</v>
      </c>
      <c r="X2129" s="222">
        <f>_xll.qlCalendarAdvance(Calendar,X2128,W2129,"f",FALSE)</f>
        <v>53751</v>
      </c>
      <c r="Y2129" s="227">
        <f>_xll.qlCalendarAdvance(Calendar,X2129,NDays&amp;"D")</f>
        <v>53751</v>
      </c>
      <c r="Z2129" s="228">
        <v>2.9626763441838892E-2</v>
      </c>
      <c r="AA2129" s="230">
        <v>2.9612107984324787E-2</v>
      </c>
    </row>
    <row r="2130" spans="19:27" x14ac:dyDescent="0.2">
      <c r="S2130" s="32"/>
      <c r="T2130" s="187"/>
      <c r="W2130" s="221" t="str">
        <f t="shared" si="41"/>
        <v>1w</v>
      </c>
      <c r="X2130" s="222">
        <f>_xll.qlCalendarAdvance(Calendar,X2129,W2130,"f",FALSE)</f>
        <v>53758</v>
      </c>
      <c r="Y2130" s="227">
        <f>_xll.qlCalendarAdvance(Calendar,X2130,NDays&amp;"D")</f>
        <v>53758</v>
      </c>
      <c r="Z2130" s="228">
        <v>2.9618886478657049E-2</v>
      </c>
      <c r="AA2130" s="230">
        <v>2.9602598234019784E-2</v>
      </c>
    </row>
    <row r="2131" spans="19:27" x14ac:dyDescent="0.2">
      <c r="S2131" s="32"/>
      <c r="T2131" s="187"/>
      <c r="W2131" s="221" t="str">
        <f t="shared" si="41"/>
        <v>1w</v>
      </c>
      <c r="X2131" s="222">
        <f>_xll.qlCalendarAdvance(Calendar,X2130,W2131,"f",FALSE)</f>
        <v>53765</v>
      </c>
      <c r="Y2131" s="227">
        <f>_xll.qlCalendarAdvance(Calendar,X2131,NDays&amp;"D")</f>
        <v>53765</v>
      </c>
      <c r="Z2131" s="228">
        <v>2.9609995580370165E-2</v>
      </c>
      <c r="AA2131" s="230">
        <v>2.9593123398371501E-2</v>
      </c>
    </row>
    <row r="2132" spans="19:27" x14ac:dyDescent="0.2">
      <c r="S2132" s="32"/>
      <c r="T2132" s="187"/>
      <c r="W2132" s="221" t="str">
        <f t="shared" si="41"/>
        <v>1w</v>
      </c>
      <c r="X2132" s="222">
        <f>_xll.qlCalendarAdvance(Calendar,X2131,W2132,"f",FALSE)</f>
        <v>53772</v>
      </c>
      <c r="Y2132" s="227">
        <f>_xll.qlCalendarAdvance(Calendar,X2132,NDays&amp;"D")</f>
        <v>53772</v>
      </c>
      <c r="Z2132" s="228">
        <v>2.9600079169088515E-2</v>
      </c>
      <c r="AA2132" s="230">
        <v>2.9583683477460987E-2</v>
      </c>
    </row>
    <row r="2133" spans="19:27" x14ac:dyDescent="0.2">
      <c r="S2133" s="32"/>
      <c r="T2133" s="187"/>
      <c r="W2133" s="221" t="str">
        <f t="shared" ref="W2133:W2196" si="42">W2132</f>
        <v>1w</v>
      </c>
      <c r="X2133" s="222">
        <f>_xll.qlCalendarAdvance(Calendar,X2132,W2133,"f",FALSE)</f>
        <v>53779</v>
      </c>
      <c r="Y2133" s="227">
        <f>_xll.qlCalendarAdvance(Calendar,X2133,NDays&amp;"D")</f>
        <v>53779</v>
      </c>
      <c r="Z2133" s="228">
        <v>2.9590728029298026E-2</v>
      </c>
      <c r="AA2133" s="230">
        <v>2.9574278471450333E-2</v>
      </c>
    </row>
    <row r="2134" spans="19:27" x14ac:dyDescent="0.2">
      <c r="S2134" s="32"/>
      <c r="T2134" s="187"/>
      <c r="W2134" s="221" t="str">
        <f t="shared" si="42"/>
        <v>1w</v>
      </c>
      <c r="X2134" s="222">
        <f>_xll.qlCalendarAdvance(Calendar,X2133,W2134,"f",FALSE)</f>
        <v>53786</v>
      </c>
      <c r="Y2134" s="227">
        <f>_xll.qlCalendarAdvance(Calendar,X2134,NDays&amp;"D")</f>
        <v>53786</v>
      </c>
      <c r="Z2134" s="228">
        <v>2.9581947391882996E-2</v>
      </c>
      <c r="AA2134" s="230">
        <v>2.9564908380177446E-2</v>
      </c>
    </row>
    <row r="2135" spans="19:27" x14ac:dyDescent="0.2">
      <c r="S2135" s="32"/>
      <c r="T2135" s="187"/>
      <c r="W2135" s="221" t="str">
        <f t="shared" si="42"/>
        <v>1w</v>
      </c>
      <c r="X2135" s="222">
        <f>_xll.qlCalendarAdvance(Calendar,X2134,W2135,"f",FALSE)</f>
        <v>53793</v>
      </c>
      <c r="Y2135" s="227">
        <f>_xll.qlCalendarAdvance(Calendar,X2135,NDays&amp;"D")</f>
        <v>53793</v>
      </c>
      <c r="Z2135" s="228">
        <v>2.957213077927151E-2</v>
      </c>
      <c r="AA2135" s="230">
        <v>2.9557699137840787E-2</v>
      </c>
    </row>
    <row r="2136" spans="19:27" x14ac:dyDescent="0.2">
      <c r="S2136" s="32"/>
      <c r="T2136" s="187"/>
      <c r="W2136" s="221" t="str">
        <f t="shared" si="42"/>
        <v>1w</v>
      </c>
      <c r="X2136" s="222">
        <f>_xll.qlCalendarAdvance(Calendar,X2135,W2136,"f",FALSE)</f>
        <v>53800</v>
      </c>
      <c r="Y2136" s="227">
        <f>_xll.qlCalendarAdvance(Calendar,X2136,NDays&amp;"D")</f>
        <v>53800</v>
      </c>
      <c r="Z2136" s="228">
        <v>2.9562884668868326E-2</v>
      </c>
      <c r="AA2136" s="230">
        <v>2.9546272941763929E-2</v>
      </c>
    </row>
    <row r="2137" spans="19:27" x14ac:dyDescent="0.2">
      <c r="S2137" s="32"/>
      <c r="T2137" s="187"/>
      <c r="W2137" s="221" t="str">
        <f t="shared" si="42"/>
        <v>1w</v>
      </c>
      <c r="X2137" s="222">
        <f>_xll.qlCalendarAdvance(Calendar,X2136,W2137,"f",FALSE)</f>
        <v>53807</v>
      </c>
      <c r="Y2137" s="227">
        <f>_xll.qlCalendarAdvance(Calendar,X2137,NDays&amp;"D")</f>
        <v>53807</v>
      </c>
      <c r="Z2137" s="228">
        <v>2.9554214319125832E-2</v>
      </c>
      <c r="AA2137" s="230">
        <v>2.9537007594623299E-2</v>
      </c>
    </row>
    <row r="2138" spans="19:27" x14ac:dyDescent="0.2">
      <c r="S2138" s="32"/>
      <c r="T2138" s="187"/>
      <c r="W2138" s="221" t="str">
        <f t="shared" si="42"/>
        <v>1w</v>
      </c>
      <c r="X2138" s="222">
        <f>_xll.qlCalendarAdvance(Calendar,X2137,W2138,"f",FALSE)</f>
        <v>53814</v>
      </c>
      <c r="Y2138" s="227">
        <f>_xll.qlCalendarAdvance(Calendar,X2138,NDays&amp;"D")</f>
        <v>53814</v>
      </c>
      <c r="Z2138" s="228">
        <v>2.9544497476849015E-2</v>
      </c>
      <c r="AA2138" s="230">
        <v>2.9527777162463575E-2</v>
      </c>
    </row>
    <row r="2139" spans="19:27" x14ac:dyDescent="0.2">
      <c r="S2139" s="32"/>
      <c r="T2139" s="187"/>
      <c r="W2139" s="221" t="str">
        <f t="shared" si="42"/>
        <v>1w</v>
      </c>
      <c r="X2139" s="222">
        <f>_xll.qlCalendarAdvance(Calendar,X2138,W2139,"f",FALSE)</f>
        <v>53821</v>
      </c>
      <c r="Y2139" s="227">
        <f>_xll.qlCalendarAdvance(Calendar,X2139,NDays&amp;"D")</f>
        <v>53821</v>
      </c>
      <c r="Z2139" s="228">
        <v>2.9535356395070794E-2</v>
      </c>
      <c r="AA2139" s="230">
        <v>2.9518581644960573E-2</v>
      </c>
    </row>
    <row r="2140" spans="19:27" x14ac:dyDescent="0.2">
      <c r="S2140" s="32"/>
      <c r="T2140" s="187"/>
      <c r="W2140" s="221" t="str">
        <f t="shared" si="42"/>
        <v>1w</v>
      </c>
      <c r="X2140" s="222">
        <f>_xll.qlCalendarAdvance(Calendar,X2139,W2140,"f",FALSE)</f>
        <v>53828</v>
      </c>
      <c r="Y2140" s="227">
        <f>_xll.qlCalendarAdvance(Calendar,X2140,NDays&amp;"D")</f>
        <v>53828</v>
      </c>
      <c r="Z2140" s="228">
        <v>2.9526250322662005E-2</v>
      </c>
      <c r="AA2140" s="230">
        <v>2.9509421042114292E-2</v>
      </c>
    </row>
    <row r="2141" spans="19:27" x14ac:dyDescent="0.2">
      <c r="S2141" s="32"/>
      <c r="T2141" s="187"/>
      <c r="W2141" s="221" t="str">
        <f t="shared" si="42"/>
        <v>1w</v>
      </c>
      <c r="X2141" s="222">
        <f>_xll.qlCalendarAdvance(Calendar,X2140,W2141,"f",FALSE)</f>
        <v>53835</v>
      </c>
      <c r="Y2141" s="227">
        <f>_xll.qlCalendarAdvance(Calendar,X2141,NDays&amp;"D")</f>
        <v>53835</v>
      </c>
      <c r="Z2141" s="228">
        <v>2.9517179259536536E-2</v>
      </c>
      <c r="AA2141" s="230">
        <v>2.9500295354005779E-2</v>
      </c>
    </row>
    <row r="2142" spans="19:27" x14ac:dyDescent="0.2">
      <c r="S2142" s="32"/>
      <c r="T2142" s="187"/>
      <c r="W2142" s="221" t="str">
        <f t="shared" si="42"/>
        <v>1w</v>
      </c>
      <c r="X2142" s="222">
        <f>_xll.qlCalendarAdvance(Calendar,X2141,W2142,"f",FALSE)</f>
        <v>53842</v>
      </c>
      <c r="Y2142" s="227">
        <f>_xll.qlCalendarAdvance(Calendar,X2142,NDays&amp;"D")</f>
        <v>53842</v>
      </c>
      <c r="Z2142" s="228">
        <v>2.9506495667897821E-2</v>
      </c>
      <c r="AA2142" s="230">
        <v>2.9491204580716079E-2</v>
      </c>
    </row>
    <row r="2143" spans="19:27" x14ac:dyDescent="0.2">
      <c r="S2143" s="32"/>
      <c r="T2143" s="187"/>
      <c r="W2143" s="221" t="str">
        <f t="shared" si="42"/>
        <v>1w</v>
      </c>
      <c r="X2143" s="222">
        <f>_xll.qlCalendarAdvance(Calendar,X2142,W2143,"f",FALSE)</f>
        <v>53849</v>
      </c>
      <c r="Y2143" s="227">
        <f>_xll.qlCalendarAdvance(Calendar,X2143,NDays&amp;"D")</f>
        <v>53849</v>
      </c>
      <c r="Z2143" s="228">
        <v>2.9499142160834164E-2</v>
      </c>
      <c r="AA2143" s="230">
        <v>2.9482148722245194E-2</v>
      </c>
    </row>
    <row r="2144" spans="19:27" x14ac:dyDescent="0.2">
      <c r="S2144" s="32"/>
      <c r="T2144" s="187"/>
      <c r="W2144" s="221" t="str">
        <f t="shared" si="42"/>
        <v>1w</v>
      </c>
      <c r="X2144" s="222">
        <f>_xll.qlCalendarAdvance(Calendar,X2143,W2144,"f",FALSE)</f>
        <v>53856</v>
      </c>
      <c r="Y2144" s="227">
        <f>_xll.qlCalendarAdvance(Calendar,X2144,NDays&amp;"D")</f>
        <v>53856</v>
      </c>
      <c r="Z2144" s="228">
        <v>2.9490176125082507E-2</v>
      </c>
      <c r="AA2144" s="230">
        <v>2.947312777843103E-2</v>
      </c>
    </row>
    <row r="2145" spans="19:27" x14ac:dyDescent="0.2">
      <c r="S2145" s="32"/>
      <c r="T2145" s="187"/>
      <c r="W2145" s="221" t="str">
        <f t="shared" si="42"/>
        <v>1w</v>
      </c>
      <c r="X2145" s="222">
        <f>_xll.qlCalendarAdvance(Calendar,X2144,W2145,"f",FALSE)</f>
        <v>53863</v>
      </c>
      <c r="Y2145" s="227">
        <f>_xll.qlCalendarAdvance(Calendar,X2145,NDays&amp;"D")</f>
        <v>53863</v>
      </c>
      <c r="Z2145" s="228">
        <v>2.9481245098287451E-2</v>
      </c>
      <c r="AA2145" s="230">
        <v>2.9464141749354633E-2</v>
      </c>
    </row>
    <row r="2146" spans="19:27" x14ac:dyDescent="0.2">
      <c r="S2146" s="32"/>
      <c r="T2146" s="187"/>
      <c r="W2146" s="221" t="str">
        <f t="shared" si="42"/>
        <v>1w</v>
      </c>
      <c r="X2146" s="222">
        <f>_xll.qlCalendarAdvance(Calendar,X2145,W2146,"f",FALSE)</f>
        <v>53870</v>
      </c>
      <c r="Y2146" s="227">
        <f>_xll.qlCalendarAdvance(Calendar,X2146,NDays&amp;"D")</f>
        <v>53870</v>
      </c>
      <c r="Z2146" s="228">
        <v>2.9472349080365418E-2</v>
      </c>
      <c r="AA2146" s="230">
        <v>2.9455190634934958E-2</v>
      </c>
    </row>
    <row r="2147" spans="19:27" x14ac:dyDescent="0.2">
      <c r="S2147" s="32"/>
      <c r="T2147" s="187"/>
      <c r="W2147" s="221" t="str">
        <f t="shared" si="42"/>
        <v>1w</v>
      </c>
      <c r="X2147" s="222">
        <f>_xll.qlCalendarAdvance(Calendar,X2146,W2147,"f",FALSE)</f>
        <v>53877</v>
      </c>
      <c r="Y2147" s="227">
        <f>_xll.qlCalendarAdvance(Calendar,X2147,NDays&amp;"D")</f>
        <v>53877</v>
      </c>
      <c r="Z2147" s="228">
        <v>2.9463488071240426E-2</v>
      </c>
      <c r="AA2147" s="230">
        <v>2.9446274435415143E-2</v>
      </c>
    </row>
    <row r="2148" spans="19:27" x14ac:dyDescent="0.2">
      <c r="S2148" s="32"/>
      <c r="T2148" s="187"/>
      <c r="W2148" s="221" t="str">
        <f t="shared" si="42"/>
        <v>1w</v>
      </c>
      <c r="X2148" s="222">
        <f>_xll.qlCalendarAdvance(Calendar,X2147,W2148,"f",FALSE)</f>
        <v>53884</v>
      </c>
      <c r="Y2148" s="227">
        <f>_xll.qlCalendarAdvance(Calendar,X2148,NDays&amp;"D")</f>
        <v>53884</v>
      </c>
      <c r="Z2148" s="228">
        <v>2.9454662070831431E-2</v>
      </c>
      <c r="AA2148" s="230">
        <v>2.9437393150552049E-2</v>
      </c>
    </row>
    <row r="2149" spans="19:27" x14ac:dyDescent="0.2">
      <c r="S2149" s="32"/>
      <c r="T2149" s="187"/>
      <c r="W2149" s="221" t="str">
        <f t="shared" si="42"/>
        <v>1w</v>
      </c>
      <c r="X2149" s="222">
        <f>_xll.qlCalendarAdvance(Calendar,X2148,W2149,"f",FALSE)</f>
        <v>53891</v>
      </c>
      <c r="Y2149" s="227">
        <f>_xll.qlCalendarAdvance(Calendar,X2149,NDays&amp;"D")</f>
        <v>53891</v>
      </c>
      <c r="Z2149" s="228">
        <v>2.9445871079047253E-2</v>
      </c>
      <c r="AA2149" s="230">
        <v>2.9428546780183584E-2</v>
      </c>
    </row>
    <row r="2150" spans="19:27" x14ac:dyDescent="0.2">
      <c r="S2150" s="32"/>
      <c r="T2150" s="187"/>
      <c r="W2150" s="221" t="str">
        <f t="shared" si="42"/>
        <v>1w</v>
      </c>
      <c r="X2150" s="222">
        <f>_xll.qlCalendarAdvance(Calendar,X2149,W2150,"f",FALSE)</f>
        <v>53898</v>
      </c>
      <c r="Y2150" s="227">
        <f>_xll.qlCalendarAdvance(Calendar,X2150,NDays&amp;"D")</f>
        <v>53898</v>
      </c>
      <c r="Z2150" s="228">
        <v>2.9437678950783776E-2</v>
      </c>
      <c r="AA2150" s="230">
        <v>2.9419735324796026E-2</v>
      </c>
    </row>
    <row r="2151" spans="19:27" x14ac:dyDescent="0.2">
      <c r="S2151" s="32"/>
      <c r="T2151" s="187"/>
      <c r="W2151" s="221" t="str">
        <f t="shared" si="42"/>
        <v>1w</v>
      </c>
      <c r="X2151" s="222">
        <f>_xll.qlCalendarAdvance(Calendar,X2150,W2151,"f",FALSE)</f>
        <v>53905</v>
      </c>
      <c r="Y2151" s="227">
        <f>_xll.qlCalendarAdvance(Calendar,X2151,NDays&amp;"D")</f>
        <v>53905</v>
      </c>
      <c r="Z2151" s="228">
        <v>2.9428394121059562E-2</v>
      </c>
      <c r="AA2151" s="230">
        <v>2.9410958784146235E-2</v>
      </c>
    </row>
    <row r="2152" spans="19:27" x14ac:dyDescent="0.2">
      <c r="S2152" s="32"/>
      <c r="T2152" s="187"/>
      <c r="W2152" s="221" t="str">
        <f t="shared" si="42"/>
        <v>1w</v>
      </c>
      <c r="X2152" s="222">
        <f>_xll.qlCalendarAdvance(Calendar,X2151,W2152,"f",FALSE)</f>
        <v>53912</v>
      </c>
      <c r="Y2152" s="227">
        <f>_xll.qlCalendarAdvance(Calendar,X2152,NDays&amp;"D")</f>
        <v>53912</v>
      </c>
      <c r="Z2152" s="228">
        <v>2.9419708154686357E-2</v>
      </c>
      <c r="AA2152" s="230">
        <v>2.9402217158072119E-2</v>
      </c>
    </row>
    <row r="2153" spans="19:27" x14ac:dyDescent="0.2">
      <c r="S2153" s="32"/>
      <c r="T2153" s="187"/>
      <c r="W2153" s="221" t="str">
        <f t="shared" si="42"/>
        <v>1w</v>
      </c>
      <c r="X2153" s="222">
        <f>_xll.qlCalendarAdvance(Calendar,X2152,W2153,"f",FALSE)</f>
        <v>53919</v>
      </c>
      <c r="Y2153" s="227">
        <f>_xll.qlCalendarAdvance(Calendar,X2153,NDays&amp;"D")</f>
        <v>53919</v>
      </c>
      <c r="Z2153" s="228">
        <v>2.9411057196626449E-2</v>
      </c>
      <c r="AA2153" s="230">
        <v>2.9393510446735771E-2</v>
      </c>
    </row>
    <row r="2154" spans="19:27" x14ac:dyDescent="0.2">
      <c r="S2154" s="32"/>
      <c r="T2154" s="187"/>
      <c r="W2154" s="221" t="str">
        <f t="shared" si="42"/>
        <v>1w</v>
      </c>
      <c r="X2154" s="222">
        <f>_xll.qlCalendarAdvance(Calendar,X2153,W2154,"f",FALSE)</f>
        <v>53926</v>
      </c>
      <c r="Y2154" s="227">
        <f>_xll.qlCalendarAdvance(Calendar,X2154,NDays&amp;"D")</f>
        <v>53926</v>
      </c>
      <c r="Z2154" s="228">
        <v>2.9402441246801324E-2</v>
      </c>
      <c r="AA2154" s="230">
        <v>2.9384838650218237E-2</v>
      </c>
    </row>
    <row r="2155" spans="19:27" x14ac:dyDescent="0.2">
      <c r="S2155" s="32"/>
      <c r="T2155" s="187"/>
      <c r="W2155" s="221" t="str">
        <f t="shared" si="42"/>
        <v>1w</v>
      </c>
      <c r="X2155" s="222">
        <f>_xll.qlCalendarAdvance(Calendar,X2154,W2155,"f",FALSE)</f>
        <v>53933</v>
      </c>
      <c r="Y2155" s="227">
        <f>_xll.qlCalendarAdvance(Calendar,X2155,NDays&amp;"D")</f>
        <v>53933</v>
      </c>
      <c r="Z2155" s="228">
        <v>2.9393860305124871E-2</v>
      </c>
      <c r="AA2155" s="230">
        <v>2.9376201768357424E-2</v>
      </c>
    </row>
    <row r="2156" spans="19:27" x14ac:dyDescent="0.2">
      <c r="S2156" s="32"/>
      <c r="T2156" s="187"/>
      <c r="W2156" s="221" t="str">
        <f t="shared" si="42"/>
        <v>1w</v>
      </c>
      <c r="X2156" s="222">
        <f>_xll.qlCalendarAdvance(Calendar,X2155,W2156,"f",FALSE)</f>
        <v>53940</v>
      </c>
      <c r="Y2156" s="227">
        <f>_xll.qlCalendarAdvance(Calendar,X2156,NDays&amp;"D")</f>
        <v>53940</v>
      </c>
      <c r="Z2156" s="228">
        <v>2.9385314371518576E-2</v>
      </c>
      <c r="AA2156" s="230">
        <v>2.9367599801072286E-2</v>
      </c>
    </row>
    <row r="2157" spans="19:27" x14ac:dyDescent="0.2">
      <c r="S2157" s="32"/>
      <c r="T2157" s="187"/>
      <c r="W2157" s="221" t="str">
        <f t="shared" si="42"/>
        <v>1w</v>
      </c>
      <c r="X2157" s="222">
        <f>_xll.qlCalendarAdvance(Calendar,X2156,W2157,"f",FALSE)</f>
        <v>53947</v>
      </c>
      <c r="Y2157" s="227">
        <f>_xll.qlCalendarAdvance(Calendar,X2157,NDays&amp;"D")</f>
        <v>53947</v>
      </c>
      <c r="Z2157" s="228">
        <v>2.937680344590899E-2</v>
      </c>
      <c r="AA2157" s="230">
        <v>2.9359032748687008E-2</v>
      </c>
    </row>
    <row r="2158" spans="19:27" x14ac:dyDescent="0.2">
      <c r="S2158" s="32"/>
      <c r="T2158" s="187"/>
      <c r="W2158" s="221" t="str">
        <f t="shared" si="42"/>
        <v>1w</v>
      </c>
      <c r="X2158" s="222">
        <f>_xll.qlCalendarAdvance(Calendar,X2157,W2158,"f",FALSE)</f>
        <v>53954</v>
      </c>
      <c r="Y2158" s="227">
        <f>_xll.qlCalendarAdvance(Calendar,X2158,NDays&amp;"D")</f>
        <v>53954</v>
      </c>
      <c r="Z2158" s="228">
        <v>2.9368327528220134E-2</v>
      </c>
      <c r="AA2158" s="230">
        <v>2.9350500610877406E-2</v>
      </c>
    </row>
    <row r="2159" spans="19:27" x14ac:dyDescent="0.2">
      <c r="S2159" s="32"/>
      <c r="T2159" s="187"/>
      <c r="W2159" s="221" t="str">
        <f t="shared" si="42"/>
        <v>1w</v>
      </c>
      <c r="X2159" s="222">
        <f>_xll.qlCalendarAdvance(Calendar,X2158,W2159,"f",FALSE)</f>
        <v>53961</v>
      </c>
      <c r="Y2159" s="227">
        <f>_xll.qlCalendarAdvance(Calendar,X2159,NDays&amp;"D")</f>
        <v>53961</v>
      </c>
      <c r="Z2159" s="228">
        <v>2.9359886618368428E-2</v>
      </c>
      <c r="AA2159" s="230">
        <v>2.9342003387805571E-2</v>
      </c>
    </row>
    <row r="2160" spans="19:27" x14ac:dyDescent="0.2">
      <c r="S2160" s="32"/>
      <c r="T2160" s="187"/>
      <c r="W2160" s="221" t="str">
        <f t="shared" si="42"/>
        <v>1w</v>
      </c>
      <c r="X2160" s="222">
        <f>_xll.qlCalendarAdvance(Calendar,X2159,W2160,"f",FALSE)</f>
        <v>53968</v>
      </c>
      <c r="Y2160" s="227">
        <f>_xll.qlCalendarAdvance(Calendar,X2160,NDays&amp;"D")</f>
        <v>53968</v>
      </c>
      <c r="Z2160" s="228">
        <v>2.9351480716270292E-2</v>
      </c>
      <c r="AA2160" s="230">
        <v>2.9333541079390457E-2</v>
      </c>
    </row>
    <row r="2161" spans="19:27" x14ac:dyDescent="0.2">
      <c r="S2161" s="32"/>
      <c r="T2161" s="187"/>
      <c r="W2161" s="221" t="str">
        <f t="shared" si="42"/>
        <v>1w</v>
      </c>
      <c r="X2161" s="222">
        <f>_xll.qlCalendarAdvance(Calendar,X2160,W2161,"f",FALSE)</f>
        <v>53975</v>
      </c>
      <c r="Y2161" s="227">
        <f>_xll.qlCalendarAdvance(Calendar,X2161,NDays&amp;"D")</f>
        <v>53975</v>
      </c>
      <c r="Z2161" s="228">
        <v>2.9343109821867476E-2</v>
      </c>
      <c r="AA2161" s="230">
        <v>2.9325113685794157E-2</v>
      </c>
    </row>
    <row r="2162" spans="19:27" x14ac:dyDescent="0.2">
      <c r="S2162" s="32"/>
      <c r="T2162" s="187"/>
      <c r="W2162" s="221" t="str">
        <f t="shared" si="42"/>
        <v>1w</v>
      </c>
      <c r="X2162" s="222">
        <f>_xll.qlCalendarAdvance(Calendar,X2161,W2162,"f",FALSE)</f>
        <v>53982</v>
      </c>
      <c r="Y2162" s="227">
        <f>_xll.qlCalendarAdvance(Calendar,X2162,NDays&amp;"D")</f>
        <v>53982</v>
      </c>
      <c r="Z2162" s="228">
        <v>2.9334773935068802E-2</v>
      </c>
      <c r="AA2162" s="230">
        <v>2.9316721206854579E-2</v>
      </c>
    </row>
    <row r="2163" spans="19:27" x14ac:dyDescent="0.2">
      <c r="S2163" s="32"/>
      <c r="T2163" s="187"/>
      <c r="W2163" s="221" t="str">
        <f t="shared" si="42"/>
        <v>1w</v>
      </c>
      <c r="X2163" s="222">
        <f>_xll.qlCalendarAdvance(Calendar,X2162,W2163,"f",FALSE)</f>
        <v>53989</v>
      </c>
      <c r="Y2163" s="227">
        <f>_xll.qlCalendarAdvance(Calendar,X2163,NDays&amp;"D")</f>
        <v>53989</v>
      </c>
      <c r="Z2163" s="228">
        <v>2.9326473055793223E-2</v>
      </c>
      <c r="AA2163" s="230">
        <v>2.9308363642490676E-2</v>
      </c>
    </row>
    <row r="2164" spans="19:27" x14ac:dyDescent="0.2">
      <c r="S2164" s="32"/>
      <c r="T2164" s="187"/>
      <c r="W2164" s="221" t="str">
        <f t="shared" si="42"/>
        <v>1w</v>
      </c>
      <c r="X2164" s="222">
        <f>_xll.qlCalendarAdvance(Calendar,X2163,W2164,"f",FALSE)</f>
        <v>53996</v>
      </c>
      <c r="Y2164" s="227">
        <f>_xll.qlCalendarAdvance(Calendar,X2164,NDays&amp;"D")</f>
        <v>53996</v>
      </c>
      <c r="Z2164" s="228">
        <v>2.9316440502991165E-2</v>
      </c>
      <c r="AA2164" s="230">
        <v>2.930004099286454E-2</v>
      </c>
    </row>
    <row r="2165" spans="19:27" x14ac:dyDescent="0.2">
      <c r="S2165" s="32"/>
      <c r="T2165" s="187"/>
      <c r="W2165" s="221" t="str">
        <f t="shared" si="42"/>
        <v>1w</v>
      </c>
      <c r="X2165" s="222">
        <f>_xll.qlCalendarAdvance(Calendar,X2164,W2165,"f",FALSE)</f>
        <v>54003</v>
      </c>
      <c r="Y2165" s="227">
        <f>_xll.qlCalendarAdvance(Calendar,X2165,NDays&amp;"D")</f>
        <v>54003</v>
      </c>
      <c r="Z2165" s="228">
        <v>2.9309976319542887E-2</v>
      </c>
      <c r="AA2165" s="230">
        <v>2.9291753257976172E-2</v>
      </c>
    </row>
    <row r="2166" spans="19:27" x14ac:dyDescent="0.2">
      <c r="S2166" s="32"/>
      <c r="T2166" s="187"/>
      <c r="W2166" s="221" t="str">
        <f t="shared" si="42"/>
        <v>1w</v>
      </c>
      <c r="X2166" s="222">
        <f>_xll.qlCalendarAdvance(Calendar,X2165,W2166,"f",FALSE)</f>
        <v>54010</v>
      </c>
      <c r="Y2166" s="227">
        <f>_xll.qlCalendarAdvance(Calendar,X2166,NDays&amp;"D")</f>
        <v>54010</v>
      </c>
      <c r="Z2166" s="228">
        <v>2.9301780462408569E-2</v>
      </c>
      <c r="AA2166" s="230">
        <v>2.9283500437744525E-2</v>
      </c>
    </row>
    <row r="2167" spans="19:27" x14ac:dyDescent="0.2">
      <c r="S2167" s="32"/>
      <c r="T2167" s="187"/>
      <c r="W2167" s="221" t="str">
        <f t="shared" si="42"/>
        <v>1w</v>
      </c>
      <c r="X2167" s="222">
        <f>_xll.qlCalendarAdvance(Calendar,X2166,W2167,"f",FALSE)</f>
        <v>54017</v>
      </c>
      <c r="Y2167" s="227">
        <f>_xll.qlCalendarAdvance(Calendar,X2167,NDays&amp;"D")</f>
        <v>54017</v>
      </c>
      <c r="Z2167" s="228">
        <v>2.9293619612495957E-2</v>
      </c>
      <c r="AA2167" s="230">
        <v>2.92752825321696E-2</v>
      </c>
    </row>
    <row r="2168" spans="19:27" x14ac:dyDescent="0.2">
      <c r="S2168" s="32"/>
      <c r="T2168" s="187"/>
      <c r="W2168" s="221" t="str">
        <f t="shared" si="42"/>
        <v>1w</v>
      </c>
      <c r="X2168" s="222">
        <f>_xll.qlCalendarAdvance(Calendar,X2167,W2168,"f",FALSE)</f>
        <v>54024</v>
      </c>
      <c r="Y2168" s="227">
        <f>_xll.qlCalendarAdvance(Calendar,X2168,NDays&amp;"D")</f>
        <v>54024</v>
      </c>
      <c r="Z2168" s="228">
        <v>2.9285493769744264E-2</v>
      </c>
      <c r="AA2168" s="230">
        <v>2.9267099541332442E-2</v>
      </c>
    </row>
    <row r="2169" spans="19:27" x14ac:dyDescent="0.2">
      <c r="S2169" s="32"/>
      <c r="T2169" s="187"/>
      <c r="W2169" s="221" t="str">
        <f t="shared" si="42"/>
        <v>1w</v>
      </c>
      <c r="X2169" s="222">
        <f>_xll.qlCalendarAdvance(Calendar,X2168,W2169,"f",FALSE)</f>
        <v>54031</v>
      </c>
      <c r="Y2169" s="227">
        <f>_xll.qlCalendarAdvance(Calendar,X2169,NDays&amp;"D")</f>
        <v>54031</v>
      </c>
      <c r="Z2169" s="228">
        <v>2.9277402934069913E-2</v>
      </c>
      <c r="AA2169" s="230">
        <v>2.9258951465070959E-2</v>
      </c>
    </row>
    <row r="2170" spans="19:27" x14ac:dyDescent="0.2">
      <c r="S2170" s="32"/>
      <c r="T2170" s="187"/>
      <c r="W2170" s="221" t="str">
        <f t="shared" si="42"/>
        <v>1w</v>
      </c>
      <c r="X2170" s="222">
        <f>_xll.qlCalendarAdvance(Calendar,X2169,W2170,"f",FALSE)</f>
        <v>54038</v>
      </c>
      <c r="Y2170" s="227">
        <f>_xll.qlCalendarAdvance(Calendar,X2170,NDays&amp;"D")</f>
        <v>54038</v>
      </c>
      <c r="Z2170" s="228">
        <v>2.9269347105394389E-2</v>
      </c>
      <c r="AA2170" s="230">
        <v>2.9250838303466198E-2</v>
      </c>
    </row>
    <row r="2171" spans="19:27" x14ac:dyDescent="0.2">
      <c r="S2171" s="32"/>
      <c r="T2171" s="187"/>
      <c r="W2171" s="221" t="str">
        <f t="shared" si="42"/>
        <v>1w</v>
      </c>
      <c r="X2171" s="222">
        <f>_xll.qlCalendarAdvance(Calendar,X2170,W2171,"f",FALSE)</f>
        <v>54045</v>
      </c>
      <c r="Y2171" s="227">
        <f>_xll.qlCalendarAdvance(Calendar,X2171,NDays&amp;"D")</f>
        <v>54045</v>
      </c>
      <c r="Z2171" s="228">
        <v>2.926132628364931E-2</v>
      </c>
      <c r="AA2171" s="230">
        <v>2.924276005668025E-2</v>
      </c>
    </row>
    <row r="2172" spans="19:27" x14ac:dyDescent="0.2">
      <c r="S2172" s="32"/>
      <c r="T2172" s="187"/>
      <c r="W2172" s="221" t="str">
        <f t="shared" si="42"/>
        <v>1w</v>
      </c>
      <c r="X2172" s="222">
        <f>_xll.qlCalendarAdvance(Calendar,X2171,W2172,"f",FALSE)</f>
        <v>54053</v>
      </c>
      <c r="Y2172" s="227">
        <f>_xll.qlCalendarAdvance(Calendar,X2172,NDays&amp;"D")</f>
        <v>54053</v>
      </c>
      <c r="Z2172" s="228">
        <v>2.9251598324598428E-2</v>
      </c>
      <c r="AA2172" s="230">
        <v>2.923476653337994E-2</v>
      </c>
    </row>
    <row r="2173" spans="19:27" x14ac:dyDescent="0.2">
      <c r="S2173" s="32"/>
      <c r="T2173" s="187"/>
      <c r="W2173" s="221" t="str">
        <f t="shared" si="42"/>
        <v>1w</v>
      </c>
      <c r="X2173" s="222">
        <f>_xll.qlCalendarAdvance(Calendar,X2172,W2173,"f",FALSE)</f>
        <v>54060</v>
      </c>
      <c r="Y2173" s="227">
        <f>_xll.qlCalendarAdvance(Calendar,X2173,NDays&amp;"D")</f>
        <v>54060</v>
      </c>
      <c r="Z2173" s="228">
        <v>2.9243650653065025E-2</v>
      </c>
      <c r="AA2173" s="230">
        <v>2.9226766810417363E-2</v>
      </c>
    </row>
    <row r="2174" spans="19:27" x14ac:dyDescent="0.2">
      <c r="S2174" s="32"/>
      <c r="T2174" s="187"/>
      <c r="W2174" s="221" t="str">
        <f t="shared" si="42"/>
        <v>1w</v>
      </c>
      <c r="X2174" s="222">
        <f>_xll.qlCalendarAdvance(Calendar,X2173,W2174,"f",FALSE)</f>
        <v>54067</v>
      </c>
      <c r="Y2174" s="227">
        <f>_xll.qlCalendarAdvance(Calendar,X2174,NDays&amp;"D")</f>
        <v>54067</v>
      </c>
      <c r="Z2174" s="228">
        <v>2.9235737985263438E-2</v>
      </c>
      <c r="AA2174" s="230">
        <v>2.9218802008054899E-2</v>
      </c>
    </row>
    <row r="2175" spans="19:27" x14ac:dyDescent="0.2">
      <c r="S2175" s="32"/>
      <c r="T2175" s="187"/>
      <c r="W2175" s="221" t="str">
        <f t="shared" si="42"/>
        <v>1w</v>
      </c>
      <c r="X2175" s="222">
        <f>_xll.qlCalendarAdvance(Calendar,X2174,W2175,"f",FALSE)</f>
        <v>54074</v>
      </c>
      <c r="Y2175" s="227">
        <f>_xll.qlCalendarAdvance(Calendar,X2175,NDays&amp;"D")</f>
        <v>54074</v>
      </c>
      <c r="Z2175" s="228">
        <v>2.9227860321117845E-2</v>
      </c>
      <c r="AA2175" s="230">
        <v>2.9210872126265535E-2</v>
      </c>
    </row>
    <row r="2176" spans="19:27" x14ac:dyDescent="0.2">
      <c r="S2176" s="32"/>
      <c r="T2176" s="187"/>
      <c r="W2176" s="221" t="str">
        <f t="shared" si="42"/>
        <v>1w</v>
      </c>
      <c r="X2176" s="222">
        <f>_xll.qlCalendarAdvance(Calendar,X2175,W2176,"f",FALSE)</f>
        <v>54081</v>
      </c>
      <c r="Y2176" s="227">
        <f>_xll.qlCalendarAdvance(Calendar,X2176,NDays&amp;"D")</f>
        <v>54081</v>
      </c>
      <c r="Z2176" s="228">
        <v>2.9220017660568115E-2</v>
      </c>
      <c r="AA2176" s="230">
        <v>2.9202977165103304E-2</v>
      </c>
    </row>
    <row r="2177" spans="19:27" x14ac:dyDescent="0.2">
      <c r="S2177" s="32"/>
      <c r="T2177" s="187"/>
      <c r="W2177" s="221" t="str">
        <f t="shared" si="42"/>
        <v>1w</v>
      </c>
      <c r="X2177" s="222">
        <f>_xll.qlCalendarAdvance(Calendar,X2176,W2177,"f",FALSE)</f>
        <v>54088</v>
      </c>
      <c r="Y2177" s="227">
        <f>_xll.qlCalendarAdvance(Calendar,X2177,NDays&amp;"D")</f>
        <v>54088</v>
      </c>
      <c r="Z2177" s="228">
        <v>2.9210370705180629E-2</v>
      </c>
      <c r="AA2177" s="230">
        <v>2.9195117124514173E-2</v>
      </c>
    </row>
    <row r="2178" spans="19:27" x14ac:dyDescent="0.2">
      <c r="S2178" s="32"/>
      <c r="T2178" s="187"/>
      <c r="W2178" s="221" t="str">
        <f t="shared" si="42"/>
        <v>1w</v>
      </c>
      <c r="X2178" s="222">
        <f>_xll.qlCalendarAdvance(Calendar,X2177,W2178,"f",FALSE)</f>
        <v>54095</v>
      </c>
      <c r="Y2178" s="227">
        <f>_xll.qlCalendarAdvance(Calendar,X2178,NDays&amp;"D")</f>
        <v>54095</v>
      </c>
      <c r="Z2178" s="228">
        <v>2.9204437349963436E-2</v>
      </c>
      <c r="AA2178" s="230">
        <v>2.9187292004525155E-2</v>
      </c>
    </row>
    <row r="2179" spans="19:27" x14ac:dyDescent="0.2">
      <c r="S2179" s="32"/>
      <c r="T2179" s="187"/>
      <c r="W2179" s="221" t="str">
        <f t="shared" si="42"/>
        <v>1w</v>
      </c>
      <c r="X2179" s="222">
        <f>_xll.qlCalendarAdvance(Calendar,X2178,W2179,"f",FALSE)</f>
        <v>54102</v>
      </c>
      <c r="Y2179" s="227">
        <f>_xll.qlCalendarAdvance(Calendar,X2179,NDays&amp;"D")</f>
        <v>54102</v>
      </c>
      <c r="Z2179" s="228">
        <v>2.9196699699764694E-2</v>
      </c>
      <c r="AA2179" s="230">
        <v>2.917950180502819E-2</v>
      </c>
    </row>
    <row r="2180" spans="19:27" x14ac:dyDescent="0.2">
      <c r="S2180" s="32"/>
      <c r="T2180" s="187"/>
      <c r="W2180" s="221" t="str">
        <f t="shared" si="42"/>
        <v>1w</v>
      </c>
      <c r="X2180" s="222">
        <f>_xll.qlCalendarAdvance(Calendar,X2179,W2180,"f",FALSE)</f>
        <v>54109</v>
      </c>
      <c r="Y2180" s="227">
        <f>_xll.qlCalendarAdvance(Calendar,X2180,NDays&amp;"D")</f>
        <v>54109</v>
      </c>
      <c r="Z2180" s="228">
        <v>2.9188997052884691E-2</v>
      </c>
      <c r="AA2180" s="230">
        <v>2.9171746526185375E-2</v>
      </c>
    </row>
    <row r="2181" spans="19:27" x14ac:dyDescent="0.2">
      <c r="S2181" s="32"/>
      <c r="T2181" s="187"/>
      <c r="W2181" s="221" t="str">
        <f t="shared" si="42"/>
        <v>1w</v>
      </c>
      <c r="X2181" s="222">
        <f>_xll.qlCalendarAdvance(Calendar,X2180,W2181,"f",FALSE)</f>
        <v>54116</v>
      </c>
      <c r="Y2181" s="227">
        <f>_xll.qlCalendarAdvance(Calendar,X2181,NDays&amp;"D")</f>
        <v>54116</v>
      </c>
      <c r="Z2181" s="228">
        <v>2.9181950466613781E-2</v>
      </c>
      <c r="AA2181" s="230">
        <v>2.9164026167861627E-2</v>
      </c>
    </row>
    <row r="2182" spans="19:27" x14ac:dyDescent="0.2">
      <c r="S2182" s="32"/>
      <c r="T2182" s="187"/>
      <c r="W2182" s="221" t="str">
        <f t="shared" si="42"/>
        <v>1w</v>
      </c>
      <c r="X2182" s="222">
        <f>_xll.qlCalendarAdvance(Calendar,X2181,W2182,"f",FALSE)</f>
        <v>54123</v>
      </c>
      <c r="Y2182" s="227">
        <f>_xll.qlCalendarAdvance(Calendar,X2182,NDays&amp;"D")</f>
        <v>54123</v>
      </c>
      <c r="Z2182" s="228">
        <v>2.9174319717176246E-2</v>
      </c>
      <c r="AA2182" s="230">
        <v>2.9156340730083961E-2</v>
      </c>
    </row>
    <row r="2183" spans="19:27" x14ac:dyDescent="0.2">
      <c r="S2183" s="32"/>
      <c r="T2183" s="187"/>
      <c r="W2183" s="221" t="str">
        <f t="shared" si="42"/>
        <v>1w</v>
      </c>
      <c r="X2183" s="222">
        <f>_xll.qlCalendarAdvance(Calendar,X2182,W2183,"f",FALSE)</f>
        <v>54130</v>
      </c>
      <c r="Y2183" s="227">
        <f>_xll.qlCalendarAdvance(Calendar,X2183,NDays&amp;"D")</f>
        <v>54130</v>
      </c>
      <c r="Z2183" s="228">
        <v>2.9166099131440765E-2</v>
      </c>
      <c r="AA2183" s="230">
        <v>2.9148690212825366E-2</v>
      </c>
    </row>
    <row r="2184" spans="19:27" x14ac:dyDescent="0.2">
      <c r="S2184" s="32"/>
      <c r="T2184" s="187"/>
      <c r="W2184" s="221" t="str">
        <f t="shared" si="42"/>
        <v>1w</v>
      </c>
      <c r="X2184" s="222">
        <f>_xll.qlCalendarAdvance(Calendar,X2183,W2184,"f",FALSE)</f>
        <v>54137</v>
      </c>
      <c r="Y2184" s="227">
        <f>_xll.qlCalendarAdvance(Calendar,X2184,NDays&amp;"D")</f>
        <v>54137</v>
      </c>
      <c r="Z2184" s="228">
        <v>2.9158536497137674E-2</v>
      </c>
      <c r="AA2184" s="230">
        <v>2.9141074616139871E-2</v>
      </c>
    </row>
    <row r="2185" spans="19:27" x14ac:dyDescent="0.2">
      <c r="S2185" s="32"/>
      <c r="T2185" s="187"/>
      <c r="W2185" s="221" t="str">
        <f t="shared" si="42"/>
        <v>1w</v>
      </c>
      <c r="X2185" s="222">
        <f>_xll.qlCalendarAdvance(Calendar,X2184,W2185,"f",FALSE)</f>
        <v>54144</v>
      </c>
      <c r="Y2185" s="227">
        <f>_xll.qlCalendarAdvance(Calendar,X2185,NDays&amp;"D")</f>
        <v>54144</v>
      </c>
      <c r="Z2185" s="228">
        <v>2.9151008865800371E-2</v>
      </c>
      <c r="AA2185" s="230">
        <v>2.9133493939973446E-2</v>
      </c>
    </row>
    <row r="2186" spans="19:27" x14ac:dyDescent="0.2">
      <c r="S2186" s="32"/>
      <c r="T2186" s="187"/>
      <c r="W2186" s="221" t="str">
        <f t="shared" si="42"/>
        <v>1w</v>
      </c>
      <c r="X2186" s="222">
        <f>_xll.qlCalendarAdvance(Calendar,X2185,W2186,"f",FALSE)</f>
        <v>54155</v>
      </c>
      <c r="Y2186" s="227">
        <f>_xll.qlCalendarAdvance(Calendar,X2186,NDays&amp;"D")</f>
        <v>54155</v>
      </c>
      <c r="Z2186" s="228">
        <v>2.9138619035684786E-2</v>
      </c>
      <c r="AA2186" s="230">
        <v>2.9120401398129436E-2</v>
      </c>
    </row>
    <row r="2187" spans="19:27" x14ac:dyDescent="0.2">
      <c r="S2187" s="32"/>
      <c r="T2187" s="187"/>
      <c r="W2187" s="221" t="str">
        <f t="shared" si="42"/>
        <v>1w</v>
      </c>
      <c r="X2187" s="222">
        <f>_xll.qlCalendarAdvance(Calendar,X2186,W2187,"f",FALSE)</f>
        <v>54162</v>
      </c>
      <c r="Y2187" s="227">
        <f>_xll.qlCalendarAdvance(Calendar,X2187,NDays&amp;"D")</f>
        <v>54162</v>
      </c>
      <c r="Z2187" s="228">
        <v>2.9131179504647498E-2</v>
      </c>
      <c r="AA2187" s="230">
        <v>2.9112906724764187E-2</v>
      </c>
    </row>
    <row r="2188" spans="19:27" x14ac:dyDescent="0.2">
      <c r="S2188" s="32"/>
      <c r="T2188" s="187"/>
      <c r="W2188" s="221" t="str">
        <f t="shared" si="42"/>
        <v>1w</v>
      </c>
      <c r="X2188" s="222">
        <f>_xll.qlCalendarAdvance(Calendar,X2187,W2188,"f",FALSE)</f>
        <v>54169</v>
      </c>
      <c r="Y2188" s="227">
        <f>_xll.qlCalendarAdvance(Calendar,X2188,NDays&amp;"D")</f>
        <v>54169</v>
      </c>
      <c r="Z2188" s="228">
        <v>2.9123774973406052E-2</v>
      </c>
      <c r="AA2188" s="230">
        <v>2.910544696581252E-2</v>
      </c>
    </row>
    <row r="2189" spans="19:27" x14ac:dyDescent="0.2">
      <c r="S2189" s="32"/>
      <c r="T2189" s="187"/>
      <c r="W2189" s="221" t="str">
        <f t="shared" si="42"/>
        <v>1w</v>
      </c>
      <c r="X2189" s="222">
        <f>_xll.qlCalendarAdvance(Calendar,X2188,W2189,"f",FALSE)</f>
        <v>54176</v>
      </c>
      <c r="Y2189" s="227">
        <f>_xll.qlCalendarAdvance(Calendar,X2189,NDays&amp;"D")</f>
        <v>54176</v>
      </c>
      <c r="Z2189" s="228">
        <v>2.9116405441906412E-2</v>
      </c>
      <c r="AA2189" s="230">
        <v>2.9098022121598621E-2</v>
      </c>
    </row>
    <row r="2190" spans="19:27" x14ac:dyDescent="0.2">
      <c r="S2190" s="32"/>
      <c r="T2190" s="187"/>
      <c r="W2190" s="221" t="str">
        <f t="shared" si="42"/>
        <v>1w</v>
      </c>
      <c r="X2190" s="222">
        <f>_xll.qlCalendarAdvance(Calendar,X2189,W2190,"f",FALSE)</f>
        <v>54183</v>
      </c>
      <c r="Y2190" s="227">
        <f>_xll.qlCalendarAdvance(Calendar,X2190,NDays&amp;"D")</f>
        <v>54183</v>
      </c>
      <c r="Z2190" s="228">
        <v>2.9109709971175752E-2</v>
      </c>
      <c r="AA2190" s="230">
        <v>2.9090632192203536E-2</v>
      </c>
    </row>
    <row r="2191" spans="19:27" x14ac:dyDescent="0.2">
      <c r="S2191" s="32"/>
      <c r="T2191" s="187"/>
      <c r="W2191" s="221" t="str">
        <f t="shared" si="42"/>
        <v>1w</v>
      </c>
      <c r="X2191" s="222">
        <f>_xll.qlCalendarAdvance(Calendar,X2190,W2191,"f",FALSE)</f>
        <v>54190</v>
      </c>
      <c r="Y2191" s="227">
        <f>_xll.qlCalendarAdvance(Calendar,X2191,NDays&amp;"D")</f>
        <v>54190</v>
      </c>
      <c r="Z2191" s="228">
        <v>2.910241235773766E-2</v>
      </c>
      <c r="AA2191" s="230">
        <v>2.9083277177222033E-2</v>
      </c>
    </row>
    <row r="2192" spans="19:27" x14ac:dyDescent="0.2">
      <c r="S2192" s="32"/>
      <c r="T2192" s="187"/>
      <c r="W2192" s="221" t="str">
        <f t="shared" si="42"/>
        <v>1w</v>
      </c>
      <c r="X2192" s="222">
        <f>_xll.qlCalendarAdvance(Calendar,X2191,W2192,"f",FALSE)</f>
        <v>54197</v>
      </c>
      <c r="Y2192" s="227">
        <f>_xll.qlCalendarAdvance(Calendar,X2192,NDays&amp;"D")</f>
        <v>54197</v>
      </c>
      <c r="Z2192" s="228">
        <v>2.9095149746776471E-2</v>
      </c>
      <c r="AA2192" s="230">
        <v>2.9075957076978298E-2</v>
      </c>
    </row>
    <row r="2193" spans="19:27" x14ac:dyDescent="0.2">
      <c r="S2193" s="32"/>
      <c r="T2193" s="187"/>
      <c r="W2193" s="221" t="str">
        <f t="shared" si="42"/>
        <v>1w</v>
      </c>
      <c r="X2193" s="222">
        <f>_xll.qlCalendarAdvance(Calendar,X2192,W2193,"f",FALSE)</f>
        <v>54204</v>
      </c>
      <c r="Y2193" s="227">
        <f>_xll.qlCalendarAdvance(Calendar,X2193,NDays&amp;"D")</f>
        <v>54204</v>
      </c>
      <c r="Z2193" s="228">
        <v>2.9087922138221596E-2</v>
      </c>
      <c r="AA2193" s="230">
        <v>2.9068671891391284E-2</v>
      </c>
    </row>
    <row r="2194" spans="19:27" x14ac:dyDescent="0.2">
      <c r="S2194" s="32"/>
      <c r="T2194" s="187"/>
      <c r="W2194" s="221" t="str">
        <f t="shared" si="42"/>
        <v>1w</v>
      </c>
      <c r="X2194" s="222">
        <f>_xll.qlCalendarAdvance(Calendar,X2193,W2194,"f",FALSE)</f>
        <v>54211</v>
      </c>
      <c r="Y2194" s="227">
        <f>_xll.qlCalendarAdvance(Calendar,X2194,NDays&amp;"D")</f>
        <v>54211</v>
      </c>
      <c r="Z2194" s="228">
        <v>2.908008277824714E-2</v>
      </c>
      <c r="AA2194" s="230">
        <v>2.90614216202989E-2</v>
      </c>
    </row>
    <row r="2195" spans="19:27" x14ac:dyDescent="0.2">
      <c r="S2195" s="32"/>
      <c r="T2195" s="187"/>
      <c r="W2195" s="221" t="str">
        <f t="shared" si="42"/>
        <v>1w</v>
      </c>
      <c r="X2195" s="222">
        <f>_xll.qlCalendarAdvance(Calendar,X2194,W2195,"f",FALSE)</f>
        <v>54218</v>
      </c>
      <c r="Y2195" s="227">
        <f>_xll.qlCalendarAdvance(Calendar,X2195,NDays&amp;"D")</f>
        <v>54218</v>
      </c>
      <c r="Z2195" s="228">
        <v>2.907292324384218E-2</v>
      </c>
      <c r="AA2195" s="230">
        <v>2.9054206263863236E-2</v>
      </c>
    </row>
    <row r="2196" spans="19:27" x14ac:dyDescent="0.2">
      <c r="S2196" s="32"/>
      <c r="T2196" s="187"/>
      <c r="W2196" s="221" t="str">
        <f t="shared" si="42"/>
        <v>1w</v>
      </c>
      <c r="X2196" s="222">
        <f>_xll.qlCalendarAdvance(Calendar,X2195,W2196,"f",FALSE)</f>
        <v>54225</v>
      </c>
      <c r="Y2196" s="227">
        <f>_xll.qlCalendarAdvance(Calendar,X2196,NDays&amp;"D")</f>
        <v>54225</v>
      </c>
      <c r="Z2196" s="228">
        <v>2.9065798708741375E-2</v>
      </c>
      <c r="AA2196" s="230">
        <v>2.9047025822003247E-2</v>
      </c>
    </row>
    <row r="2197" spans="19:27" x14ac:dyDescent="0.2">
      <c r="S2197" s="32"/>
      <c r="T2197" s="187"/>
      <c r="W2197" s="221" t="str">
        <f t="shared" ref="W2197:W2260" si="43">W2196</f>
        <v>1w</v>
      </c>
      <c r="X2197" s="222">
        <f>_xll.qlCalendarAdvance(Calendar,X2196,W2197,"f",FALSE)</f>
        <v>54232</v>
      </c>
      <c r="Y2197" s="227">
        <f>_xll.qlCalendarAdvance(Calendar,X2197,NDays&amp;"D")</f>
        <v>54232</v>
      </c>
      <c r="Z2197" s="228">
        <v>2.9058709172871788E-2</v>
      </c>
      <c r="AA2197" s="230">
        <v>2.903988029479998E-2</v>
      </c>
    </row>
    <row r="2198" spans="19:27" x14ac:dyDescent="0.2">
      <c r="S2198" s="32"/>
      <c r="T2198" s="187"/>
      <c r="W2198" s="221" t="str">
        <f t="shared" si="43"/>
        <v>1w</v>
      </c>
      <c r="X2198" s="222">
        <f>_xll.qlCalendarAdvance(Calendar,X2197,W2198,"f",FALSE)</f>
        <v>54239</v>
      </c>
      <c r="Y2198" s="227">
        <f>_xll.qlCalendarAdvance(Calendar,X2198,NDays&amp;"D")</f>
        <v>54239</v>
      </c>
      <c r="Z2198" s="228">
        <v>2.9052309129374593E-2</v>
      </c>
      <c r="AA2198" s="230">
        <v>2.9032769682172388E-2</v>
      </c>
    </row>
    <row r="2199" spans="19:27" x14ac:dyDescent="0.2">
      <c r="S2199" s="32"/>
      <c r="T2199" s="187"/>
      <c r="W2199" s="221" t="str">
        <f t="shared" si="43"/>
        <v>1w</v>
      </c>
      <c r="X2199" s="222">
        <f>_xll.qlCalendarAdvance(Calendar,X2198,W2199,"f",FALSE)</f>
        <v>54246</v>
      </c>
      <c r="Y2199" s="227">
        <f>_xll.qlCalendarAdvance(Calendar,X2199,NDays&amp;"D")</f>
        <v>54246</v>
      </c>
      <c r="Z2199" s="228">
        <v>2.904529153394779E-2</v>
      </c>
      <c r="AA2199" s="230">
        <v>2.9025693984120471E-2</v>
      </c>
    </row>
    <row r="2200" spans="19:27" x14ac:dyDescent="0.2">
      <c r="S2200" s="32"/>
      <c r="T2200" s="187"/>
      <c r="W2200" s="221" t="str">
        <f t="shared" si="43"/>
        <v>1w</v>
      </c>
      <c r="X2200" s="222">
        <f>_xll.qlCalendarAdvance(Calendar,X2199,W2200,"f",FALSE)</f>
        <v>54253</v>
      </c>
      <c r="Y2200" s="227">
        <f>_xll.qlCalendarAdvance(Calendar,X2200,NDays&amp;"D")</f>
        <v>54253</v>
      </c>
      <c r="Z2200" s="228">
        <v>2.9038308940485466E-2</v>
      </c>
      <c r="AA2200" s="230">
        <v>2.9018653200725275E-2</v>
      </c>
    </row>
    <row r="2201" spans="19:27" x14ac:dyDescent="0.2">
      <c r="S2201" s="32"/>
      <c r="T2201" s="187"/>
      <c r="W2201" s="221" t="str">
        <f t="shared" si="43"/>
        <v>1w</v>
      </c>
      <c r="X2201" s="222">
        <f>_xll.qlCalendarAdvance(Calendar,X2200,W2201,"f",FALSE)</f>
        <v>54260</v>
      </c>
      <c r="Y2201" s="227">
        <f>_xll.qlCalendarAdvance(Calendar,X2201,NDays&amp;"D")</f>
        <v>54260</v>
      </c>
      <c r="Z2201" s="228">
        <v>2.9031361348930106E-2</v>
      </c>
      <c r="AA2201" s="230">
        <v>2.9011647332067847E-2</v>
      </c>
    </row>
    <row r="2202" spans="19:27" x14ac:dyDescent="0.2">
      <c r="S2202" s="32"/>
      <c r="T2202" s="187"/>
      <c r="W2202" s="221" t="str">
        <f t="shared" si="43"/>
        <v>1w</v>
      </c>
      <c r="X2202" s="222">
        <f>_xll.qlCalendarAdvance(Calendar,X2201,W2202,"f",FALSE)</f>
        <v>54267</v>
      </c>
      <c r="Y2202" s="227">
        <f>_xll.qlCalendarAdvance(Calendar,X2202,NDays&amp;"D")</f>
        <v>54267</v>
      </c>
      <c r="Z2202" s="228">
        <v>2.9024448759216351E-2</v>
      </c>
      <c r="AA2202" s="230">
        <v>2.9004676377824001E-2</v>
      </c>
    </row>
    <row r="2203" spans="19:27" x14ac:dyDescent="0.2">
      <c r="S2203" s="32"/>
      <c r="T2203" s="187"/>
      <c r="W2203" s="221" t="str">
        <f t="shared" si="43"/>
        <v>1w</v>
      </c>
      <c r="X2203" s="222">
        <f>_xll.qlCalendarAdvance(Calendar,X2202,W2203,"f",FALSE)</f>
        <v>54274</v>
      </c>
      <c r="Y2203" s="227">
        <f>_xll.qlCalendarAdvance(Calendar,X2203,NDays&amp;"D")</f>
        <v>54274</v>
      </c>
      <c r="Z2203" s="228">
        <v>2.9017571171281453E-2</v>
      </c>
      <c r="AA2203" s="230">
        <v>2.8997740338155831E-2</v>
      </c>
    </row>
    <row r="2204" spans="19:27" x14ac:dyDescent="0.2">
      <c r="S2204" s="32"/>
      <c r="T2204" s="187"/>
      <c r="W2204" s="221" t="str">
        <f t="shared" si="43"/>
        <v>1w</v>
      </c>
      <c r="X2204" s="222">
        <f>_xll.qlCalendarAdvance(Calendar,X2203,W2204,"f",FALSE)</f>
        <v>54281</v>
      </c>
      <c r="Y2204" s="227">
        <f>_xll.qlCalendarAdvance(Calendar,X2204,NDays&amp;"D")</f>
        <v>54281</v>
      </c>
      <c r="Z2204" s="228">
        <v>2.9010728585070516E-2</v>
      </c>
      <c r="AA2204" s="230">
        <v>2.8990839213306474E-2</v>
      </c>
    </row>
    <row r="2205" spans="19:27" x14ac:dyDescent="0.2">
      <c r="S2205" s="32"/>
      <c r="T2205" s="187"/>
      <c r="W2205" s="221" t="str">
        <f t="shared" si="43"/>
        <v>1w</v>
      </c>
      <c r="X2205" s="222">
        <f>_xll.qlCalendarAdvance(Calendar,X2204,W2205,"f",FALSE)</f>
        <v>54288</v>
      </c>
      <c r="Y2205" s="227">
        <f>_xll.qlCalendarAdvance(Calendar,X2205,NDays&amp;"D")</f>
        <v>54288</v>
      </c>
      <c r="Z2205" s="228">
        <v>2.9003921000520787E-2</v>
      </c>
      <c r="AA2205" s="230">
        <v>2.8983973002951746E-2</v>
      </c>
    </row>
    <row r="2206" spans="19:27" x14ac:dyDescent="0.2">
      <c r="S2206" s="32"/>
      <c r="T2206" s="187"/>
      <c r="W2206" s="221" t="str">
        <f t="shared" si="43"/>
        <v>1w</v>
      </c>
      <c r="X2206" s="222">
        <f>_xll.qlCalendarAdvance(Calendar,X2205,W2206,"f",FALSE)</f>
        <v>54295</v>
      </c>
      <c r="Y2206" s="227">
        <f>_xll.qlCalendarAdvance(Calendar,X2206,NDays&amp;"D")</f>
        <v>54295</v>
      </c>
      <c r="Z2206" s="228">
        <v>2.8997148417564293E-2</v>
      </c>
      <c r="AA2206" s="230">
        <v>2.8977141707010601E-2</v>
      </c>
    </row>
    <row r="2207" spans="19:27" x14ac:dyDescent="0.2">
      <c r="S2207" s="32"/>
      <c r="T2207" s="187"/>
      <c r="W2207" s="221" t="str">
        <f t="shared" si="43"/>
        <v>1w</v>
      </c>
      <c r="X2207" s="222">
        <f>_xll.qlCalendarAdvance(Calendar,X2206,W2207,"f",FALSE)</f>
        <v>54302</v>
      </c>
      <c r="Y2207" s="227">
        <f>_xll.qlCalendarAdvance(Calendar,X2207,NDays&amp;"D")</f>
        <v>54302</v>
      </c>
      <c r="Z2207" s="228">
        <v>2.8989738759033511E-2</v>
      </c>
      <c r="AA2207" s="230">
        <v>2.8970345325888269E-2</v>
      </c>
    </row>
    <row r="2208" spans="19:27" x14ac:dyDescent="0.2">
      <c r="S2208" s="32"/>
      <c r="T2208" s="187"/>
      <c r="W2208" s="221" t="str">
        <f t="shared" si="43"/>
        <v>1w</v>
      </c>
      <c r="X2208" s="222">
        <f>_xll.qlCalendarAdvance(Calendar,X2207,W2208,"f",FALSE)</f>
        <v>54309</v>
      </c>
      <c r="Y2208" s="227">
        <f>_xll.qlCalendarAdvance(Calendar,X2208,NDays&amp;"D")</f>
        <v>54309</v>
      </c>
      <c r="Z2208" s="228">
        <v>2.8983034210822489E-2</v>
      </c>
      <c r="AA2208" s="230">
        <v>2.8963583859422659E-2</v>
      </c>
    </row>
    <row r="2209" spans="19:27" x14ac:dyDescent="0.2">
      <c r="S2209" s="32"/>
      <c r="T2209" s="187"/>
      <c r="W2209" s="221" t="str">
        <f t="shared" si="43"/>
        <v>1w</v>
      </c>
      <c r="X2209" s="222">
        <f>_xll.qlCalendarAdvance(Calendar,X2208,W2209,"f",FALSE)</f>
        <v>54316</v>
      </c>
      <c r="Y2209" s="227">
        <f>_xll.qlCalendarAdvance(Calendar,X2209,NDays&amp;"D")</f>
        <v>54316</v>
      </c>
      <c r="Z2209" s="228">
        <v>2.8976364661137587E-2</v>
      </c>
      <c r="AA2209" s="230">
        <v>2.8956857307289585E-2</v>
      </c>
    </row>
    <row r="2210" spans="19:27" x14ac:dyDescent="0.2">
      <c r="S2210" s="32"/>
      <c r="T2210" s="187"/>
      <c r="W2210" s="221" t="str">
        <f t="shared" si="43"/>
        <v>1w</v>
      </c>
      <c r="X2210" s="222">
        <f>_xll.qlCalendarAdvance(Calendar,X2209,W2210,"f",FALSE)</f>
        <v>54323</v>
      </c>
      <c r="Y2210" s="227">
        <f>_xll.qlCalendarAdvance(Calendar,X2210,NDays&amp;"D")</f>
        <v>54323</v>
      </c>
      <c r="Z2210" s="228">
        <v>2.8969730109919361E-2</v>
      </c>
      <c r="AA2210" s="230">
        <v>2.8950165669813233E-2</v>
      </c>
    </row>
    <row r="2211" spans="19:27" x14ac:dyDescent="0.2">
      <c r="S2211" s="32"/>
      <c r="T2211" s="187"/>
      <c r="W2211" s="221" t="str">
        <f t="shared" si="43"/>
        <v>1w</v>
      </c>
      <c r="X2211" s="222">
        <f>_xll.qlCalendarAdvance(Calendar,X2210,W2211,"f",FALSE)</f>
        <v>54330</v>
      </c>
      <c r="Y2211" s="227">
        <f>_xll.qlCalendarAdvance(Calendar,X2211,NDays&amp;"D")</f>
        <v>54330</v>
      </c>
      <c r="Z2211" s="228">
        <v>2.8963130557113786E-2</v>
      </c>
      <c r="AA2211" s="230">
        <v>2.8943508946993601E-2</v>
      </c>
    </row>
    <row r="2212" spans="19:27" x14ac:dyDescent="0.2">
      <c r="S2212" s="32"/>
      <c r="T2212" s="187"/>
      <c r="W2212" s="221" t="str">
        <f t="shared" si="43"/>
        <v>1w</v>
      </c>
      <c r="X2212" s="222">
        <f>_xll.qlCalendarAdvance(Calendar,X2211,W2212,"f",FALSE)</f>
        <v>54337</v>
      </c>
      <c r="Y2212" s="227">
        <f>_xll.qlCalendarAdvance(Calendar,X2212,NDays&amp;"D")</f>
        <v>54337</v>
      </c>
      <c r="Z2212" s="228">
        <v>2.8957247950070219E-2</v>
      </c>
      <c r="AA2212" s="230">
        <v>2.8936887138749645E-2</v>
      </c>
    </row>
    <row r="2213" spans="19:27" x14ac:dyDescent="0.2">
      <c r="S2213" s="32"/>
      <c r="T2213" s="187"/>
      <c r="W2213" s="221" t="str">
        <f t="shared" si="43"/>
        <v>1w</v>
      </c>
      <c r="X2213" s="222">
        <f>_xll.qlCalendarAdvance(Calendar,X2212,W2213,"f",FALSE)</f>
        <v>54344</v>
      </c>
      <c r="Y2213" s="227">
        <f>_xll.qlCalendarAdvance(Calendar,X2213,NDays&amp;"D")</f>
        <v>54344</v>
      </c>
      <c r="Z2213" s="228">
        <v>2.8950720376642841E-2</v>
      </c>
      <c r="AA2213" s="230">
        <v>2.8930300245081364E-2</v>
      </c>
    </row>
    <row r="2214" spans="19:27" x14ac:dyDescent="0.2">
      <c r="S2214" s="32"/>
      <c r="T2214" s="187"/>
      <c r="W2214" s="221" t="str">
        <f t="shared" si="43"/>
        <v>1w</v>
      </c>
      <c r="X2214" s="222">
        <f>_xll.qlCalendarAdvance(Calendar,X2213,W2214,"f",FALSE)</f>
        <v>54351</v>
      </c>
      <c r="Y2214" s="227">
        <f>_xll.qlCalendarAdvance(Calendar,X2214,NDays&amp;"D")</f>
        <v>54351</v>
      </c>
      <c r="Z2214" s="228">
        <v>2.8944227804340725E-2</v>
      </c>
      <c r="AA2214" s="230">
        <v>2.8923748265826665E-2</v>
      </c>
    </row>
    <row r="2215" spans="19:27" x14ac:dyDescent="0.2">
      <c r="S2215" s="32"/>
      <c r="T2215" s="187"/>
      <c r="W2215" s="221" t="str">
        <f t="shared" si="43"/>
        <v>1w</v>
      </c>
      <c r="X2215" s="222">
        <f>_xll.qlCalendarAdvance(Calendar,X2214,W2215,"f",FALSE)</f>
        <v>54358</v>
      </c>
      <c r="Y2215" s="227">
        <f>_xll.qlCalendarAdvance(Calendar,X2215,NDays&amp;"D")</f>
        <v>54358</v>
      </c>
      <c r="Z2215" s="228">
        <v>2.8937770233103739E-2</v>
      </c>
      <c r="AA2215" s="230">
        <v>2.8917231201309734E-2</v>
      </c>
    </row>
    <row r="2216" spans="19:27" x14ac:dyDescent="0.2">
      <c r="S2216" s="32"/>
      <c r="T2216" s="187"/>
      <c r="W2216" s="221" t="str">
        <f t="shared" si="43"/>
        <v>1w</v>
      </c>
      <c r="X2216" s="222">
        <f>_xll.qlCalendarAdvance(Calendar,X2215,W2216,"f",FALSE)</f>
        <v>54365</v>
      </c>
      <c r="Y2216" s="227">
        <f>_xll.qlCalendarAdvance(Calendar,X2216,NDays&amp;"D")</f>
        <v>54365</v>
      </c>
      <c r="Z2216" s="228">
        <v>2.8930657767268407E-2</v>
      </c>
      <c r="AA2216" s="230">
        <v>2.8910749051449525E-2</v>
      </c>
    </row>
    <row r="2217" spans="19:27" x14ac:dyDescent="0.2">
      <c r="S2217" s="32"/>
      <c r="T2217" s="187"/>
      <c r="W2217" s="221" t="str">
        <f t="shared" si="43"/>
        <v>1w</v>
      </c>
      <c r="X2217" s="222">
        <f>_xll.qlCalendarAdvance(Calendar,X2216,W2217,"f",FALSE)</f>
        <v>54372</v>
      </c>
      <c r="Y2217" s="227">
        <f>_xll.qlCalendarAdvance(Calendar,X2217,NDays&amp;"D")</f>
        <v>54372</v>
      </c>
      <c r="Z2217" s="228">
        <v>2.8924268203739244E-2</v>
      </c>
      <c r="AA2217" s="230">
        <v>2.8904301815921851E-2</v>
      </c>
    </row>
    <row r="2218" spans="19:27" x14ac:dyDescent="0.2">
      <c r="S2218" s="32"/>
      <c r="T2218" s="187"/>
      <c r="W2218" s="221" t="str">
        <f t="shared" si="43"/>
        <v>1w</v>
      </c>
      <c r="X2218" s="222">
        <f>_xll.qlCalendarAdvance(Calendar,X2217,W2218,"f",FALSE)</f>
        <v>54379</v>
      </c>
      <c r="Y2218" s="227">
        <f>_xll.qlCalendarAdvance(Calendar,X2218,NDays&amp;"D")</f>
        <v>54379</v>
      </c>
      <c r="Z2218" s="228">
        <v>2.8917913638236408E-2</v>
      </c>
      <c r="AA2218" s="230">
        <v>2.8897889495212992E-2</v>
      </c>
    </row>
    <row r="2219" spans="19:27" x14ac:dyDescent="0.2">
      <c r="S2219" s="32"/>
      <c r="T2219" s="187"/>
      <c r="W2219" s="221" t="str">
        <f t="shared" si="43"/>
        <v>1w</v>
      </c>
      <c r="X2219" s="222">
        <f>_xll.qlCalendarAdvance(Calendar,X2218,W2219,"f",FALSE)</f>
        <v>54386</v>
      </c>
      <c r="Y2219" s="227">
        <f>_xll.qlCalendarAdvance(Calendar,X2219,NDays&amp;"D")</f>
        <v>54386</v>
      </c>
      <c r="Z2219" s="228">
        <v>2.8911594070695067E-2</v>
      </c>
      <c r="AA2219" s="230">
        <v>2.8891512088917715E-2</v>
      </c>
    </row>
    <row r="2220" spans="19:27" x14ac:dyDescent="0.2">
      <c r="S2220" s="32"/>
      <c r="T2220" s="187"/>
      <c r="W2220" s="221" t="str">
        <f t="shared" si="43"/>
        <v>1w</v>
      </c>
      <c r="X2220" s="222">
        <f>_xll.qlCalendarAdvance(Calendar,X2219,W2220,"f",FALSE)</f>
        <v>54393</v>
      </c>
      <c r="Y2220" s="227">
        <f>_xll.qlCalendarAdvance(Calendar,X2220,NDays&amp;"D")</f>
        <v>54393</v>
      </c>
      <c r="Z2220" s="228">
        <v>2.8908102428265123E-2</v>
      </c>
      <c r="AA2220" s="230">
        <v>2.8885169597360205E-2</v>
      </c>
    </row>
    <row r="2221" spans="19:27" x14ac:dyDescent="0.2">
      <c r="S2221" s="32"/>
      <c r="T2221" s="187"/>
      <c r="W2221" s="221" t="str">
        <f t="shared" si="43"/>
        <v>1w</v>
      </c>
      <c r="X2221" s="222">
        <f>_xll.qlCalendarAdvance(Calendar,X2220,W2221,"f",FALSE)</f>
        <v>54400</v>
      </c>
      <c r="Y2221" s="227">
        <f>_xll.qlCalendarAdvance(Calendar,X2221,NDays&amp;"D")</f>
        <v>54400</v>
      </c>
      <c r="Z2221" s="228">
        <v>2.8899759824920088E-2</v>
      </c>
      <c r="AA2221" s="230">
        <v>2.8878862020135232E-2</v>
      </c>
    </row>
    <row r="2222" spans="19:27" x14ac:dyDescent="0.2">
      <c r="S2222" s="32"/>
      <c r="T2222" s="187"/>
      <c r="W2222" s="221" t="str">
        <f t="shared" si="43"/>
        <v>1w</v>
      </c>
      <c r="X2222" s="222">
        <f>_xll.qlCalendarAdvance(Calendar,X2221,W2222,"f",FALSE)</f>
        <v>54407</v>
      </c>
      <c r="Y2222" s="227">
        <f>_xll.qlCalendarAdvance(Calendar,X2222,NDays&amp;"D")</f>
        <v>54407</v>
      </c>
      <c r="Z2222" s="228">
        <v>2.8893547259570364E-2</v>
      </c>
      <c r="AA2222" s="230">
        <v>2.8872589357729073E-2</v>
      </c>
    </row>
    <row r="2223" spans="19:27" x14ac:dyDescent="0.2">
      <c r="S2223" s="32"/>
      <c r="T2223" s="187"/>
      <c r="W2223" s="221" t="str">
        <f t="shared" si="43"/>
        <v>1w</v>
      </c>
      <c r="X2223" s="222">
        <f>_xll.qlCalendarAdvance(Calendar,X2222,W2223,"f",FALSE)</f>
        <v>54414</v>
      </c>
      <c r="Y2223" s="227">
        <f>_xll.qlCalendarAdvance(Calendar,X2223,NDays&amp;"D")</f>
        <v>54414</v>
      </c>
      <c r="Z2223" s="228">
        <v>2.8887369694833478E-2</v>
      </c>
      <c r="AA2223" s="230">
        <v>2.8866351609736496E-2</v>
      </c>
    </row>
    <row r="2224" spans="19:27" x14ac:dyDescent="0.2">
      <c r="S2224" s="32"/>
      <c r="T2224" s="187"/>
      <c r="W2224" s="221" t="str">
        <f t="shared" si="43"/>
        <v>1w</v>
      </c>
      <c r="X2224" s="222">
        <f>_xll.qlCalendarAdvance(Calendar,X2223,W2224,"f",FALSE)</f>
        <v>54421</v>
      </c>
      <c r="Y2224" s="227">
        <f>_xll.qlCalendarAdvance(Calendar,X2224,NDays&amp;"D")</f>
        <v>54421</v>
      </c>
      <c r="Z2224" s="228">
        <v>2.8881227130659756E-2</v>
      </c>
      <c r="AA2224" s="230">
        <v>2.8860148776157502E-2</v>
      </c>
    </row>
    <row r="2225" spans="19:27" x14ac:dyDescent="0.2">
      <c r="S2225" s="32"/>
      <c r="T2225" s="187"/>
      <c r="W2225" s="221" t="str">
        <f t="shared" si="43"/>
        <v>1w</v>
      </c>
      <c r="X2225" s="222">
        <f>_xll.qlCalendarAdvance(Calendar,X2224,W2225,"f",FALSE)</f>
        <v>54428</v>
      </c>
      <c r="Y2225" s="227">
        <f>_xll.qlCalendarAdvance(Calendar,X2225,NDays&amp;"D")</f>
        <v>54428</v>
      </c>
      <c r="Z2225" s="228">
        <v>2.8875119566999525E-2</v>
      </c>
      <c r="AA2225" s="230">
        <v>2.8853980857316275E-2</v>
      </c>
    </row>
    <row r="2226" spans="19:27" x14ac:dyDescent="0.2">
      <c r="S2226" s="32"/>
      <c r="T2226" s="187"/>
      <c r="W2226" s="221" t="str">
        <f t="shared" si="43"/>
        <v>1w</v>
      </c>
      <c r="X2226" s="222">
        <f>_xll.qlCalendarAdvance(Calendar,X2225,W2226,"f",FALSE)</f>
        <v>54435</v>
      </c>
      <c r="Y2226" s="227">
        <f>_xll.qlCalendarAdvance(Calendar,X2226,NDays&amp;"D")</f>
        <v>54435</v>
      </c>
      <c r="Z2226" s="228">
        <v>2.8869047003790043E-2</v>
      </c>
      <c r="AA2226" s="230">
        <v>2.8847847853131769E-2</v>
      </c>
    </row>
    <row r="2227" spans="19:27" x14ac:dyDescent="0.2">
      <c r="S2227" s="32"/>
      <c r="T2227" s="187"/>
      <c r="W2227" s="221" t="str">
        <f t="shared" si="43"/>
        <v>1w</v>
      </c>
      <c r="X2227" s="222">
        <f>_xll.qlCalendarAdvance(Calendar,X2226,W2227,"f",FALSE)</f>
        <v>54442</v>
      </c>
      <c r="Y2227" s="227">
        <f>_xll.qlCalendarAdvance(Calendar,X2227,NDays&amp;"D")</f>
        <v>54442</v>
      </c>
      <c r="Z2227" s="228">
        <v>2.88630094409764E-2</v>
      </c>
      <c r="AA2227" s="230">
        <v>2.88417497632798E-2</v>
      </c>
    </row>
    <row r="2228" spans="19:27" x14ac:dyDescent="0.2">
      <c r="S2228" s="32"/>
      <c r="T2228" s="187"/>
      <c r="W2228" s="221" t="str">
        <f t="shared" si="43"/>
        <v>1w</v>
      </c>
      <c r="X2228" s="222">
        <f>_xll.qlCalendarAdvance(Calendar,X2227,W2228,"f",FALSE)</f>
        <v>54449</v>
      </c>
      <c r="Y2228" s="227">
        <f>_xll.qlCalendarAdvance(Calendar,X2228,NDays&amp;"D")</f>
        <v>54449</v>
      </c>
      <c r="Z2228" s="228">
        <v>2.8857006878508926E-2</v>
      </c>
      <c r="AA2228" s="230">
        <v>2.8835686588084553E-2</v>
      </c>
    </row>
    <row r="2229" spans="19:27" x14ac:dyDescent="0.2">
      <c r="S2229" s="32"/>
      <c r="T2229" s="187"/>
      <c r="W2229" s="221" t="str">
        <f t="shared" si="43"/>
        <v>1w</v>
      </c>
      <c r="X2229" s="222">
        <f>_xll.qlCalendarAdvance(Calendar,X2228,W2229,"f",FALSE)</f>
        <v>54456</v>
      </c>
      <c r="Y2229" s="227">
        <f>_xll.qlCalendarAdvance(Calendar,X2229,NDays&amp;"D")</f>
        <v>54456</v>
      </c>
      <c r="Z2229" s="228">
        <v>2.8848891875485137E-2</v>
      </c>
      <c r="AA2229" s="230">
        <v>2.8829658327546026E-2</v>
      </c>
    </row>
    <row r="2230" spans="19:27" x14ac:dyDescent="0.2">
      <c r="S2230" s="32"/>
      <c r="T2230" s="187"/>
      <c r="W2230" s="221" t="str">
        <f t="shared" si="43"/>
        <v>1w</v>
      </c>
      <c r="X2230" s="222">
        <f>_xll.qlCalendarAdvance(Calendar,X2229,W2230,"f",FALSE)</f>
        <v>54463</v>
      </c>
      <c r="Y2230" s="227">
        <f>_xll.qlCalendarAdvance(Calendar,X2230,NDays&amp;"D")</f>
        <v>54463</v>
      </c>
      <c r="Z2230" s="228">
        <v>2.8842953220111212E-2</v>
      </c>
      <c r="AA2230" s="230">
        <v>2.8823664981421082E-2</v>
      </c>
    </row>
    <row r="2231" spans="19:27" x14ac:dyDescent="0.2">
      <c r="S2231" s="32"/>
      <c r="T2231" s="187"/>
      <c r="W2231" s="221" t="str">
        <f t="shared" si="43"/>
        <v>1w</v>
      </c>
      <c r="X2231" s="222">
        <f>_xll.qlCalendarAdvance(Calendar,X2230,W2231,"f",FALSE)</f>
        <v>54470</v>
      </c>
      <c r="Y2231" s="227">
        <f>_xll.qlCalendarAdvance(Calendar,X2231,NDays&amp;"D")</f>
        <v>54470</v>
      </c>
      <c r="Z2231" s="228">
        <v>2.8837049556361918E-2</v>
      </c>
      <c r="AA2231" s="230">
        <v>2.8817706549790767E-2</v>
      </c>
    </row>
    <row r="2232" spans="19:27" x14ac:dyDescent="0.2">
      <c r="S2232" s="32"/>
      <c r="T2232" s="187"/>
      <c r="W2232" s="221" t="str">
        <f t="shared" si="43"/>
        <v>1w</v>
      </c>
      <c r="X2232" s="222">
        <f>_xll.qlCalendarAdvance(Calendar,X2231,W2232,"f",FALSE)</f>
        <v>54477</v>
      </c>
      <c r="Y2232" s="227">
        <f>_xll.qlCalendarAdvance(Calendar,X2232,NDays&amp;"D")</f>
        <v>54477</v>
      </c>
      <c r="Z2232" s="228">
        <v>2.8831180884185164E-2</v>
      </c>
      <c r="AA2232" s="230">
        <v>2.8811783032736127E-2</v>
      </c>
    </row>
    <row r="2233" spans="19:27" x14ac:dyDescent="0.2">
      <c r="S2233" s="32"/>
      <c r="T2233" s="187"/>
      <c r="W2233" s="221" t="str">
        <f t="shared" si="43"/>
        <v>1w</v>
      </c>
      <c r="X2233" s="222">
        <f>_xll.qlCalendarAdvance(Calendar,X2232,W2233,"f",FALSE)</f>
        <v>54484</v>
      </c>
      <c r="Y2233" s="227">
        <f>_xll.qlCalendarAdvance(Calendar,X2233,NDays&amp;"D")</f>
        <v>54484</v>
      </c>
      <c r="Z2233" s="228">
        <v>2.8827519069505279E-2</v>
      </c>
      <c r="AA2233" s="230">
        <v>2.8805894430338208E-2</v>
      </c>
    </row>
    <row r="2234" spans="19:27" x14ac:dyDescent="0.2">
      <c r="S2234" s="32"/>
      <c r="T2234" s="187"/>
      <c r="W2234" s="221" t="str">
        <f t="shared" si="43"/>
        <v>1w</v>
      </c>
      <c r="X2234" s="222">
        <f>_xll.qlCalendarAdvance(Calendar,X2233,W2234,"f",FALSE)</f>
        <v>54491</v>
      </c>
      <c r="Y2234" s="227">
        <f>_xll.qlCalendarAdvance(Calendar,X2234,NDays&amp;"D")</f>
        <v>54491</v>
      </c>
      <c r="Z2234" s="228">
        <v>2.8821726508001091E-2</v>
      </c>
      <c r="AA2234" s="230">
        <v>2.8800040742353872E-2</v>
      </c>
    </row>
    <row r="2235" spans="19:27" x14ac:dyDescent="0.2">
      <c r="S2235" s="32"/>
      <c r="T2235" s="187"/>
      <c r="W2235" s="221" t="str">
        <f t="shared" si="43"/>
        <v>1w</v>
      </c>
      <c r="X2235" s="222">
        <f>_xll.qlCalendarAdvance(Calendar,X2234,W2235,"f",FALSE)</f>
        <v>54498</v>
      </c>
      <c r="Y2235" s="227">
        <f>_xll.qlCalendarAdvance(Calendar,X2235,NDays&amp;"D")</f>
        <v>54498</v>
      </c>
      <c r="Z2235" s="228">
        <v>2.8818884388558556E-2</v>
      </c>
      <c r="AA2235" s="230">
        <v>2.8794221969026257E-2</v>
      </c>
    </row>
    <row r="2236" spans="19:27" x14ac:dyDescent="0.2">
      <c r="S2236" s="32"/>
      <c r="T2236" s="187"/>
      <c r="W2236" s="221" t="str">
        <f t="shared" si="43"/>
        <v>1w</v>
      </c>
      <c r="X2236" s="222">
        <f>_xll.qlCalendarAdvance(Calendar,X2235,W2236,"f",FALSE)</f>
        <v>54505</v>
      </c>
      <c r="Y2236" s="227">
        <f>_xll.qlCalendarAdvance(Calendar,X2236,NDays&amp;"D")</f>
        <v>54505</v>
      </c>
      <c r="Z2236" s="228">
        <v>2.881024638487828E-2</v>
      </c>
      <c r="AA2236" s="230">
        <v>2.8788438110112224E-2</v>
      </c>
    </row>
    <row r="2237" spans="19:27" x14ac:dyDescent="0.2">
      <c r="S2237" s="32"/>
      <c r="T2237" s="187"/>
      <c r="W2237" s="221" t="str">
        <f t="shared" si="43"/>
        <v>1w</v>
      </c>
      <c r="X2237" s="222">
        <f>_xll.qlCalendarAdvance(Calendar,X2236,W2237,"f",FALSE)</f>
        <v>54512</v>
      </c>
      <c r="Y2237" s="227">
        <f>_xll.qlCalendarAdvance(Calendar,X2237,NDays&amp;"D")</f>
        <v>54512</v>
      </c>
      <c r="Z2237" s="228">
        <v>2.880455882315508E-2</v>
      </c>
      <c r="AA2237" s="230">
        <v>2.878268916593596E-2</v>
      </c>
    </row>
    <row r="2238" spans="19:27" x14ac:dyDescent="0.2">
      <c r="S2238" s="32"/>
      <c r="T2238" s="187"/>
      <c r="W2238" s="221" t="str">
        <f t="shared" si="43"/>
        <v>1w</v>
      </c>
      <c r="X2238" s="222">
        <f>_xll.qlCalendarAdvance(Calendar,X2237,W2238,"f",FALSE)</f>
        <v>54519</v>
      </c>
      <c r="Y2238" s="227">
        <f>_xll.qlCalendarAdvance(Calendar,X2238,NDays&amp;"D")</f>
        <v>54519</v>
      </c>
      <c r="Z2238" s="228">
        <v>2.8798171830185182E-2</v>
      </c>
      <c r="AA2238" s="230">
        <v>2.8776975136173277E-2</v>
      </c>
    </row>
    <row r="2239" spans="19:27" x14ac:dyDescent="0.2">
      <c r="S2239" s="32"/>
      <c r="T2239" s="187"/>
      <c r="W2239" s="221" t="str">
        <f t="shared" si="43"/>
        <v>1w</v>
      </c>
      <c r="X2239" s="222">
        <f>_xll.qlCalendarAdvance(Calendar,X2238,W2239,"f",FALSE)</f>
        <v>54526</v>
      </c>
      <c r="Y2239" s="227">
        <f>_xll.qlCalendarAdvance(Calendar,X2239,NDays&amp;"D")</f>
        <v>54526</v>
      </c>
      <c r="Z2239" s="228">
        <v>2.8792552210913518E-2</v>
      </c>
      <c r="AA2239" s="230">
        <v>2.8771296020743131E-2</v>
      </c>
    </row>
    <row r="2240" spans="19:27" x14ac:dyDescent="0.2">
      <c r="S2240" s="32"/>
      <c r="T2240" s="187"/>
      <c r="W2240" s="221" t="str">
        <f t="shared" si="43"/>
        <v>1w</v>
      </c>
      <c r="X2240" s="222">
        <f>_xll.qlCalendarAdvance(Calendar,X2239,W2240,"f",FALSE)</f>
        <v>54533</v>
      </c>
      <c r="Y2240" s="227">
        <f>_xll.qlCalendarAdvance(Calendar,X2240,NDays&amp;"D")</f>
        <v>54533</v>
      </c>
      <c r="Z2240" s="228">
        <v>2.8786967588528133E-2</v>
      </c>
      <c r="AA2240" s="230">
        <v>2.8765651820212845E-2</v>
      </c>
    </row>
    <row r="2241" spans="19:27" x14ac:dyDescent="0.2">
      <c r="S2241" s="32"/>
      <c r="T2241" s="187"/>
      <c r="W2241" s="221" t="str">
        <f t="shared" si="43"/>
        <v>1w</v>
      </c>
      <c r="X2241" s="222">
        <f>_xll.qlCalendarAdvance(Calendar,X2240,W2241,"f",FALSE)</f>
        <v>54540</v>
      </c>
      <c r="Y2241" s="227">
        <f>_xll.qlCalendarAdvance(Calendar,X2241,NDays&amp;"D")</f>
        <v>54540</v>
      </c>
      <c r="Z2241" s="228">
        <v>2.8781417962985799E-2</v>
      </c>
      <c r="AA2241" s="230">
        <v>2.8760042534096142E-2</v>
      </c>
    </row>
    <row r="2242" spans="19:27" x14ac:dyDescent="0.2">
      <c r="S2242" s="32"/>
      <c r="T2242" s="187"/>
      <c r="W2242" s="221" t="str">
        <f t="shared" si="43"/>
        <v>1w</v>
      </c>
      <c r="X2242" s="222">
        <f>_xll.qlCalendarAdvance(Calendar,X2241,W2242,"f",FALSE)</f>
        <v>54547</v>
      </c>
      <c r="Y2242" s="227">
        <f>_xll.qlCalendarAdvance(Calendar,X2242,NDays&amp;"D")</f>
        <v>54547</v>
      </c>
      <c r="Z2242" s="228">
        <v>2.8776646010926329E-2</v>
      </c>
      <c r="AA2242" s="230">
        <v>2.8754468162393021E-2</v>
      </c>
    </row>
    <row r="2243" spans="19:27" x14ac:dyDescent="0.2">
      <c r="S2243" s="32"/>
      <c r="T2243" s="187"/>
      <c r="W2243" s="221" t="str">
        <f t="shared" si="43"/>
        <v>1w</v>
      </c>
      <c r="X2243" s="222">
        <f>_xll.qlCalendarAdvance(Calendar,X2242,W2243,"f",FALSE)</f>
        <v>54554</v>
      </c>
      <c r="Y2243" s="227">
        <f>_xll.qlCalendarAdvance(Calendar,X2243,NDays&amp;"D")</f>
        <v>54554</v>
      </c>
      <c r="Z2243" s="228">
        <v>2.8771168447410841E-2</v>
      </c>
      <c r="AA2243" s="230">
        <v>2.8748928705265575E-2</v>
      </c>
    </row>
    <row r="2244" spans="19:27" x14ac:dyDescent="0.2">
      <c r="S2244" s="32"/>
      <c r="T2244" s="187"/>
      <c r="W2244" s="221" t="str">
        <f t="shared" si="43"/>
        <v>1w</v>
      </c>
      <c r="X2244" s="222">
        <f>_xll.qlCalendarAdvance(Calendar,X2243,W2244,"f",FALSE)</f>
        <v>54561</v>
      </c>
      <c r="Y2244" s="227">
        <f>_xll.qlCalendarAdvance(Calendar,X2244,NDays&amp;"D")</f>
        <v>54561</v>
      </c>
      <c r="Z2244" s="228">
        <v>2.8765725883423212E-2</v>
      </c>
      <c r="AA2244" s="230">
        <v>2.8743424162713804E-2</v>
      </c>
    </row>
    <row r="2245" spans="19:27" x14ac:dyDescent="0.2">
      <c r="S2245" s="32"/>
      <c r="T2245" s="187"/>
      <c r="W2245" s="221" t="str">
        <f t="shared" si="43"/>
        <v>1w</v>
      </c>
      <c r="X2245" s="222">
        <f>_xll.qlCalendarAdvance(Calendar,X2244,W2245,"f",FALSE)</f>
        <v>54568</v>
      </c>
      <c r="Y2245" s="227">
        <f>_xll.qlCalendarAdvance(Calendar,X2245,NDays&amp;"D")</f>
        <v>54568</v>
      </c>
      <c r="Z2245" s="228">
        <v>2.8760318318913777E-2</v>
      </c>
      <c r="AA2245" s="230">
        <v>2.8737954534656662E-2</v>
      </c>
    </row>
    <row r="2246" spans="19:27" x14ac:dyDescent="0.2">
      <c r="S2246" s="32"/>
      <c r="T2246" s="187"/>
      <c r="W2246" s="221" t="str">
        <f t="shared" si="43"/>
        <v>1w</v>
      </c>
      <c r="X2246" s="222">
        <f>_xll.qlCalendarAdvance(Calendar,X2245,W2246,"f",FALSE)</f>
        <v>54575</v>
      </c>
      <c r="Y2246" s="227">
        <f>_xll.qlCalendarAdvance(Calendar,X2246,NDays&amp;"D")</f>
        <v>54575</v>
      </c>
      <c r="Z2246" s="228">
        <v>2.8754194786150416E-2</v>
      </c>
      <c r="AA2246" s="230">
        <v>2.8732519821094149E-2</v>
      </c>
    </row>
    <row r="2247" spans="19:27" x14ac:dyDescent="0.2">
      <c r="S2247" s="32"/>
      <c r="T2247" s="187"/>
      <c r="W2247" s="221" t="str">
        <f t="shared" si="43"/>
        <v>1w</v>
      </c>
      <c r="X2247" s="222">
        <f>_xll.qlCalendarAdvance(Calendar,X2246,W2247,"f",FALSE)</f>
        <v>54582</v>
      </c>
      <c r="Y2247" s="227">
        <f>_xll.qlCalendarAdvance(Calendar,X2247,NDays&amp;"D")</f>
        <v>54582</v>
      </c>
      <c r="Z2247" s="228">
        <v>2.8748855140637113E-2</v>
      </c>
      <c r="AA2247" s="230">
        <v>2.8727120022107311E-2</v>
      </c>
    </row>
    <row r="2248" spans="19:27" x14ac:dyDescent="0.2">
      <c r="S2248" s="32"/>
      <c r="T2248" s="187"/>
      <c r="W2248" s="221" t="str">
        <f t="shared" si="43"/>
        <v>1w</v>
      </c>
      <c r="X2248" s="222">
        <f>_xll.qlCalendarAdvance(Calendar,X2247,W2248,"f",FALSE)</f>
        <v>54589</v>
      </c>
      <c r="Y2248" s="227">
        <f>_xll.qlCalendarAdvance(Calendar,X2248,NDays&amp;"D")</f>
        <v>54589</v>
      </c>
      <c r="Z2248" s="228">
        <v>2.8743550491631874E-2</v>
      </c>
      <c r="AA2248" s="230">
        <v>2.8721755137615101E-2</v>
      </c>
    </row>
    <row r="2249" spans="19:27" x14ac:dyDescent="0.2">
      <c r="S2249" s="32"/>
      <c r="T2249" s="187"/>
      <c r="W2249" s="221" t="str">
        <f t="shared" si="43"/>
        <v>1w</v>
      </c>
      <c r="X2249" s="222">
        <f>_xll.qlCalendarAdvance(Calendar,X2248,W2249,"f",FALSE)</f>
        <v>54596</v>
      </c>
      <c r="Y2249" s="227">
        <f>_xll.qlCalendarAdvance(Calendar,X2249,NDays&amp;"D")</f>
        <v>54596</v>
      </c>
      <c r="Z2249" s="228">
        <v>2.8738280839091468E-2</v>
      </c>
      <c r="AA2249" s="230">
        <v>2.8716425167698567E-2</v>
      </c>
    </row>
    <row r="2250" spans="19:27" x14ac:dyDescent="0.2">
      <c r="S2250" s="32"/>
      <c r="T2250" s="187"/>
      <c r="W2250" s="221" t="str">
        <f t="shared" si="43"/>
        <v>1w</v>
      </c>
      <c r="X2250" s="222">
        <f>_xll.qlCalendarAdvance(Calendar,X2249,W2250,"f",FALSE)</f>
        <v>54603</v>
      </c>
      <c r="Y2250" s="227">
        <f>_xll.qlCalendarAdvance(Calendar,X2250,NDays&amp;"D")</f>
        <v>54603</v>
      </c>
      <c r="Z2250" s="228">
        <v>2.8733046182967275E-2</v>
      </c>
      <c r="AA2250" s="230">
        <v>2.8711130112114569E-2</v>
      </c>
    </row>
    <row r="2251" spans="19:27" x14ac:dyDescent="0.2">
      <c r="S2251" s="32"/>
      <c r="T2251" s="187"/>
      <c r="W2251" s="221" t="str">
        <f t="shared" si="43"/>
        <v>1w</v>
      </c>
      <c r="X2251" s="222">
        <f>_xll.qlCalendarAdvance(Calendar,X2250,W2251,"f",FALSE)</f>
        <v>54610</v>
      </c>
      <c r="Y2251" s="227">
        <f>_xll.qlCalendarAdvance(Calendar,X2251,NDays&amp;"D")</f>
        <v>54610</v>
      </c>
      <c r="Z2251" s="228">
        <v>2.8728607918274304E-2</v>
      </c>
      <c r="AA2251" s="230">
        <v>2.8705869971268339E-2</v>
      </c>
    </row>
    <row r="2252" spans="19:27" x14ac:dyDescent="0.2">
      <c r="S2252" s="32"/>
      <c r="T2252" s="187"/>
      <c r="W2252" s="221" t="str">
        <f t="shared" si="43"/>
        <v>1w</v>
      </c>
      <c r="X2252" s="222">
        <f>_xll.qlCalendarAdvance(Calendar,X2251,W2252,"f",FALSE)</f>
        <v>54617</v>
      </c>
      <c r="Y2252" s="227">
        <f>_xll.qlCalendarAdvance(Calendar,X2252,NDays&amp;"D")</f>
        <v>54617</v>
      </c>
      <c r="Z2252" s="228">
        <v>2.8723445348797158E-2</v>
      </c>
      <c r="AA2252" s="230">
        <v>2.8700644744754644E-2</v>
      </c>
    </row>
    <row r="2253" spans="19:27" x14ac:dyDescent="0.2">
      <c r="S2253" s="32"/>
      <c r="T2253" s="187"/>
      <c r="W2253" s="221" t="str">
        <f t="shared" si="43"/>
        <v>1w</v>
      </c>
      <c r="X2253" s="222">
        <f>_xll.qlCalendarAdvance(Calendar,X2252,W2253,"f",FALSE)</f>
        <v>54624</v>
      </c>
      <c r="Y2253" s="227">
        <f>_xll.qlCalendarAdvance(Calendar,X2253,NDays&amp;"D")</f>
        <v>54624</v>
      </c>
      <c r="Z2253" s="228">
        <v>2.8718317778424342E-2</v>
      </c>
      <c r="AA2253" s="230">
        <v>2.8695454432816625E-2</v>
      </c>
    </row>
    <row r="2254" spans="19:27" x14ac:dyDescent="0.2">
      <c r="S2254" s="32"/>
      <c r="T2254" s="187"/>
      <c r="W2254" s="221" t="str">
        <f t="shared" si="43"/>
        <v>1w</v>
      </c>
      <c r="X2254" s="222">
        <f>_xll.qlCalendarAdvance(Calendar,X2253,W2254,"f",FALSE)</f>
        <v>54631</v>
      </c>
      <c r="Y2254" s="227">
        <f>_xll.qlCalendarAdvance(Calendar,X2254,NDays&amp;"D")</f>
        <v>54631</v>
      </c>
      <c r="Z2254" s="228">
        <v>2.8713225207111413E-2</v>
      </c>
      <c r="AA2254" s="230">
        <v>2.8690299035454281E-2</v>
      </c>
    </row>
    <row r="2255" spans="19:27" x14ac:dyDescent="0.2">
      <c r="S2255" s="32"/>
      <c r="T2255" s="187"/>
      <c r="W2255" s="221" t="str">
        <f t="shared" si="43"/>
        <v>1w</v>
      </c>
      <c r="X2255" s="222">
        <f>_xll.qlCalendarAdvance(Calendar,X2254,W2255,"f",FALSE)</f>
        <v>54638</v>
      </c>
      <c r="Y2255" s="227">
        <f>_xll.qlCalendarAdvance(Calendar,X2255,NDays&amp;"D")</f>
        <v>54638</v>
      </c>
      <c r="Z2255" s="228">
        <v>2.8708167634811314E-2</v>
      </c>
      <c r="AA2255" s="230">
        <v>2.8685178552667612E-2</v>
      </c>
    </row>
    <row r="2256" spans="19:27" x14ac:dyDescent="0.2">
      <c r="S2256" s="32"/>
      <c r="T2256" s="187"/>
      <c r="W2256" s="221" t="str">
        <f t="shared" si="43"/>
        <v>1w</v>
      </c>
      <c r="X2256" s="222">
        <f>_xll.qlCalendarAdvance(Calendar,X2255,W2256,"f",FALSE)</f>
        <v>54645</v>
      </c>
      <c r="Y2256" s="227">
        <f>_xll.qlCalendarAdvance(Calendar,X2256,NDays&amp;"D")</f>
        <v>54645</v>
      </c>
      <c r="Z2256" s="228">
        <v>2.8703145061479599E-2</v>
      </c>
      <c r="AA2256" s="230">
        <v>2.8680092984294525E-2</v>
      </c>
    </row>
    <row r="2257" spans="19:27" x14ac:dyDescent="0.2">
      <c r="S2257" s="32"/>
      <c r="T2257" s="187"/>
      <c r="W2257" s="221" t="str">
        <f t="shared" si="43"/>
        <v>1w</v>
      </c>
      <c r="X2257" s="222">
        <f>_xll.qlCalendarAdvance(Calendar,X2256,W2257,"f",FALSE)</f>
        <v>54652</v>
      </c>
      <c r="Y2257" s="227">
        <f>_xll.qlCalendarAdvance(Calendar,X2257,NDays&amp;"D")</f>
        <v>54652</v>
      </c>
      <c r="Z2257" s="228">
        <v>2.869815748706659E-2</v>
      </c>
      <c r="AA2257" s="230">
        <v>2.8675042330253975E-2</v>
      </c>
    </row>
    <row r="2258" spans="19:27" x14ac:dyDescent="0.2">
      <c r="S2258" s="32"/>
      <c r="T2258" s="187"/>
      <c r="W2258" s="221" t="str">
        <f t="shared" si="43"/>
        <v>1w</v>
      </c>
      <c r="X2258" s="222">
        <f>_xll.qlCalendarAdvance(Calendar,X2257,W2258,"f",FALSE)</f>
        <v>54659</v>
      </c>
      <c r="Y2258" s="227">
        <f>_xll.qlCalendarAdvance(Calendar,X2258,NDays&amp;"D")</f>
        <v>54659</v>
      </c>
      <c r="Z2258" s="228">
        <v>2.8693204911540919E-2</v>
      </c>
      <c r="AA2258" s="230">
        <v>2.8670026591113285E-2</v>
      </c>
    </row>
    <row r="2259" spans="19:27" x14ac:dyDescent="0.2">
      <c r="S2259" s="32"/>
      <c r="T2259" s="187"/>
      <c r="W2259" s="221" t="str">
        <f t="shared" si="43"/>
        <v>1w</v>
      </c>
      <c r="X2259" s="222">
        <f>_xll.qlCalendarAdvance(Calendar,X2258,W2259,"f",FALSE)</f>
        <v>54666</v>
      </c>
      <c r="Y2259" s="227">
        <f>_xll.qlCalendarAdvance(Calendar,X2259,NDays&amp;"D")</f>
        <v>54666</v>
      </c>
      <c r="Z2259" s="228">
        <v>2.8687509109352326E-2</v>
      </c>
      <c r="AA2259" s="230">
        <v>2.8665045766061992E-2</v>
      </c>
    </row>
    <row r="2260" spans="19:27" x14ac:dyDescent="0.2">
      <c r="S2260" s="32"/>
      <c r="T2260" s="187"/>
      <c r="W2260" s="221" t="str">
        <f t="shared" si="43"/>
        <v>1w</v>
      </c>
      <c r="X2260" s="222">
        <f>_xll.qlCalendarAdvance(Calendar,X2259,W2260,"f",FALSE)</f>
        <v>54673</v>
      </c>
      <c r="Y2260" s="227">
        <f>_xll.qlCalendarAdvance(Calendar,X2260,NDays&amp;"D")</f>
        <v>54673</v>
      </c>
      <c r="Z2260" s="228">
        <v>2.8682624414983149E-2</v>
      </c>
      <c r="AA2260" s="230">
        <v>2.8660099855829513E-2</v>
      </c>
    </row>
    <row r="2261" spans="19:27" x14ac:dyDescent="0.2">
      <c r="S2261" s="32"/>
      <c r="T2261" s="187"/>
      <c r="W2261" s="221" t="str">
        <f t="shared" ref="W2261:W2324" si="44">W2260</f>
        <v>1w</v>
      </c>
      <c r="X2261" s="222">
        <f>_xll.qlCalendarAdvance(Calendar,X2260,W2261,"f",FALSE)</f>
        <v>54680</v>
      </c>
      <c r="Y2261" s="227">
        <f>_xll.qlCalendarAdvance(Calendar,X2261,NDays&amp;"D")</f>
        <v>54680</v>
      </c>
      <c r="Z2261" s="228">
        <v>2.8677774716554714E-2</v>
      </c>
      <c r="AA2261" s="230">
        <v>2.8655188859848524E-2</v>
      </c>
    </row>
    <row r="2262" spans="19:27" x14ac:dyDescent="0.2">
      <c r="S2262" s="32"/>
      <c r="T2262" s="187"/>
      <c r="W2262" s="221" t="str">
        <f t="shared" si="44"/>
        <v>1w</v>
      </c>
      <c r="X2262" s="222">
        <f>_xll.qlCalendarAdvance(Calendar,X2261,W2262,"f",FALSE)</f>
        <v>54687</v>
      </c>
      <c r="Y2262" s="227">
        <f>_xll.qlCalendarAdvance(Calendar,X2262,NDays&amp;"D")</f>
        <v>54687</v>
      </c>
      <c r="Z2262" s="228">
        <v>2.8672960014021087E-2</v>
      </c>
      <c r="AA2262" s="230">
        <v>2.8650312778524256E-2</v>
      </c>
    </row>
    <row r="2263" spans="19:27" x14ac:dyDescent="0.2">
      <c r="S2263" s="32"/>
      <c r="T2263" s="187"/>
      <c r="W2263" s="221" t="str">
        <f t="shared" si="44"/>
        <v>1w</v>
      </c>
      <c r="X2263" s="222">
        <f>_xll.qlCalendarAdvance(Calendar,X2262,W2263,"f",FALSE)</f>
        <v>54694</v>
      </c>
      <c r="Y2263" s="227">
        <f>_xll.qlCalendarAdvance(Calendar,X2263,NDays&amp;"D")</f>
        <v>54694</v>
      </c>
      <c r="Z2263" s="228">
        <v>2.8668180307349855E-2</v>
      </c>
      <c r="AA2263" s="230">
        <v>2.8645471611694617E-2</v>
      </c>
    </row>
    <row r="2264" spans="19:27" x14ac:dyDescent="0.2">
      <c r="S2264" s="32"/>
      <c r="T2264" s="187"/>
      <c r="W2264" s="221" t="str">
        <f t="shared" si="44"/>
        <v>1w</v>
      </c>
      <c r="X2264" s="222">
        <f>_xll.qlCalendarAdvance(Calendar,X2263,W2264,"f",FALSE)</f>
        <v>54701</v>
      </c>
      <c r="Y2264" s="227">
        <f>_xll.qlCalendarAdvance(Calendar,X2264,NDays&amp;"D")</f>
        <v>54701</v>
      </c>
      <c r="Z2264" s="228">
        <v>2.8664224432369965E-2</v>
      </c>
      <c r="AA2264" s="230">
        <v>2.8640665359197515E-2</v>
      </c>
    </row>
    <row r="2265" spans="19:27" x14ac:dyDescent="0.2">
      <c r="S2265" s="32"/>
      <c r="T2265" s="187"/>
      <c r="W2265" s="221" t="str">
        <f t="shared" si="44"/>
        <v>1w</v>
      </c>
      <c r="X2265" s="222">
        <f>_xll.qlCalendarAdvance(Calendar,X2264,W2265,"f",FALSE)</f>
        <v>54708</v>
      </c>
      <c r="Y2265" s="227">
        <f>_xll.qlCalendarAdvance(Calendar,X2265,NDays&amp;"D")</f>
        <v>54708</v>
      </c>
      <c r="Z2265" s="228">
        <v>2.8659516847777212E-2</v>
      </c>
      <c r="AA2265" s="230">
        <v>2.8635894021357133E-2</v>
      </c>
    </row>
    <row r="2266" spans="19:27" x14ac:dyDescent="0.2">
      <c r="S2266" s="32"/>
      <c r="T2266" s="187"/>
      <c r="W2266" s="221" t="str">
        <f t="shared" si="44"/>
        <v>1w</v>
      </c>
      <c r="X2266" s="222">
        <f>_xll.qlCalendarAdvance(Calendar,X2265,W2266,"f",FALSE)</f>
        <v>54715</v>
      </c>
      <c r="Y2266" s="227">
        <f>_xll.qlCalendarAdvance(Calendar,X2266,NDays&amp;"D")</f>
        <v>54715</v>
      </c>
      <c r="Z2266" s="228">
        <v>2.8654844261716238E-2</v>
      </c>
      <c r="AA2266" s="230">
        <v>2.8631157598011381E-2</v>
      </c>
    </row>
    <row r="2267" spans="19:27" x14ac:dyDescent="0.2">
      <c r="S2267" s="32"/>
      <c r="T2267" s="187"/>
      <c r="W2267" s="221" t="str">
        <f t="shared" si="44"/>
        <v>1w</v>
      </c>
      <c r="X2267" s="222">
        <f>_xll.qlCalendarAdvance(Calendar,X2266,W2267,"f",FALSE)</f>
        <v>54722</v>
      </c>
      <c r="Y2267" s="227">
        <f>_xll.qlCalendarAdvance(Calendar,X2267,NDays&amp;"D")</f>
        <v>54722</v>
      </c>
      <c r="Z2267" s="228">
        <v>2.865020667415567E-2</v>
      </c>
      <c r="AA2267" s="230">
        <v>2.8626456089160257E-2</v>
      </c>
    </row>
    <row r="2268" spans="19:27" x14ac:dyDescent="0.2">
      <c r="S2268" s="32"/>
      <c r="T2268" s="187"/>
      <c r="W2268" s="221" t="str">
        <f t="shared" si="44"/>
        <v>1w</v>
      </c>
      <c r="X2268" s="222">
        <f>_xll.qlCalendarAdvance(Calendar,X2267,W2268,"f",FALSE)</f>
        <v>54729</v>
      </c>
      <c r="Y2268" s="227">
        <f>_xll.qlCalendarAdvance(Calendar,X2268,NDays&amp;"D")</f>
        <v>54729</v>
      </c>
      <c r="Z2268" s="228">
        <v>2.864480671037891E-2</v>
      </c>
      <c r="AA2268" s="230">
        <v>2.8621789494722716E-2</v>
      </c>
    </row>
    <row r="2269" spans="19:27" x14ac:dyDescent="0.2">
      <c r="S2269" s="32"/>
      <c r="T2269" s="187"/>
      <c r="W2269" s="221" t="str">
        <f t="shared" si="44"/>
        <v>1w</v>
      </c>
      <c r="X2269" s="222">
        <f>_xll.qlCalendarAdvance(Calendar,X2268,W2269,"f",FALSE)</f>
        <v>54736</v>
      </c>
      <c r="Y2269" s="227">
        <f>_xll.qlCalendarAdvance(Calendar,X2269,NDays&amp;"D")</f>
        <v>54736</v>
      </c>
      <c r="Z2269" s="228">
        <v>2.8640236977982424E-2</v>
      </c>
      <c r="AA2269" s="230">
        <v>2.861715781486085E-2</v>
      </c>
    </row>
    <row r="2270" spans="19:27" x14ac:dyDescent="0.2">
      <c r="S2270" s="32"/>
      <c r="T2270" s="187"/>
      <c r="W2270" s="221" t="str">
        <f t="shared" si="44"/>
        <v>1w</v>
      </c>
      <c r="X2270" s="222">
        <f>_xll.qlCalendarAdvance(Calendar,X2269,W2270,"f",FALSE)</f>
        <v>54743</v>
      </c>
      <c r="Y2270" s="227">
        <f>_xll.qlCalendarAdvance(Calendar,X2270,NDays&amp;"D")</f>
        <v>54743</v>
      </c>
      <c r="Z2270" s="228">
        <v>2.863570224116737E-2</v>
      </c>
      <c r="AA2270" s="230">
        <v>2.8612561049412566E-2</v>
      </c>
    </row>
    <row r="2271" spans="19:27" x14ac:dyDescent="0.2">
      <c r="S2271" s="32"/>
      <c r="T2271" s="187"/>
      <c r="W2271" s="221" t="str">
        <f t="shared" si="44"/>
        <v>1w</v>
      </c>
      <c r="X2271" s="222">
        <f>_xll.qlCalendarAdvance(Calendar,X2270,W2271,"f",FALSE)</f>
        <v>54750</v>
      </c>
      <c r="Y2271" s="227">
        <f>_xll.qlCalendarAdvance(Calendar,X2271,NDays&amp;"D")</f>
        <v>54750</v>
      </c>
      <c r="Z2271" s="228">
        <v>2.8631202499882418E-2</v>
      </c>
      <c r="AA2271" s="230">
        <v>2.8607999198377865E-2</v>
      </c>
    </row>
    <row r="2272" spans="19:27" x14ac:dyDescent="0.2">
      <c r="S2272" s="32"/>
      <c r="T2272" s="187"/>
      <c r="W2272" s="221" t="str">
        <f t="shared" si="44"/>
        <v>1w</v>
      </c>
      <c r="X2272" s="222">
        <f>_xll.qlCalendarAdvance(Calendar,X2271,W2272,"f",FALSE)</f>
        <v>54757</v>
      </c>
      <c r="Y2272" s="227">
        <f>_xll.qlCalendarAdvance(Calendar,X2272,NDays&amp;"D")</f>
        <v>54757</v>
      </c>
      <c r="Z2272" s="228">
        <v>2.8627543712303347E-2</v>
      </c>
      <c r="AA2272" s="230">
        <v>2.8603472261918839E-2</v>
      </c>
    </row>
    <row r="2273" spans="19:27" x14ac:dyDescent="0.2">
      <c r="S2273" s="32"/>
      <c r="T2273" s="187"/>
      <c r="W2273" s="221" t="str">
        <f t="shared" si="44"/>
        <v>1w</v>
      </c>
      <c r="X2273" s="222">
        <f>_xll.qlCalendarAdvance(Calendar,X2272,W2273,"f",FALSE)</f>
        <v>54764</v>
      </c>
      <c r="Y2273" s="227">
        <f>_xll.qlCalendarAdvance(Calendar,X2273,NDays&amp;"D")</f>
        <v>54764</v>
      </c>
      <c r="Z2273" s="228">
        <v>2.8623116114848475E-2</v>
      </c>
      <c r="AA2273" s="230">
        <v>2.8598980240035488E-2</v>
      </c>
    </row>
    <row r="2274" spans="19:27" x14ac:dyDescent="0.2">
      <c r="S2274" s="32"/>
      <c r="T2274" s="187"/>
      <c r="W2274" s="221" t="str">
        <f t="shared" si="44"/>
        <v>1w</v>
      </c>
      <c r="X2274" s="222">
        <f>_xll.qlCalendarAdvance(Calendar,X2273,W2274,"f",FALSE)</f>
        <v>54771</v>
      </c>
      <c r="Y2274" s="227">
        <f>_xll.qlCalendarAdvance(Calendar,X2274,NDays&amp;"D")</f>
        <v>54771</v>
      </c>
      <c r="Z2274" s="228">
        <v>2.8618723515601199E-2</v>
      </c>
      <c r="AA2274" s="230">
        <v>2.8594523132646765E-2</v>
      </c>
    </row>
    <row r="2275" spans="19:27" x14ac:dyDescent="0.2">
      <c r="S2275" s="32"/>
      <c r="T2275" s="187"/>
      <c r="W2275" s="221" t="str">
        <f t="shared" si="44"/>
        <v>1w</v>
      </c>
      <c r="X2275" s="222">
        <f>_xll.qlCalendarAdvance(Calendar,X2274,W2275,"f",FALSE)</f>
        <v>54778</v>
      </c>
      <c r="Y2275" s="227">
        <f>_xll.qlCalendarAdvance(Calendar,X2275,NDays&amp;"D")</f>
        <v>54778</v>
      </c>
      <c r="Z2275" s="228">
        <v>2.8614365914530142E-2</v>
      </c>
      <c r="AA2275" s="230">
        <v>2.8590100939590579E-2</v>
      </c>
    </row>
    <row r="2276" spans="19:27" x14ac:dyDescent="0.2">
      <c r="S2276" s="32"/>
      <c r="T2276" s="187"/>
      <c r="W2276" s="221" t="str">
        <f t="shared" si="44"/>
        <v>1w</v>
      </c>
      <c r="X2276" s="222">
        <f>_xll.qlCalendarAdvance(Calendar,X2275,W2276,"f",FALSE)</f>
        <v>54786</v>
      </c>
      <c r="Y2276" s="227">
        <f>_xll.qlCalendarAdvance(Calendar,X2276,NDays&amp;"D")</f>
        <v>54786</v>
      </c>
      <c r="Z2276" s="228">
        <v>2.8611059191036688E-2</v>
      </c>
      <c r="AA2276" s="230">
        <v>2.8585089757114934E-2</v>
      </c>
    </row>
    <row r="2277" spans="19:27" x14ac:dyDescent="0.2">
      <c r="S2277" s="32"/>
      <c r="T2277" s="187"/>
      <c r="W2277" s="221" t="str">
        <f t="shared" si="44"/>
        <v>1w</v>
      </c>
      <c r="X2277" s="222">
        <f>_xll.qlCalendarAdvance(Calendar,X2276,W2277,"f",FALSE)</f>
        <v>54793</v>
      </c>
      <c r="Y2277" s="227">
        <f>_xll.qlCalendarAdvance(Calendar,X2277,NDays&amp;"D")</f>
        <v>54793</v>
      </c>
      <c r="Z2277" s="228">
        <v>2.8606780915889068E-2</v>
      </c>
      <c r="AA2277" s="230">
        <v>2.8580742380879265E-2</v>
      </c>
    </row>
    <row r="2278" spans="19:27" x14ac:dyDescent="0.2">
      <c r="S2278" s="32"/>
      <c r="T2278" s="187"/>
      <c r="W2278" s="221" t="str">
        <f t="shared" si="44"/>
        <v>1w</v>
      </c>
      <c r="X2278" s="222">
        <f>_xll.qlCalendarAdvance(Calendar,X2277,W2278,"f",FALSE)</f>
        <v>54800</v>
      </c>
      <c r="Y2278" s="227">
        <f>_xll.qlCalendarAdvance(Calendar,X2278,NDays&amp;"D")</f>
        <v>54800</v>
      </c>
      <c r="Z2278" s="228">
        <v>2.8602537644369794E-2</v>
      </c>
      <c r="AA2278" s="230">
        <v>2.8576429919219271E-2</v>
      </c>
    </row>
    <row r="2279" spans="19:27" x14ac:dyDescent="0.2">
      <c r="S2279" s="32"/>
      <c r="T2279" s="187"/>
      <c r="W2279" s="221" t="str">
        <f t="shared" si="44"/>
        <v>1w</v>
      </c>
      <c r="X2279" s="222">
        <f>_xll.qlCalendarAdvance(Calendar,X2278,W2279,"f",FALSE)</f>
        <v>54807</v>
      </c>
      <c r="Y2279" s="227">
        <f>_xll.qlCalendarAdvance(Calendar,X2279,NDays&amp;"D")</f>
        <v>54807</v>
      </c>
      <c r="Z2279" s="228">
        <v>2.8598329376432204E-2</v>
      </c>
      <c r="AA2279" s="230">
        <v>2.8572152371810766E-2</v>
      </c>
    </row>
    <row r="2280" spans="19:27" x14ac:dyDescent="0.2">
      <c r="S2280" s="32"/>
      <c r="T2280" s="187"/>
      <c r="W2280" s="221" t="str">
        <f t="shared" si="44"/>
        <v>1w</v>
      </c>
      <c r="X2280" s="222">
        <f>_xll.qlCalendarAdvance(Calendar,X2279,W2280,"f",FALSE)</f>
        <v>54814</v>
      </c>
      <c r="Y2280" s="227">
        <f>_xll.qlCalendarAdvance(Calendar,X2280,NDays&amp;"D")</f>
        <v>54814</v>
      </c>
      <c r="Z2280" s="228">
        <v>2.8594156112041913E-2</v>
      </c>
      <c r="AA2280" s="230">
        <v>2.8567909739058983E-2</v>
      </c>
    </row>
    <row r="2281" spans="19:27" x14ac:dyDescent="0.2">
      <c r="S2281" s="32"/>
      <c r="T2281" s="187"/>
      <c r="W2281" s="221" t="str">
        <f t="shared" si="44"/>
        <v>1w</v>
      </c>
      <c r="X2281" s="222">
        <f>_xll.qlCalendarAdvance(Calendar,X2280,W2281,"f",FALSE)</f>
        <v>54821</v>
      </c>
      <c r="Y2281" s="227">
        <f>_xll.qlCalendarAdvance(Calendar,X2281,NDays&amp;"D")</f>
        <v>54821</v>
      </c>
      <c r="Z2281" s="228">
        <v>2.8585889123827399E-2</v>
      </c>
      <c r="AA2281" s="230">
        <v>2.8563702020720783E-2</v>
      </c>
    </row>
    <row r="2282" spans="19:27" x14ac:dyDescent="0.2">
      <c r="S2282" s="32"/>
      <c r="T2282" s="187"/>
      <c r="W2282" s="221" t="str">
        <f t="shared" si="44"/>
        <v>1w</v>
      </c>
      <c r="X2282" s="222">
        <f>_xll.qlCalendarAdvance(Calendar,X2281,W2282,"f",FALSE)</f>
        <v>54828</v>
      </c>
      <c r="Y2282" s="227">
        <f>_xll.qlCalendarAdvance(Calendar,X2282,NDays&amp;"D")</f>
        <v>54828</v>
      </c>
      <c r="Z2282" s="228">
        <v>2.8581774974656336E-2</v>
      </c>
      <c r="AA2282" s="230">
        <v>2.8559529216877211E-2</v>
      </c>
    </row>
    <row r="2283" spans="19:27" x14ac:dyDescent="0.2">
      <c r="S2283" s="32"/>
      <c r="T2283" s="187"/>
      <c r="W2283" s="221" t="str">
        <f t="shared" si="44"/>
        <v>1w</v>
      </c>
      <c r="X2283" s="222">
        <f>_xll.qlCalendarAdvance(Calendar,X2282,W2283,"f",FALSE)</f>
        <v>54835</v>
      </c>
      <c r="Y2283" s="227">
        <f>_xll.qlCalendarAdvance(Calendar,X2283,NDays&amp;"D")</f>
        <v>54835</v>
      </c>
      <c r="Z2283" s="228">
        <v>2.8577695815022966E-2</v>
      </c>
      <c r="AA2283" s="230">
        <v>2.8555391327447222E-2</v>
      </c>
    </row>
    <row r="2284" spans="19:27" x14ac:dyDescent="0.2">
      <c r="S2284" s="32"/>
      <c r="T2284" s="187"/>
      <c r="W2284" s="221" t="str">
        <f t="shared" si="44"/>
        <v>1w</v>
      </c>
      <c r="X2284" s="222">
        <f>_xll.qlCalendarAdvance(Calendar,X2283,W2284,"f",FALSE)</f>
        <v>54842</v>
      </c>
      <c r="Y2284" s="227">
        <f>_xll.qlCalendarAdvance(Calendar,X2284,NDays&amp;"D")</f>
        <v>54842</v>
      </c>
      <c r="Z2284" s="228">
        <v>2.8573651644866509E-2</v>
      </c>
      <c r="AA2284" s="230">
        <v>2.8551288352430815E-2</v>
      </c>
    </row>
    <row r="2285" spans="19:27" x14ac:dyDescent="0.2">
      <c r="S2285" s="32"/>
      <c r="T2285" s="187"/>
      <c r="W2285" s="221" t="str">
        <f t="shared" si="44"/>
        <v>1w</v>
      </c>
      <c r="X2285" s="222">
        <f>_xll.qlCalendarAdvance(Calendar,X2284,W2285,"f",FALSE)</f>
        <v>54849</v>
      </c>
      <c r="Y2285" s="227">
        <f>_xll.qlCalendarAdvance(Calendar,X2285,NDays&amp;"D")</f>
        <v>54849</v>
      </c>
      <c r="Z2285" s="228">
        <v>2.8573814841877963E-2</v>
      </c>
      <c r="AA2285" s="230">
        <v>2.8547220291990083E-2</v>
      </c>
    </row>
    <row r="2286" spans="19:27" x14ac:dyDescent="0.2">
      <c r="S2286" s="32"/>
      <c r="T2286" s="187"/>
      <c r="W2286" s="221" t="str">
        <f t="shared" si="44"/>
        <v>1w</v>
      </c>
      <c r="X2286" s="222">
        <f>_xll.qlCalendarAdvance(Calendar,X2285,W2286,"f",FALSE)</f>
        <v>54856</v>
      </c>
      <c r="Y2286" s="227">
        <f>_xll.qlCalendarAdvance(Calendar,X2286,NDays&amp;"D")</f>
        <v>54856</v>
      </c>
      <c r="Z2286" s="228">
        <v>2.857068902050253E-2</v>
      </c>
      <c r="AA2286" s="230">
        <v>2.8543187146125026E-2</v>
      </c>
    </row>
    <row r="2287" spans="19:27" x14ac:dyDescent="0.2">
      <c r="S2287" s="32"/>
      <c r="T2287" s="187"/>
      <c r="W2287" s="221" t="str">
        <f t="shared" si="44"/>
        <v>1w</v>
      </c>
      <c r="X2287" s="222">
        <f>_xll.qlCalendarAdvance(Calendar,X2286,W2287,"f",FALSE)</f>
        <v>54863</v>
      </c>
      <c r="Y2287" s="227">
        <f>_xll.qlCalendarAdvance(Calendar,X2287,NDays&amp;"D")</f>
        <v>54863</v>
      </c>
      <c r="Z2287" s="228">
        <v>2.8565923357269624E-2</v>
      </c>
      <c r="AA2287" s="230">
        <v>2.853918891451146E-2</v>
      </c>
    </row>
    <row r="2288" spans="19:27" x14ac:dyDescent="0.2">
      <c r="S2288" s="32"/>
      <c r="T2288" s="187"/>
      <c r="W2288" s="221" t="str">
        <f t="shared" si="44"/>
        <v>1w</v>
      </c>
      <c r="X2288" s="222">
        <f>_xll.qlCalendarAdvance(Calendar,X2287,W2288,"f",FALSE)</f>
        <v>54870</v>
      </c>
      <c r="Y2288" s="227">
        <f>_xll.qlCalendarAdvance(Calendar,X2288,NDays&amp;"D")</f>
        <v>54870</v>
      </c>
      <c r="Z2288" s="228">
        <v>2.8562030119843106E-2</v>
      </c>
      <c r="AA2288" s="230">
        <v>2.8535225597392522E-2</v>
      </c>
    </row>
    <row r="2289" spans="19:27" x14ac:dyDescent="0.2">
      <c r="S2289" s="32"/>
      <c r="T2289" s="187"/>
      <c r="W2289" s="221" t="str">
        <f t="shared" si="44"/>
        <v>1w</v>
      </c>
      <c r="X2289" s="222">
        <f>_xll.qlCalendarAdvance(Calendar,X2288,W2289,"f",FALSE)</f>
        <v>54877</v>
      </c>
      <c r="Y2289" s="227">
        <f>_xll.qlCalendarAdvance(Calendar,X2289,NDays&amp;"D")</f>
        <v>54877</v>
      </c>
      <c r="Z2289" s="228">
        <v>2.8555641374769146E-2</v>
      </c>
      <c r="AA2289" s="230">
        <v>2.8531297194930305E-2</v>
      </c>
    </row>
    <row r="2290" spans="19:27" x14ac:dyDescent="0.2">
      <c r="S2290" s="32"/>
      <c r="T2290" s="187"/>
      <c r="W2290" s="221" t="str">
        <f t="shared" si="44"/>
        <v>1w</v>
      </c>
      <c r="X2290" s="222">
        <f>_xll.qlCalendarAdvance(Calendar,X2289,W2290,"f",FALSE)</f>
        <v>54884</v>
      </c>
      <c r="Y2290" s="227">
        <f>_xll.qlCalendarAdvance(Calendar,X2290,NDays&amp;"D")</f>
        <v>54884</v>
      </c>
      <c r="Z2290" s="228">
        <v>2.8551811540904398E-2</v>
      </c>
      <c r="AA2290" s="230">
        <v>2.8527403706800625E-2</v>
      </c>
    </row>
    <row r="2291" spans="19:27" x14ac:dyDescent="0.2">
      <c r="S2291" s="32"/>
      <c r="T2291" s="187"/>
      <c r="W2291" s="221" t="str">
        <f t="shared" si="44"/>
        <v>1w</v>
      </c>
      <c r="X2291" s="222">
        <f>_xll.qlCalendarAdvance(Calendar,X2290,W2291,"f",FALSE)</f>
        <v>54891</v>
      </c>
      <c r="Y2291" s="227">
        <f>_xll.qlCalendarAdvance(Calendar,X2291,NDays&amp;"D")</f>
        <v>54891</v>
      </c>
      <c r="Z2291" s="228">
        <v>2.8548016701851142E-2</v>
      </c>
      <c r="AA2291" s="230">
        <v>2.8523545133084527E-2</v>
      </c>
    </row>
    <row r="2292" spans="19:27" x14ac:dyDescent="0.2">
      <c r="S2292" s="32"/>
      <c r="T2292" s="187"/>
      <c r="W2292" s="221" t="str">
        <f t="shared" si="44"/>
        <v>1w</v>
      </c>
      <c r="X2292" s="222">
        <f>_xll.qlCalendarAdvance(Calendar,X2291,W2292,"f",FALSE)</f>
        <v>54898</v>
      </c>
      <c r="Y2292" s="227">
        <f>_xll.qlCalendarAdvance(Calendar,X2292,NDays&amp;"D")</f>
        <v>54898</v>
      </c>
      <c r="Z2292" s="228">
        <v>2.8544256857574262E-2</v>
      </c>
      <c r="AA2292" s="230">
        <v>2.8519721473944104E-2</v>
      </c>
    </row>
    <row r="2293" spans="19:27" x14ac:dyDescent="0.2">
      <c r="S2293" s="32"/>
      <c r="T2293" s="187"/>
      <c r="W2293" s="221" t="str">
        <f t="shared" si="44"/>
        <v>1w</v>
      </c>
      <c r="X2293" s="222">
        <f>_xll.qlCalendarAdvance(Calendar,X2292,W2293,"f",FALSE)</f>
        <v>54905</v>
      </c>
      <c r="Y2293" s="227">
        <f>_xll.qlCalendarAdvance(Calendar,X2293,NDays&amp;"D")</f>
        <v>54905</v>
      </c>
      <c r="Z2293" s="228">
        <v>2.8540532008052143E-2</v>
      </c>
      <c r="AA2293" s="230">
        <v>2.8515932729217264E-2</v>
      </c>
    </row>
    <row r="2294" spans="19:27" x14ac:dyDescent="0.2">
      <c r="S2294" s="32"/>
      <c r="T2294" s="187"/>
      <c r="W2294" s="221" t="str">
        <f t="shared" si="44"/>
        <v>1w</v>
      </c>
      <c r="X2294" s="222">
        <f>_xll.qlCalendarAdvance(Calendar,X2293,W2294,"f",FALSE)</f>
        <v>54912</v>
      </c>
      <c r="Y2294" s="227">
        <f>_xll.qlCalendarAdvance(Calendar,X2294,NDays&amp;"D")</f>
        <v>54912</v>
      </c>
      <c r="Z2294" s="228">
        <v>2.853940576122568E-2</v>
      </c>
      <c r="AA2294" s="230">
        <v>2.8512178898904006E-2</v>
      </c>
    </row>
    <row r="2295" spans="19:27" x14ac:dyDescent="0.2">
      <c r="S2295" s="32"/>
      <c r="T2295" s="187"/>
      <c r="W2295" s="221" t="str">
        <f t="shared" si="44"/>
        <v>1w</v>
      </c>
      <c r="X2295" s="222">
        <f>_xll.qlCalendarAdvance(Calendar,X2294,W2295,"f",FALSE)</f>
        <v>54919</v>
      </c>
      <c r="Y2295" s="227">
        <f>_xll.qlCalendarAdvance(Calendar,X2295,NDays&amp;"D")</f>
        <v>54919</v>
      </c>
      <c r="Z2295" s="228">
        <v>2.8535757545444896E-2</v>
      </c>
      <c r="AA2295" s="230">
        <v>2.8508459983004331E-2</v>
      </c>
    </row>
    <row r="2296" spans="19:27" x14ac:dyDescent="0.2">
      <c r="S2296" s="32"/>
      <c r="T2296" s="187"/>
      <c r="W2296" s="221" t="str">
        <f t="shared" si="44"/>
        <v>1w</v>
      </c>
      <c r="X2296" s="222">
        <f>_xll.qlCalendarAdvance(Calendar,X2295,W2296,"f",FALSE)</f>
        <v>54926</v>
      </c>
      <c r="Y2296" s="227">
        <f>_xll.qlCalendarAdvance(Calendar,X2296,NDays&amp;"D")</f>
        <v>54926</v>
      </c>
      <c r="Z2296" s="228">
        <v>2.8532144332624437E-2</v>
      </c>
      <c r="AA2296" s="230">
        <v>2.8504775981761377E-2</v>
      </c>
    </row>
    <row r="2297" spans="19:27" x14ac:dyDescent="0.2">
      <c r="S2297" s="32"/>
      <c r="T2297" s="187"/>
      <c r="W2297" s="221" t="str">
        <f t="shared" si="44"/>
        <v>1w</v>
      </c>
      <c r="X2297" s="222">
        <f>_xll.qlCalendarAdvance(Calendar,X2296,W2297,"f",FALSE)</f>
        <v>54933</v>
      </c>
      <c r="Y2297" s="227">
        <f>_xll.qlCalendarAdvance(Calendar,X2297,NDays&amp;"D")</f>
        <v>54933</v>
      </c>
      <c r="Z2297" s="228">
        <v>2.8528566122712734E-2</v>
      </c>
      <c r="AA2297" s="230">
        <v>2.8501126894769913E-2</v>
      </c>
    </row>
    <row r="2298" spans="19:27" x14ac:dyDescent="0.2">
      <c r="S2298" s="32"/>
      <c r="T2298" s="187"/>
      <c r="W2298" s="221" t="str">
        <f t="shared" si="44"/>
        <v>1w</v>
      </c>
      <c r="X2298" s="222">
        <f>_xll.qlCalendarAdvance(Calendar,X2297,W2298,"f",FALSE)</f>
        <v>54940</v>
      </c>
      <c r="Y2298" s="227">
        <f>_xll.qlCalendarAdvance(Calendar,X2298,NDays&amp;"D")</f>
        <v>54940</v>
      </c>
      <c r="Z2298" s="228">
        <v>2.8522432680528342E-2</v>
      </c>
      <c r="AA2298" s="230">
        <v>2.8497512722273077E-2</v>
      </c>
    </row>
    <row r="2299" spans="19:27" x14ac:dyDescent="0.2">
      <c r="S2299" s="32"/>
      <c r="T2299" s="187"/>
      <c r="W2299" s="221" t="str">
        <f t="shared" si="44"/>
        <v>1w</v>
      </c>
      <c r="X2299" s="222">
        <f>_xll.qlCalendarAdvance(Calendar,X2298,W2299,"f",FALSE)</f>
        <v>54947</v>
      </c>
      <c r="Y2299" s="227">
        <f>_xll.qlCalendarAdvance(Calendar,X2299,NDays&amp;"D")</f>
        <v>54947</v>
      </c>
      <c r="Z2299" s="228">
        <v>2.8518917798832387E-2</v>
      </c>
      <c r="AA2299" s="230">
        <v>2.8493933464432963E-2</v>
      </c>
    </row>
    <row r="2300" spans="19:27" x14ac:dyDescent="0.2">
      <c r="S2300" s="32"/>
      <c r="T2300" s="187"/>
      <c r="W2300" s="221" t="str">
        <f t="shared" si="44"/>
        <v>1w</v>
      </c>
      <c r="X2300" s="222">
        <f>_xll.qlCalendarAdvance(Calendar,X2299,W2300,"f",FALSE)</f>
        <v>54954</v>
      </c>
      <c r="Y2300" s="227">
        <f>_xll.qlCalendarAdvance(Calendar,X2300,NDays&amp;"D")</f>
        <v>54954</v>
      </c>
      <c r="Z2300" s="228">
        <v>2.8515437911661556E-2</v>
      </c>
      <c r="AA2300" s="230">
        <v>2.8490389120844339E-2</v>
      </c>
    </row>
    <row r="2301" spans="19:27" x14ac:dyDescent="0.2">
      <c r="S2301" s="32"/>
      <c r="T2301" s="187"/>
      <c r="W2301" s="221" t="str">
        <f t="shared" si="44"/>
        <v>1w</v>
      </c>
      <c r="X2301" s="222">
        <f>_xll.qlCalendarAdvance(Calendar,X2300,W2301,"f",FALSE)</f>
        <v>54961</v>
      </c>
      <c r="Y2301" s="227">
        <f>_xll.qlCalendarAdvance(Calendar,X2301,NDays&amp;"D")</f>
        <v>54961</v>
      </c>
      <c r="Z2301" s="228">
        <v>2.8511993018991544E-2</v>
      </c>
      <c r="AA2301" s="230">
        <v>2.8486879691750344E-2</v>
      </c>
    </row>
    <row r="2302" spans="19:27" x14ac:dyDescent="0.2">
      <c r="S2302" s="32"/>
      <c r="T2302" s="187"/>
      <c r="W2302" s="221" t="str">
        <f t="shared" si="44"/>
        <v>1w</v>
      </c>
      <c r="X2302" s="222">
        <f>_xll.qlCalendarAdvance(Calendar,X2301,W2302,"f",FALSE)</f>
        <v>54968</v>
      </c>
      <c r="Y2302" s="227">
        <f>_xll.qlCalendarAdvance(Calendar,X2302,NDays&amp;"D")</f>
        <v>54968</v>
      </c>
      <c r="Z2302" s="228">
        <v>2.8508583120787228E-2</v>
      </c>
      <c r="AA2302" s="230">
        <v>2.8483405176988885E-2</v>
      </c>
    </row>
    <row r="2303" spans="19:27" x14ac:dyDescent="0.2">
      <c r="S2303" s="32"/>
      <c r="T2303" s="187"/>
      <c r="W2303" s="221" t="str">
        <f t="shared" si="44"/>
        <v>1w</v>
      </c>
      <c r="X2303" s="222">
        <f>_xll.qlCalendarAdvance(Calendar,X2302,W2303,"f",FALSE)</f>
        <v>54975</v>
      </c>
      <c r="Y2303" s="227">
        <f>_xll.qlCalendarAdvance(Calendar,X2303,NDays&amp;"D")</f>
        <v>54975</v>
      </c>
      <c r="Z2303" s="228">
        <v>2.850783192267594E-2</v>
      </c>
      <c r="AA2303" s="230">
        <v>2.8479965576884148E-2</v>
      </c>
    </row>
    <row r="2304" spans="19:27" x14ac:dyDescent="0.2">
      <c r="S2304" s="32"/>
      <c r="T2304" s="187"/>
      <c r="W2304" s="221" t="str">
        <f t="shared" si="44"/>
        <v>1w</v>
      </c>
      <c r="X2304" s="222">
        <f>_xll.qlCalendarAdvance(Calendar,X2303,W2304,"f",FALSE)</f>
        <v>54982</v>
      </c>
      <c r="Y2304" s="227">
        <f>_xll.qlCalendarAdvance(Calendar,X2304,NDays&amp;"D")</f>
        <v>54982</v>
      </c>
      <c r="Z2304" s="228">
        <v>2.8504498732263472E-2</v>
      </c>
      <c r="AA2304" s="230">
        <v>2.8476560891111946E-2</v>
      </c>
    </row>
    <row r="2305" spans="19:27" x14ac:dyDescent="0.2">
      <c r="S2305" s="32"/>
      <c r="T2305" s="187"/>
      <c r="W2305" s="221" t="str">
        <f t="shared" si="44"/>
        <v>1w</v>
      </c>
      <c r="X2305" s="222">
        <f>_xll.qlCalendarAdvance(Calendar,X2304,W2305,"f",FALSE)</f>
        <v>54989</v>
      </c>
      <c r="Y2305" s="227">
        <f>_xll.qlCalendarAdvance(Calendar,X2305,NDays&amp;"D")</f>
        <v>54989</v>
      </c>
      <c r="Z2305" s="228">
        <v>2.8501200544509248E-2</v>
      </c>
      <c r="AA2305" s="230">
        <v>2.8473191119834373E-2</v>
      </c>
    </row>
    <row r="2306" spans="19:27" x14ac:dyDescent="0.2">
      <c r="S2306" s="32"/>
      <c r="T2306" s="187"/>
      <c r="W2306" s="221" t="str">
        <f t="shared" si="44"/>
        <v>1w</v>
      </c>
      <c r="X2306" s="222">
        <f>_xll.qlCalendarAdvance(Calendar,X2305,W2306,"f",FALSE)</f>
        <v>54996</v>
      </c>
      <c r="Y2306" s="227">
        <f>_xll.qlCalendarAdvance(Calendar,X2306,NDays&amp;"D")</f>
        <v>54996</v>
      </c>
      <c r="Z2306" s="228">
        <v>2.8498819175178117E-2</v>
      </c>
      <c r="AA2306" s="230">
        <v>2.8469856262889337E-2</v>
      </c>
    </row>
    <row r="2307" spans="19:27" x14ac:dyDescent="0.2">
      <c r="S2307" s="32"/>
      <c r="T2307" s="187"/>
      <c r="W2307" s="221" t="str">
        <f t="shared" si="44"/>
        <v>1w</v>
      </c>
      <c r="X2307" s="222">
        <f>_xll.qlCalendarAdvance(Calendar,X2306,W2307,"f",FALSE)</f>
        <v>55003</v>
      </c>
      <c r="Y2307" s="227">
        <f>_xll.qlCalendarAdvance(Calendar,X2307,NDays&amp;"D")</f>
        <v>55003</v>
      </c>
      <c r="Z2307" s="228">
        <v>2.8494709176845382E-2</v>
      </c>
      <c r="AA2307" s="230">
        <v>2.8466556320682068E-2</v>
      </c>
    </row>
    <row r="2308" spans="19:27" x14ac:dyDescent="0.2">
      <c r="S2308" s="32"/>
      <c r="T2308" s="187"/>
      <c r="W2308" s="221" t="str">
        <f t="shared" si="44"/>
        <v>1w</v>
      </c>
      <c r="X2308" s="222">
        <f>_xll.qlCalendarAdvance(Calendar,X2307,W2308,"f",FALSE)</f>
        <v>55010</v>
      </c>
      <c r="Y2308" s="227">
        <f>_xll.qlCalendarAdvance(Calendar,X2308,NDays&amp;"D")</f>
        <v>55010</v>
      </c>
      <c r="Z2308" s="228">
        <v>2.8491515996871879E-2</v>
      </c>
      <c r="AA2308" s="230">
        <v>2.8463291292645243E-2</v>
      </c>
    </row>
    <row r="2309" spans="19:27" x14ac:dyDescent="0.2">
      <c r="S2309" s="32"/>
      <c r="T2309" s="187"/>
      <c r="W2309" s="221" t="str">
        <f t="shared" si="44"/>
        <v>1w</v>
      </c>
      <c r="X2309" s="222">
        <f>_xll.qlCalendarAdvance(Calendar,X2308,W2309,"f",FALSE)</f>
        <v>55017</v>
      </c>
      <c r="Y2309" s="227">
        <f>_xll.qlCalendarAdvance(Calendar,X2309,NDays&amp;"D")</f>
        <v>55017</v>
      </c>
      <c r="Z2309" s="228">
        <v>2.8488357819428916E-2</v>
      </c>
      <c r="AA2309" s="230">
        <v>2.8460061179103047E-2</v>
      </c>
    </row>
    <row r="2310" spans="19:27" x14ac:dyDescent="0.2">
      <c r="S2310" s="32"/>
      <c r="T2310" s="187"/>
      <c r="W2310" s="221" t="str">
        <f t="shared" si="44"/>
        <v>1w</v>
      </c>
      <c r="X2310" s="222">
        <f>_xll.qlCalendarAdvance(Calendar,X2309,W2310,"f",FALSE)</f>
        <v>55024</v>
      </c>
      <c r="Y2310" s="227">
        <f>_xll.qlCalendarAdvance(Calendar,X2310,NDays&amp;"D")</f>
        <v>55024</v>
      </c>
      <c r="Z2310" s="228">
        <v>2.8485234644494387E-2</v>
      </c>
      <c r="AA2310" s="230">
        <v>2.8456865980136525E-2</v>
      </c>
    </row>
    <row r="2311" spans="19:27" x14ac:dyDescent="0.2">
      <c r="S2311" s="32"/>
      <c r="T2311" s="187"/>
      <c r="W2311" s="221" t="str">
        <f t="shared" si="44"/>
        <v>1w</v>
      </c>
      <c r="X2311" s="222">
        <f>_xll.qlCalendarAdvance(Calendar,X2310,W2311,"f",FALSE)</f>
        <v>55031</v>
      </c>
      <c r="Y2311" s="227">
        <f>_xll.qlCalendarAdvance(Calendar,X2311,NDays&amp;"D")</f>
        <v>55031</v>
      </c>
      <c r="Z2311" s="228">
        <v>2.847946878341201E-2</v>
      </c>
      <c r="AA2311" s="230">
        <v>2.8453705695421494E-2</v>
      </c>
    </row>
    <row r="2312" spans="19:27" x14ac:dyDescent="0.2">
      <c r="S2312" s="32"/>
      <c r="T2312" s="187"/>
      <c r="W2312" s="221" t="str">
        <f t="shared" si="44"/>
        <v>1w</v>
      </c>
      <c r="X2312" s="222">
        <f>_xll.qlCalendarAdvance(Calendar,X2311,W2312,"f",FALSE)</f>
        <v>55038</v>
      </c>
      <c r="Y2312" s="227">
        <f>_xll.qlCalendarAdvance(Calendar,X2312,NDays&amp;"D")</f>
        <v>55038</v>
      </c>
      <c r="Z2312" s="228">
        <v>2.8476408828351785E-2</v>
      </c>
      <c r="AA2312" s="230">
        <v>2.8450580325282138E-2</v>
      </c>
    </row>
    <row r="2313" spans="19:27" x14ac:dyDescent="0.2">
      <c r="S2313" s="32"/>
      <c r="T2313" s="187"/>
      <c r="W2313" s="221" t="str">
        <f t="shared" si="44"/>
        <v>1w</v>
      </c>
      <c r="X2313" s="222">
        <f>_xll.qlCalendarAdvance(Calendar,X2312,W2313,"f",FALSE)</f>
        <v>55045</v>
      </c>
      <c r="Y2313" s="227">
        <f>_xll.qlCalendarAdvance(Calendar,X2313,NDays&amp;"D")</f>
        <v>55045</v>
      </c>
      <c r="Z2313" s="228">
        <v>2.8473383867454682E-2</v>
      </c>
      <c r="AA2313" s="230">
        <v>2.8447489869475318E-2</v>
      </c>
    </row>
    <row r="2314" spans="19:27" x14ac:dyDescent="0.2">
      <c r="S2314" s="32"/>
      <c r="T2314" s="187"/>
      <c r="W2314" s="221" t="str">
        <f t="shared" si="44"/>
        <v>1w</v>
      </c>
      <c r="X2314" s="222">
        <f>_xll.qlCalendarAdvance(Calendar,X2313,W2314,"f",FALSE)</f>
        <v>55052</v>
      </c>
      <c r="Y2314" s="227">
        <f>_xll.qlCalendarAdvance(Calendar,X2314,NDays&amp;"D")</f>
        <v>55052</v>
      </c>
      <c r="Z2314" s="228">
        <v>2.8470393900690987E-2</v>
      </c>
      <c r="AA2314" s="230">
        <v>2.8444434328244173E-2</v>
      </c>
    </row>
    <row r="2315" spans="19:27" x14ac:dyDescent="0.2">
      <c r="S2315" s="32"/>
      <c r="T2315" s="187"/>
      <c r="W2315" s="221" t="str">
        <f t="shared" si="44"/>
        <v>1w</v>
      </c>
      <c r="X2315" s="222">
        <f>_xll.qlCalendarAdvance(Calendar,X2314,W2315,"f",FALSE)</f>
        <v>55059</v>
      </c>
      <c r="Y2315" s="227">
        <f>_xll.qlCalendarAdvance(Calendar,X2315,NDays&amp;"D")</f>
        <v>55059</v>
      </c>
      <c r="Z2315" s="228">
        <v>2.8467438928047189E-2</v>
      </c>
      <c r="AA2315" s="230">
        <v>2.844141370142661E-2</v>
      </c>
    </row>
    <row r="2316" spans="19:27" x14ac:dyDescent="0.2">
      <c r="S2316" s="32"/>
      <c r="T2316" s="187"/>
      <c r="W2316" s="221" t="str">
        <f t="shared" si="44"/>
        <v>1w</v>
      </c>
      <c r="X2316" s="222">
        <f>_xll.qlCalendarAdvance(Calendar,X2315,W2316,"f",FALSE)</f>
        <v>55066</v>
      </c>
      <c r="Y2316" s="227">
        <f>_xll.qlCalendarAdvance(Calendar,X2316,NDays&amp;"D")</f>
        <v>55066</v>
      </c>
      <c r="Z2316" s="228">
        <v>2.8467230645820591E-2</v>
      </c>
      <c r="AA2316" s="230">
        <v>2.8438427988941584E-2</v>
      </c>
    </row>
    <row r="2317" spans="19:27" x14ac:dyDescent="0.2">
      <c r="S2317" s="32"/>
      <c r="T2317" s="187"/>
      <c r="W2317" s="221" t="str">
        <f t="shared" si="44"/>
        <v>1w</v>
      </c>
      <c r="X2317" s="222">
        <f>_xll.qlCalendarAdvance(Calendar,X2316,W2317,"f",FALSE)</f>
        <v>55073</v>
      </c>
      <c r="Y2317" s="227">
        <f>_xll.qlCalendarAdvance(Calendar,X2317,NDays&amp;"D")</f>
        <v>55073</v>
      </c>
      <c r="Z2317" s="228">
        <v>2.8464352487597794E-2</v>
      </c>
      <c r="AA2317" s="230">
        <v>2.843547719087014E-2</v>
      </c>
    </row>
    <row r="2318" spans="19:27" x14ac:dyDescent="0.2">
      <c r="S2318" s="32"/>
      <c r="T2318" s="187"/>
      <c r="W2318" s="221" t="str">
        <f t="shared" si="44"/>
        <v>1w</v>
      </c>
      <c r="X2318" s="222">
        <f>_xll.qlCalendarAdvance(Calendar,X2317,W2318,"f",FALSE)</f>
        <v>55080</v>
      </c>
      <c r="Y2318" s="227">
        <f>_xll.qlCalendarAdvance(Calendar,X2318,NDays&amp;"D")</f>
        <v>55080</v>
      </c>
      <c r="Z2318" s="228">
        <v>2.8461509331650117E-2</v>
      </c>
      <c r="AA2318" s="230">
        <v>2.8432561307455417E-2</v>
      </c>
    </row>
    <row r="2319" spans="19:27" x14ac:dyDescent="0.2">
      <c r="S2319" s="32"/>
      <c r="T2319" s="187"/>
      <c r="W2319" s="221" t="str">
        <f t="shared" si="44"/>
        <v>1w</v>
      </c>
      <c r="X2319" s="222">
        <f>_xll.qlCalendarAdvance(Calendar,X2318,W2319,"f",FALSE)</f>
        <v>55087</v>
      </c>
      <c r="Y2319" s="227">
        <f>_xll.qlCalendarAdvance(Calendar,X2319,NDays&amp;"D")</f>
        <v>55087</v>
      </c>
      <c r="Z2319" s="228">
        <v>2.8458701177957912E-2</v>
      </c>
      <c r="AA2319" s="230">
        <v>2.8429680338292185E-2</v>
      </c>
    </row>
    <row r="2320" spans="19:27" x14ac:dyDescent="0.2">
      <c r="S2320" s="32"/>
      <c r="T2320" s="187"/>
      <c r="W2320" s="221" t="str">
        <f t="shared" si="44"/>
        <v>1w</v>
      </c>
      <c r="X2320" s="222">
        <f>_xll.qlCalendarAdvance(Calendar,X2319,W2320,"f",FALSE)</f>
        <v>55094</v>
      </c>
      <c r="Y2320" s="227">
        <f>_xll.qlCalendarAdvance(Calendar,X2320,NDays&amp;"D")</f>
        <v>55094</v>
      </c>
      <c r="Z2320" s="228">
        <v>2.8453188975613591E-2</v>
      </c>
      <c r="AA2320" s="230">
        <v>2.8426834283542535E-2</v>
      </c>
    </row>
    <row r="2321" spans="19:27" x14ac:dyDescent="0.2">
      <c r="S2321" s="32"/>
      <c r="T2321" s="187"/>
      <c r="W2321" s="221" t="str">
        <f t="shared" si="44"/>
        <v>1w</v>
      </c>
      <c r="X2321" s="222">
        <f>_xll.qlCalendarAdvance(Calendar,X2320,W2321,"f",FALSE)</f>
        <v>55101</v>
      </c>
      <c r="Y2321" s="227">
        <f>_xll.qlCalendarAdvance(Calendar,X2321,NDays&amp;"D")</f>
        <v>55101</v>
      </c>
      <c r="Z2321" s="228">
        <v>2.8450443967116455E-2</v>
      </c>
      <c r="AA2321" s="230">
        <v>2.8424023143449606E-2</v>
      </c>
    </row>
    <row r="2322" spans="19:27" x14ac:dyDescent="0.2">
      <c r="S2322" s="32"/>
      <c r="T2322" s="187"/>
      <c r="W2322" s="221" t="str">
        <f t="shared" si="44"/>
        <v>1w</v>
      </c>
      <c r="X2322" s="222">
        <f>_xll.qlCalendarAdvance(Calendar,X2321,W2322,"f",FALSE)</f>
        <v>55108</v>
      </c>
      <c r="Y2322" s="227">
        <f>_xll.qlCalendarAdvance(Calendar,X2322,NDays&amp;"D")</f>
        <v>55108</v>
      </c>
      <c r="Z2322" s="228">
        <v>2.8447733952560915E-2</v>
      </c>
      <c r="AA2322" s="230">
        <v>2.8421246917608167E-2</v>
      </c>
    </row>
    <row r="2323" spans="19:27" x14ac:dyDescent="0.2">
      <c r="S2323" s="32"/>
      <c r="T2323" s="187"/>
      <c r="W2323" s="221" t="str">
        <f t="shared" si="44"/>
        <v>1w</v>
      </c>
      <c r="X2323" s="222">
        <f>_xll.qlCalendarAdvance(Calendar,X2322,W2323,"f",FALSE)</f>
        <v>55115</v>
      </c>
      <c r="Y2323" s="227">
        <f>_xll.qlCalendarAdvance(Calendar,X2323,NDays&amp;"D")</f>
        <v>55115</v>
      </c>
      <c r="Z2323" s="228">
        <v>2.8445058931917254E-2</v>
      </c>
      <c r="AA2323" s="230">
        <v>2.8418505606180311E-2</v>
      </c>
    </row>
    <row r="2324" spans="19:27" x14ac:dyDescent="0.2">
      <c r="S2324" s="32"/>
      <c r="T2324" s="187"/>
      <c r="W2324" s="221" t="str">
        <f t="shared" si="44"/>
        <v>1w</v>
      </c>
      <c r="X2324" s="222">
        <f>_xll.qlCalendarAdvance(Calendar,X2323,W2324,"f",FALSE)</f>
        <v>55122</v>
      </c>
      <c r="Y2324" s="227">
        <f>_xll.qlCalendarAdvance(Calendar,X2324,NDays&amp;"D")</f>
        <v>55122</v>
      </c>
      <c r="Z2324" s="228">
        <v>2.8442418905169263E-2</v>
      </c>
      <c r="AA2324" s="230">
        <v>2.8415799209166037E-2</v>
      </c>
    </row>
    <row r="2325" spans="19:27" x14ac:dyDescent="0.2">
      <c r="S2325" s="32"/>
      <c r="T2325" s="187"/>
      <c r="W2325" s="221" t="str">
        <f t="shared" ref="W2325:W2388" si="45">W2324</f>
        <v>1w</v>
      </c>
      <c r="X2325" s="222">
        <f>_xll.qlCalendarAdvance(Calendar,X2324,W2325,"f",FALSE)</f>
        <v>55129</v>
      </c>
      <c r="Y2325" s="227">
        <f>_xll.qlCalendarAdvance(Calendar,X2325,NDays&amp;"D")</f>
        <v>55129</v>
      </c>
      <c r="Z2325" s="228">
        <v>2.8442587301546186E-2</v>
      </c>
      <c r="AA2325" s="230">
        <v>2.8413127726808485E-2</v>
      </c>
    </row>
    <row r="2326" spans="19:27" x14ac:dyDescent="0.2">
      <c r="S2326" s="32"/>
      <c r="T2326" s="187"/>
      <c r="W2326" s="221" t="str">
        <f t="shared" si="45"/>
        <v>1w</v>
      </c>
      <c r="X2326" s="222">
        <f>_xll.qlCalendarAdvance(Calendar,X2325,W2326,"f",FALSE)</f>
        <v>55136</v>
      </c>
      <c r="Y2326" s="227">
        <f>_xll.qlCalendarAdvance(Calendar,X2326,NDays&amp;"D")</f>
        <v>55136</v>
      </c>
      <c r="Z2326" s="228">
        <v>2.8440024162866197E-2</v>
      </c>
      <c r="AA2326" s="230">
        <v>2.8410491158702422E-2</v>
      </c>
    </row>
    <row r="2327" spans="19:27" x14ac:dyDescent="0.2">
      <c r="S2327" s="32"/>
      <c r="T2327" s="187"/>
      <c r="W2327" s="221" t="str">
        <f t="shared" si="45"/>
        <v>1w</v>
      </c>
      <c r="X2327" s="222">
        <f>_xll.qlCalendarAdvance(Calendar,X2326,W2327,"f",FALSE)</f>
        <v>55143</v>
      </c>
      <c r="Y2327" s="227">
        <f>_xll.qlCalendarAdvance(Calendar,X2327,NDays&amp;"D")</f>
        <v>55143</v>
      </c>
      <c r="Z2327" s="228">
        <v>2.8437496026232929E-2</v>
      </c>
      <c r="AA2327" s="230">
        <v>2.8407889504928896E-2</v>
      </c>
    </row>
    <row r="2328" spans="19:27" x14ac:dyDescent="0.2">
      <c r="S2328" s="32"/>
      <c r="T2328" s="187"/>
      <c r="W2328" s="221" t="str">
        <f t="shared" si="45"/>
        <v>1w</v>
      </c>
      <c r="X2328" s="222">
        <f>_xll.qlCalendarAdvance(Calendar,X2327,W2328,"f",FALSE)</f>
        <v>55150</v>
      </c>
      <c r="Y2328" s="227">
        <f>_xll.qlCalendarAdvance(Calendar,X2328,NDays&amp;"D")</f>
        <v>55150</v>
      </c>
      <c r="Z2328" s="228">
        <v>2.8435002891619356E-2</v>
      </c>
      <c r="AA2328" s="230">
        <v>2.8405322765649998E-2</v>
      </c>
    </row>
    <row r="2329" spans="19:27" x14ac:dyDescent="0.2">
      <c r="S2329" s="32"/>
      <c r="T2329" s="187"/>
      <c r="W2329" s="221" t="str">
        <f t="shared" si="45"/>
        <v>1w</v>
      </c>
      <c r="X2329" s="222">
        <f>_xll.qlCalendarAdvance(Calendar,X2328,W2329,"f",FALSE)</f>
        <v>55157</v>
      </c>
      <c r="Y2329" s="227">
        <f>_xll.qlCalendarAdvance(Calendar,X2329,NDays&amp;"D")</f>
        <v>55157</v>
      </c>
      <c r="Z2329" s="228">
        <v>2.8432544759008291E-2</v>
      </c>
      <c r="AA2329" s="230">
        <v>2.8402790940946776E-2</v>
      </c>
    </row>
    <row r="2330" spans="19:27" x14ac:dyDescent="0.2">
      <c r="S2330" s="32"/>
      <c r="T2330" s="187"/>
      <c r="W2330" s="221" t="str">
        <f t="shared" si="45"/>
        <v>1w</v>
      </c>
      <c r="X2330" s="222">
        <f>_xll.qlCalendarAdvance(Calendar,X2329,W2330,"f",FALSE)</f>
        <v>55164</v>
      </c>
      <c r="Y2330" s="227">
        <f>_xll.qlCalendarAdvance(Calendar,X2330,NDays&amp;"D")</f>
        <v>55164</v>
      </c>
      <c r="Z2330" s="228">
        <v>2.8430121628375177E-2</v>
      </c>
      <c r="AA2330" s="230">
        <v>2.8400294030657136E-2</v>
      </c>
    </row>
    <row r="2331" spans="19:27" x14ac:dyDescent="0.2">
      <c r="S2331" s="32"/>
      <c r="T2331" s="187"/>
      <c r="W2331" s="221" t="str">
        <f t="shared" si="45"/>
        <v>1w</v>
      </c>
      <c r="X2331" s="222">
        <f>_xll.qlCalendarAdvance(Calendar,X2330,W2331,"f",FALSE)</f>
        <v>55171</v>
      </c>
      <c r="Y2331" s="227">
        <f>_xll.qlCalendarAdvance(Calendar,X2331,NDays&amp;"D")</f>
        <v>55171</v>
      </c>
      <c r="Z2331" s="228">
        <v>2.842773349968563E-2</v>
      </c>
      <c r="AA2331" s="230">
        <v>2.8397832034618986E-2</v>
      </c>
    </row>
    <row r="2332" spans="19:27" x14ac:dyDescent="0.2">
      <c r="S2332" s="32"/>
      <c r="T2332" s="187"/>
      <c r="W2332" s="221" t="str">
        <f t="shared" si="45"/>
        <v>1w</v>
      </c>
      <c r="X2332" s="222">
        <f>_xll.qlCalendarAdvance(Calendar,X2331,W2332,"f",FALSE)</f>
        <v>55178</v>
      </c>
      <c r="Y2332" s="227">
        <f>_xll.qlCalendarAdvance(Calendar,X2332,NDays&amp;"D")</f>
        <v>55178</v>
      </c>
      <c r="Z2332" s="228">
        <v>2.8425380372929823E-2</v>
      </c>
      <c r="AA2332" s="230">
        <v>2.8395404953156511E-2</v>
      </c>
    </row>
    <row r="2333" spans="19:27" x14ac:dyDescent="0.2">
      <c r="S2333" s="32"/>
      <c r="T2333" s="187"/>
      <c r="W2333" s="221" t="str">
        <f t="shared" si="45"/>
        <v>1w</v>
      </c>
      <c r="X2333" s="222">
        <f>_xll.qlCalendarAdvance(Calendar,X2332,W2333,"f",FALSE)</f>
        <v>55185</v>
      </c>
      <c r="Y2333" s="227">
        <f>_xll.qlCalendarAdvance(Calendar,X2333,NDays&amp;"D")</f>
        <v>55185</v>
      </c>
      <c r="Z2333" s="228">
        <v>2.8418348828251734E-2</v>
      </c>
      <c r="AA2333" s="230">
        <v>2.8393012786107619E-2</v>
      </c>
    </row>
    <row r="2334" spans="19:27" x14ac:dyDescent="0.2">
      <c r="S2334" s="32"/>
      <c r="T2334" s="187"/>
      <c r="W2334" s="221" t="str">
        <f t="shared" si="45"/>
        <v>1w</v>
      </c>
      <c r="X2334" s="222">
        <f>_xll.qlCalendarAdvance(Calendar,X2333,W2334,"f",FALSE)</f>
        <v>55192</v>
      </c>
      <c r="Y2334" s="227">
        <f>_xll.qlCalendarAdvance(Calendar,X2334,NDays&amp;"D")</f>
        <v>55192</v>
      </c>
      <c r="Z2334" s="228">
        <v>2.8416054097102506E-2</v>
      </c>
      <c r="AA2334" s="230">
        <v>2.8390655533310216E-2</v>
      </c>
    </row>
    <row r="2335" spans="19:27" x14ac:dyDescent="0.2">
      <c r="S2335" s="32"/>
      <c r="T2335" s="187"/>
      <c r="W2335" s="221" t="str">
        <f t="shared" si="45"/>
        <v>1w</v>
      </c>
      <c r="X2335" s="222">
        <f>_xll.qlCalendarAdvance(Calendar,X2334,W2335,"f",FALSE)</f>
        <v>55199</v>
      </c>
      <c r="Y2335" s="227">
        <f>_xll.qlCalendarAdvance(Calendar,X2335,NDays&amp;"D")</f>
        <v>55199</v>
      </c>
      <c r="Z2335" s="228">
        <v>2.8413794354150819E-2</v>
      </c>
      <c r="AA2335" s="230">
        <v>2.8388333195007442E-2</v>
      </c>
    </row>
    <row r="2336" spans="19:27" x14ac:dyDescent="0.2">
      <c r="S2336" s="32"/>
      <c r="T2336" s="187"/>
      <c r="W2336" s="221" t="str">
        <f t="shared" si="45"/>
        <v>1w</v>
      </c>
      <c r="X2336" s="222">
        <f>_xll.qlCalendarAdvance(Calendar,X2335,W2336,"f",FALSE)</f>
        <v>55206</v>
      </c>
      <c r="Y2336" s="227">
        <f>_xll.qlCalendarAdvance(Calendar,X2336,NDays&amp;"D")</f>
        <v>55206</v>
      </c>
      <c r="Z2336" s="228">
        <v>2.8411569599367723E-2</v>
      </c>
      <c r="AA2336" s="230">
        <v>2.8386045771280344E-2</v>
      </c>
    </row>
    <row r="2337" spans="19:27" x14ac:dyDescent="0.2">
      <c r="S2337" s="32"/>
      <c r="T2337" s="187"/>
      <c r="W2337" s="221" t="str">
        <f t="shared" si="45"/>
        <v>1w</v>
      </c>
      <c r="X2337" s="222">
        <f>_xll.qlCalendarAdvance(Calendar,X2336,W2337,"f",FALSE)</f>
        <v>55213</v>
      </c>
      <c r="Y2337" s="227">
        <f>_xll.qlCalendarAdvance(Calendar,X2337,NDays&amp;"D")</f>
        <v>55213</v>
      </c>
      <c r="Z2337" s="228">
        <v>2.8415092569113287E-2</v>
      </c>
      <c r="AA2337" s="230">
        <v>2.8383793261885781E-2</v>
      </c>
    </row>
    <row r="2338" spans="19:27" x14ac:dyDescent="0.2">
      <c r="S2338" s="32"/>
      <c r="T2338" s="187"/>
      <c r="W2338" s="221" t="str">
        <f t="shared" si="45"/>
        <v>1w</v>
      </c>
      <c r="X2338" s="222">
        <f>_xll.qlCalendarAdvance(Calendar,X2337,W2338,"f",FALSE)</f>
        <v>55220</v>
      </c>
      <c r="Y2338" s="227">
        <f>_xll.qlCalendarAdvance(Calendar,X2338,NDays&amp;"D")</f>
        <v>55220</v>
      </c>
      <c r="Z2338" s="228">
        <v>2.8411996651679809E-2</v>
      </c>
      <c r="AA2338" s="230">
        <v>2.8381575666904801E-2</v>
      </c>
    </row>
    <row r="2339" spans="19:27" x14ac:dyDescent="0.2">
      <c r="S2339" s="32"/>
      <c r="T2339" s="187"/>
      <c r="W2339" s="221" t="str">
        <f t="shared" si="45"/>
        <v>1w</v>
      </c>
      <c r="X2339" s="222">
        <f>_xll.qlCalendarAdvance(Calendar,X2338,W2339,"f",FALSE)</f>
        <v>55227</v>
      </c>
      <c r="Y2339" s="227">
        <f>_xll.qlCalendarAdvance(Calendar,X2339,NDays&amp;"D")</f>
        <v>55227</v>
      </c>
      <c r="Z2339" s="228">
        <v>2.840988853782165E-2</v>
      </c>
      <c r="AA2339" s="230">
        <v>2.8379392986256358E-2</v>
      </c>
    </row>
    <row r="2340" spans="19:27" x14ac:dyDescent="0.2">
      <c r="S2340" s="32"/>
      <c r="T2340" s="187"/>
      <c r="W2340" s="221" t="str">
        <f t="shared" si="45"/>
        <v>1w</v>
      </c>
      <c r="X2340" s="222">
        <f>_xll.qlCalendarAdvance(Calendar,X2339,W2340,"f",FALSE)</f>
        <v>55234</v>
      </c>
      <c r="Y2340" s="227">
        <f>_xll.qlCalendarAdvance(Calendar,X2340,NDays&amp;"D")</f>
        <v>55234</v>
      </c>
      <c r="Z2340" s="228">
        <v>2.8407815425727772E-2</v>
      </c>
      <c r="AA2340" s="230">
        <v>2.8377245220264635E-2</v>
      </c>
    </row>
    <row r="2341" spans="19:27" x14ac:dyDescent="0.2">
      <c r="S2341" s="32"/>
      <c r="T2341" s="187"/>
      <c r="W2341" s="221" t="str">
        <f t="shared" si="45"/>
        <v>1w</v>
      </c>
      <c r="X2341" s="222">
        <f>_xll.qlCalendarAdvance(Calendar,X2340,W2341,"f",FALSE)</f>
        <v>55241</v>
      </c>
      <c r="Y2341" s="227">
        <f>_xll.qlCalendarAdvance(Calendar,X2341,NDays&amp;"D")</f>
        <v>55241</v>
      </c>
      <c r="Z2341" s="228">
        <v>2.8402892495448622E-2</v>
      </c>
      <c r="AA2341" s="230">
        <v>2.8375132368524403E-2</v>
      </c>
    </row>
    <row r="2342" spans="19:27" x14ac:dyDescent="0.2">
      <c r="S2342" s="32"/>
      <c r="T2342" s="187"/>
      <c r="W2342" s="221" t="str">
        <f t="shared" si="45"/>
        <v>1w</v>
      </c>
      <c r="X2342" s="222">
        <f>_xll.qlCalendarAdvance(Calendar,X2341,W2342,"f",FALSE)</f>
        <v>55248</v>
      </c>
      <c r="Y2342" s="227">
        <f>_xll.qlCalendarAdvance(Calendar,X2342,NDays&amp;"D")</f>
        <v>55248</v>
      </c>
      <c r="Z2342" s="228">
        <v>2.8400882355205326E-2</v>
      </c>
      <c r="AA2342" s="230">
        <v>2.8373054431278799E-2</v>
      </c>
    </row>
    <row r="2343" spans="19:27" x14ac:dyDescent="0.2">
      <c r="S2343" s="32"/>
      <c r="T2343" s="187"/>
      <c r="W2343" s="221" t="str">
        <f t="shared" si="45"/>
        <v>1w</v>
      </c>
      <c r="X2343" s="222">
        <f>_xll.qlCalendarAdvance(Calendar,X2342,W2343,"f",FALSE)</f>
        <v>55255</v>
      </c>
      <c r="Y2343" s="227">
        <f>_xll.qlCalendarAdvance(Calendar,X2343,NDays&amp;"D")</f>
        <v>55255</v>
      </c>
      <c r="Z2343" s="228">
        <v>2.8398907208468681E-2</v>
      </c>
      <c r="AA2343" s="230">
        <v>2.8371011408365732E-2</v>
      </c>
    </row>
    <row r="2344" spans="19:27" x14ac:dyDescent="0.2">
      <c r="S2344" s="32"/>
      <c r="T2344" s="187"/>
      <c r="W2344" s="221" t="str">
        <f t="shared" si="45"/>
        <v>1w</v>
      </c>
      <c r="X2344" s="222">
        <f>_xll.qlCalendarAdvance(Calendar,X2343,W2344,"f",FALSE)</f>
        <v>55262</v>
      </c>
      <c r="Y2344" s="227">
        <f>_xll.qlCalendarAdvance(Calendar,X2344,NDays&amp;"D")</f>
        <v>55262</v>
      </c>
      <c r="Z2344" s="228">
        <v>2.839696705523868E-2</v>
      </c>
      <c r="AA2344" s="230">
        <v>2.8369003299866247E-2</v>
      </c>
    </row>
    <row r="2345" spans="19:27" x14ac:dyDescent="0.2">
      <c r="S2345" s="32"/>
      <c r="T2345" s="187"/>
      <c r="W2345" s="221" t="str">
        <f t="shared" si="45"/>
        <v>1w</v>
      </c>
      <c r="X2345" s="222">
        <f>_xll.qlCalendarAdvance(Calendar,X2344,W2345,"f",FALSE)</f>
        <v>55269</v>
      </c>
      <c r="Y2345" s="227">
        <f>_xll.qlCalendarAdvance(Calendar,X2345,NDays&amp;"D")</f>
        <v>55269</v>
      </c>
      <c r="Z2345" s="228">
        <v>2.8395061895482909E-2</v>
      </c>
      <c r="AA2345" s="230">
        <v>2.8367030105780344E-2</v>
      </c>
    </row>
    <row r="2346" spans="19:27" x14ac:dyDescent="0.2">
      <c r="S2346" s="32"/>
      <c r="T2346" s="187"/>
      <c r="W2346" s="221" t="str">
        <f t="shared" si="45"/>
        <v>1w</v>
      </c>
      <c r="X2346" s="222">
        <f>_xll.qlCalendarAdvance(Calendar,X2345,W2346,"f",FALSE)</f>
        <v>55276</v>
      </c>
      <c r="Y2346" s="227">
        <f>_xll.qlCalendarAdvance(Calendar,X2346,NDays&amp;"D")</f>
        <v>55276</v>
      </c>
      <c r="Z2346" s="228">
        <v>2.8396111789038021E-2</v>
      </c>
      <c r="AA2346" s="230">
        <v>2.8365091826189071E-2</v>
      </c>
    </row>
    <row r="2347" spans="19:27" x14ac:dyDescent="0.2">
      <c r="S2347" s="32"/>
      <c r="T2347" s="187"/>
      <c r="W2347" s="221" t="str">
        <f t="shared" si="45"/>
        <v>1w</v>
      </c>
      <c r="X2347" s="222">
        <f>_xll.qlCalendarAdvance(Calendar,X2346,W2347,"f",FALSE)</f>
        <v>55283</v>
      </c>
      <c r="Y2347" s="227">
        <f>_xll.qlCalendarAdvance(Calendar,X2347,NDays&amp;"D")</f>
        <v>55283</v>
      </c>
      <c r="Z2347" s="228">
        <v>2.8394283688731699E-2</v>
      </c>
      <c r="AA2347" s="230">
        <v>2.8363188460930333E-2</v>
      </c>
    </row>
    <row r="2348" spans="19:27" x14ac:dyDescent="0.2">
      <c r="S2348" s="32"/>
      <c r="T2348" s="187"/>
      <c r="W2348" s="221" t="str">
        <f t="shared" si="45"/>
        <v>1w</v>
      </c>
      <c r="X2348" s="222">
        <f>_xll.qlCalendarAdvance(Calendar,X2347,W2348,"f",FALSE)</f>
        <v>55290</v>
      </c>
      <c r="Y2348" s="227">
        <f>_xll.qlCalendarAdvance(Calendar,X2348,NDays&amp;"D")</f>
        <v>55290</v>
      </c>
      <c r="Z2348" s="228">
        <v>2.8392490590042306E-2</v>
      </c>
      <c r="AA2348" s="230">
        <v>2.8361320010166224E-2</v>
      </c>
    </row>
    <row r="2349" spans="19:27" x14ac:dyDescent="0.2">
      <c r="S2349" s="32"/>
      <c r="T2349" s="187"/>
      <c r="W2349" s="221" t="str">
        <f t="shared" si="45"/>
        <v>1w</v>
      </c>
      <c r="X2349" s="222">
        <f>_xll.qlCalendarAdvance(Calendar,X2348,W2349,"f",FALSE)</f>
        <v>55297</v>
      </c>
      <c r="Y2349" s="227">
        <f>_xll.qlCalendarAdvance(Calendar,X2349,NDays&amp;"D")</f>
        <v>55297</v>
      </c>
      <c r="Z2349" s="228">
        <v>2.839073249294282E-2</v>
      </c>
      <c r="AA2349" s="230">
        <v>2.8359486473815698E-2</v>
      </c>
    </row>
    <row r="2350" spans="19:27" x14ac:dyDescent="0.2">
      <c r="S2350" s="32"/>
      <c r="T2350" s="187"/>
      <c r="W2350" s="221" t="str">
        <f t="shared" si="45"/>
        <v>1w</v>
      </c>
      <c r="X2350" s="222">
        <f>_xll.qlCalendarAdvance(Calendar,X2349,W2350,"f",FALSE)</f>
        <v>55304</v>
      </c>
      <c r="Y2350" s="227">
        <f>_xll.qlCalendarAdvance(Calendar,X2350,NDays&amp;"D")</f>
        <v>55304</v>
      </c>
      <c r="Z2350" s="228">
        <v>2.8386060998347434E-2</v>
      </c>
      <c r="AA2350" s="230">
        <v>2.8357687851878755E-2</v>
      </c>
    </row>
    <row r="2351" spans="19:27" x14ac:dyDescent="0.2">
      <c r="S2351" s="32"/>
      <c r="T2351" s="187"/>
      <c r="W2351" s="221" t="str">
        <f t="shared" si="45"/>
        <v>1w</v>
      </c>
      <c r="X2351" s="222">
        <f>_xll.qlCalendarAdvance(Calendar,X2350,W2351,"f",FALSE)</f>
        <v>55311</v>
      </c>
      <c r="Y2351" s="227">
        <f>_xll.qlCalendarAdvance(Calendar,X2351,NDays&amp;"D")</f>
        <v>55311</v>
      </c>
      <c r="Z2351" s="228">
        <v>2.8384365799142573E-2</v>
      </c>
      <c r="AA2351" s="230">
        <v>2.8355924144355393E-2</v>
      </c>
    </row>
    <row r="2352" spans="19:27" x14ac:dyDescent="0.2">
      <c r="S2352" s="32"/>
      <c r="T2352" s="187"/>
      <c r="W2352" s="221" t="str">
        <f t="shared" si="45"/>
        <v>1w</v>
      </c>
      <c r="X2352" s="222">
        <f>_xll.qlCalendarAdvance(Calendar,X2351,W2352,"f",FALSE)</f>
        <v>55318</v>
      </c>
      <c r="Y2352" s="227">
        <f>_xll.qlCalendarAdvance(Calendar,X2352,NDays&amp;"D")</f>
        <v>55318</v>
      </c>
      <c r="Z2352" s="228">
        <v>2.8382705593306579E-2</v>
      </c>
      <c r="AA2352" s="230">
        <v>2.8354195351083522E-2</v>
      </c>
    </row>
    <row r="2353" spans="19:27" x14ac:dyDescent="0.2">
      <c r="S2353" s="32"/>
      <c r="T2353" s="187"/>
      <c r="W2353" s="221" t="str">
        <f t="shared" si="45"/>
        <v>1w</v>
      </c>
      <c r="X2353" s="222">
        <f>_xll.qlCalendarAdvance(Calendar,X2352,W2353,"f",FALSE)</f>
        <v>55325</v>
      </c>
      <c r="Y2353" s="227">
        <f>_xll.qlCalendarAdvance(Calendar,X2353,NDays&amp;"D")</f>
        <v>55325</v>
      </c>
      <c r="Z2353" s="228">
        <v>2.838108038082595E-2</v>
      </c>
      <c r="AA2353" s="230">
        <v>2.835250147230628E-2</v>
      </c>
    </row>
    <row r="2354" spans="19:27" x14ac:dyDescent="0.2">
      <c r="S2354" s="32"/>
      <c r="T2354" s="187"/>
      <c r="W2354" s="221" t="str">
        <f t="shared" si="45"/>
        <v>1w</v>
      </c>
      <c r="X2354" s="222">
        <f>_xll.qlCalendarAdvance(Calendar,X2353,W2354,"f",FALSE)</f>
        <v>55332</v>
      </c>
      <c r="Y2354" s="227">
        <f>_xll.qlCalendarAdvance(Calendar,X2354,NDays&amp;"D")</f>
        <v>55332</v>
      </c>
      <c r="Z2354" s="228">
        <v>2.8379490161692576E-2</v>
      </c>
      <c r="AA2354" s="230">
        <v>2.8350842508104712E-2</v>
      </c>
    </row>
    <row r="2355" spans="19:27" x14ac:dyDescent="0.2">
      <c r="S2355" s="32"/>
      <c r="T2355" s="187"/>
      <c r="W2355" s="221" t="str">
        <f t="shared" si="45"/>
        <v>1w</v>
      </c>
      <c r="X2355" s="222">
        <f>_xll.qlCalendarAdvance(Calendar,X2354,W2355,"f",FALSE)</f>
        <v>55339</v>
      </c>
      <c r="Y2355" s="227">
        <f>_xll.qlCalendarAdvance(Calendar,X2355,NDays&amp;"D")</f>
        <v>55339</v>
      </c>
      <c r="Z2355" s="228">
        <v>2.8380918942960381E-2</v>
      </c>
      <c r="AA2355" s="230">
        <v>2.8349218458235681E-2</v>
      </c>
    </row>
    <row r="2356" spans="19:27" x14ac:dyDescent="0.2">
      <c r="S2356" s="32"/>
      <c r="T2356" s="187"/>
      <c r="W2356" s="221" t="str">
        <f t="shared" si="45"/>
        <v>1w</v>
      </c>
      <c r="X2356" s="222">
        <f>_xll.qlCalendarAdvance(Calendar,X2355,W2356,"f",FALSE)</f>
        <v>55346</v>
      </c>
      <c r="Y2356" s="227">
        <f>_xll.qlCalendarAdvance(Calendar,X2356,NDays&amp;"D")</f>
        <v>55346</v>
      </c>
      <c r="Z2356" s="228">
        <v>2.8379405856582576E-2</v>
      </c>
      <c r="AA2356" s="230">
        <v>2.834762932261814E-2</v>
      </c>
    </row>
    <row r="2357" spans="19:27" x14ac:dyDescent="0.2">
      <c r="S2357" s="32"/>
      <c r="T2357" s="187"/>
      <c r="W2357" s="221" t="str">
        <f t="shared" si="45"/>
        <v>1w</v>
      </c>
      <c r="X2357" s="222">
        <f>_xll.qlCalendarAdvance(Calendar,X2356,W2357,"f",FALSE)</f>
        <v>55353</v>
      </c>
      <c r="Y2357" s="227">
        <f>_xll.qlCalendarAdvance(Calendar,X2357,NDays&amp;"D")</f>
        <v>55353</v>
      </c>
      <c r="Z2357" s="228">
        <v>2.8377927771681705E-2</v>
      </c>
      <c r="AA2357" s="230">
        <v>2.834607510165732E-2</v>
      </c>
    </row>
    <row r="2358" spans="19:27" x14ac:dyDescent="0.2">
      <c r="S2358" s="32"/>
      <c r="T2358" s="187"/>
      <c r="W2358" s="221" t="str">
        <f t="shared" si="45"/>
        <v>1w</v>
      </c>
      <c r="X2358" s="222">
        <f>_xll.qlCalendarAdvance(Calendar,X2357,W2358,"f",FALSE)</f>
        <v>55360</v>
      </c>
      <c r="Y2358" s="227">
        <f>_xll.qlCalendarAdvance(Calendar,X2358,NDays&amp;"D")</f>
        <v>55360</v>
      </c>
      <c r="Z2358" s="228">
        <v>2.8377487070781044E-2</v>
      </c>
      <c r="AA2358" s="230">
        <v>2.8344555795029036E-2</v>
      </c>
    </row>
    <row r="2359" spans="19:27" x14ac:dyDescent="0.2">
      <c r="S2359" s="32"/>
      <c r="T2359" s="187"/>
      <c r="W2359" s="221" t="str">
        <f t="shared" si="45"/>
        <v>1w</v>
      </c>
      <c r="X2359" s="222">
        <f>_xll.qlCalendarAdvance(Calendar,X2358,W2359,"f",FALSE)</f>
        <v>55367</v>
      </c>
      <c r="Y2359" s="227">
        <f>_xll.qlCalendarAdvance(Calendar,X2359,NDays&amp;"D")</f>
        <v>55367</v>
      </c>
      <c r="Z2359" s="228">
        <v>2.8375076606237087E-2</v>
      </c>
      <c r="AA2359" s="230">
        <v>2.8343071402814335E-2</v>
      </c>
    </row>
    <row r="2360" spans="19:27" x14ac:dyDescent="0.2">
      <c r="S2360" s="32"/>
      <c r="T2360" s="187"/>
      <c r="W2360" s="221" t="str">
        <f t="shared" si="45"/>
        <v>1w</v>
      </c>
      <c r="X2360" s="222">
        <f>_xll.qlCalendarAdvance(Calendar,X2359,W2360,"f",FALSE)</f>
        <v>55374</v>
      </c>
      <c r="Y2360" s="227">
        <f>_xll.qlCalendarAdvance(Calendar,X2360,NDays&amp;"D")</f>
        <v>55374</v>
      </c>
      <c r="Z2360" s="228">
        <v>2.8373703525658961E-2</v>
      </c>
      <c r="AA2360" s="230">
        <v>2.8341621924851124E-2</v>
      </c>
    </row>
    <row r="2361" spans="19:27" x14ac:dyDescent="0.2">
      <c r="S2361" s="32"/>
      <c r="T2361" s="187"/>
      <c r="W2361" s="221" t="str">
        <f t="shared" si="45"/>
        <v>1w</v>
      </c>
      <c r="X2361" s="222">
        <f>_xll.qlCalendarAdvance(Calendar,X2360,W2361,"f",FALSE)</f>
        <v>55381</v>
      </c>
      <c r="Y2361" s="227">
        <f>_xll.qlCalendarAdvance(Calendar,X2361,NDays&amp;"D")</f>
        <v>55381</v>
      </c>
      <c r="Z2361" s="228">
        <v>2.8372365446506197E-2</v>
      </c>
      <c r="AA2361" s="230">
        <v>2.8340207361463587E-2</v>
      </c>
    </row>
    <row r="2362" spans="19:27" x14ac:dyDescent="0.2">
      <c r="S2362" s="32"/>
      <c r="T2362" s="187"/>
      <c r="W2362" s="221" t="str">
        <f t="shared" si="45"/>
        <v>1w</v>
      </c>
      <c r="X2362" s="222">
        <f>_xll.qlCalendarAdvance(Calendar,X2361,W2362,"f",FALSE)</f>
        <v>55388</v>
      </c>
      <c r="Y2362" s="227">
        <f>_xll.qlCalendarAdvance(Calendar,X2362,NDays&amp;"D")</f>
        <v>55388</v>
      </c>
      <c r="Z2362" s="228">
        <v>2.8371062368759144E-2</v>
      </c>
      <c r="AA2362" s="230">
        <v>2.8338827712489634E-2</v>
      </c>
    </row>
    <row r="2363" spans="19:27" x14ac:dyDescent="0.2">
      <c r="S2363" s="32"/>
      <c r="T2363" s="187"/>
      <c r="W2363" s="221" t="str">
        <f t="shared" si="45"/>
        <v>1w</v>
      </c>
      <c r="X2363" s="222">
        <f>_xll.qlCalendarAdvance(Calendar,X2362,W2363,"f",FALSE)</f>
        <v>55395</v>
      </c>
      <c r="Y2363" s="227">
        <f>_xll.qlCalendarAdvance(Calendar,X2363,NDays&amp;"D")</f>
        <v>55395</v>
      </c>
      <c r="Z2363" s="228">
        <v>2.8366752887771129E-2</v>
      </c>
      <c r="AA2363" s="230">
        <v>2.8337482977686124E-2</v>
      </c>
    </row>
    <row r="2364" spans="19:27" x14ac:dyDescent="0.2">
      <c r="S2364" s="32"/>
      <c r="T2364" s="187"/>
      <c r="W2364" s="221" t="str">
        <f t="shared" si="45"/>
        <v>1w</v>
      </c>
      <c r="X2364" s="222">
        <f>_xll.qlCalendarAdvance(Calendar,X2363,W2364,"f",FALSE)</f>
        <v>55402</v>
      </c>
      <c r="Y2364" s="227">
        <f>_xll.qlCalendarAdvance(Calendar,X2364,NDays&amp;"D")</f>
        <v>55402</v>
      </c>
      <c r="Z2364" s="228">
        <v>2.8365512601367403E-2</v>
      </c>
      <c r="AA2364" s="230">
        <v>2.8336173157539335E-2</v>
      </c>
    </row>
    <row r="2365" spans="19:27" x14ac:dyDescent="0.2">
      <c r="S2365" s="32"/>
      <c r="T2365" s="187"/>
      <c r="W2365" s="221" t="str">
        <f t="shared" si="45"/>
        <v>1w</v>
      </c>
      <c r="X2365" s="222">
        <f>_xll.qlCalendarAdvance(Calendar,X2364,W2365,"f",FALSE)</f>
        <v>55409</v>
      </c>
      <c r="Y2365" s="227">
        <f>_xll.qlCalendarAdvance(Calendar,X2365,NDays&amp;"D")</f>
        <v>55409</v>
      </c>
      <c r="Z2365" s="228">
        <v>2.8364307308173152E-2</v>
      </c>
      <c r="AA2365" s="230">
        <v>2.8334898251887175E-2</v>
      </c>
    </row>
    <row r="2366" spans="19:27" x14ac:dyDescent="0.2">
      <c r="S2366" s="32"/>
      <c r="T2366" s="187"/>
      <c r="W2366" s="221" t="str">
        <f t="shared" si="45"/>
        <v>1w</v>
      </c>
      <c r="X2366" s="222">
        <f>_xll.qlCalendarAdvance(Calendar,X2365,W2366,"f",FALSE)</f>
        <v>55416</v>
      </c>
      <c r="Y2366" s="227">
        <f>_xll.qlCalendarAdvance(Calendar,X2366,NDays&amp;"D")</f>
        <v>55416</v>
      </c>
      <c r="Z2366" s="228">
        <v>2.8363137008177573E-2</v>
      </c>
      <c r="AA2366" s="230">
        <v>2.8333658260405459E-2</v>
      </c>
    </row>
    <row r="2367" spans="19:27" x14ac:dyDescent="0.2">
      <c r="S2367" s="32"/>
      <c r="T2367" s="187"/>
      <c r="W2367" s="221" t="str">
        <f t="shared" si="45"/>
        <v>1w</v>
      </c>
      <c r="X2367" s="222">
        <f>_xll.qlCalendarAdvance(Calendar,X2366,W2367,"f",FALSE)</f>
        <v>55423</v>
      </c>
      <c r="Y2367" s="227">
        <f>_xll.qlCalendarAdvance(Calendar,X2367,NDays&amp;"D")</f>
        <v>55423</v>
      </c>
      <c r="Z2367" s="228">
        <v>2.8362001701367157E-2</v>
      </c>
      <c r="AA2367" s="230">
        <v>2.8332453183418371E-2</v>
      </c>
    </row>
    <row r="2368" spans="19:27" x14ac:dyDescent="0.2">
      <c r="S2368" s="32"/>
      <c r="T2368" s="187"/>
      <c r="W2368" s="221" t="str">
        <f t="shared" si="45"/>
        <v>1w</v>
      </c>
      <c r="X2368" s="222">
        <f>_xll.qlCalendarAdvance(Calendar,X2367,W2368,"f",FALSE)</f>
        <v>55430</v>
      </c>
      <c r="Y2368" s="227">
        <f>_xll.qlCalendarAdvance(Calendar,X2368,NDays&amp;"D")</f>
        <v>55430</v>
      </c>
      <c r="Z2368" s="228">
        <v>2.8363978931104226E-2</v>
      </c>
      <c r="AA2368" s="230">
        <v>2.8331283020844866E-2</v>
      </c>
    </row>
    <row r="2369" spans="19:27" x14ac:dyDescent="0.2">
      <c r="S2369" s="32"/>
      <c r="T2369" s="187"/>
      <c r="W2369" s="221" t="str">
        <f t="shared" si="45"/>
        <v>1w</v>
      </c>
      <c r="X2369" s="222">
        <f>_xll.qlCalendarAdvance(Calendar,X2368,W2369,"f",FALSE)</f>
        <v>55437</v>
      </c>
      <c r="Y2369" s="227">
        <f>_xll.qlCalendarAdvance(Calendar,X2369,NDays&amp;"D")</f>
        <v>55437</v>
      </c>
      <c r="Z2369" s="228">
        <v>2.8362920862863159E-2</v>
      </c>
      <c r="AA2369" s="230">
        <v>2.8330147772684944E-2</v>
      </c>
    </row>
    <row r="2370" spans="19:27" x14ac:dyDescent="0.2">
      <c r="S2370" s="32"/>
      <c r="T2370" s="187"/>
      <c r="W2370" s="221" t="str">
        <f t="shared" si="45"/>
        <v>1w</v>
      </c>
      <c r="X2370" s="222">
        <f>_xll.qlCalendarAdvance(Calendar,X2369,W2370,"f",FALSE)</f>
        <v>55444</v>
      </c>
      <c r="Y2370" s="227">
        <f>_xll.qlCalendarAdvance(Calendar,X2370,NDays&amp;"D")</f>
        <v>55444</v>
      </c>
      <c r="Z2370" s="228">
        <v>2.8361897795939388E-2</v>
      </c>
      <c r="AA2370" s="230">
        <v>2.8329047438857557E-2</v>
      </c>
    </row>
    <row r="2371" spans="19:27" x14ac:dyDescent="0.2">
      <c r="S2371" s="32"/>
      <c r="T2371" s="187"/>
      <c r="W2371" s="221" t="str">
        <f t="shared" si="45"/>
        <v>1w</v>
      </c>
      <c r="X2371" s="222">
        <f>_xll.qlCalendarAdvance(Calendar,X2370,W2371,"f",FALSE)</f>
        <v>55451</v>
      </c>
      <c r="Y2371" s="227">
        <f>_xll.qlCalendarAdvance(Calendar,X2371,NDays&amp;"D")</f>
        <v>55451</v>
      </c>
      <c r="Z2371" s="228">
        <v>2.8360909730320637E-2</v>
      </c>
      <c r="AA2371" s="230">
        <v>2.83279820195248E-2</v>
      </c>
    </row>
    <row r="2372" spans="19:27" x14ac:dyDescent="0.2">
      <c r="S2372" s="32"/>
      <c r="T2372" s="187"/>
      <c r="W2372" s="221" t="str">
        <f t="shared" si="45"/>
        <v>1w</v>
      </c>
      <c r="X2372" s="222">
        <f>_xll.qlCalendarAdvance(Calendar,X2371,W2372,"f",FALSE)</f>
        <v>55458</v>
      </c>
      <c r="Y2372" s="227">
        <f>_xll.qlCalendarAdvance(Calendar,X2372,NDays&amp;"D")</f>
        <v>55458</v>
      </c>
      <c r="Z2372" s="228">
        <v>2.8356850064835903E-2</v>
      </c>
      <c r="AA2372" s="230">
        <v>2.8326951514686671E-2</v>
      </c>
    </row>
    <row r="2373" spans="19:27" x14ac:dyDescent="0.2">
      <c r="S2373" s="32"/>
      <c r="T2373" s="187"/>
      <c r="W2373" s="221" t="str">
        <f t="shared" si="45"/>
        <v>1w</v>
      </c>
      <c r="X2373" s="222">
        <f>_xll.qlCalendarAdvance(Calendar,X2372,W2373,"f",FALSE)</f>
        <v>55465</v>
      </c>
      <c r="Y2373" s="227">
        <f>_xll.qlCalendarAdvance(Calendar,X2373,NDays&amp;"D")</f>
        <v>55465</v>
      </c>
      <c r="Z2373" s="228">
        <v>2.8355924716971681E-2</v>
      </c>
      <c r="AA2373" s="230">
        <v>2.8325955924181079E-2</v>
      </c>
    </row>
    <row r="2374" spans="19:27" x14ac:dyDescent="0.2">
      <c r="S2374" s="32"/>
      <c r="T2374" s="187"/>
      <c r="W2374" s="221" t="str">
        <f t="shared" si="45"/>
        <v>1w</v>
      </c>
      <c r="X2374" s="222">
        <f>_xll.qlCalendarAdvance(Calendar,X2373,W2374,"f",FALSE)</f>
        <v>55472</v>
      </c>
      <c r="Y2374" s="227">
        <f>_xll.qlCalendarAdvance(Calendar,X2374,NDays&amp;"D")</f>
        <v>55472</v>
      </c>
      <c r="Z2374" s="228">
        <v>2.8355034362227787E-2</v>
      </c>
      <c r="AA2374" s="230">
        <v>2.832499524784593E-2</v>
      </c>
    </row>
    <row r="2375" spans="19:27" x14ac:dyDescent="0.2">
      <c r="S2375" s="32"/>
      <c r="T2375" s="187"/>
      <c r="W2375" s="221" t="str">
        <f t="shared" si="45"/>
        <v>1w</v>
      </c>
      <c r="X2375" s="222">
        <f>_xll.qlCalendarAdvance(Calendar,X2374,W2375,"f",FALSE)</f>
        <v>55479</v>
      </c>
      <c r="Y2375" s="227">
        <f>_xll.qlCalendarAdvance(Calendar,X2375,NDays&amp;"D")</f>
        <v>55479</v>
      </c>
      <c r="Z2375" s="228">
        <v>2.8354179000604218E-2</v>
      </c>
      <c r="AA2375" s="230">
        <v>2.8324069486248549E-2</v>
      </c>
    </row>
    <row r="2376" spans="19:27" x14ac:dyDescent="0.2">
      <c r="S2376" s="32"/>
      <c r="T2376" s="187"/>
      <c r="W2376" s="221" t="str">
        <f t="shared" si="45"/>
        <v>1w</v>
      </c>
      <c r="X2376" s="222">
        <f>_xll.qlCalendarAdvance(Calendar,X2375,W2376,"f",FALSE)</f>
        <v>55486</v>
      </c>
      <c r="Y2376" s="227">
        <f>_xll.qlCalendarAdvance(Calendar,X2376,NDays&amp;"D")</f>
        <v>55486</v>
      </c>
      <c r="Z2376" s="228">
        <v>2.8353358632098279E-2</v>
      </c>
      <c r="AA2376" s="230">
        <v>2.8323178638983704E-2</v>
      </c>
    </row>
    <row r="2377" spans="19:27" x14ac:dyDescent="0.2">
      <c r="S2377" s="32"/>
      <c r="T2377" s="187"/>
      <c r="W2377" s="221" t="str">
        <f t="shared" si="45"/>
        <v>1w</v>
      </c>
      <c r="X2377" s="222">
        <f>_xll.qlCalendarAdvance(Calendar,X2376,W2377,"f",FALSE)</f>
        <v>55493</v>
      </c>
      <c r="Y2377" s="227">
        <f>_xll.qlCalendarAdvance(Calendar,X2377,NDays&amp;"D")</f>
        <v>55493</v>
      </c>
      <c r="Z2377" s="228">
        <v>2.8355716363532173E-2</v>
      </c>
      <c r="AA2377" s="230">
        <v>2.8322322705970349E-2</v>
      </c>
    </row>
    <row r="2378" spans="19:27" x14ac:dyDescent="0.2">
      <c r="S2378" s="32"/>
      <c r="T2378" s="187"/>
      <c r="W2378" s="221" t="str">
        <f t="shared" si="45"/>
        <v>1w</v>
      </c>
      <c r="X2378" s="222">
        <f>_xll.qlCalendarAdvance(Calendar,X2377,W2378,"f",FALSE)</f>
        <v>55500</v>
      </c>
      <c r="Y2378" s="227">
        <f>_xll.qlCalendarAdvance(Calendar,X2378,NDays&amp;"D")</f>
        <v>55500</v>
      </c>
      <c r="Z2378" s="228">
        <v>2.8354973306810329E-2</v>
      </c>
      <c r="AA2378" s="230">
        <v>2.8321501687370576E-2</v>
      </c>
    </row>
    <row r="2379" spans="19:27" x14ac:dyDescent="0.2">
      <c r="S2379" s="32"/>
      <c r="T2379" s="187"/>
      <c r="W2379" s="221" t="str">
        <f t="shared" si="45"/>
        <v>1w</v>
      </c>
      <c r="X2379" s="222">
        <f>_xll.qlCalendarAdvance(Calendar,X2378,W2379,"f",FALSE)</f>
        <v>55507</v>
      </c>
      <c r="Y2379" s="227">
        <f>_xll.qlCalendarAdvance(Calendar,X2379,NDays&amp;"D")</f>
        <v>55507</v>
      </c>
      <c r="Z2379" s="228">
        <v>2.8354265251329652E-2</v>
      </c>
      <c r="AA2379" s="230">
        <v>2.8320715583265432E-2</v>
      </c>
    </row>
    <row r="2380" spans="19:27" x14ac:dyDescent="0.2">
      <c r="S2380" s="32"/>
      <c r="T2380" s="187"/>
      <c r="W2380" s="221" t="str">
        <f t="shared" si="45"/>
        <v>1w</v>
      </c>
      <c r="X2380" s="222">
        <f>_xll.qlCalendarAdvance(Calendar,X2379,W2380,"f",FALSE)</f>
        <v>55514</v>
      </c>
      <c r="Y2380" s="227">
        <f>_xll.qlCalendarAdvance(Calendar,X2380,NDays&amp;"D")</f>
        <v>55514</v>
      </c>
      <c r="Z2380" s="228">
        <v>2.8353592197080314E-2</v>
      </c>
      <c r="AA2380" s="230">
        <v>2.8319964393573871E-2</v>
      </c>
    </row>
    <row r="2381" spans="19:27" x14ac:dyDescent="0.2">
      <c r="S2381" s="32"/>
      <c r="T2381" s="187"/>
      <c r="W2381" s="221" t="str">
        <f t="shared" si="45"/>
        <v>1w</v>
      </c>
      <c r="X2381" s="222">
        <f>_xll.qlCalendarAdvance(Calendar,X2380,W2381,"f",FALSE)</f>
        <v>55521</v>
      </c>
      <c r="Y2381" s="227">
        <f>_xll.qlCalendarAdvance(Calendar,X2381,NDays&amp;"D")</f>
        <v>55521</v>
      </c>
      <c r="Z2381" s="228">
        <v>2.8352954144062317E-2</v>
      </c>
      <c r="AA2381" s="230">
        <v>2.8319248118214846E-2</v>
      </c>
    </row>
    <row r="2382" spans="19:27" x14ac:dyDescent="0.2">
      <c r="S2382" s="32"/>
      <c r="T2382" s="187"/>
      <c r="W2382" s="221" t="str">
        <f t="shared" si="45"/>
        <v>1w</v>
      </c>
      <c r="X2382" s="222">
        <f>_xll.qlCalendarAdvance(Calendar,X2381,W2382,"f",FALSE)</f>
        <v>55528</v>
      </c>
      <c r="Y2382" s="227">
        <f>_xll.qlCalendarAdvance(Calendar,X2382,NDays&amp;"D")</f>
        <v>55528</v>
      </c>
      <c r="Z2382" s="228">
        <v>2.8352351092263382E-2</v>
      </c>
      <c r="AA2382" s="230">
        <v>2.8318566757269403E-2</v>
      </c>
    </row>
    <row r="2383" spans="19:27" x14ac:dyDescent="0.2">
      <c r="S2383" s="32"/>
      <c r="T2383" s="187"/>
      <c r="W2383" s="221" t="str">
        <f t="shared" si="45"/>
        <v>1w</v>
      </c>
      <c r="X2383" s="222">
        <f>_xll.qlCalendarAdvance(Calendar,X2382,W2383,"f",FALSE)</f>
        <v>55535</v>
      </c>
      <c r="Y2383" s="227">
        <f>_xll.qlCalendarAdvance(Calendar,X2383,NDays&amp;"D")</f>
        <v>55535</v>
      </c>
      <c r="Z2383" s="228">
        <v>2.8351783041678597E-2</v>
      </c>
      <c r="AA2383" s="230">
        <v>2.8317920310899636E-2</v>
      </c>
    </row>
    <row r="2384" spans="19:27" x14ac:dyDescent="0.2">
      <c r="S2384" s="32"/>
      <c r="T2384" s="187"/>
      <c r="W2384" s="221" t="str">
        <f t="shared" si="45"/>
        <v>1w</v>
      </c>
      <c r="X2384" s="222">
        <f>_xll.qlCalendarAdvance(Calendar,X2383,W2384,"f",FALSE)</f>
        <v>55542</v>
      </c>
      <c r="Y2384" s="227">
        <f>_xll.qlCalendarAdvance(Calendar,X2384,NDays&amp;"D")</f>
        <v>55542</v>
      </c>
      <c r="Z2384" s="228">
        <v>2.835124999230796E-2</v>
      </c>
      <c r="AA2384" s="230">
        <v>2.8317308778700312E-2</v>
      </c>
    </row>
    <row r="2385" spans="19:27" x14ac:dyDescent="0.2">
      <c r="S2385" s="32"/>
      <c r="T2385" s="187"/>
      <c r="W2385" s="221" t="str">
        <f t="shared" si="45"/>
        <v>1w</v>
      </c>
      <c r="X2385" s="222">
        <f>_xll.qlCalendarAdvance(Calendar,X2384,W2385,"f",FALSE)</f>
        <v>55549</v>
      </c>
      <c r="Y2385" s="227">
        <f>_xll.qlCalendarAdvance(Calendar,X2385,NDays&amp;"D")</f>
        <v>55549</v>
      </c>
      <c r="Z2385" s="228">
        <v>2.8346483270947066E-2</v>
      </c>
      <c r="AA2385" s="230">
        <v>2.8316732160995617E-2</v>
      </c>
    </row>
    <row r="2386" spans="19:27" x14ac:dyDescent="0.2">
      <c r="S2386" s="32"/>
      <c r="T2386" s="187"/>
      <c r="W2386" s="221" t="str">
        <f t="shared" si="45"/>
        <v>1w</v>
      </c>
      <c r="X2386" s="222">
        <f>_xll.qlCalendarAdvance(Calendar,X2385,W2386,"f",FALSE)</f>
        <v>55556</v>
      </c>
      <c r="Y2386" s="227">
        <f>_xll.qlCalendarAdvance(Calendar,X2386,NDays&amp;"D")</f>
        <v>55556</v>
      </c>
      <c r="Z2386" s="228">
        <v>2.8346010370400871E-2</v>
      </c>
      <c r="AA2386" s="230">
        <v>2.8316190457785551E-2</v>
      </c>
    </row>
    <row r="2387" spans="19:27" x14ac:dyDescent="0.2">
      <c r="S2387" s="32"/>
      <c r="T2387" s="187"/>
      <c r="W2387" s="221" t="str">
        <f t="shared" si="45"/>
        <v>1w</v>
      </c>
      <c r="X2387" s="222">
        <f>_xll.qlCalendarAdvance(Calendar,X2386,W2387,"f",FALSE)</f>
        <v>55563</v>
      </c>
      <c r="Y2387" s="227">
        <f>_xll.qlCalendarAdvance(Calendar,X2387,NDays&amp;"D")</f>
        <v>55563</v>
      </c>
      <c r="Z2387" s="228">
        <v>2.8345572460191856E-2</v>
      </c>
      <c r="AA2387" s="230">
        <v>2.8315683668826974E-2</v>
      </c>
    </row>
    <row r="2388" spans="19:27" x14ac:dyDescent="0.2">
      <c r="S2388" s="32"/>
      <c r="T2388" s="187"/>
      <c r="W2388" s="221" t="str">
        <f t="shared" si="45"/>
        <v>1w</v>
      </c>
      <c r="X2388" s="222">
        <f>_xll.qlCalendarAdvance(Calendar,X2387,W2388,"f",FALSE)</f>
        <v>55570</v>
      </c>
      <c r="Y2388" s="227">
        <f>_xll.qlCalendarAdvance(Calendar,X2388,NDays&amp;"D")</f>
        <v>55570</v>
      </c>
      <c r="Z2388" s="228">
        <v>2.8345169540308843E-2</v>
      </c>
      <c r="AA2388" s="230">
        <v>2.831521179428198E-2</v>
      </c>
    </row>
    <row r="2389" spans="19:27" x14ac:dyDescent="0.2">
      <c r="S2389" s="32"/>
      <c r="T2389" s="187"/>
      <c r="W2389" s="221" t="str">
        <f t="shared" ref="W2389:W2452" si="46">W2388</f>
        <v>1w</v>
      </c>
      <c r="X2389" s="222">
        <f>_xll.qlCalendarAdvance(Calendar,X2388,W2389,"f",FALSE)</f>
        <v>55577</v>
      </c>
      <c r="Y2389" s="227">
        <f>_xll.qlCalendarAdvance(Calendar,X2389,NDays&amp;"D")</f>
        <v>55577</v>
      </c>
      <c r="Z2389" s="228">
        <v>2.834480161075742E-2</v>
      </c>
      <c r="AA2389" s="230">
        <v>2.8314774834150569E-2</v>
      </c>
    </row>
    <row r="2390" spans="19:27" x14ac:dyDescent="0.2">
      <c r="S2390" s="32"/>
      <c r="T2390" s="187"/>
      <c r="W2390" s="221" t="str">
        <f t="shared" si="46"/>
        <v>1w</v>
      </c>
      <c r="X2390" s="222">
        <f>_xll.qlCalendarAdvance(Calendar,X2389,W2390,"f",FALSE)</f>
        <v>55584</v>
      </c>
      <c r="Y2390" s="227">
        <f>_xll.qlCalendarAdvance(Calendar,X2390,NDays&amp;"D")</f>
        <v>55584</v>
      </c>
      <c r="Z2390" s="228">
        <v>2.8348786721222704E-2</v>
      </c>
      <c r="AA2390" s="230">
        <v>2.8314372788675879E-2</v>
      </c>
    </row>
    <row r="2391" spans="19:27" x14ac:dyDescent="0.2">
      <c r="S2391" s="32"/>
      <c r="T2391" s="187"/>
      <c r="W2391" s="221" t="str">
        <f t="shared" si="46"/>
        <v>1w</v>
      </c>
      <c r="X2391" s="222">
        <f>_xll.qlCalendarAdvance(Calendar,X2390,W2391,"f",FALSE)</f>
        <v>55591</v>
      </c>
      <c r="Y2391" s="227">
        <f>_xll.qlCalendarAdvance(Calendar,X2391,NDays&amp;"D")</f>
        <v>55591</v>
      </c>
      <c r="Z2391" s="228">
        <v>2.8348498680198845E-2</v>
      </c>
      <c r="AA2391" s="230">
        <v>2.8314005657290586E-2</v>
      </c>
    </row>
    <row r="2392" spans="19:27" x14ac:dyDescent="0.2">
      <c r="S2392" s="32"/>
      <c r="T2392" s="187"/>
      <c r="W2392" s="221" t="str">
        <f t="shared" si="46"/>
        <v>1w</v>
      </c>
      <c r="X2392" s="222">
        <f>_xll.qlCalendarAdvance(Calendar,X2391,W2392,"f",FALSE)</f>
        <v>55598</v>
      </c>
      <c r="Y2392" s="227">
        <f>_xll.qlCalendarAdvance(Calendar,X2392,NDays&amp;"D")</f>
        <v>55598</v>
      </c>
      <c r="Z2392" s="228">
        <v>2.8349330841003738E-2</v>
      </c>
      <c r="AA2392" s="230">
        <v>2.8313673440399922E-2</v>
      </c>
    </row>
    <row r="2393" spans="19:27" x14ac:dyDescent="0.2">
      <c r="S2393" s="32"/>
      <c r="T2393" s="187"/>
      <c r="W2393" s="221" t="str">
        <f t="shared" si="46"/>
        <v>1w</v>
      </c>
      <c r="X2393" s="222">
        <f>_xll.qlCalendarAdvance(Calendar,X2392,W2393,"f",FALSE)</f>
        <v>55605</v>
      </c>
      <c r="Y2393" s="227">
        <f>_xll.qlCalendarAdvance(Calendar,X2393,NDays&amp;"D")</f>
        <v>55605</v>
      </c>
      <c r="Z2393" s="228">
        <v>2.8348027601683052E-2</v>
      </c>
      <c r="AA2393" s="230">
        <v>2.8313376137922841E-2</v>
      </c>
    </row>
    <row r="2394" spans="19:27" x14ac:dyDescent="0.2">
      <c r="S2394" s="32"/>
      <c r="T2394" s="187"/>
      <c r="W2394" s="221" t="str">
        <f t="shared" si="46"/>
        <v>1w</v>
      </c>
      <c r="X2394" s="222">
        <f>_xll.qlCalendarAdvance(Calendar,X2393,W2394,"f",FALSE)</f>
        <v>55612</v>
      </c>
      <c r="Y2394" s="227">
        <f>_xll.qlCalendarAdvance(Calendar,X2394,NDays&amp;"D")</f>
        <v>55612</v>
      </c>
      <c r="Z2394" s="228">
        <v>2.8344575814438354E-2</v>
      </c>
      <c r="AA2394" s="230">
        <v>2.8313113749778296E-2</v>
      </c>
    </row>
    <row r="2395" spans="19:27" x14ac:dyDescent="0.2">
      <c r="S2395" s="32"/>
      <c r="T2395" s="187"/>
      <c r="W2395" s="221" t="str">
        <f t="shared" si="46"/>
        <v>1w</v>
      </c>
      <c r="X2395" s="222">
        <f>_xll.qlCalendarAdvance(Calendar,X2394,W2395,"f",FALSE)</f>
        <v>55619</v>
      </c>
      <c r="Y2395" s="227">
        <f>_xll.qlCalendarAdvance(Calendar,X2395,NDays&amp;"D")</f>
        <v>55619</v>
      </c>
      <c r="Z2395" s="228">
        <v>2.8344420314056967E-2</v>
      </c>
      <c r="AA2395" s="230">
        <v>2.8312886276047333E-2</v>
      </c>
    </row>
    <row r="2396" spans="19:27" x14ac:dyDescent="0.2">
      <c r="S2396" s="32"/>
      <c r="T2396" s="187"/>
      <c r="W2396" s="221" t="str">
        <f t="shared" si="46"/>
        <v>1w</v>
      </c>
      <c r="X2396" s="222">
        <f>_xll.qlCalendarAdvance(Calendar,X2395,W2396,"f",FALSE)</f>
        <v>55626</v>
      </c>
      <c r="Y2396" s="227">
        <f>_xll.qlCalendarAdvance(Calendar,X2396,NDays&amp;"D")</f>
        <v>55626</v>
      </c>
      <c r="Z2396" s="228">
        <v>2.8344299806698652E-2</v>
      </c>
      <c r="AA2396" s="230">
        <v>2.8312693716810999E-2</v>
      </c>
    </row>
    <row r="2397" spans="19:27" x14ac:dyDescent="0.2">
      <c r="S2397" s="32"/>
      <c r="T2397" s="187"/>
      <c r="W2397" s="221" t="str">
        <f t="shared" si="46"/>
        <v>1w</v>
      </c>
      <c r="X2397" s="222">
        <f>_xll.qlCalendarAdvance(Calendar,X2396,W2397,"f",FALSE)</f>
        <v>55633</v>
      </c>
      <c r="Y2397" s="227">
        <f>_xll.qlCalendarAdvance(Calendar,X2397,NDays&amp;"D")</f>
        <v>55633</v>
      </c>
      <c r="Z2397" s="228">
        <v>2.8344214292368813E-2</v>
      </c>
      <c r="AA2397" s="230">
        <v>2.8312536071988248E-2</v>
      </c>
    </row>
    <row r="2398" spans="19:27" x14ac:dyDescent="0.2">
      <c r="S2398" s="32"/>
      <c r="T2398" s="187"/>
      <c r="W2398" s="221" t="str">
        <f t="shared" si="46"/>
        <v>1w</v>
      </c>
      <c r="X2398" s="222">
        <f>_xll.qlCalendarAdvance(Calendar,X2397,W2398,"f",FALSE)</f>
        <v>55640</v>
      </c>
      <c r="Y2398" s="227">
        <f>_xll.qlCalendarAdvance(Calendar,X2398,NDays&amp;"D")</f>
        <v>55640</v>
      </c>
      <c r="Z2398" s="228">
        <v>2.8347462425922818E-2</v>
      </c>
      <c r="AA2398" s="230">
        <v>2.8312413341498033E-2</v>
      </c>
    </row>
    <row r="2399" spans="19:27" x14ac:dyDescent="0.2">
      <c r="S2399" s="32"/>
      <c r="T2399" s="187"/>
      <c r="W2399" s="221" t="str">
        <f t="shared" si="46"/>
        <v>1w</v>
      </c>
      <c r="X2399" s="222">
        <f>_xll.qlCalendarAdvance(Calendar,X2398,W2399,"f",FALSE)</f>
        <v>55647</v>
      </c>
      <c r="Y2399" s="227">
        <f>_xll.qlCalendarAdvance(Calendar,X2399,NDays&amp;"D")</f>
        <v>55647</v>
      </c>
      <c r="Z2399" s="228">
        <v>2.8347454394283055E-2</v>
      </c>
      <c r="AA2399" s="230">
        <v>2.83123255254214E-2</v>
      </c>
    </row>
    <row r="2400" spans="19:27" x14ac:dyDescent="0.2">
      <c r="S2400" s="32"/>
      <c r="T2400" s="187"/>
      <c r="W2400" s="221" t="str">
        <f t="shared" si="46"/>
        <v>1w</v>
      </c>
      <c r="X2400" s="222">
        <f>_xll.qlCalendarAdvance(Calendar,X2399,W2400,"f",FALSE)</f>
        <v>55654</v>
      </c>
      <c r="Y2400" s="227">
        <f>_xll.qlCalendarAdvance(Calendar,X2400,NDays&amp;"D")</f>
        <v>55654</v>
      </c>
      <c r="Z2400" s="228">
        <v>2.8347481363810777E-2</v>
      </c>
      <c r="AA2400" s="230">
        <v>2.8312272623677304E-2</v>
      </c>
    </row>
    <row r="2401" spans="19:27" x14ac:dyDescent="0.2">
      <c r="S2401" s="32"/>
      <c r="T2401" s="187"/>
      <c r="W2401" s="221" t="str">
        <f t="shared" si="46"/>
        <v>1w</v>
      </c>
      <c r="X2401" s="222">
        <f>_xll.qlCalendarAdvance(Calendar,X2400,W2401,"f",FALSE)</f>
        <v>55661</v>
      </c>
      <c r="Y2401" s="227">
        <f>_xll.qlCalendarAdvance(Calendar,X2401,NDays&amp;"D")</f>
        <v>55661</v>
      </c>
      <c r="Z2401" s="228">
        <v>2.8347543334510898E-2</v>
      </c>
      <c r="AA2401" s="230">
        <v>2.8312254636508882E-2</v>
      </c>
    </row>
    <row r="2402" spans="19:27" x14ac:dyDescent="0.2">
      <c r="S2402" s="32"/>
      <c r="T2402" s="187"/>
      <c r="W2402" s="221" t="str">
        <f t="shared" si="46"/>
        <v>1w</v>
      </c>
      <c r="X2402" s="222">
        <f>_xll.qlCalendarAdvance(Calendar,X2401,W2402,"f",FALSE)</f>
        <v>55668</v>
      </c>
      <c r="Y2402" s="227">
        <f>_xll.qlCalendarAdvance(Calendar,X2402,NDays&amp;"D")</f>
        <v>55668</v>
      </c>
      <c r="Z2402" s="228">
        <v>2.8344311616108918E-2</v>
      </c>
      <c r="AA2402" s="230">
        <v>2.8312271563591951E-2</v>
      </c>
    </row>
    <row r="2403" spans="19:27" x14ac:dyDescent="0.2">
      <c r="S2403" s="32"/>
      <c r="T2403" s="187"/>
      <c r="W2403" s="221" t="str">
        <f t="shared" si="46"/>
        <v>1w</v>
      </c>
      <c r="X2403" s="222">
        <f>_xll.qlCalendarAdvance(Calendar,X2402,W2403,"f",FALSE)</f>
        <v>55675</v>
      </c>
      <c r="Y2403" s="227">
        <f>_xll.qlCalendarAdvance(Calendar,X2403,NDays&amp;"D")</f>
        <v>55675</v>
      </c>
      <c r="Z2403" s="228">
        <v>2.8344436059933718E-2</v>
      </c>
      <c r="AA2403" s="230">
        <v>2.8312323405007556E-2</v>
      </c>
    </row>
    <row r="2404" spans="19:27" x14ac:dyDescent="0.2">
      <c r="S2404" s="32"/>
      <c r="T2404" s="187"/>
      <c r="W2404" s="221" t="str">
        <f t="shared" si="46"/>
        <v>1w</v>
      </c>
      <c r="X2404" s="222">
        <f>_xll.qlCalendarAdvance(Calendar,X2403,W2404,"f",FALSE)</f>
        <v>55682</v>
      </c>
      <c r="Y2404" s="227">
        <f>_xll.qlCalendarAdvance(Calendar,X2404,NDays&amp;"D")</f>
        <v>55682</v>
      </c>
      <c r="Z2404" s="228">
        <v>2.8344595496786994E-2</v>
      </c>
      <c r="AA2404" s="230">
        <v>2.8312410160998835E-2</v>
      </c>
    </row>
    <row r="2405" spans="19:27" x14ac:dyDescent="0.2">
      <c r="S2405" s="32"/>
      <c r="T2405" s="187"/>
      <c r="W2405" s="221" t="str">
        <f t="shared" si="46"/>
        <v>1w</v>
      </c>
      <c r="X2405" s="222">
        <f>_xll.qlCalendarAdvance(Calendar,X2404,W2405,"f",FALSE)</f>
        <v>55689</v>
      </c>
      <c r="Y2405" s="227">
        <f>_xll.qlCalendarAdvance(Calendar,X2405,NDays&amp;"D")</f>
        <v>55689</v>
      </c>
      <c r="Z2405" s="228">
        <v>2.8344789926674146E-2</v>
      </c>
      <c r="AA2405" s="230">
        <v>2.8312531831403698E-2</v>
      </c>
    </row>
    <row r="2406" spans="19:27" x14ac:dyDescent="0.2">
      <c r="S2406" s="32"/>
      <c r="T2406" s="187"/>
      <c r="W2406" s="221" t="str">
        <f t="shared" si="46"/>
        <v>1w</v>
      </c>
      <c r="X2406" s="222">
        <f>_xll.qlCalendarAdvance(Calendar,X2405,W2406,"f",FALSE)</f>
        <v>55696</v>
      </c>
      <c r="Y2406" s="227">
        <f>_xll.qlCalendarAdvance(Calendar,X2406,NDays&amp;"D")</f>
        <v>55696</v>
      </c>
      <c r="Z2406" s="228">
        <v>2.8345019349587074E-2</v>
      </c>
      <c r="AA2406" s="230">
        <v>2.8312688416141096E-2</v>
      </c>
    </row>
    <row r="2407" spans="19:27" x14ac:dyDescent="0.2">
      <c r="S2407" s="32"/>
      <c r="T2407" s="187"/>
      <c r="W2407" s="221" t="str">
        <f t="shared" si="46"/>
        <v>1w</v>
      </c>
      <c r="X2407" s="222">
        <f>_xll.qlCalendarAdvance(Calendar,X2406,W2407,"f",FALSE)</f>
        <v>55703</v>
      </c>
      <c r="Y2407" s="227">
        <f>_xll.qlCalendarAdvance(Calendar,X2407,NDays&amp;"D")</f>
        <v>55703</v>
      </c>
      <c r="Z2407" s="228">
        <v>2.8348650183304965E-2</v>
      </c>
      <c r="AA2407" s="230">
        <v>2.8312879915129985E-2</v>
      </c>
    </row>
    <row r="2408" spans="19:27" x14ac:dyDescent="0.2">
      <c r="S2408" s="32"/>
      <c r="T2408" s="187"/>
      <c r="W2408" s="221" t="str">
        <f t="shared" si="46"/>
        <v>1w</v>
      </c>
      <c r="X2408" s="222">
        <f>_xll.qlCalendarAdvance(Calendar,X2407,W2408,"f",FALSE)</f>
        <v>55710</v>
      </c>
      <c r="Y2408" s="227">
        <f>_xll.qlCalendarAdvance(Calendar,X2408,NDays&amp;"D")</f>
        <v>55710</v>
      </c>
      <c r="Z2408" s="228">
        <v>2.8348957162224152E-2</v>
      </c>
      <c r="AA2408" s="230">
        <v>2.8313106328856641E-2</v>
      </c>
    </row>
    <row r="2409" spans="19:27" x14ac:dyDescent="0.2">
      <c r="S2409" s="32"/>
      <c r="T2409" s="187"/>
      <c r="W2409" s="221" t="str">
        <f t="shared" si="46"/>
        <v>1w</v>
      </c>
      <c r="X2409" s="222">
        <f>_xll.qlCalendarAdvance(Calendar,X2408,W2409,"f",FALSE)</f>
        <v>55717</v>
      </c>
      <c r="Y2409" s="227">
        <f>_xll.qlCalendarAdvance(Calendar,X2409,NDays&amp;"D")</f>
        <v>55717</v>
      </c>
      <c r="Z2409" s="228">
        <v>2.8349299142328015E-2</v>
      </c>
      <c r="AA2409" s="230">
        <v>2.8313367656753741E-2</v>
      </c>
    </row>
    <row r="2410" spans="19:27" x14ac:dyDescent="0.2">
      <c r="S2410" s="32"/>
      <c r="T2410" s="187"/>
      <c r="W2410" s="221" t="str">
        <f t="shared" si="46"/>
        <v>1w</v>
      </c>
      <c r="X2410" s="222">
        <f>_xll.qlCalendarAdvance(Calendar,X2409,W2410,"f",FALSE)</f>
        <v>55724</v>
      </c>
      <c r="Y2410" s="227">
        <f>_xll.qlCalendarAdvance(Calendar,X2410,NDays&amp;"D")</f>
        <v>55724</v>
      </c>
      <c r="Z2410" s="228">
        <v>2.835080644022854E-2</v>
      </c>
      <c r="AA2410" s="230">
        <v>2.831366389890233E-2</v>
      </c>
    </row>
    <row r="2411" spans="19:27" x14ac:dyDescent="0.2">
      <c r="S2411" s="32"/>
      <c r="T2411" s="187"/>
      <c r="W2411" s="221" t="str">
        <f t="shared" si="46"/>
        <v>1w</v>
      </c>
      <c r="X2411" s="222">
        <f>_xll.qlCalendarAdvance(Calendar,X2410,W2411,"f",FALSE)</f>
        <v>55731</v>
      </c>
      <c r="Y2411" s="227">
        <f>_xll.qlCalendarAdvance(Calendar,X2411,NDays&amp;"D")</f>
        <v>55731</v>
      </c>
      <c r="Z2411" s="228">
        <v>2.83466913597058E-2</v>
      </c>
      <c r="AA2411" s="230">
        <v>2.8313995055788688E-2</v>
      </c>
    </row>
    <row r="2412" spans="19:27" x14ac:dyDescent="0.2">
      <c r="S2412" s="32"/>
      <c r="T2412" s="187"/>
      <c r="W2412" s="221" t="str">
        <f t="shared" si="46"/>
        <v>1w</v>
      </c>
      <c r="X2412" s="222">
        <f>_xll.qlCalendarAdvance(Calendar,X2411,W2412,"f",FALSE)</f>
        <v>55738</v>
      </c>
      <c r="Y2412" s="227">
        <f>_xll.qlCalendarAdvance(Calendar,X2412,NDays&amp;"D")</f>
        <v>55738</v>
      </c>
      <c r="Z2412" s="228">
        <v>2.8350535089764869E-2</v>
      </c>
      <c r="AA2412" s="230">
        <v>2.8314361127007581E-2</v>
      </c>
    </row>
    <row r="2413" spans="19:27" x14ac:dyDescent="0.2">
      <c r="S2413" s="32"/>
      <c r="T2413" s="187"/>
      <c r="W2413" s="221" t="str">
        <f t="shared" si="46"/>
        <v>1w</v>
      </c>
      <c r="X2413" s="222">
        <f>_xll.qlCalendarAdvance(Calendar,X2412,W2413,"f",FALSE)</f>
        <v>55745</v>
      </c>
      <c r="Y2413" s="227">
        <f>_xll.qlCalendarAdvance(Calendar,X2413,NDays&amp;"D")</f>
        <v>55745</v>
      </c>
      <c r="Z2413" s="228">
        <v>2.8351017074636917E-2</v>
      </c>
      <c r="AA2413" s="230">
        <v>2.8314762112559011E-2</v>
      </c>
    </row>
    <row r="2414" spans="19:27" x14ac:dyDescent="0.2">
      <c r="S2414" s="32"/>
      <c r="T2414" s="187"/>
      <c r="W2414" s="221" t="str">
        <f t="shared" si="46"/>
        <v>1w</v>
      </c>
      <c r="X2414" s="222">
        <f>_xll.qlCalendarAdvance(Calendar,X2413,W2414,"f",FALSE)</f>
        <v>55752</v>
      </c>
      <c r="Y2414" s="227">
        <f>_xll.qlCalendarAdvance(Calendar,X2414,NDays&amp;"D")</f>
        <v>55752</v>
      </c>
      <c r="Z2414" s="228">
        <v>2.8351534060705921E-2</v>
      </c>
      <c r="AA2414" s="230">
        <v>2.8315198012361931E-2</v>
      </c>
    </row>
    <row r="2415" spans="19:27" x14ac:dyDescent="0.2">
      <c r="S2415" s="32"/>
      <c r="T2415" s="187"/>
      <c r="W2415" s="221" t="str">
        <f t="shared" si="46"/>
        <v>1w</v>
      </c>
      <c r="X2415" s="222">
        <f>_xll.qlCalendarAdvance(Calendar,X2414,W2415,"f",FALSE)</f>
        <v>55759</v>
      </c>
      <c r="Y2415" s="227">
        <f>_xll.qlCalendarAdvance(Calendar,X2415,NDays&amp;"D")</f>
        <v>55759</v>
      </c>
      <c r="Z2415" s="228">
        <v>2.835208604798662E-2</v>
      </c>
      <c r="AA2415" s="230">
        <v>2.8315668826740525E-2</v>
      </c>
    </row>
    <row r="2416" spans="19:27" x14ac:dyDescent="0.2">
      <c r="S2416" s="32"/>
      <c r="T2416" s="187"/>
      <c r="W2416" s="221" t="str">
        <f t="shared" si="46"/>
        <v>1w</v>
      </c>
      <c r="X2416" s="222">
        <f>_xll.qlCalendarAdvance(Calendar,X2415,W2416,"f",FALSE)</f>
        <v>55766</v>
      </c>
      <c r="Y2416" s="227">
        <f>_xll.qlCalendarAdvance(Calendar,X2416,NDays&amp;"D")</f>
        <v>55766</v>
      </c>
      <c r="Z2416" s="228">
        <v>2.8349238196017278E-2</v>
      </c>
      <c r="AA2416" s="230">
        <v>2.8316174555532703E-2</v>
      </c>
    </row>
    <row r="2417" spans="19:27" x14ac:dyDescent="0.2">
      <c r="S2417" s="32"/>
      <c r="T2417" s="187"/>
      <c r="W2417" s="221" t="str">
        <f t="shared" si="46"/>
        <v>1w</v>
      </c>
      <c r="X2417" s="222">
        <f>_xll.qlCalendarAdvance(Calendar,X2416,W2417,"f",FALSE)</f>
        <v>55773</v>
      </c>
      <c r="Y2417" s="227">
        <f>_xll.qlCalendarAdvance(Calendar,X2417,NDays&amp;"D")</f>
        <v>55773</v>
      </c>
      <c r="Z2417" s="228">
        <v>2.8349852542464953E-2</v>
      </c>
      <c r="AA2417" s="230">
        <v>2.8316715198657416E-2</v>
      </c>
    </row>
    <row r="2418" spans="19:27" x14ac:dyDescent="0.2">
      <c r="S2418" s="32"/>
      <c r="T2418" s="187"/>
      <c r="W2418" s="221" t="str">
        <f t="shared" si="46"/>
        <v>1w</v>
      </c>
      <c r="X2418" s="222">
        <f>_xll.qlCalendarAdvance(Calendar,X2417,W2418,"f",FALSE)</f>
        <v>55780</v>
      </c>
      <c r="Y2418" s="227">
        <f>_xll.qlCalendarAdvance(Calendar,X2418,NDays&amp;"D")</f>
        <v>55780</v>
      </c>
      <c r="Z2418" s="228">
        <v>2.8350501881995137E-2</v>
      </c>
      <c r="AA2418" s="230">
        <v>2.8317290756195712E-2</v>
      </c>
    </row>
    <row r="2419" spans="19:27" x14ac:dyDescent="0.2">
      <c r="S2419" s="32"/>
      <c r="T2419" s="187"/>
      <c r="W2419" s="221" t="str">
        <f t="shared" si="46"/>
        <v>1w</v>
      </c>
      <c r="X2419" s="222">
        <f>_xll.qlCalendarAdvance(Calendar,X2418,W2419,"f",FALSE)</f>
        <v>55787</v>
      </c>
      <c r="Y2419" s="227">
        <f>_xll.qlCalendarAdvance(Calendar,X2419,NDays&amp;"D")</f>
        <v>55787</v>
      </c>
      <c r="Z2419" s="228">
        <v>2.835118621459972E-2</v>
      </c>
      <c r="AA2419" s="230">
        <v>2.8317901228228637E-2</v>
      </c>
    </row>
    <row r="2420" spans="19:27" x14ac:dyDescent="0.2">
      <c r="S2420" s="32"/>
      <c r="T2420" s="187"/>
      <c r="W2420" s="221" t="str">
        <f t="shared" si="46"/>
        <v>1w</v>
      </c>
      <c r="X2420" s="222">
        <f>_xll.qlCalendarAdvance(Calendar,X2419,W2420,"f",FALSE)</f>
        <v>55794</v>
      </c>
      <c r="Y2420" s="227">
        <f>_xll.qlCalendarAdvance(Calendar,X2420,NDays&amp;"D")</f>
        <v>55794</v>
      </c>
      <c r="Z2420" s="228">
        <v>2.8355371002710412E-2</v>
      </c>
      <c r="AA2420" s="230">
        <v>2.8318546614594098E-2</v>
      </c>
    </row>
    <row r="2421" spans="19:27" x14ac:dyDescent="0.2">
      <c r="S2421" s="32"/>
      <c r="T2421" s="187"/>
      <c r="W2421" s="221" t="str">
        <f t="shared" si="46"/>
        <v>1w</v>
      </c>
      <c r="X2421" s="222">
        <f>_xll.qlCalendarAdvance(Calendar,X2420,W2421,"f",FALSE)</f>
        <v>55801</v>
      </c>
      <c r="Y2421" s="227">
        <f>_xll.qlCalendarAdvance(Calendar,X2421,NDays&amp;"D")</f>
        <v>55801</v>
      </c>
      <c r="Z2421" s="228">
        <v>2.8356132997354597E-2</v>
      </c>
      <c r="AA2421" s="230">
        <v>2.8319226915292095E-2</v>
      </c>
    </row>
    <row r="2422" spans="19:27" x14ac:dyDescent="0.2">
      <c r="S2422" s="32"/>
      <c r="T2422" s="187"/>
      <c r="W2422" s="221" t="str">
        <f t="shared" si="46"/>
        <v>1w</v>
      </c>
      <c r="X2422" s="222">
        <f>_xll.qlCalendarAdvance(Calendar,X2421,W2422,"f",FALSE)</f>
        <v>55808</v>
      </c>
      <c r="Y2422" s="227">
        <f>_xll.qlCalendarAdvance(Calendar,X2422,NDays&amp;"D")</f>
        <v>55808</v>
      </c>
      <c r="Z2422" s="228">
        <v>2.8356929993257139E-2</v>
      </c>
      <c r="AA2422" s="230">
        <v>2.8319942130484721E-2</v>
      </c>
    </row>
    <row r="2423" spans="19:27" x14ac:dyDescent="0.2">
      <c r="S2423" s="32"/>
      <c r="T2423" s="187"/>
      <c r="W2423" s="221" t="str">
        <f t="shared" si="46"/>
        <v>1w</v>
      </c>
      <c r="X2423" s="222">
        <f>_xll.qlCalendarAdvance(Calendar,X2422,W2423,"f",FALSE)</f>
        <v>55815</v>
      </c>
      <c r="Y2423" s="227">
        <f>_xll.qlCalendarAdvance(Calendar,X2423,NDays&amp;"D")</f>
        <v>55815</v>
      </c>
      <c r="Z2423" s="228">
        <v>2.8357761990415578E-2</v>
      </c>
      <c r="AA2423" s="230">
        <v>2.8320692260090929E-2</v>
      </c>
    </row>
    <row r="2424" spans="19:27" x14ac:dyDescent="0.2">
      <c r="S2424" s="32"/>
      <c r="T2424" s="187"/>
      <c r="W2424" s="221" t="str">
        <f t="shared" si="46"/>
        <v>1w</v>
      </c>
      <c r="X2424" s="222">
        <f>_xll.qlCalendarAdvance(Calendar,X2423,W2424,"f",FALSE)</f>
        <v>55822</v>
      </c>
      <c r="Y2424" s="227">
        <f>_xll.qlCalendarAdvance(Calendar,X2424,NDays&amp;"D")</f>
        <v>55822</v>
      </c>
      <c r="Z2424" s="228">
        <v>2.8355132774054735E-2</v>
      </c>
      <c r="AA2424" s="230">
        <v>2.8321477304029674E-2</v>
      </c>
    </row>
    <row r="2425" spans="19:27" x14ac:dyDescent="0.2">
      <c r="S2425" s="32"/>
      <c r="T2425" s="187"/>
      <c r="W2425" s="221" t="str">
        <f t="shared" si="46"/>
        <v>1w</v>
      </c>
      <c r="X2425" s="222">
        <f>_xll.qlCalendarAdvance(Calendar,X2424,W2425,"f",FALSE)</f>
        <v>55829</v>
      </c>
      <c r="Y2425" s="227">
        <f>_xll.qlCalendarAdvance(Calendar,X2425,NDays&amp;"D")</f>
        <v>55829</v>
      </c>
      <c r="Z2425" s="228">
        <v>2.8356027065275922E-2</v>
      </c>
      <c r="AA2425" s="230">
        <v>2.8322297262463048E-2</v>
      </c>
    </row>
    <row r="2426" spans="19:27" x14ac:dyDescent="0.2">
      <c r="S2426" s="32"/>
      <c r="T2426" s="187"/>
      <c r="W2426" s="221" t="str">
        <f t="shared" si="46"/>
        <v>1w</v>
      </c>
      <c r="X2426" s="222">
        <f>_xll.qlCalendarAdvance(Calendar,X2425,W2426,"f",FALSE)</f>
        <v>55836</v>
      </c>
      <c r="Y2426" s="227">
        <f>_xll.qlCalendarAdvance(Calendar,X2426,NDays&amp;"D")</f>
        <v>55836</v>
      </c>
      <c r="Z2426" s="228">
        <v>2.8356956349625539E-2</v>
      </c>
      <c r="AA2426" s="230">
        <v>2.8323152135228957E-2</v>
      </c>
    </row>
    <row r="2427" spans="19:27" x14ac:dyDescent="0.2">
      <c r="S2427" s="32"/>
      <c r="T2427" s="187"/>
      <c r="W2427" s="221" t="str">
        <f t="shared" si="46"/>
        <v>1w</v>
      </c>
      <c r="X2427" s="222">
        <f>_xll.qlCalendarAdvance(Calendar,X2426,W2427,"f",FALSE)</f>
        <v>55843</v>
      </c>
      <c r="Y2427" s="227">
        <f>_xll.qlCalendarAdvance(Calendar,X2427,NDays&amp;"D")</f>
        <v>55843</v>
      </c>
      <c r="Z2427" s="228">
        <v>2.8357920627111698E-2</v>
      </c>
      <c r="AA2427" s="230">
        <v>2.8324041922327403E-2</v>
      </c>
    </row>
    <row r="2428" spans="19:27" x14ac:dyDescent="0.2">
      <c r="S2428" s="32"/>
      <c r="T2428" s="187"/>
      <c r="W2428" s="221" t="str">
        <f t="shared" si="46"/>
        <v>1w</v>
      </c>
      <c r="X2428" s="222">
        <f>_xll.qlCalendarAdvance(Calendar,X2427,W2428,"f",FALSE)</f>
        <v>55850</v>
      </c>
      <c r="Y2428" s="227">
        <f>_xll.qlCalendarAdvance(Calendar,X2428,NDays&amp;"D")</f>
        <v>55850</v>
      </c>
      <c r="Z2428" s="228">
        <v>2.8358919897739792E-2</v>
      </c>
      <c r="AA2428" s="230">
        <v>2.8324966623920478E-2</v>
      </c>
    </row>
    <row r="2429" spans="19:27" x14ac:dyDescent="0.2">
      <c r="S2429" s="32"/>
      <c r="T2429" s="187"/>
      <c r="W2429" s="221" t="str">
        <f t="shared" si="46"/>
        <v>1w</v>
      </c>
      <c r="X2429" s="222">
        <f>_xll.qlCalendarAdvance(Calendar,X2428,W2429,"f",FALSE)</f>
        <v>55857</v>
      </c>
      <c r="Y2429" s="227">
        <f>_xll.qlCalendarAdvance(Calendar,X2429,NDays&amp;"D")</f>
        <v>55857</v>
      </c>
      <c r="Z2429" s="228">
        <v>2.8363489000270616E-2</v>
      </c>
      <c r="AA2429" s="230">
        <v>2.8325926239846089E-2</v>
      </c>
    </row>
    <row r="2430" spans="19:27" x14ac:dyDescent="0.2">
      <c r="S2430" s="32"/>
      <c r="T2430" s="187"/>
      <c r="W2430" s="221" t="str">
        <f t="shared" si="46"/>
        <v>1w</v>
      </c>
      <c r="X2430" s="222">
        <f>_xll.qlCalendarAdvance(Calendar,X2429,W2430,"f",FALSE)</f>
        <v>55864</v>
      </c>
      <c r="Y2430" s="227">
        <f>_xll.qlCalendarAdvance(Calendar,X2430,NDays&amp;"D")</f>
        <v>55864</v>
      </c>
      <c r="Z2430" s="228">
        <v>2.8364566006480688E-2</v>
      </c>
      <c r="AA2430" s="230">
        <v>2.8326920770347375E-2</v>
      </c>
    </row>
    <row r="2431" spans="19:27" x14ac:dyDescent="0.2">
      <c r="S2431" s="32"/>
      <c r="T2431" s="187"/>
      <c r="W2431" s="221" t="str">
        <f t="shared" si="46"/>
        <v>1w</v>
      </c>
      <c r="X2431" s="222">
        <f>_xll.qlCalendarAdvance(Calendar,X2430,W2431,"f",FALSE)</f>
        <v>55871</v>
      </c>
      <c r="Y2431" s="227">
        <f>_xll.qlCalendarAdvance(Calendar,X2431,NDays&amp;"D")</f>
        <v>55871</v>
      </c>
      <c r="Z2431" s="228">
        <v>2.8365678014025252E-2</v>
      </c>
      <c r="AA2431" s="230">
        <v>2.8327950215181197E-2</v>
      </c>
    </row>
    <row r="2432" spans="19:27" x14ac:dyDescent="0.2">
      <c r="S2432" s="32"/>
      <c r="T2432" s="187"/>
      <c r="W2432" s="221" t="str">
        <f t="shared" si="46"/>
        <v>1w</v>
      </c>
      <c r="X2432" s="222">
        <f>_xll.qlCalendarAdvance(Calendar,X2431,W2432,"f",FALSE)</f>
        <v>55880</v>
      </c>
      <c r="Y2432" s="227">
        <f>_xll.qlCalendarAdvance(Calendar,X2432,NDays&amp;"D")</f>
        <v>55880</v>
      </c>
      <c r="Z2432" s="228">
        <v>2.8364785306030892E-2</v>
      </c>
      <c r="AA2432" s="230">
        <v>2.8331680504008288E-2</v>
      </c>
    </row>
    <row r="2433" spans="19:27" x14ac:dyDescent="0.2">
      <c r="S2433" s="32"/>
      <c r="T2433" s="187"/>
      <c r="W2433" s="221" t="str">
        <f t="shared" si="46"/>
        <v>1w</v>
      </c>
      <c r="X2433" s="222">
        <f>_xll.qlCalendarAdvance(Calendar,X2432,W2433,"f",FALSE)</f>
        <v>55887</v>
      </c>
      <c r="Y2433" s="227">
        <f>_xll.qlCalendarAdvance(Calendar,X2433,NDays&amp;"D")</f>
        <v>55887</v>
      </c>
      <c r="Z2433" s="228">
        <v>2.836597213220339E-2</v>
      </c>
      <c r="AA2433" s="230">
        <v>2.8332794913953723E-2</v>
      </c>
    </row>
    <row r="2434" spans="19:27" x14ac:dyDescent="0.2">
      <c r="S2434" s="32"/>
      <c r="T2434" s="187"/>
      <c r="W2434" s="221" t="str">
        <f t="shared" si="46"/>
        <v>1w</v>
      </c>
      <c r="X2434" s="222">
        <f>_xll.qlCalendarAdvance(Calendar,X2433,W2434,"f",FALSE)</f>
        <v>55894</v>
      </c>
      <c r="Y2434" s="227">
        <f>_xll.qlCalendarAdvance(Calendar,X2434,NDays&amp;"D")</f>
        <v>55894</v>
      </c>
      <c r="Z2434" s="228">
        <v>2.8367193954301116E-2</v>
      </c>
      <c r="AA2434" s="230">
        <v>2.8333944243661795E-2</v>
      </c>
    </row>
    <row r="2435" spans="19:27" x14ac:dyDescent="0.2">
      <c r="S2435" s="32"/>
      <c r="T2435" s="187"/>
      <c r="W2435" s="221" t="str">
        <f t="shared" si="46"/>
        <v>1w</v>
      </c>
      <c r="X2435" s="222">
        <f>_xll.qlCalendarAdvance(Calendar,X2434,W2435,"f",FALSE)</f>
        <v>55901</v>
      </c>
      <c r="Y2435" s="227">
        <f>_xll.qlCalendarAdvance(Calendar,X2435,NDays&amp;"D")</f>
        <v>55901</v>
      </c>
      <c r="Z2435" s="228">
        <v>2.8368450772334526E-2</v>
      </c>
      <c r="AA2435" s="230">
        <v>2.8335128493240568E-2</v>
      </c>
    </row>
    <row r="2436" spans="19:27" x14ac:dyDescent="0.2">
      <c r="S2436" s="32"/>
      <c r="T2436" s="187"/>
      <c r="W2436" s="221" t="str">
        <f t="shared" si="46"/>
        <v>1w</v>
      </c>
      <c r="X2436" s="222">
        <f>_xll.qlCalendarAdvance(Calendar,X2435,W2436,"f",FALSE)</f>
        <v>55908</v>
      </c>
      <c r="Y2436" s="227">
        <f>_xll.qlCalendarAdvance(Calendar,X2436,NDays&amp;"D")</f>
        <v>55908</v>
      </c>
      <c r="Z2436" s="228">
        <v>2.8369742586314077E-2</v>
      </c>
      <c r="AA2436" s="230">
        <v>2.8336347662663023E-2</v>
      </c>
    </row>
    <row r="2437" spans="19:27" x14ac:dyDescent="0.2">
      <c r="S2437" s="32"/>
      <c r="T2437" s="187"/>
      <c r="W2437" s="221" t="str">
        <f t="shared" si="46"/>
        <v>1w</v>
      </c>
      <c r="X2437" s="222">
        <f>_xll.qlCalendarAdvance(Calendar,X2436,W2437,"f",FALSE)</f>
        <v>55915</v>
      </c>
      <c r="Y2437" s="227">
        <f>_xll.qlCalendarAdvance(Calendar,X2437,NDays&amp;"D")</f>
        <v>55915</v>
      </c>
      <c r="Z2437" s="228">
        <v>2.836747196451106E-2</v>
      </c>
      <c r="AA2437" s="230">
        <v>2.8337601751929158E-2</v>
      </c>
    </row>
    <row r="2438" spans="19:27" x14ac:dyDescent="0.2">
      <c r="S2438" s="32"/>
      <c r="T2438" s="187"/>
      <c r="W2438" s="221" t="str">
        <f t="shared" si="46"/>
        <v>1w</v>
      </c>
      <c r="X2438" s="222">
        <f>_xll.qlCalendarAdvance(Calendar,X2437,W2438,"f",FALSE)</f>
        <v>55922</v>
      </c>
      <c r="Y2438" s="227">
        <f>_xll.qlCalendarAdvance(Calendar,X2438,NDays&amp;"D")</f>
        <v>55922</v>
      </c>
      <c r="Z2438" s="228">
        <v>2.836882595588238E-2</v>
      </c>
      <c r="AA2438" s="230">
        <v>2.8338890760957934E-2</v>
      </c>
    </row>
    <row r="2439" spans="19:27" x14ac:dyDescent="0.2">
      <c r="S2439" s="32"/>
      <c r="T2439" s="187"/>
      <c r="W2439" s="221" t="str">
        <f t="shared" si="46"/>
        <v>1w</v>
      </c>
      <c r="X2439" s="222">
        <f>_xll.qlCalendarAdvance(Calendar,X2438,W2439,"f",FALSE)</f>
        <v>55929</v>
      </c>
      <c r="Y2439" s="227">
        <f>_xll.qlCalendarAdvance(Calendar,X2439,NDays&amp;"D")</f>
        <v>55929</v>
      </c>
      <c r="Z2439" s="228">
        <v>2.8370214935069169E-2</v>
      </c>
      <c r="AA2439" s="230">
        <v>2.8340214689938453E-2</v>
      </c>
    </row>
    <row r="2440" spans="19:27" x14ac:dyDescent="0.2">
      <c r="S2440" s="32"/>
      <c r="T2440" s="187"/>
      <c r="W2440" s="221" t="str">
        <f t="shared" si="46"/>
        <v>1w</v>
      </c>
      <c r="X2440" s="222">
        <f>_xll.qlCalendarAdvance(Calendar,X2439,W2440,"f",FALSE)</f>
        <v>55936</v>
      </c>
      <c r="Y2440" s="227">
        <f>_xll.qlCalendarAdvance(Calendar,X2440,NDays&amp;"D")</f>
        <v>55936</v>
      </c>
      <c r="Z2440" s="228">
        <v>2.8371638902077206E-2</v>
      </c>
      <c r="AA2440" s="230">
        <v>2.8341573538708625E-2</v>
      </c>
    </row>
    <row r="2441" spans="19:27" x14ac:dyDescent="0.2">
      <c r="S2441" s="32"/>
      <c r="T2441" s="187"/>
      <c r="W2441" s="221" t="str">
        <f t="shared" si="46"/>
        <v>1w</v>
      </c>
      <c r="X2441" s="222">
        <f>_xll.qlCalendarAdvance(Calendar,X2440,W2441,"f",FALSE)</f>
        <v>55943</v>
      </c>
      <c r="Y2441" s="227">
        <f>_xll.qlCalendarAdvance(Calendar,X2441,NDays&amp;"D")</f>
        <v>55943</v>
      </c>
      <c r="Z2441" s="228">
        <v>2.8376726595806562E-2</v>
      </c>
      <c r="AA2441" s="230">
        <v>2.8342967307295467E-2</v>
      </c>
    </row>
    <row r="2442" spans="19:27" x14ac:dyDescent="0.2">
      <c r="S2442" s="32"/>
      <c r="T2442" s="187"/>
      <c r="W2442" s="221" t="str">
        <f t="shared" si="46"/>
        <v>1w</v>
      </c>
      <c r="X2442" s="222">
        <f>_xll.qlCalendarAdvance(Calendar,X2441,W2442,"f",FALSE)</f>
        <v>55950</v>
      </c>
      <c r="Y2442" s="227">
        <f>_xll.qlCalendarAdvance(Calendar,X2442,NDays&amp;"D")</f>
        <v>55950</v>
      </c>
      <c r="Z2442" s="228">
        <v>2.837944120556931E-2</v>
      </c>
      <c r="AA2442" s="230">
        <v>2.8344395995753006E-2</v>
      </c>
    </row>
    <row r="2443" spans="19:27" x14ac:dyDescent="0.2">
      <c r="S2443" s="32"/>
      <c r="T2443" s="187"/>
      <c r="W2443" s="221" t="str">
        <f t="shared" si="46"/>
        <v>1w</v>
      </c>
      <c r="X2443" s="222">
        <f>_xll.qlCalendarAdvance(Calendar,X2442,W2443,"f",FALSE)</f>
        <v>55957</v>
      </c>
      <c r="Y2443" s="227">
        <f>_xll.qlCalendarAdvance(Calendar,X2443,NDays&amp;"D")</f>
        <v>55957</v>
      </c>
      <c r="Z2443" s="228">
        <v>2.8379765171653734E-2</v>
      </c>
      <c r="AA2443" s="230">
        <v>2.8345859604027211E-2</v>
      </c>
    </row>
    <row r="2444" spans="19:27" x14ac:dyDescent="0.2">
      <c r="S2444" s="32"/>
      <c r="T2444" s="187"/>
      <c r="W2444" s="221" t="str">
        <f t="shared" si="46"/>
        <v>1w</v>
      </c>
      <c r="X2444" s="222">
        <f>_xll.qlCalendarAdvance(Calendar,X2443,W2444,"f",FALSE)</f>
        <v>55964</v>
      </c>
      <c r="Y2444" s="227">
        <f>_xll.qlCalendarAdvance(Calendar,X2444,NDays&amp;"D")</f>
        <v>55964</v>
      </c>
      <c r="Z2444" s="228">
        <v>2.8381336953644247E-2</v>
      </c>
      <c r="AA2444" s="230">
        <v>2.8347358132199133E-2</v>
      </c>
    </row>
    <row r="2445" spans="19:27" x14ac:dyDescent="0.2">
      <c r="S2445" s="32"/>
      <c r="T2445" s="187"/>
      <c r="W2445" s="221" t="str">
        <f t="shared" si="46"/>
        <v>1w</v>
      </c>
      <c r="X2445" s="222">
        <f>_xll.qlCalendarAdvance(Calendar,X2444,W2445,"f",FALSE)</f>
        <v>55971</v>
      </c>
      <c r="Y2445" s="227">
        <f>_xll.qlCalendarAdvance(Calendar,X2445,NDays&amp;"D")</f>
        <v>55971</v>
      </c>
      <c r="Z2445" s="228">
        <v>2.8382943731685473E-2</v>
      </c>
      <c r="AA2445" s="230">
        <v>2.8348891580106676E-2</v>
      </c>
    </row>
    <row r="2446" spans="19:27" x14ac:dyDescent="0.2">
      <c r="S2446" s="32"/>
      <c r="T2446" s="187"/>
      <c r="W2446" s="221" t="str">
        <f t="shared" si="46"/>
        <v>1w</v>
      </c>
      <c r="X2446" s="222">
        <f>_xll.qlCalendarAdvance(Calendar,X2445,W2446,"f",FALSE)</f>
        <v>55982</v>
      </c>
      <c r="Y2446" s="227">
        <f>_xll.qlCalendarAdvance(Calendar,X2446,NDays&amp;"D")</f>
        <v>55982</v>
      </c>
      <c r="Z2446" s="228">
        <v>2.8384314873231158E-2</v>
      </c>
      <c r="AA2446" s="230">
        <v>2.8348940685886115E-2</v>
      </c>
    </row>
    <row r="2447" spans="19:27" x14ac:dyDescent="0.2">
      <c r="S2447" s="32"/>
      <c r="T2447" s="187"/>
      <c r="W2447" s="221" t="str">
        <f t="shared" si="46"/>
        <v>1w</v>
      </c>
      <c r="X2447" s="222">
        <f>_xll.qlCalendarAdvance(Calendar,X2446,W2447,"f",FALSE)</f>
        <v>55989</v>
      </c>
      <c r="Y2447" s="227">
        <f>_xll.qlCalendarAdvance(Calendar,X2447,NDays&amp;"D")</f>
        <v>55989</v>
      </c>
      <c r="Z2447" s="228">
        <v>2.8386009009894964E-2</v>
      </c>
      <c r="AA2447" s="230">
        <v>2.8350558687838534E-2</v>
      </c>
    </row>
    <row r="2448" spans="19:27" x14ac:dyDescent="0.2">
      <c r="S2448" s="32"/>
      <c r="T2448" s="187"/>
      <c r="W2448" s="221" t="str">
        <f t="shared" si="46"/>
        <v>1w</v>
      </c>
      <c r="X2448" s="222">
        <f>_xll.qlCalendarAdvance(Calendar,X2447,W2448,"f",FALSE)</f>
        <v>55996</v>
      </c>
      <c r="Y2448" s="227">
        <f>_xll.qlCalendarAdvance(Calendar,X2448,NDays&amp;"D")</f>
        <v>55996</v>
      </c>
      <c r="Z2448" s="228">
        <v>2.8387738139938445E-2</v>
      </c>
      <c r="AA2448" s="230">
        <v>2.8352211604204536E-2</v>
      </c>
    </row>
    <row r="2449" spans="19:27" x14ac:dyDescent="0.2">
      <c r="S2449" s="32"/>
      <c r="T2449" s="187"/>
      <c r="W2449" s="221" t="str">
        <f t="shared" si="46"/>
        <v>1w</v>
      </c>
      <c r="X2449" s="222">
        <f>_xll.qlCalendarAdvance(Calendar,X2448,W2449,"f",FALSE)</f>
        <v>56003</v>
      </c>
      <c r="Y2449" s="227">
        <f>_xll.qlCalendarAdvance(Calendar,X2449,NDays&amp;"D")</f>
        <v>56003</v>
      </c>
      <c r="Z2449" s="228">
        <v>2.838950226338862E-2</v>
      </c>
      <c r="AA2449" s="230">
        <v>2.8353899435065166E-2</v>
      </c>
    </row>
    <row r="2450" spans="19:27" x14ac:dyDescent="0.2">
      <c r="S2450" s="32"/>
      <c r="T2450" s="187"/>
      <c r="W2450" s="221" t="str">
        <f t="shared" si="46"/>
        <v>1w</v>
      </c>
      <c r="X2450" s="222">
        <f>_xll.qlCalendarAdvance(Calendar,X2449,W2450,"f",FALSE)</f>
        <v>56010</v>
      </c>
      <c r="Y2450" s="227">
        <f>_xll.qlCalendarAdvance(Calendar,X2450,NDays&amp;"D")</f>
        <v>56010</v>
      </c>
      <c r="Z2450" s="228">
        <v>2.8392536423666657E-2</v>
      </c>
      <c r="AA2450" s="230">
        <v>2.8355622180339379E-2</v>
      </c>
    </row>
    <row r="2451" spans="19:27" x14ac:dyDescent="0.2">
      <c r="S2451" s="32"/>
      <c r="T2451" s="187"/>
      <c r="W2451" s="221" t="str">
        <f t="shared" si="46"/>
        <v>1w</v>
      </c>
      <c r="X2451" s="222">
        <f>_xll.qlCalendarAdvance(Calendar,X2450,W2451,"f",FALSE)</f>
        <v>56017</v>
      </c>
      <c r="Y2451" s="227">
        <f>_xll.qlCalendarAdvance(Calendar,X2451,NDays&amp;"D")</f>
        <v>56017</v>
      </c>
      <c r="Z2451" s="228">
        <v>2.8394373176197658E-2</v>
      </c>
      <c r="AA2451" s="230">
        <v>2.8357379840027175E-2</v>
      </c>
    </row>
    <row r="2452" spans="19:27" x14ac:dyDescent="0.2">
      <c r="S2452" s="32"/>
      <c r="T2452" s="187"/>
      <c r="W2452" s="221" t="str">
        <f t="shared" si="46"/>
        <v>1w</v>
      </c>
      <c r="X2452" s="222">
        <f>_xll.qlCalendarAdvance(Calendar,X2451,W2452,"f",FALSE)</f>
        <v>56024</v>
      </c>
      <c r="Y2452" s="227">
        <f>_xll.qlCalendarAdvance(Calendar,X2452,NDays&amp;"D")</f>
        <v>56024</v>
      </c>
      <c r="Z2452" s="228">
        <v>2.8396244924907485E-2</v>
      </c>
      <c r="AA2452" s="230">
        <v>2.8359172414047507E-2</v>
      </c>
    </row>
    <row r="2453" spans="19:27" x14ac:dyDescent="0.2">
      <c r="S2453" s="32"/>
      <c r="T2453" s="187"/>
      <c r="W2453" s="221" t="str">
        <f t="shared" ref="W2453:W2516" si="47">W2452</f>
        <v>1w</v>
      </c>
      <c r="X2453" s="222">
        <f>_xll.qlCalendarAdvance(Calendar,X2452,W2453,"f",FALSE)</f>
        <v>56031</v>
      </c>
      <c r="Y2453" s="227">
        <f>_xll.qlCalendarAdvance(Calendar,X2453,NDays&amp;"D")</f>
        <v>56031</v>
      </c>
      <c r="Z2453" s="228">
        <v>2.8398151669809201E-2</v>
      </c>
      <c r="AA2453" s="230">
        <v>2.8360999902562467E-2</v>
      </c>
    </row>
    <row r="2454" spans="19:27" x14ac:dyDescent="0.2">
      <c r="S2454" s="32"/>
      <c r="T2454" s="187"/>
      <c r="W2454" s="221" t="str">
        <f t="shared" si="47"/>
        <v>1w</v>
      </c>
      <c r="X2454" s="222">
        <f>_xll.qlCalendarAdvance(Calendar,X2453,W2454,"f",FALSE)</f>
        <v>56038</v>
      </c>
      <c r="Y2454" s="227">
        <f>_xll.qlCalendarAdvance(Calendar,X2454,NDays&amp;"D")</f>
        <v>56038</v>
      </c>
      <c r="Z2454" s="228">
        <v>2.8398847782193704E-2</v>
      </c>
      <c r="AA2454" s="230">
        <v>2.8362862305328918E-2</v>
      </c>
    </row>
    <row r="2455" spans="19:27" x14ac:dyDescent="0.2">
      <c r="S2455" s="32"/>
      <c r="T2455" s="187"/>
      <c r="W2455" s="221" t="str">
        <f t="shared" si="47"/>
        <v>1w</v>
      </c>
      <c r="X2455" s="222">
        <f>_xll.qlCalendarAdvance(Calendar,X2454,W2455,"f",FALSE)</f>
        <v>56045</v>
      </c>
      <c r="Y2455" s="227">
        <f>_xll.qlCalendarAdvance(Calendar,X2455,NDays&amp;"D")</f>
        <v>56045</v>
      </c>
      <c r="Z2455" s="228">
        <v>2.8400821866370385E-2</v>
      </c>
      <c r="AA2455" s="230">
        <v>2.8364759622589997E-2</v>
      </c>
    </row>
    <row r="2456" spans="19:27" x14ac:dyDescent="0.2">
      <c r="S2456" s="32"/>
      <c r="T2456" s="187"/>
      <c r="W2456" s="221" t="str">
        <f t="shared" si="47"/>
        <v>1w</v>
      </c>
      <c r="X2456" s="222">
        <f>_xll.qlCalendarAdvance(Calendar,X2455,W2456,"f",FALSE)</f>
        <v>56052</v>
      </c>
      <c r="Y2456" s="227">
        <f>_xll.qlCalendarAdvance(Calendar,X2456,NDays&amp;"D")</f>
        <v>56052</v>
      </c>
      <c r="Z2456" s="228">
        <v>2.8402830944067224E-2</v>
      </c>
      <c r="AA2456" s="230">
        <v>2.8366691854345705E-2</v>
      </c>
    </row>
    <row r="2457" spans="19:27" x14ac:dyDescent="0.2">
      <c r="S2457" s="32"/>
      <c r="T2457" s="187"/>
      <c r="W2457" s="221" t="str">
        <f t="shared" si="47"/>
        <v>1w</v>
      </c>
      <c r="X2457" s="222">
        <f>_xll.qlCalendarAdvance(Calendar,X2456,W2457,"f",FALSE)</f>
        <v>56059</v>
      </c>
      <c r="Y2457" s="227">
        <f>_xll.qlCalendarAdvance(Calendar,X2457,NDays&amp;"D")</f>
        <v>56059</v>
      </c>
      <c r="Z2457" s="228">
        <v>2.8404875015297724E-2</v>
      </c>
      <c r="AA2457" s="230">
        <v>2.8368659000514995E-2</v>
      </c>
    </row>
    <row r="2458" spans="19:27" x14ac:dyDescent="0.2">
      <c r="S2458" s="32"/>
      <c r="T2458" s="187"/>
      <c r="W2458" s="221" t="str">
        <f t="shared" si="47"/>
        <v>1w</v>
      </c>
      <c r="X2458" s="222">
        <f>_xll.qlCalendarAdvance(Calendar,X2457,W2458,"f",FALSE)</f>
        <v>56066</v>
      </c>
      <c r="Y2458" s="227">
        <f>_xll.qlCalendarAdvance(Calendar,X2458,NDays&amp;"D")</f>
        <v>56066</v>
      </c>
      <c r="Z2458" s="228">
        <v>2.8408210337826277E-2</v>
      </c>
      <c r="AA2458" s="230">
        <v>2.8370661061016822E-2</v>
      </c>
    </row>
    <row r="2459" spans="19:27" x14ac:dyDescent="0.2">
      <c r="S2459" s="32"/>
      <c r="T2459" s="187"/>
      <c r="W2459" s="221" t="str">
        <f t="shared" si="47"/>
        <v>1w</v>
      </c>
      <c r="X2459" s="222">
        <f>_xll.qlCalendarAdvance(Calendar,X2458,W2459,"f",FALSE)</f>
        <v>56073</v>
      </c>
      <c r="Y2459" s="227">
        <f>_xll.qlCalendarAdvance(Calendar,X2459,NDays&amp;"D")</f>
        <v>56073</v>
      </c>
      <c r="Z2459" s="228">
        <v>2.841032706025845E-2</v>
      </c>
      <c r="AA2459" s="230">
        <v>2.8372698035851185E-2</v>
      </c>
    </row>
    <row r="2460" spans="19:27" x14ac:dyDescent="0.2">
      <c r="S2460" s="32"/>
      <c r="T2460" s="187"/>
      <c r="W2460" s="221" t="str">
        <f t="shared" si="47"/>
        <v>1w</v>
      </c>
      <c r="X2460" s="222">
        <f>_xll.qlCalendarAdvance(Calendar,X2459,W2460,"f",FALSE)</f>
        <v>56080</v>
      </c>
      <c r="Y2460" s="227">
        <f>_xll.qlCalendarAdvance(Calendar,X2460,NDays&amp;"D")</f>
        <v>56080</v>
      </c>
      <c r="Z2460" s="228">
        <v>2.8412478779005393E-2</v>
      </c>
      <c r="AA2460" s="230">
        <v>2.8374769925261223E-2</v>
      </c>
    </row>
    <row r="2461" spans="19:27" x14ac:dyDescent="0.2">
      <c r="S2461" s="32"/>
      <c r="T2461" s="187"/>
      <c r="W2461" s="221" t="str">
        <f t="shared" si="47"/>
        <v>1w</v>
      </c>
      <c r="X2461" s="222">
        <f>_xll.qlCalendarAdvance(Calendar,X2460,W2461,"f",FALSE)</f>
        <v>56087</v>
      </c>
      <c r="Y2461" s="227">
        <f>_xll.qlCalendarAdvance(Calendar,X2461,NDays&amp;"D")</f>
        <v>56087</v>
      </c>
      <c r="Z2461" s="228">
        <v>2.8414665494093248E-2</v>
      </c>
      <c r="AA2461" s="230">
        <v>2.8376876729246936E-2</v>
      </c>
    </row>
    <row r="2462" spans="19:27" x14ac:dyDescent="0.2">
      <c r="S2462" s="32"/>
      <c r="T2462" s="187"/>
      <c r="W2462" s="221" t="str">
        <f t="shared" si="47"/>
        <v>1w</v>
      </c>
      <c r="X2462" s="222">
        <f>_xll.qlCalendarAdvance(Calendar,X2461,W2462,"f",FALSE)</f>
        <v>56094</v>
      </c>
      <c r="Y2462" s="227">
        <f>_xll.qlCalendarAdvance(Calendar,X2462,NDays&amp;"D")</f>
        <v>56094</v>
      </c>
      <c r="Z2462" s="228">
        <v>2.8416887205535094E-2</v>
      </c>
      <c r="AA2462" s="230">
        <v>2.8379018447322046E-2</v>
      </c>
    </row>
    <row r="2463" spans="19:27" x14ac:dyDescent="0.2">
      <c r="S2463" s="32"/>
      <c r="T2463" s="187"/>
      <c r="W2463" s="221" t="str">
        <f t="shared" si="47"/>
        <v>1w</v>
      </c>
      <c r="X2463" s="222">
        <f>_xll.qlCalendarAdvance(Calendar,X2462,W2463,"f",FALSE)</f>
        <v>56101</v>
      </c>
      <c r="Y2463" s="227">
        <f>_xll.qlCalendarAdvance(Calendar,X2463,NDays&amp;"D")</f>
        <v>56101</v>
      </c>
      <c r="Z2463" s="228">
        <v>2.8419143913357068E-2</v>
      </c>
      <c r="AA2463" s="230">
        <v>2.8381195080053878E-2</v>
      </c>
    </row>
    <row r="2464" spans="19:27" x14ac:dyDescent="0.2">
      <c r="S2464" s="32"/>
      <c r="T2464" s="187"/>
      <c r="W2464" s="221" t="str">
        <f t="shared" si="47"/>
        <v>1w</v>
      </c>
      <c r="X2464" s="222">
        <f>_xll.qlCalendarAdvance(Calendar,X2463,W2464,"f",FALSE)</f>
        <v>56108</v>
      </c>
      <c r="Y2464" s="227">
        <f>_xll.qlCalendarAdvance(Calendar,X2464,NDays&amp;"D")</f>
        <v>56108</v>
      </c>
      <c r="Z2464" s="228">
        <v>2.8421435617572245E-2</v>
      </c>
      <c r="AA2464" s="230">
        <v>2.83834066270372E-2</v>
      </c>
    </row>
    <row r="2465" spans="19:27" x14ac:dyDescent="0.2">
      <c r="S2465" s="32"/>
      <c r="T2465" s="187"/>
      <c r="W2465" s="221" t="str">
        <f t="shared" si="47"/>
        <v>1w</v>
      </c>
      <c r="X2465" s="222">
        <f>_xll.qlCalendarAdvance(Calendar,X2464,W2465,"f",FALSE)</f>
        <v>56115</v>
      </c>
      <c r="Y2465" s="227">
        <f>_xll.qlCalendarAdvance(Calendar,X2465,NDays&amp;"D")</f>
        <v>56115</v>
      </c>
      <c r="Z2465" s="228">
        <v>2.8423762318209384E-2</v>
      </c>
      <c r="AA2465" s="230">
        <v>2.8385653088596197E-2</v>
      </c>
    </row>
    <row r="2466" spans="19:27" x14ac:dyDescent="0.2">
      <c r="S2466" s="32"/>
      <c r="T2466" s="187"/>
      <c r="W2466" s="221" t="str">
        <f t="shared" si="47"/>
        <v>1w</v>
      </c>
      <c r="X2466" s="222">
        <f>_xll.qlCalendarAdvance(Calendar,X2465,W2466,"f",FALSE)</f>
        <v>56122</v>
      </c>
      <c r="Y2466" s="227">
        <f>_xll.qlCalendarAdvance(Calendar,X2466,NDays&amp;"D")</f>
        <v>56122</v>
      </c>
      <c r="Z2466" s="228">
        <v>2.8426124015278942E-2</v>
      </c>
      <c r="AA2466" s="230">
        <v>2.8387934464406683E-2</v>
      </c>
    </row>
    <row r="2467" spans="19:27" x14ac:dyDescent="0.2">
      <c r="S2467" s="32"/>
      <c r="T2467" s="187"/>
      <c r="W2467" s="221" t="str">
        <f t="shared" si="47"/>
        <v>1w</v>
      </c>
      <c r="X2467" s="222">
        <f>_xll.qlCalendarAdvance(Calendar,X2466,W2467,"f",FALSE)</f>
        <v>56129</v>
      </c>
      <c r="Y2467" s="227">
        <f>_xll.qlCalendarAdvance(Calendar,X2467,NDays&amp;"D")</f>
        <v>56129</v>
      </c>
      <c r="Z2467" s="228">
        <v>2.8427240375768791E-2</v>
      </c>
      <c r="AA2467" s="230">
        <v>2.8390250754792845E-2</v>
      </c>
    </row>
    <row r="2468" spans="19:27" x14ac:dyDescent="0.2">
      <c r="S2468" s="32"/>
      <c r="T2468" s="187"/>
      <c r="W2468" s="221" t="str">
        <f t="shared" si="47"/>
        <v>1w</v>
      </c>
      <c r="X2468" s="222">
        <f>_xll.qlCalendarAdvance(Calendar,X2467,W2468,"f",FALSE)</f>
        <v>56136</v>
      </c>
      <c r="Y2468" s="227">
        <f>_xll.qlCalendarAdvance(Calendar,X2468,NDays&amp;"D")</f>
        <v>56136</v>
      </c>
      <c r="Z2468" s="228">
        <v>2.8429669377060967E-2</v>
      </c>
      <c r="AA2468" s="230">
        <v>2.8392601959511543E-2</v>
      </c>
    </row>
    <row r="2469" spans="19:27" x14ac:dyDescent="0.2">
      <c r="S2469" s="32"/>
      <c r="T2469" s="187"/>
      <c r="W2469" s="221" t="str">
        <f t="shared" si="47"/>
        <v>1w</v>
      </c>
      <c r="X2469" s="222">
        <f>_xll.qlCalendarAdvance(Calendar,X2468,W2469,"f",FALSE)</f>
        <v>56143</v>
      </c>
      <c r="Y2469" s="227">
        <f>_xll.qlCalendarAdvance(Calendar,X2469,NDays&amp;"D")</f>
        <v>56143</v>
      </c>
      <c r="Z2469" s="228">
        <v>2.8432133372111035E-2</v>
      </c>
      <c r="AA2469" s="230">
        <v>2.8394988078643824E-2</v>
      </c>
    </row>
    <row r="2470" spans="19:27" x14ac:dyDescent="0.2">
      <c r="S2470" s="32"/>
      <c r="T2470" s="187"/>
      <c r="W2470" s="221" t="str">
        <f t="shared" si="47"/>
        <v>1w</v>
      </c>
      <c r="X2470" s="222">
        <f>_xll.qlCalendarAdvance(Calendar,X2469,W2470,"f",FALSE)</f>
        <v>56150</v>
      </c>
      <c r="Y2470" s="227">
        <f>_xll.qlCalendarAdvance(Calendar,X2470,NDays&amp;"D")</f>
        <v>56150</v>
      </c>
      <c r="Z2470" s="228">
        <v>2.8434632360946011E-2</v>
      </c>
      <c r="AA2470" s="230">
        <v>2.8397409112189687E-2</v>
      </c>
    </row>
    <row r="2471" spans="19:27" x14ac:dyDescent="0.2">
      <c r="S2471" s="32"/>
      <c r="T2471" s="187"/>
      <c r="W2471" s="221" t="str">
        <f t="shared" si="47"/>
        <v>1w</v>
      </c>
      <c r="X2471" s="222">
        <f>_xll.qlCalendarAdvance(Calendar,X2470,W2471,"f",FALSE)</f>
        <v>56157</v>
      </c>
      <c r="Y2471" s="227">
        <f>_xll.qlCalendarAdvance(Calendar,X2471,NDays&amp;"D")</f>
        <v>56157</v>
      </c>
      <c r="Z2471" s="228">
        <v>2.8438457447967913E-2</v>
      </c>
      <c r="AA2471" s="230">
        <v>2.8399865060230178E-2</v>
      </c>
    </row>
    <row r="2472" spans="19:27" x14ac:dyDescent="0.2">
      <c r="S2472" s="32"/>
      <c r="T2472" s="187"/>
      <c r="W2472" s="221" t="str">
        <f t="shared" si="47"/>
        <v>1w</v>
      </c>
      <c r="X2472" s="222">
        <f>_xll.qlCalendarAdvance(Calendar,X2471,W2472,"f",FALSE)</f>
        <v>56164</v>
      </c>
      <c r="Y2472" s="227">
        <f>_xll.qlCalendarAdvance(Calendar,X2472,NDays&amp;"D")</f>
        <v>56164</v>
      </c>
      <c r="Z2472" s="228">
        <v>2.8441029124123489E-2</v>
      </c>
      <c r="AA2472" s="230">
        <v>2.8402355922684253E-2</v>
      </c>
    </row>
    <row r="2473" spans="19:27" x14ac:dyDescent="0.2">
      <c r="S2473" s="32"/>
      <c r="T2473" s="187"/>
      <c r="W2473" s="221" t="str">
        <f t="shared" si="47"/>
        <v>1w</v>
      </c>
      <c r="X2473" s="222">
        <f>_xll.qlCalendarAdvance(Calendar,X2472,W2473,"f",FALSE)</f>
        <v>56171</v>
      </c>
      <c r="Y2473" s="227">
        <f>_xll.qlCalendarAdvance(Calendar,X2473,NDays&amp;"D")</f>
        <v>56171</v>
      </c>
      <c r="Z2473" s="228">
        <v>2.8443635796870963E-2</v>
      </c>
      <c r="AA2473" s="230">
        <v>2.8404881699470863E-2</v>
      </c>
    </row>
    <row r="2474" spans="19:27" x14ac:dyDescent="0.2">
      <c r="S2474" s="32"/>
      <c r="T2474" s="187"/>
      <c r="W2474" s="221" t="str">
        <f t="shared" si="47"/>
        <v>1w</v>
      </c>
      <c r="X2474" s="222">
        <f>_xll.qlCalendarAdvance(Calendar,X2473,W2474,"f",FALSE)</f>
        <v>56178</v>
      </c>
      <c r="Y2474" s="227">
        <f>_xll.qlCalendarAdvance(Calendar,X2474,NDays&amp;"D")</f>
        <v>56178</v>
      </c>
      <c r="Z2474" s="228">
        <v>2.8446277466231247E-2</v>
      </c>
      <c r="AA2474" s="230">
        <v>2.8407442390995241E-2</v>
      </c>
    </row>
    <row r="2475" spans="19:27" x14ac:dyDescent="0.2">
      <c r="S2475" s="32"/>
      <c r="T2475" s="187"/>
      <c r="W2475" s="221" t="str">
        <f t="shared" si="47"/>
        <v>1w</v>
      </c>
      <c r="X2475" s="222">
        <f>_xll.qlCalendarAdvance(Calendar,X2474,W2475,"f",FALSE)</f>
        <v>56185</v>
      </c>
      <c r="Y2475" s="227">
        <f>_xll.qlCalendarAdvance(Calendar,X2475,NDays&amp;"D")</f>
        <v>56185</v>
      </c>
      <c r="Z2475" s="228">
        <v>2.8448954132230485E-2</v>
      </c>
      <c r="AA2475" s="230">
        <v>2.8410037996609017E-2</v>
      </c>
    </row>
    <row r="2476" spans="19:27" x14ac:dyDescent="0.2">
      <c r="S2476" s="32"/>
      <c r="T2476" s="187"/>
      <c r="W2476" s="221" t="str">
        <f t="shared" si="47"/>
        <v>1w</v>
      </c>
      <c r="X2476" s="222">
        <f>_xll.qlCalendarAdvance(Calendar,X2475,W2476,"f",FALSE)</f>
        <v>56192</v>
      </c>
      <c r="Y2476" s="227">
        <f>_xll.qlCalendarAdvance(Calendar,X2476,NDays&amp;"D")</f>
        <v>56192</v>
      </c>
      <c r="Z2476" s="228">
        <v>2.8450361164624887E-2</v>
      </c>
      <c r="AA2476" s="230">
        <v>2.8412668516717421E-2</v>
      </c>
    </row>
    <row r="2477" spans="19:27" x14ac:dyDescent="0.2">
      <c r="S2477" s="32"/>
      <c r="T2477" s="187"/>
      <c r="W2477" s="221" t="str">
        <f t="shared" si="47"/>
        <v>1w</v>
      </c>
      <c r="X2477" s="222">
        <f>_xll.qlCalendarAdvance(Calendar,X2476,W2477,"f",FALSE)</f>
        <v>56199</v>
      </c>
      <c r="Y2477" s="227">
        <f>_xll.qlCalendarAdvance(Calendar,X2477,NDays&amp;"D")</f>
        <v>56199</v>
      </c>
      <c r="Z2477" s="228">
        <v>2.8453105110559356E-2</v>
      </c>
      <c r="AA2477" s="230">
        <v>2.8415333951320454E-2</v>
      </c>
    </row>
    <row r="2478" spans="19:27" x14ac:dyDescent="0.2">
      <c r="S2478" s="32"/>
      <c r="T2478" s="187"/>
      <c r="W2478" s="221" t="str">
        <f t="shared" si="47"/>
        <v>1w</v>
      </c>
      <c r="X2478" s="222">
        <f>_xll.qlCalendarAdvance(Calendar,X2477,W2478,"f",FALSE)</f>
        <v>56206</v>
      </c>
      <c r="Y2478" s="227">
        <f>_xll.qlCalendarAdvance(Calendar,X2478,NDays&amp;"D")</f>
        <v>56206</v>
      </c>
      <c r="Z2478" s="228">
        <v>2.8455884050459734E-2</v>
      </c>
      <c r="AA2478" s="230">
        <v>2.8418034300418116E-2</v>
      </c>
    </row>
    <row r="2479" spans="19:27" x14ac:dyDescent="0.2">
      <c r="S2479" s="32"/>
      <c r="T2479" s="187"/>
      <c r="W2479" s="221" t="str">
        <f t="shared" si="47"/>
        <v>1w</v>
      </c>
      <c r="X2479" s="222">
        <f>_xll.qlCalendarAdvance(Calendar,X2478,W2479,"f",FALSE)</f>
        <v>56213</v>
      </c>
      <c r="Y2479" s="227">
        <f>_xll.qlCalendarAdvance(Calendar,X2479,NDays&amp;"D")</f>
        <v>56213</v>
      </c>
      <c r="Z2479" s="228">
        <v>2.8463951064379905E-2</v>
      </c>
      <c r="AA2479" s="230">
        <v>2.842076956392936E-2</v>
      </c>
    </row>
    <row r="2480" spans="19:27" x14ac:dyDescent="0.2">
      <c r="S2480" s="32"/>
      <c r="T2480" s="187"/>
      <c r="W2480" s="221" t="str">
        <f t="shared" si="47"/>
        <v>1w</v>
      </c>
      <c r="X2480" s="222">
        <f>_xll.qlCalendarAdvance(Calendar,X2479,W2480,"f",FALSE)</f>
        <v>56220</v>
      </c>
      <c r="Y2480" s="227">
        <f>_xll.qlCalendarAdvance(Calendar,X2480,NDays&amp;"D")</f>
        <v>56220</v>
      </c>
      <c r="Z2480" s="228">
        <v>2.8462862412652862E-2</v>
      </c>
      <c r="AA2480" s="230">
        <v>2.8423539741692094E-2</v>
      </c>
    </row>
    <row r="2481" spans="19:27" x14ac:dyDescent="0.2">
      <c r="S2481" s="32"/>
      <c r="T2481" s="187"/>
      <c r="W2481" s="221" t="str">
        <f t="shared" si="47"/>
        <v>1w</v>
      </c>
      <c r="X2481" s="222">
        <f>_xll.qlCalendarAdvance(Calendar,X2480,W2481,"f",FALSE)</f>
        <v>56227</v>
      </c>
      <c r="Y2481" s="227">
        <f>_xll.qlCalendarAdvance(Calendar,X2481,NDays&amp;"D")</f>
        <v>56227</v>
      </c>
      <c r="Z2481" s="228">
        <v>2.846574905899826E-2</v>
      </c>
      <c r="AA2481" s="230">
        <v>2.8426344834192596E-2</v>
      </c>
    </row>
    <row r="2482" spans="19:27" x14ac:dyDescent="0.2">
      <c r="S2482" s="32"/>
      <c r="T2482" s="187"/>
      <c r="W2482" s="221" t="str">
        <f t="shared" si="47"/>
        <v>1w</v>
      </c>
      <c r="X2482" s="222">
        <f>_xll.qlCalendarAdvance(Calendar,X2481,W2482,"f",FALSE)</f>
        <v>56234</v>
      </c>
      <c r="Y2482" s="227">
        <f>_xll.qlCalendarAdvance(Calendar,X2482,NDays&amp;"D")</f>
        <v>56234</v>
      </c>
      <c r="Z2482" s="228">
        <v>2.8468670702149937E-2</v>
      </c>
      <c r="AA2482" s="230">
        <v>2.8429184840944588E-2</v>
      </c>
    </row>
    <row r="2483" spans="19:27" x14ac:dyDescent="0.2">
      <c r="S2483" s="32"/>
      <c r="T2483" s="187"/>
      <c r="W2483" s="221" t="str">
        <f t="shared" si="47"/>
        <v>1w</v>
      </c>
      <c r="X2483" s="222">
        <f>_xll.qlCalendarAdvance(Calendar,X2482,W2483,"f",FALSE)</f>
        <v>56241</v>
      </c>
      <c r="Y2483" s="227">
        <f>_xll.qlCalendarAdvance(Calendar,X2483,NDays&amp;"D")</f>
        <v>56241</v>
      </c>
      <c r="Z2483" s="228">
        <v>2.8471627342139261E-2</v>
      </c>
      <c r="AA2483" s="230">
        <v>2.8432059762029116E-2</v>
      </c>
    </row>
    <row r="2484" spans="19:27" x14ac:dyDescent="0.2">
      <c r="S2484" s="32"/>
      <c r="T2484" s="187"/>
      <c r="W2484" s="221" t="str">
        <f t="shared" si="47"/>
        <v>1w</v>
      </c>
      <c r="X2484" s="222">
        <f>_xll.qlCalendarAdvance(Calendar,X2483,W2484,"f",FALSE)</f>
        <v>56248</v>
      </c>
      <c r="Y2484" s="227">
        <f>_xll.qlCalendarAdvance(Calendar,X2484,NDays&amp;"D")</f>
        <v>56248</v>
      </c>
      <c r="Z2484" s="228">
        <v>2.8474618978994996E-2</v>
      </c>
      <c r="AA2484" s="230">
        <v>2.8434969597527227E-2</v>
      </c>
    </row>
    <row r="2485" spans="19:27" x14ac:dyDescent="0.2">
      <c r="S2485" s="32"/>
      <c r="T2485" s="187"/>
      <c r="W2485" s="221" t="str">
        <f t="shared" si="47"/>
        <v>1w</v>
      </c>
      <c r="X2485" s="222">
        <f>_xll.qlCalendarAdvance(Calendar,X2484,W2485,"f",FALSE)</f>
        <v>56255</v>
      </c>
      <c r="Y2485" s="227">
        <f>_xll.qlCalendarAdvance(Calendar,X2485,NDays&amp;"D")</f>
        <v>56255</v>
      </c>
      <c r="Z2485" s="228">
        <v>2.8477645612740667E-2</v>
      </c>
      <c r="AA2485" s="230">
        <v>2.8437914347763105E-2</v>
      </c>
    </row>
    <row r="2486" spans="19:27" x14ac:dyDescent="0.2">
      <c r="S2486" s="32"/>
      <c r="T2486" s="187"/>
      <c r="W2486" s="221" t="str">
        <f t="shared" si="47"/>
        <v>1w</v>
      </c>
      <c r="X2486" s="222">
        <f>_xll.qlCalendarAdvance(Calendar,X2485,W2486,"f",FALSE)</f>
        <v>56262</v>
      </c>
      <c r="Y2486" s="227">
        <f>_xll.qlCalendarAdvance(Calendar,X2486,NDays&amp;"D")</f>
        <v>56262</v>
      </c>
      <c r="Z2486" s="228">
        <v>2.8480707243402421E-2</v>
      </c>
      <c r="AA2486" s="230">
        <v>2.8440894012169426E-2</v>
      </c>
    </row>
    <row r="2487" spans="19:27" x14ac:dyDescent="0.2">
      <c r="S2487" s="32"/>
      <c r="T2487" s="187"/>
      <c r="W2487" s="221" t="str">
        <f t="shared" si="47"/>
        <v>1w</v>
      </c>
      <c r="X2487" s="222">
        <f>_xll.qlCalendarAdvance(Calendar,X2486,W2487,"f",FALSE)</f>
        <v>56269</v>
      </c>
      <c r="Y2487" s="227">
        <f>_xll.qlCalendarAdvance(Calendar,X2487,NDays&amp;"D")</f>
        <v>56269</v>
      </c>
      <c r="Z2487" s="228">
        <v>2.8483803871011629E-2</v>
      </c>
      <c r="AA2487" s="230">
        <v>2.8443908591151423E-2</v>
      </c>
    </row>
    <row r="2488" spans="19:27" x14ac:dyDescent="0.2">
      <c r="S2488" s="32"/>
      <c r="T2488" s="187"/>
      <c r="W2488" s="221" t="str">
        <f t="shared" si="47"/>
        <v>1w</v>
      </c>
      <c r="X2488" s="222">
        <f>_xll.qlCalendarAdvance(Calendar,X2487,W2488,"f",FALSE)</f>
        <v>56276</v>
      </c>
      <c r="Y2488" s="227">
        <f>_xll.qlCalendarAdvance(Calendar,X2488,NDays&amp;"D")</f>
        <v>56276</v>
      </c>
      <c r="Z2488" s="228">
        <v>2.8486935495591822E-2</v>
      </c>
      <c r="AA2488" s="230">
        <v>2.8446958084465956E-2</v>
      </c>
    </row>
    <row r="2489" spans="19:27" x14ac:dyDescent="0.2">
      <c r="S2489" s="32"/>
      <c r="T2489" s="187"/>
      <c r="W2489" s="221" t="str">
        <f t="shared" si="47"/>
        <v>1w</v>
      </c>
      <c r="X2489" s="222">
        <f>_xll.qlCalendarAdvance(Calendar,X2488,W2489,"f",FALSE)</f>
        <v>56283</v>
      </c>
      <c r="Y2489" s="227">
        <f>_xll.qlCalendarAdvance(Calendar,X2489,NDays&amp;"D")</f>
        <v>56283</v>
      </c>
      <c r="Z2489" s="228">
        <v>2.8486082754096219E-2</v>
      </c>
      <c r="AA2489" s="230">
        <v>2.8450042492275118E-2</v>
      </c>
    </row>
    <row r="2490" spans="19:27" x14ac:dyDescent="0.2">
      <c r="S2490" s="32"/>
      <c r="T2490" s="187"/>
      <c r="W2490" s="221" t="str">
        <f t="shared" si="47"/>
        <v>1w</v>
      </c>
      <c r="X2490" s="222">
        <f>_xll.qlCalendarAdvance(Calendar,X2489,W2490,"f",FALSE)</f>
        <v>56290</v>
      </c>
      <c r="Y2490" s="227">
        <f>_xll.qlCalendarAdvance(Calendar,X2490,NDays&amp;"D")</f>
        <v>56290</v>
      </c>
      <c r="Z2490" s="228">
        <v>2.8489276126357724E-2</v>
      </c>
      <c r="AA2490" s="230">
        <v>2.8453161814659955E-2</v>
      </c>
    </row>
    <row r="2491" spans="19:27" x14ac:dyDescent="0.2">
      <c r="S2491" s="32"/>
      <c r="T2491" s="187"/>
      <c r="W2491" s="221" t="str">
        <f t="shared" si="47"/>
        <v>1w</v>
      </c>
      <c r="X2491" s="222">
        <f>_xll.qlCalendarAdvance(Calendar,X2490,W2491,"f",FALSE)</f>
        <v>56297</v>
      </c>
      <c r="Y2491" s="227">
        <f>_xll.qlCalendarAdvance(Calendar,X2491,NDays&amp;"D")</f>
        <v>56297</v>
      </c>
      <c r="Z2491" s="228">
        <v>2.849250448738988E-2</v>
      </c>
      <c r="AA2491" s="230">
        <v>2.8456316051296282E-2</v>
      </c>
    </row>
    <row r="2492" spans="19:27" x14ac:dyDescent="0.2">
      <c r="S2492" s="32"/>
      <c r="T2492" s="187"/>
      <c r="W2492" s="221" t="str">
        <f t="shared" si="47"/>
        <v>1w</v>
      </c>
      <c r="X2492" s="222">
        <f>_xll.qlCalendarAdvance(Calendar,X2491,W2492,"f",FALSE)</f>
        <v>56304</v>
      </c>
      <c r="Y2492" s="227">
        <f>_xll.qlCalendarAdvance(Calendar,X2492,NDays&amp;"D")</f>
        <v>56304</v>
      </c>
      <c r="Z2492" s="228">
        <v>2.8495767837238995E-2</v>
      </c>
      <c r="AA2492" s="230">
        <v>2.8459505202508284E-2</v>
      </c>
    </row>
    <row r="2493" spans="19:27" x14ac:dyDescent="0.2">
      <c r="S2493" s="32"/>
      <c r="T2493" s="187"/>
      <c r="W2493" s="221" t="str">
        <f t="shared" si="47"/>
        <v>1w</v>
      </c>
      <c r="X2493" s="222">
        <f>_xll.qlCalendarAdvance(Calendar,X2492,W2493,"f",FALSE)</f>
        <v>56311</v>
      </c>
      <c r="Y2493" s="227">
        <f>_xll.qlCalendarAdvance(Calendar,X2493,NDays&amp;"D")</f>
        <v>56311</v>
      </c>
      <c r="Z2493" s="228">
        <v>2.8503118574064089E-2</v>
      </c>
      <c r="AA2493" s="230">
        <v>2.8462729267971776E-2</v>
      </c>
    </row>
    <row r="2494" spans="19:27" x14ac:dyDescent="0.2">
      <c r="S2494" s="32"/>
      <c r="T2494" s="187"/>
      <c r="W2494" s="221" t="str">
        <f t="shared" si="47"/>
        <v>1w</v>
      </c>
      <c r="X2494" s="222">
        <f>_xll.qlCalendarAdvance(Calendar,X2493,W2494,"f",FALSE)</f>
        <v>56318</v>
      </c>
      <c r="Y2494" s="227">
        <f>_xll.qlCalendarAdvance(Calendar,X2494,NDays&amp;"D")</f>
        <v>56318</v>
      </c>
      <c r="Z2494" s="228">
        <v>2.8506460181071499E-2</v>
      </c>
      <c r="AA2494" s="230">
        <v>2.8465988247929896E-2</v>
      </c>
    </row>
    <row r="2495" spans="19:27" x14ac:dyDescent="0.2">
      <c r="S2495" s="32"/>
      <c r="T2495" s="187"/>
      <c r="W2495" s="221" t="str">
        <f t="shared" si="47"/>
        <v>1w</v>
      </c>
      <c r="X2495" s="222">
        <f>_xll.qlCalendarAdvance(Calendar,X2494,W2495,"f",FALSE)</f>
        <v>56325</v>
      </c>
      <c r="Y2495" s="227">
        <f>_xll.qlCalendarAdvance(Calendar,X2495,NDays&amp;"D")</f>
        <v>56325</v>
      </c>
      <c r="Z2495" s="228">
        <v>2.8509836785259045E-2</v>
      </c>
      <c r="AA2495" s="230">
        <v>2.8469282142463692E-2</v>
      </c>
    </row>
    <row r="2496" spans="19:27" x14ac:dyDescent="0.2">
      <c r="S2496" s="32"/>
      <c r="T2496" s="187"/>
      <c r="W2496" s="221" t="str">
        <f t="shared" si="47"/>
        <v>1w</v>
      </c>
      <c r="X2496" s="222">
        <f>_xll.qlCalendarAdvance(Calendar,X2495,W2496,"f",FALSE)</f>
        <v>56332</v>
      </c>
      <c r="Y2496" s="227">
        <f>_xll.qlCalendarAdvance(Calendar,X2496,NDays&amp;"D")</f>
        <v>56332</v>
      </c>
      <c r="Z2496" s="228">
        <v>2.8513248386645026E-2</v>
      </c>
      <c r="AA2496" s="230">
        <v>2.847261095141107E-2</v>
      </c>
    </row>
    <row r="2497" spans="19:27" x14ac:dyDescent="0.2">
      <c r="S2497" s="32"/>
      <c r="T2497" s="187"/>
      <c r="W2497" s="221" t="str">
        <f t="shared" si="47"/>
        <v>1w</v>
      </c>
      <c r="X2497" s="222">
        <f>_xll.qlCalendarAdvance(Calendar,X2496,W2497,"f",FALSE)</f>
        <v>56339</v>
      </c>
      <c r="Y2497" s="227">
        <f>_xll.qlCalendarAdvance(Calendar,X2497,NDays&amp;"D")</f>
        <v>56339</v>
      </c>
      <c r="Z2497" s="228">
        <v>2.8515332795202686E-2</v>
      </c>
      <c r="AA2497" s="230">
        <v>2.8475974674853077E-2</v>
      </c>
    </row>
    <row r="2498" spans="19:27" x14ac:dyDescent="0.2">
      <c r="S2498" s="32"/>
      <c r="T2498" s="187"/>
      <c r="W2498" s="221" t="str">
        <f t="shared" si="47"/>
        <v>1w</v>
      </c>
      <c r="X2498" s="222">
        <f>_xll.qlCalendarAdvance(Calendar,X2497,W2498,"f",FALSE)</f>
        <v>56346</v>
      </c>
      <c r="Y2498" s="227">
        <f>_xll.qlCalendarAdvance(Calendar,X2498,NDays&amp;"D")</f>
        <v>56346</v>
      </c>
      <c r="Z2498" s="228">
        <v>2.8518811619791938E-2</v>
      </c>
      <c r="AA2498" s="230">
        <v>2.8479373312546574E-2</v>
      </c>
    </row>
    <row r="2499" spans="19:27" x14ac:dyDescent="0.2">
      <c r="S2499" s="32"/>
      <c r="T2499" s="187"/>
      <c r="W2499" s="221" t="str">
        <f t="shared" si="47"/>
        <v>1w</v>
      </c>
      <c r="X2499" s="222">
        <f>_xll.qlCalendarAdvance(Calendar,X2498,W2499,"f",FALSE)</f>
        <v>56353</v>
      </c>
      <c r="Y2499" s="227">
        <f>_xll.qlCalendarAdvance(Calendar,X2499,NDays&amp;"D")</f>
        <v>56353</v>
      </c>
      <c r="Z2499" s="228">
        <v>2.8522325438911721E-2</v>
      </c>
      <c r="AA2499" s="230">
        <v>2.8482806864896792E-2</v>
      </c>
    </row>
    <row r="2500" spans="19:27" x14ac:dyDescent="0.2">
      <c r="S2500" s="32"/>
      <c r="T2500" s="187"/>
      <c r="W2500" s="221" t="str">
        <f t="shared" si="47"/>
        <v>1w</v>
      </c>
      <c r="X2500" s="222">
        <f>_xll.qlCalendarAdvance(Calendar,X2499,W2500,"f",FALSE)</f>
        <v>56360</v>
      </c>
      <c r="Y2500" s="227">
        <f>_xll.qlCalendarAdvance(Calendar,X2500,NDays&amp;"D")</f>
        <v>56360</v>
      </c>
      <c r="Z2500" s="228">
        <v>2.8525874252591753E-2</v>
      </c>
      <c r="AA2500" s="230">
        <v>2.8486275331660593E-2</v>
      </c>
    </row>
    <row r="2501" spans="19:27" x14ac:dyDescent="0.2">
      <c r="S2501" s="32"/>
      <c r="T2501" s="187"/>
      <c r="W2501" s="221" t="str">
        <f t="shared" si="47"/>
        <v>1w</v>
      </c>
      <c r="X2501" s="222">
        <f>_xll.qlCalendarAdvance(Calendar,X2500,W2501,"f",FALSE)</f>
        <v>56367</v>
      </c>
      <c r="Y2501" s="227">
        <f>_xll.qlCalendarAdvance(Calendar,X2501,NDays&amp;"D")</f>
        <v>56367</v>
      </c>
      <c r="Z2501" s="228">
        <v>2.8529458060864453E-2</v>
      </c>
      <c r="AA2501" s="230">
        <v>2.848977871275693E-2</v>
      </c>
    </row>
    <row r="2502" spans="19:27" x14ac:dyDescent="0.2">
      <c r="S2502" s="32"/>
      <c r="T2502" s="187"/>
      <c r="W2502" s="221" t="str">
        <f t="shared" si="47"/>
        <v>1w</v>
      </c>
      <c r="X2502" s="222">
        <f>_xll.qlCalendarAdvance(Calendar,X2501,W2502,"f",FALSE)</f>
        <v>56374</v>
      </c>
      <c r="Y2502" s="227">
        <f>_xll.qlCalendarAdvance(Calendar,X2502,NDays&amp;"D")</f>
        <v>56374</v>
      </c>
      <c r="Z2502" s="228">
        <v>2.8534452937973853E-2</v>
      </c>
      <c r="AA2502" s="230">
        <v>2.8493317008347896E-2</v>
      </c>
    </row>
    <row r="2503" spans="19:27" x14ac:dyDescent="0.2">
      <c r="S2503" s="32"/>
      <c r="T2503" s="187"/>
      <c r="W2503" s="221" t="str">
        <f t="shared" si="47"/>
        <v>1w</v>
      </c>
      <c r="X2503" s="222">
        <f>_xll.qlCalendarAdvance(Calendar,X2502,W2503,"f",FALSE)</f>
        <v>56381</v>
      </c>
      <c r="Y2503" s="227">
        <f>_xll.qlCalendarAdvance(Calendar,X2503,NDays&amp;"D")</f>
        <v>56381</v>
      </c>
      <c r="Z2503" s="228">
        <v>2.853810952065609E-2</v>
      </c>
      <c r="AA2503" s="230">
        <v>2.849689021843349E-2</v>
      </c>
    </row>
    <row r="2504" spans="19:27" x14ac:dyDescent="0.2">
      <c r="S2504" s="32"/>
      <c r="T2504" s="187"/>
      <c r="W2504" s="221" t="str">
        <f t="shared" si="47"/>
        <v>1w</v>
      </c>
      <c r="X2504" s="222">
        <f>_xll.qlCalendarAdvance(Calendar,X2503,W2504,"f",FALSE)</f>
        <v>56388</v>
      </c>
      <c r="Y2504" s="227">
        <f>_xll.qlCalendarAdvance(Calendar,X2504,NDays&amp;"D")</f>
        <v>56388</v>
      </c>
      <c r="Z2504" s="228">
        <v>2.854180110079297E-2</v>
      </c>
      <c r="AA2504" s="230">
        <v>2.8500498343013714E-2</v>
      </c>
    </row>
    <row r="2505" spans="19:27" x14ac:dyDescent="0.2">
      <c r="S2505" s="32"/>
      <c r="T2505" s="187"/>
      <c r="W2505" s="221" t="str">
        <f t="shared" si="47"/>
        <v>1w</v>
      </c>
      <c r="X2505" s="222">
        <f>_xll.qlCalendarAdvance(Calendar,X2504,W2505,"f",FALSE)</f>
        <v>56395</v>
      </c>
      <c r="Y2505" s="227">
        <f>_xll.qlCalendarAdvance(Calendar,X2505,NDays&amp;"D")</f>
        <v>56395</v>
      </c>
      <c r="Z2505" s="228">
        <v>2.8545527678415873E-2</v>
      </c>
      <c r="AA2505" s="230">
        <v>2.8504141381845427E-2</v>
      </c>
    </row>
    <row r="2506" spans="19:27" x14ac:dyDescent="0.2">
      <c r="S2506" s="32"/>
      <c r="T2506" s="187"/>
      <c r="W2506" s="221" t="str">
        <f t="shared" si="47"/>
        <v>1w</v>
      </c>
      <c r="X2506" s="222">
        <f>_xll.qlCalendarAdvance(Calendar,X2505,W2506,"f",FALSE)</f>
        <v>56402</v>
      </c>
      <c r="Y2506" s="227">
        <f>_xll.qlCalendarAdvance(Calendar,X2506,NDays&amp;"D")</f>
        <v>56402</v>
      </c>
      <c r="Z2506" s="228">
        <v>2.854790193525214E-2</v>
      </c>
      <c r="AA2506" s="230">
        <v>2.8507819335333862E-2</v>
      </c>
    </row>
    <row r="2507" spans="19:27" x14ac:dyDescent="0.2">
      <c r="S2507" s="32"/>
      <c r="T2507" s="187"/>
      <c r="W2507" s="221" t="str">
        <f t="shared" si="47"/>
        <v>1w</v>
      </c>
      <c r="X2507" s="222">
        <f>_xll.qlCalendarAdvance(Calendar,X2506,W2507,"f",FALSE)</f>
        <v>56409</v>
      </c>
      <c r="Y2507" s="227">
        <f>_xll.qlCalendarAdvance(Calendar,X2507,NDays&amp;"D")</f>
        <v>56409</v>
      </c>
      <c r="Z2507" s="228">
        <v>2.8551692580389997E-2</v>
      </c>
      <c r="AA2507" s="230">
        <v>2.8511532203316925E-2</v>
      </c>
    </row>
    <row r="2508" spans="19:27" x14ac:dyDescent="0.2">
      <c r="S2508" s="32"/>
      <c r="T2508" s="187"/>
      <c r="W2508" s="221" t="str">
        <f t="shared" si="47"/>
        <v>1w</v>
      </c>
      <c r="X2508" s="222">
        <f>_xll.qlCalendarAdvance(Calendar,X2507,W2508,"f",FALSE)</f>
        <v>56416</v>
      </c>
      <c r="Y2508" s="227">
        <f>_xll.qlCalendarAdvance(Calendar,X2508,NDays&amp;"D")</f>
        <v>56416</v>
      </c>
      <c r="Z2508" s="228">
        <v>2.8555508758772295E-2</v>
      </c>
      <c r="AA2508" s="230">
        <v>2.8515279985632525E-2</v>
      </c>
    </row>
    <row r="2509" spans="19:27" x14ac:dyDescent="0.2">
      <c r="S2509" s="32"/>
      <c r="T2509" s="187"/>
      <c r="W2509" s="221" t="str">
        <f t="shared" si="47"/>
        <v>1w</v>
      </c>
      <c r="X2509" s="222">
        <f>_xll.qlCalendarAdvance(Calendar,X2508,W2509,"f",FALSE)</f>
        <v>56423</v>
      </c>
      <c r="Y2509" s="227">
        <f>_xll.qlCalendarAdvance(Calendar,X2509,NDays&amp;"D")</f>
        <v>56423</v>
      </c>
      <c r="Z2509" s="228">
        <v>2.8559343847313179E-2</v>
      </c>
      <c r="AA2509" s="230">
        <v>2.8519062682523799E-2</v>
      </c>
    </row>
    <row r="2510" spans="19:27" x14ac:dyDescent="0.2">
      <c r="S2510" s="32"/>
      <c r="T2510" s="187"/>
      <c r="W2510" s="221" t="str">
        <f t="shared" si="47"/>
        <v>1w</v>
      </c>
      <c r="X2510" s="222">
        <f>_xll.qlCalendarAdvance(Calendar,X2509,W2510,"f",FALSE)</f>
        <v>56430</v>
      </c>
      <c r="Y2510" s="227">
        <f>_xll.qlCalendarAdvance(Calendar,X2510,NDays&amp;"D")</f>
        <v>56430</v>
      </c>
      <c r="Z2510" s="228">
        <v>2.8564583472209248E-2</v>
      </c>
      <c r="AA2510" s="230">
        <v>2.8522879619361508E-2</v>
      </c>
    </row>
    <row r="2511" spans="19:27" x14ac:dyDescent="0.2">
      <c r="S2511" s="32"/>
      <c r="T2511" s="187"/>
      <c r="W2511" s="221" t="str">
        <f t="shared" si="47"/>
        <v>1w</v>
      </c>
      <c r="X2511" s="222">
        <f>_xll.qlCalendarAdvance(Calendar,X2510,W2511,"f",FALSE)</f>
        <v>56437</v>
      </c>
      <c r="Y2511" s="227">
        <f>_xll.qlCalendarAdvance(Calendar,X2511,NDays&amp;"D")</f>
        <v>56437</v>
      </c>
      <c r="Z2511" s="228">
        <v>2.8568438929852714E-2</v>
      </c>
      <c r="AA2511" s="230">
        <v>2.8526711916252445E-2</v>
      </c>
    </row>
    <row r="2512" spans="19:27" x14ac:dyDescent="0.2">
      <c r="S2512" s="32"/>
      <c r="T2512" s="187"/>
      <c r="W2512" s="221" t="str">
        <f t="shared" si="47"/>
        <v>1w</v>
      </c>
      <c r="X2512" s="222">
        <f>_xll.qlCalendarAdvance(Calendar,X2511,W2512,"f",FALSE)</f>
        <v>56444</v>
      </c>
      <c r="Y2512" s="227">
        <f>_xll.qlCalendarAdvance(Calendar,X2512,NDays&amp;"D")</f>
        <v>56444</v>
      </c>
      <c r="Z2512" s="228">
        <v>2.8572300998200781E-2</v>
      </c>
      <c r="AA2512" s="230">
        <v>2.8530550807149835E-2</v>
      </c>
    </row>
    <row r="2513" spans="19:27" x14ac:dyDescent="0.2">
      <c r="S2513" s="32"/>
      <c r="T2513" s="187"/>
      <c r="W2513" s="221" t="str">
        <f t="shared" si="47"/>
        <v>1w</v>
      </c>
      <c r="X2513" s="222">
        <f>_xll.qlCalendarAdvance(Calendar,X2512,W2513,"f",FALSE)</f>
        <v>56451</v>
      </c>
      <c r="Y2513" s="227">
        <f>_xll.qlCalendarAdvance(Calendar,X2513,NDays&amp;"D")</f>
        <v>56451</v>
      </c>
      <c r="Z2513" s="228">
        <v>2.8576169677263903E-2</v>
      </c>
      <c r="AA2513" s="230">
        <v>2.8534396291891584E-2</v>
      </c>
    </row>
    <row r="2514" spans="19:27" x14ac:dyDescent="0.2">
      <c r="S2514" s="32"/>
      <c r="T2514" s="187"/>
      <c r="W2514" s="221" t="str">
        <f t="shared" si="47"/>
        <v>1w</v>
      </c>
      <c r="X2514" s="222">
        <f>_xll.qlCalendarAdvance(Calendar,X2513,W2514,"f",FALSE)</f>
        <v>56458</v>
      </c>
      <c r="Y2514" s="227">
        <f>_xll.qlCalendarAdvance(Calendar,X2514,NDays&amp;"D")</f>
        <v>56458</v>
      </c>
      <c r="Z2514" s="228">
        <v>2.8580044967047313E-2</v>
      </c>
      <c r="AA2514" s="230">
        <v>2.8538248370801877E-2</v>
      </c>
    </row>
    <row r="2515" spans="19:27" x14ac:dyDescent="0.2">
      <c r="S2515" s="32"/>
      <c r="T2515" s="187"/>
      <c r="W2515" s="221" t="str">
        <f t="shared" si="47"/>
        <v>1w</v>
      </c>
      <c r="X2515" s="222">
        <f>_xll.qlCalendarAdvance(Calendar,X2514,W2515,"f",FALSE)</f>
        <v>56465</v>
      </c>
      <c r="Y2515" s="227">
        <f>_xll.qlCalendarAdvance(Calendar,X2515,NDays&amp;"D")</f>
        <v>56465</v>
      </c>
      <c r="Z2515" s="228">
        <v>2.858392686755885E-2</v>
      </c>
      <c r="AA2515" s="230">
        <v>2.8542107043637577E-2</v>
      </c>
    </row>
    <row r="2516" spans="19:27" x14ac:dyDescent="0.2">
      <c r="S2516" s="32"/>
      <c r="T2516" s="187"/>
      <c r="W2516" s="221" t="str">
        <f t="shared" si="47"/>
        <v>1w</v>
      </c>
      <c r="X2516" s="222">
        <f>_xll.qlCalendarAdvance(Calendar,X2515,W2516,"f",FALSE)</f>
        <v>56472</v>
      </c>
      <c r="Y2516" s="227">
        <f>_xll.qlCalendarAdvance(Calendar,X2516,NDays&amp;"D")</f>
        <v>56472</v>
      </c>
      <c r="Z2516" s="228">
        <v>2.8587815378806364E-2</v>
      </c>
      <c r="AA2516" s="230">
        <v>2.8545972310479728E-2</v>
      </c>
    </row>
    <row r="2517" spans="19:27" x14ac:dyDescent="0.2">
      <c r="S2517" s="32"/>
      <c r="T2517" s="187"/>
      <c r="W2517" s="221" t="str">
        <f t="shared" ref="W2517:W2580" si="48">W2516</f>
        <v>1w</v>
      </c>
      <c r="X2517" s="222">
        <f>_xll.qlCalendarAdvance(Calendar,X2516,W2517,"f",FALSE)</f>
        <v>56479</v>
      </c>
      <c r="Y2517" s="227">
        <f>_xll.qlCalendarAdvance(Calendar,X2517,NDays&amp;"D")</f>
        <v>56479</v>
      </c>
      <c r="Z2517" s="228">
        <v>2.8591710500792462E-2</v>
      </c>
      <c r="AA2517" s="230">
        <v>2.8549844171247285E-2</v>
      </c>
    </row>
    <row r="2518" spans="19:27" x14ac:dyDescent="0.2">
      <c r="S2518" s="32"/>
      <c r="T2518" s="187"/>
      <c r="W2518" s="221" t="str">
        <f t="shared" si="48"/>
        <v>1w</v>
      </c>
      <c r="X2518" s="222">
        <f>_xll.qlCalendarAdvance(Calendar,X2517,W2518,"f",FALSE)</f>
        <v>56486</v>
      </c>
      <c r="Y2518" s="227">
        <f>_xll.qlCalendarAdvance(Calendar,X2518,NDays&amp;"D")</f>
        <v>56486</v>
      </c>
      <c r="Z2518" s="228">
        <v>2.8595612233524994E-2</v>
      </c>
      <c r="AA2518" s="230">
        <v>2.8553722626264433E-2</v>
      </c>
    </row>
    <row r="2519" spans="19:27" x14ac:dyDescent="0.2">
      <c r="S2519" s="32"/>
      <c r="T2519" s="187"/>
      <c r="W2519" s="221" t="str">
        <f t="shared" si="48"/>
        <v>1w</v>
      </c>
      <c r="X2519" s="222">
        <f>_xll.qlCalendarAdvance(Calendar,X2518,W2519,"f",FALSE)</f>
        <v>56493</v>
      </c>
      <c r="Y2519" s="227">
        <f>_xll.qlCalendarAdvance(Calendar,X2519,NDays&amp;"D")</f>
        <v>56493</v>
      </c>
      <c r="Z2519" s="228">
        <v>2.8598121349159771E-2</v>
      </c>
      <c r="AA2519" s="230">
        <v>2.855760767512594E-2</v>
      </c>
    </row>
    <row r="2520" spans="19:27" x14ac:dyDescent="0.2">
      <c r="S2520" s="32"/>
      <c r="T2520" s="187"/>
      <c r="W2520" s="221" t="str">
        <f t="shared" si="48"/>
        <v>1w</v>
      </c>
      <c r="X2520" s="222">
        <f>_xll.qlCalendarAdvance(Calendar,X2519,W2520,"f",FALSE)</f>
        <v>56500</v>
      </c>
      <c r="Y2520" s="227">
        <f>_xll.qlCalendarAdvance(Calendar,X2520,NDays&amp;"D")</f>
        <v>56500</v>
      </c>
      <c r="Z2520" s="228">
        <v>2.8602035524852409E-2</v>
      </c>
      <c r="AA2520" s="230">
        <v>2.8561499317831807E-2</v>
      </c>
    </row>
    <row r="2521" spans="19:27" x14ac:dyDescent="0.2">
      <c r="S2521" s="32"/>
      <c r="T2521" s="187"/>
      <c r="W2521" s="221" t="str">
        <f t="shared" si="48"/>
        <v>1w</v>
      </c>
      <c r="X2521" s="222">
        <f>_xll.qlCalendarAdvance(Calendar,X2520,W2521,"f",FALSE)</f>
        <v>56507</v>
      </c>
      <c r="Y2521" s="227">
        <f>_xll.qlCalendarAdvance(Calendar,X2521,NDays&amp;"D")</f>
        <v>56507</v>
      </c>
      <c r="Z2521" s="228">
        <v>2.8605956310758057E-2</v>
      </c>
      <c r="AA2521" s="230">
        <v>2.856539755486831E-2</v>
      </c>
    </row>
    <row r="2522" spans="19:27" x14ac:dyDescent="0.2">
      <c r="S2522" s="32"/>
      <c r="T2522" s="187"/>
      <c r="W2522" s="221" t="str">
        <f t="shared" si="48"/>
        <v>1w</v>
      </c>
      <c r="X2522" s="222">
        <f>_xll.qlCalendarAdvance(Calendar,X2521,W2522,"f",FALSE)</f>
        <v>56514</v>
      </c>
      <c r="Y2522" s="227">
        <f>_xll.qlCalendarAdvance(Calendar,X2522,NDays&amp;"D")</f>
        <v>56514</v>
      </c>
      <c r="Z2522" s="228">
        <v>2.8609883706876709E-2</v>
      </c>
      <c r="AA2522" s="230">
        <v>2.8569302385749173E-2</v>
      </c>
    </row>
    <row r="2523" spans="19:27" x14ac:dyDescent="0.2">
      <c r="S2523" s="32"/>
      <c r="T2523" s="187"/>
      <c r="W2523" s="221" t="str">
        <f t="shared" si="48"/>
        <v>1w</v>
      </c>
      <c r="X2523" s="222">
        <f>_xll.qlCalendarAdvance(Calendar,X2522,W2523,"f",FALSE)</f>
        <v>56521</v>
      </c>
      <c r="Y2523" s="227">
        <f>_xll.qlCalendarAdvance(Calendar,X2523,NDays&amp;"D")</f>
        <v>56521</v>
      </c>
      <c r="Z2523" s="228">
        <v>2.861381771321107E-2</v>
      </c>
      <c r="AA2523" s="230">
        <v>2.8573213810636489E-2</v>
      </c>
    </row>
    <row r="2524" spans="19:27" x14ac:dyDescent="0.2">
      <c r="S2524" s="32"/>
      <c r="T2524" s="187"/>
      <c r="W2524" s="221" t="str">
        <f t="shared" si="48"/>
        <v>1w</v>
      </c>
      <c r="X2524" s="222">
        <f>_xll.qlCalendarAdvance(Calendar,X2523,W2524,"f",FALSE)</f>
        <v>56528</v>
      </c>
      <c r="Y2524" s="227">
        <f>_xll.qlCalendarAdvance(Calendar,X2524,NDays&amp;"D")</f>
        <v>56528</v>
      </c>
      <c r="Z2524" s="228">
        <v>2.8619161455979533E-2</v>
      </c>
      <c r="AA2524" s="230">
        <v>2.8577131829530256E-2</v>
      </c>
    </row>
    <row r="2525" spans="19:27" x14ac:dyDescent="0.2">
      <c r="S2525" s="32"/>
      <c r="T2525" s="187"/>
      <c r="W2525" s="221" t="str">
        <f t="shared" si="48"/>
        <v>1w</v>
      </c>
      <c r="X2525" s="222">
        <f>_xll.qlCalendarAdvance(Calendar,X2524,W2525,"f",FALSE)</f>
        <v>56535</v>
      </c>
      <c r="Y2525" s="227">
        <f>_xll.qlCalendarAdvance(Calendar,X2525,NDays&amp;"D")</f>
        <v>56535</v>
      </c>
      <c r="Z2525" s="228">
        <v>2.8623109464127928E-2</v>
      </c>
      <c r="AA2525" s="230">
        <v>2.8581056442511521E-2</v>
      </c>
    </row>
    <row r="2526" spans="19:27" x14ac:dyDescent="0.2">
      <c r="S2526" s="32"/>
      <c r="T2526" s="187"/>
      <c r="W2526" s="221" t="str">
        <f t="shared" si="48"/>
        <v>1w</v>
      </c>
      <c r="X2526" s="222">
        <f>_xll.qlCalendarAdvance(Calendar,X2525,W2526,"f",FALSE)</f>
        <v>56542</v>
      </c>
      <c r="Y2526" s="227">
        <f>_xll.qlCalendarAdvance(Calendar,X2526,NDays&amp;"D")</f>
        <v>56542</v>
      </c>
      <c r="Z2526" s="228">
        <v>2.8627064083069812E-2</v>
      </c>
      <c r="AA2526" s="230">
        <v>2.8584987649418192E-2</v>
      </c>
    </row>
    <row r="2527" spans="19:27" x14ac:dyDescent="0.2">
      <c r="S2527" s="32"/>
      <c r="T2527" s="187"/>
      <c r="W2527" s="221" t="str">
        <f t="shared" si="48"/>
        <v>1w</v>
      </c>
      <c r="X2527" s="222">
        <f>_xll.qlCalendarAdvance(Calendar,X2526,W2527,"f",FALSE)</f>
        <v>56549</v>
      </c>
      <c r="Y2527" s="227">
        <f>_xll.qlCalendarAdvance(Calendar,X2527,NDays&amp;"D")</f>
        <v>56549</v>
      </c>
      <c r="Z2527" s="228">
        <v>2.8631025312826103E-2</v>
      </c>
      <c r="AA2527" s="230">
        <v>2.8588925450250269E-2</v>
      </c>
    </row>
    <row r="2528" spans="19:27" x14ac:dyDescent="0.2">
      <c r="S2528" s="32"/>
      <c r="T2528" s="187"/>
      <c r="W2528" s="221" t="str">
        <f t="shared" si="48"/>
        <v>1w</v>
      </c>
      <c r="X2528" s="222">
        <f>_xll.qlCalendarAdvance(Calendar,X2527,W2528,"f",FALSE)</f>
        <v>56556</v>
      </c>
      <c r="Y2528" s="227">
        <f>_xll.qlCalendarAdvance(Calendar,X2528,NDays&amp;"D")</f>
        <v>56556</v>
      </c>
      <c r="Z2528" s="228">
        <v>2.8633586898412965E-2</v>
      </c>
      <c r="AA2528" s="230">
        <v>2.859286984525089E-2</v>
      </c>
    </row>
    <row r="2529" spans="19:27" x14ac:dyDescent="0.2">
      <c r="S2529" s="32"/>
      <c r="T2529" s="187"/>
      <c r="W2529" s="221" t="str">
        <f t="shared" si="48"/>
        <v>1w</v>
      </c>
      <c r="X2529" s="222">
        <f>_xll.qlCalendarAdvance(Calendar,X2528,W2529,"f",FALSE)</f>
        <v>56563</v>
      </c>
      <c r="Y2529" s="227">
        <f>_xll.qlCalendarAdvance(Calendar,X2529,NDays&amp;"D")</f>
        <v>56563</v>
      </c>
      <c r="Z2529" s="228">
        <v>2.8637560566206366E-2</v>
      </c>
      <c r="AA2529" s="230">
        <v>2.8596820834176917E-2</v>
      </c>
    </row>
    <row r="2530" spans="19:27" x14ac:dyDescent="0.2">
      <c r="S2530" s="32"/>
      <c r="T2530" s="187"/>
      <c r="W2530" s="221" t="str">
        <f t="shared" si="48"/>
        <v>1w</v>
      </c>
      <c r="X2530" s="222">
        <f>_xll.qlCalendarAdvance(Calendar,X2529,W2530,"f",FALSE)</f>
        <v>56570</v>
      </c>
      <c r="Y2530" s="227">
        <f>_xll.qlCalendarAdvance(Calendar,X2530,NDays&amp;"D")</f>
        <v>56570</v>
      </c>
      <c r="Z2530" s="228">
        <v>2.8641540844258705E-2</v>
      </c>
      <c r="AA2530" s="230">
        <v>2.8600778417109396E-2</v>
      </c>
    </row>
    <row r="2531" spans="19:27" x14ac:dyDescent="0.2">
      <c r="S2531" s="32"/>
      <c r="T2531" s="187"/>
      <c r="W2531" s="221" t="str">
        <f t="shared" si="48"/>
        <v>1w</v>
      </c>
      <c r="X2531" s="222">
        <f>_xll.qlCalendarAdvance(Calendar,X2530,W2531,"f",FALSE)</f>
        <v>56577</v>
      </c>
      <c r="Y2531" s="227">
        <f>_xll.qlCalendarAdvance(Calendar,X2531,NDays&amp;"D")</f>
        <v>56577</v>
      </c>
      <c r="Z2531" s="228">
        <v>2.864552773258348E-2</v>
      </c>
      <c r="AA2531" s="230">
        <v>2.8604742594048327E-2</v>
      </c>
    </row>
    <row r="2532" spans="19:27" x14ac:dyDescent="0.2">
      <c r="S2532" s="32"/>
      <c r="T2532" s="187"/>
      <c r="W2532" s="221" t="str">
        <f t="shared" si="48"/>
        <v>1w</v>
      </c>
      <c r="X2532" s="222">
        <f>_xll.qlCalendarAdvance(Calendar,X2531,W2532,"f",FALSE)</f>
        <v>56584</v>
      </c>
      <c r="Y2532" s="227">
        <f>_xll.qlCalendarAdvance(Calendar,X2532,NDays&amp;"D")</f>
        <v>56584</v>
      </c>
      <c r="Z2532" s="228">
        <v>2.8655159693406419E-2</v>
      </c>
      <c r="AA2532" s="230">
        <v>2.8608713365074756E-2</v>
      </c>
    </row>
    <row r="2533" spans="19:27" x14ac:dyDescent="0.2">
      <c r="S2533" s="32"/>
      <c r="T2533" s="187"/>
      <c r="W2533" s="221" t="str">
        <f t="shared" si="48"/>
        <v>1w</v>
      </c>
      <c r="X2533" s="222">
        <f>_xll.qlCalendarAdvance(Calendar,X2532,W2533,"f",FALSE)</f>
        <v>56591</v>
      </c>
      <c r="Y2533" s="227">
        <f>_xll.qlCalendarAdvance(Calendar,X2533,NDays&amp;"D")</f>
        <v>56591</v>
      </c>
      <c r="Z2533" s="228">
        <v>2.8654931518651963E-2</v>
      </c>
      <c r="AA2533" s="230">
        <v>2.8612690730107637E-2</v>
      </c>
    </row>
    <row r="2534" spans="19:27" x14ac:dyDescent="0.2">
      <c r="S2534" s="32"/>
      <c r="T2534" s="187"/>
      <c r="W2534" s="221" t="str">
        <f t="shared" si="48"/>
        <v>1w</v>
      </c>
      <c r="X2534" s="222">
        <f>_xll.qlCalendarAdvance(Calendar,X2533,W2534,"f",FALSE)</f>
        <v>56598</v>
      </c>
      <c r="Y2534" s="227">
        <f>_xll.qlCalendarAdvance(Calendar,X2534,NDays&amp;"D")</f>
        <v>56598</v>
      </c>
      <c r="Z2534" s="228">
        <v>2.8658939024231965E-2</v>
      </c>
      <c r="AA2534" s="230">
        <v>2.8616674688903831E-2</v>
      </c>
    </row>
    <row r="2535" spans="19:27" x14ac:dyDescent="0.2">
      <c r="S2535" s="32"/>
      <c r="T2535" s="187"/>
      <c r="W2535" s="221" t="str">
        <f t="shared" si="48"/>
        <v>1w</v>
      </c>
      <c r="X2535" s="222">
        <f>_xll.qlCalendarAdvance(Calendar,X2534,W2535,"f",FALSE)</f>
        <v>56605</v>
      </c>
      <c r="Y2535" s="227">
        <f>_xll.qlCalendarAdvance(Calendar,X2535,NDays&amp;"D")</f>
        <v>56605</v>
      </c>
      <c r="Z2535" s="228">
        <v>2.8662953140678658E-2</v>
      </c>
      <c r="AA2535" s="230">
        <v>2.8620665241949617E-2</v>
      </c>
    </row>
    <row r="2536" spans="19:27" x14ac:dyDescent="0.2">
      <c r="S2536" s="32"/>
      <c r="T2536" s="187"/>
      <c r="W2536" s="221" t="str">
        <f t="shared" si="48"/>
        <v>1w</v>
      </c>
      <c r="X2536" s="222">
        <f>_xll.qlCalendarAdvance(Calendar,X2535,W2536,"f",FALSE)</f>
        <v>56612</v>
      </c>
      <c r="Y2536" s="227">
        <f>_xll.qlCalendarAdvance(Calendar,X2536,NDays&amp;"D")</f>
        <v>56612</v>
      </c>
      <c r="Z2536" s="228">
        <v>2.8666973867989429E-2</v>
      </c>
      <c r="AA2536" s="230">
        <v>2.8624662389001854E-2</v>
      </c>
    </row>
    <row r="2537" spans="19:27" x14ac:dyDescent="0.2">
      <c r="S2537" s="32"/>
      <c r="T2537" s="187"/>
      <c r="W2537" s="221" t="str">
        <f t="shared" si="48"/>
        <v>1w</v>
      </c>
      <c r="X2537" s="222">
        <f>_xll.qlCalendarAdvance(Calendar,X2536,W2537,"f",FALSE)</f>
        <v>56619</v>
      </c>
      <c r="Y2537" s="227">
        <f>_xll.qlCalendarAdvance(Calendar,X2537,NDays&amp;"D")</f>
        <v>56619</v>
      </c>
      <c r="Z2537" s="228">
        <v>2.8671001206177351E-2</v>
      </c>
      <c r="AA2537" s="230">
        <v>2.862866612989845E-2</v>
      </c>
    </row>
    <row r="2538" spans="19:27" x14ac:dyDescent="0.2">
      <c r="S2538" s="32"/>
      <c r="T2538" s="187"/>
      <c r="W2538" s="221" t="str">
        <f t="shared" si="48"/>
        <v>1w</v>
      </c>
      <c r="X2538" s="222">
        <f>_xll.qlCalendarAdvance(Calendar,X2537,W2538,"f",FALSE)</f>
        <v>56626</v>
      </c>
      <c r="Y2538" s="227">
        <f>_xll.qlCalendarAdvance(Calendar,X2538,NDays&amp;"D")</f>
        <v>56626</v>
      </c>
      <c r="Z2538" s="228">
        <v>2.8675035155242421E-2</v>
      </c>
      <c r="AA2538" s="230">
        <v>2.8632676464963591E-2</v>
      </c>
    </row>
    <row r="2539" spans="19:27" x14ac:dyDescent="0.2">
      <c r="S2539" s="32"/>
      <c r="T2539" s="187"/>
      <c r="W2539" s="221" t="str">
        <f t="shared" si="48"/>
        <v>1w</v>
      </c>
      <c r="X2539" s="222">
        <f>_xll.qlCalendarAdvance(Calendar,X2538,W2539,"f",FALSE)</f>
        <v>56633</v>
      </c>
      <c r="Y2539" s="227">
        <f>_xll.qlCalendarAdvance(Calendar,X2539,NDays&amp;"D")</f>
        <v>56633</v>
      </c>
      <c r="Z2539" s="228">
        <v>2.8679075715192487E-2</v>
      </c>
      <c r="AA2539" s="230">
        <v>2.8636693394035184E-2</v>
      </c>
    </row>
    <row r="2540" spans="19:27" x14ac:dyDescent="0.2">
      <c r="S2540" s="32"/>
      <c r="T2540" s="187"/>
      <c r="W2540" s="221" t="str">
        <f t="shared" si="48"/>
        <v>1w</v>
      </c>
      <c r="X2540" s="222">
        <f>_xll.qlCalendarAdvance(Calendar,X2539,W2540,"f",FALSE)</f>
        <v>56640</v>
      </c>
      <c r="Y2540" s="227">
        <f>_xll.qlCalendarAdvance(Calendar,X2540,NDays&amp;"D")</f>
        <v>56640</v>
      </c>
      <c r="Z2540" s="228">
        <v>2.8683122886038005E-2</v>
      </c>
      <c r="AA2540" s="230">
        <v>2.8640716917032183E-2</v>
      </c>
    </row>
    <row r="2541" spans="19:27" x14ac:dyDescent="0.2">
      <c r="S2541" s="32"/>
      <c r="T2541" s="187"/>
      <c r="W2541" s="221" t="str">
        <f t="shared" si="48"/>
        <v>1w</v>
      </c>
      <c r="X2541" s="222">
        <f>_xll.qlCalendarAdvance(Calendar,X2540,W2541,"f",FALSE)</f>
        <v>56647</v>
      </c>
      <c r="Y2541" s="227">
        <f>_xll.qlCalendarAdvance(Calendar,X2541,NDays&amp;"D")</f>
        <v>56647</v>
      </c>
      <c r="Z2541" s="228">
        <v>2.8682927659330098E-2</v>
      </c>
      <c r="AA2541" s="230">
        <v>2.8644747033954587E-2</v>
      </c>
    </row>
    <row r="2542" spans="19:27" x14ac:dyDescent="0.2">
      <c r="S2542" s="32"/>
      <c r="T2542" s="187"/>
      <c r="W2542" s="221" t="str">
        <f t="shared" si="48"/>
        <v>1w</v>
      </c>
      <c r="X2542" s="222">
        <f>_xll.qlCalendarAdvance(Calendar,X2541,W2542,"f",FALSE)</f>
        <v>56654</v>
      </c>
      <c r="Y2542" s="227">
        <f>_xll.qlCalendarAdvance(Calendar,X2542,NDays&amp;"D")</f>
        <v>56654</v>
      </c>
      <c r="Z2542" s="228">
        <v>2.8686985679552055E-2</v>
      </c>
      <c r="AA2542" s="230">
        <v>2.864878374496449E-2</v>
      </c>
    </row>
    <row r="2543" spans="19:27" x14ac:dyDescent="0.2">
      <c r="S2543" s="32"/>
      <c r="T2543" s="187"/>
      <c r="W2543" s="221" t="str">
        <f t="shared" si="48"/>
        <v>1w</v>
      </c>
      <c r="X2543" s="222">
        <f>_xll.qlCalendarAdvance(Calendar,X2542,W2543,"f",FALSE)</f>
        <v>56661</v>
      </c>
      <c r="Y2543" s="227">
        <f>_xll.qlCalendarAdvance(Calendar,X2543,NDays&amp;"D")</f>
        <v>56661</v>
      </c>
      <c r="Z2543" s="228">
        <v>2.8691050308994007E-2</v>
      </c>
      <c r="AA2543" s="230">
        <v>2.8652827050142937E-2</v>
      </c>
    </row>
    <row r="2544" spans="19:27" x14ac:dyDescent="0.2">
      <c r="S2544" s="32"/>
      <c r="T2544" s="187"/>
      <c r="W2544" s="221" t="str">
        <f t="shared" si="48"/>
        <v>1w</v>
      </c>
      <c r="X2544" s="222">
        <f>_xll.qlCalendarAdvance(Calendar,X2543,W2544,"f",FALSE)</f>
        <v>56668</v>
      </c>
      <c r="Y2544" s="227">
        <f>_xll.qlCalendarAdvance(Calendar,X2544,NDays&amp;"D")</f>
        <v>56668</v>
      </c>
      <c r="Z2544" s="228">
        <v>2.869512154766464E-2</v>
      </c>
      <c r="AA2544" s="230">
        <v>2.8656876949327836E-2</v>
      </c>
    </row>
    <row r="2545" spans="19:27" x14ac:dyDescent="0.2">
      <c r="S2545" s="32"/>
      <c r="T2545" s="187"/>
      <c r="W2545" s="221" t="str">
        <f t="shared" si="48"/>
        <v>1w</v>
      </c>
      <c r="X2545" s="222">
        <f>_xll.qlCalendarAdvance(Calendar,X2544,W2545,"f",FALSE)</f>
        <v>56675</v>
      </c>
      <c r="Y2545" s="227">
        <f>_xll.qlCalendarAdvance(Calendar,X2545,NDays&amp;"D")</f>
        <v>56675</v>
      </c>
      <c r="Z2545" s="228">
        <v>2.8703457903914351E-2</v>
      </c>
      <c r="AA2545" s="230">
        <v>2.8660933442276049E-2</v>
      </c>
    </row>
    <row r="2546" spans="19:27" x14ac:dyDescent="0.2">
      <c r="S2546" s="32"/>
      <c r="T2546" s="187"/>
      <c r="W2546" s="221" t="str">
        <f t="shared" si="48"/>
        <v>1w</v>
      </c>
      <c r="X2546" s="222">
        <f>_xll.qlCalendarAdvance(Calendar,X2545,W2546,"f",FALSE)</f>
        <v>56682</v>
      </c>
      <c r="Y2546" s="227">
        <f>_xll.qlCalendarAdvance(Calendar,X2546,NDays&amp;"D")</f>
        <v>56682</v>
      </c>
      <c r="Z2546" s="228">
        <v>2.8707544740263293E-2</v>
      </c>
      <c r="AA2546" s="230">
        <v>2.8664996529473852E-2</v>
      </c>
    </row>
    <row r="2547" spans="19:27" x14ac:dyDescent="0.2">
      <c r="S2547" s="32"/>
      <c r="T2547" s="187"/>
      <c r="W2547" s="221" t="str">
        <f t="shared" si="48"/>
        <v>1w</v>
      </c>
      <c r="X2547" s="222">
        <f>_xll.qlCalendarAdvance(Calendar,X2546,W2547,"f",FALSE)</f>
        <v>56689</v>
      </c>
      <c r="Y2547" s="227">
        <f>_xll.qlCalendarAdvance(Calendar,X2547,NDays&amp;"D")</f>
        <v>56689</v>
      </c>
      <c r="Z2547" s="228">
        <v>2.8717324647249094E-2</v>
      </c>
      <c r="AA2547" s="230">
        <v>2.8669066210516014E-2</v>
      </c>
    </row>
    <row r="2548" spans="19:27" x14ac:dyDescent="0.2">
      <c r="S2548" s="32"/>
      <c r="T2548" s="187"/>
      <c r="W2548" s="221" t="str">
        <f t="shared" si="48"/>
        <v>1w</v>
      </c>
      <c r="X2548" s="222">
        <f>_xll.qlCalendarAdvance(Calendar,X2547,W2548,"f",FALSE)</f>
        <v>56696</v>
      </c>
      <c r="Y2548" s="227">
        <f>_xll.qlCalendarAdvance(Calendar,X2548,NDays&amp;"D")</f>
        <v>56696</v>
      </c>
      <c r="Z2548" s="228">
        <v>2.871573824579917E-2</v>
      </c>
      <c r="AA2548" s="230">
        <v>2.8673142485726721E-2</v>
      </c>
    </row>
    <row r="2549" spans="19:27" x14ac:dyDescent="0.2">
      <c r="S2549" s="32"/>
      <c r="T2549" s="187"/>
      <c r="W2549" s="221" t="str">
        <f t="shared" si="48"/>
        <v>1w</v>
      </c>
      <c r="X2549" s="222">
        <f>_xll.qlCalendarAdvance(Calendar,X2548,W2549,"f",FALSE)</f>
        <v>56703</v>
      </c>
      <c r="Y2549" s="227">
        <f>_xll.qlCalendarAdvance(Calendar,X2549,NDays&amp;"D")</f>
        <v>56703</v>
      </c>
      <c r="Z2549" s="228">
        <v>2.8719844914996559E-2</v>
      </c>
      <c r="AA2549" s="230">
        <v>2.8677225354700742E-2</v>
      </c>
    </row>
    <row r="2550" spans="19:27" x14ac:dyDescent="0.2">
      <c r="S2550" s="32"/>
      <c r="T2550" s="187"/>
      <c r="W2550" s="221" t="str">
        <f t="shared" si="48"/>
        <v>1w</v>
      </c>
      <c r="X2550" s="222">
        <f>_xll.qlCalendarAdvance(Calendar,X2549,W2550,"f",FALSE)</f>
        <v>56710</v>
      </c>
      <c r="Y2550" s="227">
        <f>_xll.qlCalendarAdvance(Calendar,X2550,NDays&amp;"D")</f>
        <v>56710</v>
      </c>
      <c r="Z2550" s="228">
        <v>2.8722534570962965E-2</v>
      </c>
      <c r="AA2550" s="230">
        <v>2.8681314818005399E-2</v>
      </c>
    </row>
    <row r="2551" spans="19:27" x14ac:dyDescent="0.2">
      <c r="S2551" s="32"/>
      <c r="T2551" s="187"/>
      <c r="W2551" s="221" t="str">
        <f t="shared" si="48"/>
        <v>1w</v>
      </c>
      <c r="X2551" s="222">
        <f>_xll.qlCalendarAdvance(Calendar,X2550,W2551,"f",FALSE)</f>
        <v>56717</v>
      </c>
      <c r="Y2551" s="227">
        <f>_xll.qlCalendarAdvance(Calendar,X2551,NDays&amp;"D")</f>
        <v>56717</v>
      </c>
      <c r="Z2551" s="228">
        <v>2.8726653666084623E-2</v>
      </c>
      <c r="AA2551" s="230">
        <v>2.8685410875154416E-2</v>
      </c>
    </row>
    <row r="2552" spans="19:27" x14ac:dyDescent="0.2">
      <c r="S2552" s="32"/>
      <c r="T2552" s="187"/>
      <c r="W2552" s="221" t="str">
        <f t="shared" si="48"/>
        <v>1w</v>
      </c>
      <c r="X2552" s="222">
        <f>_xll.qlCalendarAdvance(Calendar,X2551,W2552,"f",FALSE)</f>
        <v>56724</v>
      </c>
      <c r="Y2552" s="227">
        <f>_xll.qlCalendarAdvance(Calendar,X2552,NDays&amp;"D")</f>
        <v>56724</v>
      </c>
      <c r="Z2552" s="228">
        <v>2.8730779371616499E-2</v>
      </c>
      <c r="AA2552" s="230">
        <v>2.8689513526228838E-2</v>
      </c>
    </row>
    <row r="2553" spans="19:27" x14ac:dyDescent="0.2">
      <c r="S2553" s="32"/>
      <c r="T2553" s="187"/>
      <c r="W2553" s="221" t="str">
        <f t="shared" si="48"/>
        <v>1w</v>
      </c>
      <c r="X2553" s="222">
        <f>_xll.qlCalendarAdvance(Calendar,X2552,W2553,"f",FALSE)</f>
        <v>56731</v>
      </c>
      <c r="Y2553" s="227">
        <f>_xll.qlCalendarAdvance(Calendar,X2553,NDays&amp;"D")</f>
        <v>56731</v>
      </c>
      <c r="Z2553" s="228">
        <v>2.8734911687564001E-2</v>
      </c>
      <c r="AA2553" s="230">
        <v>2.8693622771309713E-2</v>
      </c>
    </row>
    <row r="2554" spans="19:27" x14ac:dyDescent="0.2">
      <c r="S2554" s="32"/>
      <c r="T2554" s="187"/>
      <c r="W2554" s="221" t="str">
        <f t="shared" si="48"/>
        <v>1w</v>
      </c>
      <c r="X2554" s="222">
        <f>_xll.qlCalendarAdvance(Calendar,X2553,W2554,"f",FALSE)</f>
        <v>56738</v>
      </c>
      <c r="Y2554" s="227">
        <f>_xll.qlCalendarAdvance(Calendar,X2554,NDays&amp;"D")</f>
        <v>56738</v>
      </c>
      <c r="Z2554" s="228">
        <v>2.8740477425557763E-2</v>
      </c>
      <c r="AA2554" s="230">
        <v>2.8697738610721224E-2</v>
      </c>
    </row>
    <row r="2555" spans="19:27" x14ac:dyDescent="0.2">
      <c r="S2555" s="32"/>
      <c r="T2555" s="187"/>
      <c r="W2555" s="221" t="str">
        <f t="shared" si="48"/>
        <v>1w</v>
      </c>
      <c r="X2555" s="222">
        <f>_xll.qlCalendarAdvance(Calendar,X2554,W2555,"f",FALSE)</f>
        <v>56745</v>
      </c>
      <c r="Y2555" s="227">
        <f>_xll.qlCalendarAdvance(Calendar,X2555,NDays&amp;"D")</f>
        <v>56745</v>
      </c>
      <c r="Z2555" s="228">
        <v>2.8744623760632439E-2</v>
      </c>
      <c r="AA2555" s="230">
        <v>2.8701861043815002E-2</v>
      </c>
    </row>
    <row r="2556" spans="19:27" x14ac:dyDescent="0.2">
      <c r="S2556" s="32"/>
      <c r="T2556" s="187"/>
      <c r="W2556" s="221" t="str">
        <f t="shared" si="48"/>
        <v>1w</v>
      </c>
      <c r="X2556" s="222">
        <f>_xll.qlCalendarAdvance(Calendar,X2555,W2556,"f",FALSE)</f>
        <v>56752</v>
      </c>
      <c r="Y2556" s="227">
        <f>_xll.qlCalendarAdvance(Calendar,X2556,NDays&amp;"D")</f>
        <v>56752</v>
      </c>
      <c r="Z2556" s="228">
        <v>2.8748776706712369E-2</v>
      </c>
      <c r="AA2556" s="230">
        <v>2.8705990070996279E-2</v>
      </c>
    </row>
    <row r="2557" spans="19:27" x14ac:dyDescent="0.2">
      <c r="S2557" s="32"/>
      <c r="T2557" s="187"/>
      <c r="W2557" s="221" t="str">
        <f t="shared" si="48"/>
        <v>1w</v>
      </c>
      <c r="X2557" s="222">
        <f>_xll.qlCalendarAdvance(Calendar,X2556,W2557,"f",FALSE)</f>
        <v>56759</v>
      </c>
      <c r="Y2557" s="227">
        <f>_xll.qlCalendarAdvance(Calendar,X2557,NDays&amp;"D")</f>
        <v>56759</v>
      </c>
      <c r="Z2557" s="228">
        <v>2.8752936263800169E-2</v>
      </c>
      <c r="AA2557" s="230">
        <v>2.87101256923461E-2</v>
      </c>
    </row>
    <row r="2558" spans="19:27" x14ac:dyDescent="0.2">
      <c r="S2558" s="32"/>
      <c r="T2558" s="187"/>
      <c r="W2558" s="221" t="str">
        <f t="shared" si="48"/>
        <v>1w</v>
      </c>
      <c r="X2558" s="222">
        <f>_xll.qlCalendarAdvance(Calendar,X2557,W2558,"f",FALSE)</f>
        <v>56766</v>
      </c>
      <c r="Y2558" s="227">
        <f>_xll.qlCalendarAdvance(Calendar,X2558,NDays&amp;"D")</f>
        <v>56766</v>
      </c>
      <c r="Z2558" s="228">
        <v>2.8755672423792476E-2</v>
      </c>
      <c r="AA2558" s="230">
        <v>2.8714267907621327E-2</v>
      </c>
    </row>
    <row r="2559" spans="19:27" x14ac:dyDescent="0.2">
      <c r="S2559" s="32"/>
      <c r="T2559" s="187"/>
      <c r="W2559" s="221" t="str">
        <f t="shared" si="48"/>
        <v>1w</v>
      </c>
      <c r="X2559" s="222">
        <f>_xll.qlCalendarAdvance(Calendar,X2558,W2559,"f",FALSE)</f>
        <v>56773</v>
      </c>
      <c r="Y2559" s="227">
        <f>_xll.qlCalendarAdvance(Calendar,X2559,NDays&amp;"D")</f>
        <v>56773</v>
      </c>
      <c r="Z2559" s="228">
        <v>2.8759844402376888E-2</v>
      </c>
      <c r="AA2559" s="230">
        <v>2.8718416716740913E-2</v>
      </c>
    </row>
    <row r="2560" spans="19:27" x14ac:dyDescent="0.2">
      <c r="S2560" s="32"/>
      <c r="T2560" s="187"/>
      <c r="W2560" s="221" t="str">
        <f t="shared" si="48"/>
        <v>1w</v>
      </c>
      <c r="X2560" s="222">
        <f>_xll.qlCalendarAdvance(Calendar,X2559,W2560,"f",FALSE)</f>
        <v>56780</v>
      </c>
      <c r="Y2560" s="227">
        <f>_xll.qlCalendarAdvance(Calendar,X2560,NDays&amp;"D")</f>
        <v>56780</v>
      </c>
      <c r="Z2560" s="228">
        <v>2.8764022991425553E-2</v>
      </c>
      <c r="AA2560" s="230">
        <v>2.8722572120029044E-2</v>
      </c>
    </row>
    <row r="2561" spans="19:27" x14ac:dyDescent="0.2">
      <c r="S2561" s="32"/>
      <c r="T2561" s="187"/>
      <c r="W2561" s="221" t="str">
        <f t="shared" si="48"/>
        <v>1w</v>
      </c>
      <c r="X2561" s="222">
        <f>_xll.qlCalendarAdvance(Calendar,X2560,W2561,"f",FALSE)</f>
        <v>56787</v>
      </c>
      <c r="Y2561" s="227">
        <f>_xll.qlCalendarAdvance(Calendar,X2561,NDays&amp;"D")</f>
        <v>56787</v>
      </c>
      <c r="Z2561" s="228">
        <v>2.8768208190951976E-2</v>
      </c>
      <c r="AA2561" s="230">
        <v>2.8726734117323627E-2</v>
      </c>
    </row>
    <row r="2562" spans="19:27" x14ac:dyDescent="0.2">
      <c r="S2562" s="32"/>
      <c r="T2562" s="187"/>
      <c r="W2562" s="221" t="str">
        <f t="shared" si="48"/>
        <v>1w</v>
      </c>
      <c r="X2562" s="222">
        <f>_xll.qlCalendarAdvance(Calendar,X2561,W2562,"f",FALSE)</f>
        <v>56794</v>
      </c>
      <c r="Y2562" s="227">
        <f>_xll.qlCalendarAdvance(Calendar,X2562,NDays&amp;"D")</f>
        <v>56794</v>
      </c>
      <c r="Z2562" s="228">
        <v>2.8772400000950753E-2</v>
      </c>
      <c r="AA2562" s="230">
        <v>2.8730902708705708E-2</v>
      </c>
    </row>
    <row r="2563" spans="19:27" x14ac:dyDescent="0.2">
      <c r="S2563" s="32"/>
      <c r="T2563" s="187"/>
      <c r="W2563" s="221" t="str">
        <f t="shared" si="48"/>
        <v>1w</v>
      </c>
      <c r="X2563" s="222">
        <f>_xll.qlCalendarAdvance(Calendar,X2562,W2563,"f",FALSE)</f>
        <v>56801</v>
      </c>
      <c r="Y2563" s="227">
        <f>_xll.qlCalendarAdvance(Calendar,X2563,NDays&amp;"D")</f>
        <v>56801</v>
      </c>
      <c r="Z2563" s="228">
        <v>2.8778032437965454E-2</v>
      </c>
      <c r="AA2563" s="230">
        <v>2.8735077893932148E-2</v>
      </c>
    </row>
    <row r="2564" spans="19:27" x14ac:dyDescent="0.2">
      <c r="S2564" s="32"/>
      <c r="T2564" s="187"/>
      <c r="W2564" s="221" t="str">
        <f t="shared" si="48"/>
        <v>1w</v>
      </c>
      <c r="X2564" s="222">
        <f>_xll.qlCalendarAdvance(Calendar,X2563,W2564,"f",FALSE)</f>
        <v>56808</v>
      </c>
      <c r="Y2564" s="227">
        <f>_xll.qlCalendarAdvance(Calendar,X2564,NDays&amp;"D")</f>
        <v>56808</v>
      </c>
      <c r="Z2564" s="228">
        <v>2.8782238272327954E-2</v>
      </c>
      <c r="AA2564" s="230">
        <v>2.8739259673327133E-2</v>
      </c>
    </row>
    <row r="2565" spans="19:27" x14ac:dyDescent="0.2">
      <c r="S2565" s="32"/>
      <c r="T2565" s="187"/>
      <c r="W2565" s="221" t="str">
        <f t="shared" si="48"/>
        <v>1w</v>
      </c>
      <c r="X2565" s="222">
        <f>_xll.qlCalendarAdvance(Calendar,X2564,W2565,"f",FALSE)</f>
        <v>56815</v>
      </c>
      <c r="Y2565" s="227">
        <f>_xll.qlCalendarAdvance(Calendar,X2565,NDays&amp;"D")</f>
        <v>56815</v>
      </c>
      <c r="Z2565" s="228">
        <v>2.8786450717758455E-2</v>
      </c>
      <c r="AA2565" s="230">
        <v>2.874344804672857E-2</v>
      </c>
    </row>
    <row r="2566" spans="19:27" x14ac:dyDescent="0.2">
      <c r="S2566" s="32"/>
      <c r="T2566" s="187"/>
      <c r="W2566" s="221" t="str">
        <f t="shared" si="48"/>
        <v>1w</v>
      </c>
      <c r="X2566" s="222">
        <f>_xll.qlCalendarAdvance(Calendar,X2565,W2566,"f",FALSE)</f>
        <v>56822</v>
      </c>
      <c r="Y2566" s="227">
        <f>_xll.qlCalendarAdvance(Calendar,X2566,NDays&amp;"D")</f>
        <v>56822</v>
      </c>
      <c r="Z2566" s="228">
        <v>2.879066977426219E-2</v>
      </c>
      <c r="AA2566" s="230">
        <v>2.8747643014217505E-2</v>
      </c>
    </row>
    <row r="2567" spans="19:27" x14ac:dyDescent="0.2">
      <c r="S2567" s="32"/>
      <c r="T2567" s="187"/>
      <c r="W2567" s="221" t="str">
        <f t="shared" si="48"/>
        <v>1w</v>
      </c>
      <c r="X2567" s="222">
        <f>_xll.qlCalendarAdvance(Calendar,X2566,W2567,"f",FALSE)</f>
        <v>56829</v>
      </c>
      <c r="Y2567" s="227">
        <f>_xll.qlCalendarAdvance(Calendar,X2567,NDays&amp;"D")</f>
        <v>56829</v>
      </c>
      <c r="Z2567" s="228">
        <v>2.8794895441846994E-2</v>
      </c>
      <c r="AA2567" s="230">
        <v>2.8751844575388708E-2</v>
      </c>
    </row>
    <row r="2568" spans="19:27" x14ac:dyDescent="0.2">
      <c r="S2568" s="32"/>
      <c r="T2568" s="187"/>
      <c r="W2568" s="221" t="str">
        <f t="shared" si="48"/>
        <v>1w</v>
      </c>
      <c r="X2568" s="222">
        <f>_xll.qlCalendarAdvance(Calendar,X2567,W2568,"f",FALSE)</f>
        <v>56836</v>
      </c>
      <c r="Y2568" s="227">
        <f>_xll.qlCalendarAdvance(Calendar,X2568,NDays&amp;"D")</f>
        <v>56836</v>
      </c>
      <c r="Z2568" s="228">
        <v>2.8799127720520717E-2</v>
      </c>
      <c r="AA2568" s="230">
        <v>2.87560527308095E-2</v>
      </c>
    </row>
    <row r="2569" spans="19:27" x14ac:dyDescent="0.2">
      <c r="S2569" s="32"/>
      <c r="T2569" s="187"/>
      <c r="W2569" s="221" t="str">
        <f t="shared" si="48"/>
        <v>1w</v>
      </c>
      <c r="X2569" s="222">
        <f>_xll.qlCalendarAdvance(Calendar,X2568,W2569,"f",FALSE)</f>
        <v>56843</v>
      </c>
      <c r="Y2569" s="227">
        <f>_xll.qlCalendarAdvance(Calendar,X2569,NDays&amp;"D")</f>
        <v>56843</v>
      </c>
      <c r="Z2569" s="228">
        <v>2.8803366610288584E-2</v>
      </c>
      <c r="AA2569" s="230">
        <v>2.8760267480236745E-2</v>
      </c>
    </row>
    <row r="2570" spans="19:27" x14ac:dyDescent="0.2">
      <c r="S2570" s="32"/>
      <c r="T2570" s="187"/>
      <c r="W2570" s="221" t="str">
        <f t="shared" si="48"/>
        <v>1w</v>
      </c>
      <c r="X2570" s="222">
        <f>_xll.qlCalendarAdvance(Calendar,X2569,W2570,"f",FALSE)</f>
        <v>56850</v>
      </c>
      <c r="Y2570" s="227">
        <f>_xll.qlCalendarAdvance(Calendar,X2570,NDays&amp;"D")</f>
        <v>56850</v>
      </c>
      <c r="Z2570" s="228">
        <v>2.880761211115844E-2</v>
      </c>
      <c r="AA2570" s="230">
        <v>2.8764488823670442E-2</v>
      </c>
    </row>
    <row r="2571" spans="19:27" x14ac:dyDescent="0.2">
      <c r="S2571" s="32"/>
      <c r="T2571" s="187"/>
      <c r="W2571" s="221" t="str">
        <f t="shared" si="48"/>
        <v>1w</v>
      </c>
      <c r="X2571" s="222">
        <f>_xll.qlCalendarAdvance(Calendar,X2570,W2571,"f",FALSE)</f>
        <v>56857</v>
      </c>
      <c r="Y2571" s="227">
        <f>_xll.qlCalendarAdvance(Calendar,X2571,NDays&amp;"D")</f>
        <v>56857</v>
      </c>
      <c r="Z2571" s="228">
        <v>2.8810423763535674E-2</v>
      </c>
      <c r="AA2571" s="230">
        <v>2.8768716761110591E-2</v>
      </c>
    </row>
    <row r="2572" spans="19:27" x14ac:dyDescent="0.2">
      <c r="S2572" s="32"/>
      <c r="T2572" s="187"/>
      <c r="W2572" s="221" t="str">
        <f t="shared" si="48"/>
        <v>1w</v>
      </c>
      <c r="X2572" s="222">
        <f>_xll.qlCalendarAdvance(Calendar,X2571,W2572,"f",FALSE)</f>
        <v>56864</v>
      </c>
      <c r="Y2572" s="227">
        <f>_xll.qlCalendarAdvance(Calendar,X2572,NDays&amp;"D")</f>
        <v>56864</v>
      </c>
      <c r="Z2572" s="228">
        <v>2.881468167868214E-2</v>
      </c>
      <c r="AA2572" s="230">
        <v>2.8772951292638238E-2</v>
      </c>
    </row>
    <row r="2573" spans="19:27" x14ac:dyDescent="0.2">
      <c r="S2573" s="32"/>
      <c r="T2573" s="187"/>
      <c r="W2573" s="221" t="str">
        <f t="shared" si="48"/>
        <v>1w</v>
      </c>
      <c r="X2573" s="222">
        <f>_xll.qlCalendarAdvance(Calendar,X2572,W2573,"f",FALSE)</f>
        <v>56871</v>
      </c>
      <c r="Y2573" s="227">
        <f>_xll.qlCalendarAdvance(Calendar,X2573,NDays&amp;"D")</f>
        <v>56871</v>
      </c>
      <c r="Z2573" s="228">
        <v>2.8818946204382006E-2</v>
      </c>
      <c r="AA2573" s="230">
        <v>2.8777192418091291E-2</v>
      </c>
    </row>
    <row r="2574" spans="19:27" x14ac:dyDescent="0.2">
      <c r="S2574" s="32"/>
      <c r="T2574" s="187"/>
      <c r="W2574" s="221" t="str">
        <f t="shared" si="48"/>
        <v>1w</v>
      </c>
      <c r="X2574" s="222">
        <f>_xll.qlCalendarAdvance(Calendar,X2573,W2574,"f",FALSE)</f>
        <v>56878</v>
      </c>
      <c r="Y2574" s="227">
        <f>_xll.qlCalendarAdvance(Calendar,X2574,NDays&amp;"D")</f>
        <v>56878</v>
      </c>
      <c r="Z2574" s="228">
        <v>2.8823217340640677E-2</v>
      </c>
      <c r="AA2574" s="230">
        <v>2.8781440137631842E-2</v>
      </c>
    </row>
    <row r="2575" spans="19:27" x14ac:dyDescent="0.2">
      <c r="S2575" s="32"/>
      <c r="T2575" s="187"/>
      <c r="W2575" s="221" t="str">
        <f t="shared" si="48"/>
        <v>1w</v>
      </c>
      <c r="X2575" s="222">
        <f>_xll.qlCalendarAdvance(Calendar,X2574,W2575,"f",FALSE)</f>
        <v>56885</v>
      </c>
      <c r="Y2575" s="227">
        <f>_xll.qlCalendarAdvance(Calendar,X2575,NDays&amp;"D")</f>
        <v>56885</v>
      </c>
      <c r="Z2575" s="228">
        <v>2.8827495087460853E-2</v>
      </c>
      <c r="AA2575" s="230">
        <v>2.8785694451016752E-2</v>
      </c>
    </row>
    <row r="2576" spans="19:27" x14ac:dyDescent="0.2">
      <c r="S2576" s="32"/>
      <c r="T2576" s="187"/>
      <c r="W2576" s="221" t="str">
        <f t="shared" si="48"/>
        <v>1w</v>
      </c>
      <c r="X2576" s="222">
        <f>_xll.qlCalendarAdvance(Calendar,X2575,W2576,"f",FALSE)</f>
        <v>56892</v>
      </c>
      <c r="Y2576" s="227">
        <f>_xll.qlCalendarAdvance(Calendar,X2576,NDays&amp;"D")</f>
        <v>56892</v>
      </c>
      <c r="Z2576" s="228">
        <v>2.8833223949948094E-2</v>
      </c>
      <c r="AA2576" s="230">
        <v>2.8789955358651254E-2</v>
      </c>
    </row>
    <row r="2577" spans="19:27" x14ac:dyDescent="0.2">
      <c r="S2577" s="32"/>
      <c r="T2577" s="187"/>
      <c r="W2577" s="221" t="str">
        <f t="shared" si="48"/>
        <v>1w</v>
      </c>
      <c r="X2577" s="222">
        <f>_xll.qlCalendarAdvance(Calendar,X2576,W2577,"f",FALSE)</f>
        <v>56899</v>
      </c>
      <c r="Y2577" s="227">
        <f>_xll.qlCalendarAdvance(Calendar,X2577,NDays&amp;"D")</f>
        <v>56899</v>
      </c>
      <c r="Z2577" s="228">
        <v>2.8837515728738404E-2</v>
      </c>
      <c r="AA2577" s="230">
        <v>2.8794222860292207E-2</v>
      </c>
    </row>
    <row r="2578" spans="19:27" x14ac:dyDescent="0.2">
      <c r="S2578" s="32"/>
      <c r="T2578" s="187"/>
      <c r="W2578" s="221" t="str">
        <f t="shared" si="48"/>
        <v>1w</v>
      </c>
      <c r="X2578" s="222">
        <f>_xll.qlCalendarAdvance(Calendar,X2577,W2578,"f",FALSE)</f>
        <v>56906</v>
      </c>
      <c r="Y2578" s="227">
        <f>_xll.qlCalendarAdvance(Calendar,X2578,NDays&amp;"D")</f>
        <v>56906</v>
      </c>
      <c r="Z2578" s="228">
        <v>2.8841814118688223E-2</v>
      </c>
      <c r="AA2578" s="230">
        <v>2.8798496955696473E-2</v>
      </c>
    </row>
    <row r="2579" spans="19:27" x14ac:dyDescent="0.2">
      <c r="S2579" s="32"/>
      <c r="T2579" s="187"/>
      <c r="W2579" s="221" t="str">
        <f t="shared" si="48"/>
        <v>1w</v>
      </c>
      <c r="X2579" s="222">
        <f>_xll.qlCalendarAdvance(Calendar,X2578,W2579,"f",FALSE)</f>
        <v>56913</v>
      </c>
      <c r="Y2579" s="227">
        <f>_xll.qlCalendarAdvance(Calendar,X2579,NDays&amp;"D")</f>
        <v>56913</v>
      </c>
      <c r="Z2579" s="228">
        <v>2.8846119119808004E-2</v>
      </c>
      <c r="AA2579" s="230">
        <v>2.8802777645431377E-2</v>
      </c>
    </row>
    <row r="2580" spans="19:27" x14ac:dyDescent="0.2">
      <c r="S2580" s="32"/>
      <c r="T2580" s="187"/>
      <c r="W2580" s="221" t="str">
        <f t="shared" si="48"/>
        <v>1w</v>
      </c>
      <c r="X2580" s="222">
        <f>_xll.qlCalendarAdvance(Calendar,X2579,W2580,"f",FALSE)</f>
        <v>56920</v>
      </c>
      <c r="Y2580" s="227">
        <f>_xll.qlCalendarAdvance(Calendar,X2580,NDays&amp;"D")</f>
        <v>56920</v>
      </c>
      <c r="Z2580" s="228">
        <v>2.8848982980335523E-2</v>
      </c>
      <c r="AA2580" s="230">
        <v>2.880706492901064E-2</v>
      </c>
    </row>
    <row r="2581" spans="19:27" x14ac:dyDescent="0.2">
      <c r="S2581" s="32"/>
      <c r="T2581" s="187"/>
      <c r="W2581" s="221" t="str">
        <f t="shared" ref="W2581:W2644" si="49">W2580</f>
        <v>1w</v>
      </c>
      <c r="X2581" s="222">
        <f>_xll.qlCalendarAdvance(Calendar,X2580,W2581,"f",FALSE)</f>
        <v>56927</v>
      </c>
      <c r="Y2581" s="227">
        <f>_xll.qlCalendarAdvance(Calendar,X2581,NDays&amp;"D")</f>
        <v>56927</v>
      </c>
      <c r="Z2581" s="228">
        <v>2.8853300390700332E-2</v>
      </c>
      <c r="AA2581" s="230">
        <v>2.8811358806515308E-2</v>
      </c>
    </row>
    <row r="2582" spans="19:27" x14ac:dyDescent="0.2">
      <c r="S2582" s="32"/>
      <c r="T2582" s="187"/>
      <c r="W2582" s="221" t="str">
        <f t="shared" si="49"/>
        <v>1w</v>
      </c>
      <c r="X2582" s="222">
        <f>_xll.qlCalendarAdvance(Calendar,X2581,W2582,"f",FALSE)</f>
        <v>56934</v>
      </c>
      <c r="Y2582" s="227">
        <f>_xll.qlCalendarAdvance(Calendar,X2582,NDays&amp;"D")</f>
        <v>56934</v>
      </c>
      <c r="Z2582" s="228">
        <v>2.8857624411686083E-2</v>
      </c>
      <c r="AA2582" s="230">
        <v>2.8815659278188521E-2</v>
      </c>
    </row>
    <row r="2583" spans="19:27" x14ac:dyDescent="0.2">
      <c r="S2583" s="32"/>
      <c r="T2583" s="187"/>
      <c r="W2583" s="221" t="str">
        <f t="shared" si="49"/>
        <v>1w</v>
      </c>
      <c r="X2583" s="222">
        <f>_xll.qlCalendarAdvance(Calendar,X2582,W2583,"f",FALSE)</f>
        <v>56941</v>
      </c>
      <c r="Y2583" s="227">
        <f>_xll.qlCalendarAdvance(Calendar,X2583,NDays&amp;"D")</f>
        <v>56941</v>
      </c>
      <c r="Z2583" s="228">
        <v>2.8861955043295473E-2</v>
      </c>
      <c r="AA2583" s="230">
        <v>2.8819966343868186E-2</v>
      </c>
    </row>
    <row r="2584" spans="19:27" x14ac:dyDescent="0.2">
      <c r="S2584" s="32"/>
      <c r="T2584" s="187"/>
      <c r="W2584" s="221" t="str">
        <f t="shared" si="49"/>
        <v>1w</v>
      </c>
      <c r="X2584" s="222">
        <f>_xll.qlCalendarAdvance(Calendar,X2583,W2584,"f",FALSE)</f>
        <v>56948</v>
      </c>
      <c r="Y2584" s="227">
        <f>_xll.qlCalendarAdvance(Calendar,X2584,NDays&amp;"D")</f>
        <v>56948</v>
      </c>
      <c r="Z2584" s="228">
        <v>2.8867743293160268E-2</v>
      </c>
      <c r="AA2584" s="230">
        <v>2.882428000363535E-2</v>
      </c>
    </row>
    <row r="2585" spans="19:27" x14ac:dyDescent="0.2">
      <c r="S2585" s="32"/>
      <c r="T2585" s="187"/>
      <c r="W2585" s="221" t="str">
        <f t="shared" si="49"/>
        <v>1w</v>
      </c>
      <c r="X2585" s="222">
        <f>_xll.qlCalendarAdvance(Calendar,X2584,W2585,"f",FALSE)</f>
        <v>56955</v>
      </c>
      <c r="Y2585" s="227">
        <f>_xll.qlCalendarAdvance(Calendar,X2585,NDays&amp;"D")</f>
        <v>56955</v>
      </c>
      <c r="Z2585" s="228">
        <v>2.8872087961433156E-2</v>
      </c>
      <c r="AA2585" s="230">
        <v>2.8828600257246872E-2</v>
      </c>
    </row>
    <row r="2586" spans="19:27" x14ac:dyDescent="0.2">
      <c r="S2586" s="32"/>
      <c r="T2586" s="187"/>
      <c r="W2586" s="221" t="str">
        <f t="shared" si="49"/>
        <v>1w</v>
      </c>
      <c r="X2586" s="222">
        <f>_xll.qlCalendarAdvance(Calendar,X2585,W2586,"f",FALSE)</f>
        <v>56962</v>
      </c>
      <c r="Y2586" s="227">
        <f>_xll.qlCalendarAdvance(Calendar,X2586,NDays&amp;"D")</f>
        <v>56962</v>
      </c>
      <c r="Z2586" s="228">
        <v>2.887643924092307E-2</v>
      </c>
      <c r="AA2586" s="230">
        <v>2.883292710502694E-2</v>
      </c>
    </row>
    <row r="2587" spans="19:27" x14ac:dyDescent="0.2">
      <c r="S2587" s="32"/>
      <c r="T2587" s="187"/>
      <c r="W2587" s="221" t="str">
        <f t="shared" si="49"/>
        <v>1w</v>
      </c>
      <c r="X2587" s="222">
        <f>_xll.qlCalendarAdvance(Calendar,X2586,W2587,"f",FALSE)</f>
        <v>56969</v>
      </c>
      <c r="Y2587" s="227">
        <f>_xll.qlCalendarAdvance(Calendar,X2587,NDays&amp;"D")</f>
        <v>56969</v>
      </c>
      <c r="Z2587" s="228">
        <v>2.8880797131643075E-2</v>
      </c>
      <c r="AA2587" s="230">
        <v>2.8837260546894505E-2</v>
      </c>
    </row>
    <row r="2588" spans="19:27" x14ac:dyDescent="0.2">
      <c r="S2588" s="32"/>
      <c r="T2588" s="187"/>
      <c r="W2588" s="221" t="str">
        <f t="shared" si="49"/>
        <v>1w</v>
      </c>
      <c r="X2588" s="222">
        <f>_xll.qlCalendarAdvance(Calendar,X2587,W2588,"f",FALSE)</f>
        <v>56977</v>
      </c>
      <c r="Y2588" s="227">
        <f>_xll.qlCalendarAdvance(Calendar,X2588,NDays&amp;"D")</f>
        <v>56977</v>
      </c>
      <c r="Z2588" s="228">
        <v>2.8888694916130137E-2</v>
      </c>
      <c r="AA2588" s="230">
        <v>2.8842221126017531E-2</v>
      </c>
    </row>
    <row r="2589" spans="19:27" x14ac:dyDescent="0.2">
      <c r="S2589" s="32"/>
      <c r="T2589" s="187"/>
      <c r="W2589" s="221" t="str">
        <f t="shared" si="49"/>
        <v>1w</v>
      </c>
      <c r="X2589" s="222">
        <f>_xll.qlCalendarAdvance(Calendar,X2588,W2589,"f",FALSE)</f>
        <v>56984</v>
      </c>
      <c r="Y2589" s="227">
        <f>_xll.qlCalendarAdvance(Calendar,X2589,NDays&amp;"D")</f>
        <v>56984</v>
      </c>
      <c r="Z2589" s="228">
        <v>2.8893068609672355E-2</v>
      </c>
      <c r="AA2589" s="230">
        <v>2.884656869773683E-2</v>
      </c>
    </row>
    <row r="2590" spans="19:27" x14ac:dyDescent="0.2">
      <c r="S2590" s="32"/>
      <c r="T2590" s="187"/>
      <c r="W2590" s="221" t="str">
        <f t="shared" si="49"/>
        <v>1w</v>
      </c>
      <c r="X2590" s="222">
        <f>_xll.qlCalendarAdvance(Calendar,X2589,W2590,"f",FALSE)</f>
        <v>56991</v>
      </c>
      <c r="Y2590" s="227">
        <f>_xll.qlCalendarAdvance(Calendar,X2590,NDays&amp;"D")</f>
        <v>56991</v>
      </c>
      <c r="Z2590" s="228">
        <v>2.8897448915611166E-2</v>
      </c>
      <c r="AA2590" s="230">
        <v>2.885092286346258E-2</v>
      </c>
    </row>
    <row r="2591" spans="19:27" x14ac:dyDescent="0.2">
      <c r="S2591" s="32"/>
      <c r="T2591" s="187"/>
      <c r="W2591" s="221" t="str">
        <f t="shared" si="49"/>
        <v>1w</v>
      </c>
      <c r="X2591" s="222">
        <f>_xll.qlCalendarAdvance(Calendar,X2590,W2591,"f",FALSE)</f>
        <v>56998</v>
      </c>
      <c r="Y2591" s="227">
        <f>_xll.qlCalendarAdvance(Calendar,X2591,NDays&amp;"D")</f>
        <v>56998</v>
      </c>
      <c r="Z2591" s="228">
        <v>2.89018358339613E-2</v>
      </c>
      <c r="AA2591" s="230">
        <v>2.8855283623437922E-2</v>
      </c>
    </row>
    <row r="2592" spans="19:27" x14ac:dyDescent="0.2">
      <c r="S2592" s="32"/>
      <c r="T2592" s="187"/>
      <c r="W2592" s="221" t="str">
        <f t="shared" si="49"/>
        <v>1w</v>
      </c>
      <c r="X2592" s="222">
        <f>_xll.qlCalendarAdvance(Calendar,X2591,W2592,"f",FALSE)</f>
        <v>57005</v>
      </c>
      <c r="Y2592" s="227">
        <f>_xll.qlCalendarAdvance(Calendar,X2592,NDays&amp;"D")</f>
        <v>57005</v>
      </c>
      <c r="Z2592" s="228">
        <v>2.8906229364725217E-2</v>
      </c>
      <c r="AA2592" s="230">
        <v>2.8859650977338669E-2</v>
      </c>
    </row>
    <row r="2593" spans="19:27" x14ac:dyDescent="0.2">
      <c r="S2593" s="32"/>
      <c r="T2593" s="187"/>
      <c r="W2593" s="221" t="str">
        <f t="shared" si="49"/>
        <v>1w</v>
      </c>
      <c r="X2593" s="222">
        <f>_xll.qlCalendarAdvance(Calendar,X2592,W2593,"f",FALSE)</f>
        <v>57012</v>
      </c>
      <c r="Y2593" s="227">
        <f>_xll.qlCalendarAdvance(Calendar,X2593,NDays&amp;"D")</f>
        <v>57012</v>
      </c>
      <c r="Z2593" s="228">
        <v>2.8904795261250279E-2</v>
      </c>
      <c r="AA2593" s="230">
        <v>2.8864024925083775E-2</v>
      </c>
    </row>
    <row r="2594" spans="19:27" x14ac:dyDescent="0.2">
      <c r="S2594" s="32"/>
      <c r="T2594" s="187"/>
      <c r="W2594" s="221" t="str">
        <f t="shared" si="49"/>
        <v>1w</v>
      </c>
      <c r="X2594" s="222">
        <f>_xll.qlCalendarAdvance(Calendar,X2593,W2594,"f",FALSE)</f>
        <v>57019</v>
      </c>
      <c r="Y2594" s="227">
        <f>_xll.qlCalendarAdvance(Calendar,X2594,NDays&amp;"D")</f>
        <v>57019</v>
      </c>
      <c r="Z2594" s="228">
        <v>2.8909198734012948E-2</v>
      </c>
      <c r="AA2594" s="230">
        <v>2.8868405466997427E-2</v>
      </c>
    </row>
    <row r="2595" spans="19:27" x14ac:dyDescent="0.2">
      <c r="S2595" s="32"/>
      <c r="T2595" s="187"/>
      <c r="W2595" s="221" t="str">
        <f t="shared" si="49"/>
        <v>1w</v>
      </c>
      <c r="X2595" s="222">
        <f>_xll.qlCalendarAdvance(Calendar,X2594,W2595,"f",FALSE)</f>
        <v>57026</v>
      </c>
      <c r="Y2595" s="227">
        <f>_xll.qlCalendarAdvance(Calendar,X2595,NDays&amp;"D")</f>
        <v>57026</v>
      </c>
      <c r="Z2595" s="228">
        <v>2.8913608816901897E-2</v>
      </c>
      <c r="AA2595" s="230">
        <v>2.8872792602998576E-2</v>
      </c>
    </row>
    <row r="2596" spans="19:27" x14ac:dyDescent="0.2">
      <c r="S2596" s="32"/>
      <c r="T2596" s="187"/>
      <c r="W2596" s="221" t="str">
        <f t="shared" si="49"/>
        <v>1w</v>
      </c>
      <c r="X2596" s="222">
        <f>_xll.qlCalendarAdvance(Calendar,X2595,W2596,"f",FALSE)</f>
        <v>57033</v>
      </c>
      <c r="Y2596" s="227">
        <f>_xll.qlCalendarAdvance(Calendar,X2596,NDays&amp;"D")</f>
        <v>57033</v>
      </c>
      <c r="Z2596" s="228">
        <v>2.8918025509933894E-2</v>
      </c>
      <c r="AA2596" s="230">
        <v>2.8877186333006177E-2</v>
      </c>
    </row>
    <row r="2597" spans="19:27" x14ac:dyDescent="0.2">
      <c r="S2597" s="32"/>
      <c r="T2597" s="187"/>
      <c r="W2597" s="221" t="str">
        <f t="shared" si="49"/>
        <v>1w</v>
      </c>
      <c r="X2597" s="222">
        <f>_xll.qlCalendarAdvance(Calendar,X2596,W2597,"f",FALSE)</f>
        <v>57040</v>
      </c>
      <c r="Y2597" s="227">
        <f>_xll.qlCalendarAdvance(Calendar,X2597,NDays&amp;"D")</f>
        <v>57040</v>
      </c>
      <c r="Z2597" s="228">
        <v>2.892975844194123E-2</v>
      </c>
      <c r="AA2597" s="230">
        <v>2.8881586656777092E-2</v>
      </c>
    </row>
    <row r="2598" spans="19:27" x14ac:dyDescent="0.2">
      <c r="S2598" s="32"/>
      <c r="T2598" s="187"/>
      <c r="W2598" s="221" t="str">
        <f t="shared" si="49"/>
        <v>1w</v>
      </c>
      <c r="X2598" s="222">
        <f>_xll.qlCalendarAdvance(Calendar,X2597,W2598,"f",FALSE)</f>
        <v>57047</v>
      </c>
      <c r="Y2598" s="227">
        <f>_xll.qlCalendarAdvance(Calendar,X2598,NDays&amp;"D")</f>
        <v>57047</v>
      </c>
      <c r="Z2598" s="228">
        <v>2.8932729410477032E-2</v>
      </c>
      <c r="AA2598" s="230">
        <v>2.8885993574878643E-2</v>
      </c>
    </row>
    <row r="2599" spans="19:27" x14ac:dyDescent="0.2">
      <c r="S2599" s="32"/>
      <c r="T2599" s="187"/>
      <c r="W2599" s="221" t="str">
        <f t="shared" si="49"/>
        <v>1w</v>
      </c>
      <c r="X2599" s="222">
        <f>_xll.qlCalendarAdvance(Calendar,X2598,W2599,"f",FALSE)</f>
        <v>57054</v>
      </c>
      <c r="Y2599" s="227">
        <f>_xll.qlCalendarAdvance(Calendar,X2599,NDays&amp;"D")</f>
        <v>57054</v>
      </c>
      <c r="Z2599" s="228">
        <v>2.8937169228370734E-2</v>
      </c>
      <c r="AA2599" s="230">
        <v>2.8890407086905601E-2</v>
      </c>
    </row>
    <row r="2600" spans="19:27" x14ac:dyDescent="0.2">
      <c r="S2600" s="32"/>
      <c r="T2600" s="187"/>
      <c r="W2600" s="221" t="str">
        <f t="shared" si="49"/>
        <v>1w</v>
      </c>
      <c r="X2600" s="222">
        <f>_xll.qlCalendarAdvance(Calendar,X2599,W2600,"f",FALSE)</f>
        <v>57061</v>
      </c>
      <c r="Y2600" s="227">
        <f>_xll.qlCalendarAdvance(Calendar,X2600,NDays&amp;"D")</f>
        <v>57061</v>
      </c>
      <c r="Z2600" s="228">
        <v>2.8941615658742072E-2</v>
      </c>
      <c r="AA2600" s="230">
        <v>2.8894827193020056E-2</v>
      </c>
    </row>
    <row r="2601" spans="19:27" x14ac:dyDescent="0.2">
      <c r="S2601" s="32"/>
      <c r="T2601" s="187"/>
      <c r="W2601" s="221" t="str">
        <f t="shared" si="49"/>
        <v>1w</v>
      </c>
      <c r="X2601" s="222">
        <f>_xll.qlCalendarAdvance(Calendar,X2600,W2601,"f",FALSE)</f>
        <v>57068</v>
      </c>
      <c r="Y2601" s="227">
        <f>_xll.qlCalendarAdvance(Calendar,X2601,NDays&amp;"D")</f>
        <v>57068</v>
      </c>
      <c r="Z2601" s="228">
        <v>2.8941673036997427E-2</v>
      </c>
      <c r="AA2601" s="230">
        <v>2.8899253892978871E-2</v>
      </c>
    </row>
    <row r="2602" spans="19:27" x14ac:dyDescent="0.2">
      <c r="S2602" s="32"/>
      <c r="T2602" s="187"/>
      <c r="W2602" s="221" t="str">
        <f t="shared" si="49"/>
        <v>1w</v>
      </c>
      <c r="X2602" s="222">
        <f>_xll.qlCalendarAdvance(Calendar,X2601,W2602,"f",FALSE)</f>
        <v>57075</v>
      </c>
      <c r="Y2602" s="227">
        <f>_xll.qlCalendarAdvance(Calendar,X2602,NDays&amp;"D")</f>
        <v>57075</v>
      </c>
      <c r="Z2602" s="228">
        <v>2.8946130216179644E-2</v>
      </c>
      <c r="AA2602" s="230">
        <v>2.8903687187187277E-2</v>
      </c>
    </row>
    <row r="2603" spans="19:27" x14ac:dyDescent="0.2">
      <c r="S2603" s="32"/>
      <c r="T2603" s="187"/>
      <c r="W2603" s="221" t="str">
        <f t="shared" si="49"/>
        <v>1w</v>
      </c>
      <c r="X2603" s="222">
        <f>_xll.qlCalendarAdvance(Calendar,X2602,W2603,"f",FALSE)</f>
        <v>57082</v>
      </c>
      <c r="Y2603" s="227">
        <f>_xll.qlCalendarAdvance(Calendar,X2603,NDays&amp;"D")</f>
        <v>57082</v>
      </c>
      <c r="Z2603" s="228">
        <v>2.8950594006123286E-2</v>
      </c>
      <c r="AA2603" s="230">
        <v>2.8908127075158996E-2</v>
      </c>
    </row>
    <row r="2604" spans="19:27" x14ac:dyDescent="0.2">
      <c r="S2604" s="32"/>
      <c r="T2604" s="187"/>
      <c r="W2604" s="221" t="str">
        <f t="shared" si="49"/>
        <v>1w</v>
      </c>
      <c r="X2604" s="222">
        <f>_xll.qlCalendarAdvance(Calendar,X2603,W2604,"f",FALSE)</f>
        <v>57089</v>
      </c>
      <c r="Y2604" s="227">
        <f>_xll.qlCalendarAdvance(Calendar,X2604,NDays&amp;"D")</f>
        <v>57089</v>
      </c>
      <c r="Z2604" s="228">
        <v>2.8955064406841851E-2</v>
      </c>
      <c r="AA2604" s="230">
        <v>2.8912573557299259E-2</v>
      </c>
    </row>
    <row r="2605" spans="19:27" x14ac:dyDescent="0.2">
      <c r="S2605" s="32"/>
      <c r="T2605" s="187"/>
      <c r="W2605" s="221" t="str">
        <f t="shared" si="49"/>
        <v>1w</v>
      </c>
      <c r="X2605" s="222">
        <f>_xll.qlCalendarAdvance(Calendar,X2604,W2605,"f",FALSE)</f>
        <v>57096</v>
      </c>
      <c r="Y2605" s="227">
        <f>_xll.qlCalendarAdvance(Calendar,X2605,NDays&amp;"D")</f>
        <v>57096</v>
      </c>
      <c r="Z2605" s="228">
        <v>2.8959541418346151E-2</v>
      </c>
      <c r="AA2605" s="230">
        <v>2.8917026633445975E-2</v>
      </c>
    </row>
    <row r="2606" spans="19:27" x14ac:dyDescent="0.2">
      <c r="S2606" s="32"/>
      <c r="T2606" s="187"/>
      <c r="W2606" s="221" t="str">
        <f t="shared" si="49"/>
        <v>1w</v>
      </c>
      <c r="X2606" s="222">
        <f>_xll.qlCalendarAdvance(Calendar,X2605,W2606,"f",FALSE)</f>
        <v>57103</v>
      </c>
      <c r="Y2606" s="227">
        <f>_xll.qlCalendarAdvance(Calendar,X2606,NDays&amp;"D")</f>
        <v>57103</v>
      </c>
      <c r="Z2606" s="228">
        <v>2.8968433103462175E-2</v>
      </c>
      <c r="AA2606" s="230">
        <v>2.8921486303680188E-2</v>
      </c>
    </row>
    <row r="2607" spans="19:27" x14ac:dyDescent="0.2">
      <c r="S2607" s="32"/>
      <c r="T2607" s="187"/>
      <c r="W2607" s="221" t="str">
        <f t="shared" si="49"/>
        <v>1w</v>
      </c>
      <c r="X2607" s="222">
        <f>_xll.qlCalendarAdvance(Calendar,X2606,W2607,"f",FALSE)</f>
        <v>57110</v>
      </c>
      <c r="Y2607" s="227">
        <f>_xll.qlCalendarAdvance(Calendar,X2607,NDays&amp;"D")</f>
        <v>57110</v>
      </c>
      <c r="Z2607" s="228">
        <v>2.8972925821407824E-2</v>
      </c>
      <c r="AA2607" s="230">
        <v>2.8925952567920854E-2</v>
      </c>
    </row>
    <row r="2608" spans="19:27" x14ac:dyDescent="0.2">
      <c r="S2608" s="32"/>
      <c r="T2608" s="187"/>
      <c r="W2608" s="221" t="str">
        <f t="shared" si="49"/>
        <v>1w</v>
      </c>
      <c r="X2608" s="222">
        <f>_xll.qlCalendarAdvance(Calendar,X2607,W2608,"f",FALSE)</f>
        <v>57117</v>
      </c>
      <c r="Y2608" s="227">
        <f>_xll.qlCalendarAdvance(Calendar,X2608,NDays&amp;"D")</f>
        <v>57117</v>
      </c>
      <c r="Z2608" s="228">
        <v>2.897742515189251E-2</v>
      </c>
      <c r="AA2608" s="230">
        <v>2.8930425426086925E-2</v>
      </c>
    </row>
    <row r="2609" spans="19:27" x14ac:dyDescent="0.2">
      <c r="S2609" s="32"/>
      <c r="T2609" s="187"/>
      <c r="W2609" s="221" t="str">
        <f t="shared" si="49"/>
        <v>1w</v>
      </c>
      <c r="X2609" s="222">
        <f>_xll.qlCalendarAdvance(Calendar,X2608,W2609,"f",FALSE)</f>
        <v>57124</v>
      </c>
      <c r="Y2609" s="227">
        <f>_xll.qlCalendarAdvance(Calendar,X2609,NDays&amp;"D")</f>
        <v>57124</v>
      </c>
      <c r="Z2609" s="228">
        <v>2.8981931094928508E-2</v>
      </c>
      <c r="AA2609" s="230">
        <v>2.8934904878421541E-2</v>
      </c>
    </row>
    <row r="2610" spans="19:27" x14ac:dyDescent="0.2">
      <c r="S2610" s="32"/>
      <c r="T2610" s="187"/>
      <c r="W2610" s="221" t="str">
        <f t="shared" si="49"/>
        <v>1w</v>
      </c>
      <c r="X2610" s="222">
        <f>_xll.qlCalendarAdvance(Calendar,X2609,W2610,"f",FALSE)</f>
        <v>57131</v>
      </c>
      <c r="Y2610" s="227">
        <f>_xll.qlCalendarAdvance(Calendar,X2610,NDays&amp;"D")</f>
        <v>57131</v>
      </c>
      <c r="Z2610" s="228">
        <v>2.8982025637818452E-2</v>
      </c>
      <c r="AA2610" s="230">
        <v>2.8939390924681563E-2</v>
      </c>
    </row>
    <row r="2611" spans="19:27" x14ac:dyDescent="0.2">
      <c r="S2611" s="32"/>
      <c r="T2611" s="187"/>
      <c r="W2611" s="221" t="str">
        <f t="shared" si="49"/>
        <v>1w</v>
      </c>
      <c r="X2611" s="222">
        <f>_xll.qlCalendarAdvance(Calendar,X2610,W2611,"f",FALSE)</f>
        <v>57138</v>
      </c>
      <c r="Y2611" s="227">
        <f>_xll.qlCalendarAdvance(Calendar,X2611,NDays&amp;"D")</f>
        <v>57138</v>
      </c>
      <c r="Z2611" s="228">
        <v>2.8986542314158724E-2</v>
      </c>
      <c r="AA2611" s="230">
        <v>2.8943883564948036E-2</v>
      </c>
    </row>
    <row r="2612" spans="19:27" x14ac:dyDescent="0.2">
      <c r="S2612" s="32"/>
      <c r="T2612" s="187"/>
      <c r="W2612" s="221" t="str">
        <f t="shared" si="49"/>
        <v>1w</v>
      </c>
      <c r="X2612" s="222">
        <f>_xll.qlCalendarAdvance(Calendar,X2611,W2612,"f",FALSE)</f>
        <v>57145</v>
      </c>
      <c r="Y2612" s="227">
        <f>_xll.qlCalendarAdvance(Calendar,X2612,NDays&amp;"D")</f>
        <v>57145</v>
      </c>
      <c r="Z2612" s="228">
        <v>2.8991065601330655E-2</v>
      </c>
      <c r="AA2612" s="230">
        <v>2.8948382799302008E-2</v>
      </c>
    </row>
    <row r="2613" spans="19:27" x14ac:dyDescent="0.2">
      <c r="S2613" s="32"/>
      <c r="T2613" s="187"/>
      <c r="W2613" s="221" t="str">
        <f t="shared" si="49"/>
        <v>1w</v>
      </c>
      <c r="X2613" s="222">
        <f>_xll.qlCalendarAdvance(Calendar,X2612,W2613,"f",FALSE)</f>
        <v>57152</v>
      </c>
      <c r="Y2613" s="227">
        <f>_xll.qlCalendarAdvance(Calendar,X2613,NDays&amp;"D")</f>
        <v>57152</v>
      </c>
      <c r="Z2613" s="228">
        <v>2.8995595499339648E-2</v>
      </c>
      <c r="AA2613" s="230">
        <v>2.8952888627743478E-2</v>
      </c>
    </row>
    <row r="2614" spans="19:27" x14ac:dyDescent="0.2">
      <c r="S2614" s="32"/>
      <c r="T2614" s="187"/>
      <c r="W2614" s="221" t="str">
        <f t="shared" si="49"/>
        <v>1w</v>
      </c>
      <c r="X2614" s="222">
        <f>_xll.qlCalendarAdvance(Calendar,X2613,W2614,"f",FALSE)</f>
        <v>57159</v>
      </c>
      <c r="Y2614" s="227">
        <f>_xll.qlCalendarAdvance(Calendar,X2614,NDays&amp;"D")</f>
        <v>57159</v>
      </c>
      <c r="Z2614" s="228">
        <v>2.9000132008199214E-2</v>
      </c>
      <c r="AA2614" s="230">
        <v>2.8957401050110354E-2</v>
      </c>
    </row>
    <row r="2615" spans="19:27" x14ac:dyDescent="0.2">
      <c r="S2615" s="32"/>
      <c r="T2615" s="187"/>
      <c r="W2615" s="221" t="str">
        <f t="shared" si="49"/>
        <v>1w</v>
      </c>
      <c r="X2615" s="222">
        <f>_xll.qlCalendarAdvance(Calendar,X2614,W2615,"f",FALSE)</f>
        <v>57166</v>
      </c>
      <c r="Y2615" s="227">
        <f>_xll.qlCalendarAdvance(Calendar,X2615,NDays&amp;"D")</f>
        <v>57166</v>
      </c>
      <c r="Z2615" s="228">
        <v>2.9009105617156812E-2</v>
      </c>
      <c r="AA2615" s="230">
        <v>2.8961920066483682E-2</v>
      </c>
    </row>
    <row r="2616" spans="19:27" x14ac:dyDescent="0.2">
      <c r="S2616" s="32"/>
      <c r="T2616" s="187"/>
      <c r="W2616" s="221" t="str">
        <f t="shared" si="49"/>
        <v>1w</v>
      </c>
      <c r="X2616" s="222">
        <f>_xll.qlCalendarAdvance(Calendar,X2615,W2616,"f",FALSE)</f>
        <v>57173</v>
      </c>
      <c r="Y2616" s="227">
        <f>_xll.qlCalendarAdvance(Calendar,X2616,NDays&amp;"D")</f>
        <v>57173</v>
      </c>
      <c r="Z2616" s="228">
        <v>2.9013657848273051E-2</v>
      </c>
      <c r="AA2616" s="230">
        <v>2.8966445676863462E-2</v>
      </c>
    </row>
    <row r="2617" spans="19:27" x14ac:dyDescent="0.2">
      <c r="S2617" s="32"/>
      <c r="T2617" s="187"/>
      <c r="W2617" s="221" t="str">
        <f t="shared" si="49"/>
        <v>1w</v>
      </c>
      <c r="X2617" s="222">
        <f>_xll.qlCalendarAdvance(Calendar,X2616,W2617,"f",FALSE)</f>
        <v>57180</v>
      </c>
      <c r="Y2617" s="227">
        <f>_xll.qlCalendarAdvance(Calendar,X2617,NDays&amp;"D")</f>
        <v>57180</v>
      </c>
      <c r="Z2617" s="228">
        <v>2.9018216692004457E-2</v>
      </c>
      <c r="AA2617" s="230">
        <v>2.8970977881573878E-2</v>
      </c>
    </row>
    <row r="2618" spans="19:27" x14ac:dyDescent="0.2">
      <c r="S2618" s="32"/>
      <c r="T2618" s="187"/>
      <c r="W2618" s="221" t="str">
        <f t="shared" si="49"/>
        <v>1w</v>
      </c>
      <c r="X2618" s="222">
        <f>_xll.qlCalendarAdvance(Calendar,X2617,W2618,"f",FALSE)</f>
        <v>57187</v>
      </c>
      <c r="Y2618" s="227">
        <f>_xll.qlCalendarAdvance(Calendar,X2618,NDays&amp;"D")</f>
        <v>57187</v>
      </c>
      <c r="Z2618" s="228">
        <v>2.9024261796198943E-2</v>
      </c>
      <c r="AA2618" s="230">
        <v>2.8975516679966562E-2</v>
      </c>
    </row>
    <row r="2619" spans="19:27" x14ac:dyDescent="0.2">
      <c r="S2619" s="32"/>
      <c r="T2619" s="187"/>
      <c r="W2619" s="221" t="str">
        <f t="shared" si="49"/>
        <v>1w</v>
      </c>
      <c r="X2619" s="222">
        <f>_xll.qlCalendarAdvance(Calendar,X2618,W2619,"f",FALSE)</f>
        <v>57194</v>
      </c>
      <c r="Y2619" s="227">
        <f>_xll.qlCalendarAdvance(Calendar,X2619,NDays&amp;"D")</f>
        <v>57194</v>
      </c>
      <c r="Z2619" s="228">
        <v>2.9027354217344703E-2</v>
      </c>
      <c r="AA2619" s="230">
        <v>2.8980062072446744E-2</v>
      </c>
    </row>
    <row r="2620" spans="19:27" x14ac:dyDescent="0.2">
      <c r="S2620" s="32"/>
      <c r="T2620" s="187"/>
      <c r="W2620" s="221" t="str">
        <f t="shared" si="49"/>
        <v>1w</v>
      </c>
      <c r="X2620" s="222">
        <f>_xll.qlCalendarAdvance(Calendar,X2619,W2620,"f",FALSE)</f>
        <v>57201</v>
      </c>
      <c r="Y2620" s="227">
        <f>_xll.qlCalendarAdvance(Calendar,X2620,NDays&amp;"D")</f>
        <v>57201</v>
      </c>
      <c r="Z2620" s="228">
        <v>2.9031932898975647E-2</v>
      </c>
      <c r="AA2620" s="230">
        <v>2.898461405909547E-2</v>
      </c>
    </row>
    <row r="2621" spans="19:27" x14ac:dyDescent="0.2">
      <c r="S2621" s="32"/>
      <c r="T2621" s="187"/>
      <c r="W2621" s="221" t="str">
        <f t="shared" si="49"/>
        <v>1w</v>
      </c>
      <c r="X2621" s="222">
        <f>_xll.qlCalendarAdvance(Calendar,X2620,W2621,"f",FALSE)</f>
        <v>57208</v>
      </c>
      <c r="Y2621" s="227">
        <f>_xll.qlCalendarAdvance(Calendar,X2621,NDays&amp;"D")</f>
        <v>57208</v>
      </c>
      <c r="Z2621" s="228">
        <v>2.9036518193246319E-2</v>
      </c>
      <c r="AA2621" s="230">
        <v>2.8989172639669603E-2</v>
      </c>
    </row>
    <row r="2622" spans="19:27" x14ac:dyDescent="0.2">
      <c r="S2622" s="32"/>
      <c r="T2622" s="187"/>
      <c r="W2622" s="221" t="str">
        <f t="shared" si="49"/>
        <v>1w</v>
      </c>
      <c r="X2622" s="222">
        <f>_xll.qlCalendarAdvance(Calendar,X2621,W2622,"f",FALSE)</f>
        <v>57215</v>
      </c>
      <c r="Y2622" s="227">
        <f>_xll.qlCalendarAdvance(Calendar,X2622,NDays&amp;"D")</f>
        <v>57215</v>
      </c>
      <c r="Z2622" s="228">
        <v>2.9041110100178825E-2</v>
      </c>
      <c r="AA2622" s="230">
        <v>2.8993737814250187E-2</v>
      </c>
    </row>
    <row r="2623" spans="19:27" x14ac:dyDescent="0.2">
      <c r="S2623" s="32"/>
      <c r="T2623" s="187"/>
      <c r="W2623" s="221" t="str">
        <f t="shared" si="49"/>
        <v>1w</v>
      </c>
      <c r="X2623" s="222">
        <f>_xll.qlCalendarAdvance(Calendar,X2622,W2623,"f",FALSE)</f>
        <v>57222</v>
      </c>
      <c r="Y2623" s="227">
        <f>_xll.qlCalendarAdvance(Calendar,X2623,NDays&amp;"D")</f>
        <v>57222</v>
      </c>
      <c r="Z2623" s="228">
        <v>2.9041258077245669E-2</v>
      </c>
      <c r="AA2623" s="230">
        <v>2.8998309582837223E-2</v>
      </c>
    </row>
    <row r="2624" spans="19:27" x14ac:dyDescent="0.2">
      <c r="S2624" s="32"/>
      <c r="T2624" s="187"/>
      <c r="W2624" s="221" t="str">
        <f t="shared" si="49"/>
        <v>1w</v>
      </c>
      <c r="X2624" s="222">
        <f>_xll.qlCalendarAdvance(Calendar,X2623,W2624,"f",FALSE)</f>
        <v>57229</v>
      </c>
      <c r="Y2624" s="227">
        <f>_xll.qlCalendarAdvance(Calendar,X2624,NDays&amp;"D")</f>
        <v>57229</v>
      </c>
      <c r="Z2624" s="228">
        <v>2.9045860694978352E-2</v>
      </c>
      <c r="AA2624" s="230">
        <v>2.9002887945592803E-2</v>
      </c>
    </row>
    <row r="2625" spans="19:27" x14ac:dyDescent="0.2">
      <c r="S2625" s="32"/>
      <c r="T2625" s="187"/>
      <c r="W2625" s="221" t="str">
        <f t="shared" si="49"/>
        <v>1w</v>
      </c>
      <c r="X2625" s="222">
        <f>_xll.qlCalendarAdvance(Calendar,X2624,W2625,"f",FALSE)</f>
        <v>57236</v>
      </c>
      <c r="Y2625" s="227">
        <f>_xll.qlCalendarAdvance(Calendar,X2625,NDays&amp;"D")</f>
        <v>57236</v>
      </c>
      <c r="Z2625" s="228">
        <v>2.9050469923642651E-2</v>
      </c>
      <c r="AA2625" s="230">
        <v>2.900747290227379E-2</v>
      </c>
    </row>
    <row r="2626" spans="19:27" x14ac:dyDescent="0.2">
      <c r="S2626" s="32"/>
      <c r="T2626" s="187"/>
      <c r="W2626" s="221" t="str">
        <f t="shared" si="49"/>
        <v>1w</v>
      </c>
      <c r="X2626" s="222">
        <f>_xll.qlCalendarAdvance(Calendar,X2625,W2626,"f",FALSE)</f>
        <v>57243</v>
      </c>
      <c r="Y2626" s="227">
        <f>_xll.qlCalendarAdvance(Calendar,X2626,NDays&amp;"D")</f>
        <v>57243</v>
      </c>
      <c r="Z2626" s="228">
        <v>2.9055085763235865E-2</v>
      </c>
      <c r="AA2626" s="230">
        <v>2.9012064452961228E-2</v>
      </c>
    </row>
    <row r="2627" spans="19:27" x14ac:dyDescent="0.2">
      <c r="S2627" s="32"/>
      <c r="T2627" s="187"/>
      <c r="W2627" s="221" t="str">
        <f t="shared" si="49"/>
        <v>1w</v>
      </c>
      <c r="X2627" s="222">
        <f>_xll.qlCalendarAdvance(Calendar,X2626,W2627,"f",FALSE)</f>
        <v>57250</v>
      </c>
      <c r="Y2627" s="227">
        <f>_xll.qlCalendarAdvance(Calendar,X2627,NDays&amp;"D")</f>
        <v>57250</v>
      </c>
      <c r="Z2627" s="228">
        <v>2.9059708213779605E-2</v>
      </c>
      <c r="AA2627" s="230">
        <v>2.9016662597817211E-2</v>
      </c>
    </row>
    <row r="2628" spans="19:27" x14ac:dyDescent="0.2">
      <c r="S2628" s="32"/>
      <c r="T2628" s="187"/>
      <c r="W2628" s="221" t="str">
        <f t="shared" si="49"/>
        <v>1w</v>
      </c>
      <c r="X2628" s="222">
        <f>_xll.qlCalendarAdvance(Calendar,X2627,W2628,"f",FALSE)</f>
        <v>57257</v>
      </c>
      <c r="Y2628" s="227">
        <f>_xll.qlCalendarAdvance(Calendar,X2628,NDays&amp;"D")</f>
        <v>57257</v>
      </c>
      <c r="Z2628" s="228">
        <v>2.9068800408001434E-2</v>
      </c>
      <c r="AA2628" s="230">
        <v>2.9021267336760692E-2</v>
      </c>
    </row>
    <row r="2629" spans="19:27" x14ac:dyDescent="0.2">
      <c r="S2629" s="32"/>
      <c r="T2629" s="187"/>
      <c r="W2629" s="221" t="str">
        <f t="shared" si="49"/>
        <v>1w</v>
      </c>
      <c r="X2629" s="222">
        <f>_xll.qlCalendarAdvance(Calendar,X2628,W2629,"f",FALSE)</f>
        <v>57264</v>
      </c>
      <c r="Y2629" s="227">
        <f>_xll.qlCalendarAdvance(Calendar,X2629,NDays&amp;"D")</f>
        <v>57264</v>
      </c>
      <c r="Z2629" s="228">
        <v>2.9073438603758328E-2</v>
      </c>
      <c r="AA2629" s="230">
        <v>2.9025878669629579E-2</v>
      </c>
    </row>
    <row r="2630" spans="19:27" x14ac:dyDescent="0.2">
      <c r="S2630" s="32"/>
      <c r="T2630" s="187"/>
      <c r="W2630" s="221" t="str">
        <f t="shared" si="49"/>
        <v>1w</v>
      </c>
      <c r="X2630" s="222">
        <f>_xll.qlCalendarAdvance(Calendar,X2629,W2630,"f",FALSE)</f>
        <v>57271</v>
      </c>
      <c r="Y2630" s="227">
        <f>_xll.qlCalendarAdvance(Calendar,X2630,NDays&amp;"D")</f>
        <v>57271</v>
      </c>
      <c r="Z2630" s="228">
        <v>2.9078083412231084E-2</v>
      </c>
      <c r="AA2630" s="230">
        <v>2.9030496596261779E-2</v>
      </c>
    </row>
    <row r="2631" spans="19:27" x14ac:dyDescent="0.2">
      <c r="S2631" s="32"/>
      <c r="T2631" s="187"/>
      <c r="W2631" s="221" t="str">
        <f t="shared" si="49"/>
        <v>1w</v>
      </c>
      <c r="X2631" s="222">
        <f>_xll.qlCalendarAdvance(Calendar,X2630,W2631,"f",FALSE)</f>
        <v>57278</v>
      </c>
      <c r="Y2631" s="227">
        <f>_xll.qlCalendarAdvance(Calendar,X2631,NDays&amp;"D")</f>
        <v>57278</v>
      </c>
      <c r="Z2631" s="228">
        <v>2.9082734833436898E-2</v>
      </c>
      <c r="AA2631" s="230">
        <v>2.9035121117224616E-2</v>
      </c>
    </row>
    <row r="2632" spans="19:27" x14ac:dyDescent="0.2">
      <c r="S2632" s="32"/>
      <c r="T2632" s="187"/>
      <c r="W2632" s="221" t="str">
        <f t="shared" si="49"/>
        <v>1w</v>
      </c>
      <c r="X2632" s="222">
        <f>_xll.qlCalendarAdvance(Calendar,X2631,W2632,"f",FALSE)</f>
        <v>57285</v>
      </c>
      <c r="Y2632" s="227">
        <f>_xll.qlCalendarAdvance(Calendar,X2632,NDays&amp;"D")</f>
        <v>57285</v>
      </c>
      <c r="Z2632" s="228">
        <v>2.9082919630902114E-2</v>
      </c>
      <c r="AA2632" s="230">
        <v>2.9039752232112859E-2</v>
      </c>
    </row>
    <row r="2633" spans="19:27" x14ac:dyDescent="0.2">
      <c r="S2633" s="32"/>
      <c r="T2633" s="187"/>
      <c r="W2633" s="221" t="str">
        <f t="shared" si="49"/>
        <v>1w</v>
      </c>
      <c r="X2633" s="222">
        <f>_xll.qlCalendarAdvance(Calendar,X2632,W2633,"f",FALSE)</f>
        <v>57292</v>
      </c>
      <c r="Y2633" s="227">
        <f>_xll.qlCalendarAdvance(Calendar,X2633,NDays&amp;"D")</f>
        <v>57292</v>
      </c>
      <c r="Z2633" s="228">
        <v>2.9087581747259783E-2</v>
      </c>
      <c r="AA2633" s="230">
        <v>2.9044389941007553E-2</v>
      </c>
    </row>
    <row r="2634" spans="19:27" x14ac:dyDescent="0.2">
      <c r="S2634" s="32"/>
      <c r="T2634" s="187"/>
      <c r="W2634" s="221" t="str">
        <f t="shared" si="49"/>
        <v>1w</v>
      </c>
      <c r="X2634" s="222">
        <f>_xll.qlCalendarAdvance(Calendar,X2633,W2634,"f",FALSE)</f>
        <v>57299</v>
      </c>
      <c r="Y2634" s="227">
        <f>_xll.qlCalendarAdvance(Calendar,X2634,NDays&amp;"D")</f>
        <v>57299</v>
      </c>
      <c r="Z2634" s="228">
        <v>2.909225047461661E-2</v>
      </c>
      <c r="AA2634" s="230">
        <v>2.90490342439087E-2</v>
      </c>
    </row>
    <row r="2635" spans="19:27" x14ac:dyDescent="0.2">
      <c r="S2635" s="32"/>
      <c r="T2635" s="187"/>
      <c r="W2635" s="221" t="str">
        <f t="shared" si="49"/>
        <v>1w</v>
      </c>
      <c r="X2635" s="222">
        <f>_xll.qlCalendarAdvance(Calendar,X2634,W2635,"f",FALSE)</f>
        <v>57306</v>
      </c>
      <c r="Y2635" s="227">
        <f>_xll.qlCalendarAdvance(Calendar,X2635,NDays&amp;"D")</f>
        <v>57306</v>
      </c>
      <c r="Z2635" s="228">
        <v>2.9096925812980699E-2</v>
      </c>
      <c r="AA2635" s="230">
        <v>2.9053685141140484E-2</v>
      </c>
    </row>
    <row r="2636" spans="19:27" x14ac:dyDescent="0.2">
      <c r="S2636" s="32"/>
      <c r="T2636" s="187"/>
      <c r="W2636" s="221" t="str">
        <f t="shared" si="49"/>
        <v>1w</v>
      </c>
      <c r="X2636" s="222">
        <f>_xll.qlCalendarAdvance(Calendar,X2635,W2636,"f",FALSE)</f>
        <v>57313</v>
      </c>
      <c r="Y2636" s="227">
        <f>_xll.qlCalendarAdvance(Calendar,X2636,NDays&amp;"D")</f>
        <v>57313</v>
      </c>
      <c r="Z2636" s="228">
        <v>2.9101607762354747E-2</v>
      </c>
      <c r="AA2636" s="230">
        <v>2.9058342632135581E-2</v>
      </c>
    </row>
    <row r="2637" spans="19:27" x14ac:dyDescent="0.2">
      <c r="S2637" s="32"/>
      <c r="T2637" s="187"/>
      <c r="W2637" s="221" t="str">
        <f t="shared" si="49"/>
        <v>1w</v>
      </c>
      <c r="X2637" s="222">
        <f>_xll.qlCalendarAdvance(Calendar,X2636,W2637,"f",FALSE)</f>
        <v>57320</v>
      </c>
      <c r="Y2637" s="227">
        <f>_xll.qlCalendarAdvance(Calendar,X2637,NDays&amp;"D")</f>
        <v>57320</v>
      </c>
      <c r="Z2637" s="228">
        <v>2.9110782228480979E-2</v>
      </c>
      <c r="AA2637" s="230">
        <v>2.906300671713713E-2</v>
      </c>
    </row>
    <row r="2638" spans="19:27" x14ac:dyDescent="0.2">
      <c r="S2638" s="32"/>
      <c r="T2638" s="187"/>
      <c r="W2638" s="221" t="str">
        <f t="shared" si="49"/>
        <v>1w</v>
      </c>
      <c r="X2638" s="222">
        <f>_xll.qlCalendarAdvance(Calendar,X2637,W2638,"f",FALSE)</f>
        <v>57327</v>
      </c>
      <c r="Y2638" s="227">
        <f>_xll.qlCalendarAdvance(Calendar,X2638,NDays&amp;"D")</f>
        <v>57327</v>
      </c>
      <c r="Z2638" s="228">
        <v>2.9115479939039211E-2</v>
      </c>
      <c r="AA2638" s="230">
        <v>2.906767739638827E-2</v>
      </c>
    </row>
    <row r="2639" spans="19:27" x14ac:dyDescent="0.2">
      <c r="S2639" s="32"/>
      <c r="T2639" s="187"/>
      <c r="W2639" s="221" t="str">
        <f t="shared" si="49"/>
        <v>1w</v>
      </c>
      <c r="X2639" s="222">
        <f>_xll.qlCalendarAdvance(Calendar,X2638,W2639,"f",FALSE)</f>
        <v>57334</v>
      </c>
      <c r="Y2639" s="227">
        <f>_xll.qlCalendarAdvance(Calendar,X2639,NDays&amp;"D")</f>
        <v>57334</v>
      </c>
      <c r="Z2639" s="228">
        <v>2.9120184262391897E-2</v>
      </c>
      <c r="AA2639" s="230">
        <v>2.9072354669564815E-2</v>
      </c>
    </row>
    <row r="2640" spans="19:27" x14ac:dyDescent="0.2">
      <c r="S2640" s="32"/>
      <c r="T2640" s="187"/>
      <c r="W2640" s="221" t="str">
        <f t="shared" si="49"/>
        <v>1w</v>
      </c>
      <c r="X2640" s="222">
        <f>_xll.qlCalendarAdvance(Calendar,X2639,W2640,"f",FALSE)</f>
        <v>57341</v>
      </c>
      <c r="Y2640" s="227">
        <f>_xll.qlCalendarAdvance(Calendar,X2640,NDays&amp;"D")</f>
        <v>57341</v>
      </c>
      <c r="Z2640" s="228">
        <v>2.9124895198546403E-2</v>
      </c>
      <c r="AA2640" s="230">
        <v>2.907703853658572E-2</v>
      </c>
    </row>
    <row r="2641" spans="19:27" x14ac:dyDescent="0.2">
      <c r="S2641" s="32"/>
      <c r="T2641" s="187"/>
      <c r="W2641" s="221" t="str">
        <f t="shared" si="49"/>
        <v>1w</v>
      </c>
      <c r="X2641" s="222">
        <f>_xll.qlCalendarAdvance(Calendar,X2640,W2641,"f",FALSE)</f>
        <v>57348</v>
      </c>
      <c r="Y2641" s="227">
        <f>_xll.qlCalendarAdvance(Calendar,X2641,NDays&amp;"D")</f>
        <v>57348</v>
      </c>
      <c r="Z2641" s="228">
        <v>2.9129612747517467E-2</v>
      </c>
      <c r="AA2641" s="230">
        <v>2.9081728997856215E-2</v>
      </c>
    </row>
    <row r="2642" spans="19:27" x14ac:dyDescent="0.2">
      <c r="S2642" s="32"/>
      <c r="T2642" s="187"/>
      <c r="W2642" s="221" t="str">
        <f t="shared" si="49"/>
        <v>1w</v>
      </c>
      <c r="X2642" s="222">
        <f>_xll.qlCalendarAdvance(Calendar,X2641,W2642,"f",FALSE)</f>
        <v>57355</v>
      </c>
      <c r="Y2642" s="227">
        <f>_xll.qlCalendarAdvance(Calendar,X2642,NDays&amp;"D")</f>
        <v>57355</v>
      </c>
      <c r="Z2642" s="228">
        <v>2.9134336909314908E-2</v>
      </c>
      <c r="AA2642" s="230">
        <v>2.9086426053214209E-2</v>
      </c>
    </row>
    <row r="2643" spans="19:27" x14ac:dyDescent="0.2">
      <c r="S2643" s="32"/>
      <c r="T2643" s="187"/>
      <c r="W2643" s="221" t="str">
        <f t="shared" si="49"/>
        <v>1w</v>
      </c>
      <c r="X2643" s="222">
        <f>_xll.qlCalendarAdvance(Calendar,X2642,W2643,"f",FALSE)</f>
        <v>57362</v>
      </c>
      <c r="Y2643" s="227">
        <f>_xll.qlCalendarAdvance(Calendar,X2643,NDays&amp;"D")</f>
        <v>57362</v>
      </c>
      <c r="Z2643" s="228">
        <v>2.9139067683938733E-2</v>
      </c>
      <c r="AA2643" s="230">
        <v>2.9091129702416563E-2</v>
      </c>
    </row>
    <row r="2644" spans="19:27" x14ac:dyDescent="0.2">
      <c r="S2644" s="32"/>
      <c r="T2644" s="187"/>
      <c r="W2644" s="221" t="str">
        <f t="shared" si="49"/>
        <v>1w</v>
      </c>
      <c r="X2644" s="222">
        <f>_xll.qlCalendarAdvance(Calendar,X2643,W2644,"f",FALSE)</f>
        <v>57369</v>
      </c>
      <c r="Y2644" s="227">
        <f>_xll.qlCalendarAdvance(Calendar,X2644,NDays&amp;"D")</f>
        <v>57369</v>
      </c>
      <c r="Z2644" s="228">
        <v>2.9143805071403676E-2</v>
      </c>
      <c r="AA2644" s="230">
        <v>2.9095839945787461E-2</v>
      </c>
    </row>
    <row r="2645" spans="19:27" x14ac:dyDescent="0.2">
      <c r="S2645" s="32"/>
      <c r="T2645" s="187"/>
      <c r="W2645" s="221" t="str">
        <f t="shared" ref="W2645:W2708" si="50">W2644</f>
        <v>1w</v>
      </c>
      <c r="X2645" s="222">
        <f>_xll.qlCalendarAdvance(Calendar,X2644,W2645,"f",FALSE)</f>
        <v>57376</v>
      </c>
      <c r="Y2645" s="227">
        <f>_xll.qlCalendarAdvance(Calendar,X2645,NDays&amp;"D")</f>
        <v>57376</v>
      </c>
      <c r="Z2645" s="228">
        <v>2.9141039429229392E-2</v>
      </c>
      <c r="AA2645" s="230">
        <v>2.9100556783083764E-2</v>
      </c>
    </row>
    <row r="2646" spans="19:27" x14ac:dyDescent="0.2">
      <c r="S2646" s="32"/>
      <c r="T2646" s="187"/>
      <c r="W2646" s="221" t="str">
        <f t="shared" si="50"/>
        <v>1w</v>
      </c>
      <c r="X2646" s="222">
        <f>_xll.qlCalendarAdvance(Calendar,X2645,W2646,"f",FALSE)</f>
        <v>57383</v>
      </c>
      <c r="Y2646" s="227">
        <f>_xll.qlCalendarAdvance(Calendar,X2646,NDays&amp;"D")</f>
        <v>57383</v>
      </c>
      <c r="Z2646" s="228">
        <v>2.9145785787535062E-2</v>
      </c>
      <c r="AA2646" s="230">
        <v>2.9105280214467566E-2</v>
      </c>
    </row>
    <row r="2647" spans="19:27" x14ac:dyDescent="0.2">
      <c r="S2647" s="32"/>
      <c r="T2647" s="187"/>
      <c r="W2647" s="221" t="str">
        <f t="shared" si="50"/>
        <v>1w</v>
      </c>
      <c r="X2647" s="222">
        <f>_xll.qlCalendarAdvance(Calendar,X2646,W2647,"f",FALSE)</f>
        <v>57390</v>
      </c>
      <c r="Y2647" s="227">
        <f>_xll.qlCalendarAdvance(Calendar,X2647,NDays&amp;"D")</f>
        <v>57390</v>
      </c>
      <c r="Z2647" s="228">
        <v>2.9150538755764097E-2</v>
      </c>
      <c r="AA2647" s="230">
        <v>2.9110010239938866E-2</v>
      </c>
    </row>
    <row r="2648" spans="19:27" x14ac:dyDescent="0.2">
      <c r="S2648" s="32"/>
      <c r="T2648" s="187"/>
      <c r="W2648" s="221" t="str">
        <f t="shared" si="50"/>
        <v>1w</v>
      </c>
      <c r="X2648" s="222">
        <f>_xll.qlCalendarAdvance(Calendar,X2647,W2648,"f",FALSE)</f>
        <v>57397</v>
      </c>
      <c r="Y2648" s="227">
        <f>_xll.qlCalendarAdvance(Calendar,X2648,NDays&amp;"D")</f>
        <v>57397</v>
      </c>
      <c r="Z2648" s="228">
        <v>2.9155298333910704E-2</v>
      </c>
      <c r="AA2648" s="230">
        <v>2.9114746859254526E-2</v>
      </c>
    </row>
    <row r="2649" spans="19:27" x14ac:dyDescent="0.2">
      <c r="S2649" s="32"/>
      <c r="T2649" s="187"/>
      <c r="W2649" s="221" t="str">
        <f t="shared" si="50"/>
        <v>1w</v>
      </c>
      <c r="X2649" s="222">
        <f>_xll.qlCalendarAdvance(Calendar,X2648,W2649,"f",FALSE)</f>
        <v>57404</v>
      </c>
      <c r="Y2649" s="227">
        <f>_xll.qlCalendarAdvance(Calendar,X2649,NDays&amp;"D")</f>
        <v>57404</v>
      </c>
      <c r="Z2649" s="228">
        <v>2.9163074709722347E-2</v>
      </c>
      <c r="AA2649" s="230">
        <v>2.9119490072819776E-2</v>
      </c>
    </row>
    <row r="2650" spans="19:27" x14ac:dyDescent="0.2">
      <c r="S2650" s="32"/>
      <c r="T2650" s="187"/>
      <c r="W2650" s="221" t="str">
        <f t="shared" si="50"/>
        <v>1w</v>
      </c>
      <c r="X2650" s="222">
        <f>_xll.qlCalendarAdvance(Calendar,X2649,W2650,"f",FALSE)</f>
        <v>57411</v>
      </c>
      <c r="Y2650" s="227">
        <f>_xll.qlCalendarAdvance(Calendar,X2650,NDays&amp;"D")</f>
        <v>57411</v>
      </c>
      <c r="Z2650" s="228">
        <v>2.9172368266296381E-2</v>
      </c>
      <c r="AA2650" s="230">
        <v>2.9124239880472524E-2</v>
      </c>
    </row>
    <row r="2651" spans="19:27" x14ac:dyDescent="0.2">
      <c r="S2651" s="32"/>
      <c r="T2651" s="187"/>
      <c r="W2651" s="221" t="str">
        <f t="shared" si="50"/>
        <v>1w</v>
      </c>
      <c r="X2651" s="222">
        <f>_xll.qlCalendarAdvance(Calendar,X2650,W2651,"f",FALSE)</f>
        <v>57418</v>
      </c>
      <c r="Y2651" s="227">
        <f>_xll.qlCalendarAdvance(Calendar,X2651,NDays&amp;"D")</f>
        <v>57418</v>
      </c>
      <c r="Z2651" s="228">
        <v>2.9177151943875084E-2</v>
      </c>
      <c r="AA2651" s="230">
        <v>2.9128996281888586E-2</v>
      </c>
    </row>
    <row r="2652" spans="19:27" x14ac:dyDescent="0.2">
      <c r="S2652" s="32"/>
      <c r="T2652" s="187"/>
      <c r="W2652" s="221" t="str">
        <f t="shared" si="50"/>
        <v>1w</v>
      </c>
      <c r="X2652" s="222">
        <f>_xll.qlCalendarAdvance(Calendar,X2651,W2652,"f",FALSE)</f>
        <v>57425</v>
      </c>
      <c r="Y2652" s="227">
        <f>_xll.qlCalendarAdvance(Calendar,X2652,NDays&amp;"D")</f>
        <v>57425</v>
      </c>
      <c r="Z2652" s="228">
        <v>2.9183450617293456E-2</v>
      </c>
      <c r="AA2652" s="230">
        <v>2.9133759277473192E-2</v>
      </c>
    </row>
    <row r="2653" spans="19:27" x14ac:dyDescent="0.2">
      <c r="S2653" s="32"/>
      <c r="T2653" s="187"/>
      <c r="W2653" s="221" t="str">
        <f t="shared" si="50"/>
        <v>1w</v>
      </c>
      <c r="X2653" s="222">
        <f>_xll.qlCalendarAdvance(Calendar,X2652,W2653,"f",FALSE)</f>
        <v>57432</v>
      </c>
      <c r="Y2653" s="227">
        <f>_xll.qlCalendarAdvance(Calendar,X2653,NDays&amp;"D")</f>
        <v>57432</v>
      </c>
      <c r="Z2653" s="228">
        <v>2.9186739137769507E-2</v>
      </c>
      <c r="AA2653" s="230">
        <v>2.9138528867307389E-2</v>
      </c>
    </row>
    <row r="2654" spans="19:27" x14ac:dyDescent="0.2">
      <c r="S2654" s="32"/>
      <c r="T2654" s="187"/>
      <c r="W2654" s="221" t="str">
        <f t="shared" si="50"/>
        <v>1w</v>
      </c>
      <c r="X2654" s="222">
        <f>_xll.qlCalendarAdvance(Calendar,X2653,W2654,"f",FALSE)</f>
        <v>57439</v>
      </c>
      <c r="Y2654" s="227">
        <f>_xll.qlCalendarAdvance(Calendar,X2654,NDays&amp;"D")</f>
        <v>57439</v>
      </c>
      <c r="Z2654" s="228">
        <v>2.9187013342765598E-2</v>
      </c>
      <c r="AA2654" s="230">
        <v>2.91433050509049E-2</v>
      </c>
    </row>
    <row r="2655" spans="19:27" x14ac:dyDescent="0.2">
      <c r="S2655" s="32"/>
      <c r="T2655" s="187"/>
      <c r="W2655" s="221" t="str">
        <f t="shared" si="50"/>
        <v>1w</v>
      </c>
      <c r="X2655" s="222">
        <f>_xll.qlCalendarAdvance(Calendar,X2654,W2655,"f",FALSE)</f>
        <v>57446</v>
      </c>
      <c r="Y2655" s="227">
        <f>_xll.qlCalendarAdvance(Calendar,X2655,NDays&amp;"D")</f>
        <v>57446</v>
      </c>
      <c r="Z2655" s="228">
        <v>2.9191820902812065E-2</v>
      </c>
      <c r="AA2655" s="230">
        <v>2.9148087828589908E-2</v>
      </c>
    </row>
    <row r="2656" spans="19:27" x14ac:dyDescent="0.2">
      <c r="S2656" s="32"/>
      <c r="T2656" s="187"/>
      <c r="W2656" s="221" t="str">
        <f t="shared" si="50"/>
        <v>1w</v>
      </c>
      <c r="X2656" s="222">
        <f>_xll.qlCalendarAdvance(Calendar,X2655,W2656,"f",FALSE)</f>
        <v>57453</v>
      </c>
      <c r="Y2656" s="227">
        <f>_xll.qlCalendarAdvance(Calendar,X2656,NDays&amp;"D")</f>
        <v>57453</v>
      </c>
      <c r="Z2656" s="228">
        <v>2.9196635074027887E-2</v>
      </c>
      <c r="AA2656" s="230">
        <v>2.9152877200362415E-2</v>
      </c>
    </row>
    <row r="2657" spans="19:27" x14ac:dyDescent="0.2">
      <c r="S2657" s="32"/>
      <c r="T2657" s="187"/>
      <c r="W2657" s="221" t="str">
        <f t="shared" si="50"/>
        <v>1w</v>
      </c>
      <c r="X2657" s="222">
        <f>_xll.qlCalendarAdvance(Calendar,X2656,W2657,"f",FALSE)</f>
        <v>57460</v>
      </c>
      <c r="Y2657" s="227">
        <f>_xll.qlCalendarAdvance(Calendar,X2657,NDays&amp;"D")</f>
        <v>57460</v>
      </c>
      <c r="Z2657" s="228">
        <v>2.9201455856421164E-2</v>
      </c>
      <c r="AA2657" s="230">
        <v>2.915767316622242E-2</v>
      </c>
    </row>
    <row r="2658" spans="19:27" x14ac:dyDescent="0.2">
      <c r="S2658" s="32"/>
      <c r="T2658" s="187"/>
      <c r="W2658" s="221" t="str">
        <f t="shared" si="50"/>
        <v>1w</v>
      </c>
      <c r="X2658" s="222">
        <f>_xll.qlCalendarAdvance(Calendar,X2657,W2658,"f",FALSE)</f>
        <v>57467</v>
      </c>
      <c r="Y2658" s="227">
        <f>_xll.qlCalendarAdvance(Calendar,X2658,NDays&amp;"D")</f>
        <v>57467</v>
      </c>
      <c r="Z2658" s="228">
        <v>2.9210822848825157E-2</v>
      </c>
      <c r="AA2658" s="230">
        <v>2.9162475725926784E-2</v>
      </c>
    </row>
    <row r="2659" spans="19:27" x14ac:dyDescent="0.2">
      <c r="S2659" s="32"/>
      <c r="T2659" s="187"/>
      <c r="W2659" s="221" t="str">
        <f t="shared" si="50"/>
        <v>1w</v>
      </c>
      <c r="X2659" s="222">
        <f>_xll.qlCalendarAdvance(Calendar,X2658,W2659,"f",FALSE)</f>
        <v>57474</v>
      </c>
      <c r="Y2659" s="227">
        <f>_xll.qlCalendarAdvance(Calendar,X2659,NDays&amp;"D")</f>
        <v>57474</v>
      </c>
      <c r="Z2659" s="228">
        <v>2.921565942990887E-2</v>
      </c>
      <c r="AA2659" s="230">
        <v>2.9167284879799693E-2</v>
      </c>
    </row>
    <row r="2660" spans="19:27" x14ac:dyDescent="0.2">
      <c r="S2660" s="32"/>
      <c r="T2660" s="187"/>
      <c r="W2660" s="221" t="str">
        <f t="shared" si="50"/>
        <v>1w</v>
      </c>
      <c r="X2660" s="222">
        <f>_xll.qlCalendarAdvance(Calendar,X2659,W2660,"f",FALSE)</f>
        <v>57481</v>
      </c>
      <c r="Y2660" s="227">
        <f>_xll.qlCalendarAdvance(Calendar,X2660,NDays&amp;"D")</f>
        <v>57481</v>
      </c>
      <c r="Z2660" s="228">
        <v>2.9220502623968778E-2</v>
      </c>
      <c r="AA2660" s="230">
        <v>2.91721006277601E-2</v>
      </c>
    </row>
    <row r="2661" spans="19:27" x14ac:dyDescent="0.2">
      <c r="S2661" s="32"/>
      <c r="T2661" s="187"/>
      <c r="W2661" s="221" t="str">
        <f t="shared" si="50"/>
        <v>1w</v>
      </c>
      <c r="X2661" s="222">
        <f>_xll.qlCalendarAdvance(Calendar,X2660,W2661,"f",FALSE)</f>
        <v>57488</v>
      </c>
      <c r="Y2661" s="227">
        <f>_xll.qlCalendarAdvance(Calendar,X2661,NDays&amp;"D")</f>
        <v>57488</v>
      </c>
      <c r="Z2661" s="228">
        <v>2.9225352431012246E-2</v>
      </c>
      <c r="AA2661" s="230">
        <v>2.9176922969726959E-2</v>
      </c>
    </row>
    <row r="2662" spans="19:27" x14ac:dyDescent="0.2">
      <c r="S2662" s="32"/>
      <c r="T2662" s="187"/>
      <c r="W2662" s="221" t="str">
        <f t="shared" si="50"/>
        <v>1w</v>
      </c>
      <c r="X2662" s="222">
        <f>_xll.qlCalendarAdvance(Calendar,X2661,W2662,"f",FALSE)</f>
        <v>57495</v>
      </c>
      <c r="Y2662" s="227">
        <f>_xll.qlCalendarAdvance(Calendar,X2662,NDays&amp;"D")</f>
        <v>57495</v>
      </c>
      <c r="Z2662" s="228">
        <v>2.9225658936246623E-2</v>
      </c>
      <c r="AA2662" s="230">
        <v>2.9181751905538178E-2</v>
      </c>
    </row>
    <row r="2663" spans="19:27" x14ac:dyDescent="0.2">
      <c r="S2663" s="32"/>
      <c r="T2663" s="187"/>
      <c r="W2663" s="221" t="str">
        <f t="shared" si="50"/>
        <v>1w</v>
      </c>
      <c r="X2663" s="222">
        <f>_xll.qlCalendarAdvance(Calendar,X2662,W2663,"f",FALSE)</f>
        <v>57502</v>
      </c>
      <c r="Y2663" s="227">
        <f>_xll.qlCalendarAdvance(Calendar,X2663,NDays&amp;"D")</f>
        <v>57502</v>
      </c>
      <c r="Z2663" s="228">
        <v>2.9230519385847829E-2</v>
      </c>
      <c r="AA2663" s="230">
        <v>2.918658743576108E-2</v>
      </c>
    </row>
    <row r="2664" spans="19:27" x14ac:dyDescent="0.2">
      <c r="S2664" s="32"/>
      <c r="T2664" s="187"/>
      <c r="W2664" s="221" t="str">
        <f t="shared" si="50"/>
        <v>1w</v>
      </c>
      <c r="X2664" s="222">
        <f>_xll.qlCalendarAdvance(Calendar,X2663,W2664,"f",FALSE)</f>
        <v>57509</v>
      </c>
      <c r="Y2664" s="227">
        <f>_xll.qlCalendarAdvance(Calendar,X2664,NDays&amp;"D")</f>
        <v>57509</v>
      </c>
      <c r="Z2664" s="228">
        <v>2.9235386446669714E-2</v>
      </c>
      <c r="AA2664" s="230">
        <v>2.9191429559747295E-2</v>
      </c>
    </row>
    <row r="2665" spans="19:27" x14ac:dyDescent="0.2">
      <c r="S2665" s="32"/>
      <c r="T2665" s="187"/>
      <c r="W2665" s="221" t="str">
        <f t="shared" si="50"/>
        <v>1w</v>
      </c>
      <c r="X2665" s="222">
        <f>_xll.qlCalendarAdvance(Calendar,X2664,W2665,"f",FALSE)</f>
        <v>57516</v>
      </c>
      <c r="Y2665" s="227">
        <f>_xll.qlCalendarAdvance(Calendar,X2665,NDays&amp;"D")</f>
        <v>57516</v>
      </c>
      <c r="Z2665" s="228">
        <v>2.9240260118736594E-2</v>
      </c>
      <c r="AA2665" s="230">
        <v>2.9196278277902055E-2</v>
      </c>
    </row>
    <row r="2666" spans="19:27" x14ac:dyDescent="0.2">
      <c r="S2666" s="32"/>
      <c r="T2666" s="187"/>
      <c r="W2666" s="221" t="str">
        <f t="shared" si="50"/>
        <v>1w</v>
      </c>
      <c r="X2666" s="222">
        <f>_xll.qlCalendarAdvance(Calendar,X2665,W2666,"f",FALSE)</f>
        <v>57523</v>
      </c>
      <c r="Y2666" s="227">
        <f>_xll.qlCalendarAdvance(Calendar,X2666,NDays&amp;"D")</f>
        <v>57523</v>
      </c>
      <c r="Z2666" s="228">
        <v>2.9245140402040369E-2</v>
      </c>
      <c r="AA2666" s="230">
        <v>2.920113358998222E-2</v>
      </c>
    </row>
    <row r="2667" spans="19:27" x14ac:dyDescent="0.2">
      <c r="S2667" s="32"/>
      <c r="T2667" s="187"/>
      <c r="W2667" s="221" t="str">
        <f t="shared" si="50"/>
        <v>1w</v>
      </c>
      <c r="X2667" s="222">
        <f>_xll.qlCalendarAdvance(Calendar,X2666,W2667,"f",FALSE)</f>
        <v>57530</v>
      </c>
      <c r="Y2667" s="227">
        <f>_xll.qlCalendarAdvance(Calendar,X2667,NDays&amp;"D")</f>
        <v>57530</v>
      </c>
      <c r="Z2667" s="228">
        <v>2.9254590146448513E-2</v>
      </c>
      <c r="AA2667" s="230">
        <v>2.920599549623093E-2</v>
      </c>
    </row>
    <row r="2668" spans="19:27" x14ac:dyDescent="0.2">
      <c r="S2668" s="32"/>
      <c r="T2668" s="187"/>
      <c r="W2668" s="221" t="str">
        <f t="shared" si="50"/>
        <v>1w</v>
      </c>
      <c r="X2668" s="222">
        <f>_xll.qlCalendarAdvance(Calendar,X2667,W2668,"f",FALSE)</f>
        <v>57537</v>
      </c>
      <c r="Y2668" s="227">
        <f>_xll.qlCalendarAdvance(Calendar,X2668,NDays&amp;"D")</f>
        <v>57537</v>
      </c>
      <c r="Z2668" s="228">
        <v>2.9259486244634789E-2</v>
      </c>
      <c r="AA2668" s="230">
        <v>2.9210863996486092E-2</v>
      </c>
    </row>
    <row r="2669" spans="19:27" x14ac:dyDescent="0.2">
      <c r="S2669" s="32"/>
      <c r="T2669" s="187"/>
      <c r="W2669" s="221" t="str">
        <f t="shared" si="50"/>
        <v>1w</v>
      </c>
      <c r="X2669" s="222">
        <f>_xll.qlCalendarAdvance(Calendar,X2668,W2669,"f",FALSE)</f>
        <v>57544</v>
      </c>
      <c r="Y2669" s="227">
        <f>_xll.qlCalendarAdvance(Calendar,X2669,NDays&amp;"D")</f>
        <v>57544</v>
      </c>
      <c r="Z2669" s="228">
        <v>2.9264388955870933E-2</v>
      </c>
      <c r="AA2669" s="230">
        <v>2.9215739090666659E-2</v>
      </c>
    </row>
    <row r="2670" spans="19:27" x14ac:dyDescent="0.2">
      <c r="S2670" s="32"/>
      <c r="T2670" s="187"/>
      <c r="W2670" s="221" t="str">
        <f t="shared" si="50"/>
        <v>1w</v>
      </c>
      <c r="X2670" s="222">
        <f>_xll.qlCalendarAdvance(Calendar,X2669,W2670,"f",FALSE)</f>
        <v>57551</v>
      </c>
      <c r="Y2670" s="227">
        <f>_xll.qlCalendarAdvance(Calendar,X2670,NDays&amp;"D")</f>
        <v>57551</v>
      </c>
      <c r="Z2670" s="228">
        <v>2.9270822151960429E-2</v>
      </c>
      <c r="AA2670" s="230">
        <v>2.9220620778934725E-2</v>
      </c>
    </row>
    <row r="2671" spans="19:27" x14ac:dyDescent="0.2">
      <c r="S2671" s="32"/>
      <c r="T2671" s="187"/>
      <c r="W2671" s="221" t="str">
        <f t="shared" si="50"/>
        <v>1w</v>
      </c>
      <c r="X2671" s="222">
        <f>_xll.qlCalendarAdvance(Calendar,X2670,W2671,"f",FALSE)</f>
        <v>57558</v>
      </c>
      <c r="Y2671" s="227">
        <f>_xll.qlCalendarAdvance(Calendar,X2671,NDays&amp;"D")</f>
        <v>57558</v>
      </c>
      <c r="Z2671" s="228">
        <v>2.9274214217546873E-2</v>
      </c>
      <c r="AA2671" s="230">
        <v>2.9225509061371335E-2</v>
      </c>
    </row>
    <row r="2672" spans="19:27" x14ac:dyDescent="0.2">
      <c r="S2672" s="32"/>
      <c r="T2672" s="187"/>
      <c r="W2672" s="221" t="str">
        <f t="shared" si="50"/>
        <v>1w</v>
      </c>
      <c r="X2672" s="222">
        <f>_xll.qlCalendarAdvance(Calendar,X2671,W2672,"f",FALSE)</f>
        <v>57565</v>
      </c>
      <c r="Y2672" s="227">
        <f>_xll.qlCalendarAdvance(Calendar,X2672,NDays&amp;"D")</f>
        <v>57565</v>
      </c>
      <c r="Z2672" s="228">
        <v>2.9279136768006316E-2</v>
      </c>
      <c r="AA2672" s="230">
        <v>2.9230403937814398E-2</v>
      </c>
    </row>
    <row r="2673" spans="19:27" x14ac:dyDescent="0.2">
      <c r="S2673" s="32"/>
      <c r="T2673" s="187"/>
      <c r="W2673" s="221" t="str">
        <f t="shared" si="50"/>
        <v>1w</v>
      </c>
      <c r="X2673" s="222">
        <f>_xll.qlCalendarAdvance(Calendar,X2672,W2673,"f",FALSE)</f>
        <v>57572</v>
      </c>
      <c r="Y2673" s="227">
        <f>_xll.qlCalendarAdvance(Calendar,X2673,NDays&amp;"D")</f>
        <v>57572</v>
      </c>
      <c r="Z2673" s="228">
        <v>2.9284065931550009E-2</v>
      </c>
      <c r="AA2673" s="230">
        <v>2.9235305408101819E-2</v>
      </c>
    </row>
    <row r="2674" spans="19:27" x14ac:dyDescent="0.2">
      <c r="S2674" s="32"/>
      <c r="T2674" s="187"/>
      <c r="W2674" s="221" t="str">
        <f t="shared" si="50"/>
        <v>1w</v>
      </c>
      <c r="X2674" s="222">
        <f>_xll.qlCalendarAdvance(Calendar,X2673,W2674,"f",FALSE)</f>
        <v>57579</v>
      </c>
      <c r="Y2674" s="227">
        <f>_xll.qlCalendarAdvance(Calendar,X2674,NDays&amp;"D")</f>
        <v>57579</v>
      </c>
      <c r="Z2674" s="228">
        <v>2.9289001708195154E-2</v>
      </c>
      <c r="AA2674" s="230">
        <v>2.9240213472638832E-2</v>
      </c>
    </row>
    <row r="2675" spans="19:27" x14ac:dyDescent="0.2">
      <c r="S2675" s="32"/>
      <c r="T2675" s="187"/>
      <c r="W2675" s="221" t="str">
        <f t="shared" si="50"/>
        <v>1w</v>
      </c>
      <c r="X2675" s="222">
        <f>_xll.qlCalendarAdvance(Calendar,X2674,W2675,"f",FALSE)</f>
        <v>57586</v>
      </c>
      <c r="Y2675" s="227">
        <f>_xll.qlCalendarAdvance(Calendar,X2675,NDays&amp;"D")</f>
        <v>57586</v>
      </c>
      <c r="Z2675" s="228">
        <v>2.9289360459125596E-2</v>
      </c>
      <c r="AA2675" s="230">
        <v>2.9245128131182296E-2</v>
      </c>
    </row>
    <row r="2676" spans="19:27" x14ac:dyDescent="0.2">
      <c r="S2676" s="32"/>
      <c r="T2676" s="187"/>
      <c r="W2676" s="221" t="str">
        <f t="shared" si="50"/>
        <v>1w</v>
      </c>
      <c r="X2676" s="222">
        <f>_xll.qlCalendarAdvance(Calendar,X2675,W2676,"f",FALSE)</f>
        <v>57593</v>
      </c>
      <c r="Y2676" s="227">
        <f>_xll.qlCalendarAdvance(Calendar,X2676,NDays&amp;"D")</f>
        <v>57593</v>
      </c>
      <c r="Z2676" s="228">
        <v>2.9294306855319679E-2</v>
      </c>
      <c r="AA2676" s="230">
        <v>2.9250049383813259E-2</v>
      </c>
    </row>
    <row r="2677" spans="19:27" x14ac:dyDescent="0.2">
      <c r="S2677" s="32"/>
      <c r="T2677" s="187"/>
      <c r="W2677" s="221" t="str">
        <f t="shared" si="50"/>
        <v>1w</v>
      </c>
      <c r="X2677" s="222">
        <f>_xll.qlCalendarAdvance(Calendar,X2676,W2677,"f",FALSE)</f>
        <v>57600</v>
      </c>
      <c r="Y2677" s="227">
        <f>_xll.qlCalendarAdvance(Calendar,X2677,NDays&amp;"D")</f>
        <v>57600</v>
      </c>
      <c r="Z2677" s="228">
        <v>2.9299259862839804E-2</v>
      </c>
      <c r="AA2677" s="230">
        <v>2.9254977230288581E-2</v>
      </c>
    </row>
    <row r="2678" spans="19:27" x14ac:dyDescent="0.2">
      <c r="S2678" s="32"/>
      <c r="T2678" s="187"/>
      <c r="W2678" s="221" t="str">
        <f t="shared" si="50"/>
        <v>1w</v>
      </c>
      <c r="X2678" s="222">
        <f>_xll.qlCalendarAdvance(Calendar,X2677,W2678,"f",FALSE)</f>
        <v>57607</v>
      </c>
      <c r="Y2678" s="227">
        <f>_xll.qlCalendarAdvance(Calendar,X2678,NDays&amp;"D")</f>
        <v>57607</v>
      </c>
      <c r="Z2678" s="228">
        <v>2.9304219481702181E-2</v>
      </c>
      <c r="AA2678" s="230">
        <v>2.9259911671013494E-2</v>
      </c>
    </row>
    <row r="2679" spans="19:27" x14ac:dyDescent="0.2">
      <c r="S2679" s="32"/>
      <c r="T2679" s="187"/>
      <c r="W2679" s="221" t="str">
        <f t="shared" si="50"/>
        <v>1w</v>
      </c>
      <c r="X2679" s="222">
        <f>_xll.qlCalendarAdvance(Calendar,X2678,W2679,"f",FALSE)</f>
        <v>57614</v>
      </c>
      <c r="Y2679" s="227">
        <f>_xll.qlCalendarAdvance(Calendar,X2679,NDays&amp;"D")</f>
        <v>57614</v>
      </c>
      <c r="Z2679" s="228">
        <v>2.9309185711914914E-2</v>
      </c>
      <c r="AA2679" s="230">
        <v>2.9264852705582767E-2</v>
      </c>
    </row>
    <row r="2680" spans="19:27" x14ac:dyDescent="0.2">
      <c r="S2680" s="32"/>
      <c r="T2680" s="187"/>
      <c r="W2680" s="221" t="str">
        <f t="shared" si="50"/>
        <v>1w</v>
      </c>
      <c r="X2680" s="222">
        <f>_xll.qlCalendarAdvance(Calendar,X2679,W2680,"f",FALSE)</f>
        <v>57621</v>
      </c>
      <c r="Y2680" s="227">
        <f>_xll.qlCalendarAdvance(Calendar,X2680,NDays&amp;"D")</f>
        <v>57621</v>
      </c>
      <c r="Z2680" s="228">
        <v>2.9318755243638465E-2</v>
      </c>
      <c r="AA2680" s="230">
        <v>2.926980033440163E-2</v>
      </c>
    </row>
    <row r="2681" spans="19:27" x14ac:dyDescent="0.2">
      <c r="S2681" s="32"/>
      <c r="T2681" s="187"/>
      <c r="W2681" s="221" t="str">
        <f t="shared" si="50"/>
        <v>1w</v>
      </c>
      <c r="X2681" s="222">
        <f>_xll.qlCalendarAdvance(Calendar,X2680,W2681,"f",FALSE)</f>
        <v>57628</v>
      </c>
      <c r="Y2681" s="227">
        <f>_xll.qlCalendarAdvance(Calendar,X2681,NDays&amp;"D")</f>
        <v>57628</v>
      </c>
      <c r="Z2681" s="228">
        <v>2.9323737312224596E-2</v>
      </c>
      <c r="AA2681" s="230">
        <v>2.9274754557145899E-2</v>
      </c>
    </row>
    <row r="2682" spans="19:27" x14ac:dyDescent="0.2">
      <c r="S2682" s="32"/>
      <c r="T2682" s="187"/>
      <c r="W2682" s="221" t="str">
        <f t="shared" si="50"/>
        <v>1w</v>
      </c>
      <c r="X2682" s="222">
        <f>_xll.qlCalendarAdvance(Calendar,X2681,W2682,"f",FALSE)</f>
        <v>57635</v>
      </c>
      <c r="Y2682" s="227">
        <f>_xll.qlCalendarAdvance(Calendar,X2682,NDays&amp;"D")</f>
        <v>57635</v>
      </c>
      <c r="Z2682" s="228">
        <v>2.9328725993980939E-2</v>
      </c>
      <c r="AA2682" s="230">
        <v>2.9279715373977666E-2</v>
      </c>
    </row>
    <row r="2683" spans="19:27" x14ac:dyDescent="0.2">
      <c r="S2683" s="32"/>
      <c r="T2683" s="187"/>
      <c r="W2683" s="221" t="str">
        <f t="shared" si="50"/>
        <v>1w</v>
      </c>
      <c r="X2683" s="222">
        <f>_xll.qlCalendarAdvance(Calendar,X2682,W2683,"f",FALSE)</f>
        <v>57642</v>
      </c>
      <c r="Y2683" s="227">
        <f>_xll.qlCalendarAdvance(Calendar,X2683,NDays&amp;"D")</f>
        <v>57642</v>
      </c>
      <c r="Z2683" s="228">
        <v>2.9333721288912408E-2</v>
      </c>
      <c r="AA2683" s="230">
        <v>2.9284682784896932E-2</v>
      </c>
    </row>
    <row r="2684" spans="19:27" x14ac:dyDescent="0.2">
      <c r="S2684" s="32"/>
      <c r="T2684" s="187"/>
      <c r="W2684" s="221" t="str">
        <f t="shared" si="50"/>
        <v>1w</v>
      </c>
      <c r="X2684" s="222">
        <f>_xll.qlCalendarAdvance(Calendar,X2683,W2684,"f",FALSE)</f>
        <v>57649</v>
      </c>
      <c r="Y2684" s="227">
        <f>_xll.qlCalendarAdvance(Calendar,X2684,NDays&amp;"D")</f>
        <v>57649</v>
      </c>
      <c r="Z2684" s="228">
        <v>2.9334116033493268E-2</v>
      </c>
      <c r="AA2684" s="230">
        <v>2.9289656789741603E-2</v>
      </c>
    </row>
    <row r="2685" spans="19:27" x14ac:dyDescent="0.2">
      <c r="S2685" s="32"/>
      <c r="T2685" s="187"/>
      <c r="W2685" s="221" t="str">
        <f t="shared" si="50"/>
        <v>1w</v>
      </c>
      <c r="X2685" s="222">
        <f>_xll.qlCalendarAdvance(Calendar,X2684,W2685,"f",FALSE)</f>
        <v>57656</v>
      </c>
      <c r="Y2685" s="227">
        <f>_xll.qlCalendarAdvance(Calendar,X2685,NDays&amp;"D")</f>
        <v>57656</v>
      </c>
      <c r="Z2685" s="228">
        <v>2.9339121931967527E-2</v>
      </c>
      <c r="AA2685" s="230">
        <v>2.9294637388754818E-2</v>
      </c>
    </row>
    <row r="2686" spans="19:27" x14ac:dyDescent="0.2">
      <c r="S2686" s="32"/>
      <c r="T2686" s="187"/>
      <c r="W2686" s="221" t="str">
        <f t="shared" si="50"/>
        <v>1w</v>
      </c>
      <c r="X2686" s="222">
        <f>_xll.qlCalendarAdvance(Calendar,X2685,W2686,"f",FALSE)</f>
        <v>57663</v>
      </c>
      <c r="Y2686" s="227">
        <f>_xll.qlCalendarAdvance(Calendar,X2686,NDays&amp;"D")</f>
        <v>57663</v>
      </c>
      <c r="Z2686" s="228">
        <v>2.9344134441851577E-2</v>
      </c>
      <c r="AA2686" s="230">
        <v>2.9299624581855532E-2</v>
      </c>
    </row>
    <row r="2687" spans="19:27" x14ac:dyDescent="0.2">
      <c r="S2687" s="32"/>
      <c r="T2687" s="187"/>
      <c r="W2687" s="221" t="str">
        <f t="shared" si="50"/>
        <v>1w</v>
      </c>
      <c r="X2687" s="222">
        <f>_xll.qlCalendarAdvance(Calendar,X2686,W2687,"f",FALSE)</f>
        <v>57670</v>
      </c>
      <c r="Y2687" s="227">
        <f>_xll.qlCalendarAdvance(Calendar,X2687,NDays&amp;"D")</f>
        <v>57670</v>
      </c>
      <c r="Z2687" s="228">
        <v>2.9349153563140017E-2</v>
      </c>
      <c r="AA2687" s="230">
        <v>2.9304618368800606E-2</v>
      </c>
    </row>
    <row r="2688" spans="19:27" x14ac:dyDescent="0.2">
      <c r="S2688" s="32"/>
      <c r="T2688" s="187"/>
      <c r="W2688" s="221" t="str">
        <f t="shared" si="50"/>
        <v>1w</v>
      </c>
      <c r="X2688" s="222">
        <f>_xll.qlCalendarAdvance(Calendar,X2687,W2688,"f",FALSE)</f>
        <v>57677</v>
      </c>
      <c r="Y2688" s="227">
        <f>_xll.qlCalendarAdvance(Calendar,X2688,NDays&amp;"D")</f>
        <v>57677</v>
      </c>
      <c r="Z2688" s="228">
        <v>2.9354179295857152E-2</v>
      </c>
      <c r="AA2688" s="230">
        <v>2.9309618749833177E-2</v>
      </c>
    </row>
    <row r="2689" spans="19:27" x14ac:dyDescent="0.2">
      <c r="S2689" s="32"/>
      <c r="T2689" s="187"/>
      <c r="W2689" s="221" t="str">
        <f t="shared" si="50"/>
        <v>1w</v>
      </c>
      <c r="X2689" s="222">
        <f>_xll.qlCalendarAdvance(Calendar,X2688,W2689,"f",FALSE)</f>
        <v>57684</v>
      </c>
      <c r="Y2689" s="227">
        <f>_xll.qlCalendarAdvance(Calendar,X2689,NDays&amp;"D")</f>
        <v>57684</v>
      </c>
      <c r="Z2689" s="228">
        <v>2.9363831935770739E-2</v>
      </c>
      <c r="AA2689" s="230">
        <v>2.9314625725034293E-2</v>
      </c>
    </row>
    <row r="2690" spans="19:27" x14ac:dyDescent="0.2">
      <c r="S2690" s="32"/>
      <c r="T2690" s="187"/>
      <c r="W2690" s="221" t="str">
        <f t="shared" si="50"/>
        <v>1w</v>
      </c>
      <c r="X2690" s="222">
        <f>_xll.qlCalendarAdvance(Calendar,X2689,W2690,"f",FALSE)</f>
        <v>57691</v>
      </c>
      <c r="Y2690" s="227">
        <f>_xll.qlCalendarAdvance(Calendar,X2690,NDays&amp;"D")</f>
        <v>57691</v>
      </c>
      <c r="Z2690" s="228">
        <v>2.9368873523210517E-2</v>
      </c>
      <c r="AA2690" s="230">
        <v>2.9319639294241862E-2</v>
      </c>
    </row>
    <row r="2691" spans="19:27" x14ac:dyDescent="0.2">
      <c r="S2691" s="32"/>
      <c r="T2691" s="187"/>
      <c r="W2691" s="221" t="str">
        <f t="shared" si="50"/>
        <v>1w</v>
      </c>
      <c r="X2691" s="222">
        <f>_xll.qlCalendarAdvance(Calendar,X2690,W2691,"f",FALSE)</f>
        <v>57698</v>
      </c>
      <c r="Y2691" s="227">
        <f>_xll.qlCalendarAdvance(Calendar,X2691,NDays&amp;"D")</f>
        <v>57698</v>
      </c>
      <c r="Z2691" s="228">
        <v>2.9373921723894192E-2</v>
      </c>
      <c r="AA2691" s="230">
        <v>2.9324659457374835E-2</v>
      </c>
    </row>
    <row r="2692" spans="19:27" x14ac:dyDescent="0.2">
      <c r="S2692" s="32"/>
      <c r="T2692" s="187"/>
      <c r="W2692" s="221" t="str">
        <f t="shared" si="50"/>
        <v>1w</v>
      </c>
      <c r="X2692" s="222">
        <f>_xll.qlCalendarAdvance(Calendar,X2691,W2692,"f",FALSE)</f>
        <v>57706</v>
      </c>
      <c r="Y2692" s="227">
        <f>_xll.qlCalendarAdvance(Calendar,X2692,NDays&amp;"D")</f>
        <v>57706</v>
      </c>
      <c r="Z2692" s="228">
        <v>2.9378156169748322E-2</v>
      </c>
      <c r="AA2692" s="230">
        <v>2.9330404861206416E-2</v>
      </c>
    </row>
    <row r="2693" spans="19:27" x14ac:dyDescent="0.2">
      <c r="S2693" s="32"/>
      <c r="T2693" s="187"/>
      <c r="W2693" s="221" t="str">
        <f t="shared" si="50"/>
        <v>1w</v>
      </c>
      <c r="X2693" s="222">
        <f>_xll.qlCalendarAdvance(Calendar,X2692,W2693,"f",FALSE)</f>
        <v>57713</v>
      </c>
      <c r="Y2693" s="227">
        <f>_xll.qlCalendarAdvance(Calendar,X2693,NDays&amp;"D")</f>
        <v>57713</v>
      </c>
      <c r="Z2693" s="228">
        <v>2.9383217662422058E-2</v>
      </c>
      <c r="AA2693" s="230">
        <v>2.9335439154515308E-2</v>
      </c>
    </row>
    <row r="2694" spans="19:27" x14ac:dyDescent="0.2">
      <c r="S2694" s="32"/>
      <c r="T2694" s="187"/>
      <c r="W2694" s="221" t="str">
        <f t="shared" si="50"/>
        <v>1w</v>
      </c>
      <c r="X2694" s="222">
        <f>_xll.qlCalendarAdvance(Calendar,X2693,W2694,"f",FALSE)</f>
        <v>57720</v>
      </c>
      <c r="Y2694" s="227">
        <f>_xll.qlCalendarAdvance(Calendar,X2694,NDays&amp;"D")</f>
        <v>57720</v>
      </c>
      <c r="Z2694" s="228">
        <v>2.9388285767773283E-2</v>
      </c>
      <c r="AA2694" s="230">
        <v>2.9340480041992745E-2</v>
      </c>
    </row>
    <row r="2695" spans="19:27" x14ac:dyDescent="0.2">
      <c r="S2695" s="32"/>
      <c r="T2695" s="187"/>
      <c r="W2695" s="221" t="str">
        <f t="shared" si="50"/>
        <v>1w</v>
      </c>
      <c r="X2695" s="222">
        <f>_xll.qlCalendarAdvance(Calendar,X2694,W2695,"f",FALSE)</f>
        <v>57727</v>
      </c>
      <c r="Y2695" s="227">
        <f>_xll.qlCalendarAdvance(Calendar,X2695,NDays&amp;"D")</f>
        <v>57727</v>
      </c>
      <c r="Z2695" s="228">
        <v>2.9393360485809594E-2</v>
      </c>
      <c r="AA2695" s="230">
        <v>2.9345527523314541E-2</v>
      </c>
    </row>
    <row r="2696" spans="19:27" x14ac:dyDescent="0.2">
      <c r="S2696" s="32"/>
      <c r="T2696" s="187"/>
      <c r="W2696" s="221" t="str">
        <f t="shared" si="50"/>
        <v>1w</v>
      </c>
      <c r="X2696" s="222">
        <f>_xll.qlCalendarAdvance(Calendar,X2695,W2696,"f",FALSE)</f>
        <v>57734</v>
      </c>
      <c r="Y2696" s="227">
        <f>_xll.qlCalendarAdvance(Calendar,X2696,NDays&amp;"D")</f>
        <v>57734</v>
      </c>
      <c r="Z2696" s="228">
        <v>2.9398441816538591E-2</v>
      </c>
      <c r="AA2696" s="230">
        <v>2.9350581598804881E-2</v>
      </c>
    </row>
    <row r="2697" spans="19:27" x14ac:dyDescent="0.2">
      <c r="S2697" s="32"/>
      <c r="T2697" s="187"/>
      <c r="W2697" s="221" t="str">
        <f t="shared" si="50"/>
        <v>1w</v>
      </c>
      <c r="X2697" s="222">
        <f>_xll.qlCalendarAdvance(Calendar,X2696,W2697,"f",FALSE)</f>
        <v>57741</v>
      </c>
      <c r="Y2697" s="227">
        <f>_xll.qlCalendarAdvance(Calendar,X2697,NDays&amp;"D")</f>
        <v>57741</v>
      </c>
      <c r="Z2697" s="228">
        <v>2.9397341723190352E-2</v>
      </c>
      <c r="AA2697" s="230">
        <v>2.935564226838272E-2</v>
      </c>
    </row>
    <row r="2698" spans="19:27" x14ac:dyDescent="0.2">
      <c r="S2698" s="32"/>
      <c r="T2698" s="187"/>
      <c r="W2698" s="221" t="str">
        <f t="shared" si="50"/>
        <v>1w</v>
      </c>
      <c r="X2698" s="222">
        <f>_xll.qlCalendarAdvance(Calendar,X2697,W2698,"f",FALSE)</f>
        <v>57748</v>
      </c>
      <c r="Y2698" s="227">
        <f>_xll.qlCalendarAdvance(Calendar,X2698,NDays&amp;"D")</f>
        <v>57748</v>
      </c>
      <c r="Z2698" s="228">
        <v>2.9402432751289564E-2</v>
      </c>
      <c r="AA2698" s="230">
        <v>2.9360709531967011E-2</v>
      </c>
    </row>
    <row r="2699" spans="19:27" x14ac:dyDescent="0.2">
      <c r="S2699" s="32"/>
      <c r="T2699" s="187"/>
      <c r="W2699" s="221" t="str">
        <f t="shared" si="50"/>
        <v>1w</v>
      </c>
      <c r="X2699" s="222">
        <f>_xll.qlCalendarAdvance(Calendar,X2698,W2699,"f",FALSE)</f>
        <v>57755</v>
      </c>
      <c r="Y2699" s="227">
        <f>_xll.qlCalendarAdvance(Calendar,X2699,NDays&amp;"D")</f>
        <v>57755</v>
      </c>
      <c r="Z2699" s="228">
        <v>2.9407530389702896E-2</v>
      </c>
      <c r="AA2699" s="230">
        <v>2.9365783389557754E-2</v>
      </c>
    </row>
    <row r="2700" spans="19:27" x14ac:dyDescent="0.2">
      <c r="S2700" s="32"/>
      <c r="T2700" s="187"/>
      <c r="W2700" s="221" t="str">
        <f t="shared" si="50"/>
        <v>1w</v>
      </c>
      <c r="X2700" s="222">
        <f>_xll.qlCalendarAdvance(Calendar,X2699,W2700,"f",FALSE)</f>
        <v>57762</v>
      </c>
      <c r="Y2700" s="227">
        <f>_xll.qlCalendarAdvance(Calendar,X2700,NDays&amp;"D")</f>
        <v>57762</v>
      </c>
      <c r="Z2700" s="228">
        <v>2.9412634638418769E-2</v>
      </c>
      <c r="AA2700" s="230">
        <v>2.9370863841317041E-2</v>
      </c>
    </row>
    <row r="2701" spans="19:27" x14ac:dyDescent="0.2">
      <c r="S2701" s="32"/>
      <c r="T2701" s="187"/>
      <c r="W2701" s="221" t="str">
        <f t="shared" si="50"/>
        <v>1w</v>
      </c>
      <c r="X2701" s="222">
        <f>_xll.qlCalendarAdvance(Calendar,X2700,W2701,"f",FALSE)</f>
        <v>57769</v>
      </c>
      <c r="Y2701" s="227">
        <f>_xll.qlCalendarAdvance(Calendar,X2701,NDays&amp;"D")</f>
        <v>57769</v>
      </c>
      <c r="Z2701" s="228">
        <v>2.9419295787135771E-2</v>
      </c>
      <c r="AA2701" s="230">
        <v>2.937595088708278E-2</v>
      </c>
    </row>
    <row r="2702" spans="19:27" x14ac:dyDescent="0.2">
      <c r="S2702" s="32"/>
      <c r="T2702" s="187"/>
      <c r="W2702" s="221" t="str">
        <f t="shared" si="50"/>
        <v>1w</v>
      </c>
      <c r="X2702" s="222">
        <f>_xll.qlCalendarAdvance(Calendar,X2701,W2702,"f",FALSE)</f>
        <v>57776</v>
      </c>
      <c r="Y2702" s="227">
        <f>_xll.qlCalendarAdvance(Calendar,X2702,NDays&amp;"D")</f>
        <v>57776</v>
      </c>
      <c r="Z2702" s="228">
        <v>2.9429068667993358E-2</v>
      </c>
      <c r="AA2702" s="230">
        <v>2.9381044526773925E-2</v>
      </c>
    </row>
    <row r="2703" spans="19:27" x14ac:dyDescent="0.2">
      <c r="S2703" s="32"/>
      <c r="T2703" s="187"/>
      <c r="W2703" s="221" t="str">
        <f t="shared" si="50"/>
        <v>1w</v>
      </c>
      <c r="X2703" s="222">
        <f>_xll.qlCalendarAdvance(Calendar,X2702,W2703,"f",FALSE)</f>
        <v>57783</v>
      </c>
      <c r="Y2703" s="227">
        <f>_xll.qlCalendarAdvance(Calendar,X2703,NDays&amp;"D")</f>
        <v>57783</v>
      </c>
      <c r="Z2703" s="228">
        <v>2.9435749017476035E-2</v>
      </c>
      <c r="AA2703" s="230">
        <v>2.9386144760390476E-2</v>
      </c>
    </row>
    <row r="2704" spans="19:27" x14ac:dyDescent="0.2">
      <c r="S2704" s="32"/>
      <c r="T2704" s="187"/>
      <c r="W2704" s="221" t="str">
        <f t="shared" si="50"/>
        <v>1w</v>
      </c>
      <c r="X2704" s="222">
        <f>_xll.qlCalendarAdvance(Calendar,X2703,W2704,"f",FALSE)</f>
        <v>57790</v>
      </c>
      <c r="Y2704" s="227">
        <f>_xll.qlCalendarAdvance(Calendar,X2704,NDays&amp;"D")</f>
        <v>57790</v>
      </c>
      <c r="Z2704" s="228">
        <v>2.9439330520429213E-2</v>
      </c>
      <c r="AA2704" s="230">
        <v>2.9391251588499756E-2</v>
      </c>
    </row>
    <row r="2705" spans="19:27" x14ac:dyDescent="0.2">
      <c r="S2705" s="32"/>
      <c r="T2705" s="187"/>
      <c r="W2705" s="221" t="str">
        <f t="shared" si="50"/>
        <v>1w</v>
      </c>
      <c r="X2705" s="222">
        <f>_xll.qlCalendarAdvance(Calendar,X2704,W2705,"f",FALSE)</f>
        <v>57797</v>
      </c>
      <c r="Y2705" s="227">
        <f>_xll.qlCalendarAdvance(Calendar,X2705,NDays&amp;"D")</f>
        <v>57797</v>
      </c>
      <c r="Z2705" s="228">
        <v>2.9444471365807738E-2</v>
      </c>
      <c r="AA2705" s="230">
        <v>2.939636501037235E-2</v>
      </c>
    </row>
    <row r="2706" spans="19:27" x14ac:dyDescent="0.2">
      <c r="S2706" s="32"/>
      <c r="T2706" s="187"/>
      <c r="W2706" s="221" t="str">
        <f t="shared" si="50"/>
        <v>1w</v>
      </c>
      <c r="X2706" s="222">
        <f>_xll.qlCalendarAdvance(Calendar,X2705,W2706,"f",FALSE)</f>
        <v>57804</v>
      </c>
      <c r="Y2706" s="227">
        <f>_xll.qlCalendarAdvance(Calendar,X2706,NDays&amp;"D")</f>
        <v>57804</v>
      </c>
      <c r="Z2706" s="228">
        <v>2.9451174213242552E-2</v>
      </c>
      <c r="AA2706" s="230">
        <v>2.9401485026494534E-2</v>
      </c>
    </row>
    <row r="2707" spans="19:27" x14ac:dyDescent="0.2">
      <c r="S2707" s="32"/>
      <c r="T2707" s="187"/>
      <c r="W2707" s="221" t="str">
        <f t="shared" si="50"/>
        <v>1w</v>
      </c>
      <c r="X2707" s="222">
        <f>_xll.qlCalendarAdvance(Calendar,X2706,W2707,"f",FALSE)</f>
        <v>57811</v>
      </c>
      <c r="Y2707" s="227">
        <f>_xll.qlCalendarAdvance(Calendar,X2707,NDays&amp;"D")</f>
        <v>57811</v>
      </c>
      <c r="Z2707" s="228">
        <v>2.9454772894913842E-2</v>
      </c>
      <c r="AA2707" s="230">
        <v>2.9412816931756014E-2</v>
      </c>
    </row>
    <row r="2708" spans="19:27" x14ac:dyDescent="0.2">
      <c r="S2708" s="32"/>
      <c r="T2708" s="187"/>
      <c r="W2708" s="221" t="str">
        <f t="shared" si="50"/>
        <v>1w</v>
      </c>
      <c r="X2708" s="222">
        <f>_xll.qlCalendarAdvance(Calendar,X2707,W2708,"f",FALSE)</f>
        <v>57818</v>
      </c>
      <c r="Y2708" s="227">
        <f>_xll.qlCalendarAdvance(Calendar,X2708,NDays&amp;"D")</f>
        <v>57818</v>
      </c>
      <c r="Z2708" s="228">
        <v>2.9459933578666747E-2</v>
      </c>
      <c r="AA2708" s="230">
        <v>2.9411744840515119E-2</v>
      </c>
    </row>
    <row r="2709" spans="19:27" x14ac:dyDescent="0.2">
      <c r="S2709" s="32"/>
      <c r="T2709" s="187"/>
      <c r="W2709" s="221" t="str">
        <f t="shared" ref="W2709:W2772" si="51">W2708</f>
        <v>1w</v>
      </c>
      <c r="X2709" s="222">
        <f>_xll.qlCalendarAdvance(Calendar,X2708,W2709,"f",FALSE)</f>
        <v>57825</v>
      </c>
      <c r="Y2709" s="227">
        <f>_xll.qlCalendarAdvance(Calendar,X2709,NDays&amp;"D")</f>
        <v>57825</v>
      </c>
      <c r="Z2709" s="228">
        <v>2.9466658929584343E-2</v>
      </c>
      <c r="AA2709" s="230">
        <v>2.941688463865666E-2</v>
      </c>
    </row>
    <row r="2710" spans="19:27" x14ac:dyDescent="0.2">
      <c r="S2710" s="32"/>
      <c r="T2710" s="187"/>
      <c r="W2710" s="221" t="str">
        <f t="shared" si="51"/>
        <v>1w</v>
      </c>
      <c r="X2710" s="222">
        <f>_xll.qlCalendarAdvance(Calendar,X2709,W2710,"f",FALSE)</f>
        <v>57832</v>
      </c>
      <c r="Y2710" s="227">
        <f>_xll.qlCalendarAdvance(Calendar,X2710,NDays&amp;"D")</f>
        <v>57832</v>
      </c>
      <c r="Z2710" s="228">
        <v>2.9470274784605191E-2</v>
      </c>
      <c r="AA2710" s="230">
        <v>2.9422031030723605E-2</v>
      </c>
    </row>
    <row r="2711" spans="19:27" x14ac:dyDescent="0.2">
      <c r="S2711" s="32"/>
      <c r="T2711" s="187"/>
      <c r="W2711" s="221" t="str">
        <f t="shared" si="51"/>
        <v>1w</v>
      </c>
      <c r="X2711" s="222">
        <f>_xll.qlCalendarAdvance(Calendar,X2710,W2711,"f",FALSE)</f>
        <v>57839</v>
      </c>
      <c r="Y2711" s="227">
        <f>_xll.qlCalendarAdvance(Calendar,X2711,NDays&amp;"D")</f>
        <v>57839</v>
      </c>
      <c r="Z2711" s="228">
        <v>2.9475455306813524E-2</v>
      </c>
      <c r="AA2711" s="230">
        <v>2.9427184016959096E-2</v>
      </c>
    </row>
    <row r="2712" spans="19:27" x14ac:dyDescent="0.2">
      <c r="S2712" s="32"/>
      <c r="T2712" s="187"/>
      <c r="W2712" s="221" t="str">
        <f t="shared" si="51"/>
        <v>1w</v>
      </c>
      <c r="X2712" s="222">
        <f>_xll.qlCalendarAdvance(Calendar,X2711,W2712,"f",FALSE)</f>
        <v>57846</v>
      </c>
      <c r="Y2712" s="227">
        <f>_xll.qlCalendarAdvance(Calendar,X2712,NDays&amp;"D")</f>
        <v>57846</v>
      </c>
      <c r="Z2712" s="228">
        <v>2.9480642441858905E-2</v>
      </c>
      <c r="AA2712" s="230">
        <v>2.9432343597282085E-2</v>
      </c>
    </row>
    <row r="2713" spans="19:27" x14ac:dyDescent="0.2">
      <c r="S2713" s="32"/>
      <c r="T2713" s="187"/>
      <c r="W2713" s="221" t="str">
        <f t="shared" si="51"/>
        <v>1w</v>
      </c>
      <c r="X2713" s="222">
        <f>_xll.qlCalendarAdvance(Calendar,X2712,W2713,"f",FALSE)</f>
        <v>57853</v>
      </c>
      <c r="Y2713" s="227">
        <f>_xll.qlCalendarAdvance(Calendar,X2713,NDays&amp;"D")</f>
        <v>57853</v>
      </c>
      <c r="Z2713" s="228">
        <v>2.9485836189746401E-2</v>
      </c>
      <c r="AA2713" s="230">
        <v>2.9437509771692572E-2</v>
      </c>
    </row>
    <row r="2714" spans="19:27" x14ac:dyDescent="0.2">
      <c r="S2714" s="32"/>
      <c r="T2714" s="187"/>
      <c r="W2714" s="221" t="str">
        <f t="shared" si="51"/>
        <v>1w</v>
      </c>
      <c r="X2714" s="222">
        <f>_xll.qlCalendarAdvance(Calendar,X2713,W2714,"f",FALSE)</f>
        <v>57860</v>
      </c>
      <c r="Y2714" s="227">
        <f>_xll.qlCalendarAdvance(Calendar,X2714,NDays&amp;"D")</f>
        <v>57860</v>
      </c>
      <c r="Z2714" s="228">
        <v>2.9486350039961751E-2</v>
      </c>
      <c r="AA2714" s="230">
        <v>2.9442682539947418E-2</v>
      </c>
    </row>
    <row r="2715" spans="19:27" x14ac:dyDescent="0.2">
      <c r="S2715" s="32"/>
      <c r="T2715" s="187"/>
      <c r="W2715" s="221" t="str">
        <f t="shared" si="51"/>
        <v>1w</v>
      </c>
      <c r="X2715" s="222">
        <f>_xll.qlCalendarAdvance(Calendar,X2714,W2715,"f",FALSE)</f>
        <v>57867</v>
      </c>
      <c r="Y2715" s="227">
        <f>_xll.qlCalendarAdvance(Calendar,X2715,NDays&amp;"D")</f>
        <v>57867</v>
      </c>
      <c r="Z2715" s="228">
        <v>2.9496243524098388E-2</v>
      </c>
      <c r="AA2715" s="230">
        <v>2.9447861902532901E-2</v>
      </c>
    </row>
    <row r="2716" spans="19:27" x14ac:dyDescent="0.2">
      <c r="S2716" s="32"/>
      <c r="T2716" s="187"/>
      <c r="W2716" s="221" t="str">
        <f t="shared" si="51"/>
        <v>1w</v>
      </c>
      <c r="X2716" s="222">
        <f>_xll.qlCalendarAdvance(Calendar,X2715,W2716,"f",FALSE)</f>
        <v>57874</v>
      </c>
      <c r="Y2716" s="227">
        <f>_xll.qlCalendarAdvance(Calendar,X2716,NDays&amp;"D")</f>
        <v>57874</v>
      </c>
      <c r="Z2716" s="228">
        <v>2.9501457110580609E-2</v>
      </c>
      <c r="AA2716" s="230">
        <v>2.9453047859043791E-2</v>
      </c>
    </row>
    <row r="2717" spans="19:27" x14ac:dyDescent="0.2">
      <c r="S2717" s="32"/>
      <c r="T2717" s="187"/>
      <c r="W2717" s="221" t="str">
        <f t="shared" si="51"/>
        <v>1w</v>
      </c>
      <c r="X2717" s="222">
        <f>_xll.qlCalendarAdvance(Calendar,X2716,W2717,"f",FALSE)</f>
        <v>57881</v>
      </c>
      <c r="Y2717" s="227">
        <f>_xll.qlCalendarAdvance(Calendar,X2717,NDays&amp;"D")</f>
        <v>57881</v>
      </c>
      <c r="Z2717" s="228">
        <v>2.9506677309942934E-2</v>
      </c>
      <c r="AA2717" s="230">
        <v>2.9458240409561132E-2</v>
      </c>
    </row>
    <row r="2718" spans="19:27" x14ac:dyDescent="0.2">
      <c r="S2718" s="32"/>
      <c r="T2718" s="187"/>
      <c r="W2718" s="221" t="str">
        <f t="shared" si="51"/>
        <v>1w</v>
      </c>
      <c r="X2718" s="222">
        <f>_xll.qlCalendarAdvance(Calendar,X2717,W2718,"f",FALSE)</f>
        <v>57888</v>
      </c>
      <c r="Y2718" s="227">
        <f>_xll.qlCalendarAdvance(Calendar,X2718,NDays&amp;"D")</f>
        <v>57888</v>
      </c>
      <c r="Z2718" s="228">
        <v>2.951190412219043E-2</v>
      </c>
      <c r="AA2718" s="230">
        <v>2.9463439554003878E-2</v>
      </c>
    </row>
    <row r="2719" spans="19:27" x14ac:dyDescent="0.2">
      <c r="S2719" s="32"/>
      <c r="T2719" s="187"/>
      <c r="W2719" s="221" t="str">
        <f t="shared" si="51"/>
        <v>1w</v>
      </c>
      <c r="X2719" s="222">
        <f>_xll.qlCalendarAdvance(Calendar,X2718,W2719,"f",FALSE)</f>
        <v>57895</v>
      </c>
      <c r="Y2719" s="227">
        <f>_xll.qlCalendarAdvance(Calendar,X2719,NDays&amp;"D")</f>
        <v>57895</v>
      </c>
      <c r="Z2719" s="228">
        <v>2.951713754734589E-2</v>
      </c>
      <c r="AA2719" s="230">
        <v>2.9468645292939355E-2</v>
      </c>
    </row>
    <row r="2720" spans="19:27" x14ac:dyDescent="0.2">
      <c r="S2720" s="32"/>
      <c r="T2720" s="187"/>
      <c r="W2720" s="221" t="str">
        <f t="shared" si="51"/>
        <v>1w</v>
      </c>
      <c r="X2720" s="222">
        <f>_xll.qlCalendarAdvance(Calendar,X2719,W2720,"f",FALSE)</f>
        <v>57902</v>
      </c>
      <c r="Y2720" s="227">
        <f>_xll.qlCalendarAdvance(Calendar,X2720,NDays&amp;"D")</f>
        <v>57902</v>
      </c>
      <c r="Z2720" s="228">
        <v>2.9522377585406781E-2</v>
      </c>
      <c r="AA2720" s="230">
        <v>2.9473857625557098E-2</v>
      </c>
    </row>
    <row r="2721" spans="19:27" x14ac:dyDescent="0.2">
      <c r="S2721" s="32"/>
      <c r="T2721" s="187"/>
      <c r="W2721" s="221" t="str">
        <f t="shared" si="51"/>
        <v>1w</v>
      </c>
      <c r="X2721" s="222">
        <f>_xll.qlCalendarAdvance(Calendar,X2720,W2721,"f",FALSE)</f>
        <v>57909</v>
      </c>
      <c r="Y2721" s="227">
        <f>_xll.qlCalendarAdvance(Calendar,X2721,NDays&amp;"D")</f>
        <v>57909</v>
      </c>
      <c r="Z2721" s="228">
        <v>2.9527624236380702E-2</v>
      </c>
      <c r="AA2721" s="230">
        <v>2.9479076552343386E-2</v>
      </c>
    </row>
    <row r="2722" spans="19:27" x14ac:dyDescent="0.2">
      <c r="S2722" s="32"/>
      <c r="T2722" s="187"/>
      <c r="W2722" s="221" t="str">
        <f t="shared" si="51"/>
        <v>1w</v>
      </c>
      <c r="X2722" s="222">
        <f>_xll.qlCalendarAdvance(Calendar,X2721,W2722,"f",FALSE)</f>
        <v>57916</v>
      </c>
      <c r="Y2722" s="227">
        <f>_xll.qlCalendarAdvance(Calendar,X2722,NDays&amp;"D")</f>
        <v>57916</v>
      </c>
      <c r="Z2722" s="228">
        <v>2.9534447166538629E-2</v>
      </c>
      <c r="AA2722" s="230">
        <v>2.9484302073217172E-2</v>
      </c>
    </row>
    <row r="2723" spans="19:27" x14ac:dyDescent="0.2">
      <c r="S2723" s="32"/>
      <c r="T2723" s="187"/>
      <c r="W2723" s="221" t="str">
        <f t="shared" si="51"/>
        <v>1w</v>
      </c>
      <c r="X2723" s="222">
        <f>_xll.qlCalendarAdvance(Calendar,X2722,W2723,"f",FALSE)</f>
        <v>57923</v>
      </c>
      <c r="Y2723" s="227">
        <f>_xll.qlCalendarAdvance(Calendar,X2723,NDays&amp;"D")</f>
        <v>57923</v>
      </c>
      <c r="Z2723" s="228">
        <v>2.9538137377133483E-2</v>
      </c>
      <c r="AA2723" s="230">
        <v>2.948953418809741E-2</v>
      </c>
    </row>
    <row r="2724" spans="19:27" x14ac:dyDescent="0.2">
      <c r="S2724" s="32"/>
      <c r="T2724" s="187"/>
      <c r="W2724" s="221" t="str">
        <f t="shared" si="51"/>
        <v>1w</v>
      </c>
      <c r="X2724" s="222">
        <f>_xll.qlCalendarAdvance(Calendar,X2723,W2724,"f",FALSE)</f>
        <v>57930</v>
      </c>
      <c r="Y2724" s="227">
        <f>_xll.qlCalendarAdvance(Calendar,X2724,NDays&amp;"D")</f>
        <v>57930</v>
      </c>
      <c r="Z2724" s="228">
        <v>2.9543403866922474E-2</v>
      </c>
      <c r="AA2724" s="230">
        <v>2.9494772897065147E-2</v>
      </c>
    </row>
    <row r="2725" spans="19:27" x14ac:dyDescent="0.2">
      <c r="S2725" s="32"/>
      <c r="T2725" s="187"/>
      <c r="W2725" s="221" t="str">
        <f t="shared" si="51"/>
        <v>1w</v>
      </c>
      <c r="X2725" s="222">
        <f>_xll.qlCalendarAdvance(Calendar,X2724,W2725,"f",FALSE)</f>
        <v>57937</v>
      </c>
      <c r="Y2725" s="227">
        <f>_xll.qlCalendarAdvance(Calendar,X2725,NDays&amp;"D")</f>
        <v>57937</v>
      </c>
      <c r="Z2725" s="228">
        <v>2.954867696965742E-2</v>
      </c>
      <c r="AA2725" s="230">
        <v>2.9500018199958289E-2</v>
      </c>
    </row>
    <row r="2726" spans="19:27" x14ac:dyDescent="0.2">
      <c r="S2726" s="32"/>
      <c r="T2726" s="187"/>
      <c r="W2726" s="221" t="str">
        <f t="shared" si="51"/>
        <v>1w</v>
      </c>
      <c r="X2726" s="222">
        <f>_xll.qlCalendarAdvance(Calendar,X2725,W2726,"f",FALSE)</f>
        <v>57944</v>
      </c>
      <c r="Y2726" s="227">
        <f>_xll.qlCalendarAdvance(Calendar,X2726,NDays&amp;"D")</f>
        <v>57944</v>
      </c>
      <c r="Z2726" s="228">
        <v>2.955395668536618E-2</v>
      </c>
      <c r="AA2726" s="230">
        <v>2.9505270097101022E-2</v>
      </c>
    </row>
    <row r="2727" spans="19:27" x14ac:dyDescent="0.2">
      <c r="S2727" s="32"/>
      <c r="T2727" s="187"/>
      <c r="W2727" s="221" t="str">
        <f t="shared" si="51"/>
        <v>1w</v>
      </c>
      <c r="X2727" s="222">
        <f>_xll.qlCalendarAdvance(Calendar,X2726,W2727,"f",FALSE)</f>
        <v>57951</v>
      </c>
      <c r="Y2727" s="227">
        <f>_xll.qlCalendarAdvance(Calendar,X2727,NDays&amp;"D")</f>
        <v>57951</v>
      </c>
      <c r="Z2727" s="228">
        <v>2.9559243014046221E-2</v>
      </c>
      <c r="AA2727" s="230">
        <v>2.9510528588088114E-2</v>
      </c>
    </row>
    <row r="2728" spans="19:27" x14ac:dyDescent="0.2">
      <c r="S2728" s="32"/>
      <c r="T2728" s="187"/>
      <c r="W2728" s="221" t="str">
        <f t="shared" si="51"/>
        <v>1w</v>
      </c>
      <c r="X2728" s="222">
        <f>_xll.qlCalendarAdvance(Calendar,X2727,W2728,"f",FALSE)</f>
        <v>57958</v>
      </c>
      <c r="Y2728" s="227">
        <f>_xll.qlCalendarAdvance(Calendar,X2728,NDays&amp;"D")</f>
        <v>57958</v>
      </c>
      <c r="Z2728" s="228">
        <v>2.9564535955707676E-2</v>
      </c>
      <c r="AA2728" s="230">
        <v>2.9515793673405843E-2</v>
      </c>
    </row>
    <row r="2729" spans="19:27" x14ac:dyDescent="0.2">
      <c r="S2729" s="32"/>
      <c r="T2729" s="187"/>
      <c r="W2729" s="221" t="str">
        <f t="shared" si="51"/>
        <v>1w</v>
      </c>
      <c r="X2729" s="222">
        <f>_xll.qlCalendarAdvance(Calendar,X2728,W2729,"f",FALSE)</f>
        <v>57965</v>
      </c>
      <c r="Y2729" s="227">
        <f>_xll.qlCalendarAdvance(Calendar,X2729,NDays&amp;"D")</f>
        <v>57965</v>
      </c>
      <c r="Z2729" s="228">
        <v>2.9569835510355608E-2</v>
      </c>
      <c r="AA2729" s="230">
        <v>2.9521065352567932E-2</v>
      </c>
    </row>
    <row r="2730" spans="19:27" x14ac:dyDescent="0.2">
      <c r="S2730" s="32"/>
      <c r="T2730" s="187"/>
      <c r="W2730" s="221" t="str">
        <f t="shared" si="51"/>
        <v>1w</v>
      </c>
      <c r="X2730" s="222">
        <f>_xll.qlCalendarAdvance(Calendar,X2729,W2730,"f",FALSE)</f>
        <v>57972</v>
      </c>
      <c r="Y2730" s="227">
        <f>_xll.qlCalendarAdvance(Calendar,X2730,NDays&amp;"D")</f>
        <v>57972</v>
      </c>
      <c r="Z2730" s="228">
        <v>2.9575141678005214E-2</v>
      </c>
      <c r="AA2730" s="230">
        <v>2.9526343625817519E-2</v>
      </c>
    </row>
    <row r="2731" spans="19:27" x14ac:dyDescent="0.2">
      <c r="S2731" s="32"/>
      <c r="T2731" s="187"/>
      <c r="W2731" s="221" t="str">
        <f t="shared" si="51"/>
        <v>1w</v>
      </c>
      <c r="X2731" s="222">
        <f>_xll.qlCalendarAdvance(Calendar,X2730,W2731,"f",FALSE)</f>
        <v>57979</v>
      </c>
      <c r="Y2731" s="227">
        <f>_xll.qlCalendarAdvance(Calendar,X2731,NDays&amp;"D")</f>
        <v>57979</v>
      </c>
      <c r="Z2731" s="228">
        <v>2.9580454458669157E-2</v>
      </c>
      <c r="AA2731" s="230">
        <v>2.9531628493235651E-2</v>
      </c>
    </row>
    <row r="2732" spans="19:27" x14ac:dyDescent="0.2">
      <c r="S2732" s="32"/>
      <c r="T2732" s="187"/>
      <c r="W2732" s="221" t="str">
        <f t="shared" si="51"/>
        <v>1w</v>
      </c>
      <c r="X2732" s="222">
        <f>_xll.qlCalendarAdvance(Calendar,X2731,W2732,"f",FALSE)</f>
        <v>57986</v>
      </c>
      <c r="Y2732" s="227">
        <f>_xll.qlCalendarAdvance(Calendar,X2732,NDays&amp;"D")</f>
        <v>57986</v>
      </c>
      <c r="Z2732" s="228">
        <v>2.9585773852344906E-2</v>
      </c>
      <c r="AA2732" s="230">
        <v>2.9536919954498142E-2</v>
      </c>
    </row>
    <row r="2733" spans="19:27" x14ac:dyDescent="0.2">
      <c r="S2733" s="32"/>
      <c r="T2733" s="187"/>
      <c r="W2733" s="221" t="str">
        <f t="shared" si="51"/>
        <v>1w</v>
      </c>
      <c r="X2733" s="222">
        <f>_xll.qlCalendarAdvance(Calendar,X2732,W2733,"f",FALSE)</f>
        <v>57993</v>
      </c>
      <c r="Y2733" s="227">
        <f>_xll.qlCalendarAdvance(Calendar,X2733,NDays&amp;"D")</f>
        <v>57993</v>
      </c>
      <c r="Z2733" s="228">
        <v>2.9591099859050188E-2</v>
      </c>
      <c r="AA2733" s="230">
        <v>2.9542218009929178E-2</v>
      </c>
    </row>
    <row r="2734" spans="19:27" x14ac:dyDescent="0.2">
      <c r="S2734" s="32"/>
      <c r="T2734" s="187"/>
      <c r="W2734" s="221" t="str">
        <f t="shared" si="51"/>
        <v>1w</v>
      </c>
      <c r="X2734" s="222">
        <f>_xll.qlCalendarAdvance(Calendar,X2733,W2734,"f",FALSE)</f>
        <v>58000</v>
      </c>
      <c r="Y2734" s="227">
        <f>_xll.qlCalendarAdvance(Calendar,X2734,NDays&amp;"D")</f>
        <v>58000</v>
      </c>
      <c r="Z2734" s="228">
        <v>2.9596432478797667E-2</v>
      </c>
      <c r="AA2734" s="230">
        <v>2.9547522659609804E-2</v>
      </c>
    </row>
    <row r="2735" spans="19:27" x14ac:dyDescent="0.2">
      <c r="S2735" s="32"/>
      <c r="T2735" s="187"/>
      <c r="W2735" s="221" t="str">
        <f t="shared" si="51"/>
        <v>1w</v>
      </c>
      <c r="X2735" s="222">
        <f>_xll.qlCalendarAdvance(Calendar,X2734,W2735,"f",FALSE)</f>
        <v>58007</v>
      </c>
      <c r="Y2735" s="227">
        <f>_xll.qlCalendarAdvance(Calendar,X2735,NDays&amp;"D")</f>
        <v>58007</v>
      </c>
      <c r="Z2735" s="228">
        <v>2.9601771711589876E-2</v>
      </c>
      <c r="AA2735" s="230">
        <v>2.9552833903296882E-2</v>
      </c>
    </row>
    <row r="2736" spans="19:27" x14ac:dyDescent="0.2">
      <c r="S2736" s="32"/>
      <c r="T2736" s="187"/>
      <c r="W2736" s="221" t="str">
        <f t="shared" si="51"/>
        <v>1w</v>
      </c>
      <c r="X2736" s="222">
        <f>_xll.qlCalendarAdvance(Calendar,X2735,W2736,"f",FALSE)</f>
        <v>58014</v>
      </c>
      <c r="Y2736" s="227">
        <f>_xll.qlCalendarAdvance(Calendar,X2736,NDays&amp;"D")</f>
        <v>58014</v>
      </c>
      <c r="Z2736" s="228">
        <v>2.9602371727514697E-2</v>
      </c>
      <c r="AA2736" s="230">
        <v>2.9558151740747274E-2</v>
      </c>
    </row>
    <row r="2737" spans="19:27" x14ac:dyDescent="0.2">
      <c r="S2737" s="32"/>
      <c r="T2737" s="187"/>
      <c r="W2737" s="221" t="str">
        <f t="shared" si="51"/>
        <v>1w</v>
      </c>
      <c r="X2737" s="222">
        <f>_xll.qlCalendarAdvance(Calendar,X2736,W2737,"f",FALSE)</f>
        <v>58021</v>
      </c>
      <c r="Y2737" s="227">
        <f>_xll.qlCalendarAdvance(Calendar,X2737,NDays&amp;"D")</f>
        <v>58021</v>
      </c>
      <c r="Z2737" s="228">
        <v>2.9612470016349007E-2</v>
      </c>
      <c r="AA2737" s="230">
        <v>2.9563476172528302E-2</v>
      </c>
    </row>
    <row r="2738" spans="19:27" x14ac:dyDescent="0.2">
      <c r="S2738" s="32"/>
      <c r="T2738" s="187"/>
      <c r="W2738" s="221" t="str">
        <f t="shared" si="51"/>
        <v>1w</v>
      </c>
      <c r="X2738" s="222">
        <f>_xll.qlCalendarAdvance(Calendar,X2737,W2738,"f",FALSE)</f>
        <v>58028</v>
      </c>
      <c r="Y2738" s="227">
        <f>_xll.qlCalendarAdvance(Calendar,X2738,NDays&amp;"D")</f>
        <v>58028</v>
      </c>
      <c r="Z2738" s="228">
        <v>2.9617829088333658E-2</v>
      </c>
      <c r="AA2738" s="230">
        <v>2.9568807198315783E-2</v>
      </c>
    </row>
    <row r="2739" spans="19:27" x14ac:dyDescent="0.2">
      <c r="S2739" s="32"/>
      <c r="T2739" s="187"/>
      <c r="W2739" s="221" t="str">
        <f t="shared" si="51"/>
        <v>1w</v>
      </c>
      <c r="X2739" s="222">
        <f>_xll.qlCalendarAdvance(Calendar,X2738,W2739,"f",FALSE)</f>
        <v>58035</v>
      </c>
      <c r="Y2739" s="227">
        <f>_xll.qlCalendarAdvance(Calendar,X2739,NDays&amp;"D")</f>
        <v>58035</v>
      </c>
      <c r="Z2739" s="228">
        <v>2.9623194773401029E-2</v>
      </c>
      <c r="AA2739" s="230">
        <v>2.9574144818028669E-2</v>
      </c>
    </row>
    <row r="2740" spans="19:27" x14ac:dyDescent="0.2">
      <c r="S2740" s="32"/>
      <c r="T2740" s="187"/>
      <c r="W2740" s="221" t="str">
        <f t="shared" si="51"/>
        <v>1w</v>
      </c>
      <c r="X2740" s="222">
        <f>_xll.qlCalendarAdvance(Calendar,X2739,W2740,"f",FALSE)</f>
        <v>58042</v>
      </c>
      <c r="Y2740" s="227">
        <f>_xll.qlCalendarAdvance(Calendar,X2740,NDays&amp;"D")</f>
        <v>58042</v>
      </c>
      <c r="Z2740" s="228">
        <v>2.9628567071561251E-2</v>
      </c>
      <c r="AA2740" s="230">
        <v>2.95794890319101E-2</v>
      </c>
    </row>
    <row r="2741" spans="19:27" x14ac:dyDescent="0.2">
      <c r="S2741" s="32"/>
      <c r="T2741" s="187"/>
      <c r="W2741" s="221" t="str">
        <f t="shared" si="51"/>
        <v>1w</v>
      </c>
      <c r="X2741" s="222">
        <f>_xll.qlCalendarAdvance(Calendar,X2740,W2741,"f",FALSE)</f>
        <v>58049</v>
      </c>
      <c r="Y2741" s="227">
        <f>_xll.qlCalendarAdvance(Calendar,X2741,NDays&amp;"D")</f>
        <v>58049</v>
      </c>
      <c r="Z2741" s="228">
        <v>2.9633945982829521E-2</v>
      </c>
      <c r="AA2741" s="230">
        <v>2.9584839840041122E-2</v>
      </c>
    </row>
    <row r="2742" spans="19:27" x14ac:dyDescent="0.2">
      <c r="S2742" s="32"/>
      <c r="T2742" s="187"/>
      <c r="W2742" s="221" t="str">
        <f t="shared" si="51"/>
        <v>1w</v>
      </c>
      <c r="X2742" s="222">
        <f>_xll.qlCalendarAdvance(Calendar,X2741,W2742,"f",FALSE)</f>
        <v>58056</v>
      </c>
      <c r="Y2742" s="227">
        <f>_xll.qlCalendarAdvance(Calendar,X2742,NDays&amp;"D")</f>
        <v>58056</v>
      </c>
      <c r="Z2742" s="228">
        <v>2.9639331507205838E-2</v>
      </c>
      <c r="AA2742" s="230">
        <v>2.9590197242016503E-2</v>
      </c>
    </row>
    <row r="2743" spans="19:27" x14ac:dyDescent="0.2">
      <c r="S2743" s="32"/>
      <c r="T2743" s="187"/>
      <c r="W2743" s="221" t="str">
        <f t="shared" si="51"/>
        <v>1w</v>
      </c>
      <c r="X2743" s="222">
        <f>_xll.qlCalendarAdvance(Calendar,X2742,W2743,"f",FALSE)</f>
        <v>58063</v>
      </c>
      <c r="Y2743" s="227">
        <f>_xll.qlCalendarAdvance(Calendar,X2743,NDays&amp;"D")</f>
        <v>58063</v>
      </c>
      <c r="Z2743" s="228">
        <v>2.96447236446978E-2</v>
      </c>
      <c r="AA2743" s="230">
        <v>2.9595561237917289E-2</v>
      </c>
    </row>
    <row r="2744" spans="19:27" x14ac:dyDescent="0.2">
      <c r="S2744" s="32"/>
      <c r="T2744" s="187"/>
      <c r="W2744" s="221" t="str">
        <f t="shared" si="51"/>
        <v>1w</v>
      </c>
      <c r="X2744" s="222">
        <f>_xll.qlCalendarAdvance(Calendar,X2743,W2744,"f",FALSE)</f>
        <v>58071</v>
      </c>
      <c r="Y2744" s="227">
        <f>_xll.qlCalendarAdvance(Calendar,X2744,NDays&amp;"D")</f>
        <v>58071</v>
      </c>
      <c r="Z2744" s="228">
        <v>2.9649304675355034E-2</v>
      </c>
      <c r="AA2744" s="230">
        <v>2.9604868441868902E-2</v>
      </c>
    </row>
    <row r="2745" spans="19:27" x14ac:dyDescent="0.2">
      <c r="S2745" s="32"/>
      <c r="T2745" s="187"/>
      <c r="W2745" s="221" t="str">
        <f t="shared" si="51"/>
        <v>1w</v>
      </c>
      <c r="X2745" s="222">
        <f>_xll.qlCalendarAdvance(Calendar,X2744,W2745,"f",FALSE)</f>
        <v>58078</v>
      </c>
      <c r="Y2745" s="227">
        <f>_xll.qlCalendarAdvance(Calendar,X2745,NDays&amp;"D")</f>
        <v>58078</v>
      </c>
      <c r="Z2745" s="228">
        <v>2.96547100729013E-2</v>
      </c>
      <c r="AA2745" s="230">
        <v>2.9610248382733927E-2</v>
      </c>
    </row>
    <row r="2746" spans="19:27" x14ac:dyDescent="0.2">
      <c r="S2746" s="32"/>
      <c r="T2746" s="187"/>
      <c r="W2746" s="221" t="str">
        <f t="shared" si="51"/>
        <v>1w</v>
      </c>
      <c r="X2746" s="222">
        <f>_xll.qlCalendarAdvance(Calendar,X2745,W2746,"f",FALSE)</f>
        <v>58085</v>
      </c>
      <c r="Y2746" s="227">
        <f>_xll.qlCalendarAdvance(Calendar,X2746,NDays&amp;"D")</f>
        <v>58085</v>
      </c>
      <c r="Z2746" s="228">
        <v>2.9660122082974402E-2</v>
      </c>
      <c r="AA2746" s="230">
        <v>2.9615634918902144E-2</v>
      </c>
    </row>
    <row r="2747" spans="19:27" x14ac:dyDescent="0.2">
      <c r="S2747" s="32"/>
      <c r="T2747" s="187"/>
      <c r="W2747" s="221" t="str">
        <f t="shared" si="51"/>
        <v>1w</v>
      </c>
      <c r="X2747" s="222">
        <f>_xll.qlCalendarAdvance(Calendar,X2746,W2747,"f",FALSE)</f>
        <v>58092</v>
      </c>
      <c r="Y2747" s="227">
        <f>_xll.qlCalendarAdvance(Calendar,X2747,NDays&amp;"D")</f>
        <v>58092</v>
      </c>
      <c r="Z2747" s="228">
        <v>2.9665540705592641E-2</v>
      </c>
      <c r="AA2747" s="230">
        <v>2.9621028050319523E-2</v>
      </c>
    </row>
    <row r="2748" spans="19:27" x14ac:dyDescent="0.2">
      <c r="S2748" s="32"/>
      <c r="T2748" s="187"/>
      <c r="W2748" s="221" t="str">
        <f t="shared" si="51"/>
        <v>1w</v>
      </c>
      <c r="X2748" s="222">
        <f>_xll.qlCalendarAdvance(Calendar,X2747,W2748,"f",FALSE)</f>
        <v>58099</v>
      </c>
      <c r="Y2748" s="227">
        <f>_xll.qlCalendarAdvance(Calendar,X2748,NDays&amp;"D")</f>
        <v>58099</v>
      </c>
      <c r="Z2748" s="228">
        <v>2.9670965940758628E-2</v>
      </c>
      <c r="AA2748" s="230">
        <v>2.9626427776959049E-2</v>
      </c>
    </row>
    <row r="2749" spans="19:27" x14ac:dyDescent="0.2">
      <c r="S2749" s="32"/>
      <c r="T2749" s="187"/>
      <c r="W2749" s="221" t="str">
        <f t="shared" si="51"/>
        <v>1w</v>
      </c>
      <c r="X2749" s="222">
        <f>_xll.qlCalendarAdvance(Calendar,X2748,W2749,"f",FALSE)</f>
        <v>58106</v>
      </c>
      <c r="Y2749" s="227">
        <f>_xll.qlCalendarAdvance(Calendar,X2749,NDays&amp;"D")</f>
        <v>58106</v>
      </c>
      <c r="Z2749" s="228">
        <v>2.9671616615900166E-2</v>
      </c>
      <c r="AA2749" s="230">
        <v>2.9631834099009827E-2</v>
      </c>
    </row>
    <row r="2750" spans="19:27" x14ac:dyDescent="0.2">
      <c r="S2750" s="32"/>
      <c r="T2750" s="187"/>
      <c r="W2750" s="221" t="str">
        <f t="shared" si="51"/>
        <v>1w</v>
      </c>
      <c r="X2750" s="222">
        <f>_xll.qlCalendarAdvance(Calendar,X2749,W2750,"f",FALSE)</f>
        <v>58113</v>
      </c>
      <c r="Y2750" s="227">
        <f>_xll.qlCalendarAdvance(Calendar,X2750,NDays&amp;"D")</f>
        <v>58113</v>
      </c>
      <c r="Z2750" s="228">
        <v>2.9677052334801269E-2</v>
      </c>
      <c r="AA2750" s="230">
        <v>2.9637247016309768E-2</v>
      </c>
    </row>
    <row r="2751" spans="19:27" x14ac:dyDescent="0.2">
      <c r="S2751" s="32"/>
      <c r="T2751" s="187"/>
      <c r="W2751" s="221" t="str">
        <f t="shared" si="51"/>
        <v>1w</v>
      </c>
      <c r="X2751" s="222">
        <f>_xll.qlCalendarAdvance(Calendar,X2750,W2751,"f",FALSE)</f>
        <v>58120</v>
      </c>
      <c r="Y2751" s="227">
        <f>_xll.qlCalendarAdvance(Calendar,X2751,NDays&amp;"D")</f>
        <v>58120</v>
      </c>
      <c r="Z2751" s="228">
        <v>2.9682494664421726E-2</v>
      </c>
      <c r="AA2751" s="230">
        <v>2.9642666528858871E-2</v>
      </c>
    </row>
    <row r="2752" spans="19:27" x14ac:dyDescent="0.2">
      <c r="S2752" s="32"/>
      <c r="T2752" s="187"/>
      <c r="W2752" s="221" t="str">
        <f t="shared" si="51"/>
        <v>1w</v>
      </c>
      <c r="X2752" s="222">
        <f>_xll.qlCalendarAdvance(Calendar,X2751,W2752,"f",FALSE)</f>
        <v>58127</v>
      </c>
      <c r="Y2752" s="227">
        <f>_xll.qlCalendarAdvance(Calendar,X2752,NDays&amp;"D")</f>
        <v>58127</v>
      </c>
      <c r="Z2752" s="228">
        <v>2.9687943604778902E-2</v>
      </c>
      <c r="AA2752" s="230">
        <v>2.964809263679221E-2</v>
      </c>
    </row>
    <row r="2753" spans="19:27" x14ac:dyDescent="0.2">
      <c r="S2753" s="32"/>
      <c r="T2753" s="187"/>
      <c r="W2753" s="221" t="str">
        <f t="shared" si="51"/>
        <v>1w</v>
      </c>
      <c r="X2753" s="222">
        <f>_xll.qlCalendarAdvance(Calendar,X2752,W2753,"f",FALSE)</f>
        <v>58134</v>
      </c>
      <c r="Y2753" s="227">
        <f>_xll.qlCalendarAdvance(Calendar,X2753,NDays&amp;"D")</f>
        <v>58134</v>
      </c>
      <c r="Z2753" s="228">
        <v>2.9691802120356516E-2</v>
      </c>
      <c r="AA2753" s="230">
        <v>2.9653525339974715E-2</v>
      </c>
    </row>
    <row r="2754" spans="19:27" x14ac:dyDescent="0.2">
      <c r="S2754" s="32"/>
      <c r="T2754" s="187"/>
      <c r="W2754" s="221" t="str">
        <f t="shared" si="51"/>
        <v>1w</v>
      </c>
      <c r="X2754" s="222">
        <f>_xll.qlCalendarAdvance(Calendar,X2753,W2754,"f",FALSE)</f>
        <v>58141</v>
      </c>
      <c r="Y2754" s="227">
        <f>_xll.qlCalendarAdvance(Calendar,X2754,NDays&amp;"D")</f>
        <v>58141</v>
      </c>
      <c r="Z2754" s="228">
        <v>2.9703656215855984E-2</v>
      </c>
      <c r="AA2754" s="230">
        <v>2.9658964638460409E-2</v>
      </c>
    </row>
    <row r="2755" spans="19:27" x14ac:dyDescent="0.2">
      <c r="S2755" s="32"/>
      <c r="T2755" s="187"/>
      <c r="W2755" s="221" t="str">
        <f t="shared" si="51"/>
        <v>1w</v>
      </c>
      <c r="X2755" s="222">
        <f>_xll.qlCalendarAdvance(Calendar,X2754,W2755,"f",FALSE)</f>
        <v>58148</v>
      </c>
      <c r="Y2755" s="227">
        <f>_xll.qlCalendarAdvance(Calendar,X2755,NDays&amp;"D")</f>
        <v>58148</v>
      </c>
      <c r="Z2755" s="228">
        <v>2.9709127739135959E-2</v>
      </c>
      <c r="AA2755" s="230">
        <v>2.9664410532222282E-2</v>
      </c>
    </row>
    <row r="2756" spans="19:27" x14ac:dyDescent="0.2">
      <c r="S2756" s="32"/>
      <c r="T2756" s="187"/>
      <c r="W2756" s="221" t="str">
        <f t="shared" si="51"/>
        <v>1w</v>
      </c>
      <c r="X2756" s="222">
        <f>_xll.qlCalendarAdvance(Calendar,X2755,W2756,"f",FALSE)</f>
        <v>58155</v>
      </c>
      <c r="Y2756" s="227">
        <f>_xll.qlCalendarAdvance(Calendar,X2756,NDays&amp;"D")</f>
        <v>58155</v>
      </c>
      <c r="Z2756" s="228">
        <v>2.9714605875039497E-2</v>
      </c>
      <c r="AA2756" s="230">
        <v>2.9669863021287345E-2</v>
      </c>
    </row>
    <row r="2757" spans="19:27" x14ac:dyDescent="0.2">
      <c r="S2757" s="32"/>
      <c r="T2757" s="187"/>
      <c r="W2757" s="221" t="str">
        <f t="shared" si="51"/>
        <v>1w</v>
      </c>
      <c r="X2757" s="222">
        <f>_xll.qlCalendarAdvance(Calendar,X2756,W2757,"f",FALSE)</f>
        <v>58166</v>
      </c>
      <c r="Y2757" s="227">
        <f>_xll.qlCalendarAdvance(Calendar,X2757,NDays&amp;"D")</f>
        <v>58166</v>
      </c>
      <c r="Z2757" s="228">
        <v>2.9721625983300748E-2</v>
      </c>
      <c r="AA2757" s="230">
        <v>2.9675250962987176E-2</v>
      </c>
    </row>
    <row r="2758" spans="19:27" x14ac:dyDescent="0.2">
      <c r="S2758" s="32"/>
      <c r="T2758" s="187"/>
      <c r="W2758" s="221" t="str">
        <f t="shared" si="51"/>
        <v>1w</v>
      </c>
      <c r="X2758" s="222">
        <f>_xll.qlCalendarAdvance(Calendar,X2757,W2758,"f",FALSE)</f>
        <v>58173</v>
      </c>
      <c r="Y2758" s="227">
        <f>_xll.qlCalendarAdvance(Calendar,X2758,NDays&amp;"D")</f>
        <v>58173</v>
      </c>
      <c r="Z2758" s="228">
        <v>2.9727120203903556E-2</v>
      </c>
      <c r="AA2758" s="230">
        <v>2.9680718580042953E-2</v>
      </c>
    </row>
    <row r="2759" spans="19:27" x14ac:dyDescent="0.2">
      <c r="S2759" s="32"/>
      <c r="T2759" s="187"/>
      <c r="W2759" s="221" t="str">
        <f t="shared" si="51"/>
        <v>1w</v>
      </c>
      <c r="X2759" s="222">
        <f>_xll.qlCalendarAdvance(Calendar,X2758,W2759,"f",FALSE)</f>
        <v>58180</v>
      </c>
      <c r="Y2759" s="227">
        <f>_xll.qlCalendarAdvance(Calendar,X2759,NDays&amp;"D")</f>
        <v>58180</v>
      </c>
      <c r="Z2759" s="228">
        <v>2.9732621036545615E-2</v>
      </c>
      <c r="AA2759" s="230">
        <v>2.968619279134832E-2</v>
      </c>
    </row>
    <row r="2760" spans="19:27" x14ac:dyDescent="0.2">
      <c r="S2760" s="32"/>
      <c r="T2760" s="187"/>
      <c r="W2760" s="221" t="str">
        <f t="shared" si="51"/>
        <v>1w</v>
      </c>
      <c r="X2760" s="222">
        <f>_xll.qlCalendarAdvance(Calendar,X2759,W2760,"f",FALSE)</f>
        <v>58187</v>
      </c>
      <c r="Y2760" s="227">
        <f>_xll.qlCalendarAdvance(Calendar,X2760,NDays&amp;"D")</f>
        <v>58187</v>
      </c>
      <c r="Z2760" s="228">
        <v>2.9738128481232327E-2</v>
      </c>
      <c r="AA2760" s="230">
        <v>2.9691673596498047E-2</v>
      </c>
    </row>
    <row r="2761" spans="19:27" x14ac:dyDescent="0.2">
      <c r="S2761" s="32"/>
      <c r="T2761" s="187"/>
      <c r="W2761" s="221" t="str">
        <f t="shared" si="51"/>
        <v>1w</v>
      </c>
      <c r="X2761" s="222">
        <f>_xll.qlCalendarAdvance(Calendar,X2760,W2761,"f",FALSE)</f>
        <v>58194</v>
      </c>
      <c r="Y2761" s="227">
        <f>_xll.qlCalendarAdvance(Calendar,X2761,NDays&amp;"D")</f>
        <v>58194</v>
      </c>
      <c r="Z2761" s="228">
        <v>2.9743642537969094E-2</v>
      </c>
      <c r="AA2761" s="230">
        <v>2.969716099557318E-2</v>
      </c>
    </row>
    <row r="2762" spans="19:27" x14ac:dyDescent="0.2">
      <c r="S2762" s="32"/>
      <c r="T2762" s="187"/>
      <c r="W2762" s="221" t="str">
        <f t="shared" si="51"/>
        <v>1w</v>
      </c>
      <c r="X2762" s="222">
        <f>_xll.qlCalendarAdvance(Calendar,X2761,W2762,"f",FALSE)</f>
        <v>58201</v>
      </c>
      <c r="Y2762" s="227">
        <f>_xll.qlCalendarAdvance(Calendar,X2762,NDays&amp;"D")</f>
        <v>58201</v>
      </c>
      <c r="Z2762" s="228">
        <v>2.9750769560412671E-2</v>
      </c>
      <c r="AA2762" s="230">
        <v>2.9702654989059996E-2</v>
      </c>
    </row>
    <row r="2763" spans="19:27" x14ac:dyDescent="0.2">
      <c r="S2763" s="32"/>
      <c r="T2763" s="187"/>
      <c r="W2763" s="221" t="str">
        <f t="shared" si="51"/>
        <v>1w</v>
      </c>
      <c r="X2763" s="222">
        <f>_xll.qlCalendarAdvance(Calendar,X2762,W2763,"f",FALSE)</f>
        <v>58208</v>
      </c>
      <c r="Y2763" s="227">
        <f>_xll.qlCalendarAdvance(Calendar,X2763,NDays&amp;"D")</f>
        <v>58208</v>
      </c>
      <c r="Z2763" s="228">
        <v>2.9756297763636575E-2</v>
      </c>
      <c r="AA2763" s="230">
        <v>2.9708155576553263E-2</v>
      </c>
    </row>
    <row r="2764" spans="19:27" x14ac:dyDescent="0.2">
      <c r="S2764" s="32"/>
      <c r="T2764" s="187"/>
      <c r="W2764" s="221" t="str">
        <f t="shared" si="51"/>
        <v>1w</v>
      </c>
      <c r="X2764" s="222">
        <f>_xll.qlCalendarAdvance(Calendar,X2763,W2764,"f",FALSE)</f>
        <v>58215</v>
      </c>
      <c r="Y2764" s="227">
        <f>_xll.qlCalendarAdvance(Calendar,X2764,NDays&amp;"D")</f>
        <v>58215</v>
      </c>
      <c r="Z2764" s="228">
        <v>2.9761832579554632E-2</v>
      </c>
      <c r="AA2764" s="230">
        <v>2.9713662757890891E-2</v>
      </c>
    </row>
    <row r="2765" spans="19:27" x14ac:dyDescent="0.2">
      <c r="S2765" s="32"/>
      <c r="T2765" s="187"/>
      <c r="W2765" s="221" t="str">
        <f t="shared" si="51"/>
        <v>1w</v>
      </c>
      <c r="X2765" s="222">
        <f>_xll.qlCalendarAdvance(Calendar,X2764,W2765,"f",FALSE)</f>
        <v>58222</v>
      </c>
      <c r="Y2765" s="227">
        <f>_xll.qlCalendarAdvance(Calendar,X2765,NDays&amp;"D")</f>
        <v>58222</v>
      </c>
      <c r="Z2765" s="228">
        <v>2.9767374008192987E-2</v>
      </c>
      <c r="AA2765" s="230">
        <v>2.9719176533478109E-2</v>
      </c>
    </row>
    <row r="2766" spans="19:27" x14ac:dyDescent="0.2">
      <c r="S2766" s="32"/>
      <c r="T2766" s="187"/>
      <c r="W2766" s="221" t="str">
        <f t="shared" si="51"/>
        <v>1w</v>
      </c>
      <c r="X2766" s="222">
        <f>_xll.qlCalendarAdvance(Calendar,X2765,W2766,"f",FALSE)</f>
        <v>58229</v>
      </c>
      <c r="Y2766" s="227">
        <f>_xll.qlCalendarAdvance(Calendar,X2766,NDays&amp;"D")</f>
        <v>58229</v>
      </c>
      <c r="Z2766" s="228">
        <v>2.977131200279548E-2</v>
      </c>
      <c r="AA2766" s="230">
        <v>2.9724696903152825E-2</v>
      </c>
    </row>
    <row r="2767" spans="19:27" x14ac:dyDescent="0.2">
      <c r="S2767" s="32"/>
      <c r="T2767" s="187"/>
      <c r="W2767" s="221" t="str">
        <f t="shared" si="51"/>
        <v>1w</v>
      </c>
      <c r="X2767" s="222">
        <f>_xll.qlCalendarAdvance(Calendar,X2766,W2767,"f",FALSE)</f>
        <v>58236</v>
      </c>
      <c r="Y2767" s="227">
        <f>_xll.qlCalendarAdvance(Calendar,X2767,NDays&amp;"D")</f>
        <v>58236</v>
      </c>
      <c r="Z2767" s="228">
        <v>2.9776865732056811E-2</v>
      </c>
      <c r="AA2767" s="230">
        <v>2.9730223866833994E-2</v>
      </c>
    </row>
    <row r="2768" spans="19:27" x14ac:dyDescent="0.2">
      <c r="S2768" s="32"/>
      <c r="T2768" s="187"/>
      <c r="W2768" s="221" t="str">
        <f t="shared" si="51"/>
        <v>1w</v>
      </c>
      <c r="X2768" s="222">
        <f>_xll.qlCalendarAdvance(Calendar,X2767,W2768,"f",FALSE)</f>
        <v>58243</v>
      </c>
      <c r="Y2768" s="227">
        <f>_xll.qlCalendarAdvance(Calendar,X2768,NDays&amp;"D")</f>
        <v>58243</v>
      </c>
      <c r="Z2768" s="228">
        <v>2.9782426073422224E-2</v>
      </c>
      <c r="AA2768" s="230">
        <v>2.9735757424359521E-2</v>
      </c>
    </row>
    <row r="2769" spans="19:27" x14ac:dyDescent="0.2">
      <c r="S2769" s="32"/>
      <c r="T2769" s="187"/>
      <c r="W2769" s="221" t="str">
        <f t="shared" si="51"/>
        <v>1w</v>
      </c>
      <c r="X2769" s="222">
        <f>_xll.qlCalendarAdvance(Calendar,X2768,W2769,"f",FALSE)</f>
        <v>58250</v>
      </c>
      <c r="Y2769" s="227">
        <f>_xll.qlCalendarAdvance(Calendar,X2769,NDays&amp;"D")</f>
        <v>58250</v>
      </c>
      <c r="Z2769" s="228">
        <v>2.978799302691874E-2</v>
      </c>
      <c r="AA2769" s="230">
        <v>2.9741297576296732E-2</v>
      </c>
    </row>
    <row r="2770" spans="19:27" x14ac:dyDescent="0.2">
      <c r="S2770" s="32"/>
      <c r="T2770" s="187"/>
      <c r="W2770" s="221" t="str">
        <f t="shared" si="51"/>
        <v>1w</v>
      </c>
      <c r="X2770" s="222">
        <f>_xll.qlCalendarAdvance(Calendar,X2769,W2770,"f",FALSE)</f>
        <v>58257</v>
      </c>
      <c r="Y2770" s="227">
        <f>_xll.qlCalendarAdvance(Calendar,X2770,NDays&amp;"D")</f>
        <v>58257</v>
      </c>
      <c r="Z2770" s="228">
        <v>2.9795180342395807E-2</v>
      </c>
      <c r="AA2770" s="230">
        <v>2.9746844322240396E-2</v>
      </c>
    </row>
    <row r="2771" spans="19:27" x14ac:dyDescent="0.2">
      <c r="S2771" s="32"/>
      <c r="T2771" s="187"/>
      <c r="W2771" s="221" t="str">
        <f t="shared" si="51"/>
        <v>1w</v>
      </c>
      <c r="X2771" s="222">
        <f>_xll.qlCalendarAdvance(Calendar,X2770,W2771,"f",FALSE)</f>
        <v>58264</v>
      </c>
      <c r="Y2771" s="227">
        <f>_xll.qlCalendarAdvance(Calendar,X2771,NDays&amp;"D")</f>
        <v>58264</v>
      </c>
      <c r="Z2771" s="228">
        <v>2.9800761447510211E-2</v>
      </c>
      <c r="AA2771" s="230">
        <v>2.9752397662271557E-2</v>
      </c>
    </row>
    <row r="2772" spans="19:27" x14ac:dyDescent="0.2">
      <c r="S2772" s="32"/>
      <c r="T2772" s="187"/>
      <c r="W2772" s="221" t="str">
        <f t="shared" si="51"/>
        <v>1w</v>
      </c>
      <c r="X2772" s="222">
        <f>_xll.qlCalendarAdvance(Calendar,X2771,W2772,"f",FALSE)</f>
        <v>58271</v>
      </c>
      <c r="Y2772" s="227">
        <f>_xll.qlCalendarAdvance(Calendar,X2772,NDays&amp;"D")</f>
        <v>58271</v>
      </c>
      <c r="Z2772" s="228">
        <v>2.980634916539459E-2</v>
      </c>
      <c r="AA2772" s="230">
        <v>2.9757957596147078E-2</v>
      </c>
    </row>
    <row r="2773" spans="19:27" x14ac:dyDescent="0.2">
      <c r="S2773" s="32"/>
      <c r="T2773" s="187"/>
      <c r="W2773" s="221" t="str">
        <f t="shared" ref="W2773:W2836" si="52">W2772</f>
        <v>1w</v>
      </c>
      <c r="X2773" s="222">
        <f>_xll.qlCalendarAdvance(Calendar,X2772,W2773,"f",FALSE)</f>
        <v>58278</v>
      </c>
      <c r="Y2773" s="227">
        <f>_xll.qlCalendarAdvance(Calendar,X2773,NDays&amp;"D")</f>
        <v>58278</v>
      </c>
      <c r="Z2773" s="228">
        <v>2.9811943496072472E-2</v>
      </c>
      <c r="AA2773" s="230">
        <v>2.9763524124353236E-2</v>
      </c>
    </row>
    <row r="2774" spans="19:27" x14ac:dyDescent="0.2">
      <c r="S2774" s="32"/>
      <c r="T2774" s="187"/>
      <c r="W2774" s="221" t="str">
        <f t="shared" si="52"/>
        <v>1w</v>
      </c>
      <c r="X2774" s="222">
        <f>_xll.qlCalendarAdvance(Calendar,X2773,W2774,"f",FALSE)</f>
        <v>58285</v>
      </c>
      <c r="Y2774" s="227">
        <f>_xll.qlCalendarAdvance(Calendar,X2774,NDays&amp;"D")</f>
        <v>58285</v>
      </c>
      <c r="Z2774" s="228">
        <v>2.981754443954647E-2</v>
      </c>
      <c r="AA2774" s="230">
        <v>2.9769097246484799E-2</v>
      </c>
    </row>
    <row r="2775" spans="19:27" x14ac:dyDescent="0.2">
      <c r="S2775" s="32"/>
      <c r="T2775" s="187"/>
      <c r="W2775" s="221" t="str">
        <f t="shared" si="52"/>
        <v>1w</v>
      </c>
      <c r="X2775" s="222">
        <f>_xll.qlCalendarAdvance(Calendar,X2774,W2775,"f",FALSE)</f>
        <v>58292</v>
      </c>
      <c r="Y2775" s="227">
        <f>_xll.qlCalendarAdvance(Calendar,X2775,NDays&amp;"D")</f>
        <v>58292</v>
      </c>
      <c r="Z2775" s="228">
        <v>2.9823151995821813E-2</v>
      </c>
      <c r="AA2775" s="230">
        <v>2.9774676962622815E-2</v>
      </c>
    </row>
    <row r="2776" spans="19:27" x14ac:dyDescent="0.2">
      <c r="S2776" s="32"/>
      <c r="T2776" s="187"/>
      <c r="W2776" s="221" t="str">
        <f t="shared" si="52"/>
        <v>1w</v>
      </c>
      <c r="X2776" s="222">
        <f>_xll.qlCalendarAdvance(Calendar,X2775,W2776,"f",FALSE)</f>
        <v>58299</v>
      </c>
      <c r="Y2776" s="227">
        <f>_xll.qlCalendarAdvance(Calendar,X2776,NDays&amp;"D")</f>
        <v>58299</v>
      </c>
      <c r="Z2776" s="228">
        <v>2.9828766164924646E-2</v>
      </c>
      <c r="AA2776" s="230">
        <v>2.9780263273010421E-2</v>
      </c>
    </row>
    <row r="2777" spans="19:27" x14ac:dyDescent="0.2">
      <c r="S2777" s="32"/>
      <c r="T2777" s="187"/>
      <c r="W2777" s="221" t="str">
        <f t="shared" si="52"/>
        <v>1w</v>
      </c>
      <c r="X2777" s="222">
        <f>_xll.qlCalendarAdvance(Calendar,X2776,W2777,"f",FALSE)</f>
        <v>58306</v>
      </c>
      <c r="Y2777" s="227">
        <f>_xll.qlCalendarAdvance(Calendar,X2777,NDays&amp;"D")</f>
        <v>58306</v>
      </c>
      <c r="Z2777" s="228">
        <v>2.983438694684451E-2</v>
      </c>
      <c r="AA2777" s="230">
        <v>2.9785856177404479E-2</v>
      </c>
    </row>
    <row r="2778" spans="19:27" x14ac:dyDescent="0.2">
      <c r="S2778" s="32"/>
      <c r="T2778" s="187"/>
      <c r="W2778" s="221" t="str">
        <f t="shared" si="52"/>
        <v>1w</v>
      </c>
      <c r="X2778" s="222">
        <f>_xll.qlCalendarAdvance(Calendar,X2777,W2778,"f",FALSE)</f>
        <v>58313</v>
      </c>
      <c r="Y2778" s="227">
        <f>_xll.qlCalendarAdvance(Calendar,X2778,NDays&amp;"D")</f>
        <v>58313</v>
      </c>
      <c r="Z2778" s="228">
        <v>2.9840014341599712E-2</v>
      </c>
      <c r="AA2778" s="230">
        <v>2.9791455675886036E-2</v>
      </c>
    </row>
    <row r="2779" spans="19:27" x14ac:dyDescent="0.2">
      <c r="S2779" s="32"/>
      <c r="T2779" s="187"/>
      <c r="W2779" s="221" t="str">
        <f t="shared" si="52"/>
        <v>1w</v>
      </c>
      <c r="X2779" s="222">
        <f>_xll.qlCalendarAdvance(Calendar,X2778,W2779,"f",FALSE)</f>
        <v>58320</v>
      </c>
      <c r="Y2779" s="227">
        <f>_xll.qlCalendarAdvance(Calendar,X2779,NDays&amp;"D")</f>
        <v>58320</v>
      </c>
      <c r="Z2779" s="228">
        <v>2.9844026230820796E-2</v>
      </c>
      <c r="AA2779" s="230">
        <v>2.9797061768374045E-2</v>
      </c>
    </row>
    <row r="2780" spans="19:27" x14ac:dyDescent="0.2">
      <c r="S2780" s="32"/>
      <c r="T2780" s="187"/>
      <c r="W2780" s="221" t="str">
        <f t="shared" si="52"/>
        <v>1w</v>
      </c>
      <c r="X2780" s="222">
        <f>_xll.qlCalendarAdvance(Calendar,X2779,W2780,"f",FALSE)</f>
        <v>58327</v>
      </c>
      <c r="Y2780" s="227">
        <f>_xll.qlCalendarAdvance(Calendar,X2780,NDays&amp;"D")</f>
        <v>58327</v>
      </c>
      <c r="Z2780" s="228">
        <v>2.9849665918302442E-2</v>
      </c>
      <c r="AA2780" s="230">
        <v>2.9802674454949551E-2</v>
      </c>
    </row>
    <row r="2781" spans="19:27" x14ac:dyDescent="0.2">
      <c r="S2781" s="32"/>
      <c r="T2781" s="187"/>
      <c r="W2781" s="221" t="str">
        <f t="shared" si="52"/>
        <v>1w</v>
      </c>
      <c r="X2781" s="222">
        <f>_xll.qlCalendarAdvance(Calendar,X2780,W2781,"f",FALSE)</f>
        <v>58334</v>
      </c>
      <c r="Y2781" s="227">
        <f>_xll.qlCalendarAdvance(Calendar,X2781,NDays&amp;"D")</f>
        <v>58334</v>
      </c>
      <c r="Z2781" s="228">
        <v>2.9855312218025953E-2</v>
      </c>
      <c r="AA2781" s="230">
        <v>2.9808293735693603E-2</v>
      </c>
    </row>
    <row r="2782" spans="19:27" x14ac:dyDescent="0.2">
      <c r="S2782" s="32"/>
      <c r="T2782" s="187"/>
      <c r="W2782" s="221" t="str">
        <f t="shared" si="52"/>
        <v>1w</v>
      </c>
      <c r="X2782" s="222">
        <f>_xll.qlCalendarAdvance(Calendar,X2781,W2782,"f",FALSE)</f>
        <v>58341</v>
      </c>
      <c r="Y2782" s="227">
        <f>_xll.qlCalendarAdvance(Calendar,X2782,NDays&amp;"D")</f>
        <v>58341</v>
      </c>
      <c r="Z2782" s="228">
        <v>2.9860965129988631E-2</v>
      </c>
      <c r="AA2782" s="230">
        <v>2.9813919610444106E-2</v>
      </c>
    </row>
    <row r="2783" spans="19:27" x14ac:dyDescent="0.2">
      <c r="S2783" s="32"/>
      <c r="T2783" s="187"/>
      <c r="W2783" s="221" t="str">
        <f t="shared" si="52"/>
        <v>1w</v>
      </c>
      <c r="X2783" s="222">
        <f>_xll.qlCalendarAdvance(Calendar,X2782,W2783,"f",FALSE)</f>
        <v>58348</v>
      </c>
      <c r="Y2783" s="227">
        <f>_xll.qlCalendarAdvance(Calendar,X2783,NDays&amp;"D")</f>
        <v>58348</v>
      </c>
      <c r="Z2783" s="228">
        <v>2.9868250508235116E-2</v>
      </c>
      <c r="AA2783" s="230">
        <v>2.9819552079120015E-2</v>
      </c>
    </row>
    <row r="2784" spans="19:27" x14ac:dyDescent="0.2">
      <c r="S2784" s="32"/>
      <c r="T2784" s="187"/>
      <c r="W2784" s="221" t="str">
        <f t="shared" si="52"/>
        <v>1w</v>
      </c>
      <c r="X2784" s="222">
        <f>_xll.qlCalendarAdvance(Calendar,X2783,W2784,"f",FALSE)</f>
        <v>58355</v>
      </c>
      <c r="Y2784" s="227">
        <f>_xll.qlCalendarAdvance(Calendar,X2784,NDays&amp;"D")</f>
        <v>58355</v>
      </c>
      <c r="Z2784" s="228">
        <v>2.9873917580203621E-2</v>
      </c>
      <c r="AA2784" s="230">
        <v>2.9825191142207608E-2</v>
      </c>
    </row>
    <row r="2785" spans="19:27" x14ac:dyDescent="0.2">
      <c r="S2785" s="32"/>
      <c r="T2785" s="187"/>
      <c r="W2785" s="221" t="str">
        <f t="shared" si="52"/>
        <v>1w</v>
      </c>
      <c r="X2785" s="222">
        <f>_xll.qlCalendarAdvance(Calendar,X2784,W2785,"f",FALSE)</f>
        <v>58362</v>
      </c>
      <c r="Y2785" s="227">
        <f>_xll.qlCalendarAdvance(Calendar,X2785,NDays&amp;"D")</f>
        <v>58362</v>
      </c>
      <c r="Z2785" s="228">
        <v>2.9879591265070206E-2</v>
      </c>
      <c r="AA2785" s="230">
        <v>2.983083679913956E-2</v>
      </c>
    </row>
    <row r="2786" spans="19:27" x14ac:dyDescent="0.2">
      <c r="S2786" s="32"/>
      <c r="T2786" s="187"/>
      <c r="W2786" s="221" t="str">
        <f t="shared" si="52"/>
        <v>1w</v>
      </c>
      <c r="X2786" s="222">
        <f>_xll.qlCalendarAdvance(Calendar,X2785,W2786,"f",FALSE)</f>
        <v>58369</v>
      </c>
      <c r="Y2786" s="227">
        <f>_xll.qlCalendarAdvance(Calendar,X2786,NDays&amp;"D")</f>
        <v>58369</v>
      </c>
      <c r="Z2786" s="228">
        <v>2.988527156284794E-2</v>
      </c>
      <c r="AA2786" s="230">
        <v>2.9836489049996917E-2</v>
      </c>
    </row>
    <row r="2787" spans="19:27" x14ac:dyDescent="0.2">
      <c r="S2787" s="32"/>
      <c r="T2787" s="187"/>
      <c r="W2787" s="221" t="str">
        <f t="shared" si="52"/>
        <v>1w</v>
      </c>
      <c r="X2787" s="222">
        <f>_xll.qlCalendarAdvance(Calendar,X2786,W2787,"f",FALSE)</f>
        <v>58376</v>
      </c>
      <c r="Y2787" s="227">
        <f>_xll.qlCalendarAdvance(Calendar,X2787,NDays&amp;"D")</f>
        <v>58376</v>
      </c>
      <c r="Z2787" s="228">
        <v>2.9890958473544671E-2</v>
      </c>
      <c r="AA2787" s="230">
        <v>2.9842147895103865E-2</v>
      </c>
    </row>
    <row r="2788" spans="19:27" x14ac:dyDescent="0.2">
      <c r="S2788" s="32"/>
      <c r="T2788" s="187"/>
      <c r="W2788" s="221" t="str">
        <f t="shared" si="52"/>
        <v>1w</v>
      </c>
      <c r="X2788" s="222">
        <f>_xll.qlCalendarAdvance(Calendar,X2787,W2788,"f",FALSE)</f>
        <v>58383</v>
      </c>
      <c r="Y2788" s="227">
        <f>_xll.qlCalendarAdvance(Calendar,X2788,NDays&amp;"D")</f>
        <v>58383</v>
      </c>
      <c r="Z2788" s="228">
        <v>2.9895021459424687E-2</v>
      </c>
      <c r="AA2788" s="230">
        <v>2.9847813334460405E-2</v>
      </c>
    </row>
    <row r="2789" spans="19:27" x14ac:dyDescent="0.2">
      <c r="S2789" s="32"/>
      <c r="T2789" s="187"/>
      <c r="W2789" s="221" t="str">
        <f t="shared" si="52"/>
        <v>1w</v>
      </c>
      <c r="X2789" s="222">
        <f>_xll.qlCalendarAdvance(Calendar,X2788,W2789,"f",FALSE)</f>
        <v>58390</v>
      </c>
      <c r="Y2789" s="227">
        <f>_xll.qlCalendarAdvance(Calendar,X2789,NDays&amp;"D")</f>
        <v>58390</v>
      </c>
      <c r="Z2789" s="228">
        <v>2.9900720657361379E-2</v>
      </c>
      <c r="AA2789" s="230">
        <v>2.985348536774235E-2</v>
      </c>
    </row>
    <row r="2790" spans="19:27" x14ac:dyDescent="0.2">
      <c r="S2790" s="32"/>
      <c r="T2790" s="187"/>
      <c r="W2790" s="221" t="str">
        <f t="shared" si="52"/>
        <v>1w</v>
      </c>
      <c r="X2790" s="222">
        <f>_xll.qlCalendarAdvance(Calendar,X2789,W2790,"f",FALSE)</f>
        <v>58397</v>
      </c>
      <c r="Y2790" s="227">
        <f>_xll.qlCalendarAdvance(Calendar,X2790,NDays&amp;"D")</f>
        <v>58397</v>
      </c>
      <c r="Z2790" s="228">
        <v>2.990642646761018E-2</v>
      </c>
      <c r="AA2790" s="230">
        <v>2.9859163994868654E-2</v>
      </c>
    </row>
    <row r="2791" spans="19:27" x14ac:dyDescent="0.2">
      <c r="S2791" s="32"/>
      <c r="T2791" s="187"/>
      <c r="W2791" s="221" t="str">
        <f t="shared" si="52"/>
        <v>1w</v>
      </c>
      <c r="X2791" s="222">
        <f>_xll.qlCalendarAdvance(Calendar,X2790,W2791,"f",FALSE)</f>
        <v>58404</v>
      </c>
      <c r="Y2791" s="227">
        <f>_xll.qlCalendarAdvance(Calendar,X2791,NDays&amp;"D")</f>
        <v>58404</v>
      </c>
      <c r="Z2791" s="228">
        <v>2.9918673384822007E-2</v>
      </c>
      <c r="AA2791" s="230">
        <v>2.9864849216406641E-2</v>
      </c>
    </row>
    <row r="2792" spans="19:27" x14ac:dyDescent="0.2">
      <c r="S2792" s="32"/>
      <c r="T2792" s="187"/>
      <c r="W2792" s="221" t="str">
        <f t="shared" si="52"/>
        <v>1w</v>
      </c>
      <c r="X2792" s="222">
        <f>_xll.qlCalendarAdvance(Calendar,X2791,W2792,"f",FALSE)</f>
        <v>58411</v>
      </c>
      <c r="Y2792" s="227">
        <f>_xll.qlCalendarAdvance(Calendar,X2792,NDays&amp;"D")</f>
        <v>58411</v>
      </c>
      <c r="Z2792" s="228">
        <v>2.9919492221174009E-2</v>
      </c>
      <c r="AA2792" s="230">
        <v>2.9870541032032127E-2</v>
      </c>
    </row>
    <row r="2793" spans="19:27" x14ac:dyDescent="0.2">
      <c r="S2793" s="32"/>
      <c r="T2793" s="187"/>
      <c r="W2793" s="221" t="str">
        <f t="shared" si="52"/>
        <v>1w</v>
      </c>
      <c r="X2793" s="222">
        <f>_xll.qlCalendarAdvance(Calendar,X2792,W2793,"f",FALSE)</f>
        <v>58418</v>
      </c>
      <c r="Y2793" s="227">
        <f>_xll.qlCalendarAdvance(Calendar,X2793,NDays&amp;"D")</f>
        <v>58418</v>
      </c>
      <c r="Z2793" s="228">
        <v>2.9925218809591234E-2</v>
      </c>
      <c r="AA2793" s="230">
        <v>2.9876239441420926E-2</v>
      </c>
    </row>
    <row r="2794" spans="19:27" x14ac:dyDescent="0.2">
      <c r="S2794" s="32"/>
      <c r="T2794" s="187"/>
      <c r="W2794" s="221" t="str">
        <f t="shared" si="52"/>
        <v>1w</v>
      </c>
      <c r="X2794" s="222">
        <f>_xll.qlCalendarAdvance(Calendar,X2793,W2794,"f",FALSE)</f>
        <v>58425</v>
      </c>
      <c r="Y2794" s="227">
        <f>_xll.qlCalendarAdvance(Calendar,X2794,NDays&amp;"D")</f>
        <v>58425</v>
      </c>
      <c r="Z2794" s="228">
        <v>2.9930952011000662E-2</v>
      </c>
      <c r="AA2794" s="230">
        <v>2.9881944445140363E-2</v>
      </c>
    </row>
    <row r="2795" spans="19:27" x14ac:dyDescent="0.2">
      <c r="S2795" s="32"/>
      <c r="T2795" s="187"/>
      <c r="W2795" s="221" t="str">
        <f t="shared" si="52"/>
        <v>1w</v>
      </c>
      <c r="X2795" s="222">
        <f>_xll.qlCalendarAdvance(Calendar,X2794,W2795,"f",FALSE)</f>
        <v>58432</v>
      </c>
      <c r="Y2795" s="227">
        <f>_xll.qlCalendarAdvance(Calendar,X2795,NDays&amp;"D")</f>
        <v>58432</v>
      </c>
      <c r="Z2795" s="228">
        <v>2.9936691825410127E-2</v>
      </c>
      <c r="AA2795" s="230">
        <v>2.9887656042947297E-2</v>
      </c>
    </row>
    <row r="2796" spans="19:27" x14ac:dyDescent="0.2">
      <c r="S2796" s="32"/>
      <c r="T2796" s="187"/>
      <c r="W2796" s="221" t="str">
        <f t="shared" si="52"/>
        <v>1w</v>
      </c>
      <c r="X2796" s="222">
        <f>_xll.qlCalendarAdvance(Calendar,X2795,W2796,"f",FALSE)</f>
        <v>58439</v>
      </c>
      <c r="Y2796" s="227">
        <f>_xll.qlCalendarAdvance(Calendar,X2796,NDays&amp;"D")</f>
        <v>58439</v>
      </c>
      <c r="Z2796" s="228">
        <v>2.9942438252819632E-2</v>
      </c>
      <c r="AA2796" s="230">
        <v>2.9893374234679637E-2</v>
      </c>
    </row>
    <row r="2797" spans="19:27" x14ac:dyDescent="0.2">
      <c r="S2797" s="32"/>
      <c r="T2797" s="187"/>
      <c r="W2797" s="221" t="str">
        <f t="shared" si="52"/>
        <v>1w</v>
      </c>
      <c r="X2797" s="222">
        <f>_xll.qlCalendarAdvance(Calendar,X2796,W2797,"f",FALSE)</f>
        <v>58446</v>
      </c>
      <c r="Y2797" s="227">
        <f>_xll.qlCalendarAdvance(Calendar,X2797,NDays&amp;"D")</f>
        <v>58446</v>
      </c>
      <c r="Z2797" s="228">
        <v>2.9948191293250093E-2</v>
      </c>
      <c r="AA2797" s="230">
        <v>2.9899099020499476E-2</v>
      </c>
    </row>
    <row r="2798" spans="19:27" x14ac:dyDescent="0.2">
      <c r="S2798" s="32"/>
      <c r="T2798" s="187"/>
      <c r="W2798" s="221" t="str">
        <f t="shared" si="52"/>
        <v>1w</v>
      </c>
      <c r="X2798" s="222">
        <f>_xll.qlCalendarAdvance(Calendar,X2797,W2798,"f",FALSE)</f>
        <v>58453</v>
      </c>
      <c r="Y2798" s="227">
        <f>_xll.qlCalendarAdvance(Calendar,X2798,NDays&amp;"D")</f>
        <v>58453</v>
      </c>
      <c r="Z2798" s="228">
        <v>2.9953950946704125E-2</v>
      </c>
      <c r="AA2798" s="230">
        <v>2.9904830400568905E-2</v>
      </c>
    </row>
    <row r="2799" spans="19:27" x14ac:dyDescent="0.2">
      <c r="S2799" s="32"/>
      <c r="T2799" s="187"/>
      <c r="W2799" s="221" t="str">
        <f t="shared" si="52"/>
        <v>1w</v>
      </c>
      <c r="X2799" s="222">
        <f>_xll.qlCalendarAdvance(Calendar,X2798,W2799,"f",FALSE)</f>
        <v>58460</v>
      </c>
      <c r="Y2799" s="227">
        <f>_xll.qlCalendarAdvance(Calendar,X2799,NDays&amp;"D")</f>
        <v>58460</v>
      </c>
      <c r="Z2799" s="228">
        <v>2.9959717213194795E-2</v>
      </c>
      <c r="AA2799" s="230">
        <v>2.9910568374644786E-2</v>
      </c>
    </row>
    <row r="2800" spans="19:27" x14ac:dyDescent="0.2">
      <c r="S2800" s="32"/>
      <c r="T2800" s="187"/>
      <c r="W2800" s="221" t="str">
        <f t="shared" si="52"/>
        <v>1w</v>
      </c>
      <c r="X2800" s="222">
        <f>_xll.qlCalendarAdvance(Calendar,X2799,W2800,"f",FALSE)</f>
        <v>58467</v>
      </c>
      <c r="Y2800" s="227">
        <f>_xll.qlCalendarAdvance(Calendar,X2800,NDays&amp;"D")</f>
        <v>58467</v>
      </c>
      <c r="Z2800" s="228">
        <v>2.9965490092732569E-2</v>
      </c>
      <c r="AA2800" s="230">
        <v>2.9916312942727119E-2</v>
      </c>
    </row>
    <row r="2801" spans="19:27" x14ac:dyDescent="0.2">
      <c r="S2801" s="32"/>
      <c r="T2801" s="187"/>
      <c r="W2801" s="221" t="str">
        <f t="shared" si="52"/>
        <v>1w</v>
      </c>
      <c r="X2801" s="222">
        <f>_xll.qlCalendarAdvance(Calendar,X2800,W2801,"f",FALSE)</f>
        <v>58474</v>
      </c>
      <c r="Y2801" s="227">
        <f>_xll.qlCalendarAdvance(Calendar,X2801,NDays&amp;"D")</f>
        <v>58474</v>
      </c>
      <c r="Z2801" s="228">
        <v>2.9967984186831088E-2</v>
      </c>
      <c r="AA2801" s="230">
        <v>2.9922064104815904E-2</v>
      </c>
    </row>
    <row r="2802" spans="19:27" x14ac:dyDescent="0.2">
      <c r="S2802" s="32"/>
      <c r="T2802" s="187"/>
      <c r="W2802" s="221" t="str">
        <f t="shared" si="52"/>
        <v>1w</v>
      </c>
      <c r="X2802" s="222">
        <f>_xll.qlCalendarAdvance(Calendar,X2801,W2802,"f",FALSE)</f>
        <v>58481</v>
      </c>
      <c r="Y2802" s="227">
        <f>_xll.qlCalendarAdvance(Calendar,X2802,NDays&amp;"D")</f>
        <v>58481</v>
      </c>
      <c r="Z2802" s="228">
        <v>2.997376839890848E-2</v>
      </c>
      <c r="AA2802" s="230">
        <v>2.992782186115428E-2</v>
      </c>
    </row>
    <row r="2803" spans="19:27" x14ac:dyDescent="0.2">
      <c r="S2803" s="32"/>
      <c r="T2803" s="187"/>
      <c r="W2803" s="221" t="str">
        <f t="shared" si="52"/>
        <v>1w</v>
      </c>
      <c r="X2803" s="222">
        <f>_xll.qlCalendarAdvance(Calendar,X2802,W2803,"f",FALSE)</f>
        <v>58488</v>
      </c>
      <c r="Y2803" s="227">
        <f>_xll.qlCalendarAdvance(Calendar,X2803,NDays&amp;"D")</f>
        <v>58488</v>
      </c>
      <c r="Z2803" s="228">
        <v>2.9979559222791767E-2</v>
      </c>
      <c r="AA2803" s="230">
        <v>2.9933586211580154E-2</v>
      </c>
    </row>
    <row r="2804" spans="19:27" x14ac:dyDescent="0.2">
      <c r="S2804" s="32"/>
      <c r="T2804" s="187"/>
      <c r="W2804" s="221" t="str">
        <f t="shared" si="52"/>
        <v>1w</v>
      </c>
      <c r="X2804" s="222">
        <f>_xll.qlCalendarAdvance(Calendar,X2803,W2804,"f",FALSE)</f>
        <v>58495</v>
      </c>
      <c r="Y2804" s="227">
        <f>_xll.qlCalendarAdvance(Calendar,X2804,NDays&amp;"D")</f>
        <v>58495</v>
      </c>
      <c r="Z2804" s="228">
        <v>2.9985356658486534E-2</v>
      </c>
      <c r="AA2804" s="230">
        <v>2.993935715601248E-2</v>
      </c>
    </row>
    <row r="2805" spans="19:27" x14ac:dyDescent="0.2">
      <c r="S2805" s="32"/>
      <c r="T2805" s="187"/>
      <c r="W2805" s="221" t="str">
        <f t="shared" si="52"/>
        <v>1w</v>
      </c>
      <c r="X2805" s="222">
        <f>_xll.qlCalendarAdvance(Calendar,X2804,W2805,"f",FALSE)</f>
        <v>58502</v>
      </c>
      <c r="Y2805" s="227">
        <f>_xll.qlCalendarAdvance(Calendar,X2805,NDays&amp;"D")</f>
        <v>58502</v>
      </c>
      <c r="Z2805" s="228">
        <v>2.9994453686433796E-2</v>
      </c>
      <c r="AA2805" s="230">
        <v>2.9945134694451259E-2</v>
      </c>
    </row>
    <row r="2806" spans="19:27" x14ac:dyDescent="0.2">
      <c r="S2806" s="32"/>
      <c r="T2806" s="187"/>
      <c r="W2806" s="221" t="str">
        <f t="shared" si="52"/>
        <v>1w</v>
      </c>
      <c r="X2806" s="222">
        <f>_xll.qlCalendarAdvance(Calendar,X2805,W2806,"f",FALSE)</f>
        <v>58509</v>
      </c>
      <c r="Y2806" s="227">
        <f>_xll.qlCalendarAdvance(Calendar,X2806,NDays&amp;"D")</f>
        <v>58509</v>
      </c>
      <c r="Z2806" s="228">
        <v>3.0000266244447626E-2</v>
      </c>
      <c r="AA2806" s="230">
        <v>2.9950918827139628E-2</v>
      </c>
    </row>
    <row r="2807" spans="19:27" x14ac:dyDescent="0.2">
      <c r="S2807" s="32"/>
      <c r="T2807" s="187"/>
      <c r="W2807" s="221" t="str">
        <f t="shared" si="52"/>
        <v>1w</v>
      </c>
      <c r="X2807" s="222">
        <f>_xll.qlCalendarAdvance(Calendar,X2806,W2807,"f",FALSE)</f>
        <v>58516</v>
      </c>
      <c r="Y2807" s="227">
        <f>_xll.qlCalendarAdvance(Calendar,X2807,NDays&amp;"D")</f>
        <v>58516</v>
      </c>
      <c r="Z2807" s="228">
        <v>3.0012681143404531E-2</v>
      </c>
      <c r="AA2807" s="230">
        <v>2.9956709553753402E-2</v>
      </c>
    </row>
    <row r="2808" spans="19:27" x14ac:dyDescent="0.2">
      <c r="S2808" s="32"/>
      <c r="T2808" s="187"/>
      <c r="W2808" s="221" t="str">
        <f t="shared" si="52"/>
        <v>1w</v>
      </c>
      <c r="X2808" s="222">
        <f>_xll.qlCalendarAdvance(Calendar,X2807,W2808,"f",FALSE)</f>
        <v>58523</v>
      </c>
      <c r="Y2808" s="227">
        <f>_xll.qlCalendarAdvance(Calendar,X2808,NDays&amp;"D")</f>
        <v>58523</v>
      </c>
      <c r="Z2808" s="228">
        <v>3.0011911199823126E-2</v>
      </c>
      <c r="AA2808" s="230">
        <v>2.9962506874454675E-2</v>
      </c>
    </row>
    <row r="2809" spans="19:27" x14ac:dyDescent="0.2">
      <c r="S2809" s="32"/>
      <c r="T2809" s="187"/>
      <c r="W2809" s="221" t="str">
        <f t="shared" si="52"/>
        <v>1w</v>
      </c>
      <c r="X2809" s="222">
        <f>_xll.qlCalendarAdvance(Calendar,X2808,W2809,"f",FALSE)</f>
        <v>58530</v>
      </c>
      <c r="Y2809" s="227">
        <f>_xll.qlCalendarAdvance(Calendar,X2809,NDays&amp;"D")</f>
        <v>58530</v>
      </c>
      <c r="Z2809" s="228">
        <v>3.001774359720832E-2</v>
      </c>
      <c r="AA2809" s="230">
        <v>2.9968310789324493E-2</v>
      </c>
    </row>
    <row r="2810" spans="19:27" x14ac:dyDescent="0.2">
      <c r="S2810" s="32"/>
      <c r="T2810" s="187"/>
      <c r="W2810" s="221" t="str">
        <f t="shared" si="52"/>
        <v>1w</v>
      </c>
      <c r="X2810" s="222">
        <f>_xll.qlCalendarAdvance(Calendar,X2809,W2810,"f",FALSE)</f>
        <v>58537</v>
      </c>
      <c r="Y2810" s="227">
        <f>_xll.qlCalendarAdvance(Calendar,X2810,NDays&amp;"D")</f>
        <v>58537</v>
      </c>
      <c r="Z2810" s="228">
        <v>3.0021931273926866E-2</v>
      </c>
      <c r="AA2810" s="230">
        <v>2.9974121298281808E-2</v>
      </c>
    </row>
    <row r="2811" spans="19:27" x14ac:dyDescent="0.2">
      <c r="S2811" s="32"/>
      <c r="T2811" s="187"/>
      <c r="W2811" s="221" t="str">
        <f t="shared" si="52"/>
        <v>1w</v>
      </c>
      <c r="X2811" s="222">
        <f>_xll.qlCalendarAdvance(Calendar,X2810,W2811,"f",FALSE)</f>
        <v>58544</v>
      </c>
      <c r="Y2811" s="227">
        <f>_xll.qlCalendarAdvance(Calendar,X2811,NDays&amp;"D")</f>
        <v>58544</v>
      </c>
      <c r="Z2811" s="228">
        <v>3.0027775945028888E-2</v>
      </c>
      <c r="AA2811" s="230">
        <v>2.9979938401245576E-2</v>
      </c>
    </row>
    <row r="2812" spans="19:27" x14ac:dyDescent="0.2">
      <c r="S2812" s="32"/>
      <c r="T2812" s="187"/>
      <c r="W2812" s="221" t="str">
        <f t="shared" si="52"/>
        <v>1w</v>
      </c>
      <c r="X2812" s="222">
        <f>_xll.qlCalendarAdvance(Calendar,X2811,W2812,"f",FALSE)</f>
        <v>58551</v>
      </c>
      <c r="Y2812" s="227">
        <f>_xll.qlCalendarAdvance(Calendar,X2812,NDays&amp;"D")</f>
        <v>58551</v>
      </c>
      <c r="Z2812" s="228">
        <v>3.0033627228653735E-2</v>
      </c>
      <c r="AA2812" s="230">
        <v>2.9985762098296842E-2</v>
      </c>
    </row>
    <row r="2813" spans="19:27" x14ac:dyDescent="0.2">
      <c r="S2813" s="32"/>
      <c r="T2813" s="187"/>
      <c r="W2813" s="221" t="str">
        <f t="shared" si="52"/>
        <v>1w</v>
      </c>
      <c r="X2813" s="222">
        <f>_xll.qlCalendarAdvance(Calendar,X2812,W2813,"f",FALSE)</f>
        <v>58558</v>
      </c>
      <c r="Y2813" s="227">
        <f>_xll.qlCalendarAdvance(Calendar,X2813,NDays&amp;"D")</f>
        <v>58558</v>
      </c>
      <c r="Z2813" s="228">
        <v>3.0039485124814913E-2</v>
      </c>
      <c r="AA2813" s="230">
        <v>2.9991592389597699E-2</v>
      </c>
    </row>
    <row r="2814" spans="19:27" x14ac:dyDescent="0.2">
      <c r="S2814" s="32"/>
      <c r="T2814" s="187"/>
      <c r="W2814" s="221" t="str">
        <f t="shared" si="52"/>
        <v>1w</v>
      </c>
      <c r="X2814" s="222">
        <f>_xll.qlCalendarAdvance(Calendar,X2813,W2814,"f",FALSE)</f>
        <v>58565</v>
      </c>
      <c r="Y2814" s="227">
        <f>_xll.qlCalendarAdvance(Calendar,X2814,NDays&amp;"D")</f>
        <v>58565</v>
      </c>
      <c r="Z2814" s="228">
        <v>3.0047004781466942E-2</v>
      </c>
      <c r="AA2814" s="230">
        <v>2.9997429274823961E-2</v>
      </c>
    </row>
    <row r="2815" spans="19:27" x14ac:dyDescent="0.2">
      <c r="S2815" s="32"/>
      <c r="T2815" s="187"/>
      <c r="W2815" s="221" t="str">
        <f t="shared" si="52"/>
        <v>1w</v>
      </c>
      <c r="X2815" s="222">
        <f>_xll.qlCalendarAdvance(Calendar,X2814,W2815,"f",FALSE)</f>
        <v>58572</v>
      </c>
      <c r="Y2815" s="227">
        <f>_xll.qlCalendarAdvance(Calendar,X2815,NDays&amp;"D")</f>
        <v>58572</v>
      </c>
      <c r="Z2815" s="228">
        <v>3.0052876857856306E-2</v>
      </c>
      <c r="AA2815" s="230">
        <v>3.0003272754137722E-2</v>
      </c>
    </row>
    <row r="2816" spans="19:27" x14ac:dyDescent="0.2">
      <c r="S2816" s="32"/>
      <c r="T2816" s="187"/>
      <c r="W2816" s="221" t="str">
        <f t="shared" si="52"/>
        <v>1w</v>
      </c>
      <c r="X2816" s="222">
        <f>_xll.qlCalendarAdvance(Calendar,X2815,W2816,"f",FALSE)</f>
        <v>58579</v>
      </c>
      <c r="Y2816" s="227">
        <f>_xll.qlCalendarAdvance(Calendar,X2816,NDays&amp;"D")</f>
        <v>58579</v>
      </c>
      <c r="Z2816" s="228">
        <v>3.0058755547444405E-2</v>
      </c>
      <c r="AA2816" s="230">
        <v>3.0009122827538981E-2</v>
      </c>
    </row>
    <row r="2817" spans="19:27" x14ac:dyDescent="0.2">
      <c r="S2817" s="32"/>
      <c r="T2817" s="187"/>
      <c r="W2817" s="221" t="str">
        <f t="shared" si="52"/>
        <v>1w</v>
      </c>
      <c r="X2817" s="222">
        <f>_xll.qlCalendarAdvance(Calendar,X2816,W2817,"f",FALSE)</f>
        <v>58586</v>
      </c>
      <c r="Y2817" s="227">
        <f>_xll.qlCalendarAdvance(Calendar,X2817,NDays&amp;"D")</f>
        <v>58586</v>
      </c>
      <c r="Z2817" s="228">
        <v>3.0064640850246925E-2</v>
      </c>
      <c r="AA2817" s="230">
        <v>3.0014979495108784E-2</v>
      </c>
    </row>
    <row r="2818" spans="19:27" x14ac:dyDescent="0.2">
      <c r="S2818" s="32"/>
      <c r="T2818" s="187"/>
      <c r="W2818" s="221" t="str">
        <f t="shared" si="52"/>
        <v>1w</v>
      </c>
      <c r="X2818" s="222">
        <f>_xll.qlCalendarAdvance(Calendar,X2817,W2818,"f",FALSE)</f>
        <v>58593</v>
      </c>
      <c r="Y2818" s="227">
        <f>_xll.qlCalendarAdvance(Calendar,X2818,NDays&amp;"D")</f>
        <v>58593</v>
      </c>
      <c r="Z2818" s="228">
        <v>3.0068873793976492E-2</v>
      </c>
      <c r="AA2818" s="230">
        <v>3.002084275668504E-2</v>
      </c>
    </row>
    <row r="2819" spans="19:27" x14ac:dyDescent="0.2">
      <c r="S2819" s="32"/>
      <c r="T2819" s="187"/>
      <c r="W2819" s="221" t="str">
        <f t="shared" si="52"/>
        <v>1w</v>
      </c>
      <c r="X2819" s="222">
        <f>_xll.qlCalendarAdvance(Calendar,X2818,W2819,"f",FALSE)</f>
        <v>58600</v>
      </c>
      <c r="Y2819" s="227">
        <f>_xll.qlCalendarAdvance(Calendar,X2819,NDays&amp;"D")</f>
        <v>58600</v>
      </c>
      <c r="Z2819" s="228">
        <v>3.0074771365542079E-2</v>
      </c>
      <c r="AA2819" s="230">
        <v>3.0026712612267747E-2</v>
      </c>
    </row>
    <row r="2820" spans="19:27" x14ac:dyDescent="0.2">
      <c r="S2820" s="32"/>
      <c r="T2820" s="187"/>
      <c r="W2820" s="221" t="str">
        <f t="shared" si="52"/>
        <v>1w</v>
      </c>
      <c r="X2820" s="222">
        <f>_xll.qlCalendarAdvance(Calendar,X2819,W2820,"f",FALSE)</f>
        <v>58607</v>
      </c>
      <c r="Y2820" s="227">
        <f>_xll.qlCalendarAdvance(Calendar,X2820,NDays&amp;"D")</f>
        <v>58607</v>
      </c>
      <c r="Z2820" s="228">
        <v>3.0080675549711538E-2</v>
      </c>
      <c r="AA2820" s="230">
        <v>3.0032589062181092E-2</v>
      </c>
    </row>
    <row r="2821" spans="19:27" x14ac:dyDescent="0.2">
      <c r="S2821" s="32"/>
      <c r="T2821" s="187"/>
      <c r="W2821" s="221" t="str">
        <f t="shared" si="52"/>
        <v>1w</v>
      </c>
      <c r="X2821" s="222">
        <f>_xll.qlCalendarAdvance(Calendar,X2820,W2821,"f",FALSE)</f>
        <v>58614</v>
      </c>
      <c r="Y2821" s="227">
        <f>_xll.qlCalendarAdvance(Calendar,X2821,NDays&amp;"D")</f>
        <v>58614</v>
      </c>
      <c r="Z2821" s="228">
        <v>3.0086586346495674E-2</v>
      </c>
      <c r="AA2821" s="230">
        <v>3.0038472106019842E-2</v>
      </c>
    </row>
    <row r="2822" spans="19:27" x14ac:dyDescent="0.2">
      <c r="S2822" s="32"/>
      <c r="T2822" s="187"/>
      <c r="W2822" s="221" t="str">
        <f t="shared" si="52"/>
        <v>1w</v>
      </c>
      <c r="X2822" s="222">
        <f>_xll.qlCalendarAdvance(Calendar,X2821,W2822,"f",FALSE)</f>
        <v>58621</v>
      </c>
      <c r="Y2822" s="227">
        <f>_xll.qlCalendarAdvance(Calendar,X2822,NDays&amp;"D")</f>
        <v>58621</v>
      </c>
      <c r="Z2822" s="228">
        <v>3.0092503755894489E-2</v>
      </c>
      <c r="AA2822" s="230">
        <v>3.0044361743865045E-2</v>
      </c>
    </row>
    <row r="2823" spans="19:27" x14ac:dyDescent="0.2">
      <c r="S2823" s="32"/>
      <c r="T2823" s="187"/>
      <c r="W2823" s="221" t="str">
        <f t="shared" si="52"/>
        <v>1w</v>
      </c>
      <c r="X2823" s="222">
        <f>_xll.qlCalendarAdvance(Calendar,X2822,W2823,"f",FALSE)</f>
        <v>58628</v>
      </c>
      <c r="Y2823" s="227">
        <f>_xll.qlCalendarAdvance(Calendar,X2823,NDays&amp;"D")</f>
        <v>58628</v>
      </c>
      <c r="Z2823" s="228">
        <v>3.0100091545069447E-2</v>
      </c>
      <c r="AA2823" s="230">
        <v>3.0050257975797745E-2</v>
      </c>
    </row>
    <row r="2824" spans="19:27" x14ac:dyDescent="0.2">
      <c r="S2824" s="32"/>
      <c r="T2824" s="187"/>
      <c r="W2824" s="221" t="str">
        <f t="shared" si="52"/>
        <v>1w</v>
      </c>
      <c r="X2824" s="222">
        <f>_xll.qlCalendarAdvance(Calendar,X2823,W2824,"f",FALSE)</f>
        <v>58635</v>
      </c>
      <c r="Y2824" s="227">
        <f>_xll.qlCalendarAdvance(Calendar,X2824,NDays&amp;"D")</f>
        <v>58635</v>
      </c>
      <c r="Z2824" s="228">
        <v>3.0106023140631735E-2</v>
      </c>
      <c r="AA2824" s="230">
        <v>3.0056160801980036E-2</v>
      </c>
    </row>
    <row r="2825" spans="19:27" x14ac:dyDescent="0.2">
      <c r="S2825" s="32"/>
      <c r="T2825" s="187"/>
      <c r="W2825" s="221" t="str">
        <f t="shared" si="52"/>
        <v>1w</v>
      </c>
      <c r="X2825" s="222">
        <f>_xll.qlCalendarAdvance(Calendar,X2824,W2825,"f",FALSE)</f>
        <v>58642</v>
      </c>
      <c r="Y2825" s="227">
        <f>_xll.qlCalendarAdvance(Calendar,X2825,NDays&amp;"D")</f>
        <v>58642</v>
      </c>
      <c r="Z2825" s="228">
        <v>3.0111961349486877E-2</v>
      </c>
      <c r="AA2825" s="230">
        <v>3.0062070222249826E-2</v>
      </c>
    </row>
    <row r="2826" spans="19:27" x14ac:dyDescent="0.2">
      <c r="S2826" s="32"/>
      <c r="T2826" s="187"/>
      <c r="W2826" s="221" t="str">
        <f t="shared" si="52"/>
        <v>1w</v>
      </c>
      <c r="X2826" s="222">
        <f>_xll.qlCalendarAdvance(Calendar,X2825,W2826,"f",FALSE)</f>
        <v>58649</v>
      </c>
      <c r="Y2826" s="227">
        <f>_xll.qlCalendarAdvance(Calendar,X2826,NDays&amp;"D")</f>
        <v>58649</v>
      </c>
      <c r="Z2826" s="228">
        <v>3.0117906171642714E-2</v>
      </c>
      <c r="AA2826" s="230">
        <v>3.0067986236445021E-2</v>
      </c>
    </row>
    <row r="2827" spans="19:27" x14ac:dyDescent="0.2">
      <c r="S2827" s="32"/>
      <c r="T2827" s="187"/>
      <c r="W2827" s="221" t="str">
        <f t="shared" si="52"/>
        <v>1w</v>
      </c>
      <c r="X2827" s="222">
        <f>_xll.qlCalendarAdvance(Calendar,X2826,W2827,"f",FALSE)</f>
        <v>58656</v>
      </c>
      <c r="Y2827" s="227">
        <f>_xll.qlCalendarAdvance(Calendar,X2827,NDays&amp;"D")</f>
        <v>58656</v>
      </c>
      <c r="Z2827" s="228">
        <v>3.0123857607107087E-2</v>
      </c>
      <c r="AA2827" s="230">
        <v>3.0073908844889807E-2</v>
      </c>
    </row>
    <row r="2828" spans="19:27" x14ac:dyDescent="0.2">
      <c r="S2828" s="32"/>
      <c r="T2828" s="187"/>
      <c r="W2828" s="221" t="str">
        <f t="shared" si="52"/>
        <v>1w</v>
      </c>
      <c r="X2828" s="222">
        <f>_xll.qlCalendarAdvance(Calendar,X2827,W2828,"f",FALSE)</f>
        <v>58663</v>
      </c>
      <c r="Y2828" s="227">
        <f>_xll.qlCalendarAdvance(Calendar,X2828,NDays&amp;"D")</f>
        <v>58663</v>
      </c>
      <c r="Z2828" s="228">
        <v>3.0129815655895686E-2</v>
      </c>
      <c r="AA2828" s="230">
        <v>3.0079838047341045E-2</v>
      </c>
    </row>
    <row r="2829" spans="19:27" x14ac:dyDescent="0.2">
      <c r="S2829" s="32"/>
      <c r="T2829" s="187"/>
      <c r="W2829" s="221" t="str">
        <f t="shared" si="52"/>
        <v>1w</v>
      </c>
      <c r="X2829" s="222">
        <f>_xll.qlCalendarAdvance(Calendar,X2828,W2829,"f",FALSE)</f>
        <v>58670</v>
      </c>
      <c r="Y2829" s="227">
        <f>_xll.qlCalendarAdvance(Calendar,X2829,NDays&amp;"D")</f>
        <v>58670</v>
      </c>
      <c r="Z2829" s="228">
        <v>3.013578031801897E-2</v>
      </c>
      <c r="AA2829" s="230">
        <v>3.0085773843960828E-2</v>
      </c>
    </row>
    <row r="2830" spans="19:27" x14ac:dyDescent="0.2">
      <c r="S2830" s="32"/>
      <c r="T2830" s="187"/>
      <c r="W2830" s="221" t="str">
        <f t="shared" si="52"/>
        <v>1w</v>
      </c>
      <c r="X2830" s="222">
        <f>_xll.qlCalendarAdvance(Calendar,X2829,W2830,"f",FALSE)</f>
        <v>58677</v>
      </c>
      <c r="Y2830" s="227">
        <f>_xll.qlCalendarAdvance(Calendar,X2830,NDays&amp;"D")</f>
        <v>58677</v>
      </c>
      <c r="Z2830" s="228">
        <v>3.0141751593479548E-2</v>
      </c>
      <c r="AA2830" s="230">
        <v>3.009171623442497E-2</v>
      </c>
    </row>
    <row r="2831" spans="19:27" x14ac:dyDescent="0.2">
      <c r="S2831" s="32"/>
      <c r="T2831" s="187"/>
      <c r="W2831" s="221" t="str">
        <f t="shared" si="52"/>
        <v>1w</v>
      </c>
      <c r="X2831" s="222">
        <f>_xll.qlCalendarAdvance(Calendar,X2830,W2831,"f",FALSE)</f>
        <v>58684</v>
      </c>
      <c r="Y2831" s="227">
        <f>_xll.qlCalendarAdvance(Calendar,X2831,NDays&amp;"D")</f>
        <v>58684</v>
      </c>
      <c r="Z2831" s="228">
        <v>3.0146058010040815E-2</v>
      </c>
      <c r="AA2831" s="230">
        <v>3.0097665219300795E-2</v>
      </c>
    </row>
    <row r="2832" spans="19:27" x14ac:dyDescent="0.2">
      <c r="S2832" s="32"/>
      <c r="T2832" s="187"/>
      <c r="W2832" s="221" t="str">
        <f t="shared" si="52"/>
        <v>1w</v>
      </c>
      <c r="X2832" s="222">
        <f>_xll.qlCalendarAdvance(Calendar,X2831,W2832,"f",FALSE)</f>
        <v>58691</v>
      </c>
      <c r="Y2832" s="227">
        <f>_xll.qlCalendarAdvance(Calendar,X2832,NDays&amp;"D")</f>
        <v>58691</v>
      </c>
      <c r="Z2832" s="228">
        <v>3.0152041546178048E-2</v>
      </c>
      <c r="AA2832" s="230">
        <v>3.010362079802098E-2</v>
      </c>
    </row>
    <row r="2833" spans="19:27" x14ac:dyDescent="0.2">
      <c r="S2833" s="32"/>
      <c r="T2833" s="187"/>
      <c r="W2833" s="221" t="str">
        <f t="shared" si="52"/>
        <v>1w</v>
      </c>
      <c r="X2833" s="222">
        <f>_xll.qlCalendarAdvance(Calendar,X2832,W2833,"f",FALSE)</f>
        <v>58698</v>
      </c>
      <c r="Y2833" s="227">
        <f>_xll.qlCalendarAdvance(Calendar,X2833,NDays&amp;"D")</f>
        <v>58698</v>
      </c>
      <c r="Z2833" s="228">
        <v>3.0158031695046127E-2</v>
      </c>
      <c r="AA2833" s="230">
        <v>3.0109582970828663E-2</v>
      </c>
    </row>
    <row r="2834" spans="19:27" x14ac:dyDescent="0.2">
      <c r="S2834" s="32"/>
      <c r="T2834" s="187"/>
      <c r="W2834" s="221" t="str">
        <f t="shared" si="52"/>
        <v>1w</v>
      </c>
      <c r="X2834" s="222">
        <f>_xll.qlCalendarAdvance(Calendar,X2833,W2834,"f",FALSE)</f>
        <v>58705</v>
      </c>
      <c r="Y2834" s="227">
        <f>_xll.qlCalendarAdvance(Calendar,X2834,NDays&amp;"D")</f>
        <v>58705</v>
      </c>
      <c r="Z2834" s="228">
        <v>3.0164028456650449E-2</v>
      </c>
      <c r="AA2834" s="230">
        <v>3.0115551737804891E-2</v>
      </c>
    </row>
    <row r="2835" spans="19:27" x14ac:dyDescent="0.2">
      <c r="S2835" s="32"/>
      <c r="T2835" s="187"/>
      <c r="W2835" s="221" t="str">
        <f t="shared" si="52"/>
        <v>1w</v>
      </c>
      <c r="X2835" s="222">
        <f>_xll.qlCalendarAdvance(Calendar,X2834,W2835,"f",FALSE)</f>
        <v>58712</v>
      </c>
      <c r="Y2835" s="227">
        <f>_xll.qlCalendarAdvance(Calendar,X2835,NDays&amp;"D")</f>
        <v>58712</v>
      </c>
      <c r="Z2835" s="228">
        <v>3.017003183100183E-2</v>
      </c>
      <c r="AA2835" s="230">
        <v>3.0121527098949663E-2</v>
      </c>
    </row>
    <row r="2836" spans="19:27" x14ac:dyDescent="0.2">
      <c r="S2836" s="32"/>
      <c r="T2836" s="187"/>
      <c r="W2836" s="221" t="str">
        <f t="shared" si="52"/>
        <v>1w</v>
      </c>
      <c r="X2836" s="222">
        <f>_xll.qlCalendarAdvance(Calendar,X2835,W2836,"f",FALSE)</f>
        <v>58719</v>
      </c>
      <c r="Y2836" s="227">
        <f>_xll.qlCalendarAdvance(Calendar,X2836,NDays&amp;"D")</f>
        <v>58719</v>
      </c>
      <c r="Z2836" s="228">
        <v>3.0177718126974638E-2</v>
      </c>
      <c r="AA2836" s="230">
        <v>3.0127509054100887E-2</v>
      </c>
    </row>
    <row r="2837" spans="19:27" x14ac:dyDescent="0.2">
      <c r="S2837" s="32"/>
      <c r="T2837" s="187"/>
      <c r="W2837" s="221" t="str">
        <f t="shared" ref="W2837:W2900" si="53">W2836</f>
        <v>1w</v>
      </c>
      <c r="X2837" s="222">
        <f>_xll.qlCalendarAdvance(Calendar,X2836,W2837,"f",FALSE)</f>
        <v>58726</v>
      </c>
      <c r="Y2837" s="227">
        <f>_xll.qlCalendarAdvance(Calendar,X2837,NDays&amp;"D")</f>
        <v>58726</v>
      </c>
      <c r="Z2837" s="228">
        <v>3.0183735696104795E-2</v>
      </c>
      <c r="AA2837" s="230">
        <v>3.013349760333961E-2</v>
      </c>
    </row>
    <row r="2838" spans="19:27" x14ac:dyDescent="0.2">
      <c r="S2838" s="32"/>
      <c r="T2838" s="187"/>
      <c r="W2838" s="221" t="str">
        <f t="shared" si="53"/>
        <v>1w</v>
      </c>
      <c r="X2838" s="222">
        <f>_xll.qlCalendarAdvance(Calendar,X2837,W2838,"f",FALSE)</f>
        <v>58733</v>
      </c>
      <c r="Y2838" s="227">
        <f>_xll.qlCalendarAdvance(Calendar,X2838,NDays&amp;"D")</f>
        <v>58733</v>
      </c>
      <c r="Z2838" s="228">
        <v>3.018975987866114E-2</v>
      </c>
      <c r="AA2838" s="230">
        <v>3.0139492746827923E-2</v>
      </c>
    </row>
    <row r="2839" spans="19:27" x14ac:dyDescent="0.2">
      <c r="S2839" s="32"/>
      <c r="T2839" s="187"/>
      <c r="W2839" s="221" t="str">
        <f t="shared" si="53"/>
        <v>1w</v>
      </c>
      <c r="X2839" s="222">
        <f>_xll.qlCalendarAdvance(Calendar,X2838,W2839,"f",FALSE)</f>
        <v>58740</v>
      </c>
      <c r="Y2839" s="227">
        <f>_xll.qlCalendarAdvance(Calendar,X2839,NDays&amp;"D")</f>
        <v>58740</v>
      </c>
      <c r="Z2839" s="228">
        <v>3.0195790674643674E-2</v>
      </c>
      <c r="AA2839" s="230">
        <v>3.0145494484241642E-2</v>
      </c>
    </row>
    <row r="2840" spans="19:27" x14ac:dyDescent="0.2">
      <c r="S2840" s="32"/>
      <c r="T2840" s="187"/>
      <c r="W2840" s="221" t="str">
        <f t="shared" si="53"/>
        <v>1w</v>
      </c>
      <c r="X2840" s="222">
        <f>_xll.qlCalendarAdvance(Calendar,X2839,W2840,"f",FALSE)</f>
        <v>58747</v>
      </c>
      <c r="Y2840" s="227">
        <f>_xll.qlCalendarAdvance(Calendar,X2840,NDays&amp;"D")</f>
        <v>58747</v>
      </c>
      <c r="Z2840" s="228">
        <v>3.0200147894296814E-2</v>
      </c>
      <c r="AA2840" s="230">
        <v>3.0151502815661813E-2</v>
      </c>
    </row>
    <row r="2841" spans="19:27" x14ac:dyDescent="0.2">
      <c r="S2841" s="32"/>
      <c r="T2841" s="187"/>
      <c r="W2841" s="221" t="str">
        <f t="shared" si="53"/>
        <v>1w</v>
      </c>
      <c r="X2841" s="222">
        <f>_xll.qlCalendarAdvance(Calendar,X2840,W2841,"f",FALSE)</f>
        <v>58754</v>
      </c>
      <c r="Y2841" s="227">
        <f>_xll.qlCalendarAdvance(Calendar,X2841,NDays&amp;"D")</f>
        <v>58754</v>
      </c>
      <c r="Z2841" s="228">
        <v>3.0206190945333132E-2</v>
      </c>
      <c r="AA2841" s="230">
        <v>3.0157517741250528E-2</v>
      </c>
    </row>
    <row r="2842" spans="19:27" x14ac:dyDescent="0.2">
      <c r="S2842" s="32"/>
      <c r="T2842" s="187"/>
      <c r="W2842" s="221" t="str">
        <f t="shared" si="53"/>
        <v>1w</v>
      </c>
      <c r="X2842" s="222">
        <f>_xll.qlCalendarAdvance(Calendar,X2841,W2842,"f",FALSE)</f>
        <v>58761</v>
      </c>
      <c r="Y2842" s="227">
        <f>_xll.qlCalendarAdvance(Calendar,X2842,NDays&amp;"D")</f>
        <v>58761</v>
      </c>
      <c r="Z2842" s="228">
        <v>3.0212240609186741E-2</v>
      </c>
      <c r="AA2842" s="230">
        <v>3.0163539261088834E-2</v>
      </c>
    </row>
    <row r="2843" spans="19:27" x14ac:dyDescent="0.2">
      <c r="S2843" s="32"/>
      <c r="T2843" s="187"/>
      <c r="W2843" s="221" t="str">
        <f t="shared" si="53"/>
        <v>1w</v>
      </c>
      <c r="X2843" s="222">
        <f>_xll.qlCalendarAdvance(Calendar,X2842,W2843,"f",FALSE)</f>
        <v>58768</v>
      </c>
      <c r="Y2843" s="227">
        <f>_xll.qlCalendarAdvance(Calendar,X2843,NDays&amp;"D")</f>
        <v>58768</v>
      </c>
      <c r="Z2843" s="228">
        <v>3.0218296885863048E-2</v>
      </c>
      <c r="AA2843" s="230">
        <v>3.0169567374933592E-2</v>
      </c>
    </row>
    <row r="2844" spans="19:27" x14ac:dyDescent="0.2">
      <c r="S2844" s="32"/>
      <c r="T2844" s="187"/>
      <c r="W2844" s="221" t="str">
        <f t="shared" si="53"/>
        <v>1w</v>
      </c>
      <c r="X2844" s="222">
        <f>_xll.qlCalendarAdvance(Calendar,X2843,W2844,"f",FALSE)</f>
        <v>58775</v>
      </c>
      <c r="Y2844" s="227">
        <f>_xll.qlCalendarAdvance(Calendar,X2844,NDays&amp;"D")</f>
        <v>58775</v>
      </c>
      <c r="Z2844" s="228">
        <v>3.0226043856406652E-2</v>
      </c>
      <c r="AA2844" s="230">
        <v>3.0175602082703756E-2</v>
      </c>
    </row>
    <row r="2845" spans="19:27" x14ac:dyDescent="0.2">
      <c r="S2845" s="32"/>
      <c r="T2845" s="187"/>
      <c r="W2845" s="221" t="str">
        <f t="shared" si="53"/>
        <v>1w</v>
      </c>
      <c r="X2845" s="222">
        <f>_xll.qlCalendarAdvance(Calendar,X2844,W2845,"f",FALSE)</f>
        <v>58782</v>
      </c>
      <c r="Y2845" s="227">
        <f>_xll.qlCalendarAdvance(Calendar,X2845,NDays&amp;"D")</f>
        <v>58782</v>
      </c>
      <c r="Z2845" s="228">
        <v>3.0232114333197283E-2</v>
      </c>
      <c r="AA2845" s="230">
        <v>3.0181643384723511E-2</v>
      </c>
    </row>
    <row r="2846" spans="19:27" x14ac:dyDescent="0.2">
      <c r="S2846" s="32"/>
      <c r="T2846" s="187"/>
      <c r="W2846" s="221" t="str">
        <f t="shared" si="53"/>
        <v>1w</v>
      </c>
      <c r="X2846" s="222">
        <f>_xll.qlCalendarAdvance(Calendar,X2845,W2846,"f",FALSE)</f>
        <v>58789</v>
      </c>
      <c r="Y2846" s="227">
        <f>_xll.qlCalendarAdvance(Calendar,X2846,NDays&amp;"D")</f>
        <v>58789</v>
      </c>
      <c r="Z2846" s="228">
        <v>3.0238191423492537E-2</v>
      </c>
      <c r="AA2846" s="230">
        <v>3.018769128091181E-2</v>
      </c>
    </row>
    <row r="2847" spans="19:27" x14ac:dyDescent="0.2">
      <c r="S2847" s="32"/>
      <c r="T2847" s="187"/>
      <c r="W2847" s="221" t="str">
        <f t="shared" si="53"/>
        <v>1w</v>
      </c>
      <c r="X2847" s="222">
        <f>_xll.qlCalendarAdvance(Calendar,X2846,W2847,"f",FALSE)</f>
        <v>58796</v>
      </c>
      <c r="Y2847" s="227">
        <f>_xll.qlCalendarAdvance(Calendar,X2847,NDays&amp;"D")</f>
        <v>58796</v>
      </c>
      <c r="Z2847" s="228">
        <v>3.0244275127297635E-2</v>
      </c>
      <c r="AA2847" s="230">
        <v>3.0193745771106562E-2</v>
      </c>
    </row>
    <row r="2848" spans="19:27" x14ac:dyDescent="0.2">
      <c r="S2848" s="32"/>
      <c r="T2848" s="187"/>
      <c r="W2848" s="221" t="str">
        <f t="shared" si="53"/>
        <v>1w</v>
      </c>
      <c r="X2848" s="222">
        <f>_xll.qlCalendarAdvance(Calendar,X2847,W2848,"f",FALSE)</f>
        <v>58804</v>
      </c>
      <c r="Y2848" s="227">
        <f>_xll.qlCalendarAdvance(Calendar,X2848,NDays&amp;"D")</f>
        <v>58804</v>
      </c>
      <c r="Z2848" s="228">
        <v>3.0254612833002622E-2</v>
      </c>
      <c r="AA2848" s="230">
        <v>3.0200673262823496E-2</v>
      </c>
    </row>
    <row r="2849" spans="19:27" x14ac:dyDescent="0.2">
      <c r="S2849" s="32"/>
      <c r="T2849" s="187"/>
      <c r="W2849" s="221" t="str">
        <f t="shared" si="53"/>
        <v>1w</v>
      </c>
      <c r="X2849" s="222">
        <f>_xll.qlCalendarAdvance(Calendar,X2848,W2849,"f",FALSE)</f>
        <v>58811</v>
      </c>
      <c r="Y2849" s="227">
        <f>_xll.qlCalendarAdvance(Calendar,X2849,NDays&amp;"D")</f>
        <v>58811</v>
      </c>
      <c r="Z2849" s="228">
        <v>3.0260712663308736E-2</v>
      </c>
      <c r="AA2849" s="230">
        <v>3.020674188311312E-2</v>
      </c>
    </row>
    <row r="2850" spans="19:27" x14ac:dyDescent="0.2">
      <c r="S2850" s="32"/>
      <c r="T2850" s="187"/>
      <c r="W2850" s="221" t="str">
        <f t="shared" si="53"/>
        <v>1w</v>
      </c>
      <c r="X2850" s="222">
        <f>_xll.qlCalendarAdvance(Calendar,X2849,W2850,"f",FALSE)</f>
        <v>58818</v>
      </c>
      <c r="Y2850" s="227">
        <f>_xll.qlCalendarAdvance(Calendar,X2850,NDays&amp;"D")</f>
        <v>58818</v>
      </c>
      <c r="Z2850" s="228">
        <v>3.0266819108462475E-2</v>
      </c>
      <c r="AA2850" s="230">
        <v>3.021281709773338E-2</v>
      </c>
    </row>
    <row r="2851" spans="19:27" x14ac:dyDescent="0.2">
      <c r="S2851" s="32"/>
      <c r="T2851" s="187"/>
      <c r="W2851" s="221" t="str">
        <f t="shared" si="53"/>
        <v>1w</v>
      </c>
      <c r="X2851" s="222">
        <f>_xll.qlCalendarAdvance(Calendar,X2850,W2851,"f",FALSE)</f>
        <v>58825</v>
      </c>
      <c r="Y2851" s="227">
        <f>_xll.qlCalendarAdvance(Calendar,X2851,NDays&amp;"D")</f>
        <v>58825</v>
      </c>
      <c r="Z2851" s="228">
        <v>3.0272932168473664E-2</v>
      </c>
      <c r="AA2851" s="230">
        <v>3.0218898906360092E-2</v>
      </c>
    </row>
    <row r="2852" spans="19:27" x14ac:dyDescent="0.2">
      <c r="S2852" s="32"/>
      <c r="T2852" s="187"/>
      <c r="W2852" s="221" t="str">
        <f t="shared" si="53"/>
        <v>1w</v>
      </c>
      <c r="X2852" s="222">
        <f>_xll.qlCalendarAdvance(Calendar,X2851,W2852,"f",FALSE)</f>
        <v>58832</v>
      </c>
      <c r="Y2852" s="227">
        <f>_xll.qlCalendarAdvance(Calendar,X2852,NDays&amp;"D")</f>
        <v>58832</v>
      </c>
      <c r="Z2852" s="228">
        <v>3.0279051843352129E-2</v>
      </c>
      <c r="AA2852" s="230">
        <v>3.022498730891221E-2</v>
      </c>
    </row>
    <row r="2853" spans="19:27" x14ac:dyDescent="0.2">
      <c r="S2853" s="32"/>
      <c r="T2853" s="187"/>
      <c r="W2853" s="221" t="str">
        <f t="shared" si="53"/>
        <v>1w</v>
      </c>
      <c r="X2853" s="222">
        <f>_xll.qlCalendarAdvance(Calendar,X2852,W2853,"f",FALSE)</f>
        <v>58839</v>
      </c>
      <c r="Y2853" s="227">
        <f>_xll.qlCalendarAdvance(Calendar,X2853,NDays&amp;"D")</f>
        <v>58839</v>
      </c>
      <c r="Z2853" s="228">
        <v>3.0276713061357968E-2</v>
      </c>
      <c r="AA2853" s="230">
        <v>3.0231082305551826E-2</v>
      </c>
    </row>
    <row r="2854" spans="19:27" x14ac:dyDescent="0.2">
      <c r="S2854" s="32"/>
      <c r="T2854" s="187"/>
      <c r="W2854" s="221" t="str">
        <f t="shared" si="53"/>
        <v>1w</v>
      </c>
      <c r="X2854" s="222">
        <f>_xll.qlCalendarAdvance(Calendar,X2853,W2854,"f",FALSE)</f>
        <v>58846</v>
      </c>
      <c r="Y2854" s="227">
        <f>_xll.qlCalendarAdvance(Calendar,X2854,NDays&amp;"D")</f>
        <v>58846</v>
      </c>
      <c r="Z2854" s="228">
        <v>3.0282841064118594E-2</v>
      </c>
      <c r="AA2854" s="230">
        <v>3.023718389652208E-2</v>
      </c>
    </row>
    <row r="2855" spans="19:27" x14ac:dyDescent="0.2">
      <c r="S2855" s="32"/>
      <c r="T2855" s="187"/>
      <c r="W2855" s="221" t="str">
        <f t="shared" si="53"/>
        <v>1w</v>
      </c>
      <c r="X2855" s="222">
        <f>_xll.qlCalendarAdvance(Calendar,X2854,W2855,"f",FALSE)</f>
        <v>58853</v>
      </c>
      <c r="Y2855" s="227">
        <f>_xll.qlCalendarAdvance(Calendar,X2855,NDays&amp;"D")</f>
        <v>58853</v>
      </c>
      <c r="Z2855" s="228">
        <v>3.0288975678521922E-2</v>
      </c>
      <c r="AA2855" s="230">
        <v>3.0243292081579831E-2</v>
      </c>
    </row>
    <row r="2856" spans="19:27" x14ac:dyDescent="0.2">
      <c r="S2856" s="32"/>
      <c r="T2856" s="187"/>
      <c r="W2856" s="221" t="str">
        <f t="shared" si="53"/>
        <v>1w</v>
      </c>
      <c r="X2856" s="222">
        <f>_xll.qlCalendarAdvance(Calendar,X2855,W2856,"f",FALSE)</f>
        <v>58860</v>
      </c>
      <c r="Y2856" s="227">
        <f>_xll.qlCalendarAdvance(Calendar,X2856,NDays&amp;"D")</f>
        <v>58860</v>
      </c>
      <c r="Z2856" s="228">
        <v>3.0295116904576636E-2</v>
      </c>
      <c r="AA2856" s="230">
        <v>3.0249406860562988E-2</v>
      </c>
    </row>
    <row r="2857" spans="19:27" x14ac:dyDescent="0.2">
      <c r="S2857" s="32"/>
      <c r="T2857" s="187"/>
      <c r="W2857" s="221" t="str">
        <f t="shared" si="53"/>
        <v>1w</v>
      </c>
      <c r="X2857" s="222">
        <f>_xll.qlCalendarAdvance(Calendar,X2856,W2857,"f",FALSE)</f>
        <v>58867</v>
      </c>
      <c r="Y2857" s="227">
        <f>_xll.qlCalendarAdvance(Calendar,X2857,NDays&amp;"D")</f>
        <v>58867</v>
      </c>
      <c r="Z2857" s="228">
        <v>3.0309749441131757E-2</v>
      </c>
      <c r="AA2857" s="230">
        <v>3.0255528233633644E-2</v>
      </c>
    </row>
    <row r="2858" spans="19:27" x14ac:dyDescent="0.2">
      <c r="S2858" s="32"/>
      <c r="T2858" s="187"/>
      <c r="W2858" s="221" t="str">
        <f t="shared" si="53"/>
        <v>1w</v>
      </c>
      <c r="X2858" s="222">
        <f>_xll.qlCalendarAdvance(Calendar,X2857,W2858,"f",FALSE)</f>
        <v>58874</v>
      </c>
      <c r="Y2858" s="227">
        <f>_xll.qlCalendarAdvance(Calendar,X2858,NDays&amp;"D")</f>
        <v>58874</v>
      </c>
      <c r="Z2858" s="228">
        <v>3.0317607291034648E-2</v>
      </c>
      <c r="AA2858" s="230">
        <v>3.026165620095389E-2</v>
      </c>
    </row>
    <row r="2859" spans="19:27" x14ac:dyDescent="0.2">
      <c r="S2859" s="32"/>
      <c r="T2859" s="187"/>
      <c r="W2859" s="221" t="str">
        <f t="shared" si="53"/>
        <v>1w</v>
      </c>
      <c r="X2859" s="222">
        <f>_xll.qlCalendarAdvance(Calendar,X2858,W2859,"f",FALSE)</f>
        <v>58881</v>
      </c>
      <c r="Y2859" s="227">
        <f>_xll.qlCalendarAdvance(Calendar,X2859,NDays&amp;"D")</f>
        <v>58881</v>
      </c>
      <c r="Z2859" s="228">
        <v>3.0322074784708459E-2</v>
      </c>
      <c r="AA2859" s="230">
        <v>3.0267790762361635E-2</v>
      </c>
    </row>
    <row r="2860" spans="19:27" x14ac:dyDescent="0.2">
      <c r="S2860" s="32"/>
      <c r="T2860" s="187"/>
      <c r="W2860" s="221" t="str">
        <f t="shared" si="53"/>
        <v>1w</v>
      </c>
      <c r="X2860" s="222">
        <f>_xll.qlCalendarAdvance(Calendar,X2859,W2860,"f",FALSE)</f>
        <v>58888</v>
      </c>
      <c r="Y2860" s="227">
        <f>_xll.qlCalendarAdvance(Calendar,X2860,NDays&amp;"D")</f>
        <v>58888</v>
      </c>
      <c r="Z2860" s="228">
        <v>3.0328247378918059E-2</v>
      </c>
      <c r="AA2860" s="230">
        <v>3.0273931917694785E-2</v>
      </c>
    </row>
    <row r="2861" spans="19:27" x14ac:dyDescent="0.2">
      <c r="S2861" s="32"/>
      <c r="T2861" s="187"/>
      <c r="W2861" s="221" t="str">
        <f t="shared" si="53"/>
        <v>1w</v>
      </c>
      <c r="X2861" s="222">
        <f>_xll.qlCalendarAdvance(Calendar,X2860,W2861,"f",FALSE)</f>
        <v>58895</v>
      </c>
      <c r="Y2861" s="227">
        <f>_xll.qlCalendarAdvance(Calendar,X2861,NDays&amp;"D")</f>
        <v>58895</v>
      </c>
      <c r="Z2861" s="228">
        <v>3.0329323397264352E-2</v>
      </c>
      <c r="AA2861" s="230">
        <v>3.0280079667277526E-2</v>
      </c>
    </row>
    <row r="2862" spans="19:27" x14ac:dyDescent="0.2">
      <c r="S2862" s="32"/>
      <c r="T2862" s="187"/>
      <c r="W2862" s="221" t="str">
        <f t="shared" si="53"/>
        <v>1w</v>
      </c>
      <c r="X2862" s="222">
        <f>_xll.qlCalendarAdvance(Calendar,X2861,W2862,"f",FALSE)</f>
        <v>58902</v>
      </c>
      <c r="Y2862" s="227">
        <f>_xll.qlCalendarAdvance(Calendar,X2862,NDays&amp;"D")</f>
        <v>58902</v>
      </c>
      <c r="Z2862" s="228">
        <v>3.0335506264219474E-2</v>
      </c>
      <c r="AA2862" s="230">
        <v>3.0286234010947766E-2</v>
      </c>
    </row>
    <row r="2863" spans="19:27" x14ac:dyDescent="0.2">
      <c r="S2863" s="32"/>
      <c r="T2863" s="187"/>
      <c r="W2863" s="221" t="str">
        <f t="shared" si="53"/>
        <v>1w</v>
      </c>
      <c r="X2863" s="222">
        <f>_xll.qlCalendarAdvance(Calendar,X2862,W2863,"f",FALSE)</f>
        <v>58909</v>
      </c>
      <c r="Y2863" s="227">
        <f>_xll.qlCalendarAdvance(Calendar,X2863,NDays&amp;"D")</f>
        <v>58909</v>
      </c>
      <c r="Z2863" s="228">
        <v>3.0341695744191804E-2</v>
      </c>
      <c r="AA2863" s="230">
        <v>3.0292394948624457E-2</v>
      </c>
    </row>
    <row r="2864" spans="19:27" x14ac:dyDescent="0.2">
      <c r="S2864" s="32"/>
      <c r="T2864" s="187"/>
      <c r="W2864" s="221" t="str">
        <f t="shared" si="53"/>
        <v>1w</v>
      </c>
      <c r="X2864" s="222">
        <f>_xll.qlCalendarAdvance(Calendar,X2863,W2864,"f",FALSE)</f>
        <v>58916</v>
      </c>
      <c r="Y2864" s="227">
        <f>_xll.qlCalendarAdvance(Calendar,X2864,NDays&amp;"D")</f>
        <v>58916</v>
      </c>
      <c r="Z2864" s="228">
        <v>3.0347891837205654E-2</v>
      </c>
      <c r="AA2864" s="230">
        <v>3.0298562480469693E-2</v>
      </c>
    </row>
    <row r="2865" spans="19:27" x14ac:dyDescent="0.2">
      <c r="S2865" s="32"/>
      <c r="T2865" s="187"/>
      <c r="W2865" s="221" t="str">
        <f t="shared" si="53"/>
        <v>1w</v>
      </c>
      <c r="X2865" s="222">
        <f>_xll.qlCalendarAdvance(Calendar,X2864,W2865,"f",FALSE)</f>
        <v>58923</v>
      </c>
      <c r="Y2865" s="227">
        <f>_xll.qlCalendarAdvance(Calendar,X2865,NDays&amp;"D")</f>
        <v>58923</v>
      </c>
      <c r="Z2865" s="228">
        <v>3.035409454326643E-2</v>
      </c>
      <c r="AA2865" s="230">
        <v>3.030473660656452E-2</v>
      </c>
    </row>
    <row r="2866" spans="19:27" x14ac:dyDescent="0.2">
      <c r="S2866" s="32"/>
      <c r="T2866" s="187"/>
      <c r="W2866" s="221" t="str">
        <f t="shared" si="53"/>
        <v>1w</v>
      </c>
      <c r="X2866" s="222">
        <f>_xll.qlCalendarAdvance(Calendar,X2865,W2866,"f",FALSE)</f>
        <v>58930</v>
      </c>
      <c r="Y2866" s="227">
        <f>_xll.qlCalendarAdvance(Calendar,X2866,NDays&amp;"D")</f>
        <v>58930</v>
      </c>
      <c r="Z2866" s="228">
        <v>3.0365421858886115E-2</v>
      </c>
      <c r="AA2866" s="230">
        <v>3.0310917326503706E-2</v>
      </c>
    </row>
    <row r="2867" spans="19:27" x14ac:dyDescent="0.2">
      <c r="S2867" s="32"/>
      <c r="T2867" s="187"/>
      <c r="W2867" s="221" t="str">
        <f t="shared" si="53"/>
        <v>1w</v>
      </c>
      <c r="X2867" s="222">
        <f>_xll.qlCalendarAdvance(Calendar,X2866,W2867,"f",FALSE)</f>
        <v>58937</v>
      </c>
      <c r="Y2867" s="227">
        <f>_xll.qlCalendarAdvance(Calendar,X2867,NDays&amp;"D")</f>
        <v>58937</v>
      </c>
      <c r="Z2867" s="228">
        <v>3.0371640758097434E-2</v>
      </c>
      <c r="AA2867" s="230">
        <v>3.0317104640611436E-2</v>
      </c>
    </row>
    <row r="2868" spans="19:27" x14ac:dyDescent="0.2">
      <c r="S2868" s="32"/>
      <c r="T2868" s="187"/>
      <c r="W2868" s="221" t="str">
        <f t="shared" si="53"/>
        <v>1w</v>
      </c>
      <c r="X2868" s="222">
        <f>_xll.qlCalendarAdvance(Calendar,X2867,W2868,"f",FALSE)</f>
        <v>58944</v>
      </c>
      <c r="Y2868" s="227">
        <f>_xll.qlCalendarAdvance(Calendar,X2868,NDays&amp;"D")</f>
        <v>58944</v>
      </c>
      <c r="Z2868" s="228">
        <v>3.0377866272352855E-2</v>
      </c>
      <c r="AA2868" s="230">
        <v>3.0323298548968758E-2</v>
      </c>
    </row>
    <row r="2869" spans="19:27" x14ac:dyDescent="0.2">
      <c r="S2869" s="32"/>
      <c r="T2869" s="187"/>
      <c r="W2869" s="221" t="str">
        <f t="shared" si="53"/>
        <v>1w</v>
      </c>
      <c r="X2869" s="222">
        <f>_xll.qlCalendarAdvance(Calendar,X2868,W2869,"f",FALSE)</f>
        <v>58951</v>
      </c>
      <c r="Y2869" s="227">
        <f>_xll.qlCalendarAdvance(Calendar,X2869,NDays&amp;"D")</f>
        <v>58951</v>
      </c>
      <c r="Z2869" s="228">
        <v>3.0384098401664662E-2</v>
      </c>
      <c r="AA2869" s="230">
        <v>3.0329499051170439E-2</v>
      </c>
    </row>
    <row r="2870" spans="19:27" x14ac:dyDescent="0.2">
      <c r="S2870" s="32"/>
      <c r="T2870" s="187"/>
      <c r="W2870" s="221" t="str">
        <f t="shared" si="53"/>
        <v>1w</v>
      </c>
      <c r="X2870" s="222">
        <f>_xll.qlCalendarAdvance(Calendar,X2869,W2870,"f",FALSE)</f>
        <v>58958</v>
      </c>
      <c r="Y2870" s="227">
        <f>_xll.qlCalendarAdvance(Calendar,X2870,NDays&amp;"D")</f>
        <v>58958</v>
      </c>
      <c r="Z2870" s="228">
        <v>3.0385207269601072E-2</v>
      </c>
      <c r="AA2870" s="230">
        <v>3.0335706147702757E-2</v>
      </c>
    </row>
    <row r="2871" spans="19:27" x14ac:dyDescent="0.2">
      <c r="S2871" s="32"/>
      <c r="T2871" s="187"/>
      <c r="W2871" s="221" t="str">
        <f t="shared" si="53"/>
        <v>1w</v>
      </c>
      <c r="X2871" s="222">
        <f>_xll.qlCalendarAdvance(Calendar,X2870,W2871,"f",FALSE)</f>
        <v>58965</v>
      </c>
      <c r="Y2871" s="227">
        <f>_xll.qlCalendarAdvance(Calendar,X2871,NDays&amp;"D")</f>
        <v>58965</v>
      </c>
      <c r="Z2871" s="228">
        <v>3.039144965414331E-2</v>
      </c>
      <c r="AA2871" s="230">
        <v>3.0341919838241527E-2</v>
      </c>
    </row>
    <row r="2872" spans="19:27" x14ac:dyDescent="0.2">
      <c r="S2872" s="32"/>
      <c r="T2872" s="187"/>
      <c r="W2872" s="221" t="str">
        <f t="shared" si="53"/>
        <v>1w</v>
      </c>
      <c r="X2872" s="222">
        <f>_xll.qlCalendarAdvance(Calendar,X2871,W2872,"f",FALSE)</f>
        <v>58972</v>
      </c>
      <c r="Y2872" s="227">
        <f>_xll.qlCalendarAdvance(Calendar,X2872,NDays&amp;"D")</f>
        <v>58972</v>
      </c>
      <c r="Z2872" s="228">
        <v>3.0397698651805416E-2</v>
      </c>
      <c r="AA2872" s="230">
        <v>3.0348140122948841E-2</v>
      </c>
    </row>
    <row r="2873" spans="19:27" x14ac:dyDescent="0.2">
      <c r="S2873" s="32"/>
      <c r="T2873" s="187"/>
      <c r="W2873" s="221" t="str">
        <f t="shared" si="53"/>
        <v>1w</v>
      </c>
      <c r="X2873" s="222">
        <f>_xll.qlCalendarAdvance(Calendar,X2872,W2873,"f",FALSE)</f>
        <v>58979</v>
      </c>
      <c r="Y2873" s="227">
        <f>_xll.qlCalendarAdvance(Calendar,X2873,NDays&amp;"D")</f>
        <v>58979</v>
      </c>
      <c r="Z2873" s="228">
        <v>3.0403954262592792E-2</v>
      </c>
      <c r="AA2873" s="230">
        <v>3.0354367001662608E-2</v>
      </c>
    </row>
    <row r="2874" spans="19:27" x14ac:dyDescent="0.2">
      <c r="S2874" s="32"/>
      <c r="T2874" s="187"/>
      <c r="W2874" s="221" t="str">
        <f t="shared" si="53"/>
        <v>1w</v>
      </c>
      <c r="X2874" s="222">
        <f>_xll.qlCalendarAdvance(Calendar,X2873,W2874,"f",FALSE)</f>
        <v>58986</v>
      </c>
      <c r="Y2874" s="227">
        <f>_xll.qlCalendarAdvance(Calendar,X2874,NDays&amp;"D")</f>
        <v>58986</v>
      </c>
      <c r="Z2874" s="228">
        <v>3.0410216486516244E-2</v>
      </c>
      <c r="AA2874" s="230">
        <v>3.0360600474463872E-2</v>
      </c>
    </row>
    <row r="2875" spans="19:27" x14ac:dyDescent="0.2">
      <c r="S2875" s="32"/>
      <c r="T2875" s="187"/>
      <c r="W2875" s="221" t="str">
        <f t="shared" si="53"/>
        <v>1w</v>
      </c>
      <c r="X2875" s="222">
        <f>_xll.qlCalendarAdvance(Calendar,X2874,W2875,"f",FALSE)</f>
        <v>58993</v>
      </c>
      <c r="Y2875" s="227">
        <f>_xll.qlCalendarAdvance(Calendar,X2875,NDays&amp;"D")</f>
        <v>58993</v>
      </c>
      <c r="Z2875" s="228">
        <v>3.0421630094318745E-2</v>
      </c>
      <c r="AA2875" s="230">
        <v>3.0366840541352635E-2</v>
      </c>
    </row>
    <row r="2876" spans="19:27" x14ac:dyDescent="0.2">
      <c r="S2876" s="32"/>
      <c r="T2876" s="187"/>
      <c r="W2876" s="221" t="str">
        <f t="shared" si="53"/>
        <v>1w</v>
      </c>
      <c r="X2876" s="222">
        <f>_xll.qlCalendarAdvance(Calendar,X2875,W2876,"f",FALSE)</f>
        <v>59000</v>
      </c>
      <c r="Y2876" s="227">
        <f>_xll.qlCalendarAdvance(Calendar,X2876,NDays&amp;"D")</f>
        <v>59000</v>
      </c>
      <c r="Z2876" s="228">
        <v>3.0427908529329757E-2</v>
      </c>
      <c r="AA2876" s="230">
        <v>3.0373087202490989E-2</v>
      </c>
    </row>
    <row r="2877" spans="19:27" x14ac:dyDescent="0.2">
      <c r="S2877" s="32"/>
      <c r="T2877" s="187"/>
      <c r="W2877" s="221" t="str">
        <f t="shared" si="53"/>
        <v>1w</v>
      </c>
      <c r="X2877" s="222">
        <f>_xll.qlCalendarAdvance(Calendar,X2876,W2877,"f",FALSE)</f>
        <v>59007</v>
      </c>
      <c r="Y2877" s="227">
        <f>_xll.qlCalendarAdvance(Calendar,X2877,NDays&amp;"D")</f>
        <v>59007</v>
      </c>
      <c r="Z2877" s="228">
        <v>3.0434193579490475E-2</v>
      </c>
      <c r="AA2877" s="230">
        <v>3.0379340457797888E-2</v>
      </c>
    </row>
    <row r="2878" spans="19:27" x14ac:dyDescent="0.2">
      <c r="S2878" s="32"/>
      <c r="T2878" s="187"/>
      <c r="W2878" s="221" t="str">
        <f t="shared" si="53"/>
        <v>1w</v>
      </c>
      <c r="X2878" s="222">
        <f>_xll.qlCalendarAdvance(Calendar,X2877,W2878,"f",FALSE)</f>
        <v>59014</v>
      </c>
      <c r="Y2878" s="227">
        <f>_xll.qlCalendarAdvance(Calendar,X2878,NDays&amp;"D")</f>
        <v>59014</v>
      </c>
      <c r="Z2878" s="228">
        <v>3.0442203535861596E-2</v>
      </c>
      <c r="AA2878" s="230">
        <v>3.0385600306868099E-2</v>
      </c>
    </row>
    <row r="2879" spans="19:27" x14ac:dyDescent="0.2">
      <c r="S2879" s="32"/>
      <c r="T2879" s="187"/>
      <c r="W2879" s="221" t="str">
        <f t="shared" si="53"/>
        <v>1w</v>
      </c>
      <c r="X2879" s="222">
        <f>_xll.qlCalendarAdvance(Calendar,X2878,W2879,"f",FALSE)</f>
        <v>59021</v>
      </c>
      <c r="Y2879" s="227">
        <f>_xll.qlCalendarAdvance(Calendar,X2879,NDays&amp;"D")</f>
        <v>59021</v>
      </c>
      <c r="Z2879" s="228">
        <v>3.0446783525275769E-2</v>
      </c>
      <c r="AA2879" s="230">
        <v>3.039186675043104E-2</v>
      </c>
    </row>
    <row r="2880" spans="19:27" x14ac:dyDescent="0.2">
      <c r="S2880" s="32"/>
      <c r="T2880" s="187"/>
      <c r="W2880" s="221" t="str">
        <f t="shared" si="53"/>
        <v>1w</v>
      </c>
      <c r="X2880" s="222">
        <f>_xll.qlCalendarAdvance(Calendar,X2879,W2880,"f",FALSE)</f>
        <v>59028</v>
      </c>
      <c r="Y2880" s="227">
        <f>_xll.qlCalendarAdvance(Calendar,X2880,NDays&amp;"D")</f>
        <v>59028</v>
      </c>
      <c r="Z2880" s="228">
        <v>3.0453088420934731E-2</v>
      </c>
      <c r="AA2880" s="230">
        <v>3.0398139787838341E-2</v>
      </c>
    </row>
    <row r="2881" spans="19:27" x14ac:dyDescent="0.2">
      <c r="S2881" s="32"/>
      <c r="T2881" s="187"/>
      <c r="W2881" s="221" t="str">
        <f t="shared" si="53"/>
        <v>1w</v>
      </c>
      <c r="X2881" s="222">
        <f>_xll.qlCalendarAdvance(Calendar,X2880,W2881,"f",FALSE)</f>
        <v>59035</v>
      </c>
      <c r="Y2881" s="227">
        <f>_xll.qlCalendarAdvance(Calendar,X2881,NDays&amp;"D")</f>
        <v>59035</v>
      </c>
      <c r="Z2881" s="228">
        <v>3.0459399931785151E-2</v>
      </c>
      <c r="AA2881" s="230">
        <v>3.0404419419495232E-2</v>
      </c>
    </row>
    <row r="2882" spans="19:27" x14ac:dyDescent="0.2">
      <c r="S2882" s="32"/>
      <c r="T2882" s="187"/>
      <c r="W2882" s="221" t="str">
        <f t="shared" si="53"/>
        <v>1w</v>
      </c>
      <c r="X2882" s="222">
        <f>_xll.qlCalendarAdvance(Calendar,X2881,W2882,"f",FALSE)</f>
        <v>59042</v>
      </c>
      <c r="Y2882" s="227">
        <f>_xll.qlCalendarAdvance(Calendar,X2882,NDays&amp;"D")</f>
        <v>59042</v>
      </c>
      <c r="Z2882" s="228">
        <v>3.046571805783194E-2</v>
      </c>
      <c r="AA2882" s="230">
        <v>3.0410705645077529E-2</v>
      </c>
    </row>
    <row r="2883" spans="19:27" x14ac:dyDescent="0.2">
      <c r="S2883" s="32"/>
      <c r="T2883" s="187"/>
      <c r="W2883" s="221" t="str">
        <f t="shared" si="53"/>
        <v>1w</v>
      </c>
      <c r="X2883" s="222">
        <f>_xll.qlCalendarAdvance(Calendar,X2882,W2883,"f",FALSE)</f>
        <v>59049</v>
      </c>
      <c r="Y2883" s="227">
        <f>_xll.qlCalendarAdvance(Calendar,X2883,NDays&amp;"D")</f>
        <v>59049</v>
      </c>
      <c r="Z2883" s="228">
        <v>3.0466874094674301E-2</v>
      </c>
      <c r="AA2883" s="230">
        <v>3.0416998464909417E-2</v>
      </c>
    </row>
    <row r="2884" spans="19:27" x14ac:dyDescent="0.2">
      <c r="S2884" s="32"/>
      <c r="T2884" s="187"/>
      <c r="W2884" s="221" t="str">
        <f t="shared" si="53"/>
        <v>1w</v>
      </c>
      <c r="X2884" s="222">
        <f>_xll.qlCalendarAdvance(Calendar,X2883,W2884,"f",FALSE)</f>
        <v>59056</v>
      </c>
      <c r="Y2884" s="227">
        <f>_xll.qlCalendarAdvance(Calendar,X2884,NDays&amp;"D")</f>
        <v>59056</v>
      </c>
      <c r="Z2884" s="228">
        <v>3.0473202450531239E-2</v>
      </c>
      <c r="AA2884" s="230">
        <v>3.0423297878828803E-2</v>
      </c>
    </row>
    <row r="2885" spans="19:27" x14ac:dyDescent="0.2">
      <c r="S2885" s="32"/>
      <c r="T2885" s="187"/>
      <c r="W2885" s="221" t="str">
        <f t="shared" si="53"/>
        <v>1w</v>
      </c>
      <c r="X2885" s="222">
        <f>_xll.qlCalendarAdvance(Calendar,X2884,W2885,"f",FALSE)</f>
        <v>59063</v>
      </c>
      <c r="Y2885" s="227">
        <f>_xll.qlCalendarAdvance(Calendar,X2885,NDays&amp;"D")</f>
        <v>59063</v>
      </c>
      <c r="Z2885" s="228">
        <v>3.0479537419632313E-2</v>
      </c>
      <c r="AA2885" s="230">
        <v>3.0429603886835688E-2</v>
      </c>
    </row>
    <row r="2886" spans="19:27" x14ac:dyDescent="0.2">
      <c r="S2886" s="32"/>
      <c r="T2886" s="187"/>
      <c r="W2886" s="221" t="str">
        <f t="shared" si="53"/>
        <v>1w</v>
      </c>
      <c r="X2886" s="222">
        <f>_xll.qlCalendarAdvance(Calendar,X2885,W2886,"f",FALSE)</f>
        <v>59070</v>
      </c>
      <c r="Y2886" s="227">
        <f>_xll.qlCalendarAdvance(Calendar,X2886,NDays&amp;"D")</f>
        <v>59070</v>
      </c>
      <c r="Z2886" s="228">
        <v>3.0485879001993732E-2</v>
      </c>
      <c r="AA2886" s="230">
        <v>3.0435916488849024E-2</v>
      </c>
    </row>
    <row r="2887" spans="19:27" x14ac:dyDescent="0.2">
      <c r="S2887" s="32"/>
      <c r="T2887" s="187"/>
      <c r="W2887" s="221" t="str">
        <f t="shared" si="53"/>
        <v>1w</v>
      </c>
      <c r="X2887" s="222">
        <f>_xll.qlCalendarAdvance(Calendar,X2886,W2887,"f",FALSE)</f>
        <v>59077</v>
      </c>
      <c r="Y2887" s="227">
        <f>_xll.qlCalendarAdvance(Calendar,X2887,NDays&amp;"D")</f>
        <v>59077</v>
      </c>
      <c r="Z2887" s="228">
        <v>3.0492227197626308E-2</v>
      </c>
      <c r="AA2887" s="230">
        <v>3.0442235685274044E-2</v>
      </c>
    </row>
    <row r="2888" spans="19:27" x14ac:dyDescent="0.2">
      <c r="S2888" s="32"/>
      <c r="T2888" s="187"/>
      <c r="W2888" s="221" t="str">
        <f t="shared" si="53"/>
        <v>1w</v>
      </c>
      <c r="X2888" s="222">
        <f>_xll.qlCalendarAdvance(Calendar,X2887,W2888,"f",FALSE)</f>
        <v>59084</v>
      </c>
      <c r="Y2888" s="227">
        <f>_xll.qlCalendarAdvance(Calendar,X2888,NDays&amp;"D")</f>
        <v>59084</v>
      </c>
      <c r="Z2888" s="228">
        <v>3.0503765733985517E-2</v>
      </c>
      <c r="AA2888" s="230">
        <v>3.0448561475462377E-2</v>
      </c>
    </row>
    <row r="2889" spans="19:27" x14ac:dyDescent="0.2">
      <c r="S2889" s="32"/>
      <c r="T2889" s="187"/>
      <c r="W2889" s="221" t="str">
        <f t="shared" si="53"/>
        <v>1w</v>
      </c>
      <c r="X2889" s="222">
        <f>_xll.qlCalendarAdvance(Calendar,X2888,W2889,"f",FALSE)</f>
        <v>59091</v>
      </c>
      <c r="Y2889" s="227">
        <f>_xll.qlCalendarAdvance(Calendar,X2889,NDays&amp;"D")</f>
        <v>59091</v>
      </c>
      <c r="Z2889" s="228">
        <v>3.05101301667581E-2</v>
      </c>
      <c r="AA2889" s="230">
        <v>3.0454893859819254E-2</v>
      </c>
    </row>
    <row r="2890" spans="19:27" x14ac:dyDescent="0.2">
      <c r="S2890" s="32"/>
      <c r="T2890" s="187"/>
      <c r="W2890" s="221" t="str">
        <f t="shared" si="53"/>
        <v>1w</v>
      </c>
      <c r="X2890" s="222">
        <f>_xll.qlCalendarAdvance(Calendar,X2889,W2890,"f",FALSE)</f>
        <v>59098</v>
      </c>
      <c r="Y2890" s="227">
        <f>_xll.qlCalendarAdvance(Calendar,X2890,NDays&amp;"D")</f>
        <v>59098</v>
      </c>
      <c r="Z2890" s="228">
        <v>3.0516501214827751E-2</v>
      </c>
      <c r="AA2890" s="230">
        <v>3.0461232838587815E-2</v>
      </c>
    </row>
    <row r="2891" spans="19:27" x14ac:dyDescent="0.2">
      <c r="S2891" s="32"/>
      <c r="T2891" s="187"/>
      <c r="W2891" s="221" t="str">
        <f t="shared" si="53"/>
        <v>1w</v>
      </c>
      <c r="X2891" s="222">
        <f>_xll.qlCalendarAdvance(Calendar,X2890,W2891,"f",FALSE)</f>
        <v>59105</v>
      </c>
      <c r="Y2891" s="227">
        <f>_xll.qlCalendarAdvance(Calendar,X2891,NDays&amp;"D")</f>
        <v>59105</v>
      </c>
      <c r="Z2891" s="228">
        <v>3.0522878878194461E-2</v>
      </c>
      <c r="AA2891" s="230">
        <v>3.0467578411200735E-2</v>
      </c>
    </row>
    <row r="2892" spans="19:27" x14ac:dyDescent="0.2">
      <c r="S2892" s="32"/>
      <c r="T2892" s="187"/>
      <c r="W2892" s="221" t="str">
        <f t="shared" si="53"/>
        <v>1w</v>
      </c>
      <c r="X2892" s="222">
        <f>_xll.qlCalendarAdvance(Calendar,X2891,W2892,"f",FALSE)</f>
        <v>59112</v>
      </c>
      <c r="Y2892" s="227">
        <f>_xll.qlCalendarAdvance(Calendar,X2892,NDays&amp;"D")</f>
        <v>59112</v>
      </c>
      <c r="Z2892" s="228">
        <v>3.0524067375202267E-2</v>
      </c>
      <c r="AA2892" s="230">
        <v>3.0473930577820108E-2</v>
      </c>
    </row>
    <row r="2893" spans="19:27" x14ac:dyDescent="0.2">
      <c r="S2893" s="32"/>
      <c r="T2893" s="187"/>
      <c r="W2893" s="221" t="str">
        <f t="shared" si="53"/>
        <v>1w</v>
      </c>
      <c r="X2893" s="222">
        <f>_xll.qlCalendarAdvance(Calendar,X2892,W2893,"f",FALSE)</f>
        <v>59119</v>
      </c>
      <c r="Y2893" s="227">
        <f>_xll.qlCalendarAdvance(Calendar,X2893,NDays&amp;"D")</f>
        <v>59119</v>
      </c>
      <c r="Z2893" s="228">
        <v>3.0530455250672477E-2</v>
      </c>
      <c r="AA2893" s="230">
        <v>3.0480289338770117E-2</v>
      </c>
    </row>
    <row r="2894" spans="19:27" x14ac:dyDescent="0.2">
      <c r="S2894" s="32"/>
      <c r="T2894" s="187"/>
      <c r="W2894" s="221" t="str">
        <f t="shared" si="53"/>
        <v>1w</v>
      </c>
      <c r="X2894" s="222">
        <f>_xll.qlCalendarAdvance(Calendar,X2893,W2894,"f",FALSE)</f>
        <v>59126</v>
      </c>
      <c r="Y2894" s="227">
        <f>_xll.qlCalendarAdvance(Calendar,X2894,NDays&amp;"D")</f>
        <v>59126</v>
      </c>
      <c r="Z2894" s="228">
        <v>3.0536849739486782E-2</v>
      </c>
      <c r="AA2894" s="230">
        <v>3.0486654693888671E-2</v>
      </c>
    </row>
    <row r="2895" spans="19:27" x14ac:dyDescent="0.2">
      <c r="S2895" s="32"/>
      <c r="T2895" s="187"/>
      <c r="W2895" s="221" t="str">
        <f t="shared" si="53"/>
        <v>1w</v>
      </c>
      <c r="X2895" s="222">
        <f>_xll.qlCalendarAdvance(Calendar,X2894,W2895,"f",FALSE)</f>
        <v>59133</v>
      </c>
      <c r="Y2895" s="227">
        <f>_xll.qlCalendarAdvance(Calendar,X2895,NDays&amp;"D")</f>
        <v>59133</v>
      </c>
      <c r="Z2895" s="228">
        <v>3.0543250841650587E-2</v>
      </c>
      <c r="AA2895" s="230">
        <v>3.0493026642851584E-2</v>
      </c>
    </row>
    <row r="2896" spans="19:27" x14ac:dyDescent="0.2">
      <c r="S2896" s="32"/>
      <c r="T2896" s="187"/>
      <c r="W2896" s="221" t="str">
        <f t="shared" si="53"/>
        <v>1w</v>
      </c>
      <c r="X2896" s="222">
        <f>_xll.qlCalendarAdvance(Calendar,X2895,W2896,"f",FALSE)</f>
        <v>59140</v>
      </c>
      <c r="Y2896" s="227">
        <f>_xll.qlCalendarAdvance(Calendar,X2896,NDays&amp;"D")</f>
        <v>59140</v>
      </c>
      <c r="Z2896" s="228">
        <v>3.0549658557180098E-2</v>
      </c>
      <c r="AA2896" s="230">
        <v>3.0499405186064088E-2</v>
      </c>
    </row>
    <row r="2897" spans="19:27" x14ac:dyDescent="0.2">
      <c r="S2897" s="32"/>
      <c r="T2897" s="187"/>
      <c r="W2897" s="221" t="str">
        <f t="shared" si="53"/>
        <v>1w</v>
      </c>
      <c r="X2897" s="222">
        <f>_xll.qlCalendarAdvance(Calendar,X2896,W2897,"f",FALSE)</f>
        <v>59147</v>
      </c>
      <c r="Y2897" s="227">
        <f>_xll.qlCalendarAdvance(Calendar,X2897,NDays&amp;"D")</f>
        <v>59147</v>
      </c>
      <c r="Z2897" s="228">
        <v>3.0561283780416532E-2</v>
      </c>
      <c r="AA2897" s="230">
        <v>3.0505790323526183E-2</v>
      </c>
    </row>
    <row r="2898" spans="19:27" x14ac:dyDescent="0.2">
      <c r="S2898" s="32"/>
      <c r="T2898" s="187"/>
      <c r="W2898" s="221" t="str">
        <f t="shared" si="53"/>
        <v>1w</v>
      </c>
      <c r="X2898" s="222">
        <f>_xll.qlCalendarAdvance(Calendar,X2897,W2898,"f",FALSE)</f>
        <v>59154</v>
      </c>
      <c r="Y2898" s="227">
        <f>_xll.qlCalendarAdvance(Calendar,X2898,NDays&amp;"D")</f>
        <v>59154</v>
      </c>
      <c r="Z2898" s="228">
        <v>3.0567707751231087E-2</v>
      </c>
      <c r="AA2898" s="230">
        <v>3.051218205499473E-2</v>
      </c>
    </row>
    <row r="2899" spans="19:27" x14ac:dyDescent="0.2">
      <c r="S2899" s="32"/>
      <c r="T2899" s="187"/>
      <c r="W2899" s="221" t="str">
        <f t="shared" si="53"/>
        <v>1w</v>
      </c>
      <c r="X2899" s="222">
        <f>_xll.qlCalendarAdvance(Calendar,X2898,W2899,"f",FALSE)</f>
        <v>59161</v>
      </c>
      <c r="Y2899" s="227">
        <f>_xll.qlCalendarAdvance(Calendar,X2899,NDays&amp;"D")</f>
        <v>59161</v>
      </c>
      <c r="Z2899" s="228">
        <v>3.0574138337438488E-2</v>
      </c>
      <c r="AA2899" s="230">
        <v>3.0518580380469729E-2</v>
      </c>
    </row>
    <row r="2900" spans="19:27" x14ac:dyDescent="0.2">
      <c r="S2900" s="32"/>
      <c r="T2900" s="187"/>
      <c r="W2900" s="221" t="str">
        <f t="shared" si="53"/>
        <v>1w</v>
      </c>
      <c r="X2900" s="222">
        <f>_xll.qlCalendarAdvance(Calendar,X2899,W2900,"f",FALSE)</f>
        <v>59168</v>
      </c>
      <c r="Y2900" s="227">
        <f>_xll.qlCalendarAdvance(Calendar,X2900,NDays&amp;"D")</f>
        <v>59168</v>
      </c>
      <c r="Z2900" s="228">
        <v>3.0580575539048558E-2</v>
      </c>
      <c r="AA2900" s="230">
        <v>3.0524985299951179E-2</v>
      </c>
    </row>
    <row r="2901" spans="19:27" x14ac:dyDescent="0.2">
      <c r="S2901" s="32"/>
      <c r="T2901" s="187"/>
      <c r="W2901" s="221" t="str">
        <f t="shared" ref="W2901:W2964" si="54">W2900</f>
        <v>1w</v>
      </c>
      <c r="X2901" s="222">
        <f>_xll.qlCalendarAdvance(Calendar,X2900,W2901,"f",FALSE)</f>
        <v>59175</v>
      </c>
      <c r="Y2901" s="227">
        <f>_xll.qlCalendarAdvance(Calendar,X2901,NDays&amp;"D")</f>
        <v>59175</v>
      </c>
      <c r="Z2901" s="228">
        <v>3.0587019356080946E-2</v>
      </c>
      <c r="AA2901" s="230">
        <v>3.0531396813763267E-2</v>
      </c>
    </row>
    <row r="2902" spans="19:27" x14ac:dyDescent="0.2">
      <c r="S2902" s="32"/>
      <c r="T2902" s="187"/>
      <c r="W2902" s="221" t="str">
        <f t="shared" si="54"/>
        <v>1w</v>
      </c>
      <c r="X2902" s="222">
        <f>_xll.qlCalendarAdvance(Calendar,X2901,W2902,"f",FALSE)</f>
        <v>59182</v>
      </c>
      <c r="Y2902" s="227">
        <f>_xll.qlCalendarAdvance(Calendar,X2902,NDays&amp;"D")</f>
        <v>59182</v>
      </c>
      <c r="Z2902" s="228">
        <v>3.0593469788543021E-2</v>
      </c>
      <c r="AA2902" s="230">
        <v>3.05378149217439E-2</v>
      </c>
    </row>
    <row r="2903" spans="19:27" x14ac:dyDescent="0.2">
      <c r="S2903" s="32"/>
      <c r="T2903" s="187"/>
      <c r="W2903" s="221" t="str">
        <f t="shared" si="54"/>
        <v>1w</v>
      </c>
      <c r="X2903" s="222">
        <f>_xll.qlCalendarAdvance(Calendar,X2902,W2903,"f",FALSE)</f>
        <v>59189</v>
      </c>
      <c r="Y2903" s="227">
        <f>_xll.qlCalendarAdvance(Calendar,X2903,NDays&amp;"D")</f>
        <v>59189</v>
      </c>
      <c r="Z2903" s="228">
        <v>3.0599926836442148E-2</v>
      </c>
      <c r="AA2903" s="230">
        <v>3.0544239623649938E-2</v>
      </c>
    </row>
    <row r="2904" spans="19:27" x14ac:dyDescent="0.2">
      <c r="S2904" s="32"/>
      <c r="T2904" s="187"/>
      <c r="W2904" s="221" t="str">
        <f t="shared" si="54"/>
        <v>1w</v>
      </c>
      <c r="X2904" s="222">
        <f>_xll.qlCalendarAdvance(Calendar,X2903,W2904,"f",FALSE)</f>
        <v>59196</v>
      </c>
      <c r="Y2904" s="227">
        <f>_xll.qlCalendarAdvance(Calendar,X2904,NDays&amp;"D")</f>
        <v>59196</v>
      </c>
      <c r="Z2904" s="228">
        <v>3.0606390499800431E-2</v>
      </c>
      <c r="AA2904" s="230">
        <v>3.0550670919805567E-2</v>
      </c>
    </row>
    <row r="2905" spans="19:27" x14ac:dyDescent="0.2">
      <c r="S2905" s="32"/>
      <c r="T2905" s="187"/>
      <c r="W2905" s="221" t="str">
        <f t="shared" si="54"/>
        <v>1w</v>
      </c>
      <c r="X2905" s="222">
        <f>_xll.qlCalendarAdvance(Calendar,X2904,W2905,"f",FALSE)</f>
        <v>59203</v>
      </c>
      <c r="Y2905" s="227">
        <f>_xll.qlCalendarAdvance(Calendar,X2905,NDays&amp;"D")</f>
        <v>59203</v>
      </c>
      <c r="Z2905" s="228">
        <v>3.0604136451300244E-2</v>
      </c>
      <c r="AA2905" s="230">
        <v>3.0557108810048694E-2</v>
      </c>
    </row>
    <row r="2906" spans="19:27" x14ac:dyDescent="0.2">
      <c r="S2906" s="32"/>
      <c r="T2906" s="187"/>
      <c r="W2906" s="221" t="str">
        <f t="shared" si="54"/>
        <v>1w</v>
      </c>
      <c r="X2906" s="222">
        <f>_xll.qlCalendarAdvance(Calendar,X2905,W2906,"f",FALSE)</f>
        <v>59210</v>
      </c>
      <c r="Y2906" s="227">
        <f>_xll.qlCalendarAdvance(Calendar,X2906,NDays&amp;"D")</f>
        <v>59210</v>
      </c>
      <c r="Z2906" s="228">
        <v>3.0610608272040634E-2</v>
      </c>
      <c r="AA2906" s="230">
        <v>3.056355329437932E-2</v>
      </c>
    </row>
    <row r="2907" spans="19:27" x14ac:dyDescent="0.2">
      <c r="S2907" s="32"/>
      <c r="T2907" s="187"/>
      <c r="W2907" s="221" t="str">
        <f t="shared" si="54"/>
        <v>1w</v>
      </c>
      <c r="X2907" s="222">
        <f>_xll.qlCalendarAdvance(Calendar,X2906,W2907,"f",FALSE)</f>
        <v>59217</v>
      </c>
      <c r="Y2907" s="227">
        <f>_xll.qlCalendarAdvance(Calendar,X2907,NDays&amp;"D")</f>
        <v>59217</v>
      </c>
      <c r="Z2907" s="228">
        <v>3.0617086704912897E-2</v>
      </c>
      <c r="AA2907" s="230">
        <v>3.0570004372716397E-2</v>
      </c>
    </row>
    <row r="2908" spans="19:27" x14ac:dyDescent="0.2">
      <c r="S2908" s="32"/>
      <c r="T2908" s="187"/>
      <c r="W2908" s="221" t="str">
        <f t="shared" si="54"/>
        <v>1w</v>
      </c>
      <c r="X2908" s="222">
        <f>_xll.qlCalendarAdvance(Calendar,X2907,W2908,"f",FALSE)</f>
        <v>59224</v>
      </c>
      <c r="Y2908" s="227">
        <f>_xll.qlCalendarAdvance(Calendar,X2908,NDays&amp;"D")</f>
        <v>59224</v>
      </c>
      <c r="Z2908" s="228">
        <v>3.0623571749937295E-2</v>
      </c>
      <c r="AA2908" s="230">
        <v>3.0576462045303066E-2</v>
      </c>
    </row>
    <row r="2909" spans="19:27" x14ac:dyDescent="0.2">
      <c r="S2909" s="32"/>
      <c r="T2909" s="187"/>
      <c r="W2909" s="221" t="str">
        <f t="shared" si="54"/>
        <v>1w</v>
      </c>
      <c r="X2909" s="222">
        <f>_xll.qlCalendarAdvance(Calendar,X2908,W2909,"f",FALSE)</f>
        <v>59231</v>
      </c>
      <c r="Y2909" s="227">
        <f>_xll.qlCalendarAdvance(Calendar,X2909,NDays&amp;"D")</f>
        <v>59231</v>
      </c>
      <c r="Z2909" s="228">
        <v>3.0638808048764097E-2</v>
      </c>
      <c r="AA2909" s="230">
        <v>3.0582926312058278E-2</v>
      </c>
    </row>
    <row r="2910" spans="19:27" x14ac:dyDescent="0.2">
      <c r="S2910" s="32"/>
      <c r="T2910" s="187"/>
      <c r="W2910" s="221" t="str">
        <f t="shared" si="54"/>
        <v>1w</v>
      </c>
      <c r="X2910" s="222">
        <f>_xll.qlCalendarAdvance(Calendar,X2909,W2910,"f",FALSE)</f>
        <v>59238</v>
      </c>
      <c r="Y2910" s="227">
        <f>_xll.qlCalendarAdvance(Calendar,X2910,NDays&amp;"D")</f>
        <v>59238</v>
      </c>
      <c r="Z2910" s="228">
        <v>3.0645311405076255E-2</v>
      </c>
      <c r="AA2910" s="230">
        <v>3.0589397172819943E-2</v>
      </c>
    </row>
    <row r="2911" spans="19:27" x14ac:dyDescent="0.2">
      <c r="S2911" s="32"/>
      <c r="T2911" s="187"/>
      <c r="W2911" s="221" t="str">
        <f t="shared" si="54"/>
        <v>1w</v>
      </c>
      <c r="X2911" s="222">
        <f>_xll.qlCalendarAdvance(Calendar,X2910,W2911,"f",FALSE)</f>
        <v>59245</v>
      </c>
      <c r="Y2911" s="227">
        <f>_xll.qlCalendarAdvance(Calendar,X2911,NDays&amp;"D")</f>
        <v>59245</v>
      </c>
      <c r="Z2911" s="228">
        <v>3.065182137692125E-2</v>
      </c>
      <c r="AA2911" s="230">
        <v>3.0595874627750153E-2</v>
      </c>
    </row>
    <row r="2912" spans="19:27" x14ac:dyDescent="0.2">
      <c r="S2912" s="32"/>
      <c r="T2912" s="187"/>
      <c r="W2912" s="221" t="str">
        <f t="shared" si="54"/>
        <v>1w</v>
      </c>
      <c r="X2912" s="222">
        <f>_xll.qlCalendarAdvance(Calendar,X2911,W2912,"f",FALSE)</f>
        <v>59252</v>
      </c>
      <c r="Y2912" s="227">
        <f>_xll.qlCalendarAdvance(Calendar,X2912,NDays&amp;"D")</f>
        <v>59252</v>
      </c>
      <c r="Z2912" s="228">
        <v>3.0658337964311357E-2</v>
      </c>
      <c r="AA2912" s="230">
        <v>3.0602358676848906E-2</v>
      </c>
    </row>
    <row r="2913" spans="19:27" x14ac:dyDescent="0.2">
      <c r="S2913" s="32"/>
      <c r="T2913" s="187"/>
      <c r="W2913" s="221" t="str">
        <f t="shared" si="54"/>
        <v>1w</v>
      </c>
      <c r="X2913" s="222">
        <f>_xll.qlCalendarAdvance(Calendar,X2912,W2913,"f",FALSE)</f>
        <v>59259</v>
      </c>
      <c r="Y2913" s="227">
        <f>_xll.qlCalendarAdvance(Calendar,X2913,NDays&amp;"D")</f>
        <v>59259</v>
      </c>
      <c r="Z2913" s="228">
        <v>3.0659601575882101E-2</v>
      </c>
      <c r="AA2913" s="230">
        <v>3.0608849319873066E-2</v>
      </c>
    </row>
    <row r="2914" spans="19:27" x14ac:dyDescent="0.2">
      <c r="S2914" s="32"/>
      <c r="T2914" s="187"/>
      <c r="W2914" s="221" t="str">
        <f t="shared" si="54"/>
        <v>1w</v>
      </c>
      <c r="X2914" s="222">
        <f>_xll.qlCalendarAdvance(Calendar,X2913,W2914,"f",FALSE)</f>
        <v>59266</v>
      </c>
      <c r="Y2914" s="227">
        <f>_xll.qlCalendarAdvance(Calendar,X2914,NDays&amp;"D")</f>
        <v>59266</v>
      </c>
      <c r="Z2914" s="228">
        <v>3.0666128333742236E-2</v>
      </c>
      <c r="AA2914" s="230">
        <v>3.0615346557146816E-2</v>
      </c>
    </row>
    <row r="2915" spans="19:27" x14ac:dyDescent="0.2">
      <c r="S2915" s="32"/>
      <c r="T2915" s="187"/>
      <c r="W2915" s="221" t="str">
        <f t="shared" si="54"/>
        <v>1w</v>
      </c>
      <c r="X2915" s="222">
        <f>_xll.qlCalendarAdvance(Calendar,X2914,W2915,"f",FALSE)</f>
        <v>59273</v>
      </c>
      <c r="Y2915" s="227">
        <f>_xll.qlCalendarAdvance(Calendar,X2915,NDays&amp;"D")</f>
        <v>59273</v>
      </c>
      <c r="Z2915" s="228">
        <v>3.0672661705162585E-2</v>
      </c>
      <c r="AA2915" s="230">
        <v>3.0621850388508065E-2</v>
      </c>
    </row>
    <row r="2916" spans="19:27" x14ac:dyDescent="0.2">
      <c r="S2916" s="32"/>
      <c r="T2916" s="187"/>
      <c r="W2916" s="221" t="str">
        <f t="shared" si="54"/>
        <v>1w</v>
      </c>
      <c r="X2916" s="222">
        <f>_xll.qlCalendarAdvance(Calendar,X2915,W2916,"f",FALSE)</f>
        <v>59280</v>
      </c>
      <c r="Y2916" s="227">
        <f>_xll.qlCalendarAdvance(Calendar,X2916,NDays&amp;"D")</f>
        <v>59280</v>
      </c>
      <c r="Z2916" s="228">
        <v>3.0679201690159363E-2</v>
      </c>
      <c r="AA2916" s="230">
        <v>3.0628360814037858E-2</v>
      </c>
    </row>
    <row r="2917" spans="19:27" x14ac:dyDescent="0.2">
      <c r="S2917" s="32"/>
      <c r="T2917" s="187"/>
      <c r="W2917" s="221" t="str">
        <f t="shared" si="54"/>
        <v>1w</v>
      </c>
      <c r="X2917" s="222">
        <f>_xll.qlCalendarAdvance(Calendar,X2916,W2917,"f",FALSE)</f>
        <v>59287</v>
      </c>
      <c r="Y2917" s="227">
        <f>_xll.qlCalendarAdvance(Calendar,X2917,NDays&amp;"D")</f>
        <v>59287</v>
      </c>
      <c r="Z2917" s="228">
        <v>3.0685748288740676E-2</v>
      </c>
      <c r="AA2917" s="230">
        <v>3.063487783365515E-2</v>
      </c>
    </row>
    <row r="2918" spans="19:27" x14ac:dyDescent="0.2">
      <c r="S2918" s="32"/>
      <c r="T2918" s="187"/>
      <c r="W2918" s="221" t="str">
        <f t="shared" si="54"/>
        <v>1w</v>
      </c>
      <c r="X2918" s="222">
        <f>_xll.qlCalendarAdvance(Calendar,X2917,W2918,"f",FALSE)</f>
        <v>59294</v>
      </c>
      <c r="Y2918" s="227">
        <f>_xll.qlCalendarAdvance(Calendar,X2918,NDays&amp;"D")</f>
        <v>59294</v>
      </c>
      <c r="Z2918" s="228">
        <v>3.0697576415764986E-2</v>
      </c>
      <c r="AA2918" s="230">
        <v>3.0641401447278893E-2</v>
      </c>
    </row>
    <row r="2919" spans="19:27" x14ac:dyDescent="0.2">
      <c r="S2919" s="32"/>
      <c r="T2919" s="187"/>
      <c r="W2919" s="221" t="str">
        <f t="shared" si="54"/>
        <v>1w</v>
      </c>
      <c r="X2919" s="222">
        <f>_xll.qlCalendarAdvance(Calendar,X2918,W2919,"f",FALSE)</f>
        <v>59301</v>
      </c>
      <c r="Y2919" s="227">
        <f>_xll.qlCalendarAdvance(Calendar,X2919,NDays&amp;"D")</f>
        <v>59301</v>
      </c>
      <c r="Z2919" s="228">
        <v>3.0704139312299997E-2</v>
      </c>
      <c r="AA2919" s="230">
        <v>3.0647931655233274E-2</v>
      </c>
    </row>
    <row r="2920" spans="19:27" x14ac:dyDescent="0.2">
      <c r="S2920" s="32"/>
      <c r="T2920" s="187"/>
      <c r="W2920" s="221" t="str">
        <f t="shared" si="54"/>
        <v>1w</v>
      </c>
      <c r="X2920" s="222">
        <f>_xll.qlCalendarAdvance(Calendar,X2919,W2920,"f",FALSE)</f>
        <v>59308</v>
      </c>
      <c r="Y2920" s="227">
        <f>_xll.qlCalendarAdvance(Calendar,X2920,NDays&amp;"D")</f>
        <v>59308</v>
      </c>
      <c r="Z2920" s="228">
        <v>3.0710708824475904E-2</v>
      </c>
      <c r="AA2920" s="230">
        <v>3.0654468457194106E-2</v>
      </c>
    </row>
    <row r="2921" spans="19:27" x14ac:dyDescent="0.2">
      <c r="S2921" s="32"/>
      <c r="T2921" s="187"/>
      <c r="W2921" s="221" t="str">
        <f t="shared" si="54"/>
        <v>1w</v>
      </c>
      <c r="X2921" s="222">
        <f>_xll.qlCalendarAdvance(Calendar,X2920,W2921,"f",FALSE)</f>
        <v>59315</v>
      </c>
      <c r="Y2921" s="227">
        <f>_xll.qlCalendarAdvance(Calendar,X2921,NDays&amp;"D")</f>
        <v>59315</v>
      </c>
      <c r="Z2921" s="228">
        <v>3.0717284952302533E-2</v>
      </c>
      <c r="AA2921" s="230">
        <v>3.0661011853242437E-2</v>
      </c>
    </row>
    <row r="2922" spans="19:27" x14ac:dyDescent="0.2">
      <c r="S2922" s="32"/>
      <c r="T2922" s="187"/>
      <c r="W2922" s="221" t="str">
        <f t="shared" si="54"/>
        <v>1w</v>
      </c>
      <c r="X2922" s="222">
        <f>_xll.qlCalendarAdvance(Calendar,X2921,W2922,"f",FALSE)</f>
        <v>59322</v>
      </c>
      <c r="Y2922" s="227">
        <f>_xll.qlCalendarAdvance(Calendar,X2922,NDays&amp;"D")</f>
        <v>59322</v>
      </c>
      <c r="Z2922" s="228">
        <v>3.0718580485779912E-2</v>
      </c>
      <c r="AA2922" s="230">
        <v>3.066756184329722E-2</v>
      </c>
    </row>
    <row r="2923" spans="19:27" x14ac:dyDescent="0.2">
      <c r="S2923" s="32"/>
      <c r="T2923" s="187"/>
      <c r="W2923" s="221" t="str">
        <f t="shared" si="54"/>
        <v>1w</v>
      </c>
      <c r="X2923" s="222">
        <f>_xll.qlCalendarAdvance(Calendar,X2922,W2923,"f",FALSE)</f>
        <v>59329</v>
      </c>
      <c r="Y2923" s="227">
        <f>_xll.qlCalendarAdvance(Calendar,X2923,NDays&amp;"D")</f>
        <v>59329</v>
      </c>
      <c r="Z2923" s="228">
        <v>3.0725166766092642E-2</v>
      </c>
      <c r="AA2923" s="230">
        <v>3.0674118427763686E-2</v>
      </c>
    </row>
    <row r="2924" spans="19:27" x14ac:dyDescent="0.2">
      <c r="S2924" s="32"/>
      <c r="T2924" s="187"/>
      <c r="W2924" s="221" t="str">
        <f t="shared" si="54"/>
        <v>1w</v>
      </c>
      <c r="X2924" s="222">
        <f>_xll.qlCalendarAdvance(Calendar,X2923,W2924,"f",FALSE)</f>
        <v>59336</v>
      </c>
      <c r="Y2924" s="227">
        <f>_xll.qlCalendarAdvance(Calendar,X2924,NDays&amp;"D")</f>
        <v>59336</v>
      </c>
      <c r="Z2924" s="228">
        <v>3.0731759660065548E-2</v>
      </c>
      <c r="AA2924" s="230">
        <v>3.0680681606236604E-2</v>
      </c>
    </row>
    <row r="2925" spans="19:27" x14ac:dyDescent="0.2">
      <c r="S2925" s="32"/>
      <c r="T2925" s="187"/>
      <c r="W2925" s="221" t="str">
        <f t="shared" si="54"/>
        <v>1w</v>
      </c>
      <c r="X2925" s="222">
        <f>_xll.qlCalendarAdvance(Calendar,X2924,W2925,"f",FALSE)</f>
        <v>59343</v>
      </c>
      <c r="Y2925" s="227">
        <f>_xll.qlCalendarAdvance(Calendar,X2925,NDays&amp;"D")</f>
        <v>59343</v>
      </c>
      <c r="Z2925" s="228">
        <v>3.0738359167701328E-2</v>
      </c>
      <c r="AA2925" s="230">
        <v>3.0687251378715974E-2</v>
      </c>
    </row>
    <row r="2926" spans="19:27" x14ac:dyDescent="0.2">
      <c r="S2926" s="32"/>
      <c r="T2926" s="187"/>
      <c r="W2926" s="221" t="str">
        <f t="shared" si="54"/>
        <v>1w</v>
      </c>
      <c r="X2926" s="222">
        <f>_xll.qlCalendarAdvance(Calendar,X2925,W2926,"f",FALSE)</f>
        <v>59350</v>
      </c>
      <c r="Y2926" s="227">
        <f>_xll.qlCalendarAdvance(Calendar,X2926,NDays&amp;"D")</f>
        <v>59350</v>
      </c>
      <c r="Z2926" s="228">
        <v>3.0744965289018898E-2</v>
      </c>
      <c r="AA2926" s="230">
        <v>3.0693827745525981E-2</v>
      </c>
    </row>
    <row r="2927" spans="19:27" x14ac:dyDescent="0.2">
      <c r="S2927" s="32"/>
      <c r="T2927" s="187"/>
      <c r="W2927" s="221" t="str">
        <f t="shared" si="54"/>
        <v>1w</v>
      </c>
      <c r="X2927" s="222">
        <f>_xll.qlCalendarAdvance(Calendar,X2926,W2927,"f",FALSE)</f>
        <v>59357</v>
      </c>
      <c r="Y2927" s="227">
        <f>_xll.qlCalendarAdvance(Calendar,X2927,NDays&amp;"D")</f>
        <v>59357</v>
      </c>
      <c r="Z2927" s="228">
        <v>3.0756880648575811E-2</v>
      </c>
      <c r="AA2927" s="230">
        <v>3.0700410706261394E-2</v>
      </c>
    </row>
    <row r="2928" spans="19:27" x14ac:dyDescent="0.2">
      <c r="S2928" s="32"/>
      <c r="T2928" s="187"/>
      <c r="W2928" s="221" t="str">
        <f t="shared" si="54"/>
        <v>1w</v>
      </c>
      <c r="X2928" s="222">
        <f>_xll.qlCalendarAdvance(Calendar,X2927,W2928,"f",FALSE)</f>
        <v>59364</v>
      </c>
      <c r="Y2928" s="227">
        <f>_xll.qlCalendarAdvance(Calendar,X2928,NDays&amp;"D")</f>
        <v>59364</v>
      </c>
      <c r="Z2928" s="228">
        <v>3.0763503086286583E-2</v>
      </c>
      <c r="AA2928" s="230">
        <v>3.0707000261165351E-2</v>
      </c>
    </row>
    <row r="2929" spans="19:27" x14ac:dyDescent="0.2">
      <c r="S2929" s="32"/>
      <c r="T2929" s="187"/>
      <c r="W2929" s="221" t="str">
        <f t="shared" si="54"/>
        <v>1w</v>
      </c>
      <c r="X2929" s="222">
        <f>_xll.qlCalendarAdvance(Calendar,X2928,W2929,"f",FALSE)</f>
        <v>59371</v>
      </c>
      <c r="Y2929" s="227">
        <f>_xll.qlCalendarAdvance(Calendar,X2929,NDays&amp;"D")</f>
        <v>59371</v>
      </c>
      <c r="Z2929" s="228">
        <v>3.0770132139741401E-2</v>
      </c>
      <c r="AA2929" s="230">
        <v>3.0713596410156807E-2</v>
      </c>
    </row>
    <row r="2930" spans="19:27" x14ac:dyDescent="0.2">
      <c r="S2930" s="32"/>
      <c r="T2930" s="187"/>
      <c r="W2930" s="221" t="str">
        <f t="shared" si="54"/>
        <v>1w</v>
      </c>
      <c r="X2930" s="222">
        <f>_xll.qlCalendarAdvance(Calendar,X2929,W2930,"f",FALSE)</f>
        <v>59378</v>
      </c>
      <c r="Y2930" s="227">
        <f>_xll.qlCalendarAdvance(Calendar,X2930,NDays&amp;"D")</f>
        <v>59378</v>
      </c>
      <c r="Z2930" s="228">
        <v>3.0778538836877565E-2</v>
      </c>
      <c r="AA2930" s="230">
        <v>3.07201991534789E-2</v>
      </c>
    </row>
    <row r="2931" spans="19:27" x14ac:dyDescent="0.2">
      <c r="S2931" s="32"/>
      <c r="T2931" s="187"/>
      <c r="W2931" s="221" t="str">
        <f t="shared" si="54"/>
        <v>1w</v>
      </c>
      <c r="X2931" s="222">
        <f>_xll.qlCalendarAdvance(Calendar,X2930,W2931,"f",FALSE)</f>
        <v>59385</v>
      </c>
      <c r="Y2931" s="227">
        <f>_xll.qlCalendarAdvance(Calendar,X2931,NDays&amp;"D")</f>
        <v>59385</v>
      </c>
      <c r="Z2931" s="228">
        <v>3.0783410093934753E-2</v>
      </c>
      <c r="AA2931" s="230">
        <v>3.0726808490726398E-2</v>
      </c>
    </row>
    <row r="2932" spans="19:27" x14ac:dyDescent="0.2">
      <c r="S2932" s="32"/>
      <c r="T2932" s="187"/>
      <c r="W2932" s="221" t="str">
        <f t="shared" si="54"/>
        <v>1w</v>
      </c>
      <c r="X2932" s="222">
        <f>_xll.qlCalendarAdvance(Calendar,X2931,W2932,"f",FALSE)</f>
        <v>59392</v>
      </c>
      <c r="Y2932" s="227">
        <f>_xll.qlCalendarAdvance(Calendar,X2932,NDays&amp;"D")</f>
        <v>59392</v>
      </c>
      <c r="Z2932" s="228">
        <v>3.0790058994692934E-2</v>
      </c>
      <c r="AA2932" s="230">
        <v>3.0733424421980349E-2</v>
      </c>
    </row>
    <row r="2933" spans="19:27" x14ac:dyDescent="0.2">
      <c r="S2933" s="32"/>
      <c r="T2933" s="187"/>
      <c r="W2933" s="221" t="str">
        <f t="shared" si="54"/>
        <v>1w</v>
      </c>
      <c r="X2933" s="222">
        <f>_xll.qlCalendarAdvance(Calendar,X2932,W2933,"f",FALSE)</f>
        <v>59399</v>
      </c>
      <c r="Y2933" s="227">
        <f>_xll.qlCalendarAdvance(Calendar,X2933,NDays&amp;"D")</f>
        <v>59399</v>
      </c>
      <c r="Z2933" s="228">
        <v>3.0796714511246739E-2</v>
      </c>
      <c r="AA2933" s="230">
        <v>3.0740046947564936E-2</v>
      </c>
    </row>
    <row r="2934" spans="19:27" x14ac:dyDescent="0.2">
      <c r="S2934" s="32"/>
      <c r="T2934" s="187"/>
      <c r="W2934" s="221" t="str">
        <f t="shared" si="54"/>
        <v>1w</v>
      </c>
      <c r="X2934" s="222">
        <f>_xll.qlCalendarAdvance(Calendar,X2933,W2934,"f",FALSE)</f>
        <v>59406</v>
      </c>
      <c r="Y2934" s="227">
        <f>_xll.qlCalendarAdvance(Calendar,X2934,NDays&amp;"D")</f>
        <v>59406</v>
      </c>
      <c r="Z2934" s="228">
        <v>3.0803376643605988E-2</v>
      </c>
      <c r="AA2934" s="230">
        <v>3.0746676067318068E-2</v>
      </c>
    </row>
    <row r="2935" spans="19:27" x14ac:dyDescent="0.2">
      <c r="S2935" s="32"/>
      <c r="T2935" s="187"/>
      <c r="W2935" s="221" t="str">
        <f t="shared" si="54"/>
        <v>1w</v>
      </c>
      <c r="X2935" s="222">
        <f>_xll.qlCalendarAdvance(Calendar,X2934,W2935,"f",FALSE)</f>
        <v>59413</v>
      </c>
      <c r="Y2935" s="227">
        <f>_xll.qlCalendarAdvance(Calendar,X2935,NDays&amp;"D")</f>
        <v>59413</v>
      </c>
      <c r="Z2935" s="228">
        <v>3.0804717998299945E-2</v>
      </c>
      <c r="AA2935" s="230">
        <v>3.0753311781158699E-2</v>
      </c>
    </row>
    <row r="2936" spans="19:27" x14ac:dyDescent="0.2">
      <c r="S2936" s="32"/>
      <c r="T2936" s="187"/>
      <c r="W2936" s="221" t="str">
        <f t="shared" si="54"/>
        <v>1w</v>
      </c>
      <c r="X2936" s="222">
        <f>_xll.qlCalendarAdvance(Calendar,X2935,W2936,"f",FALSE)</f>
        <v>59420</v>
      </c>
      <c r="Y2936" s="227">
        <f>_xll.qlCalendarAdvance(Calendar,X2936,NDays&amp;"D")</f>
        <v>59420</v>
      </c>
      <c r="Z2936" s="228">
        <v>3.0811390257016218E-2</v>
      </c>
      <c r="AA2936" s="230">
        <v>3.0759954089005781E-2</v>
      </c>
    </row>
    <row r="2937" spans="19:27" x14ac:dyDescent="0.2">
      <c r="S2937" s="32"/>
      <c r="T2937" s="187"/>
      <c r="W2937" s="221" t="str">
        <f t="shared" si="54"/>
        <v>1w</v>
      </c>
      <c r="X2937" s="222">
        <f>_xll.qlCalendarAdvance(Calendar,X2936,W2937,"f",FALSE)</f>
        <v>59427</v>
      </c>
      <c r="Y2937" s="227">
        <f>_xll.qlCalendarAdvance(Calendar,X2937,NDays&amp;"D")</f>
        <v>59427</v>
      </c>
      <c r="Z2937" s="228">
        <v>3.0818069129533148E-2</v>
      </c>
      <c r="AA2937" s="230">
        <v>3.0766602991102454E-2</v>
      </c>
    </row>
    <row r="2938" spans="19:27" x14ac:dyDescent="0.2">
      <c r="S2938" s="32"/>
      <c r="T2938" s="187"/>
      <c r="W2938" s="221" t="str">
        <f t="shared" si="54"/>
        <v>1w</v>
      </c>
      <c r="X2938" s="222">
        <f>_xll.qlCalendarAdvance(Calendar,X2937,W2938,"f",FALSE)</f>
        <v>59434</v>
      </c>
      <c r="Y2938" s="227">
        <f>_xll.qlCalendarAdvance(Calendar,X2938,NDays&amp;"D")</f>
        <v>59434</v>
      </c>
      <c r="Z2938" s="228">
        <v>3.0824754615858839E-2</v>
      </c>
      <c r="AA2938" s="230">
        <v>3.0773258487286625E-2</v>
      </c>
    </row>
    <row r="2939" spans="19:27" x14ac:dyDescent="0.2">
      <c r="S2939" s="32"/>
      <c r="T2939" s="187"/>
      <c r="W2939" s="221" t="str">
        <f t="shared" si="54"/>
        <v>1w</v>
      </c>
      <c r="X2939" s="222">
        <f>_xll.qlCalendarAdvance(Calendar,X2938,W2939,"f",FALSE)</f>
        <v>59441</v>
      </c>
      <c r="Y2939" s="227">
        <f>_xll.qlCalendarAdvance(Calendar,X2939,NDays&amp;"D")</f>
        <v>59441</v>
      </c>
      <c r="Z2939" s="228">
        <v>3.0831446716006794E-2</v>
      </c>
      <c r="AA2939" s="230">
        <v>3.0779920577477249E-2</v>
      </c>
    </row>
    <row r="2940" spans="19:27" x14ac:dyDescent="0.2">
      <c r="S2940" s="32"/>
      <c r="T2940" s="187"/>
      <c r="W2940" s="221" t="str">
        <f t="shared" si="54"/>
        <v>1w</v>
      </c>
      <c r="X2940" s="222">
        <f>_xll.qlCalendarAdvance(Calendar,X2939,W2940,"f",FALSE)</f>
        <v>59448</v>
      </c>
      <c r="Y2940" s="227">
        <f>_xll.qlCalendarAdvance(Calendar,X2940,NDays&amp;"D")</f>
        <v>59448</v>
      </c>
      <c r="Z2940" s="228">
        <v>3.0843488370321751E-2</v>
      </c>
      <c r="AA2940" s="230">
        <v>3.0786589261917463E-2</v>
      </c>
    </row>
    <row r="2941" spans="19:27" x14ac:dyDescent="0.2">
      <c r="S2941" s="32"/>
      <c r="T2941" s="187"/>
      <c r="W2941" s="221" t="str">
        <f t="shared" si="54"/>
        <v>1w</v>
      </c>
      <c r="X2941" s="222">
        <f>_xll.qlCalendarAdvance(Calendar,X2940,W2941,"f",FALSE)</f>
        <v>59455</v>
      </c>
      <c r="Y2941" s="227">
        <f>_xll.qlCalendarAdvance(Calendar,X2941,NDays&amp;"D")</f>
        <v>59455</v>
      </c>
      <c r="Z2941" s="228">
        <v>3.0850196813645762E-2</v>
      </c>
      <c r="AA2941" s="230">
        <v>3.0793264540607268E-2</v>
      </c>
    </row>
    <row r="2942" spans="19:27" x14ac:dyDescent="0.2">
      <c r="S2942" s="32"/>
      <c r="T2942" s="187"/>
      <c r="W2942" s="221" t="str">
        <f t="shared" si="54"/>
        <v>1w</v>
      </c>
      <c r="X2942" s="222">
        <f>_xll.qlCalendarAdvance(Calendar,X2941,W2942,"f",FALSE)</f>
        <v>59462</v>
      </c>
      <c r="Y2942" s="227">
        <f>_xll.qlCalendarAdvance(Calendar,X2942,NDays&amp;"D")</f>
        <v>59462</v>
      </c>
      <c r="Z2942" s="228">
        <v>3.0856911872870998E-2</v>
      </c>
      <c r="AA2942" s="230">
        <v>3.0799946413222479E-2</v>
      </c>
    </row>
    <row r="2943" spans="19:27" x14ac:dyDescent="0.2">
      <c r="S2943" s="32"/>
      <c r="T2943" s="187"/>
      <c r="W2943" s="221" t="str">
        <f t="shared" si="54"/>
        <v>1w</v>
      </c>
      <c r="X2943" s="222">
        <f>_xll.qlCalendarAdvance(Calendar,X2942,W2943,"f",FALSE)</f>
        <v>59469</v>
      </c>
      <c r="Y2943" s="227">
        <f>_xll.qlCalendarAdvance(Calendar,X2943,NDays&amp;"D")</f>
        <v>59469</v>
      </c>
      <c r="Z2943" s="228">
        <v>3.0863633548007283E-2</v>
      </c>
      <c r="AA2943" s="230">
        <v>3.0806634879925188E-2</v>
      </c>
    </row>
    <row r="2944" spans="19:27" x14ac:dyDescent="0.2">
      <c r="S2944" s="32"/>
      <c r="T2944" s="187"/>
      <c r="W2944" s="221" t="str">
        <f t="shared" si="54"/>
        <v>1w</v>
      </c>
      <c r="X2944" s="222">
        <f>_xll.qlCalendarAdvance(Calendar,X2943,W2944,"f",FALSE)</f>
        <v>59476</v>
      </c>
      <c r="Y2944" s="227">
        <f>_xll.qlCalendarAdvance(Calendar,X2944,NDays&amp;"D")</f>
        <v>59476</v>
      </c>
      <c r="Z2944" s="228">
        <v>3.0865006424442603E-2</v>
      </c>
      <c r="AA2944" s="230">
        <v>3.0813329940958534E-2</v>
      </c>
    </row>
    <row r="2945" spans="19:27" x14ac:dyDescent="0.2">
      <c r="S2945" s="32"/>
      <c r="T2945" s="187"/>
      <c r="W2945" s="221" t="str">
        <f t="shared" si="54"/>
        <v>1w</v>
      </c>
      <c r="X2945" s="222">
        <f>_xll.qlCalendarAdvance(Calendar,X2944,W2945,"f",FALSE)</f>
        <v>59483</v>
      </c>
      <c r="Y2945" s="227">
        <f>_xll.qlCalendarAdvance(Calendar,X2945,NDays&amp;"D")</f>
        <v>59483</v>
      </c>
      <c r="Z2945" s="228">
        <v>3.0871738207751097E-2</v>
      </c>
      <c r="AA2945" s="230">
        <v>3.0820031595998332E-2</v>
      </c>
    </row>
    <row r="2946" spans="19:27" x14ac:dyDescent="0.2">
      <c r="S2946" s="32"/>
      <c r="T2946" s="187"/>
      <c r="W2946" s="221" t="str">
        <f t="shared" si="54"/>
        <v>1w</v>
      </c>
      <c r="X2946" s="222">
        <f>_xll.qlCalendarAdvance(Calendar,X2945,W2946,"f",FALSE)</f>
        <v>59490</v>
      </c>
      <c r="Y2946" s="227">
        <f>_xll.qlCalendarAdvance(Calendar,X2946,NDays&amp;"D")</f>
        <v>59490</v>
      </c>
      <c r="Z2946" s="228">
        <v>3.0878476604949395E-2</v>
      </c>
      <c r="AA2946" s="230">
        <v>3.0826739845125628E-2</v>
      </c>
    </row>
    <row r="2947" spans="19:27" x14ac:dyDescent="0.2">
      <c r="S2947" s="32"/>
      <c r="T2947" s="187"/>
      <c r="W2947" s="221" t="str">
        <f t="shared" si="54"/>
        <v>1w</v>
      </c>
      <c r="X2947" s="222">
        <f>_xll.qlCalendarAdvance(Calendar,X2946,W2947,"f",FALSE)</f>
        <v>59497</v>
      </c>
      <c r="Y2947" s="227">
        <f>_xll.qlCalendarAdvance(Calendar,X2947,NDays&amp;"D")</f>
        <v>59497</v>
      </c>
      <c r="Z2947" s="228">
        <v>3.0885221616053709E-2</v>
      </c>
      <c r="AA2947" s="230">
        <v>3.0833454688340423E-2</v>
      </c>
    </row>
    <row r="2948" spans="19:27" x14ac:dyDescent="0.2">
      <c r="S2948" s="32"/>
      <c r="T2948" s="187"/>
      <c r="W2948" s="221" t="str">
        <f t="shared" si="54"/>
        <v>1w</v>
      </c>
      <c r="X2948" s="222">
        <f>_xll.qlCalendarAdvance(Calendar,X2947,W2948,"f",FALSE)</f>
        <v>59504</v>
      </c>
      <c r="Y2948" s="227">
        <f>_xll.qlCalendarAdvance(Calendar,X2948,NDays&amp;"D")</f>
        <v>59504</v>
      </c>
      <c r="Z2948" s="228">
        <v>3.0891973241082948E-2</v>
      </c>
      <c r="AA2948" s="230">
        <v>3.0840176125885854E-2</v>
      </c>
    </row>
    <row r="2949" spans="19:27" x14ac:dyDescent="0.2">
      <c r="S2949" s="32"/>
      <c r="T2949" s="187"/>
      <c r="W2949" s="221" t="str">
        <f t="shared" si="54"/>
        <v>1w</v>
      </c>
      <c r="X2949" s="222">
        <f>_xll.qlCalendarAdvance(Calendar,X2948,W2949,"f",FALSE)</f>
        <v>59511</v>
      </c>
      <c r="Y2949" s="227">
        <f>_xll.qlCalendarAdvance(Calendar,X2949,NDays&amp;"D")</f>
        <v>59511</v>
      </c>
      <c r="Z2949" s="228">
        <v>3.0904102533654578E-2</v>
      </c>
      <c r="AA2949" s="230">
        <v>3.0846904157518784E-2</v>
      </c>
    </row>
    <row r="2950" spans="19:27" x14ac:dyDescent="0.2">
      <c r="S2950" s="32"/>
      <c r="T2950" s="187"/>
      <c r="W2950" s="221" t="str">
        <f t="shared" si="54"/>
        <v>1w</v>
      </c>
      <c r="X2950" s="222">
        <f>_xll.qlCalendarAdvance(Calendar,X2949,W2950,"f",FALSE)</f>
        <v>59518</v>
      </c>
      <c r="Y2950" s="227">
        <f>_xll.qlCalendarAdvance(Calendar,X2950,NDays&amp;"D")</f>
        <v>59518</v>
      </c>
      <c r="Z2950" s="228">
        <v>3.0910870520514513E-2</v>
      </c>
      <c r="AA2950" s="230">
        <v>3.085363878307712E-2</v>
      </c>
    </row>
    <row r="2951" spans="19:27" x14ac:dyDescent="0.2">
      <c r="S2951" s="32"/>
      <c r="T2951" s="187"/>
      <c r="W2951" s="221" t="str">
        <f t="shared" si="54"/>
        <v>1w</v>
      </c>
      <c r="X2951" s="222">
        <f>_xll.qlCalendarAdvance(Calendar,X2950,W2951,"f",FALSE)</f>
        <v>59525</v>
      </c>
      <c r="Y2951" s="227">
        <f>_xll.qlCalendarAdvance(Calendar,X2951,NDays&amp;"D")</f>
        <v>59525</v>
      </c>
      <c r="Z2951" s="228">
        <v>3.0917645123381281E-2</v>
      </c>
      <c r="AA2951" s="230">
        <v>3.0860380002885046E-2</v>
      </c>
    </row>
    <row r="2952" spans="19:27" x14ac:dyDescent="0.2">
      <c r="S2952" s="32"/>
      <c r="T2952" s="187"/>
      <c r="W2952" s="221" t="str">
        <f t="shared" si="54"/>
        <v>1w</v>
      </c>
      <c r="X2952" s="222">
        <f>_xll.qlCalendarAdvance(Calendar,X2951,W2952,"f",FALSE)</f>
        <v>59532</v>
      </c>
      <c r="Y2952" s="227">
        <f>_xll.qlCalendarAdvance(Calendar,X2952,NDays&amp;"D")</f>
        <v>59532</v>
      </c>
      <c r="Z2952" s="228">
        <v>3.092442634226962E-2</v>
      </c>
      <c r="AA2952" s="230">
        <v>3.0867127816861517E-2</v>
      </c>
    </row>
    <row r="2953" spans="19:27" x14ac:dyDescent="0.2">
      <c r="S2953" s="32"/>
      <c r="T2953" s="187"/>
      <c r="W2953" s="221" t="str">
        <f t="shared" si="54"/>
        <v>1w</v>
      </c>
      <c r="X2953" s="222">
        <f>_xll.qlCalendarAdvance(Calendar,X2952,W2953,"f",FALSE)</f>
        <v>59539</v>
      </c>
      <c r="Y2953" s="227">
        <f>_xll.qlCalendarAdvance(Calendar,X2953,NDays&amp;"D")</f>
        <v>59539</v>
      </c>
      <c r="Z2953" s="228">
        <v>3.0931214177196718E-2</v>
      </c>
      <c r="AA2953" s="230">
        <v>3.0873882225087579E-2</v>
      </c>
    </row>
    <row r="2954" spans="19:27" x14ac:dyDescent="0.2">
      <c r="S2954" s="32"/>
      <c r="T2954" s="187"/>
      <c r="W2954" s="221" t="str">
        <f t="shared" si="54"/>
        <v>1w</v>
      </c>
      <c r="X2954" s="222">
        <f>_xll.qlCalendarAdvance(Calendar,X2953,W2954,"f",FALSE)</f>
        <v>59546</v>
      </c>
      <c r="Y2954" s="227">
        <f>_xll.qlCalendarAdvance(Calendar,X2954,NDays&amp;"D")</f>
        <v>59546</v>
      </c>
      <c r="Z2954" s="228">
        <v>3.0938008628160121E-2</v>
      </c>
      <c r="AA2954" s="230">
        <v>3.0880643227158E-2</v>
      </c>
    </row>
    <row r="2955" spans="19:27" x14ac:dyDescent="0.2">
      <c r="S2955" s="32"/>
      <c r="T2955" s="187"/>
      <c r="W2955" s="221" t="str">
        <f t="shared" si="54"/>
        <v>1w</v>
      </c>
      <c r="X2955" s="222">
        <f>_xll.qlCalendarAdvance(Calendar,X2954,W2955,"f",FALSE)</f>
        <v>59553</v>
      </c>
      <c r="Y2955" s="227">
        <f>_xll.qlCalendarAdvance(Calendar,X2955,NDays&amp;"D")</f>
        <v>59553</v>
      </c>
      <c r="Z2955" s="228">
        <v>3.0944809695181933E-2</v>
      </c>
      <c r="AA2955" s="230">
        <v>3.0887410823640105E-2</v>
      </c>
    </row>
    <row r="2956" spans="19:27" x14ac:dyDescent="0.2">
      <c r="S2956" s="32"/>
      <c r="T2956" s="187"/>
      <c r="W2956" s="221" t="str">
        <f t="shared" si="54"/>
        <v>1w</v>
      </c>
      <c r="X2956" s="222">
        <f>_xll.qlCalendarAdvance(Calendar,X2955,W2956,"f",FALSE)</f>
        <v>59560</v>
      </c>
      <c r="Y2956" s="227">
        <f>_xll.qlCalendarAdvance(Calendar,X2956,NDays&amp;"D")</f>
        <v>59560</v>
      </c>
      <c r="Z2956" s="228">
        <v>3.0951617378274433E-2</v>
      </c>
      <c r="AA2956" s="230">
        <v>3.0894185014047615E-2</v>
      </c>
    </row>
    <row r="2957" spans="19:27" x14ac:dyDescent="0.2">
      <c r="S2957" s="32"/>
      <c r="T2957" s="187"/>
      <c r="W2957" s="221" t="str">
        <f t="shared" si="54"/>
        <v>1w</v>
      </c>
      <c r="X2957" s="222">
        <f>_xll.qlCalendarAdvance(Calendar,X2956,W2957,"f",FALSE)</f>
        <v>59567</v>
      </c>
      <c r="Y2957" s="227">
        <f>_xll.qlCalendarAdvance(Calendar,X2957,NDays&amp;"D")</f>
        <v>59567</v>
      </c>
      <c r="Z2957" s="228">
        <v>3.0949439047050695E-2</v>
      </c>
      <c r="AA2957" s="230">
        <v>3.090096579862367E-2</v>
      </c>
    </row>
    <row r="2958" spans="19:27" x14ac:dyDescent="0.2">
      <c r="S2958" s="32"/>
      <c r="T2958" s="187"/>
      <c r="W2958" s="221" t="str">
        <f t="shared" si="54"/>
        <v>1w</v>
      </c>
      <c r="X2958" s="222">
        <f>_xll.qlCalendarAdvance(Calendar,X2957,W2958,"f",FALSE)</f>
        <v>59574</v>
      </c>
      <c r="Y2958" s="227">
        <f>_xll.qlCalendarAdvance(Calendar,X2958,NDays&amp;"D")</f>
        <v>59574</v>
      </c>
      <c r="Z2958" s="228">
        <v>3.0956254712316396E-2</v>
      </c>
      <c r="AA2958" s="230">
        <v>3.0907753177287223E-2</v>
      </c>
    </row>
    <row r="2959" spans="19:27" x14ac:dyDescent="0.2">
      <c r="S2959" s="32"/>
      <c r="T2959" s="187"/>
      <c r="W2959" s="221" t="str">
        <f t="shared" si="54"/>
        <v>1w</v>
      </c>
      <c r="X2959" s="222">
        <f>_xll.qlCalendarAdvance(Calendar,X2958,W2959,"f",FALSE)</f>
        <v>59581</v>
      </c>
      <c r="Y2959" s="227">
        <f>_xll.qlCalendarAdvance(Calendar,X2959,NDays&amp;"D")</f>
        <v>59581</v>
      </c>
      <c r="Z2959" s="228">
        <v>3.0963076990249454E-2</v>
      </c>
      <c r="AA2959" s="230">
        <v>3.0914547150362459E-2</v>
      </c>
    </row>
    <row r="2960" spans="19:27" x14ac:dyDescent="0.2">
      <c r="S2960" s="32"/>
      <c r="T2960" s="187"/>
      <c r="W2960" s="221" t="str">
        <f t="shared" si="54"/>
        <v>1w</v>
      </c>
      <c r="X2960" s="222">
        <f>_xll.qlCalendarAdvance(Calendar,X2959,W2960,"f",FALSE)</f>
        <v>59588</v>
      </c>
      <c r="Y2960" s="227">
        <f>_xll.qlCalendarAdvance(Calendar,X2960,NDays&amp;"D")</f>
        <v>59588</v>
      </c>
      <c r="Z2960" s="228">
        <v>3.0969905880858555E-2</v>
      </c>
      <c r="AA2960" s="230">
        <v>3.0921347717363101E-2</v>
      </c>
    </row>
    <row r="2961" spans="19:27" x14ac:dyDescent="0.2">
      <c r="S2961" s="32"/>
      <c r="T2961" s="187"/>
      <c r="W2961" s="221" t="str">
        <f t="shared" si="54"/>
        <v>1w</v>
      </c>
      <c r="X2961" s="222">
        <f>_xll.qlCalendarAdvance(Calendar,X2960,W2961,"f",FALSE)</f>
        <v>59595</v>
      </c>
      <c r="Y2961" s="227">
        <f>_xll.qlCalendarAdvance(Calendar,X2961,NDays&amp;"D")</f>
        <v>59595</v>
      </c>
      <c r="Z2961" s="228">
        <v>3.0980346238118628E-2</v>
      </c>
      <c r="AA2961" s="230">
        <v>3.0928154878370195E-2</v>
      </c>
    </row>
    <row r="2962" spans="19:27" x14ac:dyDescent="0.2">
      <c r="S2962" s="32"/>
      <c r="T2962" s="187"/>
      <c r="W2962" s="221" t="str">
        <f t="shared" si="54"/>
        <v>1w</v>
      </c>
      <c r="X2962" s="222">
        <f>_xll.qlCalendarAdvance(Calendar,X2961,W2962,"f",FALSE)</f>
        <v>59602</v>
      </c>
      <c r="Y2962" s="227">
        <f>_xll.qlCalendarAdvance(Calendar,X2962,NDays&amp;"D")</f>
        <v>59602</v>
      </c>
      <c r="Z2962" s="228">
        <v>3.0992602414974525E-2</v>
      </c>
      <c r="AA2962" s="230">
        <v>3.0934968633707927E-2</v>
      </c>
    </row>
    <row r="2963" spans="19:27" x14ac:dyDescent="0.2">
      <c r="S2963" s="32"/>
      <c r="T2963" s="187"/>
      <c r="W2963" s="221" t="str">
        <f t="shared" si="54"/>
        <v>1w</v>
      </c>
      <c r="X2963" s="222">
        <f>_xll.qlCalendarAdvance(Calendar,X2962,W2963,"f",FALSE)</f>
        <v>59609</v>
      </c>
      <c r="Y2963" s="227">
        <f>_xll.qlCalendarAdvance(Calendar,X2963,NDays&amp;"D")</f>
        <v>59609</v>
      </c>
      <c r="Z2963" s="228">
        <v>3.100126185476703E-2</v>
      </c>
      <c r="AA2963" s="230">
        <v>3.0941788983214202E-2</v>
      </c>
    </row>
    <row r="2964" spans="19:27" x14ac:dyDescent="0.2">
      <c r="S2964" s="32"/>
      <c r="T2964" s="187"/>
      <c r="W2964" s="221" t="str">
        <f t="shared" si="54"/>
        <v>1w</v>
      </c>
      <c r="X2964" s="222">
        <f>_xll.qlCalendarAdvance(Calendar,X2963,W2964,"f",FALSE)</f>
        <v>59616</v>
      </c>
      <c r="Y2964" s="227">
        <f>_xll.qlCalendarAdvance(Calendar,X2964,NDays&amp;"D")</f>
        <v>59616</v>
      </c>
      <c r="Z2964" s="228">
        <v>3.1006317022986098E-2</v>
      </c>
      <c r="AA2964" s="230">
        <v>3.094861592672693E-2</v>
      </c>
    </row>
    <row r="2965" spans="19:27" x14ac:dyDescent="0.2">
      <c r="S2965" s="32"/>
      <c r="T2965" s="187"/>
      <c r="W2965" s="221" t="str">
        <f t="shared" ref="W2965:W3028" si="55">W2964</f>
        <v>1w</v>
      </c>
      <c r="X2965" s="222">
        <f>_xll.qlCalendarAdvance(Calendar,X2964,W2965,"f",FALSE)</f>
        <v>59623</v>
      </c>
      <c r="Y2965" s="227">
        <f>_xll.qlCalendarAdvance(Calendar,X2965,NDays&amp;"D")</f>
        <v>59623</v>
      </c>
      <c r="Z2965" s="228">
        <v>3.1013184251250187E-2</v>
      </c>
      <c r="AA2965" s="230">
        <v>3.0955449464327156E-2</v>
      </c>
    </row>
    <row r="2966" spans="19:27" x14ac:dyDescent="0.2">
      <c r="S2966" s="32"/>
      <c r="T2966" s="187"/>
      <c r="W2966" s="221" t="str">
        <f t="shared" si="55"/>
        <v>1w</v>
      </c>
      <c r="X2966" s="222">
        <f>_xll.qlCalendarAdvance(Calendar,X2965,W2966,"f",FALSE)</f>
        <v>59630</v>
      </c>
      <c r="Y2966" s="227">
        <f>_xll.qlCalendarAdvance(Calendar,X2966,NDays&amp;"D")</f>
        <v>59630</v>
      </c>
      <c r="Z2966" s="228">
        <v>3.101463348436399E-2</v>
      </c>
      <c r="AA2966" s="230">
        <v>3.0962289596176973E-2</v>
      </c>
    </row>
    <row r="2967" spans="19:27" x14ac:dyDescent="0.2">
      <c r="S2967" s="32"/>
      <c r="T2967" s="187"/>
      <c r="W2967" s="221" t="str">
        <f t="shared" si="55"/>
        <v>1w</v>
      </c>
      <c r="X2967" s="222">
        <f>_xll.qlCalendarAdvance(Calendar,X2966,W2967,"f",FALSE)</f>
        <v>59637</v>
      </c>
      <c r="Y2967" s="227">
        <f>_xll.qlCalendarAdvance(Calendar,X2967,NDays&amp;"D")</f>
        <v>59637</v>
      </c>
      <c r="Z2967" s="228">
        <v>3.1021510775960569E-2</v>
      </c>
      <c r="AA2967" s="230">
        <v>3.0969136322114288E-2</v>
      </c>
    </row>
    <row r="2968" spans="19:27" x14ac:dyDescent="0.2">
      <c r="S2968" s="32"/>
      <c r="T2968" s="187"/>
      <c r="W2968" s="221" t="str">
        <f t="shared" si="55"/>
        <v>1w</v>
      </c>
      <c r="X2968" s="222">
        <f>_xll.qlCalendarAdvance(Calendar,X2967,W2968,"f",FALSE)</f>
        <v>59644</v>
      </c>
      <c r="Y2968" s="227">
        <f>_xll.qlCalendarAdvance(Calendar,X2968,NDays&amp;"D")</f>
        <v>59644</v>
      </c>
      <c r="Z2968" s="228">
        <v>3.1028394681690091E-2</v>
      </c>
      <c r="AA2968" s="230">
        <v>3.0975989642058055E-2</v>
      </c>
    </row>
    <row r="2969" spans="19:27" x14ac:dyDescent="0.2">
      <c r="S2969" s="32"/>
      <c r="T2969" s="187"/>
      <c r="W2969" s="221" t="str">
        <f t="shared" si="55"/>
        <v>1w</v>
      </c>
      <c r="X2969" s="222">
        <f>_xll.qlCalendarAdvance(Calendar,X2968,W2969,"f",FALSE)</f>
        <v>59651</v>
      </c>
      <c r="Y2969" s="227">
        <f>_xll.qlCalendarAdvance(Calendar,X2969,NDays&amp;"D")</f>
        <v>59651</v>
      </c>
      <c r="Z2969" s="228">
        <v>3.1035285201576873E-2</v>
      </c>
      <c r="AA2969" s="230">
        <v>3.0982849556332459E-2</v>
      </c>
    </row>
    <row r="2970" spans="19:27" x14ac:dyDescent="0.2">
      <c r="S2970" s="32"/>
      <c r="T2970" s="187"/>
      <c r="W2970" s="221" t="str">
        <f t="shared" si="55"/>
        <v>1w</v>
      </c>
      <c r="X2970" s="222">
        <f>_xll.qlCalendarAdvance(Calendar,X2969,W2970,"f",FALSE)</f>
        <v>59658</v>
      </c>
      <c r="Y2970" s="227">
        <f>_xll.qlCalendarAdvance(Calendar,X2970,NDays&amp;"D")</f>
        <v>59658</v>
      </c>
      <c r="Z2970" s="228">
        <v>3.1047619635708675E-2</v>
      </c>
      <c r="AA2970" s="230">
        <v>3.0989716064856454E-2</v>
      </c>
    </row>
    <row r="2971" spans="19:27" x14ac:dyDescent="0.2">
      <c r="S2971" s="32"/>
      <c r="T2971" s="187"/>
      <c r="W2971" s="221" t="str">
        <f t="shared" si="55"/>
        <v>1w</v>
      </c>
      <c r="X2971" s="222">
        <f>_xll.qlCalendarAdvance(Calendar,X2970,W2971,"f",FALSE)</f>
        <v>59665</v>
      </c>
      <c r="Y2971" s="227">
        <f>_xll.qlCalendarAdvance(Calendar,X2971,NDays&amp;"D")</f>
        <v>59665</v>
      </c>
      <c r="Z2971" s="228">
        <v>3.1054526561312957E-2</v>
      </c>
      <c r="AA2971" s="230">
        <v>3.0996589167305855E-2</v>
      </c>
    </row>
    <row r="2972" spans="19:27" x14ac:dyDescent="0.2">
      <c r="S2972" s="32"/>
      <c r="T2972" s="187"/>
      <c r="W2972" s="221" t="str">
        <f t="shared" si="55"/>
        <v>1w</v>
      </c>
      <c r="X2972" s="222">
        <f>_xll.qlCalendarAdvance(Calendar,X2971,W2972,"f",FALSE)</f>
        <v>59672</v>
      </c>
      <c r="Y2972" s="227">
        <f>_xll.qlCalendarAdvance(Calendar,X2972,NDays&amp;"D")</f>
        <v>59672</v>
      </c>
      <c r="Z2972" s="228">
        <v>3.1061440103177036E-2</v>
      </c>
      <c r="AA2972" s="230">
        <v>3.1003468863842754E-2</v>
      </c>
    </row>
    <row r="2973" spans="19:27" x14ac:dyDescent="0.2">
      <c r="S2973" s="32"/>
      <c r="T2973" s="187"/>
      <c r="W2973" s="221" t="str">
        <f t="shared" si="55"/>
        <v>1w</v>
      </c>
      <c r="X2973" s="222">
        <f>_xll.qlCalendarAdvance(Calendar,X2972,W2973,"f",FALSE)</f>
        <v>59679</v>
      </c>
      <c r="Y2973" s="227">
        <f>_xll.qlCalendarAdvance(Calendar,X2973,NDays&amp;"D")</f>
        <v>59679</v>
      </c>
      <c r="Z2973" s="228">
        <v>3.1068360261325471E-2</v>
      </c>
      <c r="AA2973" s="230">
        <v>3.1010355154791336E-2</v>
      </c>
    </row>
    <row r="2974" spans="19:27" x14ac:dyDescent="0.2">
      <c r="S2974" s="32"/>
      <c r="T2974" s="187"/>
      <c r="W2974" s="221" t="str">
        <f t="shared" si="55"/>
        <v>1w</v>
      </c>
      <c r="X2974" s="222">
        <f>_xll.qlCalendarAdvance(Calendar,X2973,W2974,"f",FALSE)</f>
        <v>59686</v>
      </c>
      <c r="Y2974" s="227">
        <f>_xll.qlCalendarAdvance(Calendar,X2974,NDays&amp;"D")</f>
        <v>59686</v>
      </c>
      <c r="Z2974" s="228">
        <v>3.1069837013691148E-2</v>
      </c>
      <c r="AA2974" s="230">
        <v>3.1017248039665324E-2</v>
      </c>
    </row>
    <row r="2975" spans="19:27" x14ac:dyDescent="0.2">
      <c r="S2975" s="32"/>
      <c r="T2975" s="187"/>
      <c r="W2975" s="221" t="str">
        <f t="shared" si="55"/>
        <v>1w</v>
      </c>
      <c r="X2975" s="222">
        <f>_xll.qlCalendarAdvance(Calendar,X2974,W2975,"f",FALSE)</f>
        <v>59693</v>
      </c>
      <c r="Y2975" s="227">
        <f>_xll.qlCalendarAdvance(Calendar,X2975,NDays&amp;"D")</f>
        <v>59693</v>
      </c>
      <c r="Z2975" s="228">
        <v>3.10767672187241E-2</v>
      </c>
      <c r="AA2975" s="230">
        <v>3.1024147518707856E-2</v>
      </c>
    </row>
    <row r="2976" spans="19:27" x14ac:dyDescent="0.2">
      <c r="S2976" s="32"/>
      <c r="T2976" s="187"/>
      <c r="W2976" s="221" t="str">
        <f t="shared" si="55"/>
        <v>1w</v>
      </c>
      <c r="X2976" s="222">
        <f>_xll.qlCalendarAdvance(Calendar,X2975,W2976,"f",FALSE)</f>
        <v>59700</v>
      </c>
      <c r="Y2976" s="227">
        <f>_xll.qlCalendarAdvance(Calendar,X2976,NDays&amp;"D")</f>
        <v>59700</v>
      </c>
      <c r="Z2976" s="228">
        <v>3.1083704037989955E-2</v>
      </c>
      <c r="AA2976" s="230">
        <v>3.1031053591837887E-2</v>
      </c>
    </row>
    <row r="2977" spans="19:27" x14ac:dyDescent="0.2">
      <c r="S2977" s="32"/>
      <c r="T2977" s="187"/>
      <c r="W2977" s="221" t="str">
        <f t="shared" si="55"/>
        <v>1w</v>
      </c>
      <c r="X2977" s="222">
        <f>_xll.qlCalendarAdvance(Calendar,X2976,W2977,"f",FALSE)</f>
        <v>59707</v>
      </c>
      <c r="Y2977" s="227">
        <f>_xll.qlCalendarAdvance(Calendar,X2977,NDays&amp;"D")</f>
        <v>59707</v>
      </c>
      <c r="Z2977" s="228">
        <v>3.1090647471499516E-2</v>
      </c>
      <c r="AA2977" s="230">
        <v>3.1037966259298555E-2</v>
      </c>
    </row>
    <row r="2978" spans="19:27" x14ac:dyDescent="0.2">
      <c r="S2978" s="32"/>
      <c r="T2978" s="187"/>
      <c r="W2978" s="221" t="str">
        <f t="shared" si="55"/>
        <v>1w</v>
      </c>
      <c r="X2978" s="222">
        <f>_xll.qlCalendarAdvance(Calendar,X2977,W2978,"f",FALSE)</f>
        <v>59714</v>
      </c>
      <c r="Y2978" s="227">
        <f>_xll.qlCalendarAdvance(Calendar,X2978,NDays&amp;"D")</f>
        <v>59714</v>
      </c>
      <c r="Z2978" s="228">
        <v>3.1097597519263592E-2</v>
      </c>
      <c r="AA2978" s="230">
        <v>3.1044885520765675E-2</v>
      </c>
    </row>
    <row r="2979" spans="19:27" x14ac:dyDescent="0.2">
      <c r="S2979" s="32"/>
      <c r="T2979" s="187"/>
      <c r="W2979" s="221" t="str">
        <f t="shared" si="55"/>
        <v>1w</v>
      </c>
      <c r="X2979" s="222">
        <f>_xll.qlCalendarAdvance(Calendar,X2978,W2979,"f",FALSE)</f>
        <v>59721</v>
      </c>
      <c r="Y2979" s="227">
        <f>_xll.qlCalendarAdvance(Calendar,X2979,NDays&amp;"D")</f>
        <v>59721</v>
      </c>
      <c r="Z2979" s="228">
        <v>3.111002015273031E-2</v>
      </c>
      <c r="AA2979" s="230">
        <v>3.1051811376239247E-2</v>
      </c>
    </row>
    <row r="2980" spans="19:27" x14ac:dyDescent="0.2">
      <c r="S2980" s="32"/>
      <c r="T2980" s="187"/>
      <c r="W2980" s="221" t="str">
        <f t="shared" si="55"/>
        <v>1w</v>
      </c>
      <c r="X2980" s="222">
        <f>_xll.qlCalendarAdvance(Calendar,X2979,W2980,"f",FALSE)</f>
        <v>59728</v>
      </c>
      <c r="Y2980" s="227">
        <f>_xll.qlCalendarAdvance(Calendar,X2980,NDays&amp;"D")</f>
        <v>59728</v>
      </c>
      <c r="Z2980" s="228">
        <v>3.1116986625168857E-2</v>
      </c>
      <c r="AA2980" s="230">
        <v>3.1058743826043456E-2</v>
      </c>
    </row>
    <row r="2981" spans="19:27" x14ac:dyDescent="0.2">
      <c r="S2981" s="32"/>
      <c r="T2981" s="187"/>
      <c r="W2981" s="221" t="str">
        <f t="shared" si="55"/>
        <v>1w</v>
      </c>
      <c r="X2981" s="222">
        <f>_xll.qlCalendarAdvance(Calendar,X2980,W2981,"f",FALSE)</f>
        <v>59735</v>
      </c>
      <c r="Y2981" s="227">
        <f>_xll.qlCalendarAdvance(Calendar,X2981,NDays&amp;"D")</f>
        <v>59735</v>
      </c>
      <c r="Z2981" s="228">
        <v>3.1123959713987542E-2</v>
      </c>
      <c r="AA2981" s="230">
        <v>3.1065682870097255E-2</v>
      </c>
    </row>
    <row r="2982" spans="19:27" x14ac:dyDescent="0.2">
      <c r="S2982" s="32"/>
      <c r="T2982" s="187"/>
      <c r="W2982" s="221" t="str">
        <f t="shared" si="55"/>
        <v>1w</v>
      </c>
      <c r="X2982" s="222">
        <f>_xll.qlCalendarAdvance(Calendar,X2981,W2982,"f",FALSE)</f>
        <v>59742</v>
      </c>
      <c r="Y2982" s="227">
        <f>_xll.qlCalendarAdvance(Calendar,X2982,NDays&amp;"D")</f>
        <v>59742</v>
      </c>
      <c r="Z2982" s="228">
        <v>3.1132765018575436E-2</v>
      </c>
      <c r="AA2982" s="230">
        <v>3.1072628507995415E-2</v>
      </c>
    </row>
    <row r="2983" spans="19:27" x14ac:dyDescent="0.2">
      <c r="S2983" s="32"/>
      <c r="T2983" s="187"/>
      <c r="W2983" s="221" t="str">
        <f t="shared" si="55"/>
        <v>1w</v>
      </c>
      <c r="X2983" s="222">
        <f>_xll.qlCalendarAdvance(Calendar,X2982,W2983,"f",FALSE)</f>
        <v>59749</v>
      </c>
      <c r="Y2983" s="227">
        <f>_xll.qlCalendarAdvance(Calendar,X2983,NDays&amp;"D")</f>
        <v>59749</v>
      </c>
      <c r="Z2983" s="228">
        <v>3.113792574079971E-2</v>
      </c>
      <c r="AA2983" s="230">
        <v>3.1079580740062118E-2</v>
      </c>
    </row>
    <row r="2984" spans="19:27" x14ac:dyDescent="0.2">
      <c r="S2984" s="32"/>
      <c r="T2984" s="187"/>
      <c r="W2984" s="221" t="str">
        <f t="shared" si="55"/>
        <v>1w</v>
      </c>
      <c r="X2984" s="222">
        <f>_xll.qlCalendarAdvance(Calendar,X2983,W2984,"f",FALSE)</f>
        <v>59756</v>
      </c>
      <c r="Y2984" s="227">
        <f>_xll.qlCalendarAdvance(Calendar,X2984,NDays&amp;"D")</f>
        <v>59756</v>
      </c>
      <c r="Z2984" s="228">
        <v>3.1144918678822662E-2</v>
      </c>
      <c r="AA2984" s="230">
        <v>3.1086539566459459E-2</v>
      </c>
    </row>
    <row r="2985" spans="19:27" x14ac:dyDescent="0.2">
      <c r="S2985" s="32"/>
      <c r="T2985" s="187"/>
      <c r="W2985" s="221" t="str">
        <f t="shared" si="55"/>
        <v>1w</v>
      </c>
      <c r="X2985" s="222">
        <f>_xll.qlCalendarAdvance(Calendar,X2984,W2985,"f",FALSE)</f>
        <v>59763</v>
      </c>
      <c r="Y2985" s="227">
        <f>_xll.qlCalendarAdvance(Calendar,X2985,NDays&amp;"D")</f>
        <v>59763</v>
      </c>
      <c r="Z2985" s="228">
        <v>3.1151918233274872E-2</v>
      </c>
      <c r="AA2985" s="230">
        <v>3.1093504987025344E-2</v>
      </c>
    </row>
    <row r="2986" spans="19:27" x14ac:dyDescent="0.2">
      <c r="S2986" s="32"/>
      <c r="T2986" s="187"/>
      <c r="W2986" s="221" t="str">
        <f t="shared" si="55"/>
        <v>1w</v>
      </c>
      <c r="X2986" s="222">
        <f>_xll.qlCalendarAdvance(Calendar,X2985,W2986,"f",FALSE)</f>
        <v>59770</v>
      </c>
      <c r="Y2986" s="227">
        <f>_xll.qlCalendarAdvance(Calendar,X2986,NDays&amp;"D")</f>
        <v>59770</v>
      </c>
      <c r="Z2986" s="228">
        <v>3.115892440416616E-2</v>
      </c>
      <c r="AA2986" s="230">
        <v>3.1100477001516635E-2</v>
      </c>
    </row>
    <row r="2987" spans="19:27" x14ac:dyDescent="0.2">
      <c r="S2987" s="32"/>
      <c r="T2987" s="187"/>
      <c r="W2987" s="221" t="str">
        <f t="shared" si="55"/>
        <v>1w</v>
      </c>
      <c r="X2987" s="222">
        <f>_xll.qlCalendarAdvance(Calendar,X2986,W2987,"f",FALSE)</f>
        <v>59777</v>
      </c>
      <c r="Y2987" s="227">
        <f>_xll.qlCalendarAdvance(Calendar,X2987,NDays&amp;"D")</f>
        <v>59777</v>
      </c>
      <c r="Z2987" s="228">
        <v>3.1160445592381847E-2</v>
      </c>
      <c r="AA2987" s="230">
        <v>3.1107455610257517E-2</v>
      </c>
    </row>
    <row r="2988" spans="19:27" x14ac:dyDescent="0.2">
      <c r="S2988" s="32"/>
      <c r="T2988" s="187"/>
      <c r="W2988" s="221" t="str">
        <f t="shared" si="55"/>
        <v>1w</v>
      </c>
      <c r="X2988" s="222">
        <f>_xll.qlCalendarAdvance(Calendar,X2987,W2988,"f",FALSE)</f>
        <v>59784</v>
      </c>
      <c r="Y2988" s="227">
        <f>_xll.qlCalendarAdvance(Calendar,X2988,NDays&amp;"D")</f>
        <v>59784</v>
      </c>
      <c r="Z2988" s="228">
        <v>3.1167461783301618E-2</v>
      </c>
      <c r="AA2988" s="230">
        <v>3.111444081324799E-2</v>
      </c>
    </row>
    <row r="2989" spans="19:27" x14ac:dyDescent="0.2">
      <c r="S2989" s="32"/>
      <c r="T2989" s="187"/>
      <c r="W2989" s="221" t="str">
        <f t="shared" si="55"/>
        <v>1w</v>
      </c>
      <c r="X2989" s="222">
        <f>_xll.qlCalendarAdvance(Calendar,X2988,W2989,"f",FALSE)</f>
        <v>59791</v>
      </c>
      <c r="Y2989" s="227">
        <f>_xll.qlCalendarAdvance(Calendar,X2989,NDays&amp;"D")</f>
        <v>59791</v>
      </c>
      <c r="Z2989" s="228">
        <v>3.1174484588602874E-2</v>
      </c>
      <c r="AA2989" s="230">
        <v>3.1121432610244915E-2</v>
      </c>
    </row>
    <row r="2990" spans="19:27" x14ac:dyDescent="0.2">
      <c r="S2990" s="32"/>
      <c r="T2990" s="187"/>
      <c r="W2990" s="221" t="str">
        <f t="shared" si="55"/>
        <v>1w</v>
      </c>
      <c r="X2990" s="222">
        <f>_xll.qlCalendarAdvance(Calendar,X2989,W2990,"f",FALSE)</f>
        <v>59798</v>
      </c>
      <c r="Y2990" s="227">
        <f>_xll.qlCalendarAdvance(Calendar,X2990,NDays&amp;"D")</f>
        <v>59798</v>
      </c>
      <c r="Z2990" s="228">
        <v>3.1181514008285616E-2</v>
      </c>
      <c r="AA2990" s="230">
        <v>3.1128431001410384E-2</v>
      </c>
    </row>
    <row r="2991" spans="19:27" x14ac:dyDescent="0.2">
      <c r="S2991" s="32"/>
      <c r="T2991" s="187"/>
      <c r="W2991" s="221" t="str">
        <f t="shared" si="55"/>
        <v>1w</v>
      </c>
      <c r="X2991" s="222">
        <f>_xll.qlCalendarAdvance(Calendar,X2990,W2991,"f",FALSE)</f>
        <v>59805</v>
      </c>
      <c r="Y2991" s="227">
        <f>_xll.qlCalendarAdvance(Calendar,X2991,NDays&amp;"D")</f>
        <v>59805</v>
      </c>
      <c r="Z2991" s="228">
        <v>3.1188550042374162E-2</v>
      </c>
      <c r="AA2991" s="230">
        <v>3.113543598690649E-2</v>
      </c>
    </row>
    <row r="2992" spans="19:27" x14ac:dyDescent="0.2">
      <c r="S2992" s="32"/>
      <c r="T2992" s="187"/>
      <c r="W2992" s="221" t="str">
        <f t="shared" si="55"/>
        <v>1w</v>
      </c>
      <c r="X2992" s="222">
        <f>_xll.qlCalendarAdvance(Calendar,X2991,W2992,"f",FALSE)</f>
        <v>59812</v>
      </c>
      <c r="Y2992" s="227">
        <f>_xll.qlCalendarAdvance(Calendar,X2992,NDays&amp;"D")</f>
        <v>59812</v>
      </c>
      <c r="Z2992" s="228">
        <v>3.1201100375449257E-2</v>
      </c>
      <c r="AA2992" s="230">
        <v>3.1142447566246956E-2</v>
      </c>
    </row>
    <row r="2993" spans="19:27" x14ac:dyDescent="0.2">
      <c r="S2993" s="32"/>
      <c r="T2993" s="187"/>
      <c r="W2993" s="221" t="str">
        <f t="shared" si="55"/>
        <v>1w</v>
      </c>
      <c r="X2993" s="222">
        <f>_xll.qlCalendarAdvance(Calendar,X2992,W2993,"f",FALSE)</f>
        <v>59819</v>
      </c>
      <c r="Y2993" s="227">
        <f>_xll.qlCalendarAdvance(Calendar,X2993,NDays&amp;"D")</f>
        <v>59819</v>
      </c>
      <c r="Z2993" s="228">
        <v>3.1208152861775133E-2</v>
      </c>
      <c r="AA2993" s="230">
        <v>3.1149465739918059E-2</v>
      </c>
    </row>
    <row r="2994" spans="19:27" x14ac:dyDescent="0.2">
      <c r="S2994" s="32"/>
      <c r="T2994" s="187"/>
      <c r="W2994" s="221" t="str">
        <f t="shared" si="55"/>
        <v>1w</v>
      </c>
      <c r="X2994" s="222">
        <f>_xll.qlCalendarAdvance(Calendar,X2993,W2994,"f",FALSE)</f>
        <v>59826</v>
      </c>
      <c r="Y2994" s="227">
        <f>_xll.qlCalendarAdvance(Calendar,X2994,NDays&amp;"D")</f>
        <v>59826</v>
      </c>
      <c r="Z2994" s="228">
        <v>3.1215211964635867E-2</v>
      </c>
      <c r="AA2994" s="230">
        <v>3.115649050767666E-2</v>
      </c>
    </row>
    <row r="2995" spans="19:27" x14ac:dyDescent="0.2">
      <c r="S2995" s="32"/>
      <c r="T2995" s="187"/>
      <c r="W2995" s="221" t="str">
        <f t="shared" si="55"/>
        <v>1w</v>
      </c>
      <c r="X2995" s="222">
        <f>_xll.qlCalendarAdvance(Calendar,X2994,W2995,"f",FALSE)</f>
        <v>59833</v>
      </c>
      <c r="Y2995" s="227">
        <f>_xll.qlCalendarAdvance(Calendar,X2995,NDays&amp;"D")</f>
        <v>59833</v>
      </c>
      <c r="Z2995" s="228">
        <v>3.1222277684048658E-2</v>
      </c>
      <c r="AA2995" s="230">
        <v>3.1163521869522759E-2</v>
      </c>
    </row>
    <row r="2996" spans="19:27" x14ac:dyDescent="0.2">
      <c r="S2996" s="32"/>
      <c r="T2996" s="187"/>
      <c r="W2996" s="221" t="str">
        <f t="shared" si="55"/>
        <v>1w</v>
      </c>
      <c r="X2996" s="222">
        <f>_xll.qlCalendarAdvance(Calendar,X2995,W2996,"f",FALSE)</f>
        <v>59840</v>
      </c>
      <c r="Y2996" s="227">
        <f>_xll.qlCalendarAdvance(Calendar,X2996,NDays&amp;"D")</f>
        <v>59840</v>
      </c>
      <c r="Z2996" s="228">
        <v>3.1223829429233484E-2</v>
      </c>
      <c r="AA2996" s="230">
        <v>3.1170559825699495E-2</v>
      </c>
    </row>
    <row r="2997" spans="19:27" x14ac:dyDescent="0.2">
      <c r="S2997" s="32"/>
      <c r="T2997" s="187"/>
      <c r="W2997" s="221" t="str">
        <f t="shared" si="55"/>
        <v>1w</v>
      </c>
      <c r="X2997" s="222">
        <f>_xll.qlCalendarAdvance(Calendar,X2996,W2997,"f",FALSE)</f>
        <v>59847</v>
      </c>
      <c r="Y2997" s="227">
        <f>_xll.qlCalendarAdvance(Calendar,X2997,NDays&amp;"D")</f>
        <v>59847</v>
      </c>
      <c r="Z2997" s="228">
        <v>3.1230905149967552E-2</v>
      </c>
      <c r="AA2997" s="230">
        <v>3.1177604375801637E-2</v>
      </c>
    </row>
    <row r="2998" spans="19:27" x14ac:dyDescent="0.2">
      <c r="S2998" s="32"/>
      <c r="T2998" s="187"/>
      <c r="W2998" s="221" t="str">
        <f t="shared" si="55"/>
        <v>1w</v>
      </c>
      <c r="X2998" s="222">
        <f>_xll.qlCalendarAdvance(Calendar,X2997,W2998,"f",FALSE)</f>
        <v>59854</v>
      </c>
      <c r="Y2998" s="227">
        <f>_xll.qlCalendarAdvance(Calendar,X2998,NDays&amp;"D")</f>
        <v>59854</v>
      </c>
      <c r="Z2998" s="228">
        <v>3.1237987485183066E-2</v>
      </c>
      <c r="AA2998" s="230">
        <v>3.1184655520072324E-2</v>
      </c>
    </row>
    <row r="2999" spans="19:27" x14ac:dyDescent="0.2">
      <c r="S2999" s="32"/>
      <c r="T2999" s="187"/>
      <c r="W2999" s="221" t="str">
        <f t="shared" si="55"/>
        <v>1w</v>
      </c>
      <c r="X2999" s="222">
        <f>_xll.qlCalendarAdvance(Calendar,X2998,W2999,"f",FALSE)</f>
        <v>59861</v>
      </c>
      <c r="Y2999" s="227">
        <f>_xll.qlCalendarAdvance(Calendar,X2999,NDays&amp;"D")</f>
        <v>59861</v>
      </c>
      <c r="Z2999" s="228">
        <v>3.1245076434896234E-2</v>
      </c>
      <c r="AA2999" s="230">
        <v>3.1191713258754694E-2</v>
      </c>
    </row>
    <row r="3000" spans="19:27" x14ac:dyDescent="0.2">
      <c r="S3000" s="32"/>
      <c r="T3000" s="187"/>
      <c r="W3000" s="221" t="str">
        <f t="shared" si="55"/>
        <v>1w</v>
      </c>
      <c r="X3000" s="222">
        <f>_xll.qlCalendarAdvance(Calendar,X2999,W3000,"f",FALSE)</f>
        <v>59868</v>
      </c>
      <c r="Y3000" s="227">
        <f>_xll.qlCalendarAdvance(Calendar,X3000,NDays&amp;"D")</f>
        <v>59868</v>
      </c>
      <c r="Z3000" s="228">
        <v>3.1252171999109755E-2</v>
      </c>
      <c r="AA3000" s="230">
        <v>3.1198777591281424E-2</v>
      </c>
    </row>
    <row r="3001" spans="19:27" x14ac:dyDescent="0.2">
      <c r="S3001" s="32"/>
      <c r="T3001" s="187"/>
      <c r="W3001" s="221" t="str">
        <f t="shared" si="55"/>
        <v>1w</v>
      </c>
      <c r="X3001" s="222">
        <f>_xll.qlCalendarAdvance(Calendar,X3000,W3001,"f",FALSE)</f>
        <v>59875</v>
      </c>
      <c r="Y3001" s="227">
        <f>_xll.qlCalendarAdvance(Calendar,X3001,NDays&amp;"D")</f>
        <v>59875</v>
      </c>
      <c r="Z3001" s="228">
        <v>3.1264810948860224E-2</v>
      </c>
      <c r="AA3001" s="230">
        <v>3.1205848518057744E-2</v>
      </c>
    </row>
    <row r="3002" spans="19:27" x14ac:dyDescent="0.2">
      <c r="S3002" s="32"/>
      <c r="T3002" s="187"/>
      <c r="W3002" s="221" t="str">
        <f t="shared" si="55"/>
        <v>1w</v>
      </c>
      <c r="X3002" s="222">
        <f>_xll.qlCalendarAdvance(Calendar,X3001,W3002,"f",FALSE)</f>
        <v>59882</v>
      </c>
      <c r="Y3002" s="227">
        <f>_xll.qlCalendarAdvance(Calendar,X3002,NDays&amp;"D")</f>
        <v>59882</v>
      </c>
      <c r="Z3002" s="228">
        <v>3.1271922984503327E-2</v>
      </c>
      <c r="AA3002" s="230">
        <v>3.1212926039083655E-2</v>
      </c>
    </row>
    <row r="3003" spans="19:27" x14ac:dyDescent="0.2">
      <c r="S3003" s="32"/>
      <c r="T3003" s="187"/>
      <c r="W3003" s="221" t="str">
        <f t="shared" si="55"/>
        <v>1w</v>
      </c>
      <c r="X3003" s="222">
        <f>_xll.qlCalendarAdvance(Calendar,X3002,W3003,"f",FALSE)</f>
        <v>59889</v>
      </c>
      <c r="Y3003" s="227">
        <f>_xll.qlCalendarAdvance(Calendar,X3003,NDays&amp;"D")</f>
        <v>59889</v>
      </c>
      <c r="Z3003" s="228">
        <v>3.1279041636799176E-2</v>
      </c>
      <c r="AA3003" s="230">
        <v>3.1220010154197064E-2</v>
      </c>
    </row>
    <row r="3004" spans="19:27" x14ac:dyDescent="0.2">
      <c r="S3004" s="32"/>
      <c r="T3004" s="187"/>
      <c r="W3004" s="221" t="str">
        <f t="shared" si="55"/>
        <v>1w</v>
      </c>
      <c r="X3004" s="222">
        <f>_xll.qlCalendarAdvance(Calendar,X3003,W3004,"f",FALSE)</f>
        <v>59897</v>
      </c>
      <c r="Y3004" s="227">
        <f>_xll.qlCalendarAdvance(Calendar,X3004,NDays&amp;"D")</f>
        <v>59897</v>
      </c>
      <c r="Z3004" s="228">
        <v>3.1285336143290279E-2</v>
      </c>
      <c r="AA3004" s="230">
        <v>3.1228114360106751E-2</v>
      </c>
    </row>
    <row r="3005" spans="19:27" x14ac:dyDescent="0.2">
      <c r="S3005" s="32"/>
      <c r="T3005" s="187"/>
      <c r="W3005" s="221" t="str">
        <f t="shared" si="55"/>
        <v>1w</v>
      </c>
      <c r="X3005" s="222">
        <f>_xll.qlCalendarAdvance(Calendar,X3004,W3005,"f",FALSE)</f>
        <v>59904</v>
      </c>
      <c r="Y3005" s="227">
        <f>_xll.qlCalendarAdvance(Calendar,X3005,NDays&amp;"D")</f>
        <v>59904</v>
      </c>
      <c r="Z3005" s="228">
        <v>3.1292467891012483E-2</v>
      </c>
      <c r="AA3005" s="230">
        <v>3.1235212605639218E-2</v>
      </c>
    </row>
    <row r="3006" spans="19:27" x14ac:dyDescent="0.2">
      <c r="S3006" s="32"/>
      <c r="T3006" s="187"/>
      <c r="W3006" s="221" t="str">
        <f t="shared" si="55"/>
        <v>1w</v>
      </c>
      <c r="X3006" s="222">
        <f>_xll.qlCalendarAdvance(Calendar,X3005,W3006,"f",FALSE)</f>
        <v>59911</v>
      </c>
      <c r="Y3006" s="227">
        <f>_xll.qlCalendarAdvance(Calendar,X3006,NDays&amp;"D")</f>
        <v>59911</v>
      </c>
      <c r="Z3006" s="228">
        <v>3.129960625471228E-2</v>
      </c>
      <c r="AA3006" s="230">
        <v>3.124231744509709E-2</v>
      </c>
    </row>
    <row r="3007" spans="19:27" x14ac:dyDescent="0.2">
      <c r="S3007" s="32"/>
      <c r="T3007" s="187"/>
      <c r="W3007" s="221" t="str">
        <f t="shared" si="55"/>
        <v>1w</v>
      </c>
      <c r="X3007" s="222">
        <f>_xll.qlCalendarAdvance(Calendar,X3006,W3007,"f",FALSE)</f>
        <v>59918</v>
      </c>
      <c r="Y3007" s="227">
        <f>_xll.qlCalendarAdvance(Calendar,X3007,NDays&amp;"D")</f>
        <v>59918</v>
      </c>
      <c r="Z3007" s="228">
        <v>3.1306751234422593E-2</v>
      </c>
      <c r="AA3007" s="230">
        <v>3.1249428878966645E-2</v>
      </c>
    </row>
    <row r="3008" spans="19:27" x14ac:dyDescent="0.2">
      <c r="S3008" s="32"/>
      <c r="T3008" s="187"/>
      <c r="W3008" s="221" t="str">
        <f t="shared" si="55"/>
        <v>1w</v>
      </c>
      <c r="X3008" s="222">
        <f>_xll.qlCalendarAdvance(Calendar,X3007,W3008,"f",FALSE)</f>
        <v>59925</v>
      </c>
      <c r="Y3008" s="227">
        <f>_xll.qlCalendarAdvance(Calendar,X3008,NDays&amp;"D")</f>
        <v>59925</v>
      </c>
      <c r="Z3008" s="228">
        <v>3.1313902830143424E-2</v>
      </c>
      <c r="AA3008" s="230">
        <v>3.1256546906761606E-2</v>
      </c>
    </row>
    <row r="3009" spans="19:27" x14ac:dyDescent="0.2">
      <c r="S3009" s="32"/>
      <c r="T3009" s="187"/>
      <c r="W3009" s="221" t="str">
        <f t="shared" si="55"/>
        <v>1w</v>
      </c>
      <c r="X3009" s="222">
        <f>_xll.qlCalendarAdvance(Calendar,X3008,W3009,"f",FALSE)</f>
        <v>59932</v>
      </c>
      <c r="Y3009" s="227">
        <f>_xll.qlCalendarAdvance(Calendar,X3009,NDays&amp;"D")</f>
        <v>59932</v>
      </c>
      <c r="Z3009" s="228">
        <v>3.1315498435279365E-2</v>
      </c>
      <c r="AA3009" s="230">
        <v>3.1263671528725112E-2</v>
      </c>
    </row>
    <row r="3010" spans="19:27" x14ac:dyDescent="0.2">
      <c r="S3010" s="32"/>
      <c r="T3010" s="187"/>
      <c r="W3010" s="221" t="str">
        <f t="shared" si="55"/>
        <v>1w</v>
      </c>
      <c r="X3010" s="222">
        <f>_xll.qlCalendarAdvance(Calendar,X3009,W3010,"f",FALSE)</f>
        <v>59939</v>
      </c>
      <c r="Y3010" s="227">
        <f>_xll.qlCalendarAdvance(Calendar,X3010,NDays&amp;"D")</f>
        <v>59939</v>
      </c>
      <c r="Z3010" s="228">
        <v>3.1322660003886359E-2</v>
      </c>
      <c r="AA3010" s="230">
        <v>3.1270802744938209E-2</v>
      </c>
    </row>
    <row r="3011" spans="19:27" x14ac:dyDescent="0.2">
      <c r="S3011" s="32"/>
      <c r="T3011" s="187"/>
      <c r="W3011" s="221" t="str">
        <f t="shared" si="55"/>
        <v>1w</v>
      </c>
      <c r="X3011" s="222">
        <f>_xll.qlCalendarAdvance(Calendar,X3010,W3011,"f",FALSE)</f>
        <v>59946</v>
      </c>
      <c r="Y3011" s="227">
        <f>_xll.qlCalendarAdvance(Calendar,X3011,NDays&amp;"D")</f>
        <v>59946</v>
      </c>
      <c r="Z3011" s="228">
        <v>3.1329828186414825E-2</v>
      </c>
      <c r="AA3011" s="230">
        <v>3.127794055531985E-2</v>
      </c>
    </row>
    <row r="3012" spans="19:27" x14ac:dyDescent="0.2">
      <c r="S3012" s="32"/>
      <c r="T3012" s="187"/>
      <c r="W3012" s="221" t="str">
        <f t="shared" si="55"/>
        <v>1w</v>
      </c>
      <c r="X3012" s="222">
        <f>_xll.qlCalendarAdvance(Calendar,X3011,W3012,"f",FALSE)</f>
        <v>59953</v>
      </c>
      <c r="Y3012" s="227">
        <f>_xll.qlCalendarAdvance(Calendar,X3012,NDays&amp;"D")</f>
        <v>59953</v>
      </c>
      <c r="Z3012" s="228">
        <v>3.133700298287595E-2</v>
      </c>
      <c r="AA3012" s="230">
        <v>3.1285084959707943E-2</v>
      </c>
    </row>
    <row r="3013" spans="19:27" x14ac:dyDescent="0.2">
      <c r="S3013" s="32"/>
      <c r="T3013" s="187"/>
      <c r="W3013" s="221" t="str">
        <f t="shared" si="55"/>
        <v>1w</v>
      </c>
      <c r="X3013" s="222">
        <f>_xll.qlCalendarAdvance(Calendar,X3012,W3013,"f",FALSE)</f>
        <v>59960</v>
      </c>
      <c r="Y3013" s="227">
        <f>_xll.qlCalendarAdvance(Calendar,X3013,NDays&amp;"D")</f>
        <v>59960</v>
      </c>
      <c r="Z3013" s="228">
        <v>3.1344184393289301E-2</v>
      </c>
      <c r="AA3013" s="230">
        <v>3.129223595826458E-2</v>
      </c>
    </row>
    <row r="3014" spans="19:27" x14ac:dyDescent="0.2">
      <c r="S3014" s="32"/>
      <c r="T3014" s="187"/>
      <c r="W3014" s="221" t="str">
        <f t="shared" si="55"/>
        <v>1w</v>
      </c>
      <c r="X3014" s="222">
        <f>_xll.qlCalendarAdvance(Calendar,X3013,W3014,"f",FALSE)</f>
        <v>59967</v>
      </c>
      <c r="Y3014" s="227">
        <f>_xll.qlCalendarAdvance(Calendar,X3014,NDays&amp;"D")</f>
        <v>59967</v>
      </c>
      <c r="Z3014" s="228">
        <v>3.1358811403092476E-2</v>
      </c>
      <c r="AA3014" s="230">
        <v>3.1299393551313948E-2</v>
      </c>
    </row>
    <row r="3015" spans="19:27" x14ac:dyDescent="0.2">
      <c r="S3015" s="32"/>
      <c r="T3015" s="187"/>
      <c r="W3015" s="221" t="str">
        <f t="shared" si="55"/>
        <v>1w</v>
      </c>
      <c r="X3015" s="222">
        <f>_xll.qlCalendarAdvance(Calendar,X3014,W3015,"f",FALSE)</f>
        <v>59974</v>
      </c>
      <c r="Y3015" s="227">
        <f>_xll.qlCalendarAdvance(Calendar,X3015,NDays&amp;"D")</f>
        <v>59974</v>
      </c>
      <c r="Z3015" s="228">
        <v>3.1364149249593042E-2</v>
      </c>
      <c r="AA3015" s="230">
        <v>3.1306557738207674E-2</v>
      </c>
    </row>
    <row r="3016" spans="19:27" x14ac:dyDescent="0.2">
      <c r="S3016" s="32"/>
      <c r="T3016" s="187"/>
      <c r="W3016" s="221" t="str">
        <f t="shared" si="55"/>
        <v>1w</v>
      </c>
      <c r="X3016" s="222">
        <f>_xll.qlCalendarAdvance(Calendar,X3015,W3016,"f",FALSE)</f>
        <v>59981</v>
      </c>
      <c r="Y3016" s="227">
        <f>_xll.qlCalendarAdvance(Calendar,X3016,NDays&amp;"D")</f>
        <v>59981</v>
      </c>
      <c r="Z3016" s="228">
        <v>3.1371353773864026E-2</v>
      </c>
      <c r="AA3016" s="230">
        <v>3.1313728519269945E-2</v>
      </c>
    </row>
    <row r="3017" spans="19:27" x14ac:dyDescent="0.2">
      <c r="S3017" s="32"/>
      <c r="T3017" s="187"/>
      <c r="W3017" s="221" t="str">
        <f t="shared" si="55"/>
        <v>1w</v>
      </c>
      <c r="X3017" s="222">
        <f>_xll.qlCalendarAdvance(Calendar,X3016,W3017,"f",FALSE)</f>
        <v>59988</v>
      </c>
      <c r="Y3017" s="227">
        <f>_xll.qlCalendarAdvance(Calendar,X3017,NDays&amp;"D")</f>
        <v>59988</v>
      </c>
      <c r="Z3017" s="228">
        <v>3.1378564914254434E-2</v>
      </c>
      <c r="AA3017" s="230">
        <v>3.1320905894419715E-2</v>
      </c>
    </row>
    <row r="3018" spans="19:27" x14ac:dyDescent="0.2">
      <c r="S3018" s="32"/>
      <c r="T3018" s="187"/>
      <c r="W3018" s="221" t="str">
        <f t="shared" si="55"/>
        <v>1w</v>
      </c>
      <c r="X3018" s="222">
        <f>_xll.qlCalendarAdvance(Calendar,X3017,W3018,"f",FALSE)</f>
        <v>59995</v>
      </c>
      <c r="Y3018" s="227">
        <f>_xll.qlCalendarAdvance(Calendar,X3018,NDays&amp;"D")</f>
        <v>59995</v>
      </c>
      <c r="Z3018" s="228">
        <v>3.1387647097701948E-2</v>
      </c>
      <c r="AA3018" s="230">
        <v>3.1335522743074717E-2</v>
      </c>
    </row>
    <row r="3019" spans="19:27" x14ac:dyDescent="0.2">
      <c r="S3019" s="32"/>
      <c r="T3019" s="187"/>
      <c r="W3019" s="221" t="str">
        <f t="shared" si="55"/>
        <v>1w</v>
      </c>
      <c r="X3019" s="222">
        <f>_xll.qlCalendarAdvance(Calendar,X3018,W3019,"f",FALSE)</f>
        <v>60002</v>
      </c>
      <c r="Y3019" s="227">
        <f>_xll.qlCalendarAdvance(Calendar,X3019,NDays&amp;"D")</f>
        <v>60002</v>
      </c>
      <c r="Z3019" s="228">
        <v>3.1393007043477097E-2</v>
      </c>
      <c r="AA3019" s="230">
        <v>3.1335280427468026E-2</v>
      </c>
    </row>
    <row r="3020" spans="19:27" x14ac:dyDescent="0.2">
      <c r="S3020" s="32"/>
      <c r="T3020" s="187"/>
      <c r="W3020" s="221" t="str">
        <f t="shared" si="55"/>
        <v>1w</v>
      </c>
      <c r="X3020" s="222">
        <f>_xll.qlCalendarAdvance(Calendar,X3019,W3020,"f",FALSE)</f>
        <v>60009</v>
      </c>
      <c r="Y3020" s="227">
        <f>_xll.qlCalendarAdvance(Calendar,X3020,NDays&amp;"D")</f>
        <v>60009</v>
      </c>
      <c r="Z3020" s="228">
        <v>3.1400238032319484E-2</v>
      </c>
      <c r="AA3020" s="230">
        <v>3.1342477585042383E-2</v>
      </c>
    </row>
    <row r="3021" spans="19:27" x14ac:dyDescent="0.2">
      <c r="S3021" s="32"/>
      <c r="T3021" s="187"/>
      <c r="W3021" s="221" t="str">
        <f t="shared" si="55"/>
        <v>1w</v>
      </c>
      <c r="X3021" s="222">
        <f>_xll.qlCalendarAdvance(Calendar,X3020,W3021,"f",FALSE)</f>
        <v>60016</v>
      </c>
      <c r="Y3021" s="227">
        <f>_xll.qlCalendarAdvance(Calendar,X3021,NDays&amp;"D")</f>
        <v>60016</v>
      </c>
      <c r="Z3021" s="228">
        <v>3.1409343345661853E-2</v>
      </c>
      <c r="AA3021" s="230">
        <v>3.1349681336866331E-2</v>
      </c>
    </row>
    <row r="3022" spans="19:27" x14ac:dyDescent="0.2">
      <c r="S3022" s="32"/>
      <c r="T3022" s="187"/>
      <c r="W3022" s="221" t="str">
        <f t="shared" si="55"/>
        <v>1w</v>
      </c>
      <c r="X3022" s="222">
        <f>_xll.qlCalendarAdvance(Calendar,X3021,W3022,"f",FALSE)</f>
        <v>60023</v>
      </c>
      <c r="Y3022" s="227">
        <f>_xll.qlCalendarAdvance(Calendar,X3022,NDays&amp;"D")</f>
        <v>60023</v>
      </c>
      <c r="Z3022" s="228">
        <v>3.1414719858549947E-2</v>
      </c>
      <c r="AA3022" s="230">
        <v>3.1356891683020915E-2</v>
      </c>
    </row>
    <row r="3023" spans="19:27" x14ac:dyDescent="0.2">
      <c r="S3023" s="32"/>
      <c r="T3023" s="187"/>
      <c r="W3023" s="221" t="str">
        <f t="shared" si="55"/>
        <v>1w</v>
      </c>
      <c r="X3023" s="222">
        <f>_xll.qlCalendarAdvance(Calendar,X3022,W3023,"f",FALSE)</f>
        <v>60030</v>
      </c>
      <c r="Y3023" s="227">
        <f>_xll.qlCalendarAdvance(Calendar,X3023,NDays&amp;"D")</f>
        <v>60030</v>
      </c>
      <c r="Z3023" s="228">
        <v>3.1421970695958285E-2</v>
      </c>
      <c r="AA3023" s="230">
        <v>3.1364108623344045E-2</v>
      </c>
    </row>
    <row r="3024" spans="19:27" x14ac:dyDescent="0.2">
      <c r="S3024" s="32"/>
      <c r="T3024" s="187"/>
      <c r="W3024" s="221" t="str">
        <f t="shared" si="55"/>
        <v>1w</v>
      </c>
      <c r="X3024" s="222">
        <f>_xll.qlCalendarAdvance(Calendar,X3023,W3024,"f",FALSE)</f>
        <v>60037</v>
      </c>
      <c r="Y3024" s="227">
        <f>_xll.qlCalendarAdvance(Calendar,X3024,NDays&amp;"D")</f>
        <v>60037</v>
      </c>
      <c r="Z3024" s="228">
        <v>3.1429228149579755E-2</v>
      </c>
      <c r="AA3024" s="230">
        <v>3.1371332157511533E-2</v>
      </c>
    </row>
    <row r="3025" spans="19:27" x14ac:dyDescent="0.2">
      <c r="S3025" s="32"/>
      <c r="T3025" s="187"/>
      <c r="W3025" s="221" t="str">
        <f t="shared" si="55"/>
        <v>1w</v>
      </c>
      <c r="X3025" s="222">
        <f>_xll.qlCalendarAdvance(Calendar,X3024,W3025,"f",FALSE)</f>
        <v>60044</v>
      </c>
      <c r="Y3025" s="227">
        <f>_xll.qlCalendarAdvance(Calendar,X3025,NDays&amp;"D")</f>
        <v>60044</v>
      </c>
      <c r="Z3025" s="228">
        <v>3.1436492219424489E-2</v>
      </c>
      <c r="AA3025" s="230">
        <v>3.1378562286171752E-2</v>
      </c>
    </row>
    <row r="3026" spans="19:27" x14ac:dyDescent="0.2">
      <c r="S3026" s="32"/>
      <c r="T3026" s="187"/>
      <c r="W3026" s="221" t="str">
        <f t="shared" si="55"/>
        <v>1w</v>
      </c>
      <c r="X3026" s="222">
        <f>_xll.qlCalendarAdvance(Calendar,X3025,W3026,"f",FALSE)</f>
        <v>60051</v>
      </c>
      <c r="Y3026" s="227">
        <f>_xll.qlCalendarAdvance(Calendar,X3026,NDays&amp;"D")</f>
        <v>60051</v>
      </c>
      <c r="Z3026" s="228">
        <v>3.1443762846457869E-2</v>
      </c>
      <c r="AA3026" s="230">
        <v>3.1385799008838422E-2</v>
      </c>
    </row>
    <row r="3027" spans="19:27" x14ac:dyDescent="0.2">
      <c r="S3027" s="32"/>
      <c r="T3027" s="187"/>
      <c r="W3027" s="221" t="str">
        <f t="shared" si="55"/>
        <v>1w</v>
      </c>
      <c r="X3027" s="222">
        <f>_xll.qlCalendarAdvance(Calendar,X3026,W3027,"f",FALSE)</f>
        <v>60058</v>
      </c>
      <c r="Y3027" s="227">
        <f>_xll.qlCalendarAdvance(Calendar,X3027,NDays&amp;"D")</f>
        <v>60058</v>
      </c>
      <c r="Z3027" s="228">
        <v>3.1451038020595366E-2</v>
      </c>
      <c r="AA3027" s="230">
        <v>3.1393042325592591E-2</v>
      </c>
    </row>
    <row r="3028" spans="19:27" x14ac:dyDescent="0.2">
      <c r="S3028" s="32"/>
      <c r="T3028" s="187"/>
      <c r="W3028" s="221" t="str">
        <f t="shared" si="55"/>
        <v>1w</v>
      </c>
      <c r="X3028" s="222">
        <f>_xll.qlCalendarAdvance(Calendar,X3027,W3028,"f",FALSE)</f>
        <v>60065</v>
      </c>
      <c r="Y3028" s="227">
        <f>_xll.qlCalendarAdvance(Calendar,X3028,NDays&amp;"D")</f>
        <v>60065</v>
      </c>
      <c r="Z3028" s="228">
        <v>3.1458313380470677E-2</v>
      </c>
      <c r="AA3028" s="230">
        <v>3.1400292236515304E-2</v>
      </c>
    </row>
    <row r="3029" spans="19:27" x14ac:dyDescent="0.2">
      <c r="S3029" s="32"/>
      <c r="T3029" s="187"/>
      <c r="W3029" s="221" t="str">
        <f t="shared" ref="W3029:W3092" si="56">W3028</f>
        <v>1w</v>
      </c>
      <c r="X3029" s="222">
        <f>_xll.qlCalendarAdvance(Calendar,X3028,W3029,"f",FALSE)</f>
        <v>60072</v>
      </c>
      <c r="Y3029" s="227">
        <f>_xll.qlCalendarAdvance(Calendar,X3029,NDays&amp;"D")</f>
        <v>60072</v>
      </c>
      <c r="Z3029" s="228">
        <v>3.1465584424722713E-2</v>
      </c>
      <c r="AA3029" s="230">
        <v>3.1407548741768654E-2</v>
      </c>
    </row>
    <row r="3030" spans="19:27" x14ac:dyDescent="0.2">
      <c r="S3030" s="32"/>
      <c r="T3030" s="187"/>
      <c r="W3030" s="221" t="str">
        <f t="shared" si="56"/>
        <v>1w</v>
      </c>
      <c r="X3030" s="222">
        <f>_xll.qlCalendarAdvance(Calendar,X3029,W3030,"f",FALSE)</f>
        <v>60079</v>
      </c>
      <c r="Y3030" s="227">
        <f>_xll.qlCalendarAdvance(Calendar,X3030,NDays&amp;"D")</f>
        <v>60079</v>
      </c>
      <c r="Z3030" s="228">
        <v>3.1472846651957459E-2</v>
      </c>
      <c r="AA3030" s="230">
        <v>3.1414811841028456E-2</v>
      </c>
    </row>
    <row r="3031" spans="19:27" x14ac:dyDescent="0.2">
      <c r="S3031" s="32"/>
      <c r="T3031" s="187"/>
      <c r="W3031" s="221" t="str">
        <f t="shared" si="56"/>
        <v>1w</v>
      </c>
      <c r="X3031" s="222">
        <f>_xll.qlCalendarAdvance(Calendar,X3030,W3031,"f",FALSE)</f>
        <v>60086</v>
      </c>
      <c r="Y3031" s="227">
        <f>_xll.qlCalendarAdvance(Calendar,X3031,NDays&amp;"D")</f>
        <v>60086</v>
      </c>
      <c r="Z3031" s="228">
        <v>3.1480096033237662E-2</v>
      </c>
      <c r="AA3031" s="230">
        <v>3.1422072669128331E-2</v>
      </c>
    </row>
    <row r="3032" spans="19:27" x14ac:dyDescent="0.2">
      <c r="S3032" s="32"/>
      <c r="T3032" s="187"/>
      <c r="W3032" s="221" t="str">
        <f t="shared" si="56"/>
        <v>1w</v>
      </c>
      <c r="X3032" s="222">
        <f>_xll.qlCalendarAdvance(Calendar,X3031,W3032,"f",FALSE)</f>
        <v>60093</v>
      </c>
      <c r="Y3032" s="227">
        <f>_xll.qlCalendarAdvance(Calendar,X3032,NDays&amp;"D")</f>
        <v>60093</v>
      </c>
      <c r="Z3032" s="228">
        <v>3.1487331455228029E-2</v>
      </c>
      <c r="AA3032" s="230">
        <v>3.1429319638395237E-2</v>
      </c>
    </row>
    <row r="3033" spans="19:27" x14ac:dyDescent="0.2">
      <c r="S3033" s="32"/>
      <c r="T3033" s="187"/>
      <c r="W3033" s="221" t="str">
        <f t="shared" si="56"/>
        <v>1w</v>
      </c>
      <c r="X3033" s="222">
        <f>_xll.qlCalendarAdvance(Calendar,X3032,W3033,"f",FALSE)</f>
        <v>60100</v>
      </c>
      <c r="Y3033" s="227">
        <f>_xll.qlCalendarAdvance(Calendar,X3033,NDays&amp;"D")</f>
        <v>60100</v>
      </c>
      <c r="Z3033" s="228">
        <v>3.1494552915712452E-2</v>
      </c>
      <c r="AA3033" s="230">
        <v>3.1436552679048324E-2</v>
      </c>
    </row>
    <row r="3034" spans="19:27" x14ac:dyDescent="0.2">
      <c r="S3034" s="32"/>
      <c r="T3034" s="187"/>
      <c r="W3034" s="221" t="str">
        <f t="shared" si="56"/>
        <v>1w</v>
      </c>
      <c r="X3034" s="222">
        <f>_xll.qlCalendarAdvance(Calendar,X3033,W3034,"f",FALSE)</f>
        <v>60107</v>
      </c>
      <c r="Y3034" s="227">
        <f>_xll.qlCalendarAdvance(Calendar,X3034,NDays&amp;"D")</f>
        <v>60107</v>
      </c>
      <c r="Z3034" s="228">
        <v>3.1503632161900531E-2</v>
      </c>
      <c r="AA3034" s="230">
        <v>3.1443771790925501E-2</v>
      </c>
    </row>
    <row r="3035" spans="19:27" x14ac:dyDescent="0.2">
      <c r="S3035" s="32"/>
      <c r="T3035" s="187"/>
      <c r="W3035" s="221" t="str">
        <f t="shared" si="56"/>
        <v>1w</v>
      </c>
      <c r="X3035" s="222">
        <f>_xll.qlCalendarAdvance(Calendar,X3034,W3035,"f",FALSE)</f>
        <v>60114</v>
      </c>
      <c r="Y3035" s="227">
        <f>_xll.qlCalendarAdvance(Calendar,X3035,NDays&amp;"D")</f>
        <v>60114</v>
      </c>
      <c r="Z3035" s="228">
        <v>3.1503340271090002E-2</v>
      </c>
      <c r="AA3035" s="230">
        <v>3.145097697418886E-2</v>
      </c>
    </row>
    <row r="3036" spans="19:27" x14ac:dyDescent="0.2">
      <c r="S3036" s="32"/>
      <c r="T3036" s="187"/>
      <c r="W3036" s="221" t="str">
        <f t="shared" si="56"/>
        <v>1w</v>
      </c>
      <c r="X3036" s="222">
        <f>_xll.qlCalendarAdvance(Calendar,X3035,W3036,"f",FALSE)</f>
        <v>60121</v>
      </c>
      <c r="Y3036" s="227">
        <f>_xll.qlCalendarAdvance(Calendar,X3036,NDays&amp;"D")</f>
        <v>60121</v>
      </c>
      <c r="Z3036" s="228">
        <v>3.1516133527864122E-2</v>
      </c>
      <c r="AA3036" s="230">
        <v>3.1458168228757355E-2</v>
      </c>
    </row>
    <row r="3037" spans="19:27" x14ac:dyDescent="0.2">
      <c r="S3037" s="32"/>
      <c r="T3037" s="187"/>
      <c r="W3037" s="221" t="str">
        <f t="shared" si="56"/>
        <v>1w</v>
      </c>
      <c r="X3037" s="222">
        <f>_xll.qlCalendarAdvance(Calendar,X3036,W3037,"f",FALSE)</f>
        <v>60128</v>
      </c>
      <c r="Y3037" s="227">
        <f>_xll.qlCalendarAdvance(Calendar,X3037,NDays&amp;"D")</f>
        <v>60128</v>
      </c>
      <c r="Z3037" s="228">
        <v>3.1523299142056302E-2</v>
      </c>
      <c r="AA3037" s="230">
        <v>3.1465345554630986E-2</v>
      </c>
    </row>
    <row r="3038" spans="19:27" x14ac:dyDescent="0.2">
      <c r="S3038" s="32"/>
      <c r="T3038" s="187"/>
      <c r="W3038" s="221" t="str">
        <f t="shared" si="56"/>
        <v>1w</v>
      </c>
      <c r="X3038" s="222">
        <f>_xll.qlCalendarAdvance(Calendar,X3037,W3038,"f",FALSE)</f>
        <v>60135</v>
      </c>
      <c r="Y3038" s="227">
        <f>_xll.qlCalendarAdvance(Calendar,X3038,NDays&amp;"D")</f>
        <v>60135</v>
      </c>
      <c r="Z3038" s="228">
        <v>3.1530450794610837E-2</v>
      </c>
      <c r="AA3038" s="230">
        <v>3.147250895164766E-2</v>
      </c>
    </row>
    <row r="3039" spans="19:27" x14ac:dyDescent="0.2">
      <c r="S3039" s="32"/>
      <c r="T3039" s="187"/>
      <c r="W3039" s="221" t="str">
        <f t="shared" si="56"/>
        <v>1w</v>
      </c>
      <c r="X3039" s="222">
        <f>_xll.qlCalendarAdvance(Calendar,X3038,W3039,"f",FALSE)</f>
        <v>60142</v>
      </c>
      <c r="Y3039" s="227">
        <f>_xll.qlCalendarAdvance(Calendar,X3039,NDays&amp;"D")</f>
        <v>60142</v>
      </c>
      <c r="Z3039" s="228">
        <v>3.1537588485502401E-2</v>
      </c>
      <c r="AA3039" s="230">
        <v>3.1479658420212608E-2</v>
      </c>
    </row>
    <row r="3040" spans="19:27" x14ac:dyDescent="0.2">
      <c r="S3040" s="32"/>
      <c r="T3040" s="187"/>
      <c r="W3040" s="221" t="str">
        <f t="shared" si="56"/>
        <v>1w</v>
      </c>
      <c r="X3040" s="222">
        <f>_xll.qlCalendarAdvance(Calendar,X3039,W3040,"f",FALSE)</f>
        <v>60149</v>
      </c>
      <c r="Y3040" s="227">
        <f>_xll.qlCalendarAdvance(Calendar,X3040,NDays&amp;"D")</f>
        <v>60149</v>
      </c>
      <c r="Z3040" s="228">
        <v>3.1544712214703133E-2</v>
      </c>
      <c r="AA3040" s="230">
        <v>3.1486793960001647E-2</v>
      </c>
    </row>
    <row r="3041" spans="19:27" x14ac:dyDescent="0.2">
      <c r="S3041" s="32"/>
      <c r="T3041" s="187"/>
      <c r="W3041" s="221" t="str">
        <f t="shared" si="56"/>
        <v>1w</v>
      </c>
      <c r="X3041" s="222">
        <f>_xll.qlCalendarAdvance(Calendar,X3040,W3041,"f",FALSE)</f>
        <v>60156</v>
      </c>
      <c r="Y3041" s="227">
        <f>_xll.qlCalendarAdvance(Calendar,X3041,NDays&amp;"D")</f>
        <v>60156</v>
      </c>
      <c r="Z3041" s="228">
        <v>3.155182198219024E-2</v>
      </c>
      <c r="AA3041" s="230">
        <v>3.1493915571095821E-2</v>
      </c>
    </row>
    <row r="3042" spans="19:27" x14ac:dyDescent="0.2">
      <c r="S3042" s="32"/>
      <c r="T3042" s="187"/>
      <c r="W3042" s="221" t="str">
        <f t="shared" si="56"/>
        <v>1w</v>
      </c>
      <c r="X3042" s="222">
        <f>_xll.qlCalendarAdvance(Calendar,X3041,W3042,"f",FALSE)</f>
        <v>60163</v>
      </c>
      <c r="Y3042" s="227">
        <f>_xll.qlCalendarAdvance(Calendar,X3042,NDays&amp;"D")</f>
        <v>60163</v>
      </c>
      <c r="Z3042" s="228">
        <v>3.1558917787930796E-2</v>
      </c>
      <c r="AA3042" s="230">
        <v>3.1501023253495131E-2</v>
      </c>
    </row>
    <row r="3043" spans="19:27" x14ac:dyDescent="0.2">
      <c r="S3043" s="32"/>
      <c r="T3043" s="187"/>
      <c r="W3043" s="221" t="str">
        <f t="shared" si="56"/>
        <v>1w</v>
      </c>
      <c r="X3043" s="222">
        <f>_xll.qlCalendarAdvance(Calendar,X3042,W3043,"f",FALSE)</f>
        <v>60170</v>
      </c>
      <c r="Y3043" s="227">
        <f>_xll.qlCalendarAdvance(Calendar,X3043,NDays&amp;"D")</f>
        <v>60170</v>
      </c>
      <c r="Z3043" s="228">
        <v>3.156599963190454E-2</v>
      </c>
      <c r="AA3043" s="230">
        <v>3.1508117007280623E-2</v>
      </c>
    </row>
    <row r="3044" spans="19:27" x14ac:dyDescent="0.2">
      <c r="S3044" s="32"/>
      <c r="T3044" s="187"/>
      <c r="W3044" s="221" t="str">
        <f t="shared" si="56"/>
        <v>1w</v>
      </c>
      <c r="X3044" s="222">
        <f>_xll.qlCalendarAdvance(Calendar,X3043,W3044,"f",FALSE)</f>
        <v>60177</v>
      </c>
      <c r="Y3044" s="227">
        <f>_xll.qlCalendarAdvance(Calendar,X3044,NDays&amp;"D")</f>
        <v>60177</v>
      </c>
      <c r="Z3044" s="228">
        <v>3.1573067514083612E-2</v>
      </c>
      <c r="AA3044" s="230">
        <v>3.1515196832290204E-2</v>
      </c>
    </row>
    <row r="3045" spans="19:27" x14ac:dyDescent="0.2">
      <c r="S3045" s="32"/>
      <c r="T3045" s="187"/>
      <c r="W3045" s="221" t="str">
        <f t="shared" si="56"/>
        <v>1w</v>
      </c>
      <c r="X3045" s="222">
        <f>_xll.qlCalendarAdvance(Calendar,X3044,W3045,"f",FALSE)</f>
        <v>60184</v>
      </c>
      <c r="Y3045" s="227">
        <f>_xll.qlCalendarAdvance(Calendar,X3045,NDays&amp;"D")</f>
        <v>60184</v>
      </c>
      <c r="Z3045" s="228">
        <v>3.1580121434442686E-2</v>
      </c>
      <c r="AA3045" s="230">
        <v>3.1522262728685968E-2</v>
      </c>
    </row>
    <row r="3046" spans="19:27" x14ac:dyDescent="0.2">
      <c r="S3046" s="32"/>
      <c r="T3046" s="187"/>
      <c r="W3046" s="221" t="str">
        <f t="shared" si="56"/>
        <v>1w</v>
      </c>
      <c r="X3046" s="222">
        <f>_xll.qlCalendarAdvance(Calendar,X3045,W3046,"f",FALSE)</f>
        <v>60191</v>
      </c>
      <c r="Y3046" s="227">
        <f>_xll.qlCalendarAdvance(Calendar,X3046,NDays&amp;"D")</f>
        <v>60191</v>
      </c>
      <c r="Z3046" s="228">
        <v>3.1587161392948836E-2</v>
      </c>
      <c r="AA3046" s="230">
        <v>3.1529314696143729E-2</v>
      </c>
    </row>
    <row r="3047" spans="19:27" x14ac:dyDescent="0.2">
      <c r="S3047" s="32"/>
      <c r="T3047" s="187"/>
      <c r="W3047" s="221" t="str">
        <f t="shared" si="56"/>
        <v>1w</v>
      </c>
      <c r="X3047" s="222">
        <f>_xll.qlCalendarAdvance(Calendar,X3046,W3047,"f",FALSE)</f>
        <v>60198</v>
      </c>
      <c r="Y3047" s="227">
        <f>_xll.qlCalendarAdvance(Calendar,X3047,NDays&amp;"D")</f>
        <v>60198</v>
      </c>
      <c r="Z3047" s="228">
        <v>3.1594187389591931E-2</v>
      </c>
      <c r="AA3047" s="230">
        <v>3.153635273523081E-2</v>
      </c>
    </row>
    <row r="3048" spans="19:27" x14ac:dyDescent="0.2">
      <c r="S3048" s="32"/>
      <c r="T3048" s="187"/>
      <c r="W3048" s="221" t="str">
        <f t="shared" si="56"/>
        <v>1w</v>
      </c>
      <c r="X3048" s="222">
        <f>_xll.qlCalendarAdvance(Calendar,X3047,W3048,"f",FALSE)</f>
        <v>60205</v>
      </c>
      <c r="Y3048" s="227">
        <f>_xll.qlCalendarAdvance(Calendar,X3048,NDays&amp;"D")</f>
        <v>60205</v>
      </c>
      <c r="Z3048" s="228">
        <v>3.159560073955079E-2</v>
      </c>
      <c r="AA3048" s="230">
        <v>3.1543376845460935E-2</v>
      </c>
    </row>
    <row r="3049" spans="19:27" x14ac:dyDescent="0.2">
      <c r="S3049" s="32"/>
      <c r="T3049" s="187"/>
      <c r="W3049" s="221" t="str">
        <f t="shared" si="56"/>
        <v>1w</v>
      </c>
      <c r="X3049" s="222">
        <f>_xll.qlCalendarAdvance(Calendar,X3048,W3049,"f",FALSE)</f>
        <v>60212</v>
      </c>
      <c r="Y3049" s="227">
        <f>_xll.qlCalendarAdvance(Calendar,X3049,NDays&amp;"D")</f>
        <v>60212</v>
      </c>
      <c r="Z3049" s="228">
        <v>3.1608197497149659E-2</v>
      </c>
      <c r="AA3049" s="230">
        <v>3.1550387026996196E-2</v>
      </c>
    </row>
    <row r="3050" spans="19:27" x14ac:dyDescent="0.2">
      <c r="S3050" s="32"/>
      <c r="T3050" s="187"/>
      <c r="W3050" s="221" t="str">
        <f t="shared" si="56"/>
        <v>1w</v>
      </c>
      <c r="X3050" s="222">
        <f>_xll.qlCalendarAdvance(Calendar,X3049,W3050,"f",FALSE)</f>
        <v>60219</v>
      </c>
      <c r="Y3050" s="227">
        <f>_xll.qlCalendarAdvance(Calendar,X3050,NDays&amp;"D")</f>
        <v>60219</v>
      </c>
      <c r="Z3050" s="228">
        <v>3.1615181608018704E-2</v>
      </c>
      <c r="AA3050" s="230">
        <v>3.1557383279836593E-2</v>
      </c>
    </row>
    <row r="3051" spans="19:27" x14ac:dyDescent="0.2">
      <c r="S3051" s="32"/>
      <c r="T3051" s="187"/>
      <c r="W3051" s="221" t="str">
        <f t="shared" si="56"/>
        <v>1w</v>
      </c>
      <c r="X3051" s="222">
        <f>_xll.qlCalendarAdvance(Calendar,X3050,W3051,"f",FALSE)</f>
        <v>60226</v>
      </c>
      <c r="Y3051" s="227">
        <f>_xll.qlCalendarAdvance(Calendar,X3051,NDays&amp;"D")</f>
        <v>60226</v>
      </c>
      <c r="Z3051" s="228">
        <v>3.1622151756913255E-2</v>
      </c>
      <c r="AA3051" s="230">
        <v>3.1564365604063171E-2</v>
      </c>
    </row>
    <row r="3052" spans="19:27" x14ac:dyDescent="0.2">
      <c r="S3052" s="32"/>
      <c r="T3052" s="187"/>
      <c r="W3052" s="221" t="str">
        <f t="shared" si="56"/>
        <v>1w</v>
      </c>
      <c r="X3052" s="222">
        <f>_xll.qlCalendarAdvance(Calendar,X3051,W3052,"f",FALSE)</f>
        <v>60233</v>
      </c>
      <c r="Y3052" s="227">
        <f>_xll.qlCalendarAdvance(Calendar,X3052,NDays&amp;"D")</f>
        <v>60233</v>
      </c>
      <c r="Z3052" s="228">
        <v>3.1629107943805454E-2</v>
      </c>
      <c r="AA3052" s="230">
        <v>3.157133399951384E-2</v>
      </c>
    </row>
    <row r="3053" spans="19:27" x14ac:dyDescent="0.2">
      <c r="S3053" s="32"/>
      <c r="T3053" s="187"/>
      <c r="W3053" s="221" t="str">
        <f t="shared" si="56"/>
        <v>1w</v>
      </c>
      <c r="X3053" s="222">
        <f>_xll.qlCalendarAdvance(Calendar,X3052,W3053,"f",FALSE)</f>
        <v>60240</v>
      </c>
      <c r="Y3053" s="227">
        <f>_xll.qlCalendarAdvance(Calendar,X3053,NDays&amp;"D")</f>
        <v>60240</v>
      </c>
      <c r="Z3053" s="228">
        <v>3.1636050168675038E-2</v>
      </c>
      <c r="AA3053" s="230">
        <v>3.1578288466188598E-2</v>
      </c>
    </row>
    <row r="3054" spans="19:27" x14ac:dyDescent="0.2">
      <c r="S3054" s="32"/>
      <c r="T3054" s="187"/>
      <c r="W3054" s="221" t="str">
        <f t="shared" si="56"/>
        <v>1w</v>
      </c>
      <c r="X3054" s="222">
        <f>_xll.qlCalendarAdvance(Calendar,X3053,W3054,"f",FALSE)</f>
        <v>60247</v>
      </c>
      <c r="Y3054" s="227">
        <f>_xll.qlCalendarAdvance(Calendar,X3054,NDays&amp;"D")</f>
        <v>60247</v>
      </c>
      <c r="Z3054" s="228">
        <v>3.1642978431494148E-2</v>
      </c>
      <c r="AA3054" s="230">
        <v>3.158522900441163E-2</v>
      </c>
    </row>
    <row r="3055" spans="19:27" x14ac:dyDescent="0.2">
      <c r="S3055" s="32"/>
      <c r="T3055" s="187"/>
      <c r="W3055" s="221" t="str">
        <f t="shared" si="56"/>
        <v>1w</v>
      </c>
      <c r="X3055" s="222">
        <f>_xll.qlCalendarAdvance(Calendar,X3054,W3055,"f",FALSE)</f>
        <v>60254</v>
      </c>
      <c r="Y3055" s="227">
        <f>_xll.qlCalendarAdvance(Calendar,X3055,NDays&amp;"D")</f>
        <v>60254</v>
      </c>
      <c r="Z3055" s="228">
        <v>3.1649892732234924E-2</v>
      </c>
      <c r="AA3055" s="230">
        <v>3.159215561369666E-2</v>
      </c>
    </row>
    <row r="3056" spans="19:27" x14ac:dyDescent="0.2">
      <c r="S3056" s="32"/>
      <c r="T3056" s="187"/>
      <c r="W3056" s="221" t="str">
        <f t="shared" si="56"/>
        <v>1w</v>
      </c>
      <c r="X3056" s="222">
        <f>_xll.qlCalendarAdvance(Calendar,X3055,W3056,"f",FALSE)</f>
        <v>60265</v>
      </c>
      <c r="Y3056" s="227">
        <f>_xll.qlCalendarAdvance(Calendar,X3056,NDays&amp;"D")</f>
        <v>60265</v>
      </c>
      <c r="Z3056" s="228">
        <v>3.1658866950316229E-2</v>
      </c>
      <c r="AA3056" s="230">
        <v>3.1603012143927023E-2</v>
      </c>
    </row>
    <row r="3057" spans="19:27" x14ac:dyDescent="0.2">
      <c r="S3057" s="32"/>
      <c r="T3057" s="187"/>
      <c r="W3057" s="221" t="str">
        <f t="shared" si="56"/>
        <v>1w</v>
      </c>
      <c r="X3057" s="222">
        <f>_xll.qlCalendarAdvance(Calendar,X3056,W3057,"f",FALSE)</f>
        <v>60272</v>
      </c>
      <c r="Y3057" s="227">
        <f>_xll.qlCalendarAdvance(Calendar,X3057,NDays&amp;"D")</f>
        <v>60272</v>
      </c>
      <c r="Z3057" s="228">
        <v>3.1665745749819826E-2</v>
      </c>
      <c r="AA3057" s="230">
        <v>3.1609902936591272E-2</v>
      </c>
    </row>
    <row r="3058" spans="19:27" x14ac:dyDescent="0.2">
      <c r="S3058" s="32"/>
      <c r="T3058" s="187"/>
      <c r="W3058" s="221" t="str">
        <f t="shared" si="56"/>
        <v>1w</v>
      </c>
      <c r="X3058" s="222">
        <f>_xll.qlCalendarAdvance(Calendar,X3057,W3058,"f",FALSE)</f>
        <v>60279</v>
      </c>
      <c r="Y3058" s="227">
        <f>_xll.qlCalendarAdvance(Calendar,X3058,NDays&amp;"D")</f>
        <v>60279</v>
      </c>
      <c r="Z3058" s="228">
        <v>3.1672610588238795E-2</v>
      </c>
      <c r="AA3058" s="230">
        <v>3.1616779800560657E-2</v>
      </c>
    </row>
    <row r="3059" spans="19:27" x14ac:dyDescent="0.2">
      <c r="S3059" s="32"/>
      <c r="T3059" s="187"/>
      <c r="W3059" s="221" t="str">
        <f t="shared" si="56"/>
        <v>1w</v>
      </c>
      <c r="X3059" s="222">
        <f>_xll.qlCalendarAdvance(Calendar,X3058,W3059,"f",FALSE)</f>
        <v>60286</v>
      </c>
      <c r="Y3059" s="227">
        <f>_xll.qlCalendarAdvance(Calendar,X3059,NDays&amp;"D")</f>
        <v>60286</v>
      </c>
      <c r="Z3059" s="228">
        <v>3.1679461465552235E-2</v>
      </c>
      <c r="AA3059" s="230">
        <v>3.1623642735835178E-2</v>
      </c>
    </row>
    <row r="3060" spans="19:27" x14ac:dyDescent="0.2">
      <c r="S3060" s="32"/>
      <c r="T3060" s="187"/>
      <c r="W3060" s="221" t="str">
        <f t="shared" si="56"/>
        <v>1w</v>
      </c>
      <c r="X3060" s="222">
        <f>_xll.qlCalendarAdvance(Calendar,X3059,W3060,"f",FALSE)</f>
        <v>60293</v>
      </c>
      <c r="Y3060" s="227">
        <f>_xll.qlCalendarAdvance(Calendar,X3060,NDays&amp;"D")</f>
        <v>60293</v>
      </c>
      <c r="Z3060" s="228">
        <v>3.1686298381734E-2</v>
      </c>
      <c r="AA3060" s="230">
        <v>3.1630491742576927E-2</v>
      </c>
    </row>
    <row r="3061" spans="19:27" x14ac:dyDescent="0.2">
      <c r="S3061" s="32"/>
      <c r="T3061" s="187"/>
      <c r="W3061" s="221" t="str">
        <f t="shared" si="56"/>
        <v>1w</v>
      </c>
      <c r="X3061" s="222">
        <f>_xll.qlCalendarAdvance(Calendar,X3060,W3061,"f",FALSE)</f>
        <v>60300</v>
      </c>
      <c r="Y3061" s="227">
        <f>_xll.qlCalendarAdvance(Calendar,X3061,NDays&amp;"D")</f>
        <v>60300</v>
      </c>
      <c r="Z3061" s="228">
        <v>3.1687539095136392E-2</v>
      </c>
      <c r="AA3061" s="230">
        <v>3.163732682046172E-2</v>
      </c>
    </row>
    <row r="3062" spans="19:27" x14ac:dyDescent="0.2">
      <c r="S3062" s="32"/>
      <c r="T3062" s="187"/>
      <c r="W3062" s="221" t="str">
        <f t="shared" si="56"/>
        <v>1w</v>
      </c>
      <c r="X3062" s="222">
        <f>_xll.qlCalendarAdvance(Calendar,X3061,W3062,"f",FALSE)</f>
        <v>60307</v>
      </c>
      <c r="Y3062" s="227">
        <f>_xll.qlCalendarAdvance(Calendar,X3062,NDays&amp;"D")</f>
        <v>60307</v>
      </c>
      <c r="Z3062" s="228">
        <v>3.1694349308702442E-2</v>
      </c>
      <c r="AA3062" s="230">
        <v>3.1644147969570602E-2</v>
      </c>
    </row>
    <row r="3063" spans="19:27" x14ac:dyDescent="0.2">
      <c r="S3063" s="32"/>
      <c r="T3063" s="187"/>
      <c r="W3063" s="221" t="str">
        <f t="shared" si="56"/>
        <v>1w</v>
      </c>
      <c r="X3063" s="222">
        <f>_xll.qlCalendarAdvance(Calendar,X3062,W3063,"f",FALSE)</f>
        <v>60314</v>
      </c>
      <c r="Y3063" s="227">
        <f>_xll.qlCalendarAdvance(Calendar,X3063,NDays&amp;"D")</f>
        <v>60314</v>
      </c>
      <c r="Z3063" s="228">
        <v>3.1701145564318821E-2</v>
      </c>
      <c r="AA3063" s="230">
        <v>3.165095518998462E-2</v>
      </c>
    </row>
    <row r="3064" spans="19:27" x14ac:dyDescent="0.2">
      <c r="S3064" s="32"/>
      <c r="T3064" s="187"/>
      <c r="W3064" s="221" t="str">
        <f t="shared" si="56"/>
        <v>1w</v>
      </c>
      <c r="X3064" s="222">
        <f>_xll.qlCalendarAdvance(Calendar,X3063,W3064,"f",FALSE)</f>
        <v>60321</v>
      </c>
      <c r="Y3064" s="227">
        <f>_xll.qlCalendarAdvance(Calendar,X3064,NDays&amp;"D")</f>
        <v>60321</v>
      </c>
      <c r="Z3064" s="228">
        <v>3.1707927861968153E-2</v>
      </c>
      <c r="AA3064" s="230">
        <v>3.1657748481865866E-2</v>
      </c>
    </row>
    <row r="3065" spans="19:27" x14ac:dyDescent="0.2">
      <c r="S3065" s="32"/>
      <c r="T3065" s="187"/>
      <c r="W3065" s="221" t="str">
        <f t="shared" si="56"/>
        <v>1w</v>
      </c>
      <c r="X3065" s="222">
        <f>_xll.qlCalendarAdvance(Calendar,X3064,W3065,"f",FALSE)</f>
        <v>60328</v>
      </c>
      <c r="Y3065" s="227">
        <f>_xll.qlCalendarAdvance(Calendar,X3065,NDays&amp;"D")</f>
        <v>60328</v>
      </c>
      <c r="Z3065" s="228">
        <v>3.1720273544781373E-2</v>
      </c>
      <c r="AA3065" s="230">
        <v>3.1664527844890156E-2</v>
      </c>
    </row>
    <row r="3066" spans="19:27" x14ac:dyDescent="0.2">
      <c r="S3066" s="32"/>
      <c r="T3066" s="187"/>
      <c r="W3066" s="221" t="str">
        <f t="shared" si="56"/>
        <v>1w</v>
      </c>
      <c r="X3066" s="222">
        <f>_xll.qlCalendarAdvance(Calendar,X3065,W3066,"f",FALSE)</f>
        <v>60335</v>
      </c>
      <c r="Y3066" s="227">
        <f>_xll.qlCalendarAdvance(Calendar,X3066,NDays&amp;"D")</f>
        <v>60335</v>
      </c>
      <c r="Z3066" s="228">
        <v>3.1727026693655416E-2</v>
      </c>
      <c r="AA3066" s="230">
        <v>3.1671293279219581E-2</v>
      </c>
    </row>
    <row r="3067" spans="19:27" x14ac:dyDescent="0.2">
      <c r="S3067" s="32"/>
      <c r="T3067" s="187"/>
      <c r="W3067" s="221" t="str">
        <f t="shared" si="56"/>
        <v>1w</v>
      </c>
      <c r="X3067" s="222">
        <f>_xll.qlCalendarAdvance(Calendar,X3066,W3067,"f",FALSE)</f>
        <v>60342</v>
      </c>
      <c r="Y3067" s="227">
        <f>_xll.qlCalendarAdvance(Calendar,X3067,NDays&amp;"D")</f>
        <v>60342</v>
      </c>
      <c r="Z3067" s="228">
        <v>3.1733765881227852E-2</v>
      </c>
      <c r="AA3067" s="230">
        <v>3.1678044784935189E-2</v>
      </c>
    </row>
    <row r="3068" spans="19:27" x14ac:dyDescent="0.2">
      <c r="S3068" s="32"/>
      <c r="T3068" s="187"/>
      <c r="W3068" s="221" t="str">
        <f t="shared" si="56"/>
        <v>1w</v>
      </c>
      <c r="X3068" s="222">
        <f>_xll.qlCalendarAdvance(Calendar,X3067,W3068,"f",FALSE)</f>
        <v>60349</v>
      </c>
      <c r="Y3068" s="227">
        <f>_xll.qlCalendarAdvance(Calendar,X3068,NDays&amp;"D")</f>
        <v>60349</v>
      </c>
      <c r="Z3068" s="228">
        <v>3.1740491107472533E-2</v>
      </c>
      <c r="AA3068" s="230">
        <v>3.1684782361874886E-2</v>
      </c>
    </row>
    <row r="3069" spans="19:27" x14ac:dyDescent="0.2">
      <c r="S3069" s="32"/>
      <c r="T3069" s="187"/>
      <c r="W3069" s="221" t="str">
        <f t="shared" si="56"/>
        <v>1w</v>
      </c>
      <c r="X3069" s="222">
        <f>_xll.qlCalendarAdvance(Calendar,X3068,W3069,"f",FALSE)</f>
        <v>60357</v>
      </c>
      <c r="Y3069" s="227">
        <f>_xll.qlCalendarAdvance(Calendar,X3069,NDays&amp;"D")</f>
        <v>60357</v>
      </c>
      <c r="Z3069" s="228">
        <v>3.1746302511924937E-2</v>
      </c>
      <c r="AA3069" s="230">
        <v>3.169246539417192E-2</v>
      </c>
    </row>
    <row r="3070" spans="19:27" x14ac:dyDescent="0.2">
      <c r="S3070" s="32"/>
      <c r="T3070" s="187"/>
      <c r="W3070" s="221" t="str">
        <f t="shared" si="56"/>
        <v>1w</v>
      </c>
      <c r="X3070" s="222">
        <f>_xll.qlCalendarAdvance(Calendar,X3069,W3070,"f",FALSE)</f>
        <v>60364</v>
      </c>
      <c r="Y3070" s="227">
        <f>_xll.qlCalendarAdvance(Calendar,X3070,NDays&amp;"D")</f>
        <v>60364</v>
      </c>
      <c r="Z3070" s="228">
        <v>3.1752998236508498E-2</v>
      </c>
      <c r="AA3070" s="230">
        <v>3.1699173123792557E-2</v>
      </c>
    </row>
    <row r="3071" spans="19:27" x14ac:dyDescent="0.2">
      <c r="S3071" s="32"/>
      <c r="T3071" s="187"/>
      <c r="W3071" s="221" t="str">
        <f t="shared" si="56"/>
        <v>1w</v>
      </c>
      <c r="X3071" s="222">
        <f>_xll.qlCalendarAdvance(Calendar,X3070,W3071,"f",FALSE)</f>
        <v>60371</v>
      </c>
      <c r="Y3071" s="227">
        <f>_xll.qlCalendarAdvance(Calendar,X3071,NDays&amp;"D")</f>
        <v>60371</v>
      </c>
      <c r="Z3071" s="228">
        <v>3.175968000078374E-2</v>
      </c>
      <c r="AA3071" s="230">
        <v>3.1705866924718329E-2</v>
      </c>
    </row>
    <row r="3072" spans="19:27" x14ac:dyDescent="0.2">
      <c r="S3072" s="32"/>
      <c r="T3072" s="187"/>
      <c r="W3072" s="221" t="str">
        <f t="shared" si="56"/>
        <v>1w</v>
      </c>
      <c r="X3072" s="222">
        <f>_xll.qlCalendarAdvance(Calendar,X3071,W3072,"f",FALSE)</f>
        <v>60378</v>
      </c>
      <c r="Y3072" s="227">
        <f>_xll.qlCalendarAdvance(Calendar,X3072,NDays&amp;"D")</f>
        <v>60378</v>
      </c>
      <c r="Z3072" s="228">
        <v>3.1766347804729055E-2</v>
      </c>
      <c r="AA3072" s="230">
        <v>3.171254679711133E-2</v>
      </c>
    </row>
    <row r="3073" spans="19:27" x14ac:dyDescent="0.2">
      <c r="S3073" s="32"/>
      <c r="T3073" s="187"/>
      <c r="W3073" s="221" t="str">
        <f t="shared" si="56"/>
        <v>1w</v>
      </c>
      <c r="X3073" s="222">
        <f>_xll.qlCalendarAdvance(Calendar,X3072,W3073,"f",FALSE)</f>
        <v>60385</v>
      </c>
      <c r="Y3073" s="227">
        <f>_xll.qlCalendarAdvance(Calendar,X3073,NDays&amp;"D")</f>
        <v>60385</v>
      </c>
      <c r="Z3073" s="228">
        <v>3.1773001648325527E-2</v>
      </c>
      <c r="AA3073" s="230">
        <v>3.1719212740647373E-2</v>
      </c>
    </row>
    <row r="3074" spans="19:27" x14ac:dyDescent="0.2">
      <c r="S3074" s="32"/>
      <c r="T3074" s="187"/>
      <c r="W3074" s="221" t="str">
        <f t="shared" si="56"/>
        <v>1w</v>
      </c>
      <c r="X3074" s="222">
        <f>_xll.qlCalendarAdvance(Calendar,X3073,W3074,"f",FALSE)</f>
        <v>60392</v>
      </c>
      <c r="Y3074" s="227">
        <f>_xll.qlCalendarAdvance(Calendar,X3074,NDays&amp;"D")</f>
        <v>60392</v>
      </c>
      <c r="Z3074" s="228">
        <v>3.1781496915739102E-2</v>
      </c>
      <c r="AA3074" s="230">
        <v>3.1725864755407507E-2</v>
      </c>
    </row>
    <row r="3075" spans="19:27" x14ac:dyDescent="0.2">
      <c r="S3075" s="32"/>
      <c r="T3075" s="187"/>
      <c r="W3075" s="221" t="str">
        <f t="shared" si="56"/>
        <v>1w</v>
      </c>
      <c r="X3075" s="222">
        <f>_xll.qlCalendarAdvance(Calendar,X3074,W3075,"f",FALSE)</f>
        <v>60399</v>
      </c>
      <c r="Y3075" s="227">
        <f>_xll.qlCalendarAdvance(Calendar,X3075,NDays&amp;"D")</f>
        <v>60399</v>
      </c>
      <c r="Z3075" s="228">
        <v>3.17881224175392E-2</v>
      </c>
      <c r="AA3075" s="230">
        <v>3.1732502841472776E-2</v>
      </c>
    </row>
    <row r="3076" spans="19:27" x14ac:dyDescent="0.2">
      <c r="S3076" s="32"/>
      <c r="T3076" s="187"/>
      <c r="W3076" s="221" t="str">
        <f t="shared" si="56"/>
        <v>1w</v>
      </c>
      <c r="X3076" s="222">
        <f>_xll.qlCalendarAdvance(Calendar,X3075,W3076,"f",FALSE)</f>
        <v>60406</v>
      </c>
      <c r="Y3076" s="227">
        <f>_xll.qlCalendarAdvance(Calendar,X3076,NDays&amp;"D")</f>
        <v>60406</v>
      </c>
      <c r="Z3076" s="228">
        <v>3.1794733957815464E-2</v>
      </c>
      <c r="AA3076" s="230">
        <v>3.1739126998924228E-2</v>
      </c>
    </row>
    <row r="3077" spans="19:27" x14ac:dyDescent="0.2">
      <c r="S3077" s="32"/>
      <c r="T3077" s="187"/>
      <c r="W3077" s="221" t="str">
        <f t="shared" si="56"/>
        <v>1w</v>
      </c>
      <c r="X3077" s="222">
        <f>_xll.qlCalendarAdvance(Calendar,X3076,W3077,"f",FALSE)</f>
        <v>60413</v>
      </c>
      <c r="Y3077" s="227">
        <f>_xll.qlCalendarAdvance(Calendar,X3077,NDays&amp;"D")</f>
        <v>60413</v>
      </c>
      <c r="Z3077" s="228">
        <v>3.1801331536554817E-2</v>
      </c>
      <c r="AA3077" s="230">
        <v>3.1745737227599768E-2</v>
      </c>
    </row>
    <row r="3078" spans="19:27" x14ac:dyDescent="0.2">
      <c r="S3078" s="32"/>
      <c r="T3078" s="187"/>
      <c r="W3078" s="221" t="str">
        <f t="shared" si="56"/>
        <v>1w</v>
      </c>
      <c r="X3078" s="222">
        <f>_xll.qlCalendarAdvance(Calendar,X3077,W3078,"f",FALSE)</f>
        <v>60420</v>
      </c>
      <c r="Y3078" s="227">
        <f>_xll.qlCalendarAdvance(Calendar,X3078,NDays&amp;"D")</f>
        <v>60420</v>
      </c>
      <c r="Z3078" s="228">
        <v>3.1806061460162183E-2</v>
      </c>
      <c r="AA3078" s="230">
        <v>3.1752333527418353E-2</v>
      </c>
    </row>
    <row r="3079" spans="19:27" x14ac:dyDescent="0.2">
      <c r="S3079" s="32"/>
      <c r="T3079" s="187"/>
      <c r="W3079" s="221" t="str">
        <f t="shared" si="56"/>
        <v>1w</v>
      </c>
      <c r="X3079" s="222">
        <f>_xll.qlCalendarAdvance(Calendar,X3078,W3079,"f",FALSE)</f>
        <v>60427</v>
      </c>
      <c r="Y3079" s="227">
        <f>_xll.qlCalendarAdvance(Calendar,X3079,NDays&amp;"D")</f>
        <v>60427</v>
      </c>
      <c r="Z3079" s="228">
        <v>3.1812631541149626E-2</v>
      </c>
      <c r="AA3079" s="230">
        <v>3.1758915898785212E-2</v>
      </c>
    </row>
    <row r="3080" spans="19:27" x14ac:dyDescent="0.2">
      <c r="S3080" s="32"/>
      <c r="T3080" s="187"/>
      <c r="W3080" s="221" t="str">
        <f t="shared" si="56"/>
        <v>1w</v>
      </c>
      <c r="X3080" s="222">
        <f>_xll.qlCalendarAdvance(Calendar,X3079,W3080,"f",FALSE)</f>
        <v>60434</v>
      </c>
      <c r="Y3080" s="227">
        <f>_xll.qlCalendarAdvance(Calendar,X3080,NDays&amp;"D")</f>
        <v>60434</v>
      </c>
      <c r="Z3080" s="228">
        <v>3.1819187661626135E-2</v>
      </c>
      <c r="AA3080" s="230">
        <v>3.176548434137616E-2</v>
      </c>
    </row>
    <row r="3081" spans="19:27" x14ac:dyDescent="0.2">
      <c r="S3081" s="32"/>
      <c r="T3081" s="187"/>
      <c r="W3081" s="221" t="str">
        <f t="shared" si="56"/>
        <v>1w</v>
      </c>
      <c r="X3081" s="222">
        <f>_xll.qlCalendarAdvance(Calendar,X3080,W3081,"f",FALSE)</f>
        <v>60441</v>
      </c>
      <c r="Y3081" s="227">
        <f>_xll.qlCalendarAdvance(Calendar,X3081,NDays&amp;"D")</f>
        <v>60441</v>
      </c>
      <c r="Z3081" s="228">
        <v>3.1825729821570101E-2</v>
      </c>
      <c r="AA3081" s="230">
        <v>3.1772038855110152E-2</v>
      </c>
    </row>
    <row r="3082" spans="19:27" x14ac:dyDescent="0.2">
      <c r="S3082" s="32"/>
      <c r="T3082" s="187"/>
      <c r="W3082" s="221" t="str">
        <f t="shared" si="56"/>
        <v>1w</v>
      </c>
      <c r="X3082" s="222">
        <f>_xll.qlCalendarAdvance(Calendar,X3081,W3082,"f",FALSE)</f>
        <v>60448</v>
      </c>
      <c r="Y3082" s="227">
        <f>_xll.qlCalendarAdvance(Calendar,X3082,NDays&amp;"D")</f>
        <v>60448</v>
      </c>
      <c r="Z3082" s="228">
        <v>3.1834110006293367E-2</v>
      </c>
      <c r="AA3082" s="230">
        <v>3.1778579440068233E-2</v>
      </c>
    </row>
    <row r="3083" spans="19:27" x14ac:dyDescent="0.2">
      <c r="S3083" s="32"/>
      <c r="T3083" s="187"/>
      <c r="W3083" s="221" t="str">
        <f t="shared" si="56"/>
        <v>1w</v>
      </c>
      <c r="X3083" s="222">
        <f>_xll.qlCalendarAdvance(Calendar,X3082,W3083,"f",FALSE)</f>
        <v>60455</v>
      </c>
      <c r="Y3083" s="227">
        <f>_xll.qlCalendarAdvance(Calendar,X3083,NDays&amp;"D")</f>
        <v>60455</v>
      </c>
      <c r="Z3083" s="228">
        <v>3.1840623815291007E-2</v>
      </c>
      <c r="AA3083" s="230">
        <v>3.1785106096574589E-2</v>
      </c>
    </row>
    <row r="3084" spans="19:27" x14ac:dyDescent="0.2">
      <c r="S3084" s="32"/>
      <c r="T3084" s="187"/>
      <c r="W3084" s="221" t="str">
        <f t="shared" si="56"/>
        <v>1w</v>
      </c>
      <c r="X3084" s="222">
        <f>_xll.qlCalendarAdvance(Calendar,X3083,W3084,"f",FALSE)</f>
        <v>60462</v>
      </c>
      <c r="Y3084" s="227">
        <f>_xll.qlCalendarAdvance(Calendar,X3084,NDays&amp;"D")</f>
        <v>60462</v>
      </c>
      <c r="Z3084" s="228">
        <v>3.1847123662584409E-2</v>
      </c>
      <c r="AA3084" s="230">
        <v>3.1791618824223988E-2</v>
      </c>
    </row>
    <row r="3085" spans="19:27" x14ac:dyDescent="0.2">
      <c r="S3085" s="32"/>
      <c r="T3085" s="187"/>
      <c r="W3085" s="221" t="str">
        <f t="shared" si="56"/>
        <v>1w</v>
      </c>
      <c r="X3085" s="222">
        <f>_xll.qlCalendarAdvance(Calendar,X3084,W3085,"f",FALSE)</f>
        <v>60469</v>
      </c>
      <c r="Y3085" s="227">
        <f>_xll.qlCalendarAdvance(Calendar,X3085,NDays&amp;"D")</f>
        <v>60469</v>
      </c>
      <c r="Z3085" s="228">
        <v>3.1853609548142217E-2</v>
      </c>
      <c r="AA3085" s="230">
        <v>3.1798117622935385E-2</v>
      </c>
    </row>
    <row r="3086" spans="19:27" x14ac:dyDescent="0.2">
      <c r="S3086" s="32"/>
      <c r="T3086" s="187"/>
      <c r="W3086" s="221" t="str">
        <f t="shared" si="56"/>
        <v>1w</v>
      </c>
      <c r="X3086" s="222">
        <f>_xll.qlCalendarAdvance(Calendar,X3085,W3086,"f",FALSE)</f>
        <v>60476</v>
      </c>
      <c r="Y3086" s="227">
        <f>_xll.qlCalendarAdvance(Calendar,X3086,NDays&amp;"D")</f>
        <v>60476</v>
      </c>
      <c r="Z3086" s="228">
        <v>3.1860081471956569E-2</v>
      </c>
      <c r="AA3086" s="230">
        <v>3.1804602493114009E-2</v>
      </c>
    </row>
    <row r="3087" spans="19:27" x14ac:dyDescent="0.2">
      <c r="S3087" s="32"/>
      <c r="T3087" s="187"/>
      <c r="W3087" s="221" t="str">
        <f t="shared" si="56"/>
        <v>1w</v>
      </c>
      <c r="X3087" s="222">
        <f>_xll.qlCalendarAdvance(Calendar,X3086,W3087,"f",FALSE)</f>
        <v>60483</v>
      </c>
      <c r="Y3087" s="227">
        <f>_xll.qlCalendarAdvance(Calendar,X3087,NDays&amp;"D")</f>
        <v>60483</v>
      </c>
      <c r="Z3087" s="228">
        <v>3.1866539433996109E-2</v>
      </c>
      <c r="AA3087" s="230">
        <v>3.1811073434678816E-2</v>
      </c>
    </row>
    <row r="3088" spans="19:27" x14ac:dyDescent="0.2">
      <c r="S3088" s="32"/>
      <c r="T3088" s="187"/>
      <c r="W3088" s="221" t="str">
        <f t="shared" si="56"/>
        <v>1w</v>
      </c>
      <c r="X3088" s="222">
        <f>_xll.qlCalendarAdvance(Calendar,X3087,W3088,"f",FALSE)</f>
        <v>60490</v>
      </c>
      <c r="Y3088" s="227">
        <f>_xll.qlCalendarAdvance(Calendar,X3088,NDays&amp;"D")</f>
        <v>60490</v>
      </c>
      <c r="Z3088" s="228">
        <v>3.1872983434234683E-2</v>
      </c>
      <c r="AA3088" s="230">
        <v>3.1817530447386666E-2</v>
      </c>
    </row>
    <row r="3089" spans="19:27" x14ac:dyDescent="0.2">
      <c r="S3089" s="32"/>
      <c r="T3089" s="187"/>
      <c r="W3089" s="221" t="str">
        <f t="shared" si="56"/>
        <v>1w</v>
      </c>
      <c r="X3089" s="222">
        <f>_xll.qlCalendarAdvance(Calendar,X3088,W3089,"f",FALSE)</f>
        <v>60497</v>
      </c>
      <c r="Y3089" s="227">
        <f>_xll.qlCalendarAdvance(Calendar,X3089,NDays&amp;"D")</f>
        <v>60497</v>
      </c>
      <c r="Z3089" s="228">
        <v>3.1879413472656611E-2</v>
      </c>
      <c r="AA3089" s="230">
        <v>3.1823973531318606E-2</v>
      </c>
    </row>
    <row r="3090" spans="19:27" x14ac:dyDescent="0.2">
      <c r="S3090" s="32"/>
      <c r="T3090" s="187"/>
      <c r="W3090" s="221" t="str">
        <f t="shared" si="56"/>
        <v>1w</v>
      </c>
      <c r="X3090" s="222">
        <f>_xll.qlCalendarAdvance(Calendar,X3089,W3090,"f",FALSE)</f>
        <v>60504</v>
      </c>
      <c r="Y3090" s="227">
        <f>_xll.qlCalendarAdvance(Calendar,X3090,NDays&amp;"D")</f>
        <v>60504</v>
      </c>
      <c r="Z3090" s="228">
        <v>3.1885829549233136E-2</v>
      </c>
      <c r="AA3090" s="230">
        <v>3.1830402686636727E-2</v>
      </c>
    </row>
    <row r="3091" spans="19:27" x14ac:dyDescent="0.2">
      <c r="S3091" s="32"/>
      <c r="T3091" s="187"/>
      <c r="W3091" s="221" t="str">
        <f t="shared" si="56"/>
        <v>1w</v>
      </c>
      <c r="X3091" s="222">
        <f>_xll.qlCalendarAdvance(Calendar,X3090,W3091,"f",FALSE)</f>
        <v>60511</v>
      </c>
      <c r="Y3091" s="227">
        <f>_xll.qlCalendarAdvance(Calendar,X3091,NDays&amp;"D")</f>
        <v>60511</v>
      </c>
      <c r="Z3091" s="228">
        <v>3.1890383586592241E-2</v>
      </c>
      <c r="AA3091" s="230">
        <v>3.1836817913178939E-2</v>
      </c>
    </row>
    <row r="3092" spans="19:27" x14ac:dyDescent="0.2">
      <c r="S3092" s="32"/>
      <c r="T3092" s="187"/>
      <c r="W3092" s="221" t="str">
        <f t="shared" si="56"/>
        <v>1w</v>
      </c>
      <c r="X3092" s="222">
        <f>_xll.qlCalendarAdvance(Calendar,X3091,W3092,"f",FALSE)</f>
        <v>60518</v>
      </c>
      <c r="Y3092" s="227">
        <f>_xll.qlCalendarAdvance(Calendar,X3092,NDays&amp;"D")</f>
        <v>60518</v>
      </c>
      <c r="Z3092" s="228">
        <v>3.1896772179165353E-2</v>
      </c>
      <c r="AA3092" s="230">
        <v>3.1843219210945239E-2</v>
      </c>
    </row>
    <row r="3093" spans="19:27" x14ac:dyDescent="0.2">
      <c r="S3093" s="32"/>
      <c r="T3093" s="187"/>
      <c r="W3093" s="221" t="str">
        <f t="shared" ref="W3093:W3156" si="57">W3092</f>
        <v>1w</v>
      </c>
      <c r="X3093" s="222">
        <f>_xll.qlCalendarAdvance(Calendar,X3092,W3093,"f",FALSE)</f>
        <v>60525</v>
      </c>
      <c r="Y3093" s="227">
        <f>_xll.qlCalendarAdvance(Calendar,X3093,NDays&amp;"D")</f>
        <v>60525</v>
      </c>
      <c r="Z3093" s="228">
        <v>3.1903146810941162E-2</v>
      </c>
      <c r="AA3093" s="230">
        <v>3.1849606580016676E-2</v>
      </c>
    </row>
    <row r="3094" spans="19:27" x14ac:dyDescent="0.2">
      <c r="S3094" s="32"/>
      <c r="T3094" s="187"/>
      <c r="W3094" s="221" t="str">
        <f t="shared" si="57"/>
        <v>1w</v>
      </c>
      <c r="X3094" s="222">
        <f>_xll.qlCalendarAdvance(Calendar,X3093,W3094,"f",FALSE)</f>
        <v>60532</v>
      </c>
      <c r="Y3094" s="227">
        <f>_xll.qlCalendarAdvance(Calendar,X3094,NDays&amp;"D")</f>
        <v>60532</v>
      </c>
      <c r="Z3094" s="228">
        <v>3.1909507481892661E-2</v>
      </c>
      <c r="AA3094" s="230">
        <v>3.1855980020393249E-2</v>
      </c>
    </row>
    <row r="3095" spans="19:27" x14ac:dyDescent="0.2">
      <c r="S3095" s="32"/>
      <c r="T3095" s="187"/>
      <c r="W3095" s="221" t="str">
        <f t="shared" si="57"/>
        <v>1w</v>
      </c>
      <c r="X3095" s="222">
        <f>_xll.qlCalendarAdvance(Calendar,X3094,W3095,"f",FALSE)</f>
        <v>60539</v>
      </c>
      <c r="Y3095" s="227">
        <f>_xll.qlCalendarAdvance(Calendar,X3095,NDays&amp;"D")</f>
        <v>60539</v>
      </c>
      <c r="Z3095" s="228">
        <v>3.1915854191998237E-2</v>
      </c>
      <c r="AA3095" s="230">
        <v>3.1862339532074957E-2</v>
      </c>
    </row>
    <row r="3096" spans="19:27" x14ac:dyDescent="0.2">
      <c r="S3096" s="32"/>
      <c r="T3096" s="187"/>
      <c r="W3096" s="221" t="str">
        <f t="shared" si="57"/>
        <v>1w</v>
      </c>
      <c r="X3096" s="222">
        <f>_xll.qlCalendarAdvance(Calendar,X3095,W3096,"f",FALSE)</f>
        <v>60546</v>
      </c>
      <c r="Y3096" s="227">
        <f>_xll.qlCalendarAdvance(Calendar,X3096,NDays&amp;"D")</f>
        <v>60546</v>
      </c>
      <c r="Z3096" s="228">
        <v>3.1924032808738685E-2</v>
      </c>
      <c r="AA3096" s="230">
        <v>3.1868685114818662E-2</v>
      </c>
    </row>
    <row r="3097" spans="19:27" x14ac:dyDescent="0.2">
      <c r="S3097" s="32"/>
      <c r="T3097" s="187"/>
      <c r="W3097" s="221" t="str">
        <f t="shared" si="57"/>
        <v>1w</v>
      </c>
      <c r="X3097" s="222">
        <f>_xll.qlCalendarAdvance(Calendar,X3096,W3097,"f",FALSE)</f>
        <v>60553</v>
      </c>
      <c r="Y3097" s="227">
        <f>_xll.qlCalendarAdvance(Calendar,X3097,NDays&amp;"D")</f>
        <v>60553</v>
      </c>
      <c r="Z3097" s="228">
        <v>3.1930351151782971E-2</v>
      </c>
      <c r="AA3097" s="230">
        <v>3.1875016769110642E-2</v>
      </c>
    </row>
    <row r="3098" spans="19:27" x14ac:dyDescent="0.2">
      <c r="S3098" s="32"/>
      <c r="T3098" s="187"/>
      <c r="W3098" s="221" t="str">
        <f t="shared" si="57"/>
        <v>1w</v>
      </c>
      <c r="X3098" s="222">
        <f>_xll.qlCalendarAdvance(Calendar,X3097,W3098,"f",FALSE)</f>
        <v>60560</v>
      </c>
      <c r="Y3098" s="227">
        <f>_xll.qlCalendarAdvance(Calendar,X3098,NDays&amp;"D")</f>
        <v>60560</v>
      </c>
      <c r="Z3098" s="228">
        <v>3.1936655532809298E-2</v>
      </c>
      <c r="AA3098" s="230">
        <v>3.1881334494545666E-2</v>
      </c>
    </row>
    <row r="3099" spans="19:27" x14ac:dyDescent="0.2">
      <c r="S3099" s="32"/>
      <c r="T3099" s="187"/>
      <c r="W3099" s="221" t="str">
        <f t="shared" si="57"/>
        <v>1w</v>
      </c>
      <c r="X3099" s="222">
        <f>_xll.qlCalendarAdvance(Calendar,X3098,W3099,"f",FALSE)</f>
        <v>60567</v>
      </c>
      <c r="Y3099" s="227">
        <f>_xll.qlCalendarAdvance(Calendar,X3099,NDays&amp;"D")</f>
        <v>60567</v>
      </c>
      <c r="Z3099" s="228">
        <v>3.194294595178368E-2</v>
      </c>
      <c r="AA3099" s="230">
        <v>3.1887638291204778E-2</v>
      </c>
    </row>
    <row r="3100" spans="19:27" x14ac:dyDescent="0.2">
      <c r="S3100" s="32"/>
      <c r="T3100" s="187"/>
      <c r="W3100" s="221" t="str">
        <f t="shared" si="57"/>
        <v>1w</v>
      </c>
      <c r="X3100" s="222">
        <f>_xll.qlCalendarAdvance(Calendar,X3099,W3100,"f",FALSE)</f>
        <v>60574</v>
      </c>
      <c r="Y3100" s="227">
        <f>_xll.qlCalendarAdvance(Calendar,X3100,NDays&amp;"D")</f>
        <v>60574</v>
      </c>
      <c r="Z3100" s="228">
        <v>3.1947378329078124E-2</v>
      </c>
      <c r="AA3100" s="230">
        <v>3.1893928159087981E-2</v>
      </c>
    </row>
    <row r="3101" spans="19:27" x14ac:dyDescent="0.2">
      <c r="S3101" s="32"/>
      <c r="T3101" s="187"/>
      <c r="W3101" s="221" t="str">
        <f t="shared" si="57"/>
        <v>1w</v>
      </c>
      <c r="X3101" s="222">
        <f>_xll.qlCalendarAdvance(Calendar,X3100,W3101,"f",FALSE)</f>
        <v>60581</v>
      </c>
      <c r="Y3101" s="227">
        <f>_xll.qlCalendarAdvance(Calendar,X3101,NDays&amp;"D")</f>
        <v>60581</v>
      </c>
      <c r="Z3101" s="228">
        <v>3.1953641273651599E-2</v>
      </c>
      <c r="AA3101" s="230">
        <v>3.1900204098276319E-2</v>
      </c>
    </row>
    <row r="3102" spans="19:27" x14ac:dyDescent="0.2">
      <c r="S3102" s="32"/>
      <c r="T3102" s="187"/>
      <c r="W3102" s="221" t="str">
        <f t="shared" si="57"/>
        <v>1w</v>
      </c>
      <c r="X3102" s="222">
        <f>_xll.qlCalendarAdvance(Calendar,X3101,W3102,"f",FALSE)</f>
        <v>60588</v>
      </c>
      <c r="Y3102" s="227">
        <f>_xll.qlCalendarAdvance(Calendar,X3102,NDays&amp;"D")</f>
        <v>60588</v>
      </c>
      <c r="Z3102" s="228">
        <v>3.1959890257235966E-2</v>
      </c>
      <c r="AA3102" s="230">
        <v>3.1906466108850839E-2</v>
      </c>
    </row>
    <row r="3103" spans="19:27" x14ac:dyDescent="0.2">
      <c r="S3103" s="32"/>
      <c r="T3103" s="187"/>
      <c r="W3103" s="221" t="str">
        <f t="shared" si="57"/>
        <v>1w</v>
      </c>
      <c r="X3103" s="222">
        <f>_xll.qlCalendarAdvance(Calendar,X3102,W3103,"f",FALSE)</f>
        <v>60595</v>
      </c>
      <c r="Y3103" s="227">
        <f>_xll.qlCalendarAdvance(Calendar,X3103,NDays&amp;"D")</f>
        <v>60595</v>
      </c>
      <c r="Z3103" s="228">
        <v>3.1966125279793409E-2</v>
      </c>
      <c r="AA3103" s="230">
        <v>3.1912714190487357E-2</v>
      </c>
    </row>
    <row r="3104" spans="19:27" x14ac:dyDescent="0.2">
      <c r="S3104" s="32"/>
      <c r="T3104" s="187"/>
      <c r="W3104" s="221" t="str">
        <f t="shared" si="57"/>
        <v>1w</v>
      </c>
      <c r="X3104" s="222">
        <f>_xll.qlCalendarAdvance(Calendar,X3103,W3104,"f",FALSE)</f>
        <v>60602</v>
      </c>
      <c r="Y3104" s="227">
        <f>_xll.qlCalendarAdvance(Calendar,X3104,NDays&amp;"D")</f>
        <v>60602</v>
      </c>
      <c r="Z3104" s="228">
        <v>3.1979715821807302E-2</v>
      </c>
      <c r="AA3104" s="230">
        <v>3.1918948343591103E-2</v>
      </c>
    </row>
    <row r="3105" spans="19:27" x14ac:dyDescent="0.2">
      <c r="S3105" s="32"/>
      <c r="T3105" s="187"/>
      <c r="W3105" s="221" t="str">
        <f t="shared" si="57"/>
        <v>1w</v>
      </c>
      <c r="X3105" s="222">
        <f>_xll.qlCalendarAdvance(Calendar,X3104,W3105,"f",FALSE)</f>
        <v>60609</v>
      </c>
      <c r="Y3105" s="227">
        <f>_xll.qlCalendarAdvance(Calendar,X3105,NDays&amp;"D")</f>
        <v>60609</v>
      </c>
      <c r="Z3105" s="228">
        <v>3.1980395261438477E-2</v>
      </c>
      <c r="AA3105" s="230">
        <v>3.1925168567837892E-2</v>
      </c>
    </row>
    <row r="3106" spans="19:27" x14ac:dyDescent="0.2">
      <c r="S3106" s="32"/>
      <c r="T3106" s="187"/>
      <c r="W3106" s="221" t="str">
        <f t="shared" si="57"/>
        <v>1w</v>
      </c>
      <c r="X3106" s="222">
        <f>_xll.qlCalendarAdvance(Calendar,X3105,W3106,"f",FALSE)</f>
        <v>60616</v>
      </c>
      <c r="Y3106" s="227">
        <f>_xll.qlCalendarAdvance(Calendar,X3106,NDays&amp;"D")</f>
        <v>60616</v>
      </c>
      <c r="Z3106" s="228">
        <v>3.1986587945474078E-2</v>
      </c>
      <c r="AA3106" s="230">
        <v>3.193137486330877E-2</v>
      </c>
    </row>
    <row r="3107" spans="19:27" x14ac:dyDescent="0.2">
      <c r="S3107" s="32"/>
      <c r="T3107" s="187"/>
      <c r="W3107" s="221" t="str">
        <f t="shared" si="57"/>
        <v>1w</v>
      </c>
      <c r="X3107" s="222">
        <f>_xll.qlCalendarAdvance(Calendar,X3106,W3107,"f",FALSE)</f>
        <v>60623</v>
      </c>
      <c r="Y3107" s="227">
        <f>_xll.qlCalendarAdvance(Calendar,X3107,NDays&amp;"D")</f>
        <v>60623</v>
      </c>
      <c r="Z3107" s="228">
        <v>3.1992766667282568E-2</v>
      </c>
      <c r="AA3107" s="230">
        <v>3.1937567230084785E-2</v>
      </c>
    </row>
    <row r="3108" spans="19:27" x14ac:dyDescent="0.2">
      <c r="S3108" s="32"/>
      <c r="T3108" s="187"/>
      <c r="W3108" s="221" t="str">
        <f t="shared" si="57"/>
        <v>1w</v>
      </c>
      <c r="X3108" s="222">
        <f>_xll.qlCalendarAdvance(Calendar,X3107,W3108,"f",FALSE)</f>
        <v>60630</v>
      </c>
      <c r="Y3108" s="227">
        <f>_xll.qlCalendarAdvance(Calendar,X3108,NDays&amp;"D")</f>
        <v>60630</v>
      </c>
      <c r="Z3108" s="228">
        <v>3.1998931426850882E-2</v>
      </c>
      <c r="AA3108" s="230">
        <v>3.1943745668246981E-2</v>
      </c>
    </row>
    <row r="3109" spans="19:27" x14ac:dyDescent="0.2">
      <c r="S3109" s="32"/>
      <c r="T3109" s="187"/>
      <c r="W3109" s="221" t="str">
        <f t="shared" si="57"/>
        <v>1w</v>
      </c>
      <c r="X3109" s="222">
        <f>_xll.qlCalendarAdvance(Calendar,X3108,W3109,"f",FALSE)</f>
        <v>60637</v>
      </c>
      <c r="Y3109" s="227">
        <f>_xll.qlCalendarAdvance(Calendar,X3109,NDays&amp;"D")</f>
        <v>60637</v>
      </c>
      <c r="Z3109" s="228">
        <v>3.2005082224150251E-2</v>
      </c>
      <c r="AA3109" s="230">
        <v>3.1949910177552221E-2</v>
      </c>
    </row>
    <row r="3110" spans="19:27" x14ac:dyDescent="0.2">
      <c r="S3110" s="32"/>
      <c r="T3110" s="187"/>
      <c r="W3110" s="221" t="str">
        <f t="shared" si="57"/>
        <v>1w</v>
      </c>
      <c r="X3110" s="222">
        <f>_xll.qlCalendarAdvance(Calendar,X3109,W3110,"f",FALSE)</f>
        <v>60644</v>
      </c>
      <c r="Y3110" s="227">
        <f>_xll.qlCalendarAdvance(Calendar,X3110,NDays&amp;"D")</f>
        <v>60644</v>
      </c>
      <c r="Z3110" s="228">
        <v>3.2011219059162384E-2</v>
      </c>
      <c r="AA3110" s="230">
        <v>3.1956060758000504E-2</v>
      </c>
    </row>
    <row r="3111" spans="19:27" x14ac:dyDescent="0.2">
      <c r="S3111" s="32"/>
      <c r="T3111" s="187"/>
      <c r="W3111" s="221" t="str">
        <f t="shared" si="57"/>
        <v>1w</v>
      </c>
      <c r="X3111" s="222">
        <f>_xll.qlCalendarAdvance(Calendar,X3110,W3111,"f",FALSE)</f>
        <v>60651</v>
      </c>
      <c r="Y3111" s="227">
        <f>_xll.qlCalendarAdvance(Calendar,X3111,NDays&amp;"D")</f>
        <v>60651</v>
      </c>
      <c r="Z3111" s="228">
        <v>3.2017341931863744E-2</v>
      </c>
      <c r="AA3111" s="230">
        <v>3.1962197409753923E-2</v>
      </c>
    </row>
    <row r="3112" spans="19:27" x14ac:dyDescent="0.2">
      <c r="S3112" s="32"/>
      <c r="T3112" s="187"/>
      <c r="W3112" s="221" t="str">
        <f t="shared" si="57"/>
        <v>1w</v>
      </c>
      <c r="X3112" s="222">
        <f>_xll.qlCalendarAdvance(Calendar,X3111,W3112,"f",FALSE)</f>
        <v>60658</v>
      </c>
      <c r="Y3112" s="227">
        <f>_xll.qlCalendarAdvance(Calendar,X3112,NDays&amp;"D")</f>
        <v>60658</v>
      </c>
      <c r="Z3112" s="228">
        <v>3.2023450842233424E-2</v>
      </c>
      <c r="AA3112" s="230">
        <v>3.1968320132893524E-2</v>
      </c>
    </row>
    <row r="3113" spans="19:27" x14ac:dyDescent="0.2">
      <c r="S3113" s="32"/>
      <c r="T3113" s="187"/>
      <c r="W3113" s="221" t="str">
        <f t="shared" si="57"/>
        <v>1w</v>
      </c>
      <c r="X3113" s="222">
        <f>_xll.qlCalendarAdvance(Calendar,X3112,W3113,"f",FALSE)</f>
        <v>60665</v>
      </c>
      <c r="Y3113" s="227">
        <f>_xll.qlCalendarAdvance(Calendar,X3113,NDays&amp;"D")</f>
        <v>60665</v>
      </c>
      <c r="Z3113" s="228">
        <v>3.2024031542992881E-2</v>
      </c>
      <c r="AA3113" s="230">
        <v>3.1974428927257215E-2</v>
      </c>
    </row>
    <row r="3114" spans="19:27" x14ac:dyDescent="0.2">
      <c r="S3114" s="32"/>
      <c r="T3114" s="187"/>
      <c r="W3114" s="221" t="str">
        <f t="shared" si="57"/>
        <v>1w</v>
      </c>
      <c r="X3114" s="222">
        <f>_xll.qlCalendarAdvance(Calendar,X3113,W3114,"f",FALSE)</f>
        <v>60672</v>
      </c>
      <c r="Y3114" s="227">
        <f>_xll.qlCalendarAdvance(Calendar,X3114,NDays&amp;"D")</f>
        <v>60672</v>
      </c>
      <c r="Z3114" s="228">
        <v>3.2030113921227323E-2</v>
      </c>
      <c r="AA3114" s="230">
        <v>3.1980523792763949E-2</v>
      </c>
    </row>
    <row r="3115" spans="19:27" x14ac:dyDescent="0.2">
      <c r="S3115" s="32"/>
      <c r="T3115" s="187"/>
      <c r="W3115" s="221" t="str">
        <f t="shared" si="57"/>
        <v>1w</v>
      </c>
      <c r="X3115" s="222">
        <f>_xll.qlCalendarAdvance(Calendar,X3114,W3115,"f",FALSE)</f>
        <v>60679</v>
      </c>
      <c r="Y3115" s="227">
        <f>_xll.qlCalendarAdvance(Calendar,X3115,NDays&amp;"D")</f>
        <v>60679</v>
      </c>
      <c r="Z3115" s="228">
        <v>3.2036182340435336E-2</v>
      </c>
      <c r="AA3115" s="230">
        <v>3.1986604729656865E-2</v>
      </c>
    </row>
    <row r="3116" spans="19:27" x14ac:dyDescent="0.2">
      <c r="S3116" s="32"/>
      <c r="T3116" s="187"/>
      <c r="W3116" s="221" t="str">
        <f t="shared" si="57"/>
        <v>1w</v>
      </c>
      <c r="X3116" s="222">
        <f>_xll.qlCalendarAdvance(Calendar,X3115,W3116,"f",FALSE)</f>
        <v>60686</v>
      </c>
      <c r="Y3116" s="227">
        <f>_xll.qlCalendarAdvance(Calendar,X3116,NDays&amp;"D")</f>
        <v>60686</v>
      </c>
      <c r="Z3116" s="228">
        <v>3.2042236800596653E-2</v>
      </c>
      <c r="AA3116" s="230">
        <v>3.199267173777387E-2</v>
      </c>
    </row>
    <row r="3117" spans="19:27" x14ac:dyDescent="0.2">
      <c r="S3117" s="32"/>
      <c r="T3117" s="187"/>
      <c r="W3117" s="221" t="str">
        <f t="shared" si="57"/>
        <v>1w</v>
      </c>
      <c r="X3117" s="222">
        <f>_xll.qlCalendarAdvance(Calendar,X3116,W3117,"f",FALSE)</f>
        <v>60693</v>
      </c>
      <c r="Y3117" s="227">
        <f>_xll.qlCalendarAdvance(Calendar,X3117,NDays&amp;"D")</f>
        <v>60693</v>
      </c>
      <c r="Z3117" s="228">
        <v>3.2053785958343128E-2</v>
      </c>
      <c r="AA3117" s="230">
        <v>3.1998724817033919E-2</v>
      </c>
    </row>
    <row r="3118" spans="19:27" x14ac:dyDescent="0.2">
      <c r="S3118" s="32"/>
      <c r="T3118" s="187"/>
      <c r="W3118" s="221" t="str">
        <f t="shared" si="57"/>
        <v>1w</v>
      </c>
      <c r="X3118" s="222">
        <f>_xll.qlCalendarAdvance(Calendar,X3117,W3118,"f",FALSE)</f>
        <v>60700</v>
      </c>
      <c r="Y3118" s="227">
        <f>_xll.qlCalendarAdvance(Calendar,X3118,NDays&amp;"D")</f>
        <v>60700</v>
      </c>
      <c r="Z3118" s="228">
        <v>3.2067154970999913E-2</v>
      </c>
      <c r="AA3118" s="230">
        <v>3.2004763967518057E-2</v>
      </c>
    </row>
    <row r="3119" spans="19:27" x14ac:dyDescent="0.2">
      <c r="S3119" s="32"/>
      <c r="T3119" s="187"/>
      <c r="W3119" s="221" t="str">
        <f t="shared" si="57"/>
        <v>1w</v>
      </c>
      <c r="X3119" s="222">
        <f>_xll.qlCalendarAdvance(Calendar,X3118,W3119,"f",FALSE)</f>
        <v>60707</v>
      </c>
      <c r="Y3119" s="227">
        <f>_xll.qlCalendarAdvance(Calendar,X3119,NDays&amp;"D")</f>
        <v>60707</v>
      </c>
      <c r="Z3119" s="228">
        <v>3.2065822267709126E-2</v>
      </c>
      <c r="AA3119" s="230">
        <v>3.201078918955047E-2</v>
      </c>
    </row>
    <row r="3120" spans="19:27" x14ac:dyDescent="0.2">
      <c r="S3120" s="32"/>
      <c r="T3120" s="187"/>
      <c r="W3120" s="221" t="str">
        <f t="shared" si="57"/>
        <v>1w</v>
      </c>
      <c r="X3120" s="222">
        <f>_xll.qlCalendarAdvance(Calendar,X3119,W3120,"f",FALSE)</f>
        <v>60714</v>
      </c>
      <c r="Y3120" s="227">
        <f>_xll.qlCalendarAdvance(Calendar,X3120,NDays&amp;"D")</f>
        <v>60714</v>
      </c>
      <c r="Z3120" s="228">
        <v>3.2071819478648851E-2</v>
      </c>
      <c r="AA3120" s="230">
        <v>3.2016800482563834E-2</v>
      </c>
    </row>
    <row r="3121" spans="19:27" x14ac:dyDescent="0.2">
      <c r="S3121" s="32"/>
      <c r="T3121" s="187"/>
      <c r="W3121" s="221" t="str">
        <f t="shared" si="57"/>
        <v>1w</v>
      </c>
      <c r="X3121" s="222">
        <f>_xll.qlCalendarAdvance(Calendar,X3120,W3121,"f",FALSE)</f>
        <v>60721</v>
      </c>
      <c r="Y3121" s="227">
        <f>_xll.qlCalendarAdvance(Calendar,X3121,NDays&amp;"D")</f>
        <v>60721</v>
      </c>
      <c r="Z3121" s="228">
        <v>3.2077802727058194E-2</v>
      </c>
      <c r="AA3121" s="230">
        <v>3.2022797846882334E-2</v>
      </c>
    </row>
    <row r="3122" spans="19:27" x14ac:dyDescent="0.2">
      <c r="S3122" s="32"/>
      <c r="T3122" s="187"/>
      <c r="W3122" s="221" t="str">
        <f t="shared" si="57"/>
        <v>1w</v>
      </c>
      <c r="X3122" s="222">
        <f>_xll.qlCalendarAdvance(Calendar,X3121,W3122,"f",FALSE)</f>
        <v>60728</v>
      </c>
      <c r="Y3122" s="227">
        <f>_xll.qlCalendarAdvance(Calendar,X3122,NDays&amp;"D")</f>
        <v>60728</v>
      </c>
      <c r="Z3122" s="228">
        <v>3.2081938086685434E-2</v>
      </c>
      <c r="AA3122" s="230">
        <v>3.2028781282424923E-2</v>
      </c>
    </row>
    <row r="3123" spans="19:27" x14ac:dyDescent="0.2">
      <c r="S3123" s="32"/>
      <c r="T3123" s="187"/>
      <c r="W3123" s="221" t="str">
        <f t="shared" si="57"/>
        <v>1w</v>
      </c>
      <c r="X3123" s="222">
        <f>_xll.qlCalendarAdvance(Calendar,X3122,W3123,"f",FALSE)</f>
        <v>60735</v>
      </c>
      <c r="Y3123" s="227">
        <f>_xll.qlCalendarAdvance(Calendar,X3123,NDays&amp;"D")</f>
        <v>60735</v>
      </c>
      <c r="Z3123" s="228">
        <v>3.2087893884441297E-2</v>
      </c>
      <c r="AA3123" s="230">
        <v>3.2034750789515787E-2</v>
      </c>
    </row>
    <row r="3124" spans="19:27" x14ac:dyDescent="0.2">
      <c r="S3124" s="32"/>
      <c r="T3124" s="187"/>
      <c r="W3124" s="221" t="str">
        <f t="shared" si="57"/>
        <v>1w</v>
      </c>
      <c r="X3124" s="222">
        <f>_xll.qlCalendarAdvance(Calendar,X3123,W3124,"f",FALSE)</f>
        <v>60742</v>
      </c>
      <c r="Y3124" s="227">
        <f>_xll.qlCalendarAdvance(Calendar,X3124,NDays&amp;"D")</f>
        <v>60742</v>
      </c>
      <c r="Z3124" s="228">
        <v>3.2093835720737984E-2</v>
      </c>
      <c r="AA3124" s="230">
        <v>3.2040706367587601E-2</v>
      </c>
    </row>
    <row r="3125" spans="19:27" x14ac:dyDescent="0.2">
      <c r="S3125" s="32"/>
      <c r="T3125" s="187"/>
      <c r="W3125" s="221" t="str">
        <f t="shared" si="57"/>
        <v>1w</v>
      </c>
      <c r="X3125" s="222">
        <f>_xll.qlCalendarAdvance(Calendar,X3124,W3125,"f",FALSE)</f>
        <v>60749</v>
      </c>
      <c r="Y3125" s="227">
        <f>_xll.qlCalendarAdvance(Calendar,X3125,NDays&amp;"D")</f>
        <v>60749</v>
      </c>
      <c r="Z3125" s="228">
        <v>3.2099763595551188E-2</v>
      </c>
      <c r="AA3125" s="230">
        <v>3.2046648016802459E-2</v>
      </c>
    </row>
    <row r="3126" spans="19:27" x14ac:dyDescent="0.2">
      <c r="S3126" s="32"/>
      <c r="T3126" s="187"/>
      <c r="W3126" s="221" t="str">
        <f t="shared" si="57"/>
        <v>1w</v>
      </c>
      <c r="X3126" s="222">
        <f>_xll.qlCalendarAdvance(Calendar,X3125,W3126,"f",FALSE)</f>
        <v>60756</v>
      </c>
      <c r="Y3126" s="227">
        <f>_xll.qlCalendarAdvance(Calendar,X3126,NDays&amp;"D")</f>
        <v>60756</v>
      </c>
      <c r="Z3126" s="228">
        <v>3.2107509530500837E-2</v>
      </c>
      <c r="AA3126" s="230">
        <v>3.2052575737403499E-2</v>
      </c>
    </row>
    <row r="3127" spans="19:27" x14ac:dyDescent="0.2">
      <c r="S3127" s="32"/>
      <c r="T3127" s="187"/>
      <c r="W3127" s="221" t="str">
        <f t="shared" si="57"/>
        <v>1w</v>
      </c>
      <c r="X3127" s="222">
        <f>_xll.qlCalendarAdvance(Calendar,X3126,W3127,"f",FALSE)</f>
        <v>60763</v>
      </c>
      <c r="Y3127" s="227">
        <f>_xll.qlCalendarAdvance(Calendar,X3127,NDays&amp;"D")</f>
        <v>60763</v>
      </c>
      <c r="Z3127" s="228">
        <v>3.2113409003317446E-2</v>
      </c>
      <c r="AA3127" s="230">
        <v>3.2058489529228629E-2</v>
      </c>
    </row>
    <row r="3128" spans="19:27" x14ac:dyDescent="0.2">
      <c r="S3128" s="32"/>
      <c r="T3128" s="187"/>
      <c r="W3128" s="221" t="str">
        <f t="shared" si="57"/>
        <v>1w</v>
      </c>
      <c r="X3128" s="222">
        <f>_xll.qlCalendarAdvance(Calendar,X3127,W3128,"f",FALSE)</f>
        <v>60770</v>
      </c>
      <c r="Y3128" s="227">
        <f>_xll.qlCalendarAdvance(Calendar,X3128,NDays&amp;"D")</f>
        <v>60770</v>
      </c>
      <c r="Z3128" s="228">
        <v>3.2119294513457262E-2</v>
      </c>
      <c r="AA3128" s="230">
        <v>3.2064389392358894E-2</v>
      </c>
    </row>
    <row r="3129" spans="19:27" x14ac:dyDescent="0.2">
      <c r="S3129" s="32"/>
      <c r="T3129" s="187"/>
      <c r="W3129" s="221" t="str">
        <f t="shared" si="57"/>
        <v>1w</v>
      </c>
      <c r="X3129" s="222">
        <f>_xll.qlCalendarAdvance(Calendar,X3128,W3129,"f",FALSE)</f>
        <v>60777</v>
      </c>
      <c r="Y3129" s="227">
        <f>_xll.qlCalendarAdvance(Calendar,X3129,NDays&amp;"D")</f>
        <v>60777</v>
      </c>
      <c r="Z3129" s="228">
        <v>3.2125166060907227E-2</v>
      </c>
      <c r="AA3129" s="230">
        <v>3.2070275326632203E-2</v>
      </c>
    </row>
    <row r="3130" spans="19:27" x14ac:dyDescent="0.2">
      <c r="S3130" s="32"/>
      <c r="T3130" s="187"/>
      <c r="W3130" s="221" t="str">
        <f t="shared" si="57"/>
        <v>1w</v>
      </c>
      <c r="X3130" s="222">
        <f>_xll.qlCalendarAdvance(Calendar,X3129,W3130,"f",FALSE)</f>
        <v>60784</v>
      </c>
      <c r="Y3130" s="227">
        <f>_xll.qlCalendarAdvance(Calendar,X3130,NDays&amp;"D")</f>
        <v>60784</v>
      </c>
      <c r="Z3130" s="228">
        <v>3.2129193546748924E-2</v>
      </c>
      <c r="AA3130" s="230">
        <v>3.2076147332210647E-2</v>
      </c>
    </row>
    <row r="3131" spans="19:27" x14ac:dyDescent="0.2">
      <c r="S3131" s="32"/>
      <c r="T3131" s="187"/>
      <c r="W3131" s="221" t="str">
        <f t="shared" si="57"/>
        <v>1w</v>
      </c>
      <c r="X3131" s="222">
        <f>_xll.qlCalendarAdvance(Calendar,X3130,W3131,"f",FALSE)</f>
        <v>60791</v>
      </c>
      <c r="Y3131" s="227">
        <f>_xll.qlCalendarAdvance(Calendar,X3131,NDays&amp;"D")</f>
        <v>60791</v>
      </c>
      <c r="Z3131" s="228">
        <v>3.213503765226948E-2</v>
      </c>
      <c r="AA3131" s="230">
        <v>3.2082005409094227E-2</v>
      </c>
    </row>
    <row r="3132" spans="19:27" x14ac:dyDescent="0.2">
      <c r="S3132" s="32"/>
      <c r="T3132" s="187"/>
      <c r="W3132" s="221" t="str">
        <f t="shared" si="57"/>
        <v>1w</v>
      </c>
      <c r="X3132" s="222">
        <f>_xll.qlCalendarAdvance(Calendar,X3131,W3132,"f",FALSE)</f>
        <v>60798</v>
      </c>
      <c r="Y3132" s="227">
        <f>_xll.qlCalendarAdvance(Calendar,X3132,NDays&amp;"D")</f>
        <v>60798</v>
      </c>
      <c r="Z3132" s="228">
        <v>3.214086779616606E-2</v>
      </c>
      <c r="AA3132" s="230">
        <v>3.2087849556958759E-2</v>
      </c>
    </row>
    <row r="3133" spans="19:27" x14ac:dyDescent="0.2">
      <c r="S3133" s="32"/>
      <c r="T3133" s="187"/>
      <c r="W3133" s="221" t="str">
        <f t="shared" si="57"/>
        <v>1w</v>
      </c>
      <c r="X3133" s="222">
        <f>_xll.qlCalendarAdvance(Calendar,X3132,W3133,"f",FALSE)</f>
        <v>60805</v>
      </c>
      <c r="Y3133" s="227">
        <f>_xll.qlCalendarAdvance(Calendar,X3133,NDays&amp;"D")</f>
        <v>60805</v>
      </c>
      <c r="Z3133" s="228">
        <v>3.214668397842517E-2</v>
      </c>
      <c r="AA3133" s="230">
        <v>3.2093679776209472E-2</v>
      </c>
    </row>
    <row r="3134" spans="19:27" x14ac:dyDescent="0.2">
      <c r="S3134" s="32"/>
      <c r="T3134" s="187"/>
      <c r="W3134" s="221" t="str">
        <f t="shared" si="57"/>
        <v>1w</v>
      </c>
      <c r="X3134" s="222">
        <f>_xll.qlCalendarAdvance(Calendar,X3133,W3134,"f",FALSE)</f>
        <v>60812</v>
      </c>
      <c r="Y3134" s="227">
        <f>_xll.qlCalendarAdvance(Calendar,X3134,NDays&amp;"D")</f>
        <v>60812</v>
      </c>
      <c r="Z3134" s="228">
        <v>3.2152486199022487E-2</v>
      </c>
      <c r="AA3134" s="230">
        <v>3.2099496066927413E-2</v>
      </c>
    </row>
    <row r="3135" spans="19:27" x14ac:dyDescent="0.2">
      <c r="S3135" s="32"/>
      <c r="T3135" s="187"/>
      <c r="W3135" s="221" t="str">
        <f t="shared" si="57"/>
        <v>1w</v>
      </c>
      <c r="X3135" s="222">
        <f>_xll.qlCalendarAdvance(Calendar,X3134,W3135,"f",FALSE)</f>
        <v>60819</v>
      </c>
      <c r="Y3135" s="227">
        <f>_xll.qlCalendarAdvance(Calendar,X3135,NDays&amp;"D")</f>
        <v>60819</v>
      </c>
      <c r="Z3135" s="228">
        <v>3.2160102127870321E-2</v>
      </c>
      <c r="AA3135" s="230">
        <v>3.2105298428626305E-2</v>
      </c>
    </row>
    <row r="3136" spans="19:27" x14ac:dyDescent="0.2">
      <c r="S3136" s="32"/>
      <c r="T3136" s="187"/>
      <c r="W3136" s="221" t="str">
        <f t="shared" si="57"/>
        <v>1w</v>
      </c>
      <c r="X3136" s="222">
        <f>_xll.qlCalendarAdvance(Calendar,X3135,W3136,"f",FALSE)</f>
        <v>60826</v>
      </c>
      <c r="Y3136" s="227">
        <f>_xll.qlCalendarAdvance(Calendar,X3136,NDays&amp;"D")</f>
        <v>60826</v>
      </c>
      <c r="Z3136" s="228">
        <v>3.2165875935887357E-2</v>
      </c>
      <c r="AA3136" s="230">
        <v>3.2111086861630334E-2</v>
      </c>
    </row>
    <row r="3137" spans="19:27" x14ac:dyDescent="0.2">
      <c r="S3137" s="32"/>
      <c r="T3137" s="187"/>
      <c r="W3137" s="221" t="str">
        <f t="shared" si="57"/>
        <v>1w</v>
      </c>
      <c r="X3137" s="222">
        <f>_xll.qlCalendarAdvance(Calendar,X3136,W3137,"f",FALSE)</f>
        <v>60833</v>
      </c>
      <c r="Y3137" s="227">
        <f>_xll.qlCalendarAdvance(Calendar,X3137,NDays&amp;"D")</f>
        <v>60833</v>
      </c>
      <c r="Z3137" s="228">
        <v>3.2171635781039369E-2</v>
      </c>
      <c r="AA3137" s="230">
        <v>3.2116861365939497E-2</v>
      </c>
    </row>
    <row r="3138" spans="19:27" x14ac:dyDescent="0.2">
      <c r="S3138" s="32"/>
      <c r="T3138" s="187"/>
      <c r="W3138" s="221" t="str">
        <f t="shared" si="57"/>
        <v>1w</v>
      </c>
      <c r="X3138" s="222">
        <f>_xll.qlCalendarAdvance(Calendar,X3137,W3138,"f",FALSE)</f>
        <v>60840</v>
      </c>
      <c r="Y3138" s="227">
        <f>_xll.qlCalendarAdvance(Calendar,X3138,NDays&amp;"D")</f>
        <v>60840</v>
      </c>
      <c r="Z3138" s="228">
        <v>3.2177381663313291E-2</v>
      </c>
      <c r="AA3138" s="230">
        <v>3.2122621941391705E-2</v>
      </c>
    </row>
    <row r="3139" spans="19:27" x14ac:dyDescent="0.2">
      <c r="S3139" s="32"/>
      <c r="T3139" s="187"/>
      <c r="W3139" s="221" t="str">
        <f t="shared" si="57"/>
        <v>1w</v>
      </c>
      <c r="X3139" s="222">
        <f>_xll.qlCalendarAdvance(Calendar,X3138,W3139,"f",FALSE)</f>
        <v>60847</v>
      </c>
      <c r="Y3139" s="227">
        <f>_xll.qlCalendarAdvance(Calendar,X3139,NDays&amp;"D")</f>
        <v>60847</v>
      </c>
      <c r="Z3139" s="228">
        <v>3.2183113582688203E-2</v>
      </c>
      <c r="AA3139" s="230">
        <v>3.2128368588149048E-2</v>
      </c>
    </row>
    <row r="3140" spans="19:27" x14ac:dyDescent="0.2">
      <c r="S3140" s="32"/>
      <c r="T3140" s="187"/>
      <c r="W3140" s="221" t="str">
        <f t="shared" si="57"/>
        <v>1w</v>
      </c>
      <c r="X3140" s="222">
        <f>_xll.qlCalendarAdvance(Calendar,X3139,W3140,"f",FALSE)</f>
        <v>60854</v>
      </c>
      <c r="Y3140" s="227">
        <f>_xll.qlCalendarAdvance(Calendar,X3140,NDays&amp;"D")</f>
        <v>60854</v>
      </c>
      <c r="Z3140" s="228">
        <v>3.218883153914319E-2</v>
      </c>
      <c r="AA3140" s="230">
        <v>3.2134101306049434E-2</v>
      </c>
    </row>
    <row r="3141" spans="19:27" x14ac:dyDescent="0.2">
      <c r="S3141" s="32"/>
      <c r="T3141" s="187"/>
      <c r="W3141" s="221" t="str">
        <f t="shared" si="57"/>
        <v>1w</v>
      </c>
      <c r="X3141" s="222">
        <f>_xll.qlCalendarAdvance(Calendar,X3140,W3141,"f",FALSE)</f>
        <v>60861</v>
      </c>
      <c r="Y3141" s="227">
        <f>_xll.qlCalendarAdvance(Calendar,X3141,NDays&amp;"D")</f>
        <v>60861</v>
      </c>
      <c r="Z3141" s="228">
        <v>3.2194535532654722E-2</v>
      </c>
      <c r="AA3141" s="230">
        <v>3.2139820095336002E-2</v>
      </c>
    </row>
    <row r="3142" spans="19:27" x14ac:dyDescent="0.2">
      <c r="S3142" s="32"/>
      <c r="T3142" s="187"/>
      <c r="W3142" s="221" t="str">
        <f t="shared" si="57"/>
        <v>1w</v>
      </c>
      <c r="X3142" s="222">
        <f>_xll.qlCalendarAdvance(Calendar,X3141,W3142,"f",FALSE)</f>
        <v>60868</v>
      </c>
      <c r="Y3142" s="227">
        <f>_xll.qlCalendarAdvance(Calendar,X3142,NDays&amp;"D")</f>
        <v>60868</v>
      </c>
      <c r="Z3142" s="228">
        <v>3.2200225563207119E-2</v>
      </c>
      <c r="AA3142" s="230">
        <v>3.2145524955765614E-2</v>
      </c>
    </row>
    <row r="3143" spans="19:27" x14ac:dyDescent="0.2">
      <c r="S3143" s="32"/>
      <c r="T3143" s="187"/>
      <c r="W3143" s="221" t="str">
        <f t="shared" si="57"/>
        <v>1w</v>
      </c>
      <c r="X3143" s="222">
        <f>_xll.qlCalendarAdvance(Calendar,X3142,W3143,"f",FALSE)</f>
        <v>60875</v>
      </c>
      <c r="Y3143" s="227">
        <f>_xll.qlCalendarAdvance(Calendar,X3143,NDays&amp;"D")</f>
        <v>60875</v>
      </c>
      <c r="Z3143" s="228">
        <v>3.220407790643539E-2</v>
      </c>
      <c r="AA3143" s="230">
        <v>3.2151215887419315E-2</v>
      </c>
    </row>
    <row r="3144" spans="19:27" x14ac:dyDescent="0.2">
      <c r="S3144" s="32"/>
      <c r="T3144" s="187"/>
      <c r="W3144" s="221" t="str">
        <f t="shared" si="57"/>
        <v>1w</v>
      </c>
      <c r="X3144" s="222">
        <f>_xll.qlCalendarAdvance(Calendar,X3143,W3144,"f",FALSE)</f>
        <v>60882</v>
      </c>
      <c r="Y3144" s="227">
        <f>_xll.qlCalendarAdvance(Calendar,X3144,NDays&amp;"D")</f>
        <v>60882</v>
      </c>
      <c r="Z3144" s="228">
        <v>3.2209740509344997E-2</v>
      </c>
      <c r="AA3144" s="230">
        <v>3.2156892890378153E-2</v>
      </c>
    </row>
    <row r="3145" spans="19:27" x14ac:dyDescent="0.2">
      <c r="S3145" s="32"/>
      <c r="T3145" s="187"/>
      <c r="W3145" s="221" t="str">
        <f t="shared" si="57"/>
        <v>1w</v>
      </c>
      <c r="X3145" s="222">
        <f>_xll.qlCalendarAdvance(Calendar,X3144,W3145,"f",FALSE)</f>
        <v>60889</v>
      </c>
      <c r="Y3145" s="227">
        <f>_xll.qlCalendarAdvance(Calendar,X3145,NDays&amp;"D")</f>
        <v>60889</v>
      </c>
      <c r="Z3145" s="228">
        <v>3.22153891503794E-2</v>
      </c>
      <c r="AA3145" s="230">
        <v>3.2162555964480033E-2</v>
      </c>
    </row>
    <row r="3146" spans="19:27" x14ac:dyDescent="0.2">
      <c r="S3146" s="32"/>
      <c r="T3146" s="187"/>
      <c r="W3146" s="221" t="str">
        <f t="shared" si="57"/>
        <v>1w</v>
      </c>
      <c r="X3146" s="222">
        <f>_xll.qlCalendarAdvance(Calendar,X3145,W3146,"f",FALSE)</f>
        <v>60896</v>
      </c>
      <c r="Y3146" s="227">
        <f>_xll.qlCalendarAdvance(Calendar,X3146,NDays&amp;"D")</f>
        <v>60896</v>
      </c>
      <c r="Z3146" s="228">
        <v>3.222102382951697E-2</v>
      </c>
      <c r="AA3146" s="230">
        <v>3.2168205109887049E-2</v>
      </c>
    </row>
    <row r="3147" spans="19:27" x14ac:dyDescent="0.2">
      <c r="S3147" s="32"/>
      <c r="T3147" s="187"/>
      <c r="W3147" s="221" t="str">
        <f t="shared" si="57"/>
        <v>1w</v>
      </c>
      <c r="X3147" s="222">
        <f>_xll.qlCalendarAdvance(Calendar,X3146,W3147,"f",FALSE)</f>
        <v>60903</v>
      </c>
      <c r="Y3147" s="227">
        <f>_xll.qlCalendarAdvance(Calendar,X3147,NDays&amp;"D")</f>
        <v>60903</v>
      </c>
      <c r="Z3147" s="228">
        <v>3.2226644546733407E-2</v>
      </c>
      <c r="AA3147" s="230">
        <v>3.2173840326437109E-2</v>
      </c>
    </row>
    <row r="3148" spans="19:27" x14ac:dyDescent="0.2">
      <c r="S3148" s="32"/>
      <c r="T3148" s="187"/>
      <c r="W3148" s="221" t="str">
        <f t="shared" si="57"/>
        <v>1w</v>
      </c>
      <c r="X3148" s="222">
        <f>_xll.qlCalendarAdvance(Calendar,X3147,W3148,"f",FALSE)</f>
        <v>60910</v>
      </c>
      <c r="Y3148" s="227">
        <f>_xll.qlCalendarAdvance(Calendar,X3148,NDays&amp;"D")</f>
        <v>60910</v>
      </c>
      <c r="Z3148" s="228">
        <v>3.2234072523223967E-2</v>
      </c>
      <c r="AA3148" s="230">
        <v>3.2179461614292304E-2</v>
      </c>
    </row>
    <row r="3149" spans="19:27" x14ac:dyDescent="0.2">
      <c r="S3149" s="32"/>
      <c r="T3149" s="187"/>
      <c r="W3149" s="221" t="str">
        <f t="shared" si="57"/>
        <v>1w</v>
      </c>
      <c r="X3149" s="222">
        <f>_xll.qlCalendarAdvance(Calendar,X3148,W3149,"f",FALSE)</f>
        <v>60917</v>
      </c>
      <c r="Y3149" s="227">
        <f>_xll.qlCalendarAdvance(Calendar,X3149,NDays&amp;"D")</f>
        <v>60917</v>
      </c>
      <c r="Z3149" s="228">
        <v>3.2239664812487211E-2</v>
      </c>
      <c r="AA3149" s="230">
        <v>3.2185068973452635E-2</v>
      </c>
    </row>
    <row r="3150" spans="19:27" x14ac:dyDescent="0.2">
      <c r="S3150" s="32"/>
      <c r="T3150" s="187"/>
      <c r="W3150" s="221" t="str">
        <f t="shared" si="57"/>
        <v>1w</v>
      </c>
      <c r="X3150" s="222">
        <f>_xll.qlCalendarAdvance(Calendar,X3149,W3150,"f",FALSE)</f>
        <v>60924</v>
      </c>
      <c r="Y3150" s="227">
        <f>_xll.qlCalendarAdvance(Calendar,X3150,NDays&amp;"D")</f>
        <v>60924</v>
      </c>
      <c r="Z3150" s="228">
        <v>3.2245243138631835E-2</v>
      </c>
      <c r="AA3150" s="230">
        <v>3.2190662403674963E-2</v>
      </c>
    </row>
    <row r="3151" spans="19:27" x14ac:dyDescent="0.2">
      <c r="S3151" s="32"/>
      <c r="T3151" s="187"/>
      <c r="W3151" s="221" t="str">
        <f t="shared" si="57"/>
        <v>1w</v>
      </c>
      <c r="X3151" s="222">
        <f>_xll.qlCalendarAdvance(Calendar,X3150,W3151,"f",FALSE)</f>
        <v>60931</v>
      </c>
      <c r="Y3151" s="227">
        <f>_xll.qlCalendarAdvance(Calendar,X3151,NDays&amp;"D")</f>
        <v>60931</v>
      </c>
      <c r="Z3151" s="228">
        <v>3.2250807501631701E-2</v>
      </c>
      <c r="AA3151" s="230">
        <v>3.2196241905121381E-2</v>
      </c>
    </row>
    <row r="3152" spans="19:27" x14ac:dyDescent="0.2">
      <c r="S3152" s="32"/>
      <c r="T3152" s="187"/>
      <c r="W3152" s="221" t="str">
        <f t="shared" si="57"/>
        <v>1w</v>
      </c>
      <c r="X3152" s="222">
        <f>_xll.qlCalendarAdvance(Calendar,X3151,W3152,"f",FALSE)</f>
        <v>60938</v>
      </c>
      <c r="Y3152" s="227">
        <f>_xll.qlCalendarAdvance(Calendar,X3152,NDays&amp;"D")</f>
        <v>60938</v>
      </c>
      <c r="Z3152" s="228">
        <v>3.2254538703439306E-2</v>
      </c>
      <c r="AA3152" s="230">
        <v>3.2201807478116073E-2</v>
      </c>
    </row>
    <row r="3153" spans="19:27" x14ac:dyDescent="0.2">
      <c r="S3153" s="32"/>
      <c r="T3153" s="187"/>
      <c r="W3153" s="221" t="str">
        <f t="shared" si="57"/>
        <v>1w</v>
      </c>
      <c r="X3153" s="222">
        <f>_xll.qlCalendarAdvance(Calendar,X3152,W3153,"f",FALSE)</f>
        <v>60945</v>
      </c>
      <c r="Y3153" s="227">
        <f>_xll.qlCalendarAdvance(Calendar,X3153,NDays&amp;"D")</f>
        <v>60945</v>
      </c>
      <c r="Z3153" s="228">
        <v>3.2260075648766914E-2</v>
      </c>
      <c r="AA3153" s="230">
        <v>3.220735912201067E-2</v>
      </c>
    </row>
    <row r="3154" spans="19:27" x14ac:dyDescent="0.2">
      <c r="S3154" s="32"/>
      <c r="T3154" s="187"/>
      <c r="W3154" s="221" t="str">
        <f t="shared" si="57"/>
        <v>1w</v>
      </c>
      <c r="X3154" s="222">
        <f>_xll.qlCalendarAdvance(Calendar,X3153,W3154,"f",FALSE)</f>
        <v>60952</v>
      </c>
      <c r="Y3154" s="227">
        <f>_xll.qlCalendarAdvance(Calendar,X3154,NDays&amp;"D")</f>
        <v>60952</v>
      </c>
      <c r="Z3154" s="228">
        <v>3.2265598632041002E-2</v>
      </c>
      <c r="AA3154" s="230">
        <v>3.2212896837129357E-2</v>
      </c>
    </row>
    <row r="3155" spans="19:27" x14ac:dyDescent="0.2">
      <c r="S3155" s="32"/>
      <c r="T3155" s="187"/>
      <c r="W3155" s="221" t="str">
        <f t="shared" si="57"/>
        <v>1w</v>
      </c>
      <c r="X3155" s="222">
        <f>_xll.qlCalendarAdvance(Calendar,X3154,W3155,"f",FALSE)</f>
        <v>60959</v>
      </c>
      <c r="Y3155" s="227">
        <f>_xll.qlCalendarAdvance(Calendar,X3155,NDays&amp;"D")</f>
        <v>60959</v>
      </c>
      <c r="Z3155" s="228">
        <v>3.2271107653248074E-2</v>
      </c>
      <c r="AA3155" s="230">
        <v>3.2218420623715271E-2</v>
      </c>
    </row>
    <row r="3156" spans="19:27" x14ac:dyDescent="0.2">
      <c r="S3156" s="32"/>
      <c r="T3156" s="187"/>
      <c r="W3156" s="221" t="str">
        <f t="shared" si="57"/>
        <v>1w</v>
      </c>
      <c r="X3156" s="222">
        <f>_xll.qlCalendarAdvance(Calendar,X3155,W3156,"f",FALSE)</f>
        <v>60966</v>
      </c>
      <c r="Y3156" s="227">
        <f>_xll.qlCalendarAdvance(Calendar,X3156,NDays&amp;"D")</f>
        <v>60966</v>
      </c>
      <c r="Z3156" s="228">
        <v>3.2278419868850432E-2</v>
      </c>
      <c r="AA3156" s="230">
        <v>3.222393048144423E-2</v>
      </c>
    </row>
    <row r="3157" spans="19:27" x14ac:dyDescent="0.2">
      <c r="S3157" s="32"/>
      <c r="T3157" s="187"/>
      <c r="W3157" s="221" t="str">
        <f t="shared" ref="W3157:W3220" si="58">W3156</f>
        <v>1w</v>
      </c>
      <c r="X3157" s="222">
        <f>_xll.qlCalendarAdvance(Calendar,X3156,W3157,"f",FALSE)</f>
        <v>60973</v>
      </c>
      <c r="Y3157" s="227">
        <f>_xll.qlCalendarAdvance(Calendar,X3157,NDays&amp;"D")</f>
        <v>60973</v>
      </c>
      <c r="Z3157" s="228">
        <v>3.2283900452594792E-2</v>
      </c>
      <c r="AA3157" s="230">
        <v>3.2229426410154138E-2</v>
      </c>
    </row>
    <row r="3158" spans="19:27" x14ac:dyDescent="0.2">
      <c r="S3158" s="32"/>
      <c r="T3158" s="187"/>
      <c r="W3158" s="221" t="str">
        <f t="shared" si="58"/>
        <v>1w</v>
      </c>
      <c r="X3158" s="222">
        <f>_xll.qlCalendarAdvance(Calendar,X3157,W3158,"f",FALSE)</f>
        <v>60980</v>
      </c>
      <c r="Y3158" s="227">
        <f>_xll.qlCalendarAdvance(Calendar,X3158,NDays&amp;"D")</f>
        <v>60980</v>
      </c>
      <c r="Z3158" s="228">
        <v>3.2289367073063673E-2</v>
      </c>
      <c r="AA3158" s="230">
        <v>3.2234908410250229E-2</v>
      </c>
    </row>
    <row r="3159" spans="19:27" x14ac:dyDescent="0.2">
      <c r="S3159" s="32"/>
      <c r="T3159" s="187"/>
      <c r="W3159" s="221" t="str">
        <f t="shared" si="58"/>
        <v>1w</v>
      </c>
      <c r="X3159" s="222">
        <f>_xll.qlCalendarAdvance(Calendar,X3158,W3159,"f",FALSE)</f>
        <v>60987</v>
      </c>
      <c r="Y3159" s="227">
        <f>_xll.qlCalendarAdvance(Calendar,X3159,NDays&amp;"D")</f>
        <v>60987</v>
      </c>
      <c r="Z3159" s="228">
        <v>3.2294819730238768E-2</v>
      </c>
      <c r="AA3159" s="230">
        <v>3.2240376481732502E-2</v>
      </c>
    </row>
    <row r="3160" spans="19:27" x14ac:dyDescent="0.2">
      <c r="S3160" s="32"/>
      <c r="T3160" s="187"/>
      <c r="W3160" s="221" t="str">
        <f t="shared" si="58"/>
        <v>1w</v>
      </c>
      <c r="X3160" s="222">
        <f>_xll.qlCalendarAdvance(Calendar,X3159,W3160,"f",FALSE)</f>
        <v>60995</v>
      </c>
      <c r="Y3160" s="227">
        <f>_xll.qlCalendarAdvance(Calendar,X3160,NDays&amp;"D")</f>
        <v>60995</v>
      </c>
      <c r="Z3160" s="228">
        <v>3.2304664458368361E-2</v>
      </c>
      <c r="AA3160" s="230">
        <v>3.2246608650499109E-2</v>
      </c>
    </row>
    <row r="3161" spans="19:27" x14ac:dyDescent="0.2">
      <c r="S3161" s="32"/>
      <c r="T3161" s="187"/>
      <c r="W3161" s="221" t="str">
        <f t="shared" si="58"/>
        <v>1w</v>
      </c>
      <c r="X3161" s="222">
        <f>_xll.qlCalendarAdvance(Calendar,X3160,W3161,"f",FALSE)</f>
        <v>61002</v>
      </c>
      <c r="Y3161" s="227">
        <f>_xll.qlCalendarAdvance(Calendar,X3161,NDays&amp;"D")</f>
        <v>61002</v>
      </c>
      <c r="Z3161" s="228">
        <v>3.2310086157659096E-2</v>
      </c>
      <c r="AA3161" s="230">
        <v>3.2252046874500229E-2</v>
      </c>
    </row>
    <row r="3162" spans="19:27" x14ac:dyDescent="0.2">
      <c r="S3162" s="32"/>
      <c r="T3162" s="187"/>
      <c r="W3162" s="221" t="str">
        <f t="shared" si="58"/>
        <v>1w</v>
      </c>
      <c r="X3162" s="222">
        <f>_xll.qlCalendarAdvance(Calendar,X3161,W3162,"f",FALSE)</f>
        <v>61009</v>
      </c>
      <c r="Y3162" s="227">
        <f>_xll.qlCalendarAdvance(Calendar,X3162,NDays&amp;"D")</f>
        <v>61009</v>
      </c>
      <c r="Z3162" s="228">
        <v>3.2315493891280668E-2</v>
      </c>
      <c r="AA3162" s="230">
        <v>3.2257471169563345E-2</v>
      </c>
    </row>
    <row r="3163" spans="19:27" x14ac:dyDescent="0.2">
      <c r="S3163" s="32"/>
      <c r="T3163" s="187"/>
      <c r="W3163" s="221" t="str">
        <f t="shared" si="58"/>
        <v>1w</v>
      </c>
      <c r="X3163" s="222">
        <f>_xll.qlCalendarAdvance(Calendar,X3162,W3163,"f",FALSE)</f>
        <v>61016</v>
      </c>
      <c r="Y3163" s="227">
        <f>_xll.qlCalendarAdvance(Calendar,X3163,NDays&amp;"D")</f>
        <v>61016</v>
      </c>
      <c r="Z3163" s="228">
        <v>3.2320887659213433E-2</v>
      </c>
      <c r="AA3163" s="230">
        <v>3.2262881536012644E-2</v>
      </c>
    </row>
    <row r="3164" spans="19:27" x14ac:dyDescent="0.2">
      <c r="S3164" s="32"/>
      <c r="T3164" s="187"/>
      <c r="W3164" s="221" t="str">
        <f t="shared" si="58"/>
        <v>1w</v>
      </c>
      <c r="X3164" s="222">
        <f>_xll.qlCalendarAdvance(Calendar,X3163,W3164,"f",FALSE)</f>
        <v>61023</v>
      </c>
      <c r="Y3164" s="227">
        <f>_xll.qlCalendarAdvance(Calendar,X3164,NDays&amp;"D")</f>
        <v>61023</v>
      </c>
      <c r="Z3164" s="228">
        <v>3.2326267461437741E-2</v>
      </c>
      <c r="AA3164" s="230">
        <v>3.2268277973767079E-2</v>
      </c>
    </row>
    <row r="3165" spans="19:27" x14ac:dyDescent="0.2">
      <c r="S3165" s="32"/>
      <c r="T3165" s="187"/>
      <c r="W3165" s="221" t="str">
        <f t="shared" si="58"/>
        <v>1w</v>
      </c>
      <c r="X3165" s="222">
        <f>_xll.qlCalendarAdvance(Calendar,X3164,W3165,"f",FALSE)</f>
        <v>61030</v>
      </c>
      <c r="Y3165" s="227">
        <f>_xll.qlCalendarAdvance(Calendar,X3165,NDays&amp;"D")</f>
        <v>61030</v>
      </c>
      <c r="Z3165" s="228">
        <v>3.232257119407464E-2</v>
      </c>
      <c r="AA3165" s="230">
        <v>3.2273660482583511E-2</v>
      </c>
    </row>
    <row r="3166" spans="19:27" x14ac:dyDescent="0.2">
      <c r="S3166" s="32"/>
      <c r="T3166" s="187"/>
      <c r="W3166" s="221" t="str">
        <f t="shared" si="58"/>
        <v>1w</v>
      </c>
      <c r="X3166" s="222">
        <f>_xll.qlCalendarAdvance(Calendar,X3165,W3166,"f",FALSE)</f>
        <v>61037</v>
      </c>
      <c r="Y3166" s="227">
        <f>_xll.qlCalendarAdvance(Calendar,X3166,NDays&amp;"D")</f>
        <v>61037</v>
      </c>
      <c r="Z3166" s="228">
        <v>3.2327925683970318E-2</v>
      </c>
      <c r="AA3166" s="230">
        <v>3.2279029062624032E-2</v>
      </c>
    </row>
    <row r="3167" spans="19:27" x14ac:dyDescent="0.2">
      <c r="S3167" s="32"/>
      <c r="T3167" s="187"/>
      <c r="W3167" s="221" t="str">
        <f t="shared" si="58"/>
        <v>1w</v>
      </c>
      <c r="X3167" s="222">
        <f>_xll.qlCalendarAdvance(Calendar,X3166,W3167,"f",FALSE)</f>
        <v>61044</v>
      </c>
      <c r="Y3167" s="227">
        <f>_xll.qlCalendarAdvance(Calendar,X3167,NDays&amp;"D")</f>
        <v>61044</v>
      </c>
      <c r="Z3167" s="228">
        <v>3.2333266213887268E-2</v>
      </c>
      <c r="AA3167" s="230">
        <v>3.2284383713888642E-2</v>
      </c>
    </row>
    <row r="3168" spans="19:27" x14ac:dyDescent="0.2">
      <c r="S3168" s="32"/>
      <c r="T3168" s="187"/>
      <c r="W3168" s="221" t="str">
        <f t="shared" si="58"/>
        <v>1w</v>
      </c>
      <c r="X3168" s="222">
        <f>_xll.qlCalendarAdvance(Calendar,X3167,W3168,"f",FALSE)</f>
        <v>61051</v>
      </c>
      <c r="Y3168" s="227">
        <f>_xll.qlCalendarAdvance(Calendar,X3168,NDays&amp;"D")</f>
        <v>61051</v>
      </c>
      <c r="Z3168" s="228">
        <v>3.2338592783808122E-2</v>
      </c>
      <c r="AA3168" s="230">
        <v>3.2289724436539435E-2</v>
      </c>
    </row>
    <row r="3169" spans="19:27" x14ac:dyDescent="0.2">
      <c r="S3169" s="32"/>
      <c r="T3169" s="187"/>
      <c r="W3169" s="221" t="str">
        <f t="shared" si="58"/>
        <v>1w</v>
      </c>
      <c r="X3169" s="222">
        <f>_xll.qlCalendarAdvance(Calendar,X3168,W3169,"f",FALSE)</f>
        <v>61058</v>
      </c>
      <c r="Y3169" s="227">
        <f>_xll.qlCalendarAdvance(Calendar,X3169,NDays&amp;"D")</f>
        <v>61058</v>
      </c>
      <c r="Z3169" s="228">
        <v>3.2354767474072649E-2</v>
      </c>
      <c r="AA3169" s="230">
        <v>3.2295051230333272E-2</v>
      </c>
    </row>
    <row r="3170" spans="19:27" x14ac:dyDescent="0.2">
      <c r="S3170" s="32"/>
      <c r="T3170" s="187"/>
      <c r="W3170" s="221" t="str">
        <f t="shared" si="58"/>
        <v>1w</v>
      </c>
      <c r="X3170" s="222">
        <f>_xll.qlCalendarAdvance(Calendar,X3169,W3170,"f",FALSE)</f>
        <v>61065</v>
      </c>
      <c r="Y3170" s="227">
        <f>_xll.qlCalendarAdvance(Calendar,X3170,NDays&amp;"D")</f>
        <v>61065</v>
      </c>
      <c r="Z3170" s="228">
        <v>3.2358252993732101E-2</v>
      </c>
      <c r="AA3170" s="230">
        <v>3.2300364095108058E-2</v>
      </c>
    </row>
    <row r="3171" spans="19:27" x14ac:dyDescent="0.2">
      <c r="S3171" s="32"/>
      <c r="T3171" s="187"/>
      <c r="W3171" s="221" t="str">
        <f t="shared" si="58"/>
        <v>1w</v>
      </c>
      <c r="X3171" s="222">
        <f>_xll.qlCalendarAdvance(Calendar,X3170,W3171,"f",FALSE)</f>
        <v>61072</v>
      </c>
      <c r="Y3171" s="227">
        <f>_xll.qlCalendarAdvance(Calendar,X3171,NDays&amp;"D")</f>
        <v>61072</v>
      </c>
      <c r="Z3171" s="228">
        <v>3.2363535035420075E-2</v>
      </c>
      <c r="AA3171" s="230">
        <v>3.2305663031350074E-2</v>
      </c>
    </row>
    <row r="3172" spans="19:27" x14ac:dyDescent="0.2">
      <c r="S3172" s="32"/>
      <c r="T3172" s="187"/>
      <c r="W3172" s="221" t="str">
        <f t="shared" si="58"/>
        <v>1w</v>
      </c>
      <c r="X3172" s="222">
        <f>_xll.qlCalendarAdvance(Calendar,X3171,W3172,"f",FALSE)</f>
        <v>61079</v>
      </c>
      <c r="Y3172" s="227">
        <f>_xll.qlCalendarAdvance(Calendar,X3172,NDays&amp;"D")</f>
        <v>61079</v>
      </c>
      <c r="Z3172" s="228">
        <v>3.236880311123505E-2</v>
      </c>
      <c r="AA3172" s="230">
        <v>3.2310948038816178E-2</v>
      </c>
    </row>
    <row r="3173" spans="19:27" x14ac:dyDescent="0.2">
      <c r="S3173" s="32"/>
      <c r="T3173" s="187"/>
      <c r="W3173" s="221" t="str">
        <f t="shared" si="58"/>
        <v>1w</v>
      </c>
      <c r="X3173" s="222">
        <f>_xll.qlCalendarAdvance(Calendar,X3172,W3173,"f",FALSE)</f>
        <v>61086</v>
      </c>
      <c r="Y3173" s="227">
        <f>_xll.qlCalendarAdvance(Calendar,X3173,NDays&amp;"D")</f>
        <v>61086</v>
      </c>
      <c r="Z3173" s="228">
        <v>3.2368632460267742E-2</v>
      </c>
      <c r="AA3173" s="230">
        <v>3.2316219117425327E-2</v>
      </c>
    </row>
    <row r="3174" spans="19:27" x14ac:dyDescent="0.2">
      <c r="S3174" s="32"/>
      <c r="T3174" s="187"/>
      <c r="W3174" s="221" t="str">
        <f t="shared" si="58"/>
        <v>1w</v>
      </c>
      <c r="X3174" s="222">
        <f>_xll.qlCalendarAdvance(Calendar,X3173,W3174,"f",FALSE)</f>
        <v>61093</v>
      </c>
      <c r="Y3174" s="227">
        <f>_xll.qlCalendarAdvance(Calendar,X3174,NDays&amp;"D")</f>
        <v>61093</v>
      </c>
      <c r="Z3174" s="228">
        <v>3.2373874204002659E-2</v>
      </c>
      <c r="AA3174" s="230">
        <v>3.2321476267177518E-2</v>
      </c>
    </row>
    <row r="3175" spans="19:27" x14ac:dyDescent="0.2">
      <c r="S3175" s="32"/>
      <c r="T3175" s="187"/>
      <c r="W3175" s="221" t="str">
        <f t="shared" si="58"/>
        <v>1w</v>
      </c>
      <c r="X3175" s="222">
        <f>_xll.qlCalendarAdvance(Calendar,X3174,W3175,"f",FALSE)</f>
        <v>61100</v>
      </c>
      <c r="Y3175" s="227">
        <f>_xll.qlCalendarAdvance(Calendar,X3175,NDays&amp;"D")</f>
        <v>61100</v>
      </c>
      <c r="Z3175" s="228">
        <v>3.237910198529774E-2</v>
      </c>
      <c r="AA3175" s="230">
        <v>3.2326719488315891E-2</v>
      </c>
    </row>
    <row r="3176" spans="19:27" x14ac:dyDescent="0.2">
      <c r="S3176" s="32"/>
      <c r="T3176" s="187"/>
      <c r="W3176" s="221" t="str">
        <f t="shared" si="58"/>
        <v>1w</v>
      </c>
      <c r="X3176" s="222">
        <f>_xll.qlCalendarAdvance(Calendar,X3175,W3176,"f",FALSE)</f>
        <v>61107</v>
      </c>
      <c r="Y3176" s="227">
        <f>_xll.qlCalendarAdvance(Calendar,X3176,NDays&amp;"D")</f>
        <v>61107</v>
      </c>
      <c r="Z3176" s="228">
        <v>3.2384315804134076E-2</v>
      </c>
      <c r="AA3176" s="230">
        <v>3.2331948780597308E-2</v>
      </c>
    </row>
    <row r="3177" spans="19:27" x14ac:dyDescent="0.2">
      <c r="S3177" s="32"/>
      <c r="T3177" s="187"/>
      <c r="W3177" s="221" t="str">
        <f t="shared" si="58"/>
        <v>1w</v>
      </c>
      <c r="X3177" s="222">
        <f>_xll.qlCalendarAdvance(Calendar,X3176,W3177,"f",FALSE)</f>
        <v>61114</v>
      </c>
      <c r="Y3177" s="227">
        <f>_xll.qlCalendarAdvance(Calendar,X3177,NDays&amp;"D")</f>
        <v>61114</v>
      </c>
      <c r="Z3177" s="228">
        <v>3.2389515660490052E-2</v>
      </c>
      <c r="AA3177" s="230">
        <v>3.2337164143940722E-2</v>
      </c>
    </row>
    <row r="3178" spans="19:27" x14ac:dyDescent="0.2">
      <c r="S3178" s="32"/>
      <c r="T3178" s="187"/>
      <c r="W3178" s="221" t="str">
        <f t="shared" si="58"/>
        <v>1w</v>
      </c>
      <c r="X3178" s="222">
        <f>_xll.qlCalendarAdvance(Calendar,X3177,W3178,"f",FALSE)</f>
        <v>61121</v>
      </c>
      <c r="Y3178" s="227">
        <f>_xll.qlCalendarAdvance(Calendar,X3178,NDays&amp;"D")</f>
        <v>61121</v>
      </c>
      <c r="Z3178" s="228">
        <v>3.2400118281730846E-2</v>
      </c>
      <c r="AA3178" s="230">
        <v>3.2342365578670318E-2</v>
      </c>
    </row>
    <row r="3179" spans="19:27" x14ac:dyDescent="0.2">
      <c r="S3179" s="32"/>
      <c r="T3179" s="187"/>
      <c r="W3179" s="221" t="str">
        <f t="shared" si="58"/>
        <v>1w</v>
      </c>
      <c r="X3179" s="222">
        <f>_xll.qlCalendarAdvance(Calendar,X3178,W3179,"f",FALSE)</f>
        <v>61128</v>
      </c>
      <c r="Y3179" s="227">
        <f>_xll.qlCalendarAdvance(Calendar,X3179,NDays&amp;"D")</f>
        <v>61128</v>
      </c>
      <c r="Z3179" s="228">
        <v>3.2405288595892028E-2</v>
      </c>
      <c r="AA3179" s="230">
        <v>3.2347553084624003E-2</v>
      </c>
    </row>
    <row r="3180" spans="19:27" x14ac:dyDescent="0.2">
      <c r="S3180" s="32"/>
      <c r="T3180" s="187"/>
      <c r="W3180" s="221" t="str">
        <f t="shared" si="58"/>
        <v>1w</v>
      </c>
      <c r="X3180" s="222">
        <f>_xll.qlCalendarAdvance(Calendar,X3179,W3180,"f",FALSE)</f>
        <v>61135</v>
      </c>
      <c r="Y3180" s="227">
        <f>_xll.qlCalendarAdvance(Calendar,X3180,NDays&amp;"D")</f>
        <v>61135</v>
      </c>
      <c r="Z3180" s="228">
        <v>3.2410444944027943E-2</v>
      </c>
      <c r="AA3180" s="230">
        <v>3.2352726661639686E-2</v>
      </c>
    </row>
    <row r="3181" spans="19:27" x14ac:dyDescent="0.2">
      <c r="S3181" s="32"/>
      <c r="T3181" s="187"/>
      <c r="W3181" s="221" t="str">
        <f t="shared" si="58"/>
        <v>1w</v>
      </c>
      <c r="X3181" s="222">
        <f>_xll.qlCalendarAdvance(Calendar,X3180,W3181,"f",FALSE)</f>
        <v>61142</v>
      </c>
      <c r="Y3181" s="227">
        <f>_xll.qlCalendarAdvance(Calendar,X3181,NDays&amp;"D")</f>
        <v>61142</v>
      </c>
      <c r="Z3181" s="228">
        <v>3.241558732611402E-2</v>
      </c>
      <c r="AA3181" s="230">
        <v>3.2357886309960504E-2</v>
      </c>
    </row>
    <row r="3182" spans="19:27" x14ac:dyDescent="0.2">
      <c r="S3182" s="32"/>
      <c r="T3182" s="187"/>
      <c r="W3182" s="221" t="str">
        <f t="shared" si="58"/>
        <v>1w</v>
      </c>
      <c r="X3182" s="222">
        <f>_xll.qlCalendarAdvance(Calendar,X3181,W3182,"f",FALSE)</f>
        <v>61149</v>
      </c>
      <c r="Y3182" s="227">
        <f>_xll.qlCalendarAdvance(Calendar,X3182,NDays&amp;"D")</f>
        <v>61149</v>
      </c>
      <c r="Z3182" s="228">
        <v>3.2415305504521583E-2</v>
      </c>
      <c r="AA3182" s="230">
        <v>3.2363032029586458E-2</v>
      </c>
    </row>
    <row r="3183" spans="19:27" x14ac:dyDescent="0.2">
      <c r="S3183" s="32"/>
      <c r="T3183" s="187"/>
      <c r="W3183" s="221" t="str">
        <f t="shared" si="58"/>
        <v>1w</v>
      </c>
      <c r="X3183" s="222">
        <f>_xll.qlCalendarAdvance(Calendar,X3182,W3183,"f",FALSE)</f>
        <v>61156</v>
      </c>
      <c r="Y3183" s="227">
        <f>_xll.qlCalendarAdvance(Calendar,X3183,NDays&amp;"D")</f>
        <v>61156</v>
      </c>
      <c r="Z3183" s="228">
        <v>3.2420421585655022E-2</v>
      </c>
      <c r="AA3183" s="230">
        <v>3.2368163820355456E-2</v>
      </c>
    </row>
    <row r="3184" spans="19:27" x14ac:dyDescent="0.2">
      <c r="S3184" s="32"/>
      <c r="T3184" s="187"/>
      <c r="W3184" s="221" t="str">
        <f t="shared" si="58"/>
        <v>1w</v>
      </c>
      <c r="X3184" s="222">
        <f>_xll.qlCalendarAdvance(Calendar,X3183,W3184,"f",FALSE)</f>
        <v>61163</v>
      </c>
      <c r="Y3184" s="227">
        <f>_xll.qlCalendarAdvance(Calendar,X3184,NDays&amp;"D")</f>
        <v>61163</v>
      </c>
      <c r="Z3184" s="228">
        <v>3.2425523704181135E-2</v>
      </c>
      <c r="AA3184" s="230">
        <v>3.2373281682105404E-2</v>
      </c>
    </row>
    <row r="3185" spans="19:27" x14ac:dyDescent="0.2">
      <c r="S3185" s="32"/>
      <c r="T3185" s="187"/>
      <c r="W3185" s="221" t="str">
        <f t="shared" si="58"/>
        <v>1w</v>
      </c>
      <c r="X3185" s="222">
        <f>_xll.qlCalendarAdvance(Calendar,X3184,W3185,"f",FALSE)</f>
        <v>61170</v>
      </c>
      <c r="Y3185" s="227">
        <f>_xll.qlCalendarAdvance(Calendar,X3185,NDays&amp;"D")</f>
        <v>61170</v>
      </c>
      <c r="Z3185" s="228">
        <v>3.2430611860091815E-2</v>
      </c>
      <c r="AA3185" s="230">
        <v>3.237838561532258E-2</v>
      </c>
    </row>
    <row r="3186" spans="19:27" x14ac:dyDescent="0.2">
      <c r="S3186" s="32"/>
      <c r="T3186" s="187"/>
      <c r="W3186" s="221" t="str">
        <f t="shared" si="58"/>
        <v>1w</v>
      </c>
      <c r="X3186" s="222">
        <f>_xll.qlCalendarAdvance(Calendar,X3185,W3186,"f",FALSE)</f>
        <v>61177</v>
      </c>
      <c r="Y3186" s="227">
        <f>_xll.qlCalendarAdvance(Calendar,X3186,NDays&amp;"D")</f>
        <v>61177</v>
      </c>
      <c r="Z3186" s="228">
        <v>3.2435686053370848E-2</v>
      </c>
      <c r="AA3186" s="230">
        <v>3.2383475619763846E-2</v>
      </c>
    </row>
    <row r="3187" spans="19:27" x14ac:dyDescent="0.2">
      <c r="S3187" s="32"/>
      <c r="T3187" s="187"/>
      <c r="W3187" s="221" t="str">
        <f t="shared" si="58"/>
        <v>1w</v>
      </c>
      <c r="X3187" s="222">
        <f>_xll.qlCalendarAdvance(Calendar,X3186,W3187,"f",FALSE)</f>
        <v>61184</v>
      </c>
      <c r="Y3187" s="227">
        <f>_xll.qlCalendarAdvance(Calendar,X3187,NDays&amp;"D")</f>
        <v>61184</v>
      </c>
      <c r="Z3187" s="228">
        <v>3.2446148330547625E-2</v>
      </c>
      <c r="AA3187" s="230">
        <v>3.2388551695348156E-2</v>
      </c>
    </row>
    <row r="3188" spans="19:27" x14ac:dyDescent="0.2">
      <c r="S3188" s="32"/>
      <c r="T3188" s="187"/>
      <c r="W3188" s="221" t="str">
        <f t="shared" si="58"/>
        <v>1w</v>
      </c>
      <c r="X3188" s="222">
        <f>_xll.qlCalendarAdvance(Calendar,X3187,W3188,"f",FALSE)</f>
        <v>61191</v>
      </c>
      <c r="Y3188" s="227">
        <f>_xll.qlCalendarAdvance(Calendar,X3188,NDays&amp;"D")</f>
        <v>61191</v>
      </c>
      <c r="Z3188" s="228">
        <v>3.2451192949749484E-2</v>
      </c>
      <c r="AA3188" s="230">
        <v>3.2393613841994462E-2</v>
      </c>
    </row>
    <row r="3189" spans="19:27" x14ac:dyDescent="0.2">
      <c r="S3189" s="32"/>
      <c r="T3189" s="187"/>
      <c r="W3189" s="221" t="str">
        <f t="shared" si="58"/>
        <v>1w</v>
      </c>
      <c r="X3189" s="222">
        <f>_xll.qlCalendarAdvance(Calendar,X3188,W3189,"f",FALSE)</f>
        <v>61198</v>
      </c>
      <c r="Y3189" s="227">
        <f>_xll.qlCalendarAdvance(Calendar,X3189,NDays&amp;"D")</f>
        <v>61198</v>
      </c>
      <c r="Z3189" s="228">
        <v>3.2456223602756615E-2</v>
      </c>
      <c r="AA3189" s="230">
        <v>3.2398662060189043E-2</v>
      </c>
    </row>
    <row r="3190" spans="19:27" x14ac:dyDescent="0.2">
      <c r="S3190" s="32"/>
      <c r="T3190" s="187"/>
      <c r="W3190" s="221" t="str">
        <f t="shared" si="58"/>
        <v>1w</v>
      </c>
      <c r="X3190" s="222">
        <f>_xll.qlCalendarAdvance(Calendar,X3189,W3190,"f",FALSE)</f>
        <v>61205</v>
      </c>
      <c r="Y3190" s="227">
        <f>_xll.qlCalendarAdvance(Calendar,X3190,NDays&amp;"D")</f>
        <v>61205</v>
      </c>
      <c r="Z3190" s="228">
        <v>3.2463039427076956E-2</v>
      </c>
      <c r="AA3190" s="230">
        <v>3.2403696349283528E-2</v>
      </c>
    </row>
    <row r="3191" spans="19:27" x14ac:dyDescent="0.2">
      <c r="S3191" s="32"/>
      <c r="T3191" s="187"/>
      <c r="W3191" s="221" t="str">
        <f t="shared" si="58"/>
        <v>1w</v>
      </c>
      <c r="X3191" s="222">
        <f>_xll.qlCalendarAdvance(Calendar,X3190,W3191,"f",FALSE)</f>
        <v>61212</v>
      </c>
      <c r="Y3191" s="227">
        <f>_xll.qlCalendarAdvance(Calendar,X3191,NDays&amp;"D")</f>
        <v>61212</v>
      </c>
      <c r="Z3191" s="228">
        <v>3.2466243010088436E-2</v>
      </c>
      <c r="AA3191" s="230">
        <v>3.2408716709602103E-2</v>
      </c>
    </row>
    <row r="3192" spans="19:27" x14ac:dyDescent="0.2">
      <c r="S3192" s="32"/>
      <c r="T3192" s="187"/>
      <c r="W3192" s="221" t="str">
        <f t="shared" si="58"/>
        <v>1w</v>
      </c>
      <c r="X3192" s="222">
        <f>_xll.qlCalendarAdvance(Calendar,X3191,W3192,"f",FALSE)</f>
        <v>61219</v>
      </c>
      <c r="Y3192" s="227">
        <f>_xll.qlCalendarAdvance(Calendar,X3192,NDays&amp;"D")</f>
        <v>61219</v>
      </c>
      <c r="Z3192" s="228">
        <v>3.2471231764373831E-2</v>
      </c>
      <c r="AA3192" s="230">
        <v>3.2413723141225814E-2</v>
      </c>
    </row>
    <row r="3193" spans="19:27" x14ac:dyDescent="0.2">
      <c r="S3193" s="32"/>
      <c r="T3193" s="187"/>
      <c r="W3193" s="221" t="str">
        <f t="shared" si="58"/>
        <v>1w</v>
      </c>
      <c r="X3193" s="222">
        <f>_xll.qlCalendarAdvance(Calendar,X3192,W3193,"f",FALSE)</f>
        <v>61226</v>
      </c>
      <c r="Y3193" s="227">
        <f>_xll.qlCalendarAdvance(Calendar,X3193,NDays&amp;"D")</f>
        <v>61226</v>
      </c>
      <c r="Z3193" s="228">
        <v>3.2476206552380996E-2</v>
      </c>
      <c r="AA3193" s="230">
        <v>3.2418715644235707E-2</v>
      </c>
    </row>
    <row r="3194" spans="19:27" x14ac:dyDescent="0.2">
      <c r="S3194" s="32"/>
      <c r="T3194" s="187"/>
      <c r="W3194" s="221" t="str">
        <f t="shared" si="58"/>
        <v>1w</v>
      </c>
      <c r="X3194" s="222">
        <f>_xll.qlCalendarAdvance(Calendar,X3193,W3194,"f",FALSE)</f>
        <v>61233</v>
      </c>
      <c r="Y3194" s="227">
        <f>_xll.qlCalendarAdvance(Calendar,X3194,NDays&amp;"D")</f>
        <v>61233</v>
      </c>
      <c r="Z3194" s="228">
        <v>3.2481167374095184E-2</v>
      </c>
      <c r="AA3194" s="230">
        <v>3.2423694218145505E-2</v>
      </c>
    </row>
    <row r="3195" spans="19:27" x14ac:dyDescent="0.2">
      <c r="S3195" s="32"/>
      <c r="T3195" s="187"/>
      <c r="W3195" s="221" t="str">
        <f t="shared" si="58"/>
        <v>1w</v>
      </c>
      <c r="X3195" s="222">
        <f>_xll.qlCalendarAdvance(Calendar,X3194,W3195,"f",FALSE)</f>
        <v>61240</v>
      </c>
      <c r="Y3195" s="227">
        <f>_xll.qlCalendarAdvance(Calendar,X3195,NDays&amp;"D")</f>
        <v>61240</v>
      </c>
      <c r="Z3195" s="228">
        <v>3.2480725471418968E-2</v>
      </c>
      <c r="AA3195" s="230">
        <v>3.2428658863360438E-2</v>
      </c>
    </row>
    <row r="3196" spans="19:27" x14ac:dyDescent="0.2">
      <c r="S3196" s="32"/>
      <c r="T3196" s="187"/>
      <c r="W3196" s="221" t="str">
        <f t="shared" si="58"/>
        <v>1w</v>
      </c>
      <c r="X3196" s="222">
        <f>_xll.qlCalendarAdvance(Calendar,X3195,W3196,"f",FALSE)</f>
        <v>61247</v>
      </c>
      <c r="Y3196" s="227">
        <f>_xll.qlCalendarAdvance(Calendar,X3196,NDays&amp;"D")</f>
        <v>61247</v>
      </c>
      <c r="Z3196" s="228">
        <v>3.2485660037392804E-2</v>
      </c>
      <c r="AA3196" s="230">
        <v>3.2433609579880507E-2</v>
      </c>
    </row>
    <row r="3197" spans="19:27" x14ac:dyDescent="0.2">
      <c r="S3197" s="32"/>
      <c r="T3197" s="187"/>
      <c r="W3197" s="221" t="str">
        <f t="shared" si="58"/>
        <v>1w</v>
      </c>
      <c r="X3197" s="222">
        <f>_xll.qlCalendarAdvance(Calendar,X3196,W3197,"f",FALSE)</f>
        <v>61254</v>
      </c>
      <c r="Y3197" s="227">
        <f>_xll.qlCalendarAdvance(Calendar,X3197,NDays&amp;"D")</f>
        <v>61254</v>
      </c>
      <c r="Z3197" s="228">
        <v>3.2490580640545885E-2</v>
      </c>
      <c r="AA3197" s="230">
        <v>3.2438546367543619E-2</v>
      </c>
    </row>
    <row r="3198" spans="19:27" x14ac:dyDescent="0.2">
      <c r="S3198" s="32"/>
      <c r="T3198" s="187"/>
      <c r="W3198" s="221" t="str">
        <f t="shared" si="58"/>
        <v>1w</v>
      </c>
      <c r="X3198" s="222">
        <f>_xll.qlCalendarAdvance(Calendar,X3197,W3198,"f",FALSE)</f>
        <v>61261</v>
      </c>
      <c r="Y3198" s="227">
        <f>_xll.qlCalendarAdvance(Calendar,X3198,NDays&amp;"D")</f>
        <v>61261</v>
      </c>
      <c r="Z3198" s="228">
        <v>3.2495487280853906E-2</v>
      </c>
      <c r="AA3198" s="230">
        <v>3.2443469226349775E-2</v>
      </c>
    </row>
    <row r="3199" spans="19:27" x14ac:dyDescent="0.2">
      <c r="S3199" s="32"/>
      <c r="T3199" s="187"/>
      <c r="W3199" s="221" t="str">
        <f t="shared" si="58"/>
        <v>1w</v>
      </c>
      <c r="X3199" s="222">
        <f>_xll.qlCalendarAdvance(Calendar,X3198,W3199,"f",FALSE)</f>
        <v>61268</v>
      </c>
      <c r="Y3199" s="227">
        <f>_xll.qlCalendarAdvance(Calendar,X3199,NDays&amp;"D")</f>
        <v>61268</v>
      </c>
      <c r="Z3199" s="228">
        <v>3.2500379958303349E-2</v>
      </c>
      <c r="AA3199" s="230">
        <v>3.2448378156217927E-2</v>
      </c>
    </row>
    <row r="3200" spans="19:27" x14ac:dyDescent="0.2">
      <c r="S3200" s="32"/>
      <c r="T3200" s="187"/>
      <c r="W3200" s="221" t="str">
        <f t="shared" si="58"/>
        <v>1w</v>
      </c>
      <c r="X3200" s="222">
        <f>_xll.qlCalendarAdvance(Calendar,X3199,W3200,"f",FALSE)</f>
        <v>61275</v>
      </c>
      <c r="Y3200" s="227">
        <f>_xll.qlCalendarAdvance(Calendar,X3200,NDays&amp;"D")</f>
        <v>61275</v>
      </c>
      <c r="Z3200" s="228">
        <v>3.2510639011085932E-2</v>
      </c>
      <c r="AA3200" s="230">
        <v>3.2453273157553308E-2</v>
      </c>
    </row>
    <row r="3201" spans="19:27" x14ac:dyDescent="0.2">
      <c r="S3201" s="32"/>
      <c r="T3201" s="187"/>
      <c r="W3201" s="221" t="str">
        <f t="shared" si="58"/>
        <v>1w</v>
      </c>
      <c r="X3201" s="222">
        <f>_xll.qlCalendarAdvance(Calendar,X3200,W3201,"f",FALSE)</f>
        <v>61282</v>
      </c>
      <c r="Y3201" s="227">
        <f>_xll.qlCalendarAdvance(Calendar,X3201,NDays&amp;"D")</f>
        <v>61282</v>
      </c>
      <c r="Z3201" s="228">
        <v>3.2515502068199198E-2</v>
      </c>
      <c r="AA3201" s="230">
        <v>3.2458154230031733E-2</v>
      </c>
    </row>
    <row r="3202" spans="19:27" x14ac:dyDescent="0.2">
      <c r="S3202" s="32"/>
      <c r="T3202" s="187"/>
      <c r="W3202" s="221" t="str">
        <f t="shared" si="58"/>
        <v>1w</v>
      </c>
      <c r="X3202" s="222">
        <f>_xll.qlCalendarAdvance(Calendar,X3201,W3202,"f",FALSE)</f>
        <v>61289</v>
      </c>
      <c r="Y3202" s="227">
        <f>_xll.qlCalendarAdvance(Calendar,X3202,NDays&amp;"D")</f>
        <v>61289</v>
      </c>
      <c r="Z3202" s="228">
        <v>3.2520351158867228E-2</v>
      </c>
      <c r="AA3202" s="230">
        <v>3.2463021373572154E-2</v>
      </c>
    </row>
    <row r="3203" spans="19:27" x14ac:dyDescent="0.2">
      <c r="S3203" s="32"/>
      <c r="T3203" s="187"/>
      <c r="W3203" s="221" t="str">
        <f t="shared" si="58"/>
        <v>1w</v>
      </c>
      <c r="X3203" s="222">
        <f>_xll.qlCalendarAdvance(Calendar,X3202,W3203,"f",FALSE)</f>
        <v>61296</v>
      </c>
      <c r="Y3203" s="227">
        <f>_xll.qlCalendarAdvance(Calendar,X3203,NDays&amp;"D")</f>
        <v>61296</v>
      </c>
      <c r="Z3203" s="228">
        <v>3.2525186283070363E-2</v>
      </c>
      <c r="AA3203" s="230">
        <v>3.2467874588417711E-2</v>
      </c>
    </row>
    <row r="3204" spans="19:27" x14ac:dyDescent="0.2">
      <c r="S3204" s="32"/>
      <c r="T3204" s="187"/>
      <c r="W3204" s="221" t="str">
        <f t="shared" si="58"/>
        <v>1w</v>
      </c>
      <c r="X3204" s="222">
        <f>_xll.qlCalendarAdvance(Calendar,X3203,W3204,"f",FALSE)</f>
        <v>61303</v>
      </c>
      <c r="Y3204" s="227">
        <f>_xll.qlCalendarAdvance(Calendar,X3204,NDays&amp;"D")</f>
        <v>61303</v>
      </c>
      <c r="Z3204" s="228">
        <v>3.2524633902107358E-2</v>
      </c>
      <c r="AA3204" s="230">
        <v>3.2472713874568404E-2</v>
      </c>
    </row>
    <row r="3205" spans="19:27" x14ac:dyDescent="0.2">
      <c r="S3205" s="32"/>
      <c r="T3205" s="187"/>
      <c r="W3205" s="221" t="str">
        <f t="shared" si="58"/>
        <v>1w</v>
      </c>
      <c r="X3205" s="222">
        <f>_xll.qlCalendarAdvance(Calendar,X3204,W3205,"f",FALSE)</f>
        <v>61310</v>
      </c>
      <c r="Y3205" s="227">
        <f>_xll.qlCalendarAdvance(Calendar,X3205,NDays&amp;"D")</f>
        <v>61310</v>
      </c>
      <c r="Z3205" s="228">
        <v>3.2529442802064976E-2</v>
      </c>
      <c r="AA3205" s="230">
        <v>3.2477539231781094E-2</v>
      </c>
    </row>
    <row r="3206" spans="19:27" x14ac:dyDescent="0.2">
      <c r="S3206" s="32"/>
      <c r="T3206" s="187"/>
      <c r="W3206" s="221" t="str">
        <f t="shared" si="58"/>
        <v>1w</v>
      </c>
      <c r="X3206" s="222">
        <f>_xll.qlCalendarAdvance(Calendar,X3205,W3206,"f",FALSE)</f>
        <v>61317</v>
      </c>
      <c r="Y3206" s="227">
        <f>_xll.qlCalendarAdvance(Calendar,X3206,NDays&amp;"D")</f>
        <v>61317</v>
      </c>
      <c r="Z3206" s="228">
        <v>3.253423773903704E-2</v>
      </c>
      <c r="AA3206" s="230">
        <v>3.2482350660055781E-2</v>
      </c>
    </row>
    <row r="3207" spans="19:27" x14ac:dyDescent="0.2">
      <c r="S3207" s="32"/>
      <c r="T3207" s="187"/>
      <c r="W3207" s="221" t="str">
        <f t="shared" si="58"/>
        <v>1w</v>
      </c>
      <c r="X3207" s="222">
        <f>_xll.qlCalendarAdvance(Calendar,X3206,W3207,"f",FALSE)</f>
        <v>61324</v>
      </c>
      <c r="Y3207" s="227">
        <f>_xll.qlCalendarAdvance(Calendar,X3207,NDays&amp;"D")</f>
        <v>61324</v>
      </c>
      <c r="Z3207" s="228">
        <v>3.2539018713026266E-2</v>
      </c>
      <c r="AA3207" s="230">
        <v>3.2487148159797696E-2</v>
      </c>
    </row>
    <row r="3208" spans="19:27" x14ac:dyDescent="0.2">
      <c r="S3208" s="32"/>
      <c r="T3208" s="187"/>
      <c r="W3208" s="221" t="str">
        <f t="shared" si="58"/>
        <v>1w</v>
      </c>
      <c r="X3208" s="222">
        <f>_xll.qlCalendarAdvance(Calendar,X3207,W3208,"f",FALSE)</f>
        <v>61331</v>
      </c>
      <c r="Y3208" s="227">
        <f>_xll.qlCalendarAdvance(Calendar,X3208,NDays&amp;"D")</f>
        <v>61331</v>
      </c>
      <c r="Z3208" s="228">
        <v>3.2543785724005625E-2</v>
      </c>
      <c r="AA3208" s="230">
        <v>3.2491931730601609E-2</v>
      </c>
    </row>
    <row r="3209" spans="19:27" x14ac:dyDescent="0.2">
      <c r="S3209" s="32"/>
      <c r="T3209" s="187"/>
      <c r="W3209" s="221" t="str">
        <f t="shared" si="58"/>
        <v>1w</v>
      </c>
      <c r="X3209" s="222">
        <f>_xll.qlCalendarAdvance(Calendar,X3208,W3209,"f",FALSE)</f>
        <v>61338</v>
      </c>
      <c r="Y3209" s="227">
        <f>_xll.qlCalendarAdvance(Calendar,X3209,NDays&amp;"D")</f>
        <v>61338</v>
      </c>
      <c r="Z3209" s="228">
        <v>3.2553903731544188E-2</v>
      </c>
      <c r="AA3209" s="230">
        <v>3.2496701372548564E-2</v>
      </c>
    </row>
    <row r="3210" spans="19:27" x14ac:dyDescent="0.2">
      <c r="S3210" s="32"/>
      <c r="T3210" s="187"/>
      <c r="W3210" s="221" t="str">
        <f t="shared" si="58"/>
        <v>1w</v>
      </c>
      <c r="X3210" s="222">
        <f>_xll.qlCalendarAdvance(Calendar,X3209,W3210,"f",FALSE)</f>
        <v>61345</v>
      </c>
      <c r="Y3210" s="227">
        <f>_xll.qlCalendarAdvance(Calendar,X3210,NDays&amp;"D")</f>
        <v>61345</v>
      </c>
      <c r="Z3210" s="228">
        <v>3.2558641089997023E-2</v>
      </c>
      <c r="AA3210" s="230">
        <v>3.2501457085719609E-2</v>
      </c>
    </row>
    <row r="3211" spans="19:27" x14ac:dyDescent="0.2">
      <c r="S3211" s="32"/>
      <c r="T3211" s="187"/>
      <c r="W3211" s="221" t="str">
        <f t="shared" si="58"/>
        <v>1w</v>
      </c>
      <c r="X3211" s="222">
        <f>_xll.qlCalendarAdvance(Calendar,X3210,W3211,"f",FALSE)</f>
        <v>61352</v>
      </c>
      <c r="Y3211" s="227">
        <f>_xll.qlCalendarAdvance(Calendar,X3211,NDays&amp;"D")</f>
        <v>61352</v>
      </c>
      <c r="Z3211" s="228">
        <v>3.2563364481842515E-2</v>
      </c>
      <c r="AA3211" s="230">
        <v>3.250619887019579E-2</v>
      </c>
    </row>
    <row r="3212" spans="19:27" x14ac:dyDescent="0.2">
      <c r="S3212" s="32"/>
      <c r="T3212" s="187"/>
      <c r="W3212" s="221" t="str">
        <f t="shared" si="58"/>
        <v>1w</v>
      </c>
      <c r="X3212" s="222">
        <f>_xll.qlCalendarAdvance(Calendar,X3211,W3212,"f",FALSE)</f>
        <v>61359</v>
      </c>
      <c r="Y3212" s="227">
        <f>_xll.qlCalendarAdvance(Calendar,X3212,NDays&amp;"D")</f>
        <v>61359</v>
      </c>
      <c r="Z3212" s="228">
        <v>3.2568073907065946E-2</v>
      </c>
      <c r="AA3212" s="230">
        <v>3.2510926725815015E-2</v>
      </c>
    </row>
    <row r="3213" spans="19:27" x14ac:dyDescent="0.2">
      <c r="S3213" s="32"/>
      <c r="T3213" s="187"/>
      <c r="W3213" s="221" t="str">
        <f t="shared" si="58"/>
        <v>1w</v>
      </c>
      <c r="X3213" s="222">
        <f>_xll.qlCalendarAdvance(Calendar,X3212,W3213,"f",FALSE)</f>
        <v>61366</v>
      </c>
      <c r="Y3213" s="227">
        <f>_xll.qlCalendarAdvance(Calendar,X3213,NDays&amp;"D")</f>
        <v>61366</v>
      </c>
      <c r="Z3213" s="228">
        <v>3.2572769365635378E-2</v>
      </c>
      <c r="AA3213" s="230">
        <v>3.2515640652496236E-2</v>
      </c>
    </row>
    <row r="3214" spans="19:27" x14ac:dyDescent="0.2">
      <c r="S3214" s="32"/>
      <c r="T3214" s="187"/>
      <c r="W3214" s="221" t="str">
        <f t="shared" si="58"/>
        <v>1w</v>
      </c>
      <c r="X3214" s="222">
        <f>_xll.qlCalendarAdvance(Calendar,X3213,W3214,"f",FALSE)</f>
        <v>61373</v>
      </c>
      <c r="Y3214" s="227">
        <f>_xll.qlCalendarAdvance(Calendar,X3214,NDays&amp;"D")</f>
        <v>61373</v>
      </c>
      <c r="Z3214" s="228">
        <v>3.257745085754836E-2</v>
      </c>
      <c r="AA3214" s="230">
        <v>3.2520340650563639E-2</v>
      </c>
    </row>
    <row r="3215" spans="19:27" x14ac:dyDescent="0.2">
      <c r="S3215" s="32"/>
      <c r="T3215" s="187"/>
      <c r="W3215" s="221" t="str">
        <f t="shared" si="58"/>
        <v>1w</v>
      </c>
      <c r="X3215" s="222">
        <f>_xll.qlCalendarAdvance(Calendar,X3214,W3215,"f",FALSE)</f>
        <v>61380</v>
      </c>
      <c r="Y3215" s="227">
        <f>_xll.qlCalendarAdvance(Calendar,X3215,NDays&amp;"D")</f>
        <v>61380</v>
      </c>
      <c r="Z3215" s="228">
        <v>3.2582118382780335E-2</v>
      </c>
      <c r="AA3215" s="230">
        <v>3.252502671969304E-2</v>
      </c>
    </row>
    <row r="3216" spans="19:27" x14ac:dyDescent="0.2">
      <c r="S3216" s="32"/>
      <c r="T3216" s="187"/>
      <c r="W3216" s="221" t="str">
        <f t="shared" si="58"/>
        <v>1w</v>
      </c>
      <c r="X3216" s="222">
        <f>_xll.qlCalendarAdvance(Calendar,X3215,W3216,"f",FALSE)</f>
        <v>61387</v>
      </c>
      <c r="Y3216" s="227">
        <f>_xll.qlCalendarAdvance(Calendar,X3216,NDays&amp;"D")</f>
        <v>61387</v>
      </c>
      <c r="Z3216" s="228">
        <v>3.2586771941323929E-2</v>
      </c>
      <c r="AA3216" s="230">
        <v>3.2529698860127576E-2</v>
      </c>
    </row>
    <row r="3217" spans="19:27" x14ac:dyDescent="0.2">
      <c r="S3217" s="32"/>
      <c r="T3217" s="187"/>
      <c r="W3217" s="221" t="str">
        <f t="shared" si="58"/>
        <v>1w</v>
      </c>
      <c r="X3217" s="222">
        <f>_xll.qlCalendarAdvance(Calendar,X3216,W3217,"f",FALSE)</f>
        <v>61394</v>
      </c>
      <c r="Y3217" s="227">
        <f>_xll.qlCalendarAdvance(Calendar,X3217,NDays&amp;"D")</f>
        <v>61394</v>
      </c>
      <c r="Z3217" s="228">
        <v>3.2584276902634865E-2</v>
      </c>
      <c r="AA3217" s="230">
        <v>3.2534357071624109E-2</v>
      </c>
    </row>
    <row r="3218" spans="19:27" x14ac:dyDescent="0.2">
      <c r="S3218" s="32"/>
      <c r="T3218" s="187"/>
      <c r="W3218" s="221" t="str">
        <f t="shared" si="58"/>
        <v>1w</v>
      </c>
      <c r="X3218" s="222">
        <f>_xll.qlCalendarAdvance(Calendar,X3217,W3218,"f",FALSE)</f>
        <v>61401</v>
      </c>
      <c r="Y3218" s="227">
        <f>_xll.qlCalendarAdvance(Calendar,X3218,NDays&amp;"D")</f>
        <v>61401</v>
      </c>
      <c r="Z3218" s="228">
        <v>3.2588904867360373E-2</v>
      </c>
      <c r="AA3218" s="230">
        <v>3.2539001354425778E-2</v>
      </c>
    </row>
    <row r="3219" spans="19:27" x14ac:dyDescent="0.2">
      <c r="S3219" s="32"/>
      <c r="T3219" s="187"/>
      <c r="W3219" s="221" t="str">
        <f t="shared" si="58"/>
        <v>1w</v>
      </c>
      <c r="X3219" s="222">
        <f>_xll.qlCalendarAdvance(Calendar,X3218,W3219,"f",FALSE)</f>
        <v>61408</v>
      </c>
      <c r="Y3219" s="227">
        <f>_xll.qlCalendarAdvance(Calendar,X3219,NDays&amp;"D")</f>
        <v>61408</v>
      </c>
      <c r="Z3219" s="228">
        <v>3.2593518870083785E-2</v>
      </c>
      <c r="AA3219" s="230">
        <v>3.2543631708370491E-2</v>
      </c>
    </row>
    <row r="3220" spans="19:27" x14ac:dyDescent="0.2">
      <c r="S3220" s="32"/>
      <c r="T3220" s="187"/>
      <c r="W3220" s="221" t="str">
        <f t="shared" si="58"/>
        <v>1w</v>
      </c>
      <c r="X3220" s="222">
        <f>_xll.qlCalendarAdvance(Calendar,X3219,W3220,"f",FALSE)</f>
        <v>61415</v>
      </c>
      <c r="Y3220" s="227">
        <f>_xll.qlCalendarAdvance(Calendar,X3220,NDays&amp;"D")</f>
        <v>61415</v>
      </c>
      <c r="Z3220" s="228">
        <v>3.2598118910793936E-2</v>
      </c>
      <c r="AA3220" s="230">
        <v>3.2548248133458246E-2</v>
      </c>
    </row>
    <row r="3221" spans="19:27" x14ac:dyDescent="0.2">
      <c r="S3221" s="32"/>
      <c r="T3221" s="187"/>
      <c r="W3221" s="221" t="str">
        <f t="shared" ref="W3221:W3284" si="59">W3220</f>
        <v>1w</v>
      </c>
      <c r="X3221" s="222">
        <f>_xll.qlCalendarAdvance(Calendar,X3220,W3221,"f",FALSE)</f>
        <v>61422</v>
      </c>
      <c r="Y3221" s="227">
        <f>_xll.qlCalendarAdvance(Calendar,X3221,NDays&amp;"D")</f>
        <v>61422</v>
      </c>
      <c r="Z3221" s="228">
        <v>3.2604486225689164E-2</v>
      </c>
      <c r="AA3221" s="230">
        <v>3.2552850629689045E-2</v>
      </c>
    </row>
    <row r="3222" spans="19:27" x14ac:dyDescent="0.2">
      <c r="S3222" s="32"/>
      <c r="T3222" s="187"/>
      <c r="W3222" s="221" t="str">
        <f t="shared" si="59"/>
        <v>1w</v>
      </c>
      <c r="X3222" s="222">
        <f>_xll.qlCalendarAdvance(Calendar,X3221,W3222,"f",FALSE)</f>
        <v>61429</v>
      </c>
      <c r="Y3222" s="227">
        <f>_xll.qlCalendarAdvance(Calendar,X3222,NDays&amp;"D")</f>
        <v>61429</v>
      </c>
      <c r="Z3222" s="228">
        <v>3.2614399990928591E-2</v>
      </c>
      <c r="AA3222" s="230">
        <v>3.2557439197306026E-2</v>
      </c>
    </row>
    <row r="3223" spans="19:27" x14ac:dyDescent="0.2">
      <c r="S3223" s="32"/>
      <c r="T3223" s="187"/>
      <c r="W3223" s="221" t="str">
        <f t="shared" si="59"/>
        <v>1w</v>
      </c>
      <c r="X3223" s="222">
        <f>_xll.qlCalendarAdvance(Calendar,X3222,W3223,"f",FALSE)</f>
        <v>61436</v>
      </c>
      <c r="Y3223" s="227">
        <f>_xll.qlCalendarAdvance(Calendar,X3223,NDays&amp;"D")</f>
        <v>61436</v>
      </c>
      <c r="Z3223" s="228">
        <v>3.2618955782100952E-2</v>
      </c>
      <c r="AA3223" s="230">
        <v>3.2562013835985004E-2</v>
      </c>
    </row>
    <row r="3224" spans="19:27" x14ac:dyDescent="0.2">
      <c r="S3224" s="32"/>
      <c r="T3224" s="187"/>
      <c r="W3224" s="221" t="str">
        <f t="shared" si="59"/>
        <v>1w</v>
      </c>
      <c r="X3224" s="222">
        <f>_xll.qlCalendarAdvance(Calendar,X3223,W3224,"f",FALSE)</f>
        <v>61443</v>
      </c>
      <c r="Y3224" s="227">
        <f>_xll.qlCalendarAdvance(Calendar,X3224,NDays&amp;"D")</f>
        <v>61443</v>
      </c>
      <c r="Z3224" s="228">
        <v>3.2625277268123275E-2</v>
      </c>
      <c r="AA3224" s="230">
        <v>3.2566574545725979E-2</v>
      </c>
    </row>
    <row r="3225" spans="19:27" x14ac:dyDescent="0.2">
      <c r="S3225" s="32"/>
      <c r="T3225" s="187"/>
      <c r="W3225" s="221" t="str">
        <f t="shared" si="59"/>
        <v>1w</v>
      </c>
      <c r="X3225" s="222">
        <f>_xll.qlCalendarAdvance(Calendar,X3224,W3225,"f",FALSE)</f>
        <v>61450</v>
      </c>
      <c r="Y3225" s="227">
        <f>_xll.qlCalendarAdvance(Calendar,X3225,NDays&amp;"D")</f>
        <v>61450</v>
      </c>
      <c r="Z3225" s="228">
        <v>3.2628025463913905E-2</v>
      </c>
      <c r="AA3225" s="230">
        <v>3.2571121326934183E-2</v>
      </c>
    </row>
    <row r="3226" spans="19:27" x14ac:dyDescent="0.2">
      <c r="S3226" s="32"/>
      <c r="T3226" s="187"/>
      <c r="W3226" s="221" t="str">
        <f t="shared" si="59"/>
        <v>1w</v>
      </c>
      <c r="X3226" s="222">
        <f>_xll.qlCalendarAdvance(Calendar,X3225,W3226,"f",FALSE)</f>
        <v>61457</v>
      </c>
      <c r="Y3226" s="227">
        <f>_xll.qlCalendarAdvance(Calendar,X3226,NDays&amp;"D")</f>
        <v>61457</v>
      </c>
      <c r="Z3226" s="228">
        <v>3.2627204228953231E-2</v>
      </c>
      <c r="AA3226" s="230">
        <v>3.2575654179204383E-2</v>
      </c>
    </row>
    <row r="3227" spans="19:27" x14ac:dyDescent="0.2">
      <c r="S3227" s="32"/>
      <c r="T3227" s="187"/>
      <c r="W3227" s="221" t="str">
        <f t="shared" si="59"/>
        <v>1w</v>
      </c>
      <c r="X3227" s="222">
        <f>_xll.qlCalendarAdvance(Calendar,X3226,W3227,"f",FALSE)</f>
        <v>61464</v>
      </c>
      <c r="Y3227" s="227">
        <f>_xll.qlCalendarAdvance(Calendar,X3227,NDays&amp;"D")</f>
        <v>61464</v>
      </c>
      <c r="Z3227" s="228">
        <v>3.2631705939735745E-2</v>
      </c>
      <c r="AA3227" s="230">
        <v>3.258017310253658E-2</v>
      </c>
    </row>
    <row r="3228" spans="19:27" x14ac:dyDescent="0.2">
      <c r="S3228" s="32"/>
      <c r="T3228" s="187"/>
      <c r="W3228" s="221" t="str">
        <f t="shared" si="59"/>
        <v>1w</v>
      </c>
      <c r="X3228" s="222">
        <f>_xll.qlCalendarAdvance(Calendar,X3227,W3228,"f",FALSE)</f>
        <v>61471</v>
      </c>
      <c r="Y3228" s="227">
        <f>_xll.qlCalendarAdvance(Calendar,X3228,NDays&amp;"D")</f>
        <v>61471</v>
      </c>
      <c r="Z3228" s="228">
        <v>3.2636193687195024E-2</v>
      </c>
      <c r="AA3228" s="230">
        <v>3.2584678097173914E-2</v>
      </c>
    </row>
    <row r="3229" spans="19:27" x14ac:dyDescent="0.2">
      <c r="S3229" s="32"/>
      <c r="T3229" s="187"/>
      <c r="W3229" s="221" t="str">
        <f t="shared" si="59"/>
        <v>1w</v>
      </c>
      <c r="X3229" s="222">
        <f>_xll.qlCalendarAdvance(Calendar,X3228,W3229,"f",FALSE)</f>
        <v>61478</v>
      </c>
      <c r="Y3229" s="227">
        <f>_xll.qlCalendarAdvance(Calendar,X3229,NDays&amp;"D")</f>
        <v>61478</v>
      </c>
      <c r="Z3229" s="228">
        <v>3.2640667471309448E-2</v>
      </c>
      <c r="AA3229" s="230">
        <v>3.2589169163035336E-2</v>
      </c>
    </row>
    <row r="3230" spans="19:27" x14ac:dyDescent="0.2">
      <c r="S3230" s="32"/>
      <c r="T3230" s="187"/>
      <c r="W3230" s="221" t="str">
        <f t="shared" si="59"/>
        <v>1w</v>
      </c>
      <c r="X3230" s="222">
        <f>_xll.qlCalendarAdvance(Calendar,X3229,W3230,"f",FALSE)</f>
        <v>61485</v>
      </c>
      <c r="Y3230" s="227">
        <f>_xll.qlCalendarAdvance(Calendar,X3230,NDays&amp;"D")</f>
        <v>61485</v>
      </c>
      <c r="Z3230" s="228">
        <v>3.2650455247934328E-2</v>
      </c>
      <c r="AA3230" s="230">
        <v>3.2593646300201895E-2</v>
      </c>
    </row>
    <row r="3231" spans="19:27" x14ac:dyDescent="0.2">
      <c r="S3231" s="32"/>
      <c r="T3231" s="187"/>
      <c r="W3231" s="221" t="str">
        <f t="shared" si="59"/>
        <v>1w</v>
      </c>
      <c r="X3231" s="222">
        <f>_xll.qlCalendarAdvance(Calendar,X3230,W3231,"f",FALSE)</f>
        <v>61492</v>
      </c>
      <c r="Y3231" s="227">
        <f>_xll.qlCalendarAdvance(Calendar,X3231,NDays&amp;"D")</f>
        <v>61492</v>
      </c>
      <c r="Z3231" s="228">
        <v>3.2654899303934525E-2</v>
      </c>
      <c r="AA3231" s="230">
        <v>3.2598109508187312E-2</v>
      </c>
    </row>
    <row r="3232" spans="19:27" x14ac:dyDescent="0.2">
      <c r="S3232" s="32"/>
      <c r="T3232" s="187"/>
      <c r="W3232" s="221" t="str">
        <f t="shared" si="59"/>
        <v>1w</v>
      </c>
      <c r="X3232" s="222">
        <f>_xll.qlCalendarAdvance(Calendar,X3231,W3232,"f",FALSE)</f>
        <v>61499</v>
      </c>
      <c r="Y3232" s="227">
        <f>_xll.qlCalendarAdvance(Calendar,X3232,NDays&amp;"D")</f>
        <v>61499</v>
      </c>
      <c r="Z3232" s="228">
        <v>3.2659329392971281E-2</v>
      </c>
      <c r="AA3232" s="230">
        <v>3.2602558787639957E-2</v>
      </c>
    </row>
    <row r="3233" spans="19:27" x14ac:dyDescent="0.2">
      <c r="S3233" s="32"/>
      <c r="T3233" s="187"/>
      <c r="W3233" s="221" t="str">
        <f t="shared" si="59"/>
        <v>1w</v>
      </c>
      <c r="X3233" s="222">
        <f>_xll.qlCalendarAdvance(Calendar,X3232,W3233,"f",FALSE)</f>
        <v>61506</v>
      </c>
      <c r="Y3233" s="227">
        <f>_xll.qlCalendarAdvance(Calendar,X3233,NDays&amp;"D")</f>
        <v>61506</v>
      </c>
      <c r="Z3233" s="228">
        <v>3.2663745515015122E-2</v>
      </c>
      <c r="AA3233" s="230">
        <v>3.2606994138154599E-2</v>
      </c>
    </row>
    <row r="3234" spans="19:27" x14ac:dyDescent="0.2">
      <c r="S3234" s="32"/>
      <c r="T3234" s="187"/>
      <c r="W3234" s="221" t="str">
        <f t="shared" si="59"/>
        <v>1w</v>
      </c>
      <c r="X3234" s="222">
        <f>_xll.qlCalendarAdvance(Calendar,X3233,W3234,"f",FALSE)</f>
        <v>61513</v>
      </c>
      <c r="Y3234" s="227">
        <f>_xll.qlCalendarAdvance(Calendar,X3234,NDays&amp;"D")</f>
        <v>61513</v>
      </c>
      <c r="Z3234" s="228">
        <v>3.2662826941246857E-2</v>
      </c>
      <c r="AA3234" s="230">
        <v>3.2611415559893331E-2</v>
      </c>
    </row>
    <row r="3235" spans="19:27" x14ac:dyDescent="0.2">
      <c r="S3235" s="32"/>
      <c r="T3235" s="187"/>
      <c r="W3235" s="221" t="str">
        <f t="shared" si="59"/>
        <v>1w</v>
      </c>
      <c r="X3235" s="222">
        <f>_xll.qlCalendarAdvance(Calendar,X3234,W3235,"f",FALSE)</f>
        <v>61520</v>
      </c>
      <c r="Y3235" s="227">
        <f>_xll.qlCalendarAdvance(Calendar,X3235,NDays&amp;"D")</f>
        <v>61520</v>
      </c>
      <c r="Z3235" s="228">
        <v>3.2667216944992306E-2</v>
      </c>
      <c r="AA3235" s="230">
        <v>3.2615823052775106E-2</v>
      </c>
    </row>
    <row r="3236" spans="19:27" x14ac:dyDescent="0.2">
      <c r="S3236" s="32"/>
      <c r="T3236" s="187"/>
      <c r="W3236" s="221" t="str">
        <f t="shared" si="59"/>
        <v>1w</v>
      </c>
      <c r="X3236" s="222">
        <f>_xll.qlCalendarAdvance(Calendar,X3235,W3236,"f",FALSE)</f>
        <v>61527</v>
      </c>
      <c r="Y3236" s="227">
        <f>_xll.qlCalendarAdvance(Calendar,X3236,NDays&amp;"D")</f>
        <v>61527</v>
      </c>
      <c r="Z3236" s="228">
        <v>3.267159298529565E-2</v>
      </c>
      <c r="AA3236" s="230">
        <v>3.262021661688097E-2</v>
      </c>
    </row>
    <row r="3237" spans="19:27" x14ac:dyDescent="0.2">
      <c r="S3237" s="32"/>
      <c r="T3237" s="187"/>
      <c r="W3237" s="221" t="str">
        <f t="shared" si="59"/>
        <v>1w</v>
      </c>
      <c r="X3237" s="222">
        <f>_xll.qlCalendarAdvance(Calendar,X3236,W3237,"f",FALSE)</f>
        <v>61534</v>
      </c>
      <c r="Y3237" s="227">
        <f>_xll.qlCalendarAdvance(Calendar,X3237,NDays&amp;"D")</f>
        <v>61534</v>
      </c>
      <c r="Z3237" s="228">
        <v>3.2675955062135276E-2</v>
      </c>
      <c r="AA3237" s="230">
        <v>3.2624596252210925E-2</v>
      </c>
    </row>
    <row r="3238" spans="19:27" x14ac:dyDescent="0.2">
      <c r="S3238" s="32"/>
      <c r="T3238" s="187"/>
      <c r="W3238" s="221" t="str">
        <f t="shared" si="59"/>
        <v>1w</v>
      </c>
      <c r="X3238" s="222">
        <f>_xll.qlCalendarAdvance(Calendar,X3237,W3238,"f",FALSE)</f>
        <v>61541</v>
      </c>
      <c r="Y3238" s="227">
        <f>_xll.qlCalendarAdvance(Calendar,X3238,NDays&amp;"D")</f>
        <v>61541</v>
      </c>
      <c r="Z3238" s="228">
        <v>3.268030317549768E-2</v>
      </c>
      <c r="AA3238" s="230">
        <v>3.2628961958521829E-2</v>
      </c>
    </row>
    <row r="3239" spans="19:27" x14ac:dyDescent="0.2">
      <c r="S3239" s="32"/>
      <c r="T3239" s="187"/>
      <c r="W3239" s="221" t="str">
        <f t="shared" si="59"/>
        <v>1w</v>
      </c>
      <c r="X3239" s="222">
        <f>_xll.qlCalendarAdvance(Calendar,X3238,W3239,"f",FALSE)</f>
        <v>61548</v>
      </c>
      <c r="Y3239" s="227">
        <f>_xll.qlCalendarAdvance(Calendar,X3239,NDays&amp;"D")</f>
        <v>61548</v>
      </c>
      <c r="Z3239" s="228">
        <v>3.268994893960419E-2</v>
      </c>
      <c r="AA3239" s="230">
        <v>3.2633313736299963E-2</v>
      </c>
    </row>
    <row r="3240" spans="19:27" x14ac:dyDescent="0.2">
      <c r="S3240" s="32"/>
      <c r="T3240" s="187"/>
      <c r="W3240" s="221" t="str">
        <f t="shared" si="59"/>
        <v>1w</v>
      </c>
      <c r="X3240" s="222">
        <f>_xll.qlCalendarAdvance(Calendar,X3239,W3240,"f",FALSE)</f>
        <v>61555</v>
      </c>
      <c r="Y3240" s="227">
        <f>_xll.qlCalendarAdvance(Calendar,X3240,NDays&amp;"D")</f>
        <v>61555</v>
      </c>
      <c r="Z3240" s="228">
        <v>3.2694267292265371E-2</v>
      </c>
      <c r="AA3240" s="230">
        <v>3.2637651585059047E-2</v>
      </c>
    </row>
    <row r="3241" spans="19:27" x14ac:dyDescent="0.2">
      <c r="S3241" s="32"/>
      <c r="T3241" s="187"/>
      <c r="W3241" s="221" t="str">
        <f t="shared" si="59"/>
        <v>1w</v>
      </c>
      <c r="X3241" s="222">
        <f>_xll.qlCalendarAdvance(Calendar,X3240,W3241,"f",FALSE)</f>
        <v>61562</v>
      </c>
      <c r="Y3241" s="227">
        <f>_xll.qlCalendarAdvance(Calendar,X3241,NDays&amp;"D")</f>
        <v>61562</v>
      </c>
      <c r="Z3241" s="228">
        <v>3.2698571677810838E-2</v>
      </c>
      <c r="AA3241" s="230">
        <v>3.2641975505123266E-2</v>
      </c>
    </row>
    <row r="3242" spans="19:27" x14ac:dyDescent="0.2">
      <c r="S3242" s="32"/>
      <c r="T3242" s="187"/>
      <c r="W3242" s="221" t="str">
        <f t="shared" si="59"/>
        <v>1w</v>
      </c>
      <c r="X3242" s="222">
        <f>_xll.qlCalendarAdvance(Calendar,X3241,W3242,"f",FALSE)</f>
        <v>61569</v>
      </c>
      <c r="Y3242" s="227">
        <f>_xll.qlCalendarAdvance(Calendar,X3242,NDays&amp;"D")</f>
        <v>61569</v>
      </c>
      <c r="Z3242" s="228">
        <v>3.270463089081508E-2</v>
      </c>
      <c r="AA3242" s="230">
        <v>3.2646285496168437E-2</v>
      </c>
    </row>
    <row r="3243" spans="19:27" x14ac:dyDescent="0.2">
      <c r="S3243" s="32"/>
      <c r="T3243" s="187"/>
      <c r="W3243" s="221" t="str">
        <f t="shared" si="59"/>
        <v>1w</v>
      </c>
      <c r="X3243" s="222">
        <f>_xll.qlCalendarAdvance(Calendar,X3242,W3243,"f",FALSE)</f>
        <v>61576</v>
      </c>
      <c r="Y3243" s="227">
        <f>_xll.qlCalendarAdvance(Calendar,X3243,NDays&amp;"D")</f>
        <v>61576</v>
      </c>
      <c r="Z3243" s="228">
        <v>3.2707138547468685E-2</v>
      </c>
      <c r="AA3243" s="230">
        <v>3.2650581558680836E-2</v>
      </c>
    </row>
    <row r="3244" spans="19:27" x14ac:dyDescent="0.2">
      <c r="S3244" s="32"/>
      <c r="T3244" s="187"/>
      <c r="W3244" s="221" t="str">
        <f t="shared" si="59"/>
        <v>1w</v>
      </c>
      <c r="X3244" s="222">
        <f>_xll.qlCalendarAdvance(Calendar,X3243,W3244,"f",FALSE)</f>
        <v>61583</v>
      </c>
      <c r="Y3244" s="227">
        <f>_xll.qlCalendarAdvance(Calendar,X3244,NDays&amp;"D")</f>
        <v>61583</v>
      </c>
      <c r="Z3244" s="228">
        <v>3.2711401031551582E-2</v>
      </c>
      <c r="AA3244" s="230">
        <v>3.2654863692093139E-2</v>
      </c>
    </row>
    <row r="3245" spans="19:27" x14ac:dyDescent="0.2">
      <c r="S3245" s="32"/>
      <c r="T3245" s="187"/>
      <c r="W3245" s="221" t="str">
        <f t="shared" si="59"/>
        <v>1w</v>
      </c>
      <c r="X3245" s="222">
        <f>_xll.qlCalendarAdvance(Calendar,X3244,W3245,"f",FALSE)</f>
        <v>61590</v>
      </c>
      <c r="Y3245" s="227">
        <f>_xll.qlCalendarAdvance(Calendar,X3245,NDays&amp;"D")</f>
        <v>61590</v>
      </c>
      <c r="Z3245" s="228">
        <v>3.2715649548452463E-2</v>
      </c>
      <c r="AA3245" s="230">
        <v>3.2659131896891624E-2</v>
      </c>
    </row>
    <row r="3246" spans="19:27" x14ac:dyDescent="0.2">
      <c r="S3246" s="32"/>
      <c r="T3246" s="187"/>
      <c r="W3246" s="221" t="str">
        <f t="shared" si="59"/>
        <v>1w</v>
      </c>
      <c r="X3246" s="222">
        <f>_xll.qlCalendarAdvance(Calendar,X3245,W3246,"f",FALSE)</f>
        <v>61597</v>
      </c>
      <c r="Y3246" s="227">
        <f>_xll.qlCalendarAdvance(Calendar,X3246,NDays&amp;"D")</f>
        <v>61597</v>
      </c>
      <c r="Z3246" s="228">
        <v>3.2719884098144296E-2</v>
      </c>
      <c r="AA3246" s="230">
        <v>3.2663386172590014E-2</v>
      </c>
    </row>
    <row r="3247" spans="19:27" x14ac:dyDescent="0.2">
      <c r="S3247" s="32"/>
      <c r="T3247" s="187"/>
      <c r="W3247" s="221" t="str">
        <f t="shared" si="59"/>
        <v>1w</v>
      </c>
      <c r="X3247" s="222">
        <f>_xll.qlCalendarAdvance(Calendar,X3246,W3247,"f",FALSE)</f>
        <v>61604</v>
      </c>
      <c r="Y3247" s="227">
        <f>_xll.qlCalendarAdvance(Calendar,X3247,NDays&amp;"D")</f>
        <v>61604</v>
      </c>
      <c r="Z3247" s="228">
        <v>3.2718807836806772E-2</v>
      </c>
      <c r="AA3247" s="230">
        <v>3.2667626519755633E-2</v>
      </c>
    </row>
    <row r="3248" spans="19:27" x14ac:dyDescent="0.2">
      <c r="S3248" s="32"/>
      <c r="T3248" s="187"/>
      <c r="W3248" s="221" t="str">
        <f t="shared" si="59"/>
        <v>1w</v>
      </c>
      <c r="X3248" s="222">
        <f>_xll.qlCalendarAdvance(Calendar,X3247,W3248,"f",FALSE)</f>
        <v>61611</v>
      </c>
      <c r="Y3248" s="227">
        <f>_xll.qlCalendarAdvance(Calendar,X3248,NDays&amp;"D")</f>
        <v>61611</v>
      </c>
      <c r="Z3248" s="228">
        <v>3.2723016314581042E-2</v>
      </c>
      <c r="AA3248" s="230">
        <v>3.2671852937983248E-2</v>
      </c>
    </row>
    <row r="3249" spans="19:27" x14ac:dyDescent="0.2">
      <c r="S3249" s="32"/>
      <c r="T3249" s="187"/>
      <c r="W3249" s="221" t="str">
        <f t="shared" si="59"/>
        <v>1w</v>
      </c>
      <c r="X3249" s="222">
        <f>_xll.qlCalendarAdvance(Calendar,X3248,W3249,"f",FALSE)</f>
        <v>61618</v>
      </c>
      <c r="Y3249" s="227">
        <f>_xll.qlCalendarAdvance(Calendar,X3249,NDays&amp;"D")</f>
        <v>61618</v>
      </c>
      <c r="Z3249" s="228">
        <v>3.2727210828710593E-2</v>
      </c>
      <c r="AA3249" s="230">
        <v>3.2676065427434953E-2</v>
      </c>
    </row>
    <row r="3250" spans="19:27" x14ac:dyDescent="0.2">
      <c r="S3250" s="32"/>
      <c r="T3250" s="187"/>
      <c r="W3250" s="221" t="str">
        <f t="shared" si="59"/>
        <v>1w</v>
      </c>
      <c r="X3250" s="222">
        <f>_xll.qlCalendarAdvance(Calendar,X3249,W3250,"f",FALSE)</f>
        <v>61625</v>
      </c>
      <c r="Y3250" s="227">
        <f>_xll.qlCalendarAdvance(Calendar,X3250,NDays&amp;"D")</f>
        <v>61625</v>
      </c>
      <c r="Z3250" s="228">
        <v>3.2731391379190011E-2</v>
      </c>
      <c r="AA3250" s="230">
        <v>3.2680263987867608E-2</v>
      </c>
    </row>
    <row r="3251" spans="19:27" x14ac:dyDescent="0.2">
      <c r="S3251" s="32"/>
      <c r="T3251" s="187"/>
      <c r="W3251" s="221" t="str">
        <f t="shared" si="59"/>
        <v>1w</v>
      </c>
      <c r="X3251" s="222">
        <f>_xll.qlCalendarAdvance(Calendar,X3250,W3251,"f",FALSE)</f>
        <v>61632</v>
      </c>
      <c r="Y3251" s="227">
        <f>_xll.qlCalendarAdvance(Calendar,X3251,NDays&amp;"D")</f>
        <v>61632</v>
      </c>
      <c r="Z3251" s="228">
        <v>3.2735557965997697E-2</v>
      </c>
      <c r="AA3251" s="230">
        <v>3.2684448619767492E-2</v>
      </c>
    </row>
    <row r="3252" spans="19:27" x14ac:dyDescent="0.2">
      <c r="S3252" s="32"/>
      <c r="T3252" s="187"/>
      <c r="W3252" s="221" t="str">
        <f t="shared" si="59"/>
        <v>1w</v>
      </c>
      <c r="X3252" s="222">
        <f>_xll.qlCalendarAdvance(Calendar,X3251,W3252,"f",FALSE)</f>
        <v>61639</v>
      </c>
      <c r="Y3252" s="227">
        <f>_xll.qlCalendarAdvance(Calendar,X3252,NDays&amp;"D")</f>
        <v>61639</v>
      </c>
      <c r="Z3252" s="228">
        <v>3.2744998084217838E-2</v>
      </c>
      <c r="AA3252" s="230">
        <v>3.2688619322729373E-2</v>
      </c>
    </row>
    <row r="3253" spans="19:27" x14ac:dyDescent="0.2">
      <c r="S3253" s="32"/>
      <c r="T3253" s="187"/>
      <c r="W3253" s="221" t="str">
        <f t="shared" si="59"/>
        <v>1w</v>
      </c>
      <c r="X3253" s="222">
        <f>_xll.qlCalendarAdvance(Calendar,X3252,W3253,"f",FALSE)</f>
        <v>61646</v>
      </c>
      <c r="Y3253" s="227">
        <f>_xll.qlCalendarAdvance(Calendar,X3253,NDays&amp;"D")</f>
        <v>61646</v>
      </c>
      <c r="Z3253" s="228">
        <v>3.2749134863060816E-2</v>
      </c>
      <c r="AA3253" s="230">
        <v>3.2692776096672205E-2</v>
      </c>
    </row>
    <row r="3254" spans="19:27" x14ac:dyDescent="0.2">
      <c r="S3254" s="32"/>
      <c r="T3254" s="187"/>
      <c r="W3254" s="221" t="str">
        <f t="shared" si="59"/>
        <v>1w</v>
      </c>
      <c r="X3254" s="222">
        <f>_xll.qlCalendarAdvance(Calendar,X3253,W3254,"f",FALSE)</f>
        <v>61653</v>
      </c>
      <c r="Y3254" s="227">
        <f>_xll.qlCalendarAdvance(Calendar,X3254,NDays&amp;"D")</f>
        <v>61653</v>
      </c>
      <c r="Z3254" s="228">
        <v>3.2753257674579331E-2</v>
      </c>
      <c r="AA3254" s="230">
        <v>3.2696918942001219E-2</v>
      </c>
    </row>
    <row r="3255" spans="19:27" x14ac:dyDescent="0.2">
      <c r="S3255" s="32"/>
      <c r="T3255" s="187"/>
      <c r="W3255" s="221" t="str">
        <f t="shared" si="59"/>
        <v>1w</v>
      </c>
      <c r="X3255" s="222">
        <f>_xll.qlCalendarAdvance(Calendar,X3254,W3255,"f",FALSE)</f>
        <v>61660</v>
      </c>
      <c r="Y3255" s="227">
        <f>_xll.qlCalendarAdvance(Calendar,X3255,NDays&amp;"D")</f>
        <v>61660</v>
      </c>
      <c r="Z3255" s="228">
        <v>3.2757366518751267E-2</v>
      </c>
      <c r="AA3255" s="230">
        <v>3.2701047858473276E-2</v>
      </c>
    </row>
    <row r="3256" spans="19:27" x14ac:dyDescent="0.2">
      <c r="S3256" s="32"/>
      <c r="T3256" s="187"/>
      <c r="W3256" s="221" t="str">
        <f t="shared" si="59"/>
        <v>1w</v>
      </c>
      <c r="X3256" s="222">
        <f>_xll.qlCalendarAdvance(Calendar,X3255,W3256,"f",FALSE)</f>
        <v>61667</v>
      </c>
      <c r="Y3256" s="227">
        <f>_xll.qlCalendarAdvance(Calendar,X3256,NDays&amp;"D")</f>
        <v>61667</v>
      </c>
      <c r="Z3256" s="228">
        <v>3.2756181444535924E-2</v>
      </c>
      <c r="AA3256" s="230">
        <v>3.270516284600733E-2</v>
      </c>
    </row>
    <row r="3257" spans="19:27" x14ac:dyDescent="0.2">
      <c r="S3257" s="32"/>
      <c r="T3257" s="187"/>
      <c r="W3257" s="221" t="str">
        <f t="shared" si="59"/>
        <v>1w</v>
      </c>
      <c r="X3257" s="222">
        <f>_xll.qlCalendarAdvance(Calendar,X3256,W3257,"f",FALSE)</f>
        <v>61674</v>
      </c>
      <c r="Y3257" s="227">
        <f>_xll.qlCalendarAdvance(Calendar,X3257,NDays&amp;"D")</f>
        <v>61674</v>
      </c>
      <c r="Z3257" s="228">
        <v>3.2760264249040327E-2</v>
      </c>
      <c r="AA3257" s="230">
        <v>3.2709263904846519E-2</v>
      </c>
    </row>
    <row r="3258" spans="19:27" x14ac:dyDescent="0.2">
      <c r="S3258" s="32"/>
      <c r="T3258" s="187"/>
      <c r="W3258" s="221" t="str">
        <f t="shared" si="59"/>
        <v>1w</v>
      </c>
      <c r="X3258" s="222">
        <f>_xll.qlCalendarAdvance(Calendar,X3257,W3258,"f",FALSE)</f>
        <v>61681</v>
      </c>
      <c r="Y3258" s="227">
        <f>_xll.qlCalendarAdvance(Calendar,X3258,NDays&amp;"D")</f>
        <v>61681</v>
      </c>
      <c r="Z3258" s="228">
        <v>3.2764333089775742E-2</v>
      </c>
      <c r="AA3258" s="230">
        <v>3.2713351034909799E-2</v>
      </c>
    </row>
    <row r="3259" spans="19:27" x14ac:dyDescent="0.2">
      <c r="S3259" s="32"/>
      <c r="T3259" s="187"/>
      <c r="W3259" s="221" t="str">
        <f t="shared" si="59"/>
        <v>1w</v>
      </c>
      <c r="X3259" s="222">
        <f>_xll.qlCalendarAdvance(Calendar,X3258,W3259,"f",FALSE)</f>
        <v>61688</v>
      </c>
      <c r="Y3259" s="227">
        <f>_xll.qlCalendarAdvance(Calendar,X3259,NDays&amp;"D")</f>
        <v>61688</v>
      </c>
      <c r="Z3259" s="228">
        <v>3.2768387966734057E-2</v>
      </c>
      <c r="AA3259" s="230">
        <v>3.2717424236035075E-2</v>
      </c>
    </row>
    <row r="3260" spans="19:27" x14ac:dyDescent="0.2">
      <c r="S3260" s="32"/>
      <c r="T3260" s="187"/>
      <c r="W3260" s="221" t="str">
        <f t="shared" si="59"/>
        <v>1w</v>
      </c>
      <c r="X3260" s="222">
        <f>_xll.qlCalendarAdvance(Calendar,X3259,W3260,"f",FALSE)</f>
        <v>61695</v>
      </c>
      <c r="Y3260" s="227">
        <f>_xll.qlCalendarAdvance(Calendar,X3260,NDays&amp;"D")</f>
        <v>61695</v>
      </c>
      <c r="Z3260" s="228">
        <v>3.2772428879888259E-2</v>
      </c>
      <c r="AA3260" s="230">
        <v>3.2721483508303395E-2</v>
      </c>
    </row>
    <row r="3261" spans="19:27" x14ac:dyDescent="0.2">
      <c r="S3261" s="32"/>
      <c r="T3261" s="187"/>
      <c r="W3261" s="221" t="str">
        <f t="shared" si="59"/>
        <v>1w</v>
      </c>
      <c r="X3261" s="222">
        <f>_xll.qlCalendarAdvance(Calendar,X3260,W3261,"f",FALSE)</f>
        <v>61702</v>
      </c>
      <c r="Y3261" s="227">
        <f>_xll.qlCalendarAdvance(Calendar,X3261,NDays&amp;"D")</f>
        <v>61702</v>
      </c>
      <c r="Z3261" s="228">
        <v>3.2781726268721431E-2</v>
      </c>
      <c r="AA3261" s="230">
        <v>3.2725528851876851E-2</v>
      </c>
    </row>
    <row r="3262" spans="19:27" x14ac:dyDescent="0.2">
      <c r="S3262" s="32"/>
      <c r="T3262" s="187"/>
      <c r="W3262" s="221" t="str">
        <f t="shared" si="59"/>
        <v>1w</v>
      </c>
      <c r="X3262" s="222">
        <f>_xll.qlCalendarAdvance(Calendar,X3261,W3262,"f",FALSE)</f>
        <v>61709</v>
      </c>
      <c r="Y3262" s="227">
        <f>_xll.qlCalendarAdvance(Calendar,X3262,NDays&amp;"D")</f>
        <v>61709</v>
      </c>
      <c r="Z3262" s="228">
        <v>3.2785737341057226E-2</v>
      </c>
      <c r="AA3262" s="230">
        <v>3.2729560266431257E-2</v>
      </c>
    </row>
    <row r="3263" spans="19:27" x14ac:dyDescent="0.2">
      <c r="S3263" s="32"/>
      <c r="T3263" s="187"/>
      <c r="W3263" s="221" t="str">
        <f t="shared" si="59"/>
        <v>1w</v>
      </c>
      <c r="X3263" s="222">
        <f>_xll.qlCalendarAdvance(Calendar,X3262,W3263,"f",FALSE)</f>
        <v>61716</v>
      </c>
      <c r="Y3263" s="227">
        <f>_xll.qlCalendarAdvance(Calendar,X3263,NDays&amp;"D")</f>
        <v>61716</v>
      </c>
      <c r="Z3263" s="228">
        <v>3.2789734445935921E-2</v>
      </c>
      <c r="AA3263" s="230">
        <v>3.2733577752209753E-2</v>
      </c>
    </row>
    <row r="3264" spans="19:27" x14ac:dyDescent="0.2">
      <c r="S3264" s="32"/>
      <c r="T3264" s="187"/>
      <c r="W3264" s="221" t="str">
        <f t="shared" si="59"/>
        <v>1w</v>
      </c>
      <c r="X3264" s="222">
        <f>_xll.qlCalendarAdvance(Calendar,X3263,W3264,"f",FALSE)</f>
        <v>61724</v>
      </c>
      <c r="Y3264" s="227">
        <f>_xll.qlCalendarAdvance(Calendar,X3264,NDays&amp;"D")</f>
        <v>61724</v>
      </c>
      <c r="Z3264" s="228">
        <v>3.2792530614122149E-2</v>
      </c>
      <c r="AA3264" s="230">
        <v>3.2738152108847673E-2</v>
      </c>
    </row>
    <row r="3265" spans="19:27" x14ac:dyDescent="0.2">
      <c r="S3265" s="32"/>
      <c r="T3265" s="187"/>
      <c r="W3265" s="221" t="str">
        <f t="shared" si="59"/>
        <v>1w</v>
      </c>
      <c r="X3265" s="222">
        <f>_xll.qlCalendarAdvance(Calendar,X3264,W3265,"f",FALSE)</f>
        <v>61731</v>
      </c>
      <c r="Y3265" s="227">
        <f>_xll.qlCalendarAdvance(Calendar,X3265,NDays&amp;"D")</f>
        <v>61731</v>
      </c>
      <c r="Z3265" s="228">
        <v>3.2796498430332881E-2</v>
      </c>
      <c r="AA3265" s="230">
        <v>3.274213974706397E-2</v>
      </c>
    </row>
    <row r="3266" spans="19:27" x14ac:dyDescent="0.2">
      <c r="S3266" s="32"/>
      <c r="T3266" s="187"/>
      <c r="W3266" s="221" t="str">
        <f t="shared" si="59"/>
        <v>1w</v>
      </c>
      <c r="X3266" s="222">
        <f>_xll.qlCalendarAdvance(Calendar,X3265,W3266,"f",FALSE)</f>
        <v>61738</v>
      </c>
      <c r="Y3266" s="227">
        <f>_xll.qlCalendarAdvance(Calendar,X3266,NDays&amp;"D")</f>
        <v>61738</v>
      </c>
      <c r="Z3266" s="228">
        <v>3.2800452280240741E-2</v>
      </c>
      <c r="AA3266" s="230">
        <v>3.2746113456666448E-2</v>
      </c>
    </row>
    <row r="3267" spans="19:27" x14ac:dyDescent="0.2">
      <c r="S3267" s="32"/>
      <c r="T3267" s="187"/>
      <c r="W3267" s="221" t="str">
        <f t="shared" si="59"/>
        <v>1w</v>
      </c>
      <c r="X3267" s="222">
        <f>_xll.qlCalendarAdvance(Calendar,X3266,W3267,"f",FALSE)</f>
        <v>61745</v>
      </c>
      <c r="Y3267" s="227">
        <f>_xll.qlCalendarAdvance(Calendar,X3267,NDays&amp;"D")</f>
        <v>61745</v>
      </c>
      <c r="Z3267" s="228">
        <v>3.2804392163838132E-2</v>
      </c>
      <c r="AA3267" s="230">
        <v>3.2750073237249877E-2</v>
      </c>
    </row>
    <row r="3268" spans="19:27" x14ac:dyDescent="0.2">
      <c r="S3268" s="32"/>
      <c r="T3268" s="187"/>
      <c r="W3268" s="221" t="str">
        <f t="shared" si="59"/>
        <v>1w</v>
      </c>
      <c r="X3268" s="222">
        <f>_xll.qlCalendarAdvance(Calendar,X3267,W3268,"f",FALSE)</f>
        <v>61752</v>
      </c>
      <c r="Y3268" s="227">
        <f>_xll.qlCalendarAdvance(Calendar,X3268,NDays&amp;"D")</f>
        <v>61752</v>
      </c>
      <c r="Z3268" s="228">
        <v>3.2808318081107325E-2</v>
      </c>
      <c r="AA3268" s="230">
        <v>3.2754019089138442E-2</v>
      </c>
    </row>
    <row r="3269" spans="19:27" x14ac:dyDescent="0.2">
      <c r="S3269" s="32"/>
      <c r="T3269" s="187"/>
      <c r="W3269" s="221" t="str">
        <f t="shared" si="59"/>
        <v>1w</v>
      </c>
      <c r="X3269" s="222">
        <f>_xll.qlCalendarAdvance(Calendar,X3268,W3269,"f",FALSE)</f>
        <v>61759</v>
      </c>
      <c r="Y3269" s="227">
        <f>_xll.qlCalendarAdvance(Calendar,X3269,NDays&amp;"D")</f>
        <v>61759</v>
      </c>
      <c r="Z3269" s="228">
        <v>3.280522395086511E-2</v>
      </c>
      <c r="AA3269" s="230">
        <v>3.2757951012007958E-2</v>
      </c>
    </row>
    <row r="3270" spans="19:27" x14ac:dyDescent="0.2">
      <c r="S3270" s="32"/>
      <c r="T3270" s="187"/>
      <c r="W3270" s="221" t="str">
        <f t="shared" si="59"/>
        <v>1w</v>
      </c>
      <c r="X3270" s="222">
        <f>_xll.qlCalendarAdvance(Calendar,X3269,W3270,"f",FALSE)</f>
        <v>61766</v>
      </c>
      <c r="Y3270" s="227">
        <f>_xll.qlCalendarAdvance(Calendar,X3270,NDays&amp;"D")</f>
        <v>61766</v>
      </c>
      <c r="Z3270" s="228">
        <v>3.2809124524952167E-2</v>
      </c>
      <c r="AA3270" s="230">
        <v>3.2761869006263655E-2</v>
      </c>
    </row>
    <row r="3271" spans="19:27" x14ac:dyDescent="0.2">
      <c r="S3271" s="32"/>
      <c r="T3271" s="187"/>
      <c r="W3271" s="221" t="str">
        <f t="shared" si="59"/>
        <v>1w</v>
      </c>
      <c r="X3271" s="222">
        <f>_xll.qlCalendarAdvance(Calendar,X3270,W3271,"f",FALSE)</f>
        <v>61773</v>
      </c>
      <c r="Y3271" s="227">
        <f>_xll.qlCalendarAdvance(Calendar,X3271,NDays&amp;"D")</f>
        <v>61773</v>
      </c>
      <c r="Z3271" s="228">
        <v>3.2813011137514829E-2</v>
      </c>
      <c r="AA3271" s="230">
        <v>3.2765773071500304E-2</v>
      </c>
    </row>
    <row r="3272" spans="19:27" x14ac:dyDescent="0.2">
      <c r="S3272" s="32"/>
      <c r="T3272" s="187"/>
      <c r="W3272" s="221" t="str">
        <f t="shared" si="59"/>
        <v>1w</v>
      </c>
      <c r="X3272" s="222">
        <f>_xll.qlCalendarAdvance(Calendar,X3271,W3272,"f",FALSE)</f>
        <v>61780</v>
      </c>
      <c r="Y3272" s="227">
        <f>_xll.qlCalendarAdvance(Calendar,X3272,NDays&amp;"D")</f>
        <v>61780</v>
      </c>
      <c r="Z3272" s="228">
        <v>3.2816883788544408E-2</v>
      </c>
      <c r="AA3272" s="230">
        <v>3.2769663207879995E-2</v>
      </c>
    </row>
    <row r="3273" spans="19:27" x14ac:dyDescent="0.2">
      <c r="S3273" s="32"/>
      <c r="T3273" s="187"/>
      <c r="W3273" s="221" t="str">
        <f t="shared" si="59"/>
        <v>1w</v>
      </c>
      <c r="X3273" s="222">
        <f>_xll.qlCalendarAdvance(Calendar,X3272,W3273,"f",FALSE)</f>
        <v>61787</v>
      </c>
      <c r="Y3273" s="227">
        <f>_xll.qlCalendarAdvance(Calendar,X3273,NDays&amp;"D")</f>
        <v>61787</v>
      </c>
      <c r="Z3273" s="228">
        <v>3.2822491337631203E-2</v>
      </c>
      <c r="AA3273" s="230">
        <v>3.2773539415564823E-2</v>
      </c>
    </row>
    <row r="3274" spans="19:27" x14ac:dyDescent="0.2">
      <c r="S3274" s="32"/>
      <c r="T3274" s="187"/>
      <c r="W3274" s="221" t="str">
        <f t="shared" si="59"/>
        <v>1w</v>
      </c>
      <c r="X3274" s="222">
        <f>_xll.qlCalendarAdvance(Calendar,X3273,W3274,"f",FALSE)</f>
        <v>61794</v>
      </c>
      <c r="Y3274" s="227">
        <f>_xll.qlCalendarAdvance(Calendar,X3274,NDays&amp;"D")</f>
        <v>61794</v>
      </c>
      <c r="Z3274" s="228">
        <v>3.2831580290943879E-2</v>
      </c>
      <c r="AA3274" s="230">
        <v>3.277740169447374E-2</v>
      </c>
    </row>
    <row r="3275" spans="19:27" x14ac:dyDescent="0.2">
      <c r="S3275" s="32"/>
      <c r="T3275" s="187"/>
      <c r="W3275" s="221" t="str">
        <f t="shared" si="59"/>
        <v>1w</v>
      </c>
      <c r="X3275" s="222">
        <f>_xll.qlCalendarAdvance(Calendar,X3274,W3275,"f",FALSE)</f>
        <v>61801</v>
      </c>
      <c r="Y3275" s="227">
        <f>_xll.qlCalendarAdvance(Calendar,X3275,NDays&amp;"D")</f>
        <v>61801</v>
      </c>
      <c r="Z3275" s="228">
        <v>3.2837156167006269E-2</v>
      </c>
      <c r="AA3275" s="230">
        <v>3.2781250044444654E-2</v>
      </c>
    </row>
    <row r="3276" spans="19:27" x14ac:dyDescent="0.2">
      <c r="S3276" s="32"/>
      <c r="T3276" s="187"/>
      <c r="W3276" s="221" t="str">
        <f t="shared" si="59"/>
        <v>1w</v>
      </c>
      <c r="X3276" s="222">
        <f>_xll.qlCalendarAdvance(Calendar,X3275,W3276,"f",FALSE)</f>
        <v>61808</v>
      </c>
      <c r="Y3276" s="227">
        <f>_xll.qlCalendarAdvance(Calendar,X3276,NDays&amp;"D")</f>
        <v>61808</v>
      </c>
      <c r="Z3276" s="228">
        <v>3.2839222629596869E-2</v>
      </c>
      <c r="AA3276" s="230">
        <v>3.2785084465477565E-2</v>
      </c>
    </row>
    <row r="3277" spans="19:27" x14ac:dyDescent="0.2">
      <c r="S3277" s="32"/>
      <c r="T3277" s="187"/>
      <c r="W3277" s="221" t="str">
        <f t="shared" si="59"/>
        <v>1w</v>
      </c>
      <c r="X3277" s="222">
        <f>_xll.qlCalendarAdvance(Calendar,X3276,W3277,"f",FALSE)</f>
        <v>61815</v>
      </c>
      <c r="Y3277" s="227">
        <f>_xll.qlCalendarAdvance(Calendar,X3277,NDays&amp;"D")</f>
        <v>61815</v>
      </c>
      <c r="Z3277" s="228">
        <v>3.284302284924618E-2</v>
      </c>
      <c r="AA3277" s="230">
        <v>3.2788904957815612E-2</v>
      </c>
    </row>
    <row r="3278" spans="19:27" x14ac:dyDescent="0.2">
      <c r="S3278" s="32"/>
      <c r="T3278" s="187"/>
      <c r="W3278" s="221" t="str">
        <f t="shared" si="59"/>
        <v>1w</v>
      </c>
      <c r="X3278" s="222">
        <f>_xll.qlCalendarAdvance(Calendar,X3277,W3278,"f",FALSE)</f>
        <v>61822</v>
      </c>
      <c r="Y3278" s="227">
        <f>_xll.qlCalendarAdvance(Calendar,X3278,NDays&amp;"D")</f>
        <v>61822</v>
      </c>
      <c r="Z3278" s="228">
        <v>3.2848554857208799E-2</v>
      </c>
      <c r="AA3278" s="230">
        <v>3.2792711521296702E-2</v>
      </c>
    </row>
    <row r="3279" spans="19:27" x14ac:dyDescent="0.2">
      <c r="S3279" s="32"/>
      <c r="T3279" s="187"/>
      <c r="W3279" s="221" t="str">
        <f t="shared" si="59"/>
        <v>1w</v>
      </c>
      <c r="X3279" s="222">
        <f>_xll.qlCalendarAdvance(Calendar,X3278,W3279,"f",FALSE)</f>
        <v>61829</v>
      </c>
      <c r="Y3279" s="227">
        <f>_xll.qlCalendarAdvance(Calendar,X3279,NDays&amp;"D")</f>
        <v>61829</v>
      </c>
      <c r="Z3279" s="228">
        <v>3.2850581389104322E-2</v>
      </c>
      <c r="AA3279" s="230">
        <v>3.2803479598361829E-2</v>
      </c>
    </row>
    <row r="3280" spans="19:27" x14ac:dyDescent="0.2">
      <c r="S3280" s="32"/>
      <c r="T3280" s="187"/>
      <c r="W3280" s="221" t="str">
        <f t="shared" si="59"/>
        <v>1w</v>
      </c>
      <c r="X3280" s="222">
        <f>_xll.qlCalendarAdvance(Calendar,X3279,W3280,"f",FALSE)</f>
        <v>61836</v>
      </c>
      <c r="Y3280" s="227">
        <f>_xll.qlCalendarAdvance(Calendar,X3280,NDays&amp;"D")</f>
        <v>61836</v>
      </c>
      <c r="Z3280" s="228">
        <v>3.2854339709295424E-2</v>
      </c>
      <c r="AA3280" s="230">
        <v>3.2800282861606966E-2</v>
      </c>
    </row>
    <row r="3281" spans="19:27" x14ac:dyDescent="0.2">
      <c r="S3281" s="32"/>
      <c r="T3281" s="187"/>
      <c r="W3281" s="221" t="str">
        <f t="shared" si="59"/>
        <v>1w</v>
      </c>
      <c r="X3281" s="222">
        <f>_xll.qlCalendarAdvance(Calendar,X3280,W3281,"f",FALSE)</f>
        <v>61843</v>
      </c>
      <c r="Y3281" s="227">
        <f>_xll.qlCalendarAdvance(Calendar,X3281,NDays&amp;"D")</f>
        <v>61843</v>
      </c>
      <c r="Z3281" s="228">
        <v>3.2859827838084714E-2</v>
      </c>
      <c r="AA3281" s="230">
        <v>3.2804047638517186E-2</v>
      </c>
    </row>
    <row r="3282" spans="19:27" x14ac:dyDescent="0.2">
      <c r="S3282" s="32"/>
      <c r="T3282" s="187"/>
      <c r="W3282" s="221" t="str">
        <f t="shared" si="59"/>
        <v>1w</v>
      </c>
      <c r="X3282" s="222">
        <f>_xll.qlCalendarAdvance(Calendar,X3281,W3282,"f",FALSE)</f>
        <v>61850</v>
      </c>
      <c r="Y3282" s="227">
        <f>_xll.qlCalendarAdvance(Calendar,X3282,NDays&amp;"D")</f>
        <v>61850</v>
      </c>
      <c r="Z3282" s="228">
        <v>3.2861814450118113E-2</v>
      </c>
      <c r="AA3282" s="230">
        <v>3.2807798486651496E-2</v>
      </c>
    </row>
    <row r="3283" spans="19:27" x14ac:dyDescent="0.2">
      <c r="S3283" s="32"/>
      <c r="T3283" s="187"/>
      <c r="W3283" s="221" t="str">
        <f t="shared" si="59"/>
        <v>1w</v>
      </c>
      <c r="X3283" s="222">
        <f>_xll.qlCalendarAdvance(Calendar,X3282,W3283,"f",FALSE)</f>
        <v>61857</v>
      </c>
      <c r="Y3283" s="227">
        <f>_xll.qlCalendarAdvance(Calendar,X3283,NDays&amp;"D")</f>
        <v>61857</v>
      </c>
      <c r="Z3283" s="228">
        <v>3.2865530870721839E-2</v>
      </c>
      <c r="AA3283" s="230">
        <v>3.2811535405766756E-2</v>
      </c>
    </row>
    <row r="3284" spans="19:27" x14ac:dyDescent="0.2">
      <c r="S3284" s="32"/>
      <c r="T3284" s="187"/>
      <c r="W3284" s="221" t="str">
        <f t="shared" si="59"/>
        <v>1w</v>
      </c>
      <c r="X3284" s="222">
        <f>_xll.qlCalendarAdvance(Calendar,X3283,W3284,"f",FALSE)</f>
        <v>61864</v>
      </c>
      <c r="Y3284" s="227">
        <f>_xll.qlCalendarAdvance(Calendar,X3284,NDays&amp;"D")</f>
        <v>61864</v>
      </c>
      <c r="Z3284" s="228">
        <v>3.286923332477449E-2</v>
      </c>
      <c r="AA3284" s="230">
        <v>3.2815258396268199E-2</v>
      </c>
    </row>
    <row r="3285" spans="19:27" x14ac:dyDescent="0.2">
      <c r="S3285" s="32"/>
      <c r="T3285" s="187"/>
      <c r="W3285" s="221" t="str">
        <f t="shared" ref="W3285:W3348" si="60">W3284</f>
        <v>1w</v>
      </c>
      <c r="X3285" s="222">
        <f>_xll.qlCalendarAdvance(Calendar,X3284,W3285,"f",FALSE)</f>
        <v>61871</v>
      </c>
      <c r="Y3285" s="227">
        <f>_xll.qlCalendarAdvance(Calendar,X3285,NDays&amp;"D")</f>
        <v>61871</v>
      </c>
      <c r="Z3285" s="228">
        <v>3.2872921812260869E-2</v>
      </c>
      <c r="AA3285" s="230">
        <v>3.2818967457831638E-2</v>
      </c>
    </row>
    <row r="3286" spans="19:27" x14ac:dyDescent="0.2">
      <c r="S3286" s="32"/>
      <c r="T3286" s="187"/>
      <c r="W3286" s="221" t="str">
        <f t="shared" si="60"/>
        <v>1w</v>
      </c>
      <c r="X3286" s="222">
        <f>_xll.qlCalendarAdvance(Calendar,X3285,W3286,"f",FALSE)</f>
        <v>61878</v>
      </c>
      <c r="Y3286" s="227">
        <f>_xll.qlCalendarAdvance(Calendar,X3286,NDays&amp;"D")</f>
        <v>61878</v>
      </c>
      <c r="Z3286" s="228">
        <v>3.2871375223530314E-2</v>
      </c>
      <c r="AA3286" s="230">
        <v>3.2822662590619167E-2</v>
      </c>
    </row>
    <row r="3287" spans="19:27" x14ac:dyDescent="0.2">
      <c r="S3287" s="32"/>
      <c r="T3287" s="187"/>
      <c r="W3287" s="221" t="str">
        <f t="shared" si="60"/>
        <v>1w</v>
      </c>
      <c r="X3287" s="222">
        <f>_xll.qlCalendarAdvance(Calendar,X3286,W3287,"f",FALSE)</f>
        <v>61885</v>
      </c>
      <c r="Y3287" s="227">
        <f>_xll.qlCalendarAdvance(Calendar,X3287,NDays&amp;"D")</f>
        <v>61885</v>
      </c>
      <c r="Z3287" s="228">
        <v>3.288025688746643E-2</v>
      </c>
      <c r="AA3287" s="230">
        <v>3.2826343794387647E-2</v>
      </c>
    </row>
    <row r="3288" spans="19:27" x14ac:dyDescent="0.2">
      <c r="S3288" s="32"/>
      <c r="T3288" s="187"/>
      <c r="W3288" s="221" t="str">
        <f t="shared" si="60"/>
        <v>1w</v>
      </c>
      <c r="X3288" s="222">
        <f>_xll.qlCalendarAdvance(Calendar,X3287,W3288,"f",FALSE)</f>
        <v>61892</v>
      </c>
      <c r="Y3288" s="227">
        <f>_xll.qlCalendarAdvance(Calendar,X3288,NDays&amp;"D")</f>
        <v>61892</v>
      </c>
      <c r="Z3288" s="228">
        <v>3.2883903475165351E-2</v>
      </c>
      <c r="AA3288" s="230">
        <v>3.2830011069461262E-2</v>
      </c>
    </row>
    <row r="3289" spans="19:27" x14ac:dyDescent="0.2">
      <c r="S3289" s="32"/>
      <c r="T3289" s="187"/>
      <c r="W3289" s="221" t="str">
        <f t="shared" si="60"/>
        <v>1w</v>
      </c>
      <c r="X3289" s="222">
        <f>_xll.qlCalendarAdvance(Calendar,X3288,W3289,"f",FALSE)</f>
        <v>61899</v>
      </c>
      <c r="Y3289" s="227">
        <f>_xll.qlCalendarAdvance(Calendar,X3289,NDays&amp;"D")</f>
        <v>61899</v>
      </c>
      <c r="Z3289" s="228">
        <v>3.2887536096244813E-2</v>
      </c>
      <c r="AA3289" s="230">
        <v>3.2833664415677921E-2</v>
      </c>
    </row>
    <row r="3290" spans="19:27" x14ac:dyDescent="0.2">
      <c r="S3290" s="32"/>
      <c r="T3290" s="187"/>
      <c r="W3290" s="221" t="str">
        <f t="shared" si="60"/>
        <v>1w</v>
      </c>
      <c r="X3290" s="222">
        <f>_xll.qlCalendarAdvance(Calendar,X3289,W3290,"f",FALSE)</f>
        <v>61906</v>
      </c>
      <c r="Y3290" s="227">
        <f>_xll.qlCalendarAdvance(Calendar,X3290,NDays&amp;"D")</f>
        <v>61906</v>
      </c>
      <c r="Z3290" s="228">
        <v>3.289115475067949E-2</v>
      </c>
      <c r="AA3290" s="230">
        <v>3.2837303832875531E-2</v>
      </c>
    </row>
    <row r="3291" spans="19:27" x14ac:dyDescent="0.2">
      <c r="S3291" s="32"/>
      <c r="T3291" s="187"/>
      <c r="W3291" s="221" t="str">
        <f t="shared" si="60"/>
        <v>1w</v>
      </c>
      <c r="X3291" s="222">
        <f>_xll.qlCalendarAdvance(Calendar,X3290,W3291,"f",FALSE)</f>
        <v>61913</v>
      </c>
      <c r="Y3291" s="227">
        <f>_xll.qlCalendarAdvance(Calendar,X3291,NDays&amp;"D")</f>
        <v>61913</v>
      </c>
      <c r="Z3291" s="228">
        <v>3.2894759438474447E-2</v>
      </c>
      <c r="AA3291" s="230">
        <v>3.2840929321540369E-2</v>
      </c>
    </row>
    <row r="3292" spans="19:27" x14ac:dyDescent="0.2">
      <c r="S3292" s="32"/>
      <c r="T3292" s="187"/>
      <c r="W3292" s="221" t="str">
        <f t="shared" si="60"/>
        <v>1w</v>
      </c>
      <c r="X3292" s="222">
        <f>_xll.qlCalendarAdvance(Calendar,X3291,W3292,"f",FALSE)</f>
        <v>61920</v>
      </c>
      <c r="Y3292" s="227">
        <f>_xll.qlCalendarAdvance(Calendar,X3292,NDays&amp;"D")</f>
        <v>61920</v>
      </c>
      <c r="Z3292" s="228">
        <v>3.289835015960689E-2</v>
      </c>
      <c r="AA3292" s="230">
        <v>3.2844540881186157E-2</v>
      </c>
    </row>
    <row r="3293" spans="19:27" x14ac:dyDescent="0.2">
      <c r="S3293" s="32"/>
      <c r="T3293" s="187"/>
      <c r="W3293" s="221" t="str">
        <f t="shared" si="60"/>
        <v>1w</v>
      </c>
      <c r="X3293" s="222">
        <f>_xll.qlCalendarAdvance(Calendar,X3292,W3293,"f",FALSE)</f>
        <v>61927</v>
      </c>
      <c r="Y3293" s="227">
        <f>_xll.qlCalendarAdvance(Calendar,X3293,NDays&amp;"D")</f>
        <v>61927</v>
      </c>
      <c r="Z3293" s="228">
        <v>3.2901926914061623E-2</v>
      </c>
      <c r="AA3293" s="230">
        <v>3.2848138512056035E-2</v>
      </c>
    </row>
    <row r="3294" spans="19:27" x14ac:dyDescent="0.2">
      <c r="S3294" s="32"/>
      <c r="T3294" s="187"/>
      <c r="W3294" s="221" t="str">
        <f t="shared" si="60"/>
        <v>1w</v>
      </c>
      <c r="X3294" s="222">
        <f>_xll.qlCalendarAdvance(Calendar,X3293,W3294,"f",FALSE)</f>
        <v>61934</v>
      </c>
      <c r="Y3294" s="227">
        <f>_xll.qlCalendarAdvance(Calendar,X3294,NDays&amp;"D")</f>
        <v>61934</v>
      </c>
      <c r="Z3294" s="228">
        <v>3.2907224771488996E-2</v>
      </c>
      <c r="AA3294" s="230">
        <v>3.2851722213987911E-2</v>
      </c>
    </row>
    <row r="3295" spans="19:27" x14ac:dyDescent="0.2">
      <c r="S3295" s="32"/>
      <c r="T3295" s="187"/>
      <c r="W3295" s="221" t="str">
        <f t="shared" si="60"/>
        <v>1w</v>
      </c>
      <c r="X3295" s="222">
        <f>_xll.qlCalendarAdvance(Calendar,X3294,W3295,"f",FALSE)</f>
        <v>61941</v>
      </c>
      <c r="Y3295" s="227">
        <f>_xll.qlCalendarAdvance(Calendar,X3295,NDays&amp;"D")</f>
        <v>61941</v>
      </c>
      <c r="Z3295" s="228">
        <v>3.290903852289237E-2</v>
      </c>
      <c r="AA3295" s="230">
        <v>3.2855291987224922E-2</v>
      </c>
    </row>
    <row r="3296" spans="19:27" x14ac:dyDescent="0.2">
      <c r="S3296" s="32"/>
      <c r="T3296" s="187"/>
      <c r="W3296" s="221" t="str">
        <f t="shared" si="60"/>
        <v>1w</v>
      </c>
      <c r="X3296" s="222">
        <f>_xll.qlCalendarAdvance(Calendar,X3295,W3296,"f",FALSE)</f>
        <v>61948</v>
      </c>
      <c r="Y3296" s="227">
        <f>_xll.qlCalendarAdvance(Calendar,X3296,NDays&amp;"D")</f>
        <v>61948</v>
      </c>
      <c r="Z3296" s="228">
        <v>3.2912573377248122E-2</v>
      </c>
      <c r="AA3296" s="230">
        <v>3.2858847831442883E-2</v>
      </c>
    </row>
    <row r="3297" spans="19:27" x14ac:dyDescent="0.2">
      <c r="S3297" s="32"/>
      <c r="T3297" s="187"/>
      <c r="W3297" s="221" t="str">
        <f t="shared" si="60"/>
        <v>1w</v>
      </c>
      <c r="X3297" s="222">
        <f>_xll.qlCalendarAdvance(Calendar,X3296,W3297,"f",FALSE)</f>
        <v>61955</v>
      </c>
      <c r="Y3297" s="227">
        <f>_xll.qlCalendarAdvance(Calendar,X3297,NDays&amp;"D")</f>
        <v>61955</v>
      </c>
      <c r="Z3297" s="228">
        <v>3.2916094264872978E-2</v>
      </c>
      <c r="AA3297" s="230">
        <v>3.2862389746884935E-2</v>
      </c>
    </row>
    <row r="3298" spans="19:27" x14ac:dyDescent="0.2">
      <c r="S3298" s="32"/>
      <c r="T3298" s="187"/>
      <c r="W3298" s="221" t="str">
        <f t="shared" si="60"/>
        <v>1w</v>
      </c>
      <c r="X3298" s="222">
        <f>_xll.qlCalendarAdvance(Calendar,X3297,W3298,"f",FALSE)</f>
        <v>61962</v>
      </c>
      <c r="Y3298" s="227">
        <f>_xll.qlCalendarAdvance(Calendar,X3298,NDays&amp;"D")</f>
        <v>61962</v>
      </c>
      <c r="Z3298" s="228">
        <v>3.291960118575174E-2</v>
      </c>
      <c r="AA3298" s="230">
        <v>3.2865917733307937E-2</v>
      </c>
    </row>
    <row r="3299" spans="19:27" x14ac:dyDescent="0.2">
      <c r="S3299" s="32"/>
      <c r="T3299" s="187"/>
      <c r="W3299" s="221" t="str">
        <f t="shared" si="60"/>
        <v>1w</v>
      </c>
      <c r="X3299" s="222">
        <f>_xll.qlCalendarAdvance(Calendar,X3298,W3299,"f",FALSE)</f>
        <v>61969</v>
      </c>
      <c r="Y3299" s="227">
        <f>_xll.qlCalendarAdvance(Calendar,X3299,NDays&amp;"D")</f>
        <v>61969</v>
      </c>
      <c r="Z3299" s="228">
        <v>3.2923094139892008E-2</v>
      </c>
      <c r="AA3299" s="230">
        <v>3.2869431791198167E-2</v>
      </c>
    </row>
    <row r="3300" spans="19:27" x14ac:dyDescent="0.2">
      <c r="S3300" s="32"/>
      <c r="T3300" s="187"/>
      <c r="W3300" s="221" t="str">
        <f t="shared" si="60"/>
        <v>1w</v>
      </c>
      <c r="X3300" s="222">
        <f>_xll.qlCalendarAdvance(Calendar,X3299,W3300,"f",FALSE)</f>
        <v>61976</v>
      </c>
      <c r="Y3300" s="227">
        <f>_xll.qlCalendarAdvance(Calendar,X3300,NDays&amp;"D")</f>
        <v>61976</v>
      </c>
      <c r="Z3300" s="228">
        <v>3.292657312725579E-2</v>
      </c>
      <c r="AA3300" s="230">
        <v>3.2872931920069348E-2</v>
      </c>
    </row>
    <row r="3301" spans="19:27" x14ac:dyDescent="0.2">
      <c r="S3301" s="32"/>
      <c r="T3301" s="187"/>
      <c r="W3301" s="221" t="str">
        <f t="shared" si="60"/>
        <v>1w</v>
      </c>
      <c r="X3301" s="222">
        <f>_xll.qlCalendarAdvance(Calendar,X3300,W3301,"f",FALSE)</f>
        <v>61983</v>
      </c>
      <c r="Y3301" s="227">
        <f>_xll.qlCalendarAdvance(Calendar,X3301,NDays&amp;"D")</f>
        <v>61983</v>
      </c>
      <c r="Z3301" s="228">
        <v>3.2930038147845619E-2</v>
      </c>
      <c r="AA3301" s="230">
        <v>3.2876418120083573E-2</v>
      </c>
    </row>
    <row r="3302" spans="19:27" x14ac:dyDescent="0.2">
      <c r="S3302" s="32"/>
      <c r="T3302" s="187"/>
      <c r="W3302" s="221" t="str">
        <f t="shared" si="60"/>
        <v>1w</v>
      </c>
      <c r="X3302" s="222">
        <f>_xll.qlCalendarAdvance(Calendar,X3301,W3302,"f",FALSE)</f>
        <v>61990</v>
      </c>
      <c r="Y3302" s="227">
        <f>_xll.qlCalendarAdvance(Calendar,X3302,NDays&amp;"D")</f>
        <v>61990</v>
      </c>
      <c r="Z3302" s="228">
        <v>3.2933489201641235E-2</v>
      </c>
      <c r="AA3302" s="230">
        <v>3.287989039124084E-2</v>
      </c>
    </row>
    <row r="3303" spans="19:27" x14ac:dyDescent="0.2">
      <c r="S3303" s="32"/>
      <c r="T3303" s="187"/>
      <c r="W3303" s="221" t="str">
        <f t="shared" si="60"/>
        <v>1w</v>
      </c>
      <c r="X3303" s="222">
        <f>_xll.qlCalendarAdvance(Calendar,X3302,W3303,"f",FALSE)</f>
        <v>61997</v>
      </c>
      <c r="Y3303" s="227">
        <f>_xll.qlCalendarAdvance(Calendar,X3303,NDays&amp;"D")</f>
        <v>61997</v>
      </c>
      <c r="Z3303" s="228">
        <v>3.293692628863757E-2</v>
      </c>
      <c r="AA3303" s="230">
        <v>3.2883348733703244E-2</v>
      </c>
    </row>
    <row r="3304" spans="19:27" x14ac:dyDescent="0.2">
      <c r="S3304" s="32"/>
      <c r="T3304" s="187"/>
      <c r="W3304" s="221" t="str">
        <f t="shared" si="60"/>
        <v>1w</v>
      </c>
      <c r="X3304" s="222">
        <f>_xll.qlCalendarAdvance(Calendar,X3303,W3304,"f",FALSE)</f>
        <v>62004</v>
      </c>
      <c r="Y3304" s="227">
        <f>_xll.qlCalendarAdvance(Calendar,X3304,NDays&amp;"D")</f>
        <v>62004</v>
      </c>
      <c r="Z3304" s="228">
        <v>3.2940349408816898E-2</v>
      </c>
      <c r="AA3304" s="230">
        <v>3.2886793147146598E-2</v>
      </c>
    </row>
    <row r="3305" spans="19:27" x14ac:dyDescent="0.2">
      <c r="S3305" s="32"/>
      <c r="T3305" s="187"/>
      <c r="W3305" s="221" t="str">
        <f t="shared" si="60"/>
        <v>1w</v>
      </c>
      <c r="X3305" s="222">
        <f>_xll.qlCalendarAdvance(Calendar,X3304,W3305,"f",FALSE)</f>
        <v>62011</v>
      </c>
      <c r="Y3305" s="227">
        <f>_xll.qlCalendarAdvance(Calendar,X3305,NDays&amp;"D")</f>
        <v>62011</v>
      </c>
      <c r="Z3305" s="228">
        <v>3.294375856216402E-2</v>
      </c>
      <c r="AA3305" s="230">
        <v>3.2890223631814042E-2</v>
      </c>
    </row>
    <row r="3306" spans="19:27" x14ac:dyDescent="0.2">
      <c r="S3306" s="32"/>
      <c r="T3306" s="187"/>
      <c r="W3306" s="221" t="str">
        <f t="shared" si="60"/>
        <v>1w</v>
      </c>
      <c r="X3306" s="222">
        <f>_xll.qlCalendarAdvance(Calendar,X3305,W3306,"f",FALSE)</f>
        <v>62018</v>
      </c>
      <c r="Y3306" s="227">
        <f>_xll.qlCalendarAdvance(Calendar,X3306,NDays&amp;"D")</f>
        <v>62018</v>
      </c>
      <c r="Z3306" s="228">
        <v>3.2947153748673873E-2</v>
      </c>
      <c r="AA3306" s="230">
        <v>3.2893640187624529E-2</v>
      </c>
    </row>
    <row r="3307" spans="19:27" x14ac:dyDescent="0.2">
      <c r="S3307" s="32"/>
      <c r="T3307" s="187"/>
      <c r="W3307" s="221" t="str">
        <f t="shared" si="60"/>
        <v>1w</v>
      </c>
      <c r="X3307" s="222">
        <f>_xll.qlCalendarAdvance(Calendar,X3306,W3307,"f",FALSE)</f>
        <v>62025</v>
      </c>
      <c r="Y3307" s="227">
        <f>_xll.qlCalendarAdvance(Calendar,X3307,NDays&amp;"D")</f>
        <v>62025</v>
      </c>
      <c r="Z3307" s="228">
        <v>3.2950534968328726E-2</v>
      </c>
      <c r="AA3307" s="230">
        <v>3.2897042814659105E-2</v>
      </c>
    </row>
    <row r="3308" spans="19:27" x14ac:dyDescent="0.2">
      <c r="S3308" s="32"/>
      <c r="T3308" s="187"/>
      <c r="W3308" s="221" t="str">
        <f t="shared" si="60"/>
        <v>1w</v>
      </c>
      <c r="X3308" s="222">
        <f>_xll.qlCalendarAdvance(Calendar,X3307,W3308,"f",FALSE)</f>
        <v>62032</v>
      </c>
      <c r="Y3308" s="227">
        <f>_xll.qlCalendarAdvance(Calendar,X3308,NDays&amp;"D")</f>
        <v>62032</v>
      </c>
      <c r="Z3308" s="228">
        <v>3.2948726056267599E-2</v>
      </c>
      <c r="AA3308" s="230">
        <v>3.2900431512593586E-2</v>
      </c>
    </row>
    <row r="3309" spans="19:27" x14ac:dyDescent="0.2">
      <c r="S3309" s="32"/>
      <c r="T3309" s="187"/>
      <c r="W3309" s="221" t="str">
        <f t="shared" si="60"/>
        <v>1w</v>
      </c>
      <c r="X3309" s="222">
        <f>_xll.qlCalendarAdvance(Calendar,X3308,W3309,"f",FALSE)</f>
        <v>62039</v>
      </c>
      <c r="Y3309" s="227">
        <f>_xll.qlCalendarAdvance(Calendar,X3309,NDays&amp;"D")</f>
        <v>62039</v>
      </c>
      <c r="Z3309" s="228">
        <v>3.2957255507025315E-2</v>
      </c>
      <c r="AA3309" s="230">
        <v>3.290380628191425E-2</v>
      </c>
    </row>
    <row r="3310" spans="19:27" x14ac:dyDescent="0.2">
      <c r="S3310" s="32"/>
      <c r="T3310" s="187"/>
      <c r="W3310" s="221" t="str">
        <f t="shared" si="60"/>
        <v>1w</v>
      </c>
      <c r="X3310" s="222">
        <f>_xll.qlCalendarAdvance(Calendar,X3309,W3310,"f",FALSE)</f>
        <v>62046</v>
      </c>
      <c r="Y3310" s="227">
        <f>_xll.qlCalendarAdvance(Calendar,X3310,NDays&amp;"D")</f>
        <v>62046</v>
      </c>
      <c r="Z3310" s="228">
        <v>3.2960594826041724E-2</v>
      </c>
      <c r="AA3310" s="230">
        <v>3.2907167122215863E-2</v>
      </c>
    </row>
    <row r="3311" spans="19:27" x14ac:dyDescent="0.2">
      <c r="S3311" s="32"/>
      <c r="T3311" s="187"/>
      <c r="W3311" s="221" t="str">
        <f t="shared" si="60"/>
        <v>1w</v>
      </c>
      <c r="X3311" s="222">
        <f>_xll.qlCalendarAdvance(Calendar,X3310,W3311,"f",FALSE)</f>
        <v>62053</v>
      </c>
      <c r="Y3311" s="227">
        <f>_xll.qlCalendarAdvance(Calendar,X3311,NDays&amp;"D")</f>
        <v>62053</v>
      </c>
      <c r="Z3311" s="228">
        <v>3.2963920178160078E-2</v>
      </c>
      <c r="AA3311" s="230">
        <v>3.2910514033903659E-2</v>
      </c>
    </row>
    <row r="3312" spans="19:27" x14ac:dyDescent="0.2">
      <c r="S3312" s="32"/>
      <c r="T3312" s="187"/>
      <c r="W3312" s="221" t="str">
        <f t="shared" si="60"/>
        <v>1w</v>
      </c>
      <c r="X3312" s="222">
        <f>_xll.qlCalendarAdvance(Calendar,X3311,W3312,"f",FALSE)</f>
        <v>62060</v>
      </c>
      <c r="Y3312" s="227">
        <f>_xll.qlCalendarAdvance(Calendar,X3312,NDays&amp;"D")</f>
        <v>62060</v>
      </c>
      <c r="Z3312" s="228">
        <v>3.2967231563360115E-2</v>
      </c>
      <c r="AA3312" s="230">
        <v>3.291384701649136E-2</v>
      </c>
    </row>
    <row r="3313" spans="19:27" x14ac:dyDescent="0.2">
      <c r="S3313" s="32"/>
      <c r="T3313" s="187"/>
      <c r="W3313" s="221" t="str">
        <f t="shared" si="60"/>
        <v>1w</v>
      </c>
      <c r="X3313" s="222">
        <f>_xll.qlCalendarAdvance(Calendar,X3312,W3313,"f",FALSE)</f>
        <v>62067</v>
      </c>
      <c r="Y3313" s="227">
        <f>_xll.qlCalendarAdvance(Calendar,X3313,NDays&amp;"D")</f>
        <v>62067</v>
      </c>
      <c r="Z3313" s="228">
        <v>3.2970528981634238E-2</v>
      </c>
      <c r="AA3313" s="230">
        <v>3.2917166070465242E-2</v>
      </c>
    </row>
    <row r="3314" spans="19:27" x14ac:dyDescent="0.2">
      <c r="S3314" s="32"/>
      <c r="T3314" s="187"/>
      <c r="W3314" s="221" t="str">
        <f t="shared" si="60"/>
        <v>1w</v>
      </c>
      <c r="X3314" s="222">
        <f>_xll.qlCalendarAdvance(Calendar,X3313,W3314,"f",FALSE)</f>
        <v>62074</v>
      </c>
      <c r="Y3314" s="227">
        <f>_xll.qlCalendarAdvance(Calendar,X3314,NDays&amp;"D")</f>
        <v>62074</v>
      </c>
      <c r="Z3314" s="228">
        <v>3.2973812432972316E-2</v>
      </c>
      <c r="AA3314" s="230">
        <v>3.2920471195501122E-2</v>
      </c>
    </row>
    <row r="3315" spans="19:27" x14ac:dyDescent="0.2">
      <c r="S3315" s="32"/>
      <c r="T3315" s="187"/>
      <c r="W3315" s="221" t="str">
        <f t="shared" si="60"/>
        <v>1w</v>
      </c>
      <c r="X3315" s="222">
        <f>_xll.qlCalendarAdvance(Calendar,X3314,W3315,"f",FALSE)</f>
        <v>62081</v>
      </c>
      <c r="Y3315" s="227">
        <f>_xll.qlCalendarAdvance(Calendar,X3315,NDays&amp;"D")</f>
        <v>62081</v>
      </c>
      <c r="Z3315" s="228">
        <v>3.2977081917354087E-2</v>
      </c>
      <c r="AA3315" s="230">
        <v>3.2923762391517952E-2</v>
      </c>
    </row>
    <row r="3316" spans="19:27" x14ac:dyDescent="0.2">
      <c r="S3316" s="32"/>
      <c r="T3316" s="187"/>
      <c r="W3316" s="221" t="str">
        <f t="shared" si="60"/>
        <v>1w</v>
      </c>
      <c r="X3316" s="222">
        <f>_xll.qlCalendarAdvance(Calendar,X3315,W3316,"f",FALSE)</f>
        <v>62089</v>
      </c>
      <c r="Y3316" s="227">
        <f>_xll.qlCalendarAdvance(Calendar,X3316,NDays&amp;"D")</f>
        <v>62089</v>
      </c>
      <c r="Z3316" s="228">
        <v>3.297908163970454E-2</v>
      </c>
      <c r="AA3316" s="230">
        <v>3.2930944008927231E-2</v>
      </c>
    </row>
    <row r="3317" spans="19:27" x14ac:dyDescent="0.2">
      <c r="S3317" s="32"/>
      <c r="T3317" s="187"/>
      <c r="W3317" s="221" t="str">
        <f t="shared" si="60"/>
        <v>1w</v>
      </c>
      <c r="X3317" s="222">
        <f>_xll.qlCalendarAdvance(Calendar,X3316,W3317,"f",FALSE)</f>
        <v>62096</v>
      </c>
      <c r="Y3317" s="227">
        <f>_xll.qlCalendarAdvance(Calendar,X3317,NDays&amp;"D")</f>
        <v>62096</v>
      </c>
      <c r="Z3317" s="228">
        <v>3.2982321900126059E-2</v>
      </c>
      <c r="AA3317" s="230">
        <v>3.2934203955821514E-2</v>
      </c>
    </row>
    <row r="3318" spans="19:27" x14ac:dyDescent="0.2">
      <c r="S3318" s="32"/>
      <c r="T3318" s="187"/>
      <c r="W3318" s="221" t="str">
        <f t="shared" si="60"/>
        <v>1w</v>
      </c>
      <c r="X3318" s="222">
        <f>_xll.qlCalendarAdvance(Calendar,X3317,W3318,"f",FALSE)</f>
        <v>62103</v>
      </c>
      <c r="Y3318" s="227">
        <f>_xll.qlCalendarAdvance(Calendar,X3318,NDays&amp;"D")</f>
        <v>62103</v>
      </c>
      <c r="Z3318" s="228">
        <v>3.2985548194783186E-2</v>
      </c>
      <c r="AA3318" s="230">
        <v>3.2937449971400433E-2</v>
      </c>
    </row>
    <row r="3319" spans="19:27" x14ac:dyDescent="0.2">
      <c r="S3319" s="32"/>
      <c r="T3319" s="187"/>
      <c r="W3319" s="221" t="str">
        <f t="shared" si="60"/>
        <v>1w</v>
      </c>
      <c r="X3319" s="222">
        <f>_xll.qlCalendarAdvance(Calendar,X3318,W3319,"f",FALSE)</f>
        <v>62110</v>
      </c>
      <c r="Y3319" s="227">
        <f>_xll.qlCalendarAdvance(Calendar,X3319,NDays&amp;"D")</f>
        <v>62110</v>
      </c>
      <c r="Z3319" s="228">
        <v>3.2988760523678544E-2</v>
      </c>
      <c r="AA3319" s="230">
        <v>3.2940682055663993E-2</v>
      </c>
    </row>
    <row r="3320" spans="19:27" x14ac:dyDescent="0.2">
      <c r="S3320" s="32"/>
      <c r="T3320" s="187"/>
      <c r="W3320" s="221" t="str">
        <f t="shared" si="60"/>
        <v>1w</v>
      </c>
      <c r="X3320" s="222">
        <f>_xll.qlCalendarAdvance(Calendar,X3319,W3320,"f",FALSE)</f>
        <v>62117</v>
      </c>
      <c r="Y3320" s="227">
        <f>_xll.qlCalendarAdvance(Calendar,X3320,NDays&amp;"D")</f>
        <v>62117</v>
      </c>
      <c r="Z3320" s="228">
        <v>3.2991958886791219E-2</v>
      </c>
      <c r="AA3320" s="230">
        <v>3.2943900208612195E-2</v>
      </c>
    </row>
    <row r="3321" spans="19:27" x14ac:dyDescent="0.2">
      <c r="S3321" s="32"/>
      <c r="T3321" s="187"/>
      <c r="W3321" s="221" t="str">
        <f t="shared" si="60"/>
        <v>1w</v>
      </c>
      <c r="X3321" s="222">
        <f>_xll.qlCalendarAdvance(Calendar,X3320,W3321,"f",FALSE)</f>
        <v>62124</v>
      </c>
      <c r="Y3321" s="227">
        <f>_xll.qlCalendarAdvance(Calendar,X3321,NDays&amp;"D")</f>
        <v>62124</v>
      </c>
      <c r="Z3321" s="228">
        <v>3.2989994926639739E-2</v>
      </c>
      <c r="AA3321" s="230">
        <v>3.2947104430272045E-2</v>
      </c>
    </row>
    <row r="3322" spans="19:27" x14ac:dyDescent="0.2">
      <c r="S3322" s="32"/>
      <c r="T3322" s="187"/>
      <c r="W3322" s="221" t="str">
        <f t="shared" si="60"/>
        <v>1w</v>
      </c>
      <c r="X3322" s="222">
        <f>_xll.qlCalendarAdvance(Calendar,X3321,W3322,"f",FALSE)</f>
        <v>62131</v>
      </c>
      <c r="Y3322" s="227">
        <f>_xll.qlCalendarAdvance(Calendar,X3322,NDays&amp;"D")</f>
        <v>62131</v>
      </c>
      <c r="Z3322" s="228">
        <v>3.2993167491521973E-2</v>
      </c>
      <c r="AA3322" s="230">
        <v>3.2950294720589524E-2</v>
      </c>
    </row>
    <row r="3323" spans="19:27" x14ac:dyDescent="0.2">
      <c r="S3323" s="32"/>
      <c r="T3323" s="187"/>
      <c r="W3323" s="221" t="str">
        <f t="shared" si="60"/>
        <v>1w</v>
      </c>
      <c r="X3323" s="222">
        <f>_xll.qlCalendarAdvance(Calendar,X3322,W3323,"f",FALSE)</f>
        <v>62138</v>
      </c>
      <c r="Y3323" s="227">
        <f>_xll.qlCalendarAdvance(Calendar,X3323,NDays&amp;"D")</f>
        <v>62138</v>
      </c>
      <c r="Z3323" s="228">
        <v>3.2996326094289326E-2</v>
      </c>
      <c r="AA3323" s="230">
        <v>3.2953471079618657E-2</v>
      </c>
    </row>
    <row r="3324" spans="19:27" x14ac:dyDescent="0.2">
      <c r="S3324" s="32"/>
      <c r="T3324" s="187"/>
      <c r="W3324" s="221" t="str">
        <f t="shared" si="60"/>
        <v>1w</v>
      </c>
      <c r="X3324" s="222">
        <f>_xll.qlCalendarAdvance(Calendar,X3323,W3324,"f",FALSE)</f>
        <v>62145</v>
      </c>
      <c r="Y3324" s="227">
        <f>_xll.qlCalendarAdvance(Calendar,X3324,NDays&amp;"D")</f>
        <v>62145</v>
      </c>
      <c r="Z3324" s="228">
        <v>3.2999470734938911E-2</v>
      </c>
      <c r="AA3324" s="230">
        <v>3.2956633507251386E-2</v>
      </c>
    </row>
    <row r="3325" spans="19:27" x14ac:dyDescent="0.2">
      <c r="S3325" s="32"/>
      <c r="T3325" s="187"/>
      <c r="W3325" s="221" t="str">
        <f t="shared" si="60"/>
        <v>1w</v>
      </c>
      <c r="X3325" s="222">
        <f>_xll.qlCalendarAdvance(Calendar,X3324,W3325,"f",FALSE)</f>
        <v>62152</v>
      </c>
      <c r="Y3325" s="227">
        <f>_xll.qlCalendarAdvance(Calendar,X3325,NDays&amp;"D")</f>
        <v>62152</v>
      </c>
      <c r="Z3325" s="228">
        <v>3.3000888216087002E-2</v>
      </c>
      <c r="AA3325" s="230">
        <v>3.2959782003649796E-2</v>
      </c>
    </row>
    <row r="3326" spans="19:27" x14ac:dyDescent="0.2">
      <c r="S3326" s="32"/>
      <c r="T3326" s="187"/>
      <c r="W3326" s="221" t="str">
        <f t="shared" si="60"/>
        <v>1w</v>
      </c>
      <c r="X3326" s="222">
        <f>_xll.qlCalendarAdvance(Calendar,X3325,W3326,"f",FALSE)</f>
        <v>62159</v>
      </c>
      <c r="Y3326" s="227">
        <f>_xll.qlCalendarAdvance(Calendar,X3326,NDays&amp;"D")</f>
        <v>62159</v>
      </c>
      <c r="Z3326" s="228">
        <v>3.3010855783473923E-2</v>
      </c>
      <c r="AA3326" s="230">
        <v>3.2962916568705834E-2</v>
      </c>
    </row>
    <row r="3327" spans="19:27" x14ac:dyDescent="0.2">
      <c r="S3327" s="32"/>
      <c r="T3327" s="187"/>
      <c r="W3327" s="221" t="str">
        <f t="shared" si="60"/>
        <v>1w</v>
      </c>
      <c r="X3327" s="222">
        <f>_xll.qlCalendarAdvance(Calendar,X3326,W3327,"f",FALSE)</f>
        <v>62166</v>
      </c>
      <c r="Y3327" s="227">
        <f>_xll.qlCalendarAdvance(Calendar,X3327,NDays&amp;"D")</f>
        <v>62166</v>
      </c>
      <c r="Z3327" s="228">
        <v>3.3013956385817583E-2</v>
      </c>
      <c r="AA3327" s="230">
        <v>3.2966037202446508E-2</v>
      </c>
    </row>
    <row r="3328" spans="19:27" x14ac:dyDescent="0.2">
      <c r="S3328" s="32"/>
      <c r="T3328" s="187"/>
      <c r="W3328" s="221" t="str">
        <f t="shared" si="60"/>
        <v>1w</v>
      </c>
      <c r="X3328" s="222">
        <f>_xll.qlCalendarAdvance(Calendar,X3327,W3328,"f",FALSE)</f>
        <v>62173</v>
      </c>
      <c r="Y3328" s="227">
        <f>_xll.qlCalendarAdvance(Calendar,X3328,NDays&amp;"D")</f>
        <v>62173</v>
      </c>
      <c r="Z3328" s="228">
        <v>3.3017043022294891E-2</v>
      </c>
      <c r="AA3328" s="230">
        <v>3.2969143904871823E-2</v>
      </c>
    </row>
    <row r="3329" spans="19:27" x14ac:dyDescent="0.2">
      <c r="S3329" s="32"/>
      <c r="T3329" s="187"/>
      <c r="W3329" s="221" t="str">
        <f t="shared" si="60"/>
        <v>1w</v>
      </c>
      <c r="X3329" s="222">
        <f>_xll.qlCalendarAdvance(Calendar,X3328,W3329,"f",FALSE)</f>
        <v>62184</v>
      </c>
      <c r="Y3329" s="227">
        <f>_xll.qlCalendarAdvance(Calendar,X3329,NDays&amp;"D")</f>
        <v>62184</v>
      </c>
      <c r="Z3329" s="228">
        <v>3.3020155216240243E-2</v>
      </c>
      <c r="AA3329" s="230">
        <v>3.2970579645490439E-2</v>
      </c>
    </row>
    <row r="3330" spans="19:27" x14ac:dyDescent="0.2">
      <c r="S3330" s="32"/>
      <c r="T3330" s="187"/>
      <c r="W3330" s="221" t="str">
        <f t="shared" si="60"/>
        <v>1w</v>
      </c>
      <c r="X3330" s="222">
        <f>_xll.qlCalendarAdvance(Calendar,X3329,W3330,"f",FALSE)</f>
        <v>62191</v>
      </c>
      <c r="Y3330" s="227">
        <f>_xll.qlCalendarAdvance(Calendar,X3330,NDays&amp;"D")</f>
        <v>62191</v>
      </c>
      <c r="Z3330" s="228">
        <v>3.3023206662289271E-2</v>
      </c>
      <c r="AA3330" s="230">
        <v>3.2973651959492534E-2</v>
      </c>
    </row>
    <row r="3331" spans="19:27" x14ac:dyDescent="0.2">
      <c r="S3331" s="32"/>
      <c r="T3331" s="187"/>
      <c r="W3331" s="221" t="str">
        <f t="shared" si="60"/>
        <v>1w</v>
      </c>
      <c r="X3331" s="222">
        <f>_xll.qlCalendarAdvance(Calendar,X3330,W3331,"f",FALSE)</f>
        <v>62198</v>
      </c>
      <c r="Y3331" s="227">
        <f>_xll.qlCalendarAdvance(Calendar,X3331,NDays&amp;"D")</f>
        <v>62198</v>
      </c>
      <c r="Z3331" s="228">
        <v>3.302624414367239E-2</v>
      </c>
      <c r="AA3331" s="230">
        <v>3.2976710344880811E-2</v>
      </c>
    </row>
    <row r="3332" spans="19:27" x14ac:dyDescent="0.2">
      <c r="S3332" s="32"/>
      <c r="T3332" s="187"/>
      <c r="W3332" s="221" t="str">
        <f t="shared" si="60"/>
        <v>1w</v>
      </c>
      <c r="X3332" s="222">
        <f>_xll.qlCalendarAdvance(Calendar,X3331,W3332,"f",FALSE)</f>
        <v>62205</v>
      </c>
      <c r="Y3332" s="227">
        <f>_xll.qlCalendarAdvance(Calendar,X3332,NDays&amp;"D")</f>
        <v>62205</v>
      </c>
      <c r="Z3332" s="228">
        <v>3.3029267660381501E-2</v>
      </c>
      <c r="AA3332" s="230">
        <v>3.2979754801250039E-2</v>
      </c>
    </row>
    <row r="3333" spans="19:27" x14ac:dyDescent="0.2">
      <c r="S3333" s="32"/>
      <c r="T3333" s="187"/>
      <c r="W3333" s="221" t="str">
        <f t="shared" si="60"/>
        <v>1w</v>
      </c>
      <c r="X3333" s="222">
        <f>_xll.qlCalendarAdvance(Calendar,X3332,W3333,"f",FALSE)</f>
        <v>62212</v>
      </c>
      <c r="Y3333" s="227">
        <f>_xll.qlCalendarAdvance(Calendar,X3333,NDays&amp;"D")</f>
        <v>62212</v>
      </c>
      <c r="Z3333" s="228">
        <v>3.3032277212386885E-2</v>
      </c>
      <c r="AA3333" s="230">
        <v>3.298278532876231E-2</v>
      </c>
    </row>
    <row r="3334" spans="19:27" x14ac:dyDescent="0.2">
      <c r="S3334" s="32"/>
      <c r="T3334" s="187"/>
      <c r="W3334" s="221" t="str">
        <f t="shared" si="60"/>
        <v>1w</v>
      </c>
      <c r="X3334" s="222">
        <f>_xll.qlCalendarAdvance(Calendar,X3333,W3334,"f",FALSE)</f>
        <v>62219</v>
      </c>
      <c r="Y3334" s="227">
        <f>_xll.qlCalendarAdvance(Calendar,X3334,NDays&amp;"D")</f>
        <v>62219</v>
      </c>
      <c r="Z3334" s="228">
        <v>3.3036979196040324E-2</v>
      </c>
      <c r="AA3334" s="230">
        <v>3.2985801927417624E-2</v>
      </c>
    </row>
    <row r="3335" spans="19:27" x14ac:dyDescent="0.2">
      <c r="S3335" s="32"/>
      <c r="T3335" s="187"/>
      <c r="W3335" s="221" t="str">
        <f t="shared" si="60"/>
        <v>1w</v>
      </c>
      <c r="X3335" s="222">
        <f>_xll.qlCalendarAdvance(Calendar,X3334,W3335,"f",FALSE)</f>
        <v>62226</v>
      </c>
      <c r="Y3335" s="227">
        <f>_xll.qlCalendarAdvance(Calendar,X3335,NDays&amp;"D")</f>
        <v>62226</v>
      </c>
      <c r="Z3335" s="228">
        <v>3.3039960090590625E-2</v>
      </c>
      <c r="AA3335" s="230">
        <v>3.2988804597297028E-2</v>
      </c>
    </row>
    <row r="3336" spans="19:27" x14ac:dyDescent="0.2">
      <c r="S3336" s="32"/>
      <c r="T3336" s="187"/>
      <c r="W3336" s="221" t="str">
        <f t="shared" si="60"/>
        <v>1w</v>
      </c>
      <c r="X3336" s="222">
        <f>_xll.qlCalendarAdvance(Calendar,X3335,W3336,"f",FALSE)</f>
        <v>62233</v>
      </c>
      <c r="Y3336" s="227">
        <f>_xll.qlCalendarAdvance(Calendar,X3336,NDays&amp;"D")</f>
        <v>62233</v>
      </c>
      <c r="Z3336" s="228">
        <v>3.3042927019177847E-2</v>
      </c>
      <c r="AA3336" s="230">
        <v>3.2991793338238429E-2</v>
      </c>
    </row>
    <row r="3337" spans="19:27" x14ac:dyDescent="0.2">
      <c r="S3337" s="32"/>
      <c r="T3337" s="187"/>
      <c r="W3337" s="221" t="str">
        <f t="shared" si="60"/>
        <v>1w</v>
      </c>
      <c r="X3337" s="222">
        <f>_xll.qlCalendarAdvance(Calendar,X3336,W3337,"f",FALSE)</f>
        <v>62240</v>
      </c>
      <c r="Y3337" s="227">
        <f>_xll.qlCalendarAdvance(Calendar,X3337,NDays&amp;"D")</f>
        <v>62240</v>
      </c>
      <c r="Z3337" s="228">
        <v>3.3045879981794139E-2</v>
      </c>
      <c r="AA3337" s="230">
        <v>3.299476815016078E-2</v>
      </c>
    </row>
    <row r="3338" spans="19:27" x14ac:dyDescent="0.2">
      <c r="S3338" s="32"/>
      <c r="T3338" s="187"/>
      <c r="W3338" s="221" t="str">
        <f t="shared" si="60"/>
        <v>1w</v>
      </c>
      <c r="X3338" s="222">
        <f>_xll.qlCalendarAdvance(Calendar,X3337,W3338,"f",FALSE)</f>
        <v>62247</v>
      </c>
      <c r="Y3338" s="227">
        <f>_xll.qlCalendarAdvance(Calendar,X3338,NDays&amp;"D")</f>
        <v>62247</v>
      </c>
      <c r="Z3338" s="228">
        <v>3.3047115501717426E-2</v>
      </c>
      <c r="AA3338" s="230">
        <v>3.299772903355036E-2</v>
      </c>
    </row>
    <row r="3339" spans="19:27" x14ac:dyDescent="0.2">
      <c r="S3339" s="32"/>
      <c r="T3339" s="187"/>
      <c r="W3339" s="221" t="str">
        <f t="shared" si="60"/>
        <v>1w</v>
      </c>
      <c r="X3339" s="222">
        <f>_xll.qlCalendarAdvance(Calendar,X3338,W3339,"f",FALSE)</f>
        <v>62254</v>
      </c>
      <c r="Y3339" s="227">
        <f>_xll.qlCalendarAdvance(Calendar,X3339,NDays&amp;"D")</f>
        <v>62254</v>
      </c>
      <c r="Z3339" s="228">
        <v>3.3050041265370776E-2</v>
      </c>
      <c r="AA3339" s="230">
        <v>3.3000675987920891E-2</v>
      </c>
    </row>
    <row r="3340" spans="19:27" x14ac:dyDescent="0.2">
      <c r="S3340" s="32"/>
      <c r="T3340" s="187"/>
      <c r="W3340" s="221" t="str">
        <f t="shared" si="60"/>
        <v>1w</v>
      </c>
      <c r="X3340" s="222">
        <f>_xll.qlCalendarAdvance(Calendar,X3339,W3340,"f",FALSE)</f>
        <v>62261</v>
      </c>
      <c r="Y3340" s="227">
        <f>_xll.qlCalendarAdvance(Calendar,X3340,NDays&amp;"D")</f>
        <v>62261</v>
      </c>
      <c r="Z3340" s="228">
        <v>3.3052953064260968E-2</v>
      </c>
      <c r="AA3340" s="230">
        <v>3.3003609013353419E-2</v>
      </c>
    </row>
    <row r="3341" spans="19:27" x14ac:dyDescent="0.2">
      <c r="S3341" s="32"/>
      <c r="T3341" s="187"/>
      <c r="W3341" s="221" t="str">
        <f t="shared" si="60"/>
        <v>1w</v>
      </c>
      <c r="X3341" s="222">
        <f>_xll.qlCalendarAdvance(Calendar,X3340,W3341,"f",FALSE)</f>
        <v>62268</v>
      </c>
      <c r="Y3341" s="227">
        <f>_xll.qlCalendarAdvance(Calendar,X3341,NDays&amp;"D")</f>
        <v>62268</v>
      </c>
      <c r="Z3341" s="228">
        <v>3.305585089837719E-2</v>
      </c>
      <c r="AA3341" s="230">
        <v>3.300652810992899E-2</v>
      </c>
    </row>
    <row r="3342" spans="19:27" x14ac:dyDescent="0.2">
      <c r="S3342" s="32"/>
      <c r="T3342" s="187"/>
      <c r="W3342" s="221" t="str">
        <f t="shared" si="60"/>
        <v>1w</v>
      </c>
      <c r="X3342" s="222">
        <f>_xll.qlCalendarAdvance(Calendar,X3341,W3342,"f",FALSE)</f>
        <v>62275</v>
      </c>
      <c r="Y3342" s="227">
        <f>_xll.qlCalendarAdvance(Calendar,X3342,NDays&amp;"D")</f>
        <v>62275</v>
      </c>
      <c r="Z3342" s="228">
        <v>3.3060435304940509E-2</v>
      </c>
      <c r="AA3342" s="230">
        <v>3.300943327772865E-2</v>
      </c>
    </row>
    <row r="3343" spans="19:27" x14ac:dyDescent="0.2">
      <c r="S3343" s="32"/>
      <c r="T3343" s="187"/>
      <c r="W3343" s="221" t="str">
        <f t="shared" si="60"/>
        <v>1w</v>
      </c>
      <c r="X3343" s="222">
        <f>_xll.qlCalendarAdvance(Calendar,X3342,W3343,"f",FALSE)</f>
        <v>62282</v>
      </c>
      <c r="Y3343" s="227">
        <f>_xll.qlCalendarAdvance(Calendar,X3343,NDays&amp;"D")</f>
        <v>62282</v>
      </c>
      <c r="Z3343" s="228">
        <v>3.3063304471511644E-2</v>
      </c>
      <c r="AA3343" s="230">
        <v>3.3012324516671354E-2</v>
      </c>
    </row>
    <row r="3344" spans="19:27" x14ac:dyDescent="0.2">
      <c r="S3344" s="32"/>
      <c r="T3344" s="187"/>
      <c r="W3344" s="221" t="str">
        <f t="shared" si="60"/>
        <v>1w</v>
      </c>
      <c r="X3344" s="222">
        <f>_xll.qlCalendarAdvance(Calendar,X3343,W3344,"f",FALSE)</f>
        <v>62289</v>
      </c>
      <c r="Y3344" s="227">
        <f>_xll.qlCalendarAdvance(Calendar,X3344,NDays&amp;"D")</f>
        <v>62289</v>
      </c>
      <c r="Z3344" s="228">
        <v>3.3066159672036043E-2</v>
      </c>
      <c r="AA3344" s="230">
        <v>3.3015201826595009E-2</v>
      </c>
    </row>
    <row r="3345" spans="19:27" x14ac:dyDescent="0.2">
      <c r="S3345" s="32"/>
      <c r="T3345" s="187"/>
      <c r="W3345" s="221" t="str">
        <f t="shared" si="60"/>
        <v>1w</v>
      </c>
      <c r="X3345" s="222">
        <f>_xll.qlCalendarAdvance(Calendar,X3344,W3345,"f",FALSE)</f>
        <v>62296</v>
      </c>
      <c r="Y3345" s="227">
        <f>_xll.qlCalendarAdvance(Calendar,X3345,NDays&amp;"D")</f>
        <v>62296</v>
      </c>
      <c r="Z3345" s="228">
        <v>3.3069000906508467E-2</v>
      </c>
      <c r="AA3345" s="230">
        <v>3.3018065207742753E-2</v>
      </c>
    </row>
    <row r="3346" spans="19:27" x14ac:dyDescent="0.2">
      <c r="S3346" s="32"/>
      <c r="T3346" s="187"/>
      <c r="W3346" s="221" t="str">
        <f t="shared" si="60"/>
        <v>1w</v>
      </c>
      <c r="X3346" s="222">
        <f>_xll.qlCalendarAdvance(Calendar,X3345,W3346,"f",FALSE)</f>
        <v>62303</v>
      </c>
      <c r="Y3346" s="227">
        <f>_xll.qlCalendarAdvance(Calendar,X3346,NDays&amp;"D")</f>
        <v>62303</v>
      </c>
      <c r="Z3346" s="228">
        <v>3.3071828174918466E-2</v>
      </c>
      <c r="AA3346" s="230">
        <v>3.3020914660195633E-2</v>
      </c>
    </row>
    <row r="3347" spans="19:27" x14ac:dyDescent="0.2">
      <c r="S3347" s="32"/>
      <c r="T3347" s="187"/>
      <c r="W3347" s="221" t="str">
        <f t="shared" si="60"/>
        <v>1w</v>
      </c>
      <c r="X3347" s="222">
        <f>_xll.qlCalendarAdvance(Calendar,X3346,W3347,"f",FALSE)</f>
        <v>62310</v>
      </c>
      <c r="Y3347" s="227">
        <f>_xll.qlCalendarAdvance(Calendar,X3347,NDays&amp;"D")</f>
        <v>62310</v>
      </c>
      <c r="Z3347" s="228">
        <v>3.3074641477252961E-2</v>
      </c>
      <c r="AA3347" s="230">
        <v>3.3023750183629463E-2</v>
      </c>
    </row>
    <row r="3348" spans="19:27" x14ac:dyDescent="0.2">
      <c r="S3348" s="32"/>
      <c r="T3348" s="187"/>
      <c r="W3348" s="221" t="str">
        <f t="shared" si="60"/>
        <v>1w</v>
      </c>
      <c r="X3348" s="222">
        <f>_xll.qlCalendarAdvance(Calendar,X3347,W3348,"f",FALSE)</f>
        <v>62317</v>
      </c>
      <c r="Y3348" s="227">
        <f>_xll.qlCalendarAdvance(Calendar,X3348,NDays&amp;"D")</f>
        <v>62317</v>
      </c>
      <c r="Z3348" s="228">
        <v>3.3077440813504118E-2</v>
      </c>
      <c r="AA3348" s="230">
        <v>3.3026571778125291E-2</v>
      </c>
    </row>
    <row r="3349" spans="19:27" x14ac:dyDescent="0.2">
      <c r="S3349" s="32"/>
      <c r="T3349" s="187"/>
      <c r="W3349" s="221" t="str">
        <f t="shared" ref="W3349:W3412" si="61">W3348</f>
        <v>1w</v>
      </c>
      <c r="X3349" s="222">
        <f>_xll.qlCalendarAdvance(Calendar,X3348,W3349,"f",FALSE)</f>
        <v>62324</v>
      </c>
      <c r="Y3349" s="227">
        <f>_xll.qlCalendarAdvance(Calendar,X3349,NDays&amp;"D")</f>
        <v>62324</v>
      </c>
      <c r="Z3349" s="228">
        <v>3.3080226183661472E-2</v>
      </c>
      <c r="AA3349" s="230">
        <v>3.3029379443926254E-2</v>
      </c>
    </row>
    <row r="3350" spans="19:27" x14ac:dyDescent="0.2">
      <c r="S3350" s="32"/>
      <c r="T3350" s="187"/>
      <c r="W3350" s="221" t="str">
        <f t="shared" si="61"/>
        <v>1w</v>
      </c>
      <c r="X3350" s="222">
        <f>_xll.qlCalendarAdvance(Calendar,X3349,W3350,"f",FALSE)</f>
        <v>62331</v>
      </c>
      <c r="Y3350" s="227">
        <f>_xll.qlCalendarAdvance(Calendar,X3350,NDays&amp;"D")</f>
        <v>62331</v>
      </c>
      <c r="Z3350" s="228">
        <v>3.308299758771456E-2</v>
      </c>
      <c r="AA3350" s="230">
        <v>3.3032173180789215E-2</v>
      </c>
    </row>
    <row r="3351" spans="19:27" x14ac:dyDescent="0.2">
      <c r="S3351" s="32"/>
      <c r="T3351" s="187"/>
      <c r="W3351" s="221" t="str">
        <f t="shared" si="61"/>
        <v>1w</v>
      </c>
      <c r="X3351" s="222">
        <f>_xll.qlCalendarAdvance(Calendar,X3350,W3351,"f",FALSE)</f>
        <v>62338</v>
      </c>
      <c r="Y3351" s="227">
        <f>_xll.qlCalendarAdvance(Calendar,X3351,NDays&amp;"D")</f>
        <v>62338</v>
      </c>
      <c r="Z3351" s="228">
        <v>3.308406117489375E-2</v>
      </c>
      <c r="AA3351" s="230">
        <v>3.3034952988795219E-2</v>
      </c>
    </row>
    <row r="3352" spans="19:27" x14ac:dyDescent="0.2">
      <c r="S3352" s="32"/>
      <c r="T3352" s="187"/>
      <c r="W3352" s="221" t="str">
        <f t="shared" si="61"/>
        <v>1w</v>
      </c>
      <c r="X3352" s="222">
        <f>_xll.qlCalendarAdvance(Calendar,X3351,W3352,"f",FALSE)</f>
        <v>62345</v>
      </c>
      <c r="Y3352" s="227">
        <f>_xll.qlCalendarAdvance(Calendar,X3352,NDays&amp;"D")</f>
        <v>62345</v>
      </c>
      <c r="Z3352" s="228">
        <v>3.3086805395861472E-2</v>
      </c>
      <c r="AA3352" s="230">
        <v>3.3037718867701127E-2</v>
      </c>
    </row>
    <row r="3353" spans="19:27" x14ac:dyDescent="0.2">
      <c r="S3353" s="32"/>
      <c r="T3353" s="187"/>
      <c r="W3353" s="221" t="str">
        <f t="shared" si="61"/>
        <v>1w</v>
      </c>
      <c r="X3353" s="222">
        <f>_xll.qlCalendarAdvance(Calendar,X3352,W3353,"f",FALSE)</f>
        <v>62352</v>
      </c>
      <c r="Y3353" s="227">
        <f>_xll.qlCalendarAdvance(Calendar,X3353,NDays&amp;"D")</f>
        <v>62352</v>
      </c>
      <c r="Z3353" s="228">
        <v>3.3089535651949872E-2</v>
      </c>
      <c r="AA3353" s="230">
        <v>3.304047081815531E-2</v>
      </c>
    </row>
    <row r="3354" spans="19:27" x14ac:dyDescent="0.2">
      <c r="S3354" s="32"/>
      <c r="T3354" s="187"/>
      <c r="W3354" s="221" t="str">
        <f t="shared" si="61"/>
        <v>1w</v>
      </c>
      <c r="X3354" s="222">
        <f>_xll.qlCalendarAdvance(Calendar,X3353,W3354,"f",FALSE)</f>
        <v>62359</v>
      </c>
      <c r="Y3354" s="227">
        <f>_xll.qlCalendarAdvance(Calendar,X3354,NDays&amp;"D")</f>
        <v>62359</v>
      </c>
      <c r="Z3354" s="228">
        <v>3.3092251943140027E-2</v>
      </c>
      <c r="AA3354" s="230">
        <v>3.3043208839509397E-2</v>
      </c>
    </row>
    <row r="3355" spans="19:27" x14ac:dyDescent="0.2">
      <c r="S3355" s="32"/>
      <c r="T3355" s="187"/>
      <c r="W3355" s="221" t="str">
        <f t="shared" si="61"/>
        <v>1w</v>
      </c>
      <c r="X3355" s="222">
        <f>_xll.qlCalendarAdvance(Calendar,X3354,W3355,"f",FALSE)</f>
        <v>62366</v>
      </c>
      <c r="Y3355" s="227">
        <f>_xll.qlCalendarAdvance(Calendar,X3355,NDays&amp;"D")</f>
        <v>62366</v>
      </c>
      <c r="Z3355" s="228">
        <v>3.3096645116086738E-2</v>
      </c>
      <c r="AA3355" s="230">
        <v>3.3045932931925481E-2</v>
      </c>
    </row>
    <row r="3356" spans="19:27" x14ac:dyDescent="0.2">
      <c r="S3356" s="32"/>
      <c r="T3356" s="187"/>
      <c r="W3356" s="221" t="str">
        <f t="shared" si="61"/>
        <v>1w</v>
      </c>
      <c r="X3356" s="222">
        <f>_xll.qlCalendarAdvance(Calendar,X3355,W3356,"f",FALSE)</f>
        <v>62373</v>
      </c>
      <c r="Y3356" s="227">
        <f>_xll.qlCalendarAdvance(Calendar,X3356,NDays&amp;"D")</f>
        <v>62373</v>
      </c>
      <c r="Z3356" s="228">
        <v>3.3099332723315583E-2</v>
      </c>
      <c r="AA3356" s="230">
        <v>3.3048643095646701E-2</v>
      </c>
    </row>
    <row r="3357" spans="19:27" x14ac:dyDescent="0.2">
      <c r="S3357" s="32"/>
      <c r="T3357" s="187"/>
      <c r="W3357" s="221" t="str">
        <f t="shared" si="61"/>
        <v>1w</v>
      </c>
      <c r="X3357" s="222">
        <f>_xll.qlCalendarAdvance(Calendar,X3356,W3357,"f",FALSE)</f>
        <v>62380</v>
      </c>
      <c r="Y3357" s="227">
        <f>_xll.qlCalendarAdvance(Calendar,X3357,NDays&amp;"D")</f>
        <v>62380</v>
      </c>
      <c r="Z3357" s="228">
        <v>3.3102006364369586E-2</v>
      </c>
      <c r="AA3357" s="230">
        <v>3.3051339330429919E-2</v>
      </c>
    </row>
    <row r="3358" spans="19:27" x14ac:dyDescent="0.2">
      <c r="S3358" s="32"/>
      <c r="T3358" s="187"/>
      <c r="W3358" s="221" t="str">
        <f t="shared" si="61"/>
        <v>1w</v>
      </c>
      <c r="X3358" s="222">
        <f>_xll.qlCalendarAdvance(Calendar,X3357,W3358,"f",FALSE)</f>
        <v>62387</v>
      </c>
      <c r="Y3358" s="227">
        <f>_xll.qlCalendarAdvance(Calendar,X3358,NDays&amp;"D")</f>
        <v>62387</v>
      </c>
      <c r="Z3358" s="228">
        <v>3.3104666039240893E-2</v>
      </c>
      <c r="AA3358" s="230">
        <v>3.3054021636275133E-2</v>
      </c>
    </row>
    <row r="3359" spans="19:27" x14ac:dyDescent="0.2">
      <c r="S3359" s="32"/>
      <c r="T3359" s="187"/>
      <c r="W3359" s="221" t="str">
        <f t="shared" si="61"/>
        <v>1w</v>
      </c>
      <c r="X3359" s="222">
        <f>_xll.qlCalendarAdvance(Calendar,X3358,W3359,"f",FALSE)</f>
        <v>62394</v>
      </c>
      <c r="Y3359" s="227">
        <f>_xll.qlCalendarAdvance(Calendar,X3359,NDays&amp;"D")</f>
        <v>62394</v>
      </c>
      <c r="Z3359" s="228">
        <v>3.3107311747924285E-2</v>
      </c>
      <c r="AA3359" s="230">
        <v>3.305669001326339E-2</v>
      </c>
    </row>
    <row r="3360" spans="19:27" x14ac:dyDescent="0.2">
      <c r="S3360" s="32"/>
      <c r="T3360" s="187"/>
      <c r="W3360" s="221" t="str">
        <f t="shared" si="61"/>
        <v>1w</v>
      </c>
      <c r="X3360" s="222">
        <f>_xll.qlCalendarAdvance(Calendar,X3359,W3360,"f",FALSE)</f>
        <v>62401</v>
      </c>
      <c r="Y3360" s="227">
        <f>_xll.qlCalendarAdvance(Calendar,X3360,NDays&amp;"D")</f>
        <v>62401</v>
      </c>
      <c r="Z3360" s="228">
        <v>3.3108256426885793E-2</v>
      </c>
      <c r="AA3360" s="230">
        <v>3.3059344461556783E-2</v>
      </c>
    </row>
    <row r="3361" spans="19:27" x14ac:dyDescent="0.2">
      <c r="S3361" s="32"/>
      <c r="T3361" s="187"/>
      <c r="W3361" s="221" t="str">
        <f t="shared" si="61"/>
        <v>1w</v>
      </c>
      <c r="X3361" s="222">
        <f>_xll.qlCalendarAdvance(Calendar,X3360,W3361,"f",FALSE)</f>
        <v>62408</v>
      </c>
      <c r="Y3361" s="227">
        <f>_xll.qlCalendarAdvance(Calendar,X3361,NDays&amp;"D")</f>
        <v>62408</v>
      </c>
      <c r="Z3361" s="228">
        <v>3.3110874963531642E-2</v>
      </c>
      <c r="AA3361" s="230">
        <v>3.3061984980831127E-2</v>
      </c>
    </row>
    <row r="3362" spans="19:27" x14ac:dyDescent="0.2">
      <c r="S3362" s="32"/>
      <c r="T3362" s="187"/>
      <c r="W3362" s="221" t="str">
        <f t="shared" si="61"/>
        <v>1w</v>
      </c>
      <c r="X3362" s="222">
        <f>_xll.qlCalendarAdvance(Calendar,X3361,W3362,"f",FALSE)</f>
        <v>62415</v>
      </c>
      <c r="Y3362" s="227">
        <f>_xll.qlCalendarAdvance(Calendar,X3362,NDays&amp;"D")</f>
        <v>62415</v>
      </c>
      <c r="Z3362" s="228">
        <v>3.3113479535200906E-2</v>
      </c>
      <c r="AA3362" s="230">
        <v>3.3064611571248514E-2</v>
      </c>
    </row>
    <row r="3363" spans="19:27" x14ac:dyDescent="0.2">
      <c r="S3363" s="32"/>
      <c r="T3363" s="187"/>
      <c r="W3363" s="221" t="str">
        <f t="shared" si="61"/>
        <v>1w</v>
      </c>
      <c r="X3363" s="222">
        <f>_xll.qlCalendarAdvance(Calendar,X3362,W3363,"f",FALSE)</f>
        <v>62422</v>
      </c>
      <c r="Y3363" s="227">
        <f>_xll.qlCalendarAdvance(Calendar,X3363,NDays&amp;"D")</f>
        <v>62422</v>
      </c>
      <c r="Z3363" s="228">
        <v>3.3122809430430299E-2</v>
      </c>
      <c r="AA3363" s="230">
        <v>3.3067224232889991E-2</v>
      </c>
    </row>
    <row r="3364" spans="19:27" x14ac:dyDescent="0.2">
      <c r="S3364" s="32"/>
      <c r="T3364" s="187"/>
      <c r="W3364" s="221" t="str">
        <f t="shared" si="61"/>
        <v>1w</v>
      </c>
      <c r="X3364" s="222">
        <f>_xll.qlCalendarAdvance(Calendar,X3363,W3364,"f",FALSE)</f>
        <v>62429</v>
      </c>
      <c r="Y3364" s="227">
        <f>_xll.qlCalendarAdvance(Calendar,X3364,NDays&amp;"D")</f>
        <v>62429</v>
      </c>
      <c r="Z3364" s="228">
        <v>3.3120330798166883E-2</v>
      </c>
      <c r="AA3364" s="230">
        <v>3.3069822965593465E-2</v>
      </c>
    </row>
    <row r="3365" spans="19:27" x14ac:dyDescent="0.2">
      <c r="S3365" s="32"/>
      <c r="T3365" s="187"/>
      <c r="W3365" s="221" t="str">
        <f t="shared" si="61"/>
        <v>1w</v>
      </c>
      <c r="X3365" s="222">
        <f>_xll.qlCalendarAdvance(Calendar,X3364,W3365,"f",FALSE)</f>
        <v>62436</v>
      </c>
      <c r="Y3365" s="227">
        <f>_xll.qlCalendarAdvance(Calendar,X3365,NDays&amp;"D")</f>
        <v>62436</v>
      </c>
      <c r="Z3365" s="228">
        <v>3.3122892709510993E-2</v>
      </c>
      <c r="AA3365" s="230">
        <v>3.3072407769358936E-2</v>
      </c>
    </row>
    <row r="3366" spans="19:27" x14ac:dyDescent="0.2">
      <c r="S3366" s="32"/>
      <c r="T3366" s="187"/>
      <c r="W3366" s="221" t="str">
        <f t="shared" si="61"/>
        <v>1w</v>
      </c>
      <c r="X3366" s="222">
        <f>_xll.qlCalendarAdvance(Calendar,X3365,W3366,"f",FALSE)</f>
        <v>62443</v>
      </c>
      <c r="Y3366" s="227">
        <f>_xll.qlCalendarAdvance(Calendar,X3366,NDays&amp;"D")</f>
        <v>62443</v>
      </c>
      <c r="Z3366" s="228">
        <v>3.3125440654601816E-2</v>
      </c>
      <c r="AA3366" s="230">
        <v>3.3074978644186404E-2</v>
      </c>
    </row>
    <row r="3367" spans="19:27" x14ac:dyDescent="0.2">
      <c r="S3367" s="32"/>
      <c r="T3367" s="187"/>
      <c r="W3367" s="221" t="str">
        <f t="shared" si="61"/>
        <v>1w</v>
      </c>
      <c r="X3367" s="222">
        <f>_xll.qlCalendarAdvance(Calendar,X3366,W3367,"f",FALSE)</f>
        <v>62450</v>
      </c>
      <c r="Y3367" s="227">
        <f>_xll.qlCalendarAdvance(Calendar,X3367,NDays&amp;"D")</f>
        <v>62450</v>
      </c>
      <c r="Z3367" s="228">
        <v>3.3127974633431527E-2</v>
      </c>
      <c r="AA3367" s="230">
        <v>3.3077535590400053E-2</v>
      </c>
    </row>
    <row r="3368" spans="19:27" x14ac:dyDescent="0.2">
      <c r="S3368" s="32"/>
      <c r="T3368" s="187"/>
      <c r="W3368" s="221" t="str">
        <f t="shared" si="61"/>
        <v>1w</v>
      </c>
      <c r="X3368" s="222">
        <f>_xll.qlCalendarAdvance(Calendar,X3367,W3368,"f",FALSE)</f>
        <v>62457</v>
      </c>
      <c r="Y3368" s="227">
        <f>_xll.qlCalendarAdvance(Calendar,X3368,NDays&amp;"D")</f>
        <v>62457</v>
      </c>
      <c r="Z3368" s="228">
        <v>3.3130494645987038E-2</v>
      </c>
      <c r="AA3368" s="230">
        <v>3.30800786076757E-2</v>
      </c>
    </row>
    <row r="3369" spans="19:27" x14ac:dyDescent="0.2">
      <c r="S3369" s="32"/>
      <c r="T3369" s="187"/>
      <c r="W3369" s="221" t="str">
        <f t="shared" si="61"/>
        <v>1w</v>
      </c>
      <c r="X3369" s="222">
        <f>_xll.qlCalendarAdvance(Calendar,X3368,W3369,"f",FALSE)</f>
        <v>62464</v>
      </c>
      <c r="Y3369" s="227">
        <f>_xll.qlCalendarAdvance(Calendar,X3369,NDays&amp;"D")</f>
        <v>62464</v>
      </c>
      <c r="Z3369" s="228">
        <v>3.3133000692257893E-2</v>
      </c>
      <c r="AA3369" s="230">
        <v>3.3082607696013344E-2</v>
      </c>
    </row>
    <row r="3370" spans="19:27" x14ac:dyDescent="0.2">
      <c r="S3370" s="32"/>
      <c r="T3370" s="187"/>
      <c r="W3370" s="221" t="str">
        <f t="shared" si="61"/>
        <v>1w</v>
      </c>
      <c r="X3370" s="222">
        <f>_xll.qlCalendarAdvance(Calendar,X3369,W3370,"f",FALSE)</f>
        <v>62471</v>
      </c>
      <c r="Y3370" s="227">
        <f>_xll.qlCalendarAdvance(Calendar,X3370,NDays&amp;"D")</f>
        <v>62471</v>
      </c>
      <c r="Z3370" s="228">
        <v>3.3135492772236257E-2</v>
      </c>
      <c r="AA3370" s="230">
        <v>3.3085122855250892E-2</v>
      </c>
    </row>
    <row r="3371" spans="19:27" x14ac:dyDescent="0.2">
      <c r="S3371" s="32"/>
      <c r="T3371" s="187"/>
      <c r="W3371" s="221" t="str">
        <f t="shared" si="61"/>
        <v>1w</v>
      </c>
      <c r="X3371" s="222">
        <f>_xll.qlCalendarAdvance(Calendar,X3370,W3371,"f",FALSE)</f>
        <v>62478</v>
      </c>
      <c r="Y3371" s="227">
        <f>_xll.qlCalendarAdvance(Calendar,X3371,NDays&amp;"D")</f>
        <v>62478</v>
      </c>
      <c r="Z3371" s="228">
        <v>3.3137970885916898E-2</v>
      </c>
      <c r="AA3371" s="230">
        <v>3.3087624085955669E-2</v>
      </c>
    </row>
    <row r="3372" spans="19:27" x14ac:dyDescent="0.2">
      <c r="S3372" s="32"/>
      <c r="T3372" s="187"/>
      <c r="W3372" s="221" t="str">
        <f t="shared" si="61"/>
        <v>1w</v>
      </c>
      <c r="X3372" s="222">
        <f>_xll.qlCalendarAdvance(Calendar,X3371,W3372,"f",FALSE)</f>
        <v>62485</v>
      </c>
      <c r="Y3372" s="227">
        <f>_xll.qlCalendarAdvance(Calendar,X3372,NDays&amp;"D")</f>
        <v>62485</v>
      </c>
      <c r="Z3372" s="228">
        <v>3.3140435033291969E-2</v>
      </c>
      <c r="AA3372" s="230">
        <v>3.3090111387641397E-2</v>
      </c>
    </row>
    <row r="3373" spans="19:27" x14ac:dyDescent="0.2">
      <c r="S3373" s="32"/>
      <c r="T3373" s="187"/>
      <c r="W3373" s="221" t="str">
        <f t="shared" si="61"/>
        <v>1w</v>
      </c>
      <c r="X3373" s="222">
        <f>_xll.qlCalendarAdvance(Calendar,X3372,W3373,"f",FALSE)</f>
        <v>62492</v>
      </c>
      <c r="Y3373" s="227">
        <f>_xll.qlCalendarAdvance(Calendar,X3373,NDays&amp;"D")</f>
        <v>62492</v>
      </c>
      <c r="Z3373" s="228">
        <v>3.3137854052486378E-2</v>
      </c>
      <c r="AA3373" s="230">
        <v>3.3092584760470167E-2</v>
      </c>
    </row>
    <row r="3374" spans="19:27" x14ac:dyDescent="0.2">
      <c r="S3374" s="32"/>
      <c r="T3374" s="187"/>
      <c r="W3374" s="221" t="str">
        <f t="shared" si="61"/>
        <v>1w</v>
      </c>
      <c r="X3374" s="222">
        <f>_xll.qlCalendarAdvance(Calendar,X3373,W3374,"f",FALSE)</f>
        <v>62499</v>
      </c>
      <c r="Y3374" s="227">
        <f>_xll.qlCalendarAdvance(Calendar,X3374,NDays&amp;"D")</f>
        <v>62499</v>
      </c>
      <c r="Z3374" s="228">
        <v>3.3140292596555904E-2</v>
      </c>
      <c r="AA3374" s="230">
        <v>3.3095044204441981E-2</v>
      </c>
    </row>
    <row r="3375" spans="19:27" x14ac:dyDescent="0.2">
      <c r="S3375" s="32"/>
      <c r="T3375" s="187"/>
      <c r="W3375" s="221" t="str">
        <f t="shared" si="61"/>
        <v>1w</v>
      </c>
      <c r="X3375" s="222">
        <f>_xll.qlCalendarAdvance(Calendar,X3374,W3375,"f",FALSE)</f>
        <v>62506</v>
      </c>
      <c r="Y3375" s="227">
        <f>_xll.qlCalendarAdvance(Calendar,X3375,NDays&amp;"D")</f>
        <v>62506</v>
      </c>
      <c r="Z3375" s="228">
        <v>3.3142717178041646E-2</v>
      </c>
      <c r="AA3375" s="230">
        <v>3.3097489719799977E-2</v>
      </c>
    </row>
    <row r="3376" spans="19:27" x14ac:dyDescent="0.2">
      <c r="S3376" s="32"/>
      <c r="T3376" s="187"/>
      <c r="W3376" s="221" t="str">
        <f t="shared" si="61"/>
        <v>1w</v>
      </c>
      <c r="X3376" s="222">
        <f>_xll.qlCalendarAdvance(Calendar,X3375,W3376,"f",FALSE)</f>
        <v>62513</v>
      </c>
      <c r="Y3376" s="227">
        <f>_xll.qlCalendarAdvance(Calendar,X3376,NDays&amp;"D")</f>
        <v>62513</v>
      </c>
      <c r="Z3376" s="228">
        <v>3.3145127796937811E-2</v>
      </c>
      <c r="AA3376" s="230">
        <v>3.3099921305976832E-2</v>
      </c>
    </row>
    <row r="3377" spans="19:27" x14ac:dyDescent="0.2">
      <c r="S3377" s="32"/>
      <c r="T3377" s="187"/>
      <c r="W3377" s="221" t="str">
        <f t="shared" si="61"/>
        <v>1w</v>
      </c>
      <c r="X3377" s="222">
        <f>_xll.qlCalendarAdvance(Calendar,X3376,W3377,"f",FALSE)</f>
        <v>62520</v>
      </c>
      <c r="Y3377" s="227">
        <f>_xll.qlCalendarAdvance(Calendar,X3377,NDays&amp;"D")</f>
        <v>62520</v>
      </c>
      <c r="Z3377" s="228">
        <v>3.3152546275225646E-2</v>
      </c>
      <c r="AA3377" s="230">
        <v>3.3102338963215683E-2</v>
      </c>
    </row>
    <row r="3378" spans="19:27" x14ac:dyDescent="0.2">
      <c r="S3378" s="32"/>
      <c r="T3378" s="187"/>
      <c r="W3378" s="221" t="str">
        <f t="shared" si="61"/>
        <v>1w</v>
      </c>
      <c r="X3378" s="222">
        <f>_xll.qlCalendarAdvance(Calendar,X3377,W3378,"f",FALSE)</f>
        <v>62527</v>
      </c>
      <c r="Y3378" s="227">
        <f>_xll.qlCalendarAdvance(Calendar,X3378,NDays&amp;"D")</f>
        <v>62527</v>
      </c>
      <c r="Z3378" s="228">
        <v>3.3154926624563395E-2</v>
      </c>
      <c r="AA3378" s="230">
        <v>3.310474269175967E-2</v>
      </c>
    </row>
    <row r="3379" spans="19:27" x14ac:dyDescent="0.2">
      <c r="S3379" s="32"/>
      <c r="T3379" s="187"/>
      <c r="W3379" s="221" t="str">
        <f t="shared" si="61"/>
        <v>1w</v>
      </c>
      <c r="X3379" s="222">
        <f>_xll.qlCalendarAdvance(Calendar,X3378,W3379,"f",FALSE)</f>
        <v>62534</v>
      </c>
      <c r="Y3379" s="227">
        <f>_xll.qlCalendarAdvance(Calendar,X3379,NDays&amp;"D")</f>
        <v>62534</v>
      </c>
      <c r="Z3379" s="228">
        <v>3.3163982883773854E-2</v>
      </c>
      <c r="AA3379" s="230">
        <v>3.3107132491365654E-2</v>
      </c>
    </row>
    <row r="3380" spans="19:27" x14ac:dyDescent="0.2">
      <c r="S3380" s="32"/>
      <c r="T3380" s="187"/>
      <c r="W3380" s="221" t="str">
        <f t="shared" si="61"/>
        <v>1w</v>
      </c>
      <c r="X3380" s="222">
        <f>_xll.qlCalendarAdvance(Calendar,X3379,W3380,"f",FALSE)</f>
        <v>62541</v>
      </c>
      <c r="Y3380" s="227">
        <f>_xll.qlCalendarAdvance(Calendar,X3380,NDays&amp;"D")</f>
        <v>62541</v>
      </c>
      <c r="Z3380" s="228">
        <v>3.3159645424123488E-2</v>
      </c>
      <c r="AA3380" s="230">
        <v>3.3109508361952589E-2</v>
      </c>
    </row>
    <row r="3381" spans="19:27" x14ac:dyDescent="0.2">
      <c r="S3381" s="32"/>
      <c r="T3381" s="187"/>
      <c r="W3381" s="221" t="str">
        <f t="shared" si="61"/>
        <v>1w</v>
      </c>
      <c r="X3381" s="222">
        <f>_xll.qlCalendarAdvance(Calendar,X3380,W3381,"f",FALSE)</f>
        <v>62548</v>
      </c>
      <c r="Y3381" s="227">
        <f>_xll.qlCalendarAdvance(Calendar,X3381,NDays&amp;"D")</f>
        <v>62548</v>
      </c>
      <c r="Z3381" s="228">
        <v>3.3160313040832966E-2</v>
      </c>
      <c r="AA3381" s="230">
        <v>3.3111870303925706E-2</v>
      </c>
    </row>
    <row r="3382" spans="19:27" x14ac:dyDescent="0.2">
      <c r="S3382" s="32"/>
      <c r="T3382" s="187"/>
      <c r="W3382" s="221" t="str">
        <f t="shared" si="61"/>
        <v>1w</v>
      </c>
      <c r="X3382" s="222">
        <f>_xll.qlCalendarAdvance(Calendar,X3381,W3382,"f",FALSE)</f>
        <v>62555</v>
      </c>
      <c r="Y3382" s="227">
        <f>_xll.qlCalendarAdvance(Calendar,X3382,NDays&amp;"D")</f>
        <v>62555</v>
      </c>
      <c r="Z3382" s="228">
        <v>3.3162638311268609E-2</v>
      </c>
      <c r="AA3382" s="230">
        <v>3.311421831696082E-2</v>
      </c>
    </row>
    <row r="3383" spans="19:27" x14ac:dyDescent="0.2">
      <c r="S3383" s="32"/>
      <c r="T3383" s="187"/>
      <c r="W3383" s="221" t="str">
        <f t="shared" si="61"/>
        <v>1w</v>
      </c>
      <c r="X3383" s="222">
        <f>_xll.qlCalendarAdvance(Calendar,X3382,W3383,"f",FALSE)</f>
        <v>62562</v>
      </c>
      <c r="Y3383" s="227">
        <f>_xll.qlCalendarAdvance(Calendar,X3383,NDays&amp;"D")</f>
        <v>62562</v>
      </c>
      <c r="Z3383" s="228">
        <v>3.3164949616554772E-2</v>
      </c>
      <c r="AA3383" s="230">
        <v>3.3116552400976884E-2</v>
      </c>
    </row>
    <row r="3384" spans="19:27" x14ac:dyDescent="0.2">
      <c r="S3384" s="32"/>
      <c r="T3384" s="187"/>
      <c r="W3384" s="221" t="str">
        <f t="shared" si="61"/>
        <v>1w</v>
      </c>
      <c r="X3384" s="222">
        <f>_xll.qlCalendarAdvance(Calendar,X3383,W3384,"f",FALSE)</f>
        <v>62569</v>
      </c>
      <c r="Y3384" s="227">
        <f>_xll.qlCalendarAdvance(Calendar,X3384,NDays&amp;"D")</f>
        <v>62569</v>
      </c>
      <c r="Z3384" s="228">
        <v>3.3167246956677943E-2</v>
      </c>
      <c r="AA3384" s="230">
        <v>3.3118872556135992E-2</v>
      </c>
    </row>
    <row r="3385" spans="19:27" x14ac:dyDescent="0.2">
      <c r="S3385" s="32"/>
      <c r="T3385" s="187"/>
      <c r="W3385" s="221" t="str">
        <f t="shared" si="61"/>
        <v>1w</v>
      </c>
      <c r="X3385" s="222">
        <f>_xll.qlCalendarAdvance(Calendar,X3384,W3385,"f",FALSE)</f>
        <v>62576</v>
      </c>
      <c r="Y3385" s="227">
        <f>_xll.qlCalendarAdvance(Calendar,X3385,NDays&amp;"D")</f>
        <v>62576</v>
      </c>
      <c r="Z3385" s="228">
        <v>3.3169530331643535E-2</v>
      </c>
      <c r="AA3385" s="230">
        <v>3.3121178782681282E-2</v>
      </c>
    </row>
    <row r="3386" spans="19:27" x14ac:dyDescent="0.2">
      <c r="S3386" s="32"/>
      <c r="T3386" s="187"/>
      <c r="W3386" s="221" t="str">
        <f t="shared" si="61"/>
        <v>1w</v>
      </c>
      <c r="X3386" s="222">
        <f>_xll.qlCalendarAdvance(Calendar,X3385,W3386,"f",FALSE)</f>
        <v>62583</v>
      </c>
      <c r="Y3386" s="227">
        <f>_xll.qlCalendarAdvance(Calendar,X3386,NDays&amp;"D")</f>
        <v>62583</v>
      </c>
      <c r="Z3386" s="228">
        <v>3.3173466629305447E-2</v>
      </c>
      <c r="AA3386" s="230">
        <v>3.3123471079964384E-2</v>
      </c>
    </row>
    <row r="3387" spans="19:27" x14ac:dyDescent="0.2">
      <c r="S3387" s="32"/>
      <c r="T3387" s="187"/>
      <c r="W3387" s="221" t="str">
        <f t="shared" si="61"/>
        <v>1w</v>
      </c>
      <c r="X3387" s="222">
        <f>_xll.qlCalendarAdvance(Calendar,X3386,W3387,"f",FALSE)</f>
        <v>62590</v>
      </c>
      <c r="Y3387" s="227">
        <f>_xll.qlCalendarAdvance(Calendar,X3387,NDays&amp;"D")</f>
        <v>62590</v>
      </c>
      <c r="Z3387" s="228">
        <v>3.317572128102772E-2</v>
      </c>
      <c r="AA3387" s="230">
        <v>3.3125749448714714E-2</v>
      </c>
    </row>
    <row r="3388" spans="19:27" x14ac:dyDescent="0.2">
      <c r="S3388" s="32"/>
      <c r="T3388" s="187"/>
      <c r="W3388" s="221" t="str">
        <f t="shared" si="61"/>
        <v>1w</v>
      </c>
      <c r="X3388" s="222">
        <f>_xll.qlCalendarAdvance(Calendar,X3387,W3388,"f",FALSE)</f>
        <v>62597</v>
      </c>
      <c r="Y3388" s="227">
        <f>_xll.qlCalendarAdvance(Calendar,X3388,NDays&amp;"D")</f>
        <v>62597</v>
      </c>
      <c r="Z3388" s="228">
        <v>3.3177961966305868E-2</v>
      </c>
      <c r="AA3388" s="230">
        <v>3.3128013888283903E-2</v>
      </c>
    </row>
    <row r="3389" spans="19:27" x14ac:dyDescent="0.2">
      <c r="S3389" s="32"/>
      <c r="T3389" s="187"/>
      <c r="W3389" s="221" t="str">
        <f t="shared" si="61"/>
        <v>1w</v>
      </c>
      <c r="X3389" s="222">
        <f>_xll.qlCalendarAdvance(Calendar,X3388,W3389,"f",FALSE)</f>
        <v>62604</v>
      </c>
      <c r="Y3389" s="227">
        <f>_xll.qlCalendarAdvance(Calendar,X3389,NDays&amp;"D")</f>
        <v>62604</v>
      </c>
      <c r="Z3389" s="228">
        <v>3.3180188685139882E-2</v>
      </c>
      <c r="AA3389" s="230">
        <v>3.3130264399320319E-2</v>
      </c>
    </row>
    <row r="3390" spans="19:27" x14ac:dyDescent="0.2">
      <c r="S3390" s="32"/>
      <c r="T3390" s="187"/>
      <c r="W3390" s="221" t="str">
        <f t="shared" si="61"/>
        <v>1w</v>
      </c>
      <c r="X3390" s="222">
        <f>_xll.qlCalendarAdvance(Calendar,X3389,W3390,"f",FALSE)</f>
        <v>62611</v>
      </c>
      <c r="Y3390" s="227">
        <f>_xll.qlCalendarAdvance(Calendar,X3390,NDays&amp;"D")</f>
        <v>62611</v>
      </c>
      <c r="Z3390" s="228">
        <v>3.3180737728710552E-2</v>
      </c>
      <c r="AA3390" s="230">
        <v>3.3132500981175594E-2</v>
      </c>
    </row>
    <row r="3391" spans="19:27" x14ac:dyDescent="0.2">
      <c r="S3391" s="32"/>
      <c r="T3391" s="187"/>
      <c r="W3391" s="221" t="str">
        <f t="shared" si="61"/>
        <v>1w</v>
      </c>
      <c r="X3391" s="222">
        <f>_xll.qlCalendarAdvance(Calendar,X3390,W3391,"f",FALSE)</f>
        <v>62618</v>
      </c>
      <c r="Y3391" s="227">
        <f>_xll.qlCalendarAdvance(Calendar,X3391,NDays&amp;"D")</f>
        <v>62618</v>
      </c>
      <c r="Z3391" s="228">
        <v>3.3182937312522608E-2</v>
      </c>
      <c r="AA3391" s="230">
        <v>3.3134723634254959E-2</v>
      </c>
    </row>
    <row r="3392" spans="19:27" x14ac:dyDescent="0.2">
      <c r="S3392" s="32"/>
      <c r="T3392" s="187"/>
      <c r="W3392" s="221" t="str">
        <f t="shared" si="61"/>
        <v>1w</v>
      </c>
      <c r="X3392" s="222">
        <f>_xll.qlCalendarAdvance(Calendar,X3391,W3392,"f",FALSE)</f>
        <v>62625</v>
      </c>
      <c r="Y3392" s="227">
        <f>_xll.qlCalendarAdvance(Calendar,X3392,NDays&amp;"D")</f>
        <v>62625</v>
      </c>
      <c r="Z3392" s="228">
        <v>3.318512293111494E-2</v>
      </c>
      <c r="AA3392" s="230">
        <v>3.313693235839632E-2</v>
      </c>
    </row>
    <row r="3393" spans="19:27" x14ac:dyDescent="0.2">
      <c r="S3393" s="32"/>
      <c r="T3393" s="187"/>
      <c r="W3393" s="221" t="str">
        <f t="shared" si="61"/>
        <v>1w</v>
      </c>
      <c r="X3393" s="222">
        <f>_xll.qlCalendarAdvance(Calendar,X3392,W3393,"f",FALSE)</f>
        <v>62632</v>
      </c>
      <c r="Y3393" s="227">
        <f>_xll.qlCalendarAdvance(Calendar,X3393,NDays&amp;"D")</f>
        <v>62632</v>
      </c>
      <c r="Z3393" s="228">
        <v>3.3187294584479443E-2</v>
      </c>
      <c r="AA3393" s="230">
        <v>3.3139127153842818E-2</v>
      </c>
    </row>
    <row r="3394" spans="19:27" x14ac:dyDescent="0.2">
      <c r="S3394" s="32"/>
      <c r="T3394" s="187"/>
      <c r="W3394" s="221" t="str">
        <f t="shared" si="61"/>
        <v>1w</v>
      </c>
      <c r="X3394" s="222">
        <f>_xll.qlCalendarAdvance(Calendar,X3393,W3394,"f",FALSE)</f>
        <v>62639</v>
      </c>
      <c r="Y3394" s="227">
        <f>_xll.qlCalendarAdvance(Calendar,X3394,NDays&amp;"D")</f>
        <v>62639</v>
      </c>
      <c r="Z3394" s="228">
        <v>3.3191112782253229E-2</v>
      </c>
      <c r="AA3394" s="230">
        <v>3.3141308020270266E-2</v>
      </c>
    </row>
    <row r="3395" spans="19:27" x14ac:dyDescent="0.2">
      <c r="S3395" s="32"/>
      <c r="T3395" s="187"/>
      <c r="W3395" s="221" t="str">
        <f t="shared" si="61"/>
        <v>1w</v>
      </c>
      <c r="X3395" s="222">
        <f>_xll.qlCalendarAdvance(Calendar,X3394,W3395,"f",FALSE)</f>
        <v>62646</v>
      </c>
      <c r="Y3395" s="227">
        <f>_xll.qlCalendarAdvance(Calendar,X3395,NDays&amp;"D")</f>
        <v>62646</v>
      </c>
      <c r="Z3395" s="228">
        <v>3.3193255702215922E-2</v>
      </c>
      <c r="AA3395" s="230">
        <v>3.3143474957759711E-2</v>
      </c>
    </row>
    <row r="3396" spans="19:27" x14ac:dyDescent="0.2">
      <c r="S3396" s="32"/>
      <c r="T3396" s="187"/>
      <c r="W3396" s="221" t="str">
        <f t="shared" si="61"/>
        <v>1w</v>
      </c>
      <c r="X3396" s="222">
        <f>_xll.qlCalendarAdvance(Calendar,X3395,W3396,"f",FALSE)</f>
        <v>62653</v>
      </c>
      <c r="Y3396" s="227">
        <f>_xll.qlCalendarAdvance(Calendar,X3396,NDays&amp;"D")</f>
        <v>62653</v>
      </c>
      <c r="Z3396" s="228">
        <v>3.3195384655671747E-2</v>
      </c>
      <c r="AA3396" s="230">
        <v>3.3145627966554292E-2</v>
      </c>
    </row>
    <row r="3397" spans="19:27" x14ac:dyDescent="0.2">
      <c r="S3397" s="32"/>
      <c r="T3397" s="187"/>
      <c r="W3397" s="221" t="str">
        <f t="shared" si="61"/>
        <v>1w</v>
      </c>
      <c r="X3397" s="222">
        <f>_xll.qlCalendarAdvance(Calendar,X3396,W3397,"f",FALSE)</f>
        <v>62660</v>
      </c>
      <c r="Y3397" s="227">
        <f>_xll.qlCalendarAdvance(Calendar,X3397,NDays&amp;"D")</f>
        <v>62660</v>
      </c>
      <c r="Z3397" s="228">
        <v>3.3197499642618075E-2</v>
      </c>
      <c r="AA3397" s="230">
        <v>3.314776704641087E-2</v>
      </c>
    </row>
    <row r="3398" spans="19:27" x14ac:dyDescent="0.2">
      <c r="S3398" s="32"/>
      <c r="T3398" s="187"/>
      <c r="W3398" s="221" t="str">
        <f t="shared" si="61"/>
        <v>1w</v>
      </c>
      <c r="X3398" s="222">
        <f>_xll.qlCalendarAdvance(Calendar,X3397,W3398,"f",FALSE)</f>
        <v>62667</v>
      </c>
      <c r="Y3398" s="227">
        <f>_xll.qlCalendarAdvance(Calendar,X3398,NDays&amp;"D")</f>
        <v>62667</v>
      </c>
      <c r="Z3398" s="228">
        <v>3.3199600663044455E-2</v>
      </c>
      <c r="AA3398" s="230">
        <v>3.3149892197329445E-2</v>
      </c>
    </row>
    <row r="3399" spans="19:27" x14ac:dyDescent="0.2">
      <c r="S3399" s="32"/>
      <c r="T3399" s="187"/>
      <c r="W3399" s="221" t="str">
        <f t="shared" si="61"/>
        <v>1w</v>
      </c>
      <c r="X3399" s="222">
        <f>_xll.qlCalendarAdvance(Calendar,X3398,W3399,"f",FALSE)</f>
        <v>62674</v>
      </c>
      <c r="Y3399" s="227">
        <f>_xll.qlCalendarAdvance(Calendar,X3399,NDays&amp;"D")</f>
        <v>62674</v>
      </c>
      <c r="Z3399" s="228">
        <v>3.3201687716940438E-2</v>
      </c>
      <c r="AA3399" s="230">
        <v>3.3152003419310017E-2</v>
      </c>
    </row>
    <row r="3400" spans="19:27" x14ac:dyDescent="0.2">
      <c r="S3400" s="32"/>
      <c r="T3400" s="187"/>
      <c r="W3400" s="221" t="str">
        <f t="shared" si="61"/>
        <v>1w</v>
      </c>
      <c r="X3400" s="222">
        <f>_xll.qlCalendarAdvance(Calendar,X3399,W3400,"f",FALSE)</f>
        <v>62681</v>
      </c>
      <c r="Y3400" s="227">
        <f>_xll.qlCalendarAdvance(Calendar,X3400,NDays&amp;"D")</f>
        <v>62681</v>
      </c>
      <c r="Z3400" s="228">
        <v>3.3203760804303394E-2</v>
      </c>
      <c r="AA3400" s="230">
        <v>3.3154100712595724E-2</v>
      </c>
    </row>
    <row r="3401" spans="19:27" x14ac:dyDescent="0.2">
      <c r="S3401" s="32"/>
      <c r="T3401" s="187"/>
      <c r="W3401" s="221" t="str">
        <f t="shared" si="61"/>
        <v>1w</v>
      </c>
      <c r="X3401" s="222">
        <f>_xll.qlCalendarAdvance(Calendar,X3400,W3401,"f",FALSE)</f>
        <v>62688</v>
      </c>
      <c r="Y3401" s="227">
        <f>_xll.qlCalendarAdvance(Calendar,X3401,NDays&amp;"D")</f>
        <v>62688</v>
      </c>
      <c r="Z3401" s="228">
        <v>3.3205819925128104E-2</v>
      </c>
      <c r="AA3401" s="230">
        <v>3.3156184076943429E-2</v>
      </c>
    </row>
    <row r="3402" spans="19:27" x14ac:dyDescent="0.2">
      <c r="S3402" s="32"/>
      <c r="T3402" s="187"/>
      <c r="W3402" s="221" t="str">
        <f t="shared" si="61"/>
        <v>1w</v>
      </c>
      <c r="X3402" s="222">
        <f>_xll.qlCalendarAdvance(Calendar,X3401,W3402,"f",FALSE)</f>
        <v>62695</v>
      </c>
      <c r="Y3402" s="227">
        <f>_xll.qlCalendarAdvance(Calendar,X3402,NDays&amp;"D")</f>
        <v>62695</v>
      </c>
      <c r="Z3402" s="228">
        <v>3.3207865079401488E-2</v>
      </c>
      <c r="AA3402" s="230">
        <v>3.3158253512272085E-2</v>
      </c>
    </row>
    <row r="3403" spans="19:27" x14ac:dyDescent="0.2">
      <c r="S3403" s="32"/>
      <c r="T3403" s="187"/>
      <c r="W3403" s="221" t="str">
        <f t="shared" si="61"/>
        <v>1w</v>
      </c>
      <c r="X3403" s="222">
        <f>_xll.qlCalendarAdvance(Calendar,X3402,W3403,"f",FALSE)</f>
        <v>62702</v>
      </c>
      <c r="Y3403" s="227">
        <f>_xll.qlCalendarAdvance(Calendar,X3403,NDays&amp;"D")</f>
        <v>62702</v>
      </c>
      <c r="Z3403" s="228">
        <v>3.3208243029081208E-2</v>
      </c>
      <c r="AA3403" s="230">
        <v>3.3160309018743783E-2</v>
      </c>
    </row>
    <row r="3404" spans="19:27" x14ac:dyDescent="0.2">
      <c r="S3404" s="32"/>
      <c r="T3404" s="187"/>
      <c r="W3404" s="221" t="str">
        <f t="shared" si="61"/>
        <v>1w</v>
      </c>
      <c r="X3404" s="222">
        <f>_xll.qlCalendarAdvance(Calendar,X3403,W3404,"f",FALSE)</f>
        <v>62709</v>
      </c>
      <c r="Y3404" s="227">
        <f>_xll.qlCalendarAdvance(Calendar,X3404,NDays&amp;"D")</f>
        <v>62709</v>
      </c>
      <c r="Z3404" s="228">
        <v>3.3210261064477664E-2</v>
      </c>
      <c r="AA3404" s="230">
        <v>3.3162350596520618E-2</v>
      </c>
    </row>
    <row r="3405" spans="19:27" x14ac:dyDescent="0.2">
      <c r="S3405" s="32"/>
      <c r="T3405" s="187"/>
      <c r="W3405" s="221" t="str">
        <f t="shared" si="61"/>
        <v>1w</v>
      </c>
      <c r="X3405" s="222">
        <f>_xll.qlCalendarAdvance(Calendar,X3404,W3405,"f",FALSE)</f>
        <v>62716</v>
      </c>
      <c r="Y3405" s="227">
        <f>_xll.qlCalendarAdvance(Calendar,X3405,NDays&amp;"D")</f>
        <v>62716</v>
      </c>
      <c r="Z3405" s="228">
        <v>3.3212265134565253E-2</v>
      </c>
      <c r="AA3405" s="230">
        <v>3.3164378245197357E-2</v>
      </c>
    </row>
    <row r="3406" spans="19:27" x14ac:dyDescent="0.2">
      <c r="S3406" s="32"/>
      <c r="T3406" s="187"/>
      <c r="W3406" s="221" t="str">
        <f t="shared" si="61"/>
        <v>1w</v>
      </c>
      <c r="X3406" s="222">
        <f>_xll.qlCalendarAdvance(Calendar,X3405,W3406,"f",FALSE)</f>
        <v>62723</v>
      </c>
      <c r="Y3406" s="227">
        <f>_xll.qlCalendarAdvance(Calendar,X3406,NDays&amp;"D")</f>
        <v>62723</v>
      </c>
      <c r="Z3406" s="228">
        <v>3.321425523932775E-2</v>
      </c>
      <c r="AA3406" s="230">
        <v>3.3166391965098185E-2</v>
      </c>
    </row>
    <row r="3407" spans="19:27" x14ac:dyDescent="0.2">
      <c r="S3407" s="32"/>
      <c r="T3407" s="187"/>
      <c r="W3407" s="221" t="str">
        <f t="shared" si="61"/>
        <v>1w</v>
      </c>
      <c r="X3407" s="222">
        <f>_xll.qlCalendarAdvance(Calendar,X3406,W3407,"f",FALSE)</f>
        <v>62730</v>
      </c>
      <c r="Y3407" s="227">
        <f>_xll.qlCalendarAdvance(Calendar,X3407,NDays&amp;"D")</f>
        <v>62730</v>
      </c>
      <c r="Z3407" s="228">
        <v>3.3216231378762472E-2</v>
      </c>
      <c r="AA3407" s="230">
        <v>3.3168391756142057E-2</v>
      </c>
    </row>
    <row r="3408" spans="19:27" x14ac:dyDescent="0.2">
      <c r="S3408" s="32"/>
      <c r="T3408" s="187"/>
      <c r="W3408" s="221" t="str">
        <f t="shared" si="61"/>
        <v>1w</v>
      </c>
      <c r="X3408" s="222">
        <f>_xll.qlCalendarAdvance(Calendar,X3407,W3408,"f",FALSE)</f>
        <v>62737</v>
      </c>
      <c r="Y3408" s="227">
        <f>_xll.qlCalendarAdvance(Calendar,X3408,NDays&amp;"D")</f>
        <v>62737</v>
      </c>
      <c r="Z3408" s="228">
        <v>3.3219842707092849E-2</v>
      </c>
      <c r="AA3408" s="230">
        <v>3.3170377618328972E-2</v>
      </c>
    </row>
    <row r="3409" spans="19:27" x14ac:dyDescent="0.2">
      <c r="S3409" s="32"/>
      <c r="T3409" s="187"/>
      <c r="W3409" s="221" t="str">
        <f t="shared" si="61"/>
        <v>1w</v>
      </c>
      <c r="X3409" s="222">
        <f>_xll.qlCalendarAdvance(Calendar,X3408,W3409,"f",FALSE)</f>
        <v>62744</v>
      </c>
      <c r="Y3409" s="227">
        <f>_xll.qlCalendarAdvance(Calendar,X3409,NDays&amp;"D")</f>
        <v>62744</v>
      </c>
      <c r="Z3409" s="228">
        <v>3.3221790095316145E-2</v>
      </c>
      <c r="AA3409" s="230">
        <v>3.3172349551415792E-2</v>
      </c>
    </row>
    <row r="3410" spans="19:27" x14ac:dyDescent="0.2">
      <c r="S3410" s="32"/>
      <c r="T3410" s="187"/>
      <c r="W3410" s="221" t="str">
        <f t="shared" si="61"/>
        <v>1w</v>
      </c>
      <c r="X3410" s="222">
        <f>_xll.qlCalendarAdvance(Calendar,X3409,W3410,"f",FALSE)</f>
        <v>62751</v>
      </c>
      <c r="Y3410" s="227">
        <f>_xll.qlCalendarAdvance(Calendar,X3410,NDays&amp;"D")</f>
        <v>62751</v>
      </c>
      <c r="Z3410" s="228">
        <v>3.3223723516941056E-2</v>
      </c>
      <c r="AA3410" s="230">
        <v>3.3174307555888793E-2</v>
      </c>
    </row>
    <row r="3411" spans="19:27" x14ac:dyDescent="0.2">
      <c r="S3411" s="32"/>
      <c r="T3411" s="187"/>
      <c r="W3411" s="221" t="str">
        <f t="shared" si="61"/>
        <v>1w</v>
      </c>
      <c r="X3411" s="222">
        <f>_xll.qlCalendarAdvance(Calendar,X3410,W3411,"f",FALSE)</f>
        <v>62758</v>
      </c>
      <c r="Y3411" s="227">
        <f>_xll.qlCalendarAdvance(Calendar,X3411,NDays&amp;"D")</f>
        <v>62758</v>
      </c>
      <c r="Z3411" s="228">
        <v>3.3225642971946676E-2</v>
      </c>
      <c r="AA3411" s="230">
        <v>3.3176251631423792E-2</v>
      </c>
    </row>
    <row r="3412" spans="19:27" x14ac:dyDescent="0.2">
      <c r="S3412" s="32"/>
      <c r="T3412" s="187"/>
      <c r="W3412" s="221" t="str">
        <f t="shared" si="61"/>
        <v>1w</v>
      </c>
      <c r="X3412" s="222">
        <f>_xll.qlCalendarAdvance(Calendar,X3411,W3412,"f",FALSE)</f>
        <v>62765</v>
      </c>
      <c r="Y3412" s="227">
        <f>_xll.qlCalendarAdvance(Calendar,X3412,NDays&amp;"D")</f>
        <v>62765</v>
      </c>
      <c r="Z3412" s="228">
        <v>3.3225902595827514E-2</v>
      </c>
      <c r="AA3412" s="230">
        <v>3.3178181778020788E-2</v>
      </c>
    </row>
    <row r="3413" spans="19:27" x14ac:dyDescent="0.2">
      <c r="S3413" s="32"/>
      <c r="T3413" s="187"/>
      <c r="W3413" s="221" t="str">
        <f t="shared" ref="W3413:W3476" si="62">W3412</f>
        <v>1w</v>
      </c>
      <c r="X3413" s="222">
        <f>_xll.qlCalendarAdvance(Calendar,X3412,W3413,"f",FALSE)</f>
        <v>62772</v>
      </c>
      <c r="Y3413" s="227">
        <f>_xll.qlCalendarAdvance(Calendar,X3413,NDays&amp;"D")</f>
        <v>62772</v>
      </c>
      <c r="Z3413" s="228">
        <v>3.3227794943165856E-2</v>
      </c>
      <c r="AA3413" s="230">
        <v>3.3180097995598734E-2</v>
      </c>
    </row>
    <row r="3414" spans="19:27" x14ac:dyDescent="0.2">
      <c r="S3414" s="32"/>
      <c r="T3414" s="187"/>
      <c r="W3414" s="221" t="str">
        <f t="shared" si="62"/>
        <v>1w</v>
      </c>
      <c r="X3414" s="222">
        <f>_xll.qlCalendarAdvance(Calendar,X3413,W3414,"f",FALSE)</f>
        <v>62779</v>
      </c>
      <c r="Y3414" s="227">
        <f>_xll.qlCalendarAdvance(Calendar,X3414,NDays&amp;"D")</f>
        <v>62779</v>
      </c>
      <c r="Z3414" s="228">
        <v>3.3229673325130493E-2</v>
      </c>
      <c r="AA3414" s="230">
        <v>3.3182000284562863E-2</v>
      </c>
    </row>
    <row r="3415" spans="19:27" x14ac:dyDescent="0.2">
      <c r="S3415" s="32"/>
      <c r="T3415" s="187"/>
      <c r="W3415" s="221" t="str">
        <f t="shared" si="62"/>
        <v>1w</v>
      </c>
      <c r="X3415" s="222">
        <f>_xll.qlCalendarAdvance(Calendar,X3414,W3415,"f",FALSE)</f>
        <v>62786</v>
      </c>
      <c r="Y3415" s="227">
        <f>_xll.qlCalendarAdvance(Calendar,X3415,NDays&amp;"D")</f>
        <v>62786</v>
      </c>
      <c r="Z3415" s="228">
        <v>3.3231537741724125E-2</v>
      </c>
      <c r="AA3415" s="230">
        <v>3.3183888644588988E-2</v>
      </c>
    </row>
    <row r="3416" spans="19:27" x14ac:dyDescent="0.2">
      <c r="S3416" s="32"/>
      <c r="T3416" s="187"/>
      <c r="W3416" s="221" t="str">
        <f t="shared" si="62"/>
        <v>1w</v>
      </c>
      <c r="X3416" s="222">
        <f>_xll.qlCalendarAdvance(Calendar,X3415,W3416,"f",FALSE)</f>
        <v>62793</v>
      </c>
      <c r="Y3416" s="227">
        <f>_xll.qlCalendarAdvance(Calendar,X3416,NDays&amp;"D")</f>
        <v>62793</v>
      </c>
      <c r="Z3416" s="228">
        <v>3.3239958534055397E-2</v>
      </c>
      <c r="AA3416" s="230">
        <v>3.3185763075596064E-2</v>
      </c>
    </row>
    <row r="3417" spans="19:27" x14ac:dyDescent="0.2">
      <c r="S3417" s="32"/>
      <c r="T3417" s="187"/>
      <c r="W3417" s="221" t="str">
        <f t="shared" si="62"/>
        <v>1w</v>
      </c>
      <c r="X3417" s="222">
        <f>_xll.qlCalendarAdvance(Calendar,X3416,W3417,"f",FALSE)</f>
        <v>62800</v>
      </c>
      <c r="Y3417" s="227">
        <f>_xll.qlCalendarAdvance(Calendar,X3417,NDays&amp;"D")</f>
        <v>62800</v>
      </c>
      <c r="Z3417" s="228">
        <v>3.323686640274514E-2</v>
      </c>
      <c r="AA3417" s="230">
        <v>3.3187623577746184E-2</v>
      </c>
    </row>
    <row r="3418" spans="19:27" x14ac:dyDescent="0.2">
      <c r="S3418" s="32"/>
      <c r="T3418" s="187"/>
      <c r="W3418" s="221" t="str">
        <f t="shared" si="62"/>
        <v>1w</v>
      </c>
      <c r="X3418" s="222">
        <f>_xll.qlCalendarAdvance(Calendar,X3417,W3418,"f",FALSE)</f>
        <v>62807</v>
      </c>
      <c r="Y3418" s="227">
        <f>_xll.qlCalendarAdvance(Calendar,X3418,NDays&amp;"D")</f>
        <v>62807</v>
      </c>
      <c r="Z3418" s="228">
        <v>3.3238688091271902E-2</v>
      </c>
      <c r="AA3418" s="230">
        <v>3.3189470151039346E-2</v>
      </c>
    </row>
    <row r="3419" spans="19:27" x14ac:dyDescent="0.2">
      <c r="S3419" s="32"/>
      <c r="T3419" s="187"/>
      <c r="W3419" s="221" t="str">
        <f t="shared" si="62"/>
        <v>1w</v>
      </c>
      <c r="X3419" s="222">
        <f>_xll.qlCalendarAdvance(Calendar,X3418,W3419,"f",FALSE)</f>
        <v>62814</v>
      </c>
      <c r="Y3419" s="227">
        <f>_xll.qlCalendarAdvance(Calendar,X3419,NDays&amp;"D")</f>
        <v>62814</v>
      </c>
      <c r="Z3419" s="228">
        <v>3.3240495813134929E-2</v>
      </c>
      <c r="AA3419" s="230">
        <v>3.3191302795475552E-2</v>
      </c>
    </row>
    <row r="3420" spans="19:27" x14ac:dyDescent="0.2">
      <c r="S3420" s="32"/>
      <c r="T3420" s="187"/>
      <c r="W3420" s="221" t="str">
        <f t="shared" si="62"/>
        <v>1w</v>
      </c>
      <c r="X3420" s="222">
        <f>_xll.qlCalendarAdvance(Calendar,X3419,W3420,"f",FALSE)</f>
        <v>62821</v>
      </c>
      <c r="Y3420" s="227">
        <f>_xll.qlCalendarAdvance(Calendar,X3420,NDays&amp;"D")</f>
        <v>62821</v>
      </c>
      <c r="Z3420" s="228">
        <v>3.3242289568326373E-2</v>
      </c>
      <c r="AA3420" s="230">
        <v>3.3193121510892709E-2</v>
      </c>
    </row>
    <row r="3421" spans="19:27" x14ac:dyDescent="0.2">
      <c r="S3421" s="32"/>
      <c r="T3421" s="187"/>
      <c r="W3421" s="221" t="str">
        <f t="shared" si="62"/>
        <v>1w</v>
      </c>
      <c r="X3421" s="222">
        <f>_xll.qlCalendarAdvance(Calendar,X3420,W3421,"f",FALSE)</f>
        <v>62828</v>
      </c>
      <c r="Y3421" s="227">
        <f>_xll.qlCalendarAdvance(Calendar,X3421,NDays&amp;"D")</f>
        <v>62828</v>
      </c>
      <c r="Z3421" s="228">
        <v>3.3244069356841002E-2</v>
      </c>
      <c r="AA3421" s="230">
        <v>3.3194926297615002E-2</v>
      </c>
    </row>
    <row r="3422" spans="19:27" x14ac:dyDescent="0.2">
      <c r="S3422" s="32"/>
      <c r="T3422" s="187"/>
      <c r="W3422" s="221" t="str">
        <f t="shared" si="62"/>
        <v>1w</v>
      </c>
      <c r="X3422" s="222">
        <f>_xll.qlCalendarAdvance(Calendar,X3421,W3422,"f",FALSE)</f>
        <v>62835</v>
      </c>
      <c r="Y3422" s="227">
        <f>_xll.qlCalendarAdvance(Calendar,X3422,NDays&amp;"D")</f>
        <v>62835</v>
      </c>
      <c r="Z3422" s="228">
        <v>3.324583517866575E-2</v>
      </c>
      <c r="AA3422" s="230">
        <v>3.3196717155480338E-2</v>
      </c>
    </row>
    <row r="3423" spans="19:27" x14ac:dyDescent="0.2">
      <c r="S3423" s="32"/>
      <c r="T3423" s="187"/>
      <c r="W3423" s="221" t="str">
        <f t="shared" si="62"/>
        <v>1w</v>
      </c>
      <c r="X3423" s="222">
        <f>_xll.qlCalendarAdvance(Calendar,X3422,W3423,"f",FALSE)</f>
        <v>62842</v>
      </c>
      <c r="Y3423" s="227">
        <f>_xll.qlCalendarAdvance(Calendar,X3423,NDays&amp;"D")</f>
        <v>62842</v>
      </c>
      <c r="Z3423" s="228">
        <v>3.3247587033803226E-2</v>
      </c>
      <c r="AA3423" s="230">
        <v>3.319849408440767E-2</v>
      </c>
    </row>
    <row r="3424" spans="19:27" x14ac:dyDescent="0.2">
      <c r="S3424" s="32"/>
      <c r="T3424" s="187"/>
      <c r="W3424" s="221" t="str">
        <f t="shared" si="62"/>
        <v>1w</v>
      </c>
      <c r="X3424" s="222">
        <f>_xll.qlCalendarAdvance(Calendar,X3423,W3424,"f",FALSE)</f>
        <v>62849</v>
      </c>
      <c r="Y3424" s="227">
        <f>_xll.qlCalendarAdvance(Calendar,X3424,NDays&amp;"D")</f>
        <v>62849</v>
      </c>
      <c r="Z3424" s="228">
        <v>3.3249324922240364E-2</v>
      </c>
      <c r="AA3424" s="230">
        <v>3.3200257084315954E-2</v>
      </c>
    </row>
    <row r="3425" spans="19:27" x14ac:dyDescent="0.2">
      <c r="S3425" s="32"/>
      <c r="T3425" s="187"/>
      <c r="W3425" s="221" t="str">
        <f t="shared" si="62"/>
        <v>1w</v>
      </c>
      <c r="X3425" s="222">
        <f>_xll.qlCalendarAdvance(Calendar,X3424,W3425,"f",FALSE)</f>
        <v>62856</v>
      </c>
      <c r="Y3425" s="227">
        <f>_xll.qlCalendarAdvance(Calendar,X3425,NDays&amp;"D")</f>
        <v>62856</v>
      </c>
      <c r="Z3425" s="228">
        <v>3.3247778795713549E-2</v>
      </c>
      <c r="AA3425" s="230">
        <v>3.3202006155448327E-2</v>
      </c>
    </row>
    <row r="3426" spans="19:27" x14ac:dyDescent="0.2">
      <c r="S3426" s="32"/>
      <c r="T3426" s="187"/>
      <c r="W3426" s="221" t="str">
        <f t="shared" si="62"/>
        <v>1w</v>
      </c>
      <c r="X3426" s="222">
        <f>_xll.qlCalendarAdvance(Calendar,X3425,W3426,"f",FALSE)</f>
        <v>62863</v>
      </c>
      <c r="Y3426" s="227">
        <f>_xll.qlCalendarAdvance(Calendar,X3426,NDays&amp;"D")</f>
        <v>62863</v>
      </c>
      <c r="Z3426" s="228">
        <v>3.3249490434533999E-2</v>
      </c>
      <c r="AA3426" s="230">
        <v>3.3203741297642697E-2</v>
      </c>
    </row>
    <row r="3427" spans="19:27" x14ac:dyDescent="0.2">
      <c r="S3427" s="32"/>
      <c r="T3427" s="187"/>
      <c r="W3427" s="221" t="str">
        <f t="shared" si="62"/>
        <v>1w</v>
      </c>
      <c r="X3427" s="222">
        <f>_xll.qlCalendarAdvance(Calendar,X3426,W3427,"f",FALSE)</f>
        <v>62870</v>
      </c>
      <c r="Y3427" s="227">
        <f>_xll.qlCalendarAdvance(Calendar,X3427,NDays&amp;"D")</f>
        <v>62870</v>
      </c>
      <c r="Z3427" s="228">
        <v>3.3251188109166906E-2</v>
      </c>
      <c r="AA3427" s="230">
        <v>3.320546251098011E-2</v>
      </c>
    </row>
    <row r="3428" spans="19:27" x14ac:dyDescent="0.2">
      <c r="S3428" s="32"/>
      <c r="T3428" s="187"/>
      <c r="W3428" s="221" t="str">
        <f t="shared" si="62"/>
        <v>1w</v>
      </c>
      <c r="X3428" s="222">
        <f>_xll.qlCalendarAdvance(Calendar,X3427,W3428,"f",FALSE)</f>
        <v>62877</v>
      </c>
      <c r="Y3428" s="227">
        <f>_xll.qlCalendarAdvance(Calendar,X3428,NDays&amp;"D")</f>
        <v>62877</v>
      </c>
      <c r="Z3428" s="228">
        <v>3.3252871819595492E-2</v>
      </c>
      <c r="AA3428" s="230">
        <v>3.3207169795379521E-2</v>
      </c>
    </row>
    <row r="3429" spans="19:27" x14ac:dyDescent="0.2">
      <c r="S3429" s="32"/>
      <c r="T3429" s="187"/>
      <c r="W3429" s="221" t="str">
        <f t="shared" si="62"/>
        <v>1w</v>
      </c>
      <c r="X3429" s="222">
        <f>_xll.qlCalendarAdvance(Calendar,X3428,W3429,"f",FALSE)</f>
        <v>62884</v>
      </c>
      <c r="Y3429" s="227">
        <f>_xll.qlCalendarAdvance(Calendar,X3429,NDays&amp;"D")</f>
        <v>62884</v>
      </c>
      <c r="Z3429" s="228">
        <v>3.3257804863751003E-2</v>
      </c>
      <c r="AA3429" s="230">
        <v>3.3208863150921974E-2</v>
      </c>
    </row>
    <row r="3430" spans="19:27" x14ac:dyDescent="0.2">
      <c r="S3430" s="32"/>
      <c r="T3430" s="187"/>
      <c r="W3430" s="221" t="str">
        <f t="shared" si="62"/>
        <v>1w</v>
      </c>
      <c r="X3430" s="222">
        <f>_xll.qlCalendarAdvance(Calendar,X3429,W3430,"f",FALSE)</f>
        <v>62891</v>
      </c>
      <c r="Y3430" s="227">
        <f>_xll.qlCalendarAdvance(Calendar,X3430,NDays&amp;"D")</f>
        <v>62891</v>
      </c>
      <c r="Z3430" s="228">
        <v>3.3265982377270679E-2</v>
      </c>
      <c r="AA3430" s="230">
        <v>3.3210542577688518E-2</v>
      </c>
    </row>
    <row r="3431" spans="19:27" x14ac:dyDescent="0.2">
      <c r="S3431" s="32"/>
      <c r="T3431" s="187"/>
      <c r="W3431" s="221" t="str">
        <f t="shared" si="62"/>
        <v>1w</v>
      </c>
      <c r="X3431" s="222">
        <f>_xll.qlCalendarAdvance(Calendar,X3430,W3431,"f",FALSE)</f>
        <v>62898</v>
      </c>
      <c r="Y3431" s="227">
        <f>_xll.qlCalendarAdvance(Calendar,X3431,NDays&amp;"D")</f>
        <v>62898</v>
      </c>
      <c r="Z3431" s="228">
        <v>3.3261099073262017E-2</v>
      </c>
      <c r="AA3431" s="230">
        <v>3.3212208075436012E-2</v>
      </c>
    </row>
    <row r="3432" spans="19:27" x14ac:dyDescent="0.2">
      <c r="S3432" s="32"/>
      <c r="T3432" s="187"/>
      <c r="W3432" s="221" t="str">
        <f t="shared" si="62"/>
        <v>1w</v>
      </c>
      <c r="X3432" s="222">
        <f>_xll.qlCalendarAdvance(Calendar,X3431,W3432,"f",FALSE)</f>
        <v>62905</v>
      </c>
      <c r="Y3432" s="227">
        <f>_xll.qlCalendarAdvance(Calendar,X3432,NDays&amp;"D")</f>
        <v>62905</v>
      </c>
      <c r="Z3432" s="228">
        <v>3.326272522790296E-2</v>
      </c>
      <c r="AA3432" s="230">
        <v>3.3213859644326549E-2</v>
      </c>
    </row>
    <row r="3433" spans="19:27" x14ac:dyDescent="0.2">
      <c r="S3433" s="32"/>
      <c r="T3433" s="187"/>
      <c r="W3433" s="221" t="str">
        <f t="shared" si="62"/>
        <v>1w</v>
      </c>
      <c r="X3433" s="222">
        <f>_xll.qlCalendarAdvance(Calendar,X3432,W3433,"f",FALSE)</f>
        <v>62912</v>
      </c>
      <c r="Y3433" s="227">
        <f>_xll.qlCalendarAdvance(Calendar,X3433,NDays&amp;"D")</f>
        <v>62912</v>
      </c>
      <c r="Z3433" s="228">
        <v>3.3264337415791274E-2</v>
      </c>
      <c r="AA3433" s="230">
        <v>3.3215497284441176E-2</v>
      </c>
    </row>
    <row r="3434" spans="19:27" x14ac:dyDescent="0.2">
      <c r="S3434" s="32"/>
      <c r="T3434" s="187"/>
      <c r="W3434" s="221" t="str">
        <f t="shared" si="62"/>
        <v>1w</v>
      </c>
      <c r="X3434" s="222">
        <f>_xll.qlCalendarAdvance(Calendar,X3433,W3434,"f",FALSE)</f>
        <v>62919</v>
      </c>
      <c r="Y3434" s="227">
        <f>_xll.qlCalendarAdvance(Calendar,X3434,NDays&amp;"D")</f>
        <v>62919</v>
      </c>
      <c r="Z3434" s="228">
        <v>3.3264308226615857E-2</v>
      </c>
      <c r="AA3434" s="230">
        <v>3.3217120995536753E-2</v>
      </c>
    </row>
    <row r="3435" spans="19:27" x14ac:dyDescent="0.2">
      <c r="S3435" s="32"/>
      <c r="T3435" s="187"/>
      <c r="W3435" s="221" t="str">
        <f t="shared" si="62"/>
        <v>1w</v>
      </c>
      <c r="X3435" s="222">
        <f>_xll.qlCalendarAdvance(Calendar,X3434,W3435,"f",FALSE)</f>
        <v>62926</v>
      </c>
      <c r="Y3435" s="227">
        <f>_xll.qlCalendarAdvance(Calendar,X3435,NDays&amp;"D")</f>
        <v>62926</v>
      </c>
      <c r="Z3435" s="228">
        <v>3.3265893334338603E-2</v>
      </c>
      <c r="AA3435" s="230">
        <v>3.3218730777775374E-2</v>
      </c>
    </row>
    <row r="3436" spans="19:27" x14ac:dyDescent="0.2">
      <c r="S3436" s="32"/>
      <c r="T3436" s="187"/>
      <c r="W3436" s="221" t="str">
        <f t="shared" si="62"/>
        <v>1w</v>
      </c>
      <c r="X3436" s="222">
        <f>_xll.qlCalendarAdvance(Calendar,X3435,W3436,"f",FALSE)</f>
        <v>62933</v>
      </c>
      <c r="Y3436" s="227">
        <f>_xll.qlCalendarAdvance(Calendar,X3436,NDays&amp;"D")</f>
        <v>62933</v>
      </c>
      <c r="Z3436" s="228">
        <v>3.3267464476555264E-2</v>
      </c>
      <c r="AA3436" s="230">
        <v>3.3220326631157038E-2</v>
      </c>
    </row>
    <row r="3437" spans="19:27" x14ac:dyDescent="0.2">
      <c r="S3437" s="32"/>
      <c r="T3437" s="187"/>
      <c r="W3437" s="221" t="str">
        <f t="shared" si="62"/>
        <v>1w</v>
      </c>
      <c r="X3437" s="222">
        <f>_xll.qlCalendarAdvance(Calendar,X3436,W3437,"f",FALSE)</f>
        <v>62940</v>
      </c>
      <c r="Y3437" s="227">
        <f>_xll.qlCalendarAdvance(Calendar,X3437,NDays&amp;"D")</f>
        <v>62940</v>
      </c>
      <c r="Z3437" s="228">
        <v>3.3269021653268546E-2</v>
      </c>
      <c r="AA3437" s="230">
        <v>3.3221908555600699E-2</v>
      </c>
    </row>
    <row r="3438" spans="19:27" x14ac:dyDescent="0.2">
      <c r="S3438" s="32"/>
      <c r="T3438" s="187"/>
      <c r="W3438" s="221" t="str">
        <f t="shared" si="62"/>
        <v>1w</v>
      </c>
      <c r="X3438" s="222">
        <f>_xll.qlCalendarAdvance(Calendar,X3437,W3438,"f",FALSE)</f>
        <v>62947</v>
      </c>
      <c r="Y3438" s="227">
        <f>_xll.qlCalendarAdvance(Calendar,X3438,NDays&amp;"D")</f>
        <v>62947</v>
      </c>
      <c r="Z3438" s="228">
        <v>3.3272188853765636E-2</v>
      </c>
      <c r="AA3438" s="230">
        <v>3.3223476551106357E-2</v>
      </c>
    </row>
    <row r="3439" spans="19:27" x14ac:dyDescent="0.2">
      <c r="S3439" s="32"/>
      <c r="T3439" s="187"/>
      <c r="W3439" s="221" t="str">
        <f t="shared" si="62"/>
        <v>1w</v>
      </c>
      <c r="X3439" s="222">
        <f>_xll.qlCalendarAdvance(Calendar,X3438,W3439,"f",FALSE)</f>
        <v>62954</v>
      </c>
      <c r="Y3439" s="227">
        <f>_xll.qlCalendarAdvance(Calendar,X3439,NDays&amp;"D")</f>
        <v>62954</v>
      </c>
      <c r="Z3439" s="228">
        <v>3.3273717241028372E-2</v>
      </c>
      <c r="AA3439" s="230">
        <v>3.3225030617755058E-2</v>
      </c>
    </row>
    <row r="3440" spans="19:27" x14ac:dyDescent="0.2">
      <c r="S3440" s="32"/>
      <c r="T3440" s="187"/>
      <c r="W3440" s="221" t="str">
        <f t="shared" si="62"/>
        <v>1w</v>
      </c>
      <c r="X3440" s="222">
        <f>_xll.qlCalendarAdvance(Calendar,X3439,W3440,"f",FALSE)</f>
        <v>62961</v>
      </c>
      <c r="Y3440" s="227">
        <f>_xll.qlCalendarAdvance(Calendar,X3440,NDays&amp;"D")</f>
        <v>62961</v>
      </c>
      <c r="Z3440" s="228">
        <v>3.327523166149926E-2</v>
      </c>
      <c r="AA3440" s="230">
        <v>3.3226570755708895E-2</v>
      </c>
    </row>
    <row r="3441" spans="19:27" x14ac:dyDescent="0.2">
      <c r="S3441" s="32"/>
      <c r="T3441" s="187"/>
      <c r="W3441" s="221" t="str">
        <f t="shared" si="62"/>
        <v>1w</v>
      </c>
      <c r="X3441" s="222">
        <f>_xll.qlCalendarAdvance(Calendar,X3440,W3441,"f",FALSE)</f>
        <v>62968</v>
      </c>
      <c r="Y3441" s="227">
        <f>_xll.qlCalendarAdvance(Calendar,X3441,NDays&amp;"D")</f>
        <v>62968</v>
      </c>
      <c r="Z3441" s="228">
        <v>3.3276732115178308E-2</v>
      </c>
      <c r="AA3441" s="230">
        <v>3.3228096964562637E-2</v>
      </c>
    </row>
    <row r="3442" spans="19:27" x14ac:dyDescent="0.2">
      <c r="S3442" s="32"/>
      <c r="T3442" s="187"/>
      <c r="W3442" s="221" t="str">
        <f t="shared" si="62"/>
        <v>1w</v>
      </c>
      <c r="X3442" s="222">
        <f>_xll.qlCalendarAdvance(Calendar,X3441,W3442,"f",FALSE)</f>
        <v>62975</v>
      </c>
      <c r="Y3442" s="227">
        <f>_xll.qlCalendarAdvance(Calendar,X3442,NDays&amp;"D")</f>
        <v>62975</v>
      </c>
      <c r="Z3442" s="228">
        <v>3.3276598054000517E-2</v>
      </c>
      <c r="AA3442" s="230">
        <v>3.3229609244559422E-2</v>
      </c>
    </row>
    <row r="3443" spans="19:27" x14ac:dyDescent="0.2">
      <c r="S3443" s="32"/>
      <c r="T3443" s="187"/>
      <c r="W3443" s="221" t="str">
        <f t="shared" si="62"/>
        <v>1w</v>
      </c>
      <c r="X3443" s="222">
        <f>_xll.qlCalendarAdvance(Calendar,X3442,W3443,"f",FALSE)</f>
        <v>62982</v>
      </c>
      <c r="Y3443" s="227">
        <f>_xll.qlCalendarAdvance(Calendar,X3443,NDays&amp;"D")</f>
        <v>62982</v>
      </c>
      <c r="Z3443" s="228">
        <v>3.3278071437544909E-2</v>
      </c>
      <c r="AA3443" s="230">
        <v>3.3231107595780296E-2</v>
      </c>
    </row>
    <row r="3444" spans="19:27" x14ac:dyDescent="0.2">
      <c r="S3444" s="32"/>
      <c r="T3444" s="187"/>
      <c r="W3444" s="221" t="str">
        <f t="shared" si="62"/>
        <v>1w</v>
      </c>
      <c r="X3444" s="222">
        <f>_xll.qlCalendarAdvance(Calendar,X3443,W3444,"f",FALSE)</f>
        <v>62989</v>
      </c>
      <c r="Y3444" s="227">
        <f>_xll.qlCalendarAdvance(Calendar,X3444,NDays&amp;"D")</f>
        <v>62989</v>
      </c>
      <c r="Z3444" s="228">
        <v>3.3279530855550798E-2</v>
      </c>
      <c r="AA3444" s="230">
        <v>3.3232592017982121E-2</v>
      </c>
    </row>
    <row r="3445" spans="19:27" x14ac:dyDescent="0.2">
      <c r="S3445" s="32"/>
      <c r="T3445" s="187"/>
      <c r="W3445" s="221" t="str">
        <f t="shared" si="62"/>
        <v>1w</v>
      </c>
      <c r="X3445" s="222">
        <f>_xll.qlCalendarAdvance(Calendar,X3444,W3445,"f",FALSE)</f>
        <v>62996</v>
      </c>
      <c r="Y3445" s="227">
        <f>_xll.qlCalendarAdvance(Calendar,X3445,NDays&amp;"D")</f>
        <v>62996</v>
      </c>
      <c r="Z3445" s="228">
        <v>3.3280976307999276E-2</v>
      </c>
      <c r="AA3445" s="230">
        <v>3.3234062511408036E-2</v>
      </c>
    </row>
    <row r="3446" spans="19:27" x14ac:dyDescent="0.2">
      <c r="S3446" s="32"/>
      <c r="T3446" s="187"/>
      <c r="W3446" s="221" t="str">
        <f t="shared" si="62"/>
        <v>1w</v>
      </c>
      <c r="X3446" s="222">
        <f>_xll.qlCalendarAdvance(Calendar,X3445,W3446,"f",FALSE)</f>
        <v>63003</v>
      </c>
      <c r="Y3446" s="227">
        <f>_xll.qlCalendarAdvance(Calendar,X3446,NDays&amp;"D")</f>
        <v>63003</v>
      </c>
      <c r="Z3446" s="228">
        <v>3.3282407794890334E-2</v>
      </c>
      <c r="AA3446" s="230">
        <v>3.3235519075733855E-2</v>
      </c>
    </row>
    <row r="3447" spans="19:27" x14ac:dyDescent="0.2">
      <c r="S3447" s="32"/>
      <c r="T3447" s="187"/>
      <c r="W3447" s="221" t="str">
        <f t="shared" si="62"/>
        <v>1w</v>
      </c>
      <c r="X3447" s="222">
        <f>_xll.qlCalendarAdvance(Calendar,X3446,W3447,"f",FALSE)</f>
        <v>63010</v>
      </c>
      <c r="Y3447" s="227">
        <f>_xll.qlCalendarAdvance(Calendar,X3447,NDays&amp;"D")</f>
        <v>63010</v>
      </c>
      <c r="Z3447" s="228">
        <v>3.3285441534231679E-2</v>
      </c>
      <c r="AA3447" s="230">
        <v>3.323696171136481E-2</v>
      </c>
    </row>
    <row r="3448" spans="19:27" x14ac:dyDescent="0.2">
      <c r="S3448" s="32"/>
      <c r="T3448" s="187"/>
      <c r="W3448" s="221" t="str">
        <f t="shared" si="62"/>
        <v>1w</v>
      </c>
      <c r="X3448" s="222">
        <f>_xll.qlCalendarAdvance(Calendar,X3447,W3448,"f",FALSE)</f>
        <v>63017</v>
      </c>
      <c r="Y3448" s="227">
        <f>_xll.qlCalendarAdvance(Calendar,X3448,NDays&amp;"D")</f>
        <v>63017</v>
      </c>
      <c r="Z3448" s="228">
        <v>3.3286844220190036E-2</v>
      </c>
      <c r="AA3448" s="230">
        <v>3.3238390418057762E-2</v>
      </c>
    </row>
    <row r="3449" spans="19:27" x14ac:dyDescent="0.2">
      <c r="S3449" s="32"/>
      <c r="T3449" s="187"/>
      <c r="W3449" s="221" t="str">
        <f t="shared" si="62"/>
        <v>1w</v>
      </c>
      <c r="X3449" s="222">
        <f>_xll.qlCalendarAdvance(Calendar,X3448,W3449,"f",FALSE)</f>
        <v>63024</v>
      </c>
      <c r="Y3449" s="227">
        <f>_xll.qlCalendarAdvance(Calendar,X3449,NDays&amp;"D")</f>
        <v>63024</v>
      </c>
      <c r="Z3449" s="228">
        <v>3.3288232939312094E-2</v>
      </c>
      <c r="AA3449" s="230">
        <v>3.3239805195731664E-2</v>
      </c>
    </row>
    <row r="3450" spans="19:27" x14ac:dyDescent="0.2">
      <c r="S3450" s="32"/>
      <c r="T3450" s="187"/>
      <c r="W3450" s="221" t="str">
        <f t="shared" si="62"/>
        <v>1w</v>
      </c>
      <c r="X3450" s="222">
        <f>_xll.qlCalendarAdvance(Calendar,X3449,W3450,"f",FALSE)</f>
        <v>63031</v>
      </c>
      <c r="Y3450" s="227">
        <f>_xll.qlCalendarAdvance(Calendar,X3450,NDays&amp;"D")</f>
        <v>63031</v>
      </c>
      <c r="Z3450" s="228">
        <v>3.3289607691595252E-2</v>
      </c>
      <c r="AA3450" s="230">
        <v>3.3241206044791749E-2</v>
      </c>
    </row>
    <row r="3451" spans="19:27" x14ac:dyDescent="0.2">
      <c r="S3451" s="32"/>
      <c r="T3451" s="187"/>
      <c r="W3451" s="221" t="str">
        <f t="shared" si="62"/>
        <v>1w</v>
      </c>
      <c r="X3451" s="222">
        <f>_xll.qlCalendarAdvance(Calendar,X3450,W3451,"f",FALSE)</f>
        <v>63038</v>
      </c>
      <c r="Y3451" s="227">
        <f>_xll.qlCalendarAdvance(Calendar,X3451,NDays&amp;"D")</f>
        <v>63038</v>
      </c>
      <c r="Z3451" s="228">
        <v>3.3290968477031668E-2</v>
      </c>
      <c r="AA3451" s="230">
        <v>3.3242592964832784E-2</v>
      </c>
    </row>
    <row r="3452" spans="19:27" x14ac:dyDescent="0.2">
      <c r="S3452" s="32"/>
      <c r="T3452" s="187"/>
      <c r="W3452" s="221" t="str">
        <f t="shared" si="62"/>
        <v>1w</v>
      </c>
      <c r="X3452" s="222">
        <f>_xll.qlCalendarAdvance(Calendar,X3451,W3452,"f",FALSE)</f>
        <v>63045</v>
      </c>
      <c r="Y3452" s="227">
        <f>_xll.qlCalendarAdvance(Calendar,X3452,NDays&amp;"D")</f>
        <v>63045</v>
      </c>
      <c r="Z3452" s="228">
        <v>3.3292315295610872E-2</v>
      </c>
      <c r="AA3452" s="230">
        <v>3.3243965955854771E-2</v>
      </c>
    </row>
    <row r="3453" spans="19:27" x14ac:dyDescent="0.2">
      <c r="S3453" s="32"/>
      <c r="T3453" s="187"/>
      <c r="W3453" s="221" t="str">
        <f t="shared" si="62"/>
        <v>1w</v>
      </c>
      <c r="X3453" s="222">
        <f>_xll.qlCalendarAdvance(Calendar,X3452,W3453,"f",FALSE)</f>
        <v>63052</v>
      </c>
      <c r="Y3453" s="227">
        <f>_xll.qlCalendarAdvance(Calendar,X3453,NDays&amp;"D")</f>
        <v>63052</v>
      </c>
      <c r="Z3453" s="228">
        <v>3.3293648147343334E-2</v>
      </c>
      <c r="AA3453" s="230">
        <v>3.3245325018181893E-2</v>
      </c>
    </row>
    <row r="3454" spans="19:27" x14ac:dyDescent="0.2">
      <c r="S3454" s="32"/>
      <c r="T3454" s="187"/>
      <c r="W3454" s="221" t="str">
        <f t="shared" si="62"/>
        <v>1w</v>
      </c>
      <c r="X3454" s="222">
        <f>_xll.qlCalendarAdvance(Calendar,X3453,W3454,"f",FALSE)</f>
        <v>63059</v>
      </c>
      <c r="Y3454" s="227">
        <f>_xll.qlCalendarAdvance(Calendar,X3454,NDays&amp;"D")</f>
        <v>63059</v>
      </c>
      <c r="Z3454" s="228">
        <v>3.3294967032210743E-2</v>
      </c>
      <c r="AA3454" s="230">
        <v>3.3246670151652058E-2</v>
      </c>
    </row>
    <row r="3455" spans="19:27" x14ac:dyDescent="0.2">
      <c r="S3455" s="32"/>
      <c r="T3455" s="187"/>
      <c r="W3455" s="221" t="str">
        <f t="shared" si="62"/>
        <v>1w</v>
      </c>
      <c r="X3455" s="222">
        <f>_xll.qlCalendarAdvance(Calendar,X3454,W3455,"f",FALSE)</f>
        <v>63066</v>
      </c>
      <c r="Y3455" s="227">
        <f>_xll.qlCalendarAdvance(Calendar,X3455,NDays&amp;"D")</f>
        <v>63066</v>
      </c>
      <c r="Z3455" s="228">
        <v>3.329627195020788E-2</v>
      </c>
      <c r="AA3455" s="230">
        <v>3.3248001356022128E-2</v>
      </c>
    </row>
    <row r="3456" spans="19:27" x14ac:dyDescent="0.2">
      <c r="S3456" s="32"/>
      <c r="T3456" s="187"/>
      <c r="W3456" s="221" t="str">
        <f t="shared" si="62"/>
        <v>1w</v>
      </c>
      <c r="X3456" s="222">
        <f>_xll.qlCalendarAdvance(Calendar,X3455,W3456,"f",FALSE)</f>
        <v>63073</v>
      </c>
      <c r="Y3456" s="227">
        <f>_xll.qlCalendarAdvance(Calendar,X3456,NDays&amp;"D")</f>
        <v>63073</v>
      </c>
      <c r="Z3456" s="228">
        <v>3.3295954557238147E-2</v>
      </c>
      <c r="AA3456" s="230">
        <v>3.3249318631454194E-2</v>
      </c>
    </row>
    <row r="3457" spans="19:27" x14ac:dyDescent="0.2">
      <c r="S3457" s="32"/>
      <c r="T3457" s="187"/>
      <c r="W3457" s="221" t="str">
        <f t="shared" si="62"/>
        <v>1w</v>
      </c>
      <c r="X3457" s="222">
        <f>_xll.qlCalendarAdvance(Calendar,X3456,W3457,"f",FALSE)</f>
        <v>63080</v>
      </c>
      <c r="Y3457" s="227">
        <f>_xll.qlCalendarAdvance(Calendar,X3457,NDays&amp;"D")</f>
        <v>63080</v>
      </c>
      <c r="Z3457" s="228">
        <v>3.3297232422711286E-2</v>
      </c>
      <c r="AA3457" s="230">
        <v>3.3250621978191397E-2</v>
      </c>
    </row>
    <row r="3458" spans="19:27" x14ac:dyDescent="0.2">
      <c r="S3458" s="32"/>
      <c r="T3458" s="187"/>
      <c r="W3458" s="221" t="str">
        <f t="shared" si="62"/>
        <v>1w</v>
      </c>
      <c r="X3458" s="222">
        <f>_xll.qlCalendarAdvance(Calendar,X3457,W3458,"f",FALSE)</f>
        <v>63087</v>
      </c>
      <c r="Y3458" s="227">
        <f>_xll.qlCalendarAdvance(Calendar,X3458,NDays&amp;"D")</f>
        <v>63087</v>
      </c>
      <c r="Z3458" s="228">
        <v>3.329849632257028E-2</v>
      </c>
      <c r="AA3458" s="230">
        <v>3.3251911395990597E-2</v>
      </c>
    </row>
    <row r="3459" spans="19:27" x14ac:dyDescent="0.2">
      <c r="S3459" s="32"/>
      <c r="T3459" s="187"/>
      <c r="W3459" s="221" t="str">
        <f t="shared" si="62"/>
        <v>1w</v>
      </c>
      <c r="X3459" s="222">
        <f>_xll.qlCalendarAdvance(Calendar,X3458,W3459,"f",FALSE)</f>
        <v>63094</v>
      </c>
      <c r="Y3459" s="227">
        <f>_xll.qlCalendarAdvance(Calendar,X3459,NDays&amp;"D")</f>
        <v>63094</v>
      </c>
      <c r="Z3459" s="228">
        <v>3.3299746256817829E-2</v>
      </c>
      <c r="AA3459" s="230">
        <v>3.3253186884851793E-2</v>
      </c>
    </row>
    <row r="3460" spans="19:27" x14ac:dyDescent="0.2">
      <c r="S3460" s="32"/>
      <c r="T3460" s="187"/>
      <c r="W3460" s="221" t="str">
        <f t="shared" si="62"/>
        <v>1w</v>
      </c>
      <c r="X3460" s="222">
        <f>_xll.qlCalendarAdvance(Calendar,X3459,W3460,"f",FALSE)</f>
        <v>63101</v>
      </c>
      <c r="Y3460" s="227">
        <f>_xll.qlCalendarAdvance(Calendar,X3460,NDays&amp;"D")</f>
        <v>63101</v>
      </c>
      <c r="Z3460" s="228">
        <v>3.3302587037066199E-2</v>
      </c>
      <c r="AA3460" s="230">
        <v>3.3254448444856033E-2</v>
      </c>
    </row>
    <row r="3461" spans="19:27" x14ac:dyDescent="0.2">
      <c r="S3461" s="32"/>
      <c r="T3461" s="187"/>
      <c r="W3461" s="221" t="str">
        <f t="shared" si="62"/>
        <v>1w</v>
      </c>
      <c r="X3461" s="222">
        <f>_xll.qlCalendarAdvance(Calendar,X3460,W3461,"f",FALSE)</f>
        <v>63108</v>
      </c>
      <c r="Y3461" s="227">
        <f>_xll.qlCalendarAdvance(Calendar,X3461,NDays&amp;"D")</f>
        <v>63108</v>
      </c>
      <c r="Z3461" s="228">
        <v>3.3303808153778924E-2</v>
      </c>
      <c r="AA3461" s="230">
        <v>3.3255696076165409E-2</v>
      </c>
    </row>
    <row r="3462" spans="19:27" x14ac:dyDescent="0.2">
      <c r="S3462" s="32"/>
      <c r="T3462" s="187"/>
      <c r="W3462" s="221" t="str">
        <f t="shared" si="62"/>
        <v>1w</v>
      </c>
      <c r="X3462" s="222">
        <f>_xll.qlCalendarAdvance(Calendar,X3461,W3462,"f",FALSE)</f>
        <v>63115</v>
      </c>
      <c r="Y3462" s="227">
        <f>_xll.qlCalendarAdvance(Calendar,X3462,NDays&amp;"D")</f>
        <v>63115</v>
      </c>
      <c r="Z3462" s="228">
        <v>3.3305015303592617E-2</v>
      </c>
      <c r="AA3462" s="230">
        <v>3.3256929778293642E-2</v>
      </c>
    </row>
    <row r="3463" spans="19:27" x14ac:dyDescent="0.2">
      <c r="S3463" s="32"/>
      <c r="T3463" s="187"/>
      <c r="W3463" s="221" t="str">
        <f t="shared" si="62"/>
        <v>1w</v>
      </c>
      <c r="X3463" s="222">
        <f>_xll.qlCalendarAdvance(Calendar,X3462,W3463,"f",FALSE)</f>
        <v>63122</v>
      </c>
      <c r="Y3463" s="227">
        <f>_xll.qlCalendarAdvance(Calendar,X3463,NDays&amp;"D")</f>
        <v>63122</v>
      </c>
      <c r="Z3463" s="228">
        <v>3.3306208486504667E-2</v>
      </c>
      <c r="AA3463" s="230">
        <v>3.3258149551645966E-2</v>
      </c>
    </row>
    <row r="3464" spans="19:27" x14ac:dyDescent="0.2">
      <c r="S3464" s="32"/>
      <c r="T3464" s="187"/>
      <c r="W3464" s="221" t="str">
        <f t="shared" si="62"/>
        <v>1w</v>
      </c>
      <c r="X3464" s="222">
        <f>_xll.qlCalendarAdvance(Calendar,X3463,W3464,"f",FALSE)</f>
        <v>63129</v>
      </c>
      <c r="Y3464" s="227">
        <f>_xll.qlCalendarAdvance(Calendar,X3464,NDays&amp;"D")</f>
        <v>63129</v>
      </c>
      <c r="Z3464" s="228">
        <v>3.3305786443659668E-2</v>
      </c>
      <c r="AA3464" s="230">
        <v>3.325935539597924E-2</v>
      </c>
    </row>
    <row r="3465" spans="19:27" x14ac:dyDescent="0.2">
      <c r="S3465" s="32"/>
      <c r="T3465" s="187"/>
      <c r="W3465" s="221" t="str">
        <f t="shared" si="62"/>
        <v>1w</v>
      </c>
      <c r="X3465" s="222">
        <f>_xll.qlCalendarAdvance(Calendar,X3464,W3465,"f",FALSE)</f>
        <v>63136</v>
      </c>
      <c r="Y3465" s="227">
        <f>_xll.qlCalendarAdvance(Calendar,X3465,NDays&amp;"D")</f>
        <v>63136</v>
      </c>
      <c r="Z3465" s="228">
        <v>3.3306952584125082E-2</v>
      </c>
      <c r="AA3465" s="230">
        <v>3.326054731161765E-2</v>
      </c>
    </row>
    <row r="3466" spans="19:27" x14ac:dyDescent="0.2">
      <c r="S3466" s="32"/>
      <c r="T3466" s="187"/>
      <c r="W3466" s="221" t="str">
        <f t="shared" si="62"/>
        <v>1w</v>
      </c>
      <c r="X3466" s="222">
        <f>_xll.qlCalendarAdvance(Calendar,X3465,W3466,"f",FALSE)</f>
        <v>63143</v>
      </c>
      <c r="Y3466" s="227">
        <f>_xll.qlCalendarAdvance(Calendar,X3466,NDays&amp;"D")</f>
        <v>63143</v>
      </c>
      <c r="Z3466" s="228">
        <v>3.3308104758946633E-2</v>
      </c>
      <c r="AA3466" s="230">
        <v>3.3261725298318057E-2</v>
      </c>
    </row>
    <row r="3467" spans="19:27" x14ac:dyDescent="0.2">
      <c r="S3467" s="32"/>
      <c r="T3467" s="187"/>
      <c r="W3467" s="221" t="str">
        <f t="shared" si="62"/>
        <v>1w</v>
      </c>
      <c r="X3467" s="222">
        <f>_xll.qlCalendarAdvance(Calendar,X3466,W3467,"f",FALSE)</f>
        <v>63150</v>
      </c>
      <c r="Y3467" s="227">
        <f>_xll.qlCalendarAdvance(Calendar,X3467,NDays&amp;"D")</f>
        <v>63150</v>
      </c>
      <c r="Z3467" s="228">
        <v>3.3309242968113516E-2</v>
      </c>
      <c r="AA3467" s="230">
        <v>3.3262889355918368E-2</v>
      </c>
    </row>
    <row r="3468" spans="19:27" x14ac:dyDescent="0.2">
      <c r="S3468" s="32"/>
      <c r="T3468" s="187"/>
      <c r="W3468" s="221" t="str">
        <f t="shared" si="62"/>
        <v>1w</v>
      </c>
      <c r="X3468" s="222">
        <f>_xll.qlCalendarAdvance(Calendar,X3467,W3468,"f",FALSE)</f>
        <v>63157</v>
      </c>
      <c r="Y3468" s="227">
        <f>_xll.qlCalendarAdvance(Calendar,X3468,NDays&amp;"D")</f>
        <v>63157</v>
      </c>
      <c r="Z3468" s="228">
        <v>3.331036721163113E-2</v>
      </c>
      <c r="AA3468" s="230">
        <v>3.3264039484742769E-2</v>
      </c>
    </row>
    <row r="3469" spans="19:27" x14ac:dyDescent="0.2">
      <c r="S3469" s="32"/>
      <c r="T3469" s="187"/>
      <c r="W3469" s="221" t="str">
        <f t="shared" si="62"/>
        <v>1w</v>
      </c>
      <c r="X3469" s="222">
        <f>_xll.qlCalendarAdvance(Calendar,X3468,W3469,"f",FALSE)</f>
        <v>63164</v>
      </c>
      <c r="Y3469" s="227">
        <f>_xll.qlCalendarAdvance(Calendar,X3469,NDays&amp;"D")</f>
        <v>63164</v>
      </c>
      <c r="Z3469" s="228">
        <v>3.3313074278817446E-2</v>
      </c>
      <c r="AA3469" s="230">
        <v>3.3265175684872306E-2</v>
      </c>
    </row>
    <row r="3470" spans="19:27" x14ac:dyDescent="0.2">
      <c r="S3470" s="32"/>
      <c r="T3470" s="187"/>
      <c r="W3470" s="221" t="str">
        <f t="shared" si="62"/>
        <v>1w</v>
      </c>
      <c r="X3470" s="222">
        <f>_xll.qlCalendarAdvance(Calendar,X3469,W3470,"f",FALSE)</f>
        <v>63171</v>
      </c>
      <c r="Y3470" s="227">
        <f>_xll.qlCalendarAdvance(Calendar,X3470,NDays&amp;"D")</f>
        <v>63171</v>
      </c>
      <c r="Z3470" s="228">
        <v>3.3314169693302913E-2</v>
      </c>
      <c r="AA3470" s="230">
        <v>3.3266297955982793E-2</v>
      </c>
    </row>
    <row r="3471" spans="19:27" x14ac:dyDescent="0.2">
      <c r="S3471" s="32"/>
      <c r="T3471" s="187"/>
      <c r="W3471" s="221" t="str">
        <f t="shared" si="62"/>
        <v>1w</v>
      </c>
      <c r="X3471" s="222">
        <f>_xll.qlCalendarAdvance(Calendar,X3470,W3471,"f",FALSE)</f>
        <v>63178</v>
      </c>
      <c r="Y3471" s="227">
        <f>_xll.qlCalendarAdvance(Calendar,X3471,NDays&amp;"D")</f>
        <v>63178</v>
      </c>
      <c r="Z3471" s="228">
        <v>3.3315251140855352E-2</v>
      </c>
      <c r="AA3471" s="230">
        <v>3.3267406297993185E-2</v>
      </c>
    </row>
    <row r="3472" spans="19:27" x14ac:dyDescent="0.2">
      <c r="S3472" s="32"/>
      <c r="T3472" s="187"/>
      <c r="W3472" s="221" t="str">
        <f t="shared" si="62"/>
        <v>1w</v>
      </c>
      <c r="X3472" s="222">
        <f>_xll.qlCalendarAdvance(Calendar,X3471,W3472,"f",FALSE)</f>
        <v>63186</v>
      </c>
      <c r="Y3472" s="227">
        <f>_xll.qlCalendarAdvance(Calendar,X3472,NDays&amp;"D")</f>
        <v>63186</v>
      </c>
      <c r="Z3472" s="228">
        <v>3.3319657938742211E-2</v>
      </c>
      <c r="AA3472" s="230">
        <v>3.3268655918988754E-2</v>
      </c>
    </row>
    <row r="3473" spans="19:27" x14ac:dyDescent="0.2">
      <c r="S3473" s="32"/>
      <c r="T3473" s="187"/>
      <c r="W3473" s="221" t="str">
        <f t="shared" si="62"/>
        <v>1w</v>
      </c>
      <c r="X3473" s="222">
        <f>_xll.qlCalendarAdvance(Calendar,X3472,W3473,"f",FALSE)</f>
        <v>63193</v>
      </c>
      <c r="Y3473" s="227">
        <f>_xll.qlCalendarAdvance(Calendar,X3473,NDays&amp;"D")</f>
        <v>63193</v>
      </c>
      <c r="Z3473" s="228">
        <v>3.3320707653204197E-2</v>
      </c>
      <c r="AA3473" s="230">
        <v>3.3269734413517993E-2</v>
      </c>
    </row>
    <row r="3474" spans="19:27" x14ac:dyDescent="0.2">
      <c r="S3474" s="32"/>
      <c r="T3474" s="187"/>
      <c r="W3474" s="221" t="str">
        <f t="shared" si="62"/>
        <v>1w</v>
      </c>
      <c r="X3474" s="222">
        <f>_xll.qlCalendarAdvance(Calendar,X3473,W3474,"f",FALSE)</f>
        <v>63200</v>
      </c>
      <c r="Y3474" s="227">
        <f>_xll.qlCalendarAdvance(Calendar,X3474,NDays&amp;"D")</f>
        <v>63200</v>
      </c>
      <c r="Z3474" s="228">
        <v>3.3321743398187852E-2</v>
      </c>
      <c r="AA3474" s="230">
        <v>3.3270798979352367E-2</v>
      </c>
    </row>
    <row r="3475" spans="19:27" x14ac:dyDescent="0.2">
      <c r="S3475" s="32"/>
      <c r="T3475" s="187"/>
      <c r="W3475" s="221" t="str">
        <f t="shared" si="62"/>
        <v>1w</v>
      </c>
      <c r="X3475" s="222">
        <f>_xll.qlCalendarAdvance(Calendar,X3474,W3475,"f",FALSE)</f>
        <v>63207</v>
      </c>
      <c r="Y3475" s="227">
        <f>_xll.qlCalendarAdvance(Calendar,X3475,NDays&amp;"D")</f>
        <v>63207</v>
      </c>
      <c r="Z3475" s="228">
        <v>3.3322765173675974E-2</v>
      </c>
      <c r="AA3475" s="230">
        <v>3.3271849616086646E-2</v>
      </c>
    </row>
    <row r="3476" spans="19:27" x14ac:dyDescent="0.2">
      <c r="S3476" s="32"/>
      <c r="T3476" s="187"/>
      <c r="W3476" s="221" t="str">
        <f t="shared" si="62"/>
        <v>1w</v>
      </c>
      <c r="X3476" s="222">
        <f>_xll.qlCalendarAdvance(Calendar,X3475,W3476,"f",FALSE)</f>
        <v>63214</v>
      </c>
      <c r="Y3476" s="227">
        <f>_xll.qlCalendarAdvance(Calendar,X3476,NDays&amp;"D")</f>
        <v>63214</v>
      </c>
      <c r="Z3476" s="228">
        <v>3.3323772979671026E-2</v>
      </c>
      <c r="AA3476" s="230">
        <v>3.3272886323801876E-2</v>
      </c>
    </row>
    <row r="3477" spans="19:27" x14ac:dyDescent="0.2">
      <c r="S3477" s="32"/>
      <c r="T3477" s="187"/>
      <c r="W3477" s="221" t="str">
        <f t="shared" ref="W3477:W3540" si="63">W3476</f>
        <v>1w</v>
      </c>
      <c r="X3477" s="222">
        <f>_xll.qlCalendarAdvance(Calendar,X3476,W3477,"f",FALSE)</f>
        <v>63221</v>
      </c>
      <c r="Y3477" s="227">
        <f>_xll.qlCalendarAdvance(Calendar,X3477,NDays&amp;"D")</f>
        <v>63221</v>
      </c>
      <c r="Z3477" s="228">
        <v>3.3316819604141561E-2</v>
      </c>
      <c r="AA3477" s="230">
        <v>3.3273909102903287E-2</v>
      </c>
    </row>
    <row r="3478" spans="19:27" x14ac:dyDescent="0.2">
      <c r="S3478" s="32"/>
      <c r="T3478" s="187"/>
      <c r="W3478" s="221" t="str">
        <f t="shared" si="63"/>
        <v>1w</v>
      </c>
      <c r="X3478" s="222">
        <f>_xll.qlCalendarAdvance(Calendar,X3477,W3478,"f",FALSE)</f>
        <v>63228</v>
      </c>
      <c r="Y3478" s="227">
        <f>_xll.qlCalendarAdvance(Calendar,X3478,NDays&amp;"D")</f>
        <v>63228</v>
      </c>
      <c r="Z3478" s="228">
        <v>3.3317804011432674E-2</v>
      </c>
      <c r="AA3478" s="230">
        <v>3.3274917953147742E-2</v>
      </c>
    </row>
    <row r="3479" spans="19:27" x14ac:dyDescent="0.2">
      <c r="S3479" s="32"/>
      <c r="T3479" s="187"/>
      <c r="W3479" s="221" t="str">
        <f t="shared" si="63"/>
        <v>1w</v>
      </c>
      <c r="X3479" s="222">
        <f>_xll.qlCalendarAdvance(Calendar,X3478,W3479,"f",FALSE)</f>
        <v>63235</v>
      </c>
      <c r="Y3479" s="227">
        <f>_xll.qlCalendarAdvance(Calendar,X3479,NDays&amp;"D")</f>
        <v>63235</v>
      </c>
      <c r="Z3479" s="228">
        <v>3.3318774455566892E-2</v>
      </c>
      <c r="AA3479" s="230">
        <v>3.3275912874130009E-2</v>
      </c>
    </row>
    <row r="3480" spans="19:27" x14ac:dyDescent="0.2">
      <c r="S3480" s="32"/>
      <c r="T3480" s="187"/>
      <c r="W3480" s="221" t="str">
        <f t="shared" si="63"/>
        <v>1w</v>
      </c>
      <c r="X3480" s="222">
        <f>_xll.qlCalendarAdvance(Calendar,X3479,W3480,"f",FALSE)</f>
        <v>63242</v>
      </c>
      <c r="Y3480" s="227">
        <f>_xll.qlCalendarAdvance(Calendar,X3480,NDays&amp;"D")</f>
        <v>63242</v>
      </c>
      <c r="Z3480" s="228">
        <v>3.3319730936550003E-2</v>
      </c>
      <c r="AA3480" s="230">
        <v>3.3276893866417412E-2</v>
      </c>
    </row>
    <row r="3481" spans="19:27" x14ac:dyDescent="0.2">
      <c r="S3481" s="32"/>
      <c r="T3481" s="187"/>
      <c r="W3481" s="221" t="str">
        <f t="shared" si="63"/>
        <v>1w</v>
      </c>
      <c r="X3481" s="222">
        <f>_xll.qlCalendarAdvance(Calendar,X3480,W3481,"f",FALSE)</f>
        <v>63249</v>
      </c>
      <c r="Y3481" s="227">
        <f>_xll.qlCalendarAdvance(Calendar,X3481,NDays&amp;"D")</f>
        <v>63249</v>
      </c>
      <c r="Z3481" s="228">
        <v>3.3328602467090601E-2</v>
      </c>
      <c r="AA3481" s="230">
        <v>3.3277860929928904E-2</v>
      </c>
    </row>
    <row r="3482" spans="19:27" x14ac:dyDescent="0.2">
      <c r="S3482" s="32"/>
      <c r="T3482" s="187"/>
      <c r="W3482" s="221" t="str">
        <f t="shared" si="63"/>
        <v>1w</v>
      </c>
      <c r="X3482" s="222">
        <f>_xll.qlCalendarAdvance(Calendar,X3481,W3482,"f",FALSE)</f>
        <v>63256</v>
      </c>
      <c r="Y3482" s="227">
        <f>_xll.qlCalendarAdvance(Calendar,X3482,NDays&amp;"D")</f>
        <v>63256</v>
      </c>
      <c r="Z3482" s="228">
        <v>3.3329526456041272E-2</v>
      </c>
      <c r="AA3482" s="230">
        <v>3.3278814064502393E-2</v>
      </c>
    </row>
    <row r="3483" spans="19:27" x14ac:dyDescent="0.2">
      <c r="S3483" s="32"/>
      <c r="T3483" s="187"/>
      <c r="W3483" s="221" t="str">
        <f t="shared" si="63"/>
        <v>1w</v>
      </c>
      <c r="X3483" s="222">
        <f>_xll.qlCalendarAdvance(Calendar,X3482,W3483,"f",FALSE)</f>
        <v>63263</v>
      </c>
      <c r="Y3483" s="227">
        <f>_xll.qlCalendarAdvance(Calendar,X3483,NDays&amp;"D")</f>
        <v>63263</v>
      </c>
      <c r="Z3483" s="228">
        <v>3.3330436475464492E-2</v>
      </c>
      <c r="AA3483" s="230">
        <v>3.3279753269975787E-2</v>
      </c>
    </row>
    <row r="3484" spans="19:27" x14ac:dyDescent="0.2">
      <c r="S3484" s="32"/>
      <c r="T3484" s="187"/>
      <c r="W3484" s="221" t="str">
        <f t="shared" si="63"/>
        <v>1w</v>
      </c>
      <c r="X3484" s="222">
        <f>_xll.qlCalendarAdvance(Calendar,X3483,W3484,"f",FALSE)</f>
        <v>63270</v>
      </c>
      <c r="Y3484" s="227">
        <f>_xll.qlCalendarAdvance(Calendar,X3484,NDays&amp;"D")</f>
        <v>63270</v>
      </c>
      <c r="Z3484" s="228">
        <v>3.3331332525370079E-2</v>
      </c>
      <c r="AA3484" s="230">
        <v>3.3280678546754316E-2</v>
      </c>
    </row>
    <row r="3485" spans="19:27" x14ac:dyDescent="0.2">
      <c r="S3485" s="32"/>
      <c r="T3485" s="187"/>
      <c r="W3485" s="221" t="str">
        <f t="shared" si="63"/>
        <v>1w</v>
      </c>
      <c r="X3485" s="222">
        <f>_xll.qlCalendarAdvance(Calendar,X3484,W3485,"f",FALSE)</f>
        <v>63277</v>
      </c>
      <c r="Y3485" s="227">
        <f>_xll.qlCalendarAdvance(Calendar,X3485,NDays&amp;"D")</f>
        <v>63277</v>
      </c>
      <c r="Z3485" s="228">
        <v>3.3327468152558049E-2</v>
      </c>
      <c r="AA3485" s="230">
        <v>3.3281589894756936E-2</v>
      </c>
    </row>
    <row r="3486" spans="19:27" x14ac:dyDescent="0.2">
      <c r="S3486" s="32"/>
      <c r="T3486" s="187"/>
      <c r="W3486" s="221" t="str">
        <f t="shared" si="63"/>
        <v>1w</v>
      </c>
      <c r="X3486" s="222">
        <f>_xll.qlCalendarAdvance(Calendar,X3485,W3486,"f",FALSE)</f>
        <v>63284</v>
      </c>
      <c r="Y3486" s="227">
        <f>_xll.qlCalendarAdvance(Calendar,X3486,NDays&amp;"D")</f>
        <v>63284</v>
      </c>
      <c r="Z3486" s="228">
        <v>3.3328339018613394E-2</v>
      </c>
      <c r="AA3486" s="230">
        <v>3.3282487313578413E-2</v>
      </c>
    </row>
    <row r="3487" spans="19:27" x14ac:dyDescent="0.2">
      <c r="S3487" s="32"/>
      <c r="T3487" s="187"/>
      <c r="W3487" s="221" t="str">
        <f t="shared" si="63"/>
        <v>1w</v>
      </c>
      <c r="X3487" s="222">
        <f>_xll.qlCalendarAdvance(Calendar,X3486,W3487,"f",FALSE)</f>
        <v>63291</v>
      </c>
      <c r="Y3487" s="227">
        <f>_xll.qlCalendarAdvance(Calendar,X3487,NDays&amp;"D")</f>
        <v>63291</v>
      </c>
      <c r="Z3487" s="228">
        <v>3.3329195918949228E-2</v>
      </c>
      <c r="AA3487" s="230">
        <v>3.3283370803542933E-2</v>
      </c>
    </row>
    <row r="3488" spans="19:27" x14ac:dyDescent="0.2">
      <c r="S3488" s="32"/>
      <c r="T3488" s="187"/>
      <c r="W3488" s="221" t="str">
        <f t="shared" si="63"/>
        <v>1w</v>
      </c>
      <c r="X3488" s="222">
        <f>_xll.qlCalendarAdvance(Calendar,X3487,W3488,"f",FALSE)</f>
        <v>63298</v>
      </c>
      <c r="Y3488" s="227">
        <f>_xll.qlCalendarAdvance(Calendar,X3488,NDays&amp;"D")</f>
        <v>63298</v>
      </c>
      <c r="Z3488" s="228">
        <v>3.3330038853565558E-2</v>
      </c>
      <c r="AA3488" s="230">
        <v>3.3284240364731543E-2</v>
      </c>
    </row>
    <row r="3489" spans="19:27" x14ac:dyDescent="0.2">
      <c r="S3489" s="32"/>
      <c r="T3489" s="187"/>
      <c r="W3489" s="221" t="str">
        <f t="shared" si="63"/>
        <v>1w</v>
      </c>
      <c r="X3489" s="222">
        <f>_xll.qlCalendarAdvance(Calendar,X3488,W3489,"f",FALSE)</f>
        <v>63305</v>
      </c>
      <c r="Y3489" s="227">
        <f>_xll.qlCalendarAdvance(Calendar,X3489,NDays&amp;"D")</f>
        <v>63305</v>
      </c>
      <c r="Z3489" s="228">
        <v>3.3330867822467788E-2</v>
      </c>
      <c r="AA3489" s="230">
        <v>3.3285095997063197E-2</v>
      </c>
    </row>
    <row r="3490" spans="19:27" x14ac:dyDescent="0.2">
      <c r="S3490" s="32"/>
      <c r="T3490" s="187"/>
      <c r="W3490" s="221" t="str">
        <f t="shared" si="63"/>
        <v>1w</v>
      </c>
      <c r="X3490" s="222">
        <f>_xll.qlCalendarAdvance(Calendar,X3489,W3490,"f",FALSE)</f>
        <v>63312</v>
      </c>
      <c r="Y3490" s="227">
        <f>_xll.qlCalendarAdvance(Calendar,X3490,NDays&amp;"D")</f>
        <v>63312</v>
      </c>
      <c r="Z3490" s="228">
        <v>3.3336415464619011E-2</v>
      </c>
      <c r="AA3490" s="230">
        <v>3.3285937700294754E-2</v>
      </c>
    </row>
    <row r="3491" spans="19:27" x14ac:dyDescent="0.2">
      <c r="S3491" s="32"/>
      <c r="T3491" s="187"/>
      <c r="W3491" s="221" t="str">
        <f t="shared" si="63"/>
        <v>1w</v>
      </c>
      <c r="X3491" s="222">
        <f>_xll.qlCalendarAdvance(Calendar,X3490,W3491,"f",FALSE)</f>
        <v>63319</v>
      </c>
      <c r="Y3491" s="227">
        <f>_xll.qlCalendarAdvance(Calendar,X3491,NDays&amp;"D")</f>
        <v>63319</v>
      </c>
      <c r="Z3491" s="228">
        <v>3.3337213727768565E-2</v>
      </c>
      <c r="AA3491" s="230">
        <v>3.3286765474831448E-2</v>
      </c>
    </row>
    <row r="3492" spans="19:27" x14ac:dyDescent="0.2">
      <c r="S3492" s="32"/>
      <c r="T3492" s="187"/>
      <c r="W3492" s="221" t="str">
        <f t="shared" si="63"/>
        <v>1w</v>
      </c>
      <c r="X3492" s="222">
        <f>_xll.qlCalendarAdvance(Calendar,X3491,W3492,"f",FALSE)</f>
        <v>63326</v>
      </c>
      <c r="Y3492" s="227">
        <f>_xll.qlCalendarAdvance(Calendar,X3492,NDays&amp;"D")</f>
        <v>63326</v>
      </c>
      <c r="Z3492" s="228">
        <v>3.3337998021366104E-2</v>
      </c>
      <c r="AA3492" s="230">
        <v>3.3287579320430138E-2</v>
      </c>
    </row>
    <row r="3493" spans="19:27" x14ac:dyDescent="0.2">
      <c r="S3493" s="32"/>
      <c r="T3493" s="187"/>
      <c r="W3493" s="221" t="str">
        <f t="shared" si="63"/>
        <v>1w</v>
      </c>
      <c r="X3493" s="222">
        <f>_xll.qlCalendarAdvance(Calendar,X3492,W3493,"f",FALSE)</f>
        <v>63333</v>
      </c>
      <c r="Y3493" s="227">
        <f>_xll.qlCalendarAdvance(Calendar,X3493,NDays&amp;"D")</f>
        <v>63333</v>
      </c>
      <c r="Z3493" s="228">
        <v>3.3338768345416547E-2</v>
      </c>
      <c r="AA3493" s="230">
        <v>3.3288379237090826E-2</v>
      </c>
    </row>
    <row r="3494" spans="19:27" x14ac:dyDescent="0.2">
      <c r="S3494" s="32"/>
      <c r="T3494" s="187"/>
      <c r="W3494" s="221" t="str">
        <f t="shared" si="63"/>
        <v>1w</v>
      </c>
      <c r="X3494" s="222">
        <f>_xll.qlCalendarAdvance(Calendar,X3493,W3494,"f",FALSE)</f>
        <v>63340</v>
      </c>
      <c r="Y3494" s="227">
        <f>_xll.qlCalendarAdvance(Calendar,X3494,NDays&amp;"D")</f>
        <v>63340</v>
      </c>
      <c r="Z3494" s="228">
        <v>3.3334803180983696E-2</v>
      </c>
      <c r="AA3494" s="230">
        <v>3.3289165224732464E-2</v>
      </c>
    </row>
    <row r="3495" spans="19:27" x14ac:dyDescent="0.2">
      <c r="S3495" s="32"/>
      <c r="T3495" s="187"/>
      <c r="W3495" s="221" t="str">
        <f t="shared" si="63"/>
        <v>1w</v>
      </c>
      <c r="X3495" s="222">
        <f>_xll.qlCalendarAdvance(Calendar,X3494,W3495,"f",FALSE)</f>
        <v>63347</v>
      </c>
      <c r="Y3495" s="227">
        <f>_xll.qlCalendarAdvance(Calendar,X3495,NDays&amp;"D")</f>
        <v>63347</v>
      </c>
      <c r="Z3495" s="228">
        <v>3.333554835547433E-2</v>
      </c>
      <c r="AA3495" s="230">
        <v>3.3289937283760285E-2</v>
      </c>
    </row>
    <row r="3496" spans="19:27" x14ac:dyDescent="0.2">
      <c r="S3496" s="32"/>
      <c r="T3496" s="187"/>
      <c r="W3496" s="221" t="str">
        <f t="shared" si="63"/>
        <v>1w</v>
      </c>
      <c r="X3496" s="222">
        <f>_xll.qlCalendarAdvance(Calendar,X3495,W3496,"f",FALSE)</f>
        <v>63354</v>
      </c>
      <c r="Y3496" s="227">
        <f>_xll.qlCalendarAdvance(Calendar,X3496,NDays&amp;"D")</f>
        <v>63354</v>
      </c>
      <c r="Z3496" s="228">
        <v>3.3336279564229243E-2</v>
      </c>
      <c r="AA3496" s="230">
        <v>3.329069541368801E-2</v>
      </c>
    </row>
    <row r="3497" spans="19:27" x14ac:dyDescent="0.2">
      <c r="S3497" s="32"/>
      <c r="T3497" s="187"/>
      <c r="W3497" s="221" t="str">
        <f t="shared" si="63"/>
        <v>1w</v>
      </c>
      <c r="X3497" s="222">
        <f>_xll.qlCalendarAdvance(Calendar,X3496,W3497,"f",FALSE)</f>
        <v>63361</v>
      </c>
      <c r="Y3497" s="227">
        <f>_xll.qlCalendarAdvance(Calendar,X3497,NDays&amp;"D")</f>
        <v>63361</v>
      </c>
      <c r="Z3497" s="228">
        <v>3.3336996807232233E-2</v>
      </c>
      <c r="AA3497" s="230">
        <v>3.3291439614758778E-2</v>
      </c>
    </row>
    <row r="3498" spans="19:27" x14ac:dyDescent="0.2">
      <c r="S3498" s="32"/>
      <c r="T3498" s="187"/>
      <c r="W3498" s="221" t="str">
        <f t="shared" si="63"/>
        <v>1w</v>
      </c>
      <c r="X3498" s="222">
        <f>_xll.qlCalendarAdvance(Calendar,X3497,W3498,"f",FALSE)</f>
        <v>63368</v>
      </c>
      <c r="Y3498" s="227">
        <f>_xll.qlCalendarAdvance(Calendar,X3498,NDays&amp;"D")</f>
        <v>63368</v>
      </c>
      <c r="Z3498" s="228">
        <v>3.3337700084491405E-2</v>
      </c>
      <c r="AA3498" s="230">
        <v>3.3292169886972589E-2</v>
      </c>
    </row>
    <row r="3499" spans="19:27" x14ac:dyDescent="0.2">
      <c r="S3499" s="32"/>
      <c r="T3499" s="187"/>
      <c r="W3499" s="221" t="str">
        <f t="shared" si="63"/>
        <v>1w</v>
      </c>
      <c r="X3499" s="222">
        <f>_xll.qlCalendarAdvance(Calendar,X3498,W3499,"f",FALSE)</f>
        <v>63375</v>
      </c>
      <c r="Y3499" s="227">
        <f>_xll.qlCalendarAdvance(Calendar,X3499,NDays&amp;"D")</f>
        <v>63375</v>
      </c>
      <c r="Z3499" s="228">
        <v>3.3343096928942703E-2</v>
      </c>
      <c r="AA3499" s="230">
        <v>3.3292886230329444E-2</v>
      </c>
    </row>
    <row r="3500" spans="19:27" x14ac:dyDescent="0.2">
      <c r="W3500" s="221" t="str">
        <f t="shared" si="63"/>
        <v>1w</v>
      </c>
      <c r="X3500" s="222">
        <f>_xll.qlCalendarAdvance(Calendar,X3499,W3500,"f",FALSE)</f>
        <v>63382</v>
      </c>
      <c r="Y3500" s="227">
        <f>_xll.qlCalendarAdvance(Calendar,X3500,NDays&amp;"D")</f>
        <v>63382</v>
      </c>
      <c r="Z3500" s="228">
        <v>3.3343769466045545E-2</v>
      </c>
      <c r="AA3500" s="230">
        <v>3.3293588644667249E-2</v>
      </c>
    </row>
    <row r="3501" spans="19:27" x14ac:dyDescent="0.2">
      <c r="W3501" s="221" t="str">
        <f t="shared" si="63"/>
        <v>1w</v>
      </c>
      <c r="X3501" s="222">
        <f>_xll.qlCalendarAdvance(Calendar,X3500,W3501,"f",FALSE)</f>
        <v>63389</v>
      </c>
      <c r="Y3501" s="227">
        <f>_xll.qlCalendarAdvance(Calendar,X3501,NDays&amp;"D")</f>
        <v>63389</v>
      </c>
      <c r="Z3501" s="228">
        <v>3.3344428033574271E-2</v>
      </c>
      <c r="AA3501" s="230">
        <v>3.3294277130148098E-2</v>
      </c>
    </row>
    <row r="3502" spans="19:27" x14ac:dyDescent="0.2">
      <c r="W3502" s="221" t="str">
        <f t="shared" si="63"/>
        <v>1w</v>
      </c>
      <c r="X3502" s="222">
        <f>_xll.qlCalendarAdvance(Calendar,X3501,W3502,"f",FALSE)</f>
        <v>63396</v>
      </c>
      <c r="Y3502" s="227">
        <f>_xll.qlCalendarAdvance(Calendar,X3502,NDays&amp;"D")</f>
        <v>63396</v>
      </c>
      <c r="Z3502" s="228">
        <v>3.3346639008112904E-2</v>
      </c>
      <c r="AA3502" s="230">
        <v>3.329495168677199E-2</v>
      </c>
    </row>
    <row r="3503" spans="19:27" x14ac:dyDescent="0.2">
      <c r="W3503" s="221" t="str">
        <f t="shared" si="63"/>
        <v>1w</v>
      </c>
      <c r="X3503" s="222">
        <f>_xll.qlCalendarAdvance(Calendar,X3502,W3503,"f",FALSE)</f>
        <v>63403</v>
      </c>
      <c r="Y3503" s="227">
        <f>_xll.qlCalendarAdvance(Calendar,X3503,NDays&amp;"D")</f>
        <v>63403</v>
      </c>
      <c r="Z3503" s="228">
        <v>3.3345703259902007E-2</v>
      </c>
      <c r="AA3503" s="230">
        <v>3.3295612314538925E-2</v>
      </c>
    </row>
    <row r="3504" spans="19:27" x14ac:dyDescent="0.2">
      <c r="W3504" s="221" t="str">
        <f t="shared" si="63"/>
        <v>1w</v>
      </c>
      <c r="X3504" s="222">
        <f>_xll.qlCalendarAdvance(Calendar,X3503,W3504,"f",FALSE)</f>
        <v>63410</v>
      </c>
      <c r="Y3504" s="227">
        <f>_xll.qlCalendarAdvance(Calendar,X3504,NDays&amp;"D")</f>
        <v>63410</v>
      </c>
      <c r="Z3504" s="228">
        <v>3.3346319918698561E-2</v>
      </c>
      <c r="AA3504" s="230">
        <v>3.3296259013286811E-2</v>
      </c>
    </row>
    <row r="3505" spans="23:27" x14ac:dyDescent="0.2">
      <c r="W3505" s="221" t="str">
        <f t="shared" si="63"/>
        <v>1w</v>
      </c>
      <c r="X3505" s="222">
        <f>_xll.qlCalendarAdvance(Calendar,X3504,W3505,"f",FALSE)</f>
        <v>63417</v>
      </c>
      <c r="Y3505" s="227">
        <f>_xll.qlCalendarAdvance(Calendar,X3505,NDays&amp;"D")</f>
        <v>63417</v>
      </c>
      <c r="Z3505" s="228">
        <v>3.3346922607906254E-2</v>
      </c>
      <c r="AA3505" s="230">
        <v>3.3296891783096694E-2</v>
      </c>
    </row>
    <row r="3506" spans="23:27" x14ac:dyDescent="0.2">
      <c r="W3506" s="221" t="str">
        <f t="shared" si="63"/>
        <v>1w</v>
      </c>
      <c r="X3506" s="222">
        <f>_xll.qlCalendarAdvance(Calendar,X3505,W3506,"f",FALSE)</f>
        <v>63424</v>
      </c>
      <c r="Y3506" s="227">
        <f>_xll.qlCalendarAdvance(Calendar,X3506,NDays&amp;"D")</f>
        <v>63424</v>
      </c>
      <c r="Z3506" s="228">
        <v>3.3347511327525101E-2</v>
      </c>
      <c r="AA3506" s="230">
        <v>3.3297510624211712E-2</v>
      </c>
    </row>
    <row r="3507" spans="23:27" x14ac:dyDescent="0.2">
      <c r="W3507" s="221" t="str">
        <f t="shared" si="63"/>
        <v>1w</v>
      </c>
      <c r="X3507" s="222">
        <f>_xll.qlCalendarAdvance(Calendar,X3506,W3507,"f",FALSE)</f>
        <v>63431</v>
      </c>
      <c r="Y3507" s="227">
        <f>_xll.qlCalendarAdvance(Calendar,X3507,NDays&amp;"D")</f>
        <v>63431</v>
      </c>
      <c r="Z3507" s="228">
        <v>3.3343401120781976E-2</v>
      </c>
      <c r="AA3507" s="230">
        <v>3.3298115536388728E-2</v>
      </c>
    </row>
    <row r="3508" spans="23:27" x14ac:dyDescent="0.2">
      <c r="W3508" s="221" t="str">
        <f t="shared" si="63"/>
        <v>1w</v>
      </c>
      <c r="X3508" s="222">
        <f>_xll.qlCalendarAdvance(Calendar,X3507,W3508,"f",FALSE)</f>
        <v>63438</v>
      </c>
      <c r="Y3508" s="227">
        <f>_xll.qlCalendarAdvance(Calendar,X3508,NDays&amp;"D")</f>
        <v>63438</v>
      </c>
      <c r="Z3508" s="228">
        <v>3.334396474043274E-2</v>
      </c>
      <c r="AA3508" s="230">
        <v>3.3298706519465648E-2</v>
      </c>
    </row>
    <row r="3509" spans="23:27" x14ac:dyDescent="0.2">
      <c r="W3509" s="221" t="str">
        <f t="shared" si="63"/>
        <v>1w</v>
      </c>
      <c r="X3509" s="222">
        <f>_xll.qlCalendarAdvance(Calendar,X3508,W3509,"f",FALSE)</f>
        <v>63445</v>
      </c>
      <c r="Y3509" s="227">
        <f>_xll.qlCalendarAdvance(Calendar,X3509,NDays&amp;"D")</f>
        <v>63445</v>
      </c>
      <c r="Z3509" s="228">
        <v>3.3344514394315371E-2</v>
      </c>
      <c r="AA3509" s="230">
        <v>3.3299283573847704E-2</v>
      </c>
    </row>
    <row r="3510" spans="23:27" x14ac:dyDescent="0.2">
      <c r="W3510" s="221" t="str">
        <f t="shared" si="63"/>
        <v>1w</v>
      </c>
      <c r="X3510" s="222">
        <f>_xll.qlCalendarAdvance(Calendar,X3509,W3510,"f",FALSE)</f>
        <v>63452</v>
      </c>
      <c r="Y3510" s="227">
        <f>_xll.qlCalendarAdvance(Calendar,X3510,NDays&amp;"D")</f>
        <v>63452</v>
      </c>
      <c r="Z3510" s="228">
        <v>3.334505008242987E-2</v>
      </c>
      <c r="AA3510" s="230">
        <v>3.329984669945385E-2</v>
      </c>
    </row>
    <row r="3511" spans="23:27" x14ac:dyDescent="0.2">
      <c r="W3511" s="221" t="str">
        <f t="shared" si="63"/>
        <v>1w</v>
      </c>
      <c r="X3511" s="222">
        <f>_xll.qlCalendarAdvance(Calendar,X3510,W3511,"f",FALSE)</f>
        <v>63459</v>
      </c>
      <c r="Y3511" s="227">
        <f>_xll.qlCalendarAdvance(Calendar,X3511,NDays&amp;"D")</f>
        <v>63459</v>
      </c>
      <c r="Z3511" s="228">
        <v>3.3345571804762719E-2</v>
      </c>
      <c r="AA3511" s="230">
        <v>3.3300395895878854E-2</v>
      </c>
    </row>
    <row r="3512" spans="23:27" x14ac:dyDescent="0.2">
      <c r="W3512" s="221" t="str">
        <f t="shared" si="63"/>
        <v>1w</v>
      </c>
      <c r="X3512" s="222">
        <f>_xll.qlCalendarAdvance(Calendar,X3511,W3512,"f",FALSE)</f>
        <v>63466</v>
      </c>
      <c r="Y3512" s="227">
        <f>_xll.qlCalendarAdvance(Calendar,X3512,NDays&amp;"D")</f>
        <v>63466</v>
      </c>
      <c r="Z3512" s="228">
        <v>3.3350750283845258E-2</v>
      </c>
      <c r="AA3512" s="230">
        <v>3.3300931163446901E-2</v>
      </c>
    </row>
    <row r="3513" spans="23:27" x14ac:dyDescent="0.2">
      <c r="W3513" s="221" t="str">
        <f t="shared" si="63"/>
        <v>1w</v>
      </c>
      <c r="X3513" s="222">
        <f>_xll.qlCalendarAdvance(Calendar,X3512,W3513,"f",FALSE)</f>
        <v>63473</v>
      </c>
      <c r="Y3513" s="227">
        <f>_xll.qlCalendarAdvance(Calendar,X3513,NDays&amp;"D")</f>
        <v>63473</v>
      </c>
      <c r="Z3513" s="228">
        <v>3.3351241216312666E-2</v>
      </c>
      <c r="AA3513" s="230">
        <v>3.3301452502320084E-2</v>
      </c>
    </row>
    <row r="3514" spans="23:27" x14ac:dyDescent="0.2">
      <c r="W3514" s="221" t="str">
        <f t="shared" si="63"/>
        <v>1w</v>
      </c>
      <c r="X3514" s="222">
        <f>_xll.qlCalendarAdvance(Calendar,X3513,W3514,"f",FALSE)</f>
        <v>63480</v>
      </c>
      <c r="Y3514" s="227">
        <f>_xll.qlCalendarAdvance(Calendar,X3514,NDays&amp;"D")</f>
        <v>63480</v>
      </c>
      <c r="Z3514" s="228">
        <v>3.3351718179174025E-2</v>
      </c>
      <c r="AA3514" s="230">
        <v>3.3301959912174217E-2</v>
      </c>
    </row>
    <row r="3515" spans="23:27" x14ac:dyDescent="0.2">
      <c r="W3515" s="221" t="str">
        <f t="shared" si="63"/>
        <v>1w</v>
      </c>
      <c r="X3515" s="222">
        <f>_xll.qlCalendarAdvance(Calendar,X3514,W3515,"f",FALSE)</f>
        <v>63487</v>
      </c>
      <c r="Y3515" s="227">
        <f>_xll.qlCalendarAdvance(Calendar,X3515,NDays&amp;"D")</f>
        <v>63487</v>
      </c>
      <c r="Z3515" s="228">
        <v>3.33521811724318E-2</v>
      </c>
      <c r="AA3515" s="230">
        <v>3.3302453393009301E-2</v>
      </c>
    </row>
    <row r="3516" spans="23:27" x14ac:dyDescent="0.2">
      <c r="W3516" s="221" t="str">
        <f t="shared" si="63"/>
        <v>1w</v>
      </c>
      <c r="X3516" s="222">
        <f>_xll.qlCalendarAdvance(Calendar,X3515,W3516,"f",FALSE)</f>
        <v>63494</v>
      </c>
      <c r="Y3516" s="227">
        <f>_xll.qlCalendarAdvance(Calendar,X3516,NDays&amp;"D")</f>
        <v>63494</v>
      </c>
      <c r="Z3516" s="228">
        <v>3.3347970929742884E-2</v>
      </c>
      <c r="AA3516" s="230">
        <v>3.3302932945149522E-2</v>
      </c>
    </row>
    <row r="3517" spans="23:27" x14ac:dyDescent="0.2">
      <c r="W3517" s="221" t="str">
        <f t="shared" si="63"/>
        <v>1w</v>
      </c>
      <c r="X3517" s="222">
        <f>_xll.qlCalendarAdvance(Calendar,X3516,W3517,"f",FALSE)</f>
        <v>63501</v>
      </c>
      <c r="Y3517" s="227">
        <f>_xll.qlCalendarAdvance(Calendar,X3517,NDays&amp;"D")</f>
        <v>63501</v>
      </c>
      <c r="Z3517" s="228">
        <v>3.3348408857388587E-2</v>
      </c>
      <c r="AA3517" s="230">
        <v>3.3303398568432785E-2</v>
      </c>
    </row>
    <row r="3518" spans="23:27" x14ac:dyDescent="0.2">
      <c r="W3518" s="221" t="str">
        <f t="shared" si="63"/>
        <v>1w</v>
      </c>
      <c r="X3518" s="222">
        <f>_xll.qlCalendarAdvance(Calendar,X3517,W3518,"f",FALSE)</f>
        <v>63508</v>
      </c>
      <c r="Y3518" s="227">
        <f>_xll.qlCalendarAdvance(Calendar,X3518,NDays&amp;"D")</f>
        <v>63508</v>
      </c>
      <c r="Z3518" s="228">
        <v>3.3348832819252647E-2</v>
      </c>
      <c r="AA3518" s="230">
        <v>3.3303850262615953E-2</v>
      </c>
    </row>
    <row r="3519" spans="23:27" x14ac:dyDescent="0.2">
      <c r="W3519" s="221" t="str">
        <f t="shared" si="63"/>
        <v>1w</v>
      </c>
      <c r="X3519" s="222">
        <f>_xll.qlCalendarAdvance(Calendar,X3518,W3519,"f",FALSE)</f>
        <v>63515</v>
      </c>
      <c r="Y3519" s="227">
        <f>_xll.qlCalendarAdvance(Calendar,X3519,NDays&amp;"D")</f>
        <v>63515</v>
      </c>
      <c r="Z3519" s="228">
        <v>3.3349242815318855E-2</v>
      </c>
      <c r="AA3519" s="230">
        <v>3.3304288027861118E-2</v>
      </c>
    </row>
    <row r="3520" spans="23:27" x14ac:dyDescent="0.2">
      <c r="W3520" s="221" t="str">
        <f t="shared" si="63"/>
        <v>1w</v>
      </c>
      <c r="X3520" s="222">
        <f>_xll.qlCalendarAdvance(Calendar,X3519,W3520,"f",FALSE)</f>
        <v>63522</v>
      </c>
      <c r="Y3520" s="227">
        <f>_xll.qlCalendarAdvance(Calendar,X3520,NDays&amp;"D")</f>
        <v>63522</v>
      </c>
      <c r="Z3520" s="228">
        <v>3.3349638845603422E-2</v>
      </c>
      <c r="AA3520" s="230">
        <v>3.3304711864330372E-2</v>
      </c>
    </row>
    <row r="3521" spans="23:27" x14ac:dyDescent="0.2">
      <c r="W3521" s="221" t="str">
        <f t="shared" si="63"/>
        <v>1w</v>
      </c>
      <c r="X3521" s="222">
        <f>_xll.qlCalendarAdvance(Calendar,X3520,W3521,"f",FALSE)</f>
        <v>63529</v>
      </c>
      <c r="Y3521" s="227">
        <f>_xll.qlCalendarAdvance(Calendar,X3521,NDays&amp;"D")</f>
        <v>63529</v>
      </c>
      <c r="Z3521" s="228">
        <v>3.335466577019993E-2</v>
      </c>
      <c r="AA3521" s="230">
        <v>3.3305121772023716E-2</v>
      </c>
    </row>
    <row r="3522" spans="23:27" x14ac:dyDescent="0.2">
      <c r="W3522" s="221" t="str">
        <f t="shared" si="63"/>
        <v>1w</v>
      </c>
      <c r="X3522" s="222">
        <f>_xll.qlCalendarAdvance(Calendar,X3521,W3522,"f",FALSE)</f>
        <v>63536</v>
      </c>
      <c r="Y3522" s="227">
        <f>_xll.qlCalendarAdvance(Calendar,X3522,NDays&amp;"D")</f>
        <v>63536</v>
      </c>
      <c r="Z3522" s="228">
        <v>3.3355030976185925E-2</v>
      </c>
      <c r="AA3522" s="230">
        <v>3.3305517750779057E-2</v>
      </c>
    </row>
    <row r="3523" spans="23:27" x14ac:dyDescent="0.2">
      <c r="W3523" s="221" t="str">
        <f t="shared" si="63"/>
        <v>1w</v>
      </c>
      <c r="X3523" s="222">
        <f>_xll.qlCalendarAdvance(Calendar,X3522,W3523,"f",FALSE)</f>
        <v>63543</v>
      </c>
      <c r="Y3523" s="227">
        <f>_xll.qlCalendarAdvance(Calendar,X3523,NDays&amp;"D")</f>
        <v>63543</v>
      </c>
      <c r="Z3523" s="228">
        <v>3.3355382212551132E-2</v>
      </c>
      <c r="AA3523" s="230">
        <v>3.330589980027221E-2</v>
      </c>
    </row>
    <row r="3524" spans="23:27" x14ac:dyDescent="0.2">
      <c r="W3524" s="221" t="str">
        <f t="shared" si="63"/>
        <v>1w</v>
      </c>
      <c r="X3524" s="222">
        <f>_xll.qlCalendarAdvance(Calendar,X3523,W3524,"f",FALSE)</f>
        <v>63550</v>
      </c>
      <c r="Y3524" s="227">
        <f>_xll.qlCalendarAdvance(Calendar,X3524,NDays&amp;"D")</f>
        <v>63550</v>
      </c>
      <c r="Z3524" s="228">
        <v>3.3355719479298017E-2</v>
      </c>
      <c r="AA3524" s="230">
        <v>3.3306267921232591E-2</v>
      </c>
    </row>
    <row r="3525" spans="23:27" x14ac:dyDescent="0.2">
      <c r="W3525" s="221" t="str">
        <f t="shared" si="63"/>
        <v>1w</v>
      </c>
      <c r="X3525" s="222">
        <f>_xll.qlCalendarAdvance(Calendar,X3524,W3525,"f",FALSE)</f>
        <v>63557</v>
      </c>
      <c r="Y3525" s="227">
        <f>_xll.qlCalendarAdvance(Calendar,X3525,NDays&amp;"D")</f>
        <v>63557</v>
      </c>
      <c r="Z3525" s="228">
        <v>3.3356042776431498E-2</v>
      </c>
      <c r="AA3525" s="230">
        <v>3.3306622113336015E-2</v>
      </c>
    </row>
    <row r="3526" spans="23:27" x14ac:dyDescent="0.2">
      <c r="W3526" s="221" t="str">
        <f t="shared" si="63"/>
        <v>1w</v>
      </c>
      <c r="X3526" s="222">
        <f>_xll.qlCalendarAdvance(Calendar,X3525,W3526,"f",FALSE)</f>
        <v>63564</v>
      </c>
      <c r="Y3526" s="227">
        <f>_xll.qlCalendarAdvance(Calendar,X3526,NDays&amp;"D")</f>
        <v>63564</v>
      </c>
      <c r="Z3526" s="228">
        <v>3.335635210393928E-2</v>
      </c>
      <c r="AA3526" s="230">
        <v>3.3306962376258298E-2</v>
      </c>
    </row>
    <row r="3527" spans="23:27" x14ac:dyDescent="0.2">
      <c r="W3527" s="221" t="str">
        <f t="shared" si="63"/>
        <v>1w</v>
      </c>
      <c r="X3527" s="222">
        <f>_xll.qlCalendarAdvance(Calendar,X3526,W3527,"f",FALSE)</f>
        <v>63571</v>
      </c>
      <c r="Y3527" s="227">
        <f>_xll.qlCalendarAdvance(Calendar,X3527,NDays&amp;"D")</f>
        <v>63571</v>
      </c>
      <c r="Z3527" s="228">
        <v>3.3356647461831195E-2</v>
      </c>
      <c r="AA3527" s="230">
        <v>3.3307288710485716E-2</v>
      </c>
    </row>
    <row r="3528" spans="23:27" x14ac:dyDescent="0.2">
      <c r="W3528" s="221" t="str">
        <f t="shared" si="63"/>
        <v>1w</v>
      </c>
      <c r="X3528" s="222">
        <f>_xll.qlCalendarAdvance(Calendar,X3527,W3528,"f",FALSE)</f>
        <v>63578</v>
      </c>
      <c r="Y3528" s="227">
        <f>_xll.qlCalendarAdvance(Calendar,X3528,NDays&amp;"D")</f>
        <v>63578</v>
      </c>
      <c r="Z3528" s="228">
        <v>3.3356928850094961E-2</v>
      </c>
      <c r="AA3528" s="230">
        <v>3.3307601115694085E-2</v>
      </c>
    </row>
    <row r="3529" spans="23:27" x14ac:dyDescent="0.2">
      <c r="W3529" s="221" t="str">
        <f t="shared" si="63"/>
        <v>1w</v>
      </c>
      <c r="X3529" s="222">
        <f>_xll.qlCalendarAdvance(Calendar,X3528,W3529,"f",FALSE)</f>
        <v>63585</v>
      </c>
      <c r="Y3529" s="227">
        <f>_xll.qlCalendarAdvance(Calendar,X3529,NDays&amp;"D")</f>
        <v>63585</v>
      </c>
      <c r="Z3529" s="228">
        <v>3.3349493587782685E-2</v>
      </c>
      <c r="AA3529" s="230">
        <v>3.3307899592126544E-2</v>
      </c>
    </row>
    <row r="3530" spans="23:27" x14ac:dyDescent="0.2">
      <c r="W3530" s="221" t="str">
        <f t="shared" si="63"/>
        <v>1w</v>
      </c>
      <c r="X3530" s="222">
        <f>_xll.qlCalendarAdvance(Calendar,X3529,W3530,"f",FALSE)</f>
        <v>63592</v>
      </c>
      <c r="Y3530" s="227">
        <f>_xll.qlCalendarAdvance(Calendar,X3530,NDays&amp;"D")</f>
        <v>63592</v>
      </c>
      <c r="Z3530" s="228">
        <v>3.3349751908066778E-2</v>
      </c>
      <c r="AA3530" s="230">
        <v>3.3308184139539954E-2</v>
      </c>
    </row>
    <row r="3531" spans="23:27" x14ac:dyDescent="0.2">
      <c r="W3531" s="221" t="str">
        <f t="shared" si="63"/>
        <v>1w</v>
      </c>
      <c r="X3531" s="222">
        <f>_xll.qlCalendarAdvance(Calendar,X3530,W3531,"f",FALSE)</f>
        <v>63599</v>
      </c>
      <c r="Y3531" s="227">
        <f>_xll.qlCalendarAdvance(Calendar,X3531,NDays&amp;"D")</f>
        <v>63599</v>
      </c>
      <c r="Z3531" s="228">
        <v>3.3349996265095556E-2</v>
      </c>
      <c r="AA3531" s="230">
        <v>3.3308454758258499E-2</v>
      </c>
    </row>
    <row r="3532" spans="23:27" x14ac:dyDescent="0.2">
      <c r="W3532" s="221" t="str">
        <f t="shared" si="63"/>
        <v>1w</v>
      </c>
      <c r="X3532" s="222">
        <f>_xll.qlCalendarAdvance(Calendar,X3531,W3532,"f",FALSE)</f>
        <v>63606</v>
      </c>
      <c r="Y3532" s="227">
        <f>_xll.qlCalendarAdvance(Calendar,X3532,NDays&amp;"D")</f>
        <v>63606</v>
      </c>
      <c r="Z3532" s="228">
        <v>3.3350226658869019E-2</v>
      </c>
      <c r="AA3532" s="230">
        <v>3.3308711448039041E-2</v>
      </c>
    </row>
    <row r="3533" spans="23:27" x14ac:dyDescent="0.2">
      <c r="W3533" s="221" t="str">
        <f t="shared" si="63"/>
        <v>1w</v>
      </c>
      <c r="X3533" s="222">
        <f>_xll.qlCalendarAdvance(Calendar,X3532,W3533,"f",FALSE)</f>
        <v>63613</v>
      </c>
      <c r="Y3533" s="227">
        <f>_xll.qlCalendarAdvance(Calendar,X3533,NDays&amp;"D")</f>
        <v>63613</v>
      </c>
      <c r="Z3533" s="228">
        <v>3.3353516351830668E-2</v>
      </c>
      <c r="AA3533" s="230">
        <v>3.3308954208800534E-2</v>
      </c>
    </row>
    <row r="3534" spans="23:27" x14ac:dyDescent="0.2">
      <c r="W3534" s="221" t="str">
        <f t="shared" si="63"/>
        <v>1w</v>
      </c>
      <c r="X3534" s="222">
        <f>_xll.qlCalendarAdvance(Calendar,X3533,W3534,"f",FALSE)</f>
        <v>63620</v>
      </c>
      <c r="Y3534" s="227">
        <f>_xll.qlCalendarAdvance(Calendar,X3534,NDays&amp;"D")</f>
        <v>63620</v>
      </c>
      <c r="Z3534" s="228">
        <v>3.3358323817565053E-2</v>
      </c>
      <c r="AA3534" s="230">
        <v>3.3309183040542978E-2</v>
      </c>
    </row>
    <row r="3535" spans="23:27" x14ac:dyDescent="0.2">
      <c r="W3535" s="221" t="str">
        <f t="shared" si="63"/>
        <v>1w</v>
      </c>
      <c r="X3535" s="222">
        <f>_xll.qlCalendarAdvance(Calendar,X3534,W3535,"f",FALSE)</f>
        <v>63627</v>
      </c>
      <c r="Y3535" s="227">
        <f>_xll.qlCalendarAdvance(Calendar,X3535,NDays&amp;"D")</f>
        <v>63627</v>
      </c>
      <c r="Z3535" s="228">
        <v>3.3360042089470361E-2</v>
      </c>
      <c r="AA3535" s="230">
        <v>3.3309397943590557E-2</v>
      </c>
    </row>
    <row r="3536" spans="23:27" x14ac:dyDescent="0.2">
      <c r="W3536" s="221" t="str">
        <f t="shared" si="63"/>
        <v>1w</v>
      </c>
      <c r="X3536" s="222">
        <f>_xll.qlCalendarAdvance(Calendar,X3535,W3536,"f",FALSE)</f>
        <v>63634</v>
      </c>
      <c r="Y3536" s="227">
        <f>_xll.qlCalendarAdvance(Calendar,X3536,NDays&amp;"D")</f>
        <v>63634</v>
      </c>
      <c r="Z3536" s="228">
        <v>3.3358677049697381E-2</v>
      </c>
      <c r="AA3536" s="230">
        <v>3.3309598917700134E-2</v>
      </c>
    </row>
    <row r="3537" spans="2:27" x14ac:dyDescent="0.2">
      <c r="W3537" s="221" t="str">
        <f t="shared" si="63"/>
        <v>1w</v>
      </c>
      <c r="X3537" s="222">
        <f>_xll.qlCalendarAdvance(Calendar,X3536,W3537,"f",FALSE)</f>
        <v>63641</v>
      </c>
      <c r="Y3537" s="227">
        <f>_xll.qlCalendarAdvance(Calendar,X3537,NDays&amp;"D")</f>
        <v>63641</v>
      </c>
      <c r="Z3537" s="228">
        <v>3.3358832711320098E-2</v>
      </c>
      <c r="AA3537" s="230">
        <v>3.3309785962871707E-2</v>
      </c>
    </row>
    <row r="3538" spans="2:27" x14ac:dyDescent="0.2">
      <c r="W3538" s="221" t="str">
        <f t="shared" si="63"/>
        <v>1w</v>
      </c>
      <c r="X3538" s="222">
        <f>_xll.qlCalendarAdvance(Calendar,X3537,W3538,"f",FALSE)</f>
        <v>63648</v>
      </c>
      <c r="Y3538" s="227">
        <f>_xll.qlCalendarAdvance(Calendar,X3538,NDays&amp;"D")</f>
        <v>63648</v>
      </c>
      <c r="Z3538" s="228">
        <v>3.3354379239279495E-2</v>
      </c>
      <c r="AA3538" s="230">
        <v>3.3309959079105278E-2</v>
      </c>
    </row>
    <row r="3539" spans="2:27" x14ac:dyDescent="0.2">
      <c r="W3539" s="221" t="str">
        <f t="shared" si="63"/>
        <v>1w</v>
      </c>
      <c r="X3539" s="222">
        <f>_xll.qlCalendarAdvance(Calendar,X3538,W3539,"f",FALSE)</f>
        <v>63655</v>
      </c>
      <c r="Y3539" s="227">
        <f>_xll.qlCalendarAdvance(Calendar,X3539,NDays&amp;"D")</f>
        <v>63655</v>
      </c>
      <c r="Z3539" s="228">
        <v>3.335450991935085E-2</v>
      </c>
      <c r="AA3539" s="230">
        <v>3.3310118266643984E-2</v>
      </c>
    </row>
    <row r="3540" spans="2:27" x14ac:dyDescent="0.2">
      <c r="W3540" s="221" t="str">
        <f t="shared" si="63"/>
        <v>1w</v>
      </c>
      <c r="X3540" s="222">
        <f>_xll.qlCalendarAdvance(Calendar,X3539,W3540,"f",FALSE)</f>
        <v>63662</v>
      </c>
      <c r="Y3540" s="227">
        <f>_xll.qlCalendarAdvance(Calendar,X3540,NDays&amp;"D")</f>
        <v>63662</v>
      </c>
      <c r="Z3540" s="228">
        <v>3.3354626633613549E-2</v>
      </c>
      <c r="AA3540" s="230">
        <v>3.3310263525082595E-2</v>
      </c>
    </row>
    <row r="3541" spans="2:27" x14ac:dyDescent="0.2">
      <c r="W3541" s="221" t="str">
        <f t="shared" ref="W3541:W3552" si="64">W3540</f>
        <v>1w</v>
      </c>
      <c r="X3541" s="222">
        <f>_xll.qlCalendarAdvance(Calendar,X3540,W3541,"f",FALSE)</f>
        <v>63669</v>
      </c>
      <c r="Y3541" s="227">
        <f>_xll.qlCalendarAdvance(Calendar,X3541,NDays&amp;"D")</f>
        <v>63669</v>
      </c>
      <c r="Z3541" s="228">
        <v>3.3354729382070292E-2</v>
      </c>
      <c r="AA3541" s="230">
        <v>3.3310394854664249E-2</v>
      </c>
    </row>
    <row r="3542" spans="2:27" x14ac:dyDescent="0.2">
      <c r="W3542" s="221" t="str">
        <f t="shared" si="64"/>
        <v>1w</v>
      </c>
      <c r="X3542" s="222">
        <f>_xll.qlCalendarAdvance(Calendar,X3541,W3542,"f",FALSE)</f>
        <v>63676</v>
      </c>
      <c r="Y3542" s="227">
        <f>_xll.qlCalendarAdvance(Calendar,X3542,NDays&amp;"D")</f>
        <v>63676</v>
      </c>
      <c r="Z3542" s="228">
        <v>3.3359401474959888E-2</v>
      </c>
      <c r="AA3542" s="230">
        <v>3.3310512255632085E-2</v>
      </c>
    </row>
    <row r="3543" spans="2:27" x14ac:dyDescent="0.2">
      <c r="B3543" s="222"/>
      <c r="C3543" s="227"/>
      <c r="D3543" s="228"/>
      <c r="E3543" s="228"/>
      <c r="W3543" s="221" t="str">
        <f t="shared" si="64"/>
        <v>1w</v>
      </c>
      <c r="X3543" s="222">
        <f>_xll.qlCalendarAdvance(Calendar,X3542,W3543,"f",FALSE)</f>
        <v>63683</v>
      </c>
      <c r="Y3543" s="227">
        <f>_xll.qlCalendarAdvance(Calendar,X3543,NDays&amp;"D")</f>
        <v>63683</v>
      </c>
      <c r="Z3543" s="228">
        <v>3.3359473318786699E-2</v>
      </c>
      <c r="AA3543" s="230">
        <v>3.3310615727337733E-2</v>
      </c>
    </row>
    <row r="3544" spans="2:27" x14ac:dyDescent="0.2">
      <c r="B3544" s="222"/>
      <c r="C3544" s="227"/>
      <c r="D3544" s="228"/>
      <c r="E3544" s="228"/>
      <c r="W3544" s="221" t="str">
        <f t="shared" si="64"/>
        <v>1w</v>
      </c>
      <c r="X3544" s="222">
        <f>_xll.qlCalendarAdvance(Calendar,X3543,W3544,"f",FALSE)</f>
        <v>63690</v>
      </c>
      <c r="Y3544" s="227">
        <f>_xll.qlCalendarAdvance(Calendar,X3544,NDays&amp;"D")</f>
        <v>63690</v>
      </c>
      <c r="Z3544" s="228">
        <v>3.3359531192982912E-2</v>
      </c>
      <c r="AA3544" s="230">
        <v>3.3310705270105379E-2</v>
      </c>
    </row>
    <row r="3545" spans="2:27" x14ac:dyDescent="0.2">
      <c r="B3545" s="222"/>
      <c r="C3545" s="227"/>
      <c r="D3545" s="228"/>
      <c r="E3545" s="228"/>
      <c r="W3545" s="221" t="str">
        <f t="shared" si="64"/>
        <v>1w</v>
      </c>
      <c r="X3545" s="222">
        <f>_xll.qlCalendarAdvance(Calendar,X3544,W3545,"f",FALSE)</f>
        <v>63697</v>
      </c>
      <c r="Y3545" s="227">
        <f>_xll.qlCalendarAdvance(Calendar,X3545,NDays&amp;"D")</f>
        <v>63697</v>
      </c>
      <c r="Z3545" s="228">
        <v>3.3359575097543601E-2</v>
      </c>
      <c r="AA3545" s="230">
        <v>3.3310780884097113E-2</v>
      </c>
    </row>
    <row r="3546" spans="2:27" x14ac:dyDescent="0.2">
      <c r="B3546" s="222"/>
      <c r="C3546" s="227"/>
      <c r="D3546" s="228"/>
      <c r="E3546" s="228"/>
      <c r="W3546" s="221" t="str">
        <f t="shared" si="64"/>
        <v>1w</v>
      </c>
      <c r="X3546" s="222">
        <f>_xll.qlCalendarAdvance(Calendar,X3545,W3546,"f",FALSE)</f>
        <v>63704</v>
      </c>
      <c r="Y3546" s="227">
        <f>_xll.qlCalendarAdvance(Calendar,X3546,NDays&amp;"D")</f>
        <v>63704</v>
      </c>
      <c r="Z3546" s="228" t="e">
        <v>#N/A</v>
      </c>
      <c r="AA3546" s="230">
        <v>3.3310842569312937E-2</v>
      </c>
    </row>
    <row r="3547" spans="2:27" x14ac:dyDescent="0.2">
      <c r="B3547" s="222"/>
      <c r="C3547" s="227"/>
      <c r="D3547" s="228"/>
      <c r="E3547" s="228"/>
      <c r="W3547" s="221" t="str">
        <f t="shared" si="64"/>
        <v>1w</v>
      </c>
      <c r="X3547" s="222">
        <f>_xll.qlCalendarAdvance(Calendar,X3546,W3547,"f",FALSE)</f>
        <v>63711</v>
      </c>
      <c r="Y3547" s="227">
        <f>_xll.qlCalendarAdvance(Calendar,X3547,NDays&amp;"D")</f>
        <v>63711</v>
      </c>
      <c r="Z3547" s="228" t="e">
        <v>#N/A</v>
      </c>
      <c r="AA3547" s="230">
        <v>3.3310890325590758E-2</v>
      </c>
    </row>
    <row r="3548" spans="2:27" x14ac:dyDescent="0.2">
      <c r="B3548" s="222"/>
      <c r="C3548" s="227"/>
      <c r="D3548" s="228"/>
      <c r="E3548" s="228"/>
      <c r="W3548" s="221" t="str">
        <f t="shared" si="64"/>
        <v>1w</v>
      </c>
      <c r="X3548" s="222">
        <f>_xll.qlCalendarAdvance(Calendar,X3547,W3548,"f",FALSE)</f>
        <v>63718</v>
      </c>
      <c r="Y3548" s="227">
        <f>_xll.qlCalendarAdvance(Calendar,X3548,NDays&amp;"D")</f>
        <v>63718</v>
      </c>
      <c r="Z3548" s="228" t="e">
        <v>#N/A</v>
      </c>
      <c r="AA3548" s="230">
        <v>3.3310924152768484E-2</v>
      </c>
    </row>
    <row r="3549" spans="2:27" x14ac:dyDescent="0.2">
      <c r="B3549" s="222"/>
      <c r="C3549" s="227"/>
      <c r="D3549" s="228"/>
      <c r="E3549" s="228"/>
      <c r="W3549" s="221" t="str">
        <f t="shared" si="64"/>
        <v>1w</v>
      </c>
      <c r="X3549" s="222">
        <f>_xll.qlCalendarAdvance(Calendar,X3548,W3549,"f",FALSE)</f>
        <v>63725</v>
      </c>
      <c r="Y3549" s="227">
        <f>_xll.qlCalendarAdvance(Calendar,X3549,NDays&amp;"D")</f>
        <v>63725</v>
      </c>
      <c r="Z3549" s="228" t="e">
        <v>#N/A</v>
      </c>
      <c r="AA3549" s="230">
        <v>3.3310944051251345E-2</v>
      </c>
    </row>
    <row r="3550" spans="2:27" x14ac:dyDescent="0.2">
      <c r="B3550" s="222"/>
      <c r="C3550" s="227"/>
      <c r="D3550" s="228"/>
      <c r="E3550" s="228"/>
      <c r="W3550" s="221" t="str">
        <f t="shared" si="64"/>
        <v>1w</v>
      </c>
      <c r="X3550" s="222">
        <f>_xll.qlCalendarAdvance(Calendar,X3549,W3550,"f",FALSE)</f>
        <v>63732</v>
      </c>
      <c r="Y3550" s="227">
        <f>_xll.qlCalendarAdvance(Calendar,X3550,NDays&amp;"D")</f>
        <v>63732</v>
      </c>
      <c r="Z3550" s="228" t="e">
        <v>#N/A</v>
      </c>
      <c r="AA3550" s="230" t="e">
        <v>#N/A</v>
      </c>
    </row>
    <row r="3551" spans="2:27" x14ac:dyDescent="0.2">
      <c r="B3551" s="222"/>
      <c r="C3551" s="227"/>
      <c r="D3551" s="228"/>
      <c r="E3551" s="228"/>
      <c r="W3551" s="221" t="str">
        <f t="shared" si="64"/>
        <v>1w</v>
      </c>
      <c r="X3551" s="222">
        <f>_xll.qlCalendarAdvance(Calendar,X3550,W3551,"f",FALSE)</f>
        <v>63739</v>
      </c>
      <c r="Y3551" s="227">
        <f>_xll.qlCalendarAdvance(Calendar,X3551,NDays&amp;"D")</f>
        <v>63739</v>
      </c>
      <c r="Z3551" s="228" t="e">
        <v>#N/A</v>
      </c>
      <c r="AA3551" s="230" t="e">
        <v>#N/A</v>
      </c>
    </row>
    <row r="3552" spans="2:27" ht="12" thickBot="1" x14ac:dyDescent="0.25">
      <c r="B3552" s="222"/>
      <c r="C3552" s="227"/>
      <c r="D3552" s="228"/>
      <c r="E3552" s="228"/>
      <c r="W3552" s="241" t="str">
        <f t="shared" si="64"/>
        <v>1w</v>
      </c>
      <c r="X3552" s="242">
        <f>_xll.qlCalendarAdvance(Calendar,X3551,W3552,"f",FALSE)</f>
        <v>63746</v>
      </c>
      <c r="Y3552" s="243">
        <f>_xll.qlCalendarAdvance(Calendar,X3552,NDays&amp;"D")</f>
        <v>63746</v>
      </c>
      <c r="Z3552" s="229" t="e">
        <v>#N/A</v>
      </c>
      <c r="AA3552" s="231" t="e">
        <v>#N/A</v>
      </c>
    </row>
    <row r="3553" spans="2:22" x14ac:dyDescent="0.2">
      <c r="B3553" s="222"/>
      <c r="C3553" s="227"/>
      <c r="D3553" s="228"/>
      <c r="E3553" s="228"/>
      <c r="V3553" s="233"/>
    </row>
    <row r="3554" spans="2:22" x14ac:dyDescent="0.2">
      <c r="B3554" s="222"/>
      <c r="C3554" s="227"/>
      <c r="D3554" s="228"/>
      <c r="E3554" s="228"/>
      <c r="V3554" s="233"/>
    </row>
    <row r="3555" spans="2:22" x14ac:dyDescent="0.2">
      <c r="B3555" s="222"/>
      <c r="C3555" s="227"/>
      <c r="D3555" s="228"/>
      <c r="E3555" s="228"/>
      <c r="V3555" s="233"/>
    </row>
    <row r="3556" spans="2:22" x14ac:dyDescent="0.2">
      <c r="B3556" s="222"/>
      <c r="C3556" s="227"/>
      <c r="D3556" s="228"/>
      <c r="E3556" s="228"/>
      <c r="V3556" s="233"/>
    </row>
    <row r="3557" spans="2:22" x14ac:dyDescent="0.2">
      <c r="B3557" s="222"/>
      <c r="C3557" s="227"/>
      <c r="D3557" s="228"/>
      <c r="E3557" s="228"/>
      <c r="V3557" s="233"/>
    </row>
    <row r="3558" spans="2:22" x14ac:dyDescent="0.2">
      <c r="B3558" s="222"/>
      <c r="C3558" s="227"/>
      <c r="D3558" s="228"/>
      <c r="E3558" s="228"/>
      <c r="V3558" s="233"/>
    </row>
    <row r="3559" spans="2:22" x14ac:dyDescent="0.2">
      <c r="B3559" s="222"/>
      <c r="C3559" s="227"/>
      <c r="D3559" s="228"/>
      <c r="E3559" s="228"/>
      <c r="V3559" s="233"/>
    </row>
    <row r="3560" spans="2:22" x14ac:dyDescent="0.2">
      <c r="B3560" s="222"/>
      <c r="C3560" s="227"/>
      <c r="D3560" s="228"/>
      <c r="E3560" s="228"/>
    </row>
  </sheetData>
  <dataConsolidate/>
  <conditionalFormatting sqref="T19:T27">
    <cfRule type="cellIs" dxfId="2" priority="3" operator="equal">
      <formula>0</formula>
    </cfRule>
  </conditionalFormatting>
  <conditionalFormatting sqref="T19">
    <cfRule type="cellIs" dxfId="1" priority="1" operator="equal">
      <formula>0</formula>
    </cfRule>
    <cfRule type="cellIs" dxfId="0" priority="2" operator="equal">
      <formula>0</formula>
    </cfRule>
  </conditionalFormatting>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1]!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9218" r:id="rId5" name="Length1">
              <controlPr defaultSize="0" print="0" autoFill="0" autoPict="0" macro="[1]!grphUpdate" altText="3">
                <anchor moveWithCells="1">
                  <from>
                    <xdr:col>8</xdr:col>
                    <xdr:colOff>466725</xdr:colOff>
                    <xdr:row>25</xdr:row>
                    <xdr:rowOff>123825</xdr:rowOff>
                  </from>
                  <to>
                    <xdr:col>10</xdr:col>
                    <xdr:colOff>190500</xdr:colOff>
                    <xdr:row>27</xdr:row>
                    <xdr:rowOff>104775</xdr:rowOff>
                  </to>
                </anchor>
              </controlPr>
            </control>
          </mc:Choice>
        </mc:AlternateContent>
        <mc:AlternateContent xmlns:mc="http://schemas.openxmlformats.org/markup-compatibility/2006">
          <mc:Choice Requires="x14">
            <control shapeId="9219" r:id="rId6" name="Length3">
              <controlPr defaultSize="0" print="0" autoFill="0" autoPict="0" macro="[1]!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9220" r:id="rId7" name="Length0">
              <controlPr defaultSize="0" print="0" autoFill="0" autoPict="0" macro="[1]!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9221" r:id="rId8" name="Length4">
              <controlPr defaultSize="0" print="0" autoFill="0" autoPict="0" macro="[1]!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9222" r:id="rId9" name="Length5">
              <controlPr defaultSize="0" print="0" autoFill="0" autoPict="0" macro="[1]!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9223" r:id="rId10" name="Length6">
              <controlPr defaultSize="0" print="0" autoFill="0" autoPict="0" macro="[1]!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9224" r:id="rId11" name="Length7">
              <controlPr defaultSize="0" print="0" autoFill="0" autoPict="0" macro="[1]!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General Settings</vt:lpstr>
      <vt:lpstr>RateHelpers</vt:lpstr>
      <vt:lpstr>Selected</vt:lpstr>
      <vt:lpstr>Deposits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SerializationPath</vt:lpstr>
      <vt:lpstr>Serialize</vt:lpstr>
      <vt:lpstr>Swap1MConventions</vt:lpstr>
      <vt:lpstr>SwapFixedFreq</vt:lpstr>
      <vt:lpstr>TraitsID</vt:lpstr>
      <vt:lpstr>Trigger</vt:lpstr>
      <vt:lpstr>YieldCurve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 (IT - Milano)</cp:lastModifiedBy>
  <dcterms:created xsi:type="dcterms:W3CDTF">2014-01-13T15:12:19Z</dcterms:created>
  <dcterms:modified xsi:type="dcterms:W3CDTF">2014-06-27T10:54:15Z</dcterms:modified>
</cp:coreProperties>
</file>
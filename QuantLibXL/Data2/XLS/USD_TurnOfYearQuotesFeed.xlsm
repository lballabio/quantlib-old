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visibility="hidden" xWindow="660" yWindow="840" windowWidth="17535" windowHeight="10530" tabRatio="652" activeTab="1"/>
  </bookViews>
  <sheets>
    <sheet name="General Settings" sheetId="4" r:id="rId1"/>
    <sheet name="Triggers" sheetId="16" r:id="rId2"/>
    <sheet name="1M" sheetId="12" r:id="rId3"/>
    <sheet name="3M" sheetId="13" r:id="rId4"/>
    <sheet name="6M" sheetId="14" r:id="rId5"/>
    <sheet name="1Y" sheetId="22" r:id="rId6"/>
    <sheet name="Optimize1M" sheetId="10" r:id="rId7"/>
    <sheet name="Optimize3M" sheetId="6" r:id="rId8"/>
    <sheet name="Optimize6M" sheetId="9" r:id="rId9"/>
    <sheet name="Interpolated6M" sheetId="18" r:id="rId10"/>
    <sheet name="Optimize1Y" sheetId="23" r:id="rId11"/>
    <sheet name="Interpolated1Y" sheetId="24" r:id="rId12"/>
  </sheets>
  <functionGroups builtInGroupCount="17"/>
  <definedNames>
    <definedName name="_TOY2" localSheetId="2">'1M'!$R$21</definedName>
    <definedName name="_TOY2" localSheetId="5">'1Y'!$R$21</definedName>
    <definedName name="_TOY2" localSheetId="3">'3M'!$R$21</definedName>
    <definedName name="_TOY2" localSheetId="4">'6M'!$R$20</definedName>
    <definedName name="AllTriggers" localSheetId="1">Triggers!$D$5:$D$7</definedName>
    <definedName name="Calendar">'General Settings'!$D$5</definedName>
    <definedName name="Currency">'General Settings'!$D$4</definedName>
    <definedName name="DayCounter">'General Settings'!$D$6</definedName>
    <definedName name="DiscountCurve" localSheetId="2">'1M'!$U$1</definedName>
    <definedName name="DiscountCurve" localSheetId="5">'1Y'!$U$2</definedName>
    <definedName name="DiscountCurve" localSheetId="3">'3M'!$U$2</definedName>
    <definedName name="DiscountCurve" localSheetId="4">'6M'!$U$2</definedName>
    <definedName name="DiscountInterpolationType">'General Settings'!$D$13</definedName>
    <definedName name="EvaluationDate">Triggers!$D$4</definedName>
    <definedName name="ExtFwdInterpolator" localSheetId="5">'1Y'!$U$20</definedName>
    <definedName name="ExtFwdInterpolator" localSheetId="3">'3M'!$U$20</definedName>
    <definedName name="ExtFwdInterpolator" localSheetId="4">'6M'!$U$19</definedName>
    <definedName name="FwdInterpolationType">'General Settings'!$D$12</definedName>
    <definedName name="FwdInterpolator" localSheetId="2">'1M'!$U$21</definedName>
    <definedName name="FwdInterpolator" localSheetId="5">'1Y'!$U$21</definedName>
    <definedName name="FwdInterpolator" localSheetId="3">'3M'!$U$21</definedName>
    <definedName name="FwdInterpolator" localSheetId="4">'6M'!$U$20</definedName>
    <definedName name="GENERAL_SETTINGS">'General Settings'!$B$2</definedName>
    <definedName name="IndexTenor" localSheetId="2">'1M'!$A$21</definedName>
    <definedName name="IndexTenor" localSheetId="5">'1Y'!$A$21</definedName>
    <definedName name="IndexTenor" localSheetId="3">'3M'!$A$21</definedName>
    <definedName name="IndexTenor" localSheetId="4">'6M'!$A$20</definedName>
    <definedName name="LastDayInNextYear">'General Settings'!$D$11</definedName>
    <definedName name="LastDayInYear">'General Settings'!$D$10</definedName>
    <definedName name="LastUpdate">'General Settings'!$E$16</definedName>
    <definedName name="LiveDataFeed">'General Settings'!$E$19</definedName>
    <definedName name="Months" localSheetId="5">'1Y'!$A$20</definedName>
    <definedName name="Months" localSheetId="3">'3M'!$A$20</definedName>
    <definedName name="Months" localSheetId="4">'6M'!$A$19</definedName>
    <definedName name="Optim" localSheetId="2">'1M'!$AB$1</definedName>
    <definedName name="Optim" localSheetId="5">'1Y'!$AB$1</definedName>
    <definedName name="Optim" localSheetId="3">'3M'!$AB$1</definedName>
    <definedName name="Optim" localSheetId="4">'6M'!$AB$1</definedName>
    <definedName name="OptNames">'6M'!$AA$36:$AA$57</definedName>
    <definedName name="OptValues">'6M'!$AB$36:$AB$56</definedName>
    <definedName name="Quote" localSheetId="11">Interpolated1Y!$O$5:$O$48</definedName>
    <definedName name="Quote" localSheetId="9">Interpolated6M!$O$5:$O$17</definedName>
    <definedName name="Quote" localSheetId="6">Optimize1M!$H$5:$H$11</definedName>
    <definedName name="Quote" localSheetId="10">Optimize1Y!$H$5:$H$22</definedName>
    <definedName name="Quote" localSheetId="7">Optimize3M!$H$5:$H$13</definedName>
    <definedName name="Quote" localSheetId="8">Optimize6M!$H$5:$H$16</definedName>
    <definedName name="QuoteLive" localSheetId="11">Interpolated1Y!$I$5:$I$48</definedName>
    <definedName name="QuoteLive" localSheetId="9">Interpolated6M!$I$5:$I$17</definedName>
    <definedName name="QuoteLive" localSheetId="6">Optimize1M!$C$5:$C$11</definedName>
    <definedName name="QuoteLive" localSheetId="10">Optimize1Y!$C$5:$C$22</definedName>
    <definedName name="QuoteLive" localSheetId="7">Optimize3M!$C$5:$C$13</definedName>
    <definedName name="QuoteLive" localSheetId="8">Optimize6M!$C$5:$C$16</definedName>
    <definedName name="QuoteStatic" localSheetId="11">Interpolated1Y!$L$5:$L$48</definedName>
    <definedName name="QuoteStatic" localSheetId="9">Interpolated6M!$L$5:$L$17</definedName>
    <definedName name="QuoteStatic" localSheetId="6">Optimize1M!$E$5:$E$11</definedName>
    <definedName name="QuoteStatic" localSheetId="10">Optimize1Y!$E$5:$E$22</definedName>
    <definedName name="QuoteStatic" localSheetId="7">Optimize3M!$E$5:$E$13</definedName>
    <definedName name="QuoteStatic" localSheetId="8">Optimize6M!$E$5:$E$16</definedName>
    <definedName name="RateHelperPrefix" localSheetId="2">'1M'!$A$22</definedName>
    <definedName name="RateHelperPrefix" localSheetId="5">'1Y'!$A$22</definedName>
    <definedName name="RateHelperPrefix" localSheetId="3">'3M'!$A$22</definedName>
    <definedName name="RateHelperPrefix" localSheetId="4">'6M'!$A$21</definedName>
    <definedName name="SettlementDate">'General Settings'!$D$9</definedName>
    <definedName name="SheetTrigger" localSheetId="2">'1M'!$A$23</definedName>
    <definedName name="SheetTrigger" localSheetId="5">'1Y'!$A$23</definedName>
    <definedName name="SheetTrigger" localSheetId="3">'3M'!$A$23</definedName>
    <definedName name="SheetTrigger" localSheetId="4">'6M'!$A$22</definedName>
    <definedName name="solver_cvg" localSheetId="6" hidden="1">0.0001</definedName>
    <definedName name="solver_cvg" localSheetId="7" hidden="1">0.0001</definedName>
    <definedName name="solver_drv" localSheetId="6" hidden="1">1</definedName>
    <definedName name="solver_drv" localSheetId="7" hidden="1">1</definedName>
    <definedName name="solver_est" localSheetId="6" hidden="1">1</definedName>
    <definedName name="solver_est" localSheetId="7" hidden="1">1</definedName>
    <definedName name="solver_itr" localSheetId="6" hidden="1">100</definedName>
    <definedName name="solver_itr" localSheetId="7" hidden="1">100</definedName>
    <definedName name="solver_lhs1" localSheetId="6" hidden="1">Optimize1M!#REF!</definedName>
    <definedName name="solver_lhs1" localSheetId="7" hidden="1">Optimize3M!#REF!</definedName>
    <definedName name="solver_lhs2" localSheetId="6" hidden="1">Optimize1M!#REF!</definedName>
    <definedName name="solver_lhs2" localSheetId="7" hidden="1">Optimize3M!#REF!</definedName>
    <definedName name="solver_lhs3" localSheetId="6" hidden="1">Optimize1M!#REF!</definedName>
    <definedName name="solver_lhs3" localSheetId="7" hidden="1">Optimize3M!#REF!</definedName>
    <definedName name="solver_lhs4" localSheetId="6" hidden="1">Optimize1M!#REF!</definedName>
    <definedName name="solver_lhs4" localSheetId="7" hidden="1">Optimize3M!#REF!</definedName>
    <definedName name="solver_lin" localSheetId="6" hidden="1">2</definedName>
    <definedName name="solver_lin" localSheetId="7" hidden="1">2</definedName>
    <definedName name="solver_neg" localSheetId="6" hidden="1">2</definedName>
    <definedName name="solver_neg" localSheetId="7" hidden="1">2</definedName>
    <definedName name="solver_num" localSheetId="6" hidden="1">0</definedName>
    <definedName name="solver_num" localSheetId="7" hidden="1">0</definedName>
    <definedName name="solver_nwt" localSheetId="6" hidden="1">1</definedName>
    <definedName name="solver_nwt" localSheetId="7" hidden="1">1</definedName>
    <definedName name="solver_pre" localSheetId="6" hidden="1">0.000001</definedName>
    <definedName name="solver_pre" localSheetId="7" hidden="1">0.000001</definedName>
    <definedName name="solver_rel1" localSheetId="6" hidden="1">1</definedName>
    <definedName name="solver_rel1" localSheetId="7" hidden="1">1</definedName>
    <definedName name="solver_rel2" localSheetId="6" hidden="1">3</definedName>
    <definedName name="solver_rel2" localSheetId="7" hidden="1">3</definedName>
    <definedName name="solver_rel3" localSheetId="6" hidden="1">1</definedName>
    <definedName name="solver_rel3" localSheetId="7" hidden="1">1</definedName>
    <definedName name="solver_rel4" localSheetId="6" hidden="1">3</definedName>
    <definedName name="solver_rel4" localSheetId="7" hidden="1">3</definedName>
    <definedName name="solver_rhs1" localSheetId="6" hidden="1">0.2</definedName>
    <definedName name="solver_rhs1" localSheetId="7" hidden="1">0.2</definedName>
    <definedName name="solver_rhs2" localSheetId="6" hidden="1">0.0005</definedName>
    <definedName name="solver_rhs2" localSheetId="7" hidden="1">0.0005</definedName>
    <definedName name="solver_rhs3" localSheetId="6" hidden="1">0.2</definedName>
    <definedName name="solver_rhs3" localSheetId="7" hidden="1">0.2</definedName>
    <definedName name="solver_rhs4" localSheetId="6" hidden="1">0.0005</definedName>
    <definedName name="solver_rhs4" localSheetId="7" hidden="1">0.0005</definedName>
    <definedName name="solver_scl" localSheetId="6" hidden="1">2</definedName>
    <definedName name="solver_scl" localSheetId="7" hidden="1">2</definedName>
    <definedName name="solver_sho" localSheetId="6" hidden="1">2</definedName>
    <definedName name="solver_sho" localSheetId="7" hidden="1">2</definedName>
    <definedName name="solver_tim" localSheetId="6" hidden="1">100</definedName>
    <definedName name="solver_tim" localSheetId="7" hidden="1">100</definedName>
    <definedName name="solver_tol" localSheetId="6" hidden="1">0.05</definedName>
    <definedName name="solver_tol" localSheetId="7" hidden="1">0.05</definedName>
    <definedName name="solver_typ" localSheetId="6" hidden="1">1</definedName>
    <definedName name="solver_typ" localSheetId="7" hidden="1">1</definedName>
    <definedName name="solver_val" localSheetId="6" hidden="1">0</definedName>
    <definedName name="solver_val" localSheetId="7" hidden="1">0</definedName>
    <definedName name="TOY" localSheetId="2">'1M'!$R$20</definedName>
    <definedName name="TOY" localSheetId="5">'1Y'!$R$20</definedName>
    <definedName name="TOY" localSheetId="3">'3M'!$R$20</definedName>
    <definedName name="TOY" localSheetId="4">'6M'!$R$19</definedName>
    <definedName name="TriggerCounter">'General Settings'!$D$7</definedName>
    <definedName name="TriggerTOY1M" localSheetId="1">Triggers!$D$5</definedName>
    <definedName name="TriggerTOY1MFUT" localSheetId="1">Triggers!#REF!</definedName>
    <definedName name="TriggerTOY3M" localSheetId="1">Triggers!$D$6</definedName>
    <definedName name="TriggerTOY6M" localSheetId="1">Triggers!$D$7</definedName>
    <definedName name="UseSecondSet" localSheetId="2">'1M'!$O$2</definedName>
    <definedName name="UseSecondSet" localSheetId="5">'1Y'!$O$2</definedName>
    <definedName name="UseSecondSet" localSheetId="3">'3M'!$O$2</definedName>
    <definedName name="UseSecondSet" localSheetId="4">'6M'!$O$2</definedName>
  </definedNames>
  <calcPr calcId="145621"/>
</workbook>
</file>

<file path=xl/calcChain.xml><?xml version="1.0" encoding="utf-8"?>
<calcChain xmlns="http://schemas.openxmlformats.org/spreadsheetml/2006/main">
  <c r="O5" i="24" l="1" a="1"/>
  <c r="H5" i="23" a="1"/>
  <c r="H5" i="23"/>
  <c r="H6" i="23"/>
  <c r="O5" i="18" a="1"/>
  <c r="H5" i="9" a="1"/>
  <c r="H5" i="6" a="1"/>
  <c r="H5" i="10" a="1"/>
  <c r="D4" i="16" l="1"/>
  <c r="B25" i="14" l="1"/>
  <c r="B26" i="14"/>
  <c r="B27" i="14"/>
  <c r="B28" i="14"/>
  <c r="B29" i="14"/>
  <c r="B30" i="14"/>
  <c r="B31" i="14"/>
  <c r="B32" i="14"/>
  <c r="B33" i="14"/>
  <c r="B24" i="14"/>
  <c r="B9" i="14"/>
  <c r="B8" i="14"/>
  <c r="B7" i="14"/>
  <c r="B6" i="14"/>
  <c r="B9" i="13"/>
  <c r="B10" i="13"/>
  <c r="B8" i="13"/>
  <c r="B35" i="13"/>
  <c r="B36" i="13"/>
  <c r="B37" i="13"/>
  <c r="B38" i="13"/>
  <c r="B39" i="13"/>
  <c r="B40" i="13"/>
  <c r="B41" i="13"/>
  <c r="B34" i="13"/>
  <c r="B26" i="12"/>
  <c r="B25" i="12"/>
  <c r="B27" i="12"/>
  <c r="B28" i="12"/>
  <c r="B29" i="12"/>
  <c r="B30" i="12"/>
  <c r="B31" i="12"/>
  <c r="B32" i="12"/>
  <c r="B33" i="12"/>
  <c r="B34" i="12"/>
  <c r="B35" i="12"/>
  <c r="B36" i="12"/>
  <c r="B37" i="12"/>
  <c r="D74" i="22"/>
  <c r="D73" i="22"/>
  <c r="D72" i="22"/>
  <c r="D71" i="22"/>
  <c r="D70" i="22"/>
  <c r="D69" i="22"/>
  <c r="D68" i="22"/>
  <c r="D67" i="22"/>
  <c r="D66" i="22"/>
  <c r="D65" i="22"/>
  <c r="D64" i="22"/>
  <c r="D63" i="22"/>
  <c r="D62" i="22"/>
  <c r="D61" i="22"/>
  <c r="D60" i="22"/>
  <c r="D59" i="22"/>
  <c r="D58" i="22"/>
  <c r="D57" i="22"/>
  <c r="D56" i="22"/>
  <c r="D55" i="22"/>
  <c r="D54" i="22"/>
  <c r="D53" i="22"/>
  <c r="D52" i="22"/>
  <c r="D51" i="22"/>
  <c r="D50" i="22"/>
  <c r="D49" i="22"/>
  <c r="D48" i="22"/>
  <c r="D47" i="22"/>
  <c r="D46" i="22"/>
  <c r="D45" i="22"/>
  <c r="D44" i="22"/>
  <c r="D43" i="22"/>
  <c r="D42" i="22"/>
  <c r="D41" i="22"/>
  <c r="D40" i="22"/>
  <c r="D39" i="22"/>
  <c r="D38" i="22"/>
  <c r="D37" i="22"/>
  <c r="D36" i="22"/>
  <c r="D35" i="22"/>
  <c r="D34" i="22"/>
  <c r="D33" i="22"/>
  <c r="D32" i="22"/>
  <c r="D31" i="22"/>
  <c r="D39" i="14"/>
  <c r="D40" i="14"/>
  <c r="D41" i="14"/>
  <c r="D42" i="14"/>
  <c r="D43" i="14"/>
  <c r="D44" i="14"/>
  <c r="B48" i="24"/>
  <c r="N48" i="24"/>
  <c r="B47" i="24"/>
  <c r="N47" i="24"/>
  <c r="B46" i="24"/>
  <c r="N46" i="24"/>
  <c r="B45" i="24"/>
  <c r="N45" i="24"/>
  <c r="B44" i="24"/>
  <c r="N44" i="24"/>
  <c r="B43" i="24"/>
  <c r="N43" i="24"/>
  <c r="B42" i="24"/>
  <c r="N42" i="24"/>
  <c r="B41" i="24"/>
  <c r="N41" i="24"/>
  <c r="B40" i="24"/>
  <c r="N40" i="24"/>
  <c r="B39" i="24"/>
  <c r="N39" i="24"/>
  <c r="B38" i="24"/>
  <c r="N38" i="24"/>
  <c r="B37" i="24"/>
  <c r="N37" i="24"/>
  <c r="B36" i="24"/>
  <c r="N36" i="24"/>
  <c r="B35" i="24"/>
  <c r="N35" i="24"/>
  <c r="B34" i="24"/>
  <c r="N34" i="24"/>
  <c r="B33" i="24"/>
  <c r="N33" i="24"/>
  <c r="B32" i="24"/>
  <c r="N32" i="24"/>
  <c r="B31" i="24"/>
  <c r="N31" i="24"/>
  <c r="B30" i="24"/>
  <c r="N30" i="24"/>
  <c r="B29" i="24"/>
  <c r="N29" i="24"/>
  <c r="B28" i="24"/>
  <c r="N28" i="24"/>
  <c r="B27" i="24"/>
  <c r="N27" i="24"/>
  <c r="B26" i="24"/>
  <c r="N26" i="24"/>
  <c r="B25" i="24"/>
  <c r="N25" i="24"/>
  <c r="B24" i="24"/>
  <c r="N24" i="24"/>
  <c r="B23" i="24"/>
  <c r="N23" i="24"/>
  <c r="B22" i="24"/>
  <c r="N22" i="24"/>
  <c r="B21" i="24"/>
  <c r="N21" i="24"/>
  <c r="B20" i="24"/>
  <c r="N20" i="24"/>
  <c r="B19" i="24"/>
  <c r="N19" i="24"/>
  <c r="B18" i="24"/>
  <c r="N18" i="24"/>
  <c r="B17" i="24"/>
  <c r="N17" i="24"/>
  <c r="B16" i="24"/>
  <c r="N16" i="24"/>
  <c r="B15" i="24"/>
  <c r="N15" i="24"/>
  <c r="B14" i="24"/>
  <c r="N14" i="24"/>
  <c r="B13" i="24"/>
  <c r="N13" i="24"/>
  <c r="B12" i="24"/>
  <c r="N12" i="24"/>
  <c r="B11" i="24"/>
  <c r="N11" i="24"/>
  <c r="B10" i="24"/>
  <c r="N10" i="24"/>
  <c r="B9" i="24"/>
  <c r="N9" i="24"/>
  <c r="B8" i="24"/>
  <c r="N8" i="24"/>
  <c r="B7" i="24"/>
  <c r="N7" i="24"/>
  <c r="B6" i="24"/>
  <c r="N6" i="24"/>
  <c r="B17" i="18"/>
  <c r="N17" i="18"/>
  <c r="B16" i="18"/>
  <c r="B15" i="18"/>
  <c r="B14" i="18"/>
  <c r="B13" i="18"/>
  <c r="N13" i="18"/>
  <c r="B12" i="18"/>
  <c r="N12" i="18"/>
  <c r="B11" i="18"/>
  <c r="N11" i="18"/>
  <c r="B10" i="18"/>
  <c r="N10" i="18"/>
  <c r="B9" i="18"/>
  <c r="B8" i="18"/>
  <c r="B7" i="18"/>
  <c r="B6" i="18"/>
  <c r="B5" i="18"/>
  <c r="N5" i="18"/>
  <c r="B5" i="24"/>
  <c r="N5" i="24"/>
  <c r="G22" i="23"/>
  <c r="G21" i="23"/>
  <c r="G20" i="23"/>
  <c r="G19" i="23"/>
  <c r="G18" i="23"/>
  <c r="G17" i="23"/>
  <c r="G16" i="23"/>
  <c r="G7" i="23"/>
  <c r="G8" i="23"/>
  <c r="G9" i="23"/>
  <c r="G10" i="23"/>
  <c r="G11" i="23"/>
  <c r="G12" i="23"/>
  <c r="G13" i="23"/>
  <c r="G14" i="23"/>
  <c r="G15" i="23"/>
  <c r="B25" i="22"/>
  <c r="B26" i="22"/>
  <c r="B27" i="22"/>
  <c r="D28" i="22"/>
  <c r="D29" i="22"/>
  <c r="D30" i="22"/>
  <c r="B36" i="22"/>
  <c r="B37" i="22"/>
  <c r="B38" i="22"/>
  <c r="B39" i="22"/>
  <c r="B40" i="22"/>
  <c r="B41" i="22"/>
  <c r="B42" i="22"/>
  <c r="B43" i="22"/>
  <c r="B44" i="22"/>
  <c r="B45" i="22"/>
  <c r="B46" i="22"/>
  <c r="B47" i="22"/>
  <c r="B48" i="22"/>
  <c r="B49" i="22"/>
  <c r="B50" i="22"/>
  <c r="B51" i="22"/>
  <c r="B52" i="22"/>
  <c r="B53" i="22"/>
  <c r="B54" i="22"/>
  <c r="B55" i="22"/>
  <c r="B56" i="22"/>
  <c r="B57" i="22"/>
  <c r="B58" i="22"/>
  <c r="B59" i="22"/>
  <c r="B60" i="22"/>
  <c r="B61" i="22"/>
  <c r="B62" i="22"/>
  <c r="B63" i="22"/>
  <c r="B64" i="22"/>
  <c r="B65" i="22"/>
  <c r="B66" i="22"/>
  <c r="B67" i="22"/>
  <c r="B68" i="22"/>
  <c r="B69" i="22"/>
  <c r="B70" i="22"/>
  <c r="B71" i="22"/>
  <c r="B72" i="22"/>
  <c r="B73" i="22"/>
  <c r="B74" i="22"/>
  <c r="B35" i="22"/>
  <c r="B34" i="22"/>
  <c r="B33" i="22"/>
  <c r="B32" i="22"/>
  <c r="B31" i="22"/>
  <c r="B9" i="22"/>
  <c r="B10" i="22"/>
  <c r="B8" i="22"/>
  <c r="B28" i="22"/>
  <c r="B29" i="22"/>
  <c r="B30" i="22"/>
  <c r="BQ23" i="12"/>
  <c r="BQ24" i="12"/>
  <c r="BQ25" i="12"/>
  <c r="BQ26" i="12"/>
  <c r="BQ27" i="12"/>
  <c r="Z36" i="12"/>
  <c r="Z37" i="12"/>
  <c r="Z38" i="12"/>
  <c r="Z39" i="12"/>
  <c r="Z40" i="12"/>
  <c r="Z41" i="12"/>
  <c r="Z42" i="12"/>
  <c r="Z43" i="12"/>
  <c r="Z44" i="12"/>
  <c r="Z45" i="12"/>
  <c r="Z46" i="12"/>
  <c r="Z47" i="12"/>
  <c r="D42" i="13"/>
  <c r="D43" i="13"/>
  <c r="D44" i="13"/>
  <c r="D45" i="13"/>
  <c r="D46" i="13"/>
  <c r="D47" i="13"/>
  <c r="D48" i="13"/>
  <c r="D49" i="13"/>
  <c r="D50" i="13"/>
  <c r="D51" i="13"/>
  <c r="D52" i="13"/>
  <c r="DC23" i="13"/>
  <c r="DC24" i="13"/>
  <c r="DC25" i="13"/>
  <c r="DC26" i="13"/>
  <c r="DC27" i="13"/>
  <c r="DC28" i="13"/>
  <c r="DC29" i="13"/>
  <c r="B42" i="13"/>
  <c r="B43" i="13"/>
  <c r="B44" i="13"/>
  <c r="B45" i="13"/>
  <c r="B46" i="13"/>
  <c r="B47" i="13"/>
  <c r="B48" i="13"/>
  <c r="B49" i="13"/>
  <c r="B50" i="13"/>
  <c r="B51" i="13"/>
  <c r="B52" i="13"/>
  <c r="B39" i="14"/>
  <c r="AB40" i="14"/>
  <c r="B40" i="14"/>
  <c r="AB41" i="14"/>
  <c r="B41" i="14"/>
  <c r="B42" i="14"/>
  <c r="B43" i="14"/>
  <c r="B44" i="14"/>
  <c r="AB47" i="14"/>
  <c r="AB50" i="14"/>
  <c r="AB51" i="14"/>
  <c r="AB52" i="14"/>
  <c r="AB55" i="14"/>
  <c r="G5" i="10"/>
  <c r="G6" i="10"/>
  <c r="G7" i="10"/>
  <c r="G8" i="10"/>
  <c r="G9" i="10"/>
  <c r="G10" i="10"/>
  <c r="G11" i="10"/>
  <c r="G5" i="6"/>
  <c r="G6" i="6"/>
  <c r="G7" i="6"/>
  <c r="G8" i="6"/>
  <c r="G9" i="6"/>
  <c r="G10" i="6"/>
  <c r="G11" i="6"/>
  <c r="G12" i="6"/>
  <c r="G13" i="6"/>
  <c r="G5" i="9"/>
  <c r="G6" i="9"/>
  <c r="G7" i="9"/>
  <c r="G8" i="9"/>
  <c r="G9" i="9"/>
  <c r="G10" i="9"/>
  <c r="G11" i="9"/>
  <c r="G12" i="9"/>
  <c r="G13" i="9"/>
  <c r="G14" i="9"/>
  <c r="G15" i="9"/>
  <c r="G16" i="9"/>
  <c r="N6" i="18"/>
  <c r="N7" i="18"/>
  <c r="N8" i="18"/>
  <c r="N9" i="18"/>
  <c r="N14" i="18"/>
  <c r="N15" i="18"/>
  <c r="N16" i="18"/>
  <c r="AU32" i="22"/>
  <c r="AU33" i="22"/>
  <c r="AU34" i="22"/>
  <c r="AU35" i="22"/>
  <c r="AU36" i="22"/>
  <c r="AU37" i="22"/>
  <c r="AU38" i="22"/>
  <c r="AU31" i="22"/>
  <c r="AU30" i="22"/>
  <c r="AU29" i="22"/>
  <c r="AU28" i="22"/>
  <c r="AU27" i="22"/>
  <c r="AU26" i="22"/>
  <c r="AU25" i="22"/>
  <c r="AU24" i="22"/>
  <c r="AU23" i="22"/>
  <c r="BO22" i="14"/>
  <c r="BO23" i="14"/>
  <c r="BO24" i="14"/>
  <c r="BO25" i="14"/>
  <c r="BO26" i="14"/>
  <c r="BO27" i="14"/>
  <c r="BO28" i="14"/>
  <c r="BO29" i="14"/>
  <c r="BO30" i="14"/>
  <c r="BO31" i="14"/>
  <c r="A21" i="22"/>
  <c r="A21" i="13"/>
  <c r="A21" i="12"/>
  <c r="A20" i="14"/>
  <c r="B1" i="16"/>
  <c r="B22" i="14"/>
  <c r="C22" i="14"/>
  <c r="A23" i="14"/>
  <c r="C23" i="14"/>
  <c r="O22" i="22"/>
  <c r="A21" i="14"/>
  <c r="A24" i="12"/>
  <c r="C24" i="12"/>
  <c r="B23" i="12"/>
  <c r="C23" i="12"/>
  <c r="A22" i="12"/>
  <c r="B23" i="13"/>
  <c r="C23" i="13"/>
  <c r="A22" i="13"/>
  <c r="A24" i="13"/>
  <c r="C24" i="13"/>
  <c r="B23" i="22"/>
  <c r="C23" i="22"/>
  <c r="A24" i="22"/>
  <c r="C24" i="22"/>
  <c r="A22" i="22"/>
  <c r="C26" i="22"/>
  <c r="C25" i="22"/>
  <c r="C10" i="22"/>
  <c r="C27" i="22"/>
  <c r="C9" i="22"/>
  <c r="C8" i="22"/>
  <c r="C36" i="12"/>
  <c r="C30" i="12"/>
  <c r="C29" i="12"/>
  <c r="C33" i="12"/>
  <c r="C34" i="12"/>
  <c r="C26" i="12"/>
  <c r="C37" i="12"/>
  <c r="C31" i="12"/>
  <c r="C32" i="12"/>
  <c r="C28" i="12"/>
  <c r="C25" i="12"/>
  <c r="C35" i="12"/>
  <c r="C27" i="12"/>
  <c r="C31" i="14"/>
  <c r="C32" i="14"/>
  <c r="C24" i="14"/>
  <c r="C25" i="14"/>
  <c r="C26" i="14"/>
  <c r="C29" i="14"/>
  <c r="C33" i="14"/>
  <c r="C27" i="14"/>
  <c r="C9" i="14"/>
  <c r="C28" i="14"/>
  <c r="C6" i="14"/>
  <c r="C7" i="14"/>
  <c r="C8" i="14"/>
  <c r="C30" i="14"/>
  <c r="C34" i="13"/>
  <c r="C38" i="13"/>
  <c r="C39" i="13"/>
  <c r="C35" i="13"/>
  <c r="C37" i="13"/>
  <c r="C10" i="13"/>
  <c r="C9" i="13"/>
  <c r="C36" i="13"/>
  <c r="C8" i="13"/>
  <c r="C41" i="13"/>
  <c r="C40" i="13"/>
  <c r="A23" i="22"/>
  <c r="A23" i="12"/>
  <c r="A23" i="13"/>
  <c r="A22" i="14"/>
  <c r="E25" i="14"/>
  <c r="D33" i="14"/>
  <c r="E39" i="13"/>
  <c r="E29" i="12"/>
  <c r="D38" i="13"/>
  <c r="E26" i="12"/>
  <c r="D27" i="12"/>
  <c r="D35" i="12"/>
  <c r="E34" i="12"/>
  <c r="E38" i="13"/>
  <c r="D32" i="12"/>
  <c r="E22" i="14"/>
  <c r="E36" i="12"/>
  <c r="D41" i="13"/>
  <c r="D30" i="12"/>
  <c r="E30" i="14"/>
  <c r="E27" i="14"/>
  <c r="D31" i="12"/>
  <c r="D32" i="14"/>
  <c r="E32" i="14"/>
  <c r="E31" i="12"/>
  <c r="D24" i="14"/>
  <c r="D27" i="14"/>
  <c r="D25" i="14"/>
  <c r="E24" i="14"/>
  <c r="E27" i="12"/>
  <c r="D34" i="12"/>
  <c r="D37" i="13"/>
  <c r="D37" i="12"/>
  <c r="D28" i="14"/>
  <c r="D36" i="12"/>
  <c r="D26" i="22"/>
  <c r="D23" i="22"/>
  <c r="D9" i="4"/>
  <c r="AC28" i="13"/>
  <c r="C45" i="24"/>
  <c r="E40" i="13"/>
  <c r="D23" i="12"/>
  <c r="AC36" i="22"/>
  <c r="AG36" i="22" s="1"/>
  <c r="C14" i="18"/>
  <c r="D30" i="14"/>
  <c r="E25" i="22"/>
  <c r="D26" i="12"/>
  <c r="H34" i="22"/>
  <c r="E34" i="22" s="1"/>
  <c r="E26" i="22"/>
  <c r="D29" i="14"/>
  <c r="AC25" i="22"/>
  <c r="D33" i="12"/>
  <c r="C19" i="24"/>
  <c r="AC27" i="14"/>
  <c r="H57" i="22"/>
  <c r="H44" i="14"/>
  <c r="AC24" i="14"/>
  <c r="AG24" i="14" s="1"/>
  <c r="AC29" i="14"/>
  <c r="AG29" i="14" s="1"/>
  <c r="C8" i="24"/>
  <c r="AC22" i="14"/>
  <c r="C9" i="18"/>
  <c r="AH24" i="14"/>
  <c r="E32" i="12"/>
  <c r="D40" i="13"/>
  <c r="H48" i="13"/>
  <c r="AG28" i="13"/>
  <c r="C26" i="24"/>
  <c r="C16" i="24"/>
  <c r="E29" i="14"/>
  <c r="AC23" i="14"/>
  <c r="H74" i="22"/>
  <c r="H28" i="22"/>
  <c r="H49" i="13"/>
  <c r="AA46" i="12"/>
  <c r="H62" i="22"/>
  <c r="C41" i="24"/>
  <c r="E28" i="22"/>
  <c r="D27" i="22"/>
  <c r="E23" i="13"/>
  <c r="AA24" i="12"/>
  <c r="D39" i="13"/>
  <c r="E37" i="13"/>
  <c r="AA26" i="12"/>
  <c r="E28" i="14"/>
  <c r="H70" i="22"/>
  <c r="E27" i="22"/>
  <c r="H68" i="22"/>
  <c r="AA37" i="12"/>
  <c r="H61" i="22"/>
  <c r="AB26" i="12"/>
  <c r="C18" i="24"/>
  <c r="C8" i="18"/>
  <c r="E25" i="12"/>
  <c r="D29" i="12"/>
  <c r="AA43" i="12"/>
  <c r="E23" i="12"/>
  <c r="C32" i="24"/>
  <c r="AC27" i="13"/>
  <c r="H54" i="22"/>
  <c r="D34" i="13"/>
  <c r="H47" i="13"/>
  <c r="C29" i="24"/>
  <c r="H47" i="22"/>
  <c r="H69" i="22"/>
  <c r="E69" i="22" s="1"/>
  <c r="AC26" i="13"/>
  <c r="AC31" i="22"/>
  <c r="H50" i="13"/>
  <c r="AC28" i="14"/>
  <c r="D35" i="13"/>
  <c r="C5" i="24"/>
  <c r="H39" i="22"/>
  <c r="D23" i="13"/>
  <c r="E33" i="14"/>
  <c r="AD28" i="13"/>
  <c r="C22" i="24"/>
  <c r="E33" i="12"/>
  <c r="H44" i="13"/>
  <c r="AC34" i="22"/>
  <c r="AG34" i="22"/>
  <c r="E31" i="14"/>
  <c r="AA27" i="12"/>
  <c r="AH34" i="22"/>
  <c r="H43" i="14"/>
  <c r="E43" i="14" s="1"/>
  <c r="H31" i="22"/>
  <c r="AK34" i="22"/>
  <c r="AL34" i="22"/>
  <c r="AC29" i="22"/>
  <c r="AG31" i="22"/>
  <c r="C30" i="24"/>
  <c r="AD27" i="14"/>
  <c r="H67" i="22"/>
  <c r="AK36" i="22"/>
  <c r="D25" i="12"/>
  <c r="AC25" i="13"/>
  <c r="E30" i="12"/>
  <c r="H66" i="22"/>
  <c r="E66" i="22" s="1"/>
  <c r="H42" i="22"/>
  <c r="H40" i="14"/>
  <c r="E26" i="14"/>
  <c r="H41" i="22"/>
  <c r="E41" i="22" s="1"/>
  <c r="C24" i="24"/>
  <c r="C14" i="24"/>
  <c r="H33" i="22"/>
  <c r="E33" i="22" s="1"/>
  <c r="H48" i="22"/>
  <c r="AD34" i="22"/>
  <c r="AH31" i="22"/>
  <c r="E35" i="12"/>
  <c r="H52" i="22"/>
  <c r="E52" i="22" s="1"/>
  <c r="AC37" i="22"/>
  <c r="C13" i="24"/>
  <c r="C33" i="24"/>
  <c r="AB27" i="12"/>
  <c r="E23" i="22"/>
  <c r="D36" i="13"/>
  <c r="C21" i="24"/>
  <c r="H42" i="14"/>
  <c r="H55" i="22"/>
  <c r="C6" i="18"/>
  <c r="AC27" i="22"/>
  <c r="C37" i="24"/>
  <c r="H32" i="22"/>
  <c r="AA36" i="12"/>
  <c r="AH36" i="22"/>
  <c r="H43" i="13"/>
  <c r="E43" i="13" s="1"/>
  <c r="H58" i="22"/>
  <c r="E58" i="22" s="1"/>
  <c r="H60" i="22"/>
  <c r="E60" i="22" s="1"/>
  <c r="AH29" i="14"/>
  <c r="AK28" i="13"/>
  <c r="AO28" i="13" s="1"/>
  <c r="AK29" i="14"/>
  <c r="D22" i="14"/>
  <c r="C5" i="18"/>
  <c r="AA44" i="12"/>
  <c r="H46" i="13"/>
  <c r="B1" i="4"/>
  <c r="E37" i="12"/>
  <c r="H56" i="22"/>
  <c r="C11" i="18"/>
  <c r="AS28" i="13"/>
  <c r="C12" i="24"/>
  <c r="E56" i="22"/>
  <c r="AG27" i="14"/>
  <c r="AC30" i="14"/>
  <c r="AD23" i="14"/>
  <c r="E41" i="13"/>
  <c r="AD28" i="14"/>
  <c r="E28" i="12"/>
  <c r="H52" i="13"/>
  <c r="C34" i="24"/>
  <c r="D31" i="14"/>
  <c r="D26" i="14"/>
  <c r="C25" i="24"/>
  <c r="E34" i="13"/>
  <c r="AA23" i="12"/>
  <c r="H51" i="13"/>
  <c r="Q43" i="13"/>
  <c r="E36" i="13"/>
  <c r="C9" i="24"/>
  <c r="H53" i="22"/>
  <c r="E53" i="22" s="1"/>
  <c r="AD36" i="22"/>
  <c r="AG25" i="22"/>
  <c r="D25" i="22"/>
  <c r="C7" i="18"/>
  <c r="AA47" i="12"/>
  <c r="C40" i="24"/>
  <c r="H35" i="22"/>
  <c r="AD31" i="22"/>
  <c r="AP28" i="13"/>
  <c r="D28" i="12"/>
  <c r="C15" i="24"/>
  <c r="E35" i="13"/>
  <c r="H30" i="22"/>
  <c r="H38" i="22"/>
  <c r="E38" i="22" s="1"/>
  <c r="C10" i="18"/>
  <c r="D10" i="18" s="1"/>
  <c r="AG23" i="14"/>
  <c r="H41" i="14"/>
  <c r="E41" i="14" s="1"/>
  <c r="AG28" i="14"/>
  <c r="O31" i="22"/>
  <c r="O74" i="22"/>
  <c r="O69" i="22"/>
  <c r="O61" i="22"/>
  <c r="O33" i="22"/>
  <c r="O68" i="22"/>
  <c r="F9" i="22"/>
  <c r="O28" i="22"/>
  <c r="O52" i="22"/>
  <c r="O53" i="22"/>
  <c r="O48" i="22"/>
  <c r="O42" i="22"/>
  <c r="O41" i="22"/>
  <c r="O30" i="22"/>
  <c r="O35" i="22"/>
  <c r="O67" i="22"/>
  <c r="O38" i="22"/>
  <c r="F26" i="22"/>
  <c r="F24" i="22"/>
  <c r="O66" i="22"/>
  <c r="O34" i="22"/>
  <c r="O32" i="22"/>
  <c r="O62" i="22"/>
  <c r="F27" i="22"/>
  <c r="O54" i="22"/>
  <c r="F23" i="22"/>
  <c r="F10" i="22"/>
  <c r="O60" i="22"/>
  <c r="O70" i="22"/>
  <c r="F8" i="22"/>
  <c r="O57" i="22"/>
  <c r="O39" i="22"/>
  <c r="O58" i="22"/>
  <c r="O47" i="22"/>
  <c r="D24" i="22"/>
  <c r="E24" i="22" s="1"/>
  <c r="O55" i="22"/>
  <c r="O56" i="22"/>
  <c r="F8" i="14"/>
  <c r="F40" i="13"/>
  <c r="F6" i="14"/>
  <c r="F41" i="13"/>
  <c r="D24" i="13"/>
  <c r="F35" i="13"/>
  <c r="F31" i="14"/>
  <c r="F37" i="13"/>
  <c r="F25" i="14"/>
  <c r="F33" i="14"/>
  <c r="F38" i="13"/>
  <c r="D23" i="14"/>
  <c r="F23" i="14"/>
  <c r="F24" i="13"/>
  <c r="F30" i="14"/>
  <c r="F10" i="13"/>
  <c r="F28" i="14"/>
  <c r="F23" i="13"/>
  <c r="F26" i="14"/>
  <c r="F32" i="14"/>
  <c r="F8" i="13"/>
  <c r="F36" i="13"/>
  <c r="F7" i="14"/>
  <c r="F27" i="14"/>
  <c r="F29" i="14"/>
  <c r="F22" i="14"/>
  <c r="F9" i="13"/>
  <c r="F39" i="13"/>
  <c r="F9" i="14"/>
  <c r="F29" i="12"/>
  <c r="F27" i="12"/>
  <c r="F33" i="12"/>
  <c r="F30" i="12"/>
  <c r="F37" i="12"/>
  <c r="F24" i="12"/>
  <c r="D24" i="12"/>
  <c r="F36" i="12"/>
  <c r="F34" i="12"/>
  <c r="F35" i="12"/>
  <c r="F26" i="12"/>
  <c r="F23" i="12"/>
  <c r="F32" i="12"/>
  <c r="F31" i="12"/>
  <c r="F28" i="12"/>
  <c r="H37" i="22"/>
  <c r="AC25" i="14"/>
  <c r="AC26" i="22"/>
  <c r="C48" i="24"/>
  <c r="AA39" i="12"/>
  <c r="C15" i="18"/>
  <c r="D15" i="18" s="1"/>
  <c r="C44" i="24"/>
  <c r="AC38" i="22"/>
  <c r="AD25" i="13"/>
  <c r="C38" i="24"/>
  <c r="H72" i="22"/>
  <c r="O72" i="22" s="1"/>
  <c r="C39" i="24"/>
  <c r="AC24" i="22"/>
  <c r="AB24" i="12"/>
  <c r="AA42" i="12"/>
  <c r="AC32" i="22"/>
  <c r="AC28" i="22"/>
  <c r="H46" i="22"/>
  <c r="C6" i="24"/>
  <c r="AD24" i="22"/>
  <c r="AA41" i="12"/>
  <c r="AC24" i="13"/>
  <c r="H29" i="22"/>
  <c r="C17" i="18"/>
  <c r="D17" i="18" s="1"/>
  <c r="AA40" i="12"/>
  <c r="AC30" i="22"/>
  <c r="H44" i="22"/>
  <c r="H59" i="22"/>
  <c r="C12" i="18"/>
  <c r="C7" i="24"/>
  <c r="H43" i="22"/>
  <c r="O43" i="22" s="1"/>
  <c r="AA25" i="12"/>
  <c r="H63" i="22"/>
  <c r="AD24" i="13"/>
  <c r="AD37" i="22"/>
  <c r="C46" i="24"/>
  <c r="H45" i="22"/>
  <c r="O45" i="22" s="1"/>
  <c r="AD29" i="14"/>
  <c r="AC33" i="22"/>
  <c r="C10" i="24"/>
  <c r="C36" i="24"/>
  <c r="AA38" i="12"/>
  <c r="H73" i="22"/>
  <c r="H40" i="22"/>
  <c r="AD22" i="14"/>
  <c r="H50" i="22"/>
  <c r="C31" i="24"/>
  <c r="H49" i="22"/>
  <c r="H45" i="13"/>
  <c r="AC29" i="13"/>
  <c r="H71" i="22"/>
  <c r="H36" i="22"/>
  <c r="C17" i="24"/>
  <c r="C20" i="24"/>
  <c r="AC31" i="14"/>
  <c r="AC23" i="13"/>
  <c r="AD38" i="22"/>
  <c r="AC35" i="22"/>
  <c r="AD26" i="13"/>
  <c r="C16" i="18"/>
  <c r="AA45" i="12"/>
  <c r="AD24" i="14"/>
  <c r="AD27" i="13"/>
  <c r="H39" i="14"/>
  <c r="H64" i="22"/>
  <c r="AC26" i="14"/>
  <c r="C23" i="24"/>
  <c r="H65" i="22"/>
  <c r="AD33" i="22"/>
  <c r="AD30" i="22"/>
  <c r="C28" i="24"/>
  <c r="C11" i="24"/>
  <c r="C35" i="24"/>
  <c r="C42" i="24"/>
  <c r="AD25" i="22"/>
  <c r="C47" i="24"/>
  <c r="H51" i="22"/>
  <c r="O51" i="22" s="1"/>
  <c r="H42" i="13"/>
  <c r="AC23" i="22"/>
  <c r="C27" i="24"/>
  <c r="C43" i="24"/>
  <c r="C13" i="18"/>
  <c r="AK24" i="14"/>
  <c r="AL24" i="14"/>
  <c r="AH28" i="13"/>
  <c r="AL28" i="13"/>
  <c r="AE27" i="12"/>
  <c r="AO34" i="22"/>
  <c r="AP34" i="22"/>
  <c r="AK31" i="22"/>
  <c r="AL36" i="22"/>
  <c r="AO36" i="22"/>
  <c r="AP36" i="22" s="1"/>
  <c r="AG25" i="13"/>
  <c r="AH25" i="13"/>
  <c r="AG37" i="22"/>
  <c r="AG27" i="22"/>
  <c r="AD27" i="22"/>
  <c r="AH27" i="22"/>
  <c r="AL29" i="14"/>
  <c r="AO29" i="14"/>
  <c r="AT28" i="13"/>
  <c r="AW28" i="13"/>
  <c r="AX28" i="13"/>
  <c r="AH27" i="14"/>
  <c r="AK27" i="14"/>
  <c r="AL27" i="14"/>
  <c r="AD30" i="14"/>
  <c r="AG30" i="14"/>
  <c r="AE23" i="12"/>
  <c r="AF23" i="12"/>
  <c r="AB23" i="12"/>
  <c r="AK25" i="22"/>
  <c r="AL25" i="22"/>
  <c r="AH25" i="22"/>
  <c r="E30" i="22"/>
  <c r="Q30" i="22"/>
  <c r="AK23" i="14"/>
  <c r="AH23" i="14"/>
  <c r="AL23" i="14"/>
  <c r="AK28" i="14"/>
  <c r="AL28" i="14"/>
  <c r="AH28" i="14"/>
  <c r="O37" i="22"/>
  <c r="E37" i="22"/>
  <c r="AD25" i="14"/>
  <c r="AG25" i="14"/>
  <c r="AH25" i="14"/>
  <c r="AD26" i="22"/>
  <c r="AG38" i="22"/>
  <c r="AH38" i="22"/>
  <c r="AG24" i="22"/>
  <c r="AD32" i="22"/>
  <c r="AG32" i="22"/>
  <c r="AG28" i="22"/>
  <c r="AK28" i="22" s="1"/>
  <c r="AD28" i="22"/>
  <c r="AH28" i="22"/>
  <c r="O46" i="22"/>
  <c r="AG24" i="13"/>
  <c r="AH24" i="13"/>
  <c r="O29" i="22"/>
  <c r="E29" i="22"/>
  <c r="O44" i="22"/>
  <c r="O59" i="22"/>
  <c r="AE25" i="12"/>
  <c r="O63" i="22"/>
  <c r="AG33" i="22"/>
  <c r="O73" i="22"/>
  <c r="E73" i="22"/>
  <c r="O40" i="22"/>
  <c r="E40" i="22"/>
  <c r="O50" i="22"/>
  <c r="E50" i="22"/>
  <c r="O49" i="22"/>
  <c r="E49" i="22"/>
  <c r="E45" i="13"/>
  <c r="Q45" i="13" s="1"/>
  <c r="AD29" i="13"/>
  <c r="AG29" i="13"/>
  <c r="AK29" i="13" s="1"/>
  <c r="O71" i="22"/>
  <c r="E71" i="22"/>
  <c r="O36" i="22"/>
  <c r="AD31" i="14"/>
  <c r="AG31" i="14"/>
  <c r="AD23" i="13"/>
  <c r="AG23" i="13"/>
  <c r="AG35" i="22"/>
  <c r="AH35" i="22"/>
  <c r="O64" i="22"/>
  <c r="O65" i="22"/>
  <c r="E65" i="22"/>
  <c r="AD23" i="22"/>
  <c r="AG23" i="22"/>
  <c r="AO24" i="14"/>
  <c r="AF27" i="12"/>
  <c r="AI27" i="12"/>
  <c r="AL31" i="22"/>
  <c r="AO31" i="22"/>
  <c r="AK25" i="13"/>
  <c r="AH37" i="22"/>
  <c r="AK37" i="22"/>
  <c r="AK27" i="22"/>
  <c r="AP29" i="14"/>
  <c r="AS29" i="14"/>
  <c r="BA28" i="13"/>
  <c r="AO27" i="14"/>
  <c r="AH30" i="14"/>
  <c r="AK30" i="14"/>
  <c r="AI23" i="12"/>
  <c r="AO25" i="22"/>
  <c r="AP25" i="22" s="1"/>
  <c r="AO23" i="14"/>
  <c r="AP23" i="14"/>
  <c r="AO28" i="14"/>
  <c r="AK25" i="14"/>
  <c r="AK38" i="22"/>
  <c r="AH24" i="22"/>
  <c r="AK24" i="22"/>
  <c r="AH32" i="22"/>
  <c r="AK32" i="22"/>
  <c r="AK24" i="13"/>
  <c r="AL24" i="13"/>
  <c r="AF25" i="12"/>
  <c r="AI25" i="12"/>
  <c r="AH33" i="22"/>
  <c r="AK33" i="22"/>
  <c r="AH31" i="14"/>
  <c r="AK31" i="14"/>
  <c r="AL31" i="14"/>
  <c r="AH23" i="13"/>
  <c r="AK23" i="13"/>
  <c r="AL23" i="13"/>
  <c r="AK35" i="22"/>
  <c r="AL35" i="22"/>
  <c r="AH23" i="22"/>
  <c r="AK23" i="22"/>
  <c r="AP24" i="14"/>
  <c r="AS24" i="14"/>
  <c r="AJ27" i="12"/>
  <c r="AM27" i="12"/>
  <c r="AP31" i="22"/>
  <c r="AL25" i="13"/>
  <c r="AO25" i="13"/>
  <c r="AP25" i="13"/>
  <c r="AL37" i="22"/>
  <c r="AO37" i="22"/>
  <c r="AP37" i="22"/>
  <c r="AL27" i="22"/>
  <c r="AO27" i="22"/>
  <c r="AP27" i="22"/>
  <c r="AT29" i="14"/>
  <c r="AW29" i="14"/>
  <c r="AX29" i="14"/>
  <c r="BB28" i="13"/>
  <c r="BE28" i="13"/>
  <c r="AP27" i="14"/>
  <c r="AS27" i="14"/>
  <c r="AT27" i="14"/>
  <c r="AL30" i="14"/>
  <c r="AO30" i="14"/>
  <c r="AJ23" i="12"/>
  <c r="AM23" i="12"/>
  <c r="AN23" i="12"/>
  <c r="AS23" i="14"/>
  <c r="AP28" i="14"/>
  <c r="AS28" i="14"/>
  <c r="AT28" i="14"/>
  <c r="AL25" i="14"/>
  <c r="AO25" i="14"/>
  <c r="AL38" i="22"/>
  <c r="AO38" i="22"/>
  <c r="AL24" i="22"/>
  <c r="AO24" i="22"/>
  <c r="AL32" i="22"/>
  <c r="AO32" i="22"/>
  <c r="AO24" i="13"/>
  <c r="AJ25" i="12"/>
  <c r="AM25" i="12"/>
  <c r="AN25" i="12"/>
  <c r="AL33" i="22"/>
  <c r="AO33" i="22"/>
  <c r="AS33" i="22" s="1"/>
  <c r="AP33" i="22"/>
  <c r="AO31" i="14"/>
  <c r="AO35" i="22"/>
  <c r="AL23" i="22"/>
  <c r="AO23" i="22"/>
  <c r="AT24" i="14"/>
  <c r="AW24" i="14"/>
  <c r="AX24" i="14"/>
  <c r="AN27" i="12"/>
  <c r="AQ27" i="12"/>
  <c r="AR27" i="12"/>
  <c r="AS25" i="13"/>
  <c r="BA29" i="14"/>
  <c r="BF28" i="13"/>
  <c r="BI28" i="13"/>
  <c r="AW27" i="14"/>
  <c r="AP30" i="14"/>
  <c r="AS30" i="14"/>
  <c r="AQ23" i="12"/>
  <c r="AT23" i="14"/>
  <c r="AW23" i="14"/>
  <c r="AX23" i="14"/>
  <c r="AW28" i="14"/>
  <c r="AX28" i="14"/>
  <c r="AP25" i="14"/>
  <c r="AS25" i="14"/>
  <c r="AP38" i="22"/>
  <c r="AP24" i="22"/>
  <c r="AS24" i="22"/>
  <c r="AP32" i="22"/>
  <c r="AP24" i="13"/>
  <c r="AS24" i="13"/>
  <c r="AT24" i="13"/>
  <c r="AQ25" i="12"/>
  <c r="AP31" i="14"/>
  <c r="AS31" i="14"/>
  <c r="AP35" i="22"/>
  <c r="AS35" i="22"/>
  <c r="AP23" i="22"/>
  <c r="BA24" i="14"/>
  <c r="BB24" i="14"/>
  <c r="AU27" i="12"/>
  <c r="AV27" i="12"/>
  <c r="AT25" i="13"/>
  <c r="AW25" i="13"/>
  <c r="BB29" i="14"/>
  <c r="BE29" i="14"/>
  <c r="BF29" i="14"/>
  <c r="BJ28" i="13"/>
  <c r="BM28" i="13"/>
  <c r="BN28" i="13"/>
  <c r="AX27" i="14"/>
  <c r="BA27" i="14"/>
  <c r="AT30" i="14"/>
  <c r="AW30" i="14"/>
  <c r="AR23" i="12"/>
  <c r="AU23" i="12"/>
  <c r="BA23" i="14"/>
  <c r="BA28" i="14"/>
  <c r="BB28" i="14"/>
  <c r="AT25" i="14"/>
  <c r="AW25" i="14"/>
  <c r="AX25" i="14"/>
  <c r="AW24" i="13"/>
  <c r="AR25" i="12"/>
  <c r="AU25" i="12"/>
  <c r="AV25" i="12"/>
  <c r="AT31" i="14"/>
  <c r="AW31" i="14"/>
  <c r="BE24" i="14"/>
  <c r="BF24" i="14"/>
  <c r="AY27" i="12"/>
  <c r="AZ27" i="12"/>
  <c r="AX25" i="13"/>
  <c r="BA25" i="13"/>
  <c r="BB25" i="13"/>
  <c r="BI29" i="14"/>
  <c r="BQ28" i="13"/>
  <c r="BR28" i="13"/>
  <c r="BB27" i="14"/>
  <c r="BE27" i="14"/>
  <c r="BF27" i="14"/>
  <c r="AX30" i="14"/>
  <c r="BA30" i="14"/>
  <c r="AV23" i="12"/>
  <c r="AY23" i="12"/>
  <c r="BB23" i="14"/>
  <c r="BE23" i="14"/>
  <c r="BE28" i="14"/>
  <c r="BF28" i="14"/>
  <c r="BA25" i="14"/>
  <c r="BB25" i="14"/>
  <c r="AX24" i="13"/>
  <c r="BA24" i="13"/>
  <c r="AY25" i="12"/>
  <c r="AX31" i="14"/>
  <c r="BA31" i="14"/>
  <c r="BI24" i="14"/>
  <c r="BC27" i="12"/>
  <c r="BE25" i="13"/>
  <c r="BF25" i="13"/>
  <c r="BJ29" i="14"/>
  <c r="BU28" i="13"/>
  <c r="BI27" i="14"/>
  <c r="BJ27" i="14"/>
  <c r="BB30" i="14"/>
  <c r="BE30" i="14"/>
  <c r="BF30" i="14"/>
  <c r="AZ23" i="12"/>
  <c r="BC23" i="12"/>
  <c r="BF23" i="14"/>
  <c r="BI23" i="14"/>
  <c r="BJ23" i="14" s="1"/>
  <c r="BI28" i="14"/>
  <c r="BE25" i="14"/>
  <c r="BF25" i="14"/>
  <c r="BB24" i="13"/>
  <c r="BE24" i="13"/>
  <c r="BF24" i="13"/>
  <c r="AZ25" i="12"/>
  <c r="BC25" i="12"/>
  <c r="BB31" i="14"/>
  <c r="BE31" i="14"/>
  <c r="BJ24" i="14"/>
  <c r="BM24" i="14"/>
  <c r="BD27" i="12"/>
  <c r="BG27" i="12"/>
  <c r="BI25" i="13"/>
  <c r="BJ25" i="13"/>
  <c r="BV28" i="13"/>
  <c r="BY28" i="13"/>
  <c r="BI30" i="14"/>
  <c r="BD23" i="12"/>
  <c r="BG23" i="12"/>
  <c r="BJ28" i="14"/>
  <c r="BM28" i="14"/>
  <c r="BI25" i="14"/>
  <c r="BM25" i="14" s="1"/>
  <c r="BJ25" i="14"/>
  <c r="BI24" i="13"/>
  <c r="BJ24" i="13"/>
  <c r="BD25" i="12"/>
  <c r="BG25" i="12"/>
  <c r="BH25" i="12"/>
  <c r="BF31" i="14"/>
  <c r="BI31" i="14"/>
  <c r="BJ31" i="14"/>
  <c r="BH27" i="12"/>
  <c r="BK27" i="12"/>
  <c r="BL27" i="12"/>
  <c r="BM25" i="13"/>
  <c r="BN25" i="13"/>
  <c r="BZ28" i="13"/>
  <c r="CC28" i="13"/>
  <c r="CD28" i="13"/>
  <c r="BJ30" i="14"/>
  <c r="BH23" i="12"/>
  <c r="BK23" i="12"/>
  <c r="BL23" i="12" s="1"/>
  <c r="BM24" i="13"/>
  <c r="BN24" i="13"/>
  <c r="BK25" i="12"/>
  <c r="BL25" i="12" s="1"/>
  <c r="BO27" i="12"/>
  <c r="BP27" i="12" s="1"/>
  <c r="BQ25" i="13"/>
  <c r="CG28" i="13"/>
  <c r="CH28" i="13"/>
  <c r="BQ24" i="13"/>
  <c r="BR25" i="13"/>
  <c r="BU25" i="13"/>
  <c r="BV25" i="13"/>
  <c r="CK28" i="13"/>
  <c r="BR24" i="13"/>
  <c r="BU24" i="13"/>
  <c r="BV24" i="13"/>
  <c r="BY25" i="13"/>
  <c r="CL28" i="13"/>
  <c r="CO28" i="13"/>
  <c r="CP28" i="13"/>
  <c r="BY24" i="13"/>
  <c r="BZ25" i="13"/>
  <c r="CC25" i="13"/>
  <c r="CS28" i="13"/>
  <c r="CT28" i="13"/>
  <c r="BZ24" i="13"/>
  <c r="CC24" i="13"/>
  <c r="CD24" i="13"/>
  <c r="CD25" i="13"/>
  <c r="CG25" i="13"/>
  <c r="CH25" i="13"/>
  <c r="CW28" i="13"/>
  <c r="CX28" i="13" s="1"/>
  <c r="CG24" i="13"/>
  <c r="CK25" i="13"/>
  <c r="CL25" i="13"/>
  <c r="CH24" i="13"/>
  <c r="CK24" i="13"/>
  <c r="CO25" i="13"/>
  <c r="CL24" i="13"/>
  <c r="CO24" i="13"/>
  <c r="CP24" i="13"/>
  <c r="CP25" i="13"/>
  <c r="CS25" i="13"/>
  <c r="CT25" i="13"/>
  <c r="CS24" i="13"/>
  <c r="CW25" i="13"/>
  <c r="CX25" i="13" s="1"/>
  <c r="CT24" i="13"/>
  <c r="CW24" i="13"/>
  <c r="CX24" i="13"/>
  <c r="DA24" i="13"/>
  <c r="H28" i="12" l="1"/>
  <c r="H25" i="22"/>
  <c r="H36" i="12"/>
  <c r="H28" i="14"/>
  <c r="U22" i="13"/>
  <c r="H23" i="13"/>
  <c r="U3" i="13"/>
  <c r="H37" i="13"/>
  <c r="H35" i="12"/>
  <c r="H41" i="13"/>
  <c r="H27" i="14"/>
  <c r="H26" i="14"/>
  <c r="H30" i="14"/>
  <c r="H34" i="13"/>
  <c r="U22" i="22"/>
  <c r="H23" i="22"/>
  <c r="U3" i="22"/>
  <c r="H29" i="12"/>
  <c r="H35" i="13"/>
  <c r="H27" i="12"/>
  <c r="U2" i="12"/>
  <c r="H23" i="12"/>
  <c r="U22" i="12"/>
  <c r="H31" i="14"/>
  <c r="H34" i="12"/>
  <c r="H24" i="14"/>
  <c r="H40" i="13"/>
  <c r="H38" i="13"/>
  <c r="H29" i="14"/>
  <c r="H32" i="12"/>
  <c r="H31" i="12"/>
  <c r="U3" i="14"/>
  <c r="U21" i="14"/>
  <c r="H22" i="14"/>
  <c r="H36" i="13"/>
  <c r="H33" i="14"/>
  <c r="H27" i="22"/>
  <c r="H25" i="14"/>
  <c r="H37" i="12"/>
  <c r="H30" i="12"/>
  <c r="H39" i="13"/>
  <c r="H25" i="12"/>
  <c r="H26" i="22"/>
  <c r="H32" i="14"/>
  <c r="H33" i="12"/>
  <c r="S3" i="22"/>
  <c r="J23" i="22"/>
  <c r="F25" i="22"/>
  <c r="J25" i="22" s="1"/>
  <c r="J27" i="22"/>
  <c r="J24" i="22"/>
  <c r="J26" i="22"/>
  <c r="J33" i="14"/>
  <c r="J28" i="14"/>
  <c r="J24" i="13"/>
  <c r="F34" i="13"/>
  <c r="J34" i="13" s="1"/>
  <c r="J40" i="13"/>
  <c r="J38" i="13"/>
  <c r="J31" i="14"/>
  <c r="J23" i="14"/>
  <c r="F24" i="14"/>
  <c r="J24" i="14" s="1"/>
  <c r="J41" i="13"/>
  <c r="J39" i="13"/>
  <c r="J27" i="14"/>
  <c r="J30" i="14"/>
  <c r="J37" i="13"/>
  <c r="J29" i="14"/>
  <c r="J32" i="14"/>
  <c r="J23" i="13"/>
  <c r="J26" i="14"/>
  <c r="J36" i="13"/>
  <c r="J22" i="14"/>
  <c r="J25" i="14"/>
  <c r="J35" i="13"/>
  <c r="J23" i="12"/>
  <c r="F25" i="12"/>
  <c r="J24" i="12"/>
  <c r="J26" i="12"/>
  <c r="BM31" i="14"/>
  <c r="E64" i="22"/>
  <c r="Q33" i="22"/>
  <c r="Q37" i="12"/>
  <c r="E72" i="22"/>
  <c r="U7" i="22"/>
  <c r="D7" i="18"/>
  <c r="E52" i="13"/>
  <c r="AT35" i="22"/>
  <c r="H7" i="18"/>
  <c r="AD29" i="22"/>
  <c r="AS25" i="22"/>
  <c r="Q33" i="12"/>
  <c r="Q30" i="12"/>
  <c r="AG22" i="14"/>
  <c r="Q26" i="14"/>
  <c r="Q72" i="22"/>
  <c r="Q32" i="14"/>
  <c r="H10" i="18"/>
  <c r="Q40" i="13"/>
  <c r="U4" i="22"/>
  <c r="E49" i="13"/>
  <c r="T4" i="22"/>
  <c r="AG27" i="13"/>
  <c r="Q23" i="12"/>
  <c r="E35" i="22"/>
  <c r="U4" i="14"/>
  <c r="Q73" i="22"/>
  <c r="Q39" i="13"/>
  <c r="U12" i="13"/>
  <c r="Q28" i="22"/>
  <c r="Q38" i="13"/>
  <c r="Q31" i="14"/>
  <c r="E42" i="13"/>
  <c r="Q42" i="13" s="1"/>
  <c r="Q32" i="12"/>
  <c r="Q52" i="22"/>
  <c r="E50" i="13"/>
  <c r="Q50" i="13" s="1"/>
  <c r="E39" i="14"/>
  <c r="BM30" i="14"/>
  <c r="BN30" i="14" s="1"/>
  <c r="E36" i="22"/>
  <c r="E40" i="14"/>
  <c r="Q40" i="14" s="1"/>
  <c r="Q34" i="22"/>
  <c r="Q28" i="12"/>
  <c r="B38" i="12"/>
  <c r="AB25" i="12"/>
  <c r="Q29" i="14"/>
  <c r="Q36" i="12"/>
  <c r="B34" i="14"/>
  <c r="S4" i="14"/>
  <c r="Q71" i="22"/>
  <c r="Q24" i="14"/>
  <c r="E59" i="22"/>
  <c r="U3" i="12"/>
  <c r="U6" i="14"/>
  <c r="Q49" i="13"/>
  <c r="Q31" i="12"/>
  <c r="Q49" i="22"/>
  <c r="Q27" i="14"/>
  <c r="BO25" i="12"/>
  <c r="BP25" i="12" s="1"/>
  <c r="Q69" i="22"/>
  <c r="Q39" i="14"/>
  <c r="AH27" i="13"/>
  <c r="E51" i="13"/>
  <c r="AS36" i="22"/>
  <c r="Q40" i="22"/>
  <c r="AL29" i="13"/>
  <c r="BN31" i="14"/>
  <c r="Q25" i="22"/>
  <c r="U6" i="22"/>
  <c r="D8" i="18"/>
  <c r="Q58" i="22"/>
  <c r="U8" i="22"/>
  <c r="Q35" i="13"/>
  <c r="Q51" i="13"/>
  <c r="D13" i="18"/>
  <c r="E55" i="22"/>
  <c r="Q55" i="22" s="1"/>
  <c r="BN25" i="14"/>
  <c r="BN24" i="14"/>
  <c r="E63" i="22"/>
  <c r="E42" i="22"/>
  <c r="Q42" i="22" s="1"/>
  <c r="Q25" i="14"/>
  <c r="E43" i="22"/>
  <c r="DA25" i="13"/>
  <c r="Q23" i="22"/>
  <c r="U8" i="14"/>
  <c r="Q27" i="12"/>
  <c r="Q28" i="14"/>
  <c r="AO28" i="22"/>
  <c r="AP28" i="22" s="1"/>
  <c r="D11" i="4"/>
  <c r="D14" i="18"/>
  <c r="U7" i="14"/>
  <c r="T8" i="14" s="1"/>
  <c r="Q34" i="12"/>
  <c r="D16" i="18"/>
  <c r="D12" i="18"/>
  <c r="D10" i="4"/>
  <c r="AG26" i="14"/>
  <c r="D5" i="18"/>
  <c r="AT24" i="22"/>
  <c r="U5" i="22"/>
  <c r="BN28" i="14"/>
  <c r="Q41" i="13"/>
  <c r="E68" i="22"/>
  <c r="Q68" i="22" s="1"/>
  <c r="E46" i="13"/>
  <c r="Q46" i="13" s="1"/>
  <c r="Q29" i="12"/>
  <c r="Q53" i="22"/>
  <c r="Q56" i="22"/>
  <c r="Q63" i="22"/>
  <c r="Q37" i="22"/>
  <c r="AE24" i="12"/>
  <c r="AD35" i="22"/>
  <c r="Q66" i="22"/>
  <c r="Q60" i="22"/>
  <c r="AL28" i="22"/>
  <c r="AO23" i="13"/>
  <c r="Q59" i="22"/>
  <c r="Q25" i="12"/>
  <c r="E74" i="22"/>
  <c r="Q74" i="22" s="1"/>
  <c r="Q29" i="22"/>
  <c r="AT25" i="22"/>
  <c r="E44" i="14"/>
  <c r="Q44" i="14" s="1"/>
  <c r="Q41" i="22"/>
  <c r="Q33" i="14"/>
  <c r="E45" i="22"/>
  <c r="BM29" i="14"/>
  <c r="AS28" i="22"/>
  <c r="AS23" i="22"/>
  <c r="AT23" i="22" s="1"/>
  <c r="E44" i="22"/>
  <c r="Q44" i="22" s="1"/>
  <c r="E31" i="22"/>
  <c r="Q31" i="22" s="1"/>
  <c r="AO29" i="13"/>
  <c r="AS32" i="22"/>
  <c r="H17" i="18"/>
  <c r="Q43" i="14"/>
  <c r="Q64" i="22"/>
  <c r="AS38" i="22"/>
  <c r="AT38" i="22" s="1"/>
  <c r="E46" i="22"/>
  <c r="Q46" i="22" s="1"/>
  <c r="E44" i="13"/>
  <c r="Q44" i="13" s="1"/>
  <c r="Q36" i="22"/>
  <c r="H16" i="18"/>
  <c r="DB24" i="13"/>
  <c r="AS27" i="22"/>
  <c r="AT27" i="22" s="1"/>
  <c r="H15" i="18"/>
  <c r="E39" i="22"/>
  <c r="Q39" i="22" s="1"/>
  <c r="U9" i="14"/>
  <c r="AT32" i="22"/>
  <c r="Q34" i="13"/>
  <c r="AG30" i="22"/>
  <c r="Q26" i="22"/>
  <c r="Q22" i="14"/>
  <c r="BM27" i="14"/>
  <c r="E47" i="13"/>
  <c r="Q47" i="13" s="1"/>
  <c r="Q35" i="12"/>
  <c r="AH22" i="14"/>
  <c r="S4" i="22"/>
  <c r="AS37" i="22"/>
  <c r="AT37" i="22" s="1"/>
  <c r="AG26" i="22"/>
  <c r="E47" i="22"/>
  <c r="Q47" i="22" s="1"/>
  <c r="E57" i="22"/>
  <c r="B25" i="13"/>
  <c r="Q27" i="22"/>
  <c r="Q50" i="22"/>
  <c r="AS29" i="13"/>
  <c r="BN29" i="14"/>
  <c r="Q38" i="22"/>
  <c r="E48" i="13"/>
  <c r="U4" i="13"/>
  <c r="E48" i="22"/>
  <c r="AK22" i="14"/>
  <c r="T5" i="22"/>
  <c r="AS31" i="22"/>
  <c r="AT31" i="22" s="1"/>
  <c r="Q41" i="14"/>
  <c r="E54" i="22"/>
  <c r="Q54" i="22" s="1"/>
  <c r="D6" i="18"/>
  <c r="U14" i="13"/>
  <c r="AT33" i="22"/>
  <c r="Q36" i="13"/>
  <c r="E62" i="22"/>
  <c r="E67" i="22"/>
  <c r="Q67" i="22" s="1"/>
  <c r="D9" i="18"/>
  <c r="E61" i="22"/>
  <c r="AE26" i="12"/>
  <c r="AH29" i="13"/>
  <c r="U13" i="13"/>
  <c r="AH30" i="22"/>
  <c r="Q65" i="22"/>
  <c r="BO23" i="12"/>
  <c r="BM23" i="14"/>
  <c r="E70" i="22"/>
  <c r="Q70" i="22" s="1"/>
  <c r="Q43" i="22"/>
  <c r="H13" i="18"/>
  <c r="AL22" i="14"/>
  <c r="D11" i="18"/>
  <c r="H11" i="18" s="1"/>
  <c r="DA28" i="13"/>
  <c r="DB28" i="13" s="1"/>
  <c r="AG26" i="13"/>
  <c r="AG29" i="22"/>
  <c r="Q23" i="13"/>
  <c r="AS34" i="22"/>
  <c r="E32" i="22"/>
  <c r="Q32" i="22" s="1"/>
  <c r="E42" i="14"/>
  <c r="Q42" i="14" s="1"/>
  <c r="Q37" i="13"/>
  <c r="AD26" i="14"/>
  <c r="Q30" i="14"/>
  <c r="DB25" i="13"/>
  <c r="E51" i="22"/>
  <c r="O23" i="22"/>
  <c r="O27" i="22"/>
  <c r="O26" i="22"/>
  <c r="O25" i="22"/>
  <c r="E24" i="13"/>
  <c r="E23" i="14"/>
  <c r="G33" i="12"/>
  <c r="G37" i="12"/>
  <c r="G28" i="12"/>
  <c r="G27" i="12"/>
  <c r="G34" i="12"/>
  <c r="G36" i="12"/>
  <c r="G29" i="12"/>
  <c r="G26" i="12"/>
  <c r="E24" i="12"/>
  <c r="G24" i="12" s="1"/>
  <c r="G31" i="12"/>
  <c r="G23" i="12"/>
  <c r="G30" i="12"/>
  <c r="G32" i="12"/>
  <c r="G35" i="12"/>
  <c r="AF24" i="12"/>
  <c r="AI24" i="12"/>
  <c r="AP23" i="13"/>
  <c r="AS23" i="13"/>
  <c r="AP29" i="13"/>
  <c r="AT29" i="13"/>
  <c r="AK30" i="22"/>
  <c r="AL30" i="22"/>
  <c r="AH26" i="22"/>
  <c r="AK26" i="22"/>
  <c r="AL26" i="22"/>
  <c r="AW29" i="13"/>
  <c r="AX29" i="13"/>
  <c r="AO22" i="14"/>
  <c r="AP22" i="14"/>
  <c r="AK26" i="13"/>
  <c r="AH26" i="13"/>
  <c r="AL26" i="13"/>
  <c r="AH29" i="22"/>
  <c r="AK29" i="22"/>
  <c r="AJ24" i="12"/>
  <c r="AM24" i="12"/>
  <c r="AN24" i="12"/>
  <c r="AT23" i="13"/>
  <c r="AW23" i="13"/>
  <c r="AO30" i="22"/>
  <c r="AS30" i="22" s="1"/>
  <c r="AP30" i="22"/>
  <c r="AO26" i="22"/>
  <c r="BA29" i="13"/>
  <c r="BB29" i="13"/>
  <c r="AS22" i="14"/>
  <c r="AT22" i="14"/>
  <c r="AO26" i="13"/>
  <c r="AL29" i="22"/>
  <c r="AO29" i="22"/>
  <c r="AS29" i="22" s="1"/>
  <c r="AP29" i="22"/>
  <c r="AQ24" i="12"/>
  <c r="AX23" i="13"/>
  <c r="BA23" i="13"/>
  <c r="BB23" i="13"/>
  <c r="AP26" i="22"/>
  <c r="AS26" i="22"/>
  <c r="BE29" i="13"/>
  <c r="BF29" i="13"/>
  <c r="AW22" i="14"/>
  <c r="AX22" i="14"/>
  <c r="AP26" i="13"/>
  <c r="AS26" i="13"/>
  <c r="AR24" i="12"/>
  <c r="AU24" i="12"/>
  <c r="AV24" i="12"/>
  <c r="BE23" i="13"/>
  <c r="BF23" i="13"/>
  <c r="BI29" i="13"/>
  <c r="BJ29" i="13"/>
  <c r="BA22" i="14"/>
  <c r="BB22" i="14"/>
  <c r="AT26" i="13"/>
  <c r="AW26" i="13"/>
  <c r="AY24" i="12"/>
  <c r="BI23" i="13"/>
  <c r="BM29" i="13"/>
  <c r="BN29" i="13"/>
  <c r="BE22" i="14"/>
  <c r="AX26" i="13"/>
  <c r="BA26" i="13"/>
  <c r="BB26" i="13"/>
  <c r="AZ24" i="12"/>
  <c r="BC24" i="12"/>
  <c r="BJ23" i="13"/>
  <c r="BM23" i="13"/>
  <c r="BQ29" i="13"/>
  <c r="BF22" i="14"/>
  <c r="BI22" i="14"/>
  <c r="BJ22" i="14" s="1"/>
  <c r="BE26" i="13"/>
  <c r="BD24" i="12"/>
  <c r="BG24" i="12"/>
  <c r="BH24" i="12"/>
  <c r="BN23" i="13"/>
  <c r="BQ23" i="13"/>
  <c r="BR23" i="13"/>
  <c r="BR29" i="13"/>
  <c r="BU29" i="13"/>
  <c r="BV29" i="13"/>
  <c r="BF26" i="13"/>
  <c r="BI26" i="13"/>
  <c r="BK24" i="12"/>
  <c r="BU23" i="13"/>
  <c r="BY29" i="13"/>
  <c r="BJ26" i="13"/>
  <c r="BM26" i="13"/>
  <c r="BL24" i="12"/>
  <c r="BV23" i="13"/>
  <c r="BY23" i="13"/>
  <c r="BZ29" i="13"/>
  <c r="CC29" i="13"/>
  <c r="CD29" i="13"/>
  <c r="BN26" i="13"/>
  <c r="BQ26" i="13"/>
  <c r="BR26" i="13"/>
  <c r="BZ23" i="13"/>
  <c r="CC23" i="13"/>
  <c r="CD23" i="13"/>
  <c r="CG29" i="13"/>
  <c r="CH29" i="13"/>
  <c r="BU26" i="13"/>
  <c r="CG23" i="13"/>
  <c r="CH23" i="13"/>
  <c r="CK29" i="13"/>
  <c r="BV26" i="13"/>
  <c r="BY26" i="13"/>
  <c r="CK23" i="13"/>
  <c r="CL23" i="13"/>
  <c r="CL29" i="13"/>
  <c r="CO29" i="13"/>
  <c r="BZ26" i="13"/>
  <c r="CC26" i="13"/>
  <c r="CO23" i="13"/>
  <c r="CP23" i="13"/>
  <c r="CP29" i="13"/>
  <c r="CS29" i="13"/>
  <c r="CD26" i="13"/>
  <c r="CG26" i="13"/>
  <c r="CS23" i="13"/>
  <c r="CT29" i="13"/>
  <c r="CW29" i="13"/>
  <c r="CH26" i="13"/>
  <c r="CK26" i="13"/>
  <c r="CT23" i="13"/>
  <c r="CW23" i="13"/>
  <c r="DA23" i="13" s="1"/>
  <c r="CX23" i="13"/>
  <c r="CX29" i="13"/>
  <c r="CL26" i="13"/>
  <c r="CO26" i="13"/>
  <c r="CP26" i="13"/>
  <c r="CS26" i="13"/>
  <c r="CT26" i="13"/>
  <c r="CW26" i="13"/>
  <c r="CX26" i="13"/>
  <c r="C34" i="14" l="1"/>
  <c r="F15" i="18"/>
  <c r="F7" i="18"/>
  <c r="F9" i="18"/>
  <c r="L47" i="13"/>
  <c r="S47" i="13" s="1"/>
  <c r="F16" i="18"/>
  <c r="F14" i="18"/>
  <c r="L43" i="14"/>
  <c r="S43" i="14" s="1"/>
  <c r="L41" i="14"/>
  <c r="S41" i="14" s="1"/>
  <c r="L43" i="13"/>
  <c r="S43" i="13" s="1"/>
  <c r="L45" i="13"/>
  <c r="S45" i="13" s="1"/>
  <c r="L42" i="13"/>
  <c r="S42" i="13" s="1"/>
  <c r="F11" i="18"/>
  <c r="F6" i="18"/>
  <c r="F10" i="18"/>
  <c r="F13" i="18"/>
  <c r="L39" i="14"/>
  <c r="S39" i="14" s="1"/>
  <c r="L52" i="13"/>
  <c r="S52" i="13" s="1"/>
  <c r="F12" i="18"/>
  <c r="L50" i="13"/>
  <c r="S50" i="13" s="1"/>
  <c r="L48" i="13"/>
  <c r="S48" i="13" s="1"/>
  <c r="F17" i="18"/>
  <c r="L44" i="13"/>
  <c r="S44" i="13" s="1"/>
  <c r="F5" i="18"/>
  <c r="L49" i="13"/>
  <c r="S49" i="13" s="1"/>
  <c r="L51" i="13"/>
  <c r="S51" i="13" s="1"/>
  <c r="L44" i="14"/>
  <c r="S44" i="14" s="1"/>
  <c r="L46" i="13"/>
  <c r="S46" i="13" s="1"/>
  <c r="L40" i="14"/>
  <c r="S40" i="14" s="1"/>
  <c r="F8" i="18"/>
  <c r="L42" i="14"/>
  <c r="S42" i="14" s="1"/>
  <c r="C25" i="13"/>
  <c r="M47" i="13"/>
  <c r="M42" i="13"/>
  <c r="G10" i="18"/>
  <c r="G14" i="18"/>
  <c r="G8" i="18"/>
  <c r="M45" i="13"/>
  <c r="G11" i="18"/>
  <c r="G6" i="18"/>
  <c r="G13" i="18"/>
  <c r="M43" i="14"/>
  <c r="G7" i="18"/>
  <c r="G16" i="18"/>
  <c r="G15" i="18"/>
  <c r="M39" i="14"/>
  <c r="M41" i="14"/>
  <c r="M50" i="13"/>
  <c r="M43" i="13"/>
  <c r="M52" i="13"/>
  <c r="G12" i="18"/>
  <c r="M48" i="13"/>
  <c r="M44" i="13"/>
  <c r="G5" i="18"/>
  <c r="M49" i="13"/>
  <c r="M51" i="13"/>
  <c r="G17" i="18"/>
  <c r="M46" i="13"/>
  <c r="M40" i="14"/>
  <c r="G9" i="18"/>
  <c r="M44" i="14"/>
  <c r="M42" i="14"/>
  <c r="C38" i="12"/>
  <c r="M37" i="13"/>
  <c r="L37" i="13"/>
  <c r="S37" i="13" s="1"/>
  <c r="T37" i="13" s="1"/>
  <c r="H24" i="22"/>
  <c r="M26" i="14"/>
  <c r="L26" i="14"/>
  <c r="S26" i="14" s="1"/>
  <c r="T26" i="14" s="1"/>
  <c r="M28" i="14"/>
  <c r="L28" i="14"/>
  <c r="S28" i="14" s="1"/>
  <c r="T28" i="14" s="1"/>
  <c r="M33" i="12"/>
  <c r="L33" i="12"/>
  <c r="S33" i="12" s="1"/>
  <c r="L29" i="14"/>
  <c r="S29" i="14" s="1"/>
  <c r="T29" i="14" s="1"/>
  <c r="M29" i="14"/>
  <c r="L25" i="14"/>
  <c r="S25" i="14" s="1"/>
  <c r="T25" i="14" s="1"/>
  <c r="I25" i="14"/>
  <c r="K25" i="14" s="1"/>
  <c r="M25" i="14"/>
  <c r="L38" i="13"/>
  <c r="S38" i="13" s="1"/>
  <c r="T38" i="13" s="1"/>
  <c r="M38" i="13"/>
  <c r="H24" i="12"/>
  <c r="M23" i="12"/>
  <c r="L23" i="12"/>
  <c r="S23" i="12" s="1"/>
  <c r="T23" i="12" s="1"/>
  <c r="Y3" i="13"/>
  <c r="L23" i="13"/>
  <c r="S23" i="13" s="1"/>
  <c r="T23" i="13" s="1"/>
  <c r="H24" i="13"/>
  <c r="M23" i="13"/>
  <c r="L40" i="13"/>
  <c r="S40" i="13" s="1"/>
  <c r="T40" i="13" s="1"/>
  <c r="M40" i="13"/>
  <c r="M33" i="14"/>
  <c r="L33" i="14"/>
  <c r="S33" i="14" s="1"/>
  <c r="T33" i="14" s="1"/>
  <c r="M36" i="13"/>
  <c r="L36" i="13"/>
  <c r="S36" i="13" s="1"/>
  <c r="T36" i="13" s="1"/>
  <c r="M34" i="12"/>
  <c r="L34" i="12"/>
  <c r="S34" i="12" s="1"/>
  <c r="Y3" i="14"/>
  <c r="L29" i="12"/>
  <c r="S29" i="12" s="1"/>
  <c r="M29" i="12"/>
  <c r="M31" i="12"/>
  <c r="L31" i="12"/>
  <c r="S31" i="12" s="1"/>
  <c r="M30" i="14"/>
  <c r="L30" i="14"/>
  <c r="S30" i="14" s="1"/>
  <c r="T30" i="14" s="1"/>
  <c r="L32" i="12"/>
  <c r="S32" i="12" s="1"/>
  <c r="M32" i="12"/>
  <c r="M32" i="14"/>
  <c r="L32" i="14"/>
  <c r="S32" i="14" s="1"/>
  <c r="T32" i="14" s="1"/>
  <c r="L25" i="12"/>
  <c r="S25" i="12" s="1"/>
  <c r="M25" i="12"/>
  <c r="H26" i="12"/>
  <c r="M22" i="14"/>
  <c r="H23" i="14"/>
  <c r="L22" i="14"/>
  <c r="S22" i="14" s="1"/>
  <c r="T22" i="14" s="1"/>
  <c r="L31" i="14"/>
  <c r="S31" i="14" s="1"/>
  <c r="T31" i="14" s="1"/>
  <c r="M31" i="14"/>
  <c r="L27" i="12"/>
  <c r="S27" i="12" s="1"/>
  <c r="M27" i="12"/>
  <c r="L34" i="13"/>
  <c r="M34" i="13"/>
  <c r="M30" i="12"/>
  <c r="L30" i="12"/>
  <c r="S30" i="12" s="1"/>
  <c r="M37" i="12"/>
  <c r="L37" i="12"/>
  <c r="S37" i="12" s="1"/>
  <c r="M36" i="12"/>
  <c r="L36" i="12"/>
  <c r="S36" i="12" s="1"/>
  <c r="I24" i="14"/>
  <c r="M24" i="14"/>
  <c r="L24" i="14"/>
  <c r="L27" i="14"/>
  <c r="S27" i="14" s="1"/>
  <c r="T27" i="14" s="1"/>
  <c r="M27" i="14"/>
  <c r="M41" i="13"/>
  <c r="L41" i="13"/>
  <c r="S41" i="13" s="1"/>
  <c r="T41" i="13" s="1"/>
  <c r="L39" i="13"/>
  <c r="S39" i="13" s="1"/>
  <c r="T39" i="13" s="1"/>
  <c r="M39" i="13"/>
  <c r="L35" i="13"/>
  <c r="S35" i="13" s="1"/>
  <c r="T35" i="13" s="1"/>
  <c r="M35" i="13"/>
  <c r="M35" i="12"/>
  <c r="L35" i="12"/>
  <c r="S35" i="12" s="1"/>
  <c r="M28" i="12"/>
  <c r="L28" i="12"/>
  <c r="S28" i="12" s="1"/>
  <c r="K24" i="22"/>
  <c r="K27" i="22"/>
  <c r="P27" i="22"/>
  <c r="K25" i="22"/>
  <c r="P25" i="22"/>
  <c r="K23" i="22"/>
  <c r="P23" i="22"/>
  <c r="K26" i="22"/>
  <c r="P26" i="22"/>
  <c r="K32" i="14"/>
  <c r="N32" i="14" s="1"/>
  <c r="K31" i="14"/>
  <c r="K29" i="14"/>
  <c r="K27" i="14"/>
  <c r="K33" i="14"/>
  <c r="N33" i="14" s="1"/>
  <c r="K30" i="14"/>
  <c r="K28" i="14"/>
  <c r="K26" i="14"/>
  <c r="J28" i="12"/>
  <c r="J30" i="12"/>
  <c r="J34" i="12"/>
  <c r="J36" i="12"/>
  <c r="J29" i="12"/>
  <c r="J33" i="12"/>
  <c r="J37" i="12"/>
  <c r="J32" i="12"/>
  <c r="J35" i="12"/>
  <c r="J31" i="12"/>
  <c r="K26" i="12"/>
  <c r="K24" i="12"/>
  <c r="J25" i="12"/>
  <c r="K23" i="12"/>
  <c r="DA26" i="13"/>
  <c r="BN27" i="14"/>
  <c r="T7" i="14"/>
  <c r="Q57" i="22"/>
  <c r="H12" i="18"/>
  <c r="AT29" i="22"/>
  <c r="Q26" i="12"/>
  <c r="BP23" i="12"/>
  <c r="T13" i="13"/>
  <c r="U5" i="13"/>
  <c r="AK26" i="14"/>
  <c r="DB23" i="13"/>
  <c r="T6" i="22"/>
  <c r="D34" i="14"/>
  <c r="AI26" i="12"/>
  <c r="BN23" i="14"/>
  <c r="Q35" i="22"/>
  <c r="Q45" i="22"/>
  <c r="BM22" i="14"/>
  <c r="DA29" i="13"/>
  <c r="H5" i="18"/>
  <c r="Q51" i="22"/>
  <c r="AL26" i="14"/>
  <c r="BO24" i="12"/>
  <c r="BP24" i="12" s="1"/>
  <c r="AH26" i="14"/>
  <c r="DB26" i="13"/>
  <c r="D25" i="13"/>
  <c r="A26" i="13" s="1"/>
  <c r="T9" i="14"/>
  <c r="T14" i="13"/>
  <c r="H8" i="18"/>
  <c r="AT36" i="22"/>
  <c r="AK27" i="13"/>
  <c r="AT26" i="22"/>
  <c r="AT30" i="22"/>
  <c r="H14" i="18"/>
  <c r="S4" i="13"/>
  <c r="AT34" i="22"/>
  <c r="AF26" i="12"/>
  <c r="U5" i="14"/>
  <c r="DB29" i="13"/>
  <c r="Q62" i="22"/>
  <c r="AM26" i="12"/>
  <c r="Q61" i="22"/>
  <c r="Q52" i="13"/>
  <c r="E25" i="13"/>
  <c r="T8" i="22"/>
  <c r="AJ26" i="12"/>
  <c r="H9" i="18"/>
  <c r="E38" i="12"/>
  <c r="AT28" i="22"/>
  <c r="H6" i="18"/>
  <c r="U4" i="12"/>
  <c r="T7" i="22"/>
  <c r="Q48" i="22"/>
  <c r="D38" i="12"/>
  <c r="B39" i="12" s="1"/>
  <c r="Q48" i="13"/>
  <c r="E34" i="14"/>
  <c r="O24" i="22"/>
  <c r="Q24" i="22"/>
  <c r="Q23" i="14"/>
  <c r="G25" i="13"/>
  <c r="F34" i="14"/>
  <c r="F25" i="13"/>
  <c r="G34" i="14"/>
  <c r="Q24" i="13"/>
  <c r="F38" i="12"/>
  <c r="Q24" i="12"/>
  <c r="G38" i="12"/>
  <c r="G25" i="12"/>
  <c r="AO27" i="13"/>
  <c r="AL27" i="13"/>
  <c r="T5" i="14"/>
  <c r="T6" i="14"/>
  <c r="AQ26" i="12"/>
  <c r="AN26" i="12"/>
  <c r="AR26" i="12"/>
  <c r="AP27" i="13"/>
  <c r="AS27" i="13"/>
  <c r="AT27" i="13"/>
  <c r="AU26" i="12"/>
  <c r="AW27" i="13"/>
  <c r="AX27" i="13"/>
  <c r="AV26" i="12"/>
  <c r="AY26" i="12"/>
  <c r="AZ26" i="12"/>
  <c r="BA27" i="13"/>
  <c r="BC26" i="12"/>
  <c r="BB27" i="13"/>
  <c r="BE27" i="13"/>
  <c r="BF27" i="13"/>
  <c r="BD26" i="12"/>
  <c r="BG26" i="12"/>
  <c r="BI27" i="13"/>
  <c r="BJ27" i="13"/>
  <c r="BH26" i="12"/>
  <c r="BK26" i="12"/>
  <c r="BL26" i="12" s="1"/>
  <c r="BM27" i="13"/>
  <c r="BN27" i="13"/>
  <c r="BQ27" i="13"/>
  <c r="BR27" i="13"/>
  <c r="BU27" i="13"/>
  <c r="BV27" i="13"/>
  <c r="BY27" i="13"/>
  <c r="BZ27" i="13"/>
  <c r="CC27" i="13"/>
  <c r="CD27" i="13"/>
  <c r="CG27" i="13"/>
  <c r="CH27" i="13"/>
  <c r="CK27" i="13"/>
  <c r="CL27" i="13"/>
  <c r="CO27" i="13"/>
  <c r="CP27" i="13"/>
  <c r="CS27" i="13"/>
  <c r="CT27" i="13"/>
  <c r="CW27" i="13"/>
  <c r="CX27" i="13" s="1"/>
  <c r="N26" i="14" l="1"/>
  <c r="C39" i="12"/>
  <c r="H25" i="13"/>
  <c r="J25" i="13"/>
  <c r="K25" i="13" s="1"/>
  <c r="N25" i="13" s="1"/>
  <c r="H38" i="12"/>
  <c r="J38" i="12"/>
  <c r="P24" i="22"/>
  <c r="H34" i="14"/>
  <c r="J34" i="14"/>
  <c r="N29" i="14"/>
  <c r="S34" i="13"/>
  <c r="T34" i="13" s="1"/>
  <c r="N34" i="13"/>
  <c r="N28" i="14"/>
  <c r="N27" i="14"/>
  <c r="L24" i="13"/>
  <c r="S24" i="13" s="1"/>
  <c r="T24" i="13" s="1"/>
  <c r="M24" i="13"/>
  <c r="N24" i="14"/>
  <c r="S24" i="14"/>
  <c r="T24" i="14" s="1"/>
  <c r="N30" i="14"/>
  <c r="N31" i="14"/>
  <c r="L26" i="12"/>
  <c r="S26" i="12" s="1"/>
  <c r="T26" i="12" s="1"/>
  <c r="M26" i="12"/>
  <c r="M24" i="12"/>
  <c r="L24" i="12"/>
  <c r="S24" i="12" s="1"/>
  <c r="T24" i="12" s="1"/>
  <c r="M23" i="14"/>
  <c r="L23" i="14"/>
  <c r="S23" i="14" s="1"/>
  <c r="T23" i="14" s="1"/>
  <c r="P31" i="22"/>
  <c r="J31" i="22" s="1"/>
  <c r="K31" i="22" s="1"/>
  <c r="N25" i="14"/>
  <c r="J27" i="12"/>
  <c r="T32" i="12"/>
  <c r="K32" i="12"/>
  <c r="N32" i="12" s="1"/>
  <c r="K25" i="12"/>
  <c r="T25" i="12"/>
  <c r="T33" i="12"/>
  <c r="K33" i="12"/>
  <c r="N33" i="12" s="1"/>
  <c r="K31" i="12"/>
  <c r="N31" i="12" s="1"/>
  <c r="T31" i="12"/>
  <c r="K29" i="12"/>
  <c r="N29" i="12" s="1"/>
  <c r="T29" i="12"/>
  <c r="K36" i="12"/>
  <c r="N36" i="12" s="1"/>
  <c r="T36" i="12"/>
  <c r="T35" i="12"/>
  <c r="K35" i="12"/>
  <c r="N35" i="12" s="1"/>
  <c r="K34" i="12"/>
  <c r="N34" i="12" s="1"/>
  <c r="T34" i="12"/>
  <c r="K37" i="12"/>
  <c r="N37" i="12" s="1"/>
  <c r="T37" i="12"/>
  <c r="K30" i="12"/>
  <c r="N30" i="12" s="1"/>
  <c r="T30" i="12"/>
  <c r="K28" i="12"/>
  <c r="N28" i="12" s="1"/>
  <c r="T28" i="12"/>
  <c r="BN22" i="14"/>
  <c r="Q38" i="12"/>
  <c r="B26" i="13"/>
  <c r="U5" i="12"/>
  <c r="B35" i="14"/>
  <c r="Q34" i="14"/>
  <c r="D39" i="12"/>
  <c r="AO26" i="14"/>
  <c r="U6" i="13"/>
  <c r="DA27" i="13"/>
  <c r="BO26" i="12"/>
  <c r="BP26" i="12" s="1"/>
  <c r="Q25" i="13"/>
  <c r="E39" i="12"/>
  <c r="F39" i="12"/>
  <c r="G39" i="12"/>
  <c r="AP26" i="14"/>
  <c r="C35" i="14" l="1"/>
  <c r="C26" i="13"/>
  <c r="H39" i="12"/>
  <c r="J39" i="12"/>
  <c r="I34" i="14"/>
  <c r="K34" i="14" s="1"/>
  <c r="N34" i="14" s="1"/>
  <c r="M34" i="14"/>
  <c r="L34" i="14"/>
  <c r="S34" i="14" s="1"/>
  <c r="T34" i="14" s="1"/>
  <c r="I38" i="12"/>
  <c r="K38" i="12" s="1"/>
  <c r="N38" i="12" s="1"/>
  <c r="M38" i="12"/>
  <c r="L38" i="12"/>
  <c r="S38" i="12" s="1"/>
  <c r="T38" i="12" s="1"/>
  <c r="L25" i="13"/>
  <c r="S25" i="13" s="1"/>
  <c r="T25" i="13" s="1"/>
  <c r="M25" i="13"/>
  <c r="K27" i="12"/>
  <c r="N27" i="12" s="1"/>
  <c r="T27" i="12"/>
  <c r="DB27" i="13"/>
  <c r="B40" i="12"/>
  <c r="AS26" i="14"/>
  <c r="G35" i="14"/>
  <c r="F35" i="14"/>
  <c r="D35" i="14"/>
  <c r="E35" i="14"/>
  <c r="U7" i="13"/>
  <c r="T7" i="13"/>
  <c r="U8" i="13"/>
  <c r="U6" i="12"/>
  <c r="D26" i="13"/>
  <c r="E26" i="13"/>
  <c r="Q39" i="12"/>
  <c r="B27" i="13"/>
  <c r="F26" i="13"/>
  <c r="G26" i="13"/>
  <c r="AT26" i="14"/>
  <c r="AW26" i="14"/>
  <c r="AX26" i="14"/>
  <c r="BA26" i="14"/>
  <c r="BB26" i="14"/>
  <c r="BE26" i="14"/>
  <c r="BF26" i="14"/>
  <c r="BI26" i="14"/>
  <c r="BJ26" i="14"/>
  <c r="BM26" i="14"/>
  <c r="BN26" i="14"/>
  <c r="H35" i="14" l="1"/>
  <c r="J35" i="14"/>
  <c r="K35" i="14" s="1"/>
  <c r="N35" i="14" s="1"/>
  <c r="C40" i="12"/>
  <c r="C27" i="13"/>
  <c r="H26" i="13"/>
  <c r="L26" i="13" s="1"/>
  <c r="S26" i="13" s="1"/>
  <c r="J26" i="13"/>
  <c r="K26" i="13" s="1"/>
  <c r="N26" i="13" s="1"/>
  <c r="M35" i="14"/>
  <c r="I35" i="14"/>
  <c r="L35" i="14"/>
  <c r="S35" i="14" s="1"/>
  <c r="M39" i="12"/>
  <c r="I39" i="12"/>
  <c r="K39" i="12" s="1"/>
  <c r="N39" i="12" s="1"/>
  <c r="L39" i="12"/>
  <c r="S39" i="12" s="1"/>
  <c r="T39" i="12" s="1"/>
  <c r="B36" i="14"/>
  <c r="E40" i="12"/>
  <c r="E27" i="13"/>
  <c r="D27" i="13"/>
  <c r="Q35" i="14"/>
  <c r="D40" i="12"/>
  <c r="U9" i="13"/>
  <c r="B28" i="13"/>
  <c r="Q26" i="13"/>
  <c r="U7" i="12"/>
  <c r="F27" i="13"/>
  <c r="G27" i="13"/>
  <c r="G40" i="12"/>
  <c r="F40" i="12"/>
  <c r="T35" i="14" l="1"/>
  <c r="C36" i="14"/>
  <c r="T26" i="13"/>
  <c r="H40" i="12"/>
  <c r="I40" i="12" s="1"/>
  <c r="J40" i="12"/>
  <c r="M26" i="13"/>
  <c r="C28" i="13"/>
  <c r="H27" i="13"/>
  <c r="M27" i="13" s="1"/>
  <c r="J27" i="13"/>
  <c r="K27" i="13"/>
  <c r="N27" i="13" s="1"/>
  <c r="E28" i="13"/>
  <c r="B41" i="12"/>
  <c r="Q40" i="12"/>
  <c r="F36" i="14"/>
  <c r="G36" i="14"/>
  <c r="D36" i="14"/>
  <c r="E36" i="14"/>
  <c r="U10" i="13"/>
  <c r="U8" i="12"/>
  <c r="Q27" i="13"/>
  <c r="D28" i="13"/>
  <c r="F28" i="13"/>
  <c r="G28" i="13"/>
  <c r="B37" i="14"/>
  <c r="C37" i="14" l="1"/>
  <c r="H36" i="14"/>
  <c r="J36" i="14"/>
  <c r="K40" i="12"/>
  <c r="N40" i="12" s="1"/>
  <c r="L27" i="13"/>
  <c r="S27" i="13" s="1"/>
  <c r="T27" i="13" s="1"/>
  <c r="L40" i="12"/>
  <c r="S40" i="12" s="1"/>
  <c r="T40" i="12" s="1"/>
  <c r="M40" i="12"/>
  <c r="C41" i="12"/>
  <c r="H28" i="13"/>
  <c r="M28" i="13" s="1"/>
  <c r="J28" i="13"/>
  <c r="K28" i="13" s="1"/>
  <c r="N28" i="13" s="1"/>
  <c r="G37" i="14"/>
  <c r="F37" i="14"/>
  <c r="D37" i="14"/>
  <c r="E37" i="14"/>
  <c r="B29" i="13"/>
  <c r="Q36" i="14"/>
  <c r="Q28" i="13"/>
  <c r="E41" i="12"/>
  <c r="D41" i="12"/>
  <c r="U9" i="12"/>
  <c r="U11" i="13"/>
  <c r="G41" i="12"/>
  <c r="F41" i="12"/>
  <c r="B38" i="14"/>
  <c r="C38" i="14" l="1"/>
  <c r="C29" i="13"/>
  <c r="H37" i="14"/>
  <c r="J37" i="14"/>
  <c r="L36" i="14"/>
  <c r="S36" i="14" s="1"/>
  <c r="T36" i="14" s="1"/>
  <c r="I36" i="14"/>
  <c r="K36" i="14" s="1"/>
  <c r="N36" i="14" s="1"/>
  <c r="M36" i="14"/>
  <c r="H41" i="12"/>
  <c r="J41" i="12"/>
  <c r="L28" i="13"/>
  <c r="S28" i="13" s="1"/>
  <c r="T28" i="13" s="1"/>
  <c r="T11" i="13"/>
  <c r="Q41" i="12"/>
  <c r="T12" i="13"/>
  <c r="G29" i="13"/>
  <c r="F29" i="13"/>
  <c r="E29" i="13"/>
  <c r="D29" i="13"/>
  <c r="U10" i="12"/>
  <c r="G38" i="14"/>
  <c r="F38" i="14"/>
  <c r="D38" i="14"/>
  <c r="E38" i="14"/>
  <c r="B42" i="12"/>
  <c r="Q37" i="14"/>
  <c r="B30" i="13"/>
  <c r="C30" i="13" l="1"/>
  <c r="H38" i="14"/>
  <c r="L38" i="14" s="1"/>
  <c r="S38" i="14" s="1"/>
  <c r="J38" i="14"/>
  <c r="H29" i="13"/>
  <c r="J29" i="13"/>
  <c r="K29" i="13" s="1"/>
  <c r="N29" i="13" s="1"/>
  <c r="M37" i="14"/>
  <c r="I37" i="14"/>
  <c r="K37" i="14" s="1"/>
  <c r="N37" i="14" s="1"/>
  <c r="L37" i="14"/>
  <c r="S37" i="14" s="1"/>
  <c r="T37" i="14" s="1"/>
  <c r="C42" i="12"/>
  <c r="M41" i="12"/>
  <c r="I41" i="12"/>
  <c r="K41" i="12" s="1"/>
  <c r="N41" i="12" s="1"/>
  <c r="L41" i="12"/>
  <c r="S41" i="12" s="1"/>
  <c r="T41" i="12" s="1"/>
  <c r="G30" i="13"/>
  <c r="F30" i="13"/>
  <c r="D30" i="13"/>
  <c r="E30" i="13"/>
  <c r="U11" i="12"/>
  <c r="Q38" i="14"/>
  <c r="Q29" i="13"/>
  <c r="E42" i="12"/>
  <c r="D42" i="12"/>
  <c r="F42" i="12"/>
  <c r="G42" i="12"/>
  <c r="B31" i="13"/>
  <c r="C31" i="13" l="1"/>
  <c r="H30" i="13"/>
  <c r="J30" i="13"/>
  <c r="K30" i="13" s="1"/>
  <c r="N30" i="13" s="1"/>
  <c r="M38" i="14"/>
  <c r="K38" i="14"/>
  <c r="M29" i="13"/>
  <c r="L29" i="13"/>
  <c r="S29" i="13" s="1"/>
  <c r="T29" i="13" s="1"/>
  <c r="I38" i="14"/>
  <c r="T38" i="14"/>
  <c r="H42" i="12"/>
  <c r="J42" i="12"/>
  <c r="L30" i="13"/>
  <c r="S30" i="13" s="1"/>
  <c r="T30" i="13" s="1"/>
  <c r="G31" i="13"/>
  <c r="F31" i="13"/>
  <c r="D31" i="13"/>
  <c r="E31" i="13"/>
  <c r="Q30" i="13"/>
  <c r="U20" i="14"/>
  <c r="V4" i="14" s="1"/>
  <c r="Q42" i="12"/>
  <c r="B43" i="12"/>
  <c r="U12" i="12"/>
  <c r="V5" i="14"/>
  <c r="Y4" i="14" l="1"/>
  <c r="S3" i="14" s="1"/>
  <c r="Y6" i="14" s="1"/>
  <c r="V6" i="14" s="1"/>
  <c r="H31" i="13"/>
  <c r="J31" i="13"/>
  <c r="K31" i="13" s="1"/>
  <c r="N31" i="13" s="1"/>
  <c r="N38" i="14"/>
  <c r="M30" i="13"/>
  <c r="C43" i="12"/>
  <c r="I42" i="12"/>
  <c r="K42" i="12" s="1"/>
  <c r="N42" i="12" s="1"/>
  <c r="M42" i="12"/>
  <c r="L42" i="12"/>
  <c r="S42" i="12" s="1"/>
  <c r="T42" i="12" s="1"/>
  <c r="Y5" i="14"/>
  <c r="B32" i="13"/>
  <c r="D43" i="12"/>
  <c r="B44" i="12"/>
  <c r="Q31" i="13"/>
  <c r="O21" i="14"/>
  <c r="U13" i="12"/>
  <c r="E43" i="12"/>
  <c r="G43" i="12"/>
  <c r="F43" i="12"/>
  <c r="O32" i="14"/>
  <c r="O41" i="14"/>
  <c r="O29" i="14"/>
  <c r="O44" i="14"/>
  <c r="O28" i="14"/>
  <c r="O31" i="14"/>
  <c r="O22" i="14"/>
  <c r="O26" i="14"/>
  <c r="O35" i="14"/>
  <c r="O30" i="14"/>
  <c r="O39" i="14"/>
  <c r="O36" i="14"/>
  <c r="O24" i="14"/>
  <c r="O37" i="14"/>
  <c r="O27" i="14"/>
  <c r="O25" i="14"/>
  <c r="O33" i="14"/>
  <c r="O43" i="14"/>
  <c r="O42" i="14"/>
  <c r="O34" i="14"/>
  <c r="O40" i="14"/>
  <c r="O23" i="14"/>
  <c r="O38" i="14"/>
  <c r="R38" i="14" l="1"/>
  <c r="P38" i="14"/>
  <c r="R23" i="14"/>
  <c r="P23" i="14"/>
  <c r="R34" i="14"/>
  <c r="P34" i="14"/>
  <c r="R33" i="14"/>
  <c r="P33" i="14"/>
  <c r="P25" i="14"/>
  <c r="R25" i="14"/>
  <c r="R27" i="14"/>
  <c r="P27" i="14"/>
  <c r="R37" i="14"/>
  <c r="P37" i="14"/>
  <c r="R24" i="14"/>
  <c r="P24" i="14"/>
  <c r="R36" i="14"/>
  <c r="P36" i="14"/>
  <c r="R30" i="14"/>
  <c r="P30" i="14"/>
  <c r="R35" i="14"/>
  <c r="P35" i="14"/>
  <c r="R26" i="14"/>
  <c r="P26" i="14"/>
  <c r="R22" i="14"/>
  <c r="P22" i="14"/>
  <c r="R31" i="14"/>
  <c r="P31" i="14"/>
  <c r="R28" i="14"/>
  <c r="P28" i="14"/>
  <c r="R29" i="14"/>
  <c r="P29" i="14"/>
  <c r="R32" i="14"/>
  <c r="P32" i="14"/>
  <c r="C32" i="13"/>
  <c r="Y7" i="14"/>
  <c r="V7" i="14" s="1"/>
  <c r="Y8" i="14"/>
  <c r="V8" i="14" s="1"/>
  <c r="M31" i="13"/>
  <c r="L31" i="13"/>
  <c r="S31" i="13" s="1"/>
  <c r="T31" i="13" s="1"/>
  <c r="Y9" i="14"/>
  <c r="V9" i="14" s="1"/>
  <c r="C44" i="12"/>
  <c r="H43" i="12"/>
  <c r="J43" i="12"/>
  <c r="Q43" i="12"/>
  <c r="E44" i="12"/>
  <c r="D44" i="12"/>
  <c r="B45" i="12" s="1"/>
  <c r="F32" i="13"/>
  <c r="G32" i="13"/>
  <c r="D32" i="13"/>
  <c r="E32" i="13"/>
  <c r="U2" i="14"/>
  <c r="F44" i="12"/>
  <c r="G44" i="12"/>
  <c r="B33" i="13"/>
  <c r="BC23" i="14"/>
  <c r="J40" i="14"/>
  <c r="J42" i="14"/>
  <c r="BC25" i="14"/>
  <c r="J44" i="14"/>
  <c r="BC29" i="14"/>
  <c r="BC28" i="14"/>
  <c r="BC26" i="14"/>
  <c r="BC31" i="14"/>
  <c r="J39" i="14"/>
  <c r="BC22" i="14"/>
  <c r="J43" i="14"/>
  <c r="BC27" i="14"/>
  <c r="J41" i="14"/>
  <c r="BC30" i="14"/>
  <c r="BC24" i="14"/>
  <c r="K41" i="14" l="1"/>
  <c r="P41" i="14"/>
  <c r="R41" i="14"/>
  <c r="T41" i="14"/>
  <c r="K48" i="14"/>
  <c r="R43" i="14"/>
  <c r="K43" i="14"/>
  <c r="K50" i="14"/>
  <c r="P43" i="14"/>
  <c r="T43" i="14"/>
  <c r="P39" i="14"/>
  <c r="K46" i="14"/>
  <c r="K39" i="14"/>
  <c r="T39" i="14"/>
  <c r="R39" i="14"/>
  <c r="T44" i="14"/>
  <c r="P44" i="14"/>
  <c r="R44" i="14"/>
  <c r="K51" i="14"/>
  <c r="K44" i="14"/>
  <c r="R42" i="14"/>
  <c r="T42" i="14"/>
  <c r="P42" i="14"/>
  <c r="K42" i="14"/>
  <c r="K49" i="14"/>
  <c r="P40" i="14"/>
  <c r="K40" i="14"/>
  <c r="K47" i="14"/>
  <c r="R40" i="14"/>
  <c r="T40" i="14"/>
  <c r="C33" i="13"/>
  <c r="H32" i="13"/>
  <c r="J32" i="13"/>
  <c r="K32" i="13" s="1"/>
  <c r="N32" i="13" s="1"/>
  <c r="C45" i="12"/>
  <c r="H44" i="12"/>
  <c r="J44" i="12"/>
  <c r="I43" i="12"/>
  <c r="K43" i="12" s="1"/>
  <c r="N43" i="12" s="1"/>
  <c r="M43" i="12"/>
  <c r="L43" i="12"/>
  <c r="S43" i="12" s="1"/>
  <c r="T43" i="12" s="1"/>
  <c r="Q44" i="12"/>
  <c r="Q32" i="13"/>
  <c r="D45" i="12"/>
  <c r="B46" i="12" s="1"/>
  <c r="E45" i="12"/>
  <c r="U19" i="14"/>
  <c r="U22" i="14" a="1"/>
  <c r="G33" i="13"/>
  <c r="F33" i="13"/>
  <c r="D33" i="13"/>
  <c r="E33" i="13"/>
  <c r="F45" i="12"/>
  <c r="G45" i="12"/>
  <c r="BH31" i="14"/>
  <c r="AZ22" i="14"/>
  <c r="AF26" i="14"/>
  <c r="BL30" i="14"/>
  <c r="E15" i="18"/>
  <c r="E17" i="18"/>
  <c r="AR23" i="14"/>
  <c r="AZ24" i="14"/>
  <c r="BL25" i="14"/>
  <c r="AF25" i="14"/>
  <c r="AZ29" i="14"/>
  <c r="AV22" i="14"/>
  <c r="AJ29" i="14"/>
  <c r="AR28" i="14"/>
  <c r="AJ27" i="14"/>
  <c r="E14" i="18"/>
  <c r="AJ28" i="14"/>
  <c r="BL24" i="14"/>
  <c r="AZ31" i="14"/>
  <c r="AN29" i="14"/>
  <c r="AZ26" i="14"/>
  <c r="AF23" i="14"/>
  <c r="AJ22" i="14"/>
  <c r="AR24" i="14"/>
  <c r="BL28" i="14"/>
  <c r="E13" i="18"/>
  <c r="E16" i="18"/>
  <c r="AV31" i="14"/>
  <c r="BH27" i="14"/>
  <c r="BD24" i="14"/>
  <c r="AN23" i="14"/>
  <c r="BL29" i="14"/>
  <c r="BD30" i="14"/>
  <c r="BH25" i="14"/>
  <c r="BD31" i="14"/>
  <c r="BL23" i="14"/>
  <c r="AV27" i="14"/>
  <c r="AV30" i="14"/>
  <c r="AF28" i="14"/>
  <c r="AJ26" i="14"/>
  <c r="AZ23" i="14"/>
  <c r="E9" i="18"/>
  <c r="AZ28" i="14"/>
  <c r="AJ30" i="14"/>
  <c r="AZ25" i="14"/>
  <c r="BL31" i="14"/>
  <c r="AN27" i="14"/>
  <c r="AR25" i="14"/>
  <c r="AF22" i="14"/>
  <c r="E11" i="18"/>
  <c r="E5" i="18"/>
  <c r="AN31" i="14"/>
  <c r="AN25" i="14"/>
  <c r="AJ31" i="14"/>
  <c r="E7" i="18"/>
  <c r="AF29" i="14"/>
  <c r="AR31" i="14"/>
  <c r="BD22" i="14"/>
  <c r="BD25" i="14"/>
  <c r="AV23" i="14"/>
  <c r="BD23" i="14"/>
  <c r="AF27" i="14"/>
  <c r="E10" i="18"/>
  <c r="BL22" i="14"/>
  <c r="AJ25" i="14"/>
  <c r="BD28" i="14"/>
  <c r="AR29" i="14"/>
  <c r="AN22" i="14"/>
  <c r="AN26" i="14"/>
  <c r="AF24" i="14"/>
  <c r="AZ27" i="14"/>
  <c r="BH24" i="14"/>
  <c r="BH28" i="14"/>
  <c r="AN28" i="14"/>
  <c r="BH30" i="14"/>
  <c r="AN30" i="14"/>
  <c r="BD26" i="14"/>
  <c r="AV25" i="14"/>
  <c r="BH23" i="14"/>
  <c r="E6" i="18"/>
  <c r="AJ23" i="14"/>
  <c r="AV26" i="14"/>
  <c r="BL27" i="14"/>
  <c r="AR22" i="14"/>
  <c r="AV28" i="14"/>
  <c r="BH26" i="14"/>
  <c r="AN24" i="14"/>
  <c r="AJ24" i="14"/>
  <c r="E12" i="18"/>
  <c r="AV24" i="14"/>
  <c r="V21" i="14"/>
  <c r="AR30" i="14"/>
  <c r="AR26" i="14"/>
  <c r="AF31" i="14"/>
  <c r="BD27" i="14"/>
  <c r="AR27" i="14"/>
  <c r="E8" i="18"/>
  <c r="AZ30" i="14"/>
  <c r="BD29" i="14"/>
  <c r="BH29" i="14"/>
  <c r="BH22" i="14"/>
  <c r="AV29" i="14"/>
  <c r="AF30" i="14"/>
  <c r="BL26" i="14"/>
  <c r="BK26" i="14" l="1"/>
  <c r="BG26" i="14" s="1"/>
  <c r="AY30" i="14"/>
  <c r="AU30" i="14" s="1"/>
  <c r="AQ30" i="14" s="1"/>
  <c r="AM30" i="14" s="1"/>
  <c r="AI30" i="14" s="1"/>
  <c r="AE30" i="14" s="1"/>
  <c r="AB30" i="14" s="1"/>
  <c r="Z30" i="14" s="1"/>
  <c r="I8" i="18"/>
  <c r="O8" i="18" s="1"/>
  <c r="I12" i="18"/>
  <c r="O12" i="18" s="1"/>
  <c r="BK27" i="14"/>
  <c r="BG27" i="14" s="1"/>
  <c r="I6" i="18"/>
  <c r="O6" i="18" s="1"/>
  <c r="AY27" i="14"/>
  <c r="AU27" i="14" s="1"/>
  <c r="AQ27" i="14" s="1"/>
  <c r="AM27" i="14" s="1"/>
  <c r="AI27" i="14" s="1"/>
  <c r="AE27" i="14" s="1"/>
  <c r="AB27" i="14" s="1"/>
  <c r="C12" i="9" s="1"/>
  <c r="H12" i="9" s="1"/>
  <c r="BK22" i="14"/>
  <c r="BG22" i="14" s="1"/>
  <c r="I10" i="18"/>
  <c r="O10" i="18" s="1"/>
  <c r="I7" i="18"/>
  <c r="O7" i="18" s="1"/>
  <c r="I5" i="18"/>
  <c r="O5" i="18" s="1"/>
  <c r="I11" i="18"/>
  <c r="O11" i="18" s="1"/>
  <c r="BK31" i="14"/>
  <c r="BG31" i="14" s="1"/>
  <c r="AY25" i="14"/>
  <c r="AU25" i="14" s="1"/>
  <c r="AQ25" i="14" s="1"/>
  <c r="AM25" i="14" s="1"/>
  <c r="AI25" i="14" s="1"/>
  <c r="AE25" i="14" s="1"/>
  <c r="AB25" i="14" s="1"/>
  <c r="Z25" i="14" s="1"/>
  <c r="AY28" i="14"/>
  <c r="AU28" i="14" s="1"/>
  <c r="AQ28" i="14" s="1"/>
  <c r="AM28" i="14" s="1"/>
  <c r="AI28" i="14" s="1"/>
  <c r="AE28" i="14" s="1"/>
  <c r="AB28" i="14" s="1"/>
  <c r="C13" i="9" s="1"/>
  <c r="H13" i="9" s="1"/>
  <c r="I9" i="18"/>
  <c r="O9" i="18" s="1"/>
  <c r="AY23" i="14"/>
  <c r="AU23" i="14" s="1"/>
  <c r="AQ23" i="14" s="1"/>
  <c r="AM23" i="14" s="1"/>
  <c r="AI23" i="14" s="1"/>
  <c r="AE23" i="14" s="1"/>
  <c r="AB23" i="14" s="1"/>
  <c r="C8" i="9" s="1"/>
  <c r="H8" i="9" s="1"/>
  <c r="BK23" i="14"/>
  <c r="BG23" i="14" s="1"/>
  <c r="BK29" i="14"/>
  <c r="BG29" i="14" s="1"/>
  <c r="I16" i="18"/>
  <c r="O16" i="18" s="1"/>
  <c r="I13" i="18"/>
  <c r="O13" i="18" s="1"/>
  <c r="BK28" i="14"/>
  <c r="BG28" i="14" s="1"/>
  <c r="AY26" i="14"/>
  <c r="AU26" i="14" s="1"/>
  <c r="AQ26" i="14" s="1"/>
  <c r="AM26" i="14" s="1"/>
  <c r="AI26" i="14" s="1"/>
  <c r="AE26" i="14" s="1"/>
  <c r="AB26" i="14" s="1"/>
  <c r="Z26" i="14" s="1"/>
  <c r="AY31" i="14"/>
  <c r="AU31" i="14" s="1"/>
  <c r="AQ31" i="14" s="1"/>
  <c r="AM31" i="14" s="1"/>
  <c r="AI31" i="14" s="1"/>
  <c r="AE31" i="14" s="1"/>
  <c r="AB31" i="14" s="1"/>
  <c r="C16" i="9" s="1"/>
  <c r="H16" i="9" s="1"/>
  <c r="BK24" i="14"/>
  <c r="BG24" i="14" s="1"/>
  <c r="I14" i="18"/>
  <c r="O14" i="18" s="1"/>
  <c r="AY29" i="14"/>
  <c r="AU29" i="14" s="1"/>
  <c r="AQ29" i="14" s="1"/>
  <c r="AM29" i="14" s="1"/>
  <c r="AI29" i="14" s="1"/>
  <c r="AE29" i="14" s="1"/>
  <c r="AB29" i="14" s="1"/>
  <c r="C14" i="9" s="1"/>
  <c r="H14" i="9" s="1"/>
  <c r="BK25" i="14"/>
  <c r="BG25" i="14" s="1"/>
  <c r="AY24" i="14"/>
  <c r="AU24" i="14" s="1"/>
  <c r="AQ24" i="14" s="1"/>
  <c r="AM24" i="14" s="1"/>
  <c r="AI24" i="14" s="1"/>
  <c r="AE24" i="14" s="1"/>
  <c r="AB24" i="14" s="1"/>
  <c r="Z24" i="14" s="1"/>
  <c r="I17" i="18"/>
  <c r="O17" i="18" s="1"/>
  <c r="I15" i="18"/>
  <c r="O15" i="18" s="1"/>
  <c r="BK30" i="14"/>
  <c r="BG30" i="14" s="1"/>
  <c r="AY22" i="14"/>
  <c r="AU22" i="14" s="1"/>
  <c r="AQ22" i="14" s="1"/>
  <c r="AM22" i="14" s="1"/>
  <c r="AI22" i="14" s="1"/>
  <c r="AE22" i="14" s="1"/>
  <c r="AB22" i="14" s="1"/>
  <c r="Z22" i="14" s="1"/>
  <c r="H33" i="13"/>
  <c r="J33" i="13"/>
  <c r="K33" i="13" s="1"/>
  <c r="N33" i="13" s="1"/>
  <c r="U23" i="14"/>
  <c r="U40" i="14"/>
  <c r="U28" i="14"/>
  <c r="U35" i="14"/>
  <c r="U31" i="14"/>
  <c r="U24" i="14"/>
  <c r="U39" i="14"/>
  <c r="U29" i="14"/>
  <c r="U22" i="14"/>
  <c r="U38" i="14"/>
  <c r="U32" i="14"/>
  <c r="U27" i="14"/>
  <c r="U25" i="14"/>
  <c r="U42" i="14"/>
  <c r="U33" i="14"/>
  <c r="U34" i="14"/>
  <c r="U30" i="14"/>
  <c r="U43" i="14"/>
  <c r="U36" i="14"/>
  <c r="U26" i="14"/>
  <c r="U37" i="14"/>
  <c r="U41" i="14"/>
  <c r="U44" i="14"/>
  <c r="I37" i="13"/>
  <c r="K37" i="13" s="1"/>
  <c r="N37" i="13" s="1"/>
  <c r="M32" i="13"/>
  <c r="L32" i="13"/>
  <c r="S32" i="13" s="1"/>
  <c r="T32" i="13" s="1"/>
  <c r="I38" i="13"/>
  <c r="K38" i="13" s="1"/>
  <c r="N38" i="13" s="1"/>
  <c r="I35" i="13"/>
  <c r="K35" i="13" s="1"/>
  <c r="N35" i="13" s="1"/>
  <c r="I39" i="13"/>
  <c r="K39" i="13" s="1"/>
  <c r="N39" i="13" s="1"/>
  <c r="I41" i="13"/>
  <c r="K41" i="13" s="1"/>
  <c r="N41" i="13" s="1"/>
  <c r="I36" i="13"/>
  <c r="K36" i="13" s="1"/>
  <c r="N36" i="13" s="1"/>
  <c r="C46" i="12"/>
  <c r="H45" i="12"/>
  <c r="J45" i="12"/>
  <c r="M44" i="12"/>
  <c r="I44" i="12"/>
  <c r="K44" i="12" s="1"/>
  <c r="N44" i="12" s="1"/>
  <c r="L44" i="12"/>
  <c r="S44" i="12" s="1"/>
  <c r="T44" i="12" s="1"/>
  <c r="J8" i="18"/>
  <c r="Z27" i="14"/>
  <c r="J16" i="18"/>
  <c r="J12" i="18"/>
  <c r="J14" i="18"/>
  <c r="Z23" i="14"/>
  <c r="C15" i="9"/>
  <c r="H15" i="9" s="1"/>
  <c r="C7" i="9"/>
  <c r="H7" i="9" s="1"/>
  <c r="I8" i="9"/>
  <c r="E46" i="12"/>
  <c r="Q33" i="13"/>
  <c r="D46" i="12"/>
  <c r="P17" i="18"/>
  <c r="P15" i="18"/>
  <c r="P9" i="18"/>
  <c r="P8" i="18"/>
  <c r="Q45" i="12"/>
  <c r="P16" i="18"/>
  <c r="B47" i="12"/>
  <c r="I12" i="9"/>
  <c r="P5" i="18"/>
  <c r="I13" i="9"/>
  <c r="P12" i="18"/>
  <c r="P13" i="18"/>
  <c r="P14" i="18"/>
  <c r="P6" i="18"/>
  <c r="P10" i="18"/>
  <c r="I14" i="9"/>
  <c r="I16" i="9"/>
  <c r="P7" i="18"/>
  <c r="P11" i="18"/>
  <c r="I15" i="9"/>
  <c r="F46" i="12"/>
  <c r="G46" i="12"/>
  <c r="I7" i="9"/>
  <c r="J15" i="18" l="1"/>
  <c r="J13" i="18"/>
  <c r="Z31" i="14"/>
  <c r="J9" i="18"/>
  <c r="J5" i="18"/>
  <c r="J10" i="18"/>
  <c r="J7" i="18"/>
  <c r="J11" i="18"/>
  <c r="J6" i="18"/>
  <c r="C10" i="9"/>
  <c r="H10" i="9" s="1"/>
  <c r="C11" i="9"/>
  <c r="H11" i="9" s="1"/>
  <c r="Z29" i="14"/>
  <c r="Z28" i="14"/>
  <c r="I40" i="13"/>
  <c r="K40" i="13" s="1"/>
  <c r="M33" i="13"/>
  <c r="I34" i="13"/>
  <c r="L33" i="13"/>
  <c r="S33" i="13" s="1"/>
  <c r="T33" i="13" s="1"/>
  <c r="C9" i="9"/>
  <c r="H9" i="9" s="1"/>
  <c r="J17" i="18"/>
  <c r="C47" i="12"/>
  <c r="H46" i="12"/>
  <c r="J46" i="12"/>
  <c r="M45" i="12"/>
  <c r="L45" i="12"/>
  <c r="S45" i="12" s="1"/>
  <c r="T45" i="12" s="1"/>
  <c r="I45" i="12"/>
  <c r="K45" i="12" s="1"/>
  <c r="N45" i="12" s="1"/>
  <c r="I10" i="9"/>
  <c r="I11" i="9"/>
  <c r="U21" i="13"/>
  <c r="V4" i="13" s="1"/>
  <c r="E47" i="12"/>
  <c r="D47" i="12"/>
  <c r="B48" i="12" s="1"/>
  <c r="I9" i="9"/>
  <c r="Q46" i="12"/>
  <c r="V5" i="13"/>
  <c r="F47" i="12"/>
  <c r="G47" i="12"/>
  <c r="Y4" i="13" l="1"/>
  <c r="S3" i="13" s="1"/>
  <c r="Y14" i="13" s="1"/>
  <c r="V14" i="13" s="1"/>
  <c r="N40" i="13"/>
  <c r="Y5" i="13"/>
  <c r="C48" i="12"/>
  <c r="H47" i="12"/>
  <c r="J47" i="12"/>
  <c r="I46" i="12"/>
  <c r="K46" i="12" s="1"/>
  <c r="N46" i="12" s="1"/>
  <c r="L46" i="12"/>
  <c r="S46" i="12" s="1"/>
  <c r="T46" i="12" s="1"/>
  <c r="M46" i="12"/>
  <c r="O22" i="13"/>
  <c r="D48" i="12"/>
  <c r="Q47" i="12"/>
  <c r="E48" i="12"/>
  <c r="B49" i="12"/>
  <c r="V6" i="13"/>
  <c r="G48" i="12"/>
  <c r="F48" i="12"/>
  <c r="O44" i="13"/>
  <c r="O28" i="13"/>
  <c r="O41" i="13"/>
  <c r="O27" i="13"/>
  <c r="O48" i="13"/>
  <c r="O39" i="13"/>
  <c r="O52" i="13"/>
  <c r="O47" i="13"/>
  <c r="O30" i="13"/>
  <c r="O31" i="13"/>
  <c r="O33" i="13"/>
  <c r="O32" i="13"/>
  <c r="O37" i="13"/>
  <c r="O23" i="13"/>
  <c r="O51" i="13"/>
  <c r="O49" i="13"/>
  <c r="O42" i="13"/>
  <c r="O36" i="13"/>
  <c r="O46" i="13"/>
  <c r="O45" i="13"/>
  <c r="O25" i="13"/>
  <c r="O43" i="13"/>
  <c r="O38" i="13"/>
  <c r="O35" i="13"/>
  <c r="O34" i="13"/>
  <c r="O29" i="13"/>
  <c r="O24" i="13"/>
  <c r="O50" i="13"/>
  <c r="O40" i="13"/>
  <c r="O26" i="13"/>
  <c r="R26" i="13" l="1"/>
  <c r="P26" i="13"/>
  <c r="R40" i="13"/>
  <c r="P40" i="13"/>
  <c r="P24" i="13"/>
  <c r="R24" i="13"/>
  <c r="P29" i="13"/>
  <c r="R29" i="13"/>
  <c r="R34" i="13"/>
  <c r="P34" i="13"/>
  <c r="P35" i="13"/>
  <c r="R35" i="13"/>
  <c r="P38" i="13"/>
  <c r="R38" i="13"/>
  <c r="P25" i="13"/>
  <c r="R25" i="13"/>
  <c r="P36" i="13"/>
  <c r="R36" i="13"/>
  <c r="R23" i="13"/>
  <c r="P23" i="13"/>
  <c r="R37" i="13"/>
  <c r="P37" i="13"/>
  <c r="R32" i="13"/>
  <c r="P32" i="13"/>
  <c r="P33" i="13"/>
  <c r="R33" i="13"/>
  <c r="P31" i="13"/>
  <c r="R31" i="13"/>
  <c r="R30" i="13"/>
  <c r="P30" i="13"/>
  <c r="R39" i="13"/>
  <c r="P39" i="13"/>
  <c r="R27" i="13"/>
  <c r="P27" i="13"/>
  <c r="P41" i="13"/>
  <c r="R41" i="13"/>
  <c r="P28" i="13"/>
  <c r="R28" i="13"/>
  <c r="Y13" i="13"/>
  <c r="V13" i="13" s="1"/>
  <c r="Y12" i="13"/>
  <c r="V12" i="13" s="1"/>
  <c r="Y6" i="13"/>
  <c r="C49" i="12"/>
  <c r="H48" i="12"/>
  <c r="J48" i="12"/>
  <c r="M47" i="12"/>
  <c r="L47" i="12"/>
  <c r="S47" i="12" s="1"/>
  <c r="T47" i="12" s="1"/>
  <c r="I47" i="12"/>
  <c r="K47" i="12" s="1"/>
  <c r="N47" i="12" s="1"/>
  <c r="D49" i="12"/>
  <c r="Q48" i="12"/>
  <c r="E49" i="12"/>
  <c r="V7" i="13"/>
  <c r="F49" i="12"/>
  <c r="G49" i="12"/>
  <c r="Y7" i="13" l="1"/>
  <c r="H49" i="12"/>
  <c r="J49" i="12"/>
  <c r="L48" i="12"/>
  <c r="S48" i="12" s="1"/>
  <c r="T48" i="12" s="1"/>
  <c r="I48" i="12"/>
  <c r="K48" i="12" s="1"/>
  <c r="N48" i="12" s="1"/>
  <c r="M48" i="12"/>
  <c r="Q49" i="12"/>
  <c r="V8" i="13"/>
  <c r="P3" i="18"/>
  <c r="V22" i="14" a="1"/>
  <c r="Y8" i="13" l="1"/>
  <c r="M49" i="12"/>
  <c r="L49" i="12"/>
  <c r="S49" i="12" s="1"/>
  <c r="T49" i="12" s="1"/>
  <c r="I49" i="12"/>
  <c r="K49" i="12" s="1"/>
  <c r="V41" i="14"/>
  <c r="V34" i="14"/>
  <c r="V33" i="14"/>
  <c r="V26" i="14"/>
  <c r="V36" i="14"/>
  <c r="V31" i="14"/>
  <c r="V29" i="14"/>
  <c r="V44" i="14"/>
  <c r="V38" i="14"/>
  <c r="V43" i="14"/>
  <c r="V22" i="14"/>
  <c r="V32" i="14"/>
  <c r="V42" i="14"/>
  <c r="V24" i="14"/>
  <c r="V37" i="14"/>
  <c r="V39" i="14"/>
  <c r="V35" i="14"/>
  <c r="V27" i="14"/>
  <c r="V23" i="14"/>
  <c r="V40" i="14"/>
  <c r="V28" i="14"/>
  <c r="V25" i="14"/>
  <c r="V30" i="14"/>
  <c r="V9" i="13"/>
  <c r="U23" i="12" a="1"/>
  <c r="U21" i="12"/>
  <c r="AD23" i="12"/>
  <c r="AB46" i="12"/>
  <c r="AD26" i="12"/>
  <c r="AX27" i="12"/>
  <c r="AB45" i="12"/>
  <c r="BF25" i="12"/>
  <c r="BF27" i="12"/>
  <c r="BF26" i="12"/>
  <c r="AX23" i="12"/>
  <c r="BJ26" i="12"/>
  <c r="V3" i="12"/>
  <c r="AT27" i="12"/>
  <c r="BB24" i="12"/>
  <c r="AB41" i="12"/>
  <c r="AL24" i="12"/>
  <c r="AT26" i="12"/>
  <c r="AX25" i="12"/>
  <c r="AT24" i="12"/>
  <c r="BF23" i="12"/>
  <c r="AB38" i="12"/>
  <c r="AH26" i="12"/>
  <c r="AX26" i="12"/>
  <c r="AL23" i="12"/>
  <c r="AD24" i="12"/>
  <c r="AP25" i="12"/>
  <c r="AH23" i="12"/>
  <c r="BJ23" i="12"/>
  <c r="BB26" i="12"/>
  <c r="AH24" i="12"/>
  <c r="AL27" i="12"/>
  <c r="AP23" i="12"/>
  <c r="AH27" i="12"/>
  <c r="AP24" i="12"/>
  <c r="AX24" i="12"/>
  <c r="BB27" i="12"/>
  <c r="AL26" i="12"/>
  <c r="AL25" i="12"/>
  <c r="AP27" i="12"/>
  <c r="AD25" i="12"/>
  <c r="AB43" i="12"/>
  <c r="AT25" i="12"/>
  <c r="AT23" i="12"/>
  <c r="AP26" i="12"/>
  <c r="AB39" i="12"/>
  <c r="BB25" i="12"/>
  <c r="BN24" i="12"/>
  <c r="BF24" i="12"/>
  <c r="BB23" i="12"/>
  <c r="AH25" i="12"/>
  <c r="Y9" i="13" l="1"/>
  <c r="BM24" i="12"/>
  <c r="U26" i="12"/>
  <c r="U44" i="12"/>
  <c r="U23" i="12"/>
  <c r="U37" i="12"/>
  <c r="U43" i="12"/>
  <c r="U32" i="12"/>
  <c r="U45" i="12"/>
  <c r="U35" i="12"/>
  <c r="U46" i="12"/>
  <c r="U25" i="12"/>
  <c r="U47" i="12"/>
  <c r="U34" i="12"/>
  <c r="U39" i="12"/>
  <c r="U30" i="12"/>
  <c r="U31" i="12"/>
  <c r="U33" i="12"/>
  <c r="U36" i="12"/>
  <c r="U27" i="12"/>
  <c r="U38" i="12"/>
  <c r="U49" i="12"/>
  <c r="U29" i="12"/>
  <c r="U42" i="12"/>
  <c r="U28" i="12"/>
  <c r="U24" i="12"/>
  <c r="U41" i="12"/>
  <c r="U48" i="12"/>
  <c r="U40" i="12"/>
  <c r="N49" i="12"/>
  <c r="V4" i="12"/>
  <c r="V10" i="13"/>
  <c r="O22" i="12"/>
  <c r="O27" i="12"/>
  <c r="O38" i="12"/>
  <c r="O34" i="12"/>
  <c r="O28" i="12"/>
  <c r="O30" i="12"/>
  <c r="O48" i="12"/>
  <c r="O40" i="12"/>
  <c r="BN26" i="12"/>
  <c r="O39" i="12"/>
  <c r="O31" i="12"/>
  <c r="O35" i="12"/>
  <c r="O36" i="12"/>
  <c r="O32" i="12"/>
  <c r="O47" i="12"/>
  <c r="O44" i="12"/>
  <c r="O45" i="12"/>
  <c r="O37" i="12"/>
  <c r="O49" i="12"/>
  <c r="O41" i="12"/>
  <c r="O42" i="12"/>
  <c r="O23" i="12"/>
  <c r="O25" i="12"/>
  <c r="O46" i="12"/>
  <c r="O43" i="12"/>
  <c r="O26" i="12"/>
  <c r="O24" i="12"/>
  <c r="O33" i="12"/>
  <c r="O29" i="12"/>
  <c r="Y10" i="13" l="1"/>
  <c r="R28" i="12"/>
  <c r="P28" i="12"/>
  <c r="P38" i="12"/>
  <c r="R38" i="12"/>
  <c r="R33" i="12"/>
  <c r="P33" i="12"/>
  <c r="R26" i="12"/>
  <c r="P26" i="12"/>
  <c r="P46" i="12"/>
  <c r="R46" i="12"/>
  <c r="R23" i="12"/>
  <c r="P23" i="12"/>
  <c r="R41" i="12"/>
  <c r="P41" i="12"/>
  <c r="P37" i="12"/>
  <c r="R37" i="12"/>
  <c r="R44" i="12"/>
  <c r="P44" i="12"/>
  <c r="R32" i="12"/>
  <c r="P32" i="12"/>
  <c r="P35" i="12"/>
  <c r="R35" i="12"/>
  <c r="R30" i="12"/>
  <c r="P30" i="12"/>
  <c r="R24" i="12"/>
  <c r="P24" i="12"/>
  <c r="P40" i="12"/>
  <c r="R40" i="12"/>
  <c r="P39" i="12"/>
  <c r="R39" i="12"/>
  <c r="R48" i="12"/>
  <c r="P48" i="12"/>
  <c r="R34" i="12"/>
  <c r="P34" i="12"/>
  <c r="R27" i="12"/>
  <c r="P27" i="12"/>
  <c r="R29" i="12"/>
  <c r="P29" i="12"/>
  <c r="P43" i="12"/>
  <c r="R43" i="12"/>
  <c r="R25" i="12"/>
  <c r="P25" i="12"/>
  <c r="R42" i="12"/>
  <c r="P42" i="12"/>
  <c r="R49" i="12"/>
  <c r="P49" i="12"/>
  <c r="R45" i="12"/>
  <c r="P45" i="12"/>
  <c r="R47" i="12"/>
  <c r="P47" i="12"/>
  <c r="R36" i="12"/>
  <c r="P36" i="12"/>
  <c r="P31" i="12"/>
  <c r="R31" i="12"/>
  <c r="BM26" i="12"/>
  <c r="V22" i="12"/>
  <c r="BJ27" i="12"/>
  <c r="AB40" i="12"/>
  <c r="V11" i="13"/>
  <c r="BN27" i="12"/>
  <c r="BJ25" i="12"/>
  <c r="V5" i="12"/>
  <c r="AB36" i="12"/>
  <c r="AD27" i="12"/>
  <c r="AB37" i="12"/>
  <c r="BN23" i="12"/>
  <c r="BN25" i="12"/>
  <c r="AB47" i="12"/>
  <c r="AB44" i="12"/>
  <c r="P20" i="12"/>
  <c r="BJ24" i="12"/>
  <c r="AB42" i="12"/>
  <c r="U2" i="13"/>
  <c r="J52" i="13"/>
  <c r="CA25" i="13"/>
  <c r="CA26" i="13"/>
  <c r="J43" i="13"/>
  <c r="J51" i="13"/>
  <c r="J49" i="13"/>
  <c r="J44" i="13"/>
  <c r="CA24" i="13"/>
  <c r="J46" i="13"/>
  <c r="J48" i="13"/>
  <c r="J42" i="13"/>
  <c r="J47" i="13"/>
  <c r="J45" i="13"/>
  <c r="CA28" i="13"/>
  <c r="CA23" i="13"/>
  <c r="J50" i="13"/>
  <c r="CA27" i="13"/>
  <c r="CA29" i="13"/>
  <c r="P50" i="13" l="1"/>
  <c r="R50" i="13"/>
  <c r="K50" i="13"/>
  <c r="T50" i="13"/>
  <c r="R45" i="13"/>
  <c r="T45" i="13"/>
  <c r="K45" i="13"/>
  <c r="P45" i="13"/>
  <c r="R47" i="13"/>
  <c r="K47" i="13"/>
  <c r="P47" i="13"/>
  <c r="T47" i="13"/>
  <c r="R42" i="13"/>
  <c r="K42" i="13"/>
  <c r="T42" i="13"/>
  <c r="P42" i="13"/>
  <c r="K48" i="13"/>
  <c r="P48" i="13"/>
  <c r="T48" i="13"/>
  <c r="R48" i="13"/>
  <c r="T46" i="13"/>
  <c r="R46" i="13"/>
  <c r="K46" i="13"/>
  <c r="P46" i="13"/>
  <c r="P44" i="13"/>
  <c r="K44" i="13"/>
  <c r="T44" i="13"/>
  <c r="R44" i="13"/>
  <c r="R49" i="13"/>
  <c r="T49" i="13"/>
  <c r="P49" i="13"/>
  <c r="K49" i="13"/>
  <c r="P51" i="13"/>
  <c r="K51" i="13"/>
  <c r="T51" i="13"/>
  <c r="R51" i="13"/>
  <c r="K43" i="13"/>
  <c r="P43" i="13"/>
  <c r="T43" i="13"/>
  <c r="R43" i="13"/>
  <c r="K52" i="13"/>
  <c r="T52" i="13"/>
  <c r="P52" i="13"/>
  <c r="R52" i="13"/>
  <c r="Y11" i="13"/>
  <c r="BM27" i="12"/>
  <c r="BM23" i="12"/>
  <c r="BM25" i="12"/>
  <c r="U21" i="22"/>
  <c r="P21" i="13"/>
  <c r="P20" i="14"/>
  <c r="P19" i="14"/>
  <c r="P20" i="13"/>
  <c r="R21" i="13"/>
  <c r="U23" i="13" a="1"/>
  <c r="U20" i="13"/>
  <c r="V6" i="12"/>
  <c r="AJ26" i="13"/>
  <c r="CN23" i="13"/>
  <c r="CF24" i="13"/>
  <c r="AR29" i="13"/>
  <c r="CR27" i="13"/>
  <c r="BD23" i="13"/>
  <c r="BH26" i="13"/>
  <c r="CZ27" i="13"/>
  <c r="CN25" i="13"/>
  <c r="CJ23" i="13"/>
  <c r="BH24" i="13"/>
  <c r="AF27" i="13"/>
  <c r="CB28" i="13"/>
  <c r="BX23" i="13"/>
  <c r="AR25" i="13"/>
  <c r="AR27" i="13"/>
  <c r="CB24" i="13"/>
  <c r="CR28" i="13"/>
  <c r="BX25" i="13"/>
  <c r="V22" i="13"/>
  <c r="BH27" i="13"/>
  <c r="AN24" i="13"/>
  <c r="AF28" i="13"/>
  <c r="CJ26" i="13"/>
  <c r="CZ25" i="13"/>
  <c r="BX28" i="13"/>
  <c r="AZ25" i="13"/>
  <c r="AF25" i="13"/>
  <c r="BH25" i="13"/>
  <c r="CB29" i="13"/>
  <c r="BD26" i="13"/>
  <c r="AF26" i="13"/>
  <c r="AR28" i="13"/>
  <c r="CF28" i="13"/>
  <c r="AV27" i="13"/>
  <c r="AZ24" i="13"/>
  <c r="CZ29" i="13"/>
  <c r="BP25" i="13"/>
  <c r="AJ23" i="13"/>
  <c r="BL28" i="13"/>
  <c r="AN29" i="13"/>
  <c r="CV24" i="13"/>
  <c r="AN25" i="13"/>
  <c r="BX29" i="13"/>
  <c r="BT29" i="13"/>
  <c r="BD27" i="13"/>
  <c r="BT23" i="13"/>
  <c r="CF29" i="13"/>
  <c r="AZ26" i="13"/>
  <c r="BD28" i="13"/>
  <c r="BL24" i="13"/>
  <c r="BL25" i="13"/>
  <c r="AJ28" i="13"/>
  <c r="CR25" i="13"/>
  <c r="BX27" i="13"/>
  <c r="AF23" i="13"/>
  <c r="BT26" i="13"/>
  <c r="CZ26" i="13"/>
  <c r="AZ23" i="13"/>
  <c r="CN27" i="13"/>
  <c r="BP29" i="13"/>
  <c r="AN28" i="13"/>
  <c r="AZ28" i="13"/>
  <c r="AV25" i="13"/>
  <c r="CB27" i="13"/>
  <c r="BT25" i="13"/>
  <c r="CR24" i="13"/>
  <c r="CJ29" i="13"/>
  <c r="CJ24" i="13"/>
  <c r="AR26" i="13"/>
  <c r="AV26" i="13"/>
  <c r="CV23" i="13"/>
  <c r="CJ27" i="13"/>
  <c r="CV29" i="13"/>
  <c r="AV24" i="13"/>
  <c r="BP26" i="13"/>
  <c r="BP24" i="13"/>
  <c r="AR23" i="13"/>
  <c r="BT28" i="13"/>
  <c r="AJ24" i="13"/>
  <c r="CZ24" i="13"/>
  <c r="AN23" i="13"/>
  <c r="BP27" i="13"/>
  <c r="CF25" i="13"/>
  <c r="CB25" i="13"/>
  <c r="CN28" i="13"/>
  <c r="AJ25" i="13"/>
  <c r="CV28" i="13"/>
  <c r="AF24" i="13"/>
  <c r="CF23" i="13"/>
  <c r="BX24" i="13"/>
  <c r="BH23" i="13"/>
  <c r="CB23" i="13"/>
  <c r="CR29" i="13"/>
  <c r="CJ25" i="13"/>
  <c r="AZ29" i="13"/>
  <c r="CR23" i="13"/>
  <c r="BL29" i="13"/>
  <c r="CN29" i="13"/>
  <c r="CB26" i="13"/>
  <c r="AN26" i="13"/>
  <c r="AJ27" i="13"/>
  <c r="AZ27" i="13"/>
  <c r="CV26" i="13"/>
  <c r="BH28" i="13"/>
  <c r="CZ23" i="13"/>
  <c r="AR24" i="13"/>
  <c r="CN26" i="13"/>
  <c r="AV28" i="13"/>
  <c r="BP23" i="13"/>
  <c r="AF29" i="13"/>
  <c r="CR26" i="13"/>
  <c r="AJ29" i="13"/>
  <c r="AN27" i="13"/>
  <c r="CZ28" i="13"/>
  <c r="BD25" i="13"/>
  <c r="CF27" i="13"/>
  <c r="BP28" i="13"/>
  <c r="BL23" i="13"/>
  <c r="BD29" i="13"/>
  <c r="CF26" i="13"/>
  <c r="BL27" i="13"/>
  <c r="CV27" i="13"/>
  <c r="BD24" i="13"/>
  <c r="BH29" i="13"/>
  <c r="BL26" i="13"/>
  <c r="CV25" i="13"/>
  <c r="AV29" i="13"/>
  <c r="CN24" i="13"/>
  <c r="BX26" i="13"/>
  <c r="CJ28" i="13"/>
  <c r="AV23" i="13"/>
  <c r="BT27" i="13"/>
  <c r="BT24" i="13"/>
  <c r="BW26" i="13" l="1"/>
  <c r="BS26" i="13" s="1"/>
  <c r="BO26" i="13" s="1"/>
  <c r="BK26" i="13" s="1"/>
  <c r="BG26" i="13" s="1"/>
  <c r="BC26" i="13" s="1"/>
  <c r="AY26" i="13" s="1"/>
  <c r="AU26" i="13" s="1"/>
  <c r="AQ26" i="13" s="1"/>
  <c r="AM26" i="13" s="1"/>
  <c r="AI26" i="13" s="1"/>
  <c r="AE26" i="13" s="1"/>
  <c r="AB26" i="13" s="1"/>
  <c r="C10" i="6" s="1"/>
  <c r="H10" i="6" s="1"/>
  <c r="CY28" i="13"/>
  <c r="CU28" i="13" s="1"/>
  <c r="CQ28" i="13" s="1"/>
  <c r="CM28" i="13" s="1"/>
  <c r="CI28" i="13" s="1"/>
  <c r="CE28" i="13" s="1"/>
  <c r="CY23" i="13"/>
  <c r="CU23" i="13" s="1"/>
  <c r="CQ23" i="13" s="1"/>
  <c r="CM23" i="13" s="1"/>
  <c r="CI23" i="13" s="1"/>
  <c r="CE23" i="13" s="1"/>
  <c r="BW24" i="13"/>
  <c r="BS24" i="13" s="1"/>
  <c r="BO24" i="13" s="1"/>
  <c r="BK24" i="13" s="1"/>
  <c r="BG24" i="13" s="1"/>
  <c r="BC24" i="13" s="1"/>
  <c r="AY24" i="13" s="1"/>
  <c r="AU24" i="13" s="1"/>
  <c r="AQ24" i="13" s="1"/>
  <c r="AM24" i="13" s="1"/>
  <c r="AI24" i="13" s="1"/>
  <c r="AE24" i="13" s="1"/>
  <c r="AB24" i="13" s="1"/>
  <c r="C8" i="6" s="1"/>
  <c r="H8" i="6" s="1"/>
  <c r="CY24" i="13"/>
  <c r="CU24" i="13" s="1"/>
  <c r="CQ24" i="13" s="1"/>
  <c r="CM24" i="13" s="1"/>
  <c r="CI24" i="13" s="1"/>
  <c r="CE24" i="13" s="1"/>
  <c r="CY26" i="13"/>
  <c r="CU26" i="13" s="1"/>
  <c r="CQ26" i="13" s="1"/>
  <c r="CM26" i="13" s="1"/>
  <c r="CI26" i="13" s="1"/>
  <c r="CE26" i="13" s="1"/>
  <c r="BW27" i="13"/>
  <c r="BS27" i="13" s="1"/>
  <c r="BO27" i="13" s="1"/>
  <c r="BK27" i="13" s="1"/>
  <c r="BG27" i="13" s="1"/>
  <c r="BC27" i="13" s="1"/>
  <c r="AY27" i="13" s="1"/>
  <c r="AU27" i="13" s="1"/>
  <c r="AQ27" i="13" s="1"/>
  <c r="AM27" i="13" s="1"/>
  <c r="AI27" i="13" s="1"/>
  <c r="AE27" i="13" s="1"/>
  <c r="AB27" i="13" s="1"/>
  <c r="C11" i="6" s="1"/>
  <c r="H11" i="6" s="1"/>
  <c r="BW29" i="13"/>
  <c r="BS29" i="13" s="1"/>
  <c r="BO29" i="13" s="1"/>
  <c r="BK29" i="13" s="1"/>
  <c r="BG29" i="13" s="1"/>
  <c r="BC29" i="13" s="1"/>
  <c r="AY29" i="13" s="1"/>
  <c r="AU29" i="13" s="1"/>
  <c r="AQ29" i="13" s="1"/>
  <c r="AM29" i="13" s="1"/>
  <c r="AI29" i="13" s="1"/>
  <c r="AE29" i="13" s="1"/>
  <c r="AB29" i="13" s="1"/>
  <c r="C13" i="6" s="1"/>
  <c r="H13" i="6" s="1"/>
  <c r="CY29" i="13"/>
  <c r="CU29" i="13" s="1"/>
  <c r="CQ29" i="13" s="1"/>
  <c r="CM29" i="13" s="1"/>
  <c r="CI29" i="13" s="1"/>
  <c r="CE29" i="13" s="1"/>
  <c r="BW28" i="13"/>
  <c r="BS28" i="13" s="1"/>
  <c r="BO28" i="13" s="1"/>
  <c r="BK28" i="13" s="1"/>
  <c r="BG28" i="13" s="1"/>
  <c r="BC28" i="13" s="1"/>
  <c r="AY28" i="13" s="1"/>
  <c r="AU28" i="13" s="1"/>
  <c r="AQ28" i="13" s="1"/>
  <c r="AM28" i="13" s="1"/>
  <c r="AI28" i="13" s="1"/>
  <c r="AE28" i="13" s="1"/>
  <c r="AB28" i="13" s="1"/>
  <c r="Z28" i="13" s="1"/>
  <c r="CY25" i="13"/>
  <c r="CU25" i="13" s="1"/>
  <c r="CQ25" i="13" s="1"/>
  <c r="CM25" i="13" s="1"/>
  <c r="CI25" i="13" s="1"/>
  <c r="CE25" i="13" s="1"/>
  <c r="BW25" i="13"/>
  <c r="BS25" i="13" s="1"/>
  <c r="BO25" i="13" s="1"/>
  <c r="BK25" i="13" s="1"/>
  <c r="BG25" i="13" s="1"/>
  <c r="BC25" i="13" s="1"/>
  <c r="AY25" i="13" s="1"/>
  <c r="AU25" i="13" s="1"/>
  <c r="AQ25" i="13" s="1"/>
  <c r="AM25" i="13" s="1"/>
  <c r="AI25" i="13" s="1"/>
  <c r="AE25" i="13" s="1"/>
  <c r="AB25" i="13" s="1"/>
  <c r="Z25" i="13" s="1"/>
  <c r="BW23" i="13"/>
  <c r="BS23" i="13" s="1"/>
  <c r="BO23" i="13" s="1"/>
  <c r="BK23" i="13" s="1"/>
  <c r="BG23" i="13" s="1"/>
  <c r="BC23" i="13" s="1"/>
  <c r="AY23" i="13" s="1"/>
  <c r="AU23" i="13" s="1"/>
  <c r="AQ23" i="13" s="1"/>
  <c r="AM23" i="13" s="1"/>
  <c r="AI23" i="13" s="1"/>
  <c r="AE23" i="13" s="1"/>
  <c r="AB23" i="13" s="1"/>
  <c r="Z23" i="13" s="1"/>
  <c r="CY27" i="13"/>
  <c r="CU27" i="13" s="1"/>
  <c r="CQ27" i="13" s="1"/>
  <c r="CM27" i="13" s="1"/>
  <c r="CI27" i="13" s="1"/>
  <c r="CE27" i="13" s="1"/>
  <c r="U36" i="13"/>
  <c r="U41" i="13"/>
  <c r="U38" i="13"/>
  <c r="U24" i="13"/>
  <c r="U27" i="13"/>
  <c r="U30" i="13"/>
  <c r="U47" i="13"/>
  <c r="U43" i="13"/>
  <c r="U48" i="13"/>
  <c r="U45" i="13"/>
  <c r="U49" i="13"/>
  <c r="U32" i="13"/>
  <c r="U40" i="13"/>
  <c r="U39" i="13"/>
  <c r="U37" i="13"/>
  <c r="U46" i="13"/>
  <c r="U29" i="13"/>
  <c r="U26" i="13"/>
  <c r="U44" i="13"/>
  <c r="U42" i="13"/>
  <c r="U34" i="13"/>
  <c r="U52" i="13"/>
  <c r="U25" i="13"/>
  <c r="U31" i="13"/>
  <c r="U50" i="13"/>
  <c r="U23" i="13"/>
  <c r="U51" i="13"/>
  <c r="U35" i="13"/>
  <c r="U33" i="13"/>
  <c r="U28" i="13"/>
  <c r="Q21" i="12"/>
  <c r="R21" i="12" s="1"/>
  <c r="C6" i="10" s="1"/>
  <c r="H6" i="10" s="1"/>
  <c r="C6" i="6"/>
  <c r="H6" i="6" s="1"/>
  <c r="Q20" i="14"/>
  <c r="R20" i="14" s="1"/>
  <c r="C6" i="9" s="1"/>
  <c r="H6" i="9" s="1"/>
  <c r="V4" i="22"/>
  <c r="I6" i="9"/>
  <c r="I13" i="6"/>
  <c r="I10" i="6"/>
  <c r="I11" i="6"/>
  <c r="V7" i="12"/>
  <c r="I6" i="6"/>
  <c r="I8" i="6"/>
  <c r="I6" i="10"/>
  <c r="Z26" i="13" l="1"/>
  <c r="Z29" i="13"/>
  <c r="Z27" i="13"/>
  <c r="C9" i="6"/>
  <c r="H9" i="6" s="1"/>
  <c r="C12" i="6"/>
  <c r="H12" i="6" s="1"/>
  <c r="Z24" i="13"/>
  <c r="C7" i="6"/>
  <c r="H7" i="6" s="1"/>
  <c r="V6" i="22"/>
  <c r="V7" i="22"/>
  <c r="V8" i="22"/>
  <c r="V5" i="22"/>
  <c r="U2" i="22"/>
  <c r="AQ34" i="22"/>
  <c r="AQ25" i="22"/>
  <c r="J29" i="22"/>
  <c r="J28" i="22"/>
  <c r="AQ27" i="22"/>
  <c r="AQ30" i="22"/>
  <c r="AQ29" i="22"/>
  <c r="AQ35" i="22"/>
  <c r="J30" i="22"/>
  <c r="AQ28" i="22"/>
  <c r="AQ26" i="22"/>
  <c r="AQ38" i="22"/>
  <c r="V8" i="12"/>
  <c r="I9" i="6"/>
  <c r="I7" i="6"/>
  <c r="I12" i="6"/>
  <c r="AQ33" i="22"/>
  <c r="AQ23" i="22"/>
  <c r="AQ31" i="22"/>
  <c r="AQ37" i="22"/>
  <c r="AQ24" i="22"/>
  <c r="P28" i="22" l="1"/>
  <c r="K28" i="22"/>
  <c r="K30" i="22"/>
  <c r="P30" i="22"/>
  <c r="P29" i="22"/>
  <c r="K29" i="22"/>
  <c r="P22" i="22"/>
  <c r="P68" i="22"/>
  <c r="P70" i="22"/>
  <c r="P43" i="22"/>
  <c r="P36" i="22"/>
  <c r="V9" i="12"/>
  <c r="P67" i="22"/>
  <c r="P63" i="22"/>
  <c r="P65" i="22"/>
  <c r="P62" i="22"/>
  <c r="P50" i="22"/>
  <c r="P60" i="22"/>
  <c r="P48" i="22"/>
  <c r="P46" i="22"/>
  <c r="P37" i="22"/>
  <c r="P33" i="22"/>
  <c r="P49" i="22"/>
  <c r="P57" i="22"/>
  <c r="P59" i="22"/>
  <c r="P51" i="22"/>
  <c r="P39" i="22"/>
  <c r="P61" i="22"/>
  <c r="P47" i="22"/>
  <c r="P69" i="22"/>
  <c r="P44" i="22"/>
  <c r="P55" i="22"/>
  <c r="P53" i="22"/>
  <c r="P38" i="22"/>
  <c r="P73" i="22"/>
  <c r="P56" i="22"/>
  <c r="P72" i="22"/>
  <c r="P71" i="22"/>
  <c r="P64" i="22"/>
  <c r="P45" i="22"/>
  <c r="P34" i="22"/>
  <c r="P58" i="22"/>
  <c r="P52" i="22"/>
  <c r="P42" i="22"/>
  <c r="P35" i="22"/>
  <c r="P40" i="22"/>
  <c r="P54" i="22"/>
  <c r="P32" i="22"/>
  <c r="P74" i="22"/>
  <c r="P66" i="22"/>
  <c r="P41" i="22"/>
  <c r="J54" i="22" l="1"/>
  <c r="K54" i="22" s="1"/>
  <c r="J74" i="22"/>
  <c r="K74" i="22" s="1"/>
  <c r="J48" i="22"/>
  <c r="K48" i="22" s="1"/>
  <c r="J57" i="22"/>
  <c r="K57" i="22" s="1"/>
  <c r="J67" i="22"/>
  <c r="K67" i="22" s="1"/>
  <c r="J59" i="22"/>
  <c r="K59" i="22" s="1"/>
  <c r="J53" i="22"/>
  <c r="K53" i="22" s="1"/>
  <c r="J51" i="22"/>
  <c r="K51" i="22" s="1"/>
  <c r="J39" i="22"/>
  <c r="K39" i="22" s="1"/>
  <c r="J73" i="22"/>
  <c r="K73" i="22" s="1"/>
  <c r="J61" i="22"/>
  <c r="K61" i="22" s="1"/>
  <c r="J47" i="22"/>
  <c r="K47" i="22" s="1"/>
  <c r="J42" i="22"/>
  <c r="K42" i="22" s="1"/>
  <c r="J60" i="22"/>
  <c r="K60" i="22" s="1"/>
  <c r="J35" i="22"/>
  <c r="K35" i="22" s="1"/>
  <c r="J40" i="22"/>
  <c r="K40" i="22" s="1"/>
  <c r="J32" i="22"/>
  <c r="K32" i="22" s="1"/>
  <c r="J66" i="22"/>
  <c r="K66" i="22" s="1"/>
  <c r="J64" i="22"/>
  <c r="K64" i="22" s="1"/>
  <c r="J65" i="22"/>
  <c r="K65" i="22" s="1"/>
  <c r="J46" i="22"/>
  <c r="K46" i="22" s="1"/>
  <c r="J45" i="22"/>
  <c r="K45" i="22" s="1"/>
  <c r="J70" i="22"/>
  <c r="K70" i="22" s="1"/>
  <c r="J38" i="22"/>
  <c r="K38" i="22" s="1"/>
  <c r="J68" i="22"/>
  <c r="K68" i="22" s="1"/>
  <c r="J63" i="22"/>
  <c r="K63" i="22" s="1"/>
  <c r="J58" i="22"/>
  <c r="K58" i="22" s="1"/>
  <c r="J52" i="22"/>
  <c r="K52" i="22" s="1"/>
  <c r="J69" i="22"/>
  <c r="K69" i="22" s="1"/>
  <c r="J72" i="22"/>
  <c r="K72" i="22" s="1"/>
  <c r="J49" i="22"/>
  <c r="K49" i="22" s="1"/>
  <c r="J44" i="22"/>
  <c r="K44" i="22" s="1"/>
  <c r="J71" i="22"/>
  <c r="K71" i="22" s="1"/>
  <c r="J41" i="22"/>
  <c r="K41" i="22" s="1"/>
  <c r="J36" i="22"/>
  <c r="K36" i="22" s="1"/>
  <c r="J55" i="22"/>
  <c r="K55" i="22" s="1"/>
  <c r="J43" i="22"/>
  <c r="K43" i="22" s="1"/>
  <c r="J62" i="22"/>
  <c r="K62" i="22" s="1"/>
  <c r="J37" i="22"/>
  <c r="K37" i="22" s="1"/>
  <c r="J50" i="22"/>
  <c r="K50" i="22" s="1"/>
  <c r="J34" i="22"/>
  <c r="K34" i="22" s="1"/>
  <c r="J33" i="22"/>
  <c r="K33" i="22" s="1"/>
  <c r="J56" i="22"/>
  <c r="K56" i="22" s="1"/>
  <c r="AQ32" i="22"/>
  <c r="U23" i="22" a="1"/>
  <c r="U20" i="22"/>
  <c r="AJ35" i="22"/>
  <c r="AJ32" i="22"/>
  <c r="E30" i="24"/>
  <c r="AN24" i="22"/>
  <c r="AJ38" i="22"/>
  <c r="AR29" i="22"/>
  <c r="AJ37" i="22"/>
  <c r="AF26" i="22"/>
  <c r="E13" i="24"/>
  <c r="AJ29" i="22"/>
  <c r="AF30" i="22"/>
  <c r="E47" i="24"/>
  <c r="AN28" i="22"/>
  <c r="AN34" i="22"/>
  <c r="AF38" i="22"/>
  <c r="AN29" i="22"/>
  <c r="E45" i="24"/>
  <c r="AF35" i="22"/>
  <c r="E42" i="24"/>
  <c r="AN33" i="22"/>
  <c r="E28" i="24"/>
  <c r="AF24" i="22"/>
  <c r="E40" i="24"/>
  <c r="AJ27" i="22"/>
  <c r="V10" i="12"/>
  <c r="AF37" i="22"/>
  <c r="E12" i="24"/>
  <c r="AF28" i="22"/>
  <c r="AF25" i="22"/>
  <c r="AJ33" i="22"/>
  <c r="E10" i="24"/>
  <c r="AR27" i="22"/>
  <c r="AJ30" i="22"/>
  <c r="AN25" i="22"/>
  <c r="E34" i="24"/>
  <c r="AR36" i="22"/>
  <c r="AJ28" i="22"/>
  <c r="E41" i="24"/>
  <c r="AN32" i="22"/>
  <c r="AJ25" i="22"/>
  <c r="AN35" i="22"/>
  <c r="E46" i="24"/>
  <c r="AJ26" i="22"/>
  <c r="E19" i="24"/>
  <c r="E29" i="24"/>
  <c r="AN30" i="22"/>
  <c r="AN37" i="22"/>
  <c r="AN38" i="22"/>
  <c r="E22" i="24"/>
  <c r="AF29" i="22"/>
  <c r="AN23" i="22"/>
  <c r="E36" i="24"/>
  <c r="AF32" i="22"/>
  <c r="AR26" i="22"/>
  <c r="E20" i="24"/>
  <c r="AF27" i="22"/>
  <c r="E24" i="24"/>
  <c r="AN31" i="22"/>
  <c r="E7" i="24"/>
  <c r="AN26" i="22"/>
  <c r="AR31" i="22"/>
  <c r="AF34" i="22"/>
  <c r="AJ23" i="22"/>
  <c r="AN27" i="22"/>
  <c r="E43" i="24"/>
  <c r="E8" i="24"/>
  <c r="E44" i="24"/>
  <c r="E23" i="24"/>
  <c r="AF33" i="22"/>
  <c r="AJ34" i="22"/>
  <c r="E15" i="24"/>
  <c r="AR23" i="22"/>
  <c r="AJ24" i="22"/>
  <c r="V22" i="22"/>
  <c r="AJ31" i="22"/>
  <c r="AR28" i="22"/>
  <c r="AF31" i="22"/>
  <c r="E37" i="24"/>
  <c r="AF23" i="22"/>
  <c r="E6" i="24"/>
  <c r="I24" i="24" l="1"/>
  <c r="O24" i="24" s="1"/>
  <c r="AM34" i="22"/>
  <c r="AI34" i="22" s="1"/>
  <c r="AE34" i="22" s="1"/>
  <c r="AB34" i="22" s="1"/>
  <c r="I12" i="24"/>
  <c r="O12" i="24" s="1"/>
  <c r="I29" i="24"/>
  <c r="O29" i="24" s="1"/>
  <c r="AM30" i="22"/>
  <c r="AI30" i="22" s="1"/>
  <c r="AE30" i="22" s="1"/>
  <c r="AB30" i="22" s="1"/>
  <c r="I10" i="24"/>
  <c r="O10" i="24" s="1"/>
  <c r="AM38" i="22"/>
  <c r="AI38" i="22" s="1"/>
  <c r="AE38" i="22" s="1"/>
  <c r="AB38" i="22" s="1"/>
  <c r="I22" i="24"/>
  <c r="O22" i="24" s="1"/>
  <c r="AM27" i="22"/>
  <c r="AI27" i="22" s="1"/>
  <c r="AE27" i="22" s="1"/>
  <c r="AB27" i="22" s="1"/>
  <c r="I20" i="24"/>
  <c r="O20" i="24" s="1"/>
  <c r="AM25" i="22"/>
  <c r="AI25" i="22" s="1"/>
  <c r="AE25" i="22" s="1"/>
  <c r="AB25" i="22" s="1"/>
  <c r="I28" i="24"/>
  <c r="O28" i="24" s="1"/>
  <c r="AM33" i="22"/>
  <c r="AI33" i="22" s="1"/>
  <c r="AE33" i="22" s="1"/>
  <c r="AB33" i="22" s="1"/>
  <c r="I7" i="24"/>
  <c r="O7" i="24" s="1"/>
  <c r="AM37" i="22"/>
  <c r="AI37" i="22" s="1"/>
  <c r="AE37" i="22" s="1"/>
  <c r="AB37" i="22" s="1"/>
  <c r="I43" i="24"/>
  <c r="O43" i="24" s="1"/>
  <c r="I37" i="24"/>
  <c r="O37" i="24" s="1"/>
  <c r="AM24" i="22"/>
  <c r="AI24" i="22" s="1"/>
  <c r="AE24" i="22" s="1"/>
  <c r="AB24" i="22" s="1"/>
  <c r="I34" i="24"/>
  <c r="O34" i="24" s="1"/>
  <c r="AM28" i="22"/>
  <c r="AI28" i="22" s="1"/>
  <c r="AE28" i="22" s="1"/>
  <c r="AB28" i="22" s="1"/>
  <c r="I42" i="24"/>
  <c r="O42" i="24" s="1"/>
  <c r="AM26" i="22"/>
  <c r="AI26" i="22" s="1"/>
  <c r="AE26" i="22" s="1"/>
  <c r="AB26" i="22" s="1"/>
  <c r="C10" i="23" s="1"/>
  <c r="H10" i="23" s="1"/>
  <c r="AM23" i="22"/>
  <c r="AI23" i="22" s="1"/>
  <c r="AE23" i="22" s="1"/>
  <c r="AB23" i="22" s="1"/>
  <c r="I8" i="24"/>
  <c r="O8" i="24" s="1"/>
  <c r="I40" i="24"/>
  <c r="O40" i="24" s="1"/>
  <c r="AM35" i="22"/>
  <c r="AI35" i="22" s="1"/>
  <c r="AE35" i="22" s="1"/>
  <c r="AB35" i="22" s="1"/>
  <c r="I46" i="24"/>
  <c r="O46" i="24" s="1"/>
  <c r="I15" i="24"/>
  <c r="O15" i="24" s="1"/>
  <c r="I47" i="24"/>
  <c r="O47" i="24" s="1"/>
  <c r="I36" i="24"/>
  <c r="O36" i="24" s="1"/>
  <c r="I44" i="24"/>
  <c r="O44" i="24" s="1"/>
  <c r="I6" i="24"/>
  <c r="O6" i="24" s="1"/>
  <c r="I30" i="24"/>
  <c r="O30" i="24" s="1"/>
  <c r="AM29" i="22"/>
  <c r="AI29" i="22" s="1"/>
  <c r="AE29" i="22" s="1"/>
  <c r="AB29" i="22" s="1"/>
  <c r="C13" i="23" s="1"/>
  <c r="H13" i="23" s="1"/>
  <c r="AM31" i="22"/>
  <c r="AI31" i="22" s="1"/>
  <c r="AE31" i="22" s="1"/>
  <c r="AB31" i="22" s="1"/>
  <c r="C15" i="23" s="1"/>
  <c r="H15" i="23" s="1"/>
  <c r="I13" i="24"/>
  <c r="O13" i="24" s="1"/>
  <c r="I19" i="24"/>
  <c r="O19" i="24" s="1"/>
  <c r="I41" i="24"/>
  <c r="O41" i="24" s="1"/>
  <c r="U55" i="22"/>
  <c r="U43" i="22"/>
  <c r="U48" i="22"/>
  <c r="U52" i="22"/>
  <c r="U41" i="22"/>
  <c r="U30" i="22"/>
  <c r="U68" i="22"/>
  <c r="U47" i="22"/>
  <c r="U53" i="22"/>
  <c r="U44" i="22"/>
  <c r="U34" i="22"/>
  <c r="U33" i="22"/>
  <c r="U66" i="22"/>
  <c r="U36" i="22"/>
  <c r="U32" i="22"/>
  <c r="U56" i="22"/>
  <c r="U74" i="22"/>
  <c r="U64" i="22"/>
  <c r="U23" i="22"/>
  <c r="U59" i="22"/>
  <c r="U26" i="22"/>
  <c r="U39" i="22"/>
  <c r="U67" i="22"/>
  <c r="U65" i="22"/>
  <c r="U27" i="22"/>
  <c r="U69" i="22"/>
  <c r="U62" i="22"/>
  <c r="U31" i="22"/>
  <c r="U50" i="22"/>
  <c r="U45" i="22"/>
  <c r="U72" i="22"/>
  <c r="U63" i="22"/>
  <c r="U49" i="22"/>
  <c r="U57" i="22"/>
  <c r="U70" i="22"/>
  <c r="U40" i="22"/>
  <c r="U51" i="22"/>
  <c r="U60" i="22"/>
  <c r="U58" i="22"/>
  <c r="U28" i="22"/>
  <c r="U71" i="22"/>
  <c r="U61" i="22"/>
  <c r="U35" i="22"/>
  <c r="U37" i="22"/>
  <c r="U24" i="22"/>
  <c r="U25" i="22"/>
  <c r="U29" i="22"/>
  <c r="U38" i="22"/>
  <c r="U73" i="22"/>
  <c r="U42" i="22"/>
  <c r="U54" i="22"/>
  <c r="U46" i="22"/>
  <c r="AM32" i="22"/>
  <c r="AI32" i="22" s="1"/>
  <c r="AE32" i="22" s="1"/>
  <c r="AB32" i="22" s="1"/>
  <c r="I23" i="24"/>
  <c r="O23" i="24" s="1"/>
  <c r="I45" i="24"/>
  <c r="O45" i="24" s="1"/>
  <c r="E11" i="24"/>
  <c r="E14" i="24"/>
  <c r="E25" i="24"/>
  <c r="P29" i="24"/>
  <c r="P10" i="24"/>
  <c r="E38" i="24"/>
  <c r="I15" i="23"/>
  <c r="AJ36" i="22"/>
  <c r="E27" i="24"/>
  <c r="P12" i="24"/>
  <c r="AR24" i="22"/>
  <c r="P24" i="24"/>
  <c r="E32" i="24"/>
  <c r="P44" i="24"/>
  <c r="AR37" i="22"/>
  <c r="E48" i="24"/>
  <c r="P30" i="24"/>
  <c r="P15" i="24"/>
  <c r="P42" i="24"/>
  <c r="P8" i="24"/>
  <c r="AR30" i="22"/>
  <c r="P45" i="24"/>
  <c r="P7" i="24"/>
  <c r="P47" i="24"/>
  <c r="P34" i="24"/>
  <c r="P37" i="24"/>
  <c r="AQ36" i="22"/>
  <c r="I10" i="23"/>
  <c r="AR34" i="22"/>
  <c r="P41" i="24"/>
  <c r="E33" i="24"/>
  <c r="P6" i="24"/>
  <c r="P28" i="24"/>
  <c r="E31" i="24"/>
  <c r="E5" i="24"/>
  <c r="E9" i="24"/>
  <c r="AF36" i="22"/>
  <c r="P22" i="24"/>
  <c r="AN36" i="22"/>
  <c r="E39" i="24"/>
  <c r="AR33" i="22"/>
  <c r="P43" i="24"/>
  <c r="P36" i="24"/>
  <c r="I13" i="23"/>
  <c r="E16" i="24"/>
  <c r="P13" i="24"/>
  <c r="E17" i="24"/>
  <c r="E35" i="24"/>
  <c r="P46" i="24"/>
  <c r="P40" i="24"/>
  <c r="AR25" i="22"/>
  <c r="AR35" i="22"/>
  <c r="P23" i="24"/>
  <c r="E21" i="24"/>
  <c r="E26" i="24"/>
  <c r="P20" i="24"/>
  <c r="P19" i="24"/>
  <c r="E18" i="24"/>
  <c r="AR32" i="22"/>
  <c r="AR38" i="22"/>
  <c r="V11" i="12"/>
  <c r="C9" i="23" l="1"/>
  <c r="H9" i="23" s="1"/>
  <c r="Z25" i="22"/>
  <c r="Z35" i="22"/>
  <c r="C19" i="23"/>
  <c r="H19" i="23" s="1"/>
  <c r="Z23" i="22"/>
  <c r="C7" i="23"/>
  <c r="H7" i="23" s="1"/>
  <c r="Z30" i="22"/>
  <c r="C14" i="23"/>
  <c r="H14" i="23" s="1"/>
  <c r="C17" i="23"/>
  <c r="H17" i="23" s="1"/>
  <c r="Z33" i="22"/>
  <c r="C11" i="23"/>
  <c r="H11" i="23" s="1"/>
  <c r="Z27" i="22"/>
  <c r="C12" i="23"/>
  <c r="H12" i="23" s="1"/>
  <c r="Z28" i="22"/>
  <c r="C8" i="23"/>
  <c r="H8" i="23" s="1"/>
  <c r="Z24" i="22"/>
  <c r="C18" i="23"/>
  <c r="H18" i="23" s="1"/>
  <c r="Z34" i="22"/>
  <c r="Z37" i="22"/>
  <c r="C21" i="23"/>
  <c r="H21" i="23" s="1"/>
  <c r="C22" i="23"/>
  <c r="H22" i="23" s="1"/>
  <c r="Z38" i="22"/>
  <c r="Z26" i="22"/>
  <c r="Z31" i="22"/>
  <c r="Z29" i="22"/>
  <c r="I39" i="24"/>
  <c r="O39" i="24" s="1"/>
  <c r="I31" i="24"/>
  <c r="O31" i="24" s="1"/>
  <c r="I9" i="24"/>
  <c r="O9" i="24" s="1"/>
  <c r="AM36" i="22"/>
  <c r="AI36" i="22" s="1"/>
  <c r="AE36" i="22" s="1"/>
  <c r="AB36" i="22" s="1"/>
  <c r="I33" i="24"/>
  <c r="O33" i="24" s="1"/>
  <c r="I11" i="24"/>
  <c r="O11" i="24" s="1"/>
  <c r="I27" i="24"/>
  <c r="O27" i="24" s="1"/>
  <c r="I5" i="24"/>
  <c r="O5" i="24" s="1"/>
  <c r="I38" i="24"/>
  <c r="O38" i="24" s="1"/>
  <c r="I32" i="24"/>
  <c r="O32" i="24" s="1"/>
  <c r="I25" i="24"/>
  <c r="O25" i="24" s="1"/>
  <c r="I48" i="24"/>
  <c r="O48" i="24" s="1"/>
  <c r="I18" i="24"/>
  <c r="O18" i="24" s="1"/>
  <c r="I14" i="24"/>
  <c r="O14" i="24" s="1"/>
  <c r="I16" i="24"/>
  <c r="O16" i="24" s="1"/>
  <c r="I26" i="24"/>
  <c r="O26" i="24" s="1"/>
  <c r="I21" i="24"/>
  <c r="O21" i="24" s="1"/>
  <c r="I35" i="24"/>
  <c r="O35" i="24" s="1"/>
  <c r="I17" i="24"/>
  <c r="O17" i="24" s="1"/>
  <c r="Z32" i="22"/>
  <c r="C16" i="23"/>
  <c r="H16" i="23" s="1"/>
  <c r="P17" i="24"/>
  <c r="P48" i="24"/>
  <c r="I14" i="23"/>
  <c r="P18" i="24"/>
  <c r="I8" i="23"/>
  <c r="P38" i="24"/>
  <c r="P14" i="24"/>
  <c r="P33" i="24"/>
  <c r="I9" i="23"/>
  <c r="P11" i="24"/>
  <c r="I18" i="23"/>
  <c r="P16" i="24"/>
  <c r="P32" i="24"/>
  <c r="I11" i="23"/>
  <c r="P25" i="24"/>
  <c r="P21" i="24"/>
  <c r="I12" i="23"/>
  <c r="P9" i="24"/>
  <c r="P35" i="24"/>
  <c r="I21" i="23"/>
  <c r="I19" i="23"/>
  <c r="I7" i="23"/>
  <c r="I17" i="23"/>
  <c r="I16" i="23"/>
  <c r="P26" i="24"/>
  <c r="P5" i="24"/>
  <c r="P39" i="24"/>
  <c r="P31" i="24"/>
  <c r="I22" i="23"/>
  <c r="P27" i="24"/>
  <c r="V12" i="12"/>
  <c r="C20" i="23" l="1"/>
  <c r="H20" i="23" s="1"/>
  <c r="Z36" i="22"/>
  <c r="I3" i="23"/>
  <c r="P3" i="24"/>
  <c r="I20" i="23"/>
  <c r="V13" i="12"/>
  <c r="U1" i="12" s="1"/>
  <c r="BI27" i="12"/>
  <c r="BI26" i="12"/>
  <c r="BI25" i="12"/>
  <c r="BI24" i="12"/>
  <c r="BI23" i="12"/>
  <c r="BE23" i="12" l="1"/>
  <c r="BA23" i="12" s="1"/>
  <c r="AW23" i="12" s="1"/>
  <c r="AS23" i="12" s="1"/>
  <c r="AO23" i="12" s="1"/>
  <c r="AK23" i="12" s="1"/>
  <c r="AG23" i="12" s="1"/>
  <c r="AC23" i="12" s="1"/>
  <c r="Z23" i="12" s="1"/>
  <c r="Z10" i="12" s="1"/>
  <c r="BE24" i="12"/>
  <c r="BA24" i="12" s="1"/>
  <c r="AW24" i="12" s="1"/>
  <c r="AS24" i="12" s="1"/>
  <c r="AO24" i="12" s="1"/>
  <c r="AK24" i="12" s="1"/>
  <c r="AG24" i="12" s="1"/>
  <c r="AC24" i="12" s="1"/>
  <c r="Z24" i="12" s="1"/>
  <c r="C8" i="10" s="1"/>
  <c r="H8" i="10" s="1"/>
  <c r="BE25" i="12"/>
  <c r="BA25" i="12" s="1"/>
  <c r="AW25" i="12" s="1"/>
  <c r="AS25" i="12" s="1"/>
  <c r="AO25" i="12" s="1"/>
  <c r="AK25" i="12" s="1"/>
  <c r="AG25" i="12" s="1"/>
  <c r="AC25" i="12" s="1"/>
  <c r="Z25" i="12" s="1"/>
  <c r="C9" i="10" s="1"/>
  <c r="H9" i="10" s="1"/>
  <c r="BE26" i="12"/>
  <c r="BA26" i="12" s="1"/>
  <c r="AW26" i="12" s="1"/>
  <c r="AS26" i="12" s="1"/>
  <c r="AO26" i="12" s="1"/>
  <c r="AK26" i="12" s="1"/>
  <c r="AG26" i="12" s="1"/>
  <c r="AC26" i="12" s="1"/>
  <c r="Z26" i="12" s="1"/>
  <c r="C10" i="10" s="1"/>
  <c r="H10" i="10" s="1"/>
  <c r="BE27" i="12"/>
  <c r="BA27" i="12" s="1"/>
  <c r="AW27" i="12" s="1"/>
  <c r="AS27" i="12" s="1"/>
  <c r="AO27" i="12" s="1"/>
  <c r="AK27" i="12" s="1"/>
  <c r="AG27" i="12" s="1"/>
  <c r="AC27" i="12" s="1"/>
  <c r="Z27" i="12" s="1"/>
  <c r="Z14" i="12" s="1"/>
  <c r="V23" i="22" a="1"/>
  <c r="I8" i="10"/>
  <c r="I9" i="10"/>
  <c r="V23" i="12" a="1"/>
  <c r="V23" i="13" a="1"/>
  <c r="I10" i="10"/>
  <c r="Z11" i="12" l="1"/>
  <c r="Z12" i="12"/>
  <c r="C7" i="10"/>
  <c r="H7" i="10" s="1"/>
  <c r="C11" i="10"/>
  <c r="H11" i="10" s="1"/>
  <c r="Z13" i="12"/>
  <c r="V38" i="22"/>
  <c r="V28" i="22"/>
  <c r="V52" i="22"/>
  <c r="V45" i="22"/>
  <c r="V71" i="22"/>
  <c r="V60" i="22"/>
  <c r="V56" i="22"/>
  <c r="V61" i="22"/>
  <c r="V35" i="22"/>
  <c r="V51" i="22"/>
  <c r="V39" i="22"/>
  <c r="V66" i="22"/>
  <c r="V43" i="22"/>
  <c r="V62" i="22"/>
  <c r="V24" i="22"/>
  <c r="V48" i="22"/>
  <c r="V54" i="22"/>
  <c r="V40" i="22"/>
  <c r="V33" i="22"/>
  <c r="V30" i="22"/>
  <c r="V68" i="22"/>
  <c r="V42" i="22"/>
  <c r="V36" i="22"/>
  <c r="V64" i="22"/>
  <c r="V46" i="22"/>
  <c r="V47" i="22"/>
  <c r="V23" i="22"/>
  <c r="V50" i="22"/>
  <c r="V34" i="22"/>
  <c r="V32" i="22"/>
  <c r="V69" i="22"/>
  <c r="V26" i="22"/>
  <c r="V37" i="22"/>
  <c r="V59" i="22"/>
  <c r="V63" i="22"/>
  <c r="V72" i="22"/>
  <c r="V65" i="22"/>
  <c r="V41" i="22"/>
  <c r="V31" i="22"/>
  <c r="V73" i="22"/>
  <c r="V44" i="22"/>
  <c r="V25" i="22"/>
  <c r="V29" i="22"/>
  <c r="V53" i="22"/>
  <c r="V27" i="22"/>
  <c r="V49" i="22"/>
  <c r="V67" i="22"/>
  <c r="V55" i="22"/>
  <c r="V74" i="22"/>
  <c r="V58" i="22"/>
  <c r="V70" i="22"/>
  <c r="V57" i="22"/>
  <c r="V23" i="13"/>
  <c r="V30" i="13"/>
  <c r="V24" i="13"/>
  <c r="V27" i="13"/>
  <c r="V28" i="13"/>
  <c r="V43" i="13"/>
  <c r="V37" i="13"/>
  <c r="V40" i="13"/>
  <c r="V48" i="13"/>
  <c r="V45" i="13"/>
  <c r="V26" i="13"/>
  <c r="V31" i="13"/>
  <c r="V42" i="13"/>
  <c r="V50" i="13"/>
  <c r="V52" i="13"/>
  <c r="V38" i="13"/>
  <c r="V49" i="13"/>
  <c r="V36" i="13"/>
  <c r="V47" i="13"/>
  <c r="V44" i="13"/>
  <c r="V41" i="13"/>
  <c r="V35" i="13"/>
  <c r="V32" i="13"/>
  <c r="V25" i="13"/>
  <c r="V34" i="13"/>
  <c r="V29" i="13"/>
  <c r="V51" i="13"/>
  <c r="V39" i="13"/>
  <c r="V46" i="13"/>
  <c r="V33" i="13"/>
  <c r="V27" i="12"/>
  <c r="V38" i="12"/>
  <c r="V26" i="12"/>
  <c r="V28" i="12"/>
  <c r="V34" i="12"/>
  <c r="V31" i="12"/>
  <c r="V35" i="12"/>
  <c r="V23" i="12"/>
  <c r="V29" i="12"/>
  <c r="V48" i="12"/>
  <c r="V25" i="12"/>
  <c r="V24" i="12"/>
  <c r="V39" i="12"/>
  <c r="V43" i="12"/>
  <c r="V33" i="12"/>
  <c r="V49" i="12"/>
  <c r="V46" i="12"/>
  <c r="V42" i="12"/>
  <c r="V32" i="12"/>
  <c r="V45" i="12"/>
  <c r="V30" i="12"/>
  <c r="V40" i="12"/>
  <c r="V41" i="12"/>
  <c r="V47" i="12"/>
  <c r="V37" i="12"/>
  <c r="V36" i="12"/>
  <c r="V44" i="12"/>
  <c r="I7" i="10"/>
  <c r="I11" i="10"/>
  <c r="R20" i="12"/>
  <c r="P21" i="12"/>
  <c r="C5" i="10" l="1"/>
  <c r="H5" i="10" s="1"/>
  <c r="Q20" i="13"/>
  <c r="R20" i="13" s="1"/>
  <c r="I5" i="10"/>
  <c r="I3" i="10" s="1"/>
  <c r="Q19" i="14" l="1"/>
  <c r="R19" i="14" s="1"/>
  <c r="C5" i="9" s="1"/>
  <c r="H5" i="9" s="1"/>
  <c r="C5" i="6"/>
  <c r="H5" i="6" s="1"/>
  <c r="I5" i="9"/>
  <c r="I3" i="9" s="1"/>
  <c r="I5" i="6"/>
  <c r="I3" i="6" s="1"/>
  <c r="D7" i="4" s="1"/>
</calcChain>
</file>

<file path=xl/sharedStrings.xml><?xml version="1.0" encoding="utf-8"?>
<sst xmlns="http://schemas.openxmlformats.org/spreadsheetml/2006/main" count="495" uniqueCount="154">
  <si>
    <t>1MD</t>
  </si>
  <si>
    <t>2MD</t>
  </si>
  <si>
    <t>GENERAL_SETTINGS</t>
  </si>
  <si>
    <t>Currency</t>
  </si>
  <si>
    <t>TriggerCounter</t>
  </si>
  <si>
    <t>Last update</t>
  </si>
  <si>
    <t>Live Data Feed</t>
  </si>
  <si>
    <t>Quote suffix</t>
  </si>
  <si>
    <t>_SYNTH3M_Quote</t>
  </si>
  <si>
    <t>Object ID</t>
  </si>
  <si>
    <t>Effective</t>
  </si>
  <si>
    <t>Change</t>
  </si>
  <si>
    <t>SND</t>
  </si>
  <si>
    <t>SWD</t>
  </si>
  <si>
    <t>2WD</t>
  </si>
  <si>
    <t>3WD</t>
  </si>
  <si>
    <t>3MD</t>
  </si>
  <si>
    <t>4MD</t>
  </si>
  <si>
    <t>5MD</t>
  </si>
  <si>
    <t>3M</t>
  </si>
  <si>
    <t>1W</t>
  </si>
  <si>
    <t>2W</t>
  </si>
  <si>
    <t>end</t>
  </si>
  <si>
    <t>start</t>
  </si>
  <si>
    <t>3W</t>
  </si>
  <si>
    <t>1M</t>
  </si>
  <si>
    <t>2M</t>
  </si>
  <si>
    <t>Instrument</t>
  </si>
  <si>
    <t>4M</t>
  </si>
  <si>
    <t>5M</t>
  </si>
  <si>
    <t>_SYNTH1M_Quote</t>
  </si>
  <si>
    <t>LastDayInYear</t>
  </si>
  <si>
    <t>spike</t>
  </si>
  <si>
    <t>y frac</t>
  </si>
  <si>
    <t>discount</t>
  </si>
  <si>
    <t>t</t>
  </si>
  <si>
    <t>T</t>
  </si>
  <si>
    <t>1D</t>
  </si>
  <si>
    <t>Actual/360</t>
  </si>
  <si>
    <t>6M</t>
  </si>
  <si>
    <t>TOY</t>
  </si>
  <si>
    <t xml:space="preserve"> </t>
  </si>
  <si>
    <t>Calendar</t>
  </si>
  <si>
    <t>Triggers</t>
  </si>
  <si>
    <t>Today</t>
  </si>
  <si>
    <t>DayCounter</t>
  </si>
  <si>
    <t>TOY2</t>
  </si>
  <si>
    <t>LastDayInNextYear</t>
  </si>
  <si>
    <t>TriggerTOY1M</t>
  </si>
  <si>
    <t>TriggerTOY3M</t>
  </si>
  <si>
    <t>TriggerTOY6M</t>
  </si>
  <si>
    <t>Static</t>
  </si>
  <si>
    <t>Live</t>
  </si>
  <si>
    <t>SettlementDate</t>
  </si>
  <si>
    <t>DiscountInterpolationType</t>
  </si>
  <si>
    <t>FwdInterpolationType</t>
  </si>
  <si>
    <t>real start</t>
  </si>
  <si>
    <t>interpolated</t>
  </si>
  <si>
    <t>_SYNTH6M_Quote</t>
  </si>
  <si>
    <t xml:space="preserve">  TOY</t>
  </si>
  <si>
    <t>mkt quote</t>
  </si>
  <si>
    <t>fwd rate</t>
  </si>
  <si>
    <t>Year Frac</t>
  </si>
  <si>
    <t>Used</t>
  </si>
  <si>
    <t>Unique</t>
  </si>
  <si>
    <t>Usable</t>
  </si>
  <si>
    <t>Use Second Set</t>
  </si>
  <si>
    <t>No Toy</t>
  </si>
  <si>
    <t>LastFixing</t>
  </si>
  <si>
    <t>6MD</t>
  </si>
  <si>
    <t>1YD</t>
  </si>
  <si>
    <t>_SYNTH1Y_Quote</t>
  </si>
  <si>
    <t>?</t>
  </si>
  <si>
    <t>Freq</t>
  </si>
  <si>
    <t>ModFol</t>
  </si>
  <si>
    <t>DayCount</t>
  </si>
  <si>
    <t>CalCode</t>
  </si>
  <si>
    <t>OptimType</t>
  </si>
  <si>
    <t>InterpType</t>
  </si>
  <si>
    <t>Date</t>
  </si>
  <si>
    <t>date</t>
  </si>
  <si>
    <t>FRA</t>
  </si>
  <si>
    <t>Disc.</t>
  </si>
  <si>
    <t>disc.</t>
  </si>
  <si>
    <t>depo</t>
  </si>
  <si>
    <t>Guess</t>
  </si>
  <si>
    <t>Diff</t>
  </si>
  <si>
    <t>Optim</t>
  </si>
  <si>
    <t>30/360 (Bond Basis)</t>
  </si>
  <si>
    <t>Use IMM FRA</t>
  </si>
  <si>
    <t>Use FRA</t>
  </si>
  <si>
    <t>F</t>
  </si>
  <si>
    <t>R</t>
  </si>
  <si>
    <t>A</t>
  </si>
  <si>
    <t>O</t>
  </si>
  <si>
    <t>P</t>
  </si>
  <si>
    <t>MaxIter</t>
  </si>
  <si>
    <t>I</t>
  </si>
  <si>
    <t>SkipGuess</t>
  </si>
  <si>
    <t>M</t>
  </si>
  <si>
    <t>ApprBoot</t>
  </si>
  <si>
    <t>FullOut</t>
  </si>
  <si>
    <t>CurrCode</t>
  </si>
  <si>
    <t>FutCons</t>
  </si>
  <si>
    <t>MatCons</t>
  </si>
  <si>
    <t>BlockOrder</t>
  </si>
  <si>
    <t>InterpT</t>
  </si>
  <si>
    <t>InterpOn</t>
  </si>
  <si>
    <t>Comp</t>
  </si>
  <si>
    <t>DayCnt</t>
  </si>
  <si>
    <t>FixLag</t>
  </si>
  <si>
    <t>FutEndDate</t>
  </si>
  <si>
    <t>FirstCoup</t>
  </si>
  <si>
    <t>RecOut</t>
  </si>
  <si>
    <t>target</t>
  </si>
  <si>
    <t>act/360</t>
  </si>
  <si>
    <t>F B</t>
  </si>
  <si>
    <t>U O</t>
  </si>
  <si>
    <t>L  O</t>
  </si>
  <si>
    <t>L  T</t>
  </si>
  <si>
    <t>InterpFRA</t>
  </si>
  <si>
    <t>Kruger</t>
  </si>
  <si>
    <t>End</t>
  </si>
  <si>
    <t>rt</t>
  </si>
  <si>
    <t>Cont</t>
  </si>
  <si>
    <t>Standard</t>
  </si>
  <si>
    <t>xlOptimSyntDepo(SettlementDate,A20,ohPack(U23:U44),ohPack(V23:V44),,,AC23:AC32,Y23:Y32,OptNames,OptValues)</t>
  </si>
  <si>
    <t>xlOptimSyntDepo(SettlementDate,A20,ohPack(U24:U52),ohPack(V24:V52),,,AC23:AC29,Y23:Y29,OptNames,OptValues)</t>
  </si>
  <si>
    <t>MonotonicCubicNaturalSpline</t>
  </si>
  <si>
    <t>24M</t>
  </si>
  <si>
    <t>30M</t>
  </si>
  <si>
    <t>36M</t>
  </si>
  <si>
    <t>42M</t>
  </si>
  <si>
    <t>48M</t>
  </si>
  <si>
    <t>54M</t>
  </si>
  <si>
    <t>BASIS</t>
  </si>
  <si>
    <t>MonotonicLogCubicNaturalSpline</t>
  </si>
  <si>
    <t>7M</t>
  </si>
  <si>
    <t>8M</t>
  </si>
  <si>
    <t>9M</t>
  </si>
  <si>
    <t>10M</t>
  </si>
  <si>
    <t>11M</t>
  </si>
  <si>
    <t>12M</t>
  </si>
  <si>
    <t>7MD</t>
  </si>
  <si>
    <t>8MD</t>
  </si>
  <si>
    <t>9MD</t>
  </si>
  <si>
    <t>10MD</t>
  </si>
  <si>
    <t>11MD</t>
  </si>
  <si>
    <t>1y</t>
  </si>
  <si>
    <t>MonotonicParabolic</t>
  </si>
  <si>
    <t>Use Futures</t>
  </si>
  <si>
    <t>USD</t>
  </si>
  <si>
    <t>UnitedStates::Settlement</t>
  </si>
  <si>
    <t>ExternalLinkCleanedUp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</si>
</sst>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&quot;£&quot;#,##0;[Red]\-&quot;£&quot;#,##0"/>
    <numFmt numFmtId="165" formatCode="0.0000%"/>
    <numFmt numFmtId="166" formatCode="0.0000"/>
    <numFmt numFmtId="167" formatCode="ddd\,\ d\-mmm\-yyyy"/>
    <numFmt numFmtId="168" formatCode="0.000%"/>
    <numFmt numFmtId="169" formatCode="ddd\,\ dd\-mmm\-yyyy\,\ h:mm:ss"/>
    <numFmt numFmtId="170" formatCode="ddd\,\ dd\-mmm\-yyyy\ h:mm:ss"/>
    <numFmt numFmtId="171" formatCode="#,##0.0;#,##0.0"/>
    <numFmt numFmtId="172" formatCode="_([$€-2]* #,##0.00_);_([$€-2]* \(#,##0.00\);_([$€-2]* &quot;-&quot;??_)"/>
    <numFmt numFmtId="173" formatCode="0.000000000"/>
    <numFmt numFmtId="174" formatCode="0.00000"/>
    <numFmt numFmtId="175" formatCode="0.000"/>
    <numFmt numFmtId="176" formatCode="General_)"/>
  </numFmts>
  <fonts count="21" x14ac:knownFonts="1">
    <font>
      <sz val="8"/>
      <name val="Arial"/>
    </font>
    <font>
      <sz val="8"/>
      <name val="Arial"/>
      <family val="2"/>
    </font>
    <font>
      <sz val="10"/>
      <name val="Arial"/>
      <family val="2"/>
    </font>
    <font>
      <b/>
      <sz val="12"/>
      <name val="MS Sans Serif"/>
      <family val="2"/>
    </font>
    <font>
      <sz val="8"/>
      <name val="Arial"/>
      <family val="2"/>
    </font>
    <font>
      <sz val="8"/>
      <name val="MS Sans Serif"/>
      <family val="2"/>
    </font>
    <font>
      <sz val="8"/>
      <color indexed="12"/>
      <name val="Arial"/>
      <family val="2"/>
    </font>
    <font>
      <sz val="8"/>
      <color indexed="10"/>
      <name val="Arial"/>
      <family val="2"/>
    </font>
    <font>
      <b/>
      <u/>
      <sz val="10"/>
      <name val="Arial"/>
      <family val="2"/>
    </font>
    <font>
      <b/>
      <sz val="8"/>
      <name val="Arial"/>
      <family val="2"/>
    </font>
    <font>
      <b/>
      <sz val="8"/>
      <name val="Arial"/>
      <family val="2"/>
    </font>
    <font>
      <b/>
      <sz val="12"/>
      <color indexed="16"/>
      <name val="MS Sans Serif"/>
      <family val="2"/>
    </font>
    <font>
      <sz val="8"/>
      <name val="Arial"/>
      <family val="2"/>
    </font>
    <font>
      <b/>
      <u/>
      <sz val="8"/>
      <name val="Arial"/>
      <family val="2"/>
    </font>
    <font>
      <b/>
      <sz val="8"/>
      <name val="Microsoft Sans Serif"/>
      <family val="2"/>
    </font>
    <font>
      <sz val="10"/>
      <name val="Helv"/>
    </font>
    <font>
      <sz val="12"/>
      <name val="Helv"/>
    </font>
    <font>
      <sz val="10"/>
      <name val="Arial"/>
      <family val="2"/>
    </font>
    <font>
      <b/>
      <sz val="12"/>
      <name val="Arial"/>
      <family val="2"/>
    </font>
    <font>
      <sz val="8"/>
      <color indexed="10"/>
      <name val="Arial"/>
      <family val="2"/>
    </font>
    <font>
      <sz val="10"/>
      <color indexed="10"/>
      <name val="Arial"/>
      <family val="2"/>
    </font>
  </fonts>
  <fills count="10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31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3">
    <xf numFmtId="0" fontId="0" fillId="0" borderId="0"/>
    <xf numFmtId="172" fontId="2" fillId="0" borderId="0" applyFont="0" applyFill="0" applyBorder="0" applyAlignment="0" applyProtection="0"/>
    <xf numFmtId="38" fontId="15" fillId="0" borderId="0" applyFont="0" applyFill="0" applyBorder="0" applyAlignment="0" applyProtection="0"/>
    <xf numFmtId="40" fontId="15" fillId="0" borderId="0" applyFont="0" applyFill="0" applyBorder="0" applyAlignment="0" applyProtection="0"/>
    <xf numFmtId="0" fontId="2" fillId="0" borderId="0"/>
    <xf numFmtId="0" fontId="2" fillId="0" borderId="0"/>
    <xf numFmtId="0" fontId="1" fillId="0" borderId="0"/>
    <xf numFmtId="0" fontId="2" fillId="0" borderId="0"/>
    <xf numFmtId="176" fontId="16" fillId="0" borderId="0"/>
    <xf numFmtId="9" fontId="1" fillId="0" borderId="0" applyFont="0" applyFill="0" applyBorder="0" applyAlignment="0" applyProtection="0"/>
    <xf numFmtId="171" fontId="11" fillId="2" borderId="0">
      <alignment horizontal="center" vertical="center"/>
    </xf>
    <xf numFmtId="164" fontId="15" fillId="0" borderId="0" applyFont="0" applyFill="0" applyBorder="0" applyAlignment="0" applyProtection="0"/>
    <xf numFmtId="164" fontId="15" fillId="0" borderId="0" applyFont="0" applyFill="0" applyBorder="0" applyAlignment="0" applyProtection="0"/>
  </cellStyleXfs>
  <cellXfs count="521">
    <xf numFmtId="0" fontId="0" fillId="0" borderId="0" xfId="0"/>
    <xf numFmtId="0" fontId="6" fillId="3" borderId="0" xfId="5" applyFont="1" applyFill="1" applyBorder="1" applyAlignment="1">
      <alignment horizontal="right"/>
    </xf>
    <xf numFmtId="0" fontId="4" fillId="3" borderId="1" xfId="0" applyFont="1" applyFill="1" applyBorder="1"/>
    <xf numFmtId="0" fontId="4" fillId="3" borderId="2" xfId="0" applyFont="1" applyFill="1" applyBorder="1"/>
    <xf numFmtId="0" fontId="4" fillId="3" borderId="3" xfId="0" applyFont="1" applyFill="1" applyBorder="1"/>
    <xf numFmtId="0" fontId="4" fillId="3" borderId="4" xfId="0" applyFont="1" applyFill="1" applyBorder="1"/>
    <xf numFmtId="0" fontId="8" fillId="3" borderId="0" xfId="0" applyFont="1" applyFill="1" applyBorder="1"/>
    <xf numFmtId="0" fontId="4" fillId="3" borderId="0" xfId="0" applyFont="1" applyFill="1" applyBorder="1"/>
    <xf numFmtId="0" fontId="4" fillId="3" borderId="0" xfId="0" applyFont="1" applyFill="1" applyBorder="1" applyAlignment="1">
      <alignment horizontal="center"/>
    </xf>
    <xf numFmtId="0" fontId="4" fillId="3" borderId="5" xfId="0" applyFont="1" applyFill="1" applyBorder="1"/>
    <xf numFmtId="0" fontId="4" fillId="3" borderId="4" xfId="0" applyFont="1" applyFill="1" applyBorder="1" applyAlignment="1">
      <alignment horizontal="center"/>
    </xf>
    <xf numFmtId="0" fontId="1" fillId="0" borderId="0" xfId="0" applyFont="1" applyFill="1" applyBorder="1"/>
    <xf numFmtId="0" fontId="4" fillId="3" borderId="5" xfId="0" applyFont="1" applyFill="1" applyBorder="1" applyAlignment="1">
      <alignment horizontal="center"/>
    </xf>
    <xf numFmtId="0" fontId="4" fillId="3" borderId="6" xfId="0" applyFont="1" applyFill="1" applyBorder="1"/>
    <xf numFmtId="0" fontId="4" fillId="3" borderId="7" xfId="0" applyFont="1" applyFill="1" applyBorder="1"/>
    <xf numFmtId="0" fontId="1" fillId="3" borderId="0" xfId="7" applyFont="1" applyFill="1"/>
    <xf numFmtId="0" fontId="12" fillId="3" borderId="0" xfId="7" applyFont="1" applyFill="1"/>
    <xf numFmtId="165" fontId="4" fillId="0" borderId="0" xfId="9" applyNumberFormat="1" applyFont="1" applyFill="1" applyBorder="1" applyAlignment="1"/>
    <xf numFmtId="0" fontId="4" fillId="0" borderId="0" xfId="0" applyFont="1"/>
    <xf numFmtId="0" fontId="13" fillId="3" borderId="0" xfId="0" applyFont="1" applyFill="1" applyBorder="1"/>
    <xf numFmtId="0" fontId="4" fillId="0" borderId="0" xfId="0" applyFont="1" applyFill="1" applyBorder="1"/>
    <xf numFmtId="0" fontId="1" fillId="0" borderId="0" xfId="0" applyFont="1"/>
    <xf numFmtId="0" fontId="1" fillId="0" borderId="8" xfId="0" applyFont="1" applyBorder="1"/>
    <xf numFmtId="167" fontId="0" fillId="0" borderId="0" xfId="0" applyNumberFormat="1" applyBorder="1"/>
    <xf numFmtId="0" fontId="1" fillId="0" borderId="9" xfId="0" applyFont="1" applyBorder="1"/>
    <xf numFmtId="0" fontId="1" fillId="0" borderId="0" xfId="0" applyFont="1" applyBorder="1"/>
    <xf numFmtId="165" fontId="1" fillId="0" borderId="0" xfId="0" applyNumberFormat="1" applyFont="1" applyBorder="1"/>
    <xf numFmtId="167" fontId="1" fillId="0" borderId="0" xfId="0" applyNumberFormat="1" applyFont="1"/>
    <xf numFmtId="175" fontId="1" fillId="0" borderId="0" xfId="0" applyNumberFormat="1" applyFont="1"/>
    <xf numFmtId="165" fontId="1" fillId="0" borderId="0" xfId="0" applyNumberFormat="1" applyFont="1"/>
    <xf numFmtId="167" fontId="1" fillId="0" borderId="10" xfId="0" applyNumberFormat="1" applyFont="1" applyBorder="1"/>
    <xf numFmtId="165" fontId="1" fillId="0" borderId="10" xfId="0" applyNumberFormat="1" applyFont="1" applyBorder="1"/>
    <xf numFmtId="167" fontId="1" fillId="0" borderId="11" xfId="0" applyNumberFormat="1" applyFont="1" applyBorder="1"/>
    <xf numFmtId="0" fontId="1" fillId="0" borderId="10" xfId="0" applyFont="1" applyBorder="1"/>
    <xf numFmtId="167" fontId="1" fillId="0" borderId="0" xfId="0" applyNumberFormat="1" applyFont="1" applyBorder="1"/>
    <xf numFmtId="167" fontId="1" fillId="0" borderId="9" xfId="0" applyNumberFormat="1" applyFont="1" applyBorder="1"/>
    <xf numFmtId="167" fontId="1" fillId="0" borderId="12" xfId="0" applyNumberFormat="1" applyFont="1" applyBorder="1"/>
    <xf numFmtId="165" fontId="1" fillId="0" borderId="12" xfId="0" applyNumberFormat="1" applyFont="1" applyBorder="1"/>
    <xf numFmtId="167" fontId="1" fillId="0" borderId="13" xfId="0" applyNumberFormat="1" applyFont="1" applyBorder="1"/>
    <xf numFmtId="0" fontId="1" fillId="0" borderId="12" xfId="0" applyFont="1" applyBorder="1"/>
    <xf numFmtId="0" fontId="1" fillId="0" borderId="11" xfId="0" applyFont="1" applyBorder="1"/>
    <xf numFmtId="0" fontId="1" fillId="0" borderId="14" xfId="0" applyFont="1" applyBorder="1"/>
    <xf numFmtId="9" fontId="1" fillId="0" borderId="0" xfId="9" applyFont="1"/>
    <xf numFmtId="0" fontId="4" fillId="0" borderId="0" xfId="0" applyFont="1" applyBorder="1"/>
    <xf numFmtId="0" fontId="1" fillId="3" borderId="5" xfId="7" applyFont="1" applyFill="1" applyBorder="1"/>
    <xf numFmtId="0" fontId="12" fillId="3" borderId="3" xfId="7" applyFont="1" applyFill="1" applyBorder="1"/>
    <xf numFmtId="0" fontId="0" fillId="0" borderId="0" xfId="0" applyBorder="1"/>
    <xf numFmtId="0" fontId="12" fillId="3" borderId="5" xfId="7" applyFont="1" applyFill="1" applyBorder="1"/>
    <xf numFmtId="0" fontId="12" fillId="3" borderId="6" xfId="7" applyFont="1" applyFill="1" applyBorder="1"/>
    <xf numFmtId="0" fontId="12" fillId="3" borderId="7" xfId="7" applyFont="1" applyFill="1" applyBorder="1"/>
    <xf numFmtId="0" fontId="12" fillId="3" borderId="15" xfId="7" applyFont="1" applyFill="1" applyBorder="1"/>
    <xf numFmtId="0" fontId="1" fillId="3" borderId="3" xfId="7" applyFont="1" applyFill="1" applyBorder="1"/>
    <xf numFmtId="0" fontId="1" fillId="3" borderId="15" xfId="7" applyFont="1" applyFill="1" applyBorder="1"/>
    <xf numFmtId="0" fontId="1" fillId="0" borderId="13" xfId="0" applyFont="1" applyBorder="1"/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4" fillId="0" borderId="8" xfId="0" applyFont="1" applyBorder="1"/>
    <xf numFmtId="175" fontId="1" fillId="0" borderId="0" xfId="0" applyNumberFormat="1" applyFont="1" applyBorder="1" applyAlignment="1">
      <alignment horizontal="center"/>
    </xf>
    <xf numFmtId="175" fontId="1" fillId="0" borderId="12" xfId="0" applyNumberFormat="1" applyFont="1" applyBorder="1" applyAlignment="1">
      <alignment horizontal="center"/>
    </xf>
    <xf numFmtId="165" fontId="1" fillId="0" borderId="12" xfId="0" applyNumberFormat="1" applyFont="1" applyBorder="1" applyAlignment="1">
      <alignment horizontal="center"/>
    </xf>
    <xf numFmtId="0" fontId="2" fillId="4" borderId="0" xfId="6" applyFont="1" applyFill="1" applyAlignment="1">
      <alignment horizontal="left"/>
    </xf>
    <xf numFmtId="0" fontId="1" fillId="4" borderId="0" xfId="6" applyFill="1"/>
    <xf numFmtId="0" fontId="5" fillId="3" borderId="4" xfId="4" applyFont="1" applyFill="1" applyBorder="1"/>
    <xf numFmtId="0" fontId="5" fillId="3" borderId="5" xfId="4" applyFont="1" applyFill="1" applyBorder="1"/>
    <xf numFmtId="0" fontId="1" fillId="4" borderId="0" xfId="6" applyFont="1" applyFill="1"/>
    <xf numFmtId="0" fontId="1" fillId="3" borderId="6" xfId="4" applyFont="1" applyFill="1" applyBorder="1"/>
    <xf numFmtId="0" fontId="1" fillId="3" borderId="7" xfId="4" applyFont="1" applyFill="1" applyBorder="1"/>
    <xf numFmtId="0" fontId="1" fillId="3" borderId="15" xfId="4" applyFont="1" applyFill="1" applyBorder="1"/>
    <xf numFmtId="0" fontId="1" fillId="3" borderId="4" xfId="4" applyFont="1" applyFill="1" applyBorder="1"/>
    <xf numFmtId="0" fontId="1" fillId="3" borderId="0" xfId="4" applyFont="1" applyFill="1" applyBorder="1"/>
    <xf numFmtId="0" fontId="1" fillId="3" borderId="5" xfId="4" applyFont="1" applyFill="1" applyBorder="1"/>
    <xf numFmtId="0" fontId="10" fillId="4" borderId="18" xfId="4" applyFont="1" applyFill="1" applyBorder="1"/>
    <xf numFmtId="167" fontId="1" fillId="0" borderId="18" xfId="4" applyNumberFormat="1" applyFont="1" applyBorder="1" applyAlignment="1">
      <alignment horizontal="center"/>
    </xf>
    <xf numFmtId="0" fontId="14" fillId="4" borderId="18" xfId="4" applyFont="1" applyFill="1" applyBorder="1" applyProtection="1"/>
    <xf numFmtId="0" fontId="1" fillId="0" borderId="18" xfId="4" applyFont="1" applyBorder="1"/>
    <xf numFmtId="165" fontId="1" fillId="0" borderId="12" xfId="9" applyNumberFormat="1" applyFont="1" applyBorder="1"/>
    <xf numFmtId="0" fontId="1" fillId="0" borderId="19" xfId="0" applyFont="1" applyBorder="1"/>
    <xf numFmtId="0" fontId="0" fillId="0" borderId="16" xfId="0" applyBorder="1" applyAlignment="1">
      <alignment horizontal="center"/>
    </xf>
    <xf numFmtId="165" fontId="4" fillId="0" borderId="12" xfId="9" applyNumberFormat="1" applyFont="1" applyFill="1" applyBorder="1" applyAlignment="1"/>
    <xf numFmtId="0" fontId="1" fillId="0" borderId="17" xfId="0" applyFont="1" applyBorder="1"/>
    <xf numFmtId="167" fontId="4" fillId="0" borderId="0" xfId="0" applyNumberFormat="1" applyFont="1" applyBorder="1"/>
    <xf numFmtId="0" fontId="0" fillId="0" borderId="17" xfId="0" applyBorder="1"/>
    <xf numFmtId="174" fontId="4" fillId="0" borderId="20" xfId="0" applyNumberFormat="1" applyFont="1" applyBorder="1"/>
    <xf numFmtId="174" fontId="4" fillId="0" borderId="19" xfId="0" applyNumberFormat="1" applyFont="1" applyBorder="1"/>
    <xf numFmtId="174" fontId="1" fillId="0" borderId="20" xfId="0" applyNumberFormat="1" applyFont="1" applyBorder="1"/>
    <xf numFmtId="174" fontId="1" fillId="0" borderId="19" xfId="0" applyNumberFormat="1" applyFont="1" applyBorder="1"/>
    <xf numFmtId="166" fontId="1" fillId="0" borderId="10" xfId="0" applyNumberFormat="1" applyFont="1" applyBorder="1"/>
    <xf numFmtId="166" fontId="1" fillId="0" borderId="0" xfId="0" applyNumberFormat="1" applyFont="1" applyBorder="1"/>
    <xf numFmtId="166" fontId="1" fillId="0" borderId="12" xfId="0" applyNumberFormat="1" applyFont="1" applyBorder="1"/>
    <xf numFmtId="165" fontId="1" fillId="0" borderId="0" xfId="9" applyNumberFormat="1" applyFont="1" applyBorder="1"/>
    <xf numFmtId="167" fontId="1" fillId="0" borderId="16" xfId="0" applyNumberFormat="1" applyFont="1" applyBorder="1" applyAlignment="1">
      <alignment horizontal="center"/>
    </xf>
    <xf numFmtId="0" fontId="0" fillId="0" borderId="9" xfId="0" applyBorder="1"/>
    <xf numFmtId="0" fontId="0" fillId="0" borderId="13" xfId="0" applyBorder="1"/>
    <xf numFmtId="167" fontId="0" fillId="0" borderId="12" xfId="0" applyNumberFormat="1" applyBorder="1"/>
    <xf numFmtId="0" fontId="1" fillId="0" borderId="8" xfId="0" applyFont="1" applyBorder="1" applyAlignment="1">
      <alignment horizontal="center"/>
    </xf>
    <xf numFmtId="165" fontId="0" fillId="0" borderId="9" xfId="0" applyNumberFormat="1" applyBorder="1"/>
    <xf numFmtId="0" fontId="0" fillId="0" borderId="11" xfId="0" applyBorder="1"/>
    <xf numFmtId="165" fontId="1" fillId="0" borderId="10" xfId="9" applyNumberFormat="1" applyFont="1" applyBorder="1"/>
    <xf numFmtId="0" fontId="0" fillId="0" borderId="0" xfId="0" applyBorder="1" applyAlignment="1">
      <alignment horizontal="center"/>
    </xf>
    <xf numFmtId="165" fontId="1" fillId="0" borderId="9" xfId="0" applyNumberFormat="1" applyFont="1" applyBorder="1"/>
    <xf numFmtId="0" fontId="1" fillId="0" borderId="20" xfId="0" applyFont="1" applyBorder="1"/>
    <xf numFmtId="165" fontId="1" fillId="0" borderId="13" xfId="0" applyNumberFormat="1" applyFont="1" applyBorder="1"/>
    <xf numFmtId="165" fontId="1" fillId="0" borderId="9" xfId="9" applyNumberFormat="1" applyFont="1" applyBorder="1"/>
    <xf numFmtId="165" fontId="1" fillId="0" borderId="13" xfId="9" applyNumberFormat="1" applyFont="1" applyBorder="1"/>
    <xf numFmtId="165" fontId="0" fillId="0" borderId="13" xfId="0" applyNumberFormat="1" applyBorder="1"/>
    <xf numFmtId="165" fontId="1" fillId="0" borderId="11" xfId="0" applyNumberFormat="1" applyFont="1" applyBorder="1"/>
    <xf numFmtId="165" fontId="1" fillId="0" borderId="20" xfId="9" applyNumberFormat="1" applyFont="1" applyBorder="1"/>
    <xf numFmtId="165" fontId="1" fillId="0" borderId="19" xfId="9" applyNumberFormat="1" applyFont="1" applyBorder="1"/>
    <xf numFmtId="167" fontId="0" fillId="0" borderId="10" xfId="0" applyNumberFormat="1" applyBorder="1"/>
    <xf numFmtId="165" fontId="0" fillId="0" borderId="11" xfId="0" applyNumberFormat="1" applyBorder="1"/>
    <xf numFmtId="165" fontId="1" fillId="0" borderId="11" xfId="9" applyNumberFormat="1" applyFont="1" applyBorder="1"/>
    <xf numFmtId="0" fontId="4" fillId="0" borderId="9" xfId="0" applyFont="1" applyBorder="1"/>
    <xf numFmtId="165" fontId="4" fillId="0" borderId="0" xfId="9" applyNumberFormat="1" applyFont="1" applyBorder="1"/>
    <xf numFmtId="165" fontId="4" fillId="0" borderId="0" xfId="0" applyNumberFormat="1" applyFont="1" applyBorder="1"/>
    <xf numFmtId="0" fontId="4" fillId="0" borderId="13" xfId="0" applyFont="1" applyBorder="1"/>
    <xf numFmtId="167" fontId="4" fillId="0" borderId="12" xfId="0" applyNumberFormat="1" applyFont="1" applyBorder="1"/>
    <xf numFmtId="165" fontId="4" fillId="0" borderId="12" xfId="0" applyNumberFormat="1" applyFont="1" applyBorder="1"/>
    <xf numFmtId="165" fontId="0" fillId="0" borderId="0" xfId="9" applyNumberFormat="1" applyFont="1" applyBorder="1"/>
    <xf numFmtId="165" fontId="10" fillId="0" borderId="8" xfId="9" applyNumberFormat="1" applyFont="1" applyFill="1" applyBorder="1" applyAlignment="1">
      <alignment horizontal="center" vertical="center" wrapText="1"/>
    </xf>
    <xf numFmtId="166" fontId="10" fillId="0" borderId="17" xfId="9" applyNumberFormat="1" applyFont="1" applyFill="1" applyBorder="1" applyAlignment="1">
      <alignment horizontal="center" vertical="center" wrapText="1"/>
    </xf>
    <xf numFmtId="0" fontId="4" fillId="0" borderId="11" xfId="9" applyNumberFormat="1" applyFont="1" applyFill="1" applyBorder="1" applyAlignment="1"/>
    <xf numFmtId="165" fontId="0" fillId="0" borderId="14" xfId="9" applyNumberFormat="1" applyFont="1" applyBorder="1"/>
    <xf numFmtId="0" fontId="4" fillId="0" borderId="9" xfId="9" applyNumberFormat="1" applyFont="1" applyFill="1" applyBorder="1" applyAlignment="1"/>
    <xf numFmtId="165" fontId="4" fillId="0" borderId="20" xfId="9" applyNumberFormat="1" applyFont="1" applyFill="1" applyBorder="1" applyAlignment="1"/>
    <xf numFmtId="0" fontId="4" fillId="0" borderId="13" xfId="9" applyNumberFormat="1" applyFont="1" applyFill="1" applyBorder="1" applyAlignment="1"/>
    <xf numFmtId="165" fontId="4" fillId="0" borderId="19" xfId="9" applyNumberFormat="1" applyFont="1" applyFill="1" applyBorder="1" applyAlignment="1"/>
    <xf numFmtId="165" fontId="10" fillId="0" borderId="18" xfId="9" applyNumberFormat="1" applyFont="1" applyFill="1" applyBorder="1" applyAlignment="1">
      <alignment horizontal="center" vertical="center" wrapText="1"/>
    </xf>
    <xf numFmtId="165" fontId="1" fillId="0" borderId="21" xfId="9" applyNumberFormat="1" applyFont="1" applyBorder="1" applyAlignment="1"/>
    <xf numFmtId="165" fontId="1" fillId="0" borderId="22" xfId="9" applyNumberFormat="1" applyFont="1" applyBorder="1" applyAlignment="1"/>
    <xf numFmtId="165" fontId="1" fillId="0" borderId="23" xfId="9" applyNumberFormat="1" applyFont="1" applyBorder="1" applyAlignment="1"/>
    <xf numFmtId="165" fontId="10" fillId="0" borderId="16" xfId="9" applyNumberFormat="1" applyFont="1" applyFill="1" applyBorder="1" applyAlignment="1">
      <alignment horizontal="center" vertical="center" wrapText="1"/>
    </xf>
    <xf numFmtId="165" fontId="10" fillId="0" borderId="17" xfId="9" applyNumberFormat="1" applyFont="1" applyFill="1" applyBorder="1" applyAlignment="1">
      <alignment horizontal="center" vertical="center" wrapText="1"/>
    </xf>
    <xf numFmtId="165" fontId="4" fillId="0" borderId="11" xfId="9" applyNumberFormat="1" applyFont="1" applyFill="1" applyBorder="1" applyAlignment="1"/>
    <xf numFmtId="165" fontId="4" fillId="0" borderId="10" xfId="9" applyNumberFormat="1" applyFont="1" applyFill="1" applyBorder="1" applyAlignment="1"/>
    <xf numFmtId="165" fontId="4" fillId="0" borderId="14" xfId="9" applyNumberFormat="1" applyFont="1" applyFill="1" applyBorder="1" applyAlignment="1"/>
    <xf numFmtId="165" fontId="4" fillId="0" borderId="9" xfId="9" applyNumberFormat="1" applyFont="1" applyFill="1" applyBorder="1" applyAlignment="1"/>
    <xf numFmtId="165" fontId="4" fillId="0" borderId="13" xfId="9" applyNumberFormat="1" applyFont="1" applyFill="1" applyBorder="1" applyAlignment="1"/>
    <xf numFmtId="0" fontId="1" fillId="3" borderId="18" xfId="0" applyFont="1" applyFill="1" applyBorder="1" applyAlignment="1">
      <alignment horizontal="center" vertical="center"/>
    </xf>
    <xf numFmtId="0" fontId="9" fillId="5" borderId="18" xfId="0" applyFont="1" applyFill="1" applyBorder="1" applyAlignment="1">
      <alignment horizontal="center" vertical="center"/>
    </xf>
    <xf numFmtId="0" fontId="4" fillId="0" borderId="11" xfId="9" applyNumberFormat="1" applyFont="1" applyFill="1" applyBorder="1" applyAlignment="1">
      <alignment horizontal="center"/>
    </xf>
    <xf numFmtId="0" fontId="4" fillId="0" borderId="9" xfId="9" applyNumberFormat="1" applyFont="1" applyFill="1" applyBorder="1" applyAlignment="1">
      <alignment horizontal="center"/>
    </xf>
    <xf numFmtId="0" fontId="4" fillId="0" borderId="13" xfId="9" applyNumberFormat="1" applyFont="1" applyFill="1" applyBorder="1" applyAlignment="1">
      <alignment horizontal="center"/>
    </xf>
    <xf numFmtId="165" fontId="4" fillId="0" borderId="22" xfId="9" applyNumberFormat="1" applyFont="1" applyBorder="1" applyAlignment="1"/>
    <xf numFmtId="165" fontId="4" fillId="0" borderId="23" xfId="9" applyNumberFormat="1" applyFont="1" applyBorder="1" applyAlignment="1"/>
    <xf numFmtId="0" fontId="10" fillId="5" borderId="18" xfId="0" applyFont="1" applyFill="1" applyBorder="1" applyAlignment="1">
      <alignment horizontal="center" vertical="center"/>
    </xf>
    <xf numFmtId="0" fontId="4" fillId="3" borderId="18" xfId="0" applyFont="1" applyFill="1" applyBorder="1" applyAlignment="1">
      <alignment horizontal="center" vertical="center"/>
    </xf>
    <xf numFmtId="165" fontId="4" fillId="0" borderId="0" xfId="9" applyNumberFormat="1" applyFont="1" applyFill="1" applyBorder="1"/>
    <xf numFmtId="165" fontId="4" fillId="0" borderId="12" xfId="9" applyNumberFormat="1" applyFont="1" applyFill="1" applyBorder="1"/>
    <xf numFmtId="165" fontId="4" fillId="0" borderId="20" xfId="0" applyNumberFormat="1" applyFont="1" applyFill="1" applyBorder="1"/>
    <xf numFmtId="165" fontId="4" fillId="0" borderId="19" xfId="0" applyNumberFormat="1" applyFont="1" applyFill="1" applyBorder="1"/>
    <xf numFmtId="165" fontId="10" fillId="0" borderId="14" xfId="9" applyNumberFormat="1" applyFont="1" applyFill="1" applyBorder="1" applyAlignment="1">
      <alignment horizontal="center" vertical="center" wrapText="1"/>
    </xf>
    <xf numFmtId="165" fontId="1" fillId="0" borderId="17" xfId="0" applyNumberFormat="1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15" xfId="0" applyFont="1" applyFill="1" applyBorder="1" applyAlignment="1">
      <alignment horizontal="center"/>
    </xf>
    <xf numFmtId="165" fontId="4" fillId="0" borderId="12" xfId="9" applyNumberFormat="1" applyFont="1" applyBorder="1"/>
    <xf numFmtId="165" fontId="0" fillId="0" borderId="0" xfId="0" applyNumberFormat="1" applyBorder="1"/>
    <xf numFmtId="166" fontId="1" fillId="0" borderId="9" xfId="0" applyNumberFormat="1" applyFont="1" applyBorder="1"/>
    <xf numFmtId="165" fontId="0" fillId="0" borderId="12" xfId="0" applyNumberFormat="1" applyBorder="1"/>
    <xf numFmtId="10" fontId="1" fillId="0" borderId="0" xfId="9" applyNumberFormat="1" applyFont="1" applyBorder="1"/>
    <xf numFmtId="10" fontId="1" fillId="0" borderId="10" xfId="0" applyNumberFormat="1" applyFont="1" applyBorder="1"/>
    <xf numFmtId="10" fontId="1" fillId="0" borderId="0" xfId="0" applyNumberFormat="1" applyFont="1" applyBorder="1"/>
    <xf numFmtId="10" fontId="1" fillId="0" borderId="12" xfId="0" applyNumberFormat="1" applyFont="1" applyBorder="1"/>
    <xf numFmtId="0" fontId="0" fillId="0" borderId="10" xfId="0" applyBorder="1"/>
    <xf numFmtId="165" fontId="0" fillId="0" borderId="10" xfId="0" applyNumberFormat="1" applyBorder="1"/>
    <xf numFmtId="174" fontId="1" fillId="0" borderId="16" xfId="0" applyNumberFormat="1" applyFont="1" applyBorder="1" applyAlignment="1"/>
    <xf numFmtId="174" fontId="0" fillId="0" borderId="10" xfId="0" applyNumberFormat="1" applyBorder="1" applyAlignment="1"/>
    <xf numFmtId="174" fontId="0" fillId="0" borderId="0" xfId="0" applyNumberFormat="1" applyBorder="1" applyAlignment="1"/>
    <xf numFmtId="174" fontId="0" fillId="0" borderId="12" xfId="0" applyNumberFormat="1" applyBorder="1" applyAlignment="1"/>
    <xf numFmtId="0" fontId="0" fillId="0" borderId="0" xfId="0" applyAlignment="1">
      <alignment horizontal="center"/>
    </xf>
    <xf numFmtId="0" fontId="0" fillId="0" borderId="11" xfId="0" applyBorder="1" applyAlignment="1">
      <alignment horizontal="center"/>
    </xf>
    <xf numFmtId="10" fontId="1" fillId="0" borderId="10" xfId="9" applyNumberFormat="1" applyFont="1" applyBorder="1"/>
    <xf numFmtId="10" fontId="1" fillId="0" borderId="12" xfId="9" applyNumberFormat="1" applyFont="1" applyBorder="1"/>
    <xf numFmtId="0" fontId="1" fillId="0" borderId="0" xfId="0" applyFont="1" applyAlignment="1">
      <alignment horizontal="center"/>
    </xf>
    <xf numFmtId="0" fontId="0" fillId="0" borderId="21" xfId="0" applyBorder="1"/>
    <xf numFmtId="0" fontId="0" fillId="0" borderId="12" xfId="0" applyBorder="1"/>
    <xf numFmtId="0" fontId="0" fillId="0" borderId="22" xfId="0" applyBorder="1"/>
    <xf numFmtId="0" fontId="0" fillId="0" borderId="23" xfId="0" applyBorder="1"/>
    <xf numFmtId="0" fontId="0" fillId="0" borderId="18" xfId="0" applyBorder="1" applyAlignment="1">
      <alignment horizontal="center"/>
    </xf>
    <xf numFmtId="10" fontId="1" fillId="0" borderId="14" xfId="9" applyNumberFormat="1" applyFont="1" applyBorder="1"/>
    <xf numFmtId="10" fontId="1" fillId="0" borderId="20" xfId="9" applyNumberFormat="1" applyFont="1" applyBorder="1"/>
    <xf numFmtId="10" fontId="1" fillId="0" borderId="19" xfId="9" applyNumberFormat="1" applyFont="1" applyBorder="1"/>
    <xf numFmtId="0" fontId="4" fillId="0" borderId="11" xfId="0" applyFont="1" applyBorder="1"/>
    <xf numFmtId="167" fontId="4" fillId="0" borderId="9" xfId="0" applyNumberFormat="1" applyFont="1" applyBorder="1"/>
    <xf numFmtId="165" fontId="4" fillId="0" borderId="20" xfId="9" applyNumberFormat="1" applyFont="1" applyBorder="1"/>
    <xf numFmtId="167" fontId="4" fillId="0" borderId="13" xfId="0" applyNumberFormat="1" applyFont="1" applyBorder="1"/>
    <xf numFmtId="0" fontId="10" fillId="0" borderId="16" xfId="0" applyFont="1" applyBorder="1" applyAlignment="1">
      <alignment horizontal="center"/>
    </xf>
    <xf numFmtId="0" fontId="1" fillId="0" borderId="12" xfId="0" applyFont="1" applyBorder="1" applyAlignment="1"/>
    <xf numFmtId="10" fontId="1" fillId="0" borderId="12" xfId="0" applyNumberFormat="1" applyFont="1" applyBorder="1" applyAlignment="1">
      <alignment horizontal="center"/>
    </xf>
    <xf numFmtId="10" fontId="7" fillId="0" borderId="10" xfId="9" applyNumberFormat="1" applyFont="1" applyBorder="1"/>
    <xf numFmtId="0" fontId="4" fillId="0" borderId="14" xfId="0" applyFont="1" applyBorder="1"/>
    <xf numFmtId="10" fontId="7" fillId="0" borderId="12" xfId="9" applyNumberFormat="1" applyFont="1" applyBorder="1"/>
    <xf numFmtId="0" fontId="0" fillId="0" borderId="19" xfId="0" applyBorder="1"/>
    <xf numFmtId="0" fontId="1" fillId="0" borderId="11" xfId="0" applyFont="1" applyBorder="1" applyAlignment="1">
      <alignment horizontal="center"/>
    </xf>
    <xf numFmtId="173" fontId="1" fillId="0" borderId="10" xfId="0" applyNumberFormat="1" applyFont="1" applyBorder="1" applyAlignment="1">
      <alignment horizontal="center"/>
    </xf>
    <xf numFmtId="167" fontId="1" fillId="0" borderId="10" xfId="0" applyNumberFormat="1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166" fontId="1" fillId="0" borderId="13" xfId="0" applyNumberFormat="1" applyFont="1" applyBorder="1"/>
    <xf numFmtId="0" fontId="1" fillId="0" borderId="10" xfId="0" applyFont="1" applyBorder="1" applyAlignment="1">
      <alignment horizontal="center"/>
    </xf>
    <xf numFmtId="0" fontId="4" fillId="0" borderId="20" xfId="0" applyFont="1" applyBorder="1"/>
    <xf numFmtId="0" fontId="4" fillId="0" borderId="19" xfId="0" applyFont="1" applyBorder="1"/>
    <xf numFmtId="10" fontId="1" fillId="0" borderId="0" xfId="0" applyNumberFormat="1" applyFont="1" applyBorder="1" applyAlignment="1">
      <alignment horizontal="center"/>
    </xf>
    <xf numFmtId="166" fontId="0" fillId="0" borderId="11" xfId="0" applyNumberFormat="1" applyBorder="1"/>
    <xf numFmtId="166" fontId="0" fillId="0" borderId="9" xfId="0" applyNumberFormat="1" applyBorder="1"/>
    <xf numFmtId="166" fontId="0" fillId="0" borderId="13" xfId="0" applyNumberFormat="1" applyBorder="1"/>
    <xf numFmtId="0" fontId="1" fillId="0" borderId="13" xfId="0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6" borderId="0" xfId="0" applyFill="1" applyBorder="1" applyAlignment="1">
      <alignment horizontal="center"/>
    </xf>
    <xf numFmtId="167" fontId="4" fillId="0" borderId="11" xfId="0" applyNumberFormat="1" applyFont="1" applyBorder="1"/>
    <xf numFmtId="165" fontId="4" fillId="0" borderId="14" xfId="9" applyNumberFormat="1" applyFont="1" applyBorder="1"/>
    <xf numFmtId="10" fontId="1" fillId="0" borderId="16" xfId="0" applyNumberFormat="1" applyFont="1" applyBorder="1" applyAlignment="1">
      <alignment horizontal="center"/>
    </xf>
    <xf numFmtId="165" fontId="7" fillId="0" borderId="0" xfId="9" applyNumberFormat="1" applyFont="1" applyBorder="1" applyAlignment="1"/>
    <xf numFmtId="165" fontId="7" fillId="0" borderId="12" xfId="9" applyNumberFormat="1" applyFont="1" applyBorder="1" applyAlignment="1"/>
    <xf numFmtId="0" fontId="17" fillId="7" borderId="0" xfId="5" applyFont="1" applyFill="1"/>
    <xf numFmtId="0" fontId="17" fillId="3" borderId="9" xfId="5" applyFont="1" applyFill="1" applyBorder="1"/>
    <xf numFmtId="0" fontId="17" fillId="3" borderId="0" xfId="5" applyFont="1" applyFill="1" applyBorder="1"/>
    <xf numFmtId="0" fontId="17" fillId="3" borderId="20" xfId="5" applyFont="1" applyFill="1" applyBorder="1"/>
    <xf numFmtId="0" fontId="17" fillId="0" borderId="0" xfId="5" applyFont="1"/>
    <xf numFmtId="0" fontId="4" fillId="3" borderId="0" xfId="5" applyFont="1" applyFill="1" applyBorder="1"/>
    <xf numFmtId="0" fontId="4" fillId="3" borderId="20" xfId="5" applyFont="1" applyFill="1" applyBorder="1"/>
    <xf numFmtId="0" fontId="4" fillId="4" borderId="0" xfId="6" applyFont="1" applyFill="1"/>
    <xf numFmtId="170" fontId="4" fillId="3" borderId="0" xfId="5" applyNumberFormat="1" applyFont="1" applyFill="1" applyBorder="1" applyAlignment="1">
      <alignment horizontal="center"/>
    </xf>
    <xf numFmtId="0" fontId="4" fillId="4" borderId="18" xfId="5" applyFont="1" applyFill="1" applyBorder="1"/>
    <xf numFmtId="167" fontId="4" fillId="3" borderId="17" xfId="9" applyNumberFormat="1" applyFont="1" applyFill="1" applyBorder="1"/>
    <xf numFmtId="0" fontId="4" fillId="0" borderId="18" xfId="0" applyFont="1" applyBorder="1"/>
    <xf numFmtId="0" fontId="4" fillId="3" borderId="0" xfId="5" applyFont="1" applyFill="1" applyBorder="1" applyAlignment="1">
      <alignment horizontal="center"/>
    </xf>
    <xf numFmtId="169" fontId="19" fillId="3" borderId="0" xfId="5" applyNumberFormat="1" applyFont="1" applyFill="1" applyBorder="1" applyAlignment="1">
      <alignment horizontal="left"/>
    </xf>
    <xf numFmtId="0" fontId="17" fillId="3" borderId="0" xfId="5" applyFont="1" applyFill="1" applyAlignment="1">
      <alignment horizontal="right"/>
    </xf>
    <xf numFmtId="0" fontId="20" fillId="3" borderId="0" xfId="5" applyFont="1" applyFill="1" applyAlignment="1">
      <alignment horizontal="right"/>
    </xf>
    <xf numFmtId="0" fontId="19" fillId="3" borderId="0" xfId="5" quotePrefix="1" applyFont="1" applyFill="1" applyBorder="1" applyAlignment="1">
      <alignment horizontal="left"/>
    </xf>
    <xf numFmtId="0" fontId="17" fillId="3" borderId="13" xfId="5" applyFont="1" applyFill="1" applyBorder="1"/>
    <xf numFmtId="0" fontId="4" fillId="3" borderId="12" xfId="5" applyFont="1" applyFill="1" applyBorder="1"/>
    <xf numFmtId="0" fontId="4" fillId="3" borderId="19" xfId="5" applyFont="1" applyFill="1" applyBorder="1"/>
    <xf numFmtId="0" fontId="4" fillId="7" borderId="0" xfId="5" applyFont="1" applyFill="1" applyBorder="1"/>
    <xf numFmtId="0" fontId="17" fillId="3" borderId="0" xfId="5" applyFont="1" applyFill="1"/>
    <xf numFmtId="0" fontId="1" fillId="0" borderId="0" xfId="0" applyFont="1" applyBorder="1" applyAlignment="1"/>
    <xf numFmtId="165" fontId="1" fillId="0" borderId="0" xfId="0" applyNumberFormat="1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14" xfId="0" applyBorder="1" applyAlignment="1">
      <alignment horizontal="center"/>
    </xf>
    <xf numFmtId="0" fontId="1" fillId="6" borderId="12" xfId="0" applyFont="1" applyFill="1" applyBorder="1"/>
    <xf numFmtId="0" fontId="4" fillId="6" borderId="19" xfId="0" applyFont="1" applyFill="1" applyBorder="1"/>
    <xf numFmtId="0" fontId="1" fillId="6" borderId="19" xfId="0" applyFont="1" applyFill="1" applyBorder="1"/>
    <xf numFmtId="0" fontId="1" fillId="6" borderId="10" xfId="0" applyFont="1" applyFill="1" applyBorder="1"/>
    <xf numFmtId="0" fontId="4" fillId="6" borderId="14" xfId="0" applyFont="1" applyFill="1" applyBorder="1"/>
    <xf numFmtId="174" fontId="4" fillId="6" borderId="20" xfId="0" applyNumberFormat="1" applyFont="1" applyFill="1" applyBorder="1"/>
    <xf numFmtId="0" fontId="1" fillId="0" borderId="21" xfId="0" applyFont="1" applyBorder="1"/>
    <xf numFmtId="0" fontId="1" fillId="0" borderId="23" xfId="0" applyFont="1" applyBorder="1"/>
    <xf numFmtId="0" fontId="1" fillId="6" borderId="14" xfId="0" applyFont="1" applyFill="1" applyBorder="1"/>
    <xf numFmtId="174" fontId="0" fillId="0" borderId="10" xfId="0" applyNumberFormat="1" applyBorder="1"/>
    <xf numFmtId="174" fontId="0" fillId="0" borderId="12" xfId="0" applyNumberFormat="1" applyBorder="1"/>
    <xf numFmtId="167" fontId="0" fillId="6" borderId="12" xfId="0" applyNumberFormat="1" applyFill="1" applyBorder="1"/>
    <xf numFmtId="167" fontId="1" fillId="0" borderId="16" xfId="0" applyNumberFormat="1" applyFont="1" applyBorder="1"/>
    <xf numFmtId="175" fontId="1" fillId="0" borderId="16" xfId="0" applyNumberFormat="1" applyFont="1" applyBorder="1" applyAlignment="1">
      <alignment horizontal="center"/>
    </xf>
    <xf numFmtId="174" fontId="1" fillId="0" borderId="17" xfId="0" applyNumberFormat="1" applyFont="1" applyBorder="1"/>
    <xf numFmtId="165" fontId="7" fillId="0" borderId="10" xfId="9" applyNumberFormat="1" applyFont="1" applyBorder="1" applyAlignment="1"/>
    <xf numFmtId="175" fontId="1" fillId="0" borderId="10" xfId="0" applyNumberFormat="1" applyFont="1" applyBorder="1" applyAlignment="1">
      <alignment horizontal="center"/>
    </xf>
    <xf numFmtId="10" fontId="1" fillId="0" borderId="10" xfId="0" applyNumberFormat="1" applyFont="1" applyBorder="1" applyAlignment="1">
      <alignment horizontal="center"/>
    </xf>
    <xf numFmtId="167" fontId="4" fillId="0" borderId="0" xfId="0" applyNumberFormat="1" applyFont="1"/>
    <xf numFmtId="0" fontId="4" fillId="4" borderId="21" xfId="5" applyFont="1" applyFill="1" applyBorder="1"/>
    <xf numFmtId="0" fontId="4" fillId="3" borderId="14" xfId="5" applyFont="1" applyFill="1" applyBorder="1" applyAlignment="1">
      <alignment horizontal="center"/>
    </xf>
    <xf numFmtId="0" fontId="4" fillId="4" borderId="22" xfId="5" applyFont="1" applyFill="1" applyBorder="1"/>
    <xf numFmtId="170" fontId="4" fillId="3" borderId="20" xfId="5" applyNumberFormat="1" applyFont="1" applyFill="1" applyBorder="1" applyAlignment="1">
      <alignment horizontal="center"/>
    </xf>
    <xf numFmtId="0" fontId="4" fillId="4" borderId="23" xfId="5" applyFont="1" applyFill="1" applyBorder="1"/>
    <xf numFmtId="1" fontId="4" fillId="3" borderId="19" xfId="5" applyNumberFormat="1" applyFont="1" applyFill="1" applyBorder="1" applyAlignment="1">
      <alignment horizontal="center"/>
    </xf>
    <xf numFmtId="165" fontId="0" fillId="0" borderId="0" xfId="9" applyNumberFormat="1" applyFont="1"/>
    <xf numFmtId="165" fontId="0" fillId="0" borderId="19" xfId="9" applyNumberFormat="1" applyFont="1" applyBorder="1"/>
    <xf numFmtId="165" fontId="7" fillId="0" borderId="16" xfId="9" applyNumberFormat="1" applyFont="1" applyBorder="1" applyAlignment="1"/>
    <xf numFmtId="165" fontId="0" fillId="0" borderId="16" xfId="0" applyNumberFormat="1" applyBorder="1"/>
    <xf numFmtId="0" fontId="4" fillId="0" borderId="16" xfId="0" applyFont="1" applyBorder="1"/>
    <xf numFmtId="174" fontId="4" fillId="0" borderId="14" xfId="0" applyNumberFormat="1" applyFont="1" applyBorder="1"/>
    <xf numFmtId="0" fontId="4" fillId="0" borderId="16" xfId="0" applyFont="1" applyBorder="1" applyAlignment="1">
      <alignment horizontal="center"/>
    </xf>
    <xf numFmtId="10" fontId="0" fillId="0" borderId="0" xfId="9" applyNumberFormat="1" applyFont="1"/>
    <xf numFmtId="0" fontId="0" fillId="8" borderId="0" xfId="0" applyFill="1" applyAlignment="1">
      <alignment horizontal="center"/>
    </xf>
    <xf numFmtId="174" fontId="4" fillId="0" borderId="17" xfId="0" applyNumberFormat="1" applyFont="1" applyBorder="1"/>
    <xf numFmtId="168" fontId="0" fillId="0" borderId="14" xfId="0" applyNumberFormat="1" applyBorder="1"/>
    <xf numFmtId="168" fontId="0" fillId="0" borderId="19" xfId="0" applyNumberFormat="1" applyBorder="1"/>
    <xf numFmtId="168" fontId="0" fillId="0" borderId="20" xfId="0" applyNumberFormat="1" applyBorder="1"/>
    <xf numFmtId="167" fontId="4" fillId="0" borderId="8" xfId="0" applyNumberFormat="1" applyFont="1" applyBorder="1"/>
    <xf numFmtId="165" fontId="4" fillId="0" borderId="17" xfId="9" applyNumberFormat="1" applyFont="1" applyBorder="1"/>
    <xf numFmtId="0" fontId="4" fillId="4" borderId="18" xfId="7" applyFont="1" applyFill="1" applyBorder="1"/>
    <xf numFmtId="0" fontId="4" fillId="3" borderId="17" xfId="7" quotePrefix="1" applyFont="1" applyFill="1" applyBorder="1" applyProtection="1">
      <protection locked="0"/>
    </xf>
    <xf numFmtId="10" fontId="4" fillId="0" borderId="20" xfId="0" applyNumberFormat="1" applyFont="1" applyBorder="1"/>
    <xf numFmtId="10" fontId="4" fillId="0" borderId="19" xfId="0" applyNumberFormat="1" applyFont="1" applyBorder="1"/>
    <xf numFmtId="10" fontId="4" fillId="0" borderId="14" xfId="0" applyNumberFormat="1" applyFont="1" applyBorder="1"/>
    <xf numFmtId="10" fontId="4" fillId="0" borderId="0" xfId="0" applyNumberFormat="1" applyFont="1" applyBorder="1"/>
    <xf numFmtId="0" fontId="0" fillId="0" borderId="8" xfId="0" applyBorder="1"/>
    <xf numFmtId="0" fontId="4" fillId="0" borderId="17" xfId="0" applyFont="1" applyBorder="1" applyAlignment="1">
      <alignment horizontal="center"/>
    </xf>
    <xf numFmtId="165" fontId="1" fillId="0" borderId="16" xfId="9" applyNumberFormat="1" applyFont="1" applyBorder="1"/>
    <xf numFmtId="10" fontId="4" fillId="0" borderId="17" xfId="0" applyNumberFormat="1" applyFont="1" applyBorder="1"/>
    <xf numFmtId="174" fontId="0" fillId="0" borderId="0" xfId="0" applyNumberFormat="1"/>
    <xf numFmtId="10" fontId="1" fillId="6" borderId="12" xfId="0" applyNumberFormat="1" applyFont="1" applyFill="1" applyBorder="1" applyAlignment="1">
      <alignment horizontal="center"/>
    </xf>
    <xf numFmtId="174" fontId="0" fillId="0" borderId="14" xfId="0" applyNumberFormat="1" applyBorder="1"/>
    <xf numFmtId="174" fontId="0" fillId="0" borderId="20" xfId="0" applyNumberFormat="1" applyBorder="1"/>
    <xf numFmtId="174" fontId="0" fillId="0" borderId="19" xfId="0" applyNumberFormat="1" applyBorder="1"/>
    <xf numFmtId="175" fontId="0" fillId="0" borderId="0" xfId="0" applyNumberFormat="1"/>
    <xf numFmtId="174" fontId="4" fillId="0" borderId="21" xfId="0" applyNumberFormat="1" applyFont="1" applyBorder="1"/>
    <xf numFmtId="174" fontId="4" fillId="0" borderId="22" xfId="0" applyNumberFormat="1" applyFont="1" applyBorder="1"/>
    <xf numFmtId="174" fontId="4" fillId="0" borderId="23" xfId="0" applyNumberFormat="1" applyFont="1" applyBorder="1"/>
    <xf numFmtId="166" fontId="1" fillId="0" borderId="0" xfId="0" applyNumberFormat="1" applyFont="1" applyBorder="1" applyAlignment="1"/>
    <xf numFmtId="0" fontId="4" fillId="0" borderId="10" xfId="0" applyFont="1" applyBorder="1"/>
    <xf numFmtId="0" fontId="0" fillId="0" borderId="10" xfId="0" applyFont="1" applyBorder="1"/>
    <xf numFmtId="167" fontId="4" fillId="0" borderId="10" xfId="0" applyNumberFormat="1" applyFont="1" applyBorder="1"/>
    <xf numFmtId="165" fontId="4" fillId="0" borderId="10" xfId="9" applyNumberFormat="1" applyFont="1" applyBorder="1"/>
    <xf numFmtId="166" fontId="1" fillId="0" borderId="10" xfId="0" applyNumberFormat="1" applyFont="1" applyBorder="1" applyAlignment="1"/>
    <xf numFmtId="165" fontId="0" fillId="0" borderId="10" xfId="9" applyNumberFormat="1" applyFont="1" applyFill="1" applyBorder="1"/>
    <xf numFmtId="0" fontId="0" fillId="0" borderId="0" xfId="0" applyFont="1" applyBorder="1"/>
    <xf numFmtId="165" fontId="0" fillId="0" borderId="0" xfId="9" applyNumberFormat="1" applyFont="1" applyFill="1" applyBorder="1"/>
    <xf numFmtId="0" fontId="4" fillId="0" borderId="12" xfId="0" applyFont="1" applyBorder="1"/>
    <xf numFmtId="0" fontId="0" fillId="0" borderId="12" xfId="0" applyFont="1" applyBorder="1"/>
    <xf numFmtId="166" fontId="1" fillId="0" borderId="12" xfId="0" applyNumberFormat="1" applyFont="1" applyBorder="1" applyAlignment="1"/>
    <xf numFmtId="165" fontId="0" fillId="0" borderId="12" xfId="9" applyNumberFormat="1" applyFont="1" applyFill="1" applyBorder="1"/>
    <xf numFmtId="165" fontId="4" fillId="0" borderId="19" xfId="9" applyNumberFormat="1" applyFont="1" applyBorder="1"/>
    <xf numFmtId="168" fontId="4" fillId="0" borderId="10" xfId="9" applyNumberFormat="1" applyFont="1" applyBorder="1"/>
    <xf numFmtId="168" fontId="4" fillId="0" borderId="0" xfId="9" applyNumberFormat="1" applyFont="1" applyBorder="1"/>
    <xf numFmtId="167" fontId="1" fillId="0" borderId="14" xfId="0" applyNumberFormat="1" applyFont="1" applyBorder="1"/>
    <xf numFmtId="167" fontId="1" fillId="0" borderId="20" xfId="0" applyNumberFormat="1" applyFont="1" applyBorder="1"/>
    <xf numFmtId="167" fontId="1" fillId="0" borderId="19" xfId="0" applyNumberFormat="1" applyFont="1" applyBorder="1"/>
    <xf numFmtId="168" fontId="0" fillId="0" borderId="0" xfId="9" applyNumberFormat="1" applyFont="1"/>
    <xf numFmtId="0" fontId="1" fillId="0" borderId="9" xfId="0" applyFont="1" applyFill="1" applyBorder="1"/>
    <xf numFmtId="0" fontId="1" fillId="0" borderId="11" xfId="0" applyFont="1" applyFill="1" applyBorder="1"/>
    <xf numFmtId="0" fontId="1" fillId="0" borderId="13" xfId="0" applyFont="1" applyFill="1" applyBorder="1"/>
    <xf numFmtId="168" fontId="4" fillId="0" borderId="12" xfId="9" applyNumberFormat="1" applyFont="1" applyBorder="1"/>
    <xf numFmtId="165" fontId="4" fillId="6" borderId="12" xfId="9" applyNumberFormat="1" applyFont="1" applyFill="1" applyBorder="1"/>
    <xf numFmtId="174" fontId="1" fillId="6" borderId="19" xfId="0" applyNumberFormat="1" applyFont="1" applyFill="1" applyBorder="1"/>
    <xf numFmtId="168" fontId="0" fillId="0" borderId="10" xfId="0" applyNumberFormat="1" applyBorder="1"/>
    <xf numFmtId="168" fontId="0" fillId="0" borderId="12" xfId="0" applyNumberFormat="1" applyBorder="1"/>
    <xf numFmtId="168" fontId="1" fillId="0" borderId="10" xfId="0" applyNumberFormat="1" applyFont="1" applyBorder="1"/>
    <xf numFmtId="168" fontId="1" fillId="0" borderId="12" xfId="0" applyNumberFormat="1" applyFont="1" applyBorder="1"/>
    <xf numFmtId="168" fontId="0" fillId="0" borderId="0" xfId="0" applyNumberFormat="1" applyBorder="1"/>
    <xf numFmtId="168" fontId="1" fillId="0" borderId="0" xfId="0" applyNumberFormat="1" applyFont="1" applyBorder="1"/>
    <xf numFmtId="165" fontId="1" fillId="0" borderId="14" xfId="9" applyNumberFormat="1" applyFont="1" applyBorder="1"/>
    <xf numFmtId="0" fontId="1" fillId="8" borderId="0" xfId="0" applyFont="1" applyFill="1" applyAlignment="1">
      <alignment horizontal="center"/>
    </xf>
    <xf numFmtId="0" fontId="1" fillId="4" borderId="18" xfId="7" applyFont="1" applyFill="1" applyBorder="1"/>
    <xf numFmtId="0" fontId="1" fillId="3" borderId="17" xfId="7" quotePrefix="1" applyFont="1" applyFill="1" applyBorder="1" applyProtection="1">
      <protection locked="0"/>
    </xf>
    <xf numFmtId="174" fontId="1" fillId="0" borderId="0" xfId="0" applyNumberFormat="1" applyFont="1"/>
    <xf numFmtId="174" fontId="1" fillId="0" borderId="21" xfId="0" applyNumberFormat="1" applyFont="1" applyBorder="1"/>
    <xf numFmtId="174" fontId="1" fillId="6" borderId="20" xfId="0" applyNumberFormat="1" applyFont="1" applyFill="1" applyBorder="1"/>
    <xf numFmtId="174" fontId="1" fillId="0" borderId="22" xfId="0" applyNumberFormat="1" applyFont="1" applyBorder="1"/>
    <xf numFmtId="174" fontId="1" fillId="0" borderId="23" xfId="0" applyNumberFormat="1" applyFont="1" applyBorder="1"/>
    <xf numFmtId="165" fontId="1" fillId="0" borderId="0" xfId="9" applyNumberFormat="1" applyFont="1"/>
    <xf numFmtId="174" fontId="1" fillId="0" borderId="14" xfId="0" applyNumberFormat="1" applyFont="1" applyBorder="1"/>
    <xf numFmtId="0" fontId="12" fillId="0" borderId="14" xfId="0" applyFont="1" applyBorder="1"/>
    <xf numFmtId="0" fontId="12" fillId="0" borderId="0" xfId="0" applyFont="1" applyBorder="1"/>
    <xf numFmtId="0" fontId="12" fillId="0" borderId="0" xfId="0" applyFont="1"/>
    <xf numFmtId="0" fontId="12" fillId="0" borderId="0" xfId="0" applyFont="1" applyBorder="1" applyAlignment="1">
      <alignment horizontal="center"/>
    </xf>
    <xf numFmtId="0" fontId="12" fillId="0" borderId="13" xfId="0" applyFont="1" applyBorder="1"/>
    <xf numFmtId="10" fontId="12" fillId="0" borderId="12" xfId="9" applyNumberFormat="1" applyFont="1" applyBorder="1"/>
    <xf numFmtId="0" fontId="12" fillId="0" borderId="19" xfId="0" applyFont="1" applyBorder="1"/>
    <xf numFmtId="0" fontId="12" fillId="0" borderId="11" xfId="0" applyFont="1" applyBorder="1"/>
    <xf numFmtId="0" fontId="12" fillId="0" borderId="8" xfId="0" applyFont="1" applyBorder="1" applyAlignment="1">
      <alignment horizontal="center"/>
    </xf>
    <xf numFmtId="0" fontId="12" fillId="0" borderId="16" xfId="0" applyFont="1" applyBorder="1" applyAlignment="1">
      <alignment horizontal="center"/>
    </xf>
    <xf numFmtId="167" fontId="12" fillId="0" borderId="16" xfId="0" applyNumberFormat="1" applyFont="1" applyBorder="1" applyAlignment="1">
      <alignment horizontal="center"/>
    </xf>
    <xf numFmtId="173" fontId="12" fillId="0" borderId="16" xfId="0" applyNumberFormat="1" applyFont="1" applyBorder="1" applyAlignment="1">
      <alignment horizontal="center"/>
    </xf>
    <xf numFmtId="0" fontId="12" fillId="0" borderId="17" xfId="0" applyFont="1" applyBorder="1" applyAlignment="1">
      <alignment horizontal="center"/>
    </xf>
    <xf numFmtId="0" fontId="12" fillId="0" borderId="16" xfId="0" applyFont="1" applyBorder="1" applyAlignment="1"/>
    <xf numFmtId="10" fontId="12" fillId="0" borderId="16" xfId="0" applyNumberFormat="1" applyFont="1" applyBorder="1" applyAlignment="1">
      <alignment horizontal="center"/>
    </xf>
    <xf numFmtId="165" fontId="12" fillId="0" borderId="16" xfId="0" applyNumberFormat="1" applyFont="1" applyBorder="1" applyAlignment="1">
      <alignment horizontal="center"/>
    </xf>
    <xf numFmtId="167" fontId="12" fillId="0" borderId="8" xfId="0" applyNumberFormat="1" applyFont="1" applyBorder="1"/>
    <xf numFmtId="165" fontId="12" fillId="0" borderId="17" xfId="9" applyNumberFormat="1" applyFont="1" applyBorder="1"/>
    <xf numFmtId="0" fontId="12" fillId="0" borderId="8" xfId="0" applyFont="1" applyBorder="1"/>
    <xf numFmtId="0" fontId="12" fillId="0" borderId="11" xfId="0" applyFont="1" applyBorder="1" applyAlignment="1">
      <alignment horizontal="center"/>
    </xf>
    <xf numFmtId="0" fontId="12" fillId="0" borderId="14" xfId="0" applyFont="1" applyBorder="1" applyAlignment="1">
      <alignment horizontal="center"/>
    </xf>
    <xf numFmtId="0" fontId="12" fillId="0" borderId="21" xfId="0" applyFont="1" applyBorder="1"/>
    <xf numFmtId="0" fontId="12" fillId="0" borderId="10" xfId="0" applyFont="1" applyBorder="1"/>
    <xf numFmtId="167" fontId="12" fillId="0" borderId="10" xfId="0" applyNumberFormat="1" applyFont="1" applyBorder="1"/>
    <xf numFmtId="165" fontId="12" fillId="0" borderId="11" xfId="0" applyNumberFormat="1" applyFont="1" applyBorder="1"/>
    <xf numFmtId="174" fontId="12" fillId="0" borderId="10" xfId="0" applyNumberFormat="1" applyFont="1" applyBorder="1"/>
    <xf numFmtId="0" fontId="12" fillId="6" borderId="10" xfId="0" applyFont="1" applyFill="1" applyBorder="1"/>
    <xf numFmtId="165" fontId="12" fillId="0" borderId="10" xfId="0" applyNumberFormat="1" applyFont="1" applyBorder="1"/>
    <xf numFmtId="0" fontId="12" fillId="6" borderId="14" xfId="0" applyFont="1" applyFill="1" applyBorder="1"/>
    <xf numFmtId="10" fontId="12" fillId="0" borderId="10" xfId="0" applyNumberFormat="1" applyFont="1" applyBorder="1"/>
    <xf numFmtId="166" fontId="12" fillId="0" borderId="10" xfId="0" applyNumberFormat="1" applyFont="1" applyBorder="1"/>
    <xf numFmtId="10" fontId="12" fillId="0" borderId="14" xfId="9" applyNumberFormat="1" applyFont="1" applyBorder="1"/>
    <xf numFmtId="165" fontId="12" fillId="0" borderId="10" xfId="9" applyNumberFormat="1" applyFont="1" applyBorder="1"/>
    <xf numFmtId="168" fontId="12" fillId="0" borderId="10" xfId="0" applyNumberFormat="1" applyFont="1" applyBorder="1"/>
    <xf numFmtId="167" fontId="12" fillId="0" borderId="9" xfId="0" applyNumberFormat="1" applyFont="1" applyBorder="1"/>
    <xf numFmtId="165" fontId="12" fillId="0" borderId="20" xfId="9" applyNumberFormat="1" applyFont="1" applyBorder="1"/>
    <xf numFmtId="165" fontId="12" fillId="0" borderId="11" xfId="9" applyNumberFormat="1" applyFont="1" applyBorder="1"/>
    <xf numFmtId="10" fontId="12" fillId="0" borderId="14" xfId="0" applyNumberFormat="1" applyFont="1" applyBorder="1"/>
    <xf numFmtId="175" fontId="12" fillId="0" borderId="10" xfId="0" applyNumberFormat="1" applyFont="1" applyBorder="1" applyAlignment="1">
      <alignment horizontal="center"/>
    </xf>
    <xf numFmtId="174" fontId="12" fillId="0" borderId="14" xfId="0" applyNumberFormat="1" applyFont="1" applyBorder="1"/>
    <xf numFmtId="10" fontId="12" fillId="0" borderId="10" xfId="0" applyNumberFormat="1" applyFont="1" applyBorder="1" applyAlignment="1">
      <alignment horizontal="center"/>
    </xf>
    <xf numFmtId="0" fontId="12" fillId="0" borderId="23" xfId="0" applyFont="1" applyBorder="1"/>
    <xf numFmtId="0" fontId="12" fillId="0" borderId="12" xfId="0" applyFont="1" applyBorder="1"/>
    <xf numFmtId="167" fontId="12" fillId="6" borderId="12" xfId="0" applyNumberFormat="1" applyFont="1" applyFill="1" applyBorder="1"/>
    <xf numFmtId="165" fontId="12" fillId="0" borderId="13" xfId="0" applyNumberFormat="1" applyFont="1" applyBorder="1"/>
    <xf numFmtId="174" fontId="12" fillId="0" borderId="12" xfId="0" applyNumberFormat="1" applyFont="1" applyBorder="1"/>
    <xf numFmtId="167" fontId="12" fillId="0" borderId="12" xfId="0" applyNumberFormat="1" applyFont="1" applyBorder="1"/>
    <xf numFmtId="0" fontId="12" fillId="6" borderId="12" xfId="0" applyFont="1" applyFill="1" applyBorder="1"/>
    <xf numFmtId="165" fontId="12" fillId="0" borderId="12" xfId="0" applyNumberFormat="1" applyFont="1" applyBorder="1"/>
    <xf numFmtId="0" fontId="12" fillId="6" borderId="19" xfId="0" applyFont="1" applyFill="1" applyBorder="1"/>
    <xf numFmtId="10" fontId="12" fillId="0" borderId="12" xfId="0" applyNumberFormat="1" applyFont="1" applyBorder="1"/>
    <xf numFmtId="166" fontId="12" fillId="0" borderId="12" xfId="0" applyNumberFormat="1" applyFont="1" applyBorder="1"/>
    <xf numFmtId="10" fontId="12" fillId="0" borderId="19" xfId="9" applyNumberFormat="1" applyFont="1" applyBorder="1"/>
    <xf numFmtId="165" fontId="12" fillId="0" borderId="12" xfId="9" applyNumberFormat="1" applyFont="1" applyBorder="1"/>
    <xf numFmtId="168" fontId="12" fillId="0" borderId="12" xfId="0" applyNumberFormat="1" applyFont="1" applyBorder="1"/>
    <xf numFmtId="0" fontId="12" fillId="0" borderId="9" xfId="0" applyFont="1" applyBorder="1"/>
    <xf numFmtId="165" fontId="12" fillId="0" borderId="9" xfId="9" applyNumberFormat="1" applyFont="1" applyBorder="1"/>
    <xf numFmtId="10" fontId="12" fillId="0" borderId="20" xfId="0" applyNumberFormat="1" applyFont="1" applyBorder="1"/>
    <xf numFmtId="165" fontId="12" fillId="0" borderId="0" xfId="9" applyNumberFormat="1" applyFont="1" applyBorder="1"/>
    <xf numFmtId="167" fontId="12" fillId="0" borderId="0" xfId="0" applyNumberFormat="1" applyFont="1" applyBorder="1"/>
    <xf numFmtId="175" fontId="12" fillId="0" borderId="0" xfId="0" applyNumberFormat="1" applyFont="1" applyBorder="1" applyAlignment="1">
      <alignment horizontal="center"/>
    </xf>
    <xf numFmtId="174" fontId="12" fillId="0" borderId="20" xfId="0" applyNumberFormat="1" applyFont="1" applyBorder="1"/>
    <xf numFmtId="10" fontId="12" fillId="0" borderId="0" xfId="0" applyNumberFormat="1" applyFont="1" applyBorder="1" applyAlignment="1">
      <alignment horizontal="center"/>
    </xf>
    <xf numFmtId="165" fontId="12" fillId="0" borderId="13" xfId="9" applyNumberFormat="1" applyFont="1" applyBorder="1"/>
    <xf numFmtId="10" fontId="12" fillId="0" borderId="19" xfId="0" applyNumberFormat="1" applyFont="1" applyBorder="1"/>
    <xf numFmtId="175" fontId="12" fillId="0" borderId="12" xfId="0" applyNumberFormat="1" applyFont="1" applyBorder="1" applyAlignment="1">
      <alignment horizontal="center"/>
    </xf>
    <xf numFmtId="174" fontId="12" fillId="0" borderId="19" xfId="0" applyNumberFormat="1" applyFont="1" applyBorder="1"/>
    <xf numFmtId="10" fontId="12" fillId="0" borderId="12" xfId="0" applyNumberFormat="1" applyFont="1" applyBorder="1" applyAlignment="1">
      <alignment horizontal="center"/>
    </xf>
    <xf numFmtId="0" fontId="12" fillId="0" borderId="0" xfId="0" applyFont="1" applyAlignment="1">
      <alignment horizontal="center"/>
    </xf>
    <xf numFmtId="173" fontId="12" fillId="0" borderId="10" xfId="0" applyNumberFormat="1" applyFont="1" applyBorder="1"/>
    <xf numFmtId="10" fontId="12" fillId="0" borderId="10" xfId="9" applyNumberFormat="1" applyFont="1" applyBorder="1"/>
    <xf numFmtId="165" fontId="12" fillId="0" borderId="9" xfId="0" applyNumberFormat="1" applyFont="1" applyBorder="1"/>
    <xf numFmtId="173" fontId="12" fillId="0" borderId="0" xfId="0" applyNumberFormat="1" applyFont="1" applyBorder="1"/>
    <xf numFmtId="165" fontId="12" fillId="0" borderId="0" xfId="0" applyNumberFormat="1" applyFont="1" applyBorder="1"/>
    <xf numFmtId="0" fontId="12" fillId="0" borderId="20" xfId="0" applyFont="1" applyBorder="1"/>
    <xf numFmtId="10" fontId="12" fillId="0" borderId="0" xfId="0" applyNumberFormat="1" applyFont="1" applyBorder="1"/>
    <xf numFmtId="166" fontId="12" fillId="0" borderId="0" xfId="0" applyNumberFormat="1" applyFont="1" applyBorder="1"/>
    <xf numFmtId="10" fontId="12" fillId="0" borderId="0" xfId="9" applyNumberFormat="1" applyFont="1" applyBorder="1"/>
    <xf numFmtId="168" fontId="12" fillId="0" borderId="0" xfId="0" applyNumberFormat="1" applyFont="1" applyBorder="1"/>
    <xf numFmtId="10" fontId="12" fillId="6" borderId="12" xfId="0" applyNumberFormat="1" applyFont="1" applyFill="1" applyBorder="1" applyAlignment="1">
      <alignment horizontal="center"/>
    </xf>
    <xf numFmtId="174" fontId="12" fillId="6" borderId="19" xfId="0" applyNumberFormat="1" applyFont="1" applyFill="1" applyBorder="1"/>
    <xf numFmtId="173" fontId="12" fillId="0" borderId="12" xfId="0" applyNumberFormat="1" applyFont="1" applyBorder="1"/>
    <xf numFmtId="166" fontId="12" fillId="0" borderId="9" xfId="0" applyNumberFormat="1" applyFont="1" applyBorder="1"/>
    <xf numFmtId="165" fontId="12" fillId="0" borderId="20" xfId="0" applyNumberFormat="1" applyFont="1" applyBorder="1"/>
    <xf numFmtId="166" fontId="12" fillId="0" borderId="13" xfId="0" applyNumberFormat="1" applyFont="1" applyBorder="1"/>
    <xf numFmtId="167" fontId="12" fillId="0" borderId="14" xfId="0" applyNumberFormat="1" applyFont="1" applyBorder="1"/>
    <xf numFmtId="166" fontId="12" fillId="0" borderId="10" xfId="0" applyNumberFormat="1" applyFont="1" applyBorder="1" applyAlignment="1"/>
    <xf numFmtId="165" fontId="12" fillId="0" borderId="10" xfId="9" applyNumberFormat="1" applyFont="1" applyFill="1" applyBorder="1"/>
    <xf numFmtId="168" fontId="12" fillId="0" borderId="10" xfId="9" applyNumberFormat="1" applyFont="1" applyBorder="1"/>
    <xf numFmtId="0" fontId="12" fillId="0" borderId="21" xfId="0" applyFont="1" applyBorder="1" applyAlignment="1">
      <alignment horizontal="center"/>
    </xf>
    <xf numFmtId="0" fontId="12" fillId="0" borderId="22" xfId="0" applyFont="1" applyBorder="1"/>
    <xf numFmtId="167" fontId="12" fillId="0" borderId="20" xfId="0" applyNumberFormat="1" applyFont="1" applyBorder="1"/>
    <xf numFmtId="166" fontId="12" fillId="0" borderId="0" xfId="0" applyNumberFormat="1" applyFont="1" applyBorder="1" applyAlignment="1"/>
    <xf numFmtId="165" fontId="12" fillId="0" borderId="0" xfId="9" applyNumberFormat="1" applyFont="1" applyFill="1" applyBorder="1"/>
    <xf numFmtId="168" fontId="12" fillId="0" borderId="0" xfId="9" applyNumberFormat="1" applyFont="1" applyBorder="1"/>
    <xf numFmtId="0" fontId="12" fillId="3" borderId="23" xfId="0" applyFont="1" applyFill="1" applyBorder="1" applyAlignment="1" applyProtection="1">
      <alignment horizontal="center"/>
      <protection locked="0"/>
    </xf>
    <xf numFmtId="167" fontId="12" fillId="0" borderId="19" xfId="0" applyNumberFormat="1" applyFont="1" applyBorder="1"/>
    <xf numFmtId="165" fontId="12" fillId="6" borderId="12" xfId="9" applyNumberFormat="1" applyFont="1" applyFill="1" applyBorder="1"/>
    <xf numFmtId="166" fontId="12" fillId="0" borderId="12" xfId="0" applyNumberFormat="1" applyFont="1" applyBorder="1" applyAlignment="1"/>
    <xf numFmtId="165" fontId="12" fillId="0" borderId="12" xfId="9" applyNumberFormat="1" applyFont="1" applyFill="1" applyBorder="1"/>
    <xf numFmtId="168" fontId="12" fillId="0" borderId="12" xfId="9" applyNumberFormat="1" applyFont="1" applyBorder="1"/>
    <xf numFmtId="167" fontId="12" fillId="0" borderId="13" xfId="0" applyNumberFormat="1" applyFont="1" applyBorder="1"/>
    <xf numFmtId="165" fontId="12" fillId="0" borderId="19" xfId="9" applyNumberFormat="1" applyFont="1" applyBorder="1"/>
    <xf numFmtId="0" fontId="12" fillId="3" borderId="17" xfId="0" applyFont="1" applyFill="1" applyBorder="1" applyAlignment="1" applyProtection="1">
      <alignment horizontal="center"/>
      <protection locked="0"/>
    </xf>
    <xf numFmtId="0" fontId="12" fillId="3" borderId="14" xfId="0" applyFont="1" applyFill="1" applyBorder="1" applyAlignment="1" applyProtection="1">
      <alignment horizontal="center"/>
      <protection locked="0"/>
    </xf>
    <xf numFmtId="0" fontId="12" fillId="3" borderId="20" xfId="0" applyFont="1" applyFill="1" applyBorder="1" applyAlignment="1" applyProtection="1">
      <alignment horizontal="center"/>
      <protection locked="0"/>
    </xf>
    <xf numFmtId="0" fontId="12" fillId="3" borderId="19" xfId="0" applyFont="1" applyFill="1" applyBorder="1" applyAlignment="1" applyProtection="1">
      <alignment horizontal="center"/>
      <protection locked="0"/>
    </xf>
    <xf numFmtId="0" fontId="12" fillId="0" borderId="16" xfId="0" applyFont="1" applyBorder="1"/>
    <xf numFmtId="0" fontId="12" fillId="0" borderId="17" xfId="0" applyFont="1" applyBorder="1"/>
    <xf numFmtId="0" fontId="12" fillId="3" borderId="10" xfId="0" applyFont="1" applyFill="1" applyBorder="1"/>
    <xf numFmtId="0" fontId="12" fillId="3" borderId="20" xfId="0" applyFont="1" applyFill="1" applyBorder="1" applyAlignment="1">
      <alignment horizontal="right"/>
    </xf>
    <xf numFmtId="0" fontId="12" fillId="3" borderId="20" xfId="0" applyFont="1" applyFill="1" applyBorder="1" applyAlignment="1" applyProtection="1">
      <alignment horizontal="right"/>
      <protection locked="0"/>
    </xf>
    <xf numFmtId="165" fontId="12" fillId="0" borderId="10" xfId="9" quotePrefix="1" applyNumberFormat="1" applyFont="1" applyBorder="1"/>
    <xf numFmtId="165" fontId="0" fillId="0" borderId="0" xfId="9" quotePrefix="1" applyNumberFormat="1" applyFont="1"/>
    <xf numFmtId="165" fontId="12" fillId="0" borderId="0" xfId="0" applyNumberFormat="1" applyFont="1"/>
    <xf numFmtId="165" fontId="12" fillId="0" borderId="0" xfId="9" applyNumberFormat="1" applyFont="1"/>
    <xf numFmtId="0" fontId="1" fillId="0" borderId="0" xfId="0" applyFont="1" applyBorder="1" applyAlignment="1">
      <alignment horizontal="center"/>
    </xf>
    <xf numFmtId="173" fontId="1" fillId="0" borderId="16" xfId="0" applyNumberFormat="1" applyFont="1" applyBorder="1" applyAlignment="1">
      <alignment horizontal="center"/>
    </xf>
    <xf numFmtId="0" fontId="1" fillId="0" borderId="16" xfId="0" applyFont="1" applyBorder="1" applyAlignment="1"/>
    <xf numFmtId="165" fontId="1" fillId="0" borderId="16" xfId="0" applyNumberFormat="1" applyFont="1" applyBorder="1" applyAlignment="1">
      <alignment horizontal="center"/>
    </xf>
    <xf numFmtId="167" fontId="1" fillId="0" borderId="8" xfId="0" applyNumberFormat="1" applyFont="1" applyBorder="1"/>
    <xf numFmtId="165" fontId="1" fillId="0" borderId="17" xfId="9" applyNumberFormat="1" applyFont="1" applyBorder="1"/>
    <xf numFmtId="174" fontId="1" fillId="0" borderId="10" xfId="0" applyNumberFormat="1" applyFont="1" applyBorder="1"/>
    <xf numFmtId="167" fontId="1" fillId="6" borderId="12" xfId="0" applyNumberFormat="1" applyFont="1" applyFill="1" applyBorder="1"/>
    <xf numFmtId="174" fontId="1" fillId="0" borderId="12" xfId="0" applyNumberFormat="1" applyFont="1" applyBorder="1"/>
    <xf numFmtId="173" fontId="1" fillId="0" borderId="0" xfId="0" applyNumberFormat="1" applyFont="1" applyBorder="1"/>
    <xf numFmtId="165" fontId="1" fillId="0" borderId="10" xfId="9" applyNumberFormat="1" applyFont="1" applyFill="1" applyBorder="1"/>
    <xf numFmtId="0" fontId="1" fillId="0" borderId="22" xfId="0" applyFont="1" applyBorder="1"/>
    <xf numFmtId="165" fontId="1" fillId="0" borderId="0" xfId="9" applyNumberFormat="1" applyFont="1" applyFill="1" applyBorder="1"/>
    <xf numFmtId="165" fontId="1" fillId="6" borderId="12" xfId="9" applyNumberFormat="1" applyFont="1" applyFill="1" applyBorder="1"/>
    <xf numFmtId="165" fontId="1" fillId="0" borderId="12" xfId="9" applyNumberFormat="1" applyFont="1" applyFill="1" applyBorder="1"/>
    <xf numFmtId="167" fontId="1" fillId="6" borderId="0" xfId="0" applyNumberFormat="1" applyFont="1" applyFill="1" applyBorder="1"/>
    <xf numFmtId="0" fontId="1" fillId="6" borderId="20" xfId="0" applyFont="1" applyFill="1" applyBorder="1"/>
    <xf numFmtId="0" fontId="1" fillId="0" borderId="22" xfId="0" applyFont="1" applyFill="1" applyBorder="1"/>
    <xf numFmtId="0" fontId="12" fillId="0" borderId="22" xfId="0" applyFont="1" applyFill="1" applyBorder="1"/>
    <xf numFmtId="0" fontId="12" fillId="0" borderId="23" xfId="0" applyFont="1" applyFill="1" applyBorder="1"/>
    <xf numFmtId="165" fontId="0" fillId="0" borderId="0" xfId="9" quotePrefix="1" applyNumberFormat="1" applyFont="1" applyBorder="1"/>
    <xf numFmtId="165" fontId="1" fillId="0" borderId="0" xfId="9" applyNumberFormat="1" applyBorder="1"/>
    <xf numFmtId="0" fontId="0" fillId="0" borderId="10" xfId="0" applyBorder="1" applyAlignment="1">
      <alignment horizontal="center"/>
    </xf>
    <xf numFmtId="0" fontId="10" fillId="0" borderId="10" xfId="0" applyFont="1" applyBorder="1" applyAlignment="1">
      <alignment horizontal="center"/>
    </xf>
    <xf numFmtId="165" fontId="1" fillId="0" borderId="14" xfId="0" applyNumberFormat="1" applyFont="1" applyBorder="1" applyAlignment="1">
      <alignment horizontal="center"/>
    </xf>
    <xf numFmtId="165" fontId="10" fillId="0" borderId="11" xfId="9" applyNumberFormat="1" applyFont="1" applyFill="1" applyBorder="1" applyAlignment="1">
      <alignment horizontal="center" vertical="center" wrapText="1"/>
    </xf>
    <xf numFmtId="165" fontId="10" fillId="0" borderId="10" xfId="9" applyNumberFormat="1" applyFont="1" applyFill="1" applyBorder="1" applyAlignment="1">
      <alignment horizontal="center" vertical="center" wrapText="1"/>
    </xf>
    <xf numFmtId="165" fontId="4" fillId="0" borderId="10" xfId="9" applyNumberFormat="1" applyFont="1" applyFill="1" applyBorder="1"/>
    <xf numFmtId="165" fontId="4" fillId="0" borderId="10" xfId="0" applyNumberFormat="1" applyFont="1" applyBorder="1"/>
    <xf numFmtId="165" fontId="4" fillId="0" borderId="14" xfId="0" applyNumberFormat="1" applyFont="1" applyFill="1" applyBorder="1"/>
    <xf numFmtId="165" fontId="4" fillId="0" borderId="21" xfId="9" applyNumberFormat="1" applyFont="1" applyBorder="1" applyAlignment="1"/>
    <xf numFmtId="165" fontId="1" fillId="0" borderId="10" xfId="9" applyNumberFormat="1" applyBorder="1"/>
    <xf numFmtId="165" fontId="1" fillId="0" borderId="12" xfId="9" applyNumberFormat="1" applyBorder="1"/>
    <xf numFmtId="168" fontId="1" fillId="0" borderId="14" xfId="0" applyNumberFormat="1" applyFont="1" applyBorder="1"/>
    <xf numFmtId="168" fontId="1" fillId="0" borderId="19" xfId="0" applyNumberFormat="1" applyFont="1" applyBorder="1"/>
    <xf numFmtId="168" fontId="1" fillId="0" borderId="20" xfId="0" applyNumberFormat="1" applyFont="1" applyBorder="1"/>
    <xf numFmtId="168" fontId="1" fillId="0" borderId="14" xfId="9" applyNumberFormat="1" applyFont="1" applyBorder="1"/>
    <xf numFmtId="168" fontId="1" fillId="0" borderId="20" xfId="9" applyNumberFormat="1" applyFont="1" applyBorder="1"/>
    <xf numFmtId="168" fontId="1" fillId="0" borderId="19" xfId="9" applyNumberFormat="1" applyFont="1" applyBorder="1"/>
    <xf numFmtId="0" fontId="1" fillId="0" borderId="23" xfId="0" applyFont="1" applyFill="1" applyBorder="1"/>
    <xf numFmtId="0" fontId="1" fillId="6" borderId="0" xfId="0" applyFont="1" applyFill="1" applyBorder="1"/>
    <xf numFmtId="165" fontId="1" fillId="6" borderId="13" xfId="0" applyNumberFormat="1" applyFont="1" applyFill="1" applyBorder="1"/>
    <xf numFmtId="165" fontId="12" fillId="6" borderId="12" xfId="0" applyNumberFormat="1" applyFont="1" applyFill="1" applyBorder="1"/>
    <xf numFmtId="165" fontId="1" fillId="6" borderId="12" xfId="0" applyNumberFormat="1" applyFont="1" applyFill="1" applyBorder="1"/>
    <xf numFmtId="165" fontId="7" fillId="0" borderId="11" xfId="0" applyNumberFormat="1" applyFont="1" applyBorder="1"/>
    <xf numFmtId="0" fontId="1" fillId="0" borderId="21" xfId="0" applyFont="1" applyFill="1" applyBorder="1"/>
    <xf numFmtId="165" fontId="7" fillId="0" borderId="10" xfId="9" applyNumberFormat="1" applyFont="1" applyFill="1" applyBorder="1"/>
    <xf numFmtId="168" fontId="0" fillId="0" borderId="10" xfId="9" applyNumberFormat="1" applyFont="1" applyBorder="1"/>
    <xf numFmtId="168" fontId="7" fillId="0" borderId="10" xfId="9" applyNumberFormat="1" applyFont="1" applyBorder="1"/>
    <xf numFmtId="168" fontId="0" fillId="0" borderId="12" xfId="9" applyNumberFormat="1" applyFont="1" applyBorder="1"/>
    <xf numFmtId="168" fontId="7" fillId="0" borderId="12" xfId="9" applyNumberFormat="1" applyFont="1" applyBorder="1"/>
    <xf numFmtId="168" fontId="1" fillId="0" borderId="10" xfId="9" applyNumberFormat="1" applyFont="1" applyBorder="1"/>
    <xf numFmtId="174" fontId="4" fillId="6" borderId="19" xfId="0" applyNumberFormat="1" applyFont="1" applyFill="1" applyBorder="1"/>
    <xf numFmtId="10" fontId="1" fillId="6" borderId="10" xfId="0" applyNumberFormat="1" applyFont="1" applyFill="1" applyBorder="1" applyAlignment="1">
      <alignment horizontal="center"/>
    </xf>
    <xf numFmtId="0" fontId="12" fillId="6" borderId="0" xfId="0" applyFont="1" applyFill="1" applyBorder="1" applyAlignment="1">
      <alignment horizontal="center"/>
    </xf>
    <xf numFmtId="165" fontId="12" fillId="6" borderId="11" xfId="0" applyNumberFormat="1" applyFont="1" applyFill="1" applyBorder="1"/>
    <xf numFmtId="165" fontId="1" fillId="6" borderId="11" xfId="0" applyNumberFormat="1" applyFont="1" applyFill="1" applyBorder="1"/>
    <xf numFmtId="0" fontId="18" fillId="9" borderId="8" xfId="5" applyFont="1" applyFill="1" applyBorder="1" applyAlignment="1">
      <alignment horizontal="center"/>
    </xf>
    <xf numFmtId="0" fontId="18" fillId="9" borderId="16" xfId="5" applyFont="1" applyFill="1" applyBorder="1" applyAlignment="1">
      <alignment horizontal="center"/>
    </xf>
    <xf numFmtId="0" fontId="18" fillId="9" borderId="17" xfId="5" applyFont="1" applyFill="1" applyBorder="1" applyAlignment="1">
      <alignment horizontal="center"/>
    </xf>
    <xf numFmtId="0" fontId="3" fillId="9" borderId="24" xfId="4" applyFont="1" applyFill="1" applyBorder="1" applyAlignment="1">
      <alignment horizontal="center"/>
    </xf>
    <xf numFmtId="0" fontId="3" fillId="9" borderId="25" xfId="4" applyFont="1" applyFill="1" applyBorder="1" applyAlignment="1">
      <alignment horizontal="center"/>
    </xf>
    <xf numFmtId="0" fontId="3" fillId="9" borderId="26" xfId="4" applyFont="1" applyFill="1" applyBorder="1" applyAlignment="1">
      <alignment horizontal="center"/>
    </xf>
  </cellXfs>
  <cellStyles count="13">
    <cellStyle name="Euro" xfId="1"/>
    <cellStyle name="Migliaia (0)_AZIONI" xfId="2"/>
    <cellStyle name="Migliaia_AZIONI" xfId="3"/>
    <cellStyle name="Normal" xfId="0" builtinId="0"/>
    <cellStyle name="Normal_EurDepoSwapPricer" xfId="4"/>
    <cellStyle name="Normal_InterestRateQuotesFeed" xfId="5"/>
    <cellStyle name="Normal_SwaptionATMVols" xfId="6"/>
    <cellStyle name="Normal_TestSyntDisc" xfId="7"/>
    <cellStyle name="Normale_AZIONI" xfId="8"/>
    <cellStyle name="Percent" xfId="9" builtinId="5"/>
    <cellStyle name="result" xfId="10"/>
    <cellStyle name="Valuta (0)_AZIONI" xfId="11"/>
    <cellStyle name="Valuta_AZIONI" xfId="12"/>
  </cellStyles>
  <dxfs count="13"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57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4441887226697359E-2"/>
          <c:y val="7.9872329073995788E-2"/>
          <c:w val="0.90794016110471809"/>
          <c:h val="0.72524074799188176"/>
        </c:manualLayout>
      </c:layout>
      <c:scatterChart>
        <c:scatterStyle val="lineMarker"/>
        <c:varyColors val="0"/>
        <c:ser>
          <c:idx val="1"/>
          <c:order val="0"/>
          <c:tx>
            <c:v>Spot / Fixing</c:v>
          </c:tx>
          <c:spPr>
            <a:ln w="28575">
              <a:noFill/>
            </a:ln>
          </c:spPr>
          <c:marker>
            <c:symbol val="square"/>
            <c:size val="4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'1M'!$H$23:$H$24</c:f>
              <c:numCache>
                <c:formatCode>ddd\,\ d\-mmm\-yyyy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'1M'!$J$23:$J$24</c:f>
              <c:numCache>
                <c:formatCode>0.0000%</c:formatCode>
                <c:ptCount val="2"/>
                <c:pt idx="0">
                  <c:v>0</c:v>
                </c:pt>
                <c:pt idx="1">
                  <c:v>1.702E-3</c:v>
                </c:pt>
              </c:numCache>
            </c:numRef>
          </c:yVal>
          <c:smooth val="0"/>
        </c:ser>
        <c:ser>
          <c:idx val="0"/>
          <c:order val="1"/>
          <c:tx>
            <c:v>Swaps</c:v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FF9900"/>
              </a:solidFill>
              <a:ln>
                <a:solidFill>
                  <a:srgbClr val="FF9900"/>
                </a:solidFill>
                <a:prstDash val="solid"/>
              </a:ln>
            </c:spPr>
          </c:marker>
          <c:xVal>
            <c:numRef>
              <c:f>'1M'!$H$27:$H$37</c:f>
              <c:numCache>
                <c:formatCode>ddd\,\ d\-mmm\-yyyy</c:formatCode>
                <c:ptCount val="11"/>
                <c:pt idx="0">
                  <c:v>0</c:v>
                </c:pt>
                <c:pt idx="1">
                  <c:v>41635</c:v>
                </c:pt>
                <c:pt idx="2">
                  <c:v>41666</c:v>
                </c:pt>
                <c:pt idx="3">
                  <c:v>41695</c:v>
                </c:pt>
                <c:pt idx="4">
                  <c:v>41723</c:v>
                </c:pt>
                <c:pt idx="5">
                  <c:v>41754</c:v>
                </c:pt>
                <c:pt idx="6">
                  <c:v>41785</c:v>
                </c:pt>
                <c:pt idx="7">
                  <c:v>41815</c:v>
                </c:pt>
                <c:pt idx="8">
                  <c:v>41845</c:v>
                </c:pt>
                <c:pt idx="9">
                  <c:v>41876</c:v>
                </c:pt>
                <c:pt idx="10">
                  <c:v>41907</c:v>
                </c:pt>
              </c:numCache>
            </c:numRef>
          </c:xVal>
          <c:yVal>
            <c:numRef>
              <c:f>'1M'!$J$27:$J$37</c:f>
              <c:numCache>
                <c:formatCode>0.0000%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Futures</c:v>
          </c:tx>
          <c:spPr>
            <a:ln w="28575">
              <a:noFill/>
            </a:ln>
          </c:spPr>
          <c:marker>
            <c:symbol val="square"/>
            <c:size val="4"/>
            <c:spPr>
              <a:solidFill>
                <a:srgbClr val="333300"/>
              </a:solidFill>
              <a:ln>
                <a:solidFill>
                  <a:srgbClr val="333300"/>
                </a:solidFill>
                <a:prstDash val="solid"/>
              </a:ln>
            </c:spPr>
          </c:marker>
          <c:xVal>
            <c:numRef>
              <c:f>'1M'!$H$38:$H$49</c:f>
              <c:numCache>
                <c:formatCode>ddd\,\ d\-mmm\-yyyy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xVal>
          <c:yVal>
            <c:numRef>
              <c:f>'1M'!$J$38:$J$49</c:f>
              <c:numCache>
                <c:formatCode>0.0000%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v>No Toy Effect</c:v>
          </c:tx>
          <c:spPr>
            <a:ln w="3175">
              <a:solidFill>
                <a:srgbClr val="333300"/>
              </a:solidFill>
              <a:prstDash val="solid"/>
            </a:ln>
          </c:spPr>
          <c:marker>
            <c:symbol val="dot"/>
            <c:size val="5"/>
            <c:spPr>
              <a:solidFill>
                <a:srgbClr val="333300"/>
              </a:solidFill>
              <a:ln>
                <a:solidFill>
                  <a:srgbClr val="333300"/>
                </a:solidFill>
                <a:prstDash val="solid"/>
              </a:ln>
            </c:spPr>
          </c:marker>
          <c:xVal>
            <c:numRef>
              <c:f>'1M'!$U$23:$U$49</c:f>
              <c:numCache>
                <c:formatCode>ddd\,\ d\-mmm\-yyyy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xVal>
          <c:yVal>
            <c:numRef>
              <c:f>'1M'!$V$23:$V$49</c:f>
              <c:numCache>
                <c:formatCode>0.0000%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0644480"/>
        <c:axId val="540646400"/>
      </c:scatterChart>
      <c:valAx>
        <c:axId val="540644480"/>
        <c:scaling>
          <c:orientation val="minMax"/>
          <c:min val="41000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6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0646400"/>
        <c:crosses val="autoZero"/>
        <c:crossBetween val="midCat"/>
        <c:majorUnit val="78.672300000000007"/>
      </c:valAx>
      <c:valAx>
        <c:axId val="540646400"/>
        <c:scaling>
          <c:orientation val="minMax"/>
          <c:max val="0.0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064448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285385500575374"/>
          <c:y val="0.47603833865814699"/>
          <c:w val="0.12428078250863062"/>
          <c:h val="0.268370607028753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430391267758054E-2"/>
          <c:y val="8.012845593091425E-2"/>
          <c:w val="0.91081481545997012"/>
          <c:h val="0.72436124161546478"/>
        </c:manualLayout>
      </c:layout>
      <c:scatterChart>
        <c:scatterStyle val="lineMarker"/>
        <c:varyColors val="0"/>
        <c:ser>
          <c:idx val="1"/>
          <c:order val="0"/>
          <c:tx>
            <c:v>Spot / Fixing</c:v>
          </c:tx>
          <c:spPr>
            <a:ln w="28575">
              <a:noFill/>
            </a:ln>
          </c:spPr>
          <c:marker>
            <c:symbol val="square"/>
            <c:size val="4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'3M'!$H$23:$H$24</c:f>
              <c:numCache>
                <c:formatCode>ddd\,\ d\-mmm\-yyyy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'3M'!$J$23:$J$24</c:f>
              <c:numCache>
                <c:formatCode>0.0000%</c:formatCode>
                <c:ptCount val="2"/>
                <c:pt idx="0">
                  <c:v>0</c:v>
                </c:pt>
                <c:pt idx="1">
                  <c:v>2.3835000000000002E-3</c:v>
                </c:pt>
              </c:numCache>
            </c:numRef>
          </c:yVal>
          <c:smooth val="0"/>
        </c:ser>
        <c:ser>
          <c:idx val="0"/>
          <c:order val="1"/>
          <c:tx>
            <c:v>FRA</c:v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FF9900"/>
              </a:solidFill>
              <a:ln>
                <a:solidFill>
                  <a:srgbClr val="FF9900"/>
                </a:solidFill>
                <a:prstDash val="solid"/>
              </a:ln>
            </c:spPr>
          </c:marker>
          <c:xVal>
            <c:numRef>
              <c:f>'3M'!$H$34:$H$41</c:f>
              <c:numCache>
                <c:formatCode>ddd\,\ d\-mmm\-yyyy</c:formatCode>
                <c:ptCount val="8"/>
                <c:pt idx="0">
                  <c:v>41572</c:v>
                </c:pt>
                <c:pt idx="1">
                  <c:v>41575</c:v>
                </c:pt>
                <c:pt idx="2">
                  <c:v>41603</c:v>
                </c:pt>
                <c:pt idx="3">
                  <c:v>41635</c:v>
                </c:pt>
                <c:pt idx="4">
                  <c:v>41666</c:v>
                </c:pt>
                <c:pt idx="5">
                  <c:v>41695</c:v>
                </c:pt>
                <c:pt idx="6">
                  <c:v>41723</c:v>
                </c:pt>
                <c:pt idx="7">
                  <c:v>41754</c:v>
                </c:pt>
              </c:numCache>
            </c:numRef>
          </c:xVal>
          <c:yVal>
            <c:numRef>
              <c:f>'3M'!$J$34:$J$41</c:f>
              <c:numCache>
                <c:formatCode>0.0000%</c:formatCode>
                <c:ptCount val="8"/>
                <c:pt idx="0">
                  <c:v>2.3835000000000002E-3</c:v>
                </c:pt>
                <c:pt idx="1">
                  <c:v>0</c:v>
                </c:pt>
                <c:pt idx="2">
                  <c:v>2.4299999999999999E-3</c:v>
                </c:pt>
                <c:pt idx="3">
                  <c:v>2.5600000000000002E-3</c:v>
                </c:pt>
                <c:pt idx="4">
                  <c:v>2.6800000000000001E-3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Futures</c:v>
          </c:tx>
          <c:spPr>
            <a:ln w="28575">
              <a:noFill/>
            </a:ln>
          </c:spPr>
          <c:marker>
            <c:symbol val="square"/>
            <c:size val="4"/>
            <c:spPr>
              <a:solidFill>
                <a:srgbClr val="333300"/>
              </a:solidFill>
              <a:ln>
                <a:solidFill>
                  <a:srgbClr val="333300"/>
                </a:solidFill>
                <a:prstDash val="solid"/>
              </a:ln>
            </c:spPr>
          </c:marker>
          <c:xVal>
            <c:numRef>
              <c:f>'3M'!$H$25:$H$33</c:f>
              <c:numCache>
                <c:formatCode>ddd\,\ d\-mmm\-yyyy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'3M'!$J$25:$J$33</c:f>
              <c:numCache>
                <c:formatCode>0.0000%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v>No Toy Effect</c:v>
          </c:tx>
          <c:spPr>
            <a:ln w="3175">
              <a:solidFill>
                <a:srgbClr val="333300"/>
              </a:solidFill>
              <a:prstDash val="solid"/>
            </a:ln>
          </c:spPr>
          <c:marker>
            <c:symbol val="dot"/>
            <c:size val="5"/>
            <c:spPr>
              <a:solidFill>
                <a:srgbClr val="333300"/>
              </a:solidFill>
              <a:ln>
                <a:solidFill>
                  <a:srgbClr val="333300"/>
                </a:solidFill>
                <a:prstDash val="solid"/>
              </a:ln>
            </c:spPr>
          </c:marker>
          <c:xVal>
            <c:numRef>
              <c:f>'3M'!$U$23:$U$41</c:f>
              <c:numCache>
                <c:formatCode>ddd\,\ d\-mmm\-yyyy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xVal>
          <c:yVal>
            <c:numRef>
              <c:f>'3M'!$V$23:$V$41</c:f>
              <c:numCache>
                <c:formatCode>0.0000%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0661632"/>
        <c:axId val="540692480"/>
      </c:scatterChart>
      <c:valAx>
        <c:axId val="540661632"/>
        <c:scaling>
          <c:orientation val="minMax"/>
          <c:min val="41000"/>
        </c:scaling>
        <c:delete val="0"/>
        <c:axPos val="b"/>
        <c:numFmt formatCode="mmm\ yy" sourceLinked="0"/>
        <c:majorTickMark val="out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0692480"/>
        <c:crosses val="autoZero"/>
        <c:crossBetween val="midCat"/>
        <c:majorUnit val="91.3125"/>
        <c:minorUnit val="30.4375"/>
      </c:valAx>
      <c:valAx>
        <c:axId val="54069248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0661632"/>
        <c:crosses val="autoZero"/>
        <c:crossBetween val="midCat"/>
        <c:majorUnit val="5.0000000000000001E-3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605351170568563"/>
          <c:y val="0.48076923076923078"/>
          <c:w val="0.12040133779264217"/>
          <c:h val="0.2692307692307692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015570943611292E-2"/>
          <c:y val="8.4175360951181583E-2"/>
          <c:w val="0.92469645960563274"/>
          <c:h val="0.71044004642797254"/>
        </c:manualLayout>
      </c:layout>
      <c:scatterChart>
        <c:scatterStyle val="lineMarker"/>
        <c:varyColors val="0"/>
        <c:ser>
          <c:idx val="1"/>
          <c:order val="0"/>
          <c:tx>
            <c:v>Spot / Fixing</c:v>
          </c:tx>
          <c:spPr>
            <a:ln w="28575">
              <a:noFill/>
            </a:ln>
          </c:spPr>
          <c:marker>
            <c:symbol val="square"/>
            <c:size val="4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'6M'!$H$22:$H$23</c:f>
              <c:numCache>
                <c:formatCode>ddd\,\ d\-mmm\-yyyy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'6M'!$J$22:$J$23</c:f>
              <c:numCache>
                <c:formatCode>0.0000%</c:formatCode>
                <c:ptCount val="2"/>
                <c:pt idx="0">
                  <c:v>0</c:v>
                </c:pt>
                <c:pt idx="1">
                  <c:v>3.5570000000000003E-3</c:v>
                </c:pt>
              </c:numCache>
            </c:numRef>
          </c:yVal>
          <c:smooth val="0"/>
        </c:ser>
        <c:ser>
          <c:idx val="0"/>
          <c:order val="1"/>
          <c:tx>
            <c:v>FRA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9900"/>
              </a:solidFill>
              <a:ln>
                <a:solidFill>
                  <a:srgbClr val="FF9900"/>
                </a:solidFill>
                <a:prstDash val="solid"/>
              </a:ln>
            </c:spPr>
          </c:marker>
          <c:xVal>
            <c:numRef>
              <c:f>'6M'!$D$24:$D$33</c:f>
              <c:numCache>
                <c:formatCode>ddd\,\ d\-mmm\-yyyy</c:formatCode>
                <c:ptCount val="10"/>
                <c:pt idx="0">
                  <c:v>41572</c:v>
                </c:pt>
                <c:pt idx="1">
                  <c:v>41575</c:v>
                </c:pt>
                <c:pt idx="2">
                  <c:v>41603</c:v>
                </c:pt>
                <c:pt idx="3">
                  <c:v>41635</c:v>
                </c:pt>
                <c:pt idx="4">
                  <c:v>41666</c:v>
                </c:pt>
                <c:pt idx="5">
                  <c:v>41695</c:v>
                </c:pt>
                <c:pt idx="6">
                  <c:v>41723</c:v>
                </c:pt>
                <c:pt idx="7">
                  <c:v>41754</c:v>
                </c:pt>
                <c:pt idx="8">
                  <c:v>41939</c:v>
                </c:pt>
                <c:pt idx="9">
                  <c:v>42121</c:v>
                </c:pt>
              </c:numCache>
            </c:numRef>
          </c:xVal>
          <c:yVal>
            <c:numRef>
              <c:f>'6M'!$J$24:$J$33</c:f>
              <c:numCache>
                <c:formatCode>0.0000%</c:formatCode>
                <c:ptCount val="10"/>
                <c:pt idx="0">
                  <c:v>3.5570000000000003E-3</c:v>
                </c:pt>
                <c:pt idx="1">
                  <c:v>0</c:v>
                </c:pt>
                <c:pt idx="2">
                  <c:v>3.5999999999999999E-3</c:v>
                </c:pt>
                <c:pt idx="3">
                  <c:v>3.7599999999999999E-3</c:v>
                </c:pt>
                <c:pt idx="4">
                  <c:v>3.9000000000000003E-3</c:v>
                </c:pt>
                <c:pt idx="5">
                  <c:v>4.0400000000000002E-3</c:v>
                </c:pt>
                <c:pt idx="6">
                  <c:v>4.2000000000000006E-3</c:v>
                </c:pt>
                <c:pt idx="7">
                  <c:v>4.3800000000000002E-3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</c:ser>
        <c:ser>
          <c:idx val="3"/>
          <c:order val="2"/>
          <c:tx>
            <c:v>IMMFRA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'6M'!$D$34:$D$38</c:f>
              <c:numCache>
                <c:formatCode>ddd\,\ d\-mmm\-yyyy</c:formatCode>
                <c:ptCount val="5"/>
                <c:pt idx="0">
                  <c:v>41598</c:v>
                </c:pt>
                <c:pt idx="1">
                  <c:v>41626</c:v>
                </c:pt>
                <c:pt idx="2">
                  <c:v>41654</c:v>
                </c:pt>
                <c:pt idx="3">
                  <c:v>41689</c:v>
                </c:pt>
                <c:pt idx="4">
                  <c:v>41717</c:v>
                </c:pt>
              </c:numCache>
            </c:numRef>
          </c:xVal>
          <c:yVal>
            <c:numRef>
              <c:f>'6M'!$J$34:$J$38</c:f>
              <c:numCache>
                <c:formatCode>0.0000%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</c:ser>
        <c:ser>
          <c:idx val="4"/>
          <c:order val="3"/>
          <c:tx>
            <c:v>No Toy Effect</c:v>
          </c:tx>
          <c:spPr>
            <a:ln w="3175">
              <a:solidFill>
                <a:srgbClr val="000000"/>
              </a:solidFill>
              <a:prstDash val="solid"/>
            </a:ln>
          </c:spPr>
          <c:marker>
            <c:symbol val="dot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'6M'!$U$22:$U$44</c:f>
              <c:numCache>
                <c:formatCode>ddd\,\ d\-mmm\-yyyy</c:formatCode>
                <c:ptCount val="23"/>
                <c:pt idx="0">
                  <c:v>41572</c:v>
                </c:pt>
                <c:pt idx="1">
                  <c:v>41603</c:v>
                </c:pt>
                <c:pt idx="2">
                  <c:v>41635</c:v>
                </c:pt>
                <c:pt idx="3">
                  <c:v>41666</c:v>
                </c:pt>
                <c:pt idx="4">
                  <c:v>41695</c:v>
                </c:pt>
                <c:pt idx="5">
                  <c:v>41723</c:v>
                </c:pt>
                <c:pt idx="6">
                  <c:v>41754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xVal>
          <c:yVal>
            <c:numRef>
              <c:f>'6M'!$V$22:$V$44</c:f>
              <c:numCache>
                <c:formatCode>0.0000%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1465984"/>
        <c:axId val="541468160"/>
      </c:scatterChart>
      <c:valAx>
        <c:axId val="541465984"/>
        <c:scaling>
          <c:orientation val="minMax"/>
          <c:min val="39994"/>
        </c:scaling>
        <c:delete val="0"/>
        <c:axPos val="b"/>
        <c:numFmt formatCode="mmm\ yy" sourceLinked="0"/>
        <c:majorTickMark val="out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1468160"/>
        <c:crosses val="autoZero"/>
        <c:crossBetween val="midCat"/>
        <c:majorUnit val="91.3125"/>
        <c:minorUnit val="30.4375"/>
      </c:valAx>
      <c:valAx>
        <c:axId val="541468160"/>
        <c:scaling>
          <c:orientation val="minMax"/>
          <c:min val="5.0000000000000001E-3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1465984"/>
        <c:crosses val="autoZero"/>
        <c:crossBetween val="midCat"/>
        <c:majorUnit val="5.0000000000000001E-3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81727667762459921"/>
          <c:y val="0.48485025230432055"/>
          <c:w val="0.94905973962557"/>
          <c:h val="0.6801371545728500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247249338400298E-2"/>
          <c:y val="4.7770700636942678E-2"/>
          <c:w val="0.92427667183404083"/>
          <c:h val="0.72611464968152861"/>
        </c:manualLayout>
      </c:layout>
      <c:scatterChart>
        <c:scatterStyle val="lineMarker"/>
        <c:varyColors val="0"/>
        <c:ser>
          <c:idx val="1"/>
          <c:order val="0"/>
          <c:tx>
            <c:v>Spot / Fixing</c:v>
          </c:tx>
          <c:spPr>
            <a:ln w="28575">
              <a:noFill/>
            </a:ln>
          </c:spPr>
          <c:marker>
            <c:symbol val="square"/>
            <c:size val="4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'1Y'!$D$23:$D$24</c:f>
              <c:numCache>
                <c:formatCode>ddd\,\ d\-mmm\-yyyy</c:formatCode>
                <c:ptCount val="2"/>
                <c:pt idx="0">
                  <c:v>0</c:v>
                </c:pt>
                <c:pt idx="1">
                  <c:v>41572</c:v>
                </c:pt>
              </c:numCache>
            </c:numRef>
          </c:xVal>
          <c:yVal>
            <c:numRef>
              <c:f>'1Y'!$J$23:$J$24</c:f>
              <c:numCache>
                <c:formatCode>0.0000%</c:formatCode>
                <c:ptCount val="2"/>
                <c:pt idx="0">
                  <c:v>0</c:v>
                </c:pt>
                <c:pt idx="1">
                  <c:v>6.0860000000000003E-3</c:v>
                </c:pt>
              </c:numCache>
            </c:numRef>
          </c:yVal>
          <c:smooth val="0"/>
        </c:ser>
        <c:ser>
          <c:idx val="0"/>
          <c:order val="1"/>
          <c:tx>
            <c:v>Mkt FRA / Swap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9900"/>
              </a:solidFill>
              <a:ln>
                <a:solidFill>
                  <a:srgbClr val="FF9900"/>
                </a:solidFill>
                <a:prstDash val="solid"/>
              </a:ln>
            </c:spPr>
          </c:marker>
          <c:xVal>
            <c:numRef>
              <c:f>'1Y'!$H$25:$H$30</c:f>
              <c:numCache>
                <c:formatCode>ddd\,\ d\-mmm\-yyyy</c:formatCode>
                <c:ptCount val="6"/>
                <c:pt idx="0">
                  <c:v>41572</c:v>
                </c:pt>
                <c:pt idx="1">
                  <c:v>41575</c:v>
                </c:pt>
                <c:pt idx="2">
                  <c:v>41939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'1Y'!$J$25:$J$30</c:f>
              <c:numCache>
                <c:formatCode>0.0000%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</c:ser>
        <c:ser>
          <c:idx val="4"/>
          <c:order val="2"/>
          <c:tx>
            <c:v>Basis Interpolated</c:v>
          </c:tx>
          <c:spPr>
            <a:ln w="3175">
              <a:solidFill>
                <a:srgbClr val="000000"/>
              </a:solidFill>
              <a:prstDash val="solid"/>
            </a:ln>
          </c:spPr>
          <c:marker>
            <c:symbol val="dot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'1Y'!$U$23:$U$74</c:f>
              <c:numCache>
                <c:formatCode>ddd\,\ d\-mmm\-yyyy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xVal>
          <c:yVal>
            <c:numRef>
              <c:f>'1Y'!$V$23:$V$74</c:f>
              <c:numCache>
                <c:formatCode>0.0000%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1481600"/>
        <c:axId val="541483776"/>
      </c:scatterChart>
      <c:valAx>
        <c:axId val="541481600"/>
        <c:scaling>
          <c:orientation val="minMax"/>
          <c:min val="39994"/>
        </c:scaling>
        <c:delete val="0"/>
        <c:axPos val="b"/>
        <c:numFmt formatCode="mmm\ yy" sourceLinked="0"/>
        <c:majorTickMark val="out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1483776"/>
        <c:crosses val="autoZero"/>
        <c:crossBetween val="midCat"/>
        <c:majorUnit val="91.3125"/>
        <c:minorUnit val="30.4375"/>
      </c:valAx>
      <c:valAx>
        <c:axId val="541483776"/>
        <c:scaling>
          <c:orientation val="minMax"/>
          <c:min val="1.2500000000000001E-2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1481600"/>
        <c:crosses val="autoZero"/>
        <c:crossBetween val="midCat"/>
        <c:majorUnit val="2.5000000000000001E-3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75167072935482182"/>
          <c:y val="0.49681528662420382"/>
          <c:w val="0.94766193758074235"/>
          <c:h val="0.7452229299363056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FRA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Optimize6M!#REF!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Optimize6M!#REF!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v>Spot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Optimize6M!#REF!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Optimize6M!#REF!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1944064"/>
        <c:axId val="541950336"/>
      </c:scatterChart>
      <c:valAx>
        <c:axId val="541944064"/>
        <c:scaling>
          <c:orientation val="minMax"/>
        </c:scaling>
        <c:delete val="0"/>
        <c:axPos val="b"/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1950336"/>
        <c:crosses val="autoZero"/>
        <c:crossBetween val="midCat"/>
      </c:valAx>
      <c:valAx>
        <c:axId val="541950336"/>
        <c:scaling>
          <c:orientation val="minMax"/>
          <c:min val="0.0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194406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FRA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Optimize1Y!#REF!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Optimize1Y!#REF!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v>Spot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Optimize1Y!#REF!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Optimize1Y!#REF!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2139904"/>
        <c:axId val="542141824"/>
      </c:scatterChart>
      <c:valAx>
        <c:axId val="542139904"/>
        <c:scaling>
          <c:orientation val="minMax"/>
        </c:scaling>
        <c:delete val="0"/>
        <c:axPos val="b"/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2141824"/>
        <c:crosses val="autoZero"/>
        <c:crossBetween val="midCat"/>
      </c:valAx>
      <c:valAx>
        <c:axId val="542141824"/>
        <c:scaling>
          <c:orientation val="minMax"/>
          <c:min val="0.0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21399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333375</xdr:colOff>
          <xdr:row>14</xdr:row>
          <xdr:rowOff>57150</xdr:rowOff>
        </xdr:from>
        <xdr:to>
          <xdr:col>3</xdr:col>
          <xdr:colOff>95250</xdr:colOff>
          <xdr:row>16</xdr:row>
          <xdr:rowOff>47625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123825</xdr:rowOff>
        </xdr:from>
        <xdr:to>
          <xdr:col>3</xdr:col>
          <xdr:colOff>104775</xdr:colOff>
          <xdr:row>18</xdr:row>
          <xdr:rowOff>114300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0</xdr:rowOff>
    </xdr:from>
    <xdr:to>
      <xdr:col>13</xdr:col>
      <xdr:colOff>457200</xdr:colOff>
      <xdr:row>20</xdr:row>
      <xdr:rowOff>123825</xdr:rowOff>
    </xdr:to>
    <xdr:graphicFrame macro="">
      <xdr:nvGraphicFramePr>
        <xdr:cNvPr id="1027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19050</xdr:rowOff>
    </xdr:from>
    <xdr:to>
      <xdr:col>14</xdr:col>
      <xdr:colOff>19050</xdr:colOff>
      <xdr:row>20</xdr:row>
      <xdr:rowOff>133350</xdr:rowOff>
    </xdr:to>
    <xdr:graphicFrame macro="">
      <xdr:nvGraphicFramePr>
        <xdr:cNvPr id="11756" name="Chart 7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28575</xdr:rowOff>
    </xdr:from>
    <xdr:to>
      <xdr:col>14</xdr:col>
      <xdr:colOff>19050</xdr:colOff>
      <xdr:row>20</xdr:row>
      <xdr:rowOff>0</xdr:rowOff>
    </xdr:to>
    <xdr:graphicFrame macro="">
      <xdr:nvGraphicFramePr>
        <xdr:cNvPr id="12466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0</xdr:row>
      <xdr:rowOff>0</xdr:rowOff>
    </xdr:from>
    <xdr:to>
      <xdr:col>13</xdr:col>
      <xdr:colOff>333375</xdr:colOff>
      <xdr:row>20</xdr:row>
      <xdr:rowOff>133350</xdr:rowOff>
    </xdr:to>
    <xdr:graphicFrame macro="">
      <xdr:nvGraphicFramePr>
        <xdr:cNvPr id="18494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171450</xdr:colOff>
      <xdr:row>16</xdr:row>
      <xdr:rowOff>0</xdr:rowOff>
    </xdr:from>
    <xdr:to>
      <xdr:col>10</xdr:col>
      <xdr:colOff>0</xdr:colOff>
      <xdr:row>16</xdr:row>
      <xdr:rowOff>0</xdr:rowOff>
    </xdr:to>
    <xdr:graphicFrame macro="">
      <xdr:nvGraphicFramePr>
        <xdr:cNvPr id="7179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171450</xdr:colOff>
      <xdr:row>22</xdr:row>
      <xdr:rowOff>0</xdr:rowOff>
    </xdr:from>
    <xdr:to>
      <xdr:col>10</xdr:col>
      <xdr:colOff>0</xdr:colOff>
      <xdr:row>22</xdr:row>
      <xdr:rowOff>0</xdr:rowOff>
    </xdr:to>
    <xdr:graphicFrame macro="">
      <xdr:nvGraphicFramePr>
        <xdr:cNvPr id="1946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J52"/>
  <sheetViews>
    <sheetView workbookViewId="0">
      <selection activeCell="D5" sqref="D5"/>
    </sheetView>
  </sheetViews>
  <sheetFormatPr defaultColWidth="10.6640625" defaultRowHeight="12.75" x14ac:dyDescent="0.2"/>
  <cols>
    <col min="1" max="1" width="3.5" style="235" customWidth="1"/>
    <col min="2" max="2" width="6" style="235" customWidth="1"/>
    <col min="3" max="3" width="22.33203125" style="235" bestFit="1" customWidth="1"/>
    <col min="4" max="4" width="28" style="235" bestFit="1" customWidth="1"/>
    <col min="5" max="5" width="27" style="235" bestFit="1" customWidth="1"/>
    <col min="6" max="6" width="6.33203125" style="235" customWidth="1"/>
    <col min="7" max="16384" width="10.6640625" style="235"/>
  </cols>
  <sheetData>
    <row r="1" spans="1:36" s="214" customFormat="1" x14ac:dyDescent="0.2">
      <c r="B1" s="214" t="str">
        <f>_xll.qlxlVersion(TRUE,EvaluationDate)</f>
        <v>QuantLibXL 1.2.0 - MS VC++ 9.0 - Multithreaded Dynamic Runtime library - Release Configuration - Jan 18 2013 12:11:06</v>
      </c>
    </row>
    <row r="2" spans="1:36" s="214" customFormat="1" ht="15.75" x14ac:dyDescent="0.25">
      <c r="B2" s="515" t="s">
        <v>2</v>
      </c>
      <c r="C2" s="516"/>
      <c r="D2" s="516"/>
      <c r="E2" s="516"/>
      <c r="F2" s="517"/>
    </row>
    <row r="3" spans="1:36" s="218" customFormat="1" x14ac:dyDescent="0.2">
      <c r="A3" s="214"/>
      <c r="B3" s="215"/>
      <c r="C3" s="216"/>
      <c r="D3" s="216"/>
      <c r="E3" s="216"/>
      <c r="F3" s="217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4"/>
      <c r="S3" s="214"/>
      <c r="T3" s="214"/>
      <c r="U3" s="214"/>
      <c r="V3" s="214"/>
      <c r="W3" s="214"/>
      <c r="X3" s="214"/>
      <c r="Y3" s="214"/>
      <c r="Z3" s="214"/>
      <c r="AA3" s="214"/>
      <c r="AB3" s="214"/>
      <c r="AC3" s="214"/>
      <c r="AD3" s="214"/>
      <c r="AE3" s="214"/>
      <c r="AF3" s="214"/>
      <c r="AG3" s="214"/>
      <c r="AH3" s="214"/>
      <c r="AI3" s="214"/>
      <c r="AJ3" s="214"/>
    </row>
    <row r="4" spans="1:36" s="218" customFormat="1" x14ac:dyDescent="0.2">
      <c r="A4" s="214"/>
      <c r="B4" s="215"/>
      <c r="C4" s="259" t="s">
        <v>3</v>
      </c>
      <c r="D4" s="260" t="s">
        <v>151</v>
      </c>
      <c r="E4" s="219"/>
      <c r="F4" s="220"/>
      <c r="G4" s="214"/>
      <c r="H4" s="214"/>
      <c r="I4" s="214"/>
      <c r="J4" s="214"/>
      <c r="K4" s="214"/>
      <c r="L4" s="214"/>
      <c r="M4" s="214"/>
      <c r="N4" s="214"/>
      <c r="O4" s="214"/>
      <c r="P4" s="214"/>
      <c r="Q4" s="214"/>
      <c r="R4" s="214"/>
      <c r="S4" s="214"/>
      <c r="T4" s="214"/>
      <c r="U4" s="214"/>
      <c r="V4" s="214"/>
      <c r="W4" s="214"/>
      <c r="X4" s="214"/>
      <c r="Y4" s="214"/>
      <c r="Z4" s="214"/>
      <c r="AA4" s="214"/>
      <c r="AB4" s="214"/>
      <c r="AC4" s="214"/>
      <c r="AD4" s="214"/>
      <c r="AE4" s="214"/>
      <c r="AF4" s="214"/>
      <c r="AG4" s="214"/>
      <c r="AH4" s="214"/>
      <c r="AI4" s="214"/>
      <c r="AJ4" s="214"/>
    </row>
    <row r="5" spans="1:36" s="221" customFormat="1" x14ac:dyDescent="0.2">
      <c r="A5" s="214"/>
      <c r="B5" s="215"/>
      <c r="C5" s="261" t="s">
        <v>42</v>
      </c>
      <c r="D5" s="262" t="s">
        <v>152</v>
      </c>
      <c r="E5" s="219"/>
      <c r="F5" s="220"/>
      <c r="G5" s="214"/>
      <c r="H5" s="214"/>
      <c r="I5" s="214"/>
      <c r="J5" s="214"/>
      <c r="K5" s="214"/>
      <c r="L5" s="214"/>
      <c r="M5" s="214"/>
      <c r="N5" s="214"/>
      <c r="O5" s="214"/>
      <c r="P5" s="214"/>
      <c r="Q5" s="214"/>
      <c r="R5" s="214"/>
      <c r="S5" s="214"/>
      <c r="T5" s="214"/>
      <c r="U5" s="214"/>
      <c r="V5" s="214"/>
      <c r="W5" s="214"/>
      <c r="X5" s="214"/>
      <c r="Y5" s="214"/>
      <c r="Z5" s="214"/>
      <c r="AA5" s="214"/>
      <c r="AB5" s="214"/>
      <c r="AC5" s="214"/>
      <c r="AD5" s="214"/>
      <c r="AE5" s="214"/>
      <c r="AF5" s="214"/>
      <c r="AG5" s="214"/>
      <c r="AH5" s="214"/>
      <c r="AI5" s="214"/>
      <c r="AJ5" s="214"/>
    </row>
    <row r="6" spans="1:36" s="221" customFormat="1" x14ac:dyDescent="0.2">
      <c r="A6" s="214"/>
      <c r="B6" s="215"/>
      <c r="C6" s="261" t="s">
        <v>45</v>
      </c>
      <c r="D6" s="262" t="s">
        <v>38</v>
      </c>
      <c r="E6" s="219"/>
      <c r="F6" s="220"/>
      <c r="G6" s="214"/>
      <c r="H6" s="214"/>
      <c r="I6" s="214"/>
      <c r="J6" s="214"/>
      <c r="K6" s="214"/>
      <c r="L6" s="214"/>
      <c r="M6" s="214"/>
      <c r="N6" s="214"/>
      <c r="O6" s="214"/>
      <c r="P6" s="214"/>
      <c r="Q6" s="214"/>
      <c r="R6" s="214"/>
      <c r="S6" s="214"/>
      <c r="T6" s="214"/>
      <c r="U6" s="214"/>
      <c r="V6" s="214"/>
      <c r="W6" s="214"/>
      <c r="X6" s="214"/>
      <c r="Y6" s="214"/>
      <c r="Z6" s="214"/>
      <c r="AA6" s="214"/>
      <c r="AB6" s="214"/>
      <c r="AC6" s="214"/>
      <c r="AD6" s="214"/>
      <c r="AE6" s="214"/>
      <c r="AF6" s="214"/>
      <c r="AG6" s="214"/>
      <c r="AH6" s="214"/>
      <c r="AI6" s="214"/>
      <c r="AJ6" s="214"/>
    </row>
    <row r="7" spans="1:36" s="218" customFormat="1" x14ac:dyDescent="0.2">
      <c r="A7" s="214"/>
      <c r="B7" s="215"/>
      <c r="C7" s="263" t="s">
        <v>4</v>
      </c>
      <c r="D7" s="264">
        <f>_xll.ohTrigger(Optimize1M!I3,Optimize3M!I3,Optimize6M!I3)</f>
        <v>33</v>
      </c>
      <c r="E7" s="219"/>
      <c r="F7" s="220"/>
      <c r="G7" s="214"/>
      <c r="H7" s="214"/>
      <c r="I7" s="214"/>
      <c r="J7" s="214"/>
      <c r="K7" s="214"/>
      <c r="L7" s="214"/>
      <c r="M7" s="214"/>
      <c r="N7" s="214"/>
      <c r="O7" s="214"/>
      <c r="P7" s="214"/>
      <c r="Q7" s="214"/>
      <c r="R7" s="214"/>
      <c r="S7" s="214"/>
      <c r="T7" s="214"/>
      <c r="U7" s="214"/>
      <c r="V7" s="214"/>
      <c r="W7" s="214"/>
      <c r="X7" s="214"/>
      <c r="Y7" s="214"/>
      <c r="Z7" s="214"/>
      <c r="AA7" s="214"/>
      <c r="AB7" s="214"/>
      <c r="AC7" s="214"/>
      <c r="AD7" s="214"/>
      <c r="AE7" s="214"/>
      <c r="AF7" s="214"/>
      <c r="AG7" s="214"/>
      <c r="AH7" s="214"/>
      <c r="AI7" s="214"/>
      <c r="AJ7" s="214"/>
    </row>
    <row r="8" spans="1:36" s="218" customFormat="1" x14ac:dyDescent="0.2">
      <c r="A8" s="214"/>
      <c r="B8" s="215"/>
      <c r="C8" s="219"/>
      <c r="D8" s="222"/>
      <c r="E8" s="219"/>
      <c r="F8" s="220"/>
      <c r="G8" s="214"/>
      <c r="H8" s="214"/>
      <c r="I8" s="214"/>
      <c r="J8" s="214"/>
      <c r="K8" s="214"/>
      <c r="L8" s="214"/>
      <c r="M8" s="214"/>
      <c r="N8" s="214"/>
      <c r="O8" s="214"/>
      <c r="P8" s="214"/>
      <c r="Q8" s="214"/>
      <c r="R8" s="214"/>
      <c r="S8" s="214"/>
      <c r="T8" s="214"/>
      <c r="U8" s="214"/>
      <c r="V8" s="214"/>
      <c r="W8" s="214"/>
      <c r="X8" s="214"/>
      <c r="Y8" s="214"/>
      <c r="Z8" s="214"/>
      <c r="AA8" s="214"/>
      <c r="AB8" s="214"/>
      <c r="AC8" s="214"/>
      <c r="AD8" s="214"/>
      <c r="AE8" s="214"/>
      <c r="AF8" s="214"/>
      <c r="AG8" s="214"/>
      <c r="AH8" s="214"/>
      <c r="AI8" s="214"/>
      <c r="AJ8" s="214"/>
    </row>
    <row r="9" spans="1:36" s="218" customFormat="1" x14ac:dyDescent="0.2">
      <c r="A9" s="214"/>
      <c r="B9" s="215"/>
      <c r="C9" s="223" t="s">
        <v>53</v>
      </c>
      <c r="D9" s="224" t="e">
        <f>_xll.qlRateHelperEarliestDate('3M'!C23,EvaluationDate)</f>
        <v>#NUM!</v>
      </c>
      <c r="E9" s="219"/>
      <c r="F9" s="220"/>
      <c r="G9" s="214"/>
      <c r="H9" s="214"/>
      <c r="I9" s="214"/>
      <c r="J9" s="214"/>
      <c r="K9" s="214"/>
      <c r="L9" s="214"/>
      <c r="M9" s="214"/>
      <c r="N9" s="214"/>
      <c r="O9" s="214"/>
      <c r="P9" s="214"/>
      <c r="Q9" s="214"/>
      <c r="R9" s="214"/>
      <c r="S9" s="214"/>
      <c r="T9" s="214"/>
      <c r="U9" s="214"/>
      <c r="V9" s="214"/>
      <c r="W9" s="214"/>
      <c r="X9" s="214"/>
      <c r="Y9" s="214"/>
      <c r="Z9" s="214"/>
      <c r="AA9" s="214"/>
      <c r="AB9" s="214"/>
      <c r="AC9" s="214"/>
      <c r="AD9" s="214"/>
      <c r="AE9" s="214"/>
      <c r="AF9" s="214"/>
      <c r="AG9" s="214"/>
      <c r="AH9" s="214"/>
      <c r="AI9" s="214"/>
      <c r="AJ9" s="214"/>
    </row>
    <row r="10" spans="1:36" s="218" customFormat="1" x14ac:dyDescent="0.2">
      <c r="A10" s="214"/>
      <c r="B10" s="215"/>
      <c r="C10" s="223" t="s">
        <v>31</v>
      </c>
      <c r="D10" s="224" t="e">
        <f>_xll.qlCalendarAdjust(Calendar,DATE(YEAR(SettlementDate),12,31),"Preceding")</f>
        <v>#NUM!</v>
      </c>
      <c r="E10" s="219"/>
      <c r="F10" s="220"/>
      <c r="G10" s="214"/>
      <c r="H10" s="214"/>
      <c r="I10" s="214"/>
      <c r="J10" s="214"/>
      <c r="K10" s="214"/>
      <c r="L10" s="214"/>
      <c r="M10" s="214"/>
      <c r="N10" s="214"/>
      <c r="O10" s="214"/>
      <c r="P10" s="214"/>
      <c r="Q10" s="214"/>
      <c r="R10" s="214"/>
      <c r="S10" s="214"/>
      <c r="T10" s="214"/>
      <c r="U10" s="214"/>
      <c r="V10" s="214"/>
      <c r="W10" s="214"/>
      <c r="X10" s="214"/>
      <c r="Y10" s="214"/>
      <c r="Z10" s="214"/>
      <c r="AA10" s="214"/>
      <c r="AB10" s="214"/>
      <c r="AC10" s="214"/>
      <c r="AD10" s="214"/>
      <c r="AE10" s="214"/>
      <c r="AF10" s="214"/>
      <c r="AG10" s="214"/>
      <c r="AH10" s="214"/>
      <c r="AI10" s="214"/>
      <c r="AJ10" s="214"/>
    </row>
    <row r="11" spans="1:36" s="218" customFormat="1" x14ac:dyDescent="0.2">
      <c r="A11" s="214"/>
      <c r="B11" s="215"/>
      <c r="C11" s="223" t="s">
        <v>47</v>
      </c>
      <c r="D11" s="224" t="e">
        <f>_xll.qlCalendarAdjust(Calendar,DATE(YEAR(SettlementDate)+1,12,31),"Preceding")</f>
        <v>#NUM!</v>
      </c>
      <c r="E11" s="219"/>
      <c r="F11" s="220"/>
      <c r="G11" s="214"/>
      <c r="H11" s="214"/>
      <c r="I11" s="214"/>
      <c r="J11" s="214"/>
      <c r="K11" s="214"/>
      <c r="L11" s="214"/>
      <c r="M11" s="214"/>
      <c r="N11" s="214"/>
      <c r="O11" s="214"/>
      <c r="P11" s="214"/>
      <c r="Q11" s="214"/>
      <c r="R11" s="214"/>
      <c r="S11" s="214"/>
      <c r="T11" s="214"/>
      <c r="U11" s="214"/>
      <c r="V11" s="214"/>
      <c r="W11" s="214"/>
      <c r="X11" s="214"/>
      <c r="Y11" s="214"/>
      <c r="Z11" s="214"/>
      <c r="AA11" s="214"/>
      <c r="AB11" s="214"/>
      <c r="AC11" s="214"/>
      <c r="AD11" s="214"/>
      <c r="AE11" s="214"/>
      <c r="AF11" s="214"/>
      <c r="AG11" s="214"/>
      <c r="AH11" s="214"/>
      <c r="AI11" s="214"/>
      <c r="AJ11" s="214"/>
    </row>
    <row r="12" spans="1:36" s="218" customFormat="1" x14ac:dyDescent="0.2">
      <c r="A12" s="214"/>
      <c r="B12" s="215"/>
      <c r="C12" s="223" t="s">
        <v>55</v>
      </c>
      <c r="D12" s="224" t="s">
        <v>128</v>
      </c>
      <c r="E12" s="219"/>
      <c r="F12" s="220"/>
      <c r="G12" s="214"/>
      <c r="H12" s="214"/>
      <c r="I12" s="214"/>
      <c r="J12" s="214"/>
      <c r="K12" s="214"/>
      <c r="L12" s="214"/>
      <c r="M12" s="214"/>
      <c r="N12" s="214"/>
      <c r="O12" s="214"/>
      <c r="P12" s="214"/>
      <c r="Q12" s="214"/>
      <c r="R12" s="214"/>
      <c r="S12" s="214"/>
      <c r="T12" s="214"/>
      <c r="U12" s="214"/>
      <c r="V12" s="214"/>
      <c r="W12" s="214"/>
      <c r="X12" s="214"/>
      <c r="Y12" s="214"/>
      <c r="Z12" s="214"/>
      <c r="AA12" s="214"/>
      <c r="AB12" s="214"/>
      <c r="AC12" s="214"/>
      <c r="AD12" s="214"/>
      <c r="AE12" s="214"/>
      <c r="AF12" s="214"/>
      <c r="AG12" s="214"/>
      <c r="AH12" s="214"/>
      <c r="AI12" s="214"/>
      <c r="AJ12" s="214"/>
    </row>
    <row r="13" spans="1:36" s="218" customFormat="1" x14ac:dyDescent="0.2">
      <c r="A13" s="214"/>
      <c r="B13" s="215"/>
      <c r="C13" s="223" t="s">
        <v>54</v>
      </c>
      <c r="D13" s="225" t="s">
        <v>136</v>
      </c>
      <c r="E13" s="219"/>
      <c r="F13" s="220"/>
      <c r="G13" s="214"/>
      <c r="H13" s="214"/>
      <c r="I13" s="214"/>
      <c r="J13" s="214"/>
      <c r="K13" s="214"/>
      <c r="L13" s="214"/>
      <c r="M13" s="214"/>
      <c r="N13" s="214"/>
      <c r="O13" s="214"/>
      <c r="P13" s="214"/>
      <c r="Q13" s="214"/>
      <c r="R13" s="214"/>
      <c r="S13" s="214"/>
      <c r="T13" s="214"/>
      <c r="U13" s="214"/>
      <c r="V13" s="214"/>
      <c r="W13" s="214"/>
      <c r="X13" s="214"/>
      <c r="Y13" s="214"/>
      <c r="Z13" s="214"/>
      <c r="AA13" s="214"/>
      <c r="AB13" s="214"/>
      <c r="AC13" s="214"/>
      <c r="AD13" s="214"/>
      <c r="AE13" s="214"/>
      <c r="AF13" s="214"/>
      <c r="AG13" s="214"/>
      <c r="AH13" s="214"/>
      <c r="AI13" s="214"/>
      <c r="AJ13" s="214"/>
    </row>
    <row r="14" spans="1:36" s="218" customFormat="1" x14ac:dyDescent="0.2">
      <c r="A14" s="214"/>
      <c r="B14" s="215"/>
      <c r="C14" s="219"/>
      <c r="D14" s="219"/>
      <c r="E14" s="219"/>
      <c r="F14" s="220"/>
      <c r="G14" s="214"/>
      <c r="H14" s="214"/>
      <c r="I14" s="214"/>
      <c r="J14" s="214"/>
      <c r="K14" s="214"/>
      <c r="L14" s="214"/>
      <c r="M14" s="214"/>
      <c r="N14" s="214"/>
      <c r="O14" s="214"/>
      <c r="P14" s="214"/>
      <c r="Q14" s="214"/>
      <c r="R14" s="214"/>
      <c r="S14" s="214"/>
      <c r="T14" s="214"/>
      <c r="U14" s="214"/>
      <c r="V14" s="214"/>
      <c r="W14" s="214"/>
      <c r="X14" s="214"/>
      <c r="Y14" s="214"/>
      <c r="Z14" s="214"/>
      <c r="AA14" s="214"/>
      <c r="AB14" s="214"/>
      <c r="AC14" s="214"/>
      <c r="AD14" s="214"/>
      <c r="AE14" s="214"/>
      <c r="AF14" s="214"/>
      <c r="AG14" s="214"/>
      <c r="AH14" s="214"/>
      <c r="AI14" s="214"/>
      <c r="AJ14" s="214"/>
    </row>
    <row r="15" spans="1:36" s="218" customFormat="1" x14ac:dyDescent="0.2">
      <c r="A15" s="214"/>
      <c r="B15" s="215"/>
      <c r="C15" s="226"/>
      <c r="D15" s="226"/>
      <c r="E15" s="226"/>
      <c r="F15" s="220"/>
      <c r="G15" s="214"/>
      <c r="H15" s="214"/>
      <c r="I15" s="214"/>
      <c r="J15" s="214"/>
      <c r="K15" s="214"/>
      <c r="L15" s="214"/>
      <c r="M15" s="214"/>
      <c r="N15" s="214"/>
      <c r="O15" s="214"/>
      <c r="P15" s="214"/>
      <c r="Q15" s="214"/>
      <c r="R15" s="214"/>
      <c r="S15" s="214"/>
      <c r="T15" s="214"/>
      <c r="U15" s="214"/>
      <c r="V15" s="214"/>
      <c r="W15" s="214"/>
      <c r="X15" s="214"/>
      <c r="Y15" s="214"/>
      <c r="Z15" s="214"/>
      <c r="AA15" s="214"/>
      <c r="AB15" s="214"/>
      <c r="AC15" s="214"/>
      <c r="AD15" s="214"/>
      <c r="AE15" s="214"/>
      <c r="AF15" s="214"/>
      <c r="AG15" s="214"/>
      <c r="AH15" s="214"/>
      <c r="AI15" s="214"/>
      <c r="AJ15" s="214"/>
    </row>
    <row r="16" spans="1:36" s="218" customFormat="1" x14ac:dyDescent="0.2">
      <c r="A16" s="214"/>
      <c r="B16" s="215"/>
      <c r="C16" s="226"/>
      <c r="D16" s="1" t="s">
        <v>5</v>
      </c>
      <c r="E16" s="227">
        <v>41570.838310185187</v>
      </c>
      <c r="F16" s="220"/>
      <c r="G16" s="214"/>
      <c r="H16" s="214"/>
      <c r="I16" s="214"/>
      <c r="J16" s="214"/>
      <c r="K16" s="214"/>
      <c r="L16" s="214"/>
      <c r="M16" s="214"/>
      <c r="N16" s="214"/>
      <c r="O16" s="214"/>
      <c r="P16" s="214"/>
      <c r="Q16" s="214"/>
      <c r="R16" s="214"/>
      <c r="S16" s="214"/>
      <c r="T16" s="214"/>
      <c r="U16" s="214"/>
      <c r="V16" s="214"/>
      <c r="W16" s="214"/>
      <c r="X16" s="214"/>
      <c r="Y16" s="214"/>
      <c r="Z16" s="214"/>
      <c r="AA16" s="214"/>
      <c r="AB16" s="214"/>
      <c r="AC16" s="214"/>
      <c r="AD16" s="214"/>
      <c r="AE16" s="214"/>
      <c r="AF16" s="214"/>
      <c r="AG16" s="214"/>
      <c r="AH16" s="214"/>
      <c r="AI16" s="214"/>
      <c r="AJ16" s="214"/>
    </row>
    <row r="17" spans="1:36" s="218" customFormat="1" x14ac:dyDescent="0.2">
      <c r="A17" s="214"/>
      <c r="B17" s="215"/>
      <c r="C17" s="226"/>
      <c r="D17" s="228"/>
      <c r="E17" s="229"/>
      <c r="F17" s="220"/>
      <c r="G17" s="214"/>
      <c r="H17" s="214"/>
      <c r="I17" s="214"/>
      <c r="J17" s="214"/>
      <c r="K17" s="214"/>
      <c r="L17" s="214"/>
      <c r="M17" s="214"/>
      <c r="N17" s="214"/>
      <c r="O17" s="214"/>
      <c r="P17" s="214"/>
      <c r="Q17" s="214"/>
      <c r="R17" s="214"/>
      <c r="S17" s="214"/>
      <c r="T17" s="214"/>
      <c r="U17" s="214"/>
      <c r="V17" s="214"/>
      <c r="W17" s="214"/>
      <c r="X17" s="214"/>
      <c r="Y17" s="214"/>
      <c r="Z17" s="214"/>
      <c r="AA17" s="214"/>
      <c r="AB17" s="214"/>
      <c r="AC17" s="214"/>
      <c r="AD17" s="214"/>
      <c r="AE17" s="214"/>
      <c r="AF17" s="214"/>
      <c r="AG17" s="214"/>
      <c r="AH17" s="214"/>
      <c r="AI17" s="214"/>
      <c r="AJ17" s="214"/>
    </row>
    <row r="18" spans="1:36" s="218" customFormat="1" x14ac:dyDescent="0.2">
      <c r="A18" s="214"/>
      <c r="B18" s="215"/>
      <c r="C18" s="226"/>
      <c r="D18" s="1"/>
      <c r="E18" s="229"/>
      <c r="F18" s="220"/>
      <c r="G18" s="214"/>
      <c r="H18" s="214"/>
      <c r="I18" s="214"/>
      <c r="J18" s="214"/>
      <c r="K18" s="214"/>
      <c r="L18" s="214"/>
      <c r="M18" s="214"/>
      <c r="N18" s="214"/>
      <c r="O18" s="214"/>
      <c r="P18" s="214"/>
      <c r="Q18" s="214"/>
      <c r="R18" s="214"/>
      <c r="S18" s="214"/>
      <c r="T18" s="214"/>
      <c r="U18" s="214"/>
      <c r="V18" s="214"/>
      <c r="W18" s="214"/>
      <c r="X18" s="214"/>
      <c r="Y18" s="214"/>
      <c r="Z18" s="214"/>
      <c r="AA18" s="214"/>
      <c r="AB18" s="214"/>
      <c r="AC18" s="214"/>
      <c r="AD18" s="214"/>
      <c r="AE18" s="214"/>
      <c r="AF18" s="214"/>
      <c r="AG18" s="214"/>
      <c r="AH18" s="214"/>
      <c r="AI18" s="214"/>
      <c r="AJ18" s="214"/>
    </row>
    <row r="19" spans="1:36" s="218" customFormat="1" x14ac:dyDescent="0.2">
      <c r="A19" s="214"/>
      <c r="B19" s="215"/>
      <c r="C19" s="226"/>
      <c r="D19" s="1" t="s">
        <v>6</v>
      </c>
      <c r="E19" s="230" t="b">
        <v>1</v>
      </c>
      <c r="F19" s="220"/>
      <c r="G19" s="214"/>
      <c r="H19" s="214"/>
      <c r="I19" s="214"/>
      <c r="J19" s="214"/>
      <c r="K19" s="214"/>
      <c r="L19" s="214"/>
      <c r="M19" s="214"/>
      <c r="N19" s="214"/>
      <c r="O19" s="214"/>
      <c r="P19" s="214"/>
      <c r="Q19" s="214"/>
      <c r="R19" s="214"/>
      <c r="S19" s="214"/>
      <c r="T19" s="214"/>
      <c r="U19" s="214"/>
      <c r="V19" s="214"/>
      <c r="W19" s="214"/>
      <c r="X19" s="214"/>
      <c r="Y19" s="214"/>
      <c r="Z19" s="214"/>
      <c r="AA19" s="214"/>
      <c r="AB19" s="214"/>
      <c r="AC19" s="214"/>
      <c r="AD19" s="214"/>
      <c r="AE19" s="214"/>
      <c r="AF19" s="214"/>
      <c r="AG19" s="214"/>
      <c r="AH19" s="214"/>
      <c r="AI19" s="214"/>
      <c r="AJ19" s="214"/>
    </row>
    <row r="20" spans="1:36" s="218" customFormat="1" x14ac:dyDescent="0.2">
      <c r="A20" s="214"/>
      <c r="B20" s="231"/>
      <c r="C20" s="232"/>
      <c r="D20" s="232"/>
      <c r="E20" s="232"/>
      <c r="F20" s="233"/>
      <c r="G20" s="214"/>
      <c r="H20" s="214"/>
      <c r="I20" s="214"/>
      <c r="J20" s="214"/>
      <c r="K20" s="214"/>
      <c r="L20" s="214"/>
      <c r="M20" s="214"/>
      <c r="N20" s="214"/>
      <c r="O20" s="214"/>
      <c r="P20" s="214"/>
      <c r="Q20" s="214"/>
      <c r="R20" s="214"/>
      <c r="S20" s="214"/>
      <c r="T20" s="214"/>
      <c r="U20" s="214"/>
      <c r="V20" s="214"/>
      <c r="W20" s="214"/>
      <c r="X20" s="214"/>
      <c r="Y20" s="214"/>
      <c r="Z20" s="214"/>
      <c r="AA20" s="214"/>
      <c r="AB20" s="214"/>
      <c r="AC20" s="214"/>
      <c r="AD20" s="214"/>
      <c r="AE20" s="214"/>
      <c r="AF20" s="214"/>
      <c r="AG20" s="214"/>
      <c r="AH20" s="214"/>
      <c r="AI20" s="214"/>
      <c r="AJ20" s="214"/>
    </row>
    <row r="21" spans="1:36" s="214" customFormat="1" x14ac:dyDescent="0.2">
      <c r="C21" s="234"/>
      <c r="D21" s="234"/>
      <c r="E21" s="234"/>
      <c r="F21" s="234"/>
    </row>
    <row r="22" spans="1:36" s="214" customFormat="1" x14ac:dyDescent="0.2">
      <c r="C22" s="234"/>
      <c r="D22" s="234"/>
      <c r="E22" s="234"/>
      <c r="F22" s="234"/>
    </row>
    <row r="23" spans="1:36" s="214" customFormat="1" x14ac:dyDescent="0.2">
      <c r="C23" s="234"/>
      <c r="D23" s="234"/>
      <c r="E23" s="234"/>
      <c r="F23" s="234"/>
    </row>
    <row r="24" spans="1:36" s="214" customFormat="1" x14ac:dyDescent="0.2">
      <c r="C24" s="234"/>
      <c r="D24" s="234"/>
      <c r="E24" s="234"/>
      <c r="F24" s="234"/>
    </row>
    <row r="25" spans="1:36" s="214" customFormat="1" x14ac:dyDescent="0.2">
      <c r="C25" s="234"/>
      <c r="D25" s="234"/>
      <c r="E25" s="234"/>
      <c r="F25" s="234"/>
    </row>
    <row r="26" spans="1:36" s="214" customFormat="1" x14ac:dyDescent="0.2">
      <c r="C26" s="234"/>
      <c r="D26" s="234"/>
      <c r="E26" s="234"/>
      <c r="F26" s="234"/>
    </row>
    <row r="27" spans="1:36" s="214" customFormat="1" x14ac:dyDescent="0.2"/>
    <row r="28" spans="1:36" s="214" customFormat="1" x14ac:dyDescent="0.2"/>
    <row r="29" spans="1:36" s="214" customFormat="1" x14ac:dyDescent="0.2"/>
    <row r="30" spans="1:36" s="214" customFormat="1" x14ac:dyDescent="0.2"/>
    <row r="31" spans="1:36" s="214" customFormat="1" x14ac:dyDescent="0.2"/>
    <row r="32" spans="1:36" s="214" customFormat="1" x14ac:dyDescent="0.2"/>
    <row r="33" s="214" customFormat="1" x14ac:dyDescent="0.2"/>
    <row r="34" s="214" customFormat="1" x14ac:dyDescent="0.2"/>
    <row r="35" s="214" customFormat="1" x14ac:dyDescent="0.2"/>
    <row r="36" s="214" customFormat="1" x14ac:dyDescent="0.2"/>
    <row r="37" s="214" customFormat="1" x14ac:dyDescent="0.2"/>
    <row r="38" s="214" customFormat="1" x14ac:dyDescent="0.2"/>
    <row r="39" s="214" customFormat="1" x14ac:dyDescent="0.2"/>
    <row r="40" s="214" customFormat="1" x14ac:dyDescent="0.2"/>
    <row r="41" s="214" customFormat="1" x14ac:dyDescent="0.2"/>
    <row r="42" s="214" customFormat="1" x14ac:dyDescent="0.2"/>
    <row r="43" s="214" customFormat="1" x14ac:dyDescent="0.2"/>
    <row r="44" s="214" customFormat="1" x14ac:dyDescent="0.2"/>
    <row r="45" s="214" customFormat="1" x14ac:dyDescent="0.2"/>
    <row r="46" s="214" customFormat="1" x14ac:dyDescent="0.2"/>
    <row r="47" s="214" customFormat="1" x14ac:dyDescent="0.2"/>
    <row r="48" s="214" customFormat="1" x14ac:dyDescent="0.2"/>
    <row r="49" s="214" customFormat="1" x14ac:dyDescent="0.2"/>
    <row r="50" s="214" customFormat="1" x14ac:dyDescent="0.2"/>
    <row r="51" s="214" customFormat="1" x14ac:dyDescent="0.2"/>
    <row r="52" s="214" customFormat="1" x14ac:dyDescent="0.2"/>
  </sheetData>
  <mergeCells count="1">
    <mergeCell ref="B2:F2"/>
  </mergeCells>
  <phoneticPr fontId="1" type="noConversion"/>
  <conditionalFormatting sqref="E19">
    <cfRule type="cellIs" dxfId="12" priority="1" stopIfTrue="1" operator="equal">
      <formula>TRUE</formula>
    </cfRule>
  </conditionalFormatting>
  <dataValidations count="5">
    <dataValidation type="list" allowBlank="1" showInputMessage="1" showErrorMessage="1" sqref="D4">
      <formula1>"EUR,USD,GBP,JPY,CHF"</formula1>
    </dataValidation>
    <dataValidation type="list" allowBlank="1" showInputMessage="1" showErrorMessage="1" sqref="D5">
      <formula1>"TARGET,UnitedKingdom::Exchange,UnitedKingdom::Metals,UnitedKingdom::Settlement,UnitedStates::GovernmentBond,UnitedStates::NERC,UnitedStates::NYSE,UnitedStates::Settlement,Switzerland,Japan,Italy::Exchange,NullCalendar"</formula1>
    </dataValidation>
    <dataValidation type="list" allowBlank="1" showInputMessage="1" showErrorMessage="1" sqref="D6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D13">
      <formula1>"LogLinear,LogParabolic,MonotonicLogParabolic,LogCubicNaturalSpline,MonotonicLogCubicNaturalSpline,KrugerLogCubic,FritschButlandLogCubic,LogAbcd"</formula1>
    </dataValidation>
    <dataValidation type="list" allowBlank="1" showInputMessage="1" showErrorMessage="1" sqref="D12">
      <formula1>"BackwardFlat,ForwardFlat,Linear,Parabolic,MonotonicParabolic,CubicNaturalSpline,MonotonicCubicNaturalSpline,KrugerCubic,FritschButlandCubic,Abcd"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1</xdr:col>
                <xdr:colOff>333375</xdr:colOff>
                <xdr:row>14</xdr:row>
                <xdr:rowOff>57150</xdr:rowOff>
              </from>
              <to>
                <xdr:col>3</xdr:col>
                <xdr:colOff>95250</xdr:colOff>
                <xdr:row>16</xdr:row>
                <xdr:rowOff>47625</xdr:rowOff>
              </to>
            </anchor>
          </controlPr>
        </control>
      </mc:Choice>
      <mc:Fallback>
        <control shapeId="3073" r:id="rId4" name="CommandButton1"/>
      </mc:Fallback>
    </mc:AlternateContent>
    <mc:AlternateContent xmlns:mc="http://schemas.openxmlformats.org/markup-compatibility/2006">
      <mc:Choice Requires="x14">
        <control shapeId="3074" r:id="rId6" name="CommandButton2">
          <controlPr defaultSize="0" autoLine="0" r:id="rId7">
            <anchor moveWithCells="1">
              <from>
                <xdr:col>2</xdr:col>
                <xdr:colOff>0</xdr:colOff>
                <xdr:row>16</xdr:row>
                <xdr:rowOff>123825</xdr:rowOff>
              </from>
              <to>
                <xdr:col>3</xdr:col>
                <xdr:colOff>104775</xdr:colOff>
                <xdr:row>18</xdr:row>
                <xdr:rowOff>114300</xdr:rowOff>
              </to>
            </anchor>
          </controlPr>
        </control>
      </mc:Choice>
      <mc:Fallback>
        <control shapeId="3074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V17"/>
  <sheetViews>
    <sheetView tabSelected="1" workbookViewId="0">
      <selection activeCell="D5" sqref="D5"/>
    </sheetView>
  </sheetViews>
  <sheetFormatPr defaultRowHeight="11.25" x14ac:dyDescent="0.2"/>
  <cols>
    <col min="1" max="1" width="3.6640625" style="61" customWidth="1"/>
    <col min="2" max="2" width="4.5" style="61" customWidth="1"/>
    <col min="3" max="3" width="19.1640625" style="61" bestFit="1" customWidth="1"/>
    <col min="4" max="4" width="27.83203125" style="61" customWidth="1"/>
    <col min="5" max="5" width="4" style="61" customWidth="1"/>
    <col min="6" max="6" width="5" style="61" customWidth="1"/>
    <col min="7" max="16384" width="9.33203125" style="61"/>
  </cols>
  <sheetData>
    <row r="1" spans="2:22" ht="13.5" thickBot="1" x14ac:dyDescent="0.25">
      <c r="B1" s="60" t="str">
        <f>_xll.qlxlVersion(TRUE)</f>
        <v>QuantLibXL 1.2.0 - MS VC++ 9.0 - Multithreaded Dynamic Runtime library - Release Configuration - Jan 18 2013 12:11:06</v>
      </c>
    </row>
    <row r="2" spans="2:22" ht="15.75" x14ac:dyDescent="0.25">
      <c r="B2" s="518" t="s">
        <v>43</v>
      </c>
      <c r="C2" s="519"/>
      <c r="D2" s="519"/>
      <c r="E2" s="520"/>
      <c r="V2" s="61" t="s">
        <v>41</v>
      </c>
    </row>
    <row r="3" spans="2:22" s="64" customFormat="1" x14ac:dyDescent="0.2">
      <c r="B3" s="68"/>
      <c r="C3" s="69"/>
      <c r="D3" s="69"/>
      <c r="E3" s="70"/>
    </row>
    <row r="4" spans="2:22" s="64" customFormat="1" x14ac:dyDescent="0.2">
      <c r="B4" s="62"/>
      <c r="C4" s="71" t="s">
        <v>44</v>
      </c>
      <c r="D4" s="72">
        <f>_xll.qlSettingsEvaluationDate()</f>
        <v>41570</v>
      </c>
      <c r="E4" s="63"/>
    </row>
    <row r="5" spans="2:22" s="64" customFormat="1" x14ac:dyDescent="0.2">
      <c r="B5" s="62"/>
      <c r="C5" s="73" t="s">
        <v>48</v>
      </c>
      <c r="D5" s="74" t="s">
        <v>153</v>
      </c>
      <c r="E5" s="63"/>
    </row>
    <row r="6" spans="2:22" s="64" customFormat="1" x14ac:dyDescent="0.2">
      <c r="B6" s="62"/>
      <c r="C6" s="73" t="s">
        <v>49</v>
      </c>
      <c r="D6" s="74" t="s">
        <v>153</v>
      </c>
      <c r="E6" s="63"/>
    </row>
    <row r="7" spans="2:22" s="64" customFormat="1" x14ac:dyDescent="0.2">
      <c r="B7" s="62"/>
      <c r="C7" s="73" t="s">
        <v>50</v>
      </c>
      <c r="D7" s="74" t="s">
        <v>153</v>
      </c>
      <c r="E7" s="63"/>
    </row>
    <row r="8" spans="2:22" s="64" customFormat="1" ht="12" thickBot="1" x14ac:dyDescent="0.25">
      <c r="B8" s="65"/>
      <c r="C8" s="66"/>
      <c r="D8" s="66"/>
      <c r="E8" s="67"/>
    </row>
    <row r="9" spans="2:22" s="64" customFormat="1" x14ac:dyDescent="0.2"/>
    <row r="10" spans="2:22" s="64" customFormat="1" x14ac:dyDescent="0.2"/>
    <row r="11" spans="2:22" s="64" customFormat="1" x14ac:dyDescent="0.2"/>
    <row r="12" spans="2:22" s="64" customFormat="1" x14ac:dyDescent="0.2"/>
    <row r="13" spans="2:22" s="64" customFormat="1" x14ac:dyDescent="0.2"/>
    <row r="14" spans="2:22" s="64" customFormat="1" x14ac:dyDescent="0.2"/>
    <row r="15" spans="2:22" s="64" customFormat="1" x14ac:dyDescent="0.2"/>
    <row r="16" spans="2:22" s="64" customFormat="1" x14ac:dyDescent="0.2"/>
    <row r="17" s="64" customFormat="1" x14ac:dyDescent="0.2"/>
  </sheetData>
  <mergeCells count="1">
    <mergeCell ref="B2:E2"/>
  </mergeCells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Q62"/>
  <sheetViews>
    <sheetView topLeftCell="B1" workbookViewId="0">
      <selection activeCell="O2" sqref="O2"/>
    </sheetView>
  </sheetViews>
  <sheetFormatPr defaultRowHeight="11.25" x14ac:dyDescent="0.2"/>
  <cols>
    <col min="1" max="1" width="13.83203125" hidden="1" customWidth="1"/>
    <col min="3" max="3" width="23.6640625" bestFit="1" customWidth="1"/>
    <col min="4" max="4" width="16.1640625" bestFit="1" customWidth="1"/>
    <col min="5" max="5" width="16.5" bestFit="1" customWidth="1"/>
    <col min="6" max="6" width="8.83203125" bestFit="1" customWidth="1"/>
    <col min="7" max="7" width="8.33203125" bestFit="1" customWidth="1"/>
    <col min="8" max="8" width="16.5" bestFit="1" customWidth="1"/>
    <col min="9" max="9" width="6.6640625" bestFit="1" customWidth="1"/>
    <col min="10" max="10" width="9" bestFit="1" customWidth="1"/>
    <col min="11" max="11" width="6.6640625" bestFit="1" customWidth="1"/>
    <col min="12" max="13" width="8.33203125" bestFit="1" customWidth="1"/>
    <col min="14" max="14" width="6.6640625" bestFit="1" customWidth="1"/>
    <col min="15" max="15" width="15.33203125" bestFit="1" customWidth="1"/>
    <col min="16" max="17" width="8.33203125" bestFit="1" customWidth="1"/>
    <col min="19" max="20" width="8.33203125" bestFit="1" customWidth="1"/>
    <col min="21" max="21" width="16.5" bestFit="1" customWidth="1"/>
    <col min="22" max="22" width="8.33203125" bestFit="1" customWidth="1"/>
    <col min="23" max="23" width="3.33203125" customWidth="1"/>
    <col min="24" max="24" width="3.83203125" bestFit="1" customWidth="1"/>
    <col min="25" max="25" width="9.1640625" customWidth="1"/>
    <col min="26" max="26" width="8.33203125" bestFit="1" customWidth="1"/>
    <col min="27" max="27" width="16.6640625" bestFit="1" customWidth="1"/>
    <col min="28" max="28" width="6.6640625" bestFit="1" customWidth="1"/>
    <col min="29" max="29" width="7.6640625" bestFit="1" customWidth="1"/>
    <col min="30" max="30" width="6.33203125" bestFit="1" customWidth="1"/>
    <col min="31" max="31" width="16.1640625" bestFit="1" customWidth="1"/>
    <col min="32" max="32" width="5.6640625" bestFit="1" customWidth="1"/>
    <col min="33" max="33" width="7.6640625" bestFit="1" customWidth="1"/>
    <col min="34" max="34" width="6.33203125" bestFit="1" customWidth="1"/>
    <col min="35" max="35" width="16.6640625" bestFit="1" customWidth="1"/>
    <col min="36" max="36" width="5.6640625" bestFit="1" customWidth="1"/>
    <col min="37" max="37" width="7.6640625" bestFit="1" customWidth="1"/>
    <col min="38" max="38" width="6.33203125" bestFit="1" customWidth="1"/>
    <col min="39" max="39" width="16.6640625" bestFit="1" customWidth="1"/>
    <col min="40" max="40" width="5.6640625" bestFit="1" customWidth="1"/>
    <col min="41" max="41" width="7.6640625" bestFit="1" customWidth="1"/>
    <col min="42" max="42" width="6.33203125" bestFit="1" customWidth="1"/>
    <col min="43" max="43" width="16" bestFit="1" customWidth="1"/>
    <col min="44" max="44" width="5.6640625" bestFit="1" customWidth="1"/>
    <col min="45" max="45" width="7.6640625" bestFit="1" customWidth="1"/>
    <col min="46" max="46" width="6.33203125" bestFit="1" customWidth="1"/>
    <col min="47" max="47" width="16" bestFit="1" customWidth="1"/>
    <col min="48" max="48" width="5.6640625" bestFit="1" customWidth="1"/>
    <col min="49" max="49" width="7.6640625" bestFit="1" customWidth="1"/>
    <col min="50" max="50" width="6.33203125" bestFit="1" customWidth="1"/>
    <col min="51" max="51" width="16.6640625" bestFit="1" customWidth="1"/>
    <col min="52" max="52" width="5.6640625" bestFit="1" customWidth="1"/>
    <col min="53" max="53" width="7.6640625" bestFit="1" customWidth="1"/>
    <col min="54" max="54" width="6.33203125" bestFit="1" customWidth="1"/>
    <col min="55" max="55" width="15.83203125" bestFit="1" customWidth="1"/>
    <col min="56" max="56" width="5.6640625" bestFit="1" customWidth="1"/>
    <col min="57" max="57" width="7.6640625" bestFit="1" customWidth="1"/>
    <col min="58" max="58" width="6.33203125" bestFit="1" customWidth="1"/>
    <col min="59" max="59" width="16.33203125" bestFit="1" customWidth="1"/>
    <col min="60" max="60" width="5.6640625" bestFit="1" customWidth="1"/>
    <col min="61" max="61" width="7.6640625" bestFit="1" customWidth="1"/>
    <col min="62" max="62" width="6.33203125" bestFit="1" customWidth="1"/>
    <col min="63" max="63" width="16.33203125" bestFit="1" customWidth="1"/>
    <col min="64" max="64" width="5.6640625" bestFit="1" customWidth="1"/>
    <col min="65" max="65" width="7.6640625" bestFit="1" customWidth="1"/>
    <col min="66" max="66" width="6.33203125" bestFit="1" customWidth="1"/>
    <col min="67" max="67" width="16.5" bestFit="1" customWidth="1"/>
    <col min="68" max="68" width="5.6640625" bestFit="1" customWidth="1"/>
    <col min="69" max="69" width="7.6640625" bestFit="1" customWidth="1"/>
  </cols>
  <sheetData>
    <row r="1" spans="15:31" x14ac:dyDescent="0.2">
      <c r="O1" s="170" t="s">
        <v>150</v>
      </c>
      <c r="U1" s="22" t="e">
        <f>_xll.qlInterpolation(,DiscountInterpolationType,U2:U13,V2:V13)</f>
        <v>#NUM!</v>
      </c>
      <c r="V1" s="79"/>
      <c r="AA1" s="280" t="s">
        <v>87</v>
      </c>
      <c r="AB1" s="281" t="b">
        <v>0</v>
      </c>
      <c r="AE1" s="273">
        <v>8</v>
      </c>
    </row>
    <row r="2" spans="15:31" x14ac:dyDescent="0.2">
      <c r="O2" s="21" t="b">
        <v>0</v>
      </c>
      <c r="U2" s="32" t="e">
        <f>D23</f>
        <v>#NUM!</v>
      </c>
      <c r="V2" s="82">
        <v>1</v>
      </c>
    </row>
    <row r="3" spans="15:31" x14ac:dyDescent="0.2">
      <c r="U3" s="35" t="e">
        <f>_xll.qlCalendarAdvance(Calendar,U2,IndexTenor,"Modified Following",TRUE)</f>
        <v>#NUM!</v>
      </c>
      <c r="V3" s="245" t="e">
        <f>V2/(1+_xll.qlInterpolationInterpolate(FwdInterpolator,U2,TRUE)*_xll.qlDayCounterYearFraction(DayCounter,U2,U3))</f>
        <v>#VALUE!</v>
      </c>
    </row>
    <row r="4" spans="15:31" x14ac:dyDescent="0.2">
      <c r="U4" s="35" t="e">
        <f>_xll.qlCalendarAdvance(Calendar,U3,IndexTenor,"Modified Following",TRUE)</f>
        <v>#NUM!</v>
      </c>
      <c r="V4" s="82" t="e">
        <f>V3/(1+_xll.qlInterpolationInterpolate(FwdInterpolator,U3)*_xll.qlDayCounterYearFraction(DayCounter,U3,U4))</f>
        <v>#VALUE!</v>
      </c>
    </row>
    <row r="5" spans="15:31" x14ac:dyDescent="0.2">
      <c r="U5" s="35" t="e">
        <f>_xll.qlCalendarAdvance(Calendar,U4,IndexTenor,"Modified Following",TRUE)</f>
        <v>#NUM!</v>
      </c>
      <c r="V5" s="82" t="e">
        <f>V4/(1+_xll.qlInterpolationInterpolate(FwdInterpolator,U4)*_xll.qlDayCounterYearFraction(DayCounter,U4,U5))</f>
        <v>#VALUE!</v>
      </c>
    </row>
    <row r="6" spans="15:31" x14ac:dyDescent="0.2">
      <c r="U6" s="35" t="e">
        <f>_xll.qlCalendarAdvance(Calendar,U5,IndexTenor,"Modified Following",TRUE)</f>
        <v>#NUM!</v>
      </c>
      <c r="V6" s="82" t="e">
        <f>V5/(1+_xll.qlInterpolationInterpolate(FwdInterpolator,U5)*_xll.qlDayCounterYearFraction(DayCounter,U5,U6))</f>
        <v>#VALUE!</v>
      </c>
    </row>
    <row r="7" spans="15:31" x14ac:dyDescent="0.2">
      <c r="U7" s="35" t="e">
        <f>_xll.qlCalendarAdvance(Calendar,U6,IndexTenor,"Modified Following",TRUE)</f>
        <v>#NUM!</v>
      </c>
      <c r="V7" s="82" t="e">
        <f>V6/(1+_xll.qlInterpolationInterpolate(FwdInterpolator,U6)*_xll.qlDayCounterYearFraction(DayCounter,U6,U7))</f>
        <v>#VALUE!</v>
      </c>
    </row>
    <row r="8" spans="15:31" x14ac:dyDescent="0.2">
      <c r="U8" s="35" t="e">
        <f>_xll.qlCalendarAdvance(Calendar,U7,IndexTenor,"Modified Following",TRUE)</f>
        <v>#NUM!</v>
      </c>
      <c r="V8" s="82" t="e">
        <f>V7/(1+_xll.qlInterpolationInterpolate(FwdInterpolator,U7)*_xll.qlDayCounterYearFraction(DayCounter,U7,U8))</f>
        <v>#VALUE!</v>
      </c>
    </row>
    <row r="9" spans="15:31" x14ac:dyDescent="0.2">
      <c r="U9" s="35" t="e">
        <f>_xll.qlCalendarAdvance(Calendar,U8,IndexTenor,"Modified Following",TRUE)</f>
        <v>#NUM!</v>
      </c>
      <c r="V9" s="82" t="e">
        <f>V8/(1+_xll.qlInterpolationInterpolate(FwdInterpolator,U8)*_xll.qlDayCounterYearFraction(DayCounter,U8,U9))</f>
        <v>#VALUE!</v>
      </c>
      <c r="X9" s="286"/>
      <c r="Y9" s="271" t="s">
        <v>85</v>
      </c>
      <c r="Z9" s="287" t="s">
        <v>86</v>
      </c>
    </row>
    <row r="10" spans="15:31" x14ac:dyDescent="0.2">
      <c r="U10" s="35" t="e">
        <f>_xll.qlCalendarAdvance(Calendar,U9,IndexTenor,"Modified Following",TRUE)</f>
        <v>#NUM!</v>
      </c>
      <c r="V10" s="82" t="e">
        <f>V9/(1+_xll.qlInterpolationInterpolate(FwdInterpolator,U9)*_xll.qlDayCounterYearFraction(DayCounter,U9,U10))</f>
        <v>#VALUE!</v>
      </c>
      <c r="X10" s="40" t="s">
        <v>37</v>
      </c>
      <c r="Y10" s="97">
        <v>3.8510119256525144E-2</v>
      </c>
      <c r="Z10" s="284" t="e">
        <f>Z23-Y10</f>
        <v>#VALUE!</v>
      </c>
    </row>
    <row r="11" spans="15:31" x14ac:dyDescent="0.2">
      <c r="U11" s="35" t="e">
        <f>_xll.qlCalendarAdvance(Calendar,U10,IndexTenor,"Modified Following",TRUE)</f>
        <v>#NUM!</v>
      </c>
      <c r="V11" s="82" t="e">
        <f>V10/(1+_xll.qlInterpolationInterpolate(FwdInterpolator,U10)*_xll.qlDayCounterYearFraction(DayCounter,U10,U11))</f>
        <v>#VALUE!</v>
      </c>
      <c r="X11" s="24" t="s">
        <v>20</v>
      </c>
      <c r="Y11" s="89">
        <v>3.6986386741071034E-2</v>
      </c>
      <c r="Z11" s="282" t="e">
        <f>Z24-Y11</f>
        <v>#VALUE!</v>
      </c>
    </row>
    <row r="12" spans="15:31" x14ac:dyDescent="0.2">
      <c r="U12" s="35" t="e">
        <f>_xll.qlCalendarAdvance(Calendar,U11,IndexTenor,"Modified Following",TRUE)</f>
        <v>#NUM!</v>
      </c>
      <c r="V12" s="82" t="e">
        <f>V11/(1+_xll.qlInterpolationInterpolate(FwdInterpolator,U11)*_xll.qlDayCounterYearFraction(DayCounter,U11,U12))</f>
        <v>#VALUE!</v>
      </c>
      <c r="X12" s="24" t="s">
        <v>21</v>
      </c>
      <c r="Y12" s="89">
        <v>3.689682326200356E-2</v>
      </c>
      <c r="Z12" s="282" t="e">
        <f>Z25-Y12</f>
        <v>#VALUE!</v>
      </c>
    </row>
    <row r="13" spans="15:31" x14ac:dyDescent="0.2">
      <c r="U13" s="38" t="e">
        <f>_xll.qlCalendarAdvance(Calendar,U12,IndexTenor,"Modified Following",TRUE)</f>
        <v>#NUM!</v>
      </c>
      <c r="V13" s="83" t="e">
        <f>V12/(1+_xll.qlInterpolationInterpolate(FwdInterpolator,U12)*_xll.qlDayCounterYearFraction(DayCounter,U12,U13))</f>
        <v>#VALUE!</v>
      </c>
      <c r="X13" s="53" t="s">
        <v>24</v>
      </c>
      <c r="Y13" s="75">
        <v>3.6890162940794724E-2</v>
      </c>
      <c r="Z13" s="283" t="e">
        <f>Z26-Y13</f>
        <v>#VALUE!</v>
      </c>
    </row>
    <row r="14" spans="15:31" x14ac:dyDescent="0.2">
      <c r="X14" s="22" t="s">
        <v>25</v>
      </c>
      <c r="Y14" s="288">
        <v>3.6120000000001054E-2</v>
      </c>
      <c r="Z14" s="289" t="e">
        <f>Z27-Y14</f>
        <v>#VALUE!</v>
      </c>
    </row>
    <row r="20" spans="1:69" x14ac:dyDescent="0.2">
      <c r="A20">
        <v>1</v>
      </c>
      <c r="B20" s="46"/>
      <c r="G20" s="46"/>
      <c r="H20" s="21"/>
      <c r="I20" s="21"/>
      <c r="J20" s="46"/>
      <c r="M20" s="25"/>
      <c r="N20" s="46"/>
      <c r="O20" s="96"/>
      <c r="P20" s="172" t="e">
        <f>IF(ISBLANK($O20),AVERAGE(_xll.ohFilter($P23:$P37,$L23:$L37)),$O20)</f>
        <v>#NUM!</v>
      </c>
      <c r="Q20" s="505"/>
      <c r="R20" s="506" t="e">
        <f>IF(ISBLANK($Q20),MIN(AVERAGE(_xll.ohFilter($R23:$R37,$L23:$L37)),1),$Q20)</f>
        <v>#NUM!</v>
      </c>
      <c r="S20" s="191" t="s">
        <v>40</v>
      </c>
      <c r="T20" s="46"/>
      <c r="X20" s="18"/>
    </row>
    <row r="21" spans="1:69" x14ac:dyDescent="0.2">
      <c r="A21" s="458" t="str">
        <f>_xll.qlPeriodEquivalent(A20&amp;"M")</f>
        <v>1M</v>
      </c>
      <c r="B21" s="46"/>
      <c r="D21" s="46"/>
      <c r="E21" s="46"/>
      <c r="G21" s="46"/>
      <c r="H21" s="21"/>
      <c r="I21" s="21"/>
      <c r="J21" s="46"/>
      <c r="L21" s="46"/>
      <c r="M21" s="25"/>
      <c r="N21" s="46"/>
      <c r="O21" s="92"/>
      <c r="P21" s="173" t="e">
        <f>IF(ISBLANK($O21),AVERAGE(_xll.ohFilter($P23:$P37,$M23:$M37)),$O21)</f>
        <v>#NUM!</v>
      </c>
      <c r="Q21" s="507" t="e">
        <f>'3M'!_TOY2</f>
        <v>#NUM!</v>
      </c>
      <c r="R21" s="508" t="e">
        <f>IF(ISBLANK($Q21),MIN(AVERAGE(_xll.ohFilter($R23:$R37,$M23:$M37)),1),$Q21)</f>
        <v>#NUM!</v>
      </c>
      <c r="S21" s="193" t="s">
        <v>46</v>
      </c>
      <c r="T21" s="46"/>
      <c r="U21" s="22" t="e">
        <f>_xll.qlInterpolation(,FwdInterpolationType,_xll.ohFilter($H23:$H49,$K23:$K49),_xll.ohFilter($S23:$S49,$K23:$K49))</f>
        <v>#NUM!</v>
      </c>
      <c r="V21" s="81"/>
      <c r="X21" s="18"/>
      <c r="Y21" s="18"/>
      <c r="Z21" s="18"/>
      <c r="AA21" s="18"/>
      <c r="AB21" s="18"/>
      <c r="AC21" s="18"/>
      <c r="AD21" s="18"/>
      <c r="AE21" s="18"/>
      <c r="AF21" s="18"/>
      <c r="AG21" s="18">
        <v>1</v>
      </c>
      <c r="AH21" s="18"/>
      <c r="AI21" s="18"/>
      <c r="AJ21" s="18"/>
      <c r="AK21" s="18">
        <v>2</v>
      </c>
      <c r="AL21" s="18"/>
      <c r="AM21" s="18"/>
      <c r="AN21" s="18"/>
      <c r="AO21" s="18">
        <v>3</v>
      </c>
      <c r="AS21">
        <v>4</v>
      </c>
      <c r="AW21">
        <v>5</v>
      </c>
      <c r="BA21">
        <v>6</v>
      </c>
      <c r="BE21">
        <v>7</v>
      </c>
      <c r="BI21">
        <v>8</v>
      </c>
      <c r="BM21">
        <v>9</v>
      </c>
      <c r="BQ21">
        <v>10</v>
      </c>
    </row>
    <row r="22" spans="1:69" x14ac:dyDescent="0.2">
      <c r="A22" s="98" t="str">
        <f>Currency&amp;"_YC"&amp;IndexTenor&amp;"RH_"</f>
        <v>USD_YC1MRH_</v>
      </c>
      <c r="B22" s="179">
        <v>3</v>
      </c>
      <c r="C22" s="94" t="s">
        <v>27</v>
      </c>
      <c r="D22" s="54" t="s">
        <v>23</v>
      </c>
      <c r="E22" s="90" t="s">
        <v>22</v>
      </c>
      <c r="F22" s="94" t="s">
        <v>60</v>
      </c>
      <c r="G22" s="166"/>
      <c r="H22" s="90" t="s">
        <v>56</v>
      </c>
      <c r="I22" s="54" t="s">
        <v>64</v>
      </c>
      <c r="J22" s="54" t="s">
        <v>61</v>
      </c>
      <c r="K22" s="55" t="s">
        <v>65</v>
      </c>
      <c r="L22" s="54" t="s">
        <v>59</v>
      </c>
      <c r="M22" s="54" t="s">
        <v>46</v>
      </c>
      <c r="N22" s="55" t="s">
        <v>63</v>
      </c>
      <c r="O22" s="188" t="e">
        <f>_xll.qlInterpolation(,FwdInterpolationType,_xll.ohFilter($H23:$H49,$N23:$N49),_xll.ohFilter($J23:$J49,$N23:$N49))</f>
        <v>#NUM!</v>
      </c>
      <c r="P22" s="189" t="s">
        <v>32</v>
      </c>
      <c r="Q22" s="59" t="s">
        <v>33</v>
      </c>
      <c r="R22" s="189" t="s">
        <v>34</v>
      </c>
      <c r="S22" s="206" t="s">
        <v>67</v>
      </c>
      <c r="T22" s="207" t="s">
        <v>32</v>
      </c>
      <c r="U22" s="278" t="e">
        <f>D23</f>
        <v>#NUM!</v>
      </c>
      <c r="V22" s="279" t="e">
        <f>_xll.qlInterpolationInterpolate(FwdInterpolator,U22,TRUE)</f>
        <v>#VALUE!</v>
      </c>
      <c r="X22" s="56"/>
      <c r="Y22" s="271" t="s">
        <v>84</v>
      </c>
      <c r="Z22" s="271" t="s">
        <v>84</v>
      </c>
      <c r="AA22" s="54" t="s">
        <v>80</v>
      </c>
      <c r="AB22" s="54" t="s">
        <v>35</v>
      </c>
      <c r="AC22" s="207" t="s">
        <v>83</v>
      </c>
      <c r="AD22" s="54" t="s">
        <v>81</v>
      </c>
      <c r="AE22" s="54" t="s">
        <v>79</v>
      </c>
      <c r="AF22" s="54" t="s">
        <v>36</v>
      </c>
      <c r="AG22" s="55" t="s">
        <v>82</v>
      </c>
      <c r="AH22" s="54" t="s">
        <v>81</v>
      </c>
      <c r="AI22" s="54" t="s">
        <v>79</v>
      </c>
      <c r="AJ22" s="54" t="s">
        <v>36</v>
      </c>
      <c r="AK22" s="55" t="s">
        <v>82</v>
      </c>
      <c r="AL22" s="54" t="s">
        <v>81</v>
      </c>
      <c r="AM22" s="54" t="s">
        <v>79</v>
      </c>
      <c r="AN22" s="54" t="s">
        <v>36</v>
      </c>
      <c r="AO22" s="55" t="s">
        <v>82</v>
      </c>
      <c r="AP22" s="54" t="s">
        <v>81</v>
      </c>
      <c r="AQ22" s="54" t="s">
        <v>79</v>
      </c>
      <c r="AR22" s="54" t="s">
        <v>36</v>
      </c>
      <c r="AS22" s="55" t="s">
        <v>82</v>
      </c>
      <c r="AT22" s="54" t="s">
        <v>81</v>
      </c>
      <c r="AU22" s="54" t="s">
        <v>79</v>
      </c>
      <c r="AV22" s="54" t="s">
        <v>36</v>
      </c>
      <c r="AW22" s="55" t="s">
        <v>82</v>
      </c>
      <c r="AX22" s="54" t="s">
        <v>81</v>
      </c>
      <c r="AY22" s="54" t="s">
        <v>79</v>
      </c>
      <c r="AZ22" s="54" t="s">
        <v>36</v>
      </c>
      <c r="BA22" s="55" t="s">
        <v>82</v>
      </c>
      <c r="BB22" s="54" t="s">
        <v>81</v>
      </c>
      <c r="BC22" s="54" t="s">
        <v>79</v>
      </c>
      <c r="BD22" s="54" t="s">
        <v>36</v>
      </c>
      <c r="BE22" s="55" t="s">
        <v>82</v>
      </c>
      <c r="BF22" s="54" t="s">
        <v>81</v>
      </c>
      <c r="BG22" s="54" t="s">
        <v>79</v>
      </c>
      <c r="BH22" s="54" t="s">
        <v>36</v>
      </c>
      <c r="BI22" s="55" t="s">
        <v>82</v>
      </c>
      <c r="BJ22" s="54" t="s">
        <v>81</v>
      </c>
      <c r="BK22" s="54" t="s">
        <v>79</v>
      </c>
      <c r="BL22" s="54" t="s">
        <v>36</v>
      </c>
      <c r="BM22" s="55" t="s">
        <v>82</v>
      </c>
      <c r="BN22" s="54" t="s">
        <v>81</v>
      </c>
      <c r="BO22" s="54" t="s">
        <v>79</v>
      </c>
      <c r="BP22" s="54" t="s">
        <v>36</v>
      </c>
      <c r="BQ22" s="55" t="s">
        <v>82</v>
      </c>
    </row>
    <row r="23" spans="1:69" x14ac:dyDescent="0.2">
      <c r="A23" s="98" t="str">
        <f>Triggers!TriggerTOY1M</f>
        <v>ExternalLinkCleanedUp</v>
      </c>
      <c r="B23" s="246" t="str">
        <f>IndexTenor&amp;"D"</f>
        <v>1MD</v>
      </c>
      <c r="C23" s="33" t="str">
        <f>Currency&amp;"_YCRH_"&amp;B23</f>
        <v>USD_YCRH_1MD</v>
      </c>
      <c r="D23" s="108" t="e">
        <f>_xll.qlRateHelperEarliestDate($C23,EvaluationDate)</f>
        <v>#NUM!</v>
      </c>
      <c r="E23" s="108" t="e">
        <f>_xll.qlRateHelperLatestDate($C23,EvaluationDate)</f>
        <v>#NUM!</v>
      </c>
      <c r="F23" s="109" t="e">
        <f>_xll.qlRateHelperQuoteValue($C23,SheetTrigger)</f>
        <v>#NUM!</v>
      </c>
      <c r="G23" s="249" t="e">
        <f>1/(1+F23*_xll.qlDayCounterYearFraction(DayCounter,SettlementDate,E23))</f>
        <v>#NUM!</v>
      </c>
      <c r="H23" s="108" t="e">
        <f>$D23</f>
        <v>#NUM!</v>
      </c>
      <c r="I23" s="243" t="b">
        <v>0</v>
      </c>
      <c r="J23" s="31" t="e">
        <f>F23</f>
        <v>#NUM!</v>
      </c>
      <c r="K23" s="244" t="b">
        <f t="shared" ref="K23:K37" si="0">AND(ISNUMBER(J23),I23)</f>
        <v>0</v>
      </c>
      <c r="L23" s="40" t="e">
        <f t="shared" ref="L23:L49" si="1">NOT(OR($H23&gt;LastDayInYear,$E23&lt;=LastDayInYear))</f>
        <v>#NUM!</v>
      </c>
      <c r="M23" s="33" t="e">
        <f t="shared" ref="M23:M49" si="2">NOT(OR($H23&gt;LastDayInNextYear,$E23&lt;=LastDayInNextYear))</f>
        <v>#NUM!</v>
      </c>
      <c r="N23" s="248" t="b">
        <v>0</v>
      </c>
      <c r="O23" s="105" t="e">
        <f>_xll.qlInterpolationInterpolate($O$22,$H23)</f>
        <v>#VALUE!</v>
      </c>
      <c r="P23" s="161" t="e">
        <f>$J23-$O23</f>
        <v>#NUM!</v>
      </c>
      <c r="Q23" s="86" t="e">
        <f>_xll.qlDayCounterYearFraction(DayCounter,$H23,$E23)</f>
        <v>#NUM!</v>
      </c>
      <c r="R23" s="180" t="e">
        <f>(1+$O23*$Q23)/(1+$J23*$Q23)</f>
        <v>#VALUE!</v>
      </c>
      <c r="S23" s="97" t="e">
        <f t="shared" ref="S23:S37" si="3">IF($L23,(TOY*(1+$J23*$Q23)-1)/$Q23,IF($M23,(_TOY2*(1+$J23*$Q23)-1)/$Q23,$J23))</f>
        <v>#NUM!</v>
      </c>
      <c r="T23" s="275" t="e">
        <f t="shared" ref="T23:T37" si="4">S23-J23</f>
        <v>#NUM!</v>
      </c>
      <c r="U23" s="35" t="e">
        <f t="array" ref="U23:U49">SelectionSort(_xll.ohFilter(H23:H49,K23:K49))</f>
        <v>#VALUE!</v>
      </c>
      <c r="V23" s="106" t="e">
        <f t="array" ref="V23:V49">_xll.qlInterpolationInterpolate(FwdInterpolator,_xll.ohPack(U23:U49))</f>
        <v>#VALUE!</v>
      </c>
      <c r="X23" s="24" t="s">
        <v>37</v>
      </c>
      <c r="Y23" s="265"/>
      <c r="Z23" s="212" t="e">
        <f>(1/AC23-1)/AB23</f>
        <v>#VALUE!</v>
      </c>
      <c r="AA23" s="34" t="e">
        <f>_xll.qlCalendarAdvance(Calendar,SettlementDate,X23,"Following")</f>
        <v>#NUM!</v>
      </c>
      <c r="AB23" s="57" t="e">
        <f>_xll.qlDayCounterYearFraction(DayCounter,SettlementDate,AA23)</f>
        <v>#NUM!</v>
      </c>
      <c r="AC23" s="270" t="e">
        <f>IF(Optim,1/(1+Y23*AB23),(1+AD23*AF23)*AG23)*IF(AA23&gt;LastDayInYear,TOY,1)*IF(AA23&gt;LastDayInNextYear,_TOY2,1)</f>
        <v>#VALUE!</v>
      </c>
      <c r="AD23" s="202" t="e">
        <f>_xll.qlInterpolationInterpolate(FwdInterpolator,AA23,TRUE)</f>
        <v>#VALUE!</v>
      </c>
      <c r="AE23" s="34" t="e">
        <f>_xll.qlCalendarAdvance(Calendar,AA23,$A$21,"Modified Following",TRUE)</f>
        <v>#NUM!</v>
      </c>
      <c r="AF23" s="57" t="e">
        <f>_xll.qlDayCounterYearFraction(DayCounter,AA23,AE23)</f>
        <v>#NUM!</v>
      </c>
      <c r="AG23" s="270" t="e">
        <f>IF($AE$1=AG$21,_xll.qlInterpolationInterpolate(DiscountCurve,AE23),(1+AH23*AJ23)*AK23)</f>
        <v>#VALUE!</v>
      </c>
      <c r="AH23" s="202" t="e">
        <f>_xll.qlInterpolationInterpolate(FwdInterpolator,AE23,TRUE)</f>
        <v>#VALUE!</v>
      </c>
      <c r="AI23" s="34" t="e">
        <f>_xll.qlCalendarAdvance(Calendar,AE23,$A$21,"Modified Following",TRUE)</f>
        <v>#NUM!</v>
      </c>
      <c r="AJ23" s="57" t="e">
        <f>_xll.qlDayCounterYearFraction(DayCounter,AE23,AI23)</f>
        <v>#NUM!</v>
      </c>
      <c r="AK23" s="270" t="e">
        <f>IF($AE$1=AK$21,_xll.qlInterpolationInterpolate(DiscountCurve,AI23),(1+AL23*AN23)*AO23)</f>
        <v>#VALUE!</v>
      </c>
      <c r="AL23" s="202" t="e">
        <f>_xll.qlInterpolationInterpolate(FwdInterpolator,AI23,TRUE)</f>
        <v>#VALUE!</v>
      </c>
      <c r="AM23" s="34" t="e">
        <f>_xll.qlCalendarAdvance(Calendar,AI23,$A$21,"Modified Following",TRUE)</f>
        <v>#NUM!</v>
      </c>
      <c r="AN23" s="57" t="e">
        <f>_xll.qlDayCounterYearFraction(DayCounter,AI23,AM23)</f>
        <v>#NUM!</v>
      </c>
      <c r="AO23" s="270" t="e">
        <f>IF($AE$1=AO$21,_xll.qlInterpolationInterpolate(DiscountCurve,AM23),(1+AP23*AR23)*AS23)</f>
        <v>#VALUE!</v>
      </c>
      <c r="AP23" s="202" t="e">
        <f>_xll.qlInterpolationInterpolate(FwdInterpolator,AM23,TRUE)</f>
        <v>#VALUE!</v>
      </c>
      <c r="AQ23" s="34" t="e">
        <f>_xll.qlCalendarAdvance(Calendar,AM23,$A$21,"Modified Following",TRUE)</f>
        <v>#NUM!</v>
      </c>
      <c r="AR23" s="57" t="e">
        <f>_xll.qlDayCounterYearFraction(DayCounter,AM23,AQ23)</f>
        <v>#NUM!</v>
      </c>
      <c r="AS23" s="270" t="e">
        <f>IF($AE$1=AS$21,_xll.qlInterpolationInterpolate(DiscountCurve,AQ23),(1+AT23*AV23)*AW23)</f>
        <v>#VALUE!</v>
      </c>
      <c r="AT23" s="202" t="e">
        <f>_xll.qlInterpolationInterpolate(FwdInterpolator,AQ23,TRUE)</f>
        <v>#VALUE!</v>
      </c>
      <c r="AU23" s="34" t="e">
        <f>_xll.qlCalendarAdvance(Calendar,AQ23,$A$21,"Modified Following",TRUE)</f>
        <v>#NUM!</v>
      </c>
      <c r="AV23" s="57" t="e">
        <f>_xll.qlDayCounterYearFraction(DayCounter,AQ23,AU23)</f>
        <v>#NUM!</v>
      </c>
      <c r="AW23" s="270" t="e">
        <f>IF($AE$1=AW$21,_xll.qlInterpolationInterpolate(DiscountCurve,AU23),(1+AX23*AZ23)*BA23)</f>
        <v>#VALUE!</v>
      </c>
      <c r="AX23" s="202" t="e">
        <f>_xll.qlInterpolationInterpolate(FwdInterpolator,AU23,TRUE)</f>
        <v>#VALUE!</v>
      </c>
      <c r="AY23" s="34" t="e">
        <f>_xll.qlCalendarAdvance(Calendar,AU23,$A$21,"Modified Following",TRUE)</f>
        <v>#NUM!</v>
      </c>
      <c r="AZ23" s="57" t="e">
        <f>_xll.qlDayCounterYearFraction(DayCounter,AU23,AY23)</f>
        <v>#NUM!</v>
      </c>
      <c r="BA23" s="270" t="e">
        <f>IF($AE$1=BA$21,_xll.qlInterpolationInterpolate(DiscountCurve,AY23),(1+BB23*BD23)*BE23)</f>
        <v>#VALUE!</v>
      </c>
      <c r="BB23" s="202" t="e">
        <f>_xll.qlInterpolationInterpolate(FwdInterpolator,AY23,TRUE)</f>
        <v>#VALUE!</v>
      </c>
      <c r="BC23" s="34" t="e">
        <f>_xll.qlCalendarAdvance(Calendar,AY23,$A$21,"Modified Following",TRUE)</f>
        <v>#NUM!</v>
      </c>
      <c r="BD23" s="57" t="e">
        <f>_xll.qlDayCounterYearFraction(DayCounter,AY23,BC23)</f>
        <v>#NUM!</v>
      </c>
      <c r="BE23" s="270" t="e">
        <f>IF($AE$1=BE$21,_xll.qlInterpolationInterpolate(DiscountCurve,BC23),(1+BF23*BH23)*BI23)</f>
        <v>#VALUE!</v>
      </c>
      <c r="BF23" s="202" t="e">
        <f>_xll.qlInterpolationInterpolate(FwdInterpolator,BC23,TRUE)</f>
        <v>#VALUE!</v>
      </c>
      <c r="BG23" s="34" t="e">
        <f>_xll.qlCalendarAdvance(Calendar,BC23,$A$21,"Modified Following",TRUE)</f>
        <v>#NUM!</v>
      </c>
      <c r="BH23" s="57" t="e">
        <f>_xll.qlDayCounterYearFraction(DayCounter,BC23,BG23)</f>
        <v>#NUM!</v>
      </c>
      <c r="BI23" s="270" t="e">
        <f>IF($AE$1=BI$21,_xll.qlInterpolationInterpolate(DiscountCurve,BG23),(1+BJ23*BL23)*BM23)</f>
        <v>#VALUE!</v>
      </c>
      <c r="BJ23" s="202" t="e">
        <f>_xll.qlInterpolationInterpolate(FwdInterpolator,BG23,TRUE)</f>
        <v>#VALUE!</v>
      </c>
      <c r="BK23" s="34" t="e">
        <f>_xll.qlCalendarAdvance(Calendar,BG23,$A$21,"Modified Following",TRUE)</f>
        <v>#NUM!</v>
      </c>
      <c r="BL23" s="57" t="e">
        <f>_xll.qlDayCounterYearFraction(DayCounter,BG23,BK23)</f>
        <v>#NUM!</v>
      </c>
      <c r="BM23" s="270" t="e">
        <f>IF($AE$1=BM$21,_xll.qlInterpolationInterpolate(DiscountCurve,BK23),(1+BN23*BP23)*BQ23)</f>
        <v>#VALUE!</v>
      </c>
      <c r="BN23" s="202" t="e">
        <f>_xll.qlInterpolationInterpolate(FwdInterpolator,BK23,TRUE)</f>
        <v>#VALUE!</v>
      </c>
      <c r="BO23" s="34" t="e">
        <f>_xll.qlCalendarAdvance(Calendar,BK23,$A$21,"Modified Following",TRUE)</f>
        <v>#NUM!</v>
      </c>
      <c r="BP23" s="57" t="e">
        <f>_xll.qlDayCounterYearFraction(DayCounter,BK23,BO23)</f>
        <v>#NUM!</v>
      </c>
      <c r="BQ23" s="270" t="e">
        <f>IF($AE$1=BQ$21,_xll.qlInterpolationInterpolate(DiscountCurve,BO23),(1+#REF!*#REF!)*#REF!)</f>
        <v>#REF!</v>
      </c>
    </row>
    <row r="24" spans="1:69" x14ac:dyDescent="0.2">
      <c r="A24" s="98" t="str">
        <f>PROPER(Currency)&amp;IF(UPPER(Currency)&lt;&gt;"EUR","L","")&amp;"ibor"&amp;IndexTenor</f>
        <v>UsdLibor1M</v>
      </c>
      <c r="B24" s="247" t="s">
        <v>68</v>
      </c>
      <c r="C24" s="39" t="str">
        <f>A24&amp;B24&amp;"_Quote"</f>
        <v>UsdLibor1MLastFixing_Quote</v>
      </c>
      <c r="D24" s="251">
        <f>_xll.qlCalendarAdvance(Calendar,_xll.qlLastFixingQuoteReferenceDate(C24),"2D","f",,SheetTrigger)</f>
        <v>41572</v>
      </c>
      <c r="E24" s="251">
        <f>_xll.qlCalendarAdvance(Calendar,D24,IndexTenor,"Modified Following",TRUE,SheetTrigger)</f>
        <v>41603</v>
      </c>
      <c r="F24" s="104">
        <f>_xll.qlQuoteValue(C24,SheetTrigger)</f>
        <v>1.702E-3</v>
      </c>
      <c r="G24" s="250" t="e">
        <f>1/(1+F24*_xll.qlDayCounterYearFraction(DayCounter,SettlementDate,E24))</f>
        <v>#NUM!</v>
      </c>
      <c r="H24" s="93" t="e">
        <f>H23</f>
        <v>#NUM!</v>
      </c>
      <c r="I24" s="240" t="b">
        <v>0</v>
      </c>
      <c r="J24" s="37">
        <f>F24</f>
        <v>1.702E-3</v>
      </c>
      <c r="K24" s="241" t="b">
        <f t="shared" si="0"/>
        <v>0</v>
      </c>
      <c r="L24" s="53" t="e">
        <f t="shared" si="1"/>
        <v>#NUM!</v>
      </c>
      <c r="M24" s="39" t="e">
        <f t="shared" si="2"/>
        <v>#NUM!</v>
      </c>
      <c r="N24" s="242" t="b">
        <v>1</v>
      </c>
      <c r="O24" s="101" t="e">
        <f>_xll.qlInterpolationInterpolate($O$22,$H24)</f>
        <v>#VALUE!</v>
      </c>
      <c r="P24" s="163" t="e">
        <f>$J24-$O24</f>
        <v>#VALUE!</v>
      </c>
      <c r="Q24" s="88" t="e">
        <f>_xll.qlDayCounterYearFraction(DayCounter,$H24,$E24)</f>
        <v>#NUM!</v>
      </c>
      <c r="R24" s="182" t="e">
        <f>(1+$O24*$Q24)/(1+$J24*$Q24)</f>
        <v>#VALUE!</v>
      </c>
      <c r="S24" s="75" t="e">
        <f>IF($L24,(TOY*(1+$J24*$Q24)-1)/$Q24,IF($M24,(_TOY2*(1+$J24*$Q24)-1)/$Q24,$J24))</f>
        <v>#NUM!</v>
      </c>
      <c r="T24" s="276" t="e">
        <f>S24-J24</f>
        <v>#NUM!</v>
      </c>
      <c r="U24" s="35" t="e">
        <v>#VALUE!</v>
      </c>
      <c r="V24" s="106" t="e">
        <v>#VALUE!</v>
      </c>
      <c r="X24" s="24" t="s">
        <v>20</v>
      </c>
      <c r="Y24" s="265"/>
      <c r="Z24" s="212" t="e">
        <f>(1/AC24-1)/AB24</f>
        <v>#VALUE!</v>
      </c>
      <c r="AA24" s="34" t="e">
        <f>_xll.qlCalendarAdvance(Calendar,SettlementDate,X24,"Following")</f>
        <v>#NUM!</v>
      </c>
      <c r="AB24" s="57" t="e">
        <f>_xll.qlDayCounterYearFraction(DayCounter,SettlementDate,AA24)</f>
        <v>#NUM!</v>
      </c>
      <c r="AC24" s="82" t="e">
        <f>IF(Optim,1/(1+Y24*AB24),(1+AD24*AF24)*AG24)*IF(AA24&gt;LastDayInYear,TOY,1)*IF(AA24&gt;LastDayInNextYear,_TOY2,1)</f>
        <v>#VALUE!</v>
      </c>
      <c r="AD24" s="202" t="e">
        <f>_xll.qlInterpolationInterpolate(FwdInterpolator,AA24,TRUE)</f>
        <v>#VALUE!</v>
      </c>
      <c r="AE24" s="34" t="e">
        <f>_xll.qlCalendarAdvance(Calendar,AA24,$A$21,"Modified Following",TRUE)</f>
        <v>#NUM!</v>
      </c>
      <c r="AF24" s="57" t="e">
        <f>_xll.qlDayCounterYearFraction(DayCounter,AA24,AE24)</f>
        <v>#NUM!</v>
      </c>
      <c r="AG24" s="84" t="e">
        <f>IF($AE$1=AG$21,_xll.qlInterpolationInterpolate(DiscountCurve,AE24),(1+AH24*AJ24)*AK24)</f>
        <v>#VALUE!</v>
      </c>
      <c r="AH24" s="202" t="e">
        <f>_xll.qlInterpolationInterpolate(FwdInterpolator,AE24,TRUE)</f>
        <v>#VALUE!</v>
      </c>
      <c r="AI24" s="34" t="e">
        <f>_xll.qlCalendarAdvance(Calendar,AE24,$A$21,"Modified Following",TRUE)</f>
        <v>#NUM!</v>
      </c>
      <c r="AJ24" s="57" t="e">
        <f>_xll.qlDayCounterYearFraction(DayCounter,AE24,AI24)</f>
        <v>#NUM!</v>
      </c>
      <c r="AK24" s="84" t="e">
        <f>IF($AE$1=AK$21,_xll.qlInterpolationInterpolate(DiscountCurve,AI24),(1+AL24*AN24)*AO24)</f>
        <v>#VALUE!</v>
      </c>
      <c r="AL24" s="202" t="e">
        <f>_xll.qlInterpolationInterpolate(FwdInterpolator,AI24,TRUE)</f>
        <v>#VALUE!</v>
      </c>
      <c r="AM24" s="34" t="e">
        <f>_xll.qlCalendarAdvance(Calendar,AI24,$A$21,"Modified Following",TRUE)</f>
        <v>#NUM!</v>
      </c>
      <c r="AN24" s="57" t="e">
        <f>_xll.qlDayCounterYearFraction(DayCounter,AI24,AM24)</f>
        <v>#NUM!</v>
      </c>
      <c r="AO24" s="84" t="e">
        <f>IF($AE$1=AO$21,_xll.qlInterpolationInterpolate(DiscountCurve,AM24),(1+AP24*AR24)*AS24)</f>
        <v>#VALUE!</v>
      </c>
      <c r="AP24" s="202" t="e">
        <f>_xll.qlInterpolationInterpolate(FwdInterpolator,AM24,TRUE)</f>
        <v>#VALUE!</v>
      </c>
      <c r="AQ24" s="34" t="e">
        <f>_xll.qlCalendarAdvance(Calendar,AM24,$A$21,"Modified Following",TRUE)</f>
        <v>#NUM!</v>
      </c>
      <c r="AR24" s="57" t="e">
        <f>_xll.qlDayCounterYearFraction(DayCounter,AM24,AQ24)</f>
        <v>#NUM!</v>
      </c>
      <c r="AS24" s="84" t="e">
        <f>IF($AE$1=AS$21,_xll.qlInterpolationInterpolate(DiscountCurve,AQ24),(1+AT24*AV24)*AW24)</f>
        <v>#VALUE!</v>
      </c>
      <c r="AT24" s="202" t="e">
        <f>_xll.qlInterpolationInterpolate(FwdInterpolator,AQ24,TRUE)</f>
        <v>#VALUE!</v>
      </c>
      <c r="AU24" s="34" t="e">
        <f>_xll.qlCalendarAdvance(Calendar,AQ24,$A$21,"Modified Following",TRUE)</f>
        <v>#NUM!</v>
      </c>
      <c r="AV24" s="57" t="e">
        <f>_xll.qlDayCounterYearFraction(DayCounter,AQ24,AU24)</f>
        <v>#NUM!</v>
      </c>
      <c r="AW24" s="84" t="e">
        <f>IF($AE$1=AW$21,_xll.qlInterpolationInterpolate(DiscountCurve,AU24),(1+AX24*AZ24)*BA24)</f>
        <v>#VALUE!</v>
      </c>
      <c r="AX24" s="202" t="e">
        <f>_xll.qlInterpolationInterpolate(FwdInterpolator,AU24,TRUE)</f>
        <v>#VALUE!</v>
      </c>
      <c r="AY24" s="34" t="e">
        <f>_xll.qlCalendarAdvance(Calendar,AU24,$A$21,"Modified Following",TRUE)</f>
        <v>#NUM!</v>
      </c>
      <c r="AZ24" s="57" t="e">
        <f>_xll.qlDayCounterYearFraction(DayCounter,AU24,AY24)</f>
        <v>#NUM!</v>
      </c>
      <c r="BA24" s="84" t="e">
        <f>IF($AE$1=BA$21,_xll.qlInterpolationInterpolate(DiscountCurve,AY24),(1+BB24*BD24)*BE24)</f>
        <v>#VALUE!</v>
      </c>
      <c r="BB24" s="202" t="e">
        <f>_xll.qlInterpolationInterpolate(FwdInterpolator,AY24,TRUE)</f>
        <v>#VALUE!</v>
      </c>
      <c r="BC24" s="34" t="e">
        <f>_xll.qlCalendarAdvance(Calendar,AY24,$A$21,"Modified Following",TRUE)</f>
        <v>#NUM!</v>
      </c>
      <c r="BD24" s="57" t="e">
        <f>_xll.qlDayCounterYearFraction(DayCounter,AY24,BC24)</f>
        <v>#NUM!</v>
      </c>
      <c r="BE24" s="84" t="e">
        <f>IF($AE$1=BE$21,_xll.qlInterpolationInterpolate(DiscountCurve,BC24),(1+BF24*BH24)*BI24)</f>
        <v>#VALUE!</v>
      </c>
      <c r="BF24" s="202" t="e">
        <f>_xll.qlInterpolationInterpolate(FwdInterpolator,BC24,TRUE)</f>
        <v>#VALUE!</v>
      </c>
      <c r="BG24" s="34" t="e">
        <f>_xll.qlCalendarAdvance(Calendar,BC24,$A$21,"Modified Following",TRUE)</f>
        <v>#NUM!</v>
      </c>
      <c r="BH24" s="57" t="e">
        <f>_xll.qlDayCounterYearFraction(DayCounter,BC24,BG24)</f>
        <v>#NUM!</v>
      </c>
      <c r="BI24" s="84" t="e">
        <f>IF($AE$1=BI$21,_xll.qlInterpolationInterpolate(DiscountCurve,BG24),(1+BJ24*BL24)*BM24)</f>
        <v>#VALUE!</v>
      </c>
      <c r="BJ24" s="202" t="e">
        <f>_xll.qlInterpolationInterpolate(FwdInterpolator,BG24,TRUE)</f>
        <v>#VALUE!</v>
      </c>
      <c r="BK24" s="34" t="e">
        <f>_xll.qlCalendarAdvance(Calendar,BG24,$A$21,"Modified Following",TRUE)</f>
        <v>#NUM!</v>
      </c>
      <c r="BL24" s="57" t="e">
        <f>_xll.qlDayCounterYearFraction(DayCounter,BG24,BK24)</f>
        <v>#NUM!</v>
      </c>
      <c r="BM24" s="84" t="e">
        <f>IF($AE$1=BM$21,_xll.qlInterpolationInterpolate(DiscountCurve,BK24),(1+BN24*BP24)*BQ24)</f>
        <v>#VALUE!</v>
      </c>
      <c r="BN24" s="202" t="e">
        <f>_xll.qlInterpolationInterpolate(FwdInterpolator,BK24,TRUE)</f>
        <v>#VALUE!</v>
      </c>
      <c r="BO24" s="34" t="e">
        <f>_xll.qlCalendarAdvance(Calendar,BK24,$A$21,"Modified Following",TRUE)</f>
        <v>#NUM!</v>
      </c>
      <c r="BP24" s="57" t="e">
        <f>_xll.qlDayCounterYearFraction(DayCounter,BK24,BO24)</f>
        <v>#NUM!</v>
      </c>
      <c r="BQ24" s="84" t="e">
        <f>IF($AE$1=BQ$21,_xll.qlInterpolationInterpolate(DiscountCurve,BO24),(1+#REF!*#REF!)*#REF!)</f>
        <v>#REF!</v>
      </c>
    </row>
    <row r="25" spans="1:69" x14ac:dyDescent="0.2">
      <c r="A25" s="98"/>
      <c r="B25" s="40" t="str">
        <f>"T"&amp;$A$20&amp;"F1"</f>
        <v>T1F1</v>
      </c>
      <c r="C25" s="40" t="str">
        <f>RateHelperPrefix&amp;$B25</f>
        <v>USD_YC1MRH_T1F1</v>
      </c>
      <c r="D25" s="30">
        <f>_xll.qlRateHelperEarliestDate($C25,EvaluationDate)</f>
        <v>41572</v>
      </c>
      <c r="E25" s="30">
        <f>_xll.qlRateHelperLatestDate($C25,EvaluationDate)</f>
        <v>41603</v>
      </c>
      <c r="F25" s="514">
        <f>F24</f>
        <v>1.702E-3</v>
      </c>
      <c r="G25" s="249" t="e">
        <f>1/(1+F25*_xll.qlDayCounterYearFraction(DayCounter,SettlementDate,E25))</f>
        <v>#NUM!</v>
      </c>
      <c r="H25" s="108">
        <f>$D25</f>
        <v>41572</v>
      </c>
      <c r="I25" s="243" t="b">
        <v>1</v>
      </c>
      <c r="J25" s="31">
        <f>F25</f>
        <v>1.702E-3</v>
      </c>
      <c r="K25" s="244" t="b">
        <f>AND(ISNUMBER(J25),I25)</f>
        <v>1</v>
      </c>
      <c r="L25" s="40" t="e">
        <f t="shared" si="1"/>
        <v>#NUM!</v>
      </c>
      <c r="M25" s="33" t="e">
        <f t="shared" si="2"/>
        <v>#NUM!</v>
      </c>
      <c r="N25" s="248" t="b">
        <v>0</v>
      </c>
      <c r="O25" s="31" t="e">
        <f>_xll.qlInterpolationInterpolate($O$22,$H25)</f>
        <v>#VALUE!</v>
      </c>
      <c r="P25" s="172" t="e">
        <f>J25-O25</f>
        <v>#VALUE!</v>
      </c>
      <c r="Q25" s="86">
        <f>_xll.qlDayCounterYearFraction(DayCounter,$H25,$E25)</f>
        <v>8.611111111111111E-2</v>
      </c>
      <c r="R25" s="180" t="e">
        <f>(1+$O25*$Q25)/(1+$J25*$Q25)</f>
        <v>#VALUE!</v>
      </c>
      <c r="S25" s="97" t="e">
        <f>IF($L25,(TOY*(1+$J25*$Q25)-1)/$Q25,IF($M25,(_TOY2*(1+$J25*$Q25)-1)/$Q25,$J25))</f>
        <v>#NUM!</v>
      </c>
      <c r="T25" s="491" t="e">
        <f>S25-J25</f>
        <v>#NUM!</v>
      </c>
      <c r="U25" s="35" t="e">
        <v>#VALUE!</v>
      </c>
      <c r="V25" s="106" t="e">
        <v>#VALUE!</v>
      </c>
      <c r="X25" s="24" t="s">
        <v>21</v>
      </c>
      <c r="Y25" s="265"/>
      <c r="Z25" s="212" t="e">
        <f>(1/AC25-1)/AB25</f>
        <v>#VALUE!</v>
      </c>
      <c r="AA25" s="34" t="e">
        <f>_xll.qlCalendarAdvance(Calendar,SettlementDate,X25,"Following")</f>
        <v>#NUM!</v>
      </c>
      <c r="AB25" s="57" t="e">
        <f>_xll.qlDayCounterYearFraction(DayCounter,SettlementDate,AA25)</f>
        <v>#NUM!</v>
      </c>
      <c r="AC25" s="82" t="e">
        <f>IF(Optim,1/(1+Y25*AB25),(1+AD25*AF25)*AG25)*IF(AA25&gt;LastDayInYear,TOY,1)*IF(AA25&gt;LastDayInNextYear,_TOY2,1)</f>
        <v>#VALUE!</v>
      </c>
      <c r="AD25" s="202" t="e">
        <f>_xll.qlInterpolationInterpolate(FwdInterpolator,AA25,TRUE)</f>
        <v>#VALUE!</v>
      </c>
      <c r="AE25" s="34" t="e">
        <f>_xll.qlCalendarAdvance(Calendar,AA25,$A$21,"Modified Following",TRUE)</f>
        <v>#NUM!</v>
      </c>
      <c r="AF25" s="57" t="e">
        <f>_xll.qlDayCounterYearFraction(DayCounter,AA25,AE25)</f>
        <v>#NUM!</v>
      </c>
      <c r="AG25" s="84" t="e">
        <f>IF($AE$1=AG$21,_xll.qlInterpolationInterpolate(DiscountCurve,AE25),(1+AH25*AJ25)*AK25)</f>
        <v>#VALUE!</v>
      </c>
      <c r="AH25" s="202" t="e">
        <f>_xll.qlInterpolationInterpolate(FwdInterpolator,AE25,TRUE)</f>
        <v>#VALUE!</v>
      </c>
      <c r="AI25" s="34" t="e">
        <f>_xll.qlCalendarAdvance(Calendar,AE25,$A$21,"Modified Following",TRUE)</f>
        <v>#NUM!</v>
      </c>
      <c r="AJ25" s="57" t="e">
        <f>_xll.qlDayCounterYearFraction(DayCounter,AE25,AI25)</f>
        <v>#NUM!</v>
      </c>
      <c r="AK25" s="84" t="e">
        <f>IF($AE$1=AK$21,_xll.qlInterpolationInterpolate(DiscountCurve,AI25),(1+AL25*AN25)*AO25)</f>
        <v>#VALUE!</v>
      </c>
      <c r="AL25" s="202" t="e">
        <f>_xll.qlInterpolationInterpolate(FwdInterpolator,AI25,TRUE)</f>
        <v>#VALUE!</v>
      </c>
      <c r="AM25" s="34" t="e">
        <f>_xll.qlCalendarAdvance(Calendar,AI25,$A$21,"Modified Following",TRUE)</f>
        <v>#NUM!</v>
      </c>
      <c r="AN25" s="57" t="e">
        <f>_xll.qlDayCounterYearFraction(DayCounter,AI25,AM25)</f>
        <v>#NUM!</v>
      </c>
      <c r="AO25" s="84" t="e">
        <f>IF($AE$1=AO$21,_xll.qlInterpolationInterpolate(DiscountCurve,AM25),(1+AP25*AR25)*AS25)</f>
        <v>#VALUE!</v>
      </c>
      <c r="AP25" s="202" t="e">
        <f>_xll.qlInterpolationInterpolate(FwdInterpolator,AM25,TRUE)</f>
        <v>#VALUE!</v>
      </c>
      <c r="AQ25" s="34" t="e">
        <f>_xll.qlCalendarAdvance(Calendar,AM25,$A$21,"Modified Following",TRUE)</f>
        <v>#NUM!</v>
      </c>
      <c r="AR25" s="57" t="e">
        <f>_xll.qlDayCounterYearFraction(DayCounter,AM25,AQ25)</f>
        <v>#NUM!</v>
      </c>
      <c r="AS25" s="84" t="e">
        <f>IF($AE$1=AS$21,_xll.qlInterpolationInterpolate(DiscountCurve,AQ25),(1+AT25*AV25)*AW25)</f>
        <v>#VALUE!</v>
      </c>
      <c r="AT25" s="202" t="e">
        <f>_xll.qlInterpolationInterpolate(FwdInterpolator,AQ25,TRUE)</f>
        <v>#VALUE!</v>
      </c>
      <c r="AU25" s="34" t="e">
        <f>_xll.qlCalendarAdvance(Calendar,AQ25,$A$21,"Modified Following",TRUE)</f>
        <v>#NUM!</v>
      </c>
      <c r="AV25" s="57" t="e">
        <f>_xll.qlDayCounterYearFraction(DayCounter,AQ25,AU25)</f>
        <v>#NUM!</v>
      </c>
      <c r="AW25" s="84" t="e">
        <f>IF($AE$1=AW$21,_xll.qlInterpolationInterpolate(DiscountCurve,AU25),(1+AX25*AZ25)*BA25)</f>
        <v>#VALUE!</v>
      </c>
      <c r="AX25" s="202" t="e">
        <f>_xll.qlInterpolationInterpolate(FwdInterpolator,AU25,TRUE)</f>
        <v>#VALUE!</v>
      </c>
      <c r="AY25" s="34" t="e">
        <f>_xll.qlCalendarAdvance(Calendar,AU25,$A$21,"Modified Following",TRUE)</f>
        <v>#NUM!</v>
      </c>
      <c r="AZ25" s="57" t="e">
        <f>_xll.qlDayCounterYearFraction(DayCounter,AU25,AY25)</f>
        <v>#NUM!</v>
      </c>
      <c r="BA25" s="84" t="e">
        <f>IF($AE$1=BA$21,_xll.qlInterpolationInterpolate(DiscountCurve,AY25),(1+BB25*BD25)*BE25)</f>
        <v>#VALUE!</v>
      </c>
      <c r="BB25" s="202" t="e">
        <f>_xll.qlInterpolationInterpolate(FwdInterpolator,AY25,TRUE)</f>
        <v>#VALUE!</v>
      </c>
      <c r="BC25" s="34" t="e">
        <f>_xll.qlCalendarAdvance(Calendar,AY25,$A$21,"Modified Following",TRUE)</f>
        <v>#NUM!</v>
      </c>
      <c r="BD25" s="57" t="e">
        <f>_xll.qlDayCounterYearFraction(DayCounter,AY25,BC25)</f>
        <v>#NUM!</v>
      </c>
      <c r="BE25" s="84" t="e">
        <f>IF($AE$1=BE$21,_xll.qlInterpolationInterpolate(DiscountCurve,BC25),(1+BF25*BH25)*BI25)</f>
        <v>#VALUE!</v>
      </c>
      <c r="BF25" s="202" t="e">
        <f>_xll.qlInterpolationInterpolate(FwdInterpolator,BC25,TRUE)</f>
        <v>#VALUE!</v>
      </c>
      <c r="BG25" s="34" t="e">
        <f>_xll.qlCalendarAdvance(Calendar,BC25,$A$21,"Modified Following",TRUE)</f>
        <v>#NUM!</v>
      </c>
      <c r="BH25" s="57" t="e">
        <f>_xll.qlDayCounterYearFraction(DayCounter,BC25,BG25)</f>
        <v>#NUM!</v>
      </c>
      <c r="BI25" s="84" t="e">
        <f>IF($AE$1=BI$21,_xll.qlInterpolationInterpolate(DiscountCurve,BG25),(1+BJ25*BL25)*BM25)</f>
        <v>#VALUE!</v>
      </c>
      <c r="BJ25" s="202" t="e">
        <f>_xll.qlInterpolationInterpolate(FwdInterpolator,BG25,TRUE)</f>
        <v>#VALUE!</v>
      </c>
      <c r="BK25" s="34" t="e">
        <f>_xll.qlCalendarAdvance(Calendar,BG25,$A$21,"Modified Following",TRUE)</f>
        <v>#NUM!</v>
      </c>
      <c r="BL25" s="57" t="e">
        <f>_xll.qlDayCounterYearFraction(DayCounter,BG25,BK25)</f>
        <v>#NUM!</v>
      </c>
      <c r="BM25" s="84" t="e">
        <f>IF($AE$1=BM$21,_xll.qlInterpolationInterpolate(DiscountCurve,BK25),(1+BN25*BP25)*BQ25)</f>
        <v>#VALUE!</v>
      </c>
      <c r="BN25" s="202" t="e">
        <f>_xll.qlInterpolationInterpolate(FwdInterpolator,BK25,TRUE)</f>
        <v>#VALUE!</v>
      </c>
      <c r="BO25" s="34" t="e">
        <f>_xll.qlCalendarAdvance(Calendar,BK25,$A$21,"Modified Following",TRUE)</f>
        <v>#NUM!</v>
      </c>
      <c r="BP25" s="57" t="e">
        <f>_xll.qlDayCounterYearFraction(DayCounter,BK25,BO25)</f>
        <v>#NUM!</v>
      </c>
      <c r="BQ25" s="84" t="e">
        <f>IF($AE$1=BQ$21,_xll.qlInterpolationInterpolate(DiscountCurve,BO25),(1+#REF!*#REF!)*#REF!)</f>
        <v>#REF!</v>
      </c>
    </row>
    <row r="26" spans="1:69" x14ac:dyDescent="0.2">
      <c r="A26" s="98"/>
      <c r="B26" s="53" t="str">
        <f>"TOM"&amp;$A$20&amp;"F1"</f>
        <v>TOM1F1</v>
      </c>
      <c r="C26" s="53" t="str">
        <f>RateHelperPrefix&amp;$B26</f>
        <v>USD_YC1MRH_TOM1F1</v>
      </c>
      <c r="D26" s="36">
        <f>_xll.qlRateHelperEarliestDate($C26,EvaluationDate)</f>
        <v>41575</v>
      </c>
      <c r="E26" s="36">
        <f>_xll.qlRateHelperLatestDate($C26,EvaluationDate)</f>
        <v>41607</v>
      </c>
      <c r="F26" s="104" t="e">
        <f>_xll.qlQuoteValue(C26,SheetTrigger)</f>
        <v>#NUM!</v>
      </c>
      <c r="G26" s="250" t="e">
        <f>1/(1+F26*_xll.qlDayCounterYearFraction(DayCounter,SettlementDate,E26))</f>
        <v>#NUM!</v>
      </c>
      <c r="H26" s="93">
        <f>H25</f>
        <v>41572</v>
      </c>
      <c r="I26" s="240" t="b">
        <v>0</v>
      </c>
      <c r="J26" s="37" t="e">
        <f>F26</f>
        <v>#NUM!</v>
      </c>
      <c r="K26" s="241" t="b">
        <f>AND(ISNUMBER(J26),I26)</f>
        <v>0</v>
      </c>
      <c r="L26" s="53" t="e">
        <f t="shared" si="1"/>
        <v>#NUM!</v>
      </c>
      <c r="M26" s="39" t="e">
        <f t="shared" si="2"/>
        <v>#NUM!</v>
      </c>
      <c r="N26" s="242" t="b">
        <v>0</v>
      </c>
      <c r="O26" s="37" t="e">
        <f>_xll.qlInterpolationInterpolate($O$22,$H26)</f>
        <v>#VALUE!</v>
      </c>
      <c r="P26" s="173" t="e">
        <f>J26-O26</f>
        <v>#NUM!</v>
      </c>
      <c r="Q26" s="88">
        <f>_xll.qlDayCounterYearFraction(DayCounter,$H26,$E26)</f>
        <v>9.7222222222222224E-2</v>
      </c>
      <c r="R26" s="182" t="e">
        <f>(1+$O26*$Q26)/(1+$J26*$Q26)</f>
        <v>#VALUE!</v>
      </c>
      <c r="S26" s="75" t="e">
        <f>IF($L26,(TOY*(1+$J26*$Q26)-1)/$Q26,IF($M26,(_TOY2*(1+$J26*$Q26)-1)/$Q26,$J26))</f>
        <v>#NUM!</v>
      </c>
      <c r="T26" s="492" t="e">
        <f>S26-J26</f>
        <v>#NUM!</v>
      </c>
      <c r="U26" s="35" t="e">
        <v>#VALUE!</v>
      </c>
      <c r="V26" s="106" t="e">
        <v>#VALUE!</v>
      </c>
      <c r="X26" s="24" t="s">
        <v>24</v>
      </c>
      <c r="Y26" s="265"/>
      <c r="Z26" s="212" t="e">
        <f>(1/AC26-1)/AB26</f>
        <v>#VALUE!</v>
      </c>
      <c r="AA26" s="34" t="e">
        <f>_xll.qlCalendarAdvance(Calendar,SettlementDate,X26,"Following")</f>
        <v>#NUM!</v>
      </c>
      <c r="AB26" s="57" t="e">
        <f>_xll.qlDayCounterYearFraction(DayCounter,SettlementDate,AA26)</f>
        <v>#NUM!</v>
      </c>
      <c r="AC26" s="82" t="e">
        <f>IF(Optim,1/(1+Y26*AB26),(1+AD26*AF26)*AG26)*IF(AA26&gt;LastDayInYear,TOY,1)*IF(AA26&gt;LastDayInNextYear,_TOY2,1)</f>
        <v>#VALUE!</v>
      </c>
      <c r="AD26" s="202" t="e">
        <f>_xll.qlInterpolationInterpolate(FwdInterpolator,AA26,TRUE)</f>
        <v>#VALUE!</v>
      </c>
      <c r="AE26" s="34" t="e">
        <f>_xll.qlCalendarAdvance(Calendar,AA26,$A$21,"Modified Following",TRUE)</f>
        <v>#NUM!</v>
      </c>
      <c r="AF26" s="57" t="e">
        <f>_xll.qlDayCounterYearFraction(DayCounter,AA26,AE26)</f>
        <v>#NUM!</v>
      </c>
      <c r="AG26" s="84" t="e">
        <f>IF($AE$1=AG$21,_xll.qlInterpolationInterpolate(DiscountCurve,AE26),(1+AH26*AJ26)*AK26)</f>
        <v>#VALUE!</v>
      </c>
      <c r="AH26" s="202" t="e">
        <f>_xll.qlInterpolationInterpolate(FwdInterpolator,AE26,TRUE)</f>
        <v>#VALUE!</v>
      </c>
      <c r="AI26" s="34" t="e">
        <f>_xll.qlCalendarAdvance(Calendar,AE26,$A$21,"Modified Following",TRUE)</f>
        <v>#NUM!</v>
      </c>
      <c r="AJ26" s="57" t="e">
        <f>_xll.qlDayCounterYearFraction(DayCounter,AE26,AI26)</f>
        <v>#NUM!</v>
      </c>
      <c r="AK26" s="84" t="e">
        <f>IF($AE$1=AK$21,_xll.qlInterpolationInterpolate(DiscountCurve,AI26),(1+AL26*AN26)*AO26)</f>
        <v>#VALUE!</v>
      </c>
      <c r="AL26" s="202" t="e">
        <f>_xll.qlInterpolationInterpolate(FwdInterpolator,AI26,TRUE)</f>
        <v>#VALUE!</v>
      </c>
      <c r="AM26" s="34" t="e">
        <f>_xll.qlCalendarAdvance(Calendar,AI26,$A$21,"Modified Following",TRUE)</f>
        <v>#NUM!</v>
      </c>
      <c r="AN26" s="57" t="e">
        <f>_xll.qlDayCounterYearFraction(DayCounter,AI26,AM26)</f>
        <v>#NUM!</v>
      </c>
      <c r="AO26" s="84" t="e">
        <f>IF($AE$1=AO$21,_xll.qlInterpolationInterpolate(DiscountCurve,AM26),(1+AP26*AR26)*AS26)</f>
        <v>#VALUE!</v>
      </c>
      <c r="AP26" s="202" t="e">
        <f>_xll.qlInterpolationInterpolate(FwdInterpolator,AM26,TRUE)</f>
        <v>#VALUE!</v>
      </c>
      <c r="AQ26" s="34" t="e">
        <f>_xll.qlCalendarAdvance(Calendar,AM26,$A$21,"Modified Following",TRUE)</f>
        <v>#NUM!</v>
      </c>
      <c r="AR26" s="57" t="e">
        <f>_xll.qlDayCounterYearFraction(DayCounter,AM26,AQ26)</f>
        <v>#NUM!</v>
      </c>
      <c r="AS26" s="84" t="e">
        <f>IF($AE$1=AS$21,_xll.qlInterpolationInterpolate(DiscountCurve,AQ26),(1+AT26*AV26)*AW26)</f>
        <v>#VALUE!</v>
      </c>
      <c r="AT26" s="202" t="e">
        <f>_xll.qlInterpolationInterpolate(FwdInterpolator,AQ26,TRUE)</f>
        <v>#VALUE!</v>
      </c>
      <c r="AU26" s="34" t="e">
        <f>_xll.qlCalendarAdvance(Calendar,AQ26,$A$21,"Modified Following",TRUE)</f>
        <v>#NUM!</v>
      </c>
      <c r="AV26" s="57" t="e">
        <f>_xll.qlDayCounterYearFraction(DayCounter,AQ26,AU26)</f>
        <v>#NUM!</v>
      </c>
      <c r="AW26" s="84" t="e">
        <f>IF($AE$1=AW$21,_xll.qlInterpolationInterpolate(DiscountCurve,AU26),(1+AX26*AZ26)*BA26)</f>
        <v>#VALUE!</v>
      </c>
      <c r="AX26" s="202" t="e">
        <f>_xll.qlInterpolationInterpolate(FwdInterpolator,AU26,TRUE)</f>
        <v>#VALUE!</v>
      </c>
      <c r="AY26" s="34" t="e">
        <f>_xll.qlCalendarAdvance(Calendar,AU26,$A$21,"Modified Following",TRUE)</f>
        <v>#NUM!</v>
      </c>
      <c r="AZ26" s="57" t="e">
        <f>_xll.qlDayCounterYearFraction(DayCounter,AU26,AY26)</f>
        <v>#NUM!</v>
      </c>
      <c r="BA26" s="84" t="e">
        <f>IF($AE$1=BA$21,_xll.qlInterpolationInterpolate(DiscountCurve,AY26),(1+BB26*BD26)*BE26)</f>
        <v>#VALUE!</v>
      </c>
      <c r="BB26" s="202" t="e">
        <f>_xll.qlInterpolationInterpolate(FwdInterpolator,AY26,TRUE)</f>
        <v>#VALUE!</v>
      </c>
      <c r="BC26" s="34" t="e">
        <f>_xll.qlCalendarAdvance(Calendar,AY26,$A$21,"Modified Following",TRUE)</f>
        <v>#NUM!</v>
      </c>
      <c r="BD26" s="57" t="e">
        <f>_xll.qlDayCounterYearFraction(DayCounter,AY26,BC26)</f>
        <v>#NUM!</v>
      </c>
      <c r="BE26" s="84" t="e">
        <f>IF($AE$1=BE$21,_xll.qlInterpolationInterpolate(DiscountCurve,BC26),(1+BF26*BH26)*BI26)</f>
        <v>#VALUE!</v>
      </c>
      <c r="BF26" s="202" t="e">
        <f>_xll.qlInterpolationInterpolate(FwdInterpolator,BC26,TRUE)</f>
        <v>#VALUE!</v>
      </c>
      <c r="BG26" s="34" t="e">
        <f>_xll.qlCalendarAdvance(Calendar,BC26,$A$21,"Modified Following",TRUE)</f>
        <v>#NUM!</v>
      </c>
      <c r="BH26" s="57" t="e">
        <f>_xll.qlDayCounterYearFraction(DayCounter,BC26,BG26)</f>
        <v>#NUM!</v>
      </c>
      <c r="BI26" s="84" t="e">
        <f>IF($AE$1=BI$21,_xll.qlInterpolationInterpolate(DiscountCurve,BG26),(1+BJ26*BL26)*BM26)</f>
        <v>#VALUE!</v>
      </c>
      <c r="BJ26" s="202" t="e">
        <f>_xll.qlInterpolationInterpolate(FwdInterpolator,BG26,TRUE)</f>
        <v>#VALUE!</v>
      </c>
      <c r="BK26" s="34" t="e">
        <f>_xll.qlCalendarAdvance(Calendar,BG26,$A$21,"Modified Following",TRUE)</f>
        <v>#NUM!</v>
      </c>
      <c r="BL26" s="57" t="e">
        <f>_xll.qlDayCounterYearFraction(DayCounter,BG26,BK26)</f>
        <v>#NUM!</v>
      </c>
      <c r="BM26" s="84" t="e">
        <f>IF($AE$1=BM$21,_xll.qlInterpolationInterpolate(DiscountCurve,BK26),(1+BN26*BP26)*BQ26)</f>
        <v>#VALUE!</v>
      </c>
      <c r="BN26" s="202" t="e">
        <f>_xll.qlInterpolationInterpolate(FwdInterpolator,BK26,TRUE)</f>
        <v>#VALUE!</v>
      </c>
      <c r="BO26" s="34" t="e">
        <f>_xll.qlCalendarAdvance(Calendar,BK26,$A$21,"Modified Following",TRUE)</f>
        <v>#NUM!</v>
      </c>
      <c r="BP26" s="57" t="e">
        <f>_xll.qlDayCounterYearFraction(DayCounter,BK26,BO26)</f>
        <v>#NUM!</v>
      </c>
      <c r="BQ26" s="84" t="e">
        <f>IF($AE$1=BQ$21,_xll.qlInterpolationInterpolate(DiscountCurve,BO26),(1+#REF!*#REF!)*#REF!)</f>
        <v>#REF!</v>
      </c>
    </row>
    <row r="27" spans="1:69" x14ac:dyDescent="0.2">
      <c r="A27" s="170">
        <v>2</v>
      </c>
      <c r="B27" s="175" t="str">
        <f>A27&amp;"X1S"</f>
        <v>2X1S</v>
      </c>
      <c r="C27" s="164" t="str">
        <f t="shared" ref="C27:C37" si="5">RateHelperPrefix&amp;$B27</f>
        <v>USD_YC1MRH_2X1S</v>
      </c>
      <c r="D27" s="108">
        <f>_xll.qlRateHelperEarliestDate($C27,EvaluationDate)</f>
        <v>41572</v>
      </c>
      <c r="E27" s="108">
        <f>_xll.qlRateHelperLatestDate($C27,EvaluationDate)</f>
        <v>41635</v>
      </c>
      <c r="F27" s="109">
        <f>_xll.qlRateHelperQuoteValue($C27,SheetTrigger)</f>
        <v>1.72E-3</v>
      </c>
      <c r="G27" s="167" t="e">
        <f>1/(1+F27*_xll.qlDayCounterYearFraction(DayCounter,SettlementDate,E27))</f>
        <v>#NUM!</v>
      </c>
      <c r="H27" s="108" t="e">
        <f>$E23</f>
        <v>#NUM!</v>
      </c>
      <c r="I27" s="33" t="b">
        <v>1</v>
      </c>
      <c r="J27" s="31" t="e">
        <f>($G25/$G27-1)/$Q27</f>
        <v>#NUM!</v>
      </c>
      <c r="K27" s="191" t="b">
        <f t="shared" si="0"/>
        <v>0</v>
      </c>
      <c r="L27" s="33" t="e">
        <f t="shared" si="1"/>
        <v>#NUM!</v>
      </c>
      <c r="M27" s="33" t="e">
        <f t="shared" si="2"/>
        <v>#NUM!</v>
      </c>
      <c r="N27" s="41" t="b">
        <f t="shared" ref="N27:N37" si="6">IF(K27,AND(NOT($L27),NOT($M27)),FALSE)</f>
        <v>0</v>
      </c>
      <c r="O27" s="31" t="e">
        <f>_xll.qlInterpolationInterpolate($O$22,$H27)</f>
        <v>#VALUE!</v>
      </c>
      <c r="P27" s="161" t="e">
        <f t="shared" ref="P27:P49" si="7">$J27-$O27</f>
        <v>#NUM!</v>
      </c>
      <c r="Q27" s="86" t="e">
        <f>_xll.qlDayCounterYearFraction(DayCounter,$H27,$E27)</f>
        <v>#NUM!</v>
      </c>
      <c r="R27" s="172" t="e">
        <f t="shared" ref="R27:R49" si="8">(1+$O27*$Q27)/(1+$J27*$Q27)</f>
        <v>#VALUE!</v>
      </c>
      <c r="S27" s="110" t="e">
        <f t="shared" si="3"/>
        <v>#NUM!</v>
      </c>
      <c r="T27" s="275" t="e">
        <f t="shared" si="4"/>
        <v>#NUM!</v>
      </c>
      <c r="U27" s="35" t="e">
        <v>#VALUE!</v>
      </c>
      <c r="V27" s="106" t="e">
        <v>#VALUE!</v>
      </c>
      <c r="X27" s="22" t="s">
        <v>25</v>
      </c>
      <c r="Y27" s="268"/>
      <c r="Z27" s="267" t="e">
        <f>(1/AC27-1)/AB27</f>
        <v>#VALUE!</v>
      </c>
      <c r="AA27" s="252" t="e">
        <f>_xll.qlCalendarAdvance(Calendar,SettlementDate,X27,"mf",TRUE)</f>
        <v>#NUM!</v>
      </c>
      <c r="AB27" s="253" t="e">
        <f>_xll.qlDayCounterYearFraction(DayCounter,SettlementDate,AA27)</f>
        <v>#NUM!</v>
      </c>
      <c r="AC27" s="274" t="e">
        <f>IF(Optim,1/(1+Y27*AB27),(1+AD27*AF27)*AG27)*IF(AA27&gt;LastDayInYear,TOY,1)*IF(AA27&gt;LastDayInNextYear,_TOY2,1)</f>
        <v>#VALUE!</v>
      </c>
      <c r="AD27" s="211" t="e">
        <f>_xll.qlInterpolationInterpolate(FwdInterpolator,AA27,TRUE)</f>
        <v>#VALUE!</v>
      </c>
      <c r="AE27" s="252" t="e">
        <f>_xll.qlCalendarAdvance(Calendar,AA27,$A$21,"Modified Following",TRUE)</f>
        <v>#NUM!</v>
      </c>
      <c r="AF27" s="253" t="e">
        <f>_xll.qlDayCounterYearFraction(DayCounter,AA27,AE27)</f>
        <v>#NUM!</v>
      </c>
      <c r="AG27" s="254" t="e">
        <f>IF($AE$1=AG$21,_xll.qlInterpolationInterpolate(DiscountCurve,AE27),(1+AH27*AJ27)*AK27)</f>
        <v>#VALUE!</v>
      </c>
      <c r="AH27" s="211" t="e">
        <f>_xll.qlInterpolationInterpolate(FwdInterpolator,AE27,TRUE)</f>
        <v>#VALUE!</v>
      </c>
      <c r="AI27" s="252" t="e">
        <f>_xll.qlCalendarAdvance(Calendar,AE27,$A$21,"Modified Following",TRUE)</f>
        <v>#NUM!</v>
      </c>
      <c r="AJ27" s="253" t="e">
        <f>_xll.qlDayCounterYearFraction(DayCounter,AE27,AI27)</f>
        <v>#NUM!</v>
      </c>
      <c r="AK27" s="254" t="e">
        <f>IF($AE$1=AK$21,_xll.qlInterpolationInterpolate(DiscountCurve,AI27),(1+AL27*AN27)*AO27)</f>
        <v>#VALUE!</v>
      </c>
      <c r="AL27" s="211" t="e">
        <f>_xll.qlInterpolationInterpolate(FwdInterpolator,AI27,TRUE)</f>
        <v>#VALUE!</v>
      </c>
      <c r="AM27" s="252" t="e">
        <f>_xll.qlCalendarAdvance(Calendar,AI27,$A$21,"Modified Following",TRUE)</f>
        <v>#NUM!</v>
      </c>
      <c r="AN27" s="253" t="e">
        <f>_xll.qlDayCounterYearFraction(DayCounter,AI27,AM27)</f>
        <v>#NUM!</v>
      </c>
      <c r="AO27" s="254" t="e">
        <f>IF($AE$1=AO$21,_xll.qlInterpolationInterpolate(DiscountCurve,AM27),(1+AP27*AR27)*AS27)</f>
        <v>#VALUE!</v>
      </c>
      <c r="AP27" s="211" t="e">
        <f>_xll.qlInterpolationInterpolate(FwdInterpolator,AM27,TRUE)</f>
        <v>#VALUE!</v>
      </c>
      <c r="AQ27" s="252" t="e">
        <f>_xll.qlCalendarAdvance(Calendar,AM27,$A$21,"Modified Following",TRUE)</f>
        <v>#NUM!</v>
      </c>
      <c r="AR27" s="253" t="e">
        <f>_xll.qlDayCounterYearFraction(DayCounter,AM27,AQ27)</f>
        <v>#NUM!</v>
      </c>
      <c r="AS27" s="254" t="e">
        <f>IF($AE$1=AS$21,_xll.qlInterpolationInterpolate(DiscountCurve,AQ27),(1+AT27*AV27)*AW27)</f>
        <v>#VALUE!</v>
      </c>
      <c r="AT27" s="211" t="e">
        <f>_xll.qlInterpolationInterpolate(FwdInterpolator,AQ27,TRUE)</f>
        <v>#VALUE!</v>
      </c>
      <c r="AU27" s="252" t="e">
        <f>_xll.qlCalendarAdvance(Calendar,AQ27,$A$21,"Modified Following",TRUE)</f>
        <v>#NUM!</v>
      </c>
      <c r="AV27" s="253" t="e">
        <f>_xll.qlDayCounterYearFraction(DayCounter,AQ27,AU27)</f>
        <v>#NUM!</v>
      </c>
      <c r="AW27" s="254" t="e">
        <f>IF($AE$1=AW$21,_xll.qlInterpolationInterpolate(DiscountCurve,AU27),(1+AX27*AZ27)*BA27)</f>
        <v>#VALUE!</v>
      </c>
      <c r="AX27" s="211" t="e">
        <f>_xll.qlInterpolationInterpolate(FwdInterpolator,AU27,TRUE)</f>
        <v>#VALUE!</v>
      </c>
      <c r="AY27" s="252" t="e">
        <f>_xll.qlCalendarAdvance(Calendar,AU27,$A$21,"Modified Following",TRUE)</f>
        <v>#NUM!</v>
      </c>
      <c r="AZ27" s="253" t="e">
        <f>_xll.qlDayCounterYearFraction(DayCounter,AU27,AY27)</f>
        <v>#NUM!</v>
      </c>
      <c r="BA27" s="254" t="e">
        <f>IF($AE$1=BA$21,_xll.qlInterpolationInterpolate(DiscountCurve,AY27),(1+BB27*BD27)*BE27)</f>
        <v>#VALUE!</v>
      </c>
      <c r="BB27" s="211" t="e">
        <f>_xll.qlInterpolationInterpolate(FwdInterpolator,AY27,TRUE)</f>
        <v>#VALUE!</v>
      </c>
      <c r="BC27" s="252" t="e">
        <f>_xll.qlCalendarAdvance(Calendar,AY27,$A$21,"Modified Following",TRUE)</f>
        <v>#NUM!</v>
      </c>
      <c r="BD27" s="253" t="e">
        <f>_xll.qlDayCounterYearFraction(DayCounter,AY27,BC27)</f>
        <v>#NUM!</v>
      </c>
      <c r="BE27" s="254" t="e">
        <f>IF($AE$1=BE$21,_xll.qlInterpolationInterpolate(DiscountCurve,BC27),(1+BF27*BH27)*BI27)</f>
        <v>#VALUE!</v>
      </c>
      <c r="BF27" s="211" t="e">
        <f>_xll.qlInterpolationInterpolate(FwdInterpolator,BC27,TRUE)</f>
        <v>#VALUE!</v>
      </c>
      <c r="BG27" s="252" t="e">
        <f>_xll.qlCalendarAdvance(Calendar,BC27,$A$21,"Modified Following",TRUE)</f>
        <v>#NUM!</v>
      </c>
      <c r="BH27" s="253" t="e">
        <f>_xll.qlDayCounterYearFraction(DayCounter,BC27,BG27)</f>
        <v>#NUM!</v>
      </c>
      <c r="BI27" s="254" t="e">
        <f>IF($AE$1=BI$21,_xll.qlInterpolationInterpolate(DiscountCurve,BG27),(1+BJ27*BL27)*BM27)</f>
        <v>#VALUE!</v>
      </c>
      <c r="BJ27" s="211" t="e">
        <f>_xll.qlInterpolationInterpolate(FwdInterpolator,BG27,TRUE)</f>
        <v>#VALUE!</v>
      </c>
      <c r="BK27" s="252" t="e">
        <f>_xll.qlCalendarAdvance(Calendar,BG27,$A$21,"Modified Following",TRUE)</f>
        <v>#NUM!</v>
      </c>
      <c r="BL27" s="253" t="e">
        <f>_xll.qlDayCounterYearFraction(DayCounter,BG27,BK27)</f>
        <v>#NUM!</v>
      </c>
      <c r="BM27" s="254" t="e">
        <f>IF($AE$1=BM$21,_xll.qlInterpolationInterpolate(DiscountCurve,BK27),(1+BN27*BP27)*BQ27)</f>
        <v>#VALUE!</v>
      </c>
      <c r="BN27" s="211" t="e">
        <f>_xll.qlInterpolationInterpolate(FwdInterpolator,BK27,TRUE)</f>
        <v>#VALUE!</v>
      </c>
      <c r="BO27" s="252" t="e">
        <f>_xll.qlCalendarAdvance(Calendar,BK27,$A$21,"Modified Following",TRUE)</f>
        <v>#NUM!</v>
      </c>
      <c r="BP27" s="253" t="e">
        <f>_xll.qlDayCounterYearFraction(DayCounter,BK27,BO27)</f>
        <v>#NUM!</v>
      </c>
      <c r="BQ27" s="254" t="e">
        <f>IF($AE$1=BQ$21,_xll.qlInterpolationInterpolate(DiscountCurve,BO27),(1+#REF!*#REF!)*#REF!)</f>
        <v>#REF!</v>
      </c>
    </row>
    <row r="28" spans="1:69" x14ac:dyDescent="0.2">
      <c r="A28" s="170">
        <v>3</v>
      </c>
      <c r="B28" s="177" t="str">
        <f t="shared" ref="B28:B37" si="9">A28&amp;"X1S"</f>
        <v>3X1S</v>
      </c>
      <c r="C28" s="46" t="str">
        <f t="shared" si="5"/>
        <v>USD_YC1MRH_3X1S</v>
      </c>
      <c r="D28" s="23">
        <f>_xll.qlRateHelperEarliestDate($C28,EvaluationDate)</f>
        <v>41572</v>
      </c>
      <c r="E28" s="23">
        <f>_xll.qlRateHelperLatestDate($C28,EvaluationDate)</f>
        <v>41666</v>
      </c>
      <c r="F28" s="95">
        <f>_xll.qlRateHelperQuoteValue($C28,SheetTrigger)</f>
        <v>1.7399999999999998E-3</v>
      </c>
      <c r="G28" s="168" t="e">
        <f>1/(1+F28*_xll.qlDayCounterYearFraction(DayCounter,SettlementDate,E28))</f>
        <v>#NUM!</v>
      </c>
      <c r="H28" s="23">
        <f t="shared" ref="H28:H37" si="10">$E27</f>
        <v>41635</v>
      </c>
      <c r="I28" s="25" t="b">
        <v>1</v>
      </c>
      <c r="J28" s="26" t="e">
        <f>($G27/$G28-1)/$Q28</f>
        <v>#NUM!</v>
      </c>
      <c r="K28" s="200" t="b">
        <f t="shared" si="0"/>
        <v>0</v>
      </c>
      <c r="L28" s="25" t="e">
        <f t="shared" si="1"/>
        <v>#NUM!</v>
      </c>
      <c r="M28" s="25" t="e">
        <f t="shared" si="2"/>
        <v>#NUM!</v>
      </c>
      <c r="N28" s="100" t="b">
        <f t="shared" si="6"/>
        <v>0</v>
      </c>
      <c r="O28" s="26" t="e">
        <f>_xll.qlInterpolationInterpolate($O$22,$H28)</f>
        <v>#VALUE!</v>
      </c>
      <c r="P28" s="162" t="e">
        <f t="shared" si="7"/>
        <v>#NUM!</v>
      </c>
      <c r="Q28" s="87">
        <f>_xll.qlDayCounterYearFraction(DayCounter,$H28,$E28)</f>
        <v>8.611111111111111E-2</v>
      </c>
      <c r="R28" s="160" t="e">
        <f t="shared" si="8"/>
        <v>#VALUE!</v>
      </c>
      <c r="S28" s="102" t="e">
        <f t="shared" si="3"/>
        <v>#NUM!</v>
      </c>
      <c r="T28" s="277" t="e">
        <f t="shared" si="4"/>
        <v>#NUM!</v>
      </c>
      <c r="U28" s="35" t="e">
        <v>#VALUE!</v>
      </c>
      <c r="V28" s="106" t="e">
        <v>#VALUE!</v>
      </c>
    </row>
    <row r="29" spans="1:69" x14ac:dyDescent="0.2">
      <c r="A29" s="170">
        <v>4</v>
      </c>
      <c r="B29" s="177" t="str">
        <f t="shared" si="9"/>
        <v>4X1S</v>
      </c>
      <c r="C29" s="46" t="str">
        <f t="shared" si="5"/>
        <v>USD_YC1MRH_4X1S</v>
      </c>
      <c r="D29" s="23">
        <f>_xll.qlRateHelperEarliestDate($C29,EvaluationDate)</f>
        <v>41572</v>
      </c>
      <c r="E29" s="23">
        <f>_xll.qlRateHelperLatestDate($C29,EvaluationDate)</f>
        <v>41695</v>
      </c>
      <c r="F29" s="95">
        <f>_xll.qlRateHelperQuoteValue($C29,SheetTrigger)</f>
        <v>1.7699999999999999E-3</v>
      </c>
      <c r="G29" s="168" t="e">
        <f>1/(1+F29*_xll.qlDayCounterYearFraction(DayCounter,SettlementDate,E29))</f>
        <v>#NUM!</v>
      </c>
      <c r="H29" s="23">
        <f t="shared" si="10"/>
        <v>41666</v>
      </c>
      <c r="I29" s="25" t="b">
        <v>1</v>
      </c>
      <c r="J29" s="26" t="e">
        <f t="shared" ref="J29:J37" si="11">($G28/$G29-1)/$Q29</f>
        <v>#NUM!</v>
      </c>
      <c r="K29" s="200" t="b">
        <f t="shared" si="0"/>
        <v>0</v>
      </c>
      <c r="L29" s="25" t="e">
        <f t="shared" si="1"/>
        <v>#NUM!</v>
      </c>
      <c r="M29" s="25" t="e">
        <f t="shared" si="2"/>
        <v>#NUM!</v>
      </c>
      <c r="N29" s="100" t="b">
        <f t="shared" si="6"/>
        <v>0</v>
      </c>
      <c r="O29" s="26" t="e">
        <f>_xll.qlInterpolationInterpolate($O$22,$H29)</f>
        <v>#VALUE!</v>
      </c>
      <c r="P29" s="162" t="e">
        <f t="shared" si="7"/>
        <v>#NUM!</v>
      </c>
      <c r="Q29" s="87">
        <f>_xll.qlDayCounterYearFraction(DayCounter,$H29,$E29)</f>
        <v>8.0555555555555561E-2</v>
      </c>
      <c r="R29" s="160" t="e">
        <f t="shared" si="8"/>
        <v>#VALUE!</v>
      </c>
      <c r="S29" s="102" t="e">
        <f t="shared" si="3"/>
        <v>#NUM!</v>
      </c>
      <c r="T29" s="277" t="e">
        <f t="shared" si="4"/>
        <v>#NUM!</v>
      </c>
      <c r="U29" s="35" t="e">
        <v>#VALUE!</v>
      </c>
      <c r="V29" s="106" t="e">
        <v>#VALUE!</v>
      </c>
    </row>
    <row r="30" spans="1:69" x14ac:dyDescent="0.2">
      <c r="A30" s="174">
        <v>5</v>
      </c>
      <c r="B30" s="177" t="str">
        <f t="shared" si="9"/>
        <v>5X1S</v>
      </c>
      <c r="C30" s="46" t="str">
        <f t="shared" si="5"/>
        <v>USD_YC1MRH_5X1S</v>
      </c>
      <c r="D30" s="23">
        <f>_xll.qlRateHelperEarliestDate($C30,EvaluationDate)</f>
        <v>41572</v>
      </c>
      <c r="E30" s="23">
        <f>_xll.qlRateHelperLatestDate($C30,EvaluationDate)</f>
        <v>41723</v>
      </c>
      <c r="F30" s="95">
        <f>_xll.qlRateHelperQuoteValue($C30,SheetTrigger)</f>
        <v>1.8E-3</v>
      </c>
      <c r="G30" s="168" t="e">
        <f>1/(1+F30*_xll.qlDayCounterYearFraction(DayCounter,SettlementDate,E30))</f>
        <v>#NUM!</v>
      </c>
      <c r="H30" s="23">
        <f t="shared" si="10"/>
        <v>41695</v>
      </c>
      <c r="I30" s="25" t="b">
        <v>1</v>
      </c>
      <c r="J30" s="26" t="e">
        <f t="shared" si="11"/>
        <v>#NUM!</v>
      </c>
      <c r="K30" s="200" t="b">
        <f t="shared" si="0"/>
        <v>0</v>
      </c>
      <c r="L30" s="25" t="e">
        <f t="shared" si="1"/>
        <v>#NUM!</v>
      </c>
      <c r="M30" s="25" t="e">
        <f t="shared" si="2"/>
        <v>#NUM!</v>
      </c>
      <c r="N30" s="100" t="b">
        <f t="shared" si="6"/>
        <v>0</v>
      </c>
      <c r="O30" s="26" t="e">
        <f>_xll.qlInterpolationInterpolate($O$22,$H30)</f>
        <v>#VALUE!</v>
      </c>
      <c r="P30" s="162" t="e">
        <f t="shared" si="7"/>
        <v>#NUM!</v>
      </c>
      <c r="Q30" s="87">
        <f>_xll.qlDayCounterYearFraction(DayCounter,$H30,$E30)</f>
        <v>7.7777777777777779E-2</v>
      </c>
      <c r="R30" s="160" t="e">
        <f t="shared" si="8"/>
        <v>#VALUE!</v>
      </c>
      <c r="S30" s="102" t="e">
        <f t="shared" si="3"/>
        <v>#NUM!</v>
      </c>
      <c r="T30" s="277" t="e">
        <f t="shared" si="4"/>
        <v>#NUM!</v>
      </c>
      <c r="U30" s="35" t="e">
        <v>#VALUE!</v>
      </c>
      <c r="V30" s="106" t="e">
        <v>#VALUE!</v>
      </c>
    </row>
    <row r="31" spans="1:69" x14ac:dyDescent="0.2">
      <c r="A31" s="170">
        <v>6</v>
      </c>
      <c r="B31" s="177" t="str">
        <f t="shared" si="9"/>
        <v>6X1S</v>
      </c>
      <c r="C31" s="46" t="str">
        <f t="shared" si="5"/>
        <v>USD_YC1MRH_6X1S</v>
      </c>
      <c r="D31" s="23">
        <f>_xll.qlRateHelperEarliestDate($C31,EvaluationDate)</f>
        <v>41572</v>
      </c>
      <c r="E31" s="23">
        <f>_xll.qlRateHelperLatestDate($C31,EvaluationDate)</f>
        <v>41754</v>
      </c>
      <c r="F31" s="95">
        <f>_xll.qlRateHelperQuoteValue($C31,SheetTrigger)</f>
        <v>1.8400000000000001E-3</v>
      </c>
      <c r="G31" s="168" t="e">
        <f>1/(1+F31*_xll.qlDayCounterYearFraction(DayCounter,SettlementDate,E31))</f>
        <v>#NUM!</v>
      </c>
      <c r="H31" s="23">
        <f t="shared" si="10"/>
        <v>41723</v>
      </c>
      <c r="I31" s="25" t="b">
        <v>1</v>
      </c>
      <c r="J31" s="26" t="e">
        <f t="shared" si="11"/>
        <v>#NUM!</v>
      </c>
      <c r="K31" s="200" t="b">
        <f t="shared" si="0"/>
        <v>0</v>
      </c>
      <c r="L31" s="25" t="e">
        <f t="shared" si="1"/>
        <v>#NUM!</v>
      </c>
      <c r="M31" s="25" t="e">
        <f t="shared" si="2"/>
        <v>#NUM!</v>
      </c>
      <c r="N31" s="100" t="b">
        <f t="shared" si="6"/>
        <v>0</v>
      </c>
      <c r="O31" s="26" t="e">
        <f>_xll.qlInterpolationInterpolate($O$22,$H31)</f>
        <v>#VALUE!</v>
      </c>
      <c r="P31" s="162" t="e">
        <f t="shared" si="7"/>
        <v>#NUM!</v>
      </c>
      <c r="Q31" s="87">
        <f>_xll.qlDayCounterYearFraction(DayCounter,$H31,$E31)</f>
        <v>8.611111111111111E-2</v>
      </c>
      <c r="R31" s="160" t="e">
        <f t="shared" si="8"/>
        <v>#VALUE!</v>
      </c>
      <c r="S31" s="102" t="e">
        <f t="shared" si="3"/>
        <v>#NUM!</v>
      </c>
      <c r="T31" s="277" t="e">
        <f t="shared" si="4"/>
        <v>#NUM!</v>
      </c>
      <c r="U31" s="35" t="e">
        <v>#VALUE!</v>
      </c>
      <c r="V31" s="106" t="e">
        <v>#VALUE!</v>
      </c>
    </row>
    <row r="32" spans="1:69" x14ac:dyDescent="0.2">
      <c r="A32" s="170">
        <v>7</v>
      </c>
      <c r="B32" s="177" t="str">
        <f t="shared" si="9"/>
        <v>7X1S</v>
      </c>
      <c r="C32" s="46" t="str">
        <f t="shared" si="5"/>
        <v>USD_YC1MRH_7X1S</v>
      </c>
      <c r="D32" s="23">
        <f>_xll.qlRateHelperEarliestDate($C32,EvaluationDate)</f>
        <v>41572</v>
      </c>
      <c r="E32" s="23">
        <f>_xll.qlRateHelperLatestDate($C32,EvaluationDate)</f>
        <v>41785</v>
      </c>
      <c r="F32" s="95">
        <f>_xll.qlRateHelperQuoteValue($C32,SheetTrigger)</f>
        <v>1.9E-3</v>
      </c>
      <c r="G32" s="168" t="e">
        <f>1/(1+F32*_xll.qlDayCounterYearFraction(DayCounter,SettlementDate,E32))</f>
        <v>#NUM!</v>
      </c>
      <c r="H32" s="23">
        <f t="shared" si="10"/>
        <v>41754</v>
      </c>
      <c r="I32" s="25" t="b">
        <v>1</v>
      </c>
      <c r="J32" s="26" t="e">
        <f t="shared" si="11"/>
        <v>#NUM!</v>
      </c>
      <c r="K32" s="200" t="b">
        <f t="shared" si="0"/>
        <v>0</v>
      </c>
      <c r="L32" s="25" t="e">
        <f t="shared" si="1"/>
        <v>#NUM!</v>
      </c>
      <c r="M32" s="25" t="e">
        <f t="shared" si="2"/>
        <v>#NUM!</v>
      </c>
      <c r="N32" s="100" t="b">
        <f t="shared" si="6"/>
        <v>0</v>
      </c>
      <c r="O32" s="26" t="e">
        <f>_xll.qlInterpolationInterpolate($O$22,$H32)</f>
        <v>#VALUE!</v>
      </c>
      <c r="P32" s="162" t="e">
        <f t="shared" si="7"/>
        <v>#NUM!</v>
      </c>
      <c r="Q32" s="87">
        <f>_xll.qlDayCounterYearFraction(DayCounter,$H32,$E32)</f>
        <v>8.611111111111111E-2</v>
      </c>
      <c r="R32" s="160" t="e">
        <f t="shared" si="8"/>
        <v>#VALUE!</v>
      </c>
      <c r="S32" s="102" t="e">
        <f t="shared" si="3"/>
        <v>#NUM!</v>
      </c>
      <c r="T32" s="277" t="e">
        <f t="shared" si="4"/>
        <v>#NUM!</v>
      </c>
      <c r="U32" s="35" t="e">
        <v>#VALUE!</v>
      </c>
      <c r="V32" s="106" t="e">
        <v>#VALUE!</v>
      </c>
    </row>
    <row r="33" spans="1:28" x14ac:dyDescent="0.2">
      <c r="A33" s="170">
        <v>8</v>
      </c>
      <c r="B33" s="177" t="str">
        <f t="shared" si="9"/>
        <v>8X1S</v>
      </c>
      <c r="C33" s="46" t="str">
        <f t="shared" si="5"/>
        <v>USD_YC1MRH_8X1S</v>
      </c>
      <c r="D33" s="23">
        <f>_xll.qlRateHelperEarliestDate($C33,EvaluationDate)</f>
        <v>41572</v>
      </c>
      <c r="E33" s="23">
        <f>_xll.qlRateHelperLatestDate($C33,EvaluationDate)</f>
        <v>41815</v>
      </c>
      <c r="F33" s="95">
        <f>_xll.qlRateHelperQuoteValue($C33,SheetTrigger)</f>
        <v>1.9500000000000001E-3</v>
      </c>
      <c r="G33" s="168" t="e">
        <f>1/(1+F33*_xll.qlDayCounterYearFraction(DayCounter,SettlementDate,E33))</f>
        <v>#NUM!</v>
      </c>
      <c r="H33" s="23">
        <f t="shared" si="10"/>
        <v>41785</v>
      </c>
      <c r="I33" s="25" t="b">
        <v>1</v>
      </c>
      <c r="J33" s="26" t="e">
        <f t="shared" si="11"/>
        <v>#NUM!</v>
      </c>
      <c r="K33" s="200" t="b">
        <f t="shared" si="0"/>
        <v>0</v>
      </c>
      <c r="L33" s="25" t="e">
        <f t="shared" si="1"/>
        <v>#NUM!</v>
      </c>
      <c r="M33" s="25" t="e">
        <f t="shared" si="2"/>
        <v>#NUM!</v>
      </c>
      <c r="N33" s="100" t="b">
        <f t="shared" si="6"/>
        <v>0</v>
      </c>
      <c r="O33" s="26" t="e">
        <f>_xll.qlInterpolationInterpolate($O$22,$H33)</f>
        <v>#VALUE!</v>
      </c>
      <c r="P33" s="162" t="e">
        <f t="shared" si="7"/>
        <v>#NUM!</v>
      </c>
      <c r="Q33" s="87">
        <f>_xll.qlDayCounterYearFraction(DayCounter,$H33,$E33)</f>
        <v>8.3333333333333329E-2</v>
      </c>
      <c r="R33" s="160" t="e">
        <f t="shared" si="8"/>
        <v>#VALUE!</v>
      </c>
      <c r="S33" s="102" t="e">
        <f t="shared" si="3"/>
        <v>#NUM!</v>
      </c>
      <c r="T33" s="277" t="e">
        <f t="shared" si="4"/>
        <v>#NUM!</v>
      </c>
      <c r="U33" s="35" t="e">
        <v>#VALUE!</v>
      </c>
      <c r="V33" s="106" t="e">
        <v>#VALUE!</v>
      </c>
    </row>
    <row r="34" spans="1:28" x14ac:dyDescent="0.2">
      <c r="A34" s="174">
        <v>9</v>
      </c>
      <c r="B34" s="177" t="str">
        <f t="shared" si="9"/>
        <v>9X1S</v>
      </c>
      <c r="C34" s="46" t="str">
        <f t="shared" si="5"/>
        <v>USD_YC1MRH_9X1S</v>
      </c>
      <c r="D34" s="23">
        <f>_xll.qlRateHelperEarliestDate($C34,EvaluationDate)</f>
        <v>41572</v>
      </c>
      <c r="E34" s="23">
        <f>_xll.qlRateHelperLatestDate($C34,EvaluationDate)</f>
        <v>41845</v>
      </c>
      <c r="F34" s="95">
        <f>_xll.qlRateHelperQuoteValue($C34,SheetTrigger)</f>
        <v>2.0100000000000001E-3</v>
      </c>
      <c r="G34" s="168" t="e">
        <f>1/(1+F34*_xll.qlDayCounterYearFraction(DayCounter,SettlementDate,E34))</f>
        <v>#NUM!</v>
      </c>
      <c r="H34" s="23">
        <f t="shared" si="10"/>
        <v>41815</v>
      </c>
      <c r="I34" s="25" t="b">
        <v>1</v>
      </c>
      <c r="J34" s="26" t="e">
        <f t="shared" si="11"/>
        <v>#NUM!</v>
      </c>
      <c r="K34" s="200" t="b">
        <f t="shared" si="0"/>
        <v>0</v>
      </c>
      <c r="L34" s="25" t="e">
        <f t="shared" si="1"/>
        <v>#NUM!</v>
      </c>
      <c r="M34" s="25" t="e">
        <f t="shared" si="2"/>
        <v>#NUM!</v>
      </c>
      <c r="N34" s="100" t="b">
        <f t="shared" si="6"/>
        <v>0</v>
      </c>
      <c r="O34" s="26" t="e">
        <f>_xll.qlInterpolationInterpolate($O$22,$H34)</f>
        <v>#VALUE!</v>
      </c>
      <c r="P34" s="162" t="e">
        <f t="shared" si="7"/>
        <v>#NUM!</v>
      </c>
      <c r="Q34" s="87">
        <f>_xll.qlDayCounterYearFraction(DayCounter,$H34,$E34)</f>
        <v>8.3333333333333329E-2</v>
      </c>
      <c r="R34" s="160" t="e">
        <f t="shared" si="8"/>
        <v>#VALUE!</v>
      </c>
      <c r="S34" s="102" t="e">
        <f t="shared" si="3"/>
        <v>#NUM!</v>
      </c>
      <c r="T34" s="277" t="e">
        <f t="shared" si="4"/>
        <v>#NUM!</v>
      </c>
      <c r="U34" s="35" t="e">
        <v>#VALUE!</v>
      </c>
      <c r="V34" s="106" t="e">
        <v>#VALUE!</v>
      </c>
    </row>
    <row r="35" spans="1:28" x14ac:dyDescent="0.2">
      <c r="A35" s="170">
        <v>10</v>
      </c>
      <c r="B35" s="177" t="str">
        <f t="shared" si="9"/>
        <v>10X1S</v>
      </c>
      <c r="C35" s="46" t="str">
        <f t="shared" si="5"/>
        <v>USD_YC1MRH_10X1S</v>
      </c>
      <c r="D35" s="23">
        <f>_xll.qlRateHelperEarliestDate($C35,EvaluationDate)</f>
        <v>41572</v>
      </c>
      <c r="E35" s="23">
        <f>_xll.qlRateHelperLatestDate($C35,EvaluationDate)</f>
        <v>41876</v>
      </c>
      <c r="F35" s="95">
        <f>_xll.qlRateHelperQuoteValue($C35,SheetTrigger)</f>
        <v>2.0700000000000002E-3</v>
      </c>
      <c r="G35" s="168" t="e">
        <f>1/(1+F35*_xll.qlDayCounterYearFraction(DayCounter,SettlementDate,E35))</f>
        <v>#NUM!</v>
      </c>
      <c r="H35" s="23">
        <f t="shared" si="10"/>
        <v>41845</v>
      </c>
      <c r="I35" s="25" t="b">
        <v>1</v>
      </c>
      <c r="J35" s="26" t="e">
        <f t="shared" si="11"/>
        <v>#NUM!</v>
      </c>
      <c r="K35" s="200" t="b">
        <f t="shared" si="0"/>
        <v>0</v>
      </c>
      <c r="L35" s="25" t="e">
        <f t="shared" si="1"/>
        <v>#NUM!</v>
      </c>
      <c r="M35" s="25" t="e">
        <f t="shared" si="2"/>
        <v>#NUM!</v>
      </c>
      <c r="N35" s="100" t="b">
        <f t="shared" si="6"/>
        <v>0</v>
      </c>
      <c r="O35" s="26" t="e">
        <f>_xll.qlInterpolationInterpolate($O$22,$H35)</f>
        <v>#VALUE!</v>
      </c>
      <c r="P35" s="162" t="e">
        <f t="shared" si="7"/>
        <v>#NUM!</v>
      </c>
      <c r="Q35" s="87">
        <f>_xll.qlDayCounterYearFraction(DayCounter,$H35,$E35)</f>
        <v>8.611111111111111E-2</v>
      </c>
      <c r="R35" s="160" t="e">
        <f t="shared" si="8"/>
        <v>#VALUE!</v>
      </c>
      <c r="S35" s="102" t="e">
        <f t="shared" si="3"/>
        <v>#NUM!</v>
      </c>
      <c r="T35" s="277" t="e">
        <f t="shared" si="4"/>
        <v>#NUM!</v>
      </c>
      <c r="U35" s="35" t="e">
        <v>#VALUE!</v>
      </c>
      <c r="V35" s="106" t="e">
        <v>#VALUE!</v>
      </c>
    </row>
    <row r="36" spans="1:28" x14ac:dyDescent="0.2">
      <c r="A36" s="170">
        <v>11</v>
      </c>
      <c r="B36" s="177" t="str">
        <f t="shared" si="9"/>
        <v>11X1S</v>
      </c>
      <c r="C36" s="46" t="str">
        <f t="shared" si="5"/>
        <v>USD_YC1MRH_11X1S</v>
      </c>
      <c r="D36" s="23">
        <f>_xll.qlRateHelperEarliestDate($C36,EvaluationDate)</f>
        <v>41572</v>
      </c>
      <c r="E36" s="23">
        <f>_xll.qlRateHelperLatestDate($C36,EvaluationDate)</f>
        <v>41907</v>
      </c>
      <c r="F36" s="95">
        <f>_xll.qlRateHelperQuoteValue($C36,SheetTrigger)</f>
        <v>2.1299999999999999E-3</v>
      </c>
      <c r="G36" s="168" t="e">
        <f>1/(1+F36*_xll.qlDayCounterYearFraction(DayCounter,SettlementDate,E36))</f>
        <v>#NUM!</v>
      </c>
      <c r="H36" s="23">
        <f t="shared" si="10"/>
        <v>41876</v>
      </c>
      <c r="I36" s="25" t="b">
        <v>1</v>
      </c>
      <c r="J36" s="26" t="e">
        <f t="shared" si="11"/>
        <v>#NUM!</v>
      </c>
      <c r="K36" s="200" t="b">
        <f t="shared" si="0"/>
        <v>0</v>
      </c>
      <c r="L36" s="25" t="e">
        <f t="shared" si="1"/>
        <v>#NUM!</v>
      </c>
      <c r="M36" s="25" t="e">
        <f t="shared" si="2"/>
        <v>#NUM!</v>
      </c>
      <c r="N36" s="100" t="b">
        <f t="shared" si="6"/>
        <v>0</v>
      </c>
      <c r="O36" s="26" t="e">
        <f>_xll.qlInterpolationInterpolate($O$22,$H36)</f>
        <v>#VALUE!</v>
      </c>
      <c r="P36" s="162" t="e">
        <f t="shared" si="7"/>
        <v>#NUM!</v>
      </c>
      <c r="Q36" s="87">
        <f>_xll.qlDayCounterYearFraction(DayCounter,$H36,$E36)</f>
        <v>8.611111111111111E-2</v>
      </c>
      <c r="R36" s="160" t="e">
        <f t="shared" si="8"/>
        <v>#VALUE!</v>
      </c>
      <c r="S36" s="102" t="e">
        <f t="shared" si="3"/>
        <v>#NUM!</v>
      </c>
      <c r="T36" s="277" t="e">
        <f t="shared" si="4"/>
        <v>#NUM!</v>
      </c>
      <c r="U36" s="35" t="e">
        <v>#VALUE!</v>
      </c>
      <c r="V36" s="106" t="e">
        <v>#VALUE!</v>
      </c>
      <c r="Y36">
        <v>0</v>
      </c>
      <c r="Z36" t="str">
        <f>Y36&amp;"D"</f>
        <v>0D</v>
      </c>
      <c r="AA36" s="258" t="e">
        <f>_xll.qlCalendarAdvance(Calendar,SettlementDate,Z36,"F")</f>
        <v>#NUM!</v>
      </c>
      <c r="AB36" s="272" t="e">
        <f>_xll.qlInterpolationInterpolate(FwdInterpolator,AA36,TRUE)</f>
        <v>#VALUE!</v>
      </c>
    </row>
    <row r="37" spans="1:28" x14ac:dyDescent="0.2">
      <c r="A37" s="170">
        <v>12</v>
      </c>
      <c r="B37" s="178" t="str">
        <f t="shared" si="9"/>
        <v>12X1S</v>
      </c>
      <c r="C37" s="176" t="str">
        <f t="shared" si="5"/>
        <v>USD_YC1MRH_12X1S</v>
      </c>
      <c r="D37" s="93">
        <f>_xll.qlRateHelperEarliestDate($C37,EvaluationDate)</f>
        <v>41572</v>
      </c>
      <c r="E37" s="93">
        <f>_xll.qlRateHelperLatestDate($C37,EvaluationDate)</f>
        <v>41939</v>
      </c>
      <c r="F37" s="104">
        <f>_xll.qlRateHelperQuoteValue($C37,SheetTrigger)</f>
        <v>2.2100000000000002E-3</v>
      </c>
      <c r="G37" s="169" t="e">
        <f>1/(1+F37*_xll.qlDayCounterYearFraction(DayCounter,SettlementDate,E37))</f>
        <v>#NUM!</v>
      </c>
      <c r="H37" s="93">
        <f t="shared" si="10"/>
        <v>41907</v>
      </c>
      <c r="I37" s="39" t="b">
        <v>1</v>
      </c>
      <c r="J37" s="37" t="e">
        <f t="shared" si="11"/>
        <v>#NUM!</v>
      </c>
      <c r="K37" s="201" t="b">
        <f t="shared" si="0"/>
        <v>0</v>
      </c>
      <c r="L37" s="39" t="e">
        <f t="shared" si="1"/>
        <v>#NUM!</v>
      </c>
      <c r="M37" s="39" t="e">
        <f t="shared" si="2"/>
        <v>#NUM!</v>
      </c>
      <c r="N37" s="76" t="b">
        <f t="shared" si="6"/>
        <v>0</v>
      </c>
      <c r="O37" s="501" t="e">
        <f>_xll.qlInterpolationInterpolate($O$22,$H37,TRUE)</f>
        <v>#VALUE!</v>
      </c>
      <c r="P37" s="163" t="e">
        <f t="shared" si="7"/>
        <v>#NUM!</v>
      </c>
      <c r="Q37" s="88">
        <f>_xll.qlDayCounterYearFraction(DayCounter,$H37,$E37)</f>
        <v>8.8888888888888892E-2</v>
      </c>
      <c r="R37" s="173" t="e">
        <f t="shared" si="8"/>
        <v>#VALUE!</v>
      </c>
      <c r="S37" s="103" t="e">
        <f t="shared" si="3"/>
        <v>#NUM!</v>
      </c>
      <c r="T37" s="276" t="e">
        <f t="shared" si="4"/>
        <v>#NUM!</v>
      </c>
      <c r="U37" s="35" t="e">
        <v>#VALUE!</v>
      </c>
      <c r="V37" s="106" t="e">
        <v>#VALUE!</v>
      </c>
      <c r="Y37">
        <v>1</v>
      </c>
      <c r="Z37" t="str">
        <f>Y37&amp;"M"</f>
        <v>1M</v>
      </c>
      <c r="AA37" s="258" t="e">
        <f>_xll.qlCalendarAdvance(Calendar,SettlementDate,Z37,"MF",TRUE)</f>
        <v>#NUM!</v>
      </c>
      <c r="AB37" s="272" t="e">
        <f>_xll.qlInterpolationInterpolate(FwdInterpolator,AA37)</f>
        <v>#VALUE!</v>
      </c>
    </row>
    <row r="38" spans="1:28" s="21" customFormat="1" x14ac:dyDescent="0.2">
      <c r="A38" t="b">
        <v>0</v>
      </c>
      <c r="B38" s="91" t="e">
        <f>"FUT"&amp;IndexTenor&amp;_xll.qlIMMNextCodes(SettlementDate+$B$22,A38)</f>
        <v>#NUM!</v>
      </c>
      <c r="C38" s="96" t="e">
        <f>RateHelperPrefix&amp;$B38</f>
        <v>#NUM!</v>
      </c>
      <c r="D38" s="108" t="e">
        <f>_xll.qlRateHelperEarliestDate($C38,EvaluationDate)</f>
        <v>#VALUE!</v>
      </c>
      <c r="E38" s="108" t="e">
        <f>_xll.qlRateHelperLatestDate($C38,EvaluationDate)</f>
        <v>#VALUE!</v>
      </c>
      <c r="F38" s="203" t="e">
        <f>_xll.qlRateHelperQuoteValue($C38,SheetTrigger)</f>
        <v>#VALUE!</v>
      </c>
      <c r="G38" s="165" t="e">
        <f>_xll.qlFuturesRateHelperConvexityAdjustment($C38,SheetTrigger)</f>
        <v>#VALUE!</v>
      </c>
      <c r="H38" s="108" t="e">
        <f t="shared" ref="H38:H49" si="12">$D38</f>
        <v>#VALUE!</v>
      </c>
      <c r="I38" s="33" t="b">
        <f>ISNA(VLOOKUP(H38,$H$23:$H$37,1,FALSE))</f>
        <v>0</v>
      </c>
      <c r="J38" s="31" t="e">
        <f>1-$F38/100-$G38</f>
        <v>#VALUE!</v>
      </c>
      <c r="K38" s="191" t="b">
        <f t="shared" ref="K38:K49" si="13">AND(ISNUMBER(J38),I38,UseSecondSet)</f>
        <v>0</v>
      </c>
      <c r="L38" s="33" t="e">
        <f t="shared" si="1"/>
        <v>#VALUE!</v>
      </c>
      <c r="M38" s="33" t="e">
        <f t="shared" si="2"/>
        <v>#VALUE!</v>
      </c>
      <c r="N38" s="41" t="b">
        <f>IF(K38,AND(NOT($L38),NOT($M38)),FALSE)</f>
        <v>0</v>
      </c>
      <c r="O38" s="31" t="e">
        <f>_xll.qlInterpolationInterpolate($O$22,$H38)</f>
        <v>#VALUE!</v>
      </c>
      <c r="P38" s="161" t="e">
        <f t="shared" si="7"/>
        <v>#VALUE!</v>
      </c>
      <c r="Q38" s="86" t="e">
        <f>_xll.qlDayCounterYearFraction(DayCounter,$H38,$E38)</f>
        <v>#NUM!</v>
      </c>
      <c r="R38" s="172" t="e">
        <f t="shared" si="8"/>
        <v>#VALUE!</v>
      </c>
      <c r="S38" s="110" t="e">
        <f>IF($L38,(TOY*(1+$J38*$Q38)-1)/$Q38,IF($M38,(_TOY2*(1+$J38*$Q38)-1)/$Q38,$J38))</f>
        <v>#VALUE!</v>
      </c>
      <c r="T38" s="275" t="e">
        <f>S38-J38</f>
        <v>#VALUE!</v>
      </c>
      <c r="U38" s="35" t="e">
        <v>#VALUE!</v>
      </c>
      <c r="V38" s="106" t="e">
        <v>#VALUE!</v>
      </c>
      <c r="Y38">
        <v>2</v>
      </c>
      <c r="Z38" t="str">
        <f t="shared" ref="Z38:Z47" si="14">Y38&amp;"M"</f>
        <v>2M</v>
      </c>
      <c r="AA38" s="258" t="e">
        <f>_xll.qlCalendarAdvance(Calendar,SettlementDate,Z38,"MF",TRUE)</f>
        <v>#NUM!</v>
      </c>
      <c r="AB38" s="272" t="e">
        <f>_xll.qlInterpolationInterpolate(FwdInterpolator,AA38)</f>
        <v>#VALUE!</v>
      </c>
    </row>
    <row r="39" spans="1:28" s="21" customFormat="1" x14ac:dyDescent="0.2">
      <c r="A39" t="b">
        <v>0</v>
      </c>
      <c r="B39" s="91" t="e">
        <f>"FUT"&amp;IndexTenor&amp;_xll.qlIMMNextCodes(D38,A39)</f>
        <v>#NUM!</v>
      </c>
      <c r="C39" s="91" t="e">
        <f t="shared" ref="C39:C49" si="15">RateHelperPrefix&amp;$B39</f>
        <v>#NUM!</v>
      </c>
      <c r="D39" s="23" t="e">
        <f>_xll.qlRateHelperEarliestDate($C39,EvaluationDate)</f>
        <v>#VALUE!</v>
      </c>
      <c r="E39" s="23" t="e">
        <f>_xll.qlRateHelperLatestDate($C39,EvaluationDate)</f>
        <v>#VALUE!</v>
      </c>
      <c r="F39" s="204" t="e">
        <f>_xll.qlRateHelperQuoteValue($C39,SheetTrigger)</f>
        <v>#VALUE!</v>
      </c>
      <c r="G39" s="157" t="e">
        <f>_xll.qlFuturesRateHelperConvexityAdjustment($C39,SheetTrigger)</f>
        <v>#VALUE!</v>
      </c>
      <c r="H39" s="23" t="e">
        <f t="shared" si="12"/>
        <v>#VALUE!</v>
      </c>
      <c r="I39" s="25" t="b">
        <f t="shared" ref="I39:I49" si="16">ISNA(VLOOKUP(H39,$H$23:$H$37,1,FALSE))</f>
        <v>0</v>
      </c>
      <c r="J39" s="26" t="e">
        <f t="shared" ref="J39:J49" si="17">1-$F39/100-$G39</f>
        <v>#VALUE!</v>
      </c>
      <c r="K39" s="200" t="b">
        <f t="shared" si="13"/>
        <v>0</v>
      </c>
      <c r="L39" s="25" t="e">
        <f t="shared" si="1"/>
        <v>#VALUE!</v>
      </c>
      <c r="M39" s="25" t="e">
        <f t="shared" si="2"/>
        <v>#VALUE!</v>
      </c>
      <c r="N39" s="100" t="b">
        <f t="shared" ref="N39:N49" si="18">IF(K39,AND(NOT($L39),NOT($M39)),FALSE)</f>
        <v>0</v>
      </c>
      <c r="O39" s="26" t="e">
        <f>_xll.qlInterpolationInterpolate($O$22,$H39)</f>
        <v>#VALUE!</v>
      </c>
      <c r="P39" s="162" t="e">
        <f t="shared" si="7"/>
        <v>#VALUE!</v>
      </c>
      <c r="Q39" s="87" t="e">
        <f>_xll.qlDayCounterYearFraction(DayCounter,$H39,$E39)</f>
        <v>#NUM!</v>
      </c>
      <c r="R39" s="160" t="e">
        <f t="shared" si="8"/>
        <v>#VALUE!</v>
      </c>
      <c r="S39" s="102" t="e">
        <f t="shared" ref="S39:S49" si="19">IF($L39,(TOY*(1+$J39*$Q39)-1)/$Q39,IF($M39,(_TOY2*(1+$J39*$Q39)-1)/$Q39,$J39))</f>
        <v>#VALUE!</v>
      </c>
      <c r="T39" s="277" t="e">
        <f>S39-J39</f>
        <v>#VALUE!</v>
      </c>
      <c r="U39" s="35" t="e">
        <v>#VALUE!</v>
      </c>
      <c r="V39" s="106" t="e">
        <v>#VALUE!</v>
      </c>
      <c r="Y39">
        <v>3</v>
      </c>
      <c r="Z39" t="str">
        <f t="shared" si="14"/>
        <v>3M</v>
      </c>
      <c r="AA39" s="258" t="e">
        <f>_xll.qlCalendarAdvance(Calendar,SettlementDate,Z39,"MF",TRUE)</f>
        <v>#NUM!</v>
      </c>
      <c r="AB39" s="272" t="e">
        <f>_xll.qlInterpolationInterpolate(FwdInterpolator,AA39)</f>
        <v>#VALUE!</v>
      </c>
    </row>
    <row r="40" spans="1:28" s="21" customFormat="1" x14ac:dyDescent="0.2">
      <c r="A40" t="b">
        <v>0</v>
      </c>
      <c r="B40" s="91" t="e">
        <f>"FUT"&amp;IndexTenor&amp;_xll.qlIMMNextCodes(D39,A40)</f>
        <v>#NUM!</v>
      </c>
      <c r="C40" s="91" t="e">
        <f t="shared" si="15"/>
        <v>#NUM!</v>
      </c>
      <c r="D40" s="23" t="e">
        <f>_xll.qlRateHelperEarliestDate($C40,EvaluationDate)</f>
        <v>#VALUE!</v>
      </c>
      <c r="E40" s="23" t="e">
        <f>_xll.qlRateHelperLatestDate($C40,EvaluationDate)</f>
        <v>#VALUE!</v>
      </c>
      <c r="F40" s="204" t="e">
        <f>_xll.qlRateHelperQuoteValue($C40,SheetTrigger)</f>
        <v>#VALUE!</v>
      </c>
      <c r="G40" s="157" t="e">
        <f>_xll.qlFuturesRateHelperConvexityAdjustment($C40,SheetTrigger)</f>
        <v>#VALUE!</v>
      </c>
      <c r="H40" s="23" t="e">
        <f t="shared" si="12"/>
        <v>#VALUE!</v>
      </c>
      <c r="I40" s="25" t="b">
        <f t="shared" si="16"/>
        <v>0</v>
      </c>
      <c r="J40" s="26" t="e">
        <f t="shared" si="17"/>
        <v>#VALUE!</v>
      </c>
      <c r="K40" s="200" t="b">
        <f t="shared" si="13"/>
        <v>0</v>
      </c>
      <c r="L40" s="25" t="e">
        <f t="shared" si="1"/>
        <v>#VALUE!</v>
      </c>
      <c r="M40" s="25" t="e">
        <f t="shared" si="2"/>
        <v>#VALUE!</v>
      </c>
      <c r="N40" s="100" t="b">
        <f t="shared" si="18"/>
        <v>0</v>
      </c>
      <c r="O40" s="26" t="e">
        <f>_xll.qlInterpolationInterpolate($O$22,$H40)</f>
        <v>#VALUE!</v>
      </c>
      <c r="P40" s="162" t="e">
        <f t="shared" si="7"/>
        <v>#VALUE!</v>
      </c>
      <c r="Q40" s="87" t="e">
        <f>_xll.qlDayCounterYearFraction(DayCounter,$H40,$E40)</f>
        <v>#NUM!</v>
      </c>
      <c r="R40" s="160" t="e">
        <f t="shared" si="8"/>
        <v>#VALUE!</v>
      </c>
      <c r="S40" s="102" t="e">
        <f t="shared" si="19"/>
        <v>#VALUE!</v>
      </c>
      <c r="T40" s="277" t="e">
        <f t="shared" ref="T40:T49" si="20">S40-J40</f>
        <v>#VALUE!</v>
      </c>
      <c r="U40" s="35" t="e">
        <v>#VALUE!</v>
      </c>
      <c r="V40" s="106" t="e">
        <v>#VALUE!</v>
      </c>
      <c r="Y40">
        <v>4</v>
      </c>
      <c r="Z40" t="str">
        <f t="shared" si="14"/>
        <v>4M</v>
      </c>
      <c r="AA40" s="258" t="e">
        <f>_xll.qlCalendarAdvance(Calendar,SettlementDate,Z40,"MF",TRUE)</f>
        <v>#NUM!</v>
      </c>
      <c r="AB40" s="272" t="e">
        <f>_xll.qlInterpolationInterpolate(FwdInterpolator,AA40)</f>
        <v>#VALUE!</v>
      </c>
    </row>
    <row r="41" spans="1:28" s="21" customFormat="1" x14ac:dyDescent="0.2">
      <c r="A41" t="b">
        <v>0</v>
      </c>
      <c r="B41" s="91" t="e">
        <f>"FUT"&amp;IndexTenor&amp;_xll.qlIMMNextCodes(D40,A41)</f>
        <v>#NUM!</v>
      </c>
      <c r="C41" s="91" t="e">
        <f t="shared" si="15"/>
        <v>#NUM!</v>
      </c>
      <c r="D41" s="23" t="e">
        <f>_xll.qlRateHelperEarliestDate($C41,EvaluationDate)</f>
        <v>#VALUE!</v>
      </c>
      <c r="E41" s="23" t="e">
        <f>_xll.qlRateHelperLatestDate($C41,EvaluationDate)</f>
        <v>#VALUE!</v>
      </c>
      <c r="F41" s="204" t="e">
        <f>_xll.qlRateHelperQuoteValue($C41,SheetTrigger)</f>
        <v>#VALUE!</v>
      </c>
      <c r="G41" s="157" t="e">
        <f>_xll.qlFuturesRateHelperConvexityAdjustment($C41,SheetTrigger)</f>
        <v>#VALUE!</v>
      </c>
      <c r="H41" s="23" t="e">
        <f t="shared" si="12"/>
        <v>#VALUE!</v>
      </c>
      <c r="I41" s="25" t="b">
        <f t="shared" si="16"/>
        <v>0</v>
      </c>
      <c r="J41" s="26" t="e">
        <f t="shared" si="17"/>
        <v>#VALUE!</v>
      </c>
      <c r="K41" s="200" t="b">
        <f t="shared" si="13"/>
        <v>0</v>
      </c>
      <c r="L41" s="25" t="e">
        <f t="shared" si="1"/>
        <v>#VALUE!</v>
      </c>
      <c r="M41" s="25" t="e">
        <f t="shared" si="2"/>
        <v>#VALUE!</v>
      </c>
      <c r="N41" s="100" t="b">
        <f t="shared" si="18"/>
        <v>0</v>
      </c>
      <c r="O41" s="26" t="e">
        <f>_xll.qlInterpolationInterpolate($O$22,$H41)</f>
        <v>#VALUE!</v>
      </c>
      <c r="P41" s="162" t="e">
        <f t="shared" si="7"/>
        <v>#VALUE!</v>
      </c>
      <c r="Q41" s="87" t="e">
        <f>_xll.qlDayCounterYearFraction(DayCounter,$H41,$E41)</f>
        <v>#NUM!</v>
      </c>
      <c r="R41" s="160" t="e">
        <f t="shared" si="8"/>
        <v>#VALUE!</v>
      </c>
      <c r="S41" s="102" t="e">
        <f t="shared" si="19"/>
        <v>#VALUE!</v>
      </c>
      <c r="T41" s="277" t="e">
        <f t="shared" si="20"/>
        <v>#VALUE!</v>
      </c>
      <c r="U41" s="35" t="e">
        <v>#VALUE!</v>
      </c>
      <c r="V41" s="106" t="e">
        <v>#VALUE!</v>
      </c>
      <c r="Y41">
        <v>5</v>
      </c>
      <c r="Z41" t="str">
        <f t="shared" si="14"/>
        <v>5M</v>
      </c>
      <c r="AA41" s="258" t="e">
        <f>_xll.qlCalendarAdvance(Calendar,SettlementDate,Z41,"MF",TRUE)</f>
        <v>#NUM!</v>
      </c>
      <c r="AB41" s="272" t="e">
        <f>_xll.qlInterpolationInterpolate(FwdInterpolator,AA41)</f>
        <v>#VALUE!</v>
      </c>
    </row>
    <row r="42" spans="1:28" s="21" customFormat="1" x14ac:dyDescent="0.2">
      <c r="A42" t="b">
        <v>0</v>
      </c>
      <c r="B42" s="91" t="e">
        <f>"FUT"&amp;IndexTenor&amp;_xll.qlIMMNextCodes(D41,A42)</f>
        <v>#NUM!</v>
      </c>
      <c r="C42" s="91" t="e">
        <f t="shared" si="15"/>
        <v>#NUM!</v>
      </c>
      <c r="D42" s="23" t="e">
        <f>_xll.qlRateHelperEarliestDate($C42,EvaluationDate)</f>
        <v>#VALUE!</v>
      </c>
      <c r="E42" s="23" t="e">
        <f>_xll.qlRateHelperLatestDate($C42,EvaluationDate)</f>
        <v>#VALUE!</v>
      </c>
      <c r="F42" s="204" t="e">
        <f>_xll.qlRateHelperQuoteValue($C42,SheetTrigger)</f>
        <v>#VALUE!</v>
      </c>
      <c r="G42" s="157" t="e">
        <f>_xll.qlFuturesRateHelperConvexityAdjustment($C42,SheetTrigger)</f>
        <v>#VALUE!</v>
      </c>
      <c r="H42" s="23" t="e">
        <f t="shared" si="12"/>
        <v>#VALUE!</v>
      </c>
      <c r="I42" s="25" t="b">
        <f t="shared" si="16"/>
        <v>0</v>
      </c>
      <c r="J42" s="26" t="e">
        <f t="shared" si="17"/>
        <v>#VALUE!</v>
      </c>
      <c r="K42" s="200" t="b">
        <f t="shared" si="13"/>
        <v>0</v>
      </c>
      <c r="L42" s="25" t="e">
        <f t="shared" si="1"/>
        <v>#VALUE!</v>
      </c>
      <c r="M42" s="25" t="e">
        <f t="shared" si="2"/>
        <v>#VALUE!</v>
      </c>
      <c r="N42" s="100" t="b">
        <f t="shared" si="18"/>
        <v>0</v>
      </c>
      <c r="O42" s="26" t="e">
        <f>_xll.qlInterpolationInterpolate($O$22,$H42)</f>
        <v>#VALUE!</v>
      </c>
      <c r="P42" s="162" t="e">
        <f t="shared" si="7"/>
        <v>#VALUE!</v>
      </c>
      <c r="Q42" s="87" t="e">
        <f>_xll.qlDayCounterYearFraction(DayCounter,$H42,$E42)</f>
        <v>#NUM!</v>
      </c>
      <c r="R42" s="160" t="e">
        <f t="shared" si="8"/>
        <v>#VALUE!</v>
      </c>
      <c r="S42" s="102" t="e">
        <f t="shared" si="19"/>
        <v>#VALUE!</v>
      </c>
      <c r="T42" s="277" t="e">
        <f t="shared" si="20"/>
        <v>#VALUE!</v>
      </c>
      <c r="U42" s="35" t="e">
        <v>#VALUE!</v>
      </c>
      <c r="V42" s="106" t="e">
        <v>#VALUE!</v>
      </c>
      <c r="Y42">
        <v>6</v>
      </c>
      <c r="Z42" t="str">
        <f t="shared" si="14"/>
        <v>6M</v>
      </c>
      <c r="AA42" s="258" t="e">
        <f>_xll.qlCalendarAdvance(Calendar,SettlementDate,Z42,"MF",TRUE)</f>
        <v>#NUM!</v>
      </c>
      <c r="AB42" s="272" t="e">
        <f>_xll.qlInterpolationInterpolate(FwdInterpolator,AA42)</f>
        <v>#VALUE!</v>
      </c>
    </row>
    <row r="43" spans="1:28" s="21" customFormat="1" x14ac:dyDescent="0.2">
      <c r="A43" t="b">
        <v>0</v>
      </c>
      <c r="B43" s="91" t="e">
        <f>"FUT"&amp;IndexTenor&amp;_xll.qlIMMNextCodes(D42,A43)</f>
        <v>#NUM!</v>
      </c>
      <c r="C43" s="91" t="e">
        <f t="shared" si="15"/>
        <v>#NUM!</v>
      </c>
      <c r="D43" s="23" t="e">
        <f>_xll.qlRateHelperEarliestDate($C43,EvaluationDate)</f>
        <v>#VALUE!</v>
      </c>
      <c r="E43" s="23" t="e">
        <f>_xll.qlRateHelperLatestDate($C43,EvaluationDate)</f>
        <v>#VALUE!</v>
      </c>
      <c r="F43" s="204" t="e">
        <f>_xll.qlRateHelperQuoteValue($C43,SheetTrigger)</f>
        <v>#VALUE!</v>
      </c>
      <c r="G43" s="157" t="e">
        <f>_xll.qlFuturesRateHelperConvexityAdjustment($C43,SheetTrigger)</f>
        <v>#VALUE!</v>
      </c>
      <c r="H43" s="23" t="e">
        <f t="shared" si="12"/>
        <v>#VALUE!</v>
      </c>
      <c r="I43" s="25" t="b">
        <f t="shared" si="16"/>
        <v>0</v>
      </c>
      <c r="J43" s="26" t="e">
        <f t="shared" si="17"/>
        <v>#VALUE!</v>
      </c>
      <c r="K43" s="200" t="b">
        <f t="shared" si="13"/>
        <v>0</v>
      </c>
      <c r="L43" s="25" t="e">
        <f t="shared" si="1"/>
        <v>#VALUE!</v>
      </c>
      <c r="M43" s="25" t="e">
        <f t="shared" si="2"/>
        <v>#VALUE!</v>
      </c>
      <c r="N43" s="100" t="b">
        <f t="shared" si="18"/>
        <v>0</v>
      </c>
      <c r="O43" s="26" t="e">
        <f>_xll.qlInterpolationInterpolate($O$22,$H43)</f>
        <v>#VALUE!</v>
      </c>
      <c r="P43" s="162" t="e">
        <f t="shared" si="7"/>
        <v>#VALUE!</v>
      </c>
      <c r="Q43" s="87" t="e">
        <f>_xll.qlDayCounterYearFraction(DayCounter,$H43,$E43)</f>
        <v>#NUM!</v>
      </c>
      <c r="R43" s="160" t="e">
        <f t="shared" si="8"/>
        <v>#VALUE!</v>
      </c>
      <c r="S43" s="102" t="e">
        <f t="shared" si="19"/>
        <v>#VALUE!</v>
      </c>
      <c r="T43" s="277" t="e">
        <f t="shared" si="20"/>
        <v>#VALUE!</v>
      </c>
      <c r="U43" s="35" t="e">
        <v>#VALUE!</v>
      </c>
      <c r="V43" s="106" t="e">
        <v>#VALUE!</v>
      </c>
      <c r="Y43">
        <v>7</v>
      </c>
      <c r="Z43" t="str">
        <f t="shared" si="14"/>
        <v>7M</v>
      </c>
      <c r="AA43" s="258" t="e">
        <f>_xll.qlCalendarAdvance(Calendar,SettlementDate,Z43,"MF",TRUE)</f>
        <v>#NUM!</v>
      </c>
      <c r="AB43" s="272" t="e">
        <f>_xll.qlInterpolationInterpolate(FwdInterpolator,AA43)</f>
        <v>#VALUE!</v>
      </c>
    </row>
    <row r="44" spans="1:28" s="21" customFormat="1" x14ac:dyDescent="0.2">
      <c r="A44" t="b">
        <v>0</v>
      </c>
      <c r="B44" s="91" t="e">
        <f>"FUT"&amp;IndexTenor&amp;_xll.qlIMMNextCodes(D43,A44)</f>
        <v>#NUM!</v>
      </c>
      <c r="C44" s="91" t="e">
        <f t="shared" si="15"/>
        <v>#NUM!</v>
      </c>
      <c r="D44" s="23" t="e">
        <f>_xll.qlRateHelperEarliestDate($C44,EvaluationDate)</f>
        <v>#VALUE!</v>
      </c>
      <c r="E44" s="23" t="e">
        <f>_xll.qlRateHelperLatestDate($C44,EvaluationDate)</f>
        <v>#VALUE!</v>
      </c>
      <c r="F44" s="204" t="e">
        <f>_xll.qlRateHelperQuoteValue($C44,SheetTrigger)</f>
        <v>#VALUE!</v>
      </c>
      <c r="G44" s="157" t="e">
        <f>_xll.qlFuturesRateHelperConvexityAdjustment($C44,SheetTrigger)</f>
        <v>#VALUE!</v>
      </c>
      <c r="H44" s="23" t="e">
        <f t="shared" si="12"/>
        <v>#VALUE!</v>
      </c>
      <c r="I44" s="25" t="b">
        <f t="shared" si="16"/>
        <v>0</v>
      </c>
      <c r="J44" s="26" t="e">
        <f t="shared" si="17"/>
        <v>#VALUE!</v>
      </c>
      <c r="K44" s="200" t="b">
        <f t="shared" si="13"/>
        <v>0</v>
      </c>
      <c r="L44" s="25" t="e">
        <f t="shared" si="1"/>
        <v>#VALUE!</v>
      </c>
      <c r="M44" s="25" t="e">
        <f t="shared" si="2"/>
        <v>#VALUE!</v>
      </c>
      <c r="N44" s="100" t="b">
        <f t="shared" si="18"/>
        <v>0</v>
      </c>
      <c r="O44" s="26" t="e">
        <f>_xll.qlInterpolationInterpolate($O$22,$H44)</f>
        <v>#VALUE!</v>
      </c>
      <c r="P44" s="162" t="e">
        <f t="shared" si="7"/>
        <v>#VALUE!</v>
      </c>
      <c r="Q44" s="87" t="e">
        <f>_xll.qlDayCounterYearFraction(DayCounter,$H44,$E44)</f>
        <v>#NUM!</v>
      </c>
      <c r="R44" s="160" t="e">
        <f t="shared" si="8"/>
        <v>#VALUE!</v>
      </c>
      <c r="S44" s="102" t="e">
        <f t="shared" si="19"/>
        <v>#VALUE!</v>
      </c>
      <c r="T44" s="277" t="e">
        <f t="shared" si="20"/>
        <v>#VALUE!</v>
      </c>
      <c r="U44" s="35" t="e">
        <v>#VALUE!</v>
      </c>
      <c r="V44" s="106" t="e">
        <v>#VALUE!</v>
      </c>
      <c r="Y44">
        <v>8</v>
      </c>
      <c r="Z44" t="str">
        <f t="shared" si="14"/>
        <v>8M</v>
      </c>
      <c r="AA44" s="258" t="e">
        <f>_xll.qlCalendarAdvance(Calendar,SettlementDate,Z44,"MF",TRUE)</f>
        <v>#NUM!</v>
      </c>
      <c r="AB44" s="272" t="e">
        <f>_xll.qlInterpolationInterpolate(FwdInterpolator,AA44)</f>
        <v>#VALUE!</v>
      </c>
    </row>
    <row r="45" spans="1:28" s="21" customFormat="1" x14ac:dyDescent="0.2">
      <c r="A45" t="b">
        <v>0</v>
      </c>
      <c r="B45" s="91" t="e">
        <f>"FUT"&amp;IndexTenor&amp;_xll.qlIMMNextCodes(D44,A45)</f>
        <v>#NUM!</v>
      </c>
      <c r="C45" s="91" t="e">
        <f t="shared" si="15"/>
        <v>#NUM!</v>
      </c>
      <c r="D45" s="23" t="e">
        <f>_xll.qlRateHelperEarliestDate($C45,EvaluationDate)</f>
        <v>#VALUE!</v>
      </c>
      <c r="E45" s="23" t="e">
        <f>_xll.qlRateHelperLatestDate($C45,EvaluationDate)</f>
        <v>#VALUE!</v>
      </c>
      <c r="F45" s="204" t="e">
        <f>_xll.qlRateHelperQuoteValue($C45,SheetTrigger)</f>
        <v>#VALUE!</v>
      </c>
      <c r="G45" s="157" t="e">
        <f>_xll.qlFuturesRateHelperConvexityAdjustment($C45,SheetTrigger)</f>
        <v>#VALUE!</v>
      </c>
      <c r="H45" s="23" t="e">
        <f t="shared" si="12"/>
        <v>#VALUE!</v>
      </c>
      <c r="I45" s="25" t="b">
        <f t="shared" si="16"/>
        <v>0</v>
      </c>
      <c r="J45" s="26" t="e">
        <f t="shared" si="17"/>
        <v>#VALUE!</v>
      </c>
      <c r="K45" s="200" t="b">
        <f t="shared" si="13"/>
        <v>0</v>
      </c>
      <c r="L45" s="25" t="e">
        <f t="shared" si="1"/>
        <v>#VALUE!</v>
      </c>
      <c r="M45" s="25" t="e">
        <f t="shared" si="2"/>
        <v>#VALUE!</v>
      </c>
      <c r="N45" s="100" t="b">
        <f t="shared" si="18"/>
        <v>0</v>
      </c>
      <c r="O45" s="26" t="e">
        <f>_xll.qlInterpolationInterpolate($O$22,$H45)</f>
        <v>#VALUE!</v>
      </c>
      <c r="P45" s="162" t="e">
        <f t="shared" si="7"/>
        <v>#VALUE!</v>
      </c>
      <c r="Q45" s="87" t="e">
        <f>_xll.qlDayCounterYearFraction(DayCounter,$H45,$E45)</f>
        <v>#NUM!</v>
      </c>
      <c r="R45" s="160" t="e">
        <f t="shared" si="8"/>
        <v>#VALUE!</v>
      </c>
      <c r="S45" s="102" t="e">
        <f t="shared" si="19"/>
        <v>#VALUE!</v>
      </c>
      <c r="T45" s="277" t="e">
        <f t="shared" si="20"/>
        <v>#VALUE!</v>
      </c>
      <c r="U45" s="35" t="e">
        <v>#VALUE!</v>
      </c>
      <c r="V45" s="106" t="e">
        <v>#VALUE!</v>
      </c>
      <c r="Y45">
        <v>9</v>
      </c>
      <c r="Z45" t="str">
        <f t="shared" si="14"/>
        <v>9M</v>
      </c>
      <c r="AA45" s="258" t="e">
        <f>_xll.qlCalendarAdvance(Calendar,SettlementDate,Z45,"MF",TRUE)</f>
        <v>#NUM!</v>
      </c>
      <c r="AB45" s="272" t="e">
        <f>_xll.qlInterpolationInterpolate(FwdInterpolator,AA45)</f>
        <v>#VALUE!</v>
      </c>
    </row>
    <row r="46" spans="1:28" s="21" customFormat="1" x14ac:dyDescent="0.2">
      <c r="A46" t="b">
        <v>0</v>
      </c>
      <c r="B46" s="91" t="e">
        <f>"FUT"&amp;IndexTenor&amp;_xll.qlIMMNextCodes(D45,A46)</f>
        <v>#NUM!</v>
      </c>
      <c r="C46" s="91" t="e">
        <f t="shared" si="15"/>
        <v>#NUM!</v>
      </c>
      <c r="D46" s="23" t="e">
        <f>_xll.qlRateHelperEarliestDate($C46,EvaluationDate)</f>
        <v>#VALUE!</v>
      </c>
      <c r="E46" s="23" t="e">
        <f>_xll.qlRateHelperLatestDate($C46,EvaluationDate)</f>
        <v>#VALUE!</v>
      </c>
      <c r="F46" s="204" t="e">
        <f>_xll.qlRateHelperQuoteValue($C46,SheetTrigger)</f>
        <v>#VALUE!</v>
      </c>
      <c r="G46" s="157" t="e">
        <f>_xll.qlFuturesRateHelperConvexityAdjustment($C46,SheetTrigger)</f>
        <v>#VALUE!</v>
      </c>
      <c r="H46" s="23" t="e">
        <f t="shared" si="12"/>
        <v>#VALUE!</v>
      </c>
      <c r="I46" s="25" t="b">
        <f t="shared" si="16"/>
        <v>0</v>
      </c>
      <c r="J46" s="26" t="e">
        <f t="shared" si="17"/>
        <v>#VALUE!</v>
      </c>
      <c r="K46" s="200" t="b">
        <f t="shared" si="13"/>
        <v>0</v>
      </c>
      <c r="L46" s="25" t="e">
        <f t="shared" si="1"/>
        <v>#VALUE!</v>
      </c>
      <c r="M46" s="25" t="e">
        <f t="shared" si="2"/>
        <v>#VALUE!</v>
      </c>
      <c r="N46" s="100" t="b">
        <f t="shared" si="18"/>
        <v>0</v>
      </c>
      <c r="O46" s="26" t="e">
        <f>_xll.qlInterpolationInterpolate($O$22,$H46)</f>
        <v>#VALUE!</v>
      </c>
      <c r="P46" s="162" t="e">
        <f t="shared" si="7"/>
        <v>#VALUE!</v>
      </c>
      <c r="Q46" s="87" t="e">
        <f>_xll.qlDayCounterYearFraction(DayCounter,$H46,$E46)</f>
        <v>#NUM!</v>
      </c>
      <c r="R46" s="160" t="e">
        <f t="shared" si="8"/>
        <v>#VALUE!</v>
      </c>
      <c r="S46" s="102" t="e">
        <f t="shared" si="19"/>
        <v>#VALUE!</v>
      </c>
      <c r="T46" s="277" t="e">
        <f t="shared" si="20"/>
        <v>#VALUE!</v>
      </c>
      <c r="U46" s="35" t="e">
        <v>#VALUE!</v>
      </c>
      <c r="V46" s="106" t="e">
        <v>#VALUE!</v>
      </c>
      <c r="Y46">
        <v>10</v>
      </c>
      <c r="Z46" t="str">
        <f t="shared" si="14"/>
        <v>10M</v>
      </c>
      <c r="AA46" s="258" t="e">
        <f>_xll.qlCalendarAdvance(Calendar,SettlementDate,Z46,"MF",TRUE)</f>
        <v>#NUM!</v>
      </c>
      <c r="AB46" s="272" t="e">
        <f>_xll.qlInterpolationInterpolate(FwdInterpolator,AA46)</f>
        <v>#VALUE!</v>
      </c>
    </row>
    <row r="47" spans="1:28" s="21" customFormat="1" x14ac:dyDescent="0.2">
      <c r="A47" t="b">
        <v>0</v>
      </c>
      <c r="B47" s="91" t="e">
        <f>"FUT"&amp;IndexTenor&amp;_xll.qlIMMNextCodes(D46,A47)</f>
        <v>#NUM!</v>
      </c>
      <c r="C47" s="91" t="e">
        <f t="shared" si="15"/>
        <v>#NUM!</v>
      </c>
      <c r="D47" s="23" t="e">
        <f>_xll.qlRateHelperEarliestDate($C47,EvaluationDate)</f>
        <v>#VALUE!</v>
      </c>
      <c r="E47" s="23" t="e">
        <f>_xll.qlRateHelperLatestDate($C47,EvaluationDate)</f>
        <v>#VALUE!</v>
      </c>
      <c r="F47" s="204" t="e">
        <f>_xll.qlRateHelperQuoteValue($C47,SheetTrigger)</f>
        <v>#VALUE!</v>
      </c>
      <c r="G47" s="157" t="e">
        <f>_xll.qlFuturesRateHelperConvexityAdjustment($C47,SheetTrigger)</f>
        <v>#VALUE!</v>
      </c>
      <c r="H47" s="23" t="e">
        <f t="shared" si="12"/>
        <v>#VALUE!</v>
      </c>
      <c r="I47" s="25" t="b">
        <f t="shared" si="16"/>
        <v>0</v>
      </c>
      <c r="J47" s="26" t="e">
        <f t="shared" si="17"/>
        <v>#VALUE!</v>
      </c>
      <c r="K47" s="200" t="b">
        <f t="shared" si="13"/>
        <v>0</v>
      </c>
      <c r="L47" s="25" t="e">
        <f t="shared" si="1"/>
        <v>#VALUE!</v>
      </c>
      <c r="M47" s="25" t="e">
        <f t="shared" si="2"/>
        <v>#VALUE!</v>
      </c>
      <c r="N47" s="100" t="b">
        <f t="shared" si="18"/>
        <v>0</v>
      </c>
      <c r="O47" s="26" t="e">
        <f>_xll.qlInterpolationInterpolate($O$22,$H47)</f>
        <v>#VALUE!</v>
      </c>
      <c r="P47" s="162" t="e">
        <f t="shared" si="7"/>
        <v>#VALUE!</v>
      </c>
      <c r="Q47" s="87" t="e">
        <f>_xll.qlDayCounterYearFraction(DayCounter,$H47,$E47)</f>
        <v>#NUM!</v>
      </c>
      <c r="R47" s="160" t="e">
        <f t="shared" si="8"/>
        <v>#VALUE!</v>
      </c>
      <c r="S47" s="102" t="e">
        <f t="shared" si="19"/>
        <v>#VALUE!</v>
      </c>
      <c r="T47" s="277" t="e">
        <f t="shared" si="20"/>
        <v>#VALUE!</v>
      </c>
      <c r="U47" s="35" t="e">
        <v>#VALUE!</v>
      </c>
      <c r="V47" s="106" t="e">
        <v>#VALUE!</v>
      </c>
      <c r="Y47">
        <v>11</v>
      </c>
      <c r="Z47" t="str">
        <f t="shared" si="14"/>
        <v>11M</v>
      </c>
      <c r="AA47" s="258" t="e">
        <f>_xll.qlCalendarAdvance(Calendar,SettlementDate,Z47,"MF",TRUE)</f>
        <v>#NUM!</v>
      </c>
      <c r="AB47" s="272" t="e">
        <f>_xll.qlInterpolationInterpolate(FwdInterpolator,AA47)</f>
        <v>#VALUE!</v>
      </c>
    </row>
    <row r="48" spans="1:28" s="21" customFormat="1" x14ac:dyDescent="0.2">
      <c r="A48" t="b">
        <v>0</v>
      </c>
      <c r="B48" s="91" t="e">
        <f>"FUT"&amp;IndexTenor&amp;_xll.qlIMMNextCodes(D47,A48)</f>
        <v>#NUM!</v>
      </c>
      <c r="C48" s="91" t="e">
        <f t="shared" si="15"/>
        <v>#NUM!</v>
      </c>
      <c r="D48" s="23" t="e">
        <f>_xll.qlRateHelperEarliestDate($C48,EvaluationDate)</f>
        <v>#VALUE!</v>
      </c>
      <c r="E48" s="23" t="e">
        <f>_xll.qlRateHelperLatestDate($C48,EvaluationDate)</f>
        <v>#VALUE!</v>
      </c>
      <c r="F48" s="204" t="e">
        <f>_xll.qlRateHelperQuoteValue($C48,SheetTrigger)</f>
        <v>#VALUE!</v>
      </c>
      <c r="G48" s="157" t="e">
        <f>_xll.qlFuturesRateHelperConvexityAdjustment($C48,SheetTrigger)</f>
        <v>#VALUE!</v>
      </c>
      <c r="H48" s="23" t="e">
        <f t="shared" si="12"/>
        <v>#VALUE!</v>
      </c>
      <c r="I48" s="25" t="b">
        <f t="shared" si="16"/>
        <v>0</v>
      </c>
      <c r="J48" s="26" t="e">
        <f t="shared" si="17"/>
        <v>#VALUE!</v>
      </c>
      <c r="K48" s="200" t="b">
        <f t="shared" si="13"/>
        <v>0</v>
      </c>
      <c r="L48" s="25" t="e">
        <f t="shared" si="1"/>
        <v>#VALUE!</v>
      </c>
      <c r="M48" s="25" t="e">
        <f t="shared" si="2"/>
        <v>#VALUE!</v>
      </c>
      <c r="N48" s="100" t="b">
        <f t="shared" si="18"/>
        <v>0</v>
      </c>
      <c r="O48" s="26" t="e">
        <f>_xll.qlInterpolationInterpolate($O$22,$H48)</f>
        <v>#VALUE!</v>
      </c>
      <c r="P48" s="162" t="e">
        <f t="shared" si="7"/>
        <v>#VALUE!</v>
      </c>
      <c r="Q48" s="87" t="e">
        <f>_xll.qlDayCounterYearFraction(DayCounter,$H48,$E48)</f>
        <v>#NUM!</v>
      </c>
      <c r="R48" s="160" t="e">
        <f t="shared" si="8"/>
        <v>#VALUE!</v>
      </c>
      <c r="S48" s="102" t="e">
        <f t="shared" si="19"/>
        <v>#VALUE!</v>
      </c>
      <c r="T48" s="277" t="e">
        <f t="shared" si="20"/>
        <v>#VALUE!</v>
      </c>
      <c r="U48" s="35" t="e">
        <v>#VALUE!</v>
      </c>
      <c r="V48" s="106" t="e">
        <v>#VALUE!</v>
      </c>
      <c r="Y48"/>
      <c r="Z48"/>
      <c r="AA48"/>
      <c r="AB48"/>
    </row>
    <row r="49" spans="1:28" s="21" customFormat="1" x14ac:dyDescent="0.2">
      <c r="A49" t="b">
        <v>0</v>
      </c>
      <c r="B49" s="92" t="e">
        <f>"FUT"&amp;IndexTenor&amp;_xll.qlIMMNextCodes(D48,A49)</f>
        <v>#NUM!</v>
      </c>
      <c r="C49" s="92" t="e">
        <f t="shared" si="15"/>
        <v>#NUM!</v>
      </c>
      <c r="D49" s="93" t="e">
        <f>_xll.qlRateHelperEarliestDate($C49,EvaluationDate)</f>
        <v>#VALUE!</v>
      </c>
      <c r="E49" s="93" t="e">
        <f>_xll.qlRateHelperLatestDate($C49,EvaluationDate)</f>
        <v>#VALUE!</v>
      </c>
      <c r="F49" s="205" t="e">
        <f>_xll.qlRateHelperQuoteValue($C49,SheetTrigger)</f>
        <v>#VALUE!</v>
      </c>
      <c r="G49" s="159" t="e">
        <f>_xll.qlFuturesRateHelperConvexityAdjustment($C49,SheetTrigger)</f>
        <v>#VALUE!</v>
      </c>
      <c r="H49" s="93" t="e">
        <f t="shared" si="12"/>
        <v>#VALUE!</v>
      </c>
      <c r="I49" s="39" t="b">
        <f t="shared" si="16"/>
        <v>0</v>
      </c>
      <c r="J49" s="37" t="e">
        <f t="shared" si="17"/>
        <v>#VALUE!</v>
      </c>
      <c r="K49" s="201" t="b">
        <f t="shared" si="13"/>
        <v>0</v>
      </c>
      <c r="L49" s="39" t="e">
        <f t="shared" si="1"/>
        <v>#VALUE!</v>
      </c>
      <c r="M49" s="39" t="e">
        <f t="shared" si="2"/>
        <v>#VALUE!</v>
      </c>
      <c r="N49" s="76" t="b">
        <f t="shared" si="18"/>
        <v>0</v>
      </c>
      <c r="O49" s="37" t="e">
        <f>_xll.qlInterpolationInterpolate($O$22,$H49)</f>
        <v>#VALUE!</v>
      </c>
      <c r="P49" s="163" t="e">
        <f t="shared" si="7"/>
        <v>#VALUE!</v>
      </c>
      <c r="Q49" s="88" t="e">
        <f>_xll.qlDayCounterYearFraction(DayCounter,$H49,$E49)</f>
        <v>#NUM!</v>
      </c>
      <c r="R49" s="173" t="e">
        <f t="shared" si="8"/>
        <v>#VALUE!</v>
      </c>
      <c r="S49" s="103" t="e">
        <f t="shared" si="19"/>
        <v>#VALUE!</v>
      </c>
      <c r="T49" s="276" t="e">
        <f t="shared" si="20"/>
        <v>#VALUE!</v>
      </c>
      <c r="U49" s="38" t="e">
        <v>#VALUE!</v>
      </c>
      <c r="V49" s="107" t="e">
        <v>#VALUE!</v>
      </c>
      <c r="Y49"/>
      <c r="Z49"/>
      <c r="AA49"/>
      <c r="AB49"/>
    </row>
    <row r="52" spans="1:28" x14ac:dyDescent="0.2">
      <c r="K52" s="28"/>
      <c r="Q52" s="27"/>
      <c r="R52" s="28"/>
      <c r="T52" s="29"/>
      <c r="U52" s="21"/>
    </row>
    <row r="53" spans="1:28" x14ac:dyDescent="0.2">
      <c r="K53" s="28"/>
      <c r="Q53" s="27"/>
      <c r="R53" s="28"/>
      <c r="T53" s="29"/>
      <c r="U53" s="21"/>
    </row>
    <row r="54" spans="1:28" x14ac:dyDescent="0.2">
      <c r="K54" s="28"/>
      <c r="Q54" s="27"/>
      <c r="R54" s="28"/>
      <c r="T54" s="29"/>
      <c r="U54" s="21"/>
    </row>
    <row r="55" spans="1:28" x14ac:dyDescent="0.2">
      <c r="K55" s="28"/>
      <c r="Q55" s="27"/>
      <c r="R55" s="28"/>
      <c r="T55" s="29"/>
      <c r="U55" s="21"/>
    </row>
    <row r="56" spans="1:28" x14ac:dyDescent="0.2">
      <c r="K56" s="28"/>
      <c r="Q56" s="27"/>
      <c r="R56" s="28"/>
      <c r="T56" s="29"/>
      <c r="U56" s="21"/>
    </row>
    <row r="57" spans="1:28" x14ac:dyDescent="0.2">
      <c r="K57" s="28"/>
      <c r="Q57" s="27"/>
      <c r="R57" s="28"/>
      <c r="T57" s="29"/>
      <c r="U57" s="21"/>
    </row>
    <row r="58" spans="1:28" x14ac:dyDescent="0.2">
      <c r="K58" s="28"/>
      <c r="Q58" s="27"/>
      <c r="R58" s="28"/>
      <c r="T58" s="29"/>
      <c r="U58" s="21"/>
    </row>
    <row r="59" spans="1:28" x14ac:dyDescent="0.2">
      <c r="K59" s="28"/>
      <c r="Q59" s="27"/>
      <c r="R59" s="28"/>
      <c r="T59" s="29"/>
      <c r="U59" s="21"/>
    </row>
    <row r="60" spans="1:28" x14ac:dyDescent="0.2">
      <c r="K60" s="28"/>
      <c r="Q60" s="27"/>
      <c r="R60" s="28"/>
      <c r="T60" s="29"/>
      <c r="U60" s="21"/>
    </row>
    <row r="61" spans="1:28" x14ac:dyDescent="0.2">
      <c r="K61" s="28"/>
      <c r="Q61" s="27"/>
      <c r="R61" s="28"/>
      <c r="T61" s="29"/>
      <c r="U61" s="21"/>
    </row>
    <row r="62" spans="1:28" x14ac:dyDescent="0.2">
      <c r="K62" s="28"/>
      <c r="Q62" s="27"/>
      <c r="R62" s="28"/>
      <c r="T62" s="29"/>
      <c r="U62" s="21"/>
    </row>
  </sheetData>
  <phoneticPr fontId="1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C58"/>
  <sheetViews>
    <sheetView topLeftCell="B1" workbookViewId="0">
      <selection activeCell="O2" sqref="O2"/>
    </sheetView>
  </sheetViews>
  <sheetFormatPr defaultRowHeight="11.25" x14ac:dyDescent="0.2"/>
  <cols>
    <col min="1" max="1" width="13.83203125" style="21" hidden="1" customWidth="1"/>
    <col min="2" max="2" width="17.6640625" style="21" bestFit="1" customWidth="1"/>
    <col min="3" max="3" width="23.6640625" style="21" bestFit="1" customWidth="1"/>
    <col min="4" max="5" width="16.5" style="21" bestFit="1" customWidth="1"/>
    <col min="6" max="6" width="8.83203125" style="21" bestFit="1" customWidth="1"/>
    <col min="7" max="7" width="8.33203125" style="21" bestFit="1" customWidth="1"/>
    <col min="8" max="8" width="16.5" style="21" bestFit="1" customWidth="1"/>
    <col min="9" max="9" width="6.6640625" style="21" bestFit="1" customWidth="1"/>
    <col min="10" max="10" width="8.33203125" style="21" bestFit="1" customWidth="1"/>
    <col min="11" max="14" width="6.6640625" style="21" bestFit="1" customWidth="1"/>
    <col min="15" max="15" width="14.6640625" style="21" bestFit="1" customWidth="1"/>
    <col min="16" max="16" width="6.33203125" style="21" bestFit="1" customWidth="1"/>
    <col min="17" max="18" width="9.33203125" style="21" bestFit="1"/>
    <col min="19" max="19" width="8.33203125" style="21" bestFit="1" customWidth="1"/>
    <col min="20" max="20" width="14.1640625" style="21" customWidth="1"/>
    <col min="21" max="21" width="16.5" style="21" bestFit="1" customWidth="1"/>
    <col min="22" max="22" width="9" style="21" bestFit="1" customWidth="1"/>
    <col min="23" max="23" width="2.5" style="21" customWidth="1"/>
    <col min="24" max="24" width="3.83203125" style="21" bestFit="1" customWidth="1"/>
    <col min="25" max="25" width="8.33203125" style="21" bestFit="1" customWidth="1"/>
    <col min="26" max="26" width="8" style="21" bestFit="1" customWidth="1"/>
    <col min="27" max="27" width="8.33203125" style="21" bestFit="1" customWidth="1"/>
    <col min="28" max="28" width="10" style="21" bestFit="1" customWidth="1"/>
    <col min="29" max="29" width="16.5" style="21" bestFit="1" customWidth="1"/>
    <col min="30" max="30" width="5.6640625" style="21" bestFit="1" customWidth="1"/>
    <col min="31" max="31" width="7.6640625" style="21" bestFit="1" customWidth="1"/>
    <col min="32" max="32" width="6.33203125" style="21" bestFit="1" customWidth="1"/>
    <col min="33" max="33" width="16.33203125" style="21" bestFit="1" customWidth="1"/>
    <col min="34" max="34" width="5.6640625" style="21" bestFit="1" customWidth="1"/>
    <col min="35" max="35" width="7.6640625" style="21" bestFit="1" customWidth="1"/>
    <col min="36" max="36" width="6.33203125" style="21" bestFit="1" customWidth="1"/>
    <col min="37" max="37" width="16.33203125" style="21" bestFit="1" customWidth="1"/>
    <col min="38" max="38" width="5.6640625" style="21" bestFit="1" customWidth="1"/>
    <col min="39" max="39" width="7.6640625" style="21" bestFit="1" customWidth="1"/>
    <col min="40" max="40" width="6.33203125" style="21" bestFit="1" customWidth="1"/>
    <col min="41" max="41" width="16.5" style="21" bestFit="1" customWidth="1"/>
    <col min="42" max="42" width="5.6640625" style="21" bestFit="1" customWidth="1"/>
    <col min="43" max="43" width="7.6640625" style="21" bestFit="1" customWidth="1"/>
    <col min="44" max="44" width="6.33203125" style="21" bestFit="1" customWidth="1"/>
    <col min="45" max="45" width="16.5" style="21" bestFit="1" customWidth="1"/>
    <col min="46" max="46" width="5.6640625" style="21" bestFit="1" customWidth="1"/>
    <col min="47" max="47" width="7.6640625" style="21" bestFit="1" customWidth="1"/>
    <col min="48" max="48" width="6.33203125" style="21" bestFit="1" customWidth="1"/>
    <col min="49" max="49" width="16.33203125" style="21" bestFit="1" customWidth="1"/>
    <col min="50" max="50" width="5.6640625" style="21" bestFit="1" customWidth="1"/>
    <col min="51" max="51" width="7.6640625" style="21" bestFit="1" customWidth="1"/>
    <col min="52" max="52" width="6.33203125" style="21" bestFit="1" customWidth="1"/>
    <col min="53" max="53" width="16.6640625" style="21" bestFit="1" customWidth="1"/>
    <col min="54" max="54" width="5.6640625" style="21" bestFit="1" customWidth="1"/>
    <col min="55" max="55" width="7.6640625" style="21" bestFit="1" customWidth="1"/>
    <col min="56" max="56" width="6.33203125" style="21" bestFit="1" customWidth="1"/>
    <col min="57" max="57" width="16.6640625" style="21" bestFit="1" customWidth="1"/>
    <col min="58" max="58" width="5.6640625" style="21" bestFit="1" customWidth="1"/>
    <col min="59" max="59" width="7.6640625" style="21" bestFit="1" customWidth="1"/>
    <col min="60" max="60" width="6.33203125" style="21" bestFit="1" customWidth="1"/>
    <col min="61" max="61" width="15.83203125" style="21" bestFit="1" customWidth="1"/>
    <col min="62" max="62" width="5.6640625" style="21" bestFit="1" customWidth="1"/>
    <col min="63" max="63" width="7.6640625" style="21" bestFit="1" customWidth="1"/>
    <col min="64" max="64" width="6.33203125" style="21" bestFit="1" customWidth="1"/>
    <col min="65" max="65" width="16.6640625" style="21" bestFit="1" customWidth="1"/>
    <col min="66" max="66" width="5.6640625" style="21" bestFit="1" customWidth="1"/>
    <col min="67" max="67" width="7.6640625" style="21" bestFit="1" customWidth="1"/>
    <col min="68" max="68" width="6.33203125" style="21" bestFit="1" customWidth="1"/>
    <col min="69" max="69" width="16.6640625" style="21" bestFit="1" customWidth="1"/>
    <col min="70" max="70" width="5.6640625" style="21" bestFit="1" customWidth="1"/>
    <col min="71" max="71" width="7.6640625" style="21" bestFit="1" customWidth="1"/>
    <col min="72" max="72" width="6.33203125" style="21" bestFit="1" customWidth="1"/>
    <col min="73" max="73" width="16.1640625" style="21" bestFit="1" customWidth="1"/>
    <col min="74" max="74" width="5.6640625" style="21" bestFit="1" customWidth="1"/>
    <col min="75" max="75" width="7.6640625" style="21" bestFit="1" customWidth="1"/>
    <col min="76" max="76" width="6.33203125" style="21" bestFit="1" customWidth="1"/>
    <col min="77" max="77" width="16" style="21" bestFit="1" customWidth="1"/>
    <col min="78" max="78" width="5.6640625" style="21" bestFit="1" customWidth="1"/>
    <col min="79" max="79" width="7.6640625" style="21" bestFit="1" customWidth="1"/>
    <col min="80" max="80" width="6.33203125" style="21" bestFit="1" customWidth="1"/>
    <col min="81" max="81" width="16.33203125" style="21" bestFit="1" customWidth="1"/>
    <col min="82" max="82" width="5.6640625" style="21" bestFit="1" customWidth="1"/>
    <col min="83" max="83" width="7.6640625" style="21" bestFit="1" customWidth="1"/>
    <col min="84" max="84" width="6.33203125" style="21" bestFit="1" customWidth="1"/>
    <col min="85" max="85" width="16.33203125" style="21" bestFit="1" customWidth="1"/>
    <col min="86" max="86" width="5.6640625" style="21" bestFit="1" customWidth="1"/>
    <col min="87" max="87" width="7.6640625" style="21" bestFit="1" customWidth="1"/>
    <col min="88" max="88" width="6.33203125" style="21" bestFit="1" customWidth="1"/>
    <col min="89" max="89" width="16.5" style="21" bestFit="1" customWidth="1"/>
    <col min="90" max="90" width="5.6640625" style="21" bestFit="1" customWidth="1"/>
    <col min="91" max="91" width="7.6640625" style="21" bestFit="1" customWidth="1"/>
    <col min="92" max="92" width="6.33203125" style="21" bestFit="1" customWidth="1"/>
    <col min="93" max="93" width="16.5" style="21" bestFit="1" customWidth="1"/>
    <col min="94" max="94" width="5.6640625" style="21" bestFit="1" customWidth="1"/>
    <col min="95" max="95" width="7.6640625" style="21" bestFit="1" customWidth="1"/>
    <col min="96" max="96" width="6.33203125" style="21" bestFit="1" customWidth="1"/>
    <col min="97" max="97" width="16.33203125" style="21" bestFit="1" customWidth="1"/>
    <col min="98" max="98" width="5.6640625" style="21" bestFit="1" customWidth="1"/>
    <col min="99" max="99" width="7.6640625" style="21" bestFit="1" customWidth="1"/>
    <col min="100" max="100" width="6.33203125" style="21" bestFit="1" customWidth="1"/>
    <col min="101" max="101" width="15.5" style="21" bestFit="1" customWidth="1"/>
    <col min="102" max="102" width="5.6640625" style="21" bestFit="1" customWidth="1"/>
    <col min="103" max="103" width="7.6640625" style="21" bestFit="1" customWidth="1"/>
    <col min="104" max="104" width="6.33203125" style="21" bestFit="1" customWidth="1"/>
    <col min="105" max="105" width="16.5" style="21" bestFit="1" customWidth="1"/>
    <col min="106" max="106" width="5.6640625" style="21" bestFit="1" customWidth="1"/>
    <col min="107" max="107" width="7.6640625" style="21" bestFit="1" customWidth="1"/>
    <col min="108" max="16384" width="9.33203125" style="21"/>
  </cols>
  <sheetData>
    <row r="1" spans="1:31" customFormat="1" x14ac:dyDescent="0.2">
      <c r="O1" s="170" t="s">
        <v>90</v>
      </c>
      <c r="U1" s="18" t="s">
        <v>38</v>
      </c>
      <c r="V1" s="21"/>
      <c r="Y1" s="273">
        <v>12</v>
      </c>
      <c r="AA1" s="280" t="s">
        <v>87</v>
      </c>
      <c r="AB1" s="281" t="b">
        <v>0</v>
      </c>
      <c r="AE1" s="21"/>
    </row>
    <row r="2" spans="1:31" customFormat="1" x14ac:dyDescent="0.2">
      <c r="O2" s="21" t="b">
        <v>0</v>
      </c>
      <c r="U2" s="22" t="e">
        <f>_xll.qlInterpolation(,DiscountInterpolationType,U3:U14,V3:V14)</f>
        <v>#NUM!</v>
      </c>
      <c r="V2" s="79"/>
      <c r="AA2" s="21"/>
      <c r="AB2" s="21"/>
    </row>
    <row r="3" spans="1:31" customFormat="1" x14ac:dyDescent="0.2">
      <c r="S3" s="290" t="e">
        <f>IF(D24=D34,Y4*(1+F24*S4),Y3)</f>
        <v>#NUM!</v>
      </c>
      <c r="U3" s="32" t="e">
        <f>D23</f>
        <v>#NUM!</v>
      </c>
      <c r="V3" s="82">
        <v>1</v>
      </c>
      <c r="Y3" s="296" t="e">
        <f t="shared" ref="Y3:Y11" si="0">IF(U3&gt;LastDayInYear,TOY,1)*IF(U3&gt;LastDayInNextYear,_TOY2,1)*V3</f>
        <v>#NUM!</v>
      </c>
      <c r="AA3" s="21"/>
      <c r="AB3" s="21"/>
    </row>
    <row r="4" spans="1:31" customFormat="1" x14ac:dyDescent="0.2">
      <c r="S4" t="e">
        <f>_xll.qlDayCounterYearFraction(DayCounter,U3,U4)</f>
        <v>#NUM!</v>
      </c>
      <c r="U4" s="35" t="e">
        <f>_xll.qlCalendarAdvance(Calendar,U3,IndexTenor,"Modified Following",TRUE)</f>
        <v>#NUM!</v>
      </c>
      <c r="V4" s="245" t="e">
        <f>V3/(1+_xll.qlInterpolationInterpolate(FwdInterpolator,U3,TRUE)*_xll.qlDayCounterYearFraction(DayCounter,U3,U4))</f>
        <v>#VALUE!</v>
      </c>
      <c r="Y4" s="297" t="e">
        <f t="shared" si="0"/>
        <v>#NUM!</v>
      </c>
      <c r="AA4" s="21"/>
      <c r="AB4" s="21"/>
    </row>
    <row r="5" spans="1:31" customFormat="1" x14ac:dyDescent="0.2">
      <c r="T5" s="295"/>
      <c r="U5" s="35" t="e">
        <f>_xll.qlCalendarAdvance(Calendar,U4,IndexTenor,"Modified Following",TRUE)</f>
        <v>#NUM!</v>
      </c>
      <c r="V5" s="82" t="e">
        <f>V4/(1+_xll.qlInterpolationInterpolate(FwdInterpolator,U4)*_xll.qlDayCounterYearFraction(DayCounter,U4,U5))</f>
        <v>#VALUE!</v>
      </c>
      <c r="Y5" s="297" t="e">
        <f t="shared" si="0"/>
        <v>#NUM!</v>
      </c>
      <c r="AA5" s="21"/>
      <c r="AB5" s="21"/>
    </row>
    <row r="6" spans="1:31" customFormat="1" x14ac:dyDescent="0.2">
      <c r="U6" s="35" t="e">
        <f>_xll.qlCalendarAdvance(Calendar,U5,IndexTenor,"Modified Following",TRUE)</f>
        <v>#NUM!</v>
      </c>
      <c r="V6" s="82" t="e">
        <f>V5/(1+_xll.qlInterpolationInterpolate(FwdInterpolator,U5)*_xll.qlDayCounterYearFraction(DayCounter,U5,U6))</f>
        <v>#VALUE!</v>
      </c>
      <c r="Y6" s="297" t="e">
        <f t="shared" si="0"/>
        <v>#NUM!</v>
      </c>
      <c r="AA6" s="21"/>
      <c r="AB6" s="21"/>
    </row>
    <row r="7" spans="1:31" customFormat="1" x14ac:dyDescent="0.2">
      <c r="T7" s="295" t="e">
        <f>_xll.qlDayCounterYearFraction($U$1,U3,U7)</f>
        <v>#NUM!</v>
      </c>
      <c r="U7" s="35" t="e">
        <f>_xll.qlCalendarAdvance(Calendar,U6,IndexTenor,"Modified Following",TRUE)</f>
        <v>#NUM!</v>
      </c>
      <c r="V7" s="82" t="e">
        <f>V6/(1+_xll.qlInterpolationInterpolate(FwdInterpolator,U6)*_xll.qlDayCounterYearFraction(DayCounter,U6,U7))</f>
        <v>#VALUE!</v>
      </c>
      <c r="Y7" s="297" t="e">
        <f t="shared" si="0"/>
        <v>#NUM!</v>
      </c>
      <c r="AA7" s="21"/>
      <c r="AB7" s="21"/>
    </row>
    <row r="8" spans="1:31" customFormat="1" x14ac:dyDescent="0.2">
      <c r="A8">
        <v>3</v>
      </c>
      <c r="B8" t="str">
        <f>"AM"&amp;Months&amp;"L"&amp;A8&amp;"Y"</f>
        <v>AM3L3Y</v>
      </c>
      <c r="C8" t="str">
        <f>RateHelperPrefix&amp;$B8</f>
        <v>USD_YC3MRH_AM3L3Y</v>
      </c>
      <c r="F8" s="318">
        <f>_xll.qlRateHelperQuoteValue(C8,SheetTrigger)</f>
        <v>6.8399999999999997E-3</v>
      </c>
      <c r="U8" s="35" t="e">
        <f>_xll.qlCalendarAdvance(Calendar,U7,IndexTenor,"Modified Following",TRUE)</f>
        <v>#NUM!</v>
      </c>
      <c r="V8" s="82" t="e">
        <f>V7/(1+_xll.qlInterpolationInterpolate(FwdInterpolator,U7)*_xll.qlDayCounterYearFraction(DayCounter,U7,U8))</f>
        <v>#VALUE!</v>
      </c>
      <c r="Y8" s="297" t="e">
        <f t="shared" si="0"/>
        <v>#NUM!</v>
      </c>
      <c r="Z8" s="21"/>
      <c r="AA8" s="21"/>
      <c r="AB8" s="21"/>
    </row>
    <row r="9" spans="1:31" customFormat="1" x14ac:dyDescent="0.2">
      <c r="A9">
        <v>4</v>
      </c>
      <c r="B9" t="str">
        <f>"AM"&amp;Months&amp;"L"&amp;A9&amp;"Y"</f>
        <v>AM3L4Y</v>
      </c>
      <c r="C9" t="str">
        <f>RateHelperPrefix&amp;$B9</f>
        <v>USD_YC3MRH_AM3L4Y</v>
      </c>
      <c r="F9" s="318">
        <f>_xll.qlRateHelperQuoteValue(C9,SheetTrigger)</f>
        <v>1.0379999999999999E-2</v>
      </c>
      <c r="U9" s="35" t="e">
        <f>_xll.qlCalendarAdvance(Calendar,U8,IndexTenor,"Modified Following",TRUE)</f>
        <v>#NUM!</v>
      </c>
      <c r="V9" s="82" t="e">
        <f>V8/(1+_xll.qlInterpolationInterpolate(FwdInterpolator,U8)*_xll.qlDayCounterYearFraction(DayCounter,U8,U9))</f>
        <v>#VALUE!</v>
      </c>
      <c r="Y9" s="297" t="e">
        <f t="shared" si="0"/>
        <v>#NUM!</v>
      </c>
      <c r="Z9" s="21"/>
      <c r="AA9" s="21"/>
    </row>
    <row r="10" spans="1:31" customFormat="1" x14ac:dyDescent="0.2">
      <c r="A10">
        <v>5</v>
      </c>
      <c r="B10" t="str">
        <f>"AM"&amp;Months&amp;"L"&amp;A10&amp;"Y"</f>
        <v>AM3L5Y</v>
      </c>
      <c r="C10" t="str">
        <f>RateHelperPrefix&amp;$B10</f>
        <v>USD_YC3MRH_AM3L5Y</v>
      </c>
      <c r="F10" s="318">
        <f>_xll.qlRateHelperQuoteValue(C10,SheetTrigger)</f>
        <v>1.3999999999999999E-2</v>
      </c>
      <c r="U10" s="35" t="e">
        <f>_xll.qlCalendarAdvance(Calendar,U9,IndexTenor,"Modified Following",TRUE)</f>
        <v>#NUM!</v>
      </c>
      <c r="V10" s="82" t="e">
        <f>V9/(1+_xll.qlInterpolationInterpolate(FwdInterpolator,U9)*_xll.qlDayCounterYearFraction(DayCounter,U9,U10))</f>
        <v>#VALUE!</v>
      </c>
      <c r="Y10" s="297" t="e">
        <f t="shared" si="0"/>
        <v>#NUM!</v>
      </c>
      <c r="Z10" s="21"/>
      <c r="AA10" s="21"/>
    </row>
    <row r="11" spans="1:31" customFormat="1" x14ac:dyDescent="0.2">
      <c r="T11" s="295" t="e">
        <f>_xll.qlDayCounterYearFraction($U$1,U7,U11)</f>
        <v>#NUM!</v>
      </c>
      <c r="U11" s="38" t="e">
        <f>_xll.qlCalendarAdvance(Calendar,U10,IndexTenor,"Modified Following",TRUE)</f>
        <v>#NUM!</v>
      </c>
      <c r="V11" s="510" t="e">
        <f>V10/(1+_xll.qlInterpolationInterpolate(FwdInterpolator,U10,TRUE)*_xll.qlDayCounterYearFraction(DayCounter,U10,U11))</f>
        <v>#VALUE!</v>
      </c>
      <c r="Y11" s="297" t="e">
        <f t="shared" si="0"/>
        <v>#NUM!</v>
      </c>
      <c r="Z11" s="21"/>
      <c r="AA11" s="21"/>
    </row>
    <row r="12" spans="1:31" customFormat="1" x14ac:dyDescent="0.2">
      <c r="R12" s="21"/>
      <c r="S12" s="21"/>
      <c r="T12" s="295" t="e">
        <f>_xll.qlDayCounterYearFraction($U$1,U11,U12)</f>
        <v>#NUM!</v>
      </c>
      <c r="U12" s="32" t="e">
        <f>_xll.qlCalendarAdvance(Calendar,$U$3,A8&amp;"Y","Modified Following",TRUE)</f>
        <v>#NUM!</v>
      </c>
      <c r="V12" s="292" t="e">
        <f>Y12/IF(U12&gt;LastDayInYear,TOY,1)/IF(U12&gt;LastDayInNextYear,_TOY2,1)</f>
        <v>#NUM!</v>
      </c>
      <c r="Y12" s="296" t="e">
        <f>($S$3-SUMPRODUCT(T$3:T11,Y$3:Y11)*F8)/(1+T12*F8)</f>
        <v>#NUM!</v>
      </c>
      <c r="Z12" s="21"/>
      <c r="AA12" s="21"/>
    </row>
    <row r="13" spans="1:31" customFormat="1" x14ac:dyDescent="0.2">
      <c r="R13" s="21"/>
      <c r="S13" s="21"/>
      <c r="T13" s="295" t="e">
        <f>_xll.qlDayCounterYearFraction($U$1,U12,U13)</f>
        <v>#NUM!</v>
      </c>
      <c r="U13" s="35" t="e">
        <f>_xll.qlCalendarAdvance(Calendar,$U$3,A9&amp;"Y","Modified Following",TRUE)</f>
        <v>#NUM!</v>
      </c>
      <c r="V13" s="293" t="e">
        <f>Y13/IF(U13&gt;LastDayInYear,TOY,1)/IF(U13&gt;LastDayInNextYear,_TOY2,1)</f>
        <v>#NUM!</v>
      </c>
      <c r="Y13" s="297" t="e">
        <f>($S$3-SUMPRODUCT(T$3:T12,Y$3:Y12)*F9)/(1+T13*F9)</f>
        <v>#NUM!</v>
      </c>
      <c r="Z13" s="21"/>
      <c r="AA13" s="21"/>
    </row>
    <row r="14" spans="1:31" customFormat="1" x14ac:dyDescent="0.2">
      <c r="R14" s="21"/>
      <c r="S14" s="21"/>
      <c r="T14" s="295" t="e">
        <f>_xll.qlDayCounterYearFraction($U$1,U13,U14)</f>
        <v>#NUM!</v>
      </c>
      <c r="U14" s="38" t="e">
        <f>_xll.qlCalendarAdvance(Calendar,$U$3,A10&amp;"Y","Modified Following",TRUE)</f>
        <v>#NUM!</v>
      </c>
      <c r="V14" s="294" t="e">
        <f>Y14/IF(U14&gt;LastDayInYear,TOY,1)/IF(U14&gt;LastDayInNextYear,_TOY2,1)</f>
        <v>#NUM!</v>
      </c>
      <c r="Y14" s="298" t="e">
        <f>($S$3-SUMPRODUCT(T$3:T13,Y$3:Y13)*F10)/(1+T14*F10)</f>
        <v>#NUM!</v>
      </c>
      <c r="Z14" s="21"/>
      <c r="AA14" s="21"/>
    </row>
    <row r="15" spans="1:31" customFormat="1" x14ac:dyDescent="0.2">
      <c r="Y15" s="21"/>
      <c r="Z15" s="21"/>
    </row>
    <row r="16" spans="1:31" customFormat="1" x14ac:dyDescent="0.2">
      <c r="Y16" s="21"/>
      <c r="Z16" s="21"/>
    </row>
    <row r="17" spans="1:107" customFormat="1" x14ac:dyDescent="0.2">
      <c r="Y17" s="89"/>
      <c r="Z17" s="285"/>
    </row>
    <row r="18" spans="1:107" customFormat="1" x14ac:dyDescent="0.2">
      <c r="Y18" s="89"/>
      <c r="Z18" s="285"/>
    </row>
    <row r="19" spans="1:107" customFormat="1" x14ac:dyDescent="0.2">
      <c r="K19" s="21"/>
      <c r="Y19" s="89"/>
      <c r="Z19" s="285"/>
    </row>
    <row r="20" spans="1:107" x14ac:dyDescent="0.2">
      <c r="A20" s="170">
        <v>3</v>
      </c>
      <c r="B20" s="46"/>
      <c r="G20" s="46"/>
      <c r="J20" s="46"/>
      <c r="L20" s="46"/>
      <c r="M20" s="25"/>
      <c r="N20" s="46"/>
      <c r="O20" s="40"/>
      <c r="P20" s="172" t="e">
        <f>IF(ISBLANK($O20),AVERAGE(_xll.ohFilter($P23:$P33,$L23:$L33)),$O20)</f>
        <v>#NUM!</v>
      </c>
      <c r="Q20" s="505" t="e">
        <f>'1M'!TOY</f>
        <v>#NUM!</v>
      </c>
      <c r="R20" s="506" t="e">
        <f>IF(ISBLANK($Q20),MIN(AVERAGE(_xll.ohFilter($R23:$R33,$L23:$L33)),1),$Q20)</f>
        <v>#NUM!</v>
      </c>
      <c r="S20" s="191" t="s">
        <v>40</v>
      </c>
      <c r="T20" s="46"/>
      <c r="U20" s="18" t="e">
        <f>_xll.qlInterpolation(,FwdInterpolationType,_xll.ohFilter($H23:$H52,$K23:$K52),_xll.ohFilter($S23:$S52,$K23:$K52))</f>
        <v>#NUM!</v>
      </c>
    </row>
    <row r="21" spans="1:107" x14ac:dyDescent="0.2">
      <c r="A21" s="458" t="str">
        <f>_xll.qlPeriodEquivalent(A20&amp;"M")</f>
        <v>3M</v>
      </c>
      <c r="B21" s="46"/>
      <c r="D21" s="46"/>
      <c r="E21" s="46"/>
      <c r="G21" s="46"/>
      <c r="J21" s="46"/>
      <c r="L21" s="46"/>
      <c r="M21" s="25"/>
      <c r="N21" s="46"/>
      <c r="O21" s="92"/>
      <c r="P21" s="173" t="e">
        <f>IF(ISBLANK($O21),AVERAGE(_xll.ohFilter($P23:$P33,$M23:$M33)),$O21)</f>
        <v>#NUM!</v>
      </c>
      <c r="Q21" s="507"/>
      <c r="R21" s="508" t="e">
        <f>IF(ISBLANK($Q21),MIN(AVERAGE(_xll.ohFilter($R23:$R33,$M23:$M33)),1),$Q21)</f>
        <v>#NUM!</v>
      </c>
      <c r="S21" s="193" t="s">
        <v>46</v>
      </c>
      <c r="T21" s="46"/>
      <c r="U21" s="22" t="e">
        <f>_xll.qlInterpolation(,FwdInterpolationType,_xll.ohFilter($H23:$H41,$K23:$K41),_xll.ohFilter($S23:$S41,$K23:$K41))</f>
        <v>#NUM!</v>
      </c>
      <c r="V21" s="79"/>
      <c r="AI21" s="18">
        <v>1</v>
      </c>
      <c r="AM21" s="21">
        <v>2</v>
      </c>
      <c r="AQ21" s="21">
        <v>3</v>
      </c>
      <c r="AU21" s="21">
        <v>4</v>
      </c>
      <c r="AY21" s="21">
        <v>5</v>
      </c>
      <c r="BC21" s="21">
        <v>6</v>
      </c>
      <c r="BG21" s="21">
        <v>7</v>
      </c>
      <c r="BK21" s="21">
        <v>8</v>
      </c>
      <c r="BO21" s="21">
        <v>9</v>
      </c>
      <c r="BS21" s="21">
        <v>10</v>
      </c>
      <c r="BW21" s="21">
        <v>11</v>
      </c>
      <c r="CA21" s="21">
        <v>12</v>
      </c>
      <c r="CE21" s="21">
        <v>13</v>
      </c>
      <c r="CI21" s="21">
        <v>14</v>
      </c>
      <c r="CM21" s="21">
        <v>15</v>
      </c>
      <c r="CQ21" s="21">
        <v>16</v>
      </c>
      <c r="CU21" s="21">
        <v>17</v>
      </c>
      <c r="CY21" s="21">
        <v>18</v>
      </c>
      <c r="DC21" s="21">
        <v>19</v>
      </c>
    </row>
    <row r="22" spans="1:107" x14ac:dyDescent="0.2">
      <c r="A22" s="46" t="str">
        <f>Currency&amp;"_YC"&amp;IndexTenor&amp;"RH_"</f>
        <v>USD_YC3MRH_</v>
      </c>
      <c r="B22" s="171">
        <v>0</v>
      </c>
      <c r="C22" s="194" t="s">
        <v>27</v>
      </c>
      <c r="D22" s="199" t="s">
        <v>23</v>
      </c>
      <c r="E22" s="196" t="s">
        <v>22</v>
      </c>
      <c r="F22" s="194" t="s">
        <v>60</v>
      </c>
      <c r="G22" s="195"/>
      <c r="H22" s="196" t="s">
        <v>56</v>
      </c>
      <c r="I22" s="199" t="s">
        <v>64</v>
      </c>
      <c r="J22" s="199" t="s">
        <v>61</v>
      </c>
      <c r="K22" s="197" t="s">
        <v>65</v>
      </c>
      <c r="L22" s="199" t="s">
        <v>59</v>
      </c>
      <c r="M22" s="199" t="s">
        <v>46</v>
      </c>
      <c r="N22" s="197" t="s">
        <v>63</v>
      </c>
      <c r="O22" s="236" t="e">
        <f>_xll.qlInterpolation(,FwdInterpolationType,_xll.ohFilter($H23:$H41,$N23:$N41),_xll.ohFilter($J23:$J41,$N23:$N41))</f>
        <v>#NUM!</v>
      </c>
      <c r="P22" s="237" t="s">
        <v>32</v>
      </c>
      <c r="Q22" s="237" t="s">
        <v>33</v>
      </c>
      <c r="R22" s="202" t="s">
        <v>34</v>
      </c>
      <c r="S22" s="238" t="s">
        <v>67</v>
      </c>
      <c r="T22" s="239" t="s">
        <v>32</v>
      </c>
      <c r="U22" s="209" t="e">
        <f>D23</f>
        <v>#NUM!</v>
      </c>
      <c r="V22" s="210" t="e">
        <f>_xll.qlInterpolationInterpolate(ExtFwdInterpolator,U22,TRUE)</f>
        <v>#VALUE!</v>
      </c>
      <c r="X22" s="56"/>
      <c r="Y22" s="271" t="s">
        <v>85</v>
      </c>
      <c r="Z22" s="287" t="s">
        <v>86</v>
      </c>
      <c r="AA22" s="269"/>
      <c r="AB22" s="271" t="s">
        <v>84</v>
      </c>
      <c r="AC22" s="54" t="s">
        <v>80</v>
      </c>
      <c r="AD22" s="54" t="s">
        <v>35</v>
      </c>
      <c r="AE22" s="207" t="s">
        <v>83</v>
      </c>
      <c r="AF22" s="54" t="s">
        <v>81</v>
      </c>
      <c r="AG22" s="54" t="s">
        <v>79</v>
      </c>
      <c r="AH22" s="54" t="s">
        <v>36</v>
      </c>
      <c r="AI22" s="55" t="s">
        <v>82</v>
      </c>
      <c r="AJ22" s="54" t="s">
        <v>81</v>
      </c>
      <c r="AK22" s="54" t="s">
        <v>79</v>
      </c>
      <c r="AL22" s="54" t="s">
        <v>36</v>
      </c>
      <c r="AM22" s="55" t="s">
        <v>82</v>
      </c>
      <c r="AN22" s="54" t="s">
        <v>81</v>
      </c>
      <c r="AO22" s="54" t="s">
        <v>79</v>
      </c>
      <c r="AP22" s="54" t="s">
        <v>36</v>
      </c>
      <c r="AQ22" s="55" t="s">
        <v>82</v>
      </c>
      <c r="AR22" s="54" t="s">
        <v>81</v>
      </c>
      <c r="AS22" s="54" t="s">
        <v>79</v>
      </c>
      <c r="AT22" s="54" t="s">
        <v>36</v>
      </c>
      <c r="AU22" s="55" t="s">
        <v>82</v>
      </c>
      <c r="AV22" s="54" t="s">
        <v>81</v>
      </c>
      <c r="AW22" s="54" t="s">
        <v>79</v>
      </c>
      <c r="AX22" s="54" t="s">
        <v>36</v>
      </c>
      <c r="AY22" s="55" t="s">
        <v>82</v>
      </c>
      <c r="AZ22" s="54" t="s">
        <v>81</v>
      </c>
      <c r="BA22" s="54" t="s">
        <v>79</v>
      </c>
      <c r="BB22" s="54" t="s">
        <v>36</v>
      </c>
      <c r="BC22" s="55" t="s">
        <v>82</v>
      </c>
      <c r="BD22" s="54" t="s">
        <v>81</v>
      </c>
      <c r="BE22" s="54" t="s">
        <v>79</v>
      </c>
      <c r="BF22" s="54" t="s">
        <v>36</v>
      </c>
      <c r="BG22" s="55" t="s">
        <v>82</v>
      </c>
      <c r="BH22" s="54" t="s">
        <v>81</v>
      </c>
      <c r="BI22" s="54" t="s">
        <v>79</v>
      </c>
      <c r="BJ22" s="54" t="s">
        <v>36</v>
      </c>
      <c r="BK22" s="55" t="s">
        <v>82</v>
      </c>
      <c r="BL22" s="54" t="s">
        <v>81</v>
      </c>
      <c r="BM22" s="54" t="s">
        <v>79</v>
      </c>
      <c r="BN22" s="54" t="s">
        <v>36</v>
      </c>
      <c r="BO22" s="55" t="s">
        <v>82</v>
      </c>
      <c r="BP22" s="54" t="s">
        <v>81</v>
      </c>
      <c r="BQ22" s="54" t="s">
        <v>79</v>
      </c>
      <c r="BR22" s="54" t="s">
        <v>36</v>
      </c>
      <c r="BS22" s="55" t="s">
        <v>82</v>
      </c>
      <c r="BT22" s="54" t="s">
        <v>81</v>
      </c>
      <c r="BU22" s="54" t="s">
        <v>79</v>
      </c>
      <c r="BV22" s="54" t="s">
        <v>36</v>
      </c>
      <c r="BW22" s="55" t="s">
        <v>82</v>
      </c>
      <c r="BX22" s="54" t="s">
        <v>81</v>
      </c>
      <c r="BY22" s="54" t="s">
        <v>79</v>
      </c>
      <c r="BZ22" s="54" t="s">
        <v>36</v>
      </c>
      <c r="CA22" s="55" t="s">
        <v>82</v>
      </c>
      <c r="CB22" s="54" t="s">
        <v>81</v>
      </c>
      <c r="CC22" s="54" t="s">
        <v>79</v>
      </c>
      <c r="CD22" s="54" t="s">
        <v>36</v>
      </c>
      <c r="CE22" s="55" t="s">
        <v>82</v>
      </c>
      <c r="CF22" s="54" t="s">
        <v>81</v>
      </c>
      <c r="CG22" s="54" t="s">
        <v>79</v>
      </c>
      <c r="CH22" s="54" t="s">
        <v>36</v>
      </c>
      <c r="CI22" s="55" t="s">
        <v>82</v>
      </c>
      <c r="CJ22" s="54" t="s">
        <v>81</v>
      </c>
      <c r="CK22" s="54" t="s">
        <v>79</v>
      </c>
      <c r="CL22" s="54" t="s">
        <v>36</v>
      </c>
      <c r="CM22" s="55" t="s">
        <v>82</v>
      </c>
      <c r="CN22" s="54" t="s">
        <v>81</v>
      </c>
      <c r="CO22" s="54" t="s">
        <v>79</v>
      </c>
      <c r="CP22" s="54" t="s">
        <v>36</v>
      </c>
      <c r="CQ22" s="55" t="s">
        <v>82</v>
      </c>
      <c r="CR22" s="54" t="s">
        <v>81</v>
      </c>
      <c r="CS22" s="54" t="s">
        <v>79</v>
      </c>
      <c r="CT22" s="54" t="s">
        <v>36</v>
      </c>
      <c r="CU22" s="55" t="s">
        <v>82</v>
      </c>
      <c r="CV22" s="54" t="s">
        <v>81</v>
      </c>
      <c r="CW22" s="54" t="s">
        <v>79</v>
      </c>
      <c r="CX22" s="54" t="s">
        <v>36</v>
      </c>
      <c r="CY22" s="55" t="s">
        <v>82</v>
      </c>
      <c r="CZ22" s="54" t="s">
        <v>81</v>
      </c>
      <c r="DA22" s="54" t="s">
        <v>79</v>
      </c>
      <c r="DB22" s="54" t="s">
        <v>36</v>
      </c>
      <c r="DC22" s="55" t="s">
        <v>82</v>
      </c>
    </row>
    <row r="23" spans="1:107" x14ac:dyDescent="0.2">
      <c r="A23" s="98" t="str">
        <f>Triggers!TriggerTOY3M</f>
        <v>ExternalLinkCleanedUp</v>
      </c>
      <c r="B23" s="246" t="str">
        <f>IndexTenor&amp;"D"</f>
        <v>3MD</v>
      </c>
      <c r="C23" s="33" t="str">
        <f>Currency&amp;"_YCRH_"&amp;B23</f>
        <v>USD_YCRH_3MD</v>
      </c>
      <c r="D23" s="108" t="e">
        <f>_xll.qlRateHelperEarliestDate($C23,EvaluationDate)</f>
        <v>#NUM!</v>
      </c>
      <c r="E23" s="108" t="e">
        <f>_xll.qlRateHelperLatestDate($C23,EvaluationDate)</f>
        <v>#NUM!</v>
      </c>
      <c r="F23" s="109" t="e">
        <f>_xll.qlRateHelperQuoteValue($C23,SheetTrigger)</f>
        <v>#NUM!</v>
      </c>
      <c r="G23" s="249"/>
      <c r="H23" s="108" t="e">
        <f>$D23</f>
        <v>#NUM!</v>
      </c>
      <c r="I23" s="243" t="b">
        <v>0</v>
      </c>
      <c r="J23" s="31" t="e">
        <f>F23</f>
        <v>#NUM!</v>
      </c>
      <c r="K23" s="244" t="b">
        <v>0</v>
      </c>
      <c r="L23" s="40" t="e">
        <f t="shared" ref="L23:L52" si="1">NOT(OR($H23&gt;LastDayInYear,$E23&lt;=LastDayInYear))</f>
        <v>#NUM!</v>
      </c>
      <c r="M23" s="33" t="e">
        <f t="shared" ref="M23:M52" si="2">NOT(OR($H23&gt;LastDayInNextYear,$E23&lt;=LastDayInNextYear))</f>
        <v>#NUM!</v>
      </c>
      <c r="N23" s="248" t="b">
        <v>0</v>
      </c>
      <c r="O23" s="105" t="e">
        <f>_xll.qlInterpolationInterpolate($O$22,$H23)</f>
        <v>#VALUE!</v>
      </c>
      <c r="P23" s="161" t="e">
        <f>$J23-$O23</f>
        <v>#NUM!</v>
      </c>
      <c r="Q23" s="86" t="e">
        <f>_xll.qlDayCounterYearFraction(DayCounter,$H23,$E23)</f>
        <v>#NUM!</v>
      </c>
      <c r="R23" s="180" t="e">
        <f>(1+$O23*$Q23)/(1+$J23*$Q23)</f>
        <v>#VALUE!</v>
      </c>
      <c r="S23" s="97" t="e">
        <f t="shared" ref="S23:S41" si="3">IF($L23,(TOY*(1+$J23*$Q23)-1)/$Q23,IF($M23,(_TOY2*(1+$J23*$Q23)-1)/$Q23,$J23))</f>
        <v>#NUM!</v>
      </c>
      <c r="T23" s="325" t="e">
        <f>S23-J23</f>
        <v>#NUM!</v>
      </c>
      <c r="U23" s="32" t="e">
        <f t="array" ref="U23:U52">SelectionSort(_xll.ohFilter(H23:H52,K23:K52))</f>
        <v>#VALUE!</v>
      </c>
      <c r="V23" s="331" t="e">
        <f t="array" ref="V23:V52">_xll.qlInterpolationInterpolate(ExtFwdInterpolator,_xll.ohPack(U23:U52))</f>
        <v>#VALUE!</v>
      </c>
      <c r="X23" s="40" t="s">
        <v>37</v>
      </c>
      <c r="Y23" s="97">
        <v>1.687014076088289E-2</v>
      </c>
      <c r="Z23" s="284" t="e">
        <f t="shared" ref="Z23:Z29" si="4">AB23-Y23</f>
        <v>#VALUE!</v>
      </c>
      <c r="AA23" s="455" t="s">
        <v>127</v>
      </c>
      <c r="AB23" s="255" t="e">
        <f t="shared" ref="AB23:AB29" si="5">(1/AE23-1)/AD23</f>
        <v>#VALUE!</v>
      </c>
      <c r="AC23" s="30" t="e">
        <f>_xll.qlCalendarAdvance(Calendar,SettlementDate,X23,"Following")</f>
        <v>#NUM!</v>
      </c>
      <c r="AD23" s="256" t="e">
        <f>_xll.qlDayCounterYearFraction(DayCounter,SettlementDate,AC23)</f>
        <v>#NUM!</v>
      </c>
      <c r="AE23" s="270" t="e">
        <f t="shared" ref="AE23:AE29" si="6">IF(Optim,1/(1+AA23*AD23),(1+AF23*AH23)*AI23)*IF(AC23&gt;LastDayInYear,TOY,1)*IF(AC23&gt;LastDayInNextYear,_TOY2,1)</f>
        <v>#VALUE!</v>
      </c>
      <c r="AF23" s="511" t="e">
        <f>_xll.qlInterpolationInterpolate(ExtFwdInterpolator,AC23,TRUE)</f>
        <v>#VALUE!</v>
      </c>
      <c r="AG23" s="30" t="e">
        <f>_xll.qlCalendarAdvance(Calendar,AC23,$A$21,"Modified Following",TRUE)</f>
        <v>#NUM!</v>
      </c>
      <c r="AH23" s="256" t="e">
        <f>_xll.qlDayCounterYearFraction(DayCounter,AC23,AG23)</f>
        <v>#NUM!</v>
      </c>
      <c r="AI23" s="270" t="e">
        <f>IF($Y$1=AI$21,_xll.qlInterpolationInterpolate(DiscountCurve,AG23),(1+AJ23*AL23)*AM23)</f>
        <v>#VALUE!</v>
      </c>
      <c r="AJ23" s="257" t="e">
        <f>_xll.qlInterpolationInterpolate(ExtFwdInterpolator,AG23)</f>
        <v>#VALUE!</v>
      </c>
      <c r="AK23" s="30" t="e">
        <f>_xll.qlCalendarAdvance(Calendar,AG23,$A$21,"Modified Following",TRUE)</f>
        <v>#NUM!</v>
      </c>
      <c r="AL23" s="256" t="e">
        <f>_xll.qlDayCounterYearFraction(DayCounter,AG23,AK23)</f>
        <v>#NUM!</v>
      </c>
      <c r="AM23" s="270" t="e">
        <f>IF($Y$1=AM$21,_xll.qlInterpolationInterpolate(DiscountCurve,AK23),(1+AN23*AP23)*AQ23)</f>
        <v>#VALUE!</v>
      </c>
      <c r="AN23" s="257" t="e">
        <f>_xll.qlInterpolationInterpolate(ExtFwdInterpolator,AK23)</f>
        <v>#VALUE!</v>
      </c>
      <c r="AO23" s="30" t="e">
        <f>_xll.qlCalendarAdvance(Calendar,AK23,$A$21,"Modified Following",TRUE)</f>
        <v>#NUM!</v>
      </c>
      <c r="AP23" s="256" t="e">
        <f>_xll.qlDayCounterYearFraction(DayCounter,AK23,AO23)</f>
        <v>#NUM!</v>
      </c>
      <c r="AQ23" s="270" t="e">
        <f>IF($Y$1=AQ$21,_xll.qlInterpolationInterpolate(DiscountCurve,AO23),(1+AR23*AT23)*AU23)</f>
        <v>#VALUE!</v>
      </c>
      <c r="AR23" s="257" t="e">
        <f>_xll.qlInterpolationInterpolate(ExtFwdInterpolator,AO23)</f>
        <v>#VALUE!</v>
      </c>
      <c r="AS23" s="30" t="e">
        <f>_xll.qlCalendarAdvance(Calendar,AO23,$A$21,"Modified Following",TRUE)</f>
        <v>#NUM!</v>
      </c>
      <c r="AT23" s="256" t="e">
        <f>_xll.qlDayCounterYearFraction(DayCounter,AO23,AS23)</f>
        <v>#NUM!</v>
      </c>
      <c r="AU23" s="270" t="e">
        <f>IF($Y$1=AU$21,_xll.qlInterpolationInterpolate(DiscountCurve,AS23),(1+AV23*AX23)*AY23)</f>
        <v>#VALUE!</v>
      </c>
      <c r="AV23" s="257" t="e">
        <f>_xll.qlInterpolationInterpolate(ExtFwdInterpolator,AS23)</f>
        <v>#VALUE!</v>
      </c>
      <c r="AW23" s="30" t="e">
        <f>_xll.qlCalendarAdvance(Calendar,AS23,$A$21,"Modified Following",TRUE)</f>
        <v>#NUM!</v>
      </c>
      <c r="AX23" s="256" t="e">
        <f>_xll.qlDayCounterYearFraction(DayCounter,AS23,AW23)</f>
        <v>#NUM!</v>
      </c>
      <c r="AY23" s="270" t="e">
        <f>IF($Y$1=AY$21,_xll.qlInterpolationInterpolate(DiscountCurve,AW23),(1+AZ23*BB23)*BC23)</f>
        <v>#VALUE!</v>
      </c>
      <c r="AZ23" s="257" t="e">
        <f>_xll.qlInterpolationInterpolate(ExtFwdInterpolator,AW23)</f>
        <v>#VALUE!</v>
      </c>
      <c r="BA23" s="30" t="e">
        <f>_xll.qlCalendarAdvance(Calendar,AW23,$A$21,"Modified Following",TRUE)</f>
        <v>#NUM!</v>
      </c>
      <c r="BB23" s="256" t="e">
        <f>_xll.qlDayCounterYearFraction(DayCounter,AW23,BA23)</f>
        <v>#NUM!</v>
      </c>
      <c r="BC23" s="270" t="e">
        <f>IF($Y$1=BC$21,_xll.qlInterpolationInterpolate(DiscountCurve,BA23),(1+BD23*BF23)*BG23)</f>
        <v>#VALUE!</v>
      </c>
      <c r="BD23" s="257" t="e">
        <f>_xll.qlInterpolationInterpolate(ExtFwdInterpolator,BA23)</f>
        <v>#VALUE!</v>
      </c>
      <c r="BE23" s="30" t="e">
        <f>_xll.qlCalendarAdvance(Calendar,BA23,$A$21,"Modified Following",TRUE)</f>
        <v>#NUM!</v>
      </c>
      <c r="BF23" s="256" t="e">
        <f>_xll.qlDayCounterYearFraction(DayCounter,BA23,BE23)</f>
        <v>#NUM!</v>
      </c>
      <c r="BG23" s="270" t="e">
        <f>IF($Y$1=BG$21,_xll.qlInterpolationInterpolate(DiscountCurve,BE23),(1+BH23*BJ23)*BK23)</f>
        <v>#VALUE!</v>
      </c>
      <c r="BH23" s="257" t="e">
        <f>_xll.qlInterpolationInterpolate(ExtFwdInterpolator,BE23)</f>
        <v>#VALUE!</v>
      </c>
      <c r="BI23" s="30" t="e">
        <f>_xll.qlCalendarAdvance(Calendar,BE23,$A$21,"Modified Following",TRUE)</f>
        <v>#NUM!</v>
      </c>
      <c r="BJ23" s="256" t="e">
        <f>_xll.qlDayCounterYearFraction(DayCounter,BE23,BI23)</f>
        <v>#NUM!</v>
      </c>
      <c r="BK23" s="270" t="e">
        <f>IF($Y$1=BK$21,_xll.qlInterpolationInterpolate(DiscountCurve,BI23),(1+BL23*BN23)*BO23)</f>
        <v>#VALUE!</v>
      </c>
      <c r="BL23" s="257" t="e">
        <f>_xll.qlInterpolationInterpolate(ExtFwdInterpolator,BI23)</f>
        <v>#VALUE!</v>
      </c>
      <c r="BM23" s="30" t="e">
        <f>_xll.qlCalendarAdvance(Calendar,BI23,$A$21,"Modified Following",TRUE)</f>
        <v>#NUM!</v>
      </c>
      <c r="BN23" s="256" t="e">
        <f>_xll.qlDayCounterYearFraction(DayCounter,BI23,BM23)</f>
        <v>#NUM!</v>
      </c>
      <c r="BO23" s="270" t="e">
        <f>IF($Y$1=BO$21,_xll.qlInterpolationInterpolate(DiscountCurve,BM23),(1+BP23*BR23)*BS23)</f>
        <v>#VALUE!</v>
      </c>
      <c r="BP23" s="257" t="e">
        <f>_xll.qlInterpolationInterpolate(ExtFwdInterpolator,BM23)</f>
        <v>#VALUE!</v>
      </c>
      <c r="BQ23" s="30" t="e">
        <f>_xll.qlCalendarAdvance(Calendar,BM23,$A$21,"Modified Following",TRUE)</f>
        <v>#NUM!</v>
      </c>
      <c r="BR23" s="256" t="e">
        <f>_xll.qlDayCounterYearFraction(DayCounter,BM23,BQ23)</f>
        <v>#NUM!</v>
      </c>
      <c r="BS23" s="270" t="e">
        <f>IF($Y$1=BS$21,_xll.qlInterpolationInterpolate(DiscountCurve,BQ23),(1+BT23*BV23)*BW23)</f>
        <v>#VALUE!</v>
      </c>
      <c r="BT23" s="257" t="e">
        <f>_xll.qlInterpolationInterpolate(ExtFwdInterpolator,BQ23)</f>
        <v>#VALUE!</v>
      </c>
      <c r="BU23" s="30" t="e">
        <f>_xll.qlCalendarAdvance(Calendar,BQ23,$A$21,"Modified Following",TRUE)</f>
        <v>#NUM!</v>
      </c>
      <c r="BV23" s="256" t="e">
        <f>_xll.qlDayCounterYearFraction(DayCounter,BQ23,BU23)</f>
        <v>#NUM!</v>
      </c>
      <c r="BW23" s="270" t="e">
        <f>IF($Y$1=BW$21,_xll.qlInterpolationInterpolate(DiscountCurve,BU23),(1+BX23*BZ23)*CA23)</f>
        <v>#VALUE!</v>
      </c>
      <c r="BX23" s="257" t="e">
        <f>_xll.qlInterpolationInterpolate(ExtFwdInterpolator,BU23)</f>
        <v>#VALUE!</v>
      </c>
      <c r="BY23" s="30" t="e">
        <f>_xll.qlCalendarAdvance(Calendar,BU23,$A$21,"Modified Following",TRUE)</f>
        <v>#NUM!</v>
      </c>
      <c r="BZ23" s="256" t="e">
        <f>_xll.qlDayCounterYearFraction(DayCounter,BU23,BY23)</f>
        <v>#NUM!</v>
      </c>
      <c r="CA23" s="270" t="e">
        <f>IF($Y$1=CA$21,_xll.qlInterpolationInterpolate(DiscountCurve,BY23),(1+CB23*CD23)*CE23)</f>
        <v>#VALUE!</v>
      </c>
      <c r="CB23" s="257" t="e">
        <f>_xll.qlInterpolationInterpolate(ExtFwdInterpolator,BY23)</f>
        <v>#VALUE!</v>
      </c>
      <c r="CC23" s="30" t="e">
        <f>_xll.qlCalendarAdvance(Calendar,BY23,$A$21,"Modified Following",TRUE)</f>
        <v>#NUM!</v>
      </c>
      <c r="CD23" s="256" t="e">
        <f>_xll.qlDayCounterYearFraction(DayCounter,BY23,CC23)</f>
        <v>#NUM!</v>
      </c>
      <c r="CE23" s="270" t="e">
        <f>IF($Y$1=CE$21,_xll.qlInterpolationInterpolate(DiscountCurve,CC23),(1+CF23*CH23)*CI23)</f>
        <v>#VALUE!</v>
      </c>
      <c r="CF23" s="257" t="e">
        <f>_xll.qlInterpolationInterpolate(ExtFwdInterpolator,CC23)</f>
        <v>#VALUE!</v>
      </c>
      <c r="CG23" s="30" t="e">
        <f>_xll.qlCalendarAdvance(Calendar,CC23,$A$21,"Modified Following",TRUE)</f>
        <v>#NUM!</v>
      </c>
      <c r="CH23" s="256" t="e">
        <f>_xll.qlDayCounterYearFraction(DayCounter,CC23,CG23)</f>
        <v>#NUM!</v>
      </c>
      <c r="CI23" s="270" t="e">
        <f>IF($Y$1=CI$21,_xll.qlInterpolationInterpolate(DiscountCurve,CG23),(1+CJ23*CL23)*CM23)</f>
        <v>#VALUE!</v>
      </c>
      <c r="CJ23" s="257" t="e">
        <f>_xll.qlInterpolationInterpolate(ExtFwdInterpolator,CG23)</f>
        <v>#VALUE!</v>
      </c>
      <c r="CK23" s="30" t="e">
        <f>_xll.qlCalendarAdvance(Calendar,CG23,$A$21,"Modified Following",TRUE)</f>
        <v>#NUM!</v>
      </c>
      <c r="CL23" s="256" t="e">
        <f>_xll.qlDayCounterYearFraction(DayCounter,CG23,CK23)</f>
        <v>#NUM!</v>
      </c>
      <c r="CM23" s="270" t="e">
        <f>IF($Y$1=CM$21,_xll.qlInterpolationInterpolate(DiscountCurve,CK23),(1+CN23*CP23)*CQ23)</f>
        <v>#VALUE!</v>
      </c>
      <c r="CN23" s="257" t="e">
        <f>_xll.qlInterpolationInterpolate(ExtFwdInterpolator,CK23)</f>
        <v>#VALUE!</v>
      </c>
      <c r="CO23" s="30" t="e">
        <f>_xll.qlCalendarAdvance(Calendar,CK23,$A$21,"Modified Following",TRUE)</f>
        <v>#NUM!</v>
      </c>
      <c r="CP23" s="256" t="e">
        <f>_xll.qlDayCounterYearFraction(DayCounter,CK23,CO23)</f>
        <v>#NUM!</v>
      </c>
      <c r="CQ23" s="270" t="e">
        <f>IF($Y$1=CQ$21,_xll.qlInterpolationInterpolate(DiscountCurve,CO23),(1+CR23*CT23)*CU23)</f>
        <v>#VALUE!</v>
      </c>
      <c r="CR23" s="257" t="e">
        <f>_xll.qlInterpolationInterpolate(ExtFwdInterpolator,CO23)</f>
        <v>#VALUE!</v>
      </c>
      <c r="CS23" s="30" t="e">
        <f>_xll.qlCalendarAdvance(Calendar,CO23,$A$21,"Modified Following",TRUE)</f>
        <v>#NUM!</v>
      </c>
      <c r="CT23" s="256" t="e">
        <f>_xll.qlDayCounterYearFraction(DayCounter,CO23,CS23)</f>
        <v>#NUM!</v>
      </c>
      <c r="CU23" s="270" t="e">
        <f>IF($Y$1=CU$21,_xll.qlInterpolationInterpolate(DiscountCurve,CS23),(1+CV23*CX23)*CY23)</f>
        <v>#VALUE!</v>
      </c>
      <c r="CV23" s="257" t="e">
        <f>_xll.qlInterpolationInterpolate(ExtFwdInterpolator,CS23)</f>
        <v>#VALUE!</v>
      </c>
      <c r="CW23" s="30" t="e">
        <f>_xll.qlCalendarAdvance(Calendar,CS23,$A$21,"Modified Following",TRUE)</f>
        <v>#NUM!</v>
      </c>
      <c r="CX23" s="256" t="e">
        <f>_xll.qlDayCounterYearFraction(DayCounter,CS23,CW23)</f>
        <v>#NUM!</v>
      </c>
      <c r="CY23" s="270" t="e">
        <f>IF($Y$1=CY$21,_xll.qlInterpolationInterpolate(DiscountCurve,CW23),(1+CZ23*DB23)*DC23)</f>
        <v>#VALUE!</v>
      </c>
      <c r="CZ23" s="257" t="e">
        <f>_xll.qlInterpolationInterpolate(ExtFwdInterpolator,CW23)</f>
        <v>#VALUE!</v>
      </c>
      <c r="DA23" s="30" t="e">
        <f>_xll.qlCalendarAdvance(Calendar,CW23,$A$21,"Modified Following",TRUE)</f>
        <v>#NUM!</v>
      </c>
      <c r="DB23" s="256" t="e">
        <f>_xll.qlDayCounterYearFraction(DayCounter,CW23,DA23)</f>
        <v>#NUM!</v>
      </c>
      <c r="DC23" s="270">
        <f>IF($Y$1=DC$21,_xll.qlInterpolationInterpolate(DiscountCurve,DA23),(1+DD23*DF23)*DG23)</f>
        <v>0</v>
      </c>
    </row>
    <row r="24" spans="1:107" x14ac:dyDescent="0.2">
      <c r="A24" s="98" t="str">
        <f>PROPER(Currency)&amp;IF(UPPER(Currency)&lt;&gt;"EUR","L","")&amp;"ibor"&amp;IndexTenor</f>
        <v>UsdLibor3M</v>
      </c>
      <c r="B24" s="247" t="s">
        <v>68</v>
      </c>
      <c r="C24" s="39" t="str">
        <f>A24&amp;B24&amp;"_Quote"</f>
        <v>UsdLibor3MLastFixing_Quote</v>
      </c>
      <c r="D24" s="251">
        <f>_xll.qlCalendarAdvance(Calendar,_xll.qlLastFixingQuoteReferenceDate(C24),"2D","f",,SheetTrigger)</f>
        <v>41572</v>
      </c>
      <c r="E24" s="251">
        <f>_xll.qlCalendarAdvance(Calendar,D24,IndexTenor,"Modified Following",TRUE,SheetTrigger)</f>
        <v>41666</v>
      </c>
      <c r="F24" s="104">
        <f>_xll.qlQuoteValue(C24,SheetTrigger)</f>
        <v>2.3835000000000002E-3</v>
      </c>
      <c r="G24" s="250"/>
      <c r="H24" s="93" t="e">
        <f>H23</f>
        <v>#NUM!</v>
      </c>
      <c r="I24" s="240" t="b">
        <v>0</v>
      </c>
      <c r="J24" s="37">
        <f>F24</f>
        <v>2.3835000000000002E-3</v>
      </c>
      <c r="K24" s="241" t="b">
        <v>0</v>
      </c>
      <c r="L24" s="53" t="e">
        <f t="shared" si="1"/>
        <v>#NUM!</v>
      </c>
      <c r="M24" s="39" t="e">
        <f t="shared" si="2"/>
        <v>#NUM!</v>
      </c>
      <c r="N24" s="242" t="b">
        <v>0</v>
      </c>
      <c r="O24" s="101" t="e">
        <f>_xll.qlInterpolationInterpolate($O$22,$H24)</f>
        <v>#VALUE!</v>
      </c>
      <c r="P24" s="163" t="e">
        <f>$J24-$O24</f>
        <v>#VALUE!</v>
      </c>
      <c r="Q24" s="88" t="e">
        <f>_xll.qlDayCounterYearFraction(DayCounter,$H24,$E24)</f>
        <v>#NUM!</v>
      </c>
      <c r="R24" s="182" t="e">
        <f>(1+$O24*$Q24)/(1+$J24*$Q24)</f>
        <v>#VALUE!</v>
      </c>
      <c r="S24" s="75" t="e">
        <f t="shared" si="3"/>
        <v>#NUM!</v>
      </c>
      <c r="T24" s="326" t="e">
        <f>S24-J24</f>
        <v>#NUM!</v>
      </c>
      <c r="U24" s="35" t="e">
        <v>#VALUE!</v>
      </c>
      <c r="V24" s="106" t="e">
        <v>#VALUE!</v>
      </c>
      <c r="X24" s="24" t="s">
        <v>20</v>
      </c>
      <c r="Y24" s="89">
        <v>1.6856829397252478E-2</v>
      </c>
      <c r="Z24" s="282" t="e">
        <f t="shared" si="4"/>
        <v>#VALUE!</v>
      </c>
      <c r="AA24" s="89"/>
      <c r="AB24" s="212" t="e">
        <f t="shared" si="5"/>
        <v>#VALUE!</v>
      </c>
      <c r="AC24" s="34" t="e">
        <f>_xll.qlCalendarAdvance(Calendar,SettlementDate,X24,"Following")</f>
        <v>#NUM!</v>
      </c>
      <c r="AD24" s="57" t="e">
        <f>_xll.qlDayCounterYearFraction(DayCounter,SettlementDate,AC24)</f>
        <v>#NUM!</v>
      </c>
      <c r="AE24" s="82" t="e">
        <f t="shared" si="6"/>
        <v>#VALUE!</v>
      </c>
      <c r="AF24" s="202" t="e">
        <f>_xll.qlInterpolationInterpolate(ExtFwdInterpolator,AC24)</f>
        <v>#VALUE!</v>
      </c>
      <c r="AG24" s="34" t="e">
        <f>_xll.qlCalendarAdvance(Calendar,AC24,$A$21,"Modified Following",TRUE)</f>
        <v>#NUM!</v>
      </c>
      <c r="AH24" s="57" t="e">
        <f>_xll.qlDayCounterYearFraction(DayCounter,AC24,AG24)</f>
        <v>#NUM!</v>
      </c>
      <c r="AI24" s="82" t="e">
        <f>IF($Y$1=AI$21,_xll.qlInterpolationInterpolate(DiscountCurve,AG24),(1+AJ24*AL24)*AM24)</f>
        <v>#VALUE!</v>
      </c>
      <c r="AJ24" s="202" t="e">
        <f>_xll.qlInterpolationInterpolate(ExtFwdInterpolator,AG24)</f>
        <v>#VALUE!</v>
      </c>
      <c r="AK24" s="34" t="e">
        <f>_xll.qlCalendarAdvance(Calendar,AG24,$A$21,"Modified Following",TRUE)</f>
        <v>#NUM!</v>
      </c>
      <c r="AL24" s="57" t="e">
        <f>_xll.qlDayCounterYearFraction(DayCounter,AG24,AK24)</f>
        <v>#NUM!</v>
      </c>
      <c r="AM24" s="82" t="e">
        <f>IF($Y$1=AM$21,_xll.qlInterpolationInterpolate(DiscountCurve,AK24),(1+AN24*AP24)*AQ24)</f>
        <v>#VALUE!</v>
      </c>
      <c r="AN24" s="202" t="e">
        <f>_xll.qlInterpolationInterpolate(ExtFwdInterpolator,AK24)</f>
        <v>#VALUE!</v>
      </c>
      <c r="AO24" s="34" t="e">
        <f>_xll.qlCalendarAdvance(Calendar,AK24,$A$21,"Modified Following",TRUE)</f>
        <v>#NUM!</v>
      </c>
      <c r="AP24" s="57" t="e">
        <f>_xll.qlDayCounterYearFraction(DayCounter,AK24,AO24)</f>
        <v>#NUM!</v>
      </c>
      <c r="AQ24" s="82" t="e">
        <f>IF($Y$1=AQ$21,_xll.qlInterpolationInterpolate(DiscountCurve,AO24),(1+AR24*AT24)*AU24)</f>
        <v>#VALUE!</v>
      </c>
      <c r="AR24" s="202" t="e">
        <f>_xll.qlInterpolationInterpolate(ExtFwdInterpolator,AO24)</f>
        <v>#VALUE!</v>
      </c>
      <c r="AS24" s="34" t="e">
        <f>_xll.qlCalendarAdvance(Calendar,AO24,$A$21,"Modified Following",TRUE)</f>
        <v>#NUM!</v>
      </c>
      <c r="AT24" s="57" t="e">
        <f>_xll.qlDayCounterYearFraction(DayCounter,AO24,AS24)</f>
        <v>#NUM!</v>
      </c>
      <c r="AU24" s="82" t="e">
        <f>IF($Y$1=AU$21,_xll.qlInterpolationInterpolate(DiscountCurve,AS24),(1+AV24*AX24)*AY24)</f>
        <v>#VALUE!</v>
      </c>
      <c r="AV24" s="202" t="e">
        <f>_xll.qlInterpolationInterpolate(ExtFwdInterpolator,AS24)</f>
        <v>#VALUE!</v>
      </c>
      <c r="AW24" s="34" t="e">
        <f>_xll.qlCalendarAdvance(Calendar,AS24,$A$21,"Modified Following",TRUE)</f>
        <v>#NUM!</v>
      </c>
      <c r="AX24" s="57" t="e">
        <f>_xll.qlDayCounterYearFraction(DayCounter,AS24,AW24)</f>
        <v>#NUM!</v>
      </c>
      <c r="AY24" s="82" t="e">
        <f>IF($Y$1=AY$21,_xll.qlInterpolationInterpolate(DiscountCurve,AW24),(1+AZ24*BB24)*BC24)</f>
        <v>#VALUE!</v>
      </c>
      <c r="AZ24" s="202" t="e">
        <f>_xll.qlInterpolationInterpolate(ExtFwdInterpolator,AW24)</f>
        <v>#VALUE!</v>
      </c>
      <c r="BA24" s="34" t="e">
        <f>_xll.qlCalendarAdvance(Calendar,AW24,$A$21,"Modified Following",TRUE)</f>
        <v>#NUM!</v>
      </c>
      <c r="BB24" s="57" t="e">
        <f>_xll.qlDayCounterYearFraction(DayCounter,AW24,BA24)</f>
        <v>#NUM!</v>
      </c>
      <c r="BC24" s="82" t="e">
        <f>IF($Y$1=BC$21,_xll.qlInterpolationInterpolate(DiscountCurve,BA24),(1+BD24*BF24)*BG24)</f>
        <v>#VALUE!</v>
      </c>
      <c r="BD24" s="202" t="e">
        <f>_xll.qlInterpolationInterpolate(ExtFwdInterpolator,BA24)</f>
        <v>#VALUE!</v>
      </c>
      <c r="BE24" s="34" t="e">
        <f>_xll.qlCalendarAdvance(Calendar,BA24,$A$21,"Modified Following",TRUE)</f>
        <v>#NUM!</v>
      </c>
      <c r="BF24" s="57" t="e">
        <f>_xll.qlDayCounterYearFraction(DayCounter,BA24,BE24)</f>
        <v>#NUM!</v>
      </c>
      <c r="BG24" s="82" t="e">
        <f>IF($Y$1=BG$21,_xll.qlInterpolationInterpolate(DiscountCurve,BE24),(1+BH24*BJ24)*BK24)</f>
        <v>#VALUE!</v>
      </c>
      <c r="BH24" s="202" t="e">
        <f>_xll.qlInterpolationInterpolate(ExtFwdInterpolator,BE24)</f>
        <v>#VALUE!</v>
      </c>
      <c r="BI24" s="34" t="e">
        <f>_xll.qlCalendarAdvance(Calendar,BE24,$A$21,"Modified Following",TRUE)</f>
        <v>#NUM!</v>
      </c>
      <c r="BJ24" s="57" t="e">
        <f>_xll.qlDayCounterYearFraction(DayCounter,BE24,BI24)</f>
        <v>#NUM!</v>
      </c>
      <c r="BK24" s="82" t="e">
        <f>IF($Y$1=BK$21,_xll.qlInterpolationInterpolate(DiscountCurve,BI24),(1+BL24*BN24)*BO24)</f>
        <v>#VALUE!</v>
      </c>
      <c r="BL24" s="202" t="e">
        <f>_xll.qlInterpolationInterpolate(ExtFwdInterpolator,BI24)</f>
        <v>#VALUE!</v>
      </c>
      <c r="BM24" s="34" t="e">
        <f>_xll.qlCalendarAdvance(Calendar,BI24,$A$21,"Modified Following",TRUE)</f>
        <v>#NUM!</v>
      </c>
      <c r="BN24" s="57" t="e">
        <f>_xll.qlDayCounterYearFraction(DayCounter,BI24,BM24)</f>
        <v>#NUM!</v>
      </c>
      <c r="BO24" s="82" t="e">
        <f>IF($Y$1=BO$21,_xll.qlInterpolationInterpolate(DiscountCurve,BM24),(1+BP24*BR24)*BS24)</f>
        <v>#VALUE!</v>
      </c>
      <c r="BP24" s="202" t="e">
        <f>_xll.qlInterpolationInterpolate(ExtFwdInterpolator,BM24)</f>
        <v>#VALUE!</v>
      </c>
      <c r="BQ24" s="34" t="e">
        <f>_xll.qlCalendarAdvance(Calendar,BM24,$A$21,"Modified Following",TRUE)</f>
        <v>#NUM!</v>
      </c>
      <c r="BR24" s="57" t="e">
        <f>_xll.qlDayCounterYearFraction(DayCounter,BM24,BQ24)</f>
        <v>#NUM!</v>
      </c>
      <c r="BS24" s="82" t="e">
        <f>IF($Y$1=BS$21,_xll.qlInterpolationInterpolate(DiscountCurve,BQ24),(1+BT24*BV24)*BW24)</f>
        <v>#VALUE!</v>
      </c>
      <c r="BT24" s="202" t="e">
        <f>_xll.qlInterpolationInterpolate(ExtFwdInterpolator,BQ24)</f>
        <v>#VALUE!</v>
      </c>
      <c r="BU24" s="34" t="e">
        <f>_xll.qlCalendarAdvance(Calendar,BQ24,$A$21,"Modified Following",TRUE)</f>
        <v>#NUM!</v>
      </c>
      <c r="BV24" s="57" t="e">
        <f>_xll.qlDayCounterYearFraction(DayCounter,BQ24,BU24)</f>
        <v>#NUM!</v>
      </c>
      <c r="BW24" s="82" t="e">
        <f>IF($Y$1=BW$21,_xll.qlInterpolationInterpolate(DiscountCurve,BU24),(1+BX24*BZ24)*CA24)</f>
        <v>#VALUE!</v>
      </c>
      <c r="BX24" s="202" t="e">
        <f>_xll.qlInterpolationInterpolate(ExtFwdInterpolator,BU24)</f>
        <v>#VALUE!</v>
      </c>
      <c r="BY24" s="34" t="e">
        <f>_xll.qlCalendarAdvance(Calendar,BU24,$A$21,"Modified Following",TRUE)</f>
        <v>#NUM!</v>
      </c>
      <c r="BZ24" s="57" t="e">
        <f>_xll.qlDayCounterYearFraction(DayCounter,BU24,BY24)</f>
        <v>#NUM!</v>
      </c>
      <c r="CA24" s="82" t="e">
        <f>IF($Y$1=CA$21,_xll.qlInterpolationInterpolate(DiscountCurve,BY24),(1+CB24*CD24)*CE24)</f>
        <v>#VALUE!</v>
      </c>
      <c r="CB24" s="202" t="e">
        <f>_xll.qlInterpolationInterpolate(ExtFwdInterpolator,BY24)</f>
        <v>#VALUE!</v>
      </c>
      <c r="CC24" s="34" t="e">
        <f>_xll.qlCalendarAdvance(Calendar,BY24,$A$21,"Modified Following",TRUE)</f>
        <v>#NUM!</v>
      </c>
      <c r="CD24" s="57" t="e">
        <f>_xll.qlDayCounterYearFraction(DayCounter,BY24,CC24)</f>
        <v>#NUM!</v>
      </c>
      <c r="CE24" s="82" t="e">
        <f>IF($Y$1=CE$21,_xll.qlInterpolationInterpolate(DiscountCurve,CC24),(1+CF24*CH24)*CI24)</f>
        <v>#VALUE!</v>
      </c>
      <c r="CF24" s="202" t="e">
        <f>_xll.qlInterpolationInterpolate(ExtFwdInterpolator,CC24)</f>
        <v>#VALUE!</v>
      </c>
      <c r="CG24" s="34" t="e">
        <f>_xll.qlCalendarAdvance(Calendar,CC24,$A$21,"Modified Following",TRUE)</f>
        <v>#NUM!</v>
      </c>
      <c r="CH24" s="57" t="e">
        <f>_xll.qlDayCounterYearFraction(DayCounter,CC24,CG24)</f>
        <v>#NUM!</v>
      </c>
      <c r="CI24" s="82" t="e">
        <f>IF($Y$1=CI$21,_xll.qlInterpolationInterpolate(DiscountCurve,CG24),(1+CJ24*CL24)*CM24)</f>
        <v>#VALUE!</v>
      </c>
      <c r="CJ24" s="202" t="e">
        <f>_xll.qlInterpolationInterpolate(ExtFwdInterpolator,CG24)</f>
        <v>#VALUE!</v>
      </c>
      <c r="CK24" s="34" t="e">
        <f>_xll.qlCalendarAdvance(Calendar,CG24,$A$21,"Modified Following",TRUE)</f>
        <v>#NUM!</v>
      </c>
      <c r="CL24" s="57" t="e">
        <f>_xll.qlDayCounterYearFraction(DayCounter,CG24,CK24)</f>
        <v>#NUM!</v>
      </c>
      <c r="CM24" s="82" t="e">
        <f>IF($Y$1=CM$21,_xll.qlInterpolationInterpolate(DiscountCurve,CK24),(1+CN24*CP24)*CQ24)</f>
        <v>#VALUE!</v>
      </c>
      <c r="CN24" s="202" t="e">
        <f>_xll.qlInterpolationInterpolate(ExtFwdInterpolator,CK24)</f>
        <v>#VALUE!</v>
      </c>
      <c r="CO24" s="34" t="e">
        <f>_xll.qlCalendarAdvance(Calendar,CK24,$A$21,"Modified Following",TRUE)</f>
        <v>#NUM!</v>
      </c>
      <c r="CP24" s="57" t="e">
        <f>_xll.qlDayCounterYearFraction(DayCounter,CK24,CO24)</f>
        <v>#NUM!</v>
      </c>
      <c r="CQ24" s="82" t="e">
        <f>IF($Y$1=CQ$21,_xll.qlInterpolationInterpolate(DiscountCurve,CO24),(1+CR24*CT24)*CU24)</f>
        <v>#VALUE!</v>
      </c>
      <c r="CR24" s="202" t="e">
        <f>_xll.qlInterpolationInterpolate(ExtFwdInterpolator,CO24)</f>
        <v>#VALUE!</v>
      </c>
      <c r="CS24" s="34" t="e">
        <f>_xll.qlCalendarAdvance(Calendar,CO24,$A$21,"Modified Following",TRUE)</f>
        <v>#NUM!</v>
      </c>
      <c r="CT24" s="57" t="e">
        <f>_xll.qlDayCounterYearFraction(DayCounter,CO24,CS24)</f>
        <v>#NUM!</v>
      </c>
      <c r="CU24" s="82" t="e">
        <f>IF($Y$1=CU$21,_xll.qlInterpolationInterpolate(DiscountCurve,CS24),(1+CV24*CX24)*CY24)</f>
        <v>#VALUE!</v>
      </c>
      <c r="CV24" s="202" t="e">
        <f>_xll.qlInterpolationInterpolate(ExtFwdInterpolator,CS24)</f>
        <v>#VALUE!</v>
      </c>
      <c r="CW24" s="34" t="e">
        <f>_xll.qlCalendarAdvance(Calendar,CS24,$A$21,"Modified Following",TRUE)</f>
        <v>#NUM!</v>
      </c>
      <c r="CX24" s="57" t="e">
        <f>_xll.qlDayCounterYearFraction(DayCounter,CS24,CW24)</f>
        <v>#NUM!</v>
      </c>
      <c r="CY24" s="82" t="e">
        <f>IF($Y$1=CY$21,_xll.qlInterpolationInterpolate(DiscountCurve,CW24),(1+CZ24*DB24)*DC24)</f>
        <v>#VALUE!</v>
      </c>
      <c r="CZ24" s="202" t="e">
        <f>_xll.qlInterpolationInterpolate(ExtFwdInterpolator,CW24)</f>
        <v>#VALUE!</v>
      </c>
      <c r="DA24" s="34" t="e">
        <f>_xll.qlCalendarAdvance(Calendar,CW24,$A$21,"Modified Following",TRUE)</f>
        <v>#NUM!</v>
      </c>
      <c r="DB24" s="57" t="e">
        <f>_xll.qlDayCounterYearFraction(DayCounter,CW24,DA24)</f>
        <v>#NUM!</v>
      </c>
      <c r="DC24" s="82">
        <f>IF($Y$1=DC$21,_xll.qlInterpolationInterpolate(DiscountCurve,DA24),(1+DD24*DF24)*DG24)</f>
        <v>0</v>
      </c>
    </row>
    <row r="25" spans="1:107" x14ac:dyDescent="0.2">
      <c r="A25" s="98" t="b">
        <v>0</v>
      </c>
      <c r="B25" s="177" t="e">
        <f>"FUT"&amp;IndexTenor&amp;_xll.qlIMMNextCodes(SettlementDate+$B$22,A25)</f>
        <v>#NUM!</v>
      </c>
      <c r="C25" s="46" t="e">
        <f t="shared" ref="C25:C41" si="7">RateHelperPrefix&amp;$B25</f>
        <v>#NUM!</v>
      </c>
      <c r="D25" s="23" t="e">
        <f>_xll.qlRateHelperEarliestDate($C25,EvaluationDate)</f>
        <v>#VALUE!</v>
      </c>
      <c r="E25" s="23" t="e">
        <f>_xll.qlRateHelperLatestDate($C25,EvaluationDate)</f>
        <v>#VALUE!</v>
      </c>
      <c r="F25" s="158" t="e">
        <f>_xll.qlRateHelperQuoteValue($C25,SheetTrigger)</f>
        <v>#VALUE!</v>
      </c>
      <c r="G25" s="157" t="e">
        <f>_xll.qlFuturesRateHelperConvexityAdjustment($C25,SheetTrigger)</f>
        <v>#VALUE!</v>
      </c>
      <c r="H25" s="23" t="e">
        <f>$D25</f>
        <v>#VALUE!</v>
      </c>
      <c r="I25" s="25" t="b">
        <v>1</v>
      </c>
      <c r="J25" s="26" t="e">
        <f>1-$F25/100-$G25</f>
        <v>#VALUE!</v>
      </c>
      <c r="K25" s="200" t="b">
        <f t="shared" ref="K25:K35" si="8">AND(ISNUMBER(J25),I25)</f>
        <v>0</v>
      </c>
      <c r="L25" s="24" t="e">
        <f t="shared" si="1"/>
        <v>#VALUE!</v>
      </c>
      <c r="M25" s="25" t="e">
        <f t="shared" si="2"/>
        <v>#VALUE!</v>
      </c>
      <c r="N25" s="100" t="b">
        <f t="shared" ref="N25:N41" si="9">IF(K25,AND(NOT($L25),NOT($M25)),FALSE)</f>
        <v>0</v>
      </c>
      <c r="O25" s="99" t="e">
        <f>_xll.qlInterpolationInterpolate($O$22,$H25)</f>
        <v>#VALUE!</v>
      </c>
      <c r="P25" s="162" t="e">
        <f t="shared" ref="P25:P52" si="10">$J25-$O25</f>
        <v>#VALUE!</v>
      </c>
      <c r="Q25" s="87" t="e">
        <f>_xll.qlDayCounterYearFraction(DayCounter,$H25,$E25)</f>
        <v>#NUM!</v>
      </c>
      <c r="R25" s="181" t="e">
        <f t="shared" ref="R25:R52" si="11">(1+$O25*$Q25)/(1+$J25*$Q25)</f>
        <v>#VALUE!</v>
      </c>
      <c r="S25" s="89" t="e">
        <f t="shared" si="3"/>
        <v>#VALUE!</v>
      </c>
      <c r="T25" s="329" t="e">
        <f>S25-J25</f>
        <v>#VALUE!</v>
      </c>
      <c r="U25" s="35" t="e">
        <v>#VALUE!</v>
      </c>
      <c r="V25" s="106" t="e">
        <v>#VALUE!</v>
      </c>
      <c r="X25" s="24" t="s">
        <v>21</v>
      </c>
      <c r="Y25" s="89">
        <v>1.6630393418930467E-2</v>
      </c>
      <c r="Z25" s="282" t="e">
        <f t="shared" si="4"/>
        <v>#VALUE!</v>
      </c>
      <c r="AA25" s="89"/>
      <c r="AB25" s="212" t="e">
        <f t="shared" si="5"/>
        <v>#VALUE!</v>
      </c>
      <c r="AC25" s="34" t="e">
        <f>_xll.qlCalendarAdvance(Calendar,SettlementDate,X25,"Following")</f>
        <v>#NUM!</v>
      </c>
      <c r="AD25" s="57" t="e">
        <f>_xll.qlDayCounterYearFraction(DayCounter,SettlementDate,AC25)</f>
        <v>#NUM!</v>
      </c>
      <c r="AE25" s="82" t="e">
        <f t="shared" si="6"/>
        <v>#VALUE!</v>
      </c>
      <c r="AF25" s="202" t="e">
        <f>_xll.qlInterpolationInterpolate(ExtFwdInterpolator,AC25)</f>
        <v>#VALUE!</v>
      </c>
      <c r="AG25" s="34" t="e">
        <f>_xll.qlCalendarAdvance(Calendar,AC25,$A$21,"Modified Following",TRUE)</f>
        <v>#NUM!</v>
      </c>
      <c r="AH25" s="57" t="e">
        <f>_xll.qlDayCounterYearFraction(DayCounter,AC25,AG25)</f>
        <v>#NUM!</v>
      </c>
      <c r="AI25" s="82" t="e">
        <f>IF($Y$1=AI$21,_xll.qlInterpolationInterpolate(DiscountCurve,AG25),(1+AJ25*AL25)*AM25)</f>
        <v>#VALUE!</v>
      </c>
      <c r="AJ25" s="202" t="e">
        <f>_xll.qlInterpolationInterpolate(ExtFwdInterpolator,AG25)</f>
        <v>#VALUE!</v>
      </c>
      <c r="AK25" s="34" t="e">
        <f>_xll.qlCalendarAdvance(Calendar,AG25,$A$21,"Modified Following",TRUE)</f>
        <v>#NUM!</v>
      </c>
      <c r="AL25" s="57" t="e">
        <f>_xll.qlDayCounterYearFraction(DayCounter,AG25,AK25)</f>
        <v>#NUM!</v>
      </c>
      <c r="AM25" s="82" t="e">
        <f>IF($Y$1=AM$21,_xll.qlInterpolationInterpolate(DiscountCurve,AK25),(1+AN25*AP25)*AQ25)</f>
        <v>#VALUE!</v>
      </c>
      <c r="AN25" s="202" t="e">
        <f>_xll.qlInterpolationInterpolate(ExtFwdInterpolator,AK25)</f>
        <v>#VALUE!</v>
      </c>
      <c r="AO25" s="34" t="e">
        <f>_xll.qlCalendarAdvance(Calendar,AK25,$A$21,"Modified Following",TRUE)</f>
        <v>#NUM!</v>
      </c>
      <c r="AP25" s="57" t="e">
        <f>_xll.qlDayCounterYearFraction(DayCounter,AK25,AO25)</f>
        <v>#NUM!</v>
      </c>
      <c r="AQ25" s="82" t="e">
        <f>IF($Y$1=AQ$21,_xll.qlInterpolationInterpolate(DiscountCurve,AO25),(1+AR25*AT25)*AU25)</f>
        <v>#VALUE!</v>
      </c>
      <c r="AR25" s="202" t="e">
        <f>_xll.qlInterpolationInterpolate(ExtFwdInterpolator,AO25)</f>
        <v>#VALUE!</v>
      </c>
      <c r="AS25" s="34" t="e">
        <f>_xll.qlCalendarAdvance(Calendar,AO25,$A$21,"Modified Following",TRUE)</f>
        <v>#NUM!</v>
      </c>
      <c r="AT25" s="57" t="e">
        <f>_xll.qlDayCounterYearFraction(DayCounter,AO25,AS25)</f>
        <v>#NUM!</v>
      </c>
      <c r="AU25" s="82" t="e">
        <f>IF($Y$1=AU$21,_xll.qlInterpolationInterpolate(DiscountCurve,AS25),(1+AV25*AX25)*AY25)</f>
        <v>#VALUE!</v>
      </c>
      <c r="AV25" s="202" t="e">
        <f>_xll.qlInterpolationInterpolate(ExtFwdInterpolator,AS25)</f>
        <v>#VALUE!</v>
      </c>
      <c r="AW25" s="34" t="e">
        <f>_xll.qlCalendarAdvance(Calendar,AS25,$A$21,"Modified Following",TRUE)</f>
        <v>#NUM!</v>
      </c>
      <c r="AX25" s="57" t="e">
        <f>_xll.qlDayCounterYearFraction(DayCounter,AS25,AW25)</f>
        <v>#NUM!</v>
      </c>
      <c r="AY25" s="82" t="e">
        <f>IF($Y$1=AY$21,_xll.qlInterpolationInterpolate(DiscountCurve,AW25),(1+AZ25*BB25)*BC25)</f>
        <v>#VALUE!</v>
      </c>
      <c r="AZ25" s="202" t="e">
        <f>_xll.qlInterpolationInterpolate(ExtFwdInterpolator,AW25)</f>
        <v>#VALUE!</v>
      </c>
      <c r="BA25" s="34" t="e">
        <f>_xll.qlCalendarAdvance(Calendar,AW25,$A$21,"Modified Following",TRUE)</f>
        <v>#NUM!</v>
      </c>
      <c r="BB25" s="57" t="e">
        <f>_xll.qlDayCounterYearFraction(DayCounter,AW25,BA25)</f>
        <v>#NUM!</v>
      </c>
      <c r="BC25" s="82" t="e">
        <f>IF($Y$1=BC$21,_xll.qlInterpolationInterpolate(DiscountCurve,BA25),(1+BD25*BF25)*BG25)</f>
        <v>#VALUE!</v>
      </c>
      <c r="BD25" s="202" t="e">
        <f>_xll.qlInterpolationInterpolate(ExtFwdInterpolator,BA25)</f>
        <v>#VALUE!</v>
      </c>
      <c r="BE25" s="34" t="e">
        <f>_xll.qlCalendarAdvance(Calendar,BA25,$A$21,"Modified Following",TRUE)</f>
        <v>#NUM!</v>
      </c>
      <c r="BF25" s="57" t="e">
        <f>_xll.qlDayCounterYearFraction(DayCounter,BA25,BE25)</f>
        <v>#NUM!</v>
      </c>
      <c r="BG25" s="82" t="e">
        <f>IF($Y$1=BG$21,_xll.qlInterpolationInterpolate(DiscountCurve,BE25),(1+BH25*BJ25)*BK25)</f>
        <v>#VALUE!</v>
      </c>
      <c r="BH25" s="202" t="e">
        <f>_xll.qlInterpolationInterpolate(ExtFwdInterpolator,BE25)</f>
        <v>#VALUE!</v>
      </c>
      <c r="BI25" s="34" t="e">
        <f>_xll.qlCalendarAdvance(Calendar,BE25,$A$21,"Modified Following",TRUE)</f>
        <v>#NUM!</v>
      </c>
      <c r="BJ25" s="57" t="e">
        <f>_xll.qlDayCounterYearFraction(DayCounter,BE25,BI25)</f>
        <v>#NUM!</v>
      </c>
      <c r="BK25" s="82" t="e">
        <f>IF($Y$1=BK$21,_xll.qlInterpolationInterpolate(DiscountCurve,BI25),(1+BL25*BN25)*BO25)</f>
        <v>#VALUE!</v>
      </c>
      <c r="BL25" s="202" t="e">
        <f>_xll.qlInterpolationInterpolate(ExtFwdInterpolator,BI25)</f>
        <v>#VALUE!</v>
      </c>
      <c r="BM25" s="34" t="e">
        <f>_xll.qlCalendarAdvance(Calendar,BI25,$A$21,"Modified Following",TRUE)</f>
        <v>#NUM!</v>
      </c>
      <c r="BN25" s="57" t="e">
        <f>_xll.qlDayCounterYearFraction(DayCounter,BI25,BM25)</f>
        <v>#NUM!</v>
      </c>
      <c r="BO25" s="82" t="e">
        <f>IF($Y$1=BO$21,_xll.qlInterpolationInterpolate(DiscountCurve,BM25),(1+BP25*BR25)*BS25)</f>
        <v>#VALUE!</v>
      </c>
      <c r="BP25" s="202" t="e">
        <f>_xll.qlInterpolationInterpolate(ExtFwdInterpolator,BM25)</f>
        <v>#VALUE!</v>
      </c>
      <c r="BQ25" s="34" t="e">
        <f>_xll.qlCalendarAdvance(Calendar,BM25,$A$21,"Modified Following",TRUE)</f>
        <v>#NUM!</v>
      </c>
      <c r="BR25" s="57" t="e">
        <f>_xll.qlDayCounterYearFraction(DayCounter,BM25,BQ25)</f>
        <v>#NUM!</v>
      </c>
      <c r="BS25" s="82" t="e">
        <f>IF($Y$1=BS$21,_xll.qlInterpolationInterpolate(DiscountCurve,BQ25),(1+BT25*BV25)*BW25)</f>
        <v>#VALUE!</v>
      </c>
      <c r="BT25" s="202" t="e">
        <f>_xll.qlInterpolationInterpolate(ExtFwdInterpolator,BQ25)</f>
        <v>#VALUE!</v>
      </c>
      <c r="BU25" s="34" t="e">
        <f>_xll.qlCalendarAdvance(Calendar,BQ25,$A$21,"Modified Following",TRUE)</f>
        <v>#NUM!</v>
      </c>
      <c r="BV25" s="57" t="e">
        <f>_xll.qlDayCounterYearFraction(DayCounter,BQ25,BU25)</f>
        <v>#NUM!</v>
      </c>
      <c r="BW25" s="82" t="e">
        <f>IF($Y$1=BW$21,_xll.qlInterpolationInterpolate(DiscountCurve,BU25),(1+BX25*BZ25)*CA25)</f>
        <v>#VALUE!</v>
      </c>
      <c r="BX25" s="202" t="e">
        <f>_xll.qlInterpolationInterpolate(ExtFwdInterpolator,BU25)</f>
        <v>#VALUE!</v>
      </c>
      <c r="BY25" s="34" t="e">
        <f>_xll.qlCalendarAdvance(Calendar,BU25,$A$21,"Modified Following",TRUE)</f>
        <v>#NUM!</v>
      </c>
      <c r="BZ25" s="57" t="e">
        <f>_xll.qlDayCounterYearFraction(DayCounter,BU25,BY25)</f>
        <v>#NUM!</v>
      </c>
      <c r="CA25" s="82" t="e">
        <f>IF($Y$1=CA$21,_xll.qlInterpolationInterpolate(DiscountCurve,BY25),(1+CB25*CD25)*CE25)</f>
        <v>#VALUE!</v>
      </c>
      <c r="CB25" s="202" t="e">
        <f>_xll.qlInterpolationInterpolate(ExtFwdInterpolator,BY25)</f>
        <v>#VALUE!</v>
      </c>
      <c r="CC25" s="34" t="e">
        <f>_xll.qlCalendarAdvance(Calendar,BY25,$A$21,"Modified Following",TRUE)</f>
        <v>#NUM!</v>
      </c>
      <c r="CD25" s="57" t="e">
        <f>_xll.qlDayCounterYearFraction(DayCounter,BY25,CC25)</f>
        <v>#NUM!</v>
      </c>
      <c r="CE25" s="82" t="e">
        <f>IF($Y$1=CE$21,_xll.qlInterpolationInterpolate(DiscountCurve,CC25),(1+CF25*CH25)*CI25)</f>
        <v>#VALUE!</v>
      </c>
      <c r="CF25" s="202" t="e">
        <f>_xll.qlInterpolationInterpolate(ExtFwdInterpolator,CC25)</f>
        <v>#VALUE!</v>
      </c>
      <c r="CG25" s="34" t="e">
        <f>_xll.qlCalendarAdvance(Calendar,CC25,$A$21,"Modified Following",TRUE)</f>
        <v>#NUM!</v>
      </c>
      <c r="CH25" s="57" t="e">
        <f>_xll.qlDayCounterYearFraction(DayCounter,CC25,CG25)</f>
        <v>#NUM!</v>
      </c>
      <c r="CI25" s="82" t="e">
        <f>IF($Y$1=CI$21,_xll.qlInterpolationInterpolate(DiscountCurve,CG25),(1+CJ25*CL25)*CM25)</f>
        <v>#VALUE!</v>
      </c>
      <c r="CJ25" s="202" t="e">
        <f>_xll.qlInterpolationInterpolate(ExtFwdInterpolator,CG25)</f>
        <v>#VALUE!</v>
      </c>
      <c r="CK25" s="34" t="e">
        <f>_xll.qlCalendarAdvance(Calendar,CG25,$A$21,"Modified Following",TRUE)</f>
        <v>#NUM!</v>
      </c>
      <c r="CL25" s="57" t="e">
        <f>_xll.qlDayCounterYearFraction(DayCounter,CG25,CK25)</f>
        <v>#NUM!</v>
      </c>
      <c r="CM25" s="82" t="e">
        <f>IF($Y$1=CM$21,_xll.qlInterpolationInterpolate(DiscountCurve,CK25),(1+CN25*CP25)*CQ25)</f>
        <v>#VALUE!</v>
      </c>
      <c r="CN25" s="202" t="e">
        <f>_xll.qlInterpolationInterpolate(ExtFwdInterpolator,CK25)</f>
        <v>#VALUE!</v>
      </c>
      <c r="CO25" s="34" t="e">
        <f>_xll.qlCalendarAdvance(Calendar,CK25,$A$21,"Modified Following",TRUE)</f>
        <v>#NUM!</v>
      </c>
      <c r="CP25" s="57" t="e">
        <f>_xll.qlDayCounterYearFraction(DayCounter,CK25,CO25)</f>
        <v>#NUM!</v>
      </c>
      <c r="CQ25" s="82" t="e">
        <f>IF($Y$1=CQ$21,_xll.qlInterpolationInterpolate(DiscountCurve,CO25),(1+CR25*CT25)*CU25)</f>
        <v>#VALUE!</v>
      </c>
      <c r="CR25" s="202" t="e">
        <f>_xll.qlInterpolationInterpolate(ExtFwdInterpolator,CO25)</f>
        <v>#VALUE!</v>
      </c>
      <c r="CS25" s="34" t="e">
        <f>_xll.qlCalendarAdvance(Calendar,CO25,$A$21,"Modified Following",TRUE)</f>
        <v>#NUM!</v>
      </c>
      <c r="CT25" s="57" t="e">
        <f>_xll.qlDayCounterYearFraction(DayCounter,CO25,CS25)</f>
        <v>#NUM!</v>
      </c>
      <c r="CU25" s="82" t="e">
        <f>IF($Y$1=CU$21,_xll.qlInterpolationInterpolate(DiscountCurve,CS25),(1+CV25*CX25)*CY25)</f>
        <v>#VALUE!</v>
      </c>
      <c r="CV25" s="202" t="e">
        <f>_xll.qlInterpolationInterpolate(ExtFwdInterpolator,CS25)</f>
        <v>#VALUE!</v>
      </c>
      <c r="CW25" s="34" t="e">
        <f>_xll.qlCalendarAdvance(Calendar,CS25,$A$21,"Modified Following",TRUE)</f>
        <v>#NUM!</v>
      </c>
      <c r="CX25" s="57" t="e">
        <f>_xll.qlDayCounterYearFraction(DayCounter,CS25,CW25)</f>
        <v>#NUM!</v>
      </c>
      <c r="CY25" s="82" t="e">
        <f>IF($Y$1=CY$21,_xll.qlInterpolationInterpolate(DiscountCurve,CW25),(1+CZ25*DB25)*DC25)</f>
        <v>#VALUE!</v>
      </c>
      <c r="CZ25" s="202" t="e">
        <f>_xll.qlInterpolationInterpolate(ExtFwdInterpolator,CW25)</f>
        <v>#VALUE!</v>
      </c>
      <c r="DA25" s="34" t="e">
        <f>_xll.qlCalendarAdvance(Calendar,CW25,$A$21,"Modified Following",TRUE)</f>
        <v>#NUM!</v>
      </c>
      <c r="DB25" s="57" t="e">
        <f>_xll.qlDayCounterYearFraction(DayCounter,CW25,DA25)</f>
        <v>#NUM!</v>
      </c>
      <c r="DC25" s="82">
        <f>IF($Y$1=DC$21,_xll.qlInterpolationInterpolate(DiscountCurve,DA25),(1+DD25*DF25)*DG25)</f>
        <v>0</v>
      </c>
    </row>
    <row r="26" spans="1:107" x14ac:dyDescent="0.2">
      <c r="A26" s="208" t="b">
        <f>IF(ISERROR(FIND(LEFT(_xll.qlIMMcode(D25),1),"HMUZ")),TRUE,FALSE)</f>
        <v>1</v>
      </c>
      <c r="B26" s="177" t="e">
        <f>"FUT"&amp;IndexTenor&amp;_xll.qlIMMNextCodes(D25,A26)</f>
        <v>#NUM!</v>
      </c>
      <c r="C26" s="46" t="e">
        <f t="shared" si="7"/>
        <v>#NUM!</v>
      </c>
      <c r="D26" s="23" t="e">
        <f>_xll.qlRateHelperEarliestDate($C26,EvaluationDate)</f>
        <v>#VALUE!</v>
      </c>
      <c r="E26" s="23" t="e">
        <f>_xll.qlRateHelperLatestDate($C26,EvaluationDate)</f>
        <v>#VALUE!</v>
      </c>
      <c r="F26" s="158" t="e">
        <f>_xll.qlRateHelperQuoteValue($C26,SheetTrigger)</f>
        <v>#VALUE!</v>
      </c>
      <c r="G26" s="157" t="e">
        <f>_xll.qlFuturesRateHelperConvexityAdjustment($C26,SheetTrigger)</f>
        <v>#VALUE!</v>
      </c>
      <c r="H26" s="23" t="e">
        <f t="shared" ref="H26:H41" si="12">$D26</f>
        <v>#VALUE!</v>
      </c>
      <c r="I26" s="25" t="b">
        <v>1</v>
      </c>
      <c r="J26" s="26" t="e">
        <f t="shared" ref="J26:J33" si="13">1-$F26/100-$G26</f>
        <v>#VALUE!</v>
      </c>
      <c r="K26" s="200" t="b">
        <f t="shared" si="8"/>
        <v>0</v>
      </c>
      <c r="L26" s="24" t="e">
        <f t="shared" si="1"/>
        <v>#VALUE!</v>
      </c>
      <c r="M26" s="25" t="e">
        <f t="shared" si="2"/>
        <v>#VALUE!</v>
      </c>
      <c r="N26" s="100" t="b">
        <f t="shared" si="9"/>
        <v>0</v>
      </c>
      <c r="O26" s="99" t="e">
        <f>_xll.qlInterpolationInterpolate($O$22,$H26)</f>
        <v>#VALUE!</v>
      </c>
      <c r="P26" s="162" t="e">
        <f t="shared" si="10"/>
        <v>#VALUE!</v>
      </c>
      <c r="Q26" s="87" t="e">
        <f>_xll.qlDayCounterYearFraction(DayCounter,$H26,$E26)</f>
        <v>#NUM!</v>
      </c>
      <c r="R26" s="181" t="e">
        <f t="shared" si="11"/>
        <v>#VALUE!</v>
      </c>
      <c r="S26" s="89" t="e">
        <f t="shared" si="3"/>
        <v>#VALUE!</v>
      </c>
      <c r="T26" s="329" t="e">
        <f>S26-J26</f>
        <v>#VALUE!</v>
      </c>
      <c r="U26" s="35" t="e">
        <v>#VALUE!</v>
      </c>
      <c r="V26" s="106" t="e">
        <v>#VALUE!</v>
      </c>
      <c r="X26" s="53" t="s">
        <v>24</v>
      </c>
      <c r="Y26" s="75">
        <v>1.6339529473487095E-2</v>
      </c>
      <c r="Z26" s="283" t="e">
        <f t="shared" si="4"/>
        <v>#VALUE!</v>
      </c>
      <c r="AA26" s="75"/>
      <c r="AB26" s="213" t="e">
        <f t="shared" si="5"/>
        <v>#VALUE!</v>
      </c>
      <c r="AC26" s="36" t="e">
        <f>_xll.qlCalendarAdvance(Calendar,SettlementDate,X26,"Following")</f>
        <v>#NUM!</v>
      </c>
      <c r="AD26" s="58" t="e">
        <f>_xll.qlDayCounterYearFraction(DayCounter,SettlementDate,AC26)</f>
        <v>#NUM!</v>
      </c>
      <c r="AE26" s="83" t="e">
        <f t="shared" si="6"/>
        <v>#VALUE!</v>
      </c>
      <c r="AF26" s="189" t="e">
        <f>_xll.qlInterpolationInterpolate(ExtFwdInterpolator,AC26)</f>
        <v>#VALUE!</v>
      </c>
      <c r="AG26" s="36" t="e">
        <f>_xll.qlCalendarAdvance(Calendar,AC26,$A$21,"Modified Following",TRUE)</f>
        <v>#NUM!</v>
      </c>
      <c r="AH26" s="58" t="e">
        <f>_xll.qlDayCounterYearFraction(DayCounter,AC26,AG26)</f>
        <v>#NUM!</v>
      </c>
      <c r="AI26" s="83" t="e">
        <f>IF($Y$1=AI$21,_xll.qlInterpolationInterpolate(DiscountCurve,AG26),(1+AJ26*AL26)*AM26)</f>
        <v>#VALUE!</v>
      </c>
      <c r="AJ26" s="189" t="e">
        <f>_xll.qlInterpolationInterpolate(ExtFwdInterpolator,AG26)</f>
        <v>#VALUE!</v>
      </c>
      <c r="AK26" s="36" t="e">
        <f>_xll.qlCalendarAdvance(Calendar,AG26,$A$21,"Modified Following",TRUE)</f>
        <v>#NUM!</v>
      </c>
      <c r="AL26" s="58" t="e">
        <f>_xll.qlDayCounterYearFraction(DayCounter,AG26,AK26)</f>
        <v>#NUM!</v>
      </c>
      <c r="AM26" s="83" t="e">
        <f>IF($Y$1=AM$21,_xll.qlInterpolationInterpolate(DiscountCurve,AK26),(1+AN26*AP26)*AQ26)</f>
        <v>#VALUE!</v>
      </c>
      <c r="AN26" s="189" t="e">
        <f>_xll.qlInterpolationInterpolate(ExtFwdInterpolator,AK26)</f>
        <v>#VALUE!</v>
      </c>
      <c r="AO26" s="36" t="e">
        <f>_xll.qlCalendarAdvance(Calendar,AK26,$A$21,"Modified Following",TRUE)</f>
        <v>#NUM!</v>
      </c>
      <c r="AP26" s="58" t="e">
        <f>_xll.qlDayCounterYearFraction(DayCounter,AK26,AO26)</f>
        <v>#NUM!</v>
      </c>
      <c r="AQ26" s="83" t="e">
        <f>IF($Y$1=AQ$21,_xll.qlInterpolationInterpolate(DiscountCurve,AO26),(1+AR26*AT26)*AU26)</f>
        <v>#VALUE!</v>
      </c>
      <c r="AR26" s="189" t="e">
        <f>_xll.qlInterpolationInterpolate(ExtFwdInterpolator,AO26)</f>
        <v>#VALUE!</v>
      </c>
      <c r="AS26" s="36" t="e">
        <f>_xll.qlCalendarAdvance(Calendar,AO26,$A$21,"Modified Following",TRUE)</f>
        <v>#NUM!</v>
      </c>
      <c r="AT26" s="58" t="e">
        <f>_xll.qlDayCounterYearFraction(DayCounter,AO26,AS26)</f>
        <v>#NUM!</v>
      </c>
      <c r="AU26" s="83" t="e">
        <f>IF($Y$1=AU$21,_xll.qlInterpolationInterpolate(DiscountCurve,AS26),(1+AV26*AX26)*AY26)</f>
        <v>#VALUE!</v>
      </c>
      <c r="AV26" s="189" t="e">
        <f>_xll.qlInterpolationInterpolate(ExtFwdInterpolator,AS26)</f>
        <v>#VALUE!</v>
      </c>
      <c r="AW26" s="36" t="e">
        <f>_xll.qlCalendarAdvance(Calendar,AS26,$A$21,"Modified Following",TRUE)</f>
        <v>#NUM!</v>
      </c>
      <c r="AX26" s="58" t="e">
        <f>_xll.qlDayCounterYearFraction(DayCounter,AS26,AW26)</f>
        <v>#NUM!</v>
      </c>
      <c r="AY26" s="83" t="e">
        <f>IF($Y$1=AY$21,_xll.qlInterpolationInterpolate(DiscountCurve,AW26),(1+AZ26*BB26)*BC26)</f>
        <v>#VALUE!</v>
      </c>
      <c r="AZ26" s="189" t="e">
        <f>_xll.qlInterpolationInterpolate(ExtFwdInterpolator,AW26)</f>
        <v>#VALUE!</v>
      </c>
      <c r="BA26" s="36" t="e">
        <f>_xll.qlCalendarAdvance(Calendar,AW26,$A$21,"Modified Following",TRUE)</f>
        <v>#NUM!</v>
      </c>
      <c r="BB26" s="58" t="e">
        <f>_xll.qlDayCounterYearFraction(DayCounter,AW26,BA26)</f>
        <v>#NUM!</v>
      </c>
      <c r="BC26" s="83" t="e">
        <f>IF($Y$1=BC$21,_xll.qlInterpolationInterpolate(DiscountCurve,BA26),(1+BD26*BF26)*BG26)</f>
        <v>#VALUE!</v>
      </c>
      <c r="BD26" s="189" t="e">
        <f>_xll.qlInterpolationInterpolate(ExtFwdInterpolator,BA26)</f>
        <v>#VALUE!</v>
      </c>
      <c r="BE26" s="36" t="e">
        <f>_xll.qlCalendarAdvance(Calendar,BA26,$A$21,"Modified Following",TRUE)</f>
        <v>#NUM!</v>
      </c>
      <c r="BF26" s="58" t="e">
        <f>_xll.qlDayCounterYearFraction(DayCounter,BA26,BE26)</f>
        <v>#NUM!</v>
      </c>
      <c r="BG26" s="83" t="e">
        <f>IF($Y$1=BG$21,_xll.qlInterpolationInterpolate(DiscountCurve,BE26),(1+BH26*BJ26)*BK26)</f>
        <v>#VALUE!</v>
      </c>
      <c r="BH26" s="189" t="e">
        <f>_xll.qlInterpolationInterpolate(ExtFwdInterpolator,BE26)</f>
        <v>#VALUE!</v>
      </c>
      <c r="BI26" s="36" t="e">
        <f>_xll.qlCalendarAdvance(Calendar,BE26,$A$21,"Modified Following",TRUE)</f>
        <v>#NUM!</v>
      </c>
      <c r="BJ26" s="58" t="e">
        <f>_xll.qlDayCounterYearFraction(DayCounter,BE26,BI26)</f>
        <v>#NUM!</v>
      </c>
      <c r="BK26" s="83" t="e">
        <f>IF($Y$1=BK$21,_xll.qlInterpolationInterpolate(DiscountCurve,BI26),(1+BL26*BN26)*BO26)</f>
        <v>#VALUE!</v>
      </c>
      <c r="BL26" s="189" t="e">
        <f>_xll.qlInterpolationInterpolate(ExtFwdInterpolator,BI26)</f>
        <v>#VALUE!</v>
      </c>
      <c r="BM26" s="36" t="e">
        <f>_xll.qlCalendarAdvance(Calendar,BI26,$A$21,"Modified Following",TRUE)</f>
        <v>#NUM!</v>
      </c>
      <c r="BN26" s="58" t="e">
        <f>_xll.qlDayCounterYearFraction(DayCounter,BI26,BM26)</f>
        <v>#NUM!</v>
      </c>
      <c r="BO26" s="83" t="e">
        <f>IF($Y$1=BO$21,_xll.qlInterpolationInterpolate(DiscountCurve,BM26),(1+BP26*BR26)*BS26)</f>
        <v>#VALUE!</v>
      </c>
      <c r="BP26" s="189" t="e">
        <f>_xll.qlInterpolationInterpolate(ExtFwdInterpolator,BM26)</f>
        <v>#VALUE!</v>
      </c>
      <c r="BQ26" s="36" t="e">
        <f>_xll.qlCalendarAdvance(Calendar,BM26,$A$21,"Modified Following",TRUE)</f>
        <v>#NUM!</v>
      </c>
      <c r="BR26" s="58" t="e">
        <f>_xll.qlDayCounterYearFraction(DayCounter,BM26,BQ26)</f>
        <v>#NUM!</v>
      </c>
      <c r="BS26" s="83" t="e">
        <f>IF($Y$1=BS$21,_xll.qlInterpolationInterpolate(DiscountCurve,BQ26),(1+BT26*BV26)*BW26)</f>
        <v>#VALUE!</v>
      </c>
      <c r="BT26" s="189" t="e">
        <f>_xll.qlInterpolationInterpolate(ExtFwdInterpolator,BQ26)</f>
        <v>#VALUE!</v>
      </c>
      <c r="BU26" s="36" t="e">
        <f>_xll.qlCalendarAdvance(Calendar,BQ26,$A$21,"Modified Following",TRUE)</f>
        <v>#NUM!</v>
      </c>
      <c r="BV26" s="58" t="e">
        <f>_xll.qlDayCounterYearFraction(DayCounter,BQ26,BU26)</f>
        <v>#NUM!</v>
      </c>
      <c r="BW26" s="83" t="e">
        <f>IF($Y$1=BW$21,_xll.qlInterpolationInterpolate(DiscountCurve,BU26),(1+BX26*BZ26)*CA26)</f>
        <v>#VALUE!</v>
      </c>
      <c r="BX26" s="189" t="e">
        <f>_xll.qlInterpolationInterpolate(ExtFwdInterpolator,BU26)</f>
        <v>#VALUE!</v>
      </c>
      <c r="BY26" s="36" t="e">
        <f>_xll.qlCalendarAdvance(Calendar,BU26,$A$21,"Modified Following",TRUE)</f>
        <v>#NUM!</v>
      </c>
      <c r="BZ26" s="58" t="e">
        <f>_xll.qlDayCounterYearFraction(DayCounter,BU26,BY26)</f>
        <v>#NUM!</v>
      </c>
      <c r="CA26" s="83" t="e">
        <f>IF($Y$1=CA$21,_xll.qlInterpolationInterpolate(DiscountCurve,BY26),(1+CB26*CD26)*CE26)</f>
        <v>#VALUE!</v>
      </c>
      <c r="CB26" s="189" t="e">
        <f>_xll.qlInterpolationInterpolate(ExtFwdInterpolator,BY26)</f>
        <v>#VALUE!</v>
      </c>
      <c r="CC26" s="36" t="e">
        <f>_xll.qlCalendarAdvance(Calendar,BY26,$A$21,"Modified Following",TRUE)</f>
        <v>#NUM!</v>
      </c>
      <c r="CD26" s="58" t="e">
        <f>_xll.qlDayCounterYearFraction(DayCounter,BY26,CC26)</f>
        <v>#NUM!</v>
      </c>
      <c r="CE26" s="83" t="e">
        <f>IF($Y$1=CE$21,_xll.qlInterpolationInterpolate(DiscountCurve,CC26),(1+CF26*CH26)*CI26)</f>
        <v>#VALUE!</v>
      </c>
      <c r="CF26" s="189" t="e">
        <f>_xll.qlInterpolationInterpolate(ExtFwdInterpolator,CC26)</f>
        <v>#VALUE!</v>
      </c>
      <c r="CG26" s="36" t="e">
        <f>_xll.qlCalendarAdvance(Calendar,CC26,$A$21,"Modified Following",TRUE)</f>
        <v>#NUM!</v>
      </c>
      <c r="CH26" s="58" t="e">
        <f>_xll.qlDayCounterYearFraction(DayCounter,CC26,CG26)</f>
        <v>#NUM!</v>
      </c>
      <c r="CI26" s="83" t="e">
        <f>IF($Y$1=CI$21,_xll.qlInterpolationInterpolate(DiscountCurve,CG26),(1+CJ26*CL26)*CM26)</f>
        <v>#VALUE!</v>
      </c>
      <c r="CJ26" s="189" t="e">
        <f>_xll.qlInterpolationInterpolate(ExtFwdInterpolator,CG26)</f>
        <v>#VALUE!</v>
      </c>
      <c r="CK26" s="36" t="e">
        <f>_xll.qlCalendarAdvance(Calendar,CG26,$A$21,"Modified Following",TRUE)</f>
        <v>#NUM!</v>
      </c>
      <c r="CL26" s="58" t="e">
        <f>_xll.qlDayCounterYearFraction(DayCounter,CG26,CK26)</f>
        <v>#NUM!</v>
      </c>
      <c r="CM26" s="83" t="e">
        <f>IF($Y$1=CM$21,_xll.qlInterpolationInterpolate(DiscountCurve,CK26),(1+CN26*CP26)*CQ26)</f>
        <v>#VALUE!</v>
      </c>
      <c r="CN26" s="189" t="e">
        <f>_xll.qlInterpolationInterpolate(ExtFwdInterpolator,CK26)</f>
        <v>#VALUE!</v>
      </c>
      <c r="CO26" s="36" t="e">
        <f>_xll.qlCalendarAdvance(Calendar,CK26,$A$21,"Modified Following",TRUE)</f>
        <v>#NUM!</v>
      </c>
      <c r="CP26" s="58" t="e">
        <f>_xll.qlDayCounterYearFraction(DayCounter,CK26,CO26)</f>
        <v>#NUM!</v>
      </c>
      <c r="CQ26" s="83" t="e">
        <f>IF($Y$1=CQ$21,_xll.qlInterpolationInterpolate(DiscountCurve,CO26),(1+CR26*CT26)*CU26)</f>
        <v>#VALUE!</v>
      </c>
      <c r="CR26" s="189" t="e">
        <f>_xll.qlInterpolationInterpolate(ExtFwdInterpolator,CO26)</f>
        <v>#VALUE!</v>
      </c>
      <c r="CS26" s="36" t="e">
        <f>_xll.qlCalendarAdvance(Calendar,CO26,$A$21,"Modified Following",TRUE)</f>
        <v>#NUM!</v>
      </c>
      <c r="CT26" s="58" t="e">
        <f>_xll.qlDayCounterYearFraction(DayCounter,CO26,CS26)</f>
        <v>#NUM!</v>
      </c>
      <c r="CU26" s="83" t="e">
        <f>IF($Y$1=CU$21,_xll.qlInterpolationInterpolate(DiscountCurve,CS26),(1+CV26*CX26)*CY26)</f>
        <v>#VALUE!</v>
      </c>
      <c r="CV26" s="189" t="e">
        <f>_xll.qlInterpolationInterpolate(ExtFwdInterpolator,CS26)</f>
        <v>#VALUE!</v>
      </c>
      <c r="CW26" s="36" t="e">
        <f>_xll.qlCalendarAdvance(Calendar,CS26,$A$21,"Modified Following",TRUE)</f>
        <v>#NUM!</v>
      </c>
      <c r="CX26" s="58" t="e">
        <f>_xll.qlDayCounterYearFraction(DayCounter,CS26,CW26)</f>
        <v>#NUM!</v>
      </c>
      <c r="CY26" s="83" t="e">
        <f>IF($Y$1=CY$21,_xll.qlInterpolationInterpolate(DiscountCurve,CW26),(1+CZ26*DB26)*DC26)</f>
        <v>#VALUE!</v>
      </c>
      <c r="CZ26" s="189" t="e">
        <f>_xll.qlInterpolationInterpolate(ExtFwdInterpolator,CW26)</f>
        <v>#VALUE!</v>
      </c>
      <c r="DA26" s="36" t="e">
        <f>_xll.qlCalendarAdvance(Calendar,CW26,$A$21,"Modified Following",TRUE)</f>
        <v>#NUM!</v>
      </c>
      <c r="DB26" s="58" t="e">
        <f>_xll.qlDayCounterYearFraction(DayCounter,CW26,DA26)</f>
        <v>#NUM!</v>
      </c>
      <c r="DC26" s="83">
        <f>IF($Y$1=DC$21,_xll.qlInterpolationInterpolate(DiscountCurve,DA26),(1+DD26*DF26)*DG26)</f>
        <v>0</v>
      </c>
    </row>
    <row r="27" spans="1:107" x14ac:dyDescent="0.2">
      <c r="A27" t="b">
        <v>1</v>
      </c>
      <c r="B27" s="177" t="e">
        <f>"FUT"&amp;IndexTenor&amp;_xll.qlIMMNextCodes(D26,A27)</f>
        <v>#NUM!</v>
      </c>
      <c r="C27" s="46" t="e">
        <f t="shared" si="7"/>
        <v>#NUM!</v>
      </c>
      <c r="D27" s="23" t="e">
        <f>_xll.qlRateHelperEarliestDate($C27,EvaluationDate)</f>
        <v>#VALUE!</v>
      </c>
      <c r="E27" s="23" t="e">
        <f>_xll.qlRateHelperLatestDate($C27,EvaluationDate)</f>
        <v>#VALUE!</v>
      </c>
      <c r="F27" s="158" t="e">
        <f>_xll.qlRateHelperQuoteValue($C27,SheetTrigger)</f>
        <v>#VALUE!</v>
      </c>
      <c r="G27" s="157" t="e">
        <f>_xll.qlFuturesRateHelperConvexityAdjustment($C27,SheetTrigger)</f>
        <v>#VALUE!</v>
      </c>
      <c r="H27" s="23" t="e">
        <f t="shared" si="12"/>
        <v>#VALUE!</v>
      </c>
      <c r="I27" s="25" t="b">
        <v>1</v>
      </c>
      <c r="J27" s="26" t="e">
        <f t="shared" si="13"/>
        <v>#VALUE!</v>
      </c>
      <c r="K27" s="200" t="b">
        <f t="shared" si="8"/>
        <v>0</v>
      </c>
      <c r="L27" s="24" t="e">
        <f t="shared" si="1"/>
        <v>#VALUE!</v>
      </c>
      <c r="M27" s="25" t="e">
        <f t="shared" si="2"/>
        <v>#VALUE!</v>
      </c>
      <c r="N27" s="100" t="b">
        <f t="shared" si="9"/>
        <v>0</v>
      </c>
      <c r="O27" s="99" t="e">
        <f>_xll.qlInterpolationInterpolate($O$22,$H27)</f>
        <v>#VALUE!</v>
      </c>
      <c r="P27" s="162" t="e">
        <f t="shared" si="10"/>
        <v>#VALUE!</v>
      </c>
      <c r="Q27" s="87" t="e">
        <f>_xll.qlDayCounterYearFraction(DayCounter,$H27,$E27)</f>
        <v>#NUM!</v>
      </c>
      <c r="R27" s="181" t="e">
        <f t="shared" si="11"/>
        <v>#VALUE!</v>
      </c>
      <c r="S27" s="89" t="e">
        <f t="shared" si="3"/>
        <v>#VALUE!</v>
      </c>
      <c r="T27" s="329" t="e">
        <f t="shared" ref="T27:T43" si="14">S27-J27</f>
        <v>#VALUE!</v>
      </c>
      <c r="U27" s="35" t="e">
        <v>#VALUE!</v>
      </c>
      <c r="V27" s="106" t="e">
        <v>#VALUE!</v>
      </c>
      <c r="X27" s="24" t="s">
        <v>25</v>
      </c>
      <c r="Y27" s="97">
        <v>1.6226277531910832E-2</v>
      </c>
      <c r="Z27" s="284" t="e">
        <f t="shared" si="4"/>
        <v>#VALUE!</v>
      </c>
      <c r="AA27" s="89"/>
      <c r="AB27" s="212" t="e">
        <f t="shared" si="5"/>
        <v>#VALUE!</v>
      </c>
      <c r="AC27" s="34" t="e">
        <f>_xll.qlCalendarAdvance(Calendar,SettlementDate,X27,"MF",TRUE)</f>
        <v>#NUM!</v>
      </c>
      <c r="AD27" s="57" t="e">
        <f>_xll.qlDayCounterYearFraction(DayCounter,SettlementDate,AC27)</f>
        <v>#NUM!</v>
      </c>
      <c r="AE27" s="82" t="e">
        <f t="shared" si="6"/>
        <v>#VALUE!</v>
      </c>
      <c r="AF27" s="202" t="e">
        <f>_xll.qlInterpolationInterpolate(ExtFwdInterpolator,AC27)</f>
        <v>#VALUE!</v>
      </c>
      <c r="AG27" s="34" t="e">
        <f>_xll.qlCalendarAdvance(Calendar,AC27,$A$21,"Modified Following",TRUE)</f>
        <v>#NUM!</v>
      </c>
      <c r="AH27" s="57" t="e">
        <f>_xll.qlDayCounterYearFraction(DayCounter,AC27,AG27)</f>
        <v>#NUM!</v>
      </c>
      <c r="AI27" s="84" t="e">
        <f>IF($Y$1=AI$21,_xll.qlInterpolationInterpolate(DiscountCurve,AG27),(1+AJ27*AL27)*AM27)</f>
        <v>#VALUE!</v>
      </c>
      <c r="AJ27" s="202" t="e">
        <f>_xll.qlInterpolationInterpolate(ExtFwdInterpolator,AG27)</f>
        <v>#VALUE!</v>
      </c>
      <c r="AK27" s="34" t="e">
        <f>_xll.qlCalendarAdvance(Calendar,AG27,$A$21,"Modified Following",TRUE)</f>
        <v>#NUM!</v>
      </c>
      <c r="AL27" s="57" t="e">
        <f>_xll.qlDayCounterYearFraction(DayCounter,AG27,AK27)</f>
        <v>#NUM!</v>
      </c>
      <c r="AM27" s="84" t="e">
        <f>IF($Y$1=AM$21,_xll.qlInterpolationInterpolate(DiscountCurve,AK27),(1+AN27*AP27)*AQ27)</f>
        <v>#VALUE!</v>
      </c>
      <c r="AN27" s="202" t="e">
        <f>_xll.qlInterpolationInterpolate(ExtFwdInterpolator,AK27)</f>
        <v>#VALUE!</v>
      </c>
      <c r="AO27" s="34" t="e">
        <f>_xll.qlCalendarAdvance(Calendar,AK27,$A$21,"Modified Following",TRUE)</f>
        <v>#NUM!</v>
      </c>
      <c r="AP27" s="57" t="e">
        <f>_xll.qlDayCounterYearFraction(DayCounter,AK27,AO27)</f>
        <v>#NUM!</v>
      </c>
      <c r="AQ27" s="84" t="e">
        <f>IF($Y$1=AQ$21,_xll.qlInterpolationInterpolate(DiscountCurve,AO27),(1+AR27*AT27)*AU27)</f>
        <v>#VALUE!</v>
      </c>
      <c r="AR27" s="202" t="e">
        <f>_xll.qlInterpolationInterpolate(ExtFwdInterpolator,AO27)</f>
        <v>#VALUE!</v>
      </c>
      <c r="AS27" s="34" t="e">
        <f>_xll.qlCalendarAdvance(Calendar,AO27,$A$21,"Modified Following",TRUE)</f>
        <v>#NUM!</v>
      </c>
      <c r="AT27" s="57" t="e">
        <f>_xll.qlDayCounterYearFraction(DayCounter,AO27,AS27)</f>
        <v>#NUM!</v>
      </c>
      <c r="AU27" s="84" t="e">
        <f>IF($Y$1=AU$21,_xll.qlInterpolationInterpolate(DiscountCurve,AS27),(1+AV27*AX27)*AY27)</f>
        <v>#VALUE!</v>
      </c>
      <c r="AV27" s="202" t="e">
        <f>_xll.qlInterpolationInterpolate(ExtFwdInterpolator,AS27)</f>
        <v>#VALUE!</v>
      </c>
      <c r="AW27" s="34" t="e">
        <f>_xll.qlCalendarAdvance(Calendar,AS27,$A$21,"Modified Following",TRUE)</f>
        <v>#NUM!</v>
      </c>
      <c r="AX27" s="57" t="e">
        <f>_xll.qlDayCounterYearFraction(DayCounter,AS27,AW27)</f>
        <v>#NUM!</v>
      </c>
      <c r="AY27" s="84" t="e">
        <f>IF($Y$1=AY$21,_xll.qlInterpolationInterpolate(DiscountCurve,AW27),(1+AZ27*BB27)*BC27)</f>
        <v>#VALUE!</v>
      </c>
      <c r="AZ27" s="202" t="e">
        <f>_xll.qlInterpolationInterpolate(ExtFwdInterpolator,AW27)</f>
        <v>#VALUE!</v>
      </c>
      <c r="BA27" s="34" t="e">
        <f>_xll.qlCalendarAdvance(Calendar,AW27,$A$21,"Modified Following",TRUE)</f>
        <v>#NUM!</v>
      </c>
      <c r="BB27" s="57" t="e">
        <f>_xll.qlDayCounterYearFraction(DayCounter,AW27,BA27)</f>
        <v>#NUM!</v>
      </c>
      <c r="BC27" s="84" t="e">
        <f>IF($Y$1=BC$21,_xll.qlInterpolationInterpolate(DiscountCurve,BA27),(1+BD27*BF27)*BG27)</f>
        <v>#VALUE!</v>
      </c>
      <c r="BD27" s="202" t="e">
        <f>_xll.qlInterpolationInterpolate(ExtFwdInterpolator,BA27)</f>
        <v>#VALUE!</v>
      </c>
      <c r="BE27" s="34" t="e">
        <f>_xll.qlCalendarAdvance(Calendar,BA27,$A$21,"Modified Following",TRUE)</f>
        <v>#NUM!</v>
      </c>
      <c r="BF27" s="57" t="e">
        <f>_xll.qlDayCounterYearFraction(DayCounter,BA27,BE27)</f>
        <v>#NUM!</v>
      </c>
      <c r="BG27" s="84" t="e">
        <f>IF($Y$1=BG$21,_xll.qlInterpolationInterpolate(DiscountCurve,BE27),(1+BH27*BJ27)*BK27)</f>
        <v>#VALUE!</v>
      </c>
      <c r="BH27" s="202" t="e">
        <f>_xll.qlInterpolationInterpolate(ExtFwdInterpolator,BE27)</f>
        <v>#VALUE!</v>
      </c>
      <c r="BI27" s="34" t="e">
        <f>_xll.qlCalendarAdvance(Calendar,BE27,$A$21,"Modified Following",TRUE)</f>
        <v>#NUM!</v>
      </c>
      <c r="BJ27" s="57" t="e">
        <f>_xll.qlDayCounterYearFraction(DayCounter,BE27,BI27)</f>
        <v>#NUM!</v>
      </c>
      <c r="BK27" s="84" t="e">
        <f>IF($Y$1=BK$21,_xll.qlInterpolationInterpolate(DiscountCurve,BI27),(1+BL27*BN27)*BO27)</f>
        <v>#VALUE!</v>
      </c>
      <c r="BL27" s="202" t="e">
        <f>_xll.qlInterpolationInterpolate(ExtFwdInterpolator,BI27)</f>
        <v>#VALUE!</v>
      </c>
      <c r="BM27" s="34" t="e">
        <f>_xll.qlCalendarAdvance(Calendar,BI27,$A$21,"Modified Following",TRUE)</f>
        <v>#NUM!</v>
      </c>
      <c r="BN27" s="57" t="e">
        <f>_xll.qlDayCounterYearFraction(DayCounter,BI27,BM27)</f>
        <v>#NUM!</v>
      </c>
      <c r="BO27" s="84" t="e">
        <f>IF($Y$1=BO$21,_xll.qlInterpolationInterpolate(DiscountCurve,BM27),(1+BP27*BR27)*BS27)</f>
        <v>#VALUE!</v>
      </c>
      <c r="BP27" s="202" t="e">
        <f>_xll.qlInterpolationInterpolate(ExtFwdInterpolator,BM27)</f>
        <v>#VALUE!</v>
      </c>
      <c r="BQ27" s="34" t="e">
        <f>_xll.qlCalendarAdvance(Calendar,BM27,$A$21,"Modified Following",TRUE)</f>
        <v>#NUM!</v>
      </c>
      <c r="BR27" s="57" t="e">
        <f>_xll.qlDayCounterYearFraction(DayCounter,BM27,BQ27)</f>
        <v>#NUM!</v>
      </c>
      <c r="BS27" s="84" t="e">
        <f>IF($Y$1=BS$21,_xll.qlInterpolationInterpolate(DiscountCurve,BQ27),(1+BT27*BV27)*BW27)</f>
        <v>#VALUE!</v>
      </c>
      <c r="BT27" s="202" t="e">
        <f>_xll.qlInterpolationInterpolate(ExtFwdInterpolator,BQ27)</f>
        <v>#VALUE!</v>
      </c>
      <c r="BU27" s="34" t="e">
        <f>_xll.qlCalendarAdvance(Calendar,BQ27,$A$21,"Modified Following",TRUE)</f>
        <v>#NUM!</v>
      </c>
      <c r="BV27" s="57" t="e">
        <f>_xll.qlDayCounterYearFraction(DayCounter,BQ27,BU27)</f>
        <v>#NUM!</v>
      </c>
      <c r="BW27" s="84" t="e">
        <f>IF($Y$1=BW$21,_xll.qlInterpolationInterpolate(DiscountCurve,BU27),(1+BX27*BZ27)*CA27)</f>
        <v>#VALUE!</v>
      </c>
      <c r="BX27" s="202" t="e">
        <f>_xll.qlInterpolationInterpolate(ExtFwdInterpolator,BU27)</f>
        <v>#VALUE!</v>
      </c>
      <c r="BY27" s="34" t="e">
        <f>_xll.qlCalendarAdvance(Calendar,BU27,$A$21,"Modified Following",TRUE)</f>
        <v>#NUM!</v>
      </c>
      <c r="BZ27" s="57" t="e">
        <f>_xll.qlDayCounterYearFraction(DayCounter,BU27,BY27)</f>
        <v>#NUM!</v>
      </c>
      <c r="CA27" s="84" t="e">
        <f>IF($Y$1=CA$21,_xll.qlInterpolationInterpolate(DiscountCurve,BY27),(1+CB27*CD27)*CE27)</f>
        <v>#VALUE!</v>
      </c>
      <c r="CB27" s="202" t="e">
        <f>_xll.qlInterpolationInterpolate(ExtFwdInterpolator,BY27)</f>
        <v>#VALUE!</v>
      </c>
      <c r="CC27" s="34" t="e">
        <f>_xll.qlCalendarAdvance(Calendar,BY27,$A$21,"Modified Following",TRUE)</f>
        <v>#NUM!</v>
      </c>
      <c r="CD27" s="57" t="e">
        <f>_xll.qlDayCounterYearFraction(DayCounter,BY27,CC27)</f>
        <v>#NUM!</v>
      </c>
      <c r="CE27" s="84" t="e">
        <f>IF($Y$1=CE$21,_xll.qlInterpolationInterpolate(DiscountCurve,CC27),(1+CF27*CH27)*CI27)</f>
        <v>#VALUE!</v>
      </c>
      <c r="CF27" s="202" t="e">
        <f>_xll.qlInterpolationInterpolate(ExtFwdInterpolator,CC27)</f>
        <v>#VALUE!</v>
      </c>
      <c r="CG27" s="34" t="e">
        <f>_xll.qlCalendarAdvance(Calendar,CC27,$A$21,"Modified Following",TRUE)</f>
        <v>#NUM!</v>
      </c>
      <c r="CH27" s="57" t="e">
        <f>_xll.qlDayCounterYearFraction(DayCounter,CC27,CG27)</f>
        <v>#NUM!</v>
      </c>
      <c r="CI27" s="84" t="e">
        <f>IF($Y$1=CI$21,_xll.qlInterpolationInterpolate(DiscountCurve,CG27),(1+CJ27*CL27)*CM27)</f>
        <v>#VALUE!</v>
      </c>
      <c r="CJ27" s="202" t="e">
        <f>_xll.qlInterpolationInterpolate(ExtFwdInterpolator,CG27)</f>
        <v>#VALUE!</v>
      </c>
      <c r="CK27" s="34" t="e">
        <f>_xll.qlCalendarAdvance(Calendar,CG27,$A$21,"Modified Following",TRUE)</f>
        <v>#NUM!</v>
      </c>
      <c r="CL27" s="57" t="e">
        <f>_xll.qlDayCounterYearFraction(DayCounter,CG27,CK27)</f>
        <v>#NUM!</v>
      </c>
      <c r="CM27" s="84" t="e">
        <f>IF($Y$1=CM$21,_xll.qlInterpolationInterpolate(DiscountCurve,CK27),(1+CN27*CP27)*CQ27)</f>
        <v>#VALUE!</v>
      </c>
      <c r="CN27" s="202" t="e">
        <f>_xll.qlInterpolationInterpolate(ExtFwdInterpolator,CK27)</f>
        <v>#VALUE!</v>
      </c>
      <c r="CO27" s="34" t="e">
        <f>_xll.qlCalendarAdvance(Calendar,CK27,$A$21,"Modified Following",TRUE)</f>
        <v>#NUM!</v>
      </c>
      <c r="CP27" s="57" t="e">
        <f>_xll.qlDayCounterYearFraction(DayCounter,CK27,CO27)</f>
        <v>#NUM!</v>
      </c>
      <c r="CQ27" s="84" t="e">
        <f>IF($Y$1=CQ$21,_xll.qlInterpolationInterpolate(DiscountCurve,CO27),(1+CR27*CT27)*CU27)</f>
        <v>#VALUE!</v>
      </c>
      <c r="CR27" s="202" t="e">
        <f>_xll.qlInterpolationInterpolate(ExtFwdInterpolator,CO27)</f>
        <v>#VALUE!</v>
      </c>
      <c r="CS27" s="34" t="e">
        <f>_xll.qlCalendarAdvance(Calendar,CO27,$A$21,"Modified Following",TRUE)</f>
        <v>#NUM!</v>
      </c>
      <c r="CT27" s="57" t="e">
        <f>_xll.qlDayCounterYearFraction(DayCounter,CO27,CS27)</f>
        <v>#NUM!</v>
      </c>
      <c r="CU27" s="84" t="e">
        <f>IF($Y$1=CU$21,_xll.qlInterpolationInterpolate(DiscountCurve,CS27),(1+CV27*CX27)*CY27)</f>
        <v>#VALUE!</v>
      </c>
      <c r="CV27" s="202" t="e">
        <f>_xll.qlInterpolationInterpolate(ExtFwdInterpolator,CS27)</f>
        <v>#VALUE!</v>
      </c>
      <c r="CW27" s="34" t="e">
        <f>_xll.qlCalendarAdvance(Calendar,CS27,$A$21,"Modified Following",TRUE)</f>
        <v>#NUM!</v>
      </c>
      <c r="CX27" s="57" t="e">
        <f>_xll.qlDayCounterYearFraction(DayCounter,CS27,CW27)</f>
        <v>#NUM!</v>
      </c>
      <c r="CY27" s="84" t="e">
        <f>IF($Y$1=CY$21,_xll.qlInterpolationInterpolate(DiscountCurve,CW27),(1+CZ27*DB27)*DC27)</f>
        <v>#VALUE!</v>
      </c>
      <c r="CZ27" s="202" t="e">
        <f>_xll.qlInterpolationInterpolate(ExtFwdInterpolator,CW27)</f>
        <v>#VALUE!</v>
      </c>
      <c r="DA27" s="34" t="e">
        <f>_xll.qlCalendarAdvance(Calendar,CW27,$A$21,"Modified Following",TRUE)</f>
        <v>#NUM!</v>
      </c>
      <c r="DB27" s="57" t="e">
        <f>_xll.qlDayCounterYearFraction(DayCounter,CW27,DA27)</f>
        <v>#NUM!</v>
      </c>
      <c r="DC27" s="84">
        <f>IF($Y$1=DC$21,_xll.qlInterpolationInterpolate(DiscountCurve,DA27),(1+DD27*DF27)*DG27)</f>
        <v>0</v>
      </c>
    </row>
    <row r="28" spans="1:107" x14ac:dyDescent="0.2">
      <c r="A28" t="b">
        <v>1</v>
      </c>
      <c r="B28" s="177" t="e">
        <f>"FUT"&amp;IndexTenor&amp;_xll.qlIMMNextCodes(D27,A28)</f>
        <v>#NUM!</v>
      </c>
      <c r="C28" s="46" t="e">
        <f t="shared" si="7"/>
        <v>#NUM!</v>
      </c>
      <c r="D28" s="23" t="e">
        <f>_xll.qlRateHelperEarliestDate($C28,EvaluationDate)</f>
        <v>#VALUE!</v>
      </c>
      <c r="E28" s="23" t="e">
        <f>_xll.qlRateHelperLatestDate($C28,EvaluationDate)</f>
        <v>#VALUE!</v>
      </c>
      <c r="F28" s="158" t="e">
        <f>_xll.qlRateHelperQuoteValue($C28,SheetTrigger)</f>
        <v>#VALUE!</v>
      </c>
      <c r="G28" s="157" t="e">
        <f>_xll.qlFuturesRateHelperConvexityAdjustment($C28,SheetTrigger)</f>
        <v>#VALUE!</v>
      </c>
      <c r="H28" s="23" t="e">
        <f t="shared" si="12"/>
        <v>#VALUE!</v>
      </c>
      <c r="I28" s="25" t="b">
        <v>1</v>
      </c>
      <c r="J28" s="26" t="e">
        <f t="shared" si="13"/>
        <v>#VALUE!</v>
      </c>
      <c r="K28" s="200" t="b">
        <f t="shared" si="8"/>
        <v>0</v>
      </c>
      <c r="L28" s="24" t="e">
        <f t="shared" si="1"/>
        <v>#VALUE!</v>
      </c>
      <c r="M28" s="25" t="e">
        <f t="shared" si="2"/>
        <v>#VALUE!</v>
      </c>
      <c r="N28" s="100" t="b">
        <f t="shared" si="9"/>
        <v>0</v>
      </c>
      <c r="O28" s="99" t="e">
        <f>_xll.qlInterpolationInterpolate($O$22,$H28)</f>
        <v>#VALUE!</v>
      </c>
      <c r="P28" s="162" t="e">
        <f t="shared" si="10"/>
        <v>#VALUE!</v>
      </c>
      <c r="Q28" s="87" t="e">
        <f>_xll.qlDayCounterYearFraction(DayCounter,$H28,$E28)</f>
        <v>#NUM!</v>
      </c>
      <c r="R28" s="181" t="e">
        <f t="shared" si="11"/>
        <v>#VALUE!</v>
      </c>
      <c r="S28" s="89" t="e">
        <f t="shared" si="3"/>
        <v>#VALUE!</v>
      </c>
      <c r="T28" s="329" t="e">
        <f t="shared" si="14"/>
        <v>#VALUE!</v>
      </c>
      <c r="U28" s="35" t="e">
        <v>#VALUE!</v>
      </c>
      <c r="V28" s="106" t="e">
        <v>#VALUE!</v>
      </c>
      <c r="X28" s="24" t="s">
        <v>26</v>
      </c>
      <c r="Y28" s="89">
        <v>1.5020750287632402E-2</v>
      </c>
      <c r="Z28" s="282" t="e">
        <f t="shared" si="4"/>
        <v>#VALUE!</v>
      </c>
      <c r="AA28" s="89"/>
      <c r="AB28" s="212" t="e">
        <f t="shared" si="5"/>
        <v>#VALUE!</v>
      </c>
      <c r="AC28" s="34" t="e">
        <f>_xll.qlCalendarAdvance(Calendar,SettlementDate,X28,"MF",TRUE)</f>
        <v>#NUM!</v>
      </c>
      <c r="AD28" s="57" t="e">
        <f>_xll.qlDayCounterYearFraction(DayCounter,SettlementDate,AC28)</f>
        <v>#NUM!</v>
      </c>
      <c r="AE28" s="82" t="e">
        <f t="shared" si="6"/>
        <v>#VALUE!</v>
      </c>
      <c r="AF28" s="202" t="e">
        <f>_xll.qlInterpolationInterpolate(ExtFwdInterpolator,AC28)</f>
        <v>#VALUE!</v>
      </c>
      <c r="AG28" s="34" t="e">
        <f>_xll.qlCalendarAdvance(Calendar,AC28,$A$21,"Modified Following",TRUE)</f>
        <v>#NUM!</v>
      </c>
      <c r="AH28" s="57" t="e">
        <f>_xll.qlDayCounterYearFraction(DayCounter,AC28,AG28)</f>
        <v>#NUM!</v>
      </c>
      <c r="AI28" s="84" t="e">
        <f>IF($Y$1=AI$21,_xll.qlInterpolationInterpolate(DiscountCurve,AG28),(1+AJ28*AL28)*AM28)</f>
        <v>#VALUE!</v>
      </c>
      <c r="AJ28" s="202" t="e">
        <f>_xll.qlInterpolationInterpolate(ExtFwdInterpolator,AG28)</f>
        <v>#VALUE!</v>
      </c>
      <c r="AK28" s="34" t="e">
        <f>_xll.qlCalendarAdvance(Calendar,AG28,$A$21,"Modified Following",TRUE)</f>
        <v>#NUM!</v>
      </c>
      <c r="AL28" s="57" t="e">
        <f>_xll.qlDayCounterYearFraction(DayCounter,AG28,AK28)</f>
        <v>#NUM!</v>
      </c>
      <c r="AM28" s="84" t="e">
        <f>IF($Y$1=AM$21,_xll.qlInterpolationInterpolate(DiscountCurve,AK28),(1+AN28*AP28)*AQ28)</f>
        <v>#VALUE!</v>
      </c>
      <c r="AN28" s="202" t="e">
        <f>_xll.qlInterpolationInterpolate(ExtFwdInterpolator,AK28)</f>
        <v>#VALUE!</v>
      </c>
      <c r="AO28" s="34" t="e">
        <f>_xll.qlCalendarAdvance(Calendar,AK28,$A$21,"Modified Following",TRUE)</f>
        <v>#NUM!</v>
      </c>
      <c r="AP28" s="57" t="e">
        <f>_xll.qlDayCounterYearFraction(DayCounter,AK28,AO28)</f>
        <v>#NUM!</v>
      </c>
      <c r="AQ28" s="84" t="e">
        <f>IF($Y$1=AQ$21,_xll.qlInterpolationInterpolate(DiscountCurve,AO28),(1+AR28*AT28)*AU28)</f>
        <v>#VALUE!</v>
      </c>
      <c r="AR28" s="202" t="e">
        <f>_xll.qlInterpolationInterpolate(ExtFwdInterpolator,AO28)</f>
        <v>#VALUE!</v>
      </c>
      <c r="AS28" s="34" t="e">
        <f>_xll.qlCalendarAdvance(Calendar,AO28,$A$21,"Modified Following",TRUE)</f>
        <v>#NUM!</v>
      </c>
      <c r="AT28" s="57" t="e">
        <f>_xll.qlDayCounterYearFraction(DayCounter,AO28,AS28)</f>
        <v>#NUM!</v>
      </c>
      <c r="AU28" s="84" t="e">
        <f>IF($Y$1=AU$21,_xll.qlInterpolationInterpolate(DiscountCurve,AS28),(1+AV28*AX28)*AY28)</f>
        <v>#VALUE!</v>
      </c>
      <c r="AV28" s="202" t="e">
        <f>_xll.qlInterpolationInterpolate(ExtFwdInterpolator,AS28)</f>
        <v>#VALUE!</v>
      </c>
      <c r="AW28" s="34" t="e">
        <f>_xll.qlCalendarAdvance(Calendar,AS28,$A$21,"Modified Following",TRUE)</f>
        <v>#NUM!</v>
      </c>
      <c r="AX28" s="57" t="e">
        <f>_xll.qlDayCounterYearFraction(DayCounter,AS28,AW28)</f>
        <v>#NUM!</v>
      </c>
      <c r="AY28" s="84" t="e">
        <f>IF($Y$1=AY$21,_xll.qlInterpolationInterpolate(DiscountCurve,AW28),(1+AZ28*BB28)*BC28)</f>
        <v>#VALUE!</v>
      </c>
      <c r="AZ28" s="202" t="e">
        <f>_xll.qlInterpolationInterpolate(ExtFwdInterpolator,AW28)</f>
        <v>#VALUE!</v>
      </c>
      <c r="BA28" s="34" t="e">
        <f>_xll.qlCalendarAdvance(Calendar,AW28,$A$21,"Modified Following",TRUE)</f>
        <v>#NUM!</v>
      </c>
      <c r="BB28" s="57" t="e">
        <f>_xll.qlDayCounterYearFraction(DayCounter,AW28,BA28)</f>
        <v>#NUM!</v>
      </c>
      <c r="BC28" s="84" t="e">
        <f>IF($Y$1=BC$21,_xll.qlInterpolationInterpolate(DiscountCurve,BA28),(1+BD28*BF28)*BG28)</f>
        <v>#VALUE!</v>
      </c>
      <c r="BD28" s="202" t="e">
        <f>_xll.qlInterpolationInterpolate(ExtFwdInterpolator,BA28)</f>
        <v>#VALUE!</v>
      </c>
      <c r="BE28" s="34" t="e">
        <f>_xll.qlCalendarAdvance(Calendar,BA28,$A$21,"Modified Following",TRUE)</f>
        <v>#NUM!</v>
      </c>
      <c r="BF28" s="57" t="e">
        <f>_xll.qlDayCounterYearFraction(DayCounter,BA28,BE28)</f>
        <v>#NUM!</v>
      </c>
      <c r="BG28" s="84" t="e">
        <f>IF($Y$1=BG$21,_xll.qlInterpolationInterpolate(DiscountCurve,BE28),(1+BH28*BJ28)*BK28)</f>
        <v>#VALUE!</v>
      </c>
      <c r="BH28" s="202" t="e">
        <f>_xll.qlInterpolationInterpolate(ExtFwdInterpolator,BE28)</f>
        <v>#VALUE!</v>
      </c>
      <c r="BI28" s="34" t="e">
        <f>_xll.qlCalendarAdvance(Calendar,BE28,$A$21,"Modified Following",TRUE)</f>
        <v>#NUM!</v>
      </c>
      <c r="BJ28" s="57" t="e">
        <f>_xll.qlDayCounterYearFraction(DayCounter,BE28,BI28)</f>
        <v>#NUM!</v>
      </c>
      <c r="BK28" s="84" t="e">
        <f>IF($Y$1=BK$21,_xll.qlInterpolationInterpolate(DiscountCurve,BI28),(1+BL28*BN28)*BO28)</f>
        <v>#VALUE!</v>
      </c>
      <c r="BL28" s="202" t="e">
        <f>_xll.qlInterpolationInterpolate(ExtFwdInterpolator,BI28)</f>
        <v>#VALUE!</v>
      </c>
      <c r="BM28" s="34" t="e">
        <f>_xll.qlCalendarAdvance(Calendar,BI28,$A$21,"Modified Following",TRUE)</f>
        <v>#NUM!</v>
      </c>
      <c r="BN28" s="57" t="e">
        <f>_xll.qlDayCounterYearFraction(DayCounter,BI28,BM28)</f>
        <v>#NUM!</v>
      </c>
      <c r="BO28" s="84" t="e">
        <f>IF($Y$1=BO$21,_xll.qlInterpolationInterpolate(DiscountCurve,BM28),(1+BP28*BR28)*BS28)</f>
        <v>#VALUE!</v>
      </c>
      <c r="BP28" s="202" t="e">
        <f>_xll.qlInterpolationInterpolate(ExtFwdInterpolator,BM28)</f>
        <v>#VALUE!</v>
      </c>
      <c r="BQ28" s="34" t="e">
        <f>_xll.qlCalendarAdvance(Calendar,BM28,$A$21,"Modified Following",TRUE)</f>
        <v>#NUM!</v>
      </c>
      <c r="BR28" s="57" t="e">
        <f>_xll.qlDayCounterYearFraction(DayCounter,BM28,BQ28)</f>
        <v>#NUM!</v>
      </c>
      <c r="BS28" s="84" t="e">
        <f>IF($Y$1=BS$21,_xll.qlInterpolationInterpolate(DiscountCurve,BQ28),(1+BT28*BV28)*BW28)</f>
        <v>#VALUE!</v>
      </c>
      <c r="BT28" s="202" t="e">
        <f>_xll.qlInterpolationInterpolate(ExtFwdInterpolator,BQ28)</f>
        <v>#VALUE!</v>
      </c>
      <c r="BU28" s="34" t="e">
        <f>_xll.qlCalendarAdvance(Calendar,BQ28,$A$21,"Modified Following",TRUE)</f>
        <v>#NUM!</v>
      </c>
      <c r="BV28" s="57" t="e">
        <f>_xll.qlDayCounterYearFraction(DayCounter,BQ28,BU28)</f>
        <v>#NUM!</v>
      </c>
      <c r="BW28" s="84" t="e">
        <f>IF($Y$1=BW$21,_xll.qlInterpolationInterpolate(DiscountCurve,BU28),(1+BX28*BZ28)*CA28)</f>
        <v>#VALUE!</v>
      </c>
      <c r="BX28" s="202" t="e">
        <f>_xll.qlInterpolationInterpolate(ExtFwdInterpolator,BU28)</f>
        <v>#VALUE!</v>
      </c>
      <c r="BY28" s="34" t="e">
        <f>_xll.qlCalendarAdvance(Calendar,BU28,$A$21,"Modified Following",TRUE)</f>
        <v>#NUM!</v>
      </c>
      <c r="BZ28" s="57" t="e">
        <f>_xll.qlDayCounterYearFraction(DayCounter,BU28,BY28)</f>
        <v>#NUM!</v>
      </c>
      <c r="CA28" s="84" t="e">
        <f>IF($Y$1=CA$21,_xll.qlInterpolationInterpolate(DiscountCurve,BY28),(1+CB28*CD28)*CE28)</f>
        <v>#VALUE!</v>
      </c>
      <c r="CB28" s="202" t="e">
        <f>_xll.qlInterpolationInterpolate(ExtFwdInterpolator,BY28)</f>
        <v>#VALUE!</v>
      </c>
      <c r="CC28" s="34" t="e">
        <f>_xll.qlCalendarAdvance(Calendar,BY28,$A$21,"Modified Following",TRUE)</f>
        <v>#NUM!</v>
      </c>
      <c r="CD28" s="57" t="e">
        <f>_xll.qlDayCounterYearFraction(DayCounter,BY28,CC28)</f>
        <v>#NUM!</v>
      </c>
      <c r="CE28" s="84" t="e">
        <f>IF($Y$1=CE$21,_xll.qlInterpolationInterpolate(DiscountCurve,CC28),(1+CF28*CH28)*CI28)</f>
        <v>#VALUE!</v>
      </c>
      <c r="CF28" s="202" t="e">
        <f>_xll.qlInterpolationInterpolate(ExtFwdInterpolator,CC28)</f>
        <v>#VALUE!</v>
      </c>
      <c r="CG28" s="34" t="e">
        <f>_xll.qlCalendarAdvance(Calendar,CC28,$A$21,"Modified Following",TRUE)</f>
        <v>#NUM!</v>
      </c>
      <c r="CH28" s="57" t="e">
        <f>_xll.qlDayCounterYearFraction(DayCounter,CC28,CG28)</f>
        <v>#NUM!</v>
      </c>
      <c r="CI28" s="84" t="e">
        <f>IF($Y$1=CI$21,_xll.qlInterpolationInterpolate(DiscountCurve,CG28),(1+CJ28*CL28)*CM28)</f>
        <v>#VALUE!</v>
      </c>
      <c r="CJ28" s="202" t="e">
        <f>_xll.qlInterpolationInterpolate(ExtFwdInterpolator,CG28)</f>
        <v>#VALUE!</v>
      </c>
      <c r="CK28" s="34" t="e">
        <f>_xll.qlCalendarAdvance(Calendar,CG28,$A$21,"Modified Following",TRUE)</f>
        <v>#NUM!</v>
      </c>
      <c r="CL28" s="57" t="e">
        <f>_xll.qlDayCounterYearFraction(DayCounter,CG28,CK28)</f>
        <v>#NUM!</v>
      </c>
      <c r="CM28" s="84" t="e">
        <f>IF($Y$1=CM$21,_xll.qlInterpolationInterpolate(DiscountCurve,CK28),(1+CN28*CP28)*CQ28)</f>
        <v>#VALUE!</v>
      </c>
      <c r="CN28" s="202" t="e">
        <f>_xll.qlInterpolationInterpolate(ExtFwdInterpolator,CK28)</f>
        <v>#VALUE!</v>
      </c>
      <c r="CO28" s="34" t="e">
        <f>_xll.qlCalendarAdvance(Calendar,CK28,$A$21,"Modified Following",TRUE)</f>
        <v>#NUM!</v>
      </c>
      <c r="CP28" s="57" t="e">
        <f>_xll.qlDayCounterYearFraction(DayCounter,CK28,CO28)</f>
        <v>#NUM!</v>
      </c>
      <c r="CQ28" s="84" t="e">
        <f>IF($Y$1=CQ$21,_xll.qlInterpolationInterpolate(DiscountCurve,CO28),(1+CR28*CT28)*CU28)</f>
        <v>#VALUE!</v>
      </c>
      <c r="CR28" s="202" t="e">
        <f>_xll.qlInterpolationInterpolate(ExtFwdInterpolator,CO28)</f>
        <v>#VALUE!</v>
      </c>
      <c r="CS28" s="34" t="e">
        <f>_xll.qlCalendarAdvance(Calendar,CO28,$A$21,"Modified Following",TRUE)</f>
        <v>#NUM!</v>
      </c>
      <c r="CT28" s="57" t="e">
        <f>_xll.qlDayCounterYearFraction(DayCounter,CO28,CS28)</f>
        <v>#NUM!</v>
      </c>
      <c r="CU28" s="84" t="e">
        <f>IF($Y$1=CU$21,_xll.qlInterpolationInterpolate(DiscountCurve,CS28),(1+CV28*CX28)*CY28)</f>
        <v>#VALUE!</v>
      </c>
      <c r="CV28" s="202" t="e">
        <f>_xll.qlInterpolationInterpolate(ExtFwdInterpolator,CS28)</f>
        <v>#VALUE!</v>
      </c>
      <c r="CW28" s="34" t="e">
        <f>_xll.qlCalendarAdvance(Calendar,CS28,$A$21,"Modified Following",TRUE)</f>
        <v>#NUM!</v>
      </c>
      <c r="CX28" s="57" t="e">
        <f>_xll.qlDayCounterYearFraction(DayCounter,CS28,CW28)</f>
        <v>#NUM!</v>
      </c>
      <c r="CY28" s="84" t="e">
        <f>IF($Y$1=CY$21,_xll.qlInterpolationInterpolate(DiscountCurve,CW28),(1+CZ28*DB28)*DC28)</f>
        <v>#VALUE!</v>
      </c>
      <c r="CZ28" s="202" t="e">
        <f>_xll.qlInterpolationInterpolate(ExtFwdInterpolator,CW28)</f>
        <v>#VALUE!</v>
      </c>
      <c r="DA28" s="34" t="e">
        <f>_xll.qlCalendarAdvance(Calendar,CW28,$A$21,"Modified Following",TRUE)</f>
        <v>#NUM!</v>
      </c>
      <c r="DB28" s="57" t="e">
        <f>_xll.qlDayCounterYearFraction(DayCounter,CW28,DA28)</f>
        <v>#NUM!</v>
      </c>
      <c r="DC28" s="84">
        <f>IF($Y$1=DC$21,_xll.qlInterpolationInterpolate(DiscountCurve,DA28),(1+DD28*DF28)*DG28)</f>
        <v>0</v>
      </c>
    </row>
    <row r="29" spans="1:107" x14ac:dyDescent="0.2">
      <c r="A29" t="b">
        <v>1</v>
      </c>
      <c r="B29" s="177" t="e">
        <f>"FUT"&amp;IndexTenor&amp;_xll.qlIMMNextCodes(D28,A29)</f>
        <v>#NUM!</v>
      </c>
      <c r="C29" s="46" t="e">
        <f t="shared" si="7"/>
        <v>#NUM!</v>
      </c>
      <c r="D29" s="23" t="e">
        <f>_xll.qlRateHelperEarliestDate($C29,EvaluationDate)</f>
        <v>#VALUE!</v>
      </c>
      <c r="E29" s="23" t="e">
        <f>_xll.qlRateHelperLatestDate($C29,EvaluationDate)</f>
        <v>#VALUE!</v>
      </c>
      <c r="F29" s="158" t="e">
        <f>_xll.qlRateHelperQuoteValue($C29,SheetTrigger)</f>
        <v>#VALUE!</v>
      </c>
      <c r="G29" s="157" t="e">
        <f>_xll.qlFuturesRateHelperConvexityAdjustment($C29,SheetTrigger)</f>
        <v>#VALUE!</v>
      </c>
      <c r="H29" s="23" t="e">
        <f t="shared" si="12"/>
        <v>#VALUE!</v>
      </c>
      <c r="I29" s="25" t="b">
        <v>1</v>
      </c>
      <c r="J29" s="26" t="e">
        <f t="shared" si="13"/>
        <v>#VALUE!</v>
      </c>
      <c r="K29" s="200" t="b">
        <f t="shared" si="8"/>
        <v>0</v>
      </c>
      <c r="L29" s="24" t="e">
        <f t="shared" si="1"/>
        <v>#VALUE!</v>
      </c>
      <c r="M29" s="25" t="e">
        <f t="shared" si="2"/>
        <v>#VALUE!</v>
      </c>
      <c r="N29" s="100" t="b">
        <f t="shared" si="9"/>
        <v>0</v>
      </c>
      <c r="O29" s="99" t="e">
        <f>_xll.qlInterpolationInterpolate($O$22,$H29)</f>
        <v>#VALUE!</v>
      </c>
      <c r="P29" s="162" t="e">
        <f t="shared" si="10"/>
        <v>#VALUE!</v>
      </c>
      <c r="Q29" s="87" t="e">
        <f>_xll.qlDayCounterYearFraction(DayCounter,$H29,$E29)</f>
        <v>#NUM!</v>
      </c>
      <c r="R29" s="181" t="e">
        <f t="shared" si="11"/>
        <v>#VALUE!</v>
      </c>
      <c r="S29" s="89" t="e">
        <f t="shared" si="3"/>
        <v>#VALUE!</v>
      </c>
      <c r="T29" s="329" t="e">
        <f t="shared" si="14"/>
        <v>#VALUE!</v>
      </c>
      <c r="U29" s="35" t="e">
        <v>#VALUE!</v>
      </c>
      <c r="V29" s="106" t="e">
        <v>#VALUE!</v>
      </c>
      <c r="X29" s="53" t="s">
        <v>19</v>
      </c>
      <c r="Y29" s="75">
        <v>1.4232368268310846E-2</v>
      </c>
      <c r="Z29" s="283" t="e">
        <f t="shared" si="4"/>
        <v>#VALUE!</v>
      </c>
      <c r="AA29" s="75"/>
      <c r="AB29" s="213" t="e">
        <f t="shared" si="5"/>
        <v>#VALUE!</v>
      </c>
      <c r="AC29" s="36" t="e">
        <f>_xll.qlCalendarAdvance(Calendar,SettlementDate,X29,"MF",TRUE)</f>
        <v>#NUM!</v>
      </c>
      <c r="AD29" s="58" t="e">
        <f>_xll.qlDayCounterYearFraction(DayCounter,SettlementDate,AC29)</f>
        <v>#NUM!</v>
      </c>
      <c r="AE29" s="83" t="e">
        <f t="shared" si="6"/>
        <v>#VALUE!</v>
      </c>
      <c r="AF29" s="189" t="e">
        <f>_xll.qlInterpolationInterpolate(ExtFwdInterpolator,AC29)</f>
        <v>#VALUE!</v>
      </c>
      <c r="AG29" s="36" t="e">
        <f>_xll.qlCalendarAdvance(Calendar,AC29,$A$21,"Modified Following",TRUE)</f>
        <v>#NUM!</v>
      </c>
      <c r="AH29" s="58" t="e">
        <f>_xll.qlDayCounterYearFraction(DayCounter,AC29,AG29)</f>
        <v>#NUM!</v>
      </c>
      <c r="AI29" s="85" t="e">
        <f>IF($Y$1=AI$21,_xll.qlInterpolationInterpolate(DiscountCurve,AG29),(1+AJ29*AL29)*AM29)</f>
        <v>#VALUE!</v>
      </c>
      <c r="AJ29" s="189" t="e">
        <f>_xll.qlInterpolationInterpolate(ExtFwdInterpolator,AG29)</f>
        <v>#VALUE!</v>
      </c>
      <c r="AK29" s="36" t="e">
        <f>_xll.qlCalendarAdvance(Calendar,AG29,$A$21,"Modified Following",TRUE)</f>
        <v>#NUM!</v>
      </c>
      <c r="AL29" s="58" t="e">
        <f>_xll.qlDayCounterYearFraction(DayCounter,AG29,AK29)</f>
        <v>#NUM!</v>
      </c>
      <c r="AM29" s="85" t="e">
        <f>IF($Y$1=AM$21,_xll.qlInterpolationInterpolate(DiscountCurve,AK29),(1+AN29*AP29)*AQ29)</f>
        <v>#VALUE!</v>
      </c>
      <c r="AN29" s="189" t="e">
        <f>_xll.qlInterpolationInterpolate(ExtFwdInterpolator,AK29)</f>
        <v>#VALUE!</v>
      </c>
      <c r="AO29" s="36" t="e">
        <f>_xll.qlCalendarAdvance(Calendar,AK29,$A$21,"Modified Following",TRUE)</f>
        <v>#NUM!</v>
      </c>
      <c r="AP29" s="58" t="e">
        <f>_xll.qlDayCounterYearFraction(DayCounter,AK29,AO29)</f>
        <v>#NUM!</v>
      </c>
      <c r="AQ29" s="85" t="e">
        <f>IF($Y$1=AQ$21,_xll.qlInterpolationInterpolate(DiscountCurve,AO29),(1+AR29*AT29)*AU29)</f>
        <v>#VALUE!</v>
      </c>
      <c r="AR29" s="189" t="e">
        <f>_xll.qlInterpolationInterpolate(ExtFwdInterpolator,AO29)</f>
        <v>#VALUE!</v>
      </c>
      <c r="AS29" s="36" t="e">
        <f>_xll.qlCalendarAdvance(Calendar,AO29,$A$21,"Modified Following",TRUE)</f>
        <v>#NUM!</v>
      </c>
      <c r="AT29" s="58" t="e">
        <f>_xll.qlDayCounterYearFraction(DayCounter,AO29,AS29)</f>
        <v>#NUM!</v>
      </c>
      <c r="AU29" s="85" t="e">
        <f>IF($Y$1=AU$21,_xll.qlInterpolationInterpolate(DiscountCurve,AS29),(1+AV29*AX29)*AY29)</f>
        <v>#VALUE!</v>
      </c>
      <c r="AV29" s="189" t="e">
        <f>_xll.qlInterpolationInterpolate(ExtFwdInterpolator,AS29)</f>
        <v>#VALUE!</v>
      </c>
      <c r="AW29" s="36" t="e">
        <f>_xll.qlCalendarAdvance(Calendar,AS29,$A$21,"Modified Following",TRUE)</f>
        <v>#NUM!</v>
      </c>
      <c r="AX29" s="58" t="e">
        <f>_xll.qlDayCounterYearFraction(DayCounter,AS29,AW29)</f>
        <v>#NUM!</v>
      </c>
      <c r="AY29" s="85" t="e">
        <f>IF($Y$1=AY$21,_xll.qlInterpolationInterpolate(DiscountCurve,AW29),(1+AZ29*BB29)*BC29)</f>
        <v>#VALUE!</v>
      </c>
      <c r="AZ29" s="189" t="e">
        <f>_xll.qlInterpolationInterpolate(ExtFwdInterpolator,AW29)</f>
        <v>#VALUE!</v>
      </c>
      <c r="BA29" s="36" t="e">
        <f>_xll.qlCalendarAdvance(Calendar,AW29,$A$21,"Modified Following",TRUE)</f>
        <v>#NUM!</v>
      </c>
      <c r="BB29" s="58" t="e">
        <f>_xll.qlDayCounterYearFraction(DayCounter,AW29,BA29)</f>
        <v>#NUM!</v>
      </c>
      <c r="BC29" s="85" t="e">
        <f>IF($Y$1=BC$21,_xll.qlInterpolationInterpolate(DiscountCurve,BA29),(1+BD29*BF29)*BG29)</f>
        <v>#VALUE!</v>
      </c>
      <c r="BD29" s="189" t="e">
        <f>_xll.qlInterpolationInterpolate(ExtFwdInterpolator,BA29)</f>
        <v>#VALUE!</v>
      </c>
      <c r="BE29" s="36" t="e">
        <f>_xll.qlCalendarAdvance(Calendar,BA29,$A$21,"Modified Following",TRUE)</f>
        <v>#NUM!</v>
      </c>
      <c r="BF29" s="58" t="e">
        <f>_xll.qlDayCounterYearFraction(DayCounter,BA29,BE29)</f>
        <v>#NUM!</v>
      </c>
      <c r="BG29" s="85" t="e">
        <f>IF($Y$1=BG$21,_xll.qlInterpolationInterpolate(DiscountCurve,BE29),(1+BH29*BJ29)*BK29)</f>
        <v>#VALUE!</v>
      </c>
      <c r="BH29" s="189" t="e">
        <f>_xll.qlInterpolationInterpolate(ExtFwdInterpolator,BE29)</f>
        <v>#VALUE!</v>
      </c>
      <c r="BI29" s="36" t="e">
        <f>_xll.qlCalendarAdvance(Calendar,BE29,$A$21,"Modified Following",TRUE)</f>
        <v>#NUM!</v>
      </c>
      <c r="BJ29" s="58" t="e">
        <f>_xll.qlDayCounterYearFraction(DayCounter,BE29,BI29)</f>
        <v>#NUM!</v>
      </c>
      <c r="BK29" s="85" t="e">
        <f>IF($Y$1=BK$21,_xll.qlInterpolationInterpolate(DiscountCurve,BI29),(1+BL29*BN29)*BO29)</f>
        <v>#VALUE!</v>
      </c>
      <c r="BL29" s="189" t="e">
        <f>_xll.qlInterpolationInterpolate(ExtFwdInterpolator,BI29)</f>
        <v>#VALUE!</v>
      </c>
      <c r="BM29" s="36" t="e">
        <f>_xll.qlCalendarAdvance(Calendar,BI29,$A$21,"Modified Following",TRUE)</f>
        <v>#NUM!</v>
      </c>
      <c r="BN29" s="58" t="e">
        <f>_xll.qlDayCounterYearFraction(DayCounter,BI29,BM29)</f>
        <v>#NUM!</v>
      </c>
      <c r="BO29" s="85" t="e">
        <f>IF($Y$1=BO$21,_xll.qlInterpolationInterpolate(DiscountCurve,BM29),(1+BP29*BR29)*BS29)</f>
        <v>#VALUE!</v>
      </c>
      <c r="BP29" s="189" t="e">
        <f>_xll.qlInterpolationInterpolate(ExtFwdInterpolator,BM29)</f>
        <v>#VALUE!</v>
      </c>
      <c r="BQ29" s="36" t="e">
        <f>_xll.qlCalendarAdvance(Calendar,BM29,$A$21,"Modified Following",TRUE)</f>
        <v>#NUM!</v>
      </c>
      <c r="BR29" s="58" t="e">
        <f>_xll.qlDayCounterYearFraction(DayCounter,BM29,BQ29)</f>
        <v>#NUM!</v>
      </c>
      <c r="BS29" s="85" t="e">
        <f>IF($Y$1=BS$21,_xll.qlInterpolationInterpolate(DiscountCurve,BQ29),(1+BT29*BV29)*BW29)</f>
        <v>#VALUE!</v>
      </c>
      <c r="BT29" s="189" t="e">
        <f>_xll.qlInterpolationInterpolate(ExtFwdInterpolator,BQ29)</f>
        <v>#VALUE!</v>
      </c>
      <c r="BU29" s="36" t="e">
        <f>_xll.qlCalendarAdvance(Calendar,BQ29,$A$21,"Modified Following",TRUE)</f>
        <v>#NUM!</v>
      </c>
      <c r="BV29" s="58" t="e">
        <f>_xll.qlDayCounterYearFraction(DayCounter,BQ29,BU29)</f>
        <v>#NUM!</v>
      </c>
      <c r="BW29" s="85" t="e">
        <f>IF($Y$1=BW$21,_xll.qlInterpolationInterpolate(DiscountCurve,BU29),(1+BX29*BZ29)*CA29)</f>
        <v>#VALUE!</v>
      </c>
      <c r="BX29" s="189" t="e">
        <f>_xll.qlInterpolationInterpolate(ExtFwdInterpolator,BU29)</f>
        <v>#VALUE!</v>
      </c>
      <c r="BY29" s="36" t="e">
        <f>_xll.qlCalendarAdvance(Calendar,BU29,$A$21,"Modified Following",TRUE)</f>
        <v>#NUM!</v>
      </c>
      <c r="BZ29" s="58" t="e">
        <f>_xll.qlDayCounterYearFraction(DayCounter,BU29,BY29)</f>
        <v>#NUM!</v>
      </c>
      <c r="CA29" s="85" t="e">
        <f>IF($Y$1=CA$21,_xll.qlInterpolationInterpolate(DiscountCurve,BY29),(1+CB29*CD29)*CE29)</f>
        <v>#VALUE!</v>
      </c>
      <c r="CB29" s="189" t="e">
        <f>_xll.qlInterpolationInterpolate(ExtFwdInterpolator,BY29)</f>
        <v>#VALUE!</v>
      </c>
      <c r="CC29" s="36" t="e">
        <f>_xll.qlCalendarAdvance(Calendar,BY29,$A$21,"Modified Following",TRUE)</f>
        <v>#NUM!</v>
      </c>
      <c r="CD29" s="58" t="e">
        <f>_xll.qlDayCounterYearFraction(DayCounter,BY29,CC29)</f>
        <v>#NUM!</v>
      </c>
      <c r="CE29" s="85" t="e">
        <f>IF($Y$1=CE$21,_xll.qlInterpolationInterpolate(DiscountCurve,CC29),(1+CF29*CH29)*CI29)</f>
        <v>#VALUE!</v>
      </c>
      <c r="CF29" s="189" t="e">
        <f>_xll.qlInterpolationInterpolate(ExtFwdInterpolator,CC29)</f>
        <v>#VALUE!</v>
      </c>
      <c r="CG29" s="36" t="e">
        <f>_xll.qlCalendarAdvance(Calendar,CC29,$A$21,"Modified Following",TRUE)</f>
        <v>#NUM!</v>
      </c>
      <c r="CH29" s="58" t="e">
        <f>_xll.qlDayCounterYearFraction(DayCounter,CC29,CG29)</f>
        <v>#NUM!</v>
      </c>
      <c r="CI29" s="85" t="e">
        <f>IF($Y$1=CI$21,_xll.qlInterpolationInterpolate(DiscountCurve,CG29),(1+CJ29*CL29)*CM29)</f>
        <v>#VALUE!</v>
      </c>
      <c r="CJ29" s="189" t="e">
        <f>_xll.qlInterpolationInterpolate(ExtFwdInterpolator,CG29)</f>
        <v>#VALUE!</v>
      </c>
      <c r="CK29" s="36" t="e">
        <f>_xll.qlCalendarAdvance(Calendar,CG29,$A$21,"Modified Following",TRUE)</f>
        <v>#NUM!</v>
      </c>
      <c r="CL29" s="58" t="e">
        <f>_xll.qlDayCounterYearFraction(DayCounter,CG29,CK29)</f>
        <v>#NUM!</v>
      </c>
      <c r="CM29" s="85" t="e">
        <f>IF($Y$1=CM$21,_xll.qlInterpolationInterpolate(DiscountCurve,CK29),(1+CN29*CP29)*CQ29)</f>
        <v>#VALUE!</v>
      </c>
      <c r="CN29" s="189" t="e">
        <f>_xll.qlInterpolationInterpolate(ExtFwdInterpolator,CK29)</f>
        <v>#VALUE!</v>
      </c>
      <c r="CO29" s="36" t="e">
        <f>_xll.qlCalendarAdvance(Calendar,CK29,$A$21,"Modified Following",TRUE)</f>
        <v>#NUM!</v>
      </c>
      <c r="CP29" s="58" t="e">
        <f>_xll.qlDayCounterYearFraction(DayCounter,CK29,CO29)</f>
        <v>#NUM!</v>
      </c>
      <c r="CQ29" s="85" t="e">
        <f>IF($Y$1=CQ$21,_xll.qlInterpolationInterpolate(DiscountCurve,CO29),(1+CR29*CT29)*CU29)</f>
        <v>#VALUE!</v>
      </c>
      <c r="CR29" s="189" t="e">
        <f>_xll.qlInterpolationInterpolate(ExtFwdInterpolator,CO29)</f>
        <v>#VALUE!</v>
      </c>
      <c r="CS29" s="36" t="e">
        <f>_xll.qlCalendarAdvance(Calendar,CO29,$A$21,"Modified Following",TRUE)</f>
        <v>#NUM!</v>
      </c>
      <c r="CT29" s="58" t="e">
        <f>_xll.qlDayCounterYearFraction(DayCounter,CO29,CS29)</f>
        <v>#NUM!</v>
      </c>
      <c r="CU29" s="85" t="e">
        <f>IF($Y$1=CU$21,_xll.qlInterpolationInterpolate(DiscountCurve,CS29),(1+CV29*CX29)*CY29)</f>
        <v>#VALUE!</v>
      </c>
      <c r="CV29" s="189" t="e">
        <f>_xll.qlInterpolationInterpolate(ExtFwdInterpolator,CS29)</f>
        <v>#VALUE!</v>
      </c>
      <c r="CW29" s="36" t="e">
        <f>_xll.qlCalendarAdvance(Calendar,CS29,$A$21,"Modified Following",TRUE)</f>
        <v>#NUM!</v>
      </c>
      <c r="CX29" s="58" t="e">
        <f>_xll.qlDayCounterYearFraction(DayCounter,CS29,CW29)</f>
        <v>#NUM!</v>
      </c>
      <c r="CY29" s="85" t="e">
        <f>IF($Y$1=CY$21,_xll.qlInterpolationInterpolate(DiscountCurve,CW29),(1+CZ29*DB29)*DC29)</f>
        <v>#VALUE!</v>
      </c>
      <c r="CZ29" s="291" t="e">
        <f>_xll.qlInterpolationInterpolate(ExtFwdInterpolator,CW29,TRUE)</f>
        <v>#VALUE!</v>
      </c>
      <c r="DA29" s="36" t="e">
        <f>_xll.qlCalendarAdvance(Calendar,CW29,$A$21,"Modified Following",TRUE)</f>
        <v>#NUM!</v>
      </c>
      <c r="DB29" s="58" t="e">
        <f>_xll.qlDayCounterYearFraction(DayCounter,CW29,DA29)</f>
        <v>#NUM!</v>
      </c>
      <c r="DC29" s="324">
        <f>IF($Y$1=DC$21,_xll.qlInterpolationInterpolate(DiscountCurve,DA29,TRUE),(1+DD29*DF29)*DG29)</f>
        <v>0</v>
      </c>
    </row>
    <row r="30" spans="1:107" x14ac:dyDescent="0.2">
      <c r="A30" t="b">
        <v>1</v>
      </c>
      <c r="B30" s="177" t="e">
        <f>"FUT"&amp;IndexTenor&amp;_xll.qlIMMNextCodes(D29,A30)</f>
        <v>#NUM!</v>
      </c>
      <c r="C30" s="46" t="e">
        <f t="shared" si="7"/>
        <v>#NUM!</v>
      </c>
      <c r="D30" s="23" t="e">
        <f>_xll.qlRateHelperEarliestDate($C30,EvaluationDate)</f>
        <v>#VALUE!</v>
      </c>
      <c r="E30" s="23" t="e">
        <f>_xll.qlRateHelperLatestDate($C30,EvaluationDate)</f>
        <v>#VALUE!</v>
      </c>
      <c r="F30" s="158" t="e">
        <f>_xll.qlRateHelperQuoteValue($C30,SheetTrigger)</f>
        <v>#VALUE!</v>
      </c>
      <c r="G30" s="157" t="e">
        <f>_xll.qlFuturesRateHelperConvexityAdjustment($C30,SheetTrigger)</f>
        <v>#VALUE!</v>
      </c>
      <c r="H30" s="23" t="e">
        <f t="shared" si="12"/>
        <v>#VALUE!</v>
      </c>
      <c r="I30" s="25" t="b">
        <v>1</v>
      </c>
      <c r="J30" s="26" t="e">
        <f t="shared" si="13"/>
        <v>#VALUE!</v>
      </c>
      <c r="K30" s="200" t="b">
        <f t="shared" si="8"/>
        <v>0</v>
      </c>
      <c r="L30" s="24" t="e">
        <f t="shared" si="1"/>
        <v>#VALUE!</v>
      </c>
      <c r="M30" s="25" t="e">
        <f t="shared" si="2"/>
        <v>#VALUE!</v>
      </c>
      <c r="N30" s="100" t="b">
        <f t="shared" si="9"/>
        <v>0</v>
      </c>
      <c r="O30" s="99" t="e">
        <f>_xll.qlInterpolationInterpolate($O$22,$H30)</f>
        <v>#VALUE!</v>
      </c>
      <c r="P30" s="162" t="e">
        <f t="shared" si="10"/>
        <v>#VALUE!</v>
      </c>
      <c r="Q30" s="87" t="e">
        <f>_xll.qlDayCounterYearFraction(DayCounter,$H30,$E30)</f>
        <v>#NUM!</v>
      </c>
      <c r="R30" s="181" t="e">
        <f t="shared" si="11"/>
        <v>#VALUE!</v>
      </c>
      <c r="S30" s="89" t="e">
        <f t="shared" si="3"/>
        <v>#VALUE!</v>
      </c>
      <c r="T30" s="329" t="e">
        <f t="shared" si="14"/>
        <v>#VALUE!</v>
      </c>
      <c r="U30" s="35" t="e">
        <v>#VALUE!</v>
      </c>
      <c r="V30" s="106" t="e">
        <v>#VALUE!</v>
      </c>
    </row>
    <row r="31" spans="1:107" x14ac:dyDescent="0.2">
      <c r="A31" t="b">
        <v>1</v>
      </c>
      <c r="B31" s="177" t="e">
        <f>"FUT"&amp;IndexTenor&amp;_xll.qlIMMNextCodes(D30,A31)</f>
        <v>#NUM!</v>
      </c>
      <c r="C31" s="46" t="e">
        <f t="shared" si="7"/>
        <v>#NUM!</v>
      </c>
      <c r="D31" s="23" t="e">
        <f>_xll.qlRateHelperEarliestDate($C31,EvaluationDate)</f>
        <v>#VALUE!</v>
      </c>
      <c r="E31" s="23" t="e">
        <f>_xll.qlRateHelperLatestDate($C31,EvaluationDate)</f>
        <v>#VALUE!</v>
      </c>
      <c r="F31" s="158" t="e">
        <f>_xll.qlRateHelperQuoteValue($C31,SheetTrigger)</f>
        <v>#VALUE!</v>
      </c>
      <c r="G31" s="157" t="e">
        <f>_xll.qlFuturesRateHelperConvexityAdjustment($C31,SheetTrigger)</f>
        <v>#VALUE!</v>
      </c>
      <c r="H31" s="23" t="e">
        <f t="shared" si="12"/>
        <v>#VALUE!</v>
      </c>
      <c r="I31" s="25" t="b">
        <v>1</v>
      </c>
      <c r="J31" s="26" t="e">
        <f t="shared" si="13"/>
        <v>#VALUE!</v>
      </c>
      <c r="K31" s="200" t="b">
        <f t="shared" si="8"/>
        <v>0</v>
      </c>
      <c r="L31" s="24" t="e">
        <f t="shared" si="1"/>
        <v>#VALUE!</v>
      </c>
      <c r="M31" s="25" t="e">
        <f t="shared" si="2"/>
        <v>#VALUE!</v>
      </c>
      <c r="N31" s="100" t="b">
        <f t="shared" si="9"/>
        <v>0</v>
      </c>
      <c r="O31" s="99" t="e">
        <f>_xll.qlInterpolationInterpolate($O$22,$H31)</f>
        <v>#VALUE!</v>
      </c>
      <c r="P31" s="162" t="e">
        <f t="shared" si="10"/>
        <v>#VALUE!</v>
      </c>
      <c r="Q31" s="87" t="e">
        <f>_xll.qlDayCounterYearFraction(DayCounter,$H31,$E31)</f>
        <v>#NUM!</v>
      </c>
      <c r="R31" s="181" t="e">
        <f t="shared" si="11"/>
        <v>#VALUE!</v>
      </c>
      <c r="S31" s="89" t="e">
        <f t="shared" si="3"/>
        <v>#VALUE!</v>
      </c>
      <c r="T31" s="329" t="e">
        <f>S31-J31</f>
        <v>#VALUE!</v>
      </c>
      <c r="U31" s="35" t="e">
        <v>#VALUE!</v>
      </c>
      <c r="V31" s="106" t="e">
        <v>#VALUE!</v>
      </c>
    </row>
    <row r="32" spans="1:107" x14ac:dyDescent="0.2">
      <c r="A32" t="b">
        <v>1</v>
      </c>
      <c r="B32" s="177" t="e">
        <f>"FUT"&amp;IndexTenor&amp;_xll.qlIMMNextCodes(D31,A32)</f>
        <v>#NUM!</v>
      </c>
      <c r="C32" s="46" t="e">
        <f t="shared" si="7"/>
        <v>#NUM!</v>
      </c>
      <c r="D32" s="23" t="e">
        <f>_xll.qlRateHelperEarliestDate($C32,EvaluationDate)</f>
        <v>#VALUE!</v>
      </c>
      <c r="E32" s="23" t="e">
        <f>_xll.qlRateHelperLatestDate($C32,EvaluationDate)</f>
        <v>#VALUE!</v>
      </c>
      <c r="F32" s="158" t="e">
        <f>_xll.qlRateHelperQuoteValue($C32,SheetTrigger)</f>
        <v>#VALUE!</v>
      </c>
      <c r="G32" s="157" t="e">
        <f>_xll.qlFuturesRateHelperConvexityAdjustment($C32,SheetTrigger)</f>
        <v>#VALUE!</v>
      </c>
      <c r="H32" s="23" t="e">
        <f t="shared" si="12"/>
        <v>#VALUE!</v>
      </c>
      <c r="I32" s="25" t="b">
        <v>1</v>
      </c>
      <c r="J32" s="26" t="e">
        <f t="shared" si="13"/>
        <v>#VALUE!</v>
      </c>
      <c r="K32" s="200" t="b">
        <f t="shared" si="8"/>
        <v>0</v>
      </c>
      <c r="L32" s="24" t="e">
        <f t="shared" si="1"/>
        <v>#VALUE!</v>
      </c>
      <c r="M32" s="25" t="e">
        <f t="shared" si="2"/>
        <v>#VALUE!</v>
      </c>
      <c r="N32" s="100" t="b">
        <f t="shared" si="9"/>
        <v>0</v>
      </c>
      <c r="O32" s="99" t="e">
        <f>_xll.qlInterpolationInterpolate($O$22,$H32)</f>
        <v>#VALUE!</v>
      </c>
      <c r="P32" s="162" t="e">
        <f t="shared" si="10"/>
        <v>#VALUE!</v>
      </c>
      <c r="Q32" s="87" t="e">
        <f>_xll.qlDayCounterYearFraction(DayCounter,$H32,$E32)</f>
        <v>#NUM!</v>
      </c>
      <c r="R32" s="181" t="e">
        <f t="shared" si="11"/>
        <v>#VALUE!</v>
      </c>
      <c r="S32" s="89" t="e">
        <f t="shared" si="3"/>
        <v>#VALUE!</v>
      </c>
      <c r="T32" s="329" t="e">
        <f>S32-J32</f>
        <v>#VALUE!</v>
      </c>
      <c r="U32" s="35" t="e">
        <v>#VALUE!</v>
      </c>
      <c r="V32" s="106" t="e">
        <v>#VALUE!</v>
      </c>
    </row>
    <row r="33" spans="1:22" x14ac:dyDescent="0.2">
      <c r="A33" t="b">
        <v>1</v>
      </c>
      <c r="B33" s="178" t="e">
        <f>"FUT"&amp;IndexTenor&amp;_xll.qlIMMNextCodes(D32,A33)</f>
        <v>#NUM!</v>
      </c>
      <c r="C33" s="46" t="e">
        <f t="shared" si="7"/>
        <v>#NUM!</v>
      </c>
      <c r="D33" s="23" t="e">
        <f>_xll.qlRateHelperEarliestDate($C33,EvaluationDate)</f>
        <v>#VALUE!</v>
      </c>
      <c r="E33" s="23" t="e">
        <f>_xll.qlRateHelperLatestDate($C33,EvaluationDate)</f>
        <v>#VALUE!</v>
      </c>
      <c r="F33" s="198" t="e">
        <f>_xll.qlRateHelperQuoteValue($C33,SheetTrigger)</f>
        <v>#VALUE!</v>
      </c>
      <c r="G33" s="159" t="e">
        <f>_xll.qlFuturesRateHelperConvexityAdjustment($C33,SheetTrigger)</f>
        <v>#VALUE!</v>
      </c>
      <c r="H33" s="93" t="e">
        <f t="shared" si="12"/>
        <v>#VALUE!</v>
      </c>
      <c r="I33" s="39" t="b">
        <v>1</v>
      </c>
      <c r="J33" s="37" t="e">
        <f t="shared" si="13"/>
        <v>#VALUE!</v>
      </c>
      <c r="K33" s="201" t="b">
        <f t="shared" si="8"/>
        <v>0</v>
      </c>
      <c r="L33" s="53" t="e">
        <f t="shared" si="1"/>
        <v>#VALUE!</v>
      </c>
      <c r="M33" s="39" t="e">
        <f t="shared" si="2"/>
        <v>#VALUE!</v>
      </c>
      <c r="N33" s="76" t="b">
        <f t="shared" si="9"/>
        <v>0</v>
      </c>
      <c r="O33" s="499" t="e">
        <f>_xll.qlInterpolationInterpolate($O$22,$H33,TRUE)</f>
        <v>#VALUE!</v>
      </c>
      <c r="P33" s="163" t="e">
        <f t="shared" si="10"/>
        <v>#VALUE!</v>
      </c>
      <c r="Q33" s="88" t="e">
        <f>_xll.qlDayCounterYearFraction(DayCounter,$H33,$E33)</f>
        <v>#NUM!</v>
      </c>
      <c r="R33" s="182" t="e">
        <f t="shared" si="11"/>
        <v>#VALUE!</v>
      </c>
      <c r="S33" s="89" t="e">
        <f t="shared" si="3"/>
        <v>#VALUE!</v>
      </c>
      <c r="T33" s="329" t="e">
        <f>S33-J33</f>
        <v>#VALUE!</v>
      </c>
      <c r="U33" s="35" t="e">
        <v>#VALUE!</v>
      </c>
      <c r="V33" s="106" t="e">
        <v>#VALUE!</v>
      </c>
    </row>
    <row r="34" spans="1:22" x14ac:dyDescent="0.2">
      <c r="A34" s="98"/>
      <c r="B34" s="40" t="str">
        <f>"T"&amp;$A$20&amp;"F1"</f>
        <v>T3F1</v>
      </c>
      <c r="C34" s="96" t="str">
        <f>RateHelperPrefix&amp;$B34</f>
        <v>USD_YC3MRH_T3F1</v>
      </c>
      <c r="D34" s="108">
        <f>_xll.qlRateHelperEarliestDate($C34,EvaluationDate)</f>
        <v>41572</v>
      </c>
      <c r="E34" s="108">
        <f>_xll.qlRateHelperLatestDate($C34,EvaluationDate)</f>
        <v>41666</v>
      </c>
      <c r="F34" s="514">
        <f>F24</f>
        <v>2.3835000000000002E-3</v>
      </c>
      <c r="G34" s="33"/>
      <c r="H34" s="30">
        <f>$D34</f>
        <v>41572</v>
      </c>
      <c r="I34" s="33" t="b">
        <f>ISNA(VLOOKUP(H34,$H$25:$H$33,1,FALSE))</f>
        <v>1</v>
      </c>
      <c r="J34" s="31">
        <f>F34</f>
        <v>2.3835000000000002E-3</v>
      </c>
      <c r="K34" s="244" t="b">
        <v>1</v>
      </c>
      <c r="L34" s="33" t="e">
        <f>NOT(OR($H34&gt;LastDayInYear,$E34&lt;=LastDayInYear))</f>
        <v>#NUM!</v>
      </c>
      <c r="M34" s="33" t="e">
        <f>NOT(OR($H34&gt;LastDayInNextYear,$E34&lt;=LastDayInNextYear))</f>
        <v>#NUM!</v>
      </c>
      <c r="N34" s="41" t="e">
        <f>IF(K34,AND(NOT($L34),NOT($M34)),FALSE)</f>
        <v>#NUM!</v>
      </c>
      <c r="O34" s="105" t="e">
        <f>_xll.qlInterpolationInterpolate($O$22,$H34)</f>
        <v>#VALUE!</v>
      </c>
      <c r="P34" s="161" t="e">
        <f>$J34-$O34</f>
        <v>#VALUE!</v>
      </c>
      <c r="Q34" s="86">
        <f>_xll.qlDayCounterYearFraction(DayCounter,$H34,$E34)</f>
        <v>0.26111111111111113</v>
      </c>
      <c r="R34" s="180" t="e">
        <f>(1+$O34*$Q34)/(1+$J34*$Q34)</f>
        <v>#VALUE!</v>
      </c>
      <c r="S34" s="97" t="e">
        <f>IF($L34,(TOY*(1+$J34*$Q34)-1)/$Q34,IF($M34,(_TOY2*(1+$J34*$Q34)-1)/$Q34,$J34))</f>
        <v>#NUM!</v>
      </c>
      <c r="T34" s="327" t="e">
        <f>S34-J34</f>
        <v>#NUM!</v>
      </c>
      <c r="U34" s="35" t="e">
        <v>#VALUE!</v>
      </c>
      <c r="V34" s="106" t="e">
        <v>#VALUE!</v>
      </c>
    </row>
    <row r="35" spans="1:22" x14ac:dyDescent="0.2">
      <c r="A35" s="98"/>
      <c r="B35" s="53" t="str">
        <f>"TOM"&amp;$A$20&amp;"F1"</f>
        <v>TOM3F1</v>
      </c>
      <c r="C35" s="92" t="str">
        <f>RateHelperPrefix&amp;$B35</f>
        <v>USD_YC3MRH_TOM3F1</v>
      </c>
      <c r="D35" s="93">
        <f>_xll.qlRateHelperEarliestDate($C35,EvaluationDate)</f>
        <v>41575</v>
      </c>
      <c r="E35" s="93">
        <f>_xll.qlRateHelperLatestDate($C35,EvaluationDate)</f>
        <v>41667</v>
      </c>
      <c r="F35" s="101" t="e">
        <f>_xll.qlRateHelperQuoteValue($C35,SheetTrigger)</f>
        <v>#NUM!</v>
      </c>
      <c r="G35" s="39"/>
      <c r="H35" s="36">
        <f>$D35</f>
        <v>41575</v>
      </c>
      <c r="I35" s="39" t="b">
        <f>ISNA(VLOOKUP(H35,$H$25:$H$33,1,FALSE))</f>
        <v>1</v>
      </c>
      <c r="J35" s="37" t="e">
        <f>F35</f>
        <v>#NUM!</v>
      </c>
      <c r="K35" s="201" t="b">
        <f t="shared" si="8"/>
        <v>0</v>
      </c>
      <c r="L35" s="39" t="e">
        <f>NOT(OR($H35&gt;LastDayInYear,$E35&lt;=LastDayInYear))</f>
        <v>#NUM!</v>
      </c>
      <c r="M35" s="39" t="e">
        <f>NOT(OR($H35&gt;LastDayInNextYear,$E35&lt;=LastDayInNextYear))</f>
        <v>#NUM!</v>
      </c>
      <c r="N35" s="76" t="b">
        <f>IF(K35,AND(NOT($L35),NOT($M35)),FALSE)</f>
        <v>0</v>
      </c>
      <c r="O35" s="101" t="e">
        <f>_xll.qlInterpolationInterpolate($O$22,$H35)</f>
        <v>#VALUE!</v>
      </c>
      <c r="P35" s="163" t="e">
        <f>$J35-$O35</f>
        <v>#NUM!</v>
      </c>
      <c r="Q35" s="88">
        <f>_xll.qlDayCounterYearFraction(DayCounter,$H35,$E35)</f>
        <v>0.25555555555555554</v>
      </c>
      <c r="R35" s="182" t="e">
        <f>(1+$O35*$Q35)/(1+$J35*$Q35)</f>
        <v>#VALUE!</v>
      </c>
      <c r="S35" s="75" t="e">
        <f>IF($L35,(TOY*(1+$J35*$Q35)-1)/$Q35,IF($M35,(_TOY2*(1+$J35*$Q35)-1)/$Q35,$J35))</f>
        <v>#NUM!</v>
      </c>
      <c r="T35" s="328" t="e">
        <f>S35-J35</f>
        <v>#NUM!</v>
      </c>
      <c r="U35" s="35" t="e">
        <v>#VALUE!</v>
      </c>
      <c r="V35" s="106" t="e">
        <v>#VALUE!</v>
      </c>
    </row>
    <row r="36" spans="1:22" x14ac:dyDescent="0.2">
      <c r="A36" s="170">
        <v>1</v>
      </c>
      <c r="B36" s="96" t="str">
        <f t="shared" ref="B36:B52" si="15">A36&amp;"x"&amp;(A36+$A$20)&amp;"F"</f>
        <v>1x4F</v>
      </c>
      <c r="C36" s="96" t="str">
        <f t="shared" si="7"/>
        <v>USD_YC3MRH_1x4F</v>
      </c>
      <c r="D36" s="108">
        <f>_xll.qlRateHelperEarliestDate($C36,EvaluationDate)</f>
        <v>41603</v>
      </c>
      <c r="E36" s="108">
        <f>_xll.qlRateHelperLatestDate($C36,EvaluationDate)</f>
        <v>41695</v>
      </c>
      <c r="F36" s="105">
        <f>_xll.qlRateHelperQuoteValue($C36,SheetTrigger)</f>
        <v>2.4299999999999999E-3</v>
      </c>
      <c r="G36" s="33"/>
      <c r="H36" s="30">
        <f t="shared" si="12"/>
        <v>41603</v>
      </c>
      <c r="I36" s="33" t="b">
        <f t="shared" ref="I36:I41" si="16">ISNA(VLOOKUP(H36,$H$25:$H$33,1,FALSE))</f>
        <v>1</v>
      </c>
      <c r="J36" s="31">
        <f t="shared" ref="J36:J41" si="17">F36</f>
        <v>2.4299999999999999E-3</v>
      </c>
      <c r="K36" s="191" t="b">
        <f t="shared" ref="K36:K41" si="18">AND(ISNUMBER(J36),I36,UseSecondSet)</f>
        <v>0</v>
      </c>
      <c r="L36" s="33" t="e">
        <f t="shared" si="1"/>
        <v>#NUM!</v>
      </c>
      <c r="M36" s="33" t="e">
        <f t="shared" si="2"/>
        <v>#NUM!</v>
      </c>
      <c r="N36" s="41" t="b">
        <f t="shared" si="9"/>
        <v>0</v>
      </c>
      <c r="O36" s="105" t="e">
        <f>_xll.qlInterpolationInterpolate($O$22,$H36)</f>
        <v>#VALUE!</v>
      </c>
      <c r="P36" s="161" t="e">
        <f t="shared" si="10"/>
        <v>#VALUE!</v>
      </c>
      <c r="Q36" s="86">
        <f>_xll.qlDayCounterYearFraction(DayCounter,$H36,$E36)</f>
        <v>0.25555555555555554</v>
      </c>
      <c r="R36" s="180" t="e">
        <f t="shared" si="11"/>
        <v>#VALUE!</v>
      </c>
      <c r="S36" s="97" t="e">
        <f t="shared" si="3"/>
        <v>#NUM!</v>
      </c>
      <c r="T36" s="327" t="e">
        <f t="shared" si="14"/>
        <v>#NUM!</v>
      </c>
      <c r="U36" s="35" t="e">
        <v>#VALUE!</v>
      </c>
      <c r="V36" s="106" t="e">
        <v>#VALUE!</v>
      </c>
    </row>
    <row r="37" spans="1:22" x14ac:dyDescent="0.2">
      <c r="A37" s="170">
        <v>2</v>
      </c>
      <c r="B37" s="24" t="str">
        <f t="shared" si="15"/>
        <v>2x5F</v>
      </c>
      <c r="C37" s="91" t="str">
        <f t="shared" si="7"/>
        <v>USD_YC3MRH_2x5F</v>
      </c>
      <c r="D37" s="23">
        <f>_xll.qlRateHelperEarliestDate($C37,EvaluationDate)</f>
        <v>41635</v>
      </c>
      <c r="E37" s="23">
        <f>_xll.qlRateHelperLatestDate($C37,EvaluationDate)</f>
        <v>41725</v>
      </c>
      <c r="F37" s="99">
        <f>_xll.qlRateHelperQuoteValue($C37,SheetTrigger)</f>
        <v>2.5600000000000002E-3</v>
      </c>
      <c r="G37" s="25"/>
      <c r="H37" s="34">
        <f t="shared" si="12"/>
        <v>41635</v>
      </c>
      <c r="I37" s="25" t="b">
        <f t="shared" si="16"/>
        <v>1</v>
      </c>
      <c r="J37" s="26">
        <f t="shared" si="17"/>
        <v>2.5600000000000002E-3</v>
      </c>
      <c r="K37" s="200" t="b">
        <f t="shared" si="18"/>
        <v>0</v>
      </c>
      <c r="L37" s="25" t="e">
        <f t="shared" si="1"/>
        <v>#NUM!</v>
      </c>
      <c r="M37" s="25" t="e">
        <f t="shared" si="2"/>
        <v>#NUM!</v>
      </c>
      <c r="N37" s="100" t="b">
        <f t="shared" si="9"/>
        <v>0</v>
      </c>
      <c r="O37" s="99" t="e">
        <f>_xll.qlInterpolationInterpolate($O$22,$H37)</f>
        <v>#VALUE!</v>
      </c>
      <c r="P37" s="162" t="e">
        <f t="shared" si="10"/>
        <v>#VALUE!</v>
      </c>
      <c r="Q37" s="87">
        <f>_xll.qlDayCounterYearFraction(DayCounter,$H37,$E37)</f>
        <v>0.25</v>
      </c>
      <c r="R37" s="181" t="e">
        <f t="shared" si="11"/>
        <v>#VALUE!</v>
      </c>
      <c r="S37" s="89" t="e">
        <f t="shared" si="3"/>
        <v>#NUM!</v>
      </c>
      <c r="T37" s="330" t="e">
        <f t="shared" si="14"/>
        <v>#NUM!</v>
      </c>
      <c r="U37" s="35" t="e">
        <v>#VALUE!</v>
      </c>
      <c r="V37" s="106" t="e">
        <v>#VALUE!</v>
      </c>
    </row>
    <row r="38" spans="1:22" x14ac:dyDescent="0.2">
      <c r="A38" s="170">
        <v>3</v>
      </c>
      <c r="B38" s="24" t="str">
        <f t="shared" si="15"/>
        <v>3x6F</v>
      </c>
      <c r="C38" s="91" t="str">
        <f t="shared" si="7"/>
        <v>USD_YC3MRH_3x6F</v>
      </c>
      <c r="D38" s="23">
        <f>_xll.qlRateHelperEarliestDate($C38,EvaluationDate)</f>
        <v>41666</v>
      </c>
      <c r="E38" s="23">
        <f>_xll.qlRateHelperLatestDate($C38,EvaluationDate)</f>
        <v>41757</v>
      </c>
      <c r="F38" s="99">
        <f>_xll.qlRateHelperQuoteValue($C38,SheetTrigger)</f>
        <v>2.6800000000000001E-3</v>
      </c>
      <c r="G38" s="25"/>
      <c r="H38" s="34">
        <f t="shared" si="12"/>
        <v>41666</v>
      </c>
      <c r="I38" s="25" t="b">
        <f t="shared" si="16"/>
        <v>1</v>
      </c>
      <c r="J38" s="26">
        <f t="shared" si="17"/>
        <v>2.6800000000000001E-3</v>
      </c>
      <c r="K38" s="200" t="b">
        <f t="shared" si="18"/>
        <v>0</v>
      </c>
      <c r="L38" s="25" t="e">
        <f t="shared" si="1"/>
        <v>#NUM!</v>
      </c>
      <c r="M38" s="25" t="e">
        <f t="shared" si="2"/>
        <v>#NUM!</v>
      </c>
      <c r="N38" s="100" t="b">
        <f t="shared" si="9"/>
        <v>0</v>
      </c>
      <c r="O38" s="99" t="e">
        <f>_xll.qlInterpolationInterpolate($O$22,$H38)</f>
        <v>#VALUE!</v>
      </c>
      <c r="P38" s="162" t="e">
        <f t="shared" si="10"/>
        <v>#VALUE!</v>
      </c>
      <c r="Q38" s="87">
        <f>_xll.qlDayCounterYearFraction(DayCounter,$H38,$E38)</f>
        <v>0.25277777777777777</v>
      </c>
      <c r="R38" s="181" t="e">
        <f t="shared" si="11"/>
        <v>#VALUE!</v>
      </c>
      <c r="S38" s="89" t="e">
        <f t="shared" si="3"/>
        <v>#NUM!</v>
      </c>
      <c r="T38" s="330" t="e">
        <f t="shared" si="14"/>
        <v>#NUM!</v>
      </c>
      <c r="U38" s="35" t="e">
        <v>#VALUE!</v>
      </c>
      <c r="V38" s="106" t="e">
        <v>#VALUE!</v>
      </c>
    </row>
    <row r="39" spans="1:22" x14ac:dyDescent="0.2">
      <c r="A39" s="174">
        <v>4</v>
      </c>
      <c r="B39" s="24" t="str">
        <f t="shared" si="15"/>
        <v>4x7F</v>
      </c>
      <c r="C39" s="91" t="str">
        <f t="shared" si="7"/>
        <v>USD_YC3MRH_4x7F</v>
      </c>
      <c r="D39" s="23">
        <f>_xll.qlRateHelperEarliestDate($C39,EvaluationDate)</f>
        <v>41695</v>
      </c>
      <c r="E39" s="23">
        <f>_xll.qlRateHelperLatestDate($C39,EvaluationDate)</f>
        <v>41786</v>
      </c>
      <c r="F39" s="99" t="e">
        <f>_xll.qlRateHelperQuoteValue($C39,SheetTrigger)</f>
        <v>#NUM!</v>
      </c>
      <c r="G39" s="25"/>
      <c r="H39" s="34">
        <f t="shared" si="12"/>
        <v>41695</v>
      </c>
      <c r="I39" s="25" t="b">
        <f t="shared" si="16"/>
        <v>1</v>
      </c>
      <c r="J39" s="26" t="e">
        <f t="shared" si="17"/>
        <v>#NUM!</v>
      </c>
      <c r="K39" s="200" t="b">
        <f t="shared" si="18"/>
        <v>0</v>
      </c>
      <c r="L39" s="25" t="e">
        <f t="shared" si="1"/>
        <v>#NUM!</v>
      </c>
      <c r="M39" s="25" t="e">
        <f t="shared" si="2"/>
        <v>#NUM!</v>
      </c>
      <c r="N39" s="100" t="b">
        <f t="shared" si="9"/>
        <v>0</v>
      </c>
      <c r="O39" s="99" t="e">
        <f>_xll.qlInterpolationInterpolate($O$22,$H39)</f>
        <v>#VALUE!</v>
      </c>
      <c r="P39" s="162" t="e">
        <f t="shared" si="10"/>
        <v>#NUM!</v>
      </c>
      <c r="Q39" s="87">
        <f>_xll.qlDayCounterYearFraction(DayCounter,$H39,$E39)</f>
        <v>0.25277777777777777</v>
      </c>
      <c r="R39" s="181" t="e">
        <f t="shared" si="11"/>
        <v>#VALUE!</v>
      </c>
      <c r="S39" s="89" t="e">
        <f t="shared" si="3"/>
        <v>#NUM!</v>
      </c>
      <c r="T39" s="330" t="e">
        <f t="shared" si="14"/>
        <v>#NUM!</v>
      </c>
      <c r="U39" s="35" t="e">
        <v>#VALUE!</v>
      </c>
      <c r="V39" s="106" t="e">
        <v>#VALUE!</v>
      </c>
    </row>
    <row r="40" spans="1:22" x14ac:dyDescent="0.2">
      <c r="A40" s="174">
        <v>5</v>
      </c>
      <c r="B40" s="24" t="str">
        <f t="shared" si="15"/>
        <v>5x8F</v>
      </c>
      <c r="C40" s="91" t="str">
        <f t="shared" si="7"/>
        <v>USD_YC3MRH_5x8F</v>
      </c>
      <c r="D40" s="23">
        <f>_xll.qlRateHelperEarliestDate($C40,EvaluationDate)</f>
        <v>41723</v>
      </c>
      <c r="E40" s="23">
        <f>_xll.qlRateHelperLatestDate($C40,EvaluationDate)</f>
        <v>41815</v>
      </c>
      <c r="F40" s="99" t="e">
        <f>_xll.qlRateHelperQuoteValue($C40,SheetTrigger)</f>
        <v>#NUM!</v>
      </c>
      <c r="G40" s="25"/>
      <c r="H40" s="34">
        <f t="shared" si="12"/>
        <v>41723</v>
      </c>
      <c r="I40" s="25" t="b">
        <f t="shared" si="16"/>
        <v>1</v>
      </c>
      <c r="J40" s="26" t="e">
        <f t="shared" si="17"/>
        <v>#NUM!</v>
      </c>
      <c r="K40" s="200" t="b">
        <f t="shared" si="18"/>
        <v>0</v>
      </c>
      <c r="L40" s="25" t="e">
        <f t="shared" si="1"/>
        <v>#NUM!</v>
      </c>
      <c r="M40" s="25" t="e">
        <f t="shared" si="2"/>
        <v>#NUM!</v>
      </c>
      <c r="N40" s="100" t="b">
        <f t="shared" si="9"/>
        <v>0</v>
      </c>
      <c r="O40" s="99" t="e">
        <f>_xll.qlInterpolationInterpolate($O$22,$H40)</f>
        <v>#VALUE!</v>
      </c>
      <c r="P40" s="162" t="e">
        <f t="shared" si="10"/>
        <v>#NUM!</v>
      </c>
      <c r="Q40" s="87">
        <f>_xll.qlDayCounterYearFraction(DayCounter,$H40,$E40)</f>
        <v>0.25555555555555554</v>
      </c>
      <c r="R40" s="181" t="e">
        <f t="shared" si="11"/>
        <v>#VALUE!</v>
      </c>
      <c r="S40" s="89" t="e">
        <f t="shared" si="3"/>
        <v>#NUM!</v>
      </c>
      <c r="T40" s="330" t="e">
        <f t="shared" si="14"/>
        <v>#NUM!</v>
      </c>
      <c r="U40" s="35" t="e">
        <v>#VALUE!</v>
      </c>
      <c r="V40" s="106" t="e">
        <v>#VALUE!</v>
      </c>
    </row>
    <row r="41" spans="1:22" x14ac:dyDescent="0.2">
      <c r="A41" s="174">
        <v>6</v>
      </c>
      <c r="B41" s="53" t="str">
        <f t="shared" si="15"/>
        <v>6x9F</v>
      </c>
      <c r="C41" s="92" t="str">
        <f t="shared" si="7"/>
        <v>USD_YC3MRH_6x9F</v>
      </c>
      <c r="D41" s="93">
        <f>_xll.qlRateHelperEarliestDate($C41,EvaluationDate)</f>
        <v>41754</v>
      </c>
      <c r="E41" s="93">
        <f>_xll.qlRateHelperLatestDate($C41,EvaluationDate)</f>
        <v>41845</v>
      </c>
      <c r="F41" s="101" t="e">
        <f>_xll.qlRateHelperQuoteValue($C41,SheetTrigger)</f>
        <v>#NUM!</v>
      </c>
      <c r="G41" s="39"/>
      <c r="H41" s="36">
        <f t="shared" si="12"/>
        <v>41754</v>
      </c>
      <c r="I41" s="39" t="b">
        <f t="shared" si="16"/>
        <v>1</v>
      </c>
      <c r="J41" s="37" t="e">
        <f t="shared" si="17"/>
        <v>#NUM!</v>
      </c>
      <c r="K41" s="201" t="b">
        <f t="shared" si="18"/>
        <v>0</v>
      </c>
      <c r="L41" s="39" t="e">
        <f t="shared" si="1"/>
        <v>#NUM!</v>
      </c>
      <c r="M41" s="39" t="e">
        <f t="shared" si="2"/>
        <v>#NUM!</v>
      </c>
      <c r="N41" s="76" t="b">
        <f t="shared" si="9"/>
        <v>0</v>
      </c>
      <c r="O41" s="101" t="e">
        <f>_xll.qlInterpolationInterpolate($O$22,$H41)</f>
        <v>#VALUE!</v>
      </c>
      <c r="P41" s="163" t="e">
        <f t="shared" si="10"/>
        <v>#NUM!</v>
      </c>
      <c r="Q41" s="88">
        <f>_xll.qlDayCounterYearFraction(DayCounter,$H41,$E41)</f>
        <v>0.25277777777777777</v>
      </c>
      <c r="R41" s="182" t="e">
        <f t="shared" si="11"/>
        <v>#VALUE!</v>
      </c>
      <c r="S41" s="75" t="e">
        <f t="shared" si="3"/>
        <v>#NUM!</v>
      </c>
      <c r="T41" s="328" t="e">
        <f t="shared" si="14"/>
        <v>#NUM!</v>
      </c>
      <c r="U41" s="35" t="e">
        <v>#VALUE!</v>
      </c>
      <c r="V41" s="106" t="e">
        <v>#VALUE!</v>
      </c>
    </row>
    <row r="42" spans="1:22" x14ac:dyDescent="0.2">
      <c r="A42" s="174">
        <v>27</v>
      </c>
      <c r="B42" s="320" t="str">
        <f t="shared" si="15"/>
        <v>27x30F</v>
      </c>
      <c r="C42" s="183"/>
      <c r="D42" s="301" t="str">
        <f>A42&amp;"M"</f>
        <v>27M</v>
      </c>
      <c r="E42" s="315" t="e">
        <f>_xll.qlCalendarAdvance(Calendar,H42,$A$21,"Modified Following",TRUE)</f>
        <v>#NUM!</v>
      </c>
      <c r="F42" s="300"/>
      <c r="G42" s="300"/>
      <c r="H42" s="302" t="e">
        <f>_xll.qlCalendarAdvance(Calendar,SettlementDate,D42,"MF",TRUE)</f>
        <v>#NUM!</v>
      </c>
      <c r="I42" s="300" t="b">
        <v>1</v>
      </c>
      <c r="J42" s="303" t="e">
        <f>(_xll.qlInterpolationInterpolate(DiscountCurve,H42)/_xll.qlInterpolationInterpolate(DiscountCurve,E42)-1)/Q42</f>
        <v>#VALUE!</v>
      </c>
      <c r="K42" s="191" t="b">
        <f t="shared" ref="K42:K52" si="19">AND(ISNUMBER(J42),I42)</f>
        <v>0</v>
      </c>
      <c r="L42" s="183" t="e">
        <f t="shared" si="1"/>
        <v>#NUM!</v>
      </c>
      <c r="M42" s="300" t="e">
        <f t="shared" si="2"/>
        <v>#NUM!</v>
      </c>
      <c r="N42" s="191" t="b">
        <v>0</v>
      </c>
      <c r="O42" s="303" t="e">
        <f>_xll.qlInterpolationInterpolate($O$22,$H42)</f>
        <v>#VALUE!</v>
      </c>
      <c r="P42" s="300" t="e">
        <f t="shared" si="10"/>
        <v>#VALUE!</v>
      </c>
      <c r="Q42" s="304" t="e">
        <f>_xll.qlDayCounterYearFraction(DayCounter,H42,E42)</f>
        <v>#NUM!</v>
      </c>
      <c r="R42" s="300" t="e">
        <f t="shared" si="11"/>
        <v>#VALUE!</v>
      </c>
      <c r="S42" s="305" t="e">
        <f>IF($L42,(TOY*(1+$J42*$Q42)-1)/$Q42,IF($M42,(_TOY2*(1+$J42*$Q42)-1)/$Q42,$J42))</f>
        <v>#NUM!</v>
      </c>
      <c r="T42" s="313" t="e">
        <f t="shared" si="14"/>
        <v>#NUM!</v>
      </c>
      <c r="U42" s="184" t="e">
        <v>#VALUE!</v>
      </c>
      <c r="V42" s="185" t="e">
        <v>#VALUE!</v>
      </c>
    </row>
    <row r="43" spans="1:22" x14ac:dyDescent="0.2">
      <c r="A43" s="174">
        <v>30</v>
      </c>
      <c r="B43" s="319" t="str">
        <f t="shared" si="15"/>
        <v>30x33F</v>
      </c>
      <c r="C43" s="111"/>
      <c r="D43" s="306" t="str">
        <f>A43&amp;"M"</f>
        <v>30M</v>
      </c>
      <c r="E43" s="316" t="e">
        <f>_xll.qlCalendarAdvance(Calendar,H43,$A$21,"Modified Following",TRUE)</f>
        <v>#NUM!</v>
      </c>
      <c r="F43" s="43"/>
      <c r="G43" s="43"/>
      <c r="H43" s="80" t="e">
        <f>_xll.qlCalendarAdvance(Calendar,SettlementDate,D43,"MF",TRUE)</f>
        <v>#NUM!</v>
      </c>
      <c r="I43" s="43" t="b">
        <v>1</v>
      </c>
      <c r="J43" s="112" t="e">
        <f>(_xll.qlInterpolationInterpolate(DiscountCurve,H43)/_xll.qlInterpolationInterpolate(DiscountCurve,E43)-1)/Q43</f>
        <v>#VALUE!</v>
      </c>
      <c r="K43" s="200" t="b">
        <f t="shared" si="19"/>
        <v>0</v>
      </c>
      <c r="L43" s="111" t="e">
        <f t="shared" si="1"/>
        <v>#NUM!</v>
      </c>
      <c r="M43" s="43" t="e">
        <f t="shared" si="2"/>
        <v>#NUM!</v>
      </c>
      <c r="N43" s="200" t="b">
        <v>0</v>
      </c>
      <c r="O43" s="112" t="e">
        <f>_xll.qlInterpolationInterpolate($O$22,$H43)</f>
        <v>#VALUE!</v>
      </c>
      <c r="P43" s="43" t="e">
        <f t="shared" si="10"/>
        <v>#VALUE!</v>
      </c>
      <c r="Q43" s="299" t="e">
        <f>_xll.qlDayCounterYearFraction(DayCounter,H43,E43)</f>
        <v>#NUM!</v>
      </c>
      <c r="R43" s="43" t="e">
        <f t="shared" si="11"/>
        <v>#VALUE!</v>
      </c>
      <c r="S43" s="307" t="e">
        <f t="shared" ref="S43:S52" si="20">IF($L43,(TOY*(1+$J43*$Q43)-1)/$Q43,IF($M43,(_TOY2*(1+$J43*$Q43)-1)/$Q43,$J43))</f>
        <v>#NUM!</v>
      </c>
      <c r="T43" s="314" t="e">
        <f t="shared" si="14"/>
        <v>#NUM!</v>
      </c>
      <c r="U43" s="184" t="e">
        <v>#VALUE!</v>
      </c>
      <c r="V43" s="185" t="e">
        <v>#VALUE!</v>
      </c>
    </row>
    <row r="44" spans="1:22" x14ac:dyDescent="0.2">
      <c r="A44" s="174">
        <v>33</v>
      </c>
      <c r="B44" s="319" t="str">
        <f t="shared" si="15"/>
        <v>33x36F</v>
      </c>
      <c r="C44" s="111"/>
      <c r="D44" s="306" t="str">
        <f t="shared" ref="D44:D52" si="21">A44&amp;"M"</f>
        <v>33M</v>
      </c>
      <c r="E44" s="316" t="e">
        <f>_xll.qlCalendarAdvance(Calendar,H44,$A$21,"Modified Following",TRUE)</f>
        <v>#NUM!</v>
      </c>
      <c r="F44" s="43"/>
      <c r="G44" s="43"/>
      <c r="H44" s="80" t="e">
        <f>_xll.qlCalendarAdvance(Calendar,SettlementDate,D44,"MF",TRUE)</f>
        <v>#NUM!</v>
      </c>
      <c r="I44" s="43" t="b">
        <v>1</v>
      </c>
      <c r="J44" s="112" t="e">
        <f>(_xll.qlInterpolationInterpolate(DiscountCurve,H44)/_xll.qlInterpolationInterpolate(DiscountCurve,E44)-1)/Q44</f>
        <v>#VALUE!</v>
      </c>
      <c r="K44" s="200" t="b">
        <f t="shared" si="19"/>
        <v>0</v>
      </c>
      <c r="L44" s="111" t="e">
        <f t="shared" si="1"/>
        <v>#NUM!</v>
      </c>
      <c r="M44" s="43" t="e">
        <f t="shared" si="2"/>
        <v>#NUM!</v>
      </c>
      <c r="N44" s="200" t="b">
        <v>0</v>
      </c>
      <c r="O44" s="112" t="e">
        <f>_xll.qlInterpolationInterpolate($O$22,$H44)</f>
        <v>#VALUE!</v>
      </c>
      <c r="P44" s="43" t="e">
        <f t="shared" si="10"/>
        <v>#VALUE!</v>
      </c>
      <c r="Q44" s="299" t="e">
        <f>_xll.qlDayCounterYearFraction(DayCounter,H44,E44)</f>
        <v>#NUM!</v>
      </c>
      <c r="R44" s="43" t="e">
        <f t="shared" si="11"/>
        <v>#VALUE!</v>
      </c>
      <c r="S44" s="307" t="e">
        <f t="shared" si="20"/>
        <v>#NUM!</v>
      </c>
      <c r="T44" s="314" t="e">
        <f t="shared" ref="T44:T52" si="22">S44-J44</f>
        <v>#NUM!</v>
      </c>
      <c r="U44" s="184" t="e">
        <v>#VALUE!</v>
      </c>
      <c r="V44" s="185" t="e">
        <v>#VALUE!</v>
      </c>
    </row>
    <row r="45" spans="1:22" x14ac:dyDescent="0.2">
      <c r="A45" s="174">
        <v>36</v>
      </c>
      <c r="B45" s="319" t="str">
        <f t="shared" si="15"/>
        <v>36x39F</v>
      </c>
      <c r="C45" s="111"/>
      <c r="D45" s="306" t="str">
        <f t="shared" si="21"/>
        <v>36M</v>
      </c>
      <c r="E45" s="316" t="e">
        <f>_xll.qlCalendarAdvance(Calendar,H45,$A$21,"Modified Following",TRUE)</f>
        <v>#NUM!</v>
      </c>
      <c r="F45" s="43"/>
      <c r="G45" s="43"/>
      <c r="H45" s="80" t="e">
        <f>_xll.qlCalendarAdvance(Calendar,SettlementDate,D45,"MF",TRUE)</f>
        <v>#NUM!</v>
      </c>
      <c r="I45" s="43" t="b">
        <v>1</v>
      </c>
      <c r="J45" s="112" t="e">
        <f>(_xll.qlInterpolationInterpolate(DiscountCurve,H45)/_xll.qlInterpolationInterpolate(DiscountCurve,E45)-1)/Q45</f>
        <v>#VALUE!</v>
      </c>
      <c r="K45" s="200" t="b">
        <f t="shared" si="19"/>
        <v>0</v>
      </c>
      <c r="L45" s="111" t="e">
        <f t="shared" si="1"/>
        <v>#NUM!</v>
      </c>
      <c r="M45" s="43" t="e">
        <f t="shared" si="2"/>
        <v>#NUM!</v>
      </c>
      <c r="N45" s="200" t="b">
        <v>0</v>
      </c>
      <c r="O45" s="112" t="e">
        <f>_xll.qlInterpolationInterpolate($O$22,$H45)</f>
        <v>#VALUE!</v>
      </c>
      <c r="P45" s="43" t="e">
        <f t="shared" si="10"/>
        <v>#VALUE!</v>
      </c>
      <c r="Q45" s="299" t="e">
        <f>_xll.qlDayCounterYearFraction(DayCounter,H45,E45)</f>
        <v>#NUM!</v>
      </c>
      <c r="R45" s="43" t="e">
        <f t="shared" si="11"/>
        <v>#VALUE!</v>
      </c>
      <c r="S45" s="307" t="e">
        <f t="shared" si="20"/>
        <v>#NUM!</v>
      </c>
      <c r="T45" s="314" t="e">
        <f t="shared" si="22"/>
        <v>#NUM!</v>
      </c>
      <c r="U45" s="184" t="e">
        <v>#VALUE!</v>
      </c>
      <c r="V45" s="185" t="e">
        <v>#VALUE!</v>
      </c>
    </row>
    <row r="46" spans="1:22" x14ac:dyDescent="0.2">
      <c r="A46" s="174">
        <v>39</v>
      </c>
      <c r="B46" s="319" t="str">
        <f t="shared" si="15"/>
        <v>39x42F</v>
      </c>
      <c r="C46" s="111"/>
      <c r="D46" s="306" t="str">
        <f t="shared" si="21"/>
        <v>39M</v>
      </c>
      <c r="E46" s="316" t="e">
        <f>_xll.qlCalendarAdvance(Calendar,H46,$A$21,"Modified Following",TRUE)</f>
        <v>#NUM!</v>
      </c>
      <c r="F46" s="43"/>
      <c r="G46" s="43"/>
      <c r="H46" s="80" t="e">
        <f>_xll.qlCalendarAdvance(Calendar,SettlementDate,D46,"MF",TRUE)</f>
        <v>#NUM!</v>
      </c>
      <c r="I46" s="43" t="b">
        <v>1</v>
      </c>
      <c r="J46" s="112" t="e">
        <f>(_xll.qlInterpolationInterpolate(DiscountCurve,H46)/_xll.qlInterpolationInterpolate(DiscountCurve,E46)-1)/Q46</f>
        <v>#VALUE!</v>
      </c>
      <c r="K46" s="200" t="b">
        <f t="shared" si="19"/>
        <v>0</v>
      </c>
      <c r="L46" s="111" t="e">
        <f t="shared" si="1"/>
        <v>#NUM!</v>
      </c>
      <c r="M46" s="43" t="e">
        <f t="shared" si="2"/>
        <v>#NUM!</v>
      </c>
      <c r="N46" s="200" t="b">
        <v>0</v>
      </c>
      <c r="O46" s="112" t="e">
        <f>_xll.qlInterpolationInterpolate($O$22,$H46)</f>
        <v>#VALUE!</v>
      </c>
      <c r="P46" s="43" t="e">
        <f t="shared" si="10"/>
        <v>#VALUE!</v>
      </c>
      <c r="Q46" s="299" t="e">
        <f>_xll.qlDayCounterYearFraction(DayCounter,H46,E46)</f>
        <v>#NUM!</v>
      </c>
      <c r="R46" s="43" t="e">
        <f t="shared" si="11"/>
        <v>#VALUE!</v>
      </c>
      <c r="S46" s="307" t="e">
        <f t="shared" si="20"/>
        <v>#NUM!</v>
      </c>
      <c r="T46" s="314" t="e">
        <f t="shared" si="22"/>
        <v>#NUM!</v>
      </c>
      <c r="U46" s="184" t="e">
        <v>#VALUE!</v>
      </c>
      <c r="V46" s="185" t="e">
        <v>#VALUE!</v>
      </c>
    </row>
    <row r="47" spans="1:22" x14ac:dyDescent="0.2">
      <c r="A47" s="174">
        <v>42</v>
      </c>
      <c r="B47" s="319" t="str">
        <f t="shared" si="15"/>
        <v>42x45F</v>
      </c>
      <c r="C47" s="111"/>
      <c r="D47" s="306" t="str">
        <f t="shared" si="21"/>
        <v>42M</v>
      </c>
      <c r="E47" s="316" t="e">
        <f>_xll.qlCalendarAdvance(Calendar,H47,$A$21,"Modified Following",TRUE)</f>
        <v>#NUM!</v>
      </c>
      <c r="F47" s="43"/>
      <c r="G47" s="43"/>
      <c r="H47" s="80" t="e">
        <f>_xll.qlCalendarAdvance(Calendar,SettlementDate,D47,"MF",TRUE)</f>
        <v>#NUM!</v>
      </c>
      <c r="I47" s="43" t="b">
        <v>1</v>
      </c>
      <c r="J47" s="112" t="e">
        <f>(_xll.qlInterpolationInterpolate(DiscountCurve,H47)/_xll.qlInterpolationInterpolate(DiscountCurve,E47)-1)/Q47</f>
        <v>#VALUE!</v>
      </c>
      <c r="K47" s="200" t="b">
        <f t="shared" si="19"/>
        <v>0</v>
      </c>
      <c r="L47" s="111" t="e">
        <f t="shared" si="1"/>
        <v>#NUM!</v>
      </c>
      <c r="M47" s="43" t="e">
        <f t="shared" si="2"/>
        <v>#NUM!</v>
      </c>
      <c r="N47" s="200" t="b">
        <v>0</v>
      </c>
      <c r="O47" s="112" t="e">
        <f>_xll.qlInterpolationInterpolate($O$22,$H47)</f>
        <v>#VALUE!</v>
      </c>
      <c r="P47" s="43" t="e">
        <f t="shared" si="10"/>
        <v>#VALUE!</v>
      </c>
      <c r="Q47" s="299" t="e">
        <f>_xll.qlDayCounterYearFraction(DayCounter,H47,E47)</f>
        <v>#NUM!</v>
      </c>
      <c r="R47" s="43" t="e">
        <f t="shared" si="11"/>
        <v>#VALUE!</v>
      </c>
      <c r="S47" s="307" t="e">
        <f t="shared" si="20"/>
        <v>#NUM!</v>
      </c>
      <c r="T47" s="314" t="e">
        <f t="shared" si="22"/>
        <v>#NUM!</v>
      </c>
      <c r="U47" s="184" t="e">
        <v>#VALUE!</v>
      </c>
      <c r="V47" s="185" t="e">
        <v>#VALUE!</v>
      </c>
    </row>
    <row r="48" spans="1:22" x14ac:dyDescent="0.2">
      <c r="A48" s="174">
        <v>45</v>
      </c>
      <c r="B48" s="319" t="str">
        <f t="shared" si="15"/>
        <v>45x48F</v>
      </c>
      <c r="C48" s="111"/>
      <c r="D48" s="306" t="str">
        <f t="shared" si="21"/>
        <v>45M</v>
      </c>
      <c r="E48" s="316" t="e">
        <f>_xll.qlCalendarAdvance(Calendar,H48,$A$21,"Modified Following",TRUE)</f>
        <v>#NUM!</v>
      </c>
      <c r="F48" s="43"/>
      <c r="G48" s="43"/>
      <c r="H48" s="80" t="e">
        <f>_xll.qlCalendarAdvance(Calendar,SettlementDate,D48,"MF",TRUE)</f>
        <v>#NUM!</v>
      </c>
      <c r="I48" s="43" t="b">
        <v>1</v>
      </c>
      <c r="J48" s="112" t="e">
        <f>(_xll.qlInterpolationInterpolate(DiscountCurve,H48)/_xll.qlInterpolationInterpolate(DiscountCurve,E48)-1)/Q48</f>
        <v>#VALUE!</v>
      </c>
      <c r="K48" s="200" t="b">
        <f t="shared" si="19"/>
        <v>0</v>
      </c>
      <c r="L48" s="111" t="e">
        <f t="shared" si="1"/>
        <v>#NUM!</v>
      </c>
      <c r="M48" s="43" t="e">
        <f t="shared" si="2"/>
        <v>#NUM!</v>
      </c>
      <c r="N48" s="200" t="b">
        <v>0</v>
      </c>
      <c r="O48" s="112" t="e">
        <f>_xll.qlInterpolationInterpolate($O$22,$H48)</f>
        <v>#VALUE!</v>
      </c>
      <c r="P48" s="43" t="e">
        <f t="shared" si="10"/>
        <v>#VALUE!</v>
      </c>
      <c r="Q48" s="299" t="e">
        <f>_xll.qlDayCounterYearFraction(DayCounter,H48,E48)</f>
        <v>#NUM!</v>
      </c>
      <c r="R48" s="43" t="e">
        <f t="shared" si="11"/>
        <v>#VALUE!</v>
      </c>
      <c r="S48" s="307" t="e">
        <f t="shared" si="20"/>
        <v>#NUM!</v>
      </c>
      <c r="T48" s="314" t="e">
        <f t="shared" si="22"/>
        <v>#NUM!</v>
      </c>
      <c r="U48" s="184" t="e">
        <v>#VALUE!</v>
      </c>
      <c r="V48" s="185" t="e">
        <v>#VALUE!</v>
      </c>
    </row>
    <row r="49" spans="1:22" x14ac:dyDescent="0.2">
      <c r="A49" s="174">
        <v>48</v>
      </c>
      <c r="B49" s="319" t="str">
        <f t="shared" si="15"/>
        <v>48x51F</v>
      </c>
      <c r="C49" s="111"/>
      <c r="D49" s="306" t="str">
        <f t="shared" si="21"/>
        <v>48M</v>
      </c>
      <c r="E49" s="316" t="e">
        <f>_xll.qlCalendarAdvance(Calendar,H49,$A$21,"Modified Following",TRUE)</f>
        <v>#NUM!</v>
      </c>
      <c r="F49" s="43"/>
      <c r="G49" s="43"/>
      <c r="H49" s="80" t="e">
        <f>_xll.qlCalendarAdvance(Calendar,SettlementDate,D49,"MF",TRUE)</f>
        <v>#NUM!</v>
      </c>
      <c r="I49" s="43" t="b">
        <v>1</v>
      </c>
      <c r="J49" s="112" t="e">
        <f>(_xll.qlInterpolationInterpolate(DiscountCurve,H49)/_xll.qlInterpolationInterpolate(DiscountCurve,E49)-1)/Q49</f>
        <v>#VALUE!</v>
      </c>
      <c r="K49" s="200" t="b">
        <f t="shared" si="19"/>
        <v>0</v>
      </c>
      <c r="L49" s="111" t="e">
        <f t="shared" si="1"/>
        <v>#NUM!</v>
      </c>
      <c r="M49" s="43" t="e">
        <f t="shared" si="2"/>
        <v>#NUM!</v>
      </c>
      <c r="N49" s="200" t="b">
        <v>0</v>
      </c>
      <c r="O49" s="112" t="e">
        <f>_xll.qlInterpolationInterpolate($O$22,$H49)</f>
        <v>#VALUE!</v>
      </c>
      <c r="P49" s="43" t="e">
        <f t="shared" si="10"/>
        <v>#VALUE!</v>
      </c>
      <c r="Q49" s="299" t="e">
        <f>_xll.qlDayCounterYearFraction(DayCounter,H49,E49)</f>
        <v>#NUM!</v>
      </c>
      <c r="R49" s="43" t="e">
        <f t="shared" si="11"/>
        <v>#VALUE!</v>
      </c>
      <c r="S49" s="307" t="e">
        <f t="shared" si="20"/>
        <v>#NUM!</v>
      </c>
      <c r="T49" s="314" t="e">
        <f t="shared" si="22"/>
        <v>#NUM!</v>
      </c>
      <c r="U49" s="184" t="e">
        <v>#VALUE!</v>
      </c>
      <c r="V49" s="185" t="e">
        <v>#VALUE!</v>
      </c>
    </row>
    <row r="50" spans="1:22" x14ac:dyDescent="0.2">
      <c r="A50" s="174">
        <v>51</v>
      </c>
      <c r="B50" s="319" t="str">
        <f t="shared" si="15"/>
        <v>51x54F</v>
      </c>
      <c r="C50" s="111"/>
      <c r="D50" s="306" t="str">
        <f t="shared" si="21"/>
        <v>51M</v>
      </c>
      <c r="E50" s="316" t="e">
        <f>_xll.qlCalendarAdvance(Calendar,H50,$A$21,"Modified Following",TRUE)</f>
        <v>#NUM!</v>
      </c>
      <c r="F50" s="43"/>
      <c r="G50" s="43"/>
      <c r="H50" s="80" t="e">
        <f>_xll.qlCalendarAdvance(Calendar,SettlementDate,D50,"MF",TRUE)</f>
        <v>#NUM!</v>
      </c>
      <c r="I50" s="43" t="b">
        <v>1</v>
      </c>
      <c r="J50" s="112" t="e">
        <f>(_xll.qlInterpolationInterpolate(DiscountCurve,H50)/_xll.qlInterpolationInterpolate(DiscountCurve,E50)-1)/Q50</f>
        <v>#VALUE!</v>
      </c>
      <c r="K50" s="200" t="b">
        <f t="shared" si="19"/>
        <v>0</v>
      </c>
      <c r="L50" s="111" t="e">
        <f t="shared" si="1"/>
        <v>#NUM!</v>
      </c>
      <c r="M50" s="43" t="e">
        <f t="shared" si="2"/>
        <v>#NUM!</v>
      </c>
      <c r="N50" s="200" t="b">
        <v>0</v>
      </c>
      <c r="O50" s="112" t="e">
        <f>_xll.qlInterpolationInterpolate($O$22,$H50)</f>
        <v>#VALUE!</v>
      </c>
      <c r="P50" s="43" t="e">
        <f t="shared" si="10"/>
        <v>#VALUE!</v>
      </c>
      <c r="Q50" s="299" t="e">
        <f>_xll.qlDayCounterYearFraction(DayCounter,H50,E50)</f>
        <v>#NUM!</v>
      </c>
      <c r="R50" s="43" t="e">
        <f t="shared" si="11"/>
        <v>#VALUE!</v>
      </c>
      <c r="S50" s="307" t="e">
        <f t="shared" si="20"/>
        <v>#NUM!</v>
      </c>
      <c r="T50" s="314" t="e">
        <f t="shared" si="22"/>
        <v>#NUM!</v>
      </c>
      <c r="U50" s="184" t="e">
        <v>#VALUE!</v>
      </c>
      <c r="V50" s="185" t="e">
        <v>#VALUE!</v>
      </c>
    </row>
    <row r="51" spans="1:22" x14ac:dyDescent="0.2">
      <c r="A51" s="174">
        <v>54</v>
      </c>
      <c r="B51" s="319" t="str">
        <f t="shared" si="15"/>
        <v>54x57F</v>
      </c>
      <c r="C51" s="111"/>
      <c r="D51" s="306" t="str">
        <f t="shared" si="21"/>
        <v>54M</v>
      </c>
      <c r="E51" s="316" t="e">
        <f>_xll.qlCalendarAdvance(Calendar,H51,$A$21,"Modified Following",TRUE)</f>
        <v>#NUM!</v>
      </c>
      <c r="F51" s="43"/>
      <c r="G51" s="43"/>
      <c r="H51" s="80" t="e">
        <f>_xll.qlCalendarAdvance(Calendar,SettlementDate,D51,"MF",TRUE)</f>
        <v>#NUM!</v>
      </c>
      <c r="I51" s="43" t="b">
        <v>1</v>
      </c>
      <c r="J51" s="112" t="e">
        <f>(_xll.qlInterpolationInterpolate(DiscountCurve,H51)/_xll.qlInterpolationInterpolate(DiscountCurve,E51)-1)/Q51</f>
        <v>#VALUE!</v>
      </c>
      <c r="K51" s="200" t="b">
        <f t="shared" si="19"/>
        <v>0</v>
      </c>
      <c r="L51" s="111" t="e">
        <f t="shared" si="1"/>
        <v>#NUM!</v>
      </c>
      <c r="M51" s="43" t="e">
        <f t="shared" si="2"/>
        <v>#NUM!</v>
      </c>
      <c r="N51" s="200" t="b">
        <v>0</v>
      </c>
      <c r="O51" s="112" t="e">
        <f>_xll.qlInterpolationInterpolate($O$22,$H51)</f>
        <v>#VALUE!</v>
      </c>
      <c r="P51" s="43" t="e">
        <f t="shared" si="10"/>
        <v>#VALUE!</v>
      </c>
      <c r="Q51" s="299" t="e">
        <f>_xll.qlDayCounterYearFraction(DayCounter,H51,E51)</f>
        <v>#NUM!</v>
      </c>
      <c r="R51" s="43" t="e">
        <f t="shared" si="11"/>
        <v>#VALUE!</v>
      </c>
      <c r="S51" s="307" t="e">
        <f t="shared" si="20"/>
        <v>#NUM!</v>
      </c>
      <c r="T51" s="314" t="e">
        <f t="shared" si="22"/>
        <v>#NUM!</v>
      </c>
      <c r="U51" s="184" t="e">
        <v>#VALUE!</v>
      </c>
      <c r="V51" s="185" t="e">
        <v>#VALUE!</v>
      </c>
    </row>
    <row r="52" spans="1:22" x14ac:dyDescent="0.2">
      <c r="A52" s="174">
        <v>57</v>
      </c>
      <c r="B52" s="321" t="str">
        <f t="shared" si="15"/>
        <v>57x60F</v>
      </c>
      <c r="C52" s="114"/>
      <c r="D52" s="309" t="str">
        <f t="shared" si="21"/>
        <v>57M</v>
      </c>
      <c r="E52" s="317" t="e">
        <f>_xll.qlCalendarAdvance(Calendar,H52,$A$21,"Modified Following",TRUE)</f>
        <v>#NUM!</v>
      </c>
      <c r="F52" s="308"/>
      <c r="G52" s="308"/>
      <c r="H52" s="115" t="e">
        <f>_xll.qlCalendarAdvance(Calendar,SettlementDate,D52,"MF",TRUE)</f>
        <v>#NUM!</v>
      </c>
      <c r="I52" s="308" t="b">
        <v>1</v>
      </c>
      <c r="J52" s="323" t="e">
        <f>(_xll.qlInterpolationInterpolate(DiscountCurve,H52)/_xll.qlInterpolationInterpolate(DiscountCurve,E52,TRUE)-1)/Q52</f>
        <v>#VALUE!</v>
      </c>
      <c r="K52" s="201" t="b">
        <f t="shared" si="19"/>
        <v>0</v>
      </c>
      <c r="L52" s="114" t="e">
        <f t="shared" si="1"/>
        <v>#NUM!</v>
      </c>
      <c r="M52" s="308" t="e">
        <f t="shared" si="2"/>
        <v>#NUM!</v>
      </c>
      <c r="N52" s="201" t="b">
        <v>0</v>
      </c>
      <c r="O52" s="156" t="e">
        <f>_xll.qlInterpolationInterpolate($O$22,$H52)</f>
        <v>#VALUE!</v>
      </c>
      <c r="P52" s="308" t="e">
        <f t="shared" si="10"/>
        <v>#VALUE!</v>
      </c>
      <c r="Q52" s="310" t="e">
        <f>_xll.qlDayCounterYearFraction(DayCounter,H52,E52)</f>
        <v>#NUM!</v>
      </c>
      <c r="R52" s="308" t="e">
        <f t="shared" si="11"/>
        <v>#VALUE!</v>
      </c>
      <c r="S52" s="311" t="e">
        <f t="shared" si="20"/>
        <v>#NUM!</v>
      </c>
      <c r="T52" s="322" t="e">
        <f t="shared" si="22"/>
        <v>#NUM!</v>
      </c>
      <c r="U52" s="186" t="e">
        <v>#VALUE!</v>
      </c>
      <c r="V52" s="312" t="e">
        <v>#VALUE!</v>
      </c>
    </row>
    <row r="53" spans="1:22" x14ac:dyDescent="0.2">
      <c r="I53" s="42"/>
    </row>
    <row r="54" spans="1:22" x14ac:dyDescent="0.2">
      <c r="I54" s="42"/>
    </row>
    <row r="55" spans="1:22" x14ac:dyDescent="0.2">
      <c r="I55" s="42"/>
    </row>
    <row r="56" spans="1:22" x14ac:dyDescent="0.2">
      <c r="I56" s="42"/>
    </row>
    <row r="57" spans="1:22" x14ac:dyDescent="0.2">
      <c r="I57" s="42"/>
    </row>
    <row r="58" spans="1:22" x14ac:dyDescent="0.2">
      <c r="I58" s="42"/>
    </row>
  </sheetData>
  <phoneticPr fontId="0" type="noConversion"/>
  <dataValidations count="1">
    <dataValidation type="list" allowBlank="1" showInputMessage="1" showErrorMessage="1" sqref="U1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O57"/>
  <sheetViews>
    <sheetView topLeftCell="B1" workbookViewId="0">
      <selection activeCell="O2" sqref="O2"/>
    </sheetView>
  </sheetViews>
  <sheetFormatPr defaultRowHeight="11.25" x14ac:dyDescent="0.2"/>
  <cols>
    <col min="1" max="1" width="14" style="344" hidden="1" customWidth="1"/>
    <col min="2" max="2" width="13.5" style="344" bestFit="1" customWidth="1"/>
    <col min="3" max="3" width="26.6640625" style="344" bestFit="1" customWidth="1"/>
    <col min="4" max="4" width="16.5" style="344" bestFit="1" customWidth="1"/>
    <col min="5" max="5" width="16.33203125" style="344" bestFit="1" customWidth="1"/>
    <col min="6" max="6" width="8.83203125" style="344" bestFit="1" customWidth="1"/>
    <col min="7" max="7" width="8.33203125" style="344" bestFit="1" customWidth="1"/>
    <col min="8" max="8" width="16.5" style="344" bestFit="1" customWidth="1"/>
    <col min="9" max="9" width="6.6640625" style="344" bestFit="1" customWidth="1"/>
    <col min="10" max="10" width="8.33203125" style="344" bestFit="1" customWidth="1"/>
    <col min="11" max="11" width="9" style="344" bestFit="1" customWidth="1"/>
    <col min="12" max="14" width="6.6640625" style="344" bestFit="1" customWidth="1"/>
    <col min="15" max="15" width="14.6640625" style="344" bestFit="1" customWidth="1"/>
    <col min="16" max="16" width="8.33203125" style="344" bestFit="1" customWidth="1"/>
    <col min="17" max="18" width="9.33203125" style="344" bestFit="1"/>
    <col min="19" max="19" width="8.33203125" style="344" bestFit="1" customWidth="1"/>
    <col min="20" max="20" width="14.6640625" style="344" customWidth="1"/>
    <col min="21" max="21" width="18" style="344" bestFit="1" customWidth="1"/>
    <col min="22" max="22" width="8.33203125" style="344" bestFit="1" customWidth="1"/>
    <col min="23" max="23" width="3.83203125" style="344" customWidth="1"/>
    <col min="24" max="24" width="3.83203125" style="344" bestFit="1" customWidth="1"/>
    <col min="25" max="25" width="10" style="344" customWidth="1"/>
    <col min="26" max="26" width="7" style="344" bestFit="1" customWidth="1"/>
    <col min="27" max="27" width="9.6640625" style="344" bestFit="1" customWidth="1"/>
    <col min="28" max="28" width="9" style="344" bestFit="1" customWidth="1"/>
    <col min="29" max="29" width="16.5" style="344" bestFit="1" customWidth="1"/>
    <col min="30" max="30" width="9.1640625" style="344" bestFit="1" customWidth="1"/>
    <col min="31" max="31" width="7.6640625" style="344" bestFit="1" customWidth="1"/>
    <col min="32" max="32" width="6.33203125" style="344" bestFit="1" customWidth="1"/>
    <col min="33" max="33" width="16.5" style="344" bestFit="1" customWidth="1"/>
    <col min="34" max="34" width="5.6640625" style="344" bestFit="1" customWidth="1"/>
    <col min="35" max="35" width="7.6640625" style="344" bestFit="1" customWidth="1"/>
    <col min="36" max="36" width="6.33203125" style="344" bestFit="1" customWidth="1"/>
    <col min="37" max="37" width="16.5" style="344" bestFit="1" customWidth="1"/>
    <col min="38" max="38" width="5.6640625" style="344" bestFit="1" customWidth="1"/>
    <col min="39" max="39" width="7.6640625" style="344" bestFit="1" customWidth="1"/>
    <col min="40" max="40" width="6.33203125" style="344" bestFit="1" customWidth="1"/>
    <col min="41" max="41" width="16.6640625" style="344" bestFit="1" customWidth="1"/>
    <col min="42" max="42" width="5.6640625" style="344" bestFit="1" customWidth="1"/>
    <col min="43" max="43" width="7.6640625" style="344" bestFit="1" customWidth="1"/>
    <col min="44" max="44" width="6.33203125" style="344" bestFit="1" customWidth="1"/>
    <col min="45" max="45" width="16.6640625" style="344" bestFit="1" customWidth="1"/>
    <col min="46" max="46" width="5.6640625" style="344" bestFit="1" customWidth="1"/>
    <col min="47" max="47" width="7.6640625" style="344" bestFit="1" customWidth="1"/>
    <col min="48" max="48" width="6.33203125" style="344" bestFit="1" customWidth="1"/>
    <col min="49" max="49" width="16.6640625" style="344" bestFit="1" customWidth="1"/>
    <col min="50" max="50" width="5.6640625" style="344" bestFit="1" customWidth="1"/>
    <col min="51" max="51" width="7.6640625" style="344" bestFit="1" customWidth="1"/>
    <col min="52" max="52" width="6.33203125" style="344" bestFit="1" customWidth="1"/>
    <col min="53" max="53" width="16" style="344" bestFit="1" customWidth="1"/>
    <col min="54" max="54" width="5.6640625" style="344" bestFit="1" customWidth="1"/>
    <col min="55" max="55" width="7.6640625" style="344" bestFit="1" customWidth="1"/>
    <col min="56" max="56" width="6.33203125" style="344" bestFit="1" customWidth="1"/>
    <col min="57" max="57" width="16.5" style="344" bestFit="1" customWidth="1"/>
    <col min="58" max="58" width="5.6640625" style="344" bestFit="1" customWidth="1"/>
    <col min="59" max="59" width="7.6640625" style="344" bestFit="1" customWidth="1"/>
    <col min="60" max="60" width="6.33203125" style="344" bestFit="1" customWidth="1"/>
    <col min="61" max="61" width="16.33203125" style="344" bestFit="1" customWidth="1"/>
    <col min="62" max="62" width="5.6640625" style="344" bestFit="1" customWidth="1"/>
    <col min="63" max="63" width="7.6640625" style="344" bestFit="1" customWidth="1"/>
    <col min="64" max="64" width="6.33203125" style="344" bestFit="1" customWidth="1"/>
    <col min="65" max="65" width="16.5" style="344" bestFit="1" customWidth="1"/>
    <col min="66" max="66" width="5.6640625" style="344" bestFit="1" customWidth="1"/>
    <col min="67" max="67" width="7.6640625" style="344" bestFit="1" customWidth="1"/>
    <col min="68" max="16384" width="9.33203125" style="344"/>
  </cols>
  <sheetData>
    <row r="1" spans="1:28" s="21" customFormat="1" x14ac:dyDescent="0.2">
      <c r="O1" s="174" t="s">
        <v>89</v>
      </c>
      <c r="U1" s="21" t="s">
        <v>38</v>
      </c>
      <c r="Y1" s="332">
        <v>6</v>
      </c>
      <c r="AA1" s="333" t="s">
        <v>87</v>
      </c>
      <c r="AB1" s="334" t="b">
        <v>0</v>
      </c>
    </row>
    <row r="2" spans="1:28" s="21" customFormat="1" x14ac:dyDescent="0.2">
      <c r="O2" s="21" t="b">
        <v>0</v>
      </c>
      <c r="U2" s="22" t="e">
        <f>_xll.qlInterpolation(,DiscountInterpolationType,U3:U9,V3:V9)</f>
        <v>#NUM!</v>
      </c>
      <c r="V2" s="79"/>
    </row>
    <row r="3" spans="1:28" s="21" customFormat="1" x14ac:dyDescent="0.2">
      <c r="S3" s="335" t="e">
        <f>IF(D23=D24,Y4*(1+F23*S4),Y3)</f>
        <v>#NUM!</v>
      </c>
      <c r="U3" s="32" t="e">
        <f>D22</f>
        <v>#NUM!</v>
      </c>
      <c r="V3" s="84">
        <v>1</v>
      </c>
      <c r="Y3" s="336" t="e">
        <f>IF(U3&gt;LastDayInYear,TOY,1)*IF(U3&gt;LastDayInNextYear,_TOY2,1)*V3</f>
        <v>#NUM!</v>
      </c>
    </row>
    <row r="4" spans="1:28" s="21" customFormat="1" x14ac:dyDescent="0.2">
      <c r="S4" s="21" t="e">
        <f>_xll.qlDayCounterYearFraction(DayCounter,U3,U4)</f>
        <v>#NUM!</v>
      </c>
      <c r="U4" s="35" t="e">
        <f>_xll.qlCalendarAdvance(Calendar,U3,IndexTenor,"Modified Following",TRUE)</f>
        <v>#NUM!</v>
      </c>
      <c r="V4" s="337" t="e">
        <f>V3/(1+_xll.qlInterpolationInterpolate(FwdInterpolator,U3,TRUE)*_xll.qlDayCounterYearFraction(DayCounter,U3,U4))</f>
        <v>#VALUE!</v>
      </c>
      <c r="Y4" s="338" t="e">
        <f>IF(U4&gt;LastDayInYear,TOY,1)*IF(U4&gt;LastDayInNextYear,_TOY2,1)*V4</f>
        <v>#NUM!</v>
      </c>
    </row>
    <row r="5" spans="1:28" s="21" customFormat="1" x14ac:dyDescent="0.2">
      <c r="T5" s="28" t="e">
        <f>_xll.qlDayCounterYearFraction($U$1,U3,U5)</f>
        <v>#NUM!</v>
      </c>
      <c r="U5" s="35" t="e">
        <f>_xll.qlCalendarAdvance(Calendar,U4,IndexTenor,"Modified Following",TRUE)</f>
        <v>#NUM!</v>
      </c>
      <c r="V5" s="84" t="e">
        <f>V4/(1+_xll.qlInterpolationInterpolate(FwdInterpolator,U4,TRUE)*_xll.qlDayCounterYearFraction(DayCounter,U4,U5))</f>
        <v>#VALUE!</v>
      </c>
      <c r="Y5" s="338" t="e">
        <f>IF(U5&gt;LastDayInYear,TOY,1)*IF(U5&gt;LastDayInNextYear,_TOY2,1)*V5</f>
        <v>#NUM!</v>
      </c>
    </row>
    <row r="6" spans="1:28" s="21" customFormat="1" x14ac:dyDescent="0.2">
      <c r="A6" s="21">
        <v>2</v>
      </c>
      <c r="B6" s="21" t="str">
        <f>"AM"&amp;Months&amp;"LBASIS"&amp;A6&amp;"Y"</f>
        <v>AM6LBASIS2Y</v>
      </c>
      <c r="C6" s="21" t="str">
        <f>RateHelperPrefix&amp;$B6</f>
        <v>USD_YC6MRH_AM6LBASIS2Y</v>
      </c>
      <c r="F6" s="340">
        <f>_xll.qlRateHelperQuoteValue(C6,SheetTrigger)</f>
        <v>5.3500878707216492E-3</v>
      </c>
      <c r="T6" s="28" t="e">
        <f>_xll.qlDayCounterYearFraction($U$1,U5,U6)</f>
        <v>#NUM!</v>
      </c>
      <c r="U6" s="32" t="e">
        <f>_xll.qlCalendarAdvance(Calendar,$U$3,A6&amp;"Y","Modified Following",TRUE)</f>
        <v>#NUM!</v>
      </c>
      <c r="V6" s="341" t="e">
        <f>Y6/IF(U6&gt;LastDayInYear,TOY,1)/IF(U6&gt;LastDayInNextYear,_TOY2,1)</f>
        <v>#NUM!</v>
      </c>
      <c r="Y6" s="336" t="e">
        <f>($S$3-SUMPRODUCT(T$3:T5,Y$3:Y5)*F6)/(1+T6*F6)</f>
        <v>#NUM!</v>
      </c>
    </row>
    <row r="7" spans="1:28" s="21" customFormat="1" x14ac:dyDescent="0.2">
      <c r="A7" s="21">
        <v>3</v>
      </c>
      <c r="B7" s="21" t="str">
        <f>"AM"&amp;Months&amp;"LBASIS"&amp;A7&amp;"Y"</f>
        <v>AM6LBASIS3Y</v>
      </c>
      <c r="C7" s="21" t="str">
        <f>RateHelperPrefix&amp;$B7</f>
        <v>USD_YC6MRH_AM6LBASIS3Y</v>
      </c>
      <c r="F7" s="340">
        <f>_xll.qlRateHelperQuoteValue(C7,SheetTrigger)</f>
        <v>7.9121835969377767E-3</v>
      </c>
      <c r="T7" s="28" t="e">
        <f>_xll.qlDayCounterYearFraction($U$1,U6,U7)</f>
        <v>#NUM!</v>
      </c>
      <c r="U7" s="35" t="e">
        <f>_xll.qlCalendarAdvance(Calendar,$U$3,A7&amp;"Y","Modified Following",TRUE)</f>
        <v>#NUM!</v>
      </c>
      <c r="V7" s="84" t="e">
        <f>Y7/IF(U7&gt;LastDayInYear,TOY,1)/IF(U7&gt;LastDayInNextYear,_TOY2,1)</f>
        <v>#NUM!</v>
      </c>
      <c r="Y7" s="338" t="e">
        <f>($S$3-SUMPRODUCT(T$3:T6,Y$3:Y6)*F7)/(1+T7*F7)</f>
        <v>#NUM!</v>
      </c>
    </row>
    <row r="8" spans="1:28" s="21" customFormat="1" x14ac:dyDescent="0.2">
      <c r="A8" s="21">
        <v>4</v>
      </c>
      <c r="B8" s="21" t="str">
        <f>"AM"&amp;Months&amp;"LBASIS"&amp;A8&amp;"Y"</f>
        <v>AM6LBASIS4Y</v>
      </c>
      <c r="C8" s="21" t="str">
        <f>RateHelperPrefix&amp;$B8</f>
        <v>USD_YC6MRH_AM6LBASIS4Y</v>
      </c>
      <c r="F8" s="340">
        <f>_xll.qlRateHelperQuoteValue(C8,SheetTrigger)</f>
        <v>1.1463640699941168E-2</v>
      </c>
      <c r="T8" s="28" t="e">
        <f>_xll.qlDayCounterYearFraction($U$1,U7,U8)</f>
        <v>#NUM!</v>
      </c>
      <c r="U8" s="35" t="e">
        <f>_xll.qlCalendarAdvance(Calendar,$U$3,A8&amp;"Y","Modified Following",TRUE)</f>
        <v>#NUM!</v>
      </c>
      <c r="V8" s="84" t="e">
        <f>Y8/IF(U8&gt;LastDayInYear,TOY,1)/IF(U8&gt;LastDayInNextYear,_TOY2,1)</f>
        <v>#NUM!</v>
      </c>
      <c r="Y8" s="338" t="e">
        <f>($S$3-SUMPRODUCT(T$3:T7,Y$3:Y7)*F8)/(1+T8*F8)</f>
        <v>#NUM!</v>
      </c>
    </row>
    <row r="9" spans="1:28" s="21" customFormat="1" x14ac:dyDescent="0.2">
      <c r="A9" s="21">
        <v>5</v>
      </c>
      <c r="B9" s="21" t="str">
        <f>"AM"&amp;Months&amp;"LBASIS"&amp;A9&amp;"Y"</f>
        <v>AM6LBASIS5Y</v>
      </c>
      <c r="C9" s="21" t="str">
        <f>RateHelperPrefix&amp;$B9</f>
        <v>USD_YC6MRH_AM6LBASIS5Y</v>
      </c>
      <c r="F9" s="340">
        <f>_xll.qlRateHelperQuoteValue(C9,SheetTrigger)</f>
        <v>1.5085074438171888E-2</v>
      </c>
      <c r="T9" s="28" t="e">
        <f>_xll.qlDayCounterYearFraction($U$1,U8,U9)</f>
        <v>#NUM!</v>
      </c>
      <c r="U9" s="38" t="e">
        <f>_xll.qlCalendarAdvance(Calendar,$U$3,A9&amp;"Y","Modified Following",TRUE)</f>
        <v>#NUM!</v>
      </c>
      <c r="V9" s="85" t="e">
        <f>Y9/IF(U9&gt;LastDayInYear,TOY,1)/IF(U9&gt;LastDayInNextYear,_TOY2,1)</f>
        <v>#NUM!</v>
      </c>
      <c r="Y9" s="339" t="e">
        <f>($S$3-SUMPRODUCT(T$3:T8,Y$3:Y8)*F9)/(1+T9*F9)</f>
        <v>#NUM!</v>
      </c>
    </row>
    <row r="10" spans="1:28" s="21" customFormat="1" x14ac:dyDescent="0.2"/>
    <row r="11" spans="1:28" s="21" customFormat="1" x14ac:dyDescent="0.2"/>
    <row r="12" spans="1:28" s="21" customFormat="1" x14ac:dyDescent="0.2"/>
    <row r="13" spans="1:28" s="21" customFormat="1" x14ac:dyDescent="0.2"/>
    <row r="14" spans="1:28" s="21" customFormat="1" x14ac:dyDescent="0.2"/>
    <row r="15" spans="1:28" s="21" customFormat="1" x14ac:dyDescent="0.2"/>
    <row r="16" spans="1:28" s="21" customFormat="1" x14ac:dyDescent="0.2"/>
    <row r="17" spans="1:67" s="21" customFormat="1" x14ac:dyDescent="0.2"/>
    <row r="18" spans="1:67" s="21" customFormat="1" x14ac:dyDescent="0.2"/>
    <row r="19" spans="1:67" x14ac:dyDescent="0.2">
      <c r="A19" s="174">
        <v>6</v>
      </c>
      <c r="B19" s="25"/>
      <c r="C19" s="21"/>
      <c r="D19" s="21"/>
      <c r="E19" s="21"/>
      <c r="F19" s="21"/>
      <c r="G19" s="25"/>
      <c r="H19" s="21"/>
      <c r="I19" s="21"/>
      <c r="J19" s="25"/>
      <c r="K19" s="21"/>
      <c r="L19" s="25"/>
      <c r="M19" s="25"/>
      <c r="N19" s="25"/>
      <c r="O19" s="40"/>
      <c r="P19" s="172" t="e">
        <f>IF(ISBLANK($O19),AVERAGE(_xll.ohFilter($P22:$P33,$L22:$L33)),$O19)</f>
        <v>#NUM!</v>
      </c>
      <c r="Q19" s="509" t="e">
        <f>'3M'!TOY</f>
        <v>#NUM!</v>
      </c>
      <c r="R19" s="506" t="e">
        <f>IF(ISBLANK($Q19),MIN(AVERAGE(_xll.ohFilter($R22:$R33,$L22:$L33)),1),$Q19)</f>
        <v>#NUM!</v>
      </c>
      <c r="S19" s="342" t="s">
        <v>40</v>
      </c>
      <c r="T19" s="343"/>
      <c r="U19" s="344" t="e">
        <f>_xll.qlInterpolation(,FwdInterpolationType,_xll.ohFilter($H22:$H44,$K22:$K44),_xll.ohFilter($S22:$S44,$K22:$K44))</f>
        <v>#NUM!</v>
      </c>
      <c r="AA19" s="21"/>
      <c r="AB19" s="21"/>
    </row>
    <row r="20" spans="1:67" x14ac:dyDescent="0.2">
      <c r="A20" s="458" t="str">
        <f>_xll.qlPeriodEquivalent(A19&amp;"M")</f>
        <v>6M</v>
      </c>
      <c r="B20" s="343"/>
      <c r="D20" s="343"/>
      <c r="E20" s="343"/>
      <c r="G20" s="343"/>
      <c r="J20" s="343"/>
      <c r="L20" s="343"/>
      <c r="M20" s="343"/>
      <c r="N20" s="343"/>
      <c r="O20" s="346"/>
      <c r="P20" s="347" t="e">
        <f>IF(ISBLANK($O20),AVERAGE(_xll.ohFilter($P22:$P33,$M22:$M33)),$O20)</f>
        <v>#NUM!</v>
      </c>
      <c r="Q20" s="442" t="e">
        <f>'3M'!_TOY2</f>
        <v>#NUM!</v>
      </c>
      <c r="R20" s="508" t="e">
        <f>IF(ISBLANK($Q20),MIN(AVERAGE(_xll.ohFilter($R22:$R33,$M22:$M33)),1),$Q20)</f>
        <v>#NUM!</v>
      </c>
      <c r="S20" s="348" t="s">
        <v>46</v>
      </c>
      <c r="T20" s="343"/>
      <c r="U20" s="349" t="e">
        <f>_xll.qlInterpolation(,FwdInterpolationType,_xll.ohFilter($H22:$H38,$K22:$K38),_xll.ohFilter($S22:$S38,$K22:$K38))</f>
        <v>#NUM!</v>
      </c>
      <c r="V20" s="342"/>
      <c r="AA20" s="21"/>
      <c r="AB20" s="21"/>
      <c r="AI20" s="344">
        <v>1</v>
      </c>
      <c r="AM20" s="344">
        <v>2</v>
      </c>
      <c r="AQ20" s="344">
        <v>3</v>
      </c>
      <c r="AU20" s="344">
        <v>4</v>
      </c>
      <c r="AY20" s="344">
        <v>5</v>
      </c>
      <c r="BC20" s="344">
        <v>6</v>
      </c>
      <c r="BG20" s="344">
        <v>7</v>
      </c>
      <c r="BK20" s="344">
        <v>8</v>
      </c>
      <c r="BO20" s="344">
        <v>9</v>
      </c>
    </row>
    <row r="21" spans="1:67" x14ac:dyDescent="0.2">
      <c r="A21" s="345" t="str">
        <f>Currency&amp;"_YC"&amp;IndexTenor&amp;"RH_"</f>
        <v>USD_YC6MRH_</v>
      </c>
      <c r="B21" s="349"/>
      <c r="C21" s="350" t="s">
        <v>27</v>
      </c>
      <c r="D21" s="351" t="s">
        <v>23</v>
      </c>
      <c r="E21" s="352" t="s">
        <v>22</v>
      </c>
      <c r="F21" s="350" t="s">
        <v>60</v>
      </c>
      <c r="G21" s="353"/>
      <c r="H21" s="352" t="s">
        <v>56</v>
      </c>
      <c r="I21" s="351" t="s">
        <v>64</v>
      </c>
      <c r="J21" s="351" t="s">
        <v>61</v>
      </c>
      <c r="K21" s="354" t="s">
        <v>65</v>
      </c>
      <c r="L21" s="351" t="s">
        <v>59</v>
      </c>
      <c r="M21" s="351" t="s">
        <v>46</v>
      </c>
      <c r="N21" s="354" t="s">
        <v>63</v>
      </c>
      <c r="O21" s="355" t="e">
        <f>_xll.qlInterpolation(,FwdInterpolationType,_xll.ohFilter($H22:$H38,$N22:$N38),_xll.ohFilter($J22:$J38,$N22:$N38))</f>
        <v>#NUM!</v>
      </c>
      <c r="P21" s="356" t="s">
        <v>32</v>
      </c>
      <c r="Q21" s="357" t="s">
        <v>33</v>
      </c>
      <c r="R21" s="356" t="s">
        <v>34</v>
      </c>
      <c r="S21" s="350" t="s">
        <v>67</v>
      </c>
      <c r="T21" s="351" t="s">
        <v>32</v>
      </c>
      <c r="U21" s="358" t="e">
        <f>D22</f>
        <v>#NUM!</v>
      </c>
      <c r="V21" s="359" t="e">
        <f>_xll.qlInterpolationInterpolate(ExtFwdInterpolator,U21,TRUE)</f>
        <v>#VALUE!</v>
      </c>
      <c r="X21" s="360"/>
      <c r="Y21" s="361" t="s">
        <v>85</v>
      </c>
      <c r="Z21" s="362" t="s">
        <v>86</v>
      </c>
      <c r="AA21" s="351" t="s">
        <v>84</v>
      </c>
      <c r="AB21" s="351" t="s">
        <v>84</v>
      </c>
      <c r="AC21" s="351" t="s">
        <v>80</v>
      </c>
      <c r="AD21" s="351" t="s">
        <v>35</v>
      </c>
      <c r="AE21" s="354" t="s">
        <v>83</v>
      </c>
      <c r="AF21" s="351" t="s">
        <v>81</v>
      </c>
      <c r="AG21" s="351" t="s">
        <v>79</v>
      </c>
      <c r="AH21" s="351" t="s">
        <v>36</v>
      </c>
      <c r="AI21" s="354" t="s">
        <v>82</v>
      </c>
      <c r="AJ21" s="351" t="s">
        <v>81</v>
      </c>
      <c r="AK21" s="351" t="s">
        <v>79</v>
      </c>
      <c r="AL21" s="351" t="s">
        <v>36</v>
      </c>
      <c r="AM21" s="354" t="s">
        <v>82</v>
      </c>
      <c r="AN21" s="351" t="s">
        <v>81</v>
      </c>
      <c r="AO21" s="351" t="s">
        <v>79</v>
      </c>
      <c r="AP21" s="351" t="s">
        <v>36</v>
      </c>
      <c r="AQ21" s="354" t="s">
        <v>82</v>
      </c>
      <c r="AR21" s="351" t="s">
        <v>81</v>
      </c>
      <c r="AS21" s="351" t="s">
        <v>79</v>
      </c>
      <c r="AT21" s="351" t="s">
        <v>36</v>
      </c>
      <c r="AU21" s="354" t="s">
        <v>82</v>
      </c>
      <c r="AV21" s="351" t="s">
        <v>81</v>
      </c>
      <c r="AW21" s="351" t="s">
        <v>79</v>
      </c>
      <c r="AX21" s="351" t="s">
        <v>36</v>
      </c>
      <c r="AY21" s="354" t="s">
        <v>82</v>
      </c>
      <c r="AZ21" s="351" t="s">
        <v>81</v>
      </c>
      <c r="BA21" s="351" t="s">
        <v>79</v>
      </c>
      <c r="BB21" s="351" t="s">
        <v>36</v>
      </c>
      <c r="BC21" s="354" t="s">
        <v>82</v>
      </c>
      <c r="BD21" s="351" t="s">
        <v>81</v>
      </c>
      <c r="BE21" s="351" t="s">
        <v>79</v>
      </c>
      <c r="BF21" s="351" t="s">
        <v>36</v>
      </c>
      <c r="BG21" s="354" t="s">
        <v>82</v>
      </c>
      <c r="BH21" s="351" t="s">
        <v>81</v>
      </c>
      <c r="BI21" s="351" t="s">
        <v>79</v>
      </c>
      <c r="BJ21" s="351" t="s">
        <v>36</v>
      </c>
      <c r="BK21" s="354" t="s">
        <v>82</v>
      </c>
      <c r="BL21" s="351" t="s">
        <v>81</v>
      </c>
      <c r="BM21" s="351" t="s">
        <v>79</v>
      </c>
      <c r="BN21" s="351" t="s">
        <v>36</v>
      </c>
      <c r="BO21" s="354" t="s">
        <v>82</v>
      </c>
    </row>
    <row r="22" spans="1:67" x14ac:dyDescent="0.2">
      <c r="A22" s="512" t="str">
        <f>Triggers!TriggerTOY3M</f>
        <v>ExternalLinkCleanedUp</v>
      </c>
      <c r="B22" s="363" t="str">
        <f>IndexTenor&amp;"D"</f>
        <v>6MD</v>
      </c>
      <c r="C22" s="364" t="str">
        <f>Currency&amp;"_YCRH_"&amp;B22</f>
        <v>USD_YCRH_6MD</v>
      </c>
      <c r="D22" s="365" t="e">
        <f>_xll.qlRateHelperEarliestDate($C22,EvaluationDate)</f>
        <v>#NUM!</v>
      </c>
      <c r="E22" s="365" t="e">
        <f>_xll.qlRateHelperLatestDate($C22,EvaluationDate)</f>
        <v>#NUM!</v>
      </c>
      <c r="F22" s="366" t="e">
        <f>_xll.qlRateHelperQuoteValue($C22,SheetTrigger)</f>
        <v>#NUM!</v>
      </c>
      <c r="G22" s="367"/>
      <c r="H22" s="365" t="e">
        <f t="shared" ref="H22:H33" si="0">$D22</f>
        <v>#NUM!</v>
      </c>
      <c r="I22" s="368" t="b">
        <v>0</v>
      </c>
      <c r="J22" s="369" t="e">
        <f>F22</f>
        <v>#NUM!</v>
      </c>
      <c r="K22" s="370" t="b">
        <v>0</v>
      </c>
      <c r="L22" s="364" t="e">
        <f t="shared" ref="L22:L44" si="1">NOT(OR($H22&gt;LastDayInYear,$E22&lt;=LastDayInYear))</f>
        <v>#NUM!</v>
      </c>
      <c r="M22" s="364" t="e">
        <f t="shared" ref="M22:M44" si="2">NOT(OR($H22&gt;LastDayInNextYear,$E22&lt;=LastDayInNextYear))</f>
        <v>#NUM!</v>
      </c>
      <c r="N22" s="370" t="b">
        <v>0</v>
      </c>
      <c r="O22" s="366" t="e">
        <f>_xll.qlInterpolationInterpolate($O$21,$H22)</f>
        <v>#VALUE!</v>
      </c>
      <c r="P22" s="371" t="e">
        <f t="shared" ref="P22:P44" si="3">$J22-$O22</f>
        <v>#NUM!</v>
      </c>
      <c r="Q22" s="372" t="e">
        <f>_xll.qlDayCounterYearFraction(DayCounter,$H22,$E22)</f>
        <v>#NUM!</v>
      </c>
      <c r="R22" s="373" t="e">
        <f t="shared" ref="R22:R44" si="4">(1+$O22*$Q22)/(1+$J22*$Q22)</f>
        <v>#VALUE!</v>
      </c>
      <c r="S22" s="374" t="e">
        <f t="shared" ref="S22:S33" si="5">IF($L22,(TOY*(1+$J22*$Q22)-1)/$Q22,IF($M22,(_TOY2*(1+$J22*$Q22)-1)/$Q22,$J22))</f>
        <v>#NUM!</v>
      </c>
      <c r="T22" s="375" t="e">
        <f t="shared" ref="T22:T33" si="6">S22-J22</f>
        <v>#NUM!</v>
      </c>
      <c r="U22" s="376">
        <f t="array" ref="U22:U44">SelectionSort(_xll.ohFilter(H22:H44,K22:K44))</f>
        <v>41572</v>
      </c>
      <c r="V22" s="377" t="e">
        <f t="array" ref="V22:V44">_xll.qlInterpolationInterpolate(ExtFwdInterpolator,_xll.ohPack(U22:U44))</f>
        <v>#VALUE!</v>
      </c>
      <c r="X22" s="349" t="s">
        <v>37</v>
      </c>
      <c r="Y22" s="378">
        <v>2.1853006568957056E-2</v>
      </c>
      <c r="Z22" s="379" t="e">
        <f t="shared" ref="Z22:Z31" si="7">AB22-Y22</f>
        <v>#VALUE!</v>
      </c>
      <c r="AA22" s="454" t="s">
        <v>126</v>
      </c>
      <c r="AB22" s="255" t="e">
        <f t="shared" ref="AB22:AB31" si="8">(1/AE22-1)/AD22</f>
        <v>#VALUE!</v>
      </c>
      <c r="AC22" s="365" t="e">
        <f>_xll.qlCalendarAdvance(Calendar,SettlementDate,X22,"Following")</f>
        <v>#NUM!</v>
      </c>
      <c r="AD22" s="380" t="e">
        <f>_xll.qlDayCounterYearFraction(DayCounter,SettlementDate,AC22)</f>
        <v>#NUM!</v>
      </c>
      <c r="AE22" s="381" t="e">
        <f t="shared" ref="AE22:AE31" si="9">IF(Optim,1/(1+AA22*AD22),(1+AF22*AH22)*AI22)*IF(AC22&gt;LastDayInYear,TOY,1)*IF(AC22&gt;LastDayInNextYear,_TOY2,1)</f>
        <v>#VALUE!</v>
      </c>
      <c r="AF22" s="382" t="e">
        <f>_xll.qlInterpolationInterpolate(ExtFwdInterpolator,AC22)</f>
        <v>#VALUE!</v>
      </c>
      <c r="AG22" s="365" t="e">
        <f>_xll.qlCalendarAdvance(Calendar,AC22,$A$20,"Modified Following",TRUE)</f>
        <v>#NUM!</v>
      </c>
      <c r="AH22" s="380" t="e">
        <f>_xll.qlDayCounterYearFraction(DayCounter,AC22,AG22)</f>
        <v>#NUM!</v>
      </c>
      <c r="AI22" s="381" t="e">
        <f>IF($Y$1=AI$20,_xll.qlInterpolationInterpolate(DiscountCurve,AG22),(1+AJ22*AL22)*AM22)</f>
        <v>#VALUE!</v>
      </c>
      <c r="AJ22" s="382" t="e">
        <f>_xll.qlInterpolationInterpolate(ExtFwdInterpolator,AG22)</f>
        <v>#VALUE!</v>
      </c>
      <c r="AK22" s="365" t="e">
        <f>_xll.qlCalendarAdvance(Calendar,AG22,$A$20,"Modified Following",TRUE)</f>
        <v>#NUM!</v>
      </c>
      <c r="AL22" s="380" t="e">
        <f>_xll.qlDayCounterYearFraction(DayCounter,AG22,AK22)</f>
        <v>#NUM!</v>
      </c>
      <c r="AM22" s="381" t="e">
        <f>IF($Y$1=AM$20,_xll.qlInterpolationInterpolate(DiscountCurve,AK22),(1+AN22*AP22)*AQ22)</f>
        <v>#VALUE!</v>
      </c>
      <c r="AN22" s="382" t="e">
        <f>_xll.qlInterpolationInterpolate(ExtFwdInterpolator,AK22)</f>
        <v>#VALUE!</v>
      </c>
      <c r="AO22" s="365" t="e">
        <f>_xll.qlCalendarAdvance(Calendar,AK22,$A$20,"Modified Following",TRUE)</f>
        <v>#NUM!</v>
      </c>
      <c r="AP22" s="380" t="e">
        <f>_xll.qlDayCounterYearFraction(DayCounter,AK22,AO22)</f>
        <v>#NUM!</v>
      </c>
      <c r="AQ22" s="381" t="e">
        <f>IF($Y$1=AQ$20,_xll.qlInterpolationInterpolate(DiscountCurve,AO22),(1+AR22*AT22)*AU22)</f>
        <v>#VALUE!</v>
      </c>
      <c r="AR22" s="382" t="e">
        <f>_xll.qlInterpolationInterpolate(ExtFwdInterpolator,AO22)</f>
        <v>#VALUE!</v>
      </c>
      <c r="AS22" s="365" t="e">
        <f>_xll.qlCalendarAdvance(Calendar,AO22,$A$20,"Modified Following",TRUE)</f>
        <v>#NUM!</v>
      </c>
      <c r="AT22" s="380" t="e">
        <f>_xll.qlDayCounterYearFraction(DayCounter,AO22,AS22)</f>
        <v>#NUM!</v>
      </c>
      <c r="AU22" s="381" t="e">
        <f>IF($Y$1=AU$20,_xll.qlInterpolationInterpolate(DiscountCurve,AS22),(1+AV22*AX22)*AY22)</f>
        <v>#VALUE!</v>
      </c>
      <c r="AV22" s="382" t="e">
        <f>_xll.qlInterpolationInterpolate(ExtFwdInterpolator,AS22)</f>
        <v>#VALUE!</v>
      </c>
      <c r="AW22" s="365" t="e">
        <f>_xll.qlCalendarAdvance(Calendar,AS22,$A$20,"Modified Following",TRUE)</f>
        <v>#NUM!</v>
      </c>
      <c r="AX22" s="380" t="e">
        <f>_xll.qlDayCounterYearFraction(DayCounter,AS22,AW22)</f>
        <v>#NUM!</v>
      </c>
      <c r="AY22" s="381" t="e">
        <f>IF($Y$1=AY$20,_xll.qlInterpolationInterpolate(DiscountCurve,AW22),(1+AZ22*BB22)*BC22)</f>
        <v>#VALUE!</v>
      </c>
      <c r="AZ22" s="382" t="e">
        <f>_xll.qlInterpolationInterpolate(ExtFwdInterpolator,AW22)</f>
        <v>#VALUE!</v>
      </c>
      <c r="BA22" s="365" t="e">
        <f>_xll.qlCalendarAdvance(Calendar,AW22,$A$20,"Modified Following",TRUE)</f>
        <v>#NUM!</v>
      </c>
      <c r="BB22" s="380" t="e">
        <f>_xll.qlDayCounterYearFraction(DayCounter,AW22,BA22)</f>
        <v>#NUM!</v>
      </c>
      <c r="BC22" s="381" t="e">
        <f>IF($Y$1=BC$20,_xll.qlInterpolationInterpolate(DiscountCurve,BA22),(1+BD22*BF22)*BG22)</f>
        <v>#VALUE!</v>
      </c>
      <c r="BD22" s="382" t="e">
        <f>_xll.qlInterpolationInterpolate(ExtFwdInterpolator,BA22)</f>
        <v>#VALUE!</v>
      </c>
      <c r="BE22" s="365" t="e">
        <f>_xll.qlCalendarAdvance(Calendar,BA22,$A$20,"Modified Following",TRUE)</f>
        <v>#NUM!</v>
      </c>
      <c r="BF22" s="380" t="e">
        <f>_xll.qlDayCounterYearFraction(DayCounter,BA22,BE22)</f>
        <v>#NUM!</v>
      </c>
      <c r="BG22" s="381" t="e">
        <f>IF($Y$1=BG$20,_xll.qlInterpolationInterpolate(DiscountCurve,BE22),(1+BH22*BJ22)*BK22)</f>
        <v>#VALUE!</v>
      </c>
      <c r="BH22" s="382" t="e">
        <f>_xll.qlInterpolationInterpolate(ExtFwdInterpolator,BE22)</f>
        <v>#VALUE!</v>
      </c>
      <c r="BI22" s="365" t="e">
        <f>_xll.qlCalendarAdvance(Calendar,BE22,$A$20,"Modified Following",TRUE)</f>
        <v>#NUM!</v>
      </c>
      <c r="BJ22" s="380" t="e">
        <f>_xll.qlDayCounterYearFraction(DayCounter,BE22,BI22)</f>
        <v>#NUM!</v>
      </c>
      <c r="BK22" s="381" t="e">
        <f>IF($Y$1=BK$20,_xll.qlInterpolationInterpolate(DiscountCurve,BI22),(1+BL22*BN22)*BO22)</f>
        <v>#VALUE!</v>
      </c>
      <c r="BL22" s="382" t="e">
        <f>_xll.qlInterpolationInterpolate(ExtFwdInterpolator,BI22)</f>
        <v>#VALUE!</v>
      </c>
      <c r="BM22" s="365" t="e">
        <f>_xll.qlCalendarAdvance(Calendar,BI22,$A$20,"Modified Following",TRUE)</f>
        <v>#NUM!</v>
      </c>
      <c r="BN22" s="380" t="e">
        <f>_xll.qlDayCounterYearFraction(DayCounter,BI22,BM22)</f>
        <v>#NUM!</v>
      </c>
      <c r="BO22" s="381">
        <f>IF($Y$1=BO$20,_xll.qlInterpolationInterpolate(DiscountCurve,BM22),(1+BP22*BR22)*BS22)</f>
        <v>0</v>
      </c>
    </row>
    <row r="23" spans="1:67" x14ac:dyDescent="0.2">
      <c r="A23" s="345" t="str">
        <f>PROPER(Currency)&amp;IF(UPPER(Currency)&lt;&gt;"EUR","L","")&amp;"ibor"&amp;IndexTenor</f>
        <v>UsdLibor6M</v>
      </c>
      <c r="B23" s="383" t="s">
        <v>68</v>
      </c>
      <c r="C23" s="384" t="str">
        <f>A23&amp;B23&amp;"_Quote"</f>
        <v>UsdLibor6MLastFixing_Quote</v>
      </c>
      <c r="D23" s="385">
        <f>_xll.qlCalendarAdvance(Calendar,_xll.qlLastFixingQuoteReferenceDate(C23),"2D","f",,SheetTrigger)</f>
        <v>41572</v>
      </c>
      <c r="E23" s="385">
        <f>_xll.qlCalendarAdvance(Calendar,D23,IndexTenor,"Modified Following",TRUE,SheetTrigger)</f>
        <v>41754</v>
      </c>
      <c r="F23" s="386">
        <f>_xll.qlQuoteValue(C23,SheetTrigger)</f>
        <v>3.5570000000000003E-3</v>
      </c>
      <c r="G23" s="387"/>
      <c r="H23" s="388" t="e">
        <f>H22</f>
        <v>#NUM!</v>
      </c>
      <c r="I23" s="389" t="b">
        <v>0</v>
      </c>
      <c r="J23" s="390">
        <f>F23</f>
        <v>3.5570000000000003E-3</v>
      </c>
      <c r="K23" s="391" t="b">
        <v>0</v>
      </c>
      <c r="L23" s="384" t="e">
        <f t="shared" si="1"/>
        <v>#NUM!</v>
      </c>
      <c r="M23" s="384" t="e">
        <f t="shared" si="2"/>
        <v>#NUM!</v>
      </c>
      <c r="N23" s="391" t="b">
        <v>0</v>
      </c>
      <c r="O23" s="386" t="e">
        <f>_xll.qlInterpolationInterpolate($O$21,$H23)</f>
        <v>#VALUE!</v>
      </c>
      <c r="P23" s="392" t="e">
        <f>$J23-$O23</f>
        <v>#VALUE!</v>
      </c>
      <c r="Q23" s="393" t="e">
        <f>_xll.qlDayCounterYearFraction(DayCounter,$H23,$E23)</f>
        <v>#NUM!</v>
      </c>
      <c r="R23" s="394" t="e">
        <f>(1+$O23*$Q23)/(1+$J23*$Q23)</f>
        <v>#VALUE!</v>
      </c>
      <c r="S23" s="395" t="e">
        <f>IF($L23,(TOY*(1+$J23*$Q23)-1)/$Q23,IF($M23,(_TOY2*(1+$J23*$Q23)-1)/$Q23,$J23))</f>
        <v>#NUM!</v>
      </c>
      <c r="T23" s="396" t="e">
        <f>S23-J23</f>
        <v>#NUM!</v>
      </c>
      <c r="U23" s="376">
        <v>41603</v>
      </c>
      <c r="V23" s="377" t="e">
        <v>#VALUE!</v>
      </c>
      <c r="X23" s="397" t="s">
        <v>20</v>
      </c>
      <c r="Y23" s="398">
        <v>2.0102246473042231E-2</v>
      </c>
      <c r="Z23" s="399" t="e">
        <f t="shared" si="7"/>
        <v>#VALUE!</v>
      </c>
      <c r="AA23" s="400"/>
      <c r="AB23" s="212" t="e">
        <f t="shared" si="8"/>
        <v>#VALUE!</v>
      </c>
      <c r="AC23" s="401" t="e">
        <f>_xll.qlCalendarAdvance(Calendar,SettlementDate,X23,"Following")</f>
        <v>#NUM!</v>
      </c>
      <c r="AD23" s="402" t="e">
        <f>_xll.qlDayCounterYearFraction(DayCounter,SettlementDate,AC23)</f>
        <v>#NUM!</v>
      </c>
      <c r="AE23" s="403" t="e">
        <f t="shared" si="9"/>
        <v>#VALUE!</v>
      </c>
      <c r="AF23" s="404" t="e">
        <f>_xll.qlInterpolationInterpolate(ExtFwdInterpolator,AC23)</f>
        <v>#VALUE!</v>
      </c>
      <c r="AG23" s="401" t="e">
        <f>_xll.qlCalendarAdvance(Calendar,AC23,$A$20,"Modified Following",TRUE)</f>
        <v>#NUM!</v>
      </c>
      <c r="AH23" s="402" t="e">
        <f>_xll.qlDayCounterYearFraction(DayCounter,AC23,AG23)</f>
        <v>#NUM!</v>
      </c>
      <c r="AI23" s="403" t="e">
        <f>IF($Y$1=AI$20,_xll.qlInterpolationInterpolate(DiscountCurve,AG23),(1+AJ23*AL23)*AM23)</f>
        <v>#VALUE!</v>
      </c>
      <c r="AJ23" s="404" t="e">
        <f>_xll.qlInterpolationInterpolate(ExtFwdInterpolator,AG23)</f>
        <v>#VALUE!</v>
      </c>
      <c r="AK23" s="401" t="e">
        <f>_xll.qlCalendarAdvance(Calendar,AG23,$A$20,"Modified Following",TRUE)</f>
        <v>#NUM!</v>
      </c>
      <c r="AL23" s="402" t="e">
        <f>_xll.qlDayCounterYearFraction(DayCounter,AG23,AK23)</f>
        <v>#NUM!</v>
      </c>
      <c r="AM23" s="403" t="e">
        <f>IF($Y$1=AM$20,_xll.qlInterpolationInterpolate(DiscountCurve,AK23),(1+AN23*AP23)*AQ23)</f>
        <v>#VALUE!</v>
      </c>
      <c r="AN23" s="404" t="e">
        <f>_xll.qlInterpolationInterpolate(ExtFwdInterpolator,AK23)</f>
        <v>#VALUE!</v>
      </c>
      <c r="AO23" s="401" t="e">
        <f>_xll.qlCalendarAdvance(Calendar,AK23,$A$20,"Modified Following",TRUE)</f>
        <v>#NUM!</v>
      </c>
      <c r="AP23" s="402" t="e">
        <f>_xll.qlDayCounterYearFraction(DayCounter,AK23,AO23)</f>
        <v>#NUM!</v>
      </c>
      <c r="AQ23" s="403" t="e">
        <f>IF($Y$1=AQ$20,_xll.qlInterpolationInterpolate(DiscountCurve,AO23),(1+AR23*AT23)*AU23)</f>
        <v>#VALUE!</v>
      </c>
      <c r="AR23" s="404" t="e">
        <f>_xll.qlInterpolationInterpolate(ExtFwdInterpolator,AO23)</f>
        <v>#VALUE!</v>
      </c>
      <c r="AS23" s="401" t="e">
        <f>_xll.qlCalendarAdvance(Calendar,AO23,$A$20,"Modified Following",TRUE)</f>
        <v>#NUM!</v>
      </c>
      <c r="AT23" s="402" t="e">
        <f>_xll.qlDayCounterYearFraction(DayCounter,AO23,AS23)</f>
        <v>#NUM!</v>
      </c>
      <c r="AU23" s="403" t="e">
        <f>IF($Y$1=AU$20,_xll.qlInterpolationInterpolate(DiscountCurve,AS23),(1+AV23*AX23)*AY23)</f>
        <v>#VALUE!</v>
      </c>
      <c r="AV23" s="404" t="e">
        <f>_xll.qlInterpolationInterpolate(ExtFwdInterpolator,AS23)</f>
        <v>#VALUE!</v>
      </c>
      <c r="AW23" s="401" t="e">
        <f>_xll.qlCalendarAdvance(Calendar,AS23,$A$20,"Modified Following",TRUE)</f>
        <v>#NUM!</v>
      </c>
      <c r="AX23" s="402" t="e">
        <f>_xll.qlDayCounterYearFraction(DayCounter,AS23,AW23)</f>
        <v>#NUM!</v>
      </c>
      <c r="AY23" s="403" t="e">
        <f>IF($Y$1=AY$20,_xll.qlInterpolationInterpolate(DiscountCurve,AW23),(1+AZ23*BB23)*BC23)</f>
        <v>#VALUE!</v>
      </c>
      <c r="AZ23" s="404" t="e">
        <f>_xll.qlInterpolationInterpolate(ExtFwdInterpolator,AW23)</f>
        <v>#VALUE!</v>
      </c>
      <c r="BA23" s="401" t="e">
        <f>_xll.qlCalendarAdvance(Calendar,AW23,$A$20,"Modified Following",TRUE)</f>
        <v>#NUM!</v>
      </c>
      <c r="BB23" s="402" t="e">
        <f>_xll.qlDayCounterYearFraction(DayCounter,AW23,BA23)</f>
        <v>#NUM!</v>
      </c>
      <c r="BC23" s="403" t="e">
        <f>IF($Y$1=BC$20,_xll.qlInterpolationInterpolate(DiscountCurve,BA23),(1+BD23*BF23)*BG23)</f>
        <v>#VALUE!</v>
      </c>
      <c r="BD23" s="404" t="e">
        <f>_xll.qlInterpolationInterpolate(ExtFwdInterpolator,BA23)</f>
        <v>#VALUE!</v>
      </c>
      <c r="BE23" s="401" t="e">
        <f>_xll.qlCalendarAdvance(Calendar,BA23,$A$20,"Modified Following",TRUE)</f>
        <v>#NUM!</v>
      </c>
      <c r="BF23" s="402" t="e">
        <f>_xll.qlDayCounterYearFraction(DayCounter,BA23,BE23)</f>
        <v>#NUM!</v>
      </c>
      <c r="BG23" s="403" t="e">
        <f>IF($Y$1=BG$20,_xll.qlInterpolationInterpolate(DiscountCurve,BE23),(1+BH23*BJ23)*BK23)</f>
        <v>#VALUE!</v>
      </c>
      <c r="BH23" s="404" t="e">
        <f>_xll.qlInterpolationInterpolate(ExtFwdInterpolator,BE23)</f>
        <v>#VALUE!</v>
      </c>
      <c r="BI23" s="401" t="e">
        <f>_xll.qlCalendarAdvance(Calendar,BE23,$A$20,"Modified Following",TRUE)</f>
        <v>#NUM!</v>
      </c>
      <c r="BJ23" s="402" t="e">
        <f>_xll.qlDayCounterYearFraction(DayCounter,BE23,BI23)</f>
        <v>#NUM!</v>
      </c>
      <c r="BK23" s="403" t="e">
        <f>IF($Y$1=BK$20,_xll.qlInterpolationInterpolate(DiscountCurve,BI23),(1+BL23*BN23)*BO23)</f>
        <v>#VALUE!</v>
      </c>
      <c r="BL23" s="404" t="e">
        <f>_xll.qlInterpolationInterpolate(ExtFwdInterpolator,BI23)</f>
        <v>#VALUE!</v>
      </c>
      <c r="BM23" s="401" t="e">
        <f>_xll.qlCalendarAdvance(Calendar,BI23,$A$20,"Modified Following",TRUE)</f>
        <v>#NUM!</v>
      </c>
      <c r="BN23" s="402" t="e">
        <f>_xll.qlDayCounterYearFraction(DayCounter,BI23,BM23)</f>
        <v>#NUM!</v>
      </c>
      <c r="BO23" s="403">
        <f>IF($Y$1=BO$20,_xll.qlInterpolationInterpolate(DiscountCurve,BM23),(1+BP23*BR23)*BS23)</f>
        <v>0</v>
      </c>
    </row>
    <row r="24" spans="1:67" x14ac:dyDescent="0.2">
      <c r="A24" s="345"/>
      <c r="B24" s="349" t="str">
        <f>"T"&amp;$A$19&amp;"F1"</f>
        <v>T6F1</v>
      </c>
      <c r="C24" s="349" t="str">
        <f>RateHelperPrefix&amp;$B24</f>
        <v>USD_YC6MRH_T6F1</v>
      </c>
      <c r="D24" s="365">
        <f>_xll.qlRateHelperEarliestDate($C24,EvaluationDate)</f>
        <v>41572</v>
      </c>
      <c r="E24" s="365">
        <f>_xll.qlRateHelperLatestDate($C24,EvaluationDate)</f>
        <v>41754</v>
      </c>
      <c r="F24" s="513">
        <f>F23</f>
        <v>3.5570000000000003E-3</v>
      </c>
      <c r="G24" s="364"/>
      <c r="H24" s="365">
        <f>$D24</f>
        <v>41572</v>
      </c>
      <c r="I24" s="364" t="b">
        <f>ISNA(VLOOKUP(H24,$H$26:$H$33,1,FALSE))</f>
        <v>1</v>
      </c>
      <c r="J24" s="369">
        <f>F24</f>
        <v>3.5570000000000003E-3</v>
      </c>
      <c r="K24" s="370" t="b">
        <v>1</v>
      </c>
      <c r="L24" s="364" t="e">
        <f>NOT(OR($H24&gt;LastDayInYear,$E24&lt;=LastDayInYear))</f>
        <v>#NUM!</v>
      </c>
      <c r="M24" s="364" t="e">
        <f>NOT(OR($H24&gt;LastDayInNextYear,$E24&lt;=LastDayInNextYear))</f>
        <v>#NUM!</v>
      </c>
      <c r="N24" s="342" t="e">
        <f>IF(K24,AND(NOT($L24),NOT($M24)),FALSE)</f>
        <v>#NUM!</v>
      </c>
      <c r="O24" s="366" t="e">
        <f>_xll.qlInterpolationInterpolate($O$21,$H24)</f>
        <v>#VALUE!</v>
      </c>
      <c r="P24" s="371" t="e">
        <f>$J24-$O24</f>
        <v>#VALUE!</v>
      </c>
      <c r="Q24" s="372">
        <f>_xll.qlDayCounterYearFraction(DayCounter,$H24,$E24)</f>
        <v>0.50555555555555554</v>
      </c>
      <c r="R24" s="373" t="e">
        <f>(1+$O24*$Q24)/(1+$J24*$Q24)</f>
        <v>#VALUE!</v>
      </c>
      <c r="S24" s="374" t="e">
        <f>IF($L24,(TOY*(1+$J24*$Q24)-1)/$Q24,IF($M24,(_TOY2*(1+$J24*$Q24)-1)/$Q24,$J24))</f>
        <v>#NUM!</v>
      </c>
      <c r="T24" s="375" t="e">
        <f>S24-J24</f>
        <v>#NUM!</v>
      </c>
      <c r="U24" s="376">
        <v>41635</v>
      </c>
      <c r="V24" s="377" t="e">
        <v>#VALUE!</v>
      </c>
      <c r="X24" s="397" t="s">
        <v>21</v>
      </c>
      <c r="Y24" s="398">
        <v>2.0068828138058926E-2</v>
      </c>
      <c r="Z24" s="399" t="e">
        <f t="shared" si="7"/>
        <v>#VALUE!</v>
      </c>
      <c r="AA24" s="400"/>
      <c r="AB24" s="212" t="e">
        <f t="shared" si="8"/>
        <v>#VALUE!</v>
      </c>
      <c r="AC24" s="401" t="e">
        <f>_xll.qlCalendarAdvance(Calendar,SettlementDate,X24,"Following")</f>
        <v>#NUM!</v>
      </c>
      <c r="AD24" s="402" t="e">
        <f>_xll.qlDayCounterYearFraction(DayCounter,SettlementDate,AC24)</f>
        <v>#NUM!</v>
      </c>
      <c r="AE24" s="403" t="e">
        <f t="shared" si="9"/>
        <v>#VALUE!</v>
      </c>
      <c r="AF24" s="404" t="e">
        <f>_xll.qlInterpolationInterpolate(ExtFwdInterpolator,AC24)</f>
        <v>#VALUE!</v>
      </c>
      <c r="AG24" s="401" t="e">
        <f>_xll.qlCalendarAdvance(Calendar,AC24,$A$20,"Modified Following",TRUE)</f>
        <v>#NUM!</v>
      </c>
      <c r="AH24" s="402" t="e">
        <f>_xll.qlDayCounterYearFraction(DayCounter,AC24,AG24)</f>
        <v>#NUM!</v>
      </c>
      <c r="AI24" s="403" t="e">
        <f>IF($Y$1=AI$20,_xll.qlInterpolationInterpolate(DiscountCurve,AG24),(1+AJ24*AL24)*AM24)</f>
        <v>#VALUE!</v>
      </c>
      <c r="AJ24" s="404" t="e">
        <f>_xll.qlInterpolationInterpolate(ExtFwdInterpolator,AG24)</f>
        <v>#VALUE!</v>
      </c>
      <c r="AK24" s="401" t="e">
        <f>_xll.qlCalendarAdvance(Calendar,AG24,$A$20,"Modified Following",TRUE)</f>
        <v>#NUM!</v>
      </c>
      <c r="AL24" s="402" t="e">
        <f>_xll.qlDayCounterYearFraction(DayCounter,AG24,AK24)</f>
        <v>#NUM!</v>
      </c>
      <c r="AM24" s="403" t="e">
        <f>IF($Y$1=AM$20,_xll.qlInterpolationInterpolate(DiscountCurve,AK24),(1+AN24*AP24)*AQ24)</f>
        <v>#VALUE!</v>
      </c>
      <c r="AN24" s="404" t="e">
        <f>_xll.qlInterpolationInterpolate(ExtFwdInterpolator,AK24)</f>
        <v>#VALUE!</v>
      </c>
      <c r="AO24" s="401" t="e">
        <f>_xll.qlCalendarAdvance(Calendar,AK24,$A$20,"Modified Following",TRUE)</f>
        <v>#NUM!</v>
      </c>
      <c r="AP24" s="402" t="e">
        <f>_xll.qlDayCounterYearFraction(DayCounter,AK24,AO24)</f>
        <v>#NUM!</v>
      </c>
      <c r="AQ24" s="403" t="e">
        <f>IF($Y$1=AQ$20,_xll.qlInterpolationInterpolate(DiscountCurve,AO24),(1+AR24*AT24)*AU24)</f>
        <v>#VALUE!</v>
      </c>
      <c r="AR24" s="404" t="e">
        <f>_xll.qlInterpolationInterpolate(ExtFwdInterpolator,AO24)</f>
        <v>#VALUE!</v>
      </c>
      <c r="AS24" s="401" t="e">
        <f>_xll.qlCalendarAdvance(Calendar,AO24,$A$20,"Modified Following",TRUE)</f>
        <v>#NUM!</v>
      </c>
      <c r="AT24" s="402" t="e">
        <f>_xll.qlDayCounterYearFraction(DayCounter,AO24,AS24)</f>
        <v>#NUM!</v>
      </c>
      <c r="AU24" s="403" t="e">
        <f>IF($Y$1=AU$20,_xll.qlInterpolationInterpolate(DiscountCurve,AS24),(1+AV24*AX24)*AY24)</f>
        <v>#VALUE!</v>
      </c>
      <c r="AV24" s="404" t="e">
        <f>_xll.qlInterpolationInterpolate(ExtFwdInterpolator,AS24)</f>
        <v>#VALUE!</v>
      </c>
      <c r="AW24" s="401" t="e">
        <f>_xll.qlCalendarAdvance(Calendar,AS24,$A$20,"Modified Following",TRUE)</f>
        <v>#NUM!</v>
      </c>
      <c r="AX24" s="402" t="e">
        <f>_xll.qlDayCounterYearFraction(DayCounter,AS24,AW24)</f>
        <v>#NUM!</v>
      </c>
      <c r="AY24" s="403" t="e">
        <f>IF($Y$1=AY$20,_xll.qlInterpolationInterpolate(DiscountCurve,AW24),(1+AZ24*BB24)*BC24)</f>
        <v>#VALUE!</v>
      </c>
      <c r="AZ24" s="404" t="e">
        <f>_xll.qlInterpolationInterpolate(ExtFwdInterpolator,AW24)</f>
        <v>#VALUE!</v>
      </c>
      <c r="BA24" s="401" t="e">
        <f>_xll.qlCalendarAdvance(Calendar,AW24,$A$20,"Modified Following",TRUE)</f>
        <v>#NUM!</v>
      </c>
      <c r="BB24" s="402" t="e">
        <f>_xll.qlDayCounterYearFraction(DayCounter,AW24,BA24)</f>
        <v>#NUM!</v>
      </c>
      <c r="BC24" s="403" t="e">
        <f>IF($Y$1=BC$20,_xll.qlInterpolationInterpolate(DiscountCurve,BA24),(1+BD24*BF24)*BG24)</f>
        <v>#VALUE!</v>
      </c>
      <c r="BD24" s="404" t="e">
        <f>_xll.qlInterpolationInterpolate(ExtFwdInterpolator,BA24)</f>
        <v>#VALUE!</v>
      </c>
      <c r="BE24" s="401" t="e">
        <f>_xll.qlCalendarAdvance(Calendar,BA24,$A$20,"Modified Following",TRUE)</f>
        <v>#NUM!</v>
      </c>
      <c r="BF24" s="402" t="e">
        <f>_xll.qlDayCounterYearFraction(DayCounter,BA24,BE24)</f>
        <v>#NUM!</v>
      </c>
      <c r="BG24" s="403" t="e">
        <f>IF($Y$1=BG$20,_xll.qlInterpolationInterpolate(DiscountCurve,BE24),(1+BH24*BJ24)*BK24)</f>
        <v>#VALUE!</v>
      </c>
      <c r="BH24" s="404" t="e">
        <f>_xll.qlInterpolationInterpolate(ExtFwdInterpolator,BE24)</f>
        <v>#VALUE!</v>
      </c>
      <c r="BI24" s="401" t="e">
        <f>_xll.qlCalendarAdvance(Calendar,BE24,$A$20,"Modified Following",TRUE)</f>
        <v>#NUM!</v>
      </c>
      <c r="BJ24" s="402" t="e">
        <f>_xll.qlDayCounterYearFraction(DayCounter,BE24,BI24)</f>
        <v>#NUM!</v>
      </c>
      <c r="BK24" s="403" t="e">
        <f>IF($Y$1=BK$20,_xll.qlInterpolationInterpolate(DiscountCurve,BI24),(1+BL24*BN24)*BO24)</f>
        <v>#VALUE!</v>
      </c>
      <c r="BL24" s="404" t="e">
        <f>_xll.qlInterpolationInterpolate(ExtFwdInterpolator,BI24)</f>
        <v>#VALUE!</v>
      </c>
      <c r="BM24" s="401" t="e">
        <f>_xll.qlCalendarAdvance(Calendar,BI24,$A$20,"Modified Following",TRUE)</f>
        <v>#NUM!</v>
      </c>
      <c r="BN24" s="402" t="e">
        <f>_xll.qlDayCounterYearFraction(DayCounter,BI24,BM24)</f>
        <v>#NUM!</v>
      </c>
      <c r="BO24" s="403">
        <f>IF($Y$1=BO$20,_xll.qlInterpolationInterpolate(DiscountCurve,BM24),(1+BP24*BR24)*BS24)</f>
        <v>0</v>
      </c>
    </row>
    <row r="25" spans="1:67" x14ac:dyDescent="0.2">
      <c r="A25" s="345"/>
      <c r="B25" s="346" t="str">
        <f>"TOM"&amp;$A$19&amp;"F1"</f>
        <v>TOM6F1</v>
      </c>
      <c r="C25" s="346" t="str">
        <f>RateHelperPrefix&amp;$B25</f>
        <v>USD_YC6MRH_TOM6F1</v>
      </c>
      <c r="D25" s="388">
        <f>_xll.qlRateHelperEarliestDate($C25,EvaluationDate)</f>
        <v>41575</v>
      </c>
      <c r="E25" s="388">
        <f>_xll.qlRateHelperLatestDate($C25,EvaluationDate)</f>
        <v>41757</v>
      </c>
      <c r="F25" s="386" t="e">
        <f>_xll.qlRateHelperQuoteValue($C25,SheetTrigger)</f>
        <v>#NUM!</v>
      </c>
      <c r="G25" s="384"/>
      <c r="H25" s="388">
        <f>$D25</f>
        <v>41575</v>
      </c>
      <c r="I25" s="384" t="b">
        <f>ISNA(VLOOKUP(H25,$H$26:$H$33,1,FALSE))</f>
        <v>1</v>
      </c>
      <c r="J25" s="390" t="e">
        <f>F25</f>
        <v>#NUM!</v>
      </c>
      <c r="K25" s="348" t="b">
        <f>AND(ISNUMBER(J25),I25)</f>
        <v>0</v>
      </c>
      <c r="L25" s="384" t="e">
        <f>NOT(OR($H25&gt;LastDayInYear,$E25&lt;=LastDayInYear))</f>
        <v>#NUM!</v>
      </c>
      <c r="M25" s="384" t="e">
        <f>NOT(OR($H25&gt;LastDayInNextYear,$E25&lt;=LastDayInNextYear))</f>
        <v>#NUM!</v>
      </c>
      <c r="N25" s="348" t="b">
        <f>IF(K25,AND(NOT($L25),NOT($M25)),FALSE)</f>
        <v>0</v>
      </c>
      <c r="O25" s="386" t="e">
        <f>_xll.qlInterpolationInterpolate($O$21,$H25)</f>
        <v>#VALUE!</v>
      </c>
      <c r="P25" s="392" t="e">
        <f>$J25-$O25</f>
        <v>#NUM!</v>
      </c>
      <c r="Q25" s="393">
        <f>_xll.qlDayCounterYearFraction(DayCounter,$H25,$E25)</f>
        <v>0.50555555555555554</v>
      </c>
      <c r="R25" s="394" t="e">
        <f>(1+$O25*$Q25)/(1+$J25*$Q25)</f>
        <v>#VALUE!</v>
      </c>
      <c r="S25" s="395" t="e">
        <f>IF($L25,(TOY*(1+$J25*$Q25)-1)/$Q25,IF($M25,(_TOY2*(1+$J25*$Q25)-1)/$Q25,$J25))</f>
        <v>#NUM!</v>
      </c>
      <c r="T25" s="396" t="e">
        <f>S25-J25</f>
        <v>#NUM!</v>
      </c>
      <c r="U25" s="376">
        <v>41666</v>
      </c>
      <c r="V25" s="377" t="e">
        <v>#VALUE!</v>
      </c>
      <c r="X25" s="346" t="s">
        <v>24</v>
      </c>
      <c r="Y25" s="405">
        <v>1.9995953309171557E-2</v>
      </c>
      <c r="Z25" s="406" t="e">
        <f t="shared" si="7"/>
        <v>#VALUE!</v>
      </c>
      <c r="AA25" s="395"/>
      <c r="AB25" s="213" t="e">
        <f t="shared" si="8"/>
        <v>#VALUE!</v>
      </c>
      <c r="AC25" s="388" t="e">
        <f>_xll.qlCalendarAdvance(Calendar,SettlementDate,X25,"Following")</f>
        <v>#NUM!</v>
      </c>
      <c r="AD25" s="407" t="e">
        <f>_xll.qlDayCounterYearFraction(DayCounter,SettlementDate,AC25)</f>
        <v>#NUM!</v>
      </c>
      <c r="AE25" s="408" t="e">
        <f t="shared" si="9"/>
        <v>#VALUE!</v>
      </c>
      <c r="AF25" s="409" t="e">
        <f>_xll.qlInterpolationInterpolate(ExtFwdInterpolator,AC25)</f>
        <v>#VALUE!</v>
      </c>
      <c r="AG25" s="388" t="e">
        <f>_xll.qlCalendarAdvance(Calendar,AC25,$A$20,"Modified Following",TRUE)</f>
        <v>#NUM!</v>
      </c>
      <c r="AH25" s="407" t="e">
        <f>_xll.qlDayCounterYearFraction(DayCounter,AC25,AG25)</f>
        <v>#NUM!</v>
      </c>
      <c r="AI25" s="408" t="e">
        <f>IF($Y$1=AI$20,_xll.qlInterpolationInterpolate(DiscountCurve,AG25),(1+AJ25*AL25)*AM25)</f>
        <v>#VALUE!</v>
      </c>
      <c r="AJ25" s="409" t="e">
        <f>_xll.qlInterpolationInterpolate(ExtFwdInterpolator,AG25)</f>
        <v>#VALUE!</v>
      </c>
      <c r="AK25" s="388" t="e">
        <f>_xll.qlCalendarAdvance(Calendar,AG25,$A$20,"Modified Following",TRUE)</f>
        <v>#NUM!</v>
      </c>
      <c r="AL25" s="407" t="e">
        <f>_xll.qlDayCounterYearFraction(DayCounter,AG25,AK25)</f>
        <v>#NUM!</v>
      </c>
      <c r="AM25" s="408" t="e">
        <f>IF($Y$1=AM$20,_xll.qlInterpolationInterpolate(DiscountCurve,AK25),(1+AN25*AP25)*AQ25)</f>
        <v>#VALUE!</v>
      </c>
      <c r="AN25" s="409" t="e">
        <f>_xll.qlInterpolationInterpolate(ExtFwdInterpolator,AK25)</f>
        <v>#VALUE!</v>
      </c>
      <c r="AO25" s="388" t="e">
        <f>_xll.qlCalendarAdvance(Calendar,AK25,$A$20,"Modified Following",TRUE)</f>
        <v>#NUM!</v>
      </c>
      <c r="AP25" s="407" t="e">
        <f>_xll.qlDayCounterYearFraction(DayCounter,AK25,AO25)</f>
        <v>#NUM!</v>
      </c>
      <c r="AQ25" s="408" t="e">
        <f>IF($Y$1=AQ$20,_xll.qlInterpolationInterpolate(DiscountCurve,AO25),(1+AR25*AT25)*AU25)</f>
        <v>#VALUE!</v>
      </c>
      <c r="AR25" s="409" t="e">
        <f>_xll.qlInterpolationInterpolate(ExtFwdInterpolator,AO25)</f>
        <v>#VALUE!</v>
      </c>
      <c r="AS25" s="388" t="e">
        <f>_xll.qlCalendarAdvance(Calendar,AO25,$A$20,"Modified Following",TRUE)</f>
        <v>#NUM!</v>
      </c>
      <c r="AT25" s="407" t="e">
        <f>_xll.qlDayCounterYearFraction(DayCounter,AO25,AS25)</f>
        <v>#NUM!</v>
      </c>
      <c r="AU25" s="408" t="e">
        <f>IF($Y$1=AU$20,_xll.qlInterpolationInterpolate(DiscountCurve,AS25),(1+AV25*AX25)*AY25)</f>
        <v>#VALUE!</v>
      </c>
      <c r="AV25" s="409" t="e">
        <f>_xll.qlInterpolationInterpolate(ExtFwdInterpolator,AS25)</f>
        <v>#VALUE!</v>
      </c>
      <c r="AW25" s="388" t="e">
        <f>_xll.qlCalendarAdvance(Calendar,AS25,$A$20,"Modified Following",TRUE)</f>
        <v>#NUM!</v>
      </c>
      <c r="AX25" s="407" t="e">
        <f>_xll.qlDayCounterYearFraction(DayCounter,AS25,AW25)</f>
        <v>#NUM!</v>
      </c>
      <c r="AY25" s="408" t="e">
        <f>IF($Y$1=AY$20,_xll.qlInterpolationInterpolate(DiscountCurve,AW25),(1+AZ25*BB25)*BC25)</f>
        <v>#VALUE!</v>
      </c>
      <c r="AZ25" s="409" t="e">
        <f>_xll.qlInterpolationInterpolate(ExtFwdInterpolator,AW25)</f>
        <v>#VALUE!</v>
      </c>
      <c r="BA25" s="388" t="e">
        <f>_xll.qlCalendarAdvance(Calendar,AW25,$A$20,"Modified Following",TRUE)</f>
        <v>#NUM!</v>
      </c>
      <c r="BB25" s="407" t="e">
        <f>_xll.qlDayCounterYearFraction(DayCounter,AW25,BA25)</f>
        <v>#NUM!</v>
      </c>
      <c r="BC25" s="408" t="e">
        <f>IF($Y$1=BC$20,_xll.qlInterpolationInterpolate(DiscountCurve,BA25),(1+BD25*BF25)*BG25)</f>
        <v>#VALUE!</v>
      </c>
      <c r="BD25" s="409" t="e">
        <f>_xll.qlInterpolationInterpolate(ExtFwdInterpolator,BA25)</f>
        <v>#VALUE!</v>
      </c>
      <c r="BE25" s="388" t="e">
        <f>_xll.qlCalendarAdvance(Calendar,BA25,$A$20,"Modified Following",TRUE)</f>
        <v>#NUM!</v>
      </c>
      <c r="BF25" s="407" t="e">
        <f>_xll.qlDayCounterYearFraction(DayCounter,BA25,BE25)</f>
        <v>#NUM!</v>
      </c>
      <c r="BG25" s="408" t="e">
        <f>IF($Y$1=BG$20,_xll.qlInterpolationInterpolate(DiscountCurve,BE25),(1+BH25*BJ25)*BK25)</f>
        <v>#VALUE!</v>
      </c>
      <c r="BH25" s="409" t="e">
        <f>_xll.qlInterpolationInterpolate(ExtFwdInterpolator,BE25)</f>
        <v>#VALUE!</v>
      </c>
      <c r="BI25" s="388" t="e">
        <f>_xll.qlCalendarAdvance(Calendar,BE25,$A$20,"Modified Following",TRUE)</f>
        <v>#NUM!</v>
      </c>
      <c r="BJ25" s="407" t="e">
        <f>_xll.qlDayCounterYearFraction(DayCounter,BE25,BI25)</f>
        <v>#NUM!</v>
      </c>
      <c r="BK25" s="408" t="e">
        <f>IF($Y$1=BK$20,_xll.qlInterpolationInterpolate(DiscountCurve,BI25),(1+BL25*BN25)*BO25)</f>
        <v>#VALUE!</v>
      </c>
      <c r="BL25" s="409" t="e">
        <f>_xll.qlInterpolationInterpolate(ExtFwdInterpolator,BI25)</f>
        <v>#VALUE!</v>
      </c>
      <c r="BM25" s="388" t="e">
        <f>_xll.qlCalendarAdvance(Calendar,BI25,$A$20,"Modified Following",TRUE)</f>
        <v>#NUM!</v>
      </c>
      <c r="BN25" s="407" t="e">
        <f>_xll.qlDayCounterYearFraction(DayCounter,BI25,BM25)</f>
        <v>#NUM!</v>
      </c>
      <c r="BO25" s="408">
        <f>IF($Y$1=BO$20,_xll.qlInterpolationInterpolate(DiscountCurve,BM25),(1+BP25*BR25)*BS25)</f>
        <v>0</v>
      </c>
    </row>
    <row r="26" spans="1:67" x14ac:dyDescent="0.2">
      <c r="A26" s="410">
        <v>1</v>
      </c>
      <c r="B26" s="349" t="str">
        <f>A26&amp;"x"&amp;(A26+$A$19)&amp;"F"</f>
        <v>1x7F</v>
      </c>
      <c r="C26" s="349" t="str">
        <f t="shared" ref="C26:C33" si="10">RateHelperPrefix&amp;$B26</f>
        <v>USD_YC6MRH_1x7F</v>
      </c>
      <c r="D26" s="365">
        <f>_xll.qlRateHelperEarliestDate($C26,EvaluationDate)</f>
        <v>41603</v>
      </c>
      <c r="E26" s="365">
        <f>_xll.qlRateHelperLatestDate($C26,EvaluationDate)</f>
        <v>41786</v>
      </c>
      <c r="F26" s="366">
        <f>_xll.qlRateHelperQuoteValue($C26,SheetTrigger)</f>
        <v>3.5999999999999999E-3</v>
      </c>
      <c r="G26" s="411"/>
      <c r="H26" s="365">
        <f t="shared" si="0"/>
        <v>41603</v>
      </c>
      <c r="I26" s="365" t="b">
        <v>1</v>
      </c>
      <c r="J26" s="369">
        <f t="shared" ref="J26:J33" si="11">F26</f>
        <v>3.5999999999999999E-3</v>
      </c>
      <c r="K26" s="342" t="b">
        <f t="shared" ref="K26:K33" si="12">AND(ISNUMBER(J26),I26)</f>
        <v>1</v>
      </c>
      <c r="L26" s="364" t="e">
        <f t="shared" si="1"/>
        <v>#NUM!</v>
      </c>
      <c r="M26" s="364" t="e">
        <f t="shared" si="2"/>
        <v>#NUM!</v>
      </c>
      <c r="N26" s="342" t="e">
        <f t="shared" ref="N26:N38" si="13">IF(K26,AND(NOT($L26),NOT($M26)),FALSE)</f>
        <v>#NUM!</v>
      </c>
      <c r="O26" s="369" t="e">
        <f>_xll.qlInterpolationInterpolate($O$21,$H26)</f>
        <v>#VALUE!</v>
      </c>
      <c r="P26" s="371" t="e">
        <f t="shared" si="3"/>
        <v>#VALUE!</v>
      </c>
      <c r="Q26" s="372">
        <f>_xll.qlDayCounterYearFraction(DayCounter,$H26,$E26)</f>
        <v>0.5083333333333333</v>
      </c>
      <c r="R26" s="412" t="e">
        <f t="shared" si="4"/>
        <v>#VALUE!</v>
      </c>
      <c r="S26" s="378" t="e">
        <f t="shared" si="5"/>
        <v>#NUM!</v>
      </c>
      <c r="T26" s="375" t="e">
        <f t="shared" si="6"/>
        <v>#NUM!</v>
      </c>
      <c r="U26" s="376">
        <v>41695</v>
      </c>
      <c r="V26" s="377" t="e">
        <v>#VALUE!</v>
      </c>
      <c r="X26" s="397" t="s">
        <v>25</v>
      </c>
      <c r="Y26" s="398">
        <v>1.9621668189471843E-2</v>
      </c>
      <c r="Z26" s="399" t="e">
        <f t="shared" si="7"/>
        <v>#VALUE!</v>
      </c>
      <c r="AA26" s="400"/>
      <c r="AB26" s="212" t="e">
        <f t="shared" si="8"/>
        <v>#VALUE!</v>
      </c>
      <c r="AC26" s="401" t="e">
        <f>_xll.qlCalendarAdvance(Calendar,SettlementDate,X26,"mf",TRUE)</f>
        <v>#NUM!</v>
      </c>
      <c r="AD26" s="402" t="e">
        <f>_xll.qlDayCounterYearFraction(DayCounter,SettlementDate,AC26)</f>
        <v>#NUM!</v>
      </c>
      <c r="AE26" s="403" t="e">
        <f t="shared" si="9"/>
        <v>#VALUE!</v>
      </c>
      <c r="AF26" s="404" t="e">
        <f>_xll.qlInterpolationInterpolate(ExtFwdInterpolator,AC26)</f>
        <v>#VALUE!</v>
      </c>
      <c r="AG26" s="401" t="e">
        <f>_xll.qlCalendarAdvance(Calendar,AC26,$A$20,"Modified Following",TRUE)</f>
        <v>#NUM!</v>
      </c>
      <c r="AH26" s="402" t="e">
        <f>_xll.qlDayCounterYearFraction(DayCounter,AC26,AG26)</f>
        <v>#NUM!</v>
      </c>
      <c r="AI26" s="403" t="e">
        <f>IF($Y$1=AI$20,_xll.qlInterpolationInterpolate(DiscountCurve,AG26),(1+AJ26*AL26)*AM26)</f>
        <v>#VALUE!</v>
      </c>
      <c r="AJ26" s="404" t="e">
        <f>_xll.qlInterpolationInterpolate(ExtFwdInterpolator,AG26)</f>
        <v>#VALUE!</v>
      </c>
      <c r="AK26" s="401" t="e">
        <f>_xll.qlCalendarAdvance(Calendar,AG26,$A$20,"Modified Following",TRUE)</f>
        <v>#NUM!</v>
      </c>
      <c r="AL26" s="402" t="e">
        <f>_xll.qlDayCounterYearFraction(DayCounter,AG26,AK26)</f>
        <v>#NUM!</v>
      </c>
      <c r="AM26" s="403" t="e">
        <f>IF($Y$1=AM$20,_xll.qlInterpolationInterpolate(DiscountCurve,AK26),(1+AN26*AP26)*AQ26)</f>
        <v>#VALUE!</v>
      </c>
      <c r="AN26" s="404" t="e">
        <f>_xll.qlInterpolationInterpolate(ExtFwdInterpolator,AK26)</f>
        <v>#VALUE!</v>
      </c>
      <c r="AO26" s="401" t="e">
        <f>_xll.qlCalendarAdvance(Calendar,AK26,$A$20,"Modified Following",TRUE)</f>
        <v>#NUM!</v>
      </c>
      <c r="AP26" s="402" t="e">
        <f>_xll.qlDayCounterYearFraction(DayCounter,AK26,AO26)</f>
        <v>#NUM!</v>
      </c>
      <c r="AQ26" s="403" t="e">
        <f>IF($Y$1=AQ$20,_xll.qlInterpolationInterpolate(DiscountCurve,AO26),(1+AR26*AT26)*AU26)</f>
        <v>#VALUE!</v>
      </c>
      <c r="AR26" s="404" t="e">
        <f>_xll.qlInterpolationInterpolate(ExtFwdInterpolator,AO26)</f>
        <v>#VALUE!</v>
      </c>
      <c r="AS26" s="401" t="e">
        <f>_xll.qlCalendarAdvance(Calendar,AO26,$A$20,"Modified Following",TRUE)</f>
        <v>#NUM!</v>
      </c>
      <c r="AT26" s="402" t="e">
        <f>_xll.qlDayCounterYearFraction(DayCounter,AO26,AS26)</f>
        <v>#NUM!</v>
      </c>
      <c r="AU26" s="403" t="e">
        <f>IF($Y$1=AU$20,_xll.qlInterpolationInterpolate(DiscountCurve,AS26),(1+AV26*AX26)*AY26)</f>
        <v>#VALUE!</v>
      </c>
      <c r="AV26" s="404" t="e">
        <f>_xll.qlInterpolationInterpolate(ExtFwdInterpolator,AS26)</f>
        <v>#VALUE!</v>
      </c>
      <c r="AW26" s="401" t="e">
        <f>_xll.qlCalendarAdvance(Calendar,AS26,$A$20,"Modified Following",TRUE)</f>
        <v>#NUM!</v>
      </c>
      <c r="AX26" s="402" t="e">
        <f>_xll.qlDayCounterYearFraction(DayCounter,AS26,AW26)</f>
        <v>#NUM!</v>
      </c>
      <c r="AY26" s="403" t="e">
        <f>IF($Y$1=AY$20,_xll.qlInterpolationInterpolate(DiscountCurve,AW26),(1+AZ26*BB26)*BC26)</f>
        <v>#VALUE!</v>
      </c>
      <c r="AZ26" s="404" t="e">
        <f>_xll.qlInterpolationInterpolate(ExtFwdInterpolator,AW26)</f>
        <v>#VALUE!</v>
      </c>
      <c r="BA26" s="401" t="e">
        <f>_xll.qlCalendarAdvance(Calendar,AW26,$A$20,"Modified Following",TRUE)</f>
        <v>#NUM!</v>
      </c>
      <c r="BB26" s="402" t="e">
        <f>_xll.qlDayCounterYearFraction(DayCounter,AW26,BA26)</f>
        <v>#NUM!</v>
      </c>
      <c r="BC26" s="403" t="e">
        <f>IF($Y$1=BC$20,_xll.qlInterpolationInterpolate(DiscountCurve,BA26),(1+BD26*BF26)*BG26)</f>
        <v>#VALUE!</v>
      </c>
      <c r="BD26" s="404" t="e">
        <f>_xll.qlInterpolationInterpolate(ExtFwdInterpolator,BA26)</f>
        <v>#VALUE!</v>
      </c>
      <c r="BE26" s="401" t="e">
        <f>_xll.qlCalendarAdvance(Calendar,BA26,$A$20,"Modified Following",TRUE)</f>
        <v>#NUM!</v>
      </c>
      <c r="BF26" s="402" t="e">
        <f>_xll.qlDayCounterYearFraction(DayCounter,BA26,BE26)</f>
        <v>#NUM!</v>
      </c>
      <c r="BG26" s="403" t="e">
        <f>IF($Y$1=BG$20,_xll.qlInterpolationInterpolate(DiscountCurve,BE26),(1+BH26*BJ26)*BK26)</f>
        <v>#VALUE!</v>
      </c>
      <c r="BH26" s="404" t="e">
        <f>_xll.qlInterpolationInterpolate(ExtFwdInterpolator,BE26)</f>
        <v>#VALUE!</v>
      </c>
      <c r="BI26" s="401" t="e">
        <f>_xll.qlCalendarAdvance(Calendar,BE26,$A$20,"Modified Following",TRUE)</f>
        <v>#NUM!</v>
      </c>
      <c r="BJ26" s="402" t="e">
        <f>_xll.qlDayCounterYearFraction(DayCounter,BE26,BI26)</f>
        <v>#NUM!</v>
      </c>
      <c r="BK26" s="403" t="e">
        <f>IF($Y$1=BK$20,_xll.qlInterpolationInterpolate(DiscountCurve,BI26),(1+BL26*BN26)*BO26)</f>
        <v>#VALUE!</v>
      </c>
      <c r="BL26" s="404" t="e">
        <f>_xll.qlInterpolationInterpolate(ExtFwdInterpolator,BI26)</f>
        <v>#VALUE!</v>
      </c>
      <c r="BM26" s="401" t="e">
        <f>_xll.qlCalendarAdvance(Calendar,BI26,$A$20,"Modified Following",TRUE)</f>
        <v>#NUM!</v>
      </c>
      <c r="BN26" s="402" t="e">
        <f>_xll.qlDayCounterYearFraction(DayCounter,BI26,BM26)</f>
        <v>#NUM!</v>
      </c>
      <c r="BO26" s="403">
        <f>IF($Y$1=BO$20,_xll.qlInterpolationInterpolate(DiscountCurve,BM26),(1+BP26*BR26)*BS26)</f>
        <v>0</v>
      </c>
    </row>
    <row r="27" spans="1:67" x14ac:dyDescent="0.2">
      <c r="A27" s="410">
        <v>2</v>
      </c>
      <c r="B27" s="397" t="str">
        <f t="shared" ref="B27:B33" si="14">A27&amp;"x"&amp;(A27+$A$19)&amp;"F"</f>
        <v>2x8F</v>
      </c>
      <c r="C27" s="397" t="str">
        <f t="shared" si="10"/>
        <v>USD_YC6MRH_2x8F</v>
      </c>
      <c r="D27" s="401">
        <f>_xll.qlRateHelperEarliestDate($C27,EvaluationDate)</f>
        <v>41635</v>
      </c>
      <c r="E27" s="401">
        <f>_xll.qlRateHelperLatestDate($C27,EvaluationDate)</f>
        <v>41817</v>
      </c>
      <c r="F27" s="413">
        <f>_xll.qlRateHelperQuoteValue($C27,SheetTrigger)</f>
        <v>3.7599999999999999E-3</v>
      </c>
      <c r="G27" s="414"/>
      <c r="H27" s="401">
        <f t="shared" si="0"/>
        <v>41635</v>
      </c>
      <c r="I27" s="401" t="b">
        <v>1</v>
      </c>
      <c r="J27" s="415">
        <f t="shared" si="11"/>
        <v>3.7599999999999999E-3</v>
      </c>
      <c r="K27" s="416" t="b">
        <f t="shared" si="12"/>
        <v>1</v>
      </c>
      <c r="L27" s="343" t="e">
        <f t="shared" si="1"/>
        <v>#NUM!</v>
      </c>
      <c r="M27" s="343" t="e">
        <f t="shared" si="2"/>
        <v>#NUM!</v>
      </c>
      <c r="N27" s="416" t="e">
        <f t="shared" si="13"/>
        <v>#NUM!</v>
      </c>
      <c r="O27" s="415" t="e">
        <f>_xll.qlInterpolationInterpolate($O$21,$H27)</f>
        <v>#VALUE!</v>
      </c>
      <c r="P27" s="417" t="e">
        <f t="shared" si="3"/>
        <v>#VALUE!</v>
      </c>
      <c r="Q27" s="418">
        <f>_xll.qlDayCounterYearFraction(DayCounter,$H27,$E27)</f>
        <v>0.50555555555555554</v>
      </c>
      <c r="R27" s="419" t="e">
        <f t="shared" si="4"/>
        <v>#VALUE!</v>
      </c>
      <c r="S27" s="398" t="e">
        <f t="shared" si="5"/>
        <v>#NUM!</v>
      </c>
      <c r="T27" s="420" t="e">
        <f t="shared" si="6"/>
        <v>#NUM!</v>
      </c>
      <c r="U27" s="376">
        <v>41723</v>
      </c>
      <c r="V27" s="377" t="e">
        <v>#VALUE!</v>
      </c>
      <c r="X27" s="397" t="s">
        <v>26</v>
      </c>
      <c r="Y27" s="398">
        <v>1.8536076482352289E-2</v>
      </c>
      <c r="Z27" s="399" t="e">
        <f t="shared" si="7"/>
        <v>#VALUE!</v>
      </c>
      <c r="AA27" s="400"/>
      <c r="AB27" s="212" t="e">
        <f t="shared" si="8"/>
        <v>#VALUE!</v>
      </c>
      <c r="AC27" s="401" t="e">
        <f>_xll.qlCalendarAdvance(Calendar,SettlementDate,X27,"mf",TRUE)</f>
        <v>#NUM!</v>
      </c>
      <c r="AD27" s="402" t="e">
        <f>_xll.qlDayCounterYearFraction(DayCounter,SettlementDate,AC27)</f>
        <v>#NUM!</v>
      </c>
      <c r="AE27" s="403" t="e">
        <f t="shared" si="9"/>
        <v>#VALUE!</v>
      </c>
      <c r="AF27" s="404" t="e">
        <f>_xll.qlInterpolationInterpolate(ExtFwdInterpolator,AC27)</f>
        <v>#VALUE!</v>
      </c>
      <c r="AG27" s="401" t="e">
        <f>_xll.qlCalendarAdvance(Calendar,AC27,$A$20,"Modified Following",TRUE)</f>
        <v>#NUM!</v>
      </c>
      <c r="AH27" s="402" t="e">
        <f>_xll.qlDayCounterYearFraction(DayCounter,AC27,AG27)</f>
        <v>#NUM!</v>
      </c>
      <c r="AI27" s="403" t="e">
        <f>IF($Y$1=AI$20,_xll.qlInterpolationInterpolate(DiscountCurve,AG27),(1+AJ27*AL27)*AM27)</f>
        <v>#VALUE!</v>
      </c>
      <c r="AJ27" s="404" t="e">
        <f>_xll.qlInterpolationInterpolate(ExtFwdInterpolator,AG27)</f>
        <v>#VALUE!</v>
      </c>
      <c r="AK27" s="401" t="e">
        <f>_xll.qlCalendarAdvance(Calendar,AG27,$A$20,"Modified Following",TRUE)</f>
        <v>#NUM!</v>
      </c>
      <c r="AL27" s="402" t="e">
        <f>_xll.qlDayCounterYearFraction(DayCounter,AG27,AK27)</f>
        <v>#NUM!</v>
      </c>
      <c r="AM27" s="403" t="e">
        <f>IF($Y$1=AM$20,_xll.qlInterpolationInterpolate(DiscountCurve,AK27),(1+AN27*AP27)*AQ27)</f>
        <v>#VALUE!</v>
      </c>
      <c r="AN27" s="404" t="e">
        <f>_xll.qlInterpolationInterpolate(ExtFwdInterpolator,AK27)</f>
        <v>#VALUE!</v>
      </c>
      <c r="AO27" s="401" t="e">
        <f>_xll.qlCalendarAdvance(Calendar,AK27,$A$20,"Modified Following",TRUE)</f>
        <v>#NUM!</v>
      </c>
      <c r="AP27" s="402" t="e">
        <f>_xll.qlDayCounterYearFraction(DayCounter,AK27,AO27)</f>
        <v>#NUM!</v>
      </c>
      <c r="AQ27" s="403" t="e">
        <f>IF($Y$1=AQ$20,_xll.qlInterpolationInterpolate(DiscountCurve,AO27),(1+AR27*AT27)*AU27)</f>
        <v>#VALUE!</v>
      </c>
      <c r="AR27" s="404" t="e">
        <f>_xll.qlInterpolationInterpolate(ExtFwdInterpolator,AO27)</f>
        <v>#VALUE!</v>
      </c>
      <c r="AS27" s="401" t="e">
        <f>_xll.qlCalendarAdvance(Calendar,AO27,$A$20,"Modified Following",TRUE)</f>
        <v>#NUM!</v>
      </c>
      <c r="AT27" s="402" t="e">
        <f>_xll.qlDayCounterYearFraction(DayCounter,AO27,AS27)</f>
        <v>#NUM!</v>
      </c>
      <c r="AU27" s="403" t="e">
        <f>IF($Y$1=AU$20,_xll.qlInterpolationInterpolate(DiscountCurve,AS27),(1+AV27*AX27)*AY27)</f>
        <v>#VALUE!</v>
      </c>
      <c r="AV27" s="404" t="e">
        <f>_xll.qlInterpolationInterpolate(ExtFwdInterpolator,AS27)</f>
        <v>#VALUE!</v>
      </c>
      <c r="AW27" s="401" t="e">
        <f>_xll.qlCalendarAdvance(Calendar,AS27,$A$20,"Modified Following",TRUE)</f>
        <v>#NUM!</v>
      </c>
      <c r="AX27" s="402" t="e">
        <f>_xll.qlDayCounterYearFraction(DayCounter,AS27,AW27)</f>
        <v>#NUM!</v>
      </c>
      <c r="AY27" s="403" t="e">
        <f>IF($Y$1=AY$20,_xll.qlInterpolationInterpolate(DiscountCurve,AW27),(1+AZ27*BB27)*BC27)</f>
        <v>#VALUE!</v>
      </c>
      <c r="AZ27" s="404" t="e">
        <f>_xll.qlInterpolationInterpolate(ExtFwdInterpolator,AW27)</f>
        <v>#VALUE!</v>
      </c>
      <c r="BA27" s="401" t="e">
        <f>_xll.qlCalendarAdvance(Calendar,AW27,$A$20,"Modified Following",TRUE)</f>
        <v>#NUM!</v>
      </c>
      <c r="BB27" s="402" t="e">
        <f>_xll.qlDayCounterYearFraction(DayCounter,AW27,BA27)</f>
        <v>#NUM!</v>
      </c>
      <c r="BC27" s="403" t="e">
        <f>IF($Y$1=BC$20,_xll.qlInterpolationInterpolate(DiscountCurve,BA27),(1+BD27*BF27)*BG27)</f>
        <v>#VALUE!</v>
      </c>
      <c r="BD27" s="404" t="e">
        <f>_xll.qlInterpolationInterpolate(ExtFwdInterpolator,BA27)</f>
        <v>#VALUE!</v>
      </c>
      <c r="BE27" s="401" t="e">
        <f>_xll.qlCalendarAdvance(Calendar,BA27,$A$20,"Modified Following",TRUE)</f>
        <v>#NUM!</v>
      </c>
      <c r="BF27" s="402" t="e">
        <f>_xll.qlDayCounterYearFraction(DayCounter,BA27,BE27)</f>
        <v>#NUM!</v>
      </c>
      <c r="BG27" s="403" t="e">
        <f>IF($Y$1=BG$20,_xll.qlInterpolationInterpolate(DiscountCurve,BE27),(1+BH27*BJ27)*BK27)</f>
        <v>#VALUE!</v>
      </c>
      <c r="BH27" s="404" t="e">
        <f>_xll.qlInterpolationInterpolate(ExtFwdInterpolator,BE27)</f>
        <v>#VALUE!</v>
      </c>
      <c r="BI27" s="401" t="e">
        <f>_xll.qlCalendarAdvance(Calendar,BE27,$A$20,"Modified Following",TRUE)</f>
        <v>#NUM!</v>
      </c>
      <c r="BJ27" s="402" t="e">
        <f>_xll.qlDayCounterYearFraction(DayCounter,BE27,BI27)</f>
        <v>#NUM!</v>
      </c>
      <c r="BK27" s="403" t="e">
        <f>IF($Y$1=BK$20,_xll.qlInterpolationInterpolate(DiscountCurve,BI27),(1+BL27*BN27)*BO27)</f>
        <v>#VALUE!</v>
      </c>
      <c r="BL27" s="404" t="e">
        <f>_xll.qlInterpolationInterpolate(ExtFwdInterpolator,BI27)</f>
        <v>#VALUE!</v>
      </c>
      <c r="BM27" s="401" t="e">
        <f>_xll.qlCalendarAdvance(Calendar,BI27,$A$20,"Modified Following",TRUE)</f>
        <v>#NUM!</v>
      </c>
      <c r="BN27" s="402" t="e">
        <f>_xll.qlDayCounterYearFraction(DayCounter,BI27,BM27)</f>
        <v>#NUM!</v>
      </c>
      <c r="BO27" s="403">
        <f>IF($Y$1=BO$20,_xll.qlInterpolationInterpolate(DiscountCurve,BM27),(1+BP27*BR27)*BS27)</f>
        <v>0</v>
      </c>
    </row>
    <row r="28" spans="1:67" x14ac:dyDescent="0.2">
      <c r="A28" s="410">
        <v>3</v>
      </c>
      <c r="B28" s="397" t="str">
        <f t="shared" si="14"/>
        <v>3x9F</v>
      </c>
      <c r="C28" s="397" t="str">
        <f t="shared" si="10"/>
        <v>USD_YC6MRH_3x9F</v>
      </c>
      <c r="D28" s="401">
        <f>_xll.qlRateHelperEarliestDate($C28,EvaluationDate)</f>
        <v>41666</v>
      </c>
      <c r="E28" s="401">
        <f>_xll.qlRateHelperLatestDate($C28,EvaluationDate)</f>
        <v>41848</v>
      </c>
      <c r="F28" s="413">
        <f>_xll.qlRateHelperQuoteValue($C28,SheetTrigger)</f>
        <v>3.9000000000000003E-3</v>
      </c>
      <c r="G28" s="414"/>
      <c r="H28" s="401">
        <f t="shared" si="0"/>
        <v>41666</v>
      </c>
      <c r="I28" s="401" t="b">
        <v>1</v>
      </c>
      <c r="J28" s="415">
        <f t="shared" si="11"/>
        <v>3.9000000000000003E-3</v>
      </c>
      <c r="K28" s="416" t="b">
        <f t="shared" si="12"/>
        <v>1</v>
      </c>
      <c r="L28" s="343" t="e">
        <f t="shared" si="1"/>
        <v>#NUM!</v>
      </c>
      <c r="M28" s="343" t="e">
        <f t="shared" si="2"/>
        <v>#NUM!</v>
      </c>
      <c r="N28" s="416" t="e">
        <f t="shared" si="13"/>
        <v>#NUM!</v>
      </c>
      <c r="O28" s="415" t="e">
        <f>_xll.qlInterpolationInterpolate($O$21,$H28)</f>
        <v>#VALUE!</v>
      </c>
      <c r="P28" s="417" t="e">
        <f t="shared" si="3"/>
        <v>#VALUE!</v>
      </c>
      <c r="Q28" s="418">
        <f>_xll.qlDayCounterYearFraction(DayCounter,$H28,$E28)</f>
        <v>0.50555555555555554</v>
      </c>
      <c r="R28" s="419" t="e">
        <f t="shared" si="4"/>
        <v>#VALUE!</v>
      </c>
      <c r="S28" s="398" t="e">
        <f t="shared" si="5"/>
        <v>#NUM!</v>
      </c>
      <c r="T28" s="420" t="e">
        <f t="shared" si="6"/>
        <v>#NUM!</v>
      </c>
      <c r="U28" s="376">
        <v>41754</v>
      </c>
      <c r="V28" s="377" t="e">
        <v>#VALUE!</v>
      </c>
      <c r="X28" s="397" t="s">
        <v>19</v>
      </c>
      <c r="Y28" s="398">
        <v>1.8160820600650322E-2</v>
      </c>
      <c r="Z28" s="399" t="e">
        <f t="shared" si="7"/>
        <v>#VALUE!</v>
      </c>
      <c r="AA28" s="400"/>
      <c r="AB28" s="212" t="e">
        <f t="shared" si="8"/>
        <v>#VALUE!</v>
      </c>
      <c r="AC28" s="401" t="e">
        <f>_xll.qlCalendarAdvance(Calendar,SettlementDate,X28,"mf",TRUE)</f>
        <v>#NUM!</v>
      </c>
      <c r="AD28" s="402" t="e">
        <f>_xll.qlDayCounterYearFraction(DayCounter,SettlementDate,AC28)</f>
        <v>#NUM!</v>
      </c>
      <c r="AE28" s="403" t="e">
        <f t="shared" si="9"/>
        <v>#VALUE!</v>
      </c>
      <c r="AF28" s="404" t="e">
        <f>_xll.qlInterpolationInterpolate(ExtFwdInterpolator,AC28)</f>
        <v>#VALUE!</v>
      </c>
      <c r="AG28" s="401" t="e">
        <f>_xll.qlCalendarAdvance(Calendar,AC28,$A$20,"Modified Following",TRUE)</f>
        <v>#NUM!</v>
      </c>
      <c r="AH28" s="402" t="e">
        <f>_xll.qlDayCounterYearFraction(DayCounter,AC28,AG28)</f>
        <v>#NUM!</v>
      </c>
      <c r="AI28" s="403" t="e">
        <f>IF($Y$1=AI$20,_xll.qlInterpolationInterpolate(DiscountCurve,AG28),(1+AJ28*AL28)*AM28)</f>
        <v>#VALUE!</v>
      </c>
      <c r="AJ28" s="404" t="e">
        <f>_xll.qlInterpolationInterpolate(ExtFwdInterpolator,AG28)</f>
        <v>#VALUE!</v>
      </c>
      <c r="AK28" s="401" t="e">
        <f>_xll.qlCalendarAdvance(Calendar,AG28,$A$20,"Modified Following",TRUE)</f>
        <v>#NUM!</v>
      </c>
      <c r="AL28" s="402" t="e">
        <f>_xll.qlDayCounterYearFraction(DayCounter,AG28,AK28)</f>
        <v>#NUM!</v>
      </c>
      <c r="AM28" s="403" t="e">
        <f>IF($Y$1=AM$20,_xll.qlInterpolationInterpolate(DiscountCurve,AK28),(1+AN28*AP28)*AQ28)</f>
        <v>#VALUE!</v>
      </c>
      <c r="AN28" s="404" t="e">
        <f>_xll.qlInterpolationInterpolate(ExtFwdInterpolator,AK28)</f>
        <v>#VALUE!</v>
      </c>
      <c r="AO28" s="401" t="e">
        <f>_xll.qlCalendarAdvance(Calendar,AK28,$A$20,"Modified Following",TRUE)</f>
        <v>#NUM!</v>
      </c>
      <c r="AP28" s="402" t="e">
        <f>_xll.qlDayCounterYearFraction(DayCounter,AK28,AO28)</f>
        <v>#NUM!</v>
      </c>
      <c r="AQ28" s="403" t="e">
        <f>IF($Y$1=AQ$20,_xll.qlInterpolationInterpolate(DiscountCurve,AO28),(1+AR28*AT28)*AU28)</f>
        <v>#VALUE!</v>
      </c>
      <c r="AR28" s="404" t="e">
        <f>_xll.qlInterpolationInterpolate(ExtFwdInterpolator,AO28)</f>
        <v>#VALUE!</v>
      </c>
      <c r="AS28" s="401" t="e">
        <f>_xll.qlCalendarAdvance(Calendar,AO28,$A$20,"Modified Following",TRUE)</f>
        <v>#NUM!</v>
      </c>
      <c r="AT28" s="402" t="e">
        <f>_xll.qlDayCounterYearFraction(DayCounter,AO28,AS28)</f>
        <v>#NUM!</v>
      </c>
      <c r="AU28" s="403" t="e">
        <f>IF($Y$1=AU$20,_xll.qlInterpolationInterpolate(DiscountCurve,AS28),(1+AV28*AX28)*AY28)</f>
        <v>#VALUE!</v>
      </c>
      <c r="AV28" s="404" t="e">
        <f>_xll.qlInterpolationInterpolate(ExtFwdInterpolator,AS28)</f>
        <v>#VALUE!</v>
      </c>
      <c r="AW28" s="401" t="e">
        <f>_xll.qlCalendarAdvance(Calendar,AS28,$A$20,"Modified Following",TRUE)</f>
        <v>#NUM!</v>
      </c>
      <c r="AX28" s="402" t="e">
        <f>_xll.qlDayCounterYearFraction(DayCounter,AS28,AW28)</f>
        <v>#NUM!</v>
      </c>
      <c r="AY28" s="403" t="e">
        <f>IF($Y$1=AY$20,_xll.qlInterpolationInterpolate(DiscountCurve,AW28),(1+AZ28*BB28)*BC28)</f>
        <v>#VALUE!</v>
      </c>
      <c r="AZ28" s="404" t="e">
        <f>_xll.qlInterpolationInterpolate(ExtFwdInterpolator,AW28)</f>
        <v>#VALUE!</v>
      </c>
      <c r="BA28" s="401" t="e">
        <f>_xll.qlCalendarAdvance(Calendar,AW28,$A$20,"Modified Following",TRUE)</f>
        <v>#NUM!</v>
      </c>
      <c r="BB28" s="402" t="e">
        <f>_xll.qlDayCounterYearFraction(DayCounter,AW28,BA28)</f>
        <v>#NUM!</v>
      </c>
      <c r="BC28" s="403" t="e">
        <f>IF($Y$1=BC$20,_xll.qlInterpolationInterpolate(DiscountCurve,BA28),(1+BD28*BF28)*BG28)</f>
        <v>#VALUE!</v>
      </c>
      <c r="BD28" s="404" t="e">
        <f>_xll.qlInterpolationInterpolate(ExtFwdInterpolator,BA28)</f>
        <v>#VALUE!</v>
      </c>
      <c r="BE28" s="401" t="e">
        <f>_xll.qlCalendarAdvance(Calendar,BA28,$A$20,"Modified Following",TRUE)</f>
        <v>#NUM!</v>
      </c>
      <c r="BF28" s="402" t="e">
        <f>_xll.qlDayCounterYearFraction(DayCounter,BA28,BE28)</f>
        <v>#NUM!</v>
      </c>
      <c r="BG28" s="403" t="e">
        <f>IF($Y$1=BG$20,_xll.qlInterpolationInterpolate(DiscountCurve,BE28),(1+BH28*BJ28)*BK28)</f>
        <v>#VALUE!</v>
      </c>
      <c r="BH28" s="404" t="e">
        <f>_xll.qlInterpolationInterpolate(ExtFwdInterpolator,BE28)</f>
        <v>#VALUE!</v>
      </c>
      <c r="BI28" s="401" t="e">
        <f>_xll.qlCalendarAdvance(Calendar,BE28,$A$20,"Modified Following",TRUE)</f>
        <v>#NUM!</v>
      </c>
      <c r="BJ28" s="402" t="e">
        <f>_xll.qlDayCounterYearFraction(DayCounter,BE28,BI28)</f>
        <v>#NUM!</v>
      </c>
      <c r="BK28" s="403" t="e">
        <f>IF($Y$1=BK$20,_xll.qlInterpolationInterpolate(DiscountCurve,BI28),(1+BL28*BN28)*BO28)</f>
        <v>#VALUE!</v>
      </c>
      <c r="BL28" s="404" t="e">
        <f>_xll.qlInterpolationInterpolate(ExtFwdInterpolator,BI28)</f>
        <v>#VALUE!</v>
      </c>
      <c r="BM28" s="401" t="e">
        <f>_xll.qlCalendarAdvance(Calendar,BI28,$A$20,"Modified Following",TRUE)</f>
        <v>#NUM!</v>
      </c>
      <c r="BN28" s="402" t="e">
        <f>_xll.qlDayCounterYearFraction(DayCounter,BI28,BM28)</f>
        <v>#NUM!</v>
      </c>
      <c r="BO28" s="403">
        <f>IF($Y$1=BO$20,_xll.qlInterpolationInterpolate(DiscountCurve,BM28),(1+BP28*BR28)*BS28)</f>
        <v>0</v>
      </c>
    </row>
    <row r="29" spans="1:67" x14ac:dyDescent="0.2">
      <c r="A29" s="410">
        <v>4</v>
      </c>
      <c r="B29" s="397" t="str">
        <f t="shared" si="14"/>
        <v>4x10F</v>
      </c>
      <c r="C29" s="397" t="str">
        <f t="shared" si="10"/>
        <v>USD_YC6MRH_4x10F</v>
      </c>
      <c r="D29" s="401">
        <f>_xll.qlRateHelperEarliestDate($C29,EvaluationDate)</f>
        <v>41695</v>
      </c>
      <c r="E29" s="401">
        <f>_xll.qlRateHelperLatestDate($C29,EvaluationDate)</f>
        <v>41877</v>
      </c>
      <c r="F29" s="413">
        <f>_xll.qlRateHelperQuoteValue($C29,SheetTrigger)</f>
        <v>4.0400000000000002E-3</v>
      </c>
      <c r="G29" s="414"/>
      <c r="H29" s="401">
        <f t="shared" si="0"/>
        <v>41695</v>
      </c>
      <c r="I29" s="401" t="b">
        <v>1</v>
      </c>
      <c r="J29" s="415">
        <f t="shared" si="11"/>
        <v>4.0400000000000002E-3</v>
      </c>
      <c r="K29" s="416" t="b">
        <f t="shared" si="12"/>
        <v>1</v>
      </c>
      <c r="L29" s="343" t="e">
        <f t="shared" si="1"/>
        <v>#NUM!</v>
      </c>
      <c r="M29" s="343" t="e">
        <f t="shared" si="2"/>
        <v>#NUM!</v>
      </c>
      <c r="N29" s="416" t="e">
        <f t="shared" si="13"/>
        <v>#NUM!</v>
      </c>
      <c r="O29" s="415" t="e">
        <f>_xll.qlInterpolationInterpolate($O$21,$H29)</f>
        <v>#VALUE!</v>
      </c>
      <c r="P29" s="417" t="e">
        <f t="shared" si="3"/>
        <v>#VALUE!</v>
      </c>
      <c r="Q29" s="418">
        <f>_xll.qlDayCounterYearFraction(DayCounter,$H29,$E29)</f>
        <v>0.50555555555555554</v>
      </c>
      <c r="R29" s="419" t="e">
        <f t="shared" si="4"/>
        <v>#VALUE!</v>
      </c>
      <c r="S29" s="398" t="e">
        <f t="shared" si="5"/>
        <v>#NUM!</v>
      </c>
      <c r="T29" s="420" t="e">
        <f t="shared" si="6"/>
        <v>#NUM!</v>
      </c>
      <c r="U29" s="376" t="e">
        <v>#N/A</v>
      </c>
      <c r="V29" s="377" t="e">
        <v>#VALUE!</v>
      </c>
      <c r="X29" s="397" t="s">
        <v>28</v>
      </c>
      <c r="Y29" s="398">
        <v>1.7091800815972523E-2</v>
      </c>
      <c r="Z29" s="399" t="e">
        <f t="shared" si="7"/>
        <v>#VALUE!</v>
      </c>
      <c r="AA29" s="400"/>
      <c r="AB29" s="212" t="e">
        <f t="shared" si="8"/>
        <v>#VALUE!</v>
      </c>
      <c r="AC29" s="401" t="e">
        <f>_xll.qlCalendarAdvance(Calendar,SettlementDate,X29,"mf",TRUE)</f>
        <v>#NUM!</v>
      </c>
      <c r="AD29" s="402" t="e">
        <f>_xll.qlDayCounterYearFraction(DayCounter,SettlementDate,AC29)</f>
        <v>#NUM!</v>
      </c>
      <c r="AE29" s="403" t="e">
        <f t="shared" si="9"/>
        <v>#VALUE!</v>
      </c>
      <c r="AF29" s="404" t="e">
        <f>_xll.qlInterpolationInterpolate(ExtFwdInterpolator,AC29)</f>
        <v>#VALUE!</v>
      </c>
      <c r="AG29" s="401" t="e">
        <f>_xll.qlCalendarAdvance(Calendar,AC29,$A$20,"Modified Following",TRUE)</f>
        <v>#NUM!</v>
      </c>
      <c r="AH29" s="402" t="e">
        <f>_xll.qlDayCounterYearFraction(DayCounter,AC29,AG29)</f>
        <v>#NUM!</v>
      </c>
      <c r="AI29" s="403" t="e">
        <f>IF($Y$1=AI$20,_xll.qlInterpolationInterpolate(DiscountCurve,AG29),(1+AJ29*AL29)*AM29)</f>
        <v>#VALUE!</v>
      </c>
      <c r="AJ29" s="404" t="e">
        <f>_xll.qlInterpolationInterpolate(ExtFwdInterpolator,AG29)</f>
        <v>#VALUE!</v>
      </c>
      <c r="AK29" s="401" t="e">
        <f>_xll.qlCalendarAdvance(Calendar,AG29,$A$20,"Modified Following",TRUE)</f>
        <v>#NUM!</v>
      </c>
      <c r="AL29" s="402" t="e">
        <f>_xll.qlDayCounterYearFraction(DayCounter,AG29,AK29)</f>
        <v>#NUM!</v>
      </c>
      <c r="AM29" s="403" t="e">
        <f>IF($Y$1=AM$20,_xll.qlInterpolationInterpolate(DiscountCurve,AK29),(1+AN29*AP29)*AQ29)</f>
        <v>#VALUE!</v>
      </c>
      <c r="AN29" s="404" t="e">
        <f>_xll.qlInterpolationInterpolate(ExtFwdInterpolator,AK29)</f>
        <v>#VALUE!</v>
      </c>
      <c r="AO29" s="401" t="e">
        <f>_xll.qlCalendarAdvance(Calendar,AK29,$A$20,"Modified Following",TRUE)</f>
        <v>#NUM!</v>
      </c>
      <c r="AP29" s="402" t="e">
        <f>_xll.qlDayCounterYearFraction(DayCounter,AK29,AO29)</f>
        <v>#NUM!</v>
      </c>
      <c r="AQ29" s="403" t="e">
        <f>IF($Y$1=AQ$20,_xll.qlInterpolationInterpolate(DiscountCurve,AO29),(1+AR29*AT29)*AU29)</f>
        <v>#VALUE!</v>
      </c>
      <c r="AR29" s="404" t="e">
        <f>_xll.qlInterpolationInterpolate(ExtFwdInterpolator,AO29)</f>
        <v>#VALUE!</v>
      </c>
      <c r="AS29" s="401" t="e">
        <f>_xll.qlCalendarAdvance(Calendar,AO29,$A$20,"Modified Following",TRUE)</f>
        <v>#NUM!</v>
      </c>
      <c r="AT29" s="402" t="e">
        <f>_xll.qlDayCounterYearFraction(DayCounter,AO29,AS29)</f>
        <v>#NUM!</v>
      </c>
      <c r="AU29" s="403" t="e">
        <f>IF($Y$1=AU$20,_xll.qlInterpolationInterpolate(DiscountCurve,AS29),(1+AV29*AX29)*AY29)</f>
        <v>#VALUE!</v>
      </c>
      <c r="AV29" s="404" t="e">
        <f>_xll.qlInterpolationInterpolate(ExtFwdInterpolator,AS29)</f>
        <v>#VALUE!</v>
      </c>
      <c r="AW29" s="401" t="e">
        <f>_xll.qlCalendarAdvance(Calendar,AS29,$A$20,"Modified Following",TRUE)</f>
        <v>#NUM!</v>
      </c>
      <c r="AX29" s="402" t="e">
        <f>_xll.qlDayCounterYearFraction(DayCounter,AS29,AW29)</f>
        <v>#NUM!</v>
      </c>
      <c r="AY29" s="403" t="e">
        <f>IF($Y$1=AY$20,_xll.qlInterpolationInterpolate(DiscountCurve,AW29),(1+AZ29*BB29)*BC29)</f>
        <v>#VALUE!</v>
      </c>
      <c r="AZ29" s="404" t="e">
        <f>_xll.qlInterpolationInterpolate(ExtFwdInterpolator,AW29)</f>
        <v>#VALUE!</v>
      </c>
      <c r="BA29" s="401" t="e">
        <f>_xll.qlCalendarAdvance(Calendar,AW29,$A$20,"Modified Following",TRUE)</f>
        <v>#NUM!</v>
      </c>
      <c r="BB29" s="402" t="e">
        <f>_xll.qlDayCounterYearFraction(DayCounter,AW29,BA29)</f>
        <v>#NUM!</v>
      </c>
      <c r="BC29" s="403" t="e">
        <f>IF($Y$1=BC$20,_xll.qlInterpolationInterpolate(DiscountCurve,BA29),(1+BD29*BF29)*BG29)</f>
        <v>#VALUE!</v>
      </c>
      <c r="BD29" s="404" t="e">
        <f>_xll.qlInterpolationInterpolate(ExtFwdInterpolator,BA29)</f>
        <v>#VALUE!</v>
      </c>
      <c r="BE29" s="401" t="e">
        <f>_xll.qlCalendarAdvance(Calendar,BA29,$A$20,"Modified Following",TRUE)</f>
        <v>#NUM!</v>
      </c>
      <c r="BF29" s="402" t="e">
        <f>_xll.qlDayCounterYearFraction(DayCounter,BA29,BE29)</f>
        <v>#NUM!</v>
      </c>
      <c r="BG29" s="403" t="e">
        <f>IF($Y$1=BG$20,_xll.qlInterpolationInterpolate(DiscountCurve,BE29),(1+BH29*BJ29)*BK29)</f>
        <v>#VALUE!</v>
      </c>
      <c r="BH29" s="404" t="e">
        <f>_xll.qlInterpolationInterpolate(ExtFwdInterpolator,BE29)</f>
        <v>#VALUE!</v>
      </c>
      <c r="BI29" s="401" t="e">
        <f>_xll.qlCalendarAdvance(Calendar,BE29,$A$20,"Modified Following",TRUE)</f>
        <v>#NUM!</v>
      </c>
      <c r="BJ29" s="402" t="e">
        <f>_xll.qlDayCounterYearFraction(DayCounter,BE29,BI29)</f>
        <v>#NUM!</v>
      </c>
      <c r="BK29" s="403" t="e">
        <f>IF($Y$1=BK$20,_xll.qlInterpolationInterpolate(DiscountCurve,BI29),(1+BL29*BN29)*BO29)</f>
        <v>#VALUE!</v>
      </c>
      <c r="BL29" s="404" t="e">
        <f>_xll.qlInterpolationInterpolate(ExtFwdInterpolator,BI29)</f>
        <v>#VALUE!</v>
      </c>
      <c r="BM29" s="401" t="e">
        <f>_xll.qlCalendarAdvance(Calendar,BI29,$A$20,"Modified Following",TRUE)</f>
        <v>#NUM!</v>
      </c>
      <c r="BN29" s="402" t="e">
        <f>_xll.qlDayCounterYearFraction(DayCounter,BI29,BM29)</f>
        <v>#NUM!</v>
      </c>
      <c r="BO29" s="403">
        <f>IF($Y$1=BO$20,_xll.qlInterpolationInterpolate(DiscountCurve,BM29),(1+BP29*BR29)*BS29)</f>
        <v>0</v>
      </c>
    </row>
    <row r="30" spans="1:67" x14ac:dyDescent="0.2">
      <c r="A30" s="410">
        <v>5</v>
      </c>
      <c r="B30" s="397" t="str">
        <f t="shared" si="14"/>
        <v>5x11F</v>
      </c>
      <c r="C30" s="397" t="str">
        <f t="shared" si="10"/>
        <v>USD_YC6MRH_5x11F</v>
      </c>
      <c r="D30" s="401">
        <f>_xll.qlRateHelperEarliestDate($C30,EvaluationDate)</f>
        <v>41723</v>
      </c>
      <c r="E30" s="401">
        <f>_xll.qlRateHelperLatestDate($C30,EvaluationDate)</f>
        <v>41907</v>
      </c>
      <c r="F30" s="413">
        <f>_xll.qlRateHelperQuoteValue($C30,SheetTrigger)</f>
        <v>4.2000000000000006E-3</v>
      </c>
      <c r="G30" s="414"/>
      <c r="H30" s="401">
        <f t="shared" si="0"/>
        <v>41723</v>
      </c>
      <c r="I30" s="401" t="b">
        <v>1</v>
      </c>
      <c r="J30" s="415">
        <f t="shared" si="11"/>
        <v>4.2000000000000006E-3</v>
      </c>
      <c r="K30" s="416" t="b">
        <f t="shared" si="12"/>
        <v>1</v>
      </c>
      <c r="L30" s="343" t="e">
        <f t="shared" si="1"/>
        <v>#NUM!</v>
      </c>
      <c r="M30" s="343" t="e">
        <f t="shared" si="2"/>
        <v>#NUM!</v>
      </c>
      <c r="N30" s="416" t="e">
        <f t="shared" si="13"/>
        <v>#NUM!</v>
      </c>
      <c r="O30" s="415" t="e">
        <f>_xll.qlInterpolationInterpolate($O$21,$H30)</f>
        <v>#VALUE!</v>
      </c>
      <c r="P30" s="417" t="e">
        <f t="shared" si="3"/>
        <v>#VALUE!</v>
      </c>
      <c r="Q30" s="418">
        <f>_xll.qlDayCounterYearFraction(DayCounter,$H30,$E30)</f>
        <v>0.51111111111111107</v>
      </c>
      <c r="R30" s="419" t="e">
        <f t="shared" si="4"/>
        <v>#VALUE!</v>
      </c>
      <c r="S30" s="398" t="e">
        <f t="shared" si="5"/>
        <v>#NUM!</v>
      </c>
      <c r="T30" s="420" t="e">
        <f t="shared" si="6"/>
        <v>#NUM!</v>
      </c>
      <c r="U30" s="376" t="e">
        <v>#N/A</v>
      </c>
      <c r="V30" s="377" t="e">
        <v>#VALUE!</v>
      </c>
      <c r="X30" s="397" t="s">
        <v>29</v>
      </c>
      <c r="Y30" s="398">
        <v>1.6644282118347675E-2</v>
      </c>
      <c r="Z30" s="399" t="e">
        <f t="shared" si="7"/>
        <v>#VALUE!</v>
      </c>
      <c r="AA30" s="400"/>
      <c r="AB30" s="212" t="e">
        <f t="shared" si="8"/>
        <v>#VALUE!</v>
      </c>
      <c r="AC30" s="401" t="e">
        <f>_xll.qlCalendarAdvance(Calendar,SettlementDate,X30,"mf",TRUE)</f>
        <v>#NUM!</v>
      </c>
      <c r="AD30" s="402" t="e">
        <f>_xll.qlDayCounterYearFraction(DayCounter,SettlementDate,AC30)</f>
        <v>#NUM!</v>
      </c>
      <c r="AE30" s="403" t="e">
        <f t="shared" si="9"/>
        <v>#VALUE!</v>
      </c>
      <c r="AF30" s="404" t="e">
        <f>_xll.qlInterpolationInterpolate(ExtFwdInterpolator,AC30)</f>
        <v>#VALUE!</v>
      </c>
      <c r="AG30" s="401" t="e">
        <f>_xll.qlCalendarAdvance(Calendar,AC30,$A$20,"Modified Following",TRUE)</f>
        <v>#NUM!</v>
      </c>
      <c r="AH30" s="402" t="e">
        <f>_xll.qlDayCounterYearFraction(DayCounter,AC30,AG30)</f>
        <v>#NUM!</v>
      </c>
      <c r="AI30" s="403" t="e">
        <f>IF($Y$1=AI$20,_xll.qlInterpolationInterpolate(DiscountCurve,AG30),(1+AJ30*AL30)*AM30)</f>
        <v>#VALUE!</v>
      </c>
      <c r="AJ30" s="404" t="e">
        <f>_xll.qlInterpolationInterpolate(ExtFwdInterpolator,AG30)</f>
        <v>#VALUE!</v>
      </c>
      <c r="AK30" s="401" t="e">
        <f>_xll.qlCalendarAdvance(Calendar,AG30,$A$20,"Modified Following",TRUE)</f>
        <v>#NUM!</v>
      </c>
      <c r="AL30" s="402" t="e">
        <f>_xll.qlDayCounterYearFraction(DayCounter,AG30,AK30)</f>
        <v>#NUM!</v>
      </c>
      <c r="AM30" s="403" t="e">
        <f>IF($Y$1=AM$20,_xll.qlInterpolationInterpolate(DiscountCurve,AK30),(1+AN30*AP30)*AQ30)</f>
        <v>#VALUE!</v>
      </c>
      <c r="AN30" s="404" t="e">
        <f>_xll.qlInterpolationInterpolate(ExtFwdInterpolator,AK30)</f>
        <v>#VALUE!</v>
      </c>
      <c r="AO30" s="401" t="e">
        <f>_xll.qlCalendarAdvance(Calendar,AK30,$A$20,"Modified Following",TRUE)</f>
        <v>#NUM!</v>
      </c>
      <c r="AP30" s="402" t="e">
        <f>_xll.qlDayCounterYearFraction(DayCounter,AK30,AO30)</f>
        <v>#NUM!</v>
      </c>
      <c r="AQ30" s="403" t="e">
        <f>IF($Y$1=AQ$20,_xll.qlInterpolationInterpolate(DiscountCurve,AO30),(1+AR30*AT30)*AU30)</f>
        <v>#VALUE!</v>
      </c>
      <c r="AR30" s="404" t="e">
        <f>_xll.qlInterpolationInterpolate(ExtFwdInterpolator,AO30)</f>
        <v>#VALUE!</v>
      </c>
      <c r="AS30" s="401" t="e">
        <f>_xll.qlCalendarAdvance(Calendar,AO30,$A$20,"Modified Following",TRUE)</f>
        <v>#NUM!</v>
      </c>
      <c r="AT30" s="402" t="e">
        <f>_xll.qlDayCounterYearFraction(DayCounter,AO30,AS30)</f>
        <v>#NUM!</v>
      </c>
      <c r="AU30" s="403" t="e">
        <f>IF($Y$1=AU$20,_xll.qlInterpolationInterpolate(DiscountCurve,AS30),(1+AV30*AX30)*AY30)</f>
        <v>#VALUE!</v>
      </c>
      <c r="AV30" s="404" t="e">
        <f>_xll.qlInterpolationInterpolate(ExtFwdInterpolator,AS30)</f>
        <v>#VALUE!</v>
      </c>
      <c r="AW30" s="401" t="e">
        <f>_xll.qlCalendarAdvance(Calendar,AS30,$A$20,"Modified Following",TRUE)</f>
        <v>#NUM!</v>
      </c>
      <c r="AX30" s="402" t="e">
        <f>_xll.qlDayCounterYearFraction(DayCounter,AS30,AW30)</f>
        <v>#NUM!</v>
      </c>
      <c r="AY30" s="403" t="e">
        <f>IF($Y$1=AY$20,_xll.qlInterpolationInterpolate(DiscountCurve,AW30),(1+AZ30*BB30)*BC30)</f>
        <v>#VALUE!</v>
      </c>
      <c r="AZ30" s="404" t="e">
        <f>_xll.qlInterpolationInterpolate(ExtFwdInterpolator,AW30)</f>
        <v>#VALUE!</v>
      </c>
      <c r="BA30" s="401" t="e">
        <f>_xll.qlCalendarAdvance(Calendar,AW30,$A$20,"Modified Following",TRUE)</f>
        <v>#NUM!</v>
      </c>
      <c r="BB30" s="402" t="e">
        <f>_xll.qlDayCounterYearFraction(DayCounter,AW30,BA30)</f>
        <v>#NUM!</v>
      </c>
      <c r="BC30" s="403" t="e">
        <f>IF($Y$1=BC$20,_xll.qlInterpolationInterpolate(DiscountCurve,BA30),(1+BD30*BF30)*BG30)</f>
        <v>#VALUE!</v>
      </c>
      <c r="BD30" s="404" t="e">
        <f>_xll.qlInterpolationInterpolate(ExtFwdInterpolator,BA30)</f>
        <v>#VALUE!</v>
      </c>
      <c r="BE30" s="401" t="e">
        <f>_xll.qlCalendarAdvance(Calendar,BA30,$A$20,"Modified Following",TRUE)</f>
        <v>#NUM!</v>
      </c>
      <c r="BF30" s="402" t="e">
        <f>_xll.qlDayCounterYearFraction(DayCounter,BA30,BE30)</f>
        <v>#NUM!</v>
      </c>
      <c r="BG30" s="403" t="e">
        <f>IF($Y$1=BG$20,_xll.qlInterpolationInterpolate(DiscountCurve,BE30),(1+BH30*BJ30)*BK30)</f>
        <v>#VALUE!</v>
      </c>
      <c r="BH30" s="404" t="e">
        <f>_xll.qlInterpolationInterpolate(ExtFwdInterpolator,BE30)</f>
        <v>#VALUE!</v>
      </c>
      <c r="BI30" s="401" t="e">
        <f>_xll.qlCalendarAdvance(Calendar,BE30,$A$20,"Modified Following",TRUE)</f>
        <v>#NUM!</v>
      </c>
      <c r="BJ30" s="402" t="e">
        <f>_xll.qlDayCounterYearFraction(DayCounter,BE30,BI30)</f>
        <v>#NUM!</v>
      </c>
      <c r="BK30" s="403" t="e">
        <f>IF($Y$1=BK$20,_xll.qlInterpolationInterpolate(DiscountCurve,BI30),(1+BL30*BN30)*BO30)</f>
        <v>#VALUE!</v>
      </c>
      <c r="BL30" s="404" t="e">
        <f>_xll.qlInterpolationInterpolate(ExtFwdInterpolator,BI30)</f>
        <v>#VALUE!</v>
      </c>
      <c r="BM30" s="401" t="e">
        <f>_xll.qlCalendarAdvance(Calendar,BI30,$A$20,"Modified Following",TRUE)</f>
        <v>#NUM!</v>
      </c>
      <c r="BN30" s="402" t="e">
        <f>_xll.qlDayCounterYearFraction(DayCounter,BI30,BM30)</f>
        <v>#NUM!</v>
      </c>
      <c r="BO30" s="403">
        <f>IF($Y$1=BO$20,_xll.qlInterpolationInterpolate(DiscountCurve,BM30),(1+BP30*BR30)*BS30)</f>
        <v>0</v>
      </c>
    </row>
    <row r="31" spans="1:67" x14ac:dyDescent="0.2">
      <c r="A31" s="410">
        <v>6</v>
      </c>
      <c r="B31" s="397" t="str">
        <f t="shared" si="14"/>
        <v>6x12F</v>
      </c>
      <c r="C31" s="397" t="str">
        <f t="shared" si="10"/>
        <v>USD_YC6MRH_6x12F</v>
      </c>
      <c r="D31" s="401">
        <f>_xll.qlRateHelperEarliestDate($C31,EvaluationDate)</f>
        <v>41754</v>
      </c>
      <c r="E31" s="401">
        <f>_xll.qlRateHelperLatestDate($C31,EvaluationDate)</f>
        <v>41939</v>
      </c>
      <c r="F31" s="413">
        <f>_xll.qlRateHelperQuoteValue($C31,SheetTrigger)</f>
        <v>4.3800000000000002E-3</v>
      </c>
      <c r="G31" s="414"/>
      <c r="H31" s="401">
        <f t="shared" si="0"/>
        <v>41754</v>
      </c>
      <c r="I31" s="401" t="b">
        <v>1</v>
      </c>
      <c r="J31" s="415">
        <f t="shared" si="11"/>
        <v>4.3800000000000002E-3</v>
      </c>
      <c r="K31" s="416" t="b">
        <f t="shared" si="12"/>
        <v>1</v>
      </c>
      <c r="L31" s="343" t="e">
        <f t="shared" si="1"/>
        <v>#NUM!</v>
      </c>
      <c r="M31" s="343" t="e">
        <f t="shared" si="2"/>
        <v>#NUM!</v>
      </c>
      <c r="N31" s="416" t="e">
        <f t="shared" si="13"/>
        <v>#NUM!</v>
      </c>
      <c r="O31" s="415" t="e">
        <f>_xll.qlInterpolationInterpolate($O$21,$H31)</f>
        <v>#VALUE!</v>
      </c>
      <c r="P31" s="417" t="e">
        <f t="shared" si="3"/>
        <v>#VALUE!</v>
      </c>
      <c r="Q31" s="418">
        <f>_xll.qlDayCounterYearFraction(DayCounter,$H31,$E31)</f>
        <v>0.51388888888888884</v>
      </c>
      <c r="R31" s="419" t="e">
        <f t="shared" si="4"/>
        <v>#VALUE!</v>
      </c>
      <c r="S31" s="398" t="e">
        <f t="shared" si="5"/>
        <v>#NUM!</v>
      </c>
      <c r="T31" s="420" t="e">
        <f t="shared" si="6"/>
        <v>#NUM!</v>
      </c>
      <c r="U31" s="376" t="e">
        <v>#N/A</v>
      </c>
      <c r="V31" s="377" t="e">
        <v>#VALUE!</v>
      </c>
      <c r="X31" s="346" t="s">
        <v>39</v>
      </c>
      <c r="Y31" s="405">
        <v>1.6083096253917819E-2</v>
      </c>
      <c r="Z31" s="406" t="e">
        <f t="shared" si="7"/>
        <v>#VALUE!</v>
      </c>
      <c r="AA31" s="395"/>
      <c r="AB31" s="213" t="e">
        <f t="shared" si="8"/>
        <v>#VALUE!</v>
      </c>
      <c r="AC31" s="388" t="e">
        <f>_xll.qlCalendarAdvance(Calendar,SettlementDate,X31,"mf",TRUE)</f>
        <v>#NUM!</v>
      </c>
      <c r="AD31" s="407" t="e">
        <f>_xll.qlDayCounterYearFraction(DayCounter,SettlementDate,AC31)</f>
        <v>#NUM!</v>
      </c>
      <c r="AE31" s="408" t="e">
        <f t="shared" si="9"/>
        <v>#VALUE!</v>
      </c>
      <c r="AF31" s="409" t="e">
        <f>_xll.qlInterpolationInterpolate(ExtFwdInterpolator,AC31)</f>
        <v>#VALUE!</v>
      </c>
      <c r="AG31" s="388" t="e">
        <f>_xll.qlCalendarAdvance(Calendar,AC31,$A$20,"Modified Following",TRUE)</f>
        <v>#NUM!</v>
      </c>
      <c r="AH31" s="407" t="e">
        <f>_xll.qlDayCounterYearFraction(DayCounter,AC31,AG31)</f>
        <v>#NUM!</v>
      </c>
      <c r="AI31" s="408" t="e">
        <f>IF($Y$1=AI$20,_xll.qlInterpolationInterpolate(DiscountCurve,AG31),(1+AJ31*AL31)*AM31)</f>
        <v>#VALUE!</v>
      </c>
      <c r="AJ31" s="409" t="e">
        <f>_xll.qlInterpolationInterpolate(ExtFwdInterpolator,AG31)</f>
        <v>#VALUE!</v>
      </c>
      <c r="AK31" s="388" t="e">
        <f>_xll.qlCalendarAdvance(Calendar,AG31,$A$20,"Modified Following",TRUE)</f>
        <v>#NUM!</v>
      </c>
      <c r="AL31" s="407" t="e">
        <f>_xll.qlDayCounterYearFraction(DayCounter,AG31,AK31)</f>
        <v>#NUM!</v>
      </c>
      <c r="AM31" s="408" t="e">
        <f>IF($Y$1=AM$20,_xll.qlInterpolationInterpolate(DiscountCurve,AK31),(1+AN31*AP31)*AQ31)</f>
        <v>#VALUE!</v>
      </c>
      <c r="AN31" s="409" t="e">
        <f>_xll.qlInterpolationInterpolate(ExtFwdInterpolator,AK31)</f>
        <v>#VALUE!</v>
      </c>
      <c r="AO31" s="388" t="e">
        <f>_xll.qlCalendarAdvance(Calendar,AK31,$A$20,"Modified Following",TRUE)</f>
        <v>#NUM!</v>
      </c>
      <c r="AP31" s="407" t="e">
        <f>_xll.qlDayCounterYearFraction(DayCounter,AK31,AO31)</f>
        <v>#NUM!</v>
      </c>
      <c r="AQ31" s="408" t="e">
        <f>IF($Y$1=AQ$20,_xll.qlInterpolationInterpolate(DiscountCurve,AO31),(1+AR31*AT31)*AU31)</f>
        <v>#VALUE!</v>
      </c>
      <c r="AR31" s="409" t="e">
        <f>_xll.qlInterpolationInterpolate(ExtFwdInterpolator,AO31)</f>
        <v>#VALUE!</v>
      </c>
      <c r="AS31" s="388" t="e">
        <f>_xll.qlCalendarAdvance(Calendar,AO31,$A$20,"Modified Following",TRUE)</f>
        <v>#NUM!</v>
      </c>
      <c r="AT31" s="407" t="e">
        <f>_xll.qlDayCounterYearFraction(DayCounter,AO31,AS31)</f>
        <v>#NUM!</v>
      </c>
      <c r="AU31" s="408" t="e">
        <f>IF($Y$1=AU$20,_xll.qlInterpolationInterpolate(DiscountCurve,AS31),(1+AV31*AX31)*AY31)</f>
        <v>#VALUE!</v>
      </c>
      <c r="AV31" s="409" t="e">
        <f>_xll.qlInterpolationInterpolate(ExtFwdInterpolator,AS31)</f>
        <v>#VALUE!</v>
      </c>
      <c r="AW31" s="388" t="e">
        <f>_xll.qlCalendarAdvance(Calendar,AS31,$A$20,"Modified Following",TRUE)</f>
        <v>#NUM!</v>
      </c>
      <c r="AX31" s="407" t="e">
        <f>_xll.qlDayCounterYearFraction(DayCounter,AS31,AW31)</f>
        <v>#NUM!</v>
      </c>
      <c r="AY31" s="408" t="e">
        <f>IF($Y$1=AY$20,_xll.qlInterpolationInterpolate(DiscountCurve,AW31),(1+AZ31*BB31)*BC31)</f>
        <v>#VALUE!</v>
      </c>
      <c r="AZ31" s="409" t="e">
        <f>_xll.qlInterpolationInterpolate(ExtFwdInterpolator,AW31)</f>
        <v>#VALUE!</v>
      </c>
      <c r="BA31" s="388" t="e">
        <f>_xll.qlCalendarAdvance(Calendar,AW31,$A$20,"Modified Following",TRUE)</f>
        <v>#NUM!</v>
      </c>
      <c r="BB31" s="407" t="e">
        <f>_xll.qlDayCounterYearFraction(DayCounter,AW31,BA31)</f>
        <v>#NUM!</v>
      </c>
      <c r="BC31" s="408" t="e">
        <f>IF($Y$1=BC$20,_xll.qlInterpolationInterpolate(DiscountCurve,BA31),(1+BD31*BF31)*BG31)</f>
        <v>#VALUE!</v>
      </c>
      <c r="BD31" s="409" t="e">
        <f>_xll.qlInterpolationInterpolate(ExtFwdInterpolator,BA31)</f>
        <v>#VALUE!</v>
      </c>
      <c r="BE31" s="388" t="e">
        <f>_xll.qlCalendarAdvance(Calendar,BA31,$A$20,"Modified Following",TRUE)</f>
        <v>#NUM!</v>
      </c>
      <c r="BF31" s="407" t="e">
        <f>_xll.qlDayCounterYearFraction(DayCounter,BA31,BE31)</f>
        <v>#NUM!</v>
      </c>
      <c r="BG31" s="408" t="e">
        <f>IF($Y$1=BG$20,_xll.qlInterpolationInterpolate(DiscountCurve,BE31),(1+BH31*BJ31)*BK31)</f>
        <v>#VALUE!</v>
      </c>
      <c r="BH31" s="409" t="e">
        <f>_xll.qlInterpolationInterpolate(ExtFwdInterpolator,BE31)</f>
        <v>#VALUE!</v>
      </c>
      <c r="BI31" s="388" t="e">
        <f>_xll.qlCalendarAdvance(Calendar,BE31,$A$20,"Modified Following",TRUE)</f>
        <v>#NUM!</v>
      </c>
      <c r="BJ31" s="407" t="e">
        <f>_xll.qlDayCounterYearFraction(DayCounter,BE31,BI31)</f>
        <v>#NUM!</v>
      </c>
      <c r="BK31" s="408" t="e">
        <f>IF($Y$1=BK$20,_xll.qlInterpolationInterpolate(DiscountCurve,BI31),(1+BL31*BN31)*BO31)</f>
        <v>#VALUE!</v>
      </c>
      <c r="BL31" s="421" t="e">
        <f>_xll.qlInterpolationInterpolate(ExtFwdInterpolator,BI31,TRUE)</f>
        <v>#VALUE!</v>
      </c>
      <c r="BM31" s="388" t="e">
        <f>_xll.qlCalendarAdvance(Calendar,BI31,$A$20,"Modified Following",TRUE)</f>
        <v>#NUM!</v>
      </c>
      <c r="BN31" s="407" t="e">
        <f>_xll.qlDayCounterYearFraction(DayCounter,BI31,BM31)</f>
        <v>#NUM!</v>
      </c>
      <c r="BO31" s="422">
        <f>IF($Y$1=BO$20,_xll.qlInterpolationInterpolate(DiscountCurve,BM31,TRUE),(1+BP31*BR31)*BS31)</f>
        <v>0</v>
      </c>
    </row>
    <row r="32" spans="1:67" x14ac:dyDescent="0.2">
      <c r="A32" s="410">
        <v>12</v>
      </c>
      <c r="B32" s="397" t="str">
        <f t="shared" si="14"/>
        <v>12x18F</v>
      </c>
      <c r="C32" s="397" t="str">
        <f t="shared" si="10"/>
        <v>USD_YC6MRH_12x18F</v>
      </c>
      <c r="D32" s="401">
        <f>_xll.qlRateHelperEarliestDate($C32,EvaluationDate)</f>
        <v>41939</v>
      </c>
      <c r="E32" s="401">
        <f>_xll.qlRateHelperLatestDate($C32,EvaluationDate)</f>
        <v>42121</v>
      </c>
      <c r="F32" s="413" t="e">
        <f>_xll.qlRateHelperQuoteValue($C32,SheetTrigger)</f>
        <v>#NUM!</v>
      </c>
      <c r="G32" s="414"/>
      <c r="H32" s="401">
        <f t="shared" si="0"/>
        <v>41939</v>
      </c>
      <c r="I32" s="401" t="b">
        <v>1</v>
      </c>
      <c r="J32" s="415" t="e">
        <f t="shared" si="11"/>
        <v>#NUM!</v>
      </c>
      <c r="K32" s="416" t="b">
        <f t="shared" si="12"/>
        <v>0</v>
      </c>
      <c r="L32" s="343" t="e">
        <f t="shared" si="1"/>
        <v>#NUM!</v>
      </c>
      <c r="M32" s="343" t="e">
        <f t="shared" si="2"/>
        <v>#NUM!</v>
      </c>
      <c r="N32" s="416" t="b">
        <f t="shared" si="13"/>
        <v>0</v>
      </c>
      <c r="O32" s="415" t="e">
        <f>_xll.qlInterpolationInterpolate($O$21,$H32)</f>
        <v>#VALUE!</v>
      </c>
      <c r="P32" s="417" t="e">
        <f t="shared" si="3"/>
        <v>#NUM!</v>
      </c>
      <c r="Q32" s="418">
        <f>_xll.qlDayCounterYearFraction(DayCounter,$H32,$E32)</f>
        <v>0.50555555555555554</v>
      </c>
      <c r="R32" s="419" t="e">
        <f t="shared" si="4"/>
        <v>#VALUE!</v>
      </c>
      <c r="S32" s="398" t="e">
        <f t="shared" si="5"/>
        <v>#NUM!</v>
      </c>
      <c r="T32" s="420" t="e">
        <f t="shared" si="6"/>
        <v>#NUM!</v>
      </c>
      <c r="U32" s="376" t="e">
        <v>#N/A</v>
      </c>
      <c r="V32" s="377" t="e">
        <v>#VALUE!</v>
      </c>
      <c r="W32" s="400"/>
    </row>
    <row r="33" spans="1:29" x14ac:dyDescent="0.2">
      <c r="A33" s="410">
        <v>18</v>
      </c>
      <c r="B33" s="346" t="str">
        <f t="shared" si="14"/>
        <v>18x24F</v>
      </c>
      <c r="C33" s="346" t="str">
        <f t="shared" si="10"/>
        <v>USD_YC6MRH_18x24F</v>
      </c>
      <c r="D33" s="388">
        <f>_xll.qlRateHelperEarliestDate($C33,EvaluationDate)</f>
        <v>42121</v>
      </c>
      <c r="E33" s="388">
        <f>_xll.qlRateHelperLatestDate($C33,EvaluationDate)</f>
        <v>42304</v>
      </c>
      <c r="F33" s="386" t="e">
        <f>_xll.qlRateHelperQuoteValue($C33,SheetTrigger)</f>
        <v>#NUM!</v>
      </c>
      <c r="G33" s="423"/>
      <c r="H33" s="388">
        <f t="shared" si="0"/>
        <v>42121</v>
      </c>
      <c r="I33" s="388" t="b">
        <v>1</v>
      </c>
      <c r="J33" s="390" t="e">
        <f t="shared" si="11"/>
        <v>#NUM!</v>
      </c>
      <c r="K33" s="348" t="b">
        <f t="shared" si="12"/>
        <v>0</v>
      </c>
      <c r="L33" s="384" t="e">
        <f t="shared" si="1"/>
        <v>#NUM!</v>
      </c>
      <c r="M33" s="384" t="e">
        <f t="shared" si="2"/>
        <v>#NUM!</v>
      </c>
      <c r="N33" s="348" t="b">
        <f t="shared" si="13"/>
        <v>0</v>
      </c>
      <c r="O33" s="500" t="e">
        <f>_xll.qlInterpolationInterpolate($O$21,$H33,TRUE)</f>
        <v>#VALUE!</v>
      </c>
      <c r="P33" s="392" t="e">
        <f t="shared" si="3"/>
        <v>#NUM!</v>
      </c>
      <c r="Q33" s="393">
        <f>_xll.qlDayCounterYearFraction(DayCounter,$H33,$E33)</f>
        <v>0.5083333333333333</v>
      </c>
      <c r="R33" s="347" t="e">
        <f t="shared" si="4"/>
        <v>#VALUE!</v>
      </c>
      <c r="S33" s="405" t="e">
        <f t="shared" si="5"/>
        <v>#NUM!</v>
      </c>
      <c r="T33" s="396" t="e">
        <f t="shared" si="6"/>
        <v>#NUM!</v>
      </c>
      <c r="U33" s="376" t="e">
        <v>#N/A</v>
      </c>
      <c r="V33" s="377" t="e">
        <v>#VALUE!</v>
      </c>
      <c r="W33" s="400"/>
    </row>
    <row r="34" spans="1:29" x14ac:dyDescent="0.2">
      <c r="A34" s="344" t="b">
        <v>0</v>
      </c>
      <c r="B34" s="397" t="str">
        <f>"IMMFRA"&amp;IndexTenor&amp;_xll.qlIMMNextCodes(EvaluationDate+2,A34)</f>
        <v>IMMFRA6MX3</v>
      </c>
      <c r="C34" s="397" t="str">
        <f>RateHelperPrefix&amp;$B34</f>
        <v>USD_YC6MRH_IMMFRA6MX3</v>
      </c>
      <c r="D34" s="401">
        <f>_xll.qlRateHelperEarliestDate($C34,EvaluationDate)</f>
        <v>41598</v>
      </c>
      <c r="E34" s="401">
        <f>_xll.qlRateHelperLatestDate($C34,EvaluationDate)</f>
        <v>41779</v>
      </c>
      <c r="F34" s="424" t="e">
        <f>_xll.qlRateHelperQuoteValue($C34,SheetTrigger)</f>
        <v>#NUM!</v>
      </c>
      <c r="G34" s="415">
        <f>_xll.qlFuturesRateHelperConvexityAdjustment($C34,SheetTrigger)</f>
        <v>0</v>
      </c>
      <c r="H34" s="401">
        <f>$D34</f>
        <v>41598</v>
      </c>
      <c r="I34" s="343" t="b">
        <f>ISNA(VLOOKUP(H34,$H$24:$H$33,1,FALSE))</f>
        <v>1</v>
      </c>
      <c r="J34" s="415" t="e">
        <f>1-$F34/100-$G34</f>
        <v>#NUM!</v>
      </c>
      <c r="K34" s="416" t="b">
        <f>AND(ISNUMBER(J34),I34,UseSecondSet)</f>
        <v>0</v>
      </c>
      <c r="L34" s="343" t="e">
        <f t="shared" si="1"/>
        <v>#NUM!</v>
      </c>
      <c r="M34" s="343" t="e">
        <f t="shared" si="2"/>
        <v>#NUM!</v>
      </c>
      <c r="N34" s="416" t="b">
        <f t="shared" si="13"/>
        <v>0</v>
      </c>
      <c r="O34" s="415" t="e">
        <f>_xll.qlInterpolationInterpolate($O$21,$H34)</f>
        <v>#VALUE!</v>
      </c>
      <c r="P34" s="417" t="e">
        <f t="shared" si="3"/>
        <v>#NUM!</v>
      </c>
      <c r="Q34" s="418">
        <f>_xll.qlDayCounterYearFraction(DayCounter,$H34,$E34)</f>
        <v>0.50277777777777777</v>
      </c>
      <c r="R34" s="419" t="e">
        <f t="shared" si="4"/>
        <v>#VALUE!</v>
      </c>
      <c r="S34" s="398" t="e">
        <f t="shared" ref="S34:S44" si="15">IF($L34,(TOY*(1+$J34*$Q34)-1)/$Q34,IF($M34,(_TOY2*(1+$J34*$Q34)-1)/$Q34,$J34))</f>
        <v>#NUM!</v>
      </c>
      <c r="T34" s="420" t="e">
        <f>S34-J34</f>
        <v>#NUM!</v>
      </c>
      <c r="U34" s="376" t="e">
        <v>#N/A</v>
      </c>
      <c r="V34" s="425" t="e">
        <v>#VALUE!</v>
      </c>
      <c r="W34" s="415"/>
    </row>
    <row r="35" spans="1:29" x14ac:dyDescent="0.2">
      <c r="A35" s="344" t="b">
        <v>0</v>
      </c>
      <c r="B35" s="397" t="str">
        <f>"IMMFRA"&amp;IndexTenor&amp;_xll.qlIMMNextCodes(D34,A35)</f>
        <v>IMMFRA6MZ3</v>
      </c>
      <c r="C35" s="397" t="str">
        <f>RateHelperPrefix&amp;$B35</f>
        <v>USD_YC6MRH_IMMFRA6MZ3</v>
      </c>
      <c r="D35" s="401">
        <f>_xll.qlRateHelperEarliestDate($C35,EvaluationDate)</f>
        <v>41626</v>
      </c>
      <c r="E35" s="401">
        <f>_xll.qlRateHelperLatestDate($C35,EvaluationDate)</f>
        <v>41808</v>
      </c>
      <c r="F35" s="424" t="e">
        <f>_xll.qlRateHelperQuoteValue($C35,SheetTrigger)</f>
        <v>#NUM!</v>
      </c>
      <c r="G35" s="415">
        <f>_xll.qlFuturesRateHelperConvexityAdjustment($C35,SheetTrigger)</f>
        <v>0</v>
      </c>
      <c r="H35" s="401">
        <f>$D35</f>
        <v>41626</v>
      </c>
      <c r="I35" s="343" t="b">
        <f>ISNA(VLOOKUP(H35,$H$24:$H$33,1,FALSE))</f>
        <v>1</v>
      </c>
      <c r="J35" s="415" t="e">
        <f>1-$F35/100-$G35</f>
        <v>#NUM!</v>
      </c>
      <c r="K35" s="416" t="b">
        <f>AND(ISNUMBER(J35),I35,UseSecondSet)</f>
        <v>0</v>
      </c>
      <c r="L35" s="343" t="e">
        <f t="shared" si="1"/>
        <v>#NUM!</v>
      </c>
      <c r="M35" s="343" t="e">
        <f t="shared" si="2"/>
        <v>#NUM!</v>
      </c>
      <c r="N35" s="416" t="b">
        <f>IF(K35,AND(NOT($L35),NOT($M35)),FALSE)</f>
        <v>0</v>
      </c>
      <c r="O35" s="415" t="e">
        <f>_xll.qlInterpolationInterpolate($O$21,$H35)</f>
        <v>#VALUE!</v>
      </c>
      <c r="P35" s="417" t="e">
        <f t="shared" si="3"/>
        <v>#NUM!</v>
      </c>
      <c r="Q35" s="418">
        <f>_xll.qlDayCounterYearFraction(DayCounter,$H35,$E35)</f>
        <v>0.50555555555555554</v>
      </c>
      <c r="R35" s="419" t="e">
        <f t="shared" si="4"/>
        <v>#VALUE!</v>
      </c>
      <c r="S35" s="398" t="e">
        <f t="shared" si="15"/>
        <v>#NUM!</v>
      </c>
      <c r="T35" s="420" t="e">
        <f>S35-J35</f>
        <v>#NUM!</v>
      </c>
      <c r="U35" s="376" t="e">
        <v>#N/A</v>
      </c>
      <c r="V35" s="425" t="e">
        <v>#VALUE!</v>
      </c>
      <c r="W35" s="415"/>
    </row>
    <row r="36" spans="1:29" x14ac:dyDescent="0.2">
      <c r="A36" s="344" t="b">
        <v>0</v>
      </c>
      <c r="B36" s="397" t="str">
        <f>"IMMFRA"&amp;IndexTenor&amp;_xll.qlIMMNextCodes(D35,A36)</f>
        <v>IMMFRA6MF4</v>
      </c>
      <c r="C36" s="397" t="str">
        <f>RateHelperPrefix&amp;$B36</f>
        <v>USD_YC6MRH_IMMFRA6MF4</v>
      </c>
      <c r="D36" s="401">
        <f>_xll.qlRateHelperEarliestDate($C36,EvaluationDate)</f>
        <v>41654</v>
      </c>
      <c r="E36" s="401">
        <f>_xll.qlRateHelperLatestDate($C36,EvaluationDate)</f>
        <v>41835</v>
      </c>
      <c r="F36" s="424" t="e">
        <f>_xll.qlRateHelperQuoteValue($C36,SheetTrigger)</f>
        <v>#NUM!</v>
      </c>
      <c r="G36" s="415">
        <f>_xll.qlFuturesRateHelperConvexityAdjustment($C36,SheetTrigger)</f>
        <v>0</v>
      </c>
      <c r="H36" s="401">
        <f>$D36</f>
        <v>41654</v>
      </c>
      <c r="I36" s="343" t="b">
        <f>ISNA(VLOOKUP(H36,$H$24:$H$33,1,FALSE))</f>
        <v>1</v>
      </c>
      <c r="J36" s="415" t="e">
        <f>1-$F36/100-$G36</f>
        <v>#NUM!</v>
      </c>
      <c r="K36" s="416" t="b">
        <f>AND(ISNUMBER(J36),I36,UseSecondSet)</f>
        <v>0</v>
      </c>
      <c r="L36" s="343" t="e">
        <f t="shared" si="1"/>
        <v>#NUM!</v>
      </c>
      <c r="M36" s="343" t="e">
        <f t="shared" si="2"/>
        <v>#NUM!</v>
      </c>
      <c r="N36" s="416" t="b">
        <f t="shared" si="13"/>
        <v>0</v>
      </c>
      <c r="O36" s="415" t="e">
        <f>_xll.qlInterpolationInterpolate($O$21,$H36)</f>
        <v>#VALUE!</v>
      </c>
      <c r="P36" s="417" t="e">
        <f t="shared" si="3"/>
        <v>#NUM!</v>
      </c>
      <c r="Q36" s="418">
        <f>_xll.qlDayCounterYearFraction(DayCounter,$H36,$E36)</f>
        <v>0.50277777777777777</v>
      </c>
      <c r="R36" s="419" t="e">
        <f t="shared" si="4"/>
        <v>#VALUE!</v>
      </c>
      <c r="S36" s="398" t="e">
        <f t="shared" si="15"/>
        <v>#NUM!</v>
      </c>
      <c r="T36" s="420" t="e">
        <f>S36-J36</f>
        <v>#NUM!</v>
      </c>
      <c r="U36" s="376" t="e">
        <v>#N/A</v>
      </c>
      <c r="V36" s="425" t="e">
        <v>#VALUE!</v>
      </c>
      <c r="W36" s="415"/>
      <c r="Z36" s="349" t="s">
        <v>91</v>
      </c>
      <c r="AA36" s="364" t="s">
        <v>76</v>
      </c>
      <c r="AB36" s="342">
        <v>0</v>
      </c>
      <c r="AC36" s="344" t="s">
        <v>114</v>
      </c>
    </row>
    <row r="37" spans="1:29" x14ac:dyDescent="0.2">
      <c r="A37" s="344" t="b">
        <v>0</v>
      </c>
      <c r="B37" s="397" t="str">
        <f>"IMMFRA"&amp;IndexTenor&amp;_xll.qlIMMNextCodes(D36,A37)</f>
        <v>IMMFRA6MG4</v>
      </c>
      <c r="C37" s="397" t="str">
        <f>RateHelperPrefix&amp;$B37</f>
        <v>USD_YC6MRH_IMMFRA6MG4</v>
      </c>
      <c r="D37" s="401">
        <f>_xll.qlRateHelperEarliestDate($C37,EvaluationDate)</f>
        <v>41689</v>
      </c>
      <c r="E37" s="401">
        <f>_xll.qlRateHelperLatestDate($C37,EvaluationDate)</f>
        <v>41870</v>
      </c>
      <c r="F37" s="424" t="e">
        <f>_xll.qlRateHelperQuoteValue($C37,SheetTrigger)</f>
        <v>#NUM!</v>
      </c>
      <c r="G37" s="415">
        <f>_xll.qlFuturesRateHelperConvexityAdjustment($C37,SheetTrigger)</f>
        <v>0</v>
      </c>
      <c r="H37" s="401">
        <f>$D37</f>
        <v>41689</v>
      </c>
      <c r="I37" s="343" t="b">
        <f>ISNA(VLOOKUP(H37,$H$24:$H$33,1,FALSE))</f>
        <v>1</v>
      </c>
      <c r="J37" s="415" t="e">
        <f>1-$F37/100-$G37</f>
        <v>#NUM!</v>
      </c>
      <c r="K37" s="416" t="b">
        <f>AND(ISNUMBER(J37),I37,UseSecondSet)</f>
        <v>0</v>
      </c>
      <c r="L37" s="343" t="e">
        <f t="shared" si="1"/>
        <v>#NUM!</v>
      </c>
      <c r="M37" s="343" t="e">
        <f t="shared" si="2"/>
        <v>#NUM!</v>
      </c>
      <c r="N37" s="416" t="b">
        <f t="shared" si="13"/>
        <v>0</v>
      </c>
      <c r="O37" s="415" t="e">
        <f>_xll.qlInterpolationInterpolate($O$21,$H37)</f>
        <v>#VALUE!</v>
      </c>
      <c r="P37" s="417" t="e">
        <f t="shared" si="3"/>
        <v>#NUM!</v>
      </c>
      <c r="Q37" s="418">
        <f>_xll.qlDayCounterYearFraction(DayCounter,$H37,$E37)</f>
        <v>0.50277777777777777</v>
      </c>
      <c r="R37" s="419" t="e">
        <f t="shared" si="4"/>
        <v>#VALUE!</v>
      </c>
      <c r="S37" s="398" t="e">
        <f t="shared" si="15"/>
        <v>#NUM!</v>
      </c>
      <c r="T37" s="420" t="e">
        <f>S37-J37</f>
        <v>#NUM!</v>
      </c>
      <c r="U37" s="376" t="e">
        <v>#N/A</v>
      </c>
      <c r="V37" s="425" t="e">
        <v>#VALUE!</v>
      </c>
      <c r="W37" s="415"/>
      <c r="Z37" s="397" t="s">
        <v>92</v>
      </c>
      <c r="AA37" s="343" t="s">
        <v>75</v>
      </c>
      <c r="AB37" s="416">
        <v>4</v>
      </c>
      <c r="AC37" s="344" t="s">
        <v>115</v>
      </c>
    </row>
    <row r="38" spans="1:29" x14ac:dyDescent="0.2">
      <c r="A38" s="344" t="b">
        <v>0</v>
      </c>
      <c r="B38" s="346" t="str">
        <f>"IMMFRA"&amp;IndexTenor&amp;_xll.qlIMMNextCodes(D37,A38)</f>
        <v>IMMFRA6MH4</v>
      </c>
      <c r="C38" s="346" t="str">
        <f>RateHelperPrefix&amp;$B38</f>
        <v>USD_YC6MRH_IMMFRA6MH4</v>
      </c>
      <c r="D38" s="388">
        <f>_xll.qlRateHelperEarliestDate($C38,EvaluationDate)</f>
        <v>41717</v>
      </c>
      <c r="E38" s="388">
        <f>_xll.qlRateHelperLatestDate($C38,EvaluationDate)</f>
        <v>41901</v>
      </c>
      <c r="F38" s="426" t="e">
        <f>_xll.qlRateHelperQuoteValue($C38,SheetTrigger)</f>
        <v>#NUM!</v>
      </c>
      <c r="G38" s="390">
        <f>_xll.qlFuturesRateHelperConvexityAdjustment($C38,SheetTrigger)</f>
        <v>0</v>
      </c>
      <c r="H38" s="388">
        <f>$D38</f>
        <v>41717</v>
      </c>
      <c r="I38" s="384" t="b">
        <f>ISNA(VLOOKUP(H38,$H$24:$H$33,1,FALSE))</f>
        <v>1</v>
      </c>
      <c r="J38" s="390" t="e">
        <f>1-$F38/100-$G38</f>
        <v>#NUM!</v>
      </c>
      <c r="K38" s="348" t="b">
        <f>AND(ISNUMBER(J38),I38,UseSecondSet)</f>
        <v>0</v>
      </c>
      <c r="L38" s="384" t="e">
        <f t="shared" si="1"/>
        <v>#NUM!</v>
      </c>
      <c r="M38" s="384" t="e">
        <f t="shared" si="2"/>
        <v>#NUM!</v>
      </c>
      <c r="N38" s="348" t="b">
        <f t="shared" si="13"/>
        <v>0</v>
      </c>
      <c r="O38" s="390" t="e">
        <f>_xll.qlInterpolationInterpolate($O$21,$H38)</f>
        <v>#VALUE!</v>
      </c>
      <c r="P38" s="392" t="e">
        <f t="shared" si="3"/>
        <v>#NUM!</v>
      </c>
      <c r="Q38" s="393">
        <f>_xll.qlDayCounterYearFraction(DayCounter,$H38,$E38)</f>
        <v>0.51111111111111107</v>
      </c>
      <c r="R38" s="347" t="e">
        <f t="shared" si="4"/>
        <v>#VALUE!</v>
      </c>
      <c r="S38" s="405" t="e">
        <f t="shared" si="15"/>
        <v>#NUM!</v>
      </c>
      <c r="T38" s="396" t="e">
        <f>S38-J38</f>
        <v>#NUM!</v>
      </c>
      <c r="U38" s="376" t="e">
        <v>#N/A</v>
      </c>
      <c r="V38" s="425" t="e">
        <v>#VALUE!</v>
      </c>
      <c r="W38" s="415"/>
      <c r="Z38" s="397" t="s">
        <v>93</v>
      </c>
      <c r="AA38" s="343" t="s">
        <v>74</v>
      </c>
      <c r="AB38" s="416">
        <v>1</v>
      </c>
      <c r="AC38" s="344" t="b">
        <v>1</v>
      </c>
    </row>
    <row r="39" spans="1:29" x14ac:dyDescent="0.2">
      <c r="A39" s="344">
        <v>24</v>
      </c>
      <c r="B39" s="363" t="str">
        <f t="shared" ref="B39:B44" si="16">A39&amp;"x"&amp;(A39+$A$19)&amp;"F"</f>
        <v>24x30F</v>
      </c>
      <c r="C39" s="349"/>
      <c r="D39" s="364" t="str">
        <f t="shared" ref="D39:D44" si="17">A39&amp;"M"</f>
        <v>24M</v>
      </c>
      <c r="E39" s="427" t="e">
        <f>_xll.qlCalendarAdvance(Calendar,H39,$A$20,"Modified Following",TRUE)</f>
        <v>#NUM!</v>
      </c>
      <c r="F39" s="364"/>
      <c r="G39" s="364"/>
      <c r="H39" s="365" t="e">
        <f>_xll.qlCalendarAdvance(Calendar,SettlementDate,D39,"MF",TRUE)</f>
        <v>#NUM!</v>
      </c>
      <c r="I39" s="364" t="b">
        <v>1</v>
      </c>
      <c r="J39" s="374" t="e">
        <f>(_xll.qlInterpolationInterpolate(DiscountCurve,H39)/_xll.qlInterpolationInterpolate(DiscountCurve,E39)-1)/Q39</f>
        <v>#VALUE!</v>
      </c>
      <c r="K39" s="342" t="b">
        <f t="shared" ref="K39:K44" si="18">AND(ISNUMBER(J39),I39)</f>
        <v>0</v>
      </c>
      <c r="L39" s="349" t="e">
        <f t="shared" si="1"/>
        <v>#NUM!</v>
      </c>
      <c r="M39" s="364" t="e">
        <f t="shared" si="2"/>
        <v>#NUM!</v>
      </c>
      <c r="N39" s="342" t="b">
        <v>0</v>
      </c>
      <c r="O39" s="374" t="e">
        <f>_xll.qlInterpolationInterpolate($O$21,$H39)</f>
        <v>#VALUE!</v>
      </c>
      <c r="P39" s="364" t="e">
        <f t="shared" si="3"/>
        <v>#VALUE!</v>
      </c>
      <c r="Q39" s="428" t="e">
        <f>_xll.qlDayCounterYearFraction(DayCounter,H39,E39)</f>
        <v>#NUM!</v>
      </c>
      <c r="R39" s="364" t="e">
        <f t="shared" si="4"/>
        <v>#VALUE!</v>
      </c>
      <c r="S39" s="429" t="e">
        <f t="shared" si="15"/>
        <v>#NUM!</v>
      </c>
      <c r="T39" s="430" t="e">
        <f t="shared" ref="T39:T44" si="19">S39-J39</f>
        <v>#NUM!</v>
      </c>
      <c r="U39" s="376" t="e">
        <v>#N/A</v>
      </c>
      <c r="V39" s="377" t="e">
        <v>#VALUE!</v>
      </c>
      <c r="W39" s="400"/>
      <c r="Z39" s="346"/>
      <c r="AA39" s="384" t="s">
        <v>73</v>
      </c>
      <c r="AB39" s="348">
        <v>3</v>
      </c>
    </row>
    <row r="40" spans="1:29" x14ac:dyDescent="0.2">
      <c r="A40" s="344">
        <v>30</v>
      </c>
      <c r="B40" s="432" t="str">
        <f t="shared" si="16"/>
        <v>30x36F</v>
      </c>
      <c r="C40" s="397"/>
      <c r="D40" s="343" t="str">
        <f t="shared" si="17"/>
        <v>30M</v>
      </c>
      <c r="E40" s="433" t="e">
        <f>_xll.qlCalendarAdvance(Calendar,H40,$A$20,"Modified Following",TRUE)</f>
        <v>#NUM!</v>
      </c>
      <c r="F40" s="343"/>
      <c r="G40" s="343"/>
      <c r="H40" s="401" t="e">
        <f>_xll.qlCalendarAdvance(Calendar,SettlementDate,D40,"MF",TRUE)</f>
        <v>#NUM!</v>
      </c>
      <c r="I40" s="343" t="b">
        <v>1</v>
      </c>
      <c r="J40" s="400" t="e">
        <f>(_xll.qlInterpolationInterpolate(DiscountCurve,H40)/_xll.qlInterpolationInterpolate(DiscountCurve,E40)-1)/Q40</f>
        <v>#VALUE!</v>
      </c>
      <c r="K40" s="416" t="b">
        <f t="shared" si="18"/>
        <v>0</v>
      </c>
      <c r="L40" s="397" t="e">
        <f t="shared" si="1"/>
        <v>#NUM!</v>
      </c>
      <c r="M40" s="343" t="e">
        <f t="shared" si="2"/>
        <v>#NUM!</v>
      </c>
      <c r="N40" s="416" t="b">
        <v>0</v>
      </c>
      <c r="O40" s="400" t="e">
        <f>_xll.qlInterpolationInterpolate($O$21,$H40)</f>
        <v>#VALUE!</v>
      </c>
      <c r="P40" s="343" t="e">
        <f t="shared" si="3"/>
        <v>#VALUE!</v>
      </c>
      <c r="Q40" s="434" t="e">
        <f>_xll.qlDayCounterYearFraction(DayCounter,H40,E40)</f>
        <v>#NUM!</v>
      </c>
      <c r="R40" s="343" t="e">
        <f t="shared" si="4"/>
        <v>#VALUE!</v>
      </c>
      <c r="S40" s="435" t="e">
        <f t="shared" si="15"/>
        <v>#NUM!</v>
      </c>
      <c r="T40" s="436" t="e">
        <f t="shared" si="19"/>
        <v>#NUM!</v>
      </c>
      <c r="U40" s="376" t="e">
        <v>#N/A</v>
      </c>
      <c r="V40" s="377" t="e">
        <v>#VALUE!</v>
      </c>
      <c r="W40" s="400"/>
      <c r="Z40" s="349" t="s">
        <v>94</v>
      </c>
      <c r="AA40" s="364" t="s">
        <v>77</v>
      </c>
      <c r="AB40" s="451">
        <f>MATCH(AC40,{"InterpFRA","C2","Diff"},0)-1</f>
        <v>0</v>
      </c>
      <c r="AC40" s="431" t="s">
        <v>120</v>
      </c>
    </row>
    <row r="41" spans="1:29" x14ac:dyDescent="0.2">
      <c r="A41" s="344">
        <v>36</v>
      </c>
      <c r="B41" s="432" t="str">
        <f t="shared" si="16"/>
        <v>36x42F</v>
      </c>
      <c r="C41" s="397"/>
      <c r="D41" s="343" t="str">
        <f t="shared" si="17"/>
        <v>36M</v>
      </c>
      <c r="E41" s="433" t="e">
        <f>_xll.qlCalendarAdvance(Calendar,H41,$A$20,"Modified Following",TRUE)</f>
        <v>#NUM!</v>
      </c>
      <c r="F41" s="343"/>
      <c r="G41" s="343"/>
      <c r="H41" s="401" t="e">
        <f>_xll.qlCalendarAdvance(Calendar,SettlementDate,D41,"MF",TRUE)</f>
        <v>#NUM!</v>
      </c>
      <c r="I41" s="343" t="b">
        <v>1</v>
      </c>
      <c r="J41" s="400" t="e">
        <f>(_xll.qlInterpolationInterpolate(DiscountCurve,H41)/_xll.qlInterpolationInterpolate(DiscountCurve,E41)-1)/Q41</f>
        <v>#VALUE!</v>
      </c>
      <c r="K41" s="416" t="b">
        <f t="shared" si="18"/>
        <v>0</v>
      </c>
      <c r="L41" s="397" t="e">
        <f t="shared" si="1"/>
        <v>#NUM!</v>
      </c>
      <c r="M41" s="343" t="e">
        <f t="shared" si="2"/>
        <v>#NUM!</v>
      </c>
      <c r="N41" s="416" t="b">
        <v>0</v>
      </c>
      <c r="O41" s="400" t="e">
        <f>_xll.qlInterpolationInterpolate($O$21,$H41)</f>
        <v>#VALUE!</v>
      </c>
      <c r="P41" s="343" t="e">
        <f t="shared" si="3"/>
        <v>#VALUE!</v>
      </c>
      <c r="Q41" s="434" t="e">
        <f>_xll.qlDayCounterYearFraction(DayCounter,H41,E41)</f>
        <v>#NUM!</v>
      </c>
      <c r="R41" s="343" t="e">
        <f t="shared" si="4"/>
        <v>#VALUE!</v>
      </c>
      <c r="S41" s="435" t="e">
        <f t="shared" si="15"/>
        <v>#NUM!</v>
      </c>
      <c r="T41" s="436" t="e">
        <f t="shared" si="19"/>
        <v>#NUM!</v>
      </c>
      <c r="U41" s="376" t="e">
        <v>#N/A</v>
      </c>
      <c r="V41" s="377" t="e">
        <v>#VALUE!</v>
      </c>
      <c r="W41" s="400"/>
      <c r="Z41" s="397" t="s">
        <v>95</v>
      </c>
      <c r="AA41" s="343" t="s">
        <v>78</v>
      </c>
      <c r="AB41" s="416">
        <f>MATCH(AC41,{"Linear","Bspline","Kruger"},0)-1</f>
        <v>2</v>
      </c>
      <c r="AC41" s="437" t="s">
        <v>121</v>
      </c>
    </row>
    <row r="42" spans="1:29" x14ac:dyDescent="0.2">
      <c r="A42" s="344">
        <v>42</v>
      </c>
      <c r="B42" s="432" t="str">
        <f t="shared" si="16"/>
        <v>42x48F</v>
      </c>
      <c r="C42" s="397"/>
      <c r="D42" s="343" t="str">
        <f t="shared" si="17"/>
        <v>42M</v>
      </c>
      <c r="E42" s="433" t="e">
        <f>_xll.qlCalendarAdvance(Calendar,H42,$A$20,"Modified Following",TRUE)</f>
        <v>#NUM!</v>
      </c>
      <c r="F42" s="343"/>
      <c r="G42" s="343"/>
      <c r="H42" s="401" t="e">
        <f>_xll.qlCalendarAdvance(Calendar,SettlementDate,D42,"MF",TRUE)</f>
        <v>#NUM!</v>
      </c>
      <c r="I42" s="343" t="b">
        <v>1</v>
      </c>
      <c r="J42" s="400" t="e">
        <f>(_xll.qlInterpolationInterpolate(DiscountCurve,H42)/_xll.qlInterpolationInterpolate(DiscountCurve,E42)-1)/Q42</f>
        <v>#VALUE!</v>
      </c>
      <c r="K42" s="416" t="b">
        <f t="shared" si="18"/>
        <v>0</v>
      </c>
      <c r="L42" s="397" t="e">
        <f t="shared" si="1"/>
        <v>#NUM!</v>
      </c>
      <c r="M42" s="343" t="e">
        <f t="shared" si="2"/>
        <v>#NUM!</v>
      </c>
      <c r="N42" s="416" t="b">
        <v>0</v>
      </c>
      <c r="O42" s="400" t="e">
        <f>_xll.qlInterpolationInterpolate($O$21,$H42)</f>
        <v>#VALUE!</v>
      </c>
      <c r="P42" s="343" t="e">
        <f t="shared" si="3"/>
        <v>#VALUE!</v>
      </c>
      <c r="Q42" s="434" t="e">
        <f>_xll.qlDayCounterYearFraction(DayCounter,H42,E42)</f>
        <v>#NUM!</v>
      </c>
      <c r="R42" s="343" t="e">
        <f t="shared" si="4"/>
        <v>#VALUE!</v>
      </c>
      <c r="S42" s="435" t="e">
        <f t="shared" si="15"/>
        <v>#NUM!</v>
      </c>
      <c r="T42" s="436" t="e">
        <f t="shared" si="19"/>
        <v>#NUM!</v>
      </c>
      <c r="U42" s="376" t="e">
        <v>#N/A</v>
      </c>
      <c r="V42" s="377" t="e">
        <v>#VALUE!</v>
      </c>
      <c r="W42" s="400"/>
      <c r="Z42" s="397" t="s">
        <v>36</v>
      </c>
      <c r="AA42" s="343" t="s">
        <v>96</v>
      </c>
      <c r="AB42" s="416">
        <v>100</v>
      </c>
    </row>
    <row r="43" spans="1:29" x14ac:dyDescent="0.2">
      <c r="A43" s="344">
        <v>48</v>
      </c>
      <c r="B43" s="432" t="str">
        <f t="shared" si="16"/>
        <v>48x54F</v>
      </c>
      <c r="C43" s="397"/>
      <c r="D43" s="343" t="str">
        <f t="shared" si="17"/>
        <v>48M</v>
      </c>
      <c r="E43" s="433" t="e">
        <f>_xll.qlCalendarAdvance(Calendar,H43,$A$20,"Modified Following",TRUE)</f>
        <v>#NUM!</v>
      </c>
      <c r="F43" s="343"/>
      <c r="G43" s="343"/>
      <c r="H43" s="401" t="e">
        <f>_xll.qlCalendarAdvance(Calendar,SettlementDate,D43,"MF",TRUE)</f>
        <v>#NUM!</v>
      </c>
      <c r="I43" s="343" t="b">
        <v>1</v>
      </c>
      <c r="J43" s="400" t="e">
        <f>(_xll.qlInterpolationInterpolate(DiscountCurve,H43)/_xll.qlInterpolationInterpolate(DiscountCurve,E43)-1)/Q43</f>
        <v>#VALUE!</v>
      </c>
      <c r="K43" s="416" t="b">
        <f t="shared" si="18"/>
        <v>0</v>
      </c>
      <c r="L43" s="397" t="e">
        <f t="shared" si="1"/>
        <v>#NUM!</v>
      </c>
      <c r="M43" s="343" t="e">
        <f t="shared" si="2"/>
        <v>#NUM!</v>
      </c>
      <c r="N43" s="416" t="b">
        <v>0</v>
      </c>
      <c r="O43" s="400" t="e">
        <f>_xll.qlInterpolationInterpolate($O$21,$H43)</f>
        <v>#VALUE!</v>
      </c>
      <c r="P43" s="343" t="e">
        <f t="shared" si="3"/>
        <v>#VALUE!</v>
      </c>
      <c r="Q43" s="434" t="e">
        <f>_xll.qlDayCounterYearFraction(DayCounter,H43,E43)</f>
        <v>#NUM!</v>
      </c>
      <c r="R43" s="343" t="e">
        <f t="shared" si="4"/>
        <v>#VALUE!</v>
      </c>
      <c r="S43" s="435" t="e">
        <f t="shared" si="15"/>
        <v>#NUM!</v>
      </c>
      <c r="T43" s="436" t="e">
        <f t="shared" si="19"/>
        <v>#NUM!</v>
      </c>
      <c r="U43" s="376" t="e">
        <v>#N/A</v>
      </c>
      <c r="V43" s="377" t="e">
        <v>#VALUE!</v>
      </c>
      <c r="W43" s="400"/>
      <c r="Z43" s="397" t="s">
        <v>97</v>
      </c>
      <c r="AA43" s="343" t="s">
        <v>98</v>
      </c>
      <c r="AB43" s="416">
        <v>0</v>
      </c>
      <c r="AC43" s="344" t="b">
        <v>0</v>
      </c>
    </row>
    <row r="44" spans="1:29" x14ac:dyDescent="0.2">
      <c r="A44" s="344">
        <v>54</v>
      </c>
      <c r="B44" s="383" t="str">
        <f t="shared" si="16"/>
        <v>54x60F</v>
      </c>
      <c r="C44" s="346"/>
      <c r="D44" s="384" t="str">
        <f t="shared" si="17"/>
        <v>54M</v>
      </c>
      <c r="E44" s="438" t="e">
        <f>_xll.qlCalendarAdvance(Calendar,H44,$A$20,"Modified Following",TRUE)</f>
        <v>#NUM!</v>
      </c>
      <c r="F44" s="384"/>
      <c r="G44" s="384"/>
      <c r="H44" s="388" t="e">
        <f>_xll.qlCalendarAdvance(Calendar,SettlementDate,D44,"MF",TRUE)</f>
        <v>#NUM!</v>
      </c>
      <c r="I44" s="384" t="b">
        <v>1</v>
      </c>
      <c r="J44" s="439" t="e">
        <f>(_xll.qlInterpolationInterpolate(DiscountCurve,H44)/_xll.qlInterpolationInterpolate(DiscountCurve,E44,TRUE)-1)/Q44</f>
        <v>#VALUE!</v>
      </c>
      <c r="K44" s="348" t="b">
        <f t="shared" si="18"/>
        <v>0</v>
      </c>
      <c r="L44" s="346" t="e">
        <f t="shared" si="1"/>
        <v>#NUM!</v>
      </c>
      <c r="M44" s="384" t="e">
        <f t="shared" si="2"/>
        <v>#NUM!</v>
      </c>
      <c r="N44" s="348" t="b">
        <v>0</v>
      </c>
      <c r="O44" s="395" t="e">
        <f>_xll.qlInterpolationInterpolate($O$21,$H44)</f>
        <v>#VALUE!</v>
      </c>
      <c r="P44" s="384" t="e">
        <f t="shared" si="3"/>
        <v>#VALUE!</v>
      </c>
      <c r="Q44" s="440" t="e">
        <f>_xll.qlDayCounterYearFraction(DayCounter,H44,E44)</f>
        <v>#NUM!</v>
      </c>
      <c r="R44" s="384" t="e">
        <f t="shared" si="4"/>
        <v>#VALUE!</v>
      </c>
      <c r="S44" s="441" t="e">
        <f t="shared" si="15"/>
        <v>#NUM!</v>
      </c>
      <c r="T44" s="442" t="e">
        <f t="shared" si="19"/>
        <v>#NUM!</v>
      </c>
      <c r="U44" s="443" t="e">
        <v>#N/A</v>
      </c>
      <c r="V44" s="444" t="e">
        <v>#VALUE!</v>
      </c>
      <c r="W44" s="400"/>
      <c r="Z44" s="397" t="s">
        <v>99</v>
      </c>
      <c r="AA44" s="343" t="s">
        <v>100</v>
      </c>
      <c r="AB44" s="416">
        <v>1</v>
      </c>
      <c r="AC44" s="344" t="b">
        <v>1</v>
      </c>
    </row>
    <row r="45" spans="1:29" x14ac:dyDescent="0.2">
      <c r="Z45" s="346"/>
      <c r="AA45" s="384" t="s">
        <v>101</v>
      </c>
      <c r="AB45" s="348">
        <v>0</v>
      </c>
      <c r="AC45" s="344" t="b">
        <v>0</v>
      </c>
    </row>
    <row r="46" spans="1:29" x14ac:dyDescent="0.2">
      <c r="I46" s="344" t="s">
        <v>129</v>
      </c>
      <c r="J46" s="457">
        <v>3.3352706097987871E-2</v>
      </c>
      <c r="K46" s="456" t="e">
        <f t="shared" ref="K46:K51" si="20">J46-J39</f>
        <v>#VALUE!</v>
      </c>
      <c r="Z46" s="349"/>
      <c r="AA46" s="364" t="s">
        <v>102</v>
      </c>
      <c r="AB46" s="342">
        <v>1000</v>
      </c>
    </row>
    <row r="47" spans="1:29" x14ac:dyDescent="0.2">
      <c r="I47" s="344" t="s">
        <v>130</v>
      </c>
      <c r="J47" s="457">
        <v>3.506774331127567E-2</v>
      </c>
      <c r="K47" s="456" t="e">
        <f t="shared" si="20"/>
        <v>#VALUE!</v>
      </c>
      <c r="Z47" s="397"/>
      <c r="AA47" s="343" t="s">
        <v>103</v>
      </c>
      <c r="AB47" s="452">
        <f>MATCH(AC47,{"End","Start","Stub"},0)-1</f>
        <v>0</v>
      </c>
      <c r="AC47" s="445" t="s">
        <v>122</v>
      </c>
    </row>
    <row r="48" spans="1:29" x14ac:dyDescent="0.2">
      <c r="I48" s="344" t="s">
        <v>131</v>
      </c>
      <c r="J48" s="457">
        <v>3.637961089895949E-2</v>
      </c>
      <c r="K48" s="456" t="e">
        <f t="shared" si="20"/>
        <v>#VALUE!</v>
      </c>
      <c r="Z48" s="397" t="s">
        <v>116</v>
      </c>
      <c r="AA48" s="343" t="s">
        <v>104</v>
      </c>
      <c r="AB48" s="416">
        <v>1</v>
      </c>
    </row>
    <row r="49" spans="9:29" x14ac:dyDescent="0.2">
      <c r="I49" s="344" t="s">
        <v>132</v>
      </c>
      <c r="J49" s="457">
        <v>3.7546817940022424E-2</v>
      </c>
      <c r="K49" s="456" t="e">
        <f t="shared" si="20"/>
        <v>#VALUE!</v>
      </c>
      <c r="Z49" s="397" t="s">
        <v>117</v>
      </c>
      <c r="AA49" s="343" t="s">
        <v>105</v>
      </c>
      <c r="AB49" s="416">
        <v>231</v>
      </c>
    </row>
    <row r="50" spans="9:29" x14ac:dyDescent="0.2">
      <c r="I50" s="344" t="s">
        <v>133</v>
      </c>
      <c r="J50" s="457">
        <v>3.8540578384056494E-2</v>
      </c>
      <c r="K50" s="456" t="e">
        <f t="shared" si="20"/>
        <v>#VALUE!</v>
      </c>
      <c r="Z50" s="397" t="s">
        <v>118</v>
      </c>
      <c r="AA50" s="343" t="s">
        <v>106</v>
      </c>
      <c r="AB50" s="453">
        <f>MATCH(AC50,{"Linear","Quadra","PWC","Bspline","Kruger"},0)-1</f>
        <v>4</v>
      </c>
      <c r="AC50" s="446" t="s">
        <v>121</v>
      </c>
    </row>
    <row r="51" spans="9:29" x14ac:dyDescent="0.2">
      <c r="I51" s="344" t="s">
        <v>134</v>
      </c>
      <c r="J51" s="457">
        <v>3.9088983473700809E-2</v>
      </c>
      <c r="K51" s="456" t="e">
        <f t="shared" si="20"/>
        <v>#VALUE!</v>
      </c>
      <c r="Z51" s="397" t="s">
        <v>119</v>
      </c>
      <c r="AA51" s="343" t="s">
        <v>107</v>
      </c>
      <c r="AB51" s="452">
        <f>MATCH(AC51,{"r","rt","d","f","cf"},0)</f>
        <v>2</v>
      </c>
      <c r="AC51" s="447" t="s">
        <v>123</v>
      </c>
    </row>
    <row r="52" spans="9:29" x14ac:dyDescent="0.2">
      <c r="Z52" s="397"/>
      <c r="AA52" s="343" t="s">
        <v>108</v>
      </c>
      <c r="AB52" s="452">
        <f>MATCH(AC52,{"Simple","Annual","Cont"},0)</f>
        <v>3</v>
      </c>
      <c r="AC52" s="448" t="s">
        <v>124</v>
      </c>
    </row>
    <row r="53" spans="9:29" x14ac:dyDescent="0.2">
      <c r="Z53" s="397"/>
      <c r="AA53" s="343" t="s">
        <v>109</v>
      </c>
      <c r="AB53" s="416">
        <v>5</v>
      </c>
    </row>
    <row r="54" spans="9:29" x14ac:dyDescent="0.2">
      <c r="Z54" s="397"/>
      <c r="AA54" s="343" t="s">
        <v>110</v>
      </c>
      <c r="AB54" s="416">
        <v>2</v>
      </c>
    </row>
    <row r="55" spans="9:29" x14ac:dyDescent="0.2">
      <c r="Z55" s="397"/>
      <c r="AA55" s="343" t="s">
        <v>111</v>
      </c>
      <c r="AB55" s="452">
        <f>MATCH(AC55,{"Standard","Adjusted"},0)-1</f>
        <v>0</v>
      </c>
      <c r="AC55" s="445" t="s">
        <v>125</v>
      </c>
    </row>
    <row r="56" spans="9:29" x14ac:dyDescent="0.2">
      <c r="Z56" s="346"/>
      <c r="AA56" s="384" t="s">
        <v>112</v>
      </c>
      <c r="AB56" s="348">
        <v>0</v>
      </c>
    </row>
    <row r="57" spans="9:29" x14ac:dyDescent="0.2">
      <c r="Z57" s="360"/>
      <c r="AA57" s="449" t="s">
        <v>113</v>
      </c>
      <c r="AB57" s="450">
        <v>0</v>
      </c>
      <c r="AC57" s="344" t="b">
        <v>0</v>
      </c>
    </row>
  </sheetData>
  <phoneticPr fontId="1" type="noConversion"/>
  <dataValidations disablePrompts="1" count="8">
    <dataValidation type="list" allowBlank="1" showInputMessage="1" showErrorMessage="1" sqref="U1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C40">
      <formula1>"InterpFRA,C2,Diff"</formula1>
    </dataValidation>
    <dataValidation type="list" allowBlank="1" showInputMessage="1" showErrorMessage="1" sqref="AC41">
      <formula1>"Linear,Bspline,Kruger"</formula1>
    </dataValidation>
    <dataValidation type="list" allowBlank="1" showInputMessage="1" showErrorMessage="1" sqref="AC47">
      <formula1>"End,Start,Stub"</formula1>
    </dataValidation>
    <dataValidation type="list" allowBlank="1" showInputMessage="1" showErrorMessage="1" sqref="AC52">
      <formula1>"Simple,Annual,Cont"</formula1>
    </dataValidation>
    <dataValidation type="list" allowBlank="1" showInputMessage="1" showErrorMessage="1" sqref="AC51">
      <formula1>"r,rt,d"</formula1>
    </dataValidation>
    <dataValidation type="list" allowBlank="1" showInputMessage="1" showErrorMessage="1" sqref="AC50">
      <formula1>"Linear,Quadra,PWC,Bspline,Kruger"</formula1>
    </dataValidation>
    <dataValidation type="list" allowBlank="1" showInputMessage="1" showErrorMessage="1" sqref="AC55">
      <formula1>"Standard,Adjusted"</formula1>
    </dataValidation>
  </dataValidations>
  <pageMargins left="0.75" right="0.75" top="1" bottom="1" header="0.5" footer="0.5"/>
  <pageSetup paperSize="9"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U74"/>
  <sheetViews>
    <sheetView topLeftCell="B1" workbookViewId="0">
      <selection activeCell="O2" sqref="O2"/>
    </sheetView>
  </sheetViews>
  <sheetFormatPr defaultRowHeight="11.25" x14ac:dyDescent="0.2"/>
  <cols>
    <col min="1" max="1" width="13.83203125" style="21" hidden="1" customWidth="1"/>
    <col min="2" max="2" width="14.33203125" style="21" bestFit="1" customWidth="1"/>
    <col min="3" max="3" width="25.33203125" style="21" bestFit="1" customWidth="1"/>
    <col min="4" max="4" width="16.5" style="21" bestFit="1" customWidth="1"/>
    <col min="5" max="5" width="16.33203125" style="21" bestFit="1" customWidth="1"/>
    <col min="6" max="6" width="8.83203125" style="21" bestFit="1" customWidth="1"/>
    <col min="7" max="7" width="8.33203125" style="21" bestFit="1" customWidth="1"/>
    <col min="8" max="8" width="16.5" style="21" bestFit="1" customWidth="1"/>
    <col min="9" max="9" width="6.6640625" style="21" bestFit="1" customWidth="1"/>
    <col min="10" max="11" width="9" style="21" bestFit="1" customWidth="1"/>
    <col min="12" max="14" width="6.6640625" style="21" bestFit="1" customWidth="1"/>
    <col min="15" max="15" width="14.33203125" style="21" bestFit="1" customWidth="1"/>
    <col min="16" max="16" width="24.83203125" style="21" bestFit="1" customWidth="1"/>
    <col min="17" max="17" width="6.6640625" style="21" bestFit="1" customWidth="1"/>
    <col min="18" max="18" width="11.83203125" style="21" customWidth="1"/>
    <col min="19" max="19" width="5.83203125" style="21" bestFit="1" customWidth="1"/>
    <col min="20" max="20" width="5.6640625" style="21" bestFit="1" customWidth="1"/>
    <col min="21" max="21" width="18" style="21" bestFit="1" customWidth="1"/>
    <col min="22" max="23" width="8.33203125" style="21" bestFit="1" customWidth="1"/>
    <col min="24" max="24" width="4.5" style="21" bestFit="1" customWidth="1"/>
    <col min="25" max="25" width="10" style="21" customWidth="1"/>
    <col min="26" max="26" width="11.33203125" style="21" bestFit="1" customWidth="1"/>
    <col min="27" max="27" width="9.6640625" style="21" bestFit="1" customWidth="1"/>
    <col min="28" max="28" width="8.33203125" style="21" bestFit="1" customWidth="1"/>
    <col min="29" max="29" width="16.1640625" style="21" bestFit="1" customWidth="1"/>
    <col min="30" max="30" width="5.6640625" style="21" bestFit="1" customWidth="1"/>
    <col min="31" max="31" width="7.6640625" style="21" bestFit="1" customWidth="1"/>
    <col min="32" max="32" width="6.33203125" style="21" bestFit="1" customWidth="1"/>
    <col min="33" max="33" width="16.5" style="21" bestFit="1" customWidth="1"/>
    <col min="34" max="34" width="5.6640625" style="21" bestFit="1" customWidth="1"/>
    <col min="35" max="35" width="7.6640625" style="21" bestFit="1" customWidth="1"/>
    <col min="36" max="36" width="6.33203125" style="21" bestFit="1" customWidth="1"/>
    <col min="37" max="37" width="16.5" style="21" bestFit="1" customWidth="1"/>
    <col min="38" max="38" width="5.6640625" style="21" bestFit="1" customWidth="1"/>
    <col min="39" max="39" width="7.6640625" style="21" bestFit="1" customWidth="1"/>
    <col min="40" max="40" width="6.33203125" style="21" bestFit="1" customWidth="1"/>
    <col min="41" max="41" width="16.5" style="21" bestFit="1" customWidth="1"/>
    <col min="42" max="42" width="5.6640625" style="21" bestFit="1" customWidth="1"/>
    <col min="43" max="43" width="7.6640625" style="21" bestFit="1" customWidth="1"/>
    <col min="44" max="44" width="6.33203125" style="21" bestFit="1" customWidth="1"/>
    <col min="45" max="45" width="16.1640625" style="21" bestFit="1" customWidth="1"/>
    <col min="46" max="46" width="5.6640625" style="21" bestFit="1" customWidth="1"/>
    <col min="47" max="47" width="7.6640625" style="21" bestFit="1" customWidth="1"/>
    <col min="48" max="48" width="6.33203125" style="21" bestFit="1" customWidth="1"/>
    <col min="49" max="49" width="16.6640625" style="21" bestFit="1" customWidth="1"/>
    <col min="50" max="50" width="5.6640625" style="21" bestFit="1" customWidth="1"/>
    <col min="51" max="51" width="7.6640625" style="21" bestFit="1" customWidth="1"/>
    <col min="52" max="52" width="6.33203125" style="21" bestFit="1" customWidth="1"/>
    <col min="53" max="53" width="16" style="21" bestFit="1" customWidth="1"/>
    <col min="54" max="54" width="5.6640625" style="21" bestFit="1" customWidth="1"/>
    <col min="55" max="55" width="7.6640625" style="21" bestFit="1" customWidth="1"/>
    <col min="56" max="56" width="6.33203125" style="21" bestFit="1" customWidth="1"/>
    <col min="57" max="57" width="16.5" style="21" bestFit="1" customWidth="1"/>
    <col min="58" max="58" width="5.6640625" style="21" bestFit="1" customWidth="1"/>
    <col min="59" max="59" width="7.6640625" style="21" bestFit="1" customWidth="1"/>
    <col min="60" max="60" width="6.33203125" style="21" bestFit="1" customWidth="1"/>
    <col min="61" max="61" width="16.33203125" style="21" bestFit="1" customWidth="1"/>
    <col min="62" max="62" width="5.6640625" style="21" bestFit="1" customWidth="1"/>
    <col min="63" max="63" width="7.6640625" style="21" bestFit="1" customWidth="1"/>
    <col min="64" max="64" width="6.33203125" style="21" bestFit="1" customWidth="1"/>
    <col min="65" max="65" width="16.5" style="21" bestFit="1" customWidth="1"/>
    <col min="66" max="66" width="5.6640625" style="21" bestFit="1" customWidth="1"/>
    <col min="67" max="67" width="7.6640625" style="21" bestFit="1" customWidth="1"/>
    <col min="68" max="16384" width="9.33203125" style="21"/>
  </cols>
  <sheetData>
    <row r="1" spans="1:28" x14ac:dyDescent="0.2">
      <c r="O1" s="174" t="s">
        <v>66</v>
      </c>
      <c r="U1" s="21" t="s">
        <v>88</v>
      </c>
      <c r="Y1" s="332">
        <v>3</v>
      </c>
      <c r="AA1" s="333" t="s">
        <v>87</v>
      </c>
      <c r="AB1" s="334" t="b">
        <v>0</v>
      </c>
    </row>
    <row r="2" spans="1:28" x14ac:dyDescent="0.2">
      <c r="O2" s="21" t="b">
        <v>0</v>
      </c>
      <c r="U2" s="22" t="e">
        <f>_xll.qlInterpolation(,DiscountInterpolationType,U3:U8,V3:V8)</f>
        <v>#NUM!</v>
      </c>
      <c r="V2" s="79"/>
    </row>
    <row r="3" spans="1:28" x14ac:dyDescent="0.2">
      <c r="S3" s="28" t="e">
        <f>IF(D24=D23,V4*(1+F24*S4),V3)</f>
        <v>#NUM!</v>
      </c>
      <c r="U3" s="32" t="e">
        <f>D23</f>
        <v>#NUM!</v>
      </c>
      <c r="V3" s="341">
        <v>1</v>
      </c>
    </row>
    <row r="4" spans="1:28" x14ac:dyDescent="0.2">
      <c r="S4" s="28" t="e">
        <f>_xll.qlDayCounterYearFraction(DayCounter,U3,U4)</f>
        <v>#NUM!</v>
      </c>
      <c r="T4" s="28" t="e">
        <f>_xll.qlDayCounterYearFraction($U$1,U3,U4)</f>
        <v>#NUM!</v>
      </c>
      <c r="U4" s="35" t="e">
        <f>_xll.qlCalendarAdvance(Calendar,U3,IndexTenor,"Modified Following",TRUE)</f>
        <v>#NUM!</v>
      </c>
      <c r="V4" s="84" t="e">
        <f>V3/(1+_xll.qlInterpolationInterpolate(FwdInterpolator,U3)*_xll.qlDayCounterYearFraction(DayCounter,U3,U4))</f>
        <v>#VALUE!</v>
      </c>
    </row>
    <row r="5" spans="1:28" x14ac:dyDescent="0.2">
      <c r="T5" s="28" t="e">
        <f>_xll.qlDayCounterYearFraction($U$1,U4,U5)</f>
        <v>#NUM!</v>
      </c>
      <c r="U5" s="38" t="e">
        <f>_xll.qlCalendarAdvance(Calendar,U4,IndexTenor,"Modified Following",TRUE)</f>
        <v>#NUM!</v>
      </c>
      <c r="V5" s="324" t="e">
        <f>V4/(1+_xll.qlInterpolationInterpolate(FwdInterpolator,U4)*_xll.qlDayCounterYearFraction(DayCounter,U4,U5))</f>
        <v>#VALUE!</v>
      </c>
    </row>
    <row r="6" spans="1:28" x14ac:dyDescent="0.2">
      <c r="T6" s="28" t="e">
        <f>_xll.qlDayCounterYearFraction($U$1,U5,U6)</f>
        <v>#NUM!</v>
      </c>
      <c r="U6" s="32" t="e">
        <f>_xll.qlCalendarAdvance(Calendar,$U$3,A8&amp;"Y","Modified Following",TRUE)</f>
        <v>#NUM!</v>
      </c>
      <c r="V6" s="341" t="e">
        <f>($S$3-SUMPRODUCT($T$4:T5,$V$4:V5)*F8)/(1+F8*T6)</f>
        <v>#NUM!</v>
      </c>
    </row>
    <row r="7" spans="1:28" x14ac:dyDescent="0.2">
      <c r="B7" s="21" t="s">
        <v>135</v>
      </c>
      <c r="T7" s="28" t="e">
        <f>_xll.qlDayCounterYearFraction($U$1,U6,U7)</f>
        <v>#NUM!</v>
      </c>
      <c r="U7" s="35" t="e">
        <f>_xll.qlCalendarAdvance(Calendar,$U$3,A9&amp;"Y","Modified Following",TRUE)</f>
        <v>#NUM!</v>
      </c>
      <c r="V7" s="84" t="e">
        <f>($S$3-SUMPRODUCT($T$4:T6,$V$4:V6)*F9)/(1+F9*T7)</f>
        <v>#NUM!</v>
      </c>
    </row>
    <row r="8" spans="1:28" x14ac:dyDescent="0.2">
      <c r="A8" s="21">
        <v>3</v>
      </c>
      <c r="B8" s="21" t="str">
        <f>"AB"&amp;Months&amp;"E"&amp;$B$7&amp;A8&amp;"Y"</f>
        <v>AB12EBASIS3Y</v>
      </c>
      <c r="C8" s="21" t="str">
        <f>RateHelperPrefix&amp;$B8</f>
        <v>USD_YC1YRH_AB12EBASIS3Y</v>
      </c>
      <c r="F8" s="340" t="e">
        <f>_xll.qlRateHelperQuoteValue(C8,SheetTrigger)</f>
        <v>#NUM!</v>
      </c>
      <c r="T8" s="28" t="e">
        <f>_xll.qlDayCounterYearFraction($U$1,U7,U8)</f>
        <v>#NUM!</v>
      </c>
      <c r="U8" s="38" t="e">
        <f>_xll.qlCalendarAdvance(Calendar,$U$3,A10&amp;"Y","Modified Following",TRUE)</f>
        <v>#NUM!</v>
      </c>
      <c r="V8" s="85" t="e">
        <f>($S$3-SUMPRODUCT($T$4:T7,$V$4:V7)*F10)/(1+F10*T8)</f>
        <v>#NUM!</v>
      </c>
    </row>
    <row r="9" spans="1:28" x14ac:dyDescent="0.2">
      <c r="A9" s="21">
        <v>4</v>
      </c>
      <c r="B9" s="21" t="str">
        <f>"AB"&amp;Months&amp;"E"&amp;$B$7&amp;A9&amp;"Y"</f>
        <v>AB12EBASIS4Y</v>
      </c>
      <c r="C9" s="21" t="str">
        <f>RateHelperPrefix&amp;$B9</f>
        <v>USD_YC1YRH_AB12EBASIS4Y</v>
      </c>
      <c r="F9" s="340" t="e">
        <f>_xll.qlRateHelperQuoteValue(C9,SheetTrigger)</f>
        <v>#NUM!</v>
      </c>
    </row>
    <row r="10" spans="1:28" x14ac:dyDescent="0.2">
      <c r="A10" s="21">
        <v>5</v>
      </c>
      <c r="B10" s="21" t="str">
        <f>"AB"&amp;Months&amp;"E"&amp;$B$7&amp;A10&amp;"Y"</f>
        <v>AB12EBASIS5Y</v>
      </c>
      <c r="C10" s="21" t="str">
        <f>RateHelperPrefix&amp;$B10</f>
        <v>USD_YC1YRH_AB12EBASIS5Y</v>
      </c>
      <c r="F10" s="340" t="e">
        <f>_xll.qlRateHelperQuoteValue(C10,SheetTrigger)</f>
        <v>#NUM!</v>
      </c>
    </row>
    <row r="20" spans="1:47" x14ac:dyDescent="0.2">
      <c r="A20" s="174">
        <v>12</v>
      </c>
      <c r="B20" s="25"/>
      <c r="G20" s="25"/>
      <c r="J20" s="25"/>
      <c r="L20" s="25"/>
      <c r="M20" s="25"/>
      <c r="N20" s="25"/>
      <c r="R20" s="190">
        <v>1</v>
      </c>
      <c r="S20" s="342" t="s">
        <v>40</v>
      </c>
      <c r="T20" s="25"/>
      <c r="U20" s="21" t="e">
        <f>_xll.qlInterpolation(,FwdInterpolationType,_xll.ohFilter($H23:$H62,$K23:$K62),_xll.ohFilter($J23:$J62,$K23:$K62))</f>
        <v>#NUM!</v>
      </c>
    </row>
    <row r="21" spans="1:47" x14ac:dyDescent="0.2">
      <c r="A21" s="458" t="str">
        <f>_xll.qlPeriodEquivalent(A20&amp;"M")</f>
        <v>1Y</v>
      </c>
      <c r="B21" s="25"/>
      <c r="D21" s="25"/>
      <c r="E21" s="25"/>
      <c r="G21" s="25"/>
      <c r="J21" s="25"/>
      <c r="L21" s="25"/>
      <c r="M21" s="25"/>
      <c r="N21" s="25"/>
      <c r="O21" s="174" t="s">
        <v>148</v>
      </c>
      <c r="P21" s="174" t="s">
        <v>149</v>
      </c>
      <c r="R21" s="192">
        <v>1</v>
      </c>
      <c r="S21" s="348" t="s">
        <v>46</v>
      </c>
      <c r="T21" s="25"/>
      <c r="U21" s="40" t="e">
        <f>_xll.qlInterpolation(,FwdInterpolationType,_xll.ohFilter($H23:$H27,$K23:$K27),_xll.ohFilter($J23:$J27,$K23:$K27))</f>
        <v>#NUM!</v>
      </c>
      <c r="V21" s="41"/>
      <c r="AI21" s="21">
        <v>1</v>
      </c>
      <c r="AM21" s="21">
        <v>2</v>
      </c>
      <c r="AQ21" s="21">
        <v>3</v>
      </c>
      <c r="AU21" s="21">
        <v>4</v>
      </c>
    </row>
    <row r="22" spans="1:47" x14ac:dyDescent="0.2">
      <c r="A22" s="458" t="str">
        <f>Currency&amp;"_YC"&amp;IndexTenor&amp;"RH_"</f>
        <v>USD_YC1YRH_</v>
      </c>
      <c r="B22" s="40"/>
      <c r="C22" s="94" t="s">
        <v>27</v>
      </c>
      <c r="D22" s="54" t="s">
        <v>23</v>
      </c>
      <c r="E22" s="90" t="s">
        <v>22</v>
      </c>
      <c r="F22" s="94" t="s">
        <v>60</v>
      </c>
      <c r="G22" s="459"/>
      <c r="H22" s="90" t="s">
        <v>56</v>
      </c>
      <c r="I22" s="54" t="s">
        <v>64</v>
      </c>
      <c r="J22" s="54" t="s">
        <v>61</v>
      </c>
      <c r="K22" s="54" t="s">
        <v>65</v>
      </c>
      <c r="L22" s="94"/>
      <c r="M22" s="54"/>
      <c r="N22" s="55"/>
      <c r="O22" s="460" t="str">
        <f>"_"&amp;Currency&amp;"YC"&amp;'6M'!IndexTenor</f>
        <v>_USDYC6M</v>
      </c>
      <c r="P22" s="211" t="e">
        <f>_xll.qlInterpolation(,P21,_xll.ohFilter($H23:$H31,$K23:$K31),_xll.ohFilter($P23:$P31,$K23:$K31))</f>
        <v>#NUM!</v>
      </c>
      <c r="Q22" s="461" t="s">
        <v>33</v>
      </c>
      <c r="R22" s="211"/>
      <c r="S22" s="94"/>
      <c r="T22" s="55"/>
      <c r="U22" s="462" t="e">
        <f>D23</f>
        <v>#NUM!</v>
      </c>
      <c r="V22" s="463" t="e">
        <f>_xll.qlInterpolationInterpolate(ExtFwdInterpolator,U22,TRUE)</f>
        <v>#VALUE!</v>
      </c>
      <c r="X22" s="225"/>
      <c r="Y22" s="271" t="s">
        <v>85</v>
      </c>
      <c r="Z22" s="287" t="s">
        <v>86</v>
      </c>
      <c r="AA22" s="269"/>
      <c r="AB22" s="271" t="s">
        <v>84</v>
      </c>
      <c r="AC22" s="54" t="s">
        <v>80</v>
      </c>
      <c r="AD22" s="54" t="s">
        <v>35</v>
      </c>
      <c r="AE22" s="207" t="s">
        <v>83</v>
      </c>
      <c r="AF22" s="54" t="s">
        <v>81</v>
      </c>
      <c r="AG22" s="54" t="s">
        <v>79</v>
      </c>
      <c r="AH22" s="54" t="s">
        <v>36</v>
      </c>
      <c r="AI22" s="55" t="s">
        <v>82</v>
      </c>
      <c r="AJ22" s="54" t="s">
        <v>81</v>
      </c>
      <c r="AK22" s="54" t="s">
        <v>79</v>
      </c>
      <c r="AL22" s="54" t="s">
        <v>36</v>
      </c>
      <c r="AM22" s="55" t="s">
        <v>82</v>
      </c>
      <c r="AN22" s="54" t="s">
        <v>81</v>
      </c>
      <c r="AO22" s="54" t="s">
        <v>79</v>
      </c>
      <c r="AP22" s="54" t="s">
        <v>36</v>
      </c>
      <c r="AQ22" s="55" t="s">
        <v>82</v>
      </c>
      <c r="AR22" s="54" t="s">
        <v>81</v>
      </c>
      <c r="AS22" s="54" t="s">
        <v>79</v>
      </c>
      <c r="AT22" s="54" t="s">
        <v>36</v>
      </c>
      <c r="AU22" s="55" t="s">
        <v>82</v>
      </c>
    </row>
    <row r="23" spans="1:47" x14ac:dyDescent="0.2">
      <c r="A23" s="458" t="str">
        <f>Triggers!TriggerTOY6M</f>
        <v>ExternalLinkCleanedUp</v>
      </c>
      <c r="B23" s="246" t="str">
        <f>IndexTenor&amp;"D"</f>
        <v>1YD</v>
      </c>
      <c r="C23" s="33" t="str">
        <f>Currency&amp;"_YCRH_"&amp;B23</f>
        <v>USD_YCRH_1YD</v>
      </c>
      <c r="D23" s="30" t="e">
        <f>_xll.qlRateHelperEarliestDate($C23,EvaluationDate)</f>
        <v>#NUM!</v>
      </c>
      <c r="E23" s="30" t="e">
        <f>_xll.qlRateHelperLatestDate($C23,EvaluationDate)</f>
        <v>#NUM!</v>
      </c>
      <c r="F23" s="105" t="e">
        <f>_xll.qlRateHelperQuoteValue($C23,SheetTrigger)</f>
        <v>#NUM!</v>
      </c>
      <c r="G23" s="464"/>
      <c r="H23" s="30" t="e">
        <f>$D23</f>
        <v>#NUM!</v>
      </c>
      <c r="I23" s="243" t="b">
        <v>0</v>
      </c>
      <c r="J23" s="31" t="e">
        <f>F23</f>
        <v>#NUM!</v>
      </c>
      <c r="K23" s="243" t="b">
        <f>AND(ISNUMBER(J23),I23)</f>
        <v>0</v>
      </c>
      <c r="L23" s="40"/>
      <c r="M23" s="33"/>
      <c r="N23" s="248"/>
      <c r="O23" s="31" t="e">
        <f>_xll.qlYieldTSForwardRate2($O$22,H23,$O$21,DayCounter,"simple","annual",,SheetTrigger)</f>
        <v>#NUM!</v>
      </c>
      <c r="P23" s="97" t="e">
        <f>J23-O23</f>
        <v>#NUM!</v>
      </c>
      <c r="Q23" s="86" t="e">
        <f>_xll.qlDayCounterYearFraction(DayCounter,$H23,$E23)</f>
        <v>#NUM!</v>
      </c>
      <c r="R23" s="180"/>
      <c r="S23" s="97"/>
      <c r="T23" s="491"/>
      <c r="U23" s="32" t="e">
        <f t="array" ref="U23:U74">SelectionSort(_xll.ohFilter(H23:H74,K23:K74))</f>
        <v>#VALUE!</v>
      </c>
      <c r="V23" s="331" t="e">
        <f t="array" ref="V23:V74">_xll.qlInterpolationInterpolate(ExtFwdInterpolator,_xll.ohPack(U23:U74))</f>
        <v>#VALUE!</v>
      </c>
      <c r="X23" s="246" t="s">
        <v>37</v>
      </c>
      <c r="Y23" s="97">
        <v>2.3406825635703399E-2</v>
      </c>
      <c r="Z23" s="284" t="e">
        <f t="shared" ref="Z23:Z31" si="0">AB23-Y23</f>
        <v>#VALUE!</v>
      </c>
      <c r="AA23" s="478" t="s">
        <v>127</v>
      </c>
      <c r="AB23" s="255" t="e">
        <f t="shared" ref="AB23:AB31" si="1">(1/AE23-1)/AD23</f>
        <v>#VALUE!</v>
      </c>
      <c r="AC23" s="30" t="e">
        <f>_xll.qlCalendarAdvance(Calendar,SettlementDate,X23,"Following")</f>
        <v>#NUM!</v>
      </c>
      <c r="AD23" s="256" t="e">
        <f>_xll.qlDayCounterYearFraction(DayCounter,SettlementDate,AC23)</f>
        <v>#NUM!</v>
      </c>
      <c r="AE23" s="270" t="e">
        <f t="shared" ref="AE23:AE31" si="2">IF(Optim,1/(1+AA23*AD23),(1+AF23*AH23)*AI23)*IF(AC23&gt;LastDayInYear,TOY,1)*IF(AC23&gt;LastDayInNextYear,_TOY2,1)</f>
        <v>#VALUE!</v>
      </c>
      <c r="AF23" s="257" t="e">
        <f>_xll.qlInterpolationInterpolate(ExtFwdInterpolator,AC23)</f>
        <v>#VALUE!</v>
      </c>
      <c r="AG23" s="30" t="e">
        <f>_xll.qlCalendarAdvance(Calendar,AC23,$A$21,"Modified Following",TRUE)</f>
        <v>#NUM!</v>
      </c>
      <c r="AH23" s="256" t="e">
        <f>_xll.qlDayCounterYearFraction(DayCounter,AC23,AG23)</f>
        <v>#NUM!</v>
      </c>
      <c r="AI23" s="270" t="e">
        <f>IF($Y$1=AI$21,_xll.qlInterpolationInterpolate(DiscountCurve,AG23),(1+AJ23*AL23)*AM23)</f>
        <v>#VALUE!</v>
      </c>
      <c r="AJ23" s="257" t="e">
        <f>_xll.qlInterpolationInterpolate(ExtFwdInterpolator,AG23)</f>
        <v>#VALUE!</v>
      </c>
      <c r="AK23" s="30" t="e">
        <f>_xll.qlCalendarAdvance(Calendar,AG23,$A$21,"Modified Following",TRUE)</f>
        <v>#NUM!</v>
      </c>
      <c r="AL23" s="256" t="e">
        <f>_xll.qlDayCounterYearFraction(DayCounter,AG23,AK23)</f>
        <v>#NUM!</v>
      </c>
      <c r="AM23" s="270" t="e">
        <f>IF($Y$1=AM$21,_xll.qlInterpolationInterpolate(DiscountCurve,AK23),(1+AN23*AP23)*AQ23)</f>
        <v>#VALUE!</v>
      </c>
      <c r="AN23" s="257" t="e">
        <f>_xll.qlInterpolationInterpolate(ExtFwdInterpolator,AK23)</f>
        <v>#VALUE!</v>
      </c>
      <c r="AO23" s="30" t="e">
        <f>_xll.qlCalendarAdvance(Calendar,AK23,$A$21,"Modified Following",TRUE)</f>
        <v>#NUM!</v>
      </c>
      <c r="AP23" s="256" t="e">
        <f>_xll.qlDayCounterYearFraction(DayCounter,AK23,AO23)</f>
        <v>#NUM!</v>
      </c>
      <c r="AQ23" s="270" t="e">
        <f>IF($Y$1=AQ$21,_xll.qlInterpolationInterpolate(DiscountCurve,AO23),(1+AR23*AT23)*AU23)</f>
        <v>#VALUE!</v>
      </c>
      <c r="AR23" s="257" t="e">
        <f>_xll.qlInterpolationInterpolate(ExtFwdInterpolator,AO23)</f>
        <v>#VALUE!</v>
      </c>
      <c r="AS23" s="30" t="e">
        <f>_xll.qlCalendarAdvance(Calendar,AO23,$A$21,"Modified Following",TRUE)</f>
        <v>#NUM!</v>
      </c>
      <c r="AT23" s="256" t="e">
        <f>_xll.qlDayCounterYearFraction(DayCounter,AO23,AS23)</f>
        <v>#NUM!</v>
      </c>
      <c r="AU23" s="270">
        <f>IF($Y$1=AU$21,_xll.qlInterpolationInterpolate(DiscountCurve,AS23),(1+AV23*AX23)*AY23)</f>
        <v>0</v>
      </c>
    </row>
    <row r="24" spans="1:47" x14ac:dyDescent="0.2">
      <c r="A24" s="458" t="str">
        <f>PROPER(Currency)&amp;IF(UPPER(Currency)&lt;&gt;"EUR","L","")&amp;"ibor"&amp;IndexTenor</f>
        <v>UsdLibor1Y</v>
      </c>
      <c r="B24" s="247" t="s">
        <v>68</v>
      </c>
      <c r="C24" s="39" t="str">
        <f>A24&amp;B24&amp;"_Quote"</f>
        <v>UsdLibor1YLastFixing_Quote</v>
      </c>
      <c r="D24" s="465">
        <f>_xll.qlCalendarAdvance(Calendar,_xll.qlLastFixingQuoteReferenceDate(C24),"2D","f",,SheetTrigger)</f>
        <v>41572</v>
      </c>
      <c r="E24" s="465">
        <f>_xll.qlCalendarAdvance(Calendar,D24,IndexTenor,"Modified Following",TRUE,SheetTrigger)</f>
        <v>41939</v>
      </c>
      <c r="F24" s="101">
        <f>_xll.qlQuoteValue(C24,SheetTrigger)</f>
        <v>6.0860000000000003E-3</v>
      </c>
      <c r="G24" s="466"/>
      <c r="H24" s="36" t="e">
        <f>H23</f>
        <v>#NUM!</v>
      </c>
      <c r="I24" s="240" t="b">
        <v>0</v>
      </c>
      <c r="J24" s="37">
        <f>F24</f>
        <v>6.0860000000000003E-3</v>
      </c>
      <c r="K24" s="240" t="b">
        <f>AND(ISNUMBER(J24),I24)</f>
        <v>0</v>
      </c>
      <c r="L24" s="53"/>
      <c r="M24" s="39"/>
      <c r="N24" s="242"/>
      <c r="O24" s="37" t="e">
        <f>_xll.qlYieldTSForwardRate2($O$22,H24,$O$21,DayCounter,"simple","annual",,SheetTrigger)</f>
        <v>#NUM!</v>
      </c>
      <c r="P24" s="75" t="e">
        <f t="shared" ref="P24:P30" si="3">J24-O24</f>
        <v>#NUM!</v>
      </c>
      <c r="Q24" s="88" t="e">
        <f>_xll.qlDayCounterYearFraction(DayCounter,$H24,$E24)</f>
        <v>#NUM!</v>
      </c>
      <c r="R24" s="182"/>
      <c r="S24" s="75"/>
      <c r="T24" s="492"/>
      <c r="U24" s="35" t="e">
        <v>#VALUE!</v>
      </c>
      <c r="V24" s="106" t="e">
        <v>#VALUE!</v>
      </c>
      <c r="X24" s="469" t="s">
        <v>20</v>
      </c>
      <c r="Y24" s="89">
        <v>2.3650537945103522E-2</v>
      </c>
      <c r="Z24" s="282" t="e">
        <f t="shared" si="0"/>
        <v>#VALUE!</v>
      </c>
      <c r="AA24" s="89"/>
      <c r="AB24" s="212" t="e">
        <f t="shared" si="1"/>
        <v>#VALUE!</v>
      </c>
      <c r="AC24" s="34" t="e">
        <f>_xll.qlCalendarAdvance(Calendar,SettlementDate,X24,"Following")</f>
        <v>#NUM!</v>
      </c>
      <c r="AD24" s="57" t="e">
        <f>_xll.qlDayCounterYearFraction(DayCounter,SettlementDate,AC24)</f>
        <v>#NUM!</v>
      </c>
      <c r="AE24" s="82" t="e">
        <f t="shared" si="2"/>
        <v>#VALUE!</v>
      </c>
      <c r="AF24" s="202" t="e">
        <f>_xll.qlInterpolationInterpolate(ExtFwdInterpolator,AC24)</f>
        <v>#VALUE!</v>
      </c>
      <c r="AG24" s="34" t="e">
        <f>_xll.qlCalendarAdvance(Calendar,AC24,$A$21,"Modified Following",TRUE)</f>
        <v>#NUM!</v>
      </c>
      <c r="AH24" s="57" t="e">
        <f>_xll.qlDayCounterYearFraction(DayCounter,AC24,AG24)</f>
        <v>#NUM!</v>
      </c>
      <c r="AI24" s="82" t="e">
        <f>IF($Y$1=AI$21,_xll.qlInterpolationInterpolate(DiscountCurve,AG24),(1+AJ24*AL24)*AM24)</f>
        <v>#VALUE!</v>
      </c>
      <c r="AJ24" s="202" t="e">
        <f>_xll.qlInterpolationInterpolate(ExtFwdInterpolator,AG24)</f>
        <v>#VALUE!</v>
      </c>
      <c r="AK24" s="34" t="e">
        <f>_xll.qlCalendarAdvance(Calendar,AG24,$A$21,"Modified Following",TRUE)</f>
        <v>#NUM!</v>
      </c>
      <c r="AL24" s="57" t="e">
        <f>_xll.qlDayCounterYearFraction(DayCounter,AG24,AK24)</f>
        <v>#NUM!</v>
      </c>
      <c r="AM24" s="82" t="e">
        <f>IF($Y$1=AM$21,_xll.qlInterpolationInterpolate(DiscountCurve,AK24),(1+AN24*AP24)*AQ24)</f>
        <v>#VALUE!</v>
      </c>
      <c r="AN24" s="202" t="e">
        <f>_xll.qlInterpolationInterpolate(ExtFwdInterpolator,AK24)</f>
        <v>#VALUE!</v>
      </c>
      <c r="AO24" s="34" t="e">
        <f>_xll.qlCalendarAdvance(Calendar,AK24,$A$21,"Modified Following",TRUE)</f>
        <v>#NUM!</v>
      </c>
      <c r="AP24" s="57" t="e">
        <f>_xll.qlDayCounterYearFraction(DayCounter,AK24,AO24)</f>
        <v>#NUM!</v>
      </c>
      <c r="AQ24" s="82" t="e">
        <f>IF($Y$1=AQ$21,_xll.qlInterpolationInterpolate(DiscountCurve,AO24),(1+AR24*AT24)*AU24)</f>
        <v>#VALUE!</v>
      </c>
      <c r="AR24" s="202" t="e">
        <f>_xll.qlInterpolationInterpolate(ExtFwdInterpolator,AO24)</f>
        <v>#VALUE!</v>
      </c>
      <c r="AS24" s="34" t="e">
        <f>_xll.qlCalendarAdvance(Calendar,AO24,$A$21,"Modified Following",TRUE)</f>
        <v>#NUM!</v>
      </c>
      <c r="AT24" s="57" t="e">
        <f>_xll.qlDayCounterYearFraction(DayCounter,AO24,AS24)</f>
        <v>#NUM!</v>
      </c>
      <c r="AU24" s="82">
        <f>IF($Y$1=AU$21,_xll.qlInterpolationInterpolate(DiscountCurve,AS24),(1+AV24*AX24)*AY24)</f>
        <v>0</v>
      </c>
    </row>
    <row r="25" spans="1:47" x14ac:dyDescent="0.2">
      <c r="A25" s="458"/>
      <c r="B25" s="40" t="str">
        <f>"T"&amp;$A$20&amp;"F1"</f>
        <v>T12F1</v>
      </c>
      <c r="C25" s="40" t="str">
        <f>RateHelperPrefix&amp;$B25</f>
        <v>USD_YC1YRH_T12F1</v>
      </c>
      <c r="D25" s="30">
        <f>_xll.qlRateHelperEarliestDate($C25,EvaluationDate)</f>
        <v>41572</v>
      </c>
      <c r="E25" s="30">
        <f>_xll.qlRateHelperLatestDate($C25,EvaluationDate)</f>
        <v>41939</v>
      </c>
      <c r="F25" s="502" t="e">
        <f>F23-0.05%</f>
        <v>#NUM!</v>
      </c>
      <c r="G25" s="33"/>
      <c r="H25" s="30">
        <f>$D25</f>
        <v>41572</v>
      </c>
      <c r="I25" s="243" t="b">
        <v>1</v>
      </c>
      <c r="J25" s="31" t="e">
        <f>F25</f>
        <v>#NUM!</v>
      </c>
      <c r="K25" s="243" t="b">
        <f>AND(ISNUMBER(J25),I25)</f>
        <v>0</v>
      </c>
      <c r="L25" s="40"/>
      <c r="M25" s="33"/>
      <c r="N25" s="248"/>
      <c r="O25" s="31">
        <f>_xll.qlYieldTSForwardRate2($O$22,H25,$O$21,DayCounter,"simple","annual",,SheetTrigger)</f>
        <v>3.9714554714313796E-3</v>
      </c>
      <c r="P25" s="97" t="e">
        <f t="shared" si="3"/>
        <v>#NUM!</v>
      </c>
      <c r="Q25" s="86">
        <f>_xll.qlDayCounterYearFraction(DayCounter,$H25,$E25)</f>
        <v>1.0194444444444444</v>
      </c>
      <c r="R25" s="180"/>
      <c r="S25" s="97"/>
      <c r="T25" s="491"/>
      <c r="U25" s="35" t="e">
        <v>#VALUE!</v>
      </c>
      <c r="V25" s="106" t="e">
        <v>#VALUE!</v>
      </c>
      <c r="X25" s="469" t="s">
        <v>21</v>
      </c>
      <c r="Y25" s="89">
        <v>2.3451622967099166E-2</v>
      </c>
      <c r="Z25" s="282" t="e">
        <f t="shared" si="0"/>
        <v>#VALUE!</v>
      </c>
      <c r="AA25" s="89"/>
      <c r="AB25" s="212" t="e">
        <f t="shared" si="1"/>
        <v>#VALUE!</v>
      </c>
      <c r="AC25" s="34" t="e">
        <f>_xll.qlCalendarAdvance(Calendar,SettlementDate,X25,"Following")</f>
        <v>#NUM!</v>
      </c>
      <c r="AD25" s="57" t="e">
        <f>_xll.qlDayCounterYearFraction(DayCounter,SettlementDate,AC25)</f>
        <v>#NUM!</v>
      </c>
      <c r="AE25" s="82" t="e">
        <f t="shared" si="2"/>
        <v>#VALUE!</v>
      </c>
      <c r="AF25" s="202" t="e">
        <f>_xll.qlInterpolationInterpolate(ExtFwdInterpolator,AC25)</f>
        <v>#VALUE!</v>
      </c>
      <c r="AG25" s="34" t="e">
        <f>_xll.qlCalendarAdvance(Calendar,AC25,$A$21,"Modified Following",TRUE)</f>
        <v>#NUM!</v>
      </c>
      <c r="AH25" s="57" t="e">
        <f>_xll.qlDayCounterYearFraction(DayCounter,AC25,AG25)</f>
        <v>#NUM!</v>
      </c>
      <c r="AI25" s="82" t="e">
        <f>IF($Y$1=AI$21,_xll.qlInterpolationInterpolate(DiscountCurve,AG25),(1+AJ25*AL25)*AM25)</f>
        <v>#VALUE!</v>
      </c>
      <c r="AJ25" s="202" t="e">
        <f>_xll.qlInterpolationInterpolate(ExtFwdInterpolator,AG25)</f>
        <v>#VALUE!</v>
      </c>
      <c r="AK25" s="34" t="e">
        <f>_xll.qlCalendarAdvance(Calendar,AG25,$A$21,"Modified Following",TRUE)</f>
        <v>#NUM!</v>
      </c>
      <c r="AL25" s="57" t="e">
        <f>_xll.qlDayCounterYearFraction(DayCounter,AG25,AK25)</f>
        <v>#NUM!</v>
      </c>
      <c r="AM25" s="82" t="e">
        <f>IF($Y$1=AM$21,_xll.qlInterpolationInterpolate(DiscountCurve,AK25),(1+AN25*AP25)*AQ25)</f>
        <v>#VALUE!</v>
      </c>
      <c r="AN25" s="202" t="e">
        <f>_xll.qlInterpolationInterpolate(ExtFwdInterpolator,AK25)</f>
        <v>#VALUE!</v>
      </c>
      <c r="AO25" s="34" t="e">
        <f>_xll.qlCalendarAdvance(Calendar,AK25,$A$21,"Modified Following",TRUE)</f>
        <v>#NUM!</v>
      </c>
      <c r="AP25" s="57" t="e">
        <f>_xll.qlDayCounterYearFraction(DayCounter,AK25,AO25)</f>
        <v>#NUM!</v>
      </c>
      <c r="AQ25" s="82" t="e">
        <f>IF($Y$1=AQ$21,_xll.qlInterpolationInterpolate(DiscountCurve,AO25),(1+AR25*AT25)*AU25)</f>
        <v>#VALUE!</v>
      </c>
      <c r="AR25" s="202" t="e">
        <f>_xll.qlInterpolationInterpolate(ExtFwdInterpolator,AO25)</f>
        <v>#VALUE!</v>
      </c>
      <c r="AS25" s="34" t="e">
        <f>_xll.qlCalendarAdvance(Calendar,AO25,$A$21,"Modified Following",TRUE)</f>
        <v>#NUM!</v>
      </c>
      <c r="AT25" s="57" t="e">
        <f>_xll.qlDayCounterYearFraction(DayCounter,AO25,AS25)</f>
        <v>#NUM!</v>
      </c>
      <c r="AU25" s="82">
        <f>IF($Y$1=AU$21,_xll.qlInterpolationInterpolate(DiscountCurve,AS25),(1+AV25*AX25)*AY25)</f>
        <v>0</v>
      </c>
    </row>
    <row r="26" spans="1:47" x14ac:dyDescent="0.2">
      <c r="A26" s="458"/>
      <c r="B26" s="53" t="str">
        <f>"TOM"&amp;$A$20&amp;"F1"</f>
        <v>TOM12F1</v>
      </c>
      <c r="C26" s="53" t="str">
        <f>RateHelperPrefix&amp;$B26</f>
        <v>USD_YC1YRH_TOM12F1</v>
      </c>
      <c r="D26" s="36">
        <f>_xll.qlRateHelperEarliestDate($C26,EvaluationDate)</f>
        <v>41575</v>
      </c>
      <c r="E26" s="36">
        <f>_xll.qlRateHelperLatestDate($C26,EvaluationDate)</f>
        <v>41940</v>
      </c>
      <c r="F26" s="101" t="e">
        <f>_xll.qlRateHelperQuoteValue($C26,SheetTrigger)</f>
        <v>#NUM!</v>
      </c>
      <c r="G26" s="39"/>
      <c r="H26" s="36">
        <f>$D26</f>
        <v>41575</v>
      </c>
      <c r="I26" s="240" t="b">
        <v>1</v>
      </c>
      <c r="J26" s="37" t="e">
        <f>F26</f>
        <v>#NUM!</v>
      </c>
      <c r="K26" s="240" t="b">
        <f>AND(ISNUMBER(J26),I26)</f>
        <v>0</v>
      </c>
      <c r="L26" s="53"/>
      <c r="M26" s="39"/>
      <c r="N26" s="242"/>
      <c r="O26" s="37">
        <f>_xll.qlYieldTSForwardRate2($O$22,H26,$O$21,DayCounter,"simple","annual",,SheetTrigger)</f>
        <v>3.9771878590633501E-3</v>
      </c>
      <c r="P26" s="75" t="e">
        <f t="shared" si="3"/>
        <v>#NUM!</v>
      </c>
      <c r="Q26" s="88">
        <f>_xll.qlDayCounterYearFraction(DayCounter,$H26,$E26)</f>
        <v>1.0138888888888888</v>
      </c>
      <c r="R26" s="182"/>
      <c r="S26" s="75"/>
      <c r="T26" s="492"/>
      <c r="U26" s="35" t="e">
        <v>#VALUE!</v>
      </c>
      <c r="V26" s="106" t="e">
        <v>#VALUE!</v>
      </c>
      <c r="X26" s="247" t="s">
        <v>24</v>
      </c>
      <c r="Y26" s="75">
        <v>2.3497242825362617E-2</v>
      </c>
      <c r="Z26" s="283" t="e">
        <f t="shared" si="0"/>
        <v>#VALUE!</v>
      </c>
      <c r="AA26" s="75"/>
      <c r="AB26" s="213" t="e">
        <f t="shared" si="1"/>
        <v>#VALUE!</v>
      </c>
      <c r="AC26" s="36" t="e">
        <f>_xll.qlCalendarAdvance(Calendar,SettlementDate,X26,"Following")</f>
        <v>#NUM!</v>
      </c>
      <c r="AD26" s="58" t="e">
        <f>_xll.qlDayCounterYearFraction(DayCounter,SettlementDate,AC26)</f>
        <v>#NUM!</v>
      </c>
      <c r="AE26" s="83" t="e">
        <f t="shared" si="2"/>
        <v>#VALUE!</v>
      </c>
      <c r="AF26" s="189" t="e">
        <f>_xll.qlInterpolationInterpolate(ExtFwdInterpolator,AC26)</f>
        <v>#VALUE!</v>
      </c>
      <c r="AG26" s="36" t="e">
        <f>_xll.qlCalendarAdvance(Calendar,AC26,$A$21,"Modified Following",TRUE)</f>
        <v>#NUM!</v>
      </c>
      <c r="AH26" s="58" t="e">
        <f>_xll.qlDayCounterYearFraction(DayCounter,AC26,AG26)</f>
        <v>#NUM!</v>
      </c>
      <c r="AI26" s="83" t="e">
        <f>IF($Y$1=AI$21,_xll.qlInterpolationInterpolate(DiscountCurve,AG26),(1+AJ26*AL26)*AM26)</f>
        <v>#VALUE!</v>
      </c>
      <c r="AJ26" s="189" t="e">
        <f>_xll.qlInterpolationInterpolate(ExtFwdInterpolator,AG26)</f>
        <v>#VALUE!</v>
      </c>
      <c r="AK26" s="36" t="e">
        <f>_xll.qlCalendarAdvance(Calendar,AG26,$A$21,"Modified Following",TRUE)</f>
        <v>#NUM!</v>
      </c>
      <c r="AL26" s="58" t="e">
        <f>_xll.qlDayCounterYearFraction(DayCounter,AG26,AK26)</f>
        <v>#NUM!</v>
      </c>
      <c r="AM26" s="83" t="e">
        <f>IF($Y$1=AM$21,_xll.qlInterpolationInterpolate(DiscountCurve,AK26),(1+AN26*AP26)*AQ26)</f>
        <v>#VALUE!</v>
      </c>
      <c r="AN26" s="189" t="e">
        <f>_xll.qlInterpolationInterpolate(ExtFwdInterpolator,AK26)</f>
        <v>#VALUE!</v>
      </c>
      <c r="AO26" s="36" t="e">
        <f>_xll.qlCalendarAdvance(Calendar,AK26,$A$21,"Modified Following",TRUE)</f>
        <v>#NUM!</v>
      </c>
      <c r="AP26" s="58" t="e">
        <f>_xll.qlDayCounterYearFraction(DayCounter,AK26,AO26)</f>
        <v>#NUM!</v>
      </c>
      <c r="AQ26" s="83" t="e">
        <f>IF($Y$1=AQ$21,_xll.qlInterpolationInterpolate(DiscountCurve,AO26),(1+AR26*AT26)*AU26)</f>
        <v>#VALUE!</v>
      </c>
      <c r="AR26" s="189" t="e">
        <f>_xll.qlInterpolationInterpolate(ExtFwdInterpolator,AO26)</f>
        <v>#VALUE!</v>
      </c>
      <c r="AS26" s="36" t="e">
        <f>_xll.qlCalendarAdvance(Calendar,AO26,$A$21,"Modified Following",TRUE)</f>
        <v>#NUM!</v>
      </c>
      <c r="AT26" s="58" t="e">
        <f>_xll.qlDayCounterYearFraction(DayCounter,AO26,AS26)</f>
        <v>#NUM!</v>
      </c>
      <c r="AU26" s="83">
        <f>IF($Y$1=AU$21,_xll.qlInterpolationInterpolate(DiscountCurve,AS26),(1+AV26*AX26)*AY26)</f>
        <v>0</v>
      </c>
    </row>
    <row r="27" spans="1:47" x14ac:dyDescent="0.2">
      <c r="A27" s="174">
        <v>12</v>
      </c>
      <c r="B27" s="24" t="str">
        <f>A27&amp;"x"&amp;(A27+$A$20)&amp;"F"</f>
        <v>12x24F</v>
      </c>
      <c r="C27" s="24" t="str">
        <f>RateHelperPrefix&amp;$B27</f>
        <v>USD_YC1YRH_12x24F</v>
      </c>
      <c r="D27" s="34">
        <f>_xll.qlRateHelperEarliestDate($C27,EvaluationDate)</f>
        <v>41939</v>
      </c>
      <c r="E27" s="34">
        <f>_xll.qlRateHelperLatestDate($C27,EvaluationDate)</f>
        <v>42304</v>
      </c>
      <c r="F27" s="99" t="e">
        <f>_xll.qlRateHelperQuoteValue($C27,SheetTrigger)</f>
        <v>#NUM!</v>
      </c>
      <c r="G27" s="467"/>
      <c r="H27" s="34">
        <f>$D27</f>
        <v>41939</v>
      </c>
      <c r="I27" s="473" t="b">
        <v>1</v>
      </c>
      <c r="J27" s="26" t="e">
        <f>F27</f>
        <v>#NUM!</v>
      </c>
      <c r="K27" s="498" t="b">
        <f>AND(ISNUMBER(J27),I27)</f>
        <v>0</v>
      </c>
      <c r="L27" s="24"/>
      <c r="M27" s="25"/>
      <c r="N27" s="474"/>
      <c r="O27" s="26">
        <f>_xll.qlYieldTSForwardRate2($O$22,H27,$O$21,DayCounter,"simple","annual",,SheetTrigger)</f>
        <v>6.7551983809772224E-3</v>
      </c>
      <c r="P27" s="89" t="e">
        <f t="shared" si="3"/>
        <v>#NUM!</v>
      </c>
      <c r="Q27" s="87">
        <f>_xll.qlDayCounterYearFraction(DayCounter,$H27,$E27)</f>
        <v>1.0138888888888888</v>
      </c>
      <c r="R27" s="160"/>
      <c r="S27" s="102"/>
      <c r="T27" s="493"/>
      <c r="U27" s="35" t="e">
        <v>#VALUE!</v>
      </c>
      <c r="V27" s="106" t="e">
        <v>#VALUE!</v>
      </c>
      <c r="X27" s="432" t="s">
        <v>25</v>
      </c>
      <c r="Y27" s="400">
        <v>2.3049672460514946E-2</v>
      </c>
      <c r="Z27" s="399" t="e">
        <f t="shared" si="0"/>
        <v>#VALUE!</v>
      </c>
      <c r="AA27" s="400"/>
      <c r="AB27" s="212" t="e">
        <f t="shared" si="1"/>
        <v>#VALUE!</v>
      </c>
      <c r="AC27" s="401" t="e">
        <f>_xll.qlCalendarAdvance(Calendar,SettlementDate,X27,"mf",TRUE)</f>
        <v>#NUM!</v>
      </c>
      <c r="AD27" s="402" t="e">
        <f>_xll.qlDayCounterYearFraction(DayCounter,SettlementDate,AC27)</f>
        <v>#NUM!</v>
      </c>
      <c r="AE27" s="403" t="e">
        <f t="shared" si="2"/>
        <v>#VALUE!</v>
      </c>
      <c r="AF27" s="404" t="e">
        <f>_xll.qlInterpolationInterpolate(ExtFwdInterpolator,AC27)</f>
        <v>#VALUE!</v>
      </c>
      <c r="AG27" s="401" t="e">
        <f>_xll.qlCalendarAdvance(Calendar,AC27,$A$21,"Modified Following",TRUE)</f>
        <v>#NUM!</v>
      </c>
      <c r="AH27" s="402" t="e">
        <f>_xll.qlDayCounterYearFraction(DayCounter,AC27,AG27)</f>
        <v>#NUM!</v>
      </c>
      <c r="AI27" s="403" t="e">
        <f>IF($Y$1=AI$21,_xll.qlInterpolationInterpolate(DiscountCurve,AG27),(1+AJ27*AL27)*AM27)</f>
        <v>#VALUE!</v>
      </c>
      <c r="AJ27" s="404" t="e">
        <f>_xll.qlInterpolationInterpolate(ExtFwdInterpolator,AG27)</f>
        <v>#VALUE!</v>
      </c>
      <c r="AK27" s="401" t="e">
        <f>_xll.qlCalendarAdvance(Calendar,AG27,$A$21,"Modified Following",TRUE)</f>
        <v>#NUM!</v>
      </c>
      <c r="AL27" s="402" t="e">
        <f>_xll.qlDayCounterYearFraction(DayCounter,AG27,AK27)</f>
        <v>#NUM!</v>
      </c>
      <c r="AM27" s="403" t="e">
        <f>IF($Y$1=AM$21,_xll.qlInterpolationInterpolate(DiscountCurve,AK27),(1+AN27*AP27)*AQ27)</f>
        <v>#VALUE!</v>
      </c>
      <c r="AN27" s="404" t="e">
        <f>_xll.qlInterpolationInterpolate(ExtFwdInterpolator,AK27)</f>
        <v>#VALUE!</v>
      </c>
      <c r="AO27" s="401" t="e">
        <f>_xll.qlCalendarAdvance(Calendar,AK27,$A$21,"Modified Following",TRUE)</f>
        <v>#NUM!</v>
      </c>
      <c r="AP27" s="402" t="e">
        <f>_xll.qlDayCounterYearFraction(DayCounter,AK27,AO27)</f>
        <v>#NUM!</v>
      </c>
      <c r="AQ27" s="403" t="e">
        <f>IF($Y$1=AQ$21,_xll.qlInterpolationInterpolate(DiscountCurve,AO27),(1+AR27*AT27)*AU27)</f>
        <v>#VALUE!</v>
      </c>
      <c r="AR27" s="404" t="e">
        <f>_xll.qlInterpolationInterpolate(ExtFwdInterpolator,AO27)</f>
        <v>#VALUE!</v>
      </c>
      <c r="AS27" s="401" t="e">
        <f>_xll.qlCalendarAdvance(Calendar,AO27,$A$21,"Modified Following",TRUE)</f>
        <v>#NUM!</v>
      </c>
      <c r="AT27" s="402" t="e">
        <f>_xll.qlDayCounterYearFraction(DayCounter,AO27,AS27)</f>
        <v>#NUM!</v>
      </c>
      <c r="AU27" s="403">
        <f>IF($Y$1=AU$21,_xll.qlInterpolationInterpolate(DiscountCurve,AS27),(1+AV27*AX27)*AY27)</f>
        <v>0</v>
      </c>
    </row>
    <row r="28" spans="1:47" x14ac:dyDescent="0.2">
      <c r="A28" s="21">
        <v>24</v>
      </c>
      <c r="B28" s="246" t="str">
        <f t="shared" ref="B28:B74" si="4">A28&amp;"x"&amp;(A28+$A$20)&amp;"F"</f>
        <v>24x36F</v>
      </c>
      <c r="C28" s="40"/>
      <c r="D28" s="33" t="str">
        <f t="shared" ref="D28:D35" si="5">A28&amp;"M"</f>
        <v>24M</v>
      </c>
      <c r="E28" s="315" t="e">
        <f>_xll.qlCalendarAdvance(Calendar,H28,$A$21,"Modified Following",TRUE)</f>
        <v>#NUM!</v>
      </c>
      <c r="F28" s="33"/>
      <c r="G28" s="33"/>
      <c r="H28" s="30" t="e">
        <f>_xll.qlCalendarAdvance(Calendar,SettlementDate,D28,"MF",TRUE)</f>
        <v>#NUM!</v>
      </c>
      <c r="I28" s="33" t="b">
        <v>1</v>
      </c>
      <c r="J28" s="97" t="e">
        <f>(_xll.qlInterpolationInterpolate(DiscountCurve,H28)/_xll.qlInterpolationInterpolate(DiscountCurve,E28)-1)/Q28</f>
        <v>#VALUE!</v>
      </c>
      <c r="K28" s="33" t="b">
        <f t="shared" ref="K28:K74" si="6">AND(ISNUMBER(J28),I28)</f>
        <v>0</v>
      </c>
      <c r="L28" s="40"/>
      <c r="M28" s="33"/>
      <c r="N28" s="41"/>
      <c r="O28" s="97" t="e">
        <f>_xll.qlYieldTSForwardRate2($O$22,H28,$O$21,DayCounter,"simple","annual",,SheetTrigger)</f>
        <v>#NUM!</v>
      </c>
      <c r="P28" s="97" t="e">
        <f t="shared" si="3"/>
        <v>#VALUE!</v>
      </c>
      <c r="Q28" s="304" t="e">
        <f>_xll.qlDayCounterYearFraction(DayCounter,H28,E28)</f>
        <v>#NUM!</v>
      </c>
      <c r="R28" s="33"/>
      <c r="S28" s="468"/>
      <c r="T28" s="494"/>
      <c r="U28" s="35" t="e">
        <v>#VALUE!</v>
      </c>
      <c r="V28" s="106" t="e">
        <v>#VALUE!</v>
      </c>
      <c r="X28" s="432" t="s">
        <v>26</v>
      </c>
      <c r="Y28" s="400">
        <v>2.1833011540887071E-2</v>
      </c>
      <c r="Z28" s="399" t="e">
        <f t="shared" si="0"/>
        <v>#VALUE!</v>
      </c>
      <c r="AA28" s="400"/>
      <c r="AB28" s="212" t="e">
        <f t="shared" si="1"/>
        <v>#VALUE!</v>
      </c>
      <c r="AC28" s="401" t="e">
        <f>_xll.qlCalendarAdvance(Calendar,SettlementDate,X28,"mf",TRUE)</f>
        <v>#NUM!</v>
      </c>
      <c r="AD28" s="402" t="e">
        <f>_xll.qlDayCounterYearFraction(DayCounter,SettlementDate,AC28)</f>
        <v>#NUM!</v>
      </c>
      <c r="AE28" s="403" t="e">
        <f t="shared" si="2"/>
        <v>#VALUE!</v>
      </c>
      <c r="AF28" s="404" t="e">
        <f>_xll.qlInterpolationInterpolate(ExtFwdInterpolator,AC28)</f>
        <v>#VALUE!</v>
      </c>
      <c r="AG28" s="401" t="e">
        <f>_xll.qlCalendarAdvance(Calendar,AC28,$A$21,"Modified Following",TRUE)</f>
        <v>#NUM!</v>
      </c>
      <c r="AH28" s="402" t="e">
        <f>_xll.qlDayCounterYearFraction(DayCounter,AC28,AG28)</f>
        <v>#NUM!</v>
      </c>
      <c r="AI28" s="403" t="e">
        <f>IF($Y$1=AI$21,_xll.qlInterpolationInterpolate(DiscountCurve,AG28),(1+AJ28*AL28)*AM28)</f>
        <v>#VALUE!</v>
      </c>
      <c r="AJ28" s="404" t="e">
        <f>_xll.qlInterpolationInterpolate(ExtFwdInterpolator,AG28)</f>
        <v>#VALUE!</v>
      </c>
      <c r="AK28" s="401" t="e">
        <f>_xll.qlCalendarAdvance(Calendar,AG28,$A$21,"Modified Following",TRUE)</f>
        <v>#NUM!</v>
      </c>
      <c r="AL28" s="402" t="e">
        <f>_xll.qlDayCounterYearFraction(DayCounter,AG28,AK28)</f>
        <v>#NUM!</v>
      </c>
      <c r="AM28" s="403" t="e">
        <f>IF($Y$1=AM$21,_xll.qlInterpolationInterpolate(DiscountCurve,AK28),(1+AN28*AP28)*AQ28)</f>
        <v>#VALUE!</v>
      </c>
      <c r="AN28" s="404" t="e">
        <f>_xll.qlInterpolationInterpolate(ExtFwdInterpolator,AK28)</f>
        <v>#VALUE!</v>
      </c>
      <c r="AO28" s="401" t="e">
        <f>_xll.qlCalendarAdvance(Calendar,AK28,$A$21,"Modified Following",TRUE)</f>
        <v>#NUM!</v>
      </c>
      <c r="AP28" s="402" t="e">
        <f>_xll.qlDayCounterYearFraction(DayCounter,AK28,AO28)</f>
        <v>#NUM!</v>
      </c>
      <c r="AQ28" s="403" t="e">
        <f>IF($Y$1=AQ$21,_xll.qlInterpolationInterpolate(DiscountCurve,AO28),(1+AR28*AT28)*AU28)</f>
        <v>#VALUE!</v>
      </c>
      <c r="AR28" s="404" t="e">
        <f>_xll.qlInterpolationInterpolate(ExtFwdInterpolator,AO28)</f>
        <v>#VALUE!</v>
      </c>
      <c r="AS28" s="401" t="e">
        <f>_xll.qlCalendarAdvance(Calendar,AO28,$A$21,"Modified Following",TRUE)</f>
        <v>#NUM!</v>
      </c>
      <c r="AT28" s="402" t="e">
        <f>_xll.qlDayCounterYearFraction(DayCounter,AO28,AS28)</f>
        <v>#NUM!</v>
      </c>
      <c r="AU28" s="403">
        <f>IF($Y$1=AU$21,_xll.qlInterpolationInterpolate(DiscountCurve,AS28),(1+AV28*AX28)*AY28)</f>
        <v>0</v>
      </c>
    </row>
    <row r="29" spans="1:47" x14ac:dyDescent="0.2">
      <c r="A29" s="21">
        <v>36</v>
      </c>
      <c r="B29" s="469" t="str">
        <f t="shared" si="4"/>
        <v>36x48F</v>
      </c>
      <c r="C29" s="24"/>
      <c r="D29" s="25" t="str">
        <f t="shared" si="5"/>
        <v>36M</v>
      </c>
      <c r="E29" s="316" t="e">
        <f>_xll.qlCalendarAdvance(Calendar,H29,$A$21,"Modified Following",TRUE)</f>
        <v>#NUM!</v>
      </c>
      <c r="F29" s="25"/>
      <c r="G29" s="25"/>
      <c r="H29" s="34" t="e">
        <f>_xll.qlCalendarAdvance(Calendar,SettlementDate,D29,"MF",TRUE)</f>
        <v>#NUM!</v>
      </c>
      <c r="I29" s="25" t="b">
        <v>1</v>
      </c>
      <c r="J29" s="89" t="e">
        <f>(_xll.qlInterpolationInterpolate(DiscountCurve,H29)/_xll.qlInterpolationInterpolate(DiscountCurve,E29)-1)/Q29</f>
        <v>#VALUE!</v>
      </c>
      <c r="K29" s="25" t="b">
        <f t="shared" si="6"/>
        <v>0</v>
      </c>
      <c r="L29" s="24"/>
      <c r="M29" s="25"/>
      <c r="N29" s="100"/>
      <c r="O29" s="89" t="e">
        <f>_xll.qlYieldTSForwardRate2($O$22,H29,$O$21,DayCounter,"simple","annual",,SheetTrigger)</f>
        <v>#NUM!</v>
      </c>
      <c r="P29" s="89" t="e">
        <f t="shared" si="3"/>
        <v>#VALUE!</v>
      </c>
      <c r="Q29" s="299" t="e">
        <f>_xll.qlDayCounterYearFraction(DayCounter,H29,E29)</f>
        <v>#NUM!</v>
      </c>
      <c r="R29" s="25"/>
      <c r="S29" s="470"/>
      <c r="T29" s="495"/>
      <c r="U29" s="35" t="e">
        <v>#VALUE!</v>
      </c>
      <c r="V29" s="106" t="e">
        <v>#VALUE!</v>
      </c>
      <c r="X29" s="432" t="s">
        <v>19</v>
      </c>
      <c r="Y29" s="400">
        <v>2.1123685921828603E-2</v>
      </c>
      <c r="Z29" s="399" t="e">
        <f t="shared" si="0"/>
        <v>#VALUE!</v>
      </c>
      <c r="AA29" s="400"/>
      <c r="AB29" s="212" t="e">
        <f t="shared" si="1"/>
        <v>#VALUE!</v>
      </c>
      <c r="AC29" s="401" t="e">
        <f>_xll.qlCalendarAdvance(Calendar,SettlementDate,X29,"mf",TRUE)</f>
        <v>#NUM!</v>
      </c>
      <c r="AD29" s="402" t="e">
        <f>_xll.qlDayCounterYearFraction(DayCounter,SettlementDate,AC29)</f>
        <v>#NUM!</v>
      </c>
      <c r="AE29" s="403" t="e">
        <f t="shared" si="2"/>
        <v>#VALUE!</v>
      </c>
      <c r="AF29" s="404" t="e">
        <f>_xll.qlInterpolationInterpolate(ExtFwdInterpolator,AC29)</f>
        <v>#VALUE!</v>
      </c>
      <c r="AG29" s="401" t="e">
        <f>_xll.qlCalendarAdvance(Calendar,AC29,$A$21,"Modified Following",TRUE)</f>
        <v>#NUM!</v>
      </c>
      <c r="AH29" s="402" t="e">
        <f>_xll.qlDayCounterYearFraction(DayCounter,AC29,AG29)</f>
        <v>#NUM!</v>
      </c>
      <c r="AI29" s="403" t="e">
        <f>IF($Y$1=AI$21,_xll.qlInterpolationInterpolate(DiscountCurve,AG29),(1+AJ29*AL29)*AM29)</f>
        <v>#VALUE!</v>
      </c>
      <c r="AJ29" s="404" t="e">
        <f>_xll.qlInterpolationInterpolate(ExtFwdInterpolator,AG29)</f>
        <v>#VALUE!</v>
      </c>
      <c r="AK29" s="401" t="e">
        <f>_xll.qlCalendarAdvance(Calendar,AG29,$A$21,"Modified Following",TRUE)</f>
        <v>#NUM!</v>
      </c>
      <c r="AL29" s="402" t="e">
        <f>_xll.qlDayCounterYearFraction(DayCounter,AG29,AK29)</f>
        <v>#NUM!</v>
      </c>
      <c r="AM29" s="403" t="e">
        <f>IF($Y$1=AM$21,_xll.qlInterpolationInterpolate(DiscountCurve,AK29),(1+AN29*AP29)*AQ29)</f>
        <v>#VALUE!</v>
      </c>
      <c r="AN29" s="404" t="e">
        <f>_xll.qlInterpolationInterpolate(ExtFwdInterpolator,AK29)</f>
        <v>#VALUE!</v>
      </c>
      <c r="AO29" s="401" t="e">
        <f>_xll.qlCalendarAdvance(Calendar,AK29,$A$21,"Modified Following",TRUE)</f>
        <v>#NUM!</v>
      </c>
      <c r="AP29" s="402" t="e">
        <f>_xll.qlDayCounterYearFraction(DayCounter,AK29,AO29)</f>
        <v>#NUM!</v>
      </c>
      <c r="AQ29" s="403" t="e">
        <f>IF($Y$1=AQ$21,_xll.qlInterpolationInterpolate(DiscountCurve,AO29),(1+AR29*AT29)*AU29)</f>
        <v>#VALUE!</v>
      </c>
      <c r="AR29" s="404" t="e">
        <f>_xll.qlInterpolationInterpolate(ExtFwdInterpolator,AO29)</f>
        <v>#VALUE!</v>
      </c>
      <c r="AS29" s="401" t="e">
        <f>_xll.qlCalendarAdvance(Calendar,AO29,$A$21,"Modified Following",TRUE)</f>
        <v>#NUM!</v>
      </c>
      <c r="AT29" s="402" t="e">
        <f>_xll.qlDayCounterYearFraction(DayCounter,AO29,AS29)</f>
        <v>#NUM!</v>
      </c>
      <c r="AU29" s="403">
        <f>IF($Y$1=AU$21,_xll.qlInterpolationInterpolate(DiscountCurve,AS29),(1+AV29*AX29)*AY29)</f>
        <v>0</v>
      </c>
    </row>
    <row r="30" spans="1:47" x14ac:dyDescent="0.2">
      <c r="A30" s="21">
        <v>48</v>
      </c>
      <c r="B30" s="247" t="str">
        <f t="shared" si="4"/>
        <v>48x60F</v>
      </c>
      <c r="C30" s="53"/>
      <c r="D30" s="39" t="str">
        <f t="shared" si="5"/>
        <v>48M</v>
      </c>
      <c r="E30" s="317" t="e">
        <f>_xll.qlCalendarAdvance(Calendar,H30,$A$21,"Modified Following",TRUE)</f>
        <v>#NUM!</v>
      </c>
      <c r="F30" s="39"/>
      <c r="G30" s="39"/>
      <c r="H30" s="36" t="e">
        <f>_xll.qlCalendarAdvance(Calendar,SettlementDate,D30,"MF",TRUE)</f>
        <v>#NUM!</v>
      </c>
      <c r="I30" s="39" t="b">
        <v>1</v>
      </c>
      <c r="J30" s="471" t="e">
        <f>(_xll.qlInterpolationInterpolate(DiscountCurve,H30)/_xll.qlInterpolationInterpolate(DiscountCurve,E30,TRUE)-1)/Q30</f>
        <v>#VALUE!</v>
      </c>
      <c r="K30" s="39" t="b">
        <f t="shared" si="6"/>
        <v>0</v>
      </c>
      <c r="L30" s="53"/>
      <c r="M30" s="39"/>
      <c r="N30" s="76"/>
      <c r="O30" s="75" t="e">
        <f>_xll.qlYieldTSForwardRate2($O$22,H30,$O$21,DayCounter,"simple","annual",,SheetTrigger)</f>
        <v>#NUM!</v>
      </c>
      <c r="P30" s="75" t="e">
        <f t="shared" si="3"/>
        <v>#VALUE!</v>
      </c>
      <c r="Q30" s="310" t="e">
        <f>_xll.qlDayCounterYearFraction(DayCounter,H30,E30)</f>
        <v>#NUM!</v>
      </c>
      <c r="R30" s="39"/>
      <c r="S30" s="472"/>
      <c r="T30" s="496"/>
      <c r="U30" s="35" t="e">
        <v>#VALUE!</v>
      </c>
      <c r="V30" s="106" t="e">
        <v>#VALUE!</v>
      </c>
      <c r="X30" s="432" t="s">
        <v>28</v>
      </c>
      <c r="Y30" s="400">
        <v>1.9606517690019802E-2</v>
      </c>
      <c r="Z30" s="399" t="e">
        <f t="shared" si="0"/>
        <v>#VALUE!</v>
      </c>
      <c r="AA30" s="400"/>
      <c r="AB30" s="212" t="e">
        <f t="shared" si="1"/>
        <v>#VALUE!</v>
      </c>
      <c r="AC30" s="401" t="e">
        <f>_xll.qlCalendarAdvance(Calendar,SettlementDate,X30,"mf",TRUE)</f>
        <v>#NUM!</v>
      </c>
      <c r="AD30" s="402" t="e">
        <f>_xll.qlDayCounterYearFraction(DayCounter,SettlementDate,AC30)</f>
        <v>#NUM!</v>
      </c>
      <c r="AE30" s="403" t="e">
        <f t="shared" si="2"/>
        <v>#VALUE!</v>
      </c>
      <c r="AF30" s="404" t="e">
        <f>_xll.qlInterpolationInterpolate(ExtFwdInterpolator,AC30)</f>
        <v>#VALUE!</v>
      </c>
      <c r="AG30" s="401" t="e">
        <f>_xll.qlCalendarAdvance(Calendar,AC30,$A$21,"Modified Following",TRUE)</f>
        <v>#NUM!</v>
      </c>
      <c r="AH30" s="402" t="e">
        <f>_xll.qlDayCounterYearFraction(DayCounter,AC30,AG30)</f>
        <v>#NUM!</v>
      </c>
      <c r="AI30" s="403" t="e">
        <f>IF($Y$1=AI$21,_xll.qlInterpolationInterpolate(DiscountCurve,AG30),(1+AJ30*AL30)*AM30)</f>
        <v>#VALUE!</v>
      </c>
      <c r="AJ30" s="404" t="e">
        <f>_xll.qlInterpolationInterpolate(ExtFwdInterpolator,AG30)</f>
        <v>#VALUE!</v>
      </c>
      <c r="AK30" s="401" t="e">
        <f>_xll.qlCalendarAdvance(Calendar,AG30,$A$21,"Modified Following",TRUE)</f>
        <v>#NUM!</v>
      </c>
      <c r="AL30" s="402" t="e">
        <f>_xll.qlDayCounterYearFraction(DayCounter,AG30,AK30)</f>
        <v>#NUM!</v>
      </c>
      <c r="AM30" s="403" t="e">
        <f>IF($Y$1=AM$21,_xll.qlInterpolationInterpolate(DiscountCurve,AK30),(1+AN30*AP30)*AQ30)</f>
        <v>#VALUE!</v>
      </c>
      <c r="AN30" s="404" t="e">
        <f>_xll.qlInterpolationInterpolate(ExtFwdInterpolator,AK30)</f>
        <v>#VALUE!</v>
      </c>
      <c r="AO30" s="401" t="e">
        <f>_xll.qlCalendarAdvance(Calendar,AK30,$A$21,"Modified Following",TRUE)</f>
        <v>#NUM!</v>
      </c>
      <c r="AP30" s="402" t="e">
        <f>_xll.qlDayCounterYearFraction(DayCounter,AK30,AO30)</f>
        <v>#NUM!</v>
      </c>
      <c r="AQ30" s="403" t="e">
        <f>IF($Y$1=AQ$21,_xll.qlInterpolationInterpolate(DiscountCurve,AO30),(1+AR30*AT30)*AU30)</f>
        <v>#VALUE!</v>
      </c>
      <c r="AR30" s="404" t="e">
        <f>_xll.qlInterpolationInterpolate(ExtFwdInterpolator,AO30)</f>
        <v>#VALUE!</v>
      </c>
      <c r="AS30" s="401" t="e">
        <f>_xll.qlCalendarAdvance(Calendar,AO30,$A$21,"Modified Following",TRUE)</f>
        <v>#NUM!</v>
      </c>
      <c r="AT30" s="402" t="e">
        <f>_xll.qlDayCounterYearFraction(DayCounter,AO30,AS30)</f>
        <v>#NUM!</v>
      </c>
      <c r="AU30" s="403">
        <f>IF($Y$1=AU$21,_xll.qlInterpolationInterpolate(DiscountCurve,AS30),(1+AV30*AX30)*AY30)</f>
        <v>0</v>
      </c>
    </row>
    <row r="31" spans="1:47" x14ac:dyDescent="0.2">
      <c r="A31" s="21">
        <v>3</v>
      </c>
      <c r="B31" s="503" t="str">
        <f t="shared" si="4"/>
        <v>3x15F</v>
      </c>
      <c r="C31" s="33"/>
      <c r="D31" s="33" t="str">
        <f t="shared" si="5"/>
        <v>3M</v>
      </c>
      <c r="E31" s="30" t="e">
        <f>_xll.qlCalendarAdvance(Calendar,H31,$A$21,"Modified Following",TRUE)</f>
        <v>#NUM!</v>
      </c>
      <c r="F31" s="33"/>
      <c r="G31" s="33"/>
      <c r="H31" s="30" t="e">
        <f>_xll.qlCalendarAdvance(Calendar,SettlementDate,D31,"MF",TRUE)</f>
        <v>#NUM!</v>
      </c>
      <c r="I31" s="33" t="b">
        <v>1</v>
      </c>
      <c r="J31" s="31" t="e">
        <f>O31+P31</f>
        <v>#NUM!</v>
      </c>
      <c r="K31" s="33" t="b">
        <f t="shared" si="6"/>
        <v>0</v>
      </c>
      <c r="L31" s="40"/>
      <c r="M31" s="33"/>
      <c r="N31" s="41"/>
      <c r="O31" s="31" t="e">
        <f>_xll.qlYieldTSForwardRate2($O$22,H31,$O$21,DayCounter,"simple","annual",,SheetTrigger)</f>
        <v>#NUM!</v>
      </c>
      <c r="P31" s="504" t="e">
        <f>P25-(P25-P27)*0.7</f>
        <v>#NUM!</v>
      </c>
      <c r="Q31" s="86" t="e">
        <f>_xll.qlDayCounterYearFraction(DayCounter,H31,E31)</f>
        <v>#NUM!</v>
      </c>
      <c r="R31" s="33"/>
      <c r="S31" s="33"/>
      <c r="T31" s="41"/>
      <c r="U31" s="35" t="e">
        <v>#VALUE!</v>
      </c>
      <c r="V31" s="106" t="e">
        <v>#VALUE!</v>
      </c>
      <c r="X31" s="432" t="s">
        <v>29</v>
      </c>
      <c r="Y31" s="400">
        <v>1.8933245026873362E-2</v>
      </c>
      <c r="Z31" s="399" t="e">
        <f t="shared" si="0"/>
        <v>#VALUE!</v>
      </c>
      <c r="AA31" s="400"/>
      <c r="AB31" s="212" t="e">
        <f t="shared" si="1"/>
        <v>#VALUE!</v>
      </c>
      <c r="AC31" s="401" t="e">
        <f>_xll.qlCalendarAdvance(Calendar,SettlementDate,X31,"mf",TRUE)</f>
        <v>#NUM!</v>
      </c>
      <c r="AD31" s="402" t="e">
        <f>_xll.qlDayCounterYearFraction(DayCounter,SettlementDate,AC31)</f>
        <v>#NUM!</v>
      </c>
      <c r="AE31" s="403" t="e">
        <f t="shared" si="2"/>
        <v>#VALUE!</v>
      </c>
      <c r="AF31" s="404" t="e">
        <f>_xll.qlInterpolationInterpolate(ExtFwdInterpolator,AC31)</f>
        <v>#VALUE!</v>
      </c>
      <c r="AG31" s="401" t="e">
        <f>_xll.qlCalendarAdvance(Calendar,AC31,$A$21,"Modified Following",TRUE)</f>
        <v>#NUM!</v>
      </c>
      <c r="AH31" s="402" t="e">
        <f>_xll.qlDayCounterYearFraction(DayCounter,AC31,AG31)</f>
        <v>#NUM!</v>
      </c>
      <c r="AI31" s="403" t="e">
        <f>IF($Y$1=AI$21,_xll.qlInterpolationInterpolate(DiscountCurve,AG31),(1+AJ31*AL31)*AM31)</f>
        <v>#VALUE!</v>
      </c>
      <c r="AJ31" s="404" t="e">
        <f>_xll.qlInterpolationInterpolate(ExtFwdInterpolator,AG31)</f>
        <v>#VALUE!</v>
      </c>
      <c r="AK31" s="401" t="e">
        <f>_xll.qlCalendarAdvance(Calendar,AG31,$A$21,"Modified Following",TRUE)</f>
        <v>#NUM!</v>
      </c>
      <c r="AL31" s="402" t="e">
        <f>_xll.qlDayCounterYearFraction(DayCounter,AG31,AK31)</f>
        <v>#NUM!</v>
      </c>
      <c r="AM31" s="403" t="e">
        <f>IF($Y$1=AM$21,_xll.qlInterpolationInterpolate(DiscountCurve,AK31),(1+AN31*AP31)*AQ31)</f>
        <v>#VALUE!</v>
      </c>
      <c r="AN31" s="404" t="e">
        <f>_xll.qlInterpolationInterpolate(ExtFwdInterpolator,AK31)</f>
        <v>#VALUE!</v>
      </c>
      <c r="AO31" s="401" t="e">
        <f>_xll.qlCalendarAdvance(Calendar,AK31,$A$21,"Modified Following",TRUE)</f>
        <v>#NUM!</v>
      </c>
      <c r="AP31" s="402" t="e">
        <f>_xll.qlDayCounterYearFraction(DayCounter,AK31,AO31)</f>
        <v>#NUM!</v>
      </c>
      <c r="AQ31" s="403" t="e">
        <f>IF($Y$1=AQ$21,_xll.qlInterpolationInterpolate(DiscountCurve,AO31),(1+AR31*AT31)*AU31)</f>
        <v>#VALUE!</v>
      </c>
      <c r="AR31" s="404" t="e">
        <f>_xll.qlInterpolationInterpolate(ExtFwdInterpolator,AO31)</f>
        <v>#VALUE!</v>
      </c>
      <c r="AS31" s="401" t="e">
        <f>_xll.qlCalendarAdvance(Calendar,AO31,$A$21,"Modified Following",TRUE)</f>
        <v>#NUM!</v>
      </c>
      <c r="AT31" s="402" t="e">
        <f>_xll.qlDayCounterYearFraction(DayCounter,AO31,AS31)</f>
        <v>#NUM!</v>
      </c>
      <c r="AU31" s="403">
        <f>IF($Y$1=AU$21,_xll.qlInterpolationInterpolate(DiscountCurve,AS31),(1+AV31*AX31)*AY31)</f>
        <v>0</v>
      </c>
    </row>
    <row r="32" spans="1:47" x14ac:dyDescent="0.2">
      <c r="A32" s="21">
        <v>2</v>
      </c>
      <c r="B32" s="475" t="str">
        <f t="shared" si="4"/>
        <v>2x14F</v>
      </c>
      <c r="C32" s="25"/>
      <c r="D32" s="25" t="str">
        <f t="shared" si="5"/>
        <v>2M</v>
      </c>
      <c r="E32" s="34" t="e">
        <f>_xll.qlCalendarAdvance(Calendar,H32,$A$21,"Modified Following",TRUE)</f>
        <v>#NUM!</v>
      </c>
      <c r="F32" s="25"/>
      <c r="G32" s="25"/>
      <c r="H32" s="34" t="e">
        <f>_xll.qlCalendarAdvance(Calendar,SettlementDate,D32,"MF",TRUE)</f>
        <v>#NUM!</v>
      </c>
      <c r="I32" s="25" t="b">
        <v>1</v>
      </c>
      <c r="J32" s="26" t="e">
        <f>O32+P32</f>
        <v>#NUM!</v>
      </c>
      <c r="K32" s="25" t="b">
        <f t="shared" si="6"/>
        <v>0</v>
      </c>
      <c r="L32" s="24"/>
      <c r="M32" s="25"/>
      <c r="N32" s="100"/>
      <c r="O32" s="26" t="e">
        <f>_xll.qlYieldTSForwardRate2($O$22,H32,$O$21,DayCounter,"simple","annual",,SheetTrigger)</f>
        <v>#NUM!</v>
      </c>
      <c r="P32" s="89" t="e">
        <f>_xll.qlInterpolationInterpolate($P$22,H32)</f>
        <v>#VALUE!</v>
      </c>
      <c r="Q32" s="87" t="e">
        <f>_xll.qlDayCounterYearFraction(DayCounter,H32,E32)</f>
        <v>#NUM!</v>
      </c>
      <c r="R32" s="25"/>
      <c r="S32" s="25"/>
      <c r="T32" s="100"/>
      <c r="U32" s="35" t="e">
        <v>#VALUE!</v>
      </c>
      <c r="V32" s="106" t="e">
        <v>#VALUE!</v>
      </c>
      <c r="X32" s="476" t="s">
        <v>39</v>
      </c>
      <c r="Y32" s="400">
        <v>1.8099179349911544E-2</v>
      </c>
      <c r="Z32" s="399" t="e">
        <f t="shared" ref="Z32:Z38" si="7">AB32-Y32</f>
        <v>#VALUE!</v>
      </c>
      <c r="AA32" s="400"/>
      <c r="AB32" s="212" t="e">
        <f t="shared" ref="AB32:AB38" si="8">(1/AE32-1)/AD32</f>
        <v>#VALUE!</v>
      </c>
      <c r="AC32" s="401" t="e">
        <f>_xll.qlCalendarAdvance(Calendar,SettlementDate,X32,"mf",TRUE)</f>
        <v>#NUM!</v>
      </c>
      <c r="AD32" s="402" t="e">
        <f>_xll.qlDayCounterYearFraction(DayCounter,SettlementDate,AC32)</f>
        <v>#NUM!</v>
      </c>
      <c r="AE32" s="403" t="e">
        <f t="shared" ref="AE32:AE38" si="9">IF(Optim,1/(1+AA32*AD32),(1+AF32*AH32)*AI32)*IF(AC32&gt;LastDayInYear,TOY,1)*IF(AC32&gt;LastDayInNextYear,_TOY2,1)</f>
        <v>#VALUE!</v>
      </c>
      <c r="AF32" s="404" t="e">
        <f>_xll.qlInterpolationInterpolate(ExtFwdInterpolator,AC32)</f>
        <v>#VALUE!</v>
      </c>
      <c r="AG32" s="401" t="e">
        <f>_xll.qlCalendarAdvance(Calendar,AC32,$A$21,"Modified Following",TRUE)</f>
        <v>#NUM!</v>
      </c>
      <c r="AH32" s="402" t="e">
        <f>_xll.qlDayCounterYearFraction(DayCounter,AC32,AG32)</f>
        <v>#NUM!</v>
      </c>
      <c r="AI32" s="403" t="e">
        <f>IF($Y$1=AI$21,_xll.qlInterpolationInterpolate(DiscountCurve,AG32),(1+AJ32*AL32)*AM32)</f>
        <v>#VALUE!</v>
      </c>
      <c r="AJ32" s="404" t="e">
        <f>_xll.qlInterpolationInterpolate(ExtFwdInterpolator,AG32)</f>
        <v>#VALUE!</v>
      </c>
      <c r="AK32" s="401" t="e">
        <f>_xll.qlCalendarAdvance(Calendar,AG32,$A$21,"Modified Following",TRUE)</f>
        <v>#NUM!</v>
      </c>
      <c r="AL32" s="402" t="e">
        <f>_xll.qlDayCounterYearFraction(DayCounter,AG32,AK32)</f>
        <v>#NUM!</v>
      </c>
      <c r="AM32" s="403" t="e">
        <f>IF($Y$1=AM$21,_xll.qlInterpolationInterpolate(DiscountCurve,AK32),(1+AN32*AP32)*AQ32)</f>
        <v>#VALUE!</v>
      </c>
      <c r="AN32" s="404" t="e">
        <f>_xll.qlInterpolationInterpolate(ExtFwdInterpolator,AK32)</f>
        <v>#VALUE!</v>
      </c>
      <c r="AO32" s="401" t="e">
        <f>_xll.qlCalendarAdvance(Calendar,AK32,$A$21,"Modified Following",TRUE)</f>
        <v>#NUM!</v>
      </c>
      <c r="AP32" s="402" t="e">
        <f>_xll.qlDayCounterYearFraction(DayCounter,AK32,AO32)</f>
        <v>#NUM!</v>
      </c>
      <c r="AQ32" s="403" t="e">
        <f>IF($Y$1=AQ$21,_xll.qlInterpolationInterpolate(DiscountCurve,AO32),(1+AR32*AT32)*AU32)</f>
        <v>#VALUE!</v>
      </c>
      <c r="AR32" s="404" t="e">
        <f>_xll.qlInterpolationInterpolate(ExtFwdInterpolator,AO32)</f>
        <v>#VALUE!</v>
      </c>
      <c r="AS32" s="401" t="e">
        <f>_xll.qlCalendarAdvance(Calendar,AO32,$A$21,"Modified Following",TRUE)</f>
        <v>#NUM!</v>
      </c>
      <c r="AT32" s="402" t="e">
        <f>_xll.qlDayCounterYearFraction(DayCounter,AO32,AS32)</f>
        <v>#NUM!</v>
      </c>
      <c r="AU32" s="403">
        <f>IF($Y$1=AU$21,_xll.qlInterpolationInterpolate(DiscountCurve,AS32),(1+AV32*AX32)*AY32)</f>
        <v>0</v>
      </c>
    </row>
    <row r="33" spans="1:47" x14ac:dyDescent="0.2">
      <c r="A33" s="21">
        <v>1</v>
      </c>
      <c r="B33" s="497" t="str">
        <f t="shared" si="4"/>
        <v>1x13F</v>
      </c>
      <c r="C33" s="39"/>
      <c r="D33" s="39" t="str">
        <f t="shared" si="5"/>
        <v>1M</v>
      </c>
      <c r="E33" s="36" t="e">
        <f>_xll.qlCalendarAdvance(Calendar,H33,$A$21,"Modified Following",TRUE)</f>
        <v>#NUM!</v>
      </c>
      <c r="F33" s="39"/>
      <c r="G33" s="39"/>
      <c r="H33" s="36" t="e">
        <f>_xll.qlCalendarAdvance(Calendar,SettlementDate,D33,"MF",TRUE)</f>
        <v>#NUM!</v>
      </c>
      <c r="I33" s="39" t="b">
        <v>1</v>
      </c>
      <c r="J33" s="37" t="e">
        <f>O33+P33</f>
        <v>#NUM!</v>
      </c>
      <c r="K33" s="39" t="b">
        <f t="shared" si="6"/>
        <v>0</v>
      </c>
      <c r="L33" s="53"/>
      <c r="M33" s="39"/>
      <c r="N33" s="76"/>
      <c r="O33" s="37" t="e">
        <f>_xll.qlYieldTSForwardRate2($O$22,H33,$O$21,DayCounter,"simple","annual",,SheetTrigger)</f>
        <v>#NUM!</v>
      </c>
      <c r="P33" s="75" t="e">
        <f>_xll.qlInterpolationInterpolate($P$22,H33)</f>
        <v>#VALUE!</v>
      </c>
      <c r="Q33" s="88" t="e">
        <f>_xll.qlDayCounterYearFraction(DayCounter,H33,E33)</f>
        <v>#NUM!</v>
      </c>
      <c r="R33" s="39"/>
      <c r="S33" s="39"/>
      <c r="T33" s="76"/>
      <c r="U33" s="35" t="e">
        <v>#VALUE!</v>
      </c>
      <c r="V33" s="106" t="e">
        <v>#VALUE!</v>
      </c>
      <c r="X33" s="476" t="s">
        <v>137</v>
      </c>
      <c r="Y33" s="400">
        <v>1.7606743940990575E-2</v>
      </c>
      <c r="Z33" s="399" t="e">
        <f t="shared" si="7"/>
        <v>#VALUE!</v>
      </c>
      <c r="AA33" s="400"/>
      <c r="AB33" s="212" t="e">
        <f t="shared" si="8"/>
        <v>#VALUE!</v>
      </c>
      <c r="AC33" s="401" t="e">
        <f>_xll.qlCalendarAdvance(Calendar,SettlementDate,X33,"mf",TRUE)</f>
        <v>#NUM!</v>
      </c>
      <c r="AD33" s="402" t="e">
        <f>_xll.qlDayCounterYearFraction(DayCounter,SettlementDate,AC33)</f>
        <v>#NUM!</v>
      </c>
      <c r="AE33" s="403" t="e">
        <f t="shared" si="9"/>
        <v>#VALUE!</v>
      </c>
      <c r="AF33" s="404" t="e">
        <f>_xll.qlInterpolationInterpolate(ExtFwdInterpolator,AC33)</f>
        <v>#VALUE!</v>
      </c>
      <c r="AG33" s="401" t="e">
        <f>_xll.qlCalendarAdvance(Calendar,AC33,$A$21,"Modified Following",TRUE)</f>
        <v>#NUM!</v>
      </c>
      <c r="AH33" s="402" t="e">
        <f>_xll.qlDayCounterYearFraction(DayCounter,AC33,AG33)</f>
        <v>#NUM!</v>
      </c>
      <c r="AI33" s="403" t="e">
        <f>IF($Y$1=AI$21,_xll.qlInterpolationInterpolate(DiscountCurve,AG33),(1+AJ33*AL33)*AM33)</f>
        <v>#VALUE!</v>
      </c>
      <c r="AJ33" s="404" t="e">
        <f>_xll.qlInterpolationInterpolate(ExtFwdInterpolator,AG33)</f>
        <v>#VALUE!</v>
      </c>
      <c r="AK33" s="401" t="e">
        <f>_xll.qlCalendarAdvance(Calendar,AG33,$A$21,"Modified Following",TRUE)</f>
        <v>#NUM!</v>
      </c>
      <c r="AL33" s="402" t="e">
        <f>_xll.qlDayCounterYearFraction(DayCounter,AG33,AK33)</f>
        <v>#NUM!</v>
      </c>
      <c r="AM33" s="403" t="e">
        <f>IF($Y$1=AM$21,_xll.qlInterpolationInterpolate(DiscountCurve,AK33),(1+AN33*AP33)*AQ33)</f>
        <v>#VALUE!</v>
      </c>
      <c r="AN33" s="404" t="e">
        <f>_xll.qlInterpolationInterpolate(ExtFwdInterpolator,AK33)</f>
        <v>#VALUE!</v>
      </c>
      <c r="AO33" s="401" t="e">
        <f>_xll.qlCalendarAdvance(Calendar,AK33,$A$21,"Modified Following",TRUE)</f>
        <v>#NUM!</v>
      </c>
      <c r="AP33" s="402" t="e">
        <f>_xll.qlDayCounterYearFraction(DayCounter,AK33,AO33)</f>
        <v>#NUM!</v>
      </c>
      <c r="AQ33" s="403" t="e">
        <f>IF($Y$1=AQ$21,_xll.qlInterpolationInterpolate(DiscountCurve,AO33),(1+AR33*AT33)*AU33)</f>
        <v>#VALUE!</v>
      </c>
      <c r="AR33" s="404" t="e">
        <f>_xll.qlInterpolationInterpolate(ExtFwdInterpolator,AO33)</f>
        <v>#VALUE!</v>
      </c>
      <c r="AS33" s="401" t="e">
        <f>_xll.qlCalendarAdvance(Calendar,AO33,$A$21,"Modified Following",TRUE)</f>
        <v>#NUM!</v>
      </c>
      <c r="AT33" s="402" t="e">
        <f>_xll.qlDayCounterYearFraction(DayCounter,AO33,AS33)</f>
        <v>#NUM!</v>
      </c>
      <c r="AU33" s="403">
        <f>IF($Y$1=AU$21,_xll.qlInterpolationInterpolate(DiscountCurve,AS33),(1+AV33*AX33)*AY33)</f>
        <v>0</v>
      </c>
    </row>
    <row r="34" spans="1:47" x14ac:dyDescent="0.2">
      <c r="A34" s="21">
        <v>4</v>
      </c>
      <c r="B34" s="475" t="str">
        <f t="shared" si="4"/>
        <v>4x16F</v>
      </c>
      <c r="C34" s="25"/>
      <c r="D34" s="25" t="str">
        <f t="shared" si="5"/>
        <v>4M</v>
      </c>
      <c r="E34" s="34" t="e">
        <f>_xll.qlCalendarAdvance(Calendar,H34,$A$21,"Modified Following",TRUE)</f>
        <v>#NUM!</v>
      </c>
      <c r="F34" s="25"/>
      <c r="G34" s="25"/>
      <c r="H34" s="34" t="e">
        <f>_xll.qlCalendarAdvance(Calendar,SettlementDate,D34,"MF",TRUE)</f>
        <v>#NUM!</v>
      </c>
      <c r="I34" s="25" t="b">
        <v>1</v>
      </c>
      <c r="J34" s="26" t="e">
        <f>O34+P34</f>
        <v>#NUM!</v>
      </c>
      <c r="K34" s="25" t="b">
        <f t="shared" si="6"/>
        <v>0</v>
      </c>
      <c r="L34" s="24"/>
      <c r="M34" s="25"/>
      <c r="N34" s="100"/>
      <c r="O34" s="26" t="e">
        <f>_xll.qlYieldTSForwardRate2($O$22,H34,$O$21,DayCounter,"simple","annual",,SheetTrigger)</f>
        <v>#NUM!</v>
      </c>
      <c r="P34" s="89" t="e">
        <f>_xll.qlInterpolationInterpolate($P$22,H34)</f>
        <v>#VALUE!</v>
      </c>
      <c r="Q34" s="87" t="e">
        <f>_xll.qlDayCounterYearFraction(DayCounter,H34,E34)</f>
        <v>#NUM!</v>
      </c>
      <c r="R34" s="25"/>
      <c r="S34" s="25"/>
      <c r="T34" s="100"/>
      <c r="U34" s="35" t="e">
        <v>#VALUE!</v>
      </c>
      <c r="V34" s="106" t="e">
        <v>#VALUE!</v>
      </c>
      <c r="X34" s="476" t="s">
        <v>138</v>
      </c>
      <c r="Y34" s="400">
        <v>1.7301739390128308E-2</v>
      </c>
      <c r="Z34" s="399" t="e">
        <f t="shared" si="7"/>
        <v>#VALUE!</v>
      </c>
      <c r="AA34" s="400"/>
      <c r="AB34" s="212" t="e">
        <f t="shared" si="8"/>
        <v>#VALUE!</v>
      </c>
      <c r="AC34" s="401" t="e">
        <f>_xll.qlCalendarAdvance(Calendar,SettlementDate,X34,"mf",TRUE)</f>
        <v>#NUM!</v>
      </c>
      <c r="AD34" s="402" t="e">
        <f>_xll.qlDayCounterYearFraction(DayCounter,SettlementDate,AC34)</f>
        <v>#NUM!</v>
      </c>
      <c r="AE34" s="403" t="e">
        <f t="shared" si="9"/>
        <v>#VALUE!</v>
      </c>
      <c r="AF34" s="404" t="e">
        <f>_xll.qlInterpolationInterpolate(ExtFwdInterpolator,AC34)</f>
        <v>#VALUE!</v>
      </c>
      <c r="AG34" s="401" t="e">
        <f>_xll.qlCalendarAdvance(Calendar,AC34,$A$21,"Modified Following",TRUE)</f>
        <v>#NUM!</v>
      </c>
      <c r="AH34" s="402" t="e">
        <f>_xll.qlDayCounterYearFraction(DayCounter,AC34,AG34)</f>
        <v>#NUM!</v>
      </c>
      <c r="AI34" s="403" t="e">
        <f>IF($Y$1=AI$21,_xll.qlInterpolationInterpolate(DiscountCurve,AG34),(1+AJ34*AL34)*AM34)</f>
        <v>#VALUE!</v>
      </c>
      <c r="AJ34" s="404" t="e">
        <f>_xll.qlInterpolationInterpolate(ExtFwdInterpolator,AG34)</f>
        <v>#VALUE!</v>
      </c>
      <c r="AK34" s="401" t="e">
        <f>_xll.qlCalendarAdvance(Calendar,AG34,$A$21,"Modified Following",TRUE)</f>
        <v>#NUM!</v>
      </c>
      <c r="AL34" s="402" t="e">
        <f>_xll.qlDayCounterYearFraction(DayCounter,AG34,AK34)</f>
        <v>#NUM!</v>
      </c>
      <c r="AM34" s="403" t="e">
        <f>IF($Y$1=AM$21,_xll.qlInterpolationInterpolate(DiscountCurve,AK34),(1+AN34*AP34)*AQ34)</f>
        <v>#VALUE!</v>
      </c>
      <c r="AN34" s="404" t="e">
        <f>_xll.qlInterpolationInterpolate(ExtFwdInterpolator,AK34)</f>
        <v>#VALUE!</v>
      </c>
      <c r="AO34" s="401" t="e">
        <f>_xll.qlCalendarAdvance(Calendar,AK34,$A$21,"Modified Following",TRUE)</f>
        <v>#NUM!</v>
      </c>
      <c r="AP34" s="402" t="e">
        <f>_xll.qlDayCounterYearFraction(DayCounter,AK34,AO34)</f>
        <v>#NUM!</v>
      </c>
      <c r="AQ34" s="403" t="e">
        <f>IF($Y$1=AQ$21,_xll.qlInterpolationInterpolate(DiscountCurve,AO34),(1+AR34*AT34)*AU34)</f>
        <v>#VALUE!</v>
      </c>
      <c r="AR34" s="404" t="e">
        <f>_xll.qlInterpolationInterpolate(ExtFwdInterpolator,AO34)</f>
        <v>#VALUE!</v>
      </c>
      <c r="AS34" s="401" t="e">
        <f>_xll.qlCalendarAdvance(Calendar,AO34,$A$21,"Modified Following",TRUE)</f>
        <v>#NUM!</v>
      </c>
      <c r="AT34" s="402" t="e">
        <f>_xll.qlDayCounterYearFraction(DayCounter,AO34,AS34)</f>
        <v>#NUM!</v>
      </c>
      <c r="AU34" s="403">
        <f>IF($Y$1=AU$21,_xll.qlInterpolationInterpolate(DiscountCurve,AS34),(1+AV34*AX34)*AY34)</f>
        <v>0</v>
      </c>
    </row>
    <row r="35" spans="1:47" x14ac:dyDescent="0.2">
      <c r="A35" s="21">
        <v>5</v>
      </c>
      <c r="B35" s="475" t="str">
        <f t="shared" si="4"/>
        <v>5x17F</v>
      </c>
      <c r="C35" s="25"/>
      <c r="D35" s="25" t="str">
        <f t="shared" si="5"/>
        <v>5M</v>
      </c>
      <c r="E35" s="34" t="e">
        <f>_xll.qlCalendarAdvance(Calendar,H35,$A$21,"Modified Following",TRUE)</f>
        <v>#NUM!</v>
      </c>
      <c r="F35" s="25"/>
      <c r="G35" s="25"/>
      <c r="H35" s="34" t="e">
        <f>_xll.qlCalendarAdvance(Calendar,SettlementDate,D35,"MF",TRUE)</f>
        <v>#NUM!</v>
      </c>
      <c r="I35" s="25" t="b">
        <v>1</v>
      </c>
      <c r="J35" s="26" t="e">
        <f>O35+P35</f>
        <v>#NUM!</v>
      </c>
      <c r="K35" s="25" t="b">
        <f t="shared" si="6"/>
        <v>0</v>
      </c>
      <c r="L35" s="24"/>
      <c r="M35" s="25"/>
      <c r="N35" s="100"/>
      <c r="O35" s="26" t="e">
        <f>_xll.qlYieldTSForwardRate2($O$22,H35,$O$21,DayCounter,"simple","annual",,SheetTrigger)</f>
        <v>#NUM!</v>
      </c>
      <c r="P35" s="89" t="e">
        <f>_xll.qlInterpolationInterpolate($P$22,H35)</f>
        <v>#VALUE!</v>
      </c>
      <c r="Q35" s="87" t="e">
        <f>_xll.qlDayCounterYearFraction(DayCounter,H35,E35)</f>
        <v>#NUM!</v>
      </c>
      <c r="R35" s="25"/>
      <c r="S35" s="25"/>
      <c r="T35" s="100"/>
      <c r="U35" s="35" t="e">
        <v>#VALUE!</v>
      </c>
      <c r="V35" s="106" t="e">
        <v>#VALUE!</v>
      </c>
      <c r="X35" s="476" t="s">
        <v>139</v>
      </c>
      <c r="Y35" s="400">
        <v>1.7652944900823267E-2</v>
      </c>
      <c r="Z35" s="399" t="e">
        <f t="shared" si="7"/>
        <v>#VALUE!</v>
      </c>
      <c r="AA35" s="400"/>
      <c r="AB35" s="212" t="e">
        <f t="shared" si="8"/>
        <v>#VALUE!</v>
      </c>
      <c r="AC35" s="401" t="e">
        <f>_xll.qlCalendarAdvance(Calendar,SettlementDate,X35,"mf",TRUE)</f>
        <v>#NUM!</v>
      </c>
      <c r="AD35" s="402" t="e">
        <f>_xll.qlDayCounterYearFraction(DayCounter,SettlementDate,AC35)</f>
        <v>#NUM!</v>
      </c>
      <c r="AE35" s="403" t="e">
        <f t="shared" si="9"/>
        <v>#VALUE!</v>
      </c>
      <c r="AF35" s="404" t="e">
        <f>_xll.qlInterpolationInterpolate(ExtFwdInterpolator,AC35)</f>
        <v>#VALUE!</v>
      </c>
      <c r="AG35" s="401" t="e">
        <f>_xll.qlCalendarAdvance(Calendar,AC35,$A$21,"Modified Following",TRUE)</f>
        <v>#NUM!</v>
      </c>
      <c r="AH35" s="402" t="e">
        <f>_xll.qlDayCounterYearFraction(DayCounter,AC35,AG35)</f>
        <v>#NUM!</v>
      </c>
      <c r="AI35" s="403" t="e">
        <f>IF($Y$1=AI$21,_xll.qlInterpolationInterpolate(DiscountCurve,AG35),(1+AJ35*AL35)*AM35)</f>
        <v>#VALUE!</v>
      </c>
      <c r="AJ35" s="404" t="e">
        <f>_xll.qlInterpolationInterpolate(ExtFwdInterpolator,AG35)</f>
        <v>#VALUE!</v>
      </c>
      <c r="AK35" s="401" t="e">
        <f>_xll.qlCalendarAdvance(Calendar,AG35,$A$21,"Modified Following",TRUE)</f>
        <v>#NUM!</v>
      </c>
      <c r="AL35" s="402" t="e">
        <f>_xll.qlDayCounterYearFraction(DayCounter,AG35,AK35)</f>
        <v>#NUM!</v>
      </c>
      <c r="AM35" s="403" t="e">
        <f>IF($Y$1=AM$21,_xll.qlInterpolationInterpolate(DiscountCurve,AK35),(1+AN35*AP35)*AQ35)</f>
        <v>#VALUE!</v>
      </c>
      <c r="AN35" s="404" t="e">
        <f>_xll.qlInterpolationInterpolate(ExtFwdInterpolator,AK35)</f>
        <v>#VALUE!</v>
      </c>
      <c r="AO35" s="401" t="e">
        <f>_xll.qlCalendarAdvance(Calendar,AK35,$A$21,"Modified Following",TRUE)</f>
        <v>#NUM!</v>
      </c>
      <c r="AP35" s="402" t="e">
        <f>_xll.qlDayCounterYearFraction(DayCounter,AK35,AO35)</f>
        <v>#NUM!</v>
      </c>
      <c r="AQ35" s="403" t="e">
        <f>IF($Y$1=AQ$21,_xll.qlInterpolationInterpolate(DiscountCurve,AO35),(1+AR35*AT35)*AU35)</f>
        <v>#VALUE!</v>
      </c>
      <c r="AR35" s="404" t="e">
        <f>_xll.qlInterpolationInterpolate(ExtFwdInterpolator,AO35)</f>
        <v>#VALUE!</v>
      </c>
      <c r="AS35" s="401" t="e">
        <f>_xll.qlCalendarAdvance(Calendar,AO35,$A$21,"Modified Following",TRUE)</f>
        <v>#NUM!</v>
      </c>
      <c r="AT35" s="402" t="e">
        <f>_xll.qlDayCounterYearFraction(DayCounter,AO35,AS35)</f>
        <v>#NUM!</v>
      </c>
      <c r="AU35" s="403">
        <f>IF($Y$1=AU$21,_xll.qlInterpolationInterpolate(DiscountCurve,AS35),(1+AV35*AX35)*AY35)</f>
        <v>0</v>
      </c>
    </row>
    <row r="36" spans="1:47" x14ac:dyDescent="0.2">
      <c r="A36" s="21">
        <v>6</v>
      </c>
      <c r="B36" s="475" t="str">
        <f t="shared" si="4"/>
        <v>6x18F</v>
      </c>
      <c r="C36" s="25"/>
      <c r="D36" s="25" t="str">
        <f t="shared" ref="D36:D74" si="10">A36&amp;"M"</f>
        <v>6M</v>
      </c>
      <c r="E36" s="34" t="e">
        <f>_xll.qlCalendarAdvance(Calendar,H36,$A$21,"Modified Following",TRUE)</f>
        <v>#NUM!</v>
      </c>
      <c r="F36" s="25"/>
      <c r="G36" s="25"/>
      <c r="H36" s="34" t="e">
        <f>_xll.qlCalendarAdvance(Calendar,SettlementDate,D36,"MF",TRUE)</f>
        <v>#NUM!</v>
      </c>
      <c r="I36" s="25" t="b">
        <v>1</v>
      </c>
      <c r="J36" s="26" t="e">
        <f t="shared" ref="J36:J74" si="11">O36+P36</f>
        <v>#NUM!</v>
      </c>
      <c r="K36" s="25" t="b">
        <f t="shared" si="6"/>
        <v>0</v>
      </c>
      <c r="L36" s="24"/>
      <c r="M36" s="25"/>
      <c r="N36" s="100"/>
      <c r="O36" s="26" t="e">
        <f>_xll.qlYieldTSForwardRate2($O$22,H36,$O$21,DayCounter,"simple","annual",,SheetTrigger)</f>
        <v>#NUM!</v>
      </c>
      <c r="P36" s="89" t="e">
        <f>_xll.qlInterpolationInterpolate($P$22,H36)</f>
        <v>#VALUE!</v>
      </c>
      <c r="Q36" s="87" t="e">
        <f>_xll.qlDayCounterYearFraction(DayCounter,H36,E36)</f>
        <v>#NUM!</v>
      </c>
      <c r="R36" s="25"/>
      <c r="S36" s="25"/>
      <c r="T36" s="100"/>
      <c r="U36" s="35" t="e">
        <v>#VALUE!</v>
      </c>
      <c r="V36" s="106" t="e">
        <v>#VALUE!</v>
      </c>
      <c r="X36" s="476" t="s">
        <v>140</v>
      </c>
      <c r="Y36" s="400">
        <v>1.7512391892674312E-2</v>
      </c>
      <c r="Z36" s="399" t="e">
        <f t="shared" si="7"/>
        <v>#VALUE!</v>
      </c>
      <c r="AA36" s="400"/>
      <c r="AB36" s="212" t="e">
        <f t="shared" si="8"/>
        <v>#VALUE!</v>
      </c>
      <c r="AC36" s="401" t="e">
        <f>_xll.qlCalendarAdvance(Calendar,SettlementDate,X36,"mf",TRUE)</f>
        <v>#NUM!</v>
      </c>
      <c r="AD36" s="402" t="e">
        <f>_xll.qlDayCounterYearFraction(DayCounter,SettlementDate,AC36)</f>
        <v>#NUM!</v>
      </c>
      <c r="AE36" s="403" t="e">
        <f t="shared" si="9"/>
        <v>#VALUE!</v>
      </c>
      <c r="AF36" s="404" t="e">
        <f>_xll.qlInterpolationInterpolate(ExtFwdInterpolator,AC36)</f>
        <v>#VALUE!</v>
      </c>
      <c r="AG36" s="401" t="e">
        <f>_xll.qlCalendarAdvance(Calendar,AC36,$A$21,"Modified Following",TRUE)</f>
        <v>#NUM!</v>
      </c>
      <c r="AH36" s="402" t="e">
        <f>_xll.qlDayCounterYearFraction(DayCounter,AC36,AG36)</f>
        <v>#NUM!</v>
      </c>
      <c r="AI36" s="403" t="e">
        <f>IF($Y$1=AI$21,_xll.qlInterpolationInterpolate(DiscountCurve,AG36),(1+AJ36*AL36)*AM36)</f>
        <v>#VALUE!</v>
      </c>
      <c r="AJ36" s="404" t="e">
        <f>_xll.qlInterpolationInterpolate(ExtFwdInterpolator,AG36)</f>
        <v>#VALUE!</v>
      </c>
      <c r="AK36" s="401" t="e">
        <f>_xll.qlCalendarAdvance(Calendar,AG36,$A$21,"Modified Following",TRUE)</f>
        <v>#NUM!</v>
      </c>
      <c r="AL36" s="402" t="e">
        <f>_xll.qlDayCounterYearFraction(DayCounter,AG36,AK36)</f>
        <v>#NUM!</v>
      </c>
      <c r="AM36" s="403" t="e">
        <f>IF($Y$1=AM$21,_xll.qlInterpolationInterpolate(DiscountCurve,AK36),(1+AN36*AP36)*AQ36)</f>
        <v>#VALUE!</v>
      </c>
      <c r="AN36" s="404" t="e">
        <f>_xll.qlInterpolationInterpolate(ExtFwdInterpolator,AK36)</f>
        <v>#VALUE!</v>
      </c>
      <c r="AO36" s="401" t="e">
        <f>_xll.qlCalendarAdvance(Calendar,AK36,$A$21,"Modified Following",TRUE)</f>
        <v>#NUM!</v>
      </c>
      <c r="AP36" s="402" t="e">
        <f>_xll.qlDayCounterYearFraction(DayCounter,AK36,AO36)</f>
        <v>#NUM!</v>
      </c>
      <c r="AQ36" s="403" t="e">
        <f>IF($Y$1=AQ$21,_xll.qlInterpolationInterpolate(DiscountCurve,AO36),(1+AR36*AT36)*AU36)</f>
        <v>#VALUE!</v>
      </c>
      <c r="AR36" s="404" t="e">
        <f>_xll.qlInterpolationInterpolate(ExtFwdInterpolator,AO36)</f>
        <v>#VALUE!</v>
      </c>
      <c r="AS36" s="401" t="e">
        <f>_xll.qlCalendarAdvance(Calendar,AO36,$A$21,"Modified Following",TRUE)</f>
        <v>#NUM!</v>
      </c>
      <c r="AT36" s="402" t="e">
        <f>_xll.qlDayCounterYearFraction(DayCounter,AO36,AS36)</f>
        <v>#NUM!</v>
      </c>
      <c r="AU36" s="403">
        <f>IF($Y$1=AU$21,_xll.qlInterpolationInterpolate(DiscountCurve,AS36),(1+AV36*AX36)*AY36)</f>
        <v>0</v>
      </c>
    </row>
    <row r="37" spans="1:47" x14ac:dyDescent="0.2">
      <c r="A37" s="21">
        <v>7</v>
      </c>
      <c r="B37" s="475" t="str">
        <f t="shared" si="4"/>
        <v>7x19F</v>
      </c>
      <c r="C37" s="25"/>
      <c r="D37" s="25" t="str">
        <f t="shared" si="10"/>
        <v>7M</v>
      </c>
      <c r="E37" s="34" t="e">
        <f>_xll.qlCalendarAdvance(Calendar,H37,$A$21,"Modified Following",TRUE)</f>
        <v>#NUM!</v>
      </c>
      <c r="F37" s="25"/>
      <c r="G37" s="25"/>
      <c r="H37" s="34" t="e">
        <f>_xll.qlCalendarAdvance(Calendar,SettlementDate,D37,"MF",TRUE)</f>
        <v>#NUM!</v>
      </c>
      <c r="I37" s="25" t="b">
        <v>1</v>
      </c>
      <c r="J37" s="26" t="e">
        <f t="shared" si="11"/>
        <v>#NUM!</v>
      </c>
      <c r="K37" s="25" t="b">
        <f t="shared" si="6"/>
        <v>0</v>
      </c>
      <c r="L37" s="24"/>
      <c r="M37" s="25"/>
      <c r="N37" s="100"/>
      <c r="O37" s="26" t="e">
        <f>_xll.qlYieldTSForwardRate2($O$22,H37,$O$21,DayCounter,"simple","annual",,SheetTrigger)</f>
        <v>#NUM!</v>
      </c>
      <c r="P37" s="89" t="e">
        <f>_xll.qlInterpolationInterpolate($P$22,H37)</f>
        <v>#VALUE!</v>
      </c>
      <c r="Q37" s="87" t="e">
        <f>_xll.qlDayCounterYearFraction(DayCounter,H37,E37)</f>
        <v>#NUM!</v>
      </c>
      <c r="R37" s="25"/>
      <c r="S37" s="25"/>
      <c r="T37" s="100"/>
      <c r="U37" s="35" t="e">
        <v>#VALUE!</v>
      </c>
      <c r="V37" s="106" t="e">
        <v>#VALUE!</v>
      </c>
      <c r="X37" s="476" t="s">
        <v>141</v>
      </c>
      <c r="Y37" s="400">
        <v>1.7504667705858006E-2</v>
      </c>
      <c r="Z37" s="399" t="e">
        <f t="shared" si="7"/>
        <v>#VALUE!</v>
      </c>
      <c r="AA37" s="400"/>
      <c r="AB37" s="212" t="e">
        <f t="shared" si="8"/>
        <v>#VALUE!</v>
      </c>
      <c r="AC37" s="401" t="e">
        <f>_xll.qlCalendarAdvance(Calendar,SettlementDate,X37,"mf",TRUE)</f>
        <v>#NUM!</v>
      </c>
      <c r="AD37" s="402" t="e">
        <f>_xll.qlDayCounterYearFraction(DayCounter,SettlementDate,AC37)</f>
        <v>#NUM!</v>
      </c>
      <c r="AE37" s="403" t="e">
        <f t="shared" si="9"/>
        <v>#VALUE!</v>
      </c>
      <c r="AF37" s="404" t="e">
        <f>_xll.qlInterpolationInterpolate(ExtFwdInterpolator,AC37)</f>
        <v>#VALUE!</v>
      </c>
      <c r="AG37" s="401" t="e">
        <f>_xll.qlCalendarAdvance(Calendar,AC37,$A$21,"Modified Following",TRUE)</f>
        <v>#NUM!</v>
      </c>
      <c r="AH37" s="402" t="e">
        <f>_xll.qlDayCounterYearFraction(DayCounter,AC37,AG37)</f>
        <v>#NUM!</v>
      </c>
      <c r="AI37" s="403" t="e">
        <f>IF($Y$1=AI$21,_xll.qlInterpolationInterpolate(DiscountCurve,AG37),(1+AJ37*AL37)*AM37)</f>
        <v>#VALUE!</v>
      </c>
      <c r="AJ37" s="404" t="e">
        <f>_xll.qlInterpolationInterpolate(ExtFwdInterpolator,AG37)</f>
        <v>#VALUE!</v>
      </c>
      <c r="AK37" s="401" t="e">
        <f>_xll.qlCalendarAdvance(Calendar,AG37,$A$21,"Modified Following",TRUE)</f>
        <v>#NUM!</v>
      </c>
      <c r="AL37" s="402" t="e">
        <f>_xll.qlDayCounterYearFraction(DayCounter,AG37,AK37)</f>
        <v>#NUM!</v>
      </c>
      <c r="AM37" s="403" t="e">
        <f>IF($Y$1=AM$21,_xll.qlInterpolationInterpolate(DiscountCurve,AK37),(1+AN37*AP37)*AQ37)</f>
        <v>#VALUE!</v>
      </c>
      <c r="AN37" s="404" t="e">
        <f>_xll.qlInterpolationInterpolate(ExtFwdInterpolator,AK37)</f>
        <v>#VALUE!</v>
      </c>
      <c r="AO37" s="401" t="e">
        <f>_xll.qlCalendarAdvance(Calendar,AK37,$A$21,"Modified Following",TRUE)</f>
        <v>#NUM!</v>
      </c>
      <c r="AP37" s="402" t="e">
        <f>_xll.qlDayCounterYearFraction(DayCounter,AK37,AO37)</f>
        <v>#NUM!</v>
      </c>
      <c r="AQ37" s="403" t="e">
        <f>IF($Y$1=AQ$21,_xll.qlInterpolationInterpolate(DiscountCurve,AO37),(1+AR37*AT37)*AU37)</f>
        <v>#VALUE!</v>
      </c>
      <c r="AR37" s="404" t="e">
        <f>_xll.qlInterpolationInterpolate(ExtFwdInterpolator,AO37)</f>
        <v>#VALUE!</v>
      </c>
      <c r="AS37" s="401" t="e">
        <f>_xll.qlCalendarAdvance(Calendar,AO37,$A$21,"Modified Following",TRUE)</f>
        <v>#NUM!</v>
      </c>
      <c r="AT37" s="402" t="e">
        <f>_xll.qlDayCounterYearFraction(DayCounter,AO37,AS37)</f>
        <v>#NUM!</v>
      </c>
      <c r="AU37" s="403">
        <f>IF($Y$1=AU$21,_xll.qlInterpolationInterpolate(DiscountCurve,AS37),(1+AV37*AX37)*AY37)</f>
        <v>0</v>
      </c>
    </row>
    <row r="38" spans="1:47" x14ac:dyDescent="0.2">
      <c r="A38" s="21">
        <v>8</v>
      </c>
      <c r="B38" s="475" t="str">
        <f t="shared" si="4"/>
        <v>8x20F</v>
      </c>
      <c r="C38" s="25"/>
      <c r="D38" s="25" t="str">
        <f t="shared" si="10"/>
        <v>8M</v>
      </c>
      <c r="E38" s="34" t="e">
        <f>_xll.qlCalendarAdvance(Calendar,H38,$A$21,"Modified Following",TRUE)</f>
        <v>#NUM!</v>
      </c>
      <c r="F38" s="25"/>
      <c r="G38" s="25"/>
      <c r="H38" s="34" t="e">
        <f>_xll.qlCalendarAdvance(Calendar,SettlementDate,D38,"MF",TRUE)</f>
        <v>#NUM!</v>
      </c>
      <c r="I38" s="25" t="b">
        <v>1</v>
      </c>
      <c r="J38" s="26" t="e">
        <f t="shared" si="11"/>
        <v>#NUM!</v>
      </c>
      <c r="K38" s="25" t="b">
        <f t="shared" si="6"/>
        <v>0</v>
      </c>
      <c r="L38" s="24"/>
      <c r="M38" s="25"/>
      <c r="N38" s="100"/>
      <c r="O38" s="26" t="e">
        <f>_xll.qlYieldTSForwardRate2($O$22,H38,$O$21,DayCounter,"simple","annual",,SheetTrigger)</f>
        <v>#NUM!</v>
      </c>
      <c r="P38" s="89" t="e">
        <f>_xll.qlInterpolationInterpolate($P$22,H38)</f>
        <v>#VALUE!</v>
      </c>
      <c r="Q38" s="87" t="e">
        <f>_xll.qlDayCounterYearFraction(DayCounter,H38,E38)</f>
        <v>#NUM!</v>
      </c>
      <c r="R38" s="25"/>
      <c r="S38" s="25"/>
      <c r="T38" s="100"/>
      <c r="U38" s="35" t="e">
        <v>#VALUE!</v>
      </c>
      <c r="V38" s="106" t="e">
        <v>#VALUE!</v>
      </c>
      <c r="X38" s="477" t="s">
        <v>142</v>
      </c>
      <c r="Y38" s="395">
        <v>1.7502153132849751E-2</v>
      </c>
      <c r="Z38" s="406" t="e">
        <f t="shared" si="7"/>
        <v>#VALUE!</v>
      </c>
      <c r="AA38" s="395"/>
      <c r="AB38" s="213" t="e">
        <f t="shared" si="8"/>
        <v>#VALUE!</v>
      </c>
      <c r="AC38" s="388" t="e">
        <f>_xll.qlCalendarAdvance(Calendar,SettlementDate,X38,"mf",TRUE)</f>
        <v>#NUM!</v>
      </c>
      <c r="AD38" s="407" t="e">
        <f>_xll.qlDayCounterYearFraction(DayCounter,SettlementDate,AC38)</f>
        <v>#NUM!</v>
      </c>
      <c r="AE38" s="408" t="e">
        <f t="shared" si="9"/>
        <v>#VALUE!</v>
      </c>
      <c r="AF38" s="409" t="e">
        <f>_xll.qlInterpolationInterpolate(ExtFwdInterpolator,AC38)</f>
        <v>#VALUE!</v>
      </c>
      <c r="AG38" s="388" t="e">
        <f>_xll.qlCalendarAdvance(Calendar,AC38,$A$21,"Modified Following",TRUE)</f>
        <v>#NUM!</v>
      </c>
      <c r="AH38" s="407" t="e">
        <f>_xll.qlDayCounterYearFraction(DayCounter,AC38,AG38)</f>
        <v>#NUM!</v>
      </c>
      <c r="AI38" s="408" t="e">
        <f>IF($Y$1=AI$21,_xll.qlInterpolationInterpolate(DiscountCurve,AG38),(1+AJ38*AL38)*AM38)</f>
        <v>#VALUE!</v>
      </c>
      <c r="AJ38" s="409" t="e">
        <f>_xll.qlInterpolationInterpolate(ExtFwdInterpolator,AG38)</f>
        <v>#VALUE!</v>
      </c>
      <c r="AK38" s="388" t="e">
        <f>_xll.qlCalendarAdvance(Calendar,AG38,$A$21,"Modified Following",TRUE)</f>
        <v>#NUM!</v>
      </c>
      <c r="AL38" s="407" t="e">
        <f>_xll.qlDayCounterYearFraction(DayCounter,AG38,AK38)</f>
        <v>#NUM!</v>
      </c>
      <c r="AM38" s="408" t="e">
        <f>IF($Y$1=AM$21,_xll.qlInterpolationInterpolate(DiscountCurve,AK38),(1+AN38*AP38)*AQ38)</f>
        <v>#VALUE!</v>
      </c>
      <c r="AN38" s="409" t="e">
        <f>_xll.qlInterpolationInterpolate(ExtFwdInterpolator,AK38)</f>
        <v>#VALUE!</v>
      </c>
      <c r="AO38" s="388" t="e">
        <f>_xll.qlCalendarAdvance(Calendar,AK38,$A$21,"Modified Following",TRUE)</f>
        <v>#NUM!</v>
      </c>
      <c r="AP38" s="407" t="e">
        <f>_xll.qlDayCounterYearFraction(DayCounter,AK38,AO38)</f>
        <v>#NUM!</v>
      </c>
      <c r="AQ38" s="408" t="e">
        <f>IF($Y$1=AQ$21,_xll.qlInterpolationInterpolate(DiscountCurve,AO38),(1+AR38*AT38)*AU38)</f>
        <v>#VALUE!</v>
      </c>
      <c r="AR38" s="409" t="e">
        <f>_xll.qlInterpolationInterpolate(ExtFwdInterpolator,AO38)</f>
        <v>#VALUE!</v>
      </c>
      <c r="AS38" s="388" t="e">
        <f>_xll.qlCalendarAdvance(Calendar,AO38,$A$21,"Modified Following",TRUE)</f>
        <v>#NUM!</v>
      </c>
      <c r="AT38" s="407" t="e">
        <f>_xll.qlDayCounterYearFraction(DayCounter,AO38,AS38)</f>
        <v>#NUM!</v>
      </c>
      <c r="AU38" s="422">
        <f>IF($Y$1=AU$21,_xll.qlInterpolationInterpolate(DiscountCurve,AS38,TRUE),(1+AV38*AX38)*AY38)</f>
        <v>0</v>
      </c>
    </row>
    <row r="39" spans="1:47" x14ac:dyDescent="0.2">
      <c r="A39" s="21">
        <v>9</v>
      </c>
      <c r="B39" s="475" t="str">
        <f t="shared" si="4"/>
        <v>9x21F</v>
      </c>
      <c r="C39" s="25"/>
      <c r="D39" s="25" t="str">
        <f t="shared" si="10"/>
        <v>9M</v>
      </c>
      <c r="E39" s="34" t="e">
        <f>_xll.qlCalendarAdvance(Calendar,H39,$A$21,"Modified Following",TRUE)</f>
        <v>#NUM!</v>
      </c>
      <c r="F39" s="25"/>
      <c r="G39" s="25"/>
      <c r="H39" s="34" t="e">
        <f>_xll.qlCalendarAdvance(Calendar,SettlementDate,D39,"MF",TRUE)</f>
        <v>#NUM!</v>
      </c>
      <c r="I39" s="25" t="b">
        <v>1</v>
      </c>
      <c r="J39" s="26" t="e">
        <f t="shared" si="11"/>
        <v>#NUM!</v>
      </c>
      <c r="K39" s="25" t="b">
        <f t="shared" si="6"/>
        <v>0</v>
      </c>
      <c r="L39" s="24"/>
      <c r="M39" s="25"/>
      <c r="N39" s="100"/>
      <c r="O39" s="26" t="e">
        <f>_xll.qlYieldTSForwardRate2($O$22,H39,$O$21,DayCounter,"simple","annual",,SheetTrigger)</f>
        <v>#NUM!</v>
      </c>
      <c r="P39" s="89" t="e">
        <f>_xll.qlInterpolationInterpolate($P$22,H39)</f>
        <v>#VALUE!</v>
      </c>
      <c r="Q39" s="87" t="e">
        <f>_xll.qlDayCounterYearFraction(DayCounter,H39,E39)</f>
        <v>#NUM!</v>
      </c>
      <c r="R39" s="25"/>
      <c r="S39" s="25"/>
      <c r="T39" s="100"/>
      <c r="U39" s="35" t="e">
        <v>#VALUE!</v>
      </c>
      <c r="V39" s="106" t="e">
        <v>#VALUE!</v>
      </c>
    </row>
    <row r="40" spans="1:47" x14ac:dyDescent="0.2">
      <c r="A40" s="21">
        <v>10</v>
      </c>
      <c r="B40" s="475" t="str">
        <f t="shared" si="4"/>
        <v>10x22F</v>
      </c>
      <c r="C40" s="25"/>
      <c r="D40" s="25" t="str">
        <f t="shared" si="10"/>
        <v>10M</v>
      </c>
      <c r="E40" s="34" t="e">
        <f>_xll.qlCalendarAdvance(Calendar,H40,$A$21,"Modified Following",TRUE)</f>
        <v>#NUM!</v>
      </c>
      <c r="F40" s="25"/>
      <c r="G40" s="25"/>
      <c r="H40" s="34" t="e">
        <f>_xll.qlCalendarAdvance(Calendar,SettlementDate,D40,"MF",TRUE)</f>
        <v>#NUM!</v>
      </c>
      <c r="I40" s="25" t="b">
        <v>1</v>
      </c>
      <c r="J40" s="26" t="e">
        <f t="shared" si="11"/>
        <v>#NUM!</v>
      </c>
      <c r="K40" s="25" t="b">
        <f t="shared" si="6"/>
        <v>0</v>
      </c>
      <c r="L40" s="24"/>
      <c r="M40" s="25"/>
      <c r="N40" s="100"/>
      <c r="O40" s="26" t="e">
        <f>_xll.qlYieldTSForwardRate2($O$22,H40,$O$21,DayCounter,"simple","annual",,SheetTrigger)</f>
        <v>#NUM!</v>
      </c>
      <c r="P40" s="89" t="e">
        <f>_xll.qlInterpolationInterpolate($P$22,H40)</f>
        <v>#VALUE!</v>
      </c>
      <c r="Q40" s="87" t="e">
        <f>_xll.qlDayCounterYearFraction(DayCounter,H40,E40)</f>
        <v>#NUM!</v>
      </c>
      <c r="R40" s="25"/>
      <c r="S40" s="25"/>
      <c r="T40" s="100"/>
      <c r="U40" s="35" t="e">
        <v>#VALUE!</v>
      </c>
      <c r="V40" s="106" t="e">
        <v>#VALUE!</v>
      </c>
    </row>
    <row r="41" spans="1:47" x14ac:dyDescent="0.2">
      <c r="A41" s="21">
        <v>11</v>
      </c>
      <c r="B41" s="475" t="str">
        <f t="shared" si="4"/>
        <v>11x23F</v>
      </c>
      <c r="C41" s="25"/>
      <c r="D41" s="25" t="str">
        <f t="shared" si="10"/>
        <v>11M</v>
      </c>
      <c r="E41" s="34" t="e">
        <f>_xll.qlCalendarAdvance(Calendar,H41,$A$21,"Modified Following",TRUE)</f>
        <v>#NUM!</v>
      </c>
      <c r="F41" s="25"/>
      <c r="G41" s="25"/>
      <c r="H41" s="34" t="e">
        <f>_xll.qlCalendarAdvance(Calendar,SettlementDate,D41,"MF",TRUE)</f>
        <v>#NUM!</v>
      </c>
      <c r="I41" s="25" t="b">
        <v>1</v>
      </c>
      <c r="J41" s="26" t="e">
        <f t="shared" si="11"/>
        <v>#NUM!</v>
      </c>
      <c r="K41" s="25" t="b">
        <f t="shared" si="6"/>
        <v>0</v>
      </c>
      <c r="L41" s="24"/>
      <c r="M41" s="25"/>
      <c r="N41" s="100"/>
      <c r="O41" s="26" t="e">
        <f>_xll.qlYieldTSForwardRate2($O$22,H41,$O$21,DayCounter,"simple","annual",,SheetTrigger)</f>
        <v>#NUM!</v>
      </c>
      <c r="P41" s="89" t="e">
        <f>_xll.qlInterpolationInterpolate($P$22,H41)</f>
        <v>#VALUE!</v>
      </c>
      <c r="Q41" s="87" t="e">
        <f>_xll.qlDayCounterYearFraction(DayCounter,H41,E41)</f>
        <v>#NUM!</v>
      </c>
      <c r="R41" s="25"/>
      <c r="S41" s="25"/>
      <c r="T41" s="100"/>
      <c r="U41" s="35" t="e">
        <v>#VALUE!</v>
      </c>
      <c r="V41" s="106" t="e">
        <v>#VALUE!</v>
      </c>
    </row>
    <row r="42" spans="1:47" x14ac:dyDescent="0.2">
      <c r="A42" s="21">
        <v>13</v>
      </c>
      <c r="B42" s="475" t="str">
        <f t="shared" si="4"/>
        <v>13x25F</v>
      </c>
      <c r="C42" s="25"/>
      <c r="D42" s="25" t="str">
        <f t="shared" si="10"/>
        <v>13M</v>
      </c>
      <c r="E42" s="34" t="e">
        <f>_xll.qlCalendarAdvance(Calendar,H42,$A$21,"Modified Following",TRUE)</f>
        <v>#NUM!</v>
      </c>
      <c r="F42" s="25"/>
      <c r="G42" s="25"/>
      <c r="H42" s="34" t="e">
        <f>_xll.qlCalendarAdvance(Calendar,SettlementDate,D42,"MF",TRUE)</f>
        <v>#NUM!</v>
      </c>
      <c r="I42" s="25" t="b">
        <v>1</v>
      </c>
      <c r="J42" s="26" t="e">
        <f t="shared" si="11"/>
        <v>#NUM!</v>
      </c>
      <c r="K42" s="25" t="b">
        <f t="shared" si="6"/>
        <v>0</v>
      </c>
      <c r="L42" s="24"/>
      <c r="M42" s="25"/>
      <c r="N42" s="100"/>
      <c r="O42" s="26" t="e">
        <f>_xll.qlYieldTSForwardRate2($O$22,H42,$O$21,DayCounter,"simple","annual",,SheetTrigger)</f>
        <v>#NUM!</v>
      </c>
      <c r="P42" s="89" t="e">
        <f>_xll.qlInterpolationInterpolate($P$22,H42)</f>
        <v>#VALUE!</v>
      </c>
      <c r="Q42" s="87" t="e">
        <f>_xll.qlDayCounterYearFraction(DayCounter,H42,E42)</f>
        <v>#NUM!</v>
      </c>
      <c r="R42" s="25"/>
      <c r="S42" s="25"/>
      <c r="T42" s="100"/>
      <c r="U42" s="35" t="e">
        <v>#VALUE!</v>
      </c>
      <c r="V42" s="106" t="e">
        <v>#VALUE!</v>
      </c>
    </row>
    <row r="43" spans="1:47" x14ac:dyDescent="0.2">
      <c r="A43" s="21">
        <v>14</v>
      </c>
      <c r="B43" s="475" t="str">
        <f t="shared" si="4"/>
        <v>14x26F</v>
      </c>
      <c r="C43" s="25"/>
      <c r="D43" s="25" t="str">
        <f t="shared" si="10"/>
        <v>14M</v>
      </c>
      <c r="E43" s="34" t="e">
        <f>_xll.qlCalendarAdvance(Calendar,H43,$A$21,"Modified Following",TRUE)</f>
        <v>#NUM!</v>
      </c>
      <c r="F43" s="25"/>
      <c r="G43" s="25"/>
      <c r="H43" s="34" t="e">
        <f>_xll.qlCalendarAdvance(Calendar,SettlementDate,D43,"MF",TRUE)</f>
        <v>#NUM!</v>
      </c>
      <c r="I43" s="25" t="b">
        <v>1</v>
      </c>
      <c r="J43" s="26" t="e">
        <f t="shared" si="11"/>
        <v>#NUM!</v>
      </c>
      <c r="K43" s="25" t="b">
        <f t="shared" si="6"/>
        <v>0</v>
      </c>
      <c r="L43" s="24"/>
      <c r="M43" s="25"/>
      <c r="N43" s="100"/>
      <c r="O43" s="26" t="e">
        <f>_xll.qlYieldTSForwardRate2($O$22,H43,$O$21,DayCounter,"simple","annual",,SheetTrigger)</f>
        <v>#NUM!</v>
      </c>
      <c r="P43" s="89" t="e">
        <f>_xll.qlInterpolationInterpolate($P$22,H43)</f>
        <v>#VALUE!</v>
      </c>
      <c r="Q43" s="87" t="e">
        <f>_xll.qlDayCounterYearFraction(DayCounter,H43,E43)</f>
        <v>#NUM!</v>
      </c>
      <c r="R43" s="25"/>
      <c r="S43" s="25"/>
      <c r="T43" s="100"/>
      <c r="U43" s="35" t="e">
        <v>#VALUE!</v>
      </c>
      <c r="V43" s="106" t="e">
        <v>#VALUE!</v>
      </c>
    </row>
    <row r="44" spans="1:47" x14ac:dyDescent="0.2">
      <c r="A44" s="21">
        <v>15</v>
      </c>
      <c r="B44" s="475" t="str">
        <f t="shared" si="4"/>
        <v>15x27F</v>
      </c>
      <c r="C44" s="25"/>
      <c r="D44" s="25" t="str">
        <f t="shared" si="10"/>
        <v>15M</v>
      </c>
      <c r="E44" s="34" t="e">
        <f>_xll.qlCalendarAdvance(Calendar,H44,$A$21,"Modified Following",TRUE)</f>
        <v>#NUM!</v>
      </c>
      <c r="F44" s="25"/>
      <c r="G44" s="25"/>
      <c r="H44" s="34" t="e">
        <f>_xll.qlCalendarAdvance(Calendar,SettlementDate,D44,"MF",TRUE)</f>
        <v>#NUM!</v>
      </c>
      <c r="I44" s="25" t="b">
        <v>1</v>
      </c>
      <c r="J44" s="26" t="e">
        <f t="shared" si="11"/>
        <v>#NUM!</v>
      </c>
      <c r="K44" s="25" t="b">
        <f t="shared" si="6"/>
        <v>0</v>
      </c>
      <c r="L44" s="24"/>
      <c r="M44" s="25"/>
      <c r="N44" s="100"/>
      <c r="O44" s="26" t="e">
        <f>_xll.qlYieldTSForwardRate2($O$22,H44,$O$21,DayCounter,"simple","annual",,SheetTrigger)</f>
        <v>#NUM!</v>
      </c>
      <c r="P44" s="89" t="e">
        <f>_xll.qlInterpolationInterpolate($P$22,H44)</f>
        <v>#VALUE!</v>
      </c>
      <c r="Q44" s="87" t="e">
        <f>_xll.qlDayCounterYearFraction(DayCounter,H44,E44)</f>
        <v>#NUM!</v>
      </c>
      <c r="R44" s="25"/>
      <c r="S44" s="25"/>
      <c r="T44" s="100"/>
      <c r="U44" s="35" t="e">
        <v>#VALUE!</v>
      </c>
      <c r="V44" s="106" t="e">
        <v>#VALUE!</v>
      </c>
    </row>
    <row r="45" spans="1:47" x14ac:dyDescent="0.2">
      <c r="A45" s="21">
        <v>16</v>
      </c>
      <c r="B45" s="475" t="str">
        <f t="shared" si="4"/>
        <v>16x28F</v>
      </c>
      <c r="C45" s="25"/>
      <c r="D45" s="25" t="str">
        <f t="shared" si="10"/>
        <v>16M</v>
      </c>
      <c r="E45" s="34" t="e">
        <f>_xll.qlCalendarAdvance(Calendar,H45,$A$21,"Modified Following",TRUE)</f>
        <v>#NUM!</v>
      </c>
      <c r="F45" s="25"/>
      <c r="G45" s="25"/>
      <c r="H45" s="34" t="e">
        <f>_xll.qlCalendarAdvance(Calendar,SettlementDate,D45,"MF",TRUE)</f>
        <v>#NUM!</v>
      </c>
      <c r="I45" s="25" t="b">
        <v>1</v>
      </c>
      <c r="J45" s="26" t="e">
        <f t="shared" si="11"/>
        <v>#NUM!</v>
      </c>
      <c r="K45" s="25" t="b">
        <f t="shared" si="6"/>
        <v>0</v>
      </c>
      <c r="L45" s="24"/>
      <c r="M45" s="25"/>
      <c r="N45" s="100"/>
      <c r="O45" s="26" t="e">
        <f>_xll.qlYieldTSForwardRate2($O$22,H45,$O$21,DayCounter,"simple","annual",,SheetTrigger)</f>
        <v>#NUM!</v>
      </c>
      <c r="P45" s="89" t="e">
        <f>_xll.qlInterpolationInterpolate($P$22,H45)</f>
        <v>#VALUE!</v>
      </c>
      <c r="Q45" s="87" t="e">
        <f>_xll.qlDayCounterYearFraction(DayCounter,H45,E45)</f>
        <v>#NUM!</v>
      </c>
      <c r="R45" s="25"/>
      <c r="S45" s="25"/>
      <c r="T45" s="100"/>
      <c r="U45" s="35" t="e">
        <v>#VALUE!</v>
      </c>
      <c r="V45" s="106" t="e">
        <v>#VALUE!</v>
      </c>
    </row>
    <row r="46" spans="1:47" x14ac:dyDescent="0.2">
      <c r="A46" s="21">
        <v>17</v>
      </c>
      <c r="B46" s="475" t="str">
        <f t="shared" si="4"/>
        <v>17x29F</v>
      </c>
      <c r="C46" s="25"/>
      <c r="D46" s="25" t="str">
        <f t="shared" si="10"/>
        <v>17M</v>
      </c>
      <c r="E46" s="34" t="e">
        <f>_xll.qlCalendarAdvance(Calendar,H46,$A$21,"Modified Following",TRUE)</f>
        <v>#NUM!</v>
      </c>
      <c r="F46" s="25"/>
      <c r="G46" s="25"/>
      <c r="H46" s="34" t="e">
        <f>_xll.qlCalendarAdvance(Calendar,SettlementDate,D46,"MF",TRUE)</f>
        <v>#NUM!</v>
      </c>
      <c r="I46" s="25" t="b">
        <v>1</v>
      </c>
      <c r="J46" s="26" t="e">
        <f t="shared" si="11"/>
        <v>#NUM!</v>
      </c>
      <c r="K46" s="25" t="b">
        <f t="shared" si="6"/>
        <v>0</v>
      </c>
      <c r="L46" s="24"/>
      <c r="M46" s="25"/>
      <c r="N46" s="100"/>
      <c r="O46" s="26" t="e">
        <f>_xll.qlYieldTSForwardRate2($O$22,H46,$O$21,DayCounter,"simple","annual",,SheetTrigger)</f>
        <v>#NUM!</v>
      </c>
      <c r="P46" s="89" t="e">
        <f>_xll.qlInterpolationInterpolate($P$22,H46)</f>
        <v>#VALUE!</v>
      </c>
      <c r="Q46" s="87" t="e">
        <f>_xll.qlDayCounterYearFraction(DayCounter,H46,E46)</f>
        <v>#NUM!</v>
      </c>
      <c r="R46" s="25"/>
      <c r="S46" s="25"/>
      <c r="T46" s="100"/>
      <c r="U46" s="35" t="e">
        <v>#VALUE!</v>
      </c>
      <c r="V46" s="106" t="e">
        <v>#VALUE!</v>
      </c>
    </row>
    <row r="47" spans="1:47" x14ac:dyDescent="0.2">
      <c r="A47" s="21">
        <v>18</v>
      </c>
      <c r="B47" s="475" t="str">
        <f t="shared" si="4"/>
        <v>18x30F</v>
      </c>
      <c r="C47" s="25"/>
      <c r="D47" s="25" t="str">
        <f t="shared" si="10"/>
        <v>18M</v>
      </c>
      <c r="E47" s="34" t="e">
        <f>_xll.qlCalendarAdvance(Calendar,H47,$A$21,"Modified Following",TRUE)</f>
        <v>#NUM!</v>
      </c>
      <c r="F47" s="25"/>
      <c r="G47" s="25"/>
      <c r="H47" s="34" t="e">
        <f>_xll.qlCalendarAdvance(Calendar,SettlementDate,D47,"MF",TRUE)</f>
        <v>#NUM!</v>
      </c>
      <c r="I47" s="25" t="b">
        <v>1</v>
      </c>
      <c r="J47" s="26" t="e">
        <f t="shared" si="11"/>
        <v>#NUM!</v>
      </c>
      <c r="K47" s="25" t="b">
        <f t="shared" si="6"/>
        <v>0</v>
      </c>
      <c r="L47" s="24"/>
      <c r="M47" s="25"/>
      <c r="N47" s="100"/>
      <c r="O47" s="26" t="e">
        <f>_xll.qlYieldTSForwardRate2($O$22,H47,$O$21,DayCounter,"simple","annual",,SheetTrigger)</f>
        <v>#NUM!</v>
      </c>
      <c r="P47" s="89" t="e">
        <f>_xll.qlInterpolationInterpolate($P$22,H47)</f>
        <v>#VALUE!</v>
      </c>
      <c r="Q47" s="87" t="e">
        <f>_xll.qlDayCounterYearFraction(DayCounter,H47,E47)</f>
        <v>#NUM!</v>
      </c>
      <c r="R47" s="25"/>
      <c r="S47" s="25"/>
      <c r="T47" s="100"/>
      <c r="U47" s="35" t="e">
        <v>#VALUE!</v>
      </c>
      <c r="V47" s="106" t="e">
        <v>#VALUE!</v>
      </c>
    </row>
    <row r="48" spans="1:47" x14ac:dyDescent="0.2">
      <c r="A48" s="21">
        <v>19</v>
      </c>
      <c r="B48" s="475" t="str">
        <f t="shared" si="4"/>
        <v>19x31F</v>
      </c>
      <c r="C48" s="25"/>
      <c r="D48" s="25" t="str">
        <f t="shared" si="10"/>
        <v>19M</v>
      </c>
      <c r="E48" s="34" t="e">
        <f>_xll.qlCalendarAdvance(Calendar,H48,$A$21,"Modified Following",TRUE)</f>
        <v>#NUM!</v>
      </c>
      <c r="F48" s="25"/>
      <c r="G48" s="25"/>
      <c r="H48" s="34" t="e">
        <f>_xll.qlCalendarAdvance(Calendar,SettlementDate,D48,"MF",TRUE)</f>
        <v>#NUM!</v>
      </c>
      <c r="I48" s="25" t="b">
        <v>1</v>
      </c>
      <c r="J48" s="26" t="e">
        <f t="shared" si="11"/>
        <v>#NUM!</v>
      </c>
      <c r="K48" s="25" t="b">
        <f t="shared" si="6"/>
        <v>0</v>
      </c>
      <c r="L48" s="24"/>
      <c r="M48" s="25"/>
      <c r="N48" s="100"/>
      <c r="O48" s="26" t="e">
        <f>_xll.qlYieldTSForwardRate2($O$22,H48,$O$21,DayCounter,"simple","annual",,SheetTrigger)</f>
        <v>#NUM!</v>
      </c>
      <c r="P48" s="89" t="e">
        <f>_xll.qlInterpolationInterpolate($P$22,H48)</f>
        <v>#VALUE!</v>
      </c>
      <c r="Q48" s="87" t="e">
        <f>_xll.qlDayCounterYearFraction(DayCounter,H48,E48)</f>
        <v>#NUM!</v>
      </c>
      <c r="R48" s="25"/>
      <c r="S48" s="25"/>
      <c r="T48" s="100"/>
      <c r="U48" s="35" t="e">
        <v>#VALUE!</v>
      </c>
      <c r="V48" s="106" t="e">
        <v>#VALUE!</v>
      </c>
    </row>
    <row r="49" spans="1:22" x14ac:dyDescent="0.2">
      <c r="A49" s="21">
        <v>20</v>
      </c>
      <c r="B49" s="475" t="str">
        <f t="shared" si="4"/>
        <v>20x32F</v>
      </c>
      <c r="C49" s="25"/>
      <c r="D49" s="25" t="str">
        <f t="shared" si="10"/>
        <v>20M</v>
      </c>
      <c r="E49" s="34" t="e">
        <f>_xll.qlCalendarAdvance(Calendar,H49,$A$21,"Modified Following",TRUE)</f>
        <v>#NUM!</v>
      </c>
      <c r="F49" s="25"/>
      <c r="G49" s="25"/>
      <c r="H49" s="34" t="e">
        <f>_xll.qlCalendarAdvance(Calendar,SettlementDate,D49,"MF",TRUE)</f>
        <v>#NUM!</v>
      </c>
      <c r="I49" s="25" t="b">
        <v>1</v>
      </c>
      <c r="J49" s="26" t="e">
        <f t="shared" si="11"/>
        <v>#NUM!</v>
      </c>
      <c r="K49" s="25" t="b">
        <f t="shared" si="6"/>
        <v>0</v>
      </c>
      <c r="L49" s="24"/>
      <c r="M49" s="25"/>
      <c r="N49" s="100"/>
      <c r="O49" s="26" t="e">
        <f>_xll.qlYieldTSForwardRate2($O$22,H49,$O$21,DayCounter,"simple","annual",,SheetTrigger)</f>
        <v>#NUM!</v>
      </c>
      <c r="P49" s="89" t="e">
        <f>_xll.qlInterpolationInterpolate($P$22,H49)</f>
        <v>#VALUE!</v>
      </c>
      <c r="Q49" s="87" t="e">
        <f>_xll.qlDayCounterYearFraction(DayCounter,H49,E49)</f>
        <v>#NUM!</v>
      </c>
      <c r="R49" s="25"/>
      <c r="S49" s="25"/>
      <c r="T49" s="100"/>
      <c r="U49" s="35" t="e">
        <v>#VALUE!</v>
      </c>
      <c r="V49" s="106" t="e">
        <v>#VALUE!</v>
      </c>
    </row>
    <row r="50" spans="1:22" x14ac:dyDescent="0.2">
      <c r="A50" s="21">
        <v>21</v>
      </c>
      <c r="B50" s="475" t="str">
        <f t="shared" si="4"/>
        <v>21x33F</v>
      </c>
      <c r="C50" s="25"/>
      <c r="D50" s="25" t="str">
        <f t="shared" si="10"/>
        <v>21M</v>
      </c>
      <c r="E50" s="34" t="e">
        <f>_xll.qlCalendarAdvance(Calendar,H50,$A$21,"Modified Following",TRUE)</f>
        <v>#NUM!</v>
      </c>
      <c r="F50" s="25"/>
      <c r="G50" s="25"/>
      <c r="H50" s="34" t="e">
        <f>_xll.qlCalendarAdvance(Calendar,SettlementDate,D50,"MF",TRUE)</f>
        <v>#NUM!</v>
      </c>
      <c r="I50" s="25" t="b">
        <v>1</v>
      </c>
      <c r="J50" s="26" t="e">
        <f t="shared" si="11"/>
        <v>#NUM!</v>
      </c>
      <c r="K50" s="25" t="b">
        <f t="shared" si="6"/>
        <v>0</v>
      </c>
      <c r="L50" s="24"/>
      <c r="M50" s="25"/>
      <c r="N50" s="100"/>
      <c r="O50" s="26" t="e">
        <f>_xll.qlYieldTSForwardRate2($O$22,H50,$O$21,DayCounter,"simple","annual",,SheetTrigger)</f>
        <v>#NUM!</v>
      </c>
      <c r="P50" s="89" t="e">
        <f>_xll.qlInterpolationInterpolate($P$22,H50)</f>
        <v>#VALUE!</v>
      </c>
      <c r="Q50" s="87" t="e">
        <f>_xll.qlDayCounterYearFraction(DayCounter,H50,E50)</f>
        <v>#NUM!</v>
      </c>
      <c r="R50" s="25"/>
      <c r="S50" s="25"/>
      <c r="T50" s="100"/>
      <c r="U50" s="35" t="e">
        <v>#VALUE!</v>
      </c>
      <c r="V50" s="106" t="e">
        <v>#VALUE!</v>
      </c>
    </row>
    <row r="51" spans="1:22" x14ac:dyDescent="0.2">
      <c r="A51" s="21">
        <v>22</v>
      </c>
      <c r="B51" s="475" t="str">
        <f t="shared" si="4"/>
        <v>22x34F</v>
      </c>
      <c r="C51" s="25"/>
      <c r="D51" s="25" t="str">
        <f t="shared" si="10"/>
        <v>22M</v>
      </c>
      <c r="E51" s="34" t="e">
        <f>_xll.qlCalendarAdvance(Calendar,H51,$A$21,"Modified Following",TRUE)</f>
        <v>#NUM!</v>
      </c>
      <c r="F51" s="25"/>
      <c r="G51" s="25"/>
      <c r="H51" s="34" t="e">
        <f>_xll.qlCalendarAdvance(Calendar,SettlementDate,D51,"MF",TRUE)</f>
        <v>#NUM!</v>
      </c>
      <c r="I51" s="25" t="b">
        <v>1</v>
      </c>
      <c r="J51" s="26" t="e">
        <f t="shared" si="11"/>
        <v>#NUM!</v>
      </c>
      <c r="K51" s="25" t="b">
        <f t="shared" si="6"/>
        <v>0</v>
      </c>
      <c r="L51" s="24"/>
      <c r="M51" s="25"/>
      <c r="N51" s="100"/>
      <c r="O51" s="26" t="e">
        <f>_xll.qlYieldTSForwardRate2($O$22,H51,$O$21,DayCounter,"simple","annual",,SheetTrigger)</f>
        <v>#NUM!</v>
      </c>
      <c r="P51" s="89" t="e">
        <f>_xll.qlInterpolationInterpolate($P$22,H51)</f>
        <v>#VALUE!</v>
      </c>
      <c r="Q51" s="87" t="e">
        <f>_xll.qlDayCounterYearFraction(DayCounter,H51,E51)</f>
        <v>#NUM!</v>
      </c>
      <c r="R51" s="25"/>
      <c r="S51" s="25"/>
      <c r="T51" s="100"/>
      <c r="U51" s="35" t="e">
        <v>#VALUE!</v>
      </c>
      <c r="V51" s="106" t="e">
        <v>#VALUE!</v>
      </c>
    </row>
    <row r="52" spans="1:22" x14ac:dyDescent="0.2">
      <c r="A52" s="21">
        <v>23</v>
      </c>
      <c r="B52" s="475" t="str">
        <f t="shared" si="4"/>
        <v>23x35F</v>
      </c>
      <c r="C52" s="25"/>
      <c r="D52" s="25" t="str">
        <f t="shared" si="10"/>
        <v>23M</v>
      </c>
      <c r="E52" s="34" t="e">
        <f>_xll.qlCalendarAdvance(Calendar,H52,$A$21,"Modified Following",TRUE)</f>
        <v>#NUM!</v>
      </c>
      <c r="F52" s="25"/>
      <c r="G52" s="25"/>
      <c r="H52" s="34" t="e">
        <f>_xll.qlCalendarAdvance(Calendar,SettlementDate,D52,"MF",TRUE)</f>
        <v>#NUM!</v>
      </c>
      <c r="I52" s="25" t="b">
        <v>1</v>
      </c>
      <c r="J52" s="26" t="e">
        <f t="shared" si="11"/>
        <v>#NUM!</v>
      </c>
      <c r="K52" s="25" t="b">
        <f t="shared" si="6"/>
        <v>0</v>
      </c>
      <c r="L52" s="24"/>
      <c r="M52" s="25"/>
      <c r="N52" s="100"/>
      <c r="O52" s="26" t="e">
        <f>_xll.qlYieldTSForwardRate2($O$22,H52,$O$21,DayCounter,"simple","annual",,SheetTrigger)</f>
        <v>#NUM!</v>
      </c>
      <c r="P52" s="89" t="e">
        <f>_xll.qlInterpolationInterpolate($P$22,H52)</f>
        <v>#VALUE!</v>
      </c>
      <c r="Q52" s="87" t="e">
        <f>_xll.qlDayCounterYearFraction(DayCounter,H52,E52)</f>
        <v>#NUM!</v>
      </c>
      <c r="R52" s="25"/>
      <c r="S52" s="25"/>
      <c r="T52" s="100"/>
      <c r="U52" s="35" t="e">
        <v>#VALUE!</v>
      </c>
      <c r="V52" s="106" t="e">
        <v>#VALUE!</v>
      </c>
    </row>
    <row r="53" spans="1:22" x14ac:dyDescent="0.2">
      <c r="A53" s="21">
        <v>25</v>
      </c>
      <c r="B53" s="475" t="str">
        <f t="shared" si="4"/>
        <v>25x37F</v>
      </c>
      <c r="C53" s="25"/>
      <c r="D53" s="25" t="str">
        <f t="shared" si="10"/>
        <v>25M</v>
      </c>
      <c r="E53" s="34" t="e">
        <f>_xll.qlCalendarAdvance(Calendar,H53,$A$21,"Modified Following",TRUE)</f>
        <v>#NUM!</v>
      </c>
      <c r="F53" s="25"/>
      <c r="G53" s="25"/>
      <c r="H53" s="34" t="e">
        <f>_xll.qlCalendarAdvance(Calendar,SettlementDate,D53,"MF",TRUE)</f>
        <v>#NUM!</v>
      </c>
      <c r="I53" s="25" t="b">
        <v>1</v>
      </c>
      <c r="J53" s="26" t="e">
        <f t="shared" si="11"/>
        <v>#NUM!</v>
      </c>
      <c r="K53" s="25" t="b">
        <f t="shared" si="6"/>
        <v>0</v>
      </c>
      <c r="L53" s="24"/>
      <c r="M53" s="25"/>
      <c r="N53" s="100"/>
      <c r="O53" s="26" t="e">
        <f>_xll.qlYieldTSForwardRate2($O$22,H53,$O$21,DayCounter,"simple","annual",,SheetTrigger)</f>
        <v>#NUM!</v>
      </c>
      <c r="P53" s="89" t="e">
        <f>_xll.qlInterpolationInterpolate($P$22,H53)</f>
        <v>#VALUE!</v>
      </c>
      <c r="Q53" s="87" t="e">
        <f>_xll.qlDayCounterYearFraction(DayCounter,H53,E53)</f>
        <v>#NUM!</v>
      </c>
      <c r="R53" s="25"/>
      <c r="S53" s="25"/>
      <c r="T53" s="100"/>
      <c r="U53" s="35" t="e">
        <v>#VALUE!</v>
      </c>
      <c r="V53" s="106" t="e">
        <v>#VALUE!</v>
      </c>
    </row>
    <row r="54" spans="1:22" x14ac:dyDescent="0.2">
      <c r="A54" s="21">
        <v>26</v>
      </c>
      <c r="B54" s="475" t="str">
        <f t="shared" si="4"/>
        <v>26x38F</v>
      </c>
      <c r="C54" s="25"/>
      <c r="D54" s="25" t="str">
        <f t="shared" si="10"/>
        <v>26M</v>
      </c>
      <c r="E54" s="34" t="e">
        <f>_xll.qlCalendarAdvance(Calendar,H54,$A$21,"Modified Following",TRUE)</f>
        <v>#NUM!</v>
      </c>
      <c r="F54" s="25"/>
      <c r="G54" s="25"/>
      <c r="H54" s="34" t="e">
        <f>_xll.qlCalendarAdvance(Calendar,SettlementDate,D54,"MF",TRUE)</f>
        <v>#NUM!</v>
      </c>
      <c r="I54" s="25" t="b">
        <v>1</v>
      </c>
      <c r="J54" s="26" t="e">
        <f t="shared" si="11"/>
        <v>#NUM!</v>
      </c>
      <c r="K54" s="25" t="b">
        <f t="shared" si="6"/>
        <v>0</v>
      </c>
      <c r="L54" s="24"/>
      <c r="M54" s="25"/>
      <c r="N54" s="100"/>
      <c r="O54" s="26" t="e">
        <f>_xll.qlYieldTSForwardRate2($O$22,H54,$O$21,DayCounter,"simple","annual",,SheetTrigger)</f>
        <v>#NUM!</v>
      </c>
      <c r="P54" s="89" t="e">
        <f>_xll.qlInterpolationInterpolate($P$22,H54)</f>
        <v>#VALUE!</v>
      </c>
      <c r="Q54" s="87" t="e">
        <f>_xll.qlDayCounterYearFraction(DayCounter,H54,E54)</f>
        <v>#NUM!</v>
      </c>
      <c r="R54" s="25"/>
      <c r="S54" s="25"/>
      <c r="T54" s="100"/>
      <c r="U54" s="35" t="e">
        <v>#VALUE!</v>
      </c>
      <c r="V54" s="106" t="e">
        <v>#VALUE!</v>
      </c>
    </row>
    <row r="55" spans="1:22" x14ac:dyDescent="0.2">
      <c r="A55" s="21">
        <v>27</v>
      </c>
      <c r="B55" s="475" t="str">
        <f t="shared" si="4"/>
        <v>27x39F</v>
      </c>
      <c r="C55" s="25"/>
      <c r="D55" s="25" t="str">
        <f t="shared" si="10"/>
        <v>27M</v>
      </c>
      <c r="E55" s="34" t="e">
        <f>_xll.qlCalendarAdvance(Calendar,H55,$A$21,"Modified Following",TRUE)</f>
        <v>#NUM!</v>
      </c>
      <c r="F55" s="25"/>
      <c r="G55" s="25"/>
      <c r="H55" s="34" t="e">
        <f>_xll.qlCalendarAdvance(Calendar,SettlementDate,D55,"MF",TRUE)</f>
        <v>#NUM!</v>
      </c>
      <c r="I55" s="25" t="b">
        <v>1</v>
      </c>
      <c r="J55" s="26" t="e">
        <f t="shared" si="11"/>
        <v>#NUM!</v>
      </c>
      <c r="K55" s="25" t="b">
        <f t="shared" si="6"/>
        <v>0</v>
      </c>
      <c r="L55" s="24"/>
      <c r="M55" s="25"/>
      <c r="N55" s="100"/>
      <c r="O55" s="26" t="e">
        <f>_xll.qlYieldTSForwardRate2($O$22,H55,$O$21,DayCounter,"simple","annual",,SheetTrigger)</f>
        <v>#NUM!</v>
      </c>
      <c r="P55" s="89" t="e">
        <f>_xll.qlInterpolationInterpolate($P$22,H55)</f>
        <v>#VALUE!</v>
      </c>
      <c r="Q55" s="87" t="e">
        <f>_xll.qlDayCounterYearFraction(DayCounter,H55,E55)</f>
        <v>#NUM!</v>
      </c>
      <c r="R55" s="25"/>
      <c r="S55" s="25"/>
      <c r="T55" s="100"/>
      <c r="U55" s="35" t="e">
        <v>#VALUE!</v>
      </c>
      <c r="V55" s="106" t="e">
        <v>#VALUE!</v>
      </c>
    </row>
    <row r="56" spans="1:22" x14ac:dyDescent="0.2">
      <c r="A56" s="21">
        <v>28</v>
      </c>
      <c r="B56" s="475" t="str">
        <f t="shared" si="4"/>
        <v>28x40F</v>
      </c>
      <c r="C56" s="25"/>
      <c r="D56" s="25" t="str">
        <f t="shared" si="10"/>
        <v>28M</v>
      </c>
      <c r="E56" s="34" t="e">
        <f>_xll.qlCalendarAdvance(Calendar,H56,$A$21,"Modified Following",TRUE)</f>
        <v>#NUM!</v>
      </c>
      <c r="F56" s="25"/>
      <c r="G56" s="25"/>
      <c r="H56" s="34" t="e">
        <f>_xll.qlCalendarAdvance(Calendar,SettlementDate,D56,"MF",TRUE)</f>
        <v>#NUM!</v>
      </c>
      <c r="I56" s="25" t="b">
        <v>1</v>
      </c>
      <c r="J56" s="26" t="e">
        <f t="shared" si="11"/>
        <v>#NUM!</v>
      </c>
      <c r="K56" s="25" t="b">
        <f t="shared" si="6"/>
        <v>0</v>
      </c>
      <c r="L56" s="24"/>
      <c r="M56" s="25"/>
      <c r="N56" s="100"/>
      <c r="O56" s="26" t="e">
        <f>_xll.qlYieldTSForwardRate2($O$22,H56,$O$21,DayCounter,"simple","annual",,SheetTrigger)</f>
        <v>#NUM!</v>
      </c>
      <c r="P56" s="89" t="e">
        <f>_xll.qlInterpolationInterpolate($P$22,H56)</f>
        <v>#VALUE!</v>
      </c>
      <c r="Q56" s="87" t="e">
        <f>_xll.qlDayCounterYearFraction(DayCounter,H56,E56)</f>
        <v>#NUM!</v>
      </c>
      <c r="R56" s="25"/>
      <c r="S56" s="25"/>
      <c r="T56" s="100"/>
      <c r="U56" s="35" t="e">
        <v>#VALUE!</v>
      </c>
      <c r="V56" s="106" t="e">
        <v>#VALUE!</v>
      </c>
    </row>
    <row r="57" spans="1:22" x14ac:dyDescent="0.2">
      <c r="A57" s="21">
        <v>29</v>
      </c>
      <c r="B57" s="475" t="str">
        <f t="shared" si="4"/>
        <v>29x41F</v>
      </c>
      <c r="C57" s="25"/>
      <c r="D57" s="25" t="str">
        <f t="shared" si="10"/>
        <v>29M</v>
      </c>
      <c r="E57" s="34" t="e">
        <f>_xll.qlCalendarAdvance(Calendar,H57,$A$21,"Modified Following",TRUE)</f>
        <v>#NUM!</v>
      </c>
      <c r="F57" s="25"/>
      <c r="G57" s="25"/>
      <c r="H57" s="34" t="e">
        <f>_xll.qlCalendarAdvance(Calendar,SettlementDate,D57,"MF",TRUE)</f>
        <v>#NUM!</v>
      </c>
      <c r="I57" s="25" t="b">
        <v>1</v>
      </c>
      <c r="J57" s="26" t="e">
        <f t="shared" si="11"/>
        <v>#NUM!</v>
      </c>
      <c r="K57" s="25" t="b">
        <f t="shared" si="6"/>
        <v>0</v>
      </c>
      <c r="L57" s="24"/>
      <c r="M57" s="25"/>
      <c r="N57" s="100"/>
      <c r="O57" s="26" t="e">
        <f>_xll.qlYieldTSForwardRate2($O$22,H57,$O$21,DayCounter,"simple","annual",,SheetTrigger)</f>
        <v>#NUM!</v>
      </c>
      <c r="P57" s="89" t="e">
        <f>_xll.qlInterpolationInterpolate($P$22,H57)</f>
        <v>#VALUE!</v>
      </c>
      <c r="Q57" s="87" t="e">
        <f>_xll.qlDayCounterYearFraction(DayCounter,H57,E57)</f>
        <v>#NUM!</v>
      </c>
      <c r="R57" s="25"/>
      <c r="S57" s="25"/>
      <c r="T57" s="100"/>
      <c r="U57" s="35" t="e">
        <v>#VALUE!</v>
      </c>
      <c r="V57" s="106" t="e">
        <v>#VALUE!</v>
      </c>
    </row>
    <row r="58" spans="1:22" x14ac:dyDescent="0.2">
      <c r="A58" s="21">
        <v>30</v>
      </c>
      <c r="B58" s="475" t="str">
        <f t="shared" si="4"/>
        <v>30x42F</v>
      </c>
      <c r="C58" s="25"/>
      <c r="D58" s="25" t="str">
        <f t="shared" si="10"/>
        <v>30M</v>
      </c>
      <c r="E58" s="34" t="e">
        <f>_xll.qlCalendarAdvance(Calendar,H58,$A$21,"Modified Following",TRUE)</f>
        <v>#NUM!</v>
      </c>
      <c r="F58" s="25"/>
      <c r="G58" s="25"/>
      <c r="H58" s="34" t="e">
        <f>_xll.qlCalendarAdvance(Calendar,SettlementDate,D58,"MF",TRUE)</f>
        <v>#NUM!</v>
      </c>
      <c r="I58" s="25" t="b">
        <v>1</v>
      </c>
      <c r="J58" s="26" t="e">
        <f t="shared" si="11"/>
        <v>#NUM!</v>
      </c>
      <c r="K58" s="25" t="b">
        <f t="shared" si="6"/>
        <v>0</v>
      </c>
      <c r="L58" s="24"/>
      <c r="M58" s="25"/>
      <c r="N58" s="100"/>
      <c r="O58" s="26" t="e">
        <f>_xll.qlYieldTSForwardRate2($O$22,H58,$O$21,DayCounter,"simple","annual",,SheetTrigger)</f>
        <v>#NUM!</v>
      </c>
      <c r="P58" s="89" t="e">
        <f>_xll.qlInterpolationInterpolate($P$22,H58)</f>
        <v>#VALUE!</v>
      </c>
      <c r="Q58" s="87" t="e">
        <f>_xll.qlDayCounterYearFraction(DayCounter,H58,E58)</f>
        <v>#NUM!</v>
      </c>
      <c r="R58" s="25"/>
      <c r="S58" s="25"/>
      <c r="T58" s="100"/>
      <c r="U58" s="35" t="e">
        <v>#VALUE!</v>
      </c>
      <c r="V58" s="106" t="e">
        <v>#VALUE!</v>
      </c>
    </row>
    <row r="59" spans="1:22" x14ac:dyDescent="0.2">
      <c r="A59" s="21">
        <v>31</v>
      </c>
      <c r="B59" s="475" t="str">
        <f t="shared" si="4"/>
        <v>31x43F</v>
      </c>
      <c r="C59" s="25"/>
      <c r="D59" s="25" t="str">
        <f t="shared" si="10"/>
        <v>31M</v>
      </c>
      <c r="E59" s="34" t="e">
        <f>_xll.qlCalendarAdvance(Calendar,H59,$A$21,"Modified Following",TRUE)</f>
        <v>#NUM!</v>
      </c>
      <c r="F59" s="25"/>
      <c r="G59" s="25"/>
      <c r="H59" s="34" t="e">
        <f>_xll.qlCalendarAdvance(Calendar,SettlementDate,D59,"MF",TRUE)</f>
        <v>#NUM!</v>
      </c>
      <c r="I59" s="25" t="b">
        <v>1</v>
      </c>
      <c r="J59" s="26" t="e">
        <f t="shared" si="11"/>
        <v>#NUM!</v>
      </c>
      <c r="K59" s="25" t="b">
        <f t="shared" si="6"/>
        <v>0</v>
      </c>
      <c r="L59" s="24"/>
      <c r="M59" s="25"/>
      <c r="N59" s="100"/>
      <c r="O59" s="26" t="e">
        <f>_xll.qlYieldTSForwardRate2($O$22,H59,$O$21,DayCounter,"simple","annual",,SheetTrigger)</f>
        <v>#NUM!</v>
      </c>
      <c r="P59" s="89" t="e">
        <f>_xll.qlInterpolationInterpolate($P$22,H59)</f>
        <v>#VALUE!</v>
      </c>
      <c r="Q59" s="87" t="e">
        <f>_xll.qlDayCounterYearFraction(DayCounter,H59,E59)</f>
        <v>#NUM!</v>
      </c>
      <c r="R59" s="25"/>
      <c r="S59" s="25"/>
      <c r="T59" s="100"/>
      <c r="U59" s="35" t="e">
        <v>#VALUE!</v>
      </c>
      <c r="V59" s="106" t="e">
        <v>#VALUE!</v>
      </c>
    </row>
    <row r="60" spans="1:22" x14ac:dyDescent="0.2">
      <c r="A60" s="21">
        <v>32</v>
      </c>
      <c r="B60" s="475" t="str">
        <f t="shared" si="4"/>
        <v>32x44F</v>
      </c>
      <c r="C60" s="25"/>
      <c r="D60" s="25" t="str">
        <f t="shared" si="10"/>
        <v>32M</v>
      </c>
      <c r="E60" s="34" t="e">
        <f>_xll.qlCalendarAdvance(Calendar,H60,$A$21,"Modified Following",TRUE)</f>
        <v>#NUM!</v>
      </c>
      <c r="F60" s="25"/>
      <c r="G60" s="25"/>
      <c r="H60" s="34" t="e">
        <f>_xll.qlCalendarAdvance(Calendar,SettlementDate,D60,"MF",TRUE)</f>
        <v>#NUM!</v>
      </c>
      <c r="I60" s="25" t="b">
        <v>1</v>
      </c>
      <c r="J60" s="26" t="e">
        <f t="shared" si="11"/>
        <v>#NUM!</v>
      </c>
      <c r="K60" s="25" t="b">
        <f t="shared" si="6"/>
        <v>0</v>
      </c>
      <c r="L60" s="24"/>
      <c r="M60" s="25"/>
      <c r="N60" s="100"/>
      <c r="O60" s="26" t="e">
        <f>_xll.qlYieldTSForwardRate2($O$22,H60,$O$21,DayCounter,"simple","annual",,SheetTrigger)</f>
        <v>#NUM!</v>
      </c>
      <c r="P60" s="89" t="e">
        <f>_xll.qlInterpolationInterpolate($P$22,H60)</f>
        <v>#VALUE!</v>
      </c>
      <c r="Q60" s="87" t="e">
        <f>_xll.qlDayCounterYearFraction(DayCounter,H60,E60)</f>
        <v>#NUM!</v>
      </c>
      <c r="R60" s="25"/>
      <c r="S60" s="25"/>
      <c r="T60" s="100"/>
      <c r="U60" s="35" t="e">
        <v>#VALUE!</v>
      </c>
      <c r="V60" s="106" t="e">
        <v>#VALUE!</v>
      </c>
    </row>
    <row r="61" spans="1:22" x14ac:dyDescent="0.2">
      <c r="A61" s="21">
        <v>33</v>
      </c>
      <c r="B61" s="475" t="str">
        <f t="shared" si="4"/>
        <v>33x45F</v>
      </c>
      <c r="C61" s="25"/>
      <c r="D61" s="25" t="str">
        <f t="shared" si="10"/>
        <v>33M</v>
      </c>
      <c r="E61" s="34" t="e">
        <f>_xll.qlCalendarAdvance(Calendar,H61,$A$21,"Modified Following",TRUE)</f>
        <v>#NUM!</v>
      </c>
      <c r="F61" s="25"/>
      <c r="G61" s="25"/>
      <c r="H61" s="34" t="e">
        <f>_xll.qlCalendarAdvance(Calendar,SettlementDate,D61,"MF",TRUE)</f>
        <v>#NUM!</v>
      </c>
      <c r="I61" s="25" t="b">
        <v>1</v>
      </c>
      <c r="J61" s="26" t="e">
        <f t="shared" si="11"/>
        <v>#NUM!</v>
      </c>
      <c r="K61" s="25" t="b">
        <f t="shared" si="6"/>
        <v>0</v>
      </c>
      <c r="L61" s="24"/>
      <c r="M61" s="25"/>
      <c r="N61" s="100"/>
      <c r="O61" s="26" t="e">
        <f>_xll.qlYieldTSForwardRate2($O$22,H61,$O$21,DayCounter,"simple","annual",,SheetTrigger)</f>
        <v>#NUM!</v>
      </c>
      <c r="P61" s="89" t="e">
        <f>_xll.qlInterpolationInterpolate($P$22,H61)</f>
        <v>#VALUE!</v>
      </c>
      <c r="Q61" s="87" t="e">
        <f>_xll.qlDayCounterYearFraction(DayCounter,H61,E61)</f>
        <v>#NUM!</v>
      </c>
      <c r="R61" s="25"/>
      <c r="S61" s="25"/>
      <c r="T61" s="100"/>
      <c r="U61" s="35" t="e">
        <v>#VALUE!</v>
      </c>
      <c r="V61" s="106" t="e">
        <v>#VALUE!</v>
      </c>
    </row>
    <row r="62" spans="1:22" x14ac:dyDescent="0.2">
      <c r="A62" s="21">
        <v>34</v>
      </c>
      <c r="B62" s="475" t="str">
        <f t="shared" si="4"/>
        <v>34x46F</v>
      </c>
      <c r="C62" s="25"/>
      <c r="D62" s="25" t="str">
        <f t="shared" si="10"/>
        <v>34M</v>
      </c>
      <c r="E62" s="34" t="e">
        <f>_xll.qlCalendarAdvance(Calendar,H62,$A$21,"Modified Following",TRUE)</f>
        <v>#NUM!</v>
      </c>
      <c r="F62" s="25"/>
      <c r="G62" s="25"/>
      <c r="H62" s="34" t="e">
        <f>_xll.qlCalendarAdvance(Calendar,SettlementDate,D62,"MF",TRUE)</f>
        <v>#NUM!</v>
      </c>
      <c r="I62" s="25" t="b">
        <v>1</v>
      </c>
      <c r="J62" s="26" t="e">
        <f t="shared" si="11"/>
        <v>#NUM!</v>
      </c>
      <c r="K62" s="25" t="b">
        <f t="shared" si="6"/>
        <v>0</v>
      </c>
      <c r="L62" s="24"/>
      <c r="M62" s="25"/>
      <c r="N62" s="100"/>
      <c r="O62" s="26" t="e">
        <f>_xll.qlYieldTSForwardRate2($O$22,H62,$O$21,DayCounter,"simple","annual",,SheetTrigger)</f>
        <v>#NUM!</v>
      </c>
      <c r="P62" s="89" t="e">
        <f>_xll.qlInterpolationInterpolate($P$22,H62)</f>
        <v>#VALUE!</v>
      </c>
      <c r="Q62" s="87" t="e">
        <f>_xll.qlDayCounterYearFraction(DayCounter,H62,E62)</f>
        <v>#NUM!</v>
      </c>
      <c r="R62" s="25"/>
      <c r="S62" s="25"/>
      <c r="T62" s="100"/>
      <c r="U62" s="35" t="e">
        <v>#VALUE!</v>
      </c>
      <c r="V62" s="106" t="e">
        <v>#VALUE!</v>
      </c>
    </row>
    <row r="63" spans="1:22" x14ac:dyDescent="0.2">
      <c r="A63" s="21">
        <v>35</v>
      </c>
      <c r="B63" s="475" t="str">
        <f t="shared" si="4"/>
        <v>35x47F</v>
      </c>
      <c r="C63" s="25"/>
      <c r="D63" s="25" t="str">
        <f t="shared" si="10"/>
        <v>35M</v>
      </c>
      <c r="E63" s="34" t="e">
        <f>_xll.qlCalendarAdvance(Calendar,H63,$A$21,"Modified Following",TRUE)</f>
        <v>#NUM!</v>
      </c>
      <c r="F63" s="25"/>
      <c r="G63" s="25"/>
      <c r="H63" s="34" t="e">
        <f>_xll.qlCalendarAdvance(Calendar,SettlementDate,D63,"MF",TRUE)</f>
        <v>#NUM!</v>
      </c>
      <c r="I63" s="25" t="b">
        <v>1</v>
      </c>
      <c r="J63" s="26" t="e">
        <f t="shared" si="11"/>
        <v>#NUM!</v>
      </c>
      <c r="K63" s="25" t="b">
        <f t="shared" si="6"/>
        <v>0</v>
      </c>
      <c r="L63" s="24"/>
      <c r="M63" s="25"/>
      <c r="N63" s="100"/>
      <c r="O63" s="26" t="e">
        <f>_xll.qlYieldTSForwardRate2($O$22,H63,$O$21,DayCounter,"simple","annual",,SheetTrigger)</f>
        <v>#NUM!</v>
      </c>
      <c r="P63" s="89" t="e">
        <f>_xll.qlInterpolationInterpolate($P$22,H63)</f>
        <v>#VALUE!</v>
      </c>
      <c r="Q63" s="87" t="e">
        <f>_xll.qlDayCounterYearFraction(DayCounter,H63,E63)</f>
        <v>#NUM!</v>
      </c>
      <c r="R63" s="25"/>
      <c r="S63" s="25"/>
      <c r="T63" s="100"/>
      <c r="U63" s="35" t="e">
        <v>#VALUE!</v>
      </c>
      <c r="V63" s="106" t="e">
        <v>#VALUE!</v>
      </c>
    </row>
    <row r="64" spans="1:22" x14ac:dyDescent="0.2">
      <c r="A64" s="21">
        <v>37</v>
      </c>
      <c r="B64" s="475" t="str">
        <f t="shared" si="4"/>
        <v>37x49F</v>
      </c>
      <c r="C64" s="25"/>
      <c r="D64" s="25" t="str">
        <f t="shared" si="10"/>
        <v>37M</v>
      </c>
      <c r="E64" s="34" t="e">
        <f>_xll.qlCalendarAdvance(Calendar,H64,$A$21,"Modified Following",TRUE)</f>
        <v>#NUM!</v>
      </c>
      <c r="F64" s="25"/>
      <c r="G64" s="25"/>
      <c r="H64" s="34" t="e">
        <f>_xll.qlCalendarAdvance(Calendar,SettlementDate,D64,"MF",TRUE)</f>
        <v>#NUM!</v>
      </c>
      <c r="I64" s="25" t="b">
        <v>1</v>
      </c>
      <c r="J64" s="26" t="e">
        <f t="shared" si="11"/>
        <v>#NUM!</v>
      </c>
      <c r="K64" s="25" t="b">
        <f t="shared" si="6"/>
        <v>0</v>
      </c>
      <c r="L64" s="24"/>
      <c r="M64" s="25"/>
      <c r="N64" s="100"/>
      <c r="O64" s="26" t="e">
        <f>_xll.qlYieldTSForwardRate2($O$22,H64,$O$21,DayCounter,"simple","annual",,SheetTrigger)</f>
        <v>#NUM!</v>
      </c>
      <c r="P64" s="89" t="e">
        <f>_xll.qlInterpolationInterpolate($P$22,H64)</f>
        <v>#VALUE!</v>
      </c>
      <c r="Q64" s="87" t="e">
        <f>_xll.qlDayCounterYearFraction(DayCounter,H64,E64)</f>
        <v>#NUM!</v>
      </c>
      <c r="R64" s="25"/>
      <c r="S64" s="25"/>
      <c r="T64" s="100"/>
      <c r="U64" s="35" t="e">
        <v>#VALUE!</v>
      </c>
      <c r="V64" s="106" t="e">
        <v>#VALUE!</v>
      </c>
    </row>
    <row r="65" spans="1:22" x14ac:dyDescent="0.2">
      <c r="A65" s="21">
        <v>38</v>
      </c>
      <c r="B65" s="475" t="str">
        <f t="shared" si="4"/>
        <v>38x50F</v>
      </c>
      <c r="C65" s="25"/>
      <c r="D65" s="25" t="str">
        <f t="shared" si="10"/>
        <v>38M</v>
      </c>
      <c r="E65" s="34" t="e">
        <f>_xll.qlCalendarAdvance(Calendar,H65,$A$21,"Modified Following",TRUE)</f>
        <v>#NUM!</v>
      </c>
      <c r="F65" s="25"/>
      <c r="G65" s="25"/>
      <c r="H65" s="34" t="e">
        <f>_xll.qlCalendarAdvance(Calendar,SettlementDate,D65,"MF",TRUE)</f>
        <v>#NUM!</v>
      </c>
      <c r="I65" s="25" t="b">
        <v>1</v>
      </c>
      <c r="J65" s="26" t="e">
        <f t="shared" si="11"/>
        <v>#NUM!</v>
      </c>
      <c r="K65" s="25" t="b">
        <f t="shared" si="6"/>
        <v>0</v>
      </c>
      <c r="L65" s="24"/>
      <c r="M65" s="25"/>
      <c r="N65" s="100"/>
      <c r="O65" s="26" t="e">
        <f>_xll.qlYieldTSForwardRate2($O$22,H65,$O$21,DayCounter,"simple","annual",,SheetTrigger)</f>
        <v>#NUM!</v>
      </c>
      <c r="P65" s="89" t="e">
        <f>_xll.qlInterpolationInterpolate($P$22,H65)</f>
        <v>#VALUE!</v>
      </c>
      <c r="Q65" s="87" t="e">
        <f>_xll.qlDayCounterYearFraction(DayCounter,H65,E65)</f>
        <v>#NUM!</v>
      </c>
      <c r="R65" s="25"/>
      <c r="S65" s="25"/>
      <c r="T65" s="100"/>
      <c r="U65" s="35" t="e">
        <v>#VALUE!</v>
      </c>
      <c r="V65" s="106" t="e">
        <v>#VALUE!</v>
      </c>
    </row>
    <row r="66" spans="1:22" x14ac:dyDescent="0.2">
      <c r="A66" s="21">
        <v>39</v>
      </c>
      <c r="B66" s="475" t="str">
        <f t="shared" si="4"/>
        <v>39x51F</v>
      </c>
      <c r="C66" s="25"/>
      <c r="D66" s="25" t="str">
        <f t="shared" si="10"/>
        <v>39M</v>
      </c>
      <c r="E66" s="34" t="e">
        <f>_xll.qlCalendarAdvance(Calendar,H66,$A$21,"Modified Following",TRUE)</f>
        <v>#NUM!</v>
      </c>
      <c r="F66" s="25"/>
      <c r="G66" s="25"/>
      <c r="H66" s="34" t="e">
        <f>_xll.qlCalendarAdvance(Calendar,SettlementDate,D66,"MF",TRUE)</f>
        <v>#NUM!</v>
      </c>
      <c r="I66" s="25" t="b">
        <v>1</v>
      </c>
      <c r="J66" s="26" t="e">
        <f t="shared" si="11"/>
        <v>#NUM!</v>
      </c>
      <c r="K66" s="25" t="b">
        <f t="shared" si="6"/>
        <v>0</v>
      </c>
      <c r="L66" s="24"/>
      <c r="M66" s="25"/>
      <c r="N66" s="100"/>
      <c r="O66" s="26" t="e">
        <f>_xll.qlYieldTSForwardRate2($O$22,H66,$O$21,DayCounter,"simple","annual",,SheetTrigger)</f>
        <v>#NUM!</v>
      </c>
      <c r="P66" s="89" t="e">
        <f>_xll.qlInterpolationInterpolate($P$22,H66)</f>
        <v>#VALUE!</v>
      </c>
      <c r="Q66" s="87" t="e">
        <f>_xll.qlDayCounterYearFraction(DayCounter,H66,E66)</f>
        <v>#NUM!</v>
      </c>
      <c r="R66" s="25"/>
      <c r="S66" s="25"/>
      <c r="T66" s="100"/>
      <c r="U66" s="35" t="e">
        <v>#VALUE!</v>
      </c>
      <c r="V66" s="106" t="e">
        <v>#VALUE!</v>
      </c>
    </row>
    <row r="67" spans="1:22" x14ac:dyDescent="0.2">
      <c r="A67" s="21">
        <v>40</v>
      </c>
      <c r="B67" s="475" t="str">
        <f t="shared" si="4"/>
        <v>40x52F</v>
      </c>
      <c r="C67" s="25"/>
      <c r="D67" s="25" t="str">
        <f t="shared" si="10"/>
        <v>40M</v>
      </c>
      <c r="E67" s="34" t="e">
        <f>_xll.qlCalendarAdvance(Calendar,H67,$A$21,"Modified Following",TRUE)</f>
        <v>#NUM!</v>
      </c>
      <c r="F67" s="25"/>
      <c r="G67" s="25"/>
      <c r="H67" s="34" t="e">
        <f>_xll.qlCalendarAdvance(Calendar,SettlementDate,D67,"MF",TRUE)</f>
        <v>#NUM!</v>
      </c>
      <c r="I67" s="25" t="b">
        <v>1</v>
      </c>
      <c r="J67" s="26" t="e">
        <f t="shared" si="11"/>
        <v>#NUM!</v>
      </c>
      <c r="K67" s="25" t="b">
        <f t="shared" si="6"/>
        <v>0</v>
      </c>
      <c r="L67" s="24"/>
      <c r="M67" s="25"/>
      <c r="N67" s="100"/>
      <c r="O67" s="26" t="e">
        <f>_xll.qlYieldTSForwardRate2($O$22,H67,$O$21,DayCounter,"simple","annual",,SheetTrigger)</f>
        <v>#NUM!</v>
      </c>
      <c r="P67" s="89" t="e">
        <f>_xll.qlInterpolationInterpolate($P$22,H67)</f>
        <v>#VALUE!</v>
      </c>
      <c r="Q67" s="87" t="e">
        <f>_xll.qlDayCounterYearFraction(DayCounter,H67,E67)</f>
        <v>#NUM!</v>
      </c>
      <c r="R67" s="25"/>
      <c r="S67" s="25"/>
      <c r="T67" s="100"/>
      <c r="U67" s="35" t="e">
        <v>#VALUE!</v>
      </c>
      <c r="V67" s="106" t="e">
        <v>#VALUE!</v>
      </c>
    </row>
    <row r="68" spans="1:22" x14ac:dyDescent="0.2">
      <c r="A68" s="21">
        <v>41</v>
      </c>
      <c r="B68" s="475" t="str">
        <f t="shared" si="4"/>
        <v>41x53F</v>
      </c>
      <c r="C68" s="25"/>
      <c r="D68" s="25" t="str">
        <f t="shared" si="10"/>
        <v>41M</v>
      </c>
      <c r="E68" s="34" t="e">
        <f>_xll.qlCalendarAdvance(Calendar,H68,$A$21,"Modified Following",TRUE)</f>
        <v>#NUM!</v>
      </c>
      <c r="F68" s="25"/>
      <c r="G68" s="25"/>
      <c r="H68" s="34" t="e">
        <f>_xll.qlCalendarAdvance(Calendar,SettlementDate,D68,"MF",TRUE)</f>
        <v>#NUM!</v>
      </c>
      <c r="I68" s="25" t="b">
        <v>1</v>
      </c>
      <c r="J68" s="26" t="e">
        <f t="shared" si="11"/>
        <v>#NUM!</v>
      </c>
      <c r="K68" s="25" t="b">
        <f t="shared" si="6"/>
        <v>0</v>
      </c>
      <c r="L68" s="24"/>
      <c r="M68" s="25"/>
      <c r="N68" s="100"/>
      <c r="O68" s="26" t="e">
        <f>_xll.qlYieldTSForwardRate2($O$22,H68,$O$21,DayCounter,"simple","annual",,SheetTrigger)</f>
        <v>#NUM!</v>
      </c>
      <c r="P68" s="89" t="e">
        <f>_xll.qlInterpolationInterpolate($P$22,H68)</f>
        <v>#VALUE!</v>
      </c>
      <c r="Q68" s="87" t="e">
        <f>_xll.qlDayCounterYearFraction(DayCounter,H68,E68)</f>
        <v>#NUM!</v>
      </c>
      <c r="R68" s="25"/>
      <c r="S68" s="25"/>
      <c r="T68" s="100"/>
      <c r="U68" s="35" t="e">
        <v>#VALUE!</v>
      </c>
      <c r="V68" s="106" t="e">
        <v>#VALUE!</v>
      </c>
    </row>
    <row r="69" spans="1:22" x14ac:dyDescent="0.2">
      <c r="A69" s="21">
        <v>42</v>
      </c>
      <c r="B69" s="475" t="str">
        <f t="shared" si="4"/>
        <v>42x54F</v>
      </c>
      <c r="C69" s="25"/>
      <c r="D69" s="25" t="str">
        <f t="shared" si="10"/>
        <v>42M</v>
      </c>
      <c r="E69" s="34" t="e">
        <f>_xll.qlCalendarAdvance(Calendar,H69,$A$21,"Modified Following",TRUE)</f>
        <v>#NUM!</v>
      </c>
      <c r="F69" s="25"/>
      <c r="G69" s="25"/>
      <c r="H69" s="34" t="e">
        <f>_xll.qlCalendarAdvance(Calendar,SettlementDate,D69,"MF",TRUE)</f>
        <v>#NUM!</v>
      </c>
      <c r="I69" s="25" t="b">
        <v>1</v>
      </c>
      <c r="J69" s="26" t="e">
        <f t="shared" si="11"/>
        <v>#NUM!</v>
      </c>
      <c r="K69" s="25" t="b">
        <f t="shared" si="6"/>
        <v>0</v>
      </c>
      <c r="L69" s="24"/>
      <c r="M69" s="25"/>
      <c r="N69" s="100"/>
      <c r="O69" s="26" t="e">
        <f>_xll.qlYieldTSForwardRate2($O$22,H69,$O$21,DayCounter,"simple","annual",,SheetTrigger)</f>
        <v>#NUM!</v>
      </c>
      <c r="P69" s="89" t="e">
        <f>_xll.qlInterpolationInterpolate($P$22,H69)</f>
        <v>#VALUE!</v>
      </c>
      <c r="Q69" s="87" t="e">
        <f>_xll.qlDayCounterYearFraction(DayCounter,H69,E69)</f>
        <v>#NUM!</v>
      </c>
      <c r="R69" s="25"/>
      <c r="S69" s="25"/>
      <c r="T69" s="100"/>
      <c r="U69" s="35" t="e">
        <v>#VALUE!</v>
      </c>
      <c r="V69" s="106" t="e">
        <v>#VALUE!</v>
      </c>
    </row>
    <row r="70" spans="1:22" x14ac:dyDescent="0.2">
      <c r="A70" s="21">
        <v>43</v>
      </c>
      <c r="B70" s="475" t="str">
        <f t="shared" si="4"/>
        <v>43x55F</v>
      </c>
      <c r="C70" s="25"/>
      <c r="D70" s="25" t="str">
        <f t="shared" si="10"/>
        <v>43M</v>
      </c>
      <c r="E70" s="34" t="e">
        <f>_xll.qlCalendarAdvance(Calendar,H70,$A$21,"Modified Following",TRUE)</f>
        <v>#NUM!</v>
      </c>
      <c r="F70" s="25"/>
      <c r="G70" s="25"/>
      <c r="H70" s="34" t="e">
        <f>_xll.qlCalendarAdvance(Calendar,SettlementDate,D70,"MF",TRUE)</f>
        <v>#NUM!</v>
      </c>
      <c r="I70" s="25" t="b">
        <v>1</v>
      </c>
      <c r="J70" s="26" t="e">
        <f t="shared" si="11"/>
        <v>#NUM!</v>
      </c>
      <c r="K70" s="25" t="b">
        <f t="shared" si="6"/>
        <v>0</v>
      </c>
      <c r="L70" s="24"/>
      <c r="M70" s="25"/>
      <c r="N70" s="100"/>
      <c r="O70" s="26" t="e">
        <f>_xll.qlYieldTSForwardRate2($O$22,H70,$O$21,DayCounter,"simple","annual",,SheetTrigger)</f>
        <v>#NUM!</v>
      </c>
      <c r="P70" s="89" t="e">
        <f>_xll.qlInterpolationInterpolate($P$22,H70)</f>
        <v>#VALUE!</v>
      </c>
      <c r="Q70" s="87" t="e">
        <f>_xll.qlDayCounterYearFraction(DayCounter,H70,E70)</f>
        <v>#NUM!</v>
      </c>
      <c r="R70" s="25"/>
      <c r="S70" s="25"/>
      <c r="T70" s="100"/>
      <c r="U70" s="35" t="e">
        <v>#VALUE!</v>
      </c>
      <c r="V70" s="106" t="e">
        <v>#VALUE!</v>
      </c>
    </row>
    <row r="71" spans="1:22" x14ac:dyDescent="0.2">
      <c r="A71" s="21">
        <v>44</v>
      </c>
      <c r="B71" s="475" t="str">
        <f t="shared" si="4"/>
        <v>44x56F</v>
      </c>
      <c r="C71" s="25"/>
      <c r="D71" s="25" t="str">
        <f t="shared" si="10"/>
        <v>44M</v>
      </c>
      <c r="E71" s="34" t="e">
        <f>_xll.qlCalendarAdvance(Calendar,H71,$A$21,"Modified Following",TRUE)</f>
        <v>#NUM!</v>
      </c>
      <c r="F71" s="25"/>
      <c r="G71" s="25"/>
      <c r="H71" s="34" t="e">
        <f>_xll.qlCalendarAdvance(Calendar,SettlementDate,D71,"MF",TRUE)</f>
        <v>#NUM!</v>
      </c>
      <c r="I71" s="25" t="b">
        <v>1</v>
      </c>
      <c r="J71" s="26" t="e">
        <f t="shared" si="11"/>
        <v>#NUM!</v>
      </c>
      <c r="K71" s="25" t="b">
        <f t="shared" si="6"/>
        <v>0</v>
      </c>
      <c r="L71" s="24"/>
      <c r="M71" s="25"/>
      <c r="N71" s="100"/>
      <c r="O71" s="26" t="e">
        <f>_xll.qlYieldTSForwardRate2($O$22,H71,$O$21,DayCounter,"simple","annual",,SheetTrigger)</f>
        <v>#NUM!</v>
      </c>
      <c r="P71" s="89" t="e">
        <f>_xll.qlInterpolationInterpolate($P$22,H71)</f>
        <v>#VALUE!</v>
      </c>
      <c r="Q71" s="87" t="e">
        <f>_xll.qlDayCounterYearFraction(DayCounter,H71,E71)</f>
        <v>#NUM!</v>
      </c>
      <c r="R71" s="25"/>
      <c r="S71" s="25"/>
      <c r="T71" s="100"/>
      <c r="U71" s="35" t="e">
        <v>#VALUE!</v>
      </c>
      <c r="V71" s="106" t="e">
        <v>#VALUE!</v>
      </c>
    </row>
    <row r="72" spans="1:22" x14ac:dyDescent="0.2">
      <c r="A72" s="21">
        <v>45</v>
      </c>
      <c r="B72" s="475" t="str">
        <f t="shared" si="4"/>
        <v>45x57F</v>
      </c>
      <c r="C72" s="25"/>
      <c r="D72" s="25" t="str">
        <f t="shared" si="10"/>
        <v>45M</v>
      </c>
      <c r="E72" s="34" t="e">
        <f>_xll.qlCalendarAdvance(Calendar,H72,$A$21,"Modified Following",TRUE)</f>
        <v>#NUM!</v>
      </c>
      <c r="F72" s="25"/>
      <c r="G72" s="25"/>
      <c r="H72" s="34" t="e">
        <f>_xll.qlCalendarAdvance(Calendar,SettlementDate,D72,"MF",TRUE)</f>
        <v>#NUM!</v>
      </c>
      <c r="I72" s="25" t="b">
        <v>1</v>
      </c>
      <c r="J72" s="26" t="e">
        <f t="shared" si="11"/>
        <v>#NUM!</v>
      </c>
      <c r="K72" s="25" t="b">
        <f t="shared" si="6"/>
        <v>0</v>
      </c>
      <c r="L72" s="24"/>
      <c r="M72" s="25"/>
      <c r="N72" s="100"/>
      <c r="O72" s="26" t="e">
        <f>_xll.qlYieldTSForwardRate2($O$22,H72,$O$21,DayCounter,"simple","annual",,SheetTrigger)</f>
        <v>#NUM!</v>
      </c>
      <c r="P72" s="89" t="e">
        <f>_xll.qlInterpolationInterpolate($P$22,H72)</f>
        <v>#VALUE!</v>
      </c>
      <c r="Q72" s="87" t="e">
        <f>_xll.qlDayCounterYearFraction(DayCounter,H72,E72)</f>
        <v>#NUM!</v>
      </c>
      <c r="R72" s="25"/>
      <c r="S72" s="25"/>
      <c r="T72" s="100"/>
      <c r="U72" s="35" t="e">
        <v>#VALUE!</v>
      </c>
      <c r="V72" s="106" t="e">
        <v>#VALUE!</v>
      </c>
    </row>
    <row r="73" spans="1:22" x14ac:dyDescent="0.2">
      <c r="A73" s="21">
        <v>46</v>
      </c>
      <c r="B73" s="475" t="str">
        <f t="shared" si="4"/>
        <v>46x58F</v>
      </c>
      <c r="C73" s="25"/>
      <c r="D73" s="25" t="str">
        <f t="shared" si="10"/>
        <v>46M</v>
      </c>
      <c r="E73" s="34" t="e">
        <f>_xll.qlCalendarAdvance(Calendar,H73,$A$21,"Modified Following",TRUE)</f>
        <v>#NUM!</v>
      </c>
      <c r="F73" s="25"/>
      <c r="G73" s="25"/>
      <c r="H73" s="34" t="e">
        <f>_xll.qlCalendarAdvance(Calendar,SettlementDate,D73,"MF",TRUE)</f>
        <v>#NUM!</v>
      </c>
      <c r="I73" s="25" t="b">
        <v>1</v>
      </c>
      <c r="J73" s="26" t="e">
        <f t="shared" si="11"/>
        <v>#NUM!</v>
      </c>
      <c r="K73" s="25" t="b">
        <f t="shared" si="6"/>
        <v>0</v>
      </c>
      <c r="L73" s="24"/>
      <c r="M73" s="25"/>
      <c r="N73" s="100"/>
      <c r="O73" s="26" t="e">
        <f>_xll.qlYieldTSForwardRate2($O$22,H73,$O$21,DayCounter,"simple","annual",,SheetTrigger)</f>
        <v>#NUM!</v>
      </c>
      <c r="P73" s="89" t="e">
        <f>_xll.qlInterpolationInterpolate($P$22,H73)</f>
        <v>#VALUE!</v>
      </c>
      <c r="Q73" s="87" t="e">
        <f>_xll.qlDayCounterYearFraction(DayCounter,H73,E73)</f>
        <v>#NUM!</v>
      </c>
      <c r="R73" s="25"/>
      <c r="S73" s="25"/>
      <c r="T73" s="100"/>
      <c r="U73" s="35" t="e">
        <v>#VALUE!</v>
      </c>
      <c r="V73" s="106" t="e">
        <v>#VALUE!</v>
      </c>
    </row>
    <row r="74" spans="1:22" x14ac:dyDescent="0.2">
      <c r="A74" s="21">
        <v>47</v>
      </c>
      <c r="B74" s="497" t="str">
        <f t="shared" si="4"/>
        <v>47x59F</v>
      </c>
      <c r="C74" s="39"/>
      <c r="D74" s="39" t="str">
        <f t="shared" si="10"/>
        <v>47M</v>
      </c>
      <c r="E74" s="36" t="e">
        <f>_xll.qlCalendarAdvance(Calendar,H74,$A$21,"Modified Following",TRUE)</f>
        <v>#NUM!</v>
      </c>
      <c r="F74" s="39"/>
      <c r="G74" s="39"/>
      <c r="H74" s="36" t="e">
        <f>_xll.qlCalendarAdvance(Calendar,SettlementDate,D74,"MF",TRUE)</f>
        <v>#NUM!</v>
      </c>
      <c r="I74" s="39" t="b">
        <v>1</v>
      </c>
      <c r="J74" s="37" t="e">
        <f t="shared" si="11"/>
        <v>#NUM!</v>
      </c>
      <c r="K74" s="39" t="b">
        <f t="shared" si="6"/>
        <v>0</v>
      </c>
      <c r="L74" s="53"/>
      <c r="M74" s="39"/>
      <c r="N74" s="76"/>
      <c r="O74" s="37" t="e">
        <f>_xll.qlYieldTSForwardRate2($O$22,H74,$O$21,DayCounter,"simple","annual",,SheetTrigger)</f>
        <v>#NUM!</v>
      </c>
      <c r="P74" s="75" t="e">
        <f>_xll.qlInterpolationInterpolate($P$22,H74)</f>
        <v>#VALUE!</v>
      </c>
      <c r="Q74" s="88" t="e">
        <f>_xll.qlDayCounterYearFraction(DayCounter,H74,E74)</f>
        <v>#NUM!</v>
      </c>
      <c r="R74" s="39"/>
      <c r="S74" s="39"/>
      <c r="T74" s="76"/>
      <c r="U74" s="38" t="e">
        <v>#VALUE!</v>
      </c>
      <c r="V74" s="107" t="e">
        <v>#VALUE!</v>
      </c>
    </row>
  </sheetData>
  <phoneticPr fontId="1" type="noConversion"/>
  <dataValidations count="2">
    <dataValidation type="list" allowBlank="1" showInputMessage="1" showErrorMessage="1" sqref="U1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P21">
      <formula1>"BackwardFlat,ForwardFlat,Linear,Parabolic,MonotonicParabolic,CubicNaturalSpline,MonotonicCubicNaturalSpline,KrugerCubic,FritschButlandCubic,Abcd"</formula1>
    </dataValidation>
  </dataValidations>
  <pageMargins left="0.75" right="0.75" top="1" bottom="1" header="0.5" footer="0.5"/>
  <pageSetup paperSize="9"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12"/>
  <sheetViews>
    <sheetView workbookViewId="0">
      <selection activeCell="I21" sqref="I21"/>
    </sheetView>
  </sheetViews>
  <sheetFormatPr defaultColWidth="10.6640625" defaultRowHeight="11.25" x14ac:dyDescent="0.2"/>
  <cols>
    <col min="1" max="1" width="3.5" style="15" bestFit="1" customWidth="1"/>
    <col min="2" max="2" width="5.83203125" style="15" bestFit="1" customWidth="1"/>
    <col min="3" max="3" width="10" style="15" customWidth="1"/>
    <col min="4" max="4" width="8.33203125" style="15" bestFit="1" customWidth="1"/>
    <col min="5" max="5" width="9.33203125" style="15" bestFit="1" customWidth="1"/>
    <col min="6" max="6" width="9.6640625" style="15" bestFit="1" customWidth="1"/>
    <col min="7" max="7" width="24" style="15" bestFit="1" customWidth="1"/>
    <col min="8" max="8" width="16.33203125" style="15" bestFit="1" customWidth="1"/>
    <col min="9" max="9" width="9.83203125" style="15" bestFit="1" customWidth="1"/>
    <col min="10" max="10" width="12" style="15" bestFit="1" customWidth="1"/>
    <col min="11" max="11" width="12" style="15" customWidth="1"/>
    <col min="12" max="12" width="11.33203125" style="15" customWidth="1"/>
    <col min="13" max="13" width="2.33203125" style="15" customWidth="1"/>
    <col min="14" max="14" width="9.33203125" style="15" customWidth="1"/>
    <col min="15" max="17" width="19.1640625" style="15" bestFit="1" customWidth="1"/>
    <col min="18" max="18" width="12.83203125" style="15" bestFit="1" customWidth="1"/>
    <col min="19" max="19" width="10.6640625" style="15" customWidth="1"/>
    <col min="20" max="20" width="8.5" style="15" bestFit="1" customWidth="1"/>
    <col min="21" max="21" width="7.5" style="15" customWidth="1"/>
    <col min="22" max="16384" width="10.6640625" style="15"/>
  </cols>
  <sheetData>
    <row r="1" spans="1:10" x14ac:dyDescent="0.2">
      <c r="A1" s="2"/>
      <c r="B1" s="3"/>
      <c r="C1" s="3"/>
      <c r="D1" s="3"/>
      <c r="E1" s="3"/>
      <c r="F1" s="3"/>
      <c r="G1" s="3"/>
      <c r="H1" s="3"/>
      <c r="I1" s="3"/>
      <c r="J1" s="51"/>
    </row>
    <row r="2" spans="1:10" ht="12.75" x14ac:dyDescent="0.2">
      <c r="A2" s="5"/>
      <c r="B2" s="6"/>
      <c r="C2" s="8"/>
      <c r="D2" s="46"/>
      <c r="E2" s="8"/>
      <c r="F2" s="8"/>
      <c r="G2" s="138" t="s">
        <v>7</v>
      </c>
      <c r="H2" s="137" t="s">
        <v>30</v>
      </c>
      <c r="I2" s="7"/>
      <c r="J2" s="44"/>
    </row>
    <row r="3" spans="1:10" x14ac:dyDescent="0.2">
      <c r="A3" s="10"/>
      <c r="B3" s="7"/>
      <c r="C3" s="7"/>
      <c r="D3" s="8"/>
      <c r="E3" s="8"/>
      <c r="F3" s="8"/>
      <c r="G3" s="7"/>
      <c r="H3" s="7"/>
      <c r="I3" s="11">
        <f>_xll.ohTrigger(I5:I10)</f>
        <v>25</v>
      </c>
      <c r="J3" s="44"/>
    </row>
    <row r="4" spans="1:10" x14ac:dyDescent="0.2">
      <c r="A4" s="10"/>
      <c r="B4" s="118"/>
      <c r="C4" s="119" t="s">
        <v>52</v>
      </c>
      <c r="D4" s="8"/>
      <c r="E4" s="126" t="s">
        <v>51</v>
      </c>
      <c r="F4" s="8"/>
      <c r="G4" s="118" t="s">
        <v>9</v>
      </c>
      <c r="H4" s="130" t="s">
        <v>10</v>
      </c>
      <c r="I4" s="131" t="s">
        <v>11</v>
      </c>
      <c r="J4" s="44"/>
    </row>
    <row r="5" spans="1:10" x14ac:dyDescent="0.2">
      <c r="A5" s="10"/>
      <c r="B5" s="120" t="s">
        <v>40</v>
      </c>
      <c r="C5" s="121" t="e">
        <f>IF(ISERROR('1M'!TOY),'1M'!TOY,'1M'!TOY)</f>
        <v>#NUM!</v>
      </c>
      <c r="D5" s="8"/>
      <c r="E5" s="127" t="e">
        <v>#NUM!</v>
      </c>
      <c r="F5" s="8"/>
      <c r="G5" s="132" t="str">
        <f t="shared" ref="G5:G11" si="0">Currency&amp;$B5&amp;$H$2</f>
        <v>USDTOY_SYNTH1M_Quote</v>
      </c>
      <c r="H5" s="133" t="e">
        <f t="array" ref="H5:H11">QuoteLive</f>
        <v>#NUM!</v>
      </c>
      <c r="I5" s="134" t="e">
        <f>_xll.qlSimpleQuoteSetValue($G5,$H5,EvaluationDate)</f>
        <v>#NUM!</v>
      </c>
      <c r="J5" s="44"/>
    </row>
    <row r="6" spans="1:10" x14ac:dyDescent="0.2">
      <c r="A6" s="10"/>
      <c r="B6" s="124" t="s">
        <v>46</v>
      </c>
      <c r="C6" s="266" t="e">
        <f>IF(ISERROR('1M'!_TOY2),'1M'!_TOY2,'1M'!_TOY2)</f>
        <v>#NUM!</v>
      </c>
      <c r="D6" s="8"/>
      <c r="E6" s="129" t="e">
        <v>#NUM!</v>
      </c>
      <c r="F6" s="8"/>
      <c r="G6" s="136" t="str">
        <f t="shared" si="0"/>
        <v>USDTOY2_SYNTH1M_Quote</v>
      </c>
      <c r="H6" s="78" t="e">
        <v>#NUM!</v>
      </c>
      <c r="I6" s="125" t="e">
        <f>_xll.qlSimpleQuoteSetValue($G6,$H6,EvaluationDate)</f>
        <v>#NUM!</v>
      </c>
      <c r="J6" s="44"/>
    </row>
    <row r="7" spans="1:10" x14ac:dyDescent="0.2">
      <c r="A7" s="10"/>
      <c r="B7" s="122" t="s">
        <v>12</v>
      </c>
      <c r="C7" s="123" t="e">
        <f>'1M'!Z23</f>
        <v>#VALUE!</v>
      </c>
      <c r="D7" s="8"/>
      <c r="E7" s="128" t="e">
        <v>#VALUE!</v>
      </c>
      <c r="F7" s="8"/>
      <c r="G7" s="135" t="str">
        <f t="shared" si="0"/>
        <v>USDSND_SYNTH1M_Quote</v>
      </c>
      <c r="H7" s="17" t="e">
        <v>#VALUE!</v>
      </c>
      <c r="I7" s="123" t="e">
        <f>_xll.qlSimpleQuoteSetValue($G7,$H7,EvaluationDate)</f>
        <v>#NUM!</v>
      </c>
      <c r="J7" s="44"/>
    </row>
    <row r="8" spans="1:10" x14ac:dyDescent="0.2">
      <c r="A8" s="10"/>
      <c r="B8" s="122" t="s">
        <v>13</v>
      </c>
      <c r="C8" s="123" t="e">
        <f>'1M'!Z24</f>
        <v>#VALUE!</v>
      </c>
      <c r="D8" s="8"/>
      <c r="E8" s="128" t="e">
        <v>#VALUE!</v>
      </c>
      <c r="F8" s="8"/>
      <c r="G8" s="135" t="str">
        <f t="shared" si="0"/>
        <v>USDSWD_SYNTH1M_Quote</v>
      </c>
      <c r="H8" s="17" t="e">
        <v>#VALUE!</v>
      </c>
      <c r="I8" s="123" t="e">
        <f>_xll.qlSimpleQuoteSetValue($G8,$H8,EvaluationDate)</f>
        <v>#NUM!</v>
      </c>
      <c r="J8" s="44"/>
    </row>
    <row r="9" spans="1:10" x14ac:dyDescent="0.2">
      <c r="A9" s="10"/>
      <c r="B9" s="122" t="s">
        <v>14</v>
      </c>
      <c r="C9" s="123" t="e">
        <f>'1M'!Z25</f>
        <v>#VALUE!</v>
      </c>
      <c r="D9" s="8"/>
      <c r="E9" s="128" t="e">
        <v>#VALUE!</v>
      </c>
      <c r="F9" s="8"/>
      <c r="G9" s="135" t="str">
        <f t="shared" si="0"/>
        <v>USD2WD_SYNTH1M_Quote</v>
      </c>
      <c r="H9" s="17" t="e">
        <v>#VALUE!</v>
      </c>
      <c r="I9" s="123" t="e">
        <f>_xll.qlSimpleQuoteSetValue($G9,$H9,EvaluationDate)</f>
        <v>#NUM!</v>
      </c>
      <c r="J9" s="44"/>
    </row>
    <row r="10" spans="1:10" x14ac:dyDescent="0.2">
      <c r="A10" s="10"/>
      <c r="B10" s="124" t="s">
        <v>15</v>
      </c>
      <c r="C10" s="125" t="e">
        <f>'1M'!Z26</f>
        <v>#VALUE!</v>
      </c>
      <c r="D10" s="8"/>
      <c r="E10" s="129" t="e">
        <v>#VALUE!</v>
      </c>
      <c r="F10" s="8"/>
      <c r="G10" s="136" t="str">
        <f t="shared" si="0"/>
        <v>USD3WD_SYNTH1M_Quote</v>
      </c>
      <c r="H10" s="78" t="e">
        <v>#VALUE!</v>
      </c>
      <c r="I10" s="125" t="e">
        <f>_xll.qlSimpleQuoteSetValue($G10,$H10,EvaluationDate)</f>
        <v>#NUM!</v>
      </c>
      <c r="J10" s="44"/>
    </row>
    <row r="11" spans="1:10" x14ac:dyDescent="0.2">
      <c r="A11" s="10"/>
      <c r="B11" s="124" t="s">
        <v>0</v>
      </c>
      <c r="C11" s="125" t="e">
        <f>'1M'!Z27</f>
        <v>#VALUE!</v>
      </c>
      <c r="D11" s="8"/>
      <c r="E11" s="129" t="e">
        <v>#VALUE!</v>
      </c>
      <c r="F11" s="8"/>
      <c r="G11" s="136" t="str">
        <f t="shared" si="0"/>
        <v>USD1MD_SYNTH1M_Quote</v>
      </c>
      <c r="H11" s="78" t="e">
        <v>#VALUE!</v>
      </c>
      <c r="I11" s="125" t="e">
        <f>_xll.qlSimpleQuoteSetValue($G11,$H11,EvaluationDate)</f>
        <v>#NUM!</v>
      </c>
      <c r="J11" s="44"/>
    </row>
    <row r="12" spans="1:10" ht="12" thickBot="1" x14ac:dyDescent="0.25">
      <c r="A12" s="13"/>
      <c r="B12" s="14"/>
      <c r="C12" s="14"/>
      <c r="D12" s="14"/>
      <c r="E12" s="14"/>
      <c r="F12" s="14"/>
      <c r="G12" s="14"/>
      <c r="H12" s="14"/>
      <c r="I12" s="14"/>
      <c r="J12" s="52"/>
    </row>
  </sheetData>
  <phoneticPr fontId="2" type="noConversion"/>
  <conditionalFormatting sqref="I5:I11">
    <cfRule type="cellIs" dxfId="11" priority="1" stopIfTrue="1" operator="greaterThan">
      <formula>0</formula>
    </cfRule>
    <cfRule type="cellIs" dxfId="10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14"/>
  <sheetViews>
    <sheetView workbookViewId="0">
      <selection activeCell="I3" sqref="I3"/>
    </sheetView>
  </sheetViews>
  <sheetFormatPr defaultColWidth="10.6640625" defaultRowHeight="11.25" x14ac:dyDescent="0.2"/>
  <cols>
    <col min="1" max="1" width="3.5" style="16" bestFit="1" customWidth="1"/>
    <col min="2" max="2" width="5.83203125" style="16" bestFit="1" customWidth="1"/>
    <col min="3" max="3" width="10.1640625" style="16" customWidth="1"/>
    <col min="4" max="4" width="8.33203125" style="16" bestFit="1" customWidth="1"/>
    <col min="5" max="5" width="10.33203125" style="16" bestFit="1" customWidth="1"/>
    <col min="6" max="6" width="9.6640625" style="16" bestFit="1" customWidth="1"/>
    <col min="7" max="7" width="24" style="16" bestFit="1" customWidth="1"/>
    <col min="8" max="8" width="16.33203125" style="16" bestFit="1" customWidth="1"/>
    <col min="9" max="9" width="9.83203125" style="16" bestFit="1" customWidth="1"/>
    <col min="10" max="10" width="12" style="16" bestFit="1" customWidth="1"/>
    <col min="11" max="11" width="12" style="16" customWidth="1"/>
    <col min="12" max="12" width="11.33203125" style="16" customWidth="1"/>
    <col min="13" max="13" width="2.33203125" style="16" customWidth="1"/>
    <col min="14" max="14" width="9.33203125" style="16" customWidth="1"/>
    <col min="15" max="17" width="19.1640625" style="16" bestFit="1" customWidth="1"/>
    <col min="18" max="18" width="12.83203125" style="16" bestFit="1" customWidth="1"/>
    <col min="19" max="19" width="10.6640625" style="16" customWidth="1"/>
    <col min="20" max="20" width="8.5" style="16" bestFit="1" customWidth="1"/>
    <col min="21" max="21" width="7.5" style="16" customWidth="1"/>
    <col min="22" max="16384" width="10.6640625" style="16"/>
  </cols>
  <sheetData>
    <row r="1" spans="1:10" x14ac:dyDescent="0.2">
      <c r="A1" s="2"/>
      <c r="B1" s="3"/>
      <c r="C1" s="3"/>
      <c r="D1" s="3"/>
      <c r="E1" s="3"/>
      <c r="F1" s="3"/>
      <c r="G1" s="3"/>
      <c r="H1" s="3"/>
      <c r="I1" s="3"/>
      <c r="J1" s="45"/>
    </row>
    <row r="2" spans="1:10" ht="12.75" x14ac:dyDescent="0.2">
      <c r="A2" s="5"/>
      <c r="B2" s="6"/>
      <c r="C2" s="8"/>
      <c r="D2" s="46"/>
      <c r="E2" s="8"/>
      <c r="F2" s="8"/>
      <c r="G2" s="138" t="s">
        <v>7</v>
      </c>
      <c r="H2" s="137" t="s">
        <v>8</v>
      </c>
      <c r="I2" s="7"/>
      <c r="J2" s="47"/>
    </row>
    <row r="3" spans="1:10" x14ac:dyDescent="0.2">
      <c r="A3" s="10"/>
      <c r="B3" s="7"/>
      <c r="C3" s="7"/>
      <c r="D3" s="8"/>
      <c r="E3" s="8"/>
      <c r="F3" s="8"/>
      <c r="G3" s="7"/>
      <c r="H3" s="7"/>
      <c r="I3" s="11">
        <f>_xll.ohTrigger(I5:I12)</f>
        <v>25</v>
      </c>
      <c r="J3" s="47"/>
    </row>
    <row r="4" spans="1:10" x14ac:dyDescent="0.2">
      <c r="A4" s="10"/>
      <c r="B4" s="118"/>
      <c r="C4" s="119" t="s">
        <v>52</v>
      </c>
      <c r="D4" s="8"/>
      <c r="E4" s="126" t="s">
        <v>51</v>
      </c>
      <c r="F4" s="8"/>
      <c r="G4" s="118" t="s">
        <v>9</v>
      </c>
      <c r="H4" s="130" t="s">
        <v>10</v>
      </c>
      <c r="I4" s="131" t="s">
        <v>11</v>
      </c>
      <c r="J4" s="47"/>
    </row>
    <row r="5" spans="1:10" s="15" customFormat="1" x14ac:dyDescent="0.2">
      <c r="A5" s="10"/>
      <c r="B5" s="120" t="s">
        <v>40</v>
      </c>
      <c r="C5" s="134" t="e">
        <f>'3M'!TOY</f>
        <v>#NUM!</v>
      </c>
      <c r="D5" s="8"/>
      <c r="E5" s="127" t="e">
        <v>#NUM!</v>
      </c>
      <c r="F5" s="8"/>
      <c r="G5" s="132" t="str">
        <f t="shared" ref="G5:G13" si="0">Currency&amp;$B5&amp;$H$2</f>
        <v>USDTOY_SYNTH3M_Quote</v>
      </c>
      <c r="H5" s="133" t="e">
        <f t="array" ref="H5:H13">QuoteLive</f>
        <v>#NUM!</v>
      </c>
      <c r="I5" s="134" t="e">
        <f>_xll.qlSimpleQuoteSetValue($G5,$H5,EvaluationDate)</f>
        <v>#NUM!</v>
      </c>
      <c r="J5" s="44"/>
    </row>
    <row r="6" spans="1:10" s="15" customFormat="1" x14ac:dyDescent="0.2">
      <c r="A6" s="10"/>
      <c r="B6" s="124" t="s">
        <v>46</v>
      </c>
      <c r="C6" s="125" t="e">
        <f>'3M'!_TOY2</f>
        <v>#NUM!</v>
      </c>
      <c r="D6" s="8"/>
      <c r="E6" s="129" t="e">
        <v>#NUM!</v>
      </c>
      <c r="F6" s="8"/>
      <c r="G6" s="136" t="str">
        <f>Currency&amp;$B6&amp;$H$2</f>
        <v>USDTOY2_SYNTH3M_Quote</v>
      </c>
      <c r="H6" s="78" t="e">
        <v>#NUM!</v>
      </c>
      <c r="I6" s="125" t="e">
        <f>_xll.qlSimpleQuoteSetValue($G6,$H6,EvaluationDate)</f>
        <v>#NUM!</v>
      </c>
      <c r="J6" s="44"/>
    </row>
    <row r="7" spans="1:10" x14ac:dyDescent="0.2">
      <c r="A7" s="10"/>
      <c r="B7" s="122" t="s">
        <v>12</v>
      </c>
      <c r="C7" s="123" t="e">
        <f>'3M'!AB23</f>
        <v>#VALUE!</v>
      </c>
      <c r="D7" s="8"/>
      <c r="E7" s="128" t="e">
        <v>#VALUE!</v>
      </c>
      <c r="F7" s="8"/>
      <c r="G7" s="135" t="str">
        <f t="shared" si="0"/>
        <v>USDSND_SYNTH3M_Quote</v>
      </c>
      <c r="H7" s="17" t="e">
        <v>#VALUE!</v>
      </c>
      <c r="I7" s="123" t="e">
        <f>_xll.qlSimpleQuoteSetValue($G7,$H7,EvaluationDate)</f>
        <v>#NUM!</v>
      </c>
      <c r="J7" s="47"/>
    </row>
    <row r="8" spans="1:10" x14ac:dyDescent="0.2">
      <c r="A8" s="10"/>
      <c r="B8" s="122" t="s">
        <v>13</v>
      </c>
      <c r="C8" s="123" t="e">
        <f>'3M'!AB24</f>
        <v>#VALUE!</v>
      </c>
      <c r="D8" s="8"/>
      <c r="E8" s="128" t="e">
        <v>#VALUE!</v>
      </c>
      <c r="F8" s="8"/>
      <c r="G8" s="135" t="str">
        <f t="shared" si="0"/>
        <v>USDSWD_SYNTH3M_Quote</v>
      </c>
      <c r="H8" s="17" t="e">
        <v>#VALUE!</v>
      </c>
      <c r="I8" s="123" t="e">
        <f>_xll.qlSimpleQuoteSetValue($G8,$H8,EvaluationDate)</f>
        <v>#NUM!</v>
      </c>
      <c r="J8" s="47"/>
    </row>
    <row r="9" spans="1:10" x14ac:dyDescent="0.2">
      <c r="A9" s="10"/>
      <c r="B9" s="122" t="s">
        <v>14</v>
      </c>
      <c r="C9" s="123" t="e">
        <f>'3M'!AB25</f>
        <v>#VALUE!</v>
      </c>
      <c r="D9" s="8"/>
      <c r="E9" s="128" t="e">
        <v>#VALUE!</v>
      </c>
      <c r="F9" s="8"/>
      <c r="G9" s="135" t="str">
        <f t="shared" si="0"/>
        <v>USD2WD_SYNTH3M_Quote</v>
      </c>
      <c r="H9" s="17" t="e">
        <v>#VALUE!</v>
      </c>
      <c r="I9" s="123" t="e">
        <f>_xll.qlSimpleQuoteSetValue($G9,$H9,EvaluationDate)</f>
        <v>#NUM!</v>
      </c>
      <c r="J9" s="47"/>
    </row>
    <row r="10" spans="1:10" x14ac:dyDescent="0.2">
      <c r="A10" s="10"/>
      <c r="B10" s="124" t="s">
        <v>15</v>
      </c>
      <c r="C10" s="125" t="e">
        <f>'3M'!AB26</f>
        <v>#VALUE!</v>
      </c>
      <c r="D10" s="8"/>
      <c r="E10" s="129" t="e">
        <v>#VALUE!</v>
      </c>
      <c r="F10" s="8"/>
      <c r="G10" s="136" t="str">
        <f t="shared" si="0"/>
        <v>USD3WD_SYNTH3M_Quote</v>
      </c>
      <c r="H10" s="78" t="e">
        <v>#VALUE!</v>
      </c>
      <c r="I10" s="125" t="e">
        <f>_xll.qlSimpleQuoteSetValue($G10,$H10,EvaluationDate)</f>
        <v>#NUM!</v>
      </c>
      <c r="J10" s="47"/>
    </row>
    <row r="11" spans="1:10" x14ac:dyDescent="0.2">
      <c r="A11" s="10"/>
      <c r="B11" s="122" t="s">
        <v>0</v>
      </c>
      <c r="C11" s="123" t="e">
        <f>'3M'!AB27</f>
        <v>#VALUE!</v>
      </c>
      <c r="D11" s="8"/>
      <c r="E11" s="128" t="e">
        <v>#VALUE!</v>
      </c>
      <c r="F11" s="8"/>
      <c r="G11" s="135" t="str">
        <f t="shared" si="0"/>
        <v>USD1MD_SYNTH3M_Quote</v>
      </c>
      <c r="H11" s="17" t="e">
        <v>#VALUE!</v>
      </c>
      <c r="I11" s="123" t="e">
        <f>_xll.qlSimpleQuoteSetValue($G11,$H11,EvaluationDate)</f>
        <v>#NUM!</v>
      </c>
      <c r="J11" s="47"/>
    </row>
    <row r="12" spans="1:10" x14ac:dyDescent="0.2">
      <c r="A12" s="10"/>
      <c r="B12" s="122" t="s">
        <v>1</v>
      </c>
      <c r="C12" s="123" t="e">
        <f>'3M'!AB28</f>
        <v>#VALUE!</v>
      </c>
      <c r="D12" s="8"/>
      <c r="E12" s="128" t="e">
        <v>#VALUE!</v>
      </c>
      <c r="F12" s="8"/>
      <c r="G12" s="135" t="str">
        <f t="shared" si="0"/>
        <v>USD2MD_SYNTH3M_Quote</v>
      </c>
      <c r="H12" s="17" t="e">
        <v>#VALUE!</v>
      </c>
      <c r="I12" s="123" t="e">
        <f>_xll.qlSimpleQuoteSetValue($G12,$H12,EvaluationDate)</f>
        <v>#NUM!</v>
      </c>
      <c r="J12" s="47"/>
    </row>
    <row r="13" spans="1:10" x14ac:dyDescent="0.2">
      <c r="A13" s="10"/>
      <c r="B13" s="124" t="s">
        <v>16</v>
      </c>
      <c r="C13" s="125" t="e">
        <f>'3M'!AB29</f>
        <v>#VALUE!</v>
      </c>
      <c r="D13" s="8"/>
      <c r="E13" s="129" t="e">
        <v>#VALUE!</v>
      </c>
      <c r="F13" s="8"/>
      <c r="G13" s="136" t="str">
        <f t="shared" si="0"/>
        <v>USD3MD_SYNTH3M_Quote</v>
      </c>
      <c r="H13" s="78" t="e">
        <v>#VALUE!</v>
      </c>
      <c r="I13" s="125" t="e">
        <f>_xll.qlSimpleQuoteSetValue($G13,$H13,EvaluationDate)</f>
        <v>#NUM!</v>
      </c>
      <c r="J13" s="47"/>
    </row>
    <row r="14" spans="1:10" ht="12" thickBot="1" x14ac:dyDescent="0.25">
      <c r="A14" s="48"/>
      <c r="B14" s="49"/>
      <c r="C14" s="49"/>
      <c r="D14" s="49"/>
      <c r="E14" s="49"/>
      <c r="F14" s="49"/>
      <c r="G14" s="49"/>
      <c r="H14" s="49"/>
      <c r="I14" s="49"/>
      <c r="J14" s="50"/>
    </row>
  </sheetData>
  <phoneticPr fontId="2" type="noConversion"/>
  <conditionalFormatting sqref="I5:I13">
    <cfRule type="cellIs" dxfId="9" priority="1" stopIfTrue="1" operator="greaterThan">
      <formula>0</formula>
    </cfRule>
    <cfRule type="cellIs" dxfId="8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17"/>
  <sheetViews>
    <sheetView workbookViewId="0">
      <selection activeCell="I3" sqref="I3"/>
    </sheetView>
  </sheetViews>
  <sheetFormatPr defaultRowHeight="11.25" x14ac:dyDescent="0.2"/>
  <cols>
    <col min="1" max="1" width="3.6640625" style="18" customWidth="1"/>
    <col min="2" max="2" width="7.33203125" style="18" bestFit="1" customWidth="1"/>
    <col min="3" max="3" width="10.33203125" style="18" bestFit="1" customWidth="1"/>
    <col min="4" max="4" width="8.33203125" style="18" bestFit="1" customWidth="1"/>
    <col min="5" max="5" width="10.33203125" style="18" bestFit="1" customWidth="1"/>
    <col min="6" max="6" width="6.6640625" style="18" bestFit="1" customWidth="1"/>
    <col min="7" max="7" width="26.33203125" style="18" bestFit="1" customWidth="1"/>
    <col min="8" max="8" width="16.33203125" style="18" bestFit="1" customWidth="1"/>
    <col min="9" max="9" width="10" style="18" bestFit="1" customWidth="1"/>
    <col min="10" max="10" width="14.33203125" style="18" customWidth="1"/>
    <col min="11" max="16384" width="9.33203125" style="18"/>
  </cols>
  <sheetData>
    <row r="1" spans="1:10" x14ac:dyDescent="0.2">
      <c r="A1" s="2"/>
      <c r="B1" s="3"/>
      <c r="C1" s="3"/>
      <c r="D1" s="3"/>
      <c r="E1" s="3"/>
      <c r="F1" s="3"/>
      <c r="G1" s="3"/>
      <c r="H1" s="3"/>
      <c r="I1" s="3"/>
      <c r="J1" s="4"/>
    </row>
    <row r="2" spans="1:10" x14ac:dyDescent="0.2">
      <c r="A2" s="5"/>
      <c r="B2" s="19"/>
      <c r="C2" s="8"/>
      <c r="D2" s="8"/>
      <c r="E2" s="8"/>
      <c r="F2" s="8"/>
      <c r="G2" s="144" t="s">
        <v>7</v>
      </c>
      <c r="H2" s="145" t="s">
        <v>58</v>
      </c>
      <c r="I2" s="7"/>
      <c r="J2" s="9"/>
    </row>
    <row r="3" spans="1:10" x14ac:dyDescent="0.2">
      <c r="A3" s="10"/>
      <c r="B3" s="7"/>
      <c r="C3" s="7"/>
      <c r="D3" s="8"/>
      <c r="E3" s="8"/>
      <c r="F3" s="8"/>
      <c r="G3" s="7"/>
      <c r="H3" s="7"/>
      <c r="I3" s="20">
        <f>_xll.ohTrigger(I5:I15)</f>
        <v>25</v>
      </c>
      <c r="J3" s="12"/>
    </row>
    <row r="4" spans="1:10" x14ac:dyDescent="0.2">
      <c r="A4" s="10"/>
      <c r="B4" s="118"/>
      <c r="C4" s="119" t="s">
        <v>52</v>
      </c>
      <c r="D4" s="8"/>
      <c r="E4" s="126" t="s">
        <v>51</v>
      </c>
      <c r="F4" s="8"/>
      <c r="G4" s="118" t="s">
        <v>9</v>
      </c>
      <c r="H4" s="130" t="s">
        <v>10</v>
      </c>
      <c r="I4" s="131" t="s">
        <v>11</v>
      </c>
      <c r="J4" s="12"/>
    </row>
    <row r="5" spans="1:10" s="15" customFormat="1" x14ac:dyDescent="0.2">
      <c r="A5" s="10"/>
      <c r="B5" s="120" t="s">
        <v>40</v>
      </c>
      <c r="C5" s="134" t="e">
        <f>'6M'!TOY</f>
        <v>#NUM!</v>
      </c>
      <c r="D5" s="8"/>
      <c r="E5" s="127" t="e">
        <v>#NUM!</v>
      </c>
      <c r="F5" s="8"/>
      <c r="G5" s="132" t="str">
        <f t="shared" ref="G5:G16" si="0">Currency&amp;$B5&amp;$H$2</f>
        <v>USDTOY_SYNTH6M_Quote</v>
      </c>
      <c r="H5" s="133" t="e">
        <f t="array" ref="H5:H16">QuoteLive</f>
        <v>#NUM!</v>
      </c>
      <c r="I5" s="134" t="e">
        <f>_xll.qlSimpleQuoteSetValue($G5,$H5,EvaluationDate)</f>
        <v>#NUM!</v>
      </c>
      <c r="J5" s="44"/>
    </row>
    <row r="6" spans="1:10" s="15" customFormat="1" x14ac:dyDescent="0.2">
      <c r="A6" s="10"/>
      <c r="B6" s="124" t="s">
        <v>46</v>
      </c>
      <c r="C6" s="125" t="e">
        <f>'6M'!_TOY2</f>
        <v>#NUM!</v>
      </c>
      <c r="D6" s="8"/>
      <c r="E6" s="129" t="e">
        <v>#NUM!</v>
      </c>
      <c r="F6" s="8"/>
      <c r="G6" s="136" t="str">
        <f>Currency&amp;$B6&amp;$H$2</f>
        <v>USDTOY2_SYNTH6M_Quote</v>
      </c>
      <c r="H6" s="78" t="e">
        <v>#NUM!</v>
      </c>
      <c r="I6" s="125" t="e">
        <f>_xll.qlSimpleQuoteSetValue($G6,$H6,EvaluationDate)</f>
        <v>#NUM!</v>
      </c>
      <c r="J6" s="44"/>
    </row>
    <row r="7" spans="1:10" x14ac:dyDescent="0.2">
      <c r="A7" s="5"/>
      <c r="B7" s="122" t="s">
        <v>12</v>
      </c>
      <c r="C7" s="123" t="e">
        <f>'6M'!AB22</f>
        <v>#VALUE!</v>
      </c>
      <c r="D7" s="8"/>
      <c r="E7" s="142" t="e">
        <v>#VALUE!</v>
      </c>
      <c r="F7" s="8"/>
      <c r="G7" s="135" t="str">
        <f t="shared" si="0"/>
        <v>USDSND_SYNTH6M_Quote</v>
      </c>
      <c r="H7" s="17" t="e">
        <v>#VALUE!</v>
      </c>
      <c r="I7" s="123" t="e">
        <f>_xll.qlSimpleQuoteSetValue($G7,$H7,EvaluationDate)</f>
        <v>#NUM!</v>
      </c>
      <c r="J7" s="44"/>
    </row>
    <row r="8" spans="1:10" x14ac:dyDescent="0.2">
      <c r="A8" s="5"/>
      <c r="B8" s="122" t="s">
        <v>13</v>
      </c>
      <c r="C8" s="123" t="e">
        <f>'6M'!AB23</f>
        <v>#VALUE!</v>
      </c>
      <c r="D8" s="8"/>
      <c r="E8" s="142" t="e">
        <v>#VALUE!</v>
      </c>
      <c r="F8" s="8"/>
      <c r="G8" s="135" t="str">
        <f t="shared" si="0"/>
        <v>USDSWD_SYNTH6M_Quote</v>
      </c>
      <c r="H8" s="17" t="e">
        <v>#VALUE!</v>
      </c>
      <c r="I8" s="123" t="e">
        <f>_xll.qlSimpleQuoteSetValue($G8,$H8,EvaluationDate)</f>
        <v>#NUM!</v>
      </c>
      <c r="J8" s="44"/>
    </row>
    <row r="9" spans="1:10" x14ac:dyDescent="0.2">
      <c r="A9" s="5"/>
      <c r="B9" s="122" t="s">
        <v>14</v>
      </c>
      <c r="C9" s="123" t="e">
        <f>'6M'!AB24</f>
        <v>#VALUE!</v>
      </c>
      <c r="D9" s="8"/>
      <c r="E9" s="142" t="e">
        <v>#VALUE!</v>
      </c>
      <c r="F9" s="8"/>
      <c r="G9" s="135" t="str">
        <f t="shared" si="0"/>
        <v>USD2WD_SYNTH6M_Quote</v>
      </c>
      <c r="H9" s="17" t="e">
        <v>#VALUE!</v>
      </c>
      <c r="I9" s="123" t="e">
        <f>_xll.qlSimpleQuoteSetValue($G9,$H9,EvaluationDate)</f>
        <v>#NUM!</v>
      </c>
      <c r="J9" s="44"/>
    </row>
    <row r="10" spans="1:10" x14ac:dyDescent="0.2">
      <c r="A10" s="5"/>
      <c r="B10" s="124" t="s">
        <v>15</v>
      </c>
      <c r="C10" s="125" t="e">
        <f>'6M'!AB25</f>
        <v>#VALUE!</v>
      </c>
      <c r="D10" s="8"/>
      <c r="E10" s="143" t="e">
        <v>#VALUE!</v>
      </c>
      <c r="F10" s="8"/>
      <c r="G10" s="136" t="str">
        <f t="shared" si="0"/>
        <v>USD3WD_SYNTH6M_Quote</v>
      </c>
      <c r="H10" s="78" t="e">
        <v>#VALUE!</v>
      </c>
      <c r="I10" s="125" t="e">
        <f>_xll.qlSimpleQuoteSetValue($G10,$H10,EvaluationDate)</f>
        <v>#NUM!</v>
      </c>
      <c r="J10" s="44"/>
    </row>
    <row r="11" spans="1:10" x14ac:dyDescent="0.2">
      <c r="A11" s="5"/>
      <c r="B11" s="122" t="s">
        <v>0</v>
      </c>
      <c r="C11" s="123" t="e">
        <f>'6M'!AB26</f>
        <v>#VALUE!</v>
      </c>
      <c r="D11" s="8"/>
      <c r="E11" s="142" t="e">
        <v>#VALUE!</v>
      </c>
      <c r="F11" s="8"/>
      <c r="G11" s="135" t="str">
        <f t="shared" si="0"/>
        <v>USD1MD_SYNTH6M_Quote</v>
      </c>
      <c r="H11" s="17" t="e">
        <v>#VALUE!</v>
      </c>
      <c r="I11" s="123" t="e">
        <f>_xll.qlSimpleQuoteSetValue($G11,$H11,EvaluationDate)</f>
        <v>#NUM!</v>
      </c>
      <c r="J11" s="44"/>
    </row>
    <row r="12" spans="1:10" x14ac:dyDescent="0.2">
      <c r="A12" s="5"/>
      <c r="B12" s="122" t="s">
        <v>1</v>
      </c>
      <c r="C12" s="123" t="e">
        <f>'6M'!AB27</f>
        <v>#VALUE!</v>
      </c>
      <c r="D12" s="8"/>
      <c r="E12" s="142" t="e">
        <v>#VALUE!</v>
      </c>
      <c r="F12" s="8"/>
      <c r="G12" s="135" t="str">
        <f t="shared" si="0"/>
        <v>USD2MD_SYNTH6M_Quote</v>
      </c>
      <c r="H12" s="17" t="e">
        <v>#VALUE!</v>
      </c>
      <c r="I12" s="123" t="e">
        <f>_xll.qlSimpleQuoteSetValue($G12,$H12,EvaluationDate)</f>
        <v>#NUM!</v>
      </c>
      <c r="J12" s="44"/>
    </row>
    <row r="13" spans="1:10" x14ac:dyDescent="0.2">
      <c r="A13" s="10"/>
      <c r="B13" s="122" t="s">
        <v>16</v>
      </c>
      <c r="C13" s="123" t="e">
        <f>'6M'!AB28</f>
        <v>#VALUE!</v>
      </c>
      <c r="D13" s="8"/>
      <c r="E13" s="142" t="e">
        <v>#VALUE!</v>
      </c>
      <c r="F13" s="8"/>
      <c r="G13" s="135" t="str">
        <f t="shared" si="0"/>
        <v>USD3MD_SYNTH6M_Quote</v>
      </c>
      <c r="H13" s="17" t="e">
        <v>#VALUE!</v>
      </c>
      <c r="I13" s="123" t="e">
        <f>_xll.qlSimpleQuoteSetValue($G13,$H13,EvaluationDate)</f>
        <v>#NUM!</v>
      </c>
      <c r="J13" s="44"/>
    </row>
    <row r="14" spans="1:10" x14ac:dyDescent="0.2">
      <c r="A14" s="10"/>
      <c r="B14" s="122" t="s">
        <v>17</v>
      </c>
      <c r="C14" s="123" t="e">
        <f>'6M'!AB29</f>
        <v>#VALUE!</v>
      </c>
      <c r="D14" s="8"/>
      <c r="E14" s="142" t="e">
        <v>#VALUE!</v>
      </c>
      <c r="F14" s="8"/>
      <c r="G14" s="135" t="str">
        <f t="shared" si="0"/>
        <v>USD4MD_SYNTH6M_Quote</v>
      </c>
      <c r="H14" s="17" t="e">
        <v>#VALUE!</v>
      </c>
      <c r="I14" s="123" t="e">
        <f>_xll.qlSimpleQuoteSetValue($G14,$H14,EvaluationDate)</f>
        <v>#NUM!</v>
      </c>
      <c r="J14" s="44"/>
    </row>
    <row r="15" spans="1:10" x14ac:dyDescent="0.2">
      <c r="A15" s="10"/>
      <c r="B15" s="122" t="s">
        <v>18</v>
      </c>
      <c r="C15" s="123" t="e">
        <f>'6M'!AB30</f>
        <v>#VALUE!</v>
      </c>
      <c r="D15" s="8"/>
      <c r="E15" s="142" t="e">
        <v>#VALUE!</v>
      </c>
      <c r="F15" s="8"/>
      <c r="G15" s="135" t="str">
        <f t="shared" si="0"/>
        <v>USD5MD_SYNTH6M_Quote</v>
      </c>
      <c r="H15" s="17" t="e">
        <v>#VALUE!</v>
      </c>
      <c r="I15" s="123" t="e">
        <f>_xll.qlSimpleQuoteSetValue($G15,$H15,EvaluationDate)</f>
        <v>#NUM!</v>
      </c>
      <c r="J15" s="44"/>
    </row>
    <row r="16" spans="1:10" x14ac:dyDescent="0.2">
      <c r="A16" s="10"/>
      <c r="B16" s="124" t="s">
        <v>69</v>
      </c>
      <c r="C16" s="125" t="e">
        <f>'6M'!AB31</f>
        <v>#VALUE!</v>
      </c>
      <c r="D16" s="8"/>
      <c r="E16" s="143" t="e">
        <v>#VALUE!</v>
      </c>
      <c r="F16" s="8"/>
      <c r="G16" s="136" t="str">
        <f t="shared" si="0"/>
        <v>USD6MD_SYNTH6M_Quote</v>
      </c>
      <c r="H16" s="78" t="e">
        <v>#VALUE!</v>
      </c>
      <c r="I16" s="125" t="e">
        <f>_xll.qlSimpleQuoteSetValue($G16,$H16,EvaluationDate)</f>
        <v>#NUM!</v>
      </c>
      <c r="J16" s="44"/>
    </row>
    <row r="17" spans="1:10" ht="12" thickBot="1" x14ac:dyDescent="0.25">
      <c r="A17" s="13"/>
      <c r="B17" s="14"/>
      <c r="C17" s="14"/>
      <c r="D17" s="14"/>
      <c r="E17" s="14"/>
      <c r="F17" s="14"/>
      <c r="G17" s="14"/>
      <c r="H17" s="14"/>
      <c r="I17" s="14"/>
      <c r="J17" s="52"/>
    </row>
  </sheetData>
  <phoneticPr fontId="12" type="noConversion"/>
  <conditionalFormatting sqref="I5:I16">
    <cfRule type="cellIs" dxfId="7" priority="1" stopIfTrue="1" operator="greaterThan">
      <formula>0</formula>
    </cfRule>
    <cfRule type="cellIs" dxfId="6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X31"/>
  <sheetViews>
    <sheetView workbookViewId="0">
      <selection activeCell="P3" sqref="P3"/>
    </sheetView>
  </sheetViews>
  <sheetFormatPr defaultRowHeight="11.25" x14ac:dyDescent="0.2"/>
  <cols>
    <col min="1" max="1" width="5" customWidth="1"/>
    <col min="2" max="2" width="7.1640625" bestFit="1" customWidth="1"/>
    <col min="3" max="4" width="16.33203125" bestFit="1" customWidth="1"/>
    <col min="5" max="5" width="10.5" bestFit="1" customWidth="1"/>
    <col min="6" max="7" width="6.6640625" bestFit="1" customWidth="1"/>
    <col min="9" max="9" width="8.33203125" bestFit="1" customWidth="1"/>
    <col min="10" max="10" width="9" bestFit="1" customWidth="1"/>
    <col min="11" max="11" width="5" customWidth="1"/>
    <col min="12" max="12" width="8.33203125" bestFit="1" customWidth="1"/>
    <col min="13" max="13" width="5" customWidth="1"/>
    <col min="14" max="14" width="25.1640625" bestFit="1" customWidth="1"/>
    <col min="15" max="15" width="16.33203125" bestFit="1" customWidth="1"/>
    <col min="16" max="16" width="9" bestFit="1" customWidth="1"/>
    <col min="17" max="17" width="5" customWidth="1"/>
    <col min="18" max="18" width="6.6640625" bestFit="1" customWidth="1"/>
    <col min="19" max="19" width="12.1640625" bestFit="1" customWidth="1"/>
    <col min="20" max="20" width="12.5" bestFit="1" customWidth="1"/>
    <col min="21" max="21" width="9" bestFit="1" customWidth="1"/>
    <col min="23" max="23" width="15.5" bestFit="1" customWidth="1"/>
    <col min="25" max="25" width="26.33203125" bestFit="1" customWidth="1"/>
  </cols>
  <sheetData>
    <row r="1" spans="1:24" x14ac:dyDescent="0.2">
      <c r="A1" s="2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4"/>
      <c r="V1" s="3"/>
      <c r="W1" s="3"/>
      <c r="X1" s="3"/>
    </row>
    <row r="2" spans="1:24" x14ac:dyDescent="0.2">
      <c r="A2" s="5"/>
      <c r="B2" s="19"/>
      <c r="C2" s="8"/>
      <c r="D2" s="43"/>
      <c r="E2" s="8"/>
      <c r="F2" s="8"/>
      <c r="G2" s="8"/>
      <c r="H2" s="8"/>
      <c r="I2" s="8"/>
      <c r="J2" s="8"/>
      <c r="K2" s="8"/>
      <c r="L2" s="8"/>
      <c r="M2" s="8"/>
      <c r="N2" s="144" t="s">
        <v>7</v>
      </c>
      <c r="O2" s="145" t="s">
        <v>58</v>
      </c>
      <c r="P2" s="7"/>
      <c r="Q2" s="9"/>
      <c r="V2" s="8"/>
      <c r="W2" s="8"/>
      <c r="X2" s="8"/>
    </row>
    <row r="3" spans="1:24" x14ac:dyDescent="0.2">
      <c r="A3" s="10"/>
      <c r="B3" s="7">
        <v>6</v>
      </c>
      <c r="C3" s="7" t="s">
        <v>72</v>
      </c>
      <c r="D3" s="8"/>
      <c r="E3" s="8"/>
      <c r="F3" s="8"/>
      <c r="G3" s="8"/>
      <c r="H3" s="8"/>
      <c r="I3" s="8"/>
      <c r="J3" s="8"/>
      <c r="K3" s="8"/>
      <c r="L3" s="8"/>
      <c r="M3" s="8"/>
      <c r="N3" s="7"/>
      <c r="O3" s="7"/>
      <c r="P3" s="20">
        <f>_xll.ohTrigger(P5:P17)</f>
        <v>25</v>
      </c>
      <c r="Q3" s="12"/>
      <c r="V3" s="8"/>
      <c r="W3" s="8"/>
      <c r="X3" s="8"/>
    </row>
    <row r="4" spans="1:24" x14ac:dyDescent="0.2">
      <c r="A4" s="10"/>
      <c r="B4" s="152"/>
      <c r="C4" s="90" t="s">
        <v>23</v>
      </c>
      <c r="D4" s="90" t="s">
        <v>22</v>
      </c>
      <c r="E4" s="77" t="s">
        <v>57</v>
      </c>
      <c r="F4" s="77" t="s">
        <v>40</v>
      </c>
      <c r="G4" s="77" t="s">
        <v>46</v>
      </c>
      <c r="H4" s="77" t="s">
        <v>62</v>
      </c>
      <c r="I4" s="187" t="s">
        <v>52</v>
      </c>
      <c r="J4" s="151" t="s">
        <v>32</v>
      </c>
      <c r="K4" s="8"/>
      <c r="L4" s="126" t="s">
        <v>51</v>
      </c>
      <c r="M4" s="8"/>
      <c r="N4" s="118" t="s">
        <v>9</v>
      </c>
      <c r="O4" s="130" t="s">
        <v>10</v>
      </c>
      <c r="P4" s="150" t="s">
        <v>11</v>
      </c>
      <c r="Q4" s="12"/>
    </row>
    <row r="5" spans="1:24" x14ac:dyDescent="0.2">
      <c r="A5" s="10">
        <v>2</v>
      </c>
      <c r="B5" s="111" t="str">
        <f>A5&amp;"x"&amp;(A5+$B$3)&amp;"F"</f>
        <v>2x8F</v>
      </c>
      <c r="C5" s="80" t="e">
        <f>_xll.qlCalendarAdvance(Calendar,SettlementDate,A5&amp;"M","MF",TRUE)</f>
        <v>#NUM!</v>
      </c>
      <c r="D5" s="80" t="e">
        <f>_xll.qlCalendarAdvance(Calendar,C5,"6M","MF",TRUE)</f>
        <v>#NUM!</v>
      </c>
      <c r="E5" s="146" t="e">
        <f>_xll.qlInterpolationInterpolate('6M'!ExtFwdInterpolator,C5)</f>
        <v>#VALUE!</v>
      </c>
      <c r="F5" s="25" t="e">
        <f t="shared" ref="F5:F17" si="0">NOT(OR($C5&gt;LastDayInYear,$D5&lt;=LastDayInYear))</f>
        <v>#NUM!</v>
      </c>
      <c r="G5" s="25" t="e">
        <f t="shared" ref="G5:G17" si="1">NOT(OR($C5&gt;LastDayInNextYear,$D5&lt;=LastDayInNextYear))</f>
        <v>#NUM!</v>
      </c>
      <c r="H5" s="87" t="e">
        <f>_xll.qlDayCounterYearFraction(DayCounter,$C5,$D5)</f>
        <v>#NUM!</v>
      </c>
      <c r="I5" s="113" t="e">
        <f>((1+E5*H5)/IF(F5,'6M'!TOY,IF(G5,'6M'!_TOY2,1))-1)/H5</f>
        <v>#VALUE!</v>
      </c>
      <c r="J5" s="148" t="e">
        <f t="shared" ref="J5:J17" si="2">E5-I5</f>
        <v>#VALUE!</v>
      </c>
      <c r="K5" s="8"/>
      <c r="L5" s="142" t="e">
        <v>#VALUE!</v>
      </c>
      <c r="M5" s="8"/>
      <c r="N5" s="91" t="str">
        <f t="shared" ref="N5:N17" si="3">Currency&amp;$B5&amp;$O$2</f>
        <v>USD2x8F_SYNTH6M_Quote</v>
      </c>
      <c r="O5" s="117" t="e">
        <f t="array" ref="O5:O17">QuoteLive</f>
        <v>#VALUE!</v>
      </c>
      <c r="P5" s="123" t="e">
        <f>_xll.qlSimpleQuoteSetValue(N5,O5,EvaluationDate)</f>
        <v>#NUM!</v>
      </c>
      <c r="Q5" s="12"/>
    </row>
    <row r="6" spans="1:24" x14ac:dyDescent="0.2">
      <c r="A6" s="10">
        <v>4</v>
      </c>
      <c r="B6" s="111" t="str">
        <f t="shared" ref="B6:B17" si="4">A6&amp;"x"&amp;(A6+$B$3)&amp;"F"</f>
        <v>4x10F</v>
      </c>
      <c r="C6" s="80" t="e">
        <f>_xll.qlCalendarAdvance(Calendar,SettlementDate,A6&amp;"M","MF",TRUE)</f>
        <v>#NUM!</v>
      </c>
      <c r="D6" s="80" t="e">
        <f>_xll.qlCalendarAdvance(Calendar,C6,"6M","MF",TRUE)</f>
        <v>#NUM!</v>
      </c>
      <c r="E6" s="146" t="e">
        <f>_xll.qlInterpolationInterpolate('6M'!ExtFwdInterpolator,C6)</f>
        <v>#VALUE!</v>
      </c>
      <c r="F6" s="25" t="e">
        <f t="shared" si="0"/>
        <v>#NUM!</v>
      </c>
      <c r="G6" s="25" t="e">
        <f t="shared" si="1"/>
        <v>#NUM!</v>
      </c>
      <c r="H6" s="87" t="e">
        <f>_xll.qlDayCounterYearFraction(DayCounter,$C6,$D6)</f>
        <v>#NUM!</v>
      </c>
      <c r="I6" s="113" t="e">
        <f>((1+E6*H6)/IF(F6,'6M'!TOY,IF(G6,'6M'!_TOY2,1))-1)/H6</f>
        <v>#VALUE!</v>
      </c>
      <c r="J6" s="148" t="e">
        <f>E6-I6</f>
        <v>#VALUE!</v>
      </c>
      <c r="K6" s="8"/>
      <c r="L6" s="142" t="e">
        <v>#VALUE!</v>
      </c>
      <c r="M6" s="8"/>
      <c r="N6" s="91" t="str">
        <f t="shared" si="3"/>
        <v>USD4x10F_SYNTH6M_Quote</v>
      </c>
      <c r="O6" s="117" t="e">
        <v>#VALUE!</v>
      </c>
      <c r="P6" s="123" t="e">
        <f>_xll.qlSimpleQuoteSetValue(N6,O6,EvaluationDate)</f>
        <v>#NUM!</v>
      </c>
      <c r="Q6" s="12"/>
    </row>
    <row r="7" spans="1:24" x14ac:dyDescent="0.2">
      <c r="A7" s="10">
        <v>5</v>
      </c>
      <c r="B7" s="111" t="str">
        <f t="shared" si="4"/>
        <v>5x11F</v>
      </c>
      <c r="C7" s="80" t="e">
        <f>_xll.qlCalendarAdvance(Calendar,SettlementDate,A7&amp;"M","MF",TRUE)</f>
        <v>#NUM!</v>
      </c>
      <c r="D7" s="80" t="e">
        <f>_xll.qlCalendarAdvance(Calendar,C7,"6M","MF",TRUE)</f>
        <v>#NUM!</v>
      </c>
      <c r="E7" s="146" t="e">
        <f>_xll.qlInterpolationInterpolate('6M'!ExtFwdInterpolator,C7)</f>
        <v>#VALUE!</v>
      </c>
      <c r="F7" s="25" t="e">
        <f>NOT(OR($C7&gt;LastDayInYear,$D7&lt;=LastDayInYear))</f>
        <v>#NUM!</v>
      </c>
      <c r="G7" s="25" t="e">
        <f>NOT(OR($C7&gt;LastDayInNextYear,$D7&lt;=LastDayInNextYear))</f>
        <v>#NUM!</v>
      </c>
      <c r="H7" s="87" t="e">
        <f>_xll.qlDayCounterYearFraction(DayCounter,$C7,$D7)</f>
        <v>#NUM!</v>
      </c>
      <c r="I7" s="113" t="e">
        <f>((1+E7*H7)/IF(F7,'6M'!TOY,IF(G7,'6M'!_TOY2,1))-1)/H7</f>
        <v>#VALUE!</v>
      </c>
      <c r="J7" s="148" t="e">
        <f>E7-I7</f>
        <v>#VALUE!</v>
      </c>
      <c r="K7" s="8"/>
      <c r="L7" s="142" t="e">
        <v>#VALUE!</v>
      </c>
      <c r="M7" s="8"/>
      <c r="N7" s="91" t="str">
        <f>Currency&amp;$B7&amp;$O$2</f>
        <v>USD5x11F_SYNTH6M_Quote</v>
      </c>
      <c r="O7" s="117" t="e">
        <v>#VALUE!</v>
      </c>
      <c r="P7" s="123" t="e">
        <f>_xll.qlSimpleQuoteSetValue(N7,O7,EvaluationDate)</f>
        <v>#NUM!</v>
      </c>
      <c r="Q7" s="12"/>
    </row>
    <row r="8" spans="1:24" x14ac:dyDescent="0.2">
      <c r="A8" s="10">
        <v>7</v>
      </c>
      <c r="B8" s="111" t="str">
        <f t="shared" si="4"/>
        <v>7x13F</v>
      </c>
      <c r="C8" s="80" t="e">
        <f>_xll.qlCalendarAdvance(Calendar,SettlementDate,A8&amp;"M","MF",TRUE)</f>
        <v>#NUM!</v>
      </c>
      <c r="D8" s="80" t="e">
        <f>_xll.qlCalendarAdvance(Calendar,C8,"6M","MF",TRUE)</f>
        <v>#NUM!</v>
      </c>
      <c r="E8" s="146" t="e">
        <f>_xll.qlInterpolationInterpolate('6M'!ExtFwdInterpolator,C8)</f>
        <v>#VALUE!</v>
      </c>
      <c r="F8" s="25" t="e">
        <f>NOT(OR($C8&gt;LastDayInYear,$D8&lt;=LastDayInYear))</f>
        <v>#NUM!</v>
      </c>
      <c r="G8" s="25" t="e">
        <f>NOT(OR($C8&gt;LastDayInNextYear,$D8&lt;=LastDayInNextYear))</f>
        <v>#NUM!</v>
      </c>
      <c r="H8" s="87" t="e">
        <f>_xll.qlDayCounterYearFraction(DayCounter,$C8,$D8)</f>
        <v>#NUM!</v>
      </c>
      <c r="I8" s="113" t="e">
        <f>((1+E8*H8)/IF(F8,'6M'!TOY,IF(G8,'6M'!_TOY2,1))-1)/H8</f>
        <v>#VALUE!</v>
      </c>
      <c r="J8" s="148" t="e">
        <f>E8-I8</f>
        <v>#VALUE!</v>
      </c>
      <c r="K8" s="8"/>
      <c r="L8" s="142" t="e">
        <v>#VALUE!</v>
      </c>
      <c r="M8" s="8"/>
      <c r="N8" s="91" t="str">
        <f>Currency&amp;$B8&amp;$O$2</f>
        <v>USD7x13F_SYNTH6M_Quote</v>
      </c>
      <c r="O8" s="117" t="e">
        <v>#VALUE!</v>
      </c>
      <c r="P8" s="123" t="e">
        <f>_xll.qlSimpleQuoteSetValue(N8,O8,EvaluationDate)</f>
        <v>#NUM!</v>
      </c>
      <c r="Q8" s="12"/>
    </row>
    <row r="9" spans="1:24" x14ac:dyDescent="0.2">
      <c r="A9" s="10">
        <v>8</v>
      </c>
      <c r="B9" s="111" t="str">
        <f t="shared" si="4"/>
        <v>8x14F</v>
      </c>
      <c r="C9" s="80" t="e">
        <f>_xll.qlCalendarAdvance(Calendar,SettlementDate,A9&amp;"M","MF",TRUE)</f>
        <v>#NUM!</v>
      </c>
      <c r="D9" s="80" t="e">
        <f>_xll.qlCalendarAdvance(Calendar,C9,"6M","MF",TRUE)</f>
        <v>#NUM!</v>
      </c>
      <c r="E9" s="146" t="e">
        <f>_xll.qlInterpolationInterpolate('6M'!ExtFwdInterpolator,C9)</f>
        <v>#VALUE!</v>
      </c>
      <c r="F9" s="25" t="e">
        <f t="shared" si="0"/>
        <v>#NUM!</v>
      </c>
      <c r="G9" s="25" t="e">
        <f t="shared" si="1"/>
        <v>#NUM!</v>
      </c>
      <c r="H9" s="87" t="e">
        <f>_xll.qlDayCounterYearFraction(DayCounter,$C9,$D9)</f>
        <v>#NUM!</v>
      </c>
      <c r="I9" s="113" t="e">
        <f>((1+E9*H9)/IF(F9,'6M'!TOY,IF(G9,'6M'!_TOY2,1))-1)/H9</f>
        <v>#VALUE!</v>
      </c>
      <c r="J9" s="148" t="e">
        <f t="shared" si="2"/>
        <v>#VALUE!</v>
      </c>
      <c r="K9" s="8"/>
      <c r="L9" s="142" t="e">
        <v>#VALUE!</v>
      </c>
      <c r="M9" s="8"/>
      <c r="N9" s="91" t="str">
        <f t="shared" si="3"/>
        <v>USD8x14F_SYNTH6M_Quote</v>
      </c>
      <c r="O9" s="117" t="e">
        <v>#VALUE!</v>
      </c>
      <c r="P9" s="123" t="e">
        <f>_xll.qlSimpleQuoteSetValue(N9,O9,EvaluationDate)</f>
        <v>#NUM!</v>
      </c>
      <c r="Q9" s="12"/>
    </row>
    <row r="10" spans="1:24" x14ac:dyDescent="0.2">
      <c r="A10" s="10">
        <v>9</v>
      </c>
      <c r="B10" s="111" t="str">
        <f t="shared" si="4"/>
        <v>9x15F</v>
      </c>
      <c r="C10" s="80" t="e">
        <f>_xll.qlCalendarAdvance(Calendar,SettlementDate,A10&amp;"M","MF",TRUE)</f>
        <v>#NUM!</v>
      </c>
      <c r="D10" s="80" t="e">
        <f>_xll.qlCalendarAdvance(Calendar,C10,"6M","MF",TRUE)</f>
        <v>#NUM!</v>
      </c>
      <c r="E10" s="146" t="e">
        <f>_xll.qlInterpolationInterpolate('6M'!ExtFwdInterpolator,C10)</f>
        <v>#VALUE!</v>
      </c>
      <c r="F10" s="25" t="e">
        <f t="shared" si="0"/>
        <v>#NUM!</v>
      </c>
      <c r="G10" s="25" t="e">
        <f t="shared" si="1"/>
        <v>#NUM!</v>
      </c>
      <c r="H10" s="87" t="e">
        <f>_xll.qlDayCounterYearFraction(DayCounter,$C10,$D10)</f>
        <v>#NUM!</v>
      </c>
      <c r="I10" s="113" t="e">
        <f>((1+E10*H10)/IF(F10,'6M'!TOY,IF(G10,'6M'!_TOY2,1))-1)/H10</f>
        <v>#VALUE!</v>
      </c>
      <c r="J10" s="148" t="e">
        <f t="shared" si="2"/>
        <v>#VALUE!</v>
      </c>
      <c r="K10" s="8"/>
      <c r="L10" s="142" t="e">
        <v>#VALUE!</v>
      </c>
      <c r="M10" s="8"/>
      <c r="N10" s="91" t="str">
        <f t="shared" si="3"/>
        <v>USD9x15F_SYNTH6M_Quote</v>
      </c>
      <c r="O10" s="117" t="e">
        <v>#VALUE!</v>
      </c>
      <c r="P10" s="123" t="e">
        <f>_xll.qlSimpleQuoteSetValue(N10,O10,EvaluationDate)</f>
        <v>#NUM!</v>
      </c>
      <c r="Q10" s="12"/>
    </row>
    <row r="11" spans="1:24" x14ac:dyDescent="0.2">
      <c r="A11" s="10">
        <v>10</v>
      </c>
      <c r="B11" s="111" t="str">
        <f t="shared" si="4"/>
        <v>10x16F</v>
      </c>
      <c r="C11" s="80" t="e">
        <f>_xll.qlCalendarAdvance(Calendar,SettlementDate,A11&amp;"M","MF",TRUE)</f>
        <v>#NUM!</v>
      </c>
      <c r="D11" s="80" t="e">
        <f>_xll.qlCalendarAdvance(Calendar,C11,"6M","MF",TRUE)</f>
        <v>#NUM!</v>
      </c>
      <c r="E11" s="146" t="e">
        <f>_xll.qlInterpolationInterpolate('6M'!ExtFwdInterpolator,C11)</f>
        <v>#VALUE!</v>
      </c>
      <c r="F11" s="25" t="e">
        <f t="shared" si="0"/>
        <v>#NUM!</v>
      </c>
      <c r="G11" s="25" t="e">
        <f t="shared" si="1"/>
        <v>#NUM!</v>
      </c>
      <c r="H11" s="87" t="e">
        <f>_xll.qlDayCounterYearFraction(DayCounter,$C11,$D11)</f>
        <v>#NUM!</v>
      </c>
      <c r="I11" s="113" t="e">
        <f>((1+E11*H11)/IF(F11,'6M'!TOY,IF(G11,'6M'!_TOY2,1))-1)/H11</f>
        <v>#VALUE!</v>
      </c>
      <c r="J11" s="148" t="e">
        <f t="shared" si="2"/>
        <v>#VALUE!</v>
      </c>
      <c r="K11" s="8"/>
      <c r="L11" s="142" t="e">
        <v>#VALUE!</v>
      </c>
      <c r="M11" s="8"/>
      <c r="N11" s="91" t="str">
        <f t="shared" si="3"/>
        <v>USD10x16F_SYNTH6M_Quote</v>
      </c>
      <c r="O11" s="117" t="e">
        <v>#VALUE!</v>
      </c>
      <c r="P11" s="123" t="e">
        <f>_xll.qlSimpleQuoteSetValue(N11,O11,EvaluationDate)</f>
        <v>#NUM!</v>
      </c>
      <c r="Q11" s="12"/>
    </row>
    <row r="12" spans="1:24" x14ac:dyDescent="0.2">
      <c r="A12" s="10">
        <v>11</v>
      </c>
      <c r="B12" s="111" t="str">
        <f t="shared" si="4"/>
        <v>11x17F</v>
      </c>
      <c r="C12" s="80" t="e">
        <f>_xll.qlCalendarAdvance(Calendar,SettlementDate,A12&amp;"M","MF",TRUE)</f>
        <v>#NUM!</v>
      </c>
      <c r="D12" s="80" t="e">
        <f>_xll.qlCalendarAdvance(Calendar,C12,"6M","MF",TRUE)</f>
        <v>#NUM!</v>
      </c>
      <c r="E12" s="146" t="e">
        <f>_xll.qlInterpolationInterpolate('6M'!ExtFwdInterpolator,C12)</f>
        <v>#VALUE!</v>
      </c>
      <c r="F12" s="25" t="e">
        <f t="shared" si="0"/>
        <v>#NUM!</v>
      </c>
      <c r="G12" s="25" t="e">
        <f t="shared" si="1"/>
        <v>#NUM!</v>
      </c>
      <c r="H12" s="87" t="e">
        <f>_xll.qlDayCounterYearFraction(DayCounter,$C12,$D12)</f>
        <v>#NUM!</v>
      </c>
      <c r="I12" s="113" t="e">
        <f>((1+E12*H12)/IF(F12,'6M'!TOY,IF(G12,'6M'!_TOY2,1))-1)/H12</f>
        <v>#VALUE!</v>
      </c>
      <c r="J12" s="148" t="e">
        <f t="shared" si="2"/>
        <v>#VALUE!</v>
      </c>
      <c r="K12" s="8"/>
      <c r="L12" s="142" t="e">
        <v>#VALUE!</v>
      </c>
      <c r="M12" s="8"/>
      <c r="N12" s="91" t="str">
        <f t="shared" si="3"/>
        <v>USD11x17F_SYNTH6M_Quote</v>
      </c>
      <c r="O12" s="117" t="e">
        <v>#VALUE!</v>
      </c>
      <c r="P12" s="123" t="e">
        <f>_xll.qlSimpleQuoteSetValue(N12,O12,EvaluationDate)</f>
        <v>#NUM!</v>
      </c>
      <c r="Q12" s="12"/>
    </row>
    <row r="13" spans="1:24" s="18" customFormat="1" x14ac:dyDescent="0.2">
      <c r="A13" s="10">
        <v>13</v>
      </c>
      <c r="B13" s="111" t="str">
        <f t="shared" si="4"/>
        <v>13x19F</v>
      </c>
      <c r="C13" s="80" t="e">
        <f>_xll.qlCalendarAdvance(Calendar,SettlementDate,A13&amp;"M","MF",TRUE)</f>
        <v>#NUM!</v>
      </c>
      <c r="D13" s="80" t="e">
        <f>_xll.qlCalendarAdvance(Calendar,C13,"6M","MF",TRUE)</f>
        <v>#NUM!</v>
      </c>
      <c r="E13" s="146" t="e">
        <f>_xll.qlInterpolationInterpolate('6M'!ExtFwdInterpolator,C13)</f>
        <v>#VALUE!</v>
      </c>
      <c r="F13" s="25" t="e">
        <f t="shared" si="0"/>
        <v>#NUM!</v>
      </c>
      <c r="G13" s="25" t="e">
        <f t="shared" si="1"/>
        <v>#NUM!</v>
      </c>
      <c r="H13" s="87" t="e">
        <f>_xll.qlDayCounterYearFraction(DayCounter,$C13,$D13)</f>
        <v>#NUM!</v>
      </c>
      <c r="I13" s="113" t="e">
        <f>((1+E13*H13)/IF(F13,'6M'!TOY,IF(G13,'6M'!_TOY2,1))-1)/H13</f>
        <v>#VALUE!</v>
      </c>
      <c r="J13" s="148" t="e">
        <f t="shared" si="2"/>
        <v>#VALUE!</v>
      </c>
      <c r="K13" s="8"/>
      <c r="L13" s="142" t="e">
        <v>#VALUE!</v>
      </c>
      <c r="M13" s="8"/>
      <c r="N13" s="91" t="str">
        <f t="shared" si="3"/>
        <v>USD13x19F_SYNTH6M_Quote</v>
      </c>
      <c r="O13" s="112" t="e">
        <v>#VALUE!</v>
      </c>
      <c r="P13" s="123" t="e">
        <f>_xll.qlSimpleQuoteSetValue(N13,O13,EvaluationDate)</f>
        <v>#NUM!</v>
      </c>
      <c r="Q13" s="12"/>
    </row>
    <row r="14" spans="1:24" s="18" customFormat="1" x14ac:dyDescent="0.2">
      <c r="A14" s="10">
        <v>14</v>
      </c>
      <c r="B14" s="111" t="str">
        <f t="shared" si="4"/>
        <v>14x20F</v>
      </c>
      <c r="C14" s="80" t="e">
        <f>_xll.qlCalendarAdvance(Calendar,SettlementDate,A14&amp;"M","MF",TRUE)</f>
        <v>#NUM!</v>
      </c>
      <c r="D14" s="80" t="e">
        <f>_xll.qlCalendarAdvance(Calendar,C14,"6M","MF",TRUE)</f>
        <v>#NUM!</v>
      </c>
      <c r="E14" s="146" t="e">
        <f>_xll.qlInterpolationInterpolate('6M'!ExtFwdInterpolator,C14)</f>
        <v>#VALUE!</v>
      </c>
      <c r="F14" s="25" t="e">
        <f t="shared" si="0"/>
        <v>#NUM!</v>
      </c>
      <c r="G14" s="25" t="e">
        <f t="shared" si="1"/>
        <v>#NUM!</v>
      </c>
      <c r="H14" s="87" t="e">
        <f>_xll.qlDayCounterYearFraction(DayCounter,$C14,$D14)</f>
        <v>#NUM!</v>
      </c>
      <c r="I14" s="113" t="e">
        <f>((1+E14*H14)/IF(F14,'6M'!TOY,IF(G14,'6M'!_TOY2,1))-1)/H14</f>
        <v>#VALUE!</v>
      </c>
      <c r="J14" s="148" t="e">
        <f t="shared" si="2"/>
        <v>#VALUE!</v>
      </c>
      <c r="K14" s="8"/>
      <c r="L14" s="142" t="e">
        <v>#VALUE!</v>
      </c>
      <c r="M14" s="8"/>
      <c r="N14" s="91" t="str">
        <f t="shared" si="3"/>
        <v>USD14x20F_SYNTH6M_Quote</v>
      </c>
      <c r="O14" s="112" t="e">
        <v>#VALUE!</v>
      </c>
      <c r="P14" s="123" t="e">
        <f>_xll.qlSimpleQuoteSetValue(N14,O14,EvaluationDate)</f>
        <v>#NUM!</v>
      </c>
      <c r="Q14" s="12"/>
    </row>
    <row r="15" spans="1:24" s="18" customFormat="1" x14ac:dyDescent="0.2">
      <c r="A15" s="10">
        <v>15</v>
      </c>
      <c r="B15" s="111" t="str">
        <f t="shared" si="4"/>
        <v>15x21F</v>
      </c>
      <c r="C15" s="80" t="e">
        <f>_xll.qlCalendarAdvance(Calendar,SettlementDate,A15&amp;"M","MF",TRUE)</f>
        <v>#NUM!</v>
      </c>
      <c r="D15" s="80" t="e">
        <f>_xll.qlCalendarAdvance(Calendar,C15,"6M","MF",TRUE)</f>
        <v>#NUM!</v>
      </c>
      <c r="E15" s="146" t="e">
        <f>_xll.qlInterpolationInterpolate('6M'!ExtFwdInterpolator,C15)</f>
        <v>#VALUE!</v>
      </c>
      <c r="F15" s="25" t="e">
        <f t="shared" si="0"/>
        <v>#NUM!</v>
      </c>
      <c r="G15" s="25" t="e">
        <f t="shared" si="1"/>
        <v>#NUM!</v>
      </c>
      <c r="H15" s="87" t="e">
        <f>_xll.qlDayCounterYearFraction(DayCounter,$C15,$D15)</f>
        <v>#NUM!</v>
      </c>
      <c r="I15" s="113" t="e">
        <f>((1+E15*H15)/IF(F15,'6M'!TOY,IF(G15,'6M'!_TOY2,1))-1)/H15</f>
        <v>#VALUE!</v>
      </c>
      <c r="J15" s="148" t="e">
        <f t="shared" si="2"/>
        <v>#VALUE!</v>
      </c>
      <c r="K15" s="8"/>
      <c r="L15" s="142" t="e">
        <v>#VALUE!</v>
      </c>
      <c r="M15" s="8"/>
      <c r="N15" s="91" t="str">
        <f t="shared" si="3"/>
        <v>USD15x21F_SYNTH6M_Quote</v>
      </c>
      <c r="O15" s="112" t="e">
        <v>#VALUE!</v>
      </c>
      <c r="P15" s="123" t="e">
        <f>_xll.qlSimpleQuoteSetValue(N15,O15,EvaluationDate)</f>
        <v>#NUM!</v>
      </c>
      <c r="Q15" s="12"/>
    </row>
    <row r="16" spans="1:24" s="18" customFormat="1" x14ac:dyDescent="0.2">
      <c r="A16" s="10">
        <v>16</v>
      </c>
      <c r="B16" s="111" t="str">
        <f t="shared" si="4"/>
        <v>16x22F</v>
      </c>
      <c r="C16" s="80" t="e">
        <f>_xll.qlCalendarAdvance(Calendar,SettlementDate,A16&amp;"M","MF",TRUE)</f>
        <v>#NUM!</v>
      </c>
      <c r="D16" s="80" t="e">
        <f>_xll.qlCalendarAdvance(Calendar,C16,"6M","MF",TRUE)</f>
        <v>#NUM!</v>
      </c>
      <c r="E16" s="146" t="e">
        <f>_xll.qlInterpolationInterpolate('6M'!ExtFwdInterpolator,C16)</f>
        <v>#VALUE!</v>
      </c>
      <c r="F16" s="25" t="e">
        <f t="shared" si="0"/>
        <v>#NUM!</v>
      </c>
      <c r="G16" s="25" t="e">
        <f t="shared" si="1"/>
        <v>#NUM!</v>
      </c>
      <c r="H16" s="87" t="e">
        <f>_xll.qlDayCounterYearFraction(DayCounter,$C16,$D16)</f>
        <v>#NUM!</v>
      </c>
      <c r="I16" s="113" t="e">
        <f>((1+E16*H16)/IF(F16,'6M'!TOY,IF(G16,'6M'!_TOY2,1))-1)/H16</f>
        <v>#VALUE!</v>
      </c>
      <c r="J16" s="148" t="e">
        <f t="shared" si="2"/>
        <v>#VALUE!</v>
      </c>
      <c r="K16" s="8"/>
      <c r="L16" s="142" t="e">
        <v>#VALUE!</v>
      </c>
      <c r="M16" s="8"/>
      <c r="N16" s="91" t="str">
        <f t="shared" si="3"/>
        <v>USD16x22F_SYNTH6M_Quote</v>
      </c>
      <c r="O16" s="112" t="e">
        <v>#VALUE!</v>
      </c>
      <c r="P16" s="123" t="e">
        <f>_xll.qlSimpleQuoteSetValue(N16,O16,EvaluationDate)</f>
        <v>#NUM!</v>
      </c>
      <c r="Q16" s="12"/>
    </row>
    <row r="17" spans="1:21" s="18" customFormat="1" x14ac:dyDescent="0.2">
      <c r="A17" s="10">
        <v>17</v>
      </c>
      <c r="B17" s="114" t="str">
        <f t="shared" si="4"/>
        <v>17x23F</v>
      </c>
      <c r="C17" s="115" t="e">
        <f>_xll.qlCalendarAdvance(Calendar,SettlementDate,A17&amp;"M","MF",TRUE)</f>
        <v>#NUM!</v>
      </c>
      <c r="D17" s="115" t="e">
        <f>_xll.qlCalendarAdvance(Calendar,C17,"6M","MF",TRUE)</f>
        <v>#NUM!</v>
      </c>
      <c r="E17" s="147" t="e">
        <f>_xll.qlInterpolationInterpolate('6M'!ExtFwdInterpolator,C17)</f>
        <v>#VALUE!</v>
      </c>
      <c r="F17" s="39" t="e">
        <f t="shared" si="0"/>
        <v>#NUM!</v>
      </c>
      <c r="G17" s="39" t="e">
        <f t="shared" si="1"/>
        <v>#NUM!</v>
      </c>
      <c r="H17" s="88" t="e">
        <f>_xll.qlDayCounterYearFraction(DayCounter,$C17,$D17)</f>
        <v>#NUM!</v>
      </c>
      <c r="I17" s="116" t="e">
        <f>((1+E17*H17)/IF(F17,'6M'!TOY,IF(G17,'6M'!_TOY2,1))-1)/H17</f>
        <v>#VALUE!</v>
      </c>
      <c r="J17" s="149" t="e">
        <f t="shared" si="2"/>
        <v>#VALUE!</v>
      </c>
      <c r="K17" s="8"/>
      <c r="L17" s="143" t="e">
        <v>#VALUE!</v>
      </c>
      <c r="M17" s="8"/>
      <c r="N17" s="92" t="str">
        <f t="shared" si="3"/>
        <v>USD17x23F_SYNTH6M_Quote</v>
      </c>
      <c r="O17" s="156" t="e">
        <v>#VALUE!</v>
      </c>
      <c r="P17" s="125" t="e">
        <f>_xll.qlSimpleQuoteSetValue(N17,O17,EvaluationDate)</f>
        <v>#NUM!</v>
      </c>
      <c r="Q17" s="12"/>
    </row>
    <row r="18" spans="1:21" s="18" customFormat="1" ht="12" thickBot="1" x14ac:dyDescent="0.25">
      <c r="A18" s="153"/>
      <c r="B18" s="154"/>
      <c r="C18" s="154"/>
      <c r="D18" s="154"/>
      <c r="E18" s="154"/>
      <c r="F18" s="154"/>
      <c r="G18" s="154"/>
      <c r="H18" s="154"/>
      <c r="I18" s="154"/>
      <c r="J18" s="154"/>
      <c r="K18" s="154"/>
      <c r="L18" s="154"/>
      <c r="M18" s="154"/>
      <c r="N18" s="154"/>
      <c r="O18" s="154"/>
      <c r="P18" s="154"/>
      <c r="Q18" s="155"/>
      <c r="R18" s="43"/>
      <c r="S18" s="43"/>
      <c r="T18" s="43"/>
      <c r="U18" s="43"/>
    </row>
    <row r="19" spans="1:21" s="18" customFormat="1" x14ac:dyDescent="0.2"/>
    <row r="20" spans="1:21" s="18" customFormat="1" x14ac:dyDescent="0.2"/>
    <row r="21" spans="1:21" s="18" customFormat="1" x14ac:dyDescent="0.2"/>
    <row r="22" spans="1:21" s="18" customFormat="1" x14ac:dyDescent="0.2"/>
    <row r="23" spans="1:21" s="18" customFormat="1" x14ac:dyDescent="0.2"/>
    <row r="24" spans="1:21" s="18" customFormat="1" x14ac:dyDescent="0.2"/>
    <row r="25" spans="1:21" s="18" customFormat="1" x14ac:dyDescent="0.2"/>
    <row r="26" spans="1:21" s="18" customFormat="1" x14ac:dyDescent="0.2"/>
    <row r="27" spans="1:21" s="18" customFormat="1" x14ac:dyDescent="0.2"/>
    <row r="28" spans="1:21" s="18" customFormat="1" x14ac:dyDescent="0.2"/>
    <row r="29" spans="1:21" s="18" customFormat="1" x14ac:dyDescent="0.2"/>
    <row r="30" spans="1:21" s="18" customFormat="1" x14ac:dyDescent="0.2"/>
    <row r="31" spans="1:21" s="18" customFormat="1" x14ac:dyDescent="0.2"/>
  </sheetData>
  <phoneticPr fontId="0" type="noConversion"/>
  <conditionalFormatting sqref="P5:P17">
    <cfRule type="cellIs" dxfId="5" priority="1" stopIfTrue="1" operator="greaterThan">
      <formula>0</formula>
    </cfRule>
    <cfRule type="cellIs" dxfId="4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23"/>
  <sheetViews>
    <sheetView workbookViewId="0">
      <selection activeCell="I3" sqref="I3"/>
    </sheetView>
  </sheetViews>
  <sheetFormatPr defaultRowHeight="11.25" x14ac:dyDescent="0.2"/>
  <cols>
    <col min="1" max="1" width="3.6640625" style="18" customWidth="1"/>
    <col min="2" max="2" width="7.33203125" style="18" bestFit="1" customWidth="1"/>
    <col min="3" max="3" width="10.33203125" style="18" bestFit="1" customWidth="1"/>
    <col min="4" max="4" width="8.33203125" style="18" bestFit="1" customWidth="1"/>
    <col min="5" max="5" width="10.33203125" style="18" bestFit="1" customWidth="1"/>
    <col min="6" max="6" width="6.6640625" style="18" bestFit="1" customWidth="1"/>
    <col min="7" max="7" width="26.33203125" style="18" bestFit="1" customWidth="1"/>
    <col min="8" max="8" width="16.33203125" style="18" bestFit="1" customWidth="1"/>
    <col min="9" max="9" width="10" style="18" bestFit="1" customWidth="1"/>
    <col min="10" max="10" width="14.33203125" style="18" customWidth="1"/>
    <col min="11" max="16384" width="9.33203125" style="18"/>
  </cols>
  <sheetData>
    <row r="1" spans="1:10" x14ac:dyDescent="0.2">
      <c r="A1" s="2"/>
      <c r="B1" s="3"/>
      <c r="C1" s="3"/>
      <c r="D1" s="3"/>
      <c r="E1" s="3"/>
      <c r="F1" s="3"/>
      <c r="G1" s="3"/>
      <c r="H1" s="3"/>
      <c r="I1" s="3"/>
      <c r="J1" s="4"/>
    </row>
    <row r="2" spans="1:10" x14ac:dyDescent="0.2">
      <c r="A2" s="5"/>
      <c r="B2" s="19"/>
      <c r="C2" s="8"/>
      <c r="D2" s="8"/>
      <c r="E2" s="8"/>
      <c r="F2" s="8"/>
      <c r="G2" s="144" t="s">
        <v>7</v>
      </c>
      <c r="H2" s="145" t="s">
        <v>71</v>
      </c>
      <c r="I2" s="7"/>
      <c r="J2" s="9"/>
    </row>
    <row r="3" spans="1:10" x14ac:dyDescent="0.2">
      <c r="A3" s="10"/>
      <c r="B3" s="7"/>
      <c r="C3" s="7"/>
      <c r="D3" s="8"/>
      <c r="E3" s="8"/>
      <c r="F3" s="8"/>
      <c r="G3" s="7"/>
      <c r="H3" s="7"/>
      <c r="I3" s="20">
        <f>_xll.ohTrigger(I5:I15)</f>
        <v>19</v>
      </c>
      <c r="J3" s="12"/>
    </row>
    <row r="4" spans="1:10" x14ac:dyDescent="0.2">
      <c r="A4" s="10"/>
      <c r="B4" s="118"/>
      <c r="C4" s="119" t="s">
        <v>52</v>
      </c>
      <c r="D4" s="8"/>
      <c r="E4" s="126" t="s">
        <v>51</v>
      </c>
      <c r="F4" s="8"/>
      <c r="G4" s="118" t="s">
        <v>9</v>
      </c>
      <c r="H4" s="130" t="s">
        <v>10</v>
      </c>
      <c r="I4" s="131" t="s">
        <v>11</v>
      </c>
      <c r="J4" s="12"/>
    </row>
    <row r="5" spans="1:10" s="15" customFormat="1" x14ac:dyDescent="0.2">
      <c r="A5" s="10"/>
      <c r="B5" s="139"/>
      <c r="C5" s="134"/>
      <c r="D5" s="8"/>
      <c r="E5" s="127">
        <v>0</v>
      </c>
      <c r="F5" s="8"/>
      <c r="G5" s="132"/>
      <c r="H5" s="133">
        <f t="array" ref="H5:H22">QuoteLive</f>
        <v>0</v>
      </c>
      <c r="I5" s="134"/>
      <c r="J5" s="44"/>
    </row>
    <row r="6" spans="1:10" s="15" customFormat="1" x14ac:dyDescent="0.2">
      <c r="A6" s="10"/>
      <c r="B6" s="124"/>
      <c r="C6" s="125"/>
      <c r="D6" s="8"/>
      <c r="E6" s="129">
        <v>0</v>
      </c>
      <c r="F6" s="8"/>
      <c r="G6" s="136"/>
      <c r="H6" s="78">
        <v>0</v>
      </c>
      <c r="I6" s="125"/>
      <c r="J6" s="44"/>
    </row>
    <row r="7" spans="1:10" x14ac:dyDescent="0.2">
      <c r="A7" s="5"/>
      <c r="B7" s="140" t="s">
        <v>12</v>
      </c>
      <c r="C7" s="123" t="e">
        <f>'1Y'!AB23</f>
        <v>#VALUE!</v>
      </c>
      <c r="D7" s="8"/>
      <c r="E7" s="142" t="e">
        <v>#VALUE!</v>
      </c>
      <c r="F7" s="8"/>
      <c r="G7" s="135" t="str">
        <f t="shared" ref="G7:G22" si="0">Currency&amp;$B7&amp;$H$2</f>
        <v>USDSND_SYNTH1Y_Quote</v>
      </c>
      <c r="H7" s="17" t="e">
        <v>#VALUE!</v>
      </c>
      <c r="I7" s="123" t="e">
        <f>_xll.qlSimpleQuoteSetValue($G7,$H7,EvaluationDate)</f>
        <v>#NUM!</v>
      </c>
      <c r="J7" s="44"/>
    </row>
    <row r="8" spans="1:10" x14ac:dyDescent="0.2">
      <c r="A8" s="5"/>
      <c r="B8" s="140" t="s">
        <v>13</v>
      </c>
      <c r="C8" s="123" t="e">
        <f>'1Y'!AB24</f>
        <v>#VALUE!</v>
      </c>
      <c r="D8" s="8"/>
      <c r="E8" s="142" t="e">
        <v>#VALUE!</v>
      </c>
      <c r="F8" s="8"/>
      <c r="G8" s="135" t="str">
        <f t="shared" si="0"/>
        <v>USDSWD_SYNTH1Y_Quote</v>
      </c>
      <c r="H8" s="17" t="e">
        <v>#VALUE!</v>
      </c>
      <c r="I8" s="123" t="e">
        <f>_xll.qlSimpleQuoteSetValue($G8,$H8,EvaluationDate)</f>
        <v>#NUM!</v>
      </c>
      <c r="J8" s="44"/>
    </row>
    <row r="9" spans="1:10" x14ac:dyDescent="0.2">
      <c r="A9" s="5"/>
      <c r="B9" s="140" t="s">
        <v>14</v>
      </c>
      <c r="C9" s="123" t="e">
        <f>'1Y'!AB25</f>
        <v>#VALUE!</v>
      </c>
      <c r="D9" s="8"/>
      <c r="E9" s="142" t="e">
        <v>#VALUE!</v>
      </c>
      <c r="F9" s="8"/>
      <c r="G9" s="135" t="str">
        <f t="shared" si="0"/>
        <v>USD2WD_SYNTH1Y_Quote</v>
      </c>
      <c r="H9" s="17" t="e">
        <v>#VALUE!</v>
      </c>
      <c r="I9" s="123" t="e">
        <f>_xll.qlSimpleQuoteSetValue($G9,$H9,EvaluationDate)</f>
        <v>#NUM!</v>
      </c>
      <c r="J9" s="44"/>
    </row>
    <row r="10" spans="1:10" x14ac:dyDescent="0.2">
      <c r="A10" s="5"/>
      <c r="B10" s="140" t="s">
        <v>15</v>
      </c>
      <c r="C10" s="123" t="e">
        <f>'1Y'!AB26</f>
        <v>#VALUE!</v>
      </c>
      <c r="D10" s="8"/>
      <c r="E10" s="142" t="e">
        <v>#VALUE!</v>
      </c>
      <c r="F10" s="8"/>
      <c r="G10" s="135" t="str">
        <f t="shared" si="0"/>
        <v>USD3WD_SYNTH1Y_Quote</v>
      </c>
      <c r="H10" s="17" t="e">
        <v>#VALUE!</v>
      </c>
      <c r="I10" s="123" t="e">
        <f>_xll.qlSimpleQuoteSetValue($G10,$H10,EvaluationDate)</f>
        <v>#NUM!</v>
      </c>
      <c r="J10" s="44"/>
    </row>
    <row r="11" spans="1:10" x14ac:dyDescent="0.2">
      <c r="A11" s="5"/>
      <c r="B11" s="141" t="s">
        <v>0</v>
      </c>
      <c r="C11" s="125" t="e">
        <f>'1Y'!AB27</f>
        <v>#VALUE!</v>
      </c>
      <c r="D11" s="8"/>
      <c r="E11" s="143" t="e">
        <v>#VALUE!</v>
      </c>
      <c r="F11" s="8"/>
      <c r="G11" s="136" t="str">
        <f t="shared" si="0"/>
        <v>USD1MD_SYNTH1Y_Quote</v>
      </c>
      <c r="H11" s="78" t="e">
        <v>#VALUE!</v>
      </c>
      <c r="I11" s="125" t="e">
        <f>_xll.qlSimpleQuoteSetValue($G11,$H11,EvaluationDate)</f>
        <v>#NUM!</v>
      </c>
      <c r="J11" s="44"/>
    </row>
    <row r="12" spans="1:10" x14ac:dyDescent="0.2">
      <c r="A12" s="5"/>
      <c r="B12" s="140" t="s">
        <v>1</v>
      </c>
      <c r="C12" s="123" t="e">
        <f>'1Y'!AB28</f>
        <v>#VALUE!</v>
      </c>
      <c r="D12" s="8"/>
      <c r="E12" s="142" t="e">
        <v>#VALUE!</v>
      </c>
      <c r="F12" s="8"/>
      <c r="G12" s="135" t="str">
        <f t="shared" si="0"/>
        <v>USD2MD_SYNTH1Y_Quote</v>
      </c>
      <c r="H12" s="17" t="e">
        <v>#VALUE!</v>
      </c>
      <c r="I12" s="123" t="e">
        <f>_xll.qlSimpleQuoteSetValue($G12,$H12,EvaluationDate)</f>
        <v>#NUM!</v>
      </c>
      <c r="J12" s="44"/>
    </row>
    <row r="13" spans="1:10" x14ac:dyDescent="0.2">
      <c r="A13" s="10"/>
      <c r="B13" s="140" t="s">
        <v>16</v>
      </c>
      <c r="C13" s="123" t="e">
        <f>'1Y'!AB29</f>
        <v>#VALUE!</v>
      </c>
      <c r="D13" s="8"/>
      <c r="E13" s="142" t="e">
        <v>#VALUE!</v>
      </c>
      <c r="F13" s="8"/>
      <c r="G13" s="135" t="str">
        <f t="shared" si="0"/>
        <v>USD3MD_SYNTH1Y_Quote</v>
      </c>
      <c r="H13" s="17" t="e">
        <v>#VALUE!</v>
      </c>
      <c r="I13" s="123" t="e">
        <f>_xll.qlSimpleQuoteSetValue($G13,$H13,EvaluationDate)</f>
        <v>#NUM!</v>
      </c>
      <c r="J13" s="44"/>
    </row>
    <row r="14" spans="1:10" x14ac:dyDescent="0.2">
      <c r="A14" s="10"/>
      <c r="B14" s="140" t="s">
        <v>17</v>
      </c>
      <c r="C14" s="123" t="e">
        <f>'1Y'!AB30</f>
        <v>#VALUE!</v>
      </c>
      <c r="D14" s="8"/>
      <c r="E14" s="142" t="e">
        <v>#VALUE!</v>
      </c>
      <c r="F14" s="8"/>
      <c r="G14" s="135" t="str">
        <f t="shared" si="0"/>
        <v>USD4MD_SYNTH1Y_Quote</v>
      </c>
      <c r="H14" s="17" t="e">
        <v>#VALUE!</v>
      </c>
      <c r="I14" s="123" t="e">
        <f>_xll.qlSimpleQuoteSetValue($G14,$H14,EvaluationDate)</f>
        <v>#NUM!</v>
      </c>
      <c r="J14" s="44"/>
    </row>
    <row r="15" spans="1:10" x14ac:dyDescent="0.2">
      <c r="A15" s="10"/>
      <c r="B15" s="140" t="s">
        <v>18</v>
      </c>
      <c r="C15" s="123" t="e">
        <f>'1Y'!AB31</f>
        <v>#VALUE!</v>
      </c>
      <c r="D15" s="8"/>
      <c r="E15" s="142" t="e">
        <v>#VALUE!</v>
      </c>
      <c r="F15" s="8"/>
      <c r="G15" s="135" t="str">
        <f t="shared" si="0"/>
        <v>USD5MD_SYNTH1Y_Quote</v>
      </c>
      <c r="H15" s="17" t="e">
        <v>#VALUE!</v>
      </c>
      <c r="I15" s="123" t="e">
        <f>_xll.qlSimpleQuoteSetValue($G15,$H15,EvaluationDate)</f>
        <v>#NUM!</v>
      </c>
      <c r="J15" s="44"/>
    </row>
    <row r="16" spans="1:10" x14ac:dyDescent="0.2">
      <c r="A16" s="10"/>
      <c r="B16" s="140" t="s">
        <v>69</v>
      </c>
      <c r="C16" s="123" t="e">
        <f>'1Y'!AB32</f>
        <v>#VALUE!</v>
      </c>
      <c r="D16" s="8"/>
      <c r="E16" s="142" t="e">
        <v>#VALUE!</v>
      </c>
      <c r="F16" s="8"/>
      <c r="G16" s="135" t="str">
        <f t="shared" si="0"/>
        <v>USD6MD_SYNTH1Y_Quote</v>
      </c>
      <c r="H16" s="17" t="e">
        <v>#VALUE!</v>
      </c>
      <c r="I16" s="123" t="e">
        <f>_xll.qlSimpleQuoteSetValue($G16,$H16,EvaluationDate)</f>
        <v>#NUM!</v>
      </c>
      <c r="J16" s="44"/>
    </row>
    <row r="17" spans="1:10" x14ac:dyDescent="0.2">
      <c r="A17" s="10"/>
      <c r="B17" s="140" t="s">
        <v>143</v>
      </c>
      <c r="C17" s="123" t="e">
        <f>'1Y'!AB33</f>
        <v>#VALUE!</v>
      </c>
      <c r="D17" s="8"/>
      <c r="E17" s="142" t="e">
        <v>#VALUE!</v>
      </c>
      <c r="F17" s="8"/>
      <c r="G17" s="135" t="str">
        <f t="shared" si="0"/>
        <v>USD7MD_SYNTH1Y_Quote</v>
      </c>
      <c r="H17" s="17" t="e">
        <v>#VALUE!</v>
      </c>
      <c r="I17" s="123" t="e">
        <f>_xll.qlSimpleQuoteSetValue($G17,$H17,EvaluationDate)</f>
        <v>#NUM!</v>
      </c>
      <c r="J17" s="44"/>
    </row>
    <row r="18" spans="1:10" x14ac:dyDescent="0.2">
      <c r="A18" s="10"/>
      <c r="B18" s="140" t="s">
        <v>144</v>
      </c>
      <c r="C18" s="123" t="e">
        <f>'1Y'!AB34</f>
        <v>#VALUE!</v>
      </c>
      <c r="D18" s="8"/>
      <c r="E18" s="142" t="e">
        <v>#VALUE!</v>
      </c>
      <c r="F18" s="8"/>
      <c r="G18" s="135" t="str">
        <f t="shared" si="0"/>
        <v>USD8MD_SYNTH1Y_Quote</v>
      </c>
      <c r="H18" s="17" t="e">
        <v>#VALUE!</v>
      </c>
      <c r="I18" s="123" t="e">
        <f>_xll.qlSimpleQuoteSetValue($G18,$H18,EvaluationDate)</f>
        <v>#NUM!</v>
      </c>
      <c r="J18" s="44"/>
    </row>
    <row r="19" spans="1:10" x14ac:dyDescent="0.2">
      <c r="A19" s="10"/>
      <c r="B19" s="140" t="s">
        <v>145</v>
      </c>
      <c r="C19" s="123" t="e">
        <f>'1Y'!AB35</f>
        <v>#VALUE!</v>
      </c>
      <c r="D19" s="8"/>
      <c r="E19" s="142" t="e">
        <v>#VALUE!</v>
      </c>
      <c r="F19" s="8"/>
      <c r="G19" s="135" t="str">
        <f t="shared" si="0"/>
        <v>USD9MD_SYNTH1Y_Quote</v>
      </c>
      <c r="H19" s="17" t="e">
        <v>#VALUE!</v>
      </c>
      <c r="I19" s="123" t="e">
        <f>_xll.qlSimpleQuoteSetValue($G19,$H19,EvaluationDate)</f>
        <v>#NUM!</v>
      </c>
      <c r="J19" s="44"/>
    </row>
    <row r="20" spans="1:10" x14ac:dyDescent="0.2">
      <c r="A20" s="10"/>
      <c r="B20" s="140" t="s">
        <v>146</v>
      </c>
      <c r="C20" s="123" t="e">
        <f>'1Y'!AB36</f>
        <v>#VALUE!</v>
      </c>
      <c r="D20" s="8"/>
      <c r="E20" s="142" t="e">
        <v>#VALUE!</v>
      </c>
      <c r="F20" s="8"/>
      <c r="G20" s="135" t="str">
        <f t="shared" si="0"/>
        <v>USD10MD_SYNTH1Y_Quote</v>
      </c>
      <c r="H20" s="17" t="e">
        <v>#VALUE!</v>
      </c>
      <c r="I20" s="123" t="e">
        <f>_xll.qlSimpleQuoteSetValue($G20,$H20,EvaluationDate)</f>
        <v>#NUM!</v>
      </c>
      <c r="J20" s="44"/>
    </row>
    <row r="21" spans="1:10" x14ac:dyDescent="0.2">
      <c r="A21" s="10"/>
      <c r="B21" s="140" t="s">
        <v>147</v>
      </c>
      <c r="C21" s="123" t="e">
        <f>'1Y'!AB37</f>
        <v>#VALUE!</v>
      </c>
      <c r="D21" s="8"/>
      <c r="E21" s="142" t="e">
        <v>#VALUE!</v>
      </c>
      <c r="F21" s="8"/>
      <c r="G21" s="135" t="str">
        <f t="shared" si="0"/>
        <v>USD11MD_SYNTH1Y_Quote</v>
      </c>
      <c r="H21" s="17" t="e">
        <v>#VALUE!</v>
      </c>
      <c r="I21" s="123" t="e">
        <f>_xll.qlSimpleQuoteSetValue($G21,$H21,EvaluationDate)</f>
        <v>#NUM!</v>
      </c>
      <c r="J21" s="44"/>
    </row>
    <row r="22" spans="1:10" x14ac:dyDescent="0.2">
      <c r="A22" s="10"/>
      <c r="B22" s="141" t="s">
        <v>70</v>
      </c>
      <c r="C22" s="125" t="e">
        <f>'1Y'!AB38</f>
        <v>#VALUE!</v>
      </c>
      <c r="D22" s="8"/>
      <c r="E22" s="143" t="e">
        <v>#VALUE!</v>
      </c>
      <c r="F22" s="8"/>
      <c r="G22" s="136" t="str">
        <f t="shared" si="0"/>
        <v>USD1YD_SYNTH1Y_Quote</v>
      </c>
      <c r="H22" s="78" t="e">
        <v>#VALUE!</v>
      </c>
      <c r="I22" s="125" t="e">
        <f>_xll.qlSimpleQuoteSetValue($G22,$H22,EvaluationDate)</f>
        <v>#NUM!</v>
      </c>
      <c r="J22" s="44"/>
    </row>
    <row r="23" spans="1:10" ht="12" thickBot="1" x14ac:dyDescent="0.25">
      <c r="A23" s="13"/>
      <c r="B23" s="14"/>
      <c r="C23" s="14"/>
      <c r="D23" s="14"/>
      <c r="E23" s="14"/>
      <c r="F23" s="14"/>
      <c r="G23" s="14"/>
      <c r="H23" s="14"/>
      <c r="I23" s="14"/>
      <c r="J23" s="52"/>
    </row>
  </sheetData>
  <phoneticPr fontId="1" type="noConversion"/>
  <conditionalFormatting sqref="I5:I22">
    <cfRule type="cellIs" dxfId="3" priority="1" stopIfTrue="1" operator="greaterThan">
      <formula>0</formula>
    </cfRule>
    <cfRule type="cellIs" dxfId="2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62"/>
  <sheetViews>
    <sheetView workbookViewId="0">
      <selection activeCell="P3" sqref="P3"/>
    </sheetView>
  </sheetViews>
  <sheetFormatPr defaultRowHeight="11.25" x14ac:dyDescent="0.2"/>
  <cols>
    <col min="1" max="1" width="5" customWidth="1"/>
    <col min="2" max="2" width="7.1640625" bestFit="1" customWidth="1"/>
    <col min="3" max="4" width="16.33203125" bestFit="1" customWidth="1"/>
    <col min="5" max="5" width="10.5" bestFit="1" customWidth="1"/>
    <col min="6" max="7" width="6.6640625" bestFit="1" customWidth="1"/>
    <col min="9" max="9" width="8.33203125" bestFit="1" customWidth="1"/>
    <col min="10" max="10" width="9" bestFit="1" customWidth="1"/>
    <col min="11" max="11" width="5" customWidth="1"/>
    <col min="12" max="12" width="8.33203125" bestFit="1" customWidth="1"/>
    <col min="13" max="13" width="5" customWidth="1"/>
    <col min="14" max="14" width="25.1640625" bestFit="1" customWidth="1"/>
    <col min="15" max="15" width="16.33203125" bestFit="1" customWidth="1"/>
    <col min="16" max="16" width="9" bestFit="1" customWidth="1"/>
    <col min="17" max="17" width="5" customWidth="1"/>
    <col min="18" max="18" width="6.6640625" bestFit="1" customWidth="1"/>
    <col min="19" max="19" width="12.1640625" bestFit="1" customWidth="1"/>
    <col min="20" max="20" width="12.5" bestFit="1" customWidth="1"/>
    <col min="21" max="21" width="9" bestFit="1" customWidth="1"/>
    <col min="23" max="23" width="15.5" bestFit="1" customWidth="1"/>
    <col min="25" max="25" width="26.33203125" bestFit="1" customWidth="1"/>
  </cols>
  <sheetData>
    <row r="1" spans="1:24" x14ac:dyDescent="0.2">
      <c r="A1" s="2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4"/>
      <c r="V1" s="3"/>
      <c r="W1" s="3"/>
      <c r="X1" s="3"/>
    </row>
    <row r="2" spans="1:24" x14ac:dyDescent="0.2">
      <c r="A2" s="5"/>
      <c r="B2" s="19"/>
      <c r="C2" s="8"/>
      <c r="D2" s="43"/>
      <c r="E2" s="8"/>
      <c r="F2" s="8"/>
      <c r="G2" s="8"/>
      <c r="H2" s="8"/>
      <c r="I2" s="8"/>
      <c r="J2" s="8"/>
      <c r="K2" s="8"/>
      <c r="L2" s="8"/>
      <c r="M2" s="8"/>
      <c r="N2" s="144" t="s">
        <v>7</v>
      </c>
      <c r="O2" s="145" t="s">
        <v>71</v>
      </c>
      <c r="P2" s="7"/>
      <c r="Q2" s="9"/>
      <c r="V2" s="8"/>
      <c r="W2" s="8"/>
      <c r="X2" s="8"/>
    </row>
    <row r="3" spans="1:24" x14ac:dyDescent="0.2">
      <c r="A3" s="10"/>
      <c r="B3" s="8">
        <v>12</v>
      </c>
      <c r="C3" s="8" t="s">
        <v>72</v>
      </c>
      <c r="D3" s="8"/>
      <c r="E3" s="8"/>
      <c r="F3" s="8"/>
      <c r="G3" s="8"/>
      <c r="H3" s="8"/>
      <c r="I3" s="8"/>
      <c r="J3" s="8"/>
      <c r="K3" s="8"/>
      <c r="L3" s="8"/>
      <c r="M3" s="8"/>
      <c r="N3" s="7"/>
      <c r="O3" s="7"/>
      <c r="P3" s="20">
        <f>_xll.ohTrigger(P5:P48)</f>
        <v>19</v>
      </c>
      <c r="Q3" s="12"/>
      <c r="V3" s="8"/>
      <c r="W3" s="8"/>
      <c r="X3" s="8"/>
    </row>
    <row r="4" spans="1:24" x14ac:dyDescent="0.2">
      <c r="A4" s="10"/>
      <c r="B4" s="171"/>
      <c r="C4" s="196" t="s">
        <v>23</v>
      </c>
      <c r="D4" s="196"/>
      <c r="E4" s="480" t="s">
        <v>57</v>
      </c>
      <c r="F4" s="480"/>
      <c r="G4" s="480"/>
      <c r="H4" s="480"/>
      <c r="I4" s="481" t="s">
        <v>52</v>
      </c>
      <c r="J4" s="482"/>
      <c r="K4" s="8"/>
      <c r="L4" s="126" t="s">
        <v>51</v>
      </c>
      <c r="M4" s="8"/>
      <c r="N4" s="483" t="s">
        <v>9</v>
      </c>
      <c r="O4" s="484" t="s">
        <v>10</v>
      </c>
      <c r="P4" s="150" t="s">
        <v>11</v>
      </c>
      <c r="Q4" s="12"/>
    </row>
    <row r="5" spans="1:24" x14ac:dyDescent="0.2">
      <c r="A5" s="10">
        <v>1</v>
      </c>
      <c r="B5" s="183" t="str">
        <f>A5&amp;"x"&amp;(A5+$B$3)&amp;"F"</f>
        <v>1x13F</v>
      </c>
      <c r="C5" s="302" t="e">
        <f>_xll.qlCalendarAdvance(Calendar,SettlementDate,A5&amp;"M","MF",TRUE)</f>
        <v>#NUM!</v>
      </c>
      <c r="D5" s="302"/>
      <c r="E5" s="485" t="e">
        <f>_xll.qlInterpolationInterpolate('1Y'!ExtFwdInterpolator,C5)</f>
        <v>#VALUE!</v>
      </c>
      <c r="F5" s="33"/>
      <c r="G5" s="33"/>
      <c r="H5" s="86"/>
      <c r="I5" s="486" t="e">
        <f>E5</f>
        <v>#VALUE!</v>
      </c>
      <c r="J5" s="487"/>
      <c r="K5" s="8"/>
      <c r="L5" s="488" t="e">
        <v>#VALUE!</v>
      </c>
      <c r="M5" s="8"/>
      <c r="N5" s="96" t="str">
        <f t="shared" ref="N5:N48" si="0">Currency&amp;$B5&amp;$O$2</f>
        <v>USD1x13F_SYNTH1Y_Quote</v>
      </c>
      <c r="O5" s="489" t="e">
        <f t="array" ref="O5:O48">QuoteLive</f>
        <v>#VALUE!</v>
      </c>
      <c r="P5" s="134" t="e">
        <f>_xll.qlSimpleQuoteSetValue(N5,O5,EvaluationDate)</f>
        <v>#NUM!</v>
      </c>
      <c r="Q5" s="12"/>
    </row>
    <row r="6" spans="1:24" x14ac:dyDescent="0.2">
      <c r="A6" s="10">
        <v>2</v>
      </c>
      <c r="B6" s="111" t="str">
        <f t="shared" ref="B6:B48" si="1">A6&amp;"x"&amp;(A6+$B$3)&amp;"F"</f>
        <v>2x14F</v>
      </c>
      <c r="C6" s="80" t="e">
        <f>_xll.qlCalendarAdvance(Calendar,SettlementDate,A6&amp;"M","MF",TRUE)</f>
        <v>#NUM!</v>
      </c>
      <c r="D6" s="80"/>
      <c r="E6" s="146" t="e">
        <f>_xll.qlInterpolationInterpolate('1Y'!ExtFwdInterpolator,C6)</f>
        <v>#VALUE!</v>
      </c>
      <c r="F6" s="25"/>
      <c r="G6" s="25"/>
      <c r="H6" s="87"/>
      <c r="I6" s="113" t="e">
        <f t="shared" ref="I6:I48" si="2">E6</f>
        <v>#VALUE!</v>
      </c>
      <c r="J6" s="148"/>
      <c r="K6" s="8"/>
      <c r="L6" s="142" t="e">
        <v>#VALUE!</v>
      </c>
      <c r="M6" s="8"/>
      <c r="N6" s="91" t="str">
        <f t="shared" si="0"/>
        <v>USD2x14F_SYNTH1Y_Quote</v>
      </c>
      <c r="O6" s="479" t="e">
        <v>#VALUE!</v>
      </c>
      <c r="P6" s="123" t="e">
        <f>_xll.qlSimpleQuoteSetValue(N6,O6,EvaluationDate)</f>
        <v>#NUM!</v>
      </c>
      <c r="Q6" s="12"/>
    </row>
    <row r="7" spans="1:24" x14ac:dyDescent="0.2">
      <c r="A7" s="10">
        <v>3</v>
      </c>
      <c r="B7" s="111" t="str">
        <f t="shared" si="1"/>
        <v>3x15F</v>
      </c>
      <c r="C7" s="80" t="e">
        <f>_xll.qlCalendarAdvance(Calendar,SettlementDate,A7&amp;"M","MF",TRUE)</f>
        <v>#NUM!</v>
      </c>
      <c r="D7" s="80"/>
      <c r="E7" s="146" t="e">
        <f>_xll.qlInterpolationInterpolate('1Y'!ExtFwdInterpolator,C7)</f>
        <v>#VALUE!</v>
      </c>
      <c r="F7" s="25"/>
      <c r="G7" s="25"/>
      <c r="H7" s="87"/>
      <c r="I7" s="113" t="e">
        <f t="shared" si="2"/>
        <v>#VALUE!</v>
      </c>
      <c r="J7" s="148"/>
      <c r="K7" s="8"/>
      <c r="L7" s="142" t="e">
        <v>#VALUE!</v>
      </c>
      <c r="M7" s="8"/>
      <c r="N7" s="91" t="str">
        <f t="shared" si="0"/>
        <v>USD3x15F_SYNTH1Y_Quote</v>
      </c>
      <c r="O7" s="479" t="e">
        <v>#VALUE!</v>
      </c>
      <c r="P7" s="123" t="e">
        <f>_xll.qlSimpleQuoteSetValue(N7,O7,EvaluationDate)</f>
        <v>#NUM!</v>
      </c>
      <c r="Q7" s="12"/>
    </row>
    <row r="8" spans="1:24" x14ac:dyDescent="0.2">
      <c r="A8" s="10">
        <v>4</v>
      </c>
      <c r="B8" s="111" t="str">
        <f t="shared" si="1"/>
        <v>4x16F</v>
      </c>
      <c r="C8" s="80" t="e">
        <f>_xll.qlCalendarAdvance(Calendar,SettlementDate,A8&amp;"M","MF",TRUE)</f>
        <v>#NUM!</v>
      </c>
      <c r="D8" s="80"/>
      <c r="E8" s="146" t="e">
        <f>_xll.qlInterpolationInterpolate('1Y'!ExtFwdInterpolator,C8)</f>
        <v>#VALUE!</v>
      </c>
      <c r="F8" s="25"/>
      <c r="G8" s="25"/>
      <c r="H8" s="87"/>
      <c r="I8" s="113" t="e">
        <f t="shared" si="2"/>
        <v>#VALUE!</v>
      </c>
      <c r="J8" s="148"/>
      <c r="K8" s="8"/>
      <c r="L8" s="142" t="e">
        <v>#VALUE!</v>
      </c>
      <c r="M8" s="8"/>
      <c r="N8" s="91" t="str">
        <f t="shared" si="0"/>
        <v>USD4x16F_SYNTH1Y_Quote</v>
      </c>
      <c r="O8" s="479" t="e">
        <v>#VALUE!</v>
      </c>
      <c r="P8" s="123" t="e">
        <f>_xll.qlSimpleQuoteSetValue(N8,O8,EvaluationDate)</f>
        <v>#NUM!</v>
      </c>
      <c r="Q8" s="12"/>
    </row>
    <row r="9" spans="1:24" x14ac:dyDescent="0.2">
      <c r="A9" s="10">
        <v>5</v>
      </c>
      <c r="B9" s="111" t="str">
        <f t="shared" si="1"/>
        <v>5x17F</v>
      </c>
      <c r="C9" s="80" t="e">
        <f>_xll.qlCalendarAdvance(Calendar,SettlementDate,A9&amp;"M","MF",TRUE)</f>
        <v>#NUM!</v>
      </c>
      <c r="D9" s="80"/>
      <c r="E9" s="146" t="e">
        <f>_xll.qlInterpolationInterpolate('1Y'!ExtFwdInterpolator,C9)</f>
        <v>#VALUE!</v>
      </c>
      <c r="F9" s="25"/>
      <c r="G9" s="25"/>
      <c r="H9" s="87"/>
      <c r="I9" s="113" t="e">
        <f t="shared" si="2"/>
        <v>#VALUE!</v>
      </c>
      <c r="J9" s="148"/>
      <c r="K9" s="8"/>
      <c r="L9" s="142" t="e">
        <v>#VALUE!</v>
      </c>
      <c r="M9" s="8"/>
      <c r="N9" s="91" t="str">
        <f t="shared" si="0"/>
        <v>USD5x17F_SYNTH1Y_Quote</v>
      </c>
      <c r="O9" s="479" t="e">
        <v>#VALUE!</v>
      </c>
      <c r="P9" s="123" t="e">
        <f>_xll.qlSimpleQuoteSetValue(N9,O9,EvaluationDate)</f>
        <v>#NUM!</v>
      </c>
      <c r="Q9" s="12"/>
    </row>
    <row r="10" spans="1:24" x14ac:dyDescent="0.2">
      <c r="A10" s="10">
        <v>6</v>
      </c>
      <c r="B10" s="111" t="str">
        <f t="shared" si="1"/>
        <v>6x18F</v>
      </c>
      <c r="C10" s="80" t="e">
        <f>_xll.qlCalendarAdvance(Calendar,SettlementDate,A10&amp;"M","MF",TRUE)</f>
        <v>#NUM!</v>
      </c>
      <c r="D10" s="80"/>
      <c r="E10" s="146" t="e">
        <f>_xll.qlInterpolationInterpolate('1Y'!ExtFwdInterpolator,C10)</f>
        <v>#VALUE!</v>
      </c>
      <c r="F10" s="25"/>
      <c r="G10" s="25"/>
      <c r="H10" s="87"/>
      <c r="I10" s="113" t="e">
        <f t="shared" si="2"/>
        <v>#VALUE!</v>
      </c>
      <c r="J10" s="148"/>
      <c r="K10" s="8"/>
      <c r="L10" s="142" t="e">
        <v>#VALUE!</v>
      </c>
      <c r="M10" s="8"/>
      <c r="N10" s="91" t="str">
        <f t="shared" si="0"/>
        <v>USD6x18F_SYNTH1Y_Quote</v>
      </c>
      <c r="O10" s="479" t="e">
        <v>#VALUE!</v>
      </c>
      <c r="P10" s="123" t="e">
        <f>_xll.qlSimpleQuoteSetValue(N10,O10,EvaluationDate)</f>
        <v>#NUM!</v>
      </c>
      <c r="Q10" s="12"/>
    </row>
    <row r="11" spans="1:24" x14ac:dyDescent="0.2">
      <c r="A11" s="10">
        <v>7</v>
      </c>
      <c r="B11" s="111" t="str">
        <f t="shared" si="1"/>
        <v>7x19F</v>
      </c>
      <c r="C11" s="80" t="e">
        <f>_xll.qlCalendarAdvance(Calendar,SettlementDate,A11&amp;"M","MF",TRUE)</f>
        <v>#NUM!</v>
      </c>
      <c r="D11" s="80"/>
      <c r="E11" s="146" t="e">
        <f>_xll.qlInterpolationInterpolate('1Y'!ExtFwdInterpolator,C11)</f>
        <v>#VALUE!</v>
      </c>
      <c r="F11" s="25"/>
      <c r="G11" s="25"/>
      <c r="H11" s="87"/>
      <c r="I11" s="113" t="e">
        <f t="shared" si="2"/>
        <v>#VALUE!</v>
      </c>
      <c r="J11" s="148"/>
      <c r="K11" s="8"/>
      <c r="L11" s="142" t="e">
        <v>#VALUE!</v>
      </c>
      <c r="M11" s="8"/>
      <c r="N11" s="91" t="str">
        <f t="shared" si="0"/>
        <v>USD7x19F_SYNTH1Y_Quote</v>
      </c>
      <c r="O11" s="479" t="e">
        <v>#VALUE!</v>
      </c>
      <c r="P11" s="123" t="e">
        <f>_xll.qlSimpleQuoteSetValue(N11,O11,EvaluationDate)</f>
        <v>#NUM!</v>
      </c>
      <c r="Q11" s="12"/>
    </row>
    <row r="12" spans="1:24" x14ac:dyDescent="0.2">
      <c r="A12" s="10">
        <v>8</v>
      </c>
      <c r="B12" s="111" t="str">
        <f t="shared" si="1"/>
        <v>8x20F</v>
      </c>
      <c r="C12" s="80" t="e">
        <f>_xll.qlCalendarAdvance(Calendar,SettlementDate,A12&amp;"M","MF",TRUE)</f>
        <v>#NUM!</v>
      </c>
      <c r="D12" s="80"/>
      <c r="E12" s="146" t="e">
        <f>_xll.qlInterpolationInterpolate('1Y'!ExtFwdInterpolator,C12)</f>
        <v>#VALUE!</v>
      </c>
      <c r="F12" s="25"/>
      <c r="G12" s="25"/>
      <c r="H12" s="87"/>
      <c r="I12" s="113" t="e">
        <f t="shared" si="2"/>
        <v>#VALUE!</v>
      </c>
      <c r="J12" s="148"/>
      <c r="K12" s="8"/>
      <c r="L12" s="142" t="e">
        <v>#VALUE!</v>
      </c>
      <c r="M12" s="8"/>
      <c r="N12" s="91" t="str">
        <f t="shared" si="0"/>
        <v>USD8x20F_SYNTH1Y_Quote</v>
      </c>
      <c r="O12" s="479" t="e">
        <v>#VALUE!</v>
      </c>
      <c r="P12" s="123" t="e">
        <f>_xll.qlSimpleQuoteSetValue(N12,O12,EvaluationDate)</f>
        <v>#NUM!</v>
      </c>
      <c r="Q12" s="12"/>
    </row>
    <row r="13" spans="1:24" s="18" customFormat="1" x14ac:dyDescent="0.2">
      <c r="A13" s="10">
        <v>9</v>
      </c>
      <c r="B13" s="111" t="str">
        <f t="shared" si="1"/>
        <v>9x21F</v>
      </c>
      <c r="C13" s="80" t="e">
        <f>_xll.qlCalendarAdvance(Calendar,SettlementDate,A13&amp;"M","MF",TRUE)</f>
        <v>#NUM!</v>
      </c>
      <c r="D13" s="80"/>
      <c r="E13" s="146" t="e">
        <f>_xll.qlInterpolationInterpolate('1Y'!ExtFwdInterpolator,C13)</f>
        <v>#VALUE!</v>
      </c>
      <c r="F13" s="25"/>
      <c r="G13" s="25"/>
      <c r="H13" s="87"/>
      <c r="I13" s="113" t="e">
        <f t="shared" si="2"/>
        <v>#VALUE!</v>
      </c>
      <c r="J13" s="148"/>
      <c r="K13" s="8"/>
      <c r="L13" s="142" t="e">
        <v>#VALUE!</v>
      </c>
      <c r="M13" s="8"/>
      <c r="N13" s="91" t="str">
        <f t="shared" si="0"/>
        <v>USD9x21F_SYNTH1Y_Quote</v>
      </c>
      <c r="O13" s="479" t="e">
        <v>#VALUE!</v>
      </c>
      <c r="P13" s="123" t="e">
        <f>_xll.qlSimpleQuoteSetValue(N13,O13,EvaluationDate)</f>
        <v>#NUM!</v>
      </c>
      <c r="Q13" s="12"/>
    </row>
    <row r="14" spans="1:24" s="18" customFormat="1" x14ac:dyDescent="0.2">
      <c r="A14" s="10">
        <v>10</v>
      </c>
      <c r="B14" s="111" t="str">
        <f t="shared" si="1"/>
        <v>10x22F</v>
      </c>
      <c r="C14" s="80" t="e">
        <f>_xll.qlCalendarAdvance(Calendar,SettlementDate,A14&amp;"M","MF",TRUE)</f>
        <v>#NUM!</v>
      </c>
      <c r="D14" s="80"/>
      <c r="E14" s="146" t="e">
        <f>_xll.qlInterpolationInterpolate('1Y'!ExtFwdInterpolator,C14)</f>
        <v>#VALUE!</v>
      </c>
      <c r="F14" s="25"/>
      <c r="G14" s="25"/>
      <c r="H14" s="87"/>
      <c r="I14" s="113" t="e">
        <f t="shared" si="2"/>
        <v>#VALUE!</v>
      </c>
      <c r="J14" s="148"/>
      <c r="K14" s="8"/>
      <c r="L14" s="142" t="e">
        <v>#VALUE!</v>
      </c>
      <c r="M14" s="8"/>
      <c r="N14" s="91" t="str">
        <f t="shared" si="0"/>
        <v>USD10x22F_SYNTH1Y_Quote</v>
      </c>
      <c r="O14" s="479" t="e">
        <v>#VALUE!</v>
      </c>
      <c r="P14" s="123" t="e">
        <f>_xll.qlSimpleQuoteSetValue(N14,O14,EvaluationDate)</f>
        <v>#NUM!</v>
      </c>
      <c r="Q14" s="12"/>
    </row>
    <row r="15" spans="1:24" s="18" customFormat="1" x14ac:dyDescent="0.2">
      <c r="A15" s="10">
        <v>11</v>
      </c>
      <c r="B15" s="114" t="str">
        <f t="shared" si="1"/>
        <v>11x23F</v>
      </c>
      <c r="C15" s="115" t="e">
        <f>_xll.qlCalendarAdvance(Calendar,SettlementDate,A15&amp;"M","MF",TRUE)</f>
        <v>#NUM!</v>
      </c>
      <c r="D15" s="115"/>
      <c r="E15" s="147" t="e">
        <f>_xll.qlInterpolationInterpolate('1Y'!ExtFwdInterpolator,C15)</f>
        <v>#VALUE!</v>
      </c>
      <c r="F15" s="39"/>
      <c r="G15" s="39"/>
      <c r="H15" s="88"/>
      <c r="I15" s="116" t="e">
        <f t="shared" si="2"/>
        <v>#VALUE!</v>
      </c>
      <c r="J15" s="149"/>
      <c r="K15" s="8"/>
      <c r="L15" s="143" t="e">
        <v>#VALUE!</v>
      </c>
      <c r="M15" s="8"/>
      <c r="N15" s="92" t="str">
        <f t="shared" si="0"/>
        <v>USD11x23F_SYNTH1Y_Quote</v>
      </c>
      <c r="O15" s="490" t="e">
        <v>#VALUE!</v>
      </c>
      <c r="P15" s="125" t="e">
        <f>_xll.qlSimpleQuoteSetValue(N15,O15,EvaluationDate)</f>
        <v>#NUM!</v>
      </c>
      <c r="Q15" s="12"/>
    </row>
    <row r="16" spans="1:24" s="18" customFormat="1" x14ac:dyDescent="0.2">
      <c r="A16" s="10">
        <v>13</v>
      </c>
      <c r="B16" s="183" t="str">
        <f t="shared" si="1"/>
        <v>13x25F</v>
      </c>
      <c r="C16" s="302" t="e">
        <f>_xll.qlCalendarAdvance(Calendar,SettlementDate,A16&amp;"M","MF",TRUE)</f>
        <v>#NUM!</v>
      </c>
      <c r="D16" s="302"/>
      <c r="E16" s="485" t="e">
        <f>_xll.qlInterpolationInterpolate('1Y'!ExtFwdInterpolator,C16)</f>
        <v>#VALUE!</v>
      </c>
      <c r="F16" s="33"/>
      <c r="G16" s="33"/>
      <c r="H16" s="86"/>
      <c r="I16" s="486" t="e">
        <f t="shared" si="2"/>
        <v>#VALUE!</v>
      </c>
      <c r="J16" s="487"/>
      <c r="K16" s="8"/>
      <c r="L16" s="488" t="e">
        <v>#VALUE!</v>
      </c>
      <c r="M16" s="8"/>
      <c r="N16" s="96" t="str">
        <f t="shared" si="0"/>
        <v>USD13x25F_SYNTH1Y_Quote</v>
      </c>
      <c r="O16" s="489" t="e">
        <v>#VALUE!</v>
      </c>
      <c r="P16" s="134" t="e">
        <f>_xll.qlSimpleQuoteSetValue(N16,O16,EvaluationDate)</f>
        <v>#NUM!</v>
      </c>
      <c r="Q16" s="12"/>
    </row>
    <row r="17" spans="1:17" x14ac:dyDescent="0.2">
      <c r="A17" s="10">
        <v>14</v>
      </c>
      <c r="B17" s="111" t="str">
        <f t="shared" si="1"/>
        <v>14x26F</v>
      </c>
      <c r="C17" s="80" t="e">
        <f>_xll.qlCalendarAdvance(Calendar,SettlementDate,A17&amp;"M","MF",TRUE)</f>
        <v>#NUM!</v>
      </c>
      <c r="D17" s="80"/>
      <c r="E17" s="146" t="e">
        <f>_xll.qlInterpolationInterpolate('1Y'!ExtFwdInterpolator,C17)</f>
        <v>#VALUE!</v>
      </c>
      <c r="F17" s="25"/>
      <c r="G17" s="25"/>
      <c r="H17" s="87"/>
      <c r="I17" s="113" t="e">
        <f t="shared" si="2"/>
        <v>#VALUE!</v>
      </c>
      <c r="J17" s="148"/>
      <c r="K17" s="8"/>
      <c r="L17" s="142" t="e">
        <v>#VALUE!</v>
      </c>
      <c r="M17" s="8"/>
      <c r="N17" s="91" t="str">
        <f t="shared" si="0"/>
        <v>USD14x26F_SYNTH1Y_Quote</v>
      </c>
      <c r="O17" s="479" t="e">
        <v>#VALUE!</v>
      </c>
      <c r="P17" s="123" t="e">
        <f>_xll.qlSimpleQuoteSetValue(N17,O17,EvaluationDate)</f>
        <v>#NUM!</v>
      </c>
      <c r="Q17" s="12"/>
    </row>
    <row r="18" spans="1:17" x14ac:dyDescent="0.2">
      <c r="A18" s="10">
        <v>15</v>
      </c>
      <c r="B18" s="111" t="str">
        <f t="shared" si="1"/>
        <v>15x27F</v>
      </c>
      <c r="C18" s="80" t="e">
        <f>_xll.qlCalendarAdvance(Calendar,SettlementDate,A18&amp;"M","MF",TRUE)</f>
        <v>#NUM!</v>
      </c>
      <c r="D18" s="80"/>
      <c r="E18" s="146" t="e">
        <f>_xll.qlInterpolationInterpolate('1Y'!ExtFwdInterpolator,C18)</f>
        <v>#VALUE!</v>
      </c>
      <c r="F18" s="25"/>
      <c r="G18" s="25"/>
      <c r="H18" s="87"/>
      <c r="I18" s="113" t="e">
        <f t="shared" si="2"/>
        <v>#VALUE!</v>
      </c>
      <c r="J18" s="148"/>
      <c r="K18" s="8"/>
      <c r="L18" s="142" t="e">
        <v>#VALUE!</v>
      </c>
      <c r="M18" s="8"/>
      <c r="N18" s="91" t="str">
        <f t="shared" si="0"/>
        <v>USD15x27F_SYNTH1Y_Quote</v>
      </c>
      <c r="O18" s="479" t="e">
        <v>#VALUE!</v>
      </c>
      <c r="P18" s="123" t="e">
        <f>_xll.qlSimpleQuoteSetValue(N18,O18,EvaluationDate)</f>
        <v>#NUM!</v>
      </c>
      <c r="Q18" s="12"/>
    </row>
    <row r="19" spans="1:17" x14ac:dyDescent="0.2">
      <c r="A19" s="10">
        <v>16</v>
      </c>
      <c r="B19" s="111" t="str">
        <f t="shared" si="1"/>
        <v>16x28F</v>
      </c>
      <c r="C19" s="80" t="e">
        <f>_xll.qlCalendarAdvance(Calendar,SettlementDate,A19&amp;"M","MF",TRUE)</f>
        <v>#NUM!</v>
      </c>
      <c r="D19" s="80"/>
      <c r="E19" s="146" t="e">
        <f>_xll.qlInterpolationInterpolate('1Y'!ExtFwdInterpolator,C19)</f>
        <v>#VALUE!</v>
      </c>
      <c r="F19" s="25"/>
      <c r="G19" s="25"/>
      <c r="H19" s="87"/>
      <c r="I19" s="113" t="e">
        <f t="shared" si="2"/>
        <v>#VALUE!</v>
      </c>
      <c r="J19" s="148"/>
      <c r="K19" s="8"/>
      <c r="L19" s="142" t="e">
        <v>#VALUE!</v>
      </c>
      <c r="M19" s="8"/>
      <c r="N19" s="91" t="str">
        <f t="shared" si="0"/>
        <v>USD16x28F_SYNTH1Y_Quote</v>
      </c>
      <c r="O19" s="479" t="e">
        <v>#VALUE!</v>
      </c>
      <c r="P19" s="123" t="e">
        <f>_xll.qlSimpleQuoteSetValue(N19,O19,EvaluationDate)</f>
        <v>#NUM!</v>
      </c>
      <c r="Q19" s="12"/>
    </row>
    <row r="20" spans="1:17" x14ac:dyDescent="0.2">
      <c r="A20" s="10">
        <v>17</v>
      </c>
      <c r="B20" s="111" t="str">
        <f t="shared" si="1"/>
        <v>17x29F</v>
      </c>
      <c r="C20" s="80" t="e">
        <f>_xll.qlCalendarAdvance(Calendar,SettlementDate,A20&amp;"M","MF",TRUE)</f>
        <v>#NUM!</v>
      </c>
      <c r="D20" s="80"/>
      <c r="E20" s="146" t="e">
        <f>_xll.qlInterpolationInterpolate('1Y'!ExtFwdInterpolator,C20)</f>
        <v>#VALUE!</v>
      </c>
      <c r="F20" s="25"/>
      <c r="G20" s="25"/>
      <c r="H20" s="87"/>
      <c r="I20" s="113" t="e">
        <f t="shared" si="2"/>
        <v>#VALUE!</v>
      </c>
      <c r="J20" s="148"/>
      <c r="K20" s="8"/>
      <c r="L20" s="142" t="e">
        <v>#VALUE!</v>
      </c>
      <c r="M20" s="8"/>
      <c r="N20" s="91" t="str">
        <f t="shared" si="0"/>
        <v>USD17x29F_SYNTH1Y_Quote</v>
      </c>
      <c r="O20" s="479" t="e">
        <v>#VALUE!</v>
      </c>
      <c r="P20" s="123" t="e">
        <f>_xll.qlSimpleQuoteSetValue(N20,O20,EvaluationDate)</f>
        <v>#NUM!</v>
      </c>
      <c r="Q20" s="12"/>
    </row>
    <row r="21" spans="1:17" x14ac:dyDescent="0.2">
      <c r="A21" s="10">
        <v>18</v>
      </c>
      <c r="B21" s="111" t="str">
        <f t="shared" si="1"/>
        <v>18x30F</v>
      </c>
      <c r="C21" s="80" t="e">
        <f>_xll.qlCalendarAdvance(Calendar,SettlementDate,A21&amp;"M","MF",TRUE)</f>
        <v>#NUM!</v>
      </c>
      <c r="D21" s="80"/>
      <c r="E21" s="146" t="e">
        <f>_xll.qlInterpolationInterpolate('1Y'!ExtFwdInterpolator,C21)</f>
        <v>#VALUE!</v>
      </c>
      <c r="F21" s="25"/>
      <c r="G21" s="25"/>
      <c r="H21" s="87"/>
      <c r="I21" s="113" t="e">
        <f t="shared" si="2"/>
        <v>#VALUE!</v>
      </c>
      <c r="J21" s="148"/>
      <c r="K21" s="8"/>
      <c r="L21" s="142" t="e">
        <v>#VALUE!</v>
      </c>
      <c r="M21" s="8"/>
      <c r="N21" s="91" t="str">
        <f t="shared" si="0"/>
        <v>USD18x30F_SYNTH1Y_Quote</v>
      </c>
      <c r="O21" s="479" t="e">
        <v>#VALUE!</v>
      </c>
      <c r="P21" s="123" t="e">
        <f>_xll.qlSimpleQuoteSetValue(N21,O21,EvaluationDate)</f>
        <v>#NUM!</v>
      </c>
      <c r="Q21" s="12"/>
    </row>
    <row r="22" spans="1:17" x14ac:dyDescent="0.2">
      <c r="A22" s="10">
        <v>19</v>
      </c>
      <c r="B22" s="111" t="str">
        <f t="shared" si="1"/>
        <v>19x31F</v>
      </c>
      <c r="C22" s="80" t="e">
        <f>_xll.qlCalendarAdvance(Calendar,SettlementDate,A22&amp;"M","MF",TRUE)</f>
        <v>#NUM!</v>
      </c>
      <c r="D22" s="80"/>
      <c r="E22" s="146" t="e">
        <f>_xll.qlInterpolationInterpolate('1Y'!ExtFwdInterpolator,C22)</f>
        <v>#VALUE!</v>
      </c>
      <c r="F22" s="25"/>
      <c r="G22" s="25"/>
      <c r="H22" s="87"/>
      <c r="I22" s="113" t="e">
        <f t="shared" si="2"/>
        <v>#VALUE!</v>
      </c>
      <c r="J22" s="148"/>
      <c r="K22" s="8"/>
      <c r="L22" s="142" t="e">
        <v>#VALUE!</v>
      </c>
      <c r="M22" s="8"/>
      <c r="N22" s="91" t="str">
        <f t="shared" si="0"/>
        <v>USD19x31F_SYNTH1Y_Quote</v>
      </c>
      <c r="O22" s="479" t="e">
        <v>#VALUE!</v>
      </c>
      <c r="P22" s="123" t="e">
        <f>_xll.qlSimpleQuoteSetValue(N22,O22,EvaluationDate)</f>
        <v>#NUM!</v>
      </c>
      <c r="Q22" s="12"/>
    </row>
    <row r="23" spans="1:17" x14ac:dyDescent="0.2">
      <c r="A23" s="10">
        <v>20</v>
      </c>
      <c r="B23" s="111" t="str">
        <f t="shared" si="1"/>
        <v>20x32F</v>
      </c>
      <c r="C23" s="80" t="e">
        <f>_xll.qlCalendarAdvance(Calendar,SettlementDate,A23&amp;"M","MF",TRUE)</f>
        <v>#NUM!</v>
      </c>
      <c r="D23" s="80"/>
      <c r="E23" s="146" t="e">
        <f>_xll.qlInterpolationInterpolate('1Y'!ExtFwdInterpolator,C23)</f>
        <v>#VALUE!</v>
      </c>
      <c r="F23" s="25"/>
      <c r="G23" s="25"/>
      <c r="H23" s="87"/>
      <c r="I23" s="113" t="e">
        <f t="shared" si="2"/>
        <v>#VALUE!</v>
      </c>
      <c r="J23" s="148"/>
      <c r="K23" s="8"/>
      <c r="L23" s="142" t="e">
        <v>#VALUE!</v>
      </c>
      <c r="M23" s="8"/>
      <c r="N23" s="91" t="str">
        <f t="shared" si="0"/>
        <v>USD20x32F_SYNTH1Y_Quote</v>
      </c>
      <c r="O23" s="479" t="e">
        <v>#VALUE!</v>
      </c>
      <c r="P23" s="123" t="e">
        <f>_xll.qlSimpleQuoteSetValue(N23,O23,EvaluationDate)</f>
        <v>#NUM!</v>
      </c>
      <c r="Q23" s="12"/>
    </row>
    <row r="24" spans="1:17" x14ac:dyDescent="0.2">
      <c r="A24" s="10">
        <v>21</v>
      </c>
      <c r="B24" s="111" t="str">
        <f t="shared" si="1"/>
        <v>21x33F</v>
      </c>
      <c r="C24" s="80" t="e">
        <f>_xll.qlCalendarAdvance(Calendar,SettlementDate,A24&amp;"M","MF",TRUE)</f>
        <v>#NUM!</v>
      </c>
      <c r="D24" s="80"/>
      <c r="E24" s="146" t="e">
        <f>_xll.qlInterpolationInterpolate('1Y'!ExtFwdInterpolator,C24)</f>
        <v>#VALUE!</v>
      </c>
      <c r="F24" s="25"/>
      <c r="G24" s="25"/>
      <c r="H24" s="87"/>
      <c r="I24" s="113" t="e">
        <f t="shared" si="2"/>
        <v>#VALUE!</v>
      </c>
      <c r="J24" s="148"/>
      <c r="K24" s="8"/>
      <c r="L24" s="142" t="e">
        <v>#VALUE!</v>
      </c>
      <c r="M24" s="8"/>
      <c r="N24" s="91" t="str">
        <f t="shared" si="0"/>
        <v>USD21x33F_SYNTH1Y_Quote</v>
      </c>
      <c r="O24" s="479" t="e">
        <v>#VALUE!</v>
      </c>
      <c r="P24" s="123" t="e">
        <f>_xll.qlSimpleQuoteSetValue(N24,O24,EvaluationDate)</f>
        <v>#NUM!</v>
      </c>
      <c r="Q24" s="12"/>
    </row>
    <row r="25" spans="1:17" x14ac:dyDescent="0.2">
      <c r="A25" s="10">
        <v>22</v>
      </c>
      <c r="B25" s="111" t="str">
        <f t="shared" si="1"/>
        <v>22x34F</v>
      </c>
      <c r="C25" s="80" t="e">
        <f>_xll.qlCalendarAdvance(Calendar,SettlementDate,A25&amp;"M","MF",TRUE)</f>
        <v>#NUM!</v>
      </c>
      <c r="D25" s="80"/>
      <c r="E25" s="146" t="e">
        <f>_xll.qlInterpolationInterpolate('1Y'!ExtFwdInterpolator,C25)</f>
        <v>#VALUE!</v>
      </c>
      <c r="F25" s="25"/>
      <c r="G25" s="25"/>
      <c r="H25" s="87"/>
      <c r="I25" s="113" t="e">
        <f t="shared" si="2"/>
        <v>#VALUE!</v>
      </c>
      <c r="J25" s="148"/>
      <c r="K25" s="8"/>
      <c r="L25" s="142" t="e">
        <v>#VALUE!</v>
      </c>
      <c r="M25" s="8"/>
      <c r="N25" s="91" t="str">
        <f t="shared" si="0"/>
        <v>USD22x34F_SYNTH1Y_Quote</v>
      </c>
      <c r="O25" s="479" t="e">
        <v>#VALUE!</v>
      </c>
      <c r="P25" s="123" t="e">
        <f>_xll.qlSimpleQuoteSetValue(N25,O25,EvaluationDate)</f>
        <v>#NUM!</v>
      </c>
      <c r="Q25" s="12"/>
    </row>
    <row r="26" spans="1:17" x14ac:dyDescent="0.2">
      <c r="A26" s="10">
        <v>23</v>
      </c>
      <c r="B26" s="114" t="str">
        <f t="shared" si="1"/>
        <v>23x35F</v>
      </c>
      <c r="C26" s="115" t="e">
        <f>_xll.qlCalendarAdvance(Calendar,SettlementDate,A26&amp;"M","MF",TRUE)</f>
        <v>#NUM!</v>
      </c>
      <c r="D26" s="115"/>
      <c r="E26" s="147" t="e">
        <f>_xll.qlInterpolationInterpolate('1Y'!ExtFwdInterpolator,C26)</f>
        <v>#VALUE!</v>
      </c>
      <c r="F26" s="39"/>
      <c r="G26" s="39"/>
      <c r="H26" s="88"/>
      <c r="I26" s="116" t="e">
        <f t="shared" si="2"/>
        <v>#VALUE!</v>
      </c>
      <c r="J26" s="149"/>
      <c r="K26" s="8"/>
      <c r="L26" s="143" t="e">
        <v>#VALUE!</v>
      </c>
      <c r="M26" s="8"/>
      <c r="N26" s="92" t="str">
        <f t="shared" si="0"/>
        <v>USD23x35F_SYNTH1Y_Quote</v>
      </c>
      <c r="O26" s="490" t="e">
        <v>#VALUE!</v>
      </c>
      <c r="P26" s="125" t="e">
        <f>_xll.qlSimpleQuoteSetValue(N26,O26,EvaluationDate)</f>
        <v>#NUM!</v>
      </c>
      <c r="Q26" s="12"/>
    </row>
    <row r="27" spans="1:17" s="18" customFormat="1" x14ac:dyDescent="0.2">
      <c r="A27" s="10">
        <v>25</v>
      </c>
      <c r="B27" s="183" t="str">
        <f t="shared" si="1"/>
        <v>25x37F</v>
      </c>
      <c r="C27" s="302" t="e">
        <f>_xll.qlCalendarAdvance(Calendar,SettlementDate,A27&amp;"M","MF",TRUE)</f>
        <v>#NUM!</v>
      </c>
      <c r="D27" s="302"/>
      <c r="E27" s="485" t="e">
        <f>_xll.qlInterpolationInterpolate('1Y'!ExtFwdInterpolator,C27)</f>
        <v>#VALUE!</v>
      </c>
      <c r="F27" s="33"/>
      <c r="G27" s="33"/>
      <c r="H27" s="86"/>
      <c r="I27" s="486" t="e">
        <f t="shared" si="2"/>
        <v>#VALUE!</v>
      </c>
      <c r="J27" s="487"/>
      <c r="K27" s="8"/>
      <c r="L27" s="488" t="e">
        <v>#VALUE!</v>
      </c>
      <c r="M27" s="8"/>
      <c r="N27" s="96" t="str">
        <f t="shared" si="0"/>
        <v>USD25x37F_SYNTH1Y_Quote</v>
      </c>
      <c r="O27" s="489" t="e">
        <v>#VALUE!</v>
      </c>
      <c r="P27" s="134" t="e">
        <f>_xll.qlSimpleQuoteSetValue(N27,O27,EvaluationDate)</f>
        <v>#NUM!</v>
      </c>
      <c r="Q27" s="12"/>
    </row>
    <row r="28" spans="1:17" s="18" customFormat="1" x14ac:dyDescent="0.2">
      <c r="A28" s="10">
        <v>26</v>
      </c>
      <c r="B28" s="111" t="str">
        <f t="shared" si="1"/>
        <v>26x38F</v>
      </c>
      <c r="C28" s="80" t="e">
        <f>_xll.qlCalendarAdvance(Calendar,SettlementDate,A28&amp;"M","MF",TRUE)</f>
        <v>#NUM!</v>
      </c>
      <c r="D28" s="80"/>
      <c r="E28" s="146" t="e">
        <f>_xll.qlInterpolationInterpolate('1Y'!ExtFwdInterpolator,C28)</f>
        <v>#VALUE!</v>
      </c>
      <c r="F28" s="25"/>
      <c r="G28" s="25"/>
      <c r="H28" s="87"/>
      <c r="I28" s="113" t="e">
        <f t="shared" si="2"/>
        <v>#VALUE!</v>
      </c>
      <c r="J28" s="148"/>
      <c r="K28" s="8"/>
      <c r="L28" s="142" t="e">
        <v>#VALUE!</v>
      </c>
      <c r="M28" s="8"/>
      <c r="N28" s="91" t="str">
        <f t="shared" si="0"/>
        <v>USD26x38F_SYNTH1Y_Quote</v>
      </c>
      <c r="O28" s="479" t="e">
        <v>#VALUE!</v>
      </c>
      <c r="P28" s="123" t="e">
        <f>_xll.qlSimpleQuoteSetValue(N28,O28,EvaluationDate)</f>
        <v>#NUM!</v>
      </c>
      <c r="Q28" s="12"/>
    </row>
    <row r="29" spans="1:17" s="18" customFormat="1" x14ac:dyDescent="0.2">
      <c r="A29" s="10">
        <v>27</v>
      </c>
      <c r="B29" s="111" t="str">
        <f t="shared" si="1"/>
        <v>27x39F</v>
      </c>
      <c r="C29" s="80" t="e">
        <f>_xll.qlCalendarAdvance(Calendar,SettlementDate,A29&amp;"M","MF",TRUE)</f>
        <v>#NUM!</v>
      </c>
      <c r="D29" s="80"/>
      <c r="E29" s="146" t="e">
        <f>_xll.qlInterpolationInterpolate('1Y'!ExtFwdInterpolator,C29)</f>
        <v>#VALUE!</v>
      </c>
      <c r="F29" s="25"/>
      <c r="G29" s="25"/>
      <c r="H29" s="87"/>
      <c r="I29" s="113" t="e">
        <f t="shared" si="2"/>
        <v>#VALUE!</v>
      </c>
      <c r="J29" s="148"/>
      <c r="K29" s="8"/>
      <c r="L29" s="142" t="e">
        <v>#VALUE!</v>
      </c>
      <c r="M29" s="8"/>
      <c r="N29" s="91" t="str">
        <f t="shared" si="0"/>
        <v>USD27x39F_SYNTH1Y_Quote</v>
      </c>
      <c r="O29" s="479" t="e">
        <v>#VALUE!</v>
      </c>
      <c r="P29" s="123" t="e">
        <f>_xll.qlSimpleQuoteSetValue(N29,O29,EvaluationDate)</f>
        <v>#NUM!</v>
      </c>
      <c r="Q29" s="12"/>
    </row>
    <row r="30" spans="1:17" s="18" customFormat="1" x14ac:dyDescent="0.2">
      <c r="A30" s="10">
        <v>28</v>
      </c>
      <c r="B30" s="111" t="str">
        <f t="shared" si="1"/>
        <v>28x40F</v>
      </c>
      <c r="C30" s="80" t="e">
        <f>_xll.qlCalendarAdvance(Calendar,SettlementDate,A30&amp;"M","MF",TRUE)</f>
        <v>#NUM!</v>
      </c>
      <c r="D30" s="80"/>
      <c r="E30" s="146" t="e">
        <f>_xll.qlInterpolationInterpolate('1Y'!ExtFwdInterpolator,C30)</f>
        <v>#VALUE!</v>
      </c>
      <c r="F30" s="25"/>
      <c r="G30" s="25"/>
      <c r="H30" s="87"/>
      <c r="I30" s="113" t="e">
        <f t="shared" si="2"/>
        <v>#VALUE!</v>
      </c>
      <c r="J30" s="148"/>
      <c r="K30" s="8"/>
      <c r="L30" s="142" t="e">
        <v>#VALUE!</v>
      </c>
      <c r="M30" s="8"/>
      <c r="N30" s="91" t="str">
        <f t="shared" si="0"/>
        <v>USD28x40F_SYNTH1Y_Quote</v>
      </c>
      <c r="O30" s="479" t="e">
        <v>#VALUE!</v>
      </c>
      <c r="P30" s="123" t="e">
        <f>_xll.qlSimpleQuoteSetValue(N30,O30,EvaluationDate)</f>
        <v>#NUM!</v>
      </c>
      <c r="Q30" s="12"/>
    </row>
    <row r="31" spans="1:17" s="18" customFormat="1" x14ac:dyDescent="0.2">
      <c r="A31" s="10">
        <v>29</v>
      </c>
      <c r="B31" s="111" t="str">
        <f t="shared" si="1"/>
        <v>29x41F</v>
      </c>
      <c r="C31" s="80" t="e">
        <f>_xll.qlCalendarAdvance(Calendar,SettlementDate,A31&amp;"M","MF",TRUE)</f>
        <v>#NUM!</v>
      </c>
      <c r="D31" s="80"/>
      <c r="E31" s="146" t="e">
        <f>_xll.qlInterpolationInterpolate('1Y'!ExtFwdInterpolator,C31)</f>
        <v>#VALUE!</v>
      </c>
      <c r="F31" s="25"/>
      <c r="G31" s="25"/>
      <c r="H31" s="87"/>
      <c r="I31" s="113" t="e">
        <f t="shared" si="2"/>
        <v>#VALUE!</v>
      </c>
      <c r="J31" s="148"/>
      <c r="K31" s="8"/>
      <c r="L31" s="142" t="e">
        <v>#VALUE!</v>
      </c>
      <c r="M31" s="8"/>
      <c r="N31" s="91" t="str">
        <f t="shared" si="0"/>
        <v>USD29x41F_SYNTH1Y_Quote</v>
      </c>
      <c r="O31" s="479" t="e">
        <v>#VALUE!</v>
      </c>
      <c r="P31" s="123" t="e">
        <f>_xll.qlSimpleQuoteSetValue(N31,O31,EvaluationDate)</f>
        <v>#NUM!</v>
      </c>
      <c r="Q31" s="12"/>
    </row>
    <row r="32" spans="1:17" s="18" customFormat="1" x14ac:dyDescent="0.2">
      <c r="A32" s="10">
        <v>30</v>
      </c>
      <c r="B32" s="111" t="str">
        <f t="shared" si="1"/>
        <v>30x42F</v>
      </c>
      <c r="C32" s="80" t="e">
        <f>_xll.qlCalendarAdvance(Calendar,SettlementDate,A32&amp;"M","MF",TRUE)</f>
        <v>#NUM!</v>
      </c>
      <c r="D32" s="80"/>
      <c r="E32" s="146" t="e">
        <f>_xll.qlInterpolationInterpolate('1Y'!ExtFwdInterpolator,C32)</f>
        <v>#VALUE!</v>
      </c>
      <c r="F32" s="25"/>
      <c r="G32" s="25"/>
      <c r="H32" s="87"/>
      <c r="I32" s="113" t="e">
        <f t="shared" si="2"/>
        <v>#VALUE!</v>
      </c>
      <c r="J32" s="148"/>
      <c r="K32" s="8"/>
      <c r="L32" s="142" t="e">
        <v>#VALUE!</v>
      </c>
      <c r="M32" s="8"/>
      <c r="N32" s="91" t="str">
        <f t="shared" si="0"/>
        <v>USD30x42F_SYNTH1Y_Quote</v>
      </c>
      <c r="O32" s="479" t="e">
        <v>#VALUE!</v>
      </c>
      <c r="P32" s="123" t="e">
        <f>_xll.qlSimpleQuoteSetValue(N32,O32,EvaluationDate)</f>
        <v>#NUM!</v>
      </c>
      <c r="Q32" s="12"/>
    </row>
    <row r="33" spans="1:17" s="18" customFormat="1" x14ac:dyDescent="0.2">
      <c r="A33" s="10">
        <v>31</v>
      </c>
      <c r="B33" s="111" t="str">
        <f t="shared" si="1"/>
        <v>31x43F</v>
      </c>
      <c r="C33" s="80" t="e">
        <f>_xll.qlCalendarAdvance(Calendar,SettlementDate,A33&amp;"M","MF",TRUE)</f>
        <v>#NUM!</v>
      </c>
      <c r="D33" s="80"/>
      <c r="E33" s="146" t="e">
        <f>_xll.qlInterpolationInterpolate('1Y'!ExtFwdInterpolator,C33)</f>
        <v>#VALUE!</v>
      </c>
      <c r="F33" s="25"/>
      <c r="G33" s="25"/>
      <c r="H33" s="87"/>
      <c r="I33" s="113" t="e">
        <f t="shared" si="2"/>
        <v>#VALUE!</v>
      </c>
      <c r="J33" s="148"/>
      <c r="K33" s="8"/>
      <c r="L33" s="142" t="e">
        <v>#VALUE!</v>
      </c>
      <c r="M33" s="8"/>
      <c r="N33" s="91" t="str">
        <f t="shared" si="0"/>
        <v>USD31x43F_SYNTH1Y_Quote</v>
      </c>
      <c r="O33" s="479" t="e">
        <v>#VALUE!</v>
      </c>
      <c r="P33" s="123" t="e">
        <f>_xll.qlSimpleQuoteSetValue(N33,O33,EvaluationDate)</f>
        <v>#NUM!</v>
      </c>
      <c r="Q33" s="12"/>
    </row>
    <row r="34" spans="1:17" s="18" customFormat="1" x14ac:dyDescent="0.2">
      <c r="A34" s="10">
        <v>32</v>
      </c>
      <c r="B34" s="111" t="str">
        <f t="shared" si="1"/>
        <v>32x44F</v>
      </c>
      <c r="C34" s="80" t="e">
        <f>_xll.qlCalendarAdvance(Calendar,SettlementDate,A34&amp;"M","MF",TRUE)</f>
        <v>#NUM!</v>
      </c>
      <c r="D34" s="80"/>
      <c r="E34" s="146" t="e">
        <f>_xll.qlInterpolationInterpolate('1Y'!ExtFwdInterpolator,C34)</f>
        <v>#VALUE!</v>
      </c>
      <c r="F34" s="25"/>
      <c r="G34" s="25"/>
      <c r="H34" s="87"/>
      <c r="I34" s="113" t="e">
        <f t="shared" si="2"/>
        <v>#VALUE!</v>
      </c>
      <c r="J34" s="148"/>
      <c r="K34" s="8"/>
      <c r="L34" s="142" t="e">
        <v>#VALUE!</v>
      </c>
      <c r="M34" s="8"/>
      <c r="N34" s="91" t="str">
        <f t="shared" si="0"/>
        <v>USD32x44F_SYNTH1Y_Quote</v>
      </c>
      <c r="O34" s="479" t="e">
        <v>#VALUE!</v>
      </c>
      <c r="P34" s="123" t="e">
        <f>_xll.qlSimpleQuoteSetValue(N34,O34,EvaluationDate)</f>
        <v>#NUM!</v>
      </c>
      <c r="Q34" s="12"/>
    </row>
    <row r="35" spans="1:17" s="18" customFormat="1" x14ac:dyDescent="0.2">
      <c r="A35" s="10">
        <v>33</v>
      </c>
      <c r="B35" s="111" t="str">
        <f t="shared" si="1"/>
        <v>33x45F</v>
      </c>
      <c r="C35" s="80" t="e">
        <f>_xll.qlCalendarAdvance(Calendar,SettlementDate,A35&amp;"M","MF",TRUE)</f>
        <v>#NUM!</v>
      </c>
      <c r="D35" s="80"/>
      <c r="E35" s="146" t="e">
        <f>_xll.qlInterpolationInterpolate('1Y'!ExtFwdInterpolator,C35)</f>
        <v>#VALUE!</v>
      </c>
      <c r="F35" s="25"/>
      <c r="G35" s="25"/>
      <c r="H35" s="87"/>
      <c r="I35" s="113" t="e">
        <f t="shared" si="2"/>
        <v>#VALUE!</v>
      </c>
      <c r="J35" s="148"/>
      <c r="K35" s="8"/>
      <c r="L35" s="142" t="e">
        <v>#VALUE!</v>
      </c>
      <c r="M35" s="8"/>
      <c r="N35" s="91" t="str">
        <f t="shared" si="0"/>
        <v>USD33x45F_SYNTH1Y_Quote</v>
      </c>
      <c r="O35" s="479" t="e">
        <v>#VALUE!</v>
      </c>
      <c r="P35" s="123" t="e">
        <f>_xll.qlSimpleQuoteSetValue(N35,O35,EvaluationDate)</f>
        <v>#NUM!</v>
      </c>
      <c r="Q35" s="12"/>
    </row>
    <row r="36" spans="1:17" s="18" customFormat="1" x14ac:dyDescent="0.2">
      <c r="A36" s="10">
        <v>34</v>
      </c>
      <c r="B36" s="111" t="str">
        <f t="shared" si="1"/>
        <v>34x46F</v>
      </c>
      <c r="C36" s="80" t="e">
        <f>_xll.qlCalendarAdvance(Calendar,SettlementDate,A36&amp;"M","MF",TRUE)</f>
        <v>#NUM!</v>
      </c>
      <c r="D36" s="80"/>
      <c r="E36" s="146" t="e">
        <f>_xll.qlInterpolationInterpolate('1Y'!ExtFwdInterpolator,C36)</f>
        <v>#VALUE!</v>
      </c>
      <c r="F36" s="25"/>
      <c r="G36" s="25"/>
      <c r="H36" s="87"/>
      <c r="I36" s="113" t="e">
        <f t="shared" si="2"/>
        <v>#VALUE!</v>
      </c>
      <c r="J36" s="148"/>
      <c r="K36" s="8"/>
      <c r="L36" s="142" t="e">
        <v>#VALUE!</v>
      </c>
      <c r="M36" s="8"/>
      <c r="N36" s="91" t="str">
        <f t="shared" si="0"/>
        <v>USD34x46F_SYNTH1Y_Quote</v>
      </c>
      <c r="O36" s="479" t="e">
        <v>#VALUE!</v>
      </c>
      <c r="P36" s="123" t="e">
        <f>_xll.qlSimpleQuoteSetValue(N36,O36,EvaluationDate)</f>
        <v>#NUM!</v>
      </c>
      <c r="Q36" s="12"/>
    </row>
    <row r="37" spans="1:17" s="18" customFormat="1" x14ac:dyDescent="0.2">
      <c r="A37" s="10">
        <v>35</v>
      </c>
      <c r="B37" s="114" t="str">
        <f t="shared" si="1"/>
        <v>35x47F</v>
      </c>
      <c r="C37" s="115" t="e">
        <f>_xll.qlCalendarAdvance(Calendar,SettlementDate,A37&amp;"M","MF",TRUE)</f>
        <v>#NUM!</v>
      </c>
      <c r="D37" s="115"/>
      <c r="E37" s="147" t="e">
        <f>_xll.qlInterpolationInterpolate('1Y'!ExtFwdInterpolator,C37)</f>
        <v>#VALUE!</v>
      </c>
      <c r="F37" s="39"/>
      <c r="G37" s="39"/>
      <c r="H37" s="88"/>
      <c r="I37" s="116" t="e">
        <f t="shared" si="2"/>
        <v>#VALUE!</v>
      </c>
      <c r="J37" s="149"/>
      <c r="K37" s="8"/>
      <c r="L37" s="143" t="e">
        <v>#VALUE!</v>
      </c>
      <c r="M37" s="8"/>
      <c r="N37" s="92" t="str">
        <f t="shared" si="0"/>
        <v>USD35x47F_SYNTH1Y_Quote</v>
      </c>
      <c r="O37" s="490" t="e">
        <v>#VALUE!</v>
      </c>
      <c r="P37" s="125" t="e">
        <f>_xll.qlSimpleQuoteSetValue(N37,O37,EvaluationDate)</f>
        <v>#NUM!</v>
      </c>
      <c r="Q37" s="12"/>
    </row>
    <row r="38" spans="1:17" x14ac:dyDescent="0.2">
      <c r="A38" s="10">
        <v>37</v>
      </c>
      <c r="B38" s="111" t="str">
        <f t="shared" si="1"/>
        <v>37x49F</v>
      </c>
      <c r="C38" s="80" t="e">
        <f>_xll.qlCalendarAdvance(Calendar,SettlementDate,A38&amp;"M","MF",TRUE)</f>
        <v>#NUM!</v>
      </c>
      <c r="D38" s="80"/>
      <c r="E38" s="146" t="e">
        <f>_xll.qlInterpolationInterpolate('1Y'!ExtFwdInterpolator,C38)</f>
        <v>#VALUE!</v>
      </c>
      <c r="F38" s="25"/>
      <c r="G38" s="25"/>
      <c r="H38" s="87"/>
      <c r="I38" s="113" t="e">
        <f t="shared" si="2"/>
        <v>#VALUE!</v>
      </c>
      <c r="J38" s="148"/>
      <c r="K38" s="8"/>
      <c r="L38" s="142" t="e">
        <v>#VALUE!</v>
      </c>
      <c r="M38" s="8"/>
      <c r="N38" s="91" t="str">
        <f t="shared" si="0"/>
        <v>USD37x49F_SYNTH1Y_Quote</v>
      </c>
      <c r="O38" s="479" t="e">
        <v>#VALUE!</v>
      </c>
      <c r="P38" s="123" t="e">
        <f>_xll.qlSimpleQuoteSetValue(N38,O38,EvaluationDate)</f>
        <v>#NUM!</v>
      </c>
      <c r="Q38" s="12"/>
    </row>
    <row r="39" spans="1:17" x14ac:dyDescent="0.2">
      <c r="A39" s="10">
        <v>38</v>
      </c>
      <c r="B39" s="111" t="str">
        <f t="shared" si="1"/>
        <v>38x50F</v>
      </c>
      <c r="C39" s="80" t="e">
        <f>_xll.qlCalendarAdvance(Calendar,SettlementDate,A39&amp;"M","MF",TRUE)</f>
        <v>#NUM!</v>
      </c>
      <c r="D39" s="80"/>
      <c r="E39" s="146" t="e">
        <f>_xll.qlInterpolationInterpolate('1Y'!ExtFwdInterpolator,C39)</f>
        <v>#VALUE!</v>
      </c>
      <c r="F39" s="25"/>
      <c r="G39" s="25"/>
      <c r="H39" s="87"/>
      <c r="I39" s="113" t="e">
        <f t="shared" si="2"/>
        <v>#VALUE!</v>
      </c>
      <c r="J39" s="148"/>
      <c r="K39" s="8"/>
      <c r="L39" s="142" t="e">
        <v>#VALUE!</v>
      </c>
      <c r="M39" s="8"/>
      <c r="N39" s="91" t="str">
        <f t="shared" si="0"/>
        <v>USD38x50F_SYNTH1Y_Quote</v>
      </c>
      <c r="O39" s="479" t="e">
        <v>#VALUE!</v>
      </c>
      <c r="P39" s="123" t="e">
        <f>_xll.qlSimpleQuoteSetValue(N39,O39,EvaluationDate)</f>
        <v>#NUM!</v>
      </c>
      <c r="Q39" s="12"/>
    </row>
    <row r="40" spans="1:17" x14ac:dyDescent="0.2">
      <c r="A40" s="10">
        <v>39</v>
      </c>
      <c r="B40" s="111" t="str">
        <f t="shared" si="1"/>
        <v>39x51F</v>
      </c>
      <c r="C40" s="80" t="e">
        <f>_xll.qlCalendarAdvance(Calendar,SettlementDate,A40&amp;"M","MF",TRUE)</f>
        <v>#NUM!</v>
      </c>
      <c r="D40" s="80"/>
      <c r="E40" s="146" t="e">
        <f>_xll.qlInterpolationInterpolate('1Y'!ExtFwdInterpolator,C40)</f>
        <v>#VALUE!</v>
      </c>
      <c r="F40" s="25"/>
      <c r="G40" s="25"/>
      <c r="H40" s="87"/>
      <c r="I40" s="113" t="e">
        <f t="shared" si="2"/>
        <v>#VALUE!</v>
      </c>
      <c r="J40" s="148"/>
      <c r="K40" s="8"/>
      <c r="L40" s="142" t="e">
        <v>#VALUE!</v>
      </c>
      <c r="M40" s="8"/>
      <c r="N40" s="91" t="str">
        <f t="shared" si="0"/>
        <v>USD39x51F_SYNTH1Y_Quote</v>
      </c>
      <c r="O40" s="479" t="e">
        <v>#VALUE!</v>
      </c>
      <c r="P40" s="123" t="e">
        <f>_xll.qlSimpleQuoteSetValue(N40,O40,EvaluationDate)</f>
        <v>#NUM!</v>
      </c>
      <c r="Q40" s="12"/>
    </row>
    <row r="41" spans="1:17" x14ac:dyDescent="0.2">
      <c r="A41" s="10">
        <v>40</v>
      </c>
      <c r="B41" s="111" t="str">
        <f t="shared" si="1"/>
        <v>40x52F</v>
      </c>
      <c r="C41" s="80" t="e">
        <f>_xll.qlCalendarAdvance(Calendar,SettlementDate,A41&amp;"M","MF",TRUE)</f>
        <v>#NUM!</v>
      </c>
      <c r="D41" s="80"/>
      <c r="E41" s="146" t="e">
        <f>_xll.qlInterpolationInterpolate('1Y'!ExtFwdInterpolator,C41)</f>
        <v>#VALUE!</v>
      </c>
      <c r="F41" s="25"/>
      <c r="G41" s="25"/>
      <c r="H41" s="87"/>
      <c r="I41" s="113" t="e">
        <f t="shared" si="2"/>
        <v>#VALUE!</v>
      </c>
      <c r="J41" s="148"/>
      <c r="K41" s="8"/>
      <c r="L41" s="142" t="e">
        <v>#VALUE!</v>
      </c>
      <c r="M41" s="8"/>
      <c r="N41" s="91" t="str">
        <f t="shared" si="0"/>
        <v>USD40x52F_SYNTH1Y_Quote</v>
      </c>
      <c r="O41" s="479" t="e">
        <v>#VALUE!</v>
      </c>
      <c r="P41" s="123" t="e">
        <f>_xll.qlSimpleQuoteSetValue(N41,O41,EvaluationDate)</f>
        <v>#NUM!</v>
      </c>
      <c r="Q41" s="12"/>
    </row>
    <row r="42" spans="1:17" x14ac:dyDescent="0.2">
      <c r="A42" s="10">
        <v>41</v>
      </c>
      <c r="B42" s="111" t="str">
        <f t="shared" si="1"/>
        <v>41x53F</v>
      </c>
      <c r="C42" s="80" t="e">
        <f>_xll.qlCalendarAdvance(Calendar,SettlementDate,A42&amp;"M","MF",TRUE)</f>
        <v>#NUM!</v>
      </c>
      <c r="D42" s="80"/>
      <c r="E42" s="146" t="e">
        <f>_xll.qlInterpolationInterpolate('1Y'!ExtFwdInterpolator,C42)</f>
        <v>#VALUE!</v>
      </c>
      <c r="F42" s="25"/>
      <c r="G42" s="25"/>
      <c r="H42" s="87"/>
      <c r="I42" s="113" t="e">
        <f t="shared" si="2"/>
        <v>#VALUE!</v>
      </c>
      <c r="J42" s="148"/>
      <c r="K42" s="8"/>
      <c r="L42" s="142" t="e">
        <v>#VALUE!</v>
      </c>
      <c r="M42" s="8"/>
      <c r="N42" s="91" t="str">
        <f t="shared" si="0"/>
        <v>USD41x53F_SYNTH1Y_Quote</v>
      </c>
      <c r="O42" s="479" t="e">
        <v>#VALUE!</v>
      </c>
      <c r="P42" s="123" t="e">
        <f>_xll.qlSimpleQuoteSetValue(N42,O42,EvaluationDate)</f>
        <v>#NUM!</v>
      </c>
      <c r="Q42" s="12"/>
    </row>
    <row r="43" spans="1:17" x14ac:dyDescent="0.2">
      <c r="A43" s="10">
        <v>42</v>
      </c>
      <c r="B43" s="111" t="str">
        <f t="shared" si="1"/>
        <v>42x54F</v>
      </c>
      <c r="C43" s="80" t="e">
        <f>_xll.qlCalendarAdvance(Calendar,SettlementDate,A43&amp;"M","MF",TRUE)</f>
        <v>#NUM!</v>
      </c>
      <c r="D43" s="80"/>
      <c r="E43" s="146" t="e">
        <f>_xll.qlInterpolationInterpolate('1Y'!ExtFwdInterpolator,C43)</f>
        <v>#VALUE!</v>
      </c>
      <c r="F43" s="25"/>
      <c r="G43" s="25"/>
      <c r="H43" s="87"/>
      <c r="I43" s="113" t="e">
        <f t="shared" si="2"/>
        <v>#VALUE!</v>
      </c>
      <c r="J43" s="148"/>
      <c r="K43" s="8"/>
      <c r="L43" s="142" t="e">
        <v>#VALUE!</v>
      </c>
      <c r="M43" s="8"/>
      <c r="N43" s="91" t="str">
        <f t="shared" si="0"/>
        <v>USD42x54F_SYNTH1Y_Quote</v>
      </c>
      <c r="O43" s="479" t="e">
        <v>#VALUE!</v>
      </c>
      <c r="P43" s="123" t="e">
        <f>_xll.qlSimpleQuoteSetValue(N43,O43,EvaluationDate)</f>
        <v>#NUM!</v>
      </c>
      <c r="Q43" s="12"/>
    </row>
    <row r="44" spans="1:17" s="18" customFormat="1" x14ac:dyDescent="0.2">
      <c r="A44" s="10">
        <v>43</v>
      </c>
      <c r="B44" s="111" t="str">
        <f t="shared" si="1"/>
        <v>43x55F</v>
      </c>
      <c r="C44" s="80" t="e">
        <f>_xll.qlCalendarAdvance(Calendar,SettlementDate,A44&amp;"M","MF",TRUE)</f>
        <v>#NUM!</v>
      </c>
      <c r="D44" s="80"/>
      <c r="E44" s="146" t="e">
        <f>_xll.qlInterpolationInterpolate('1Y'!ExtFwdInterpolator,C44)</f>
        <v>#VALUE!</v>
      </c>
      <c r="F44" s="25"/>
      <c r="G44" s="25"/>
      <c r="H44" s="87"/>
      <c r="I44" s="113" t="e">
        <f t="shared" si="2"/>
        <v>#VALUE!</v>
      </c>
      <c r="J44" s="148"/>
      <c r="K44" s="8"/>
      <c r="L44" s="142" t="e">
        <v>#VALUE!</v>
      </c>
      <c r="M44" s="8"/>
      <c r="N44" s="91" t="str">
        <f t="shared" si="0"/>
        <v>USD43x55F_SYNTH1Y_Quote</v>
      </c>
      <c r="O44" s="479" t="e">
        <v>#VALUE!</v>
      </c>
      <c r="P44" s="123" t="e">
        <f>_xll.qlSimpleQuoteSetValue(N44,O44,EvaluationDate)</f>
        <v>#NUM!</v>
      </c>
      <c r="Q44" s="12"/>
    </row>
    <row r="45" spans="1:17" s="18" customFormat="1" x14ac:dyDescent="0.2">
      <c r="A45" s="10">
        <v>44</v>
      </c>
      <c r="B45" s="111" t="str">
        <f t="shared" si="1"/>
        <v>44x56F</v>
      </c>
      <c r="C45" s="80" t="e">
        <f>_xll.qlCalendarAdvance(Calendar,SettlementDate,A45&amp;"M","MF",TRUE)</f>
        <v>#NUM!</v>
      </c>
      <c r="D45" s="80"/>
      <c r="E45" s="146" t="e">
        <f>_xll.qlInterpolationInterpolate('1Y'!ExtFwdInterpolator,C45)</f>
        <v>#VALUE!</v>
      </c>
      <c r="F45" s="25"/>
      <c r="G45" s="25"/>
      <c r="H45" s="87"/>
      <c r="I45" s="113" t="e">
        <f t="shared" si="2"/>
        <v>#VALUE!</v>
      </c>
      <c r="J45" s="148"/>
      <c r="K45" s="8"/>
      <c r="L45" s="142" t="e">
        <v>#VALUE!</v>
      </c>
      <c r="M45" s="8"/>
      <c r="N45" s="91" t="str">
        <f t="shared" si="0"/>
        <v>USD44x56F_SYNTH1Y_Quote</v>
      </c>
      <c r="O45" s="479" t="e">
        <v>#VALUE!</v>
      </c>
      <c r="P45" s="123" t="e">
        <f>_xll.qlSimpleQuoteSetValue(N45,O45,EvaluationDate)</f>
        <v>#NUM!</v>
      </c>
      <c r="Q45" s="12"/>
    </row>
    <row r="46" spans="1:17" s="18" customFormat="1" x14ac:dyDescent="0.2">
      <c r="A46" s="10">
        <v>45</v>
      </c>
      <c r="B46" s="111" t="str">
        <f t="shared" si="1"/>
        <v>45x57F</v>
      </c>
      <c r="C46" s="80" t="e">
        <f>_xll.qlCalendarAdvance(Calendar,SettlementDate,A46&amp;"M","MF",TRUE)</f>
        <v>#NUM!</v>
      </c>
      <c r="D46" s="80"/>
      <c r="E46" s="146" t="e">
        <f>_xll.qlInterpolationInterpolate('1Y'!ExtFwdInterpolator,C46)</f>
        <v>#VALUE!</v>
      </c>
      <c r="F46" s="25"/>
      <c r="G46" s="25"/>
      <c r="H46" s="87"/>
      <c r="I46" s="113" t="e">
        <f t="shared" si="2"/>
        <v>#VALUE!</v>
      </c>
      <c r="J46" s="148"/>
      <c r="K46" s="8"/>
      <c r="L46" s="142" t="e">
        <v>#VALUE!</v>
      </c>
      <c r="M46" s="8"/>
      <c r="N46" s="91" t="str">
        <f t="shared" si="0"/>
        <v>USD45x57F_SYNTH1Y_Quote</v>
      </c>
      <c r="O46" s="479" t="e">
        <v>#VALUE!</v>
      </c>
      <c r="P46" s="123" t="e">
        <f>_xll.qlSimpleQuoteSetValue(N46,O46,EvaluationDate)</f>
        <v>#NUM!</v>
      </c>
      <c r="Q46" s="12"/>
    </row>
    <row r="47" spans="1:17" s="18" customFormat="1" x14ac:dyDescent="0.2">
      <c r="A47" s="10">
        <v>46</v>
      </c>
      <c r="B47" s="111" t="str">
        <f t="shared" si="1"/>
        <v>46x58F</v>
      </c>
      <c r="C47" s="80" t="e">
        <f>_xll.qlCalendarAdvance(Calendar,SettlementDate,A47&amp;"M","MF",TRUE)</f>
        <v>#NUM!</v>
      </c>
      <c r="D47" s="80"/>
      <c r="E47" s="146" t="e">
        <f>_xll.qlInterpolationInterpolate('1Y'!ExtFwdInterpolator,C47)</f>
        <v>#VALUE!</v>
      </c>
      <c r="F47" s="25"/>
      <c r="G47" s="25"/>
      <c r="H47" s="87"/>
      <c r="I47" s="113" t="e">
        <f t="shared" si="2"/>
        <v>#VALUE!</v>
      </c>
      <c r="J47" s="148"/>
      <c r="K47" s="8"/>
      <c r="L47" s="142" t="e">
        <v>#VALUE!</v>
      </c>
      <c r="M47" s="8"/>
      <c r="N47" s="91" t="str">
        <f t="shared" si="0"/>
        <v>USD46x58F_SYNTH1Y_Quote</v>
      </c>
      <c r="O47" s="479" t="e">
        <v>#VALUE!</v>
      </c>
      <c r="P47" s="123" t="e">
        <f>_xll.qlSimpleQuoteSetValue(N47,O47,EvaluationDate)</f>
        <v>#NUM!</v>
      </c>
      <c r="Q47" s="12"/>
    </row>
    <row r="48" spans="1:17" s="18" customFormat="1" x14ac:dyDescent="0.2">
      <c r="A48" s="10">
        <v>47</v>
      </c>
      <c r="B48" s="114" t="str">
        <f t="shared" si="1"/>
        <v>47x59F</v>
      </c>
      <c r="C48" s="115" t="e">
        <f>_xll.qlCalendarAdvance(Calendar,SettlementDate,A48&amp;"M","MF",TRUE)</f>
        <v>#NUM!</v>
      </c>
      <c r="D48" s="115"/>
      <c r="E48" s="147" t="e">
        <f>_xll.qlInterpolationInterpolate('1Y'!ExtFwdInterpolator,C48)</f>
        <v>#VALUE!</v>
      </c>
      <c r="F48" s="39"/>
      <c r="G48" s="39"/>
      <c r="H48" s="88"/>
      <c r="I48" s="116" t="e">
        <f t="shared" si="2"/>
        <v>#VALUE!</v>
      </c>
      <c r="J48" s="149"/>
      <c r="K48" s="8"/>
      <c r="L48" s="143" t="e">
        <v>#VALUE!</v>
      </c>
      <c r="M48" s="8"/>
      <c r="N48" s="92" t="str">
        <f t="shared" si="0"/>
        <v>USD47x59F_SYNTH1Y_Quote</v>
      </c>
      <c r="O48" s="156" t="e">
        <v>#VALUE!</v>
      </c>
      <c r="P48" s="125" t="e">
        <f>_xll.qlSimpleQuoteSetValue(N48,O48,EvaluationDate)</f>
        <v>#NUM!</v>
      </c>
      <c r="Q48" s="12"/>
    </row>
    <row r="49" spans="1:21" s="18" customFormat="1" ht="12" thickBot="1" x14ac:dyDescent="0.25">
      <c r="A49" s="153"/>
      <c r="B49" s="154"/>
      <c r="C49" s="154"/>
      <c r="D49" s="154"/>
      <c r="E49" s="154"/>
      <c r="F49" s="154"/>
      <c r="G49" s="154"/>
      <c r="H49" s="154"/>
      <c r="I49" s="154"/>
      <c r="J49" s="154"/>
      <c r="K49" s="154"/>
      <c r="L49" s="154"/>
      <c r="M49" s="154"/>
      <c r="N49" s="154"/>
      <c r="O49" s="154"/>
      <c r="P49" s="154"/>
      <c r="Q49" s="155"/>
      <c r="R49" s="43"/>
      <c r="S49" s="43"/>
      <c r="T49" s="43"/>
      <c r="U49" s="43"/>
    </row>
    <row r="50" spans="1:21" s="18" customFormat="1" x14ac:dyDescent="0.2"/>
    <row r="51" spans="1:21" s="18" customFormat="1" x14ac:dyDescent="0.2"/>
    <row r="52" spans="1:21" s="18" customFormat="1" x14ac:dyDescent="0.2"/>
    <row r="53" spans="1:21" s="18" customFormat="1" x14ac:dyDescent="0.2"/>
    <row r="54" spans="1:21" s="18" customFormat="1" x14ac:dyDescent="0.2"/>
    <row r="55" spans="1:21" s="18" customFormat="1" x14ac:dyDescent="0.2"/>
    <row r="56" spans="1:21" s="18" customFormat="1" x14ac:dyDescent="0.2"/>
    <row r="57" spans="1:21" s="18" customFormat="1" x14ac:dyDescent="0.2"/>
    <row r="58" spans="1:21" s="18" customFormat="1" x14ac:dyDescent="0.2"/>
    <row r="59" spans="1:21" s="18" customFormat="1" x14ac:dyDescent="0.2"/>
    <row r="60" spans="1:21" s="18" customFormat="1" x14ac:dyDescent="0.2"/>
    <row r="61" spans="1:21" s="18" customFormat="1" x14ac:dyDescent="0.2"/>
    <row r="62" spans="1:21" s="18" customFormat="1" x14ac:dyDescent="0.2"/>
  </sheetData>
  <phoneticPr fontId="0" type="noConversion"/>
  <conditionalFormatting sqref="P5:P48">
    <cfRule type="cellIs" dxfId="1" priority="1" stopIfTrue="1" operator="greaterThan">
      <formula>0</formula>
    </cfRule>
    <cfRule type="cellIs" dxfId="0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79</vt:i4>
      </vt:variant>
    </vt:vector>
  </HeadingPairs>
  <TitlesOfParts>
    <vt:vector size="91" baseType="lpstr">
      <vt:lpstr>General Settings</vt:lpstr>
      <vt:lpstr>Triggers</vt:lpstr>
      <vt:lpstr>1M</vt:lpstr>
      <vt:lpstr>3M</vt:lpstr>
      <vt:lpstr>6M</vt:lpstr>
      <vt:lpstr>1Y</vt:lpstr>
      <vt:lpstr>Optimize1M</vt:lpstr>
      <vt:lpstr>Optimize3M</vt:lpstr>
      <vt:lpstr>Optimize6M</vt:lpstr>
      <vt:lpstr>Interpolated6M</vt:lpstr>
      <vt:lpstr>Optimize1Y</vt:lpstr>
      <vt:lpstr>Interpolated1Y</vt:lpstr>
      <vt:lpstr>'1M'!_TOY2</vt:lpstr>
      <vt:lpstr>'1Y'!_TOY2</vt:lpstr>
      <vt:lpstr>'3M'!_TOY2</vt:lpstr>
      <vt:lpstr>'6M'!_TOY2</vt:lpstr>
      <vt:lpstr>Triggers!AllTriggers</vt:lpstr>
      <vt:lpstr>Calendar</vt:lpstr>
      <vt:lpstr>Currency</vt:lpstr>
      <vt:lpstr>DayCounter</vt:lpstr>
      <vt:lpstr>'1M'!DiscountCurve</vt:lpstr>
      <vt:lpstr>'1Y'!DiscountCurve</vt:lpstr>
      <vt:lpstr>'3M'!DiscountCurve</vt:lpstr>
      <vt:lpstr>'6M'!DiscountCurve</vt:lpstr>
      <vt:lpstr>DiscountInterpolationType</vt:lpstr>
      <vt:lpstr>EvaluationDate</vt:lpstr>
      <vt:lpstr>'1Y'!ExtFwdInterpolator</vt:lpstr>
      <vt:lpstr>'3M'!ExtFwdInterpolator</vt:lpstr>
      <vt:lpstr>'6M'!ExtFwdInterpolator</vt:lpstr>
      <vt:lpstr>FwdInterpolationType</vt:lpstr>
      <vt:lpstr>'1M'!FwdInterpolator</vt:lpstr>
      <vt:lpstr>'1Y'!FwdInterpolator</vt:lpstr>
      <vt:lpstr>'3M'!FwdInterpolator</vt:lpstr>
      <vt:lpstr>'6M'!FwdInterpolator</vt:lpstr>
      <vt:lpstr>GENERAL_SETTINGS</vt:lpstr>
      <vt:lpstr>'1M'!IndexTenor</vt:lpstr>
      <vt:lpstr>'1Y'!IndexTenor</vt:lpstr>
      <vt:lpstr>'3M'!IndexTenor</vt:lpstr>
      <vt:lpstr>'6M'!IndexTenor</vt:lpstr>
      <vt:lpstr>LastDayInNextYear</vt:lpstr>
      <vt:lpstr>LastDayInYear</vt:lpstr>
      <vt:lpstr>LastUpdate</vt:lpstr>
      <vt:lpstr>LiveDataFeed</vt:lpstr>
      <vt:lpstr>'1Y'!Months</vt:lpstr>
      <vt:lpstr>'3M'!Months</vt:lpstr>
      <vt:lpstr>'6M'!Months</vt:lpstr>
      <vt:lpstr>'1M'!Optim</vt:lpstr>
      <vt:lpstr>'1Y'!Optim</vt:lpstr>
      <vt:lpstr>'3M'!Optim</vt:lpstr>
      <vt:lpstr>'6M'!Optim</vt:lpstr>
      <vt:lpstr>OptNames</vt:lpstr>
      <vt:lpstr>OptValues</vt:lpstr>
      <vt:lpstr>Interpolated1Y!Quote</vt:lpstr>
      <vt:lpstr>Interpolated6M!Quote</vt:lpstr>
      <vt:lpstr>Optimize1M!Quote</vt:lpstr>
      <vt:lpstr>Optimize1Y!Quote</vt:lpstr>
      <vt:lpstr>Optimize3M!Quote</vt:lpstr>
      <vt:lpstr>Optimize6M!Quote</vt:lpstr>
      <vt:lpstr>Interpolated1Y!QuoteLive</vt:lpstr>
      <vt:lpstr>Interpolated6M!QuoteLive</vt:lpstr>
      <vt:lpstr>Optimize1M!QuoteLive</vt:lpstr>
      <vt:lpstr>Optimize1Y!QuoteLive</vt:lpstr>
      <vt:lpstr>Optimize3M!QuoteLive</vt:lpstr>
      <vt:lpstr>Optimize6M!QuoteLive</vt:lpstr>
      <vt:lpstr>Interpolated1Y!QuoteStatic</vt:lpstr>
      <vt:lpstr>Interpolated6M!QuoteStatic</vt:lpstr>
      <vt:lpstr>Optimize1M!QuoteStatic</vt:lpstr>
      <vt:lpstr>Optimize1Y!QuoteStatic</vt:lpstr>
      <vt:lpstr>Optimize3M!QuoteStatic</vt:lpstr>
      <vt:lpstr>Optimize6M!QuoteStatic</vt:lpstr>
      <vt:lpstr>'1M'!RateHelperPrefix</vt:lpstr>
      <vt:lpstr>'1Y'!RateHelperPrefix</vt:lpstr>
      <vt:lpstr>'3M'!RateHelperPrefix</vt:lpstr>
      <vt:lpstr>'6M'!RateHelperPrefix</vt:lpstr>
      <vt:lpstr>SettlementDate</vt:lpstr>
      <vt:lpstr>'1M'!SheetTrigger</vt:lpstr>
      <vt:lpstr>'1Y'!SheetTrigger</vt:lpstr>
      <vt:lpstr>'3M'!SheetTrigger</vt:lpstr>
      <vt:lpstr>'6M'!SheetTrigger</vt:lpstr>
      <vt:lpstr>'1M'!TOY</vt:lpstr>
      <vt:lpstr>'1Y'!TOY</vt:lpstr>
      <vt:lpstr>'3M'!TOY</vt:lpstr>
      <vt:lpstr>'6M'!TOY</vt:lpstr>
      <vt:lpstr>TriggerCounter</vt:lpstr>
      <vt:lpstr>Triggers!TriggerTOY1M</vt:lpstr>
      <vt:lpstr>Triggers!TriggerTOY3M</vt:lpstr>
      <vt:lpstr>Triggers!TriggerTOY6M</vt:lpstr>
      <vt:lpstr>'1M'!UseSecondSet</vt:lpstr>
      <vt:lpstr>'1Y'!UseSecondSet</vt:lpstr>
      <vt:lpstr>'3M'!UseSecondSet</vt:lpstr>
      <vt:lpstr>'6M'!UseSecondSet</vt:lpstr>
    </vt:vector>
  </TitlesOfParts>
  <Company>Banca Caboto s.p.a.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AMETRANO FERDINANDO MARIA</cp:lastModifiedBy>
  <cp:lastPrinted>2008-10-02T09:42:40Z</cp:lastPrinted>
  <dcterms:created xsi:type="dcterms:W3CDTF">2007-10-30T15:41:10Z</dcterms:created>
  <dcterms:modified xsi:type="dcterms:W3CDTF">2013-10-23T18:17:14Z</dcterms:modified>
</cp:coreProperties>
</file>
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785" yWindow="165" windowWidth="4800" windowHeight="11130" tabRatio="835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Swaps" sheetId="9" r:id="rId5"/>
    <sheet name="SwapsFromBasis" sheetId="11" r:id="rId6"/>
    <sheet name="Monitor" sheetId="12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Settings'!$M$16</definedName>
    <definedName name="Calendar">'General Settings'!$D$18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DiscountingCurve" localSheetId="4">Swaps!$K$1</definedName>
    <definedName name="DiscountingCurve" localSheetId="5">SwapsFromBasis!$K$1</definedName>
    <definedName name="FamilyName">'General Settings'!$M$11</definedName>
    <definedName name="FileOverwrite">'General Settings'!$M$6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RateHelpers!$H$2:$H$51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RateHelpers!$B$2:$B$51</definedName>
    <definedName name="RateHelpersIncluded">RateHelpers!$F$2:$F$51</definedName>
    <definedName name="RateHelpersPriority">RateHelpers!$G$2:$G$51</definedName>
    <definedName name="RateHelpersSelected">Selected!$A$7</definedName>
    <definedName name="RecalcTrigger">Monitor!$J$20</definedName>
    <definedName name="SamplingFrequency">Monitor!$W$15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MConventions">SwapsFromBasis!$O$9:$Q$13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D9" i="12"/>
  <c r="F9" i="12" s="1"/>
  <c r="F8" i="12"/>
  <c r="F7" i="12"/>
  <c r="F6" i="12"/>
  <c r="F5" i="12"/>
  <c r="F4" i="12"/>
  <c r="F3" i="12"/>
  <c r="B12" i="12"/>
  <c r="B5" i="12"/>
  <c r="B3" i="12"/>
  <c r="B11" i="12"/>
  <c r="B4" i="12"/>
  <c r="B10" i="12"/>
  <c r="B14" i="12"/>
  <c r="B6" i="12"/>
  <c r="B7" i="12"/>
  <c r="B15" i="12"/>
  <c r="B8" i="12"/>
  <c r="B13" i="12"/>
  <c r="B9" i="12"/>
  <c r="B16" i="12"/>
  <c r="C4" i="7"/>
  <c r="C3" i="7"/>
  <c r="K3" i="11"/>
  <c r="C30" i="6" l="1"/>
  <c r="E22" i="6"/>
  <c r="D22" i="6"/>
  <c r="M15" i="6"/>
  <c r="M14" i="6"/>
  <c r="K1" i="11" l="1"/>
  <c r="I1" i="11"/>
  <c r="J1" i="11" s="1"/>
  <c r="D5" i="11"/>
  <c r="D6" i="11" s="1"/>
  <c r="E5" i="11"/>
  <c r="I5" i="11" s="1"/>
  <c r="B6" i="11"/>
  <c r="B7" i="1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I1" i="9"/>
  <c r="J1" i="9" s="1"/>
  <c r="H5" i="9"/>
  <c r="J5" i="9"/>
  <c r="H6" i="9"/>
  <c r="J6" i="9"/>
  <c r="H7" i="9"/>
  <c r="J7" i="9"/>
  <c r="H8" i="9"/>
  <c r="J8" i="9"/>
  <c r="H9" i="9"/>
  <c r="J9" i="9"/>
  <c r="H10" i="9"/>
  <c r="J10" i="9"/>
  <c r="H11" i="9"/>
  <c r="J11" i="9"/>
  <c r="H12" i="9"/>
  <c r="J12" i="9"/>
  <c r="H13" i="9"/>
  <c r="J13" i="9"/>
  <c r="H14" i="9"/>
  <c r="J14" i="9"/>
  <c r="H15" i="9"/>
  <c r="J15" i="9"/>
  <c r="D1" i="7"/>
  <c r="E1" i="7" s="1"/>
  <c r="D3" i="7"/>
  <c r="D4" i="7"/>
  <c r="K3" i="9"/>
  <c r="K5" i="9" s="1"/>
  <c r="X19" i="12"/>
  <c r="C3" i="12"/>
  <c r="X20" i="12"/>
  <c r="X21" i="12"/>
  <c r="C5" i="12"/>
  <c r="Y20" i="12"/>
  <c r="C4" i="12"/>
  <c r="X22" i="12"/>
  <c r="Y22" i="12" s="1"/>
  <c r="X23" i="12"/>
  <c r="Y21" i="12"/>
  <c r="E3" i="7"/>
  <c r="E4" i="7"/>
  <c r="Y23" i="12"/>
  <c r="X24" i="12"/>
  <c r="X25" i="12"/>
  <c r="Y24" i="12"/>
  <c r="Y25" i="12"/>
  <c r="X26" i="12"/>
  <c r="X27" i="12"/>
  <c r="Y26" i="12"/>
  <c r="Y27" i="12"/>
  <c r="X28" i="12"/>
  <c r="Y28" i="12"/>
  <c r="X29" i="12"/>
  <c r="X30" i="12"/>
  <c r="Y29" i="12"/>
  <c r="Y30" i="12"/>
  <c r="X31" i="12"/>
  <c r="X32" i="12"/>
  <c r="Y31" i="12"/>
  <c r="Y32" i="12"/>
  <c r="X33" i="12"/>
  <c r="X34" i="12"/>
  <c r="Y33" i="12"/>
  <c r="Y34" i="12"/>
  <c r="X35" i="12"/>
  <c r="Y35" i="12"/>
  <c r="X36" i="12"/>
  <c r="Y36" i="12"/>
  <c r="X37" i="12"/>
  <c r="X38" i="12"/>
  <c r="Y37" i="12"/>
  <c r="Y38" i="12"/>
  <c r="X39" i="12"/>
  <c r="Y39" i="12"/>
  <c r="X40" i="12"/>
  <c r="Y40" i="12"/>
  <c r="X41" i="12"/>
  <c r="X42" i="12"/>
  <c r="Y41" i="12"/>
  <c r="X43" i="12"/>
  <c r="Y42" i="12"/>
  <c r="Y43" i="12"/>
  <c r="X44" i="12"/>
  <c r="Y44" i="12"/>
  <c r="X45" i="12"/>
  <c r="X46" i="12"/>
  <c r="Y45" i="12"/>
  <c r="X47" i="12"/>
  <c r="Y46" i="12"/>
  <c r="Y47" i="12"/>
  <c r="X48" i="12"/>
  <c r="Y48" i="12"/>
  <c r="X49" i="12"/>
  <c r="X50" i="12"/>
  <c r="Y49" i="12"/>
  <c r="Y50" i="12"/>
  <c r="X51" i="12"/>
  <c r="X52" i="12"/>
  <c r="Y51" i="12"/>
  <c r="X53" i="12"/>
  <c r="Y52" i="12"/>
  <c r="X54" i="12"/>
  <c r="Y53" i="12"/>
  <c r="X55" i="12"/>
  <c r="Y54" i="12"/>
  <c r="Y55" i="12"/>
  <c r="X56" i="12"/>
  <c r="Y56" i="12"/>
  <c r="X57" i="12"/>
  <c r="X58" i="12"/>
  <c r="Y57" i="12"/>
  <c r="X59" i="12"/>
  <c r="Y58" i="12"/>
  <c r="Y59" i="12"/>
  <c r="X60" i="12"/>
  <c r="Y60" i="12"/>
  <c r="X61" i="12"/>
  <c r="Y61" i="12"/>
  <c r="X62" i="12"/>
  <c r="X63" i="12"/>
  <c r="Y62" i="12"/>
  <c r="X64" i="12"/>
  <c r="Y63" i="12"/>
  <c r="Y64" i="12"/>
  <c r="X65" i="12"/>
  <c r="X66" i="12"/>
  <c r="Y65" i="12"/>
  <c r="Y66" i="12"/>
  <c r="X67" i="12"/>
  <c r="Y67" i="12"/>
  <c r="X68" i="12"/>
  <c r="Y68" i="12"/>
  <c r="X69" i="12"/>
  <c r="X70" i="12"/>
  <c r="Y69" i="12"/>
  <c r="X71" i="12"/>
  <c r="Y70" i="12"/>
  <c r="X72" i="12"/>
  <c r="Y71" i="12"/>
  <c r="Y72" i="12"/>
  <c r="X73" i="12"/>
  <c r="Y73" i="12"/>
  <c r="X74" i="12"/>
  <c r="Y74" i="12"/>
  <c r="X75" i="12"/>
  <c r="Y75" i="12"/>
  <c r="X76" i="12"/>
  <c r="X77" i="12"/>
  <c r="Y76" i="12"/>
  <c r="Y77" i="12"/>
  <c r="X78" i="12"/>
  <c r="X79" i="12"/>
  <c r="Y78" i="12"/>
  <c r="Y79" i="12"/>
  <c r="X80" i="12"/>
  <c r="X81" i="12"/>
  <c r="Y80" i="12"/>
  <c r="X82" i="12"/>
  <c r="Y81" i="12"/>
  <c r="Y82" i="12"/>
  <c r="X83" i="12"/>
  <c r="Y83" i="12"/>
  <c r="X84" i="12"/>
  <c r="X85" i="12"/>
  <c r="Y84" i="12"/>
  <c r="Y85" i="12"/>
  <c r="X86" i="12"/>
  <c r="X87" i="12"/>
  <c r="Y86" i="12"/>
  <c r="X88" i="12"/>
  <c r="Y87" i="12"/>
  <c r="X89" i="12"/>
  <c r="Y88" i="12"/>
  <c r="X90" i="12"/>
  <c r="Y89" i="12"/>
  <c r="Y90" i="12"/>
  <c r="X91" i="12"/>
  <c r="X92" i="12"/>
  <c r="Y91" i="12"/>
  <c r="Y92" i="12"/>
  <c r="X93" i="12"/>
  <c r="X94" i="12"/>
  <c r="Y93" i="12"/>
  <c r="X95" i="12"/>
  <c r="Y94" i="12"/>
  <c r="Y95" i="12"/>
  <c r="X96" i="12"/>
  <c r="X97" i="12"/>
  <c r="Y96" i="12"/>
  <c r="X98" i="12"/>
  <c r="Y97" i="12"/>
  <c r="Y98" i="12"/>
  <c r="X99" i="12"/>
  <c r="X100" i="12"/>
  <c r="Y99" i="12"/>
  <c r="Y100" i="12"/>
  <c r="X101" i="12"/>
  <c r="X102" i="12"/>
  <c r="Y101" i="12"/>
  <c r="X103" i="12"/>
  <c r="Y102" i="12"/>
  <c r="X104" i="12"/>
  <c r="Y103" i="12"/>
  <c r="X105" i="12"/>
  <c r="Y104" i="12"/>
  <c r="X106" i="12"/>
  <c r="Y105" i="12"/>
  <c r="Y106" i="12"/>
  <c r="X107" i="12"/>
  <c r="X108" i="12"/>
  <c r="Y107" i="12"/>
  <c r="Y108" i="12"/>
  <c r="X109" i="12"/>
  <c r="Y109" i="12"/>
  <c r="X110" i="12"/>
  <c r="Y110" i="12"/>
  <c r="X111" i="12"/>
  <c r="Y111" i="12"/>
  <c r="X112" i="12"/>
  <c r="Y112" i="12"/>
  <c r="X113" i="12"/>
  <c r="Y113" i="12"/>
  <c r="X114" i="12"/>
  <c r="Y114" i="12"/>
  <c r="X115" i="12"/>
  <c r="Y115" i="12"/>
  <c r="X116" i="12"/>
  <c r="X117" i="12"/>
  <c r="Y116" i="12"/>
  <c r="Y117" i="12"/>
  <c r="X118" i="12"/>
  <c r="Y118" i="12"/>
  <c r="X119" i="12"/>
  <c r="Y119" i="12"/>
  <c r="X120" i="12"/>
  <c r="Y120" i="12"/>
  <c r="X121" i="12"/>
  <c r="X122" i="12"/>
  <c r="Y121" i="12"/>
  <c r="X123" i="12"/>
  <c r="Y122" i="12"/>
  <c r="Y123" i="12"/>
  <c r="X124" i="12"/>
  <c r="X125" i="12"/>
  <c r="Y124" i="12"/>
  <c r="Y125" i="12"/>
  <c r="X126" i="12"/>
  <c r="Y126" i="12"/>
  <c r="X127" i="12"/>
  <c r="Y127" i="12"/>
  <c r="X128" i="12"/>
  <c r="Y128" i="12"/>
  <c r="X129" i="12"/>
  <c r="X130" i="12"/>
  <c r="Y129" i="12"/>
  <c r="Y130" i="12"/>
  <c r="X131" i="12"/>
  <c r="X132" i="12"/>
  <c r="Y131" i="12"/>
  <c r="Y132" i="12"/>
  <c r="X133" i="12"/>
  <c r="Y133" i="12"/>
  <c r="X134" i="12"/>
  <c r="Y134" i="12"/>
  <c r="X135" i="12"/>
  <c r="Y135" i="12"/>
  <c r="X136" i="12"/>
  <c r="Y136" i="12"/>
  <c r="X137" i="12"/>
  <c r="X138" i="12"/>
  <c r="Y137" i="12"/>
  <c r="X139" i="12"/>
  <c r="Y138" i="12"/>
  <c r="Y139" i="12"/>
  <c r="X140" i="12"/>
  <c r="X141" i="12"/>
  <c r="Y140" i="12"/>
  <c r="Y141" i="12"/>
  <c r="X142" i="12"/>
  <c r="Y142" i="12"/>
  <c r="X143" i="12"/>
  <c r="Y143" i="12"/>
  <c r="X144" i="12"/>
  <c r="Y144" i="12"/>
  <c r="X145" i="12"/>
  <c r="X146" i="12"/>
  <c r="Y145" i="12"/>
  <c r="Y146" i="12"/>
  <c r="X147" i="12"/>
  <c r="X148" i="12"/>
  <c r="Y147" i="12"/>
  <c r="Y148" i="12"/>
  <c r="X149" i="12"/>
  <c r="Y149" i="12"/>
  <c r="X150" i="12"/>
  <c r="Y150" i="12"/>
  <c r="X151" i="12"/>
  <c r="Y151" i="12"/>
  <c r="X152" i="12"/>
  <c r="Y152" i="12"/>
  <c r="X153" i="12"/>
  <c r="Y153" i="12"/>
  <c r="X154" i="12"/>
  <c r="X155" i="12"/>
  <c r="Y154" i="12"/>
  <c r="X156" i="12"/>
  <c r="Y155" i="12"/>
  <c r="X157" i="12"/>
  <c r="Y156" i="12"/>
  <c r="Y157" i="12"/>
  <c r="X158" i="12"/>
  <c r="Y158" i="12"/>
  <c r="X159" i="12"/>
  <c r="Y159" i="12"/>
  <c r="X160" i="12"/>
  <c r="X161" i="12"/>
  <c r="Y160" i="12"/>
  <c r="Y161" i="12"/>
  <c r="X162" i="12"/>
  <c r="X163" i="12"/>
  <c r="Y162" i="12"/>
  <c r="X164" i="12"/>
  <c r="Y163" i="12"/>
  <c r="Y164" i="12"/>
  <c r="X165" i="12"/>
  <c r="Y165" i="12"/>
  <c r="X166" i="12"/>
  <c r="Y166" i="12"/>
  <c r="X167" i="12"/>
  <c r="Y167" i="12"/>
  <c r="X168" i="12"/>
  <c r="Y168" i="12"/>
  <c r="X169" i="12"/>
  <c r="X170" i="12"/>
  <c r="Y169" i="12"/>
  <c r="X171" i="12"/>
  <c r="Y170" i="12"/>
  <c r="X172" i="12"/>
  <c r="Y171" i="12"/>
  <c r="X173" i="12"/>
  <c r="Y172" i="12"/>
  <c r="Y173" i="12"/>
  <c r="X174" i="12"/>
  <c r="Y174" i="12"/>
  <c r="X175" i="12"/>
  <c r="Y175" i="12"/>
  <c r="X176" i="12"/>
  <c r="Y176" i="12"/>
  <c r="X177" i="12"/>
  <c r="X178" i="12"/>
  <c r="Y177" i="12"/>
  <c r="X179" i="12"/>
  <c r="Y178" i="12"/>
  <c r="X180" i="12"/>
  <c r="Y179" i="12"/>
  <c r="Y180" i="12"/>
  <c r="X181" i="12"/>
  <c r="X182" i="12"/>
  <c r="Y181" i="12"/>
  <c r="X183" i="12"/>
  <c r="Y182" i="12"/>
  <c r="X184" i="12"/>
  <c r="Y183" i="12"/>
  <c r="Y184" i="12"/>
  <c r="X185" i="12"/>
  <c r="Y185" i="12"/>
  <c r="X186" i="12"/>
  <c r="Y186" i="12"/>
  <c r="X187" i="12"/>
  <c r="Y187" i="12"/>
  <c r="X188" i="12"/>
  <c r="Y188" i="12"/>
  <c r="X189" i="12"/>
  <c r="Y189" i="12"/>
  <c r="X190" i="12"/>
  <c r="Y190" i="12"/>
  <c r="X191" i="12"/>
  <c r="Y191" i="12"/>
  <c r="X192" i="12"/>
  <c r="Y192" i="12"/>
  <c r="X193" i="12"/>
  <c r="X194" i="12"/>
  <c r="Y193" i="12"/>
  <c r="X195" i="12"/>
  <c r="Y194" i="12"/>
  <c r="Y195" i="12"/>
  <c r="X196" i="12"/>
  <c r="X197" i="12"/>
  <c r="Y196" i="12"/>
  <c r="Y197" i="12"/>
  <c r="X198" i="12"/>
  <c r="Y198" i="12"/>
  <c r="X199" i="12"/>
  <c r="Y199" i="12"/>
  <c r="X200" i="12"/>
  <c r="Y200" i="12"/>
  <c r="X201" i="12"/>
  <c r="X202" i="12"/>
  <c r="Y201" i="12"/>
  <c r="X203" i="12"/>
  <c r="Y202" i="12"/>
  <c r="Y203" i="12"/>
  <c r="X204" i="12"/>
  <c r="X205" i="12"/>
  <c r="Y204" i="12"/>
  <c r="Y205" i="12"/>
  <c r="X206" i="12"/>
  <c r="Y206" i="12"/>
  <c r="X207" i="12"/>
  <c r="Y207" i="12"/>
  <c r="X208" i="12"/>
  <c r="Y208" i="12"/>
  <c r="X209" i="12"/>
  <c r="X210" i="12"/>
  <c r="Y209" i="12"/>
  <c r="X211" i="12"/>
  <c r="Y210" i="12"/>
  <c r="X212" i="12"/>
  <c r="Y211" i="12"/>
  <c r="Y212" i="12"/>
  <c r="X213" i="12"/>
  <c r="Y213" i="12"/>
  <c r="X214" i="12"/>
  <c r="Y214" i="12"/>
  <c r="X215" i="12"/>
  <c r="X216" i="12"/>
  <c r="Y215" i="12"/>
  <c r="Y216" i="12"/>
  <c r="X217" i="12"/>
  <c r="Y217" i="12"/>
  <c r="X218" i="12"/>
  <c r="X219" i="12"/>
  <c r="Y218" i="12"/>
  <c r="X220" i="12"/>
  <c r="Y219" i="12"/>
  <c r="X221" i="12"/>
  <c r="Y220" i="12"/>
  <c r="Y221" i="12"/>
  <c r="X222" i="12"/>
  <c r="Y222" i="12"/>
  <c r="X223" i="12"/>
  <c r="X224" i="12"/>
  <c r="Y223" i="12"/>
  <c r="X225" i="12"/>
  <c r="Y224" i="12"/>
  <c r="Y225" i="12"/>
  <c r="X226" i="12"/>
  <c r="X227" i="12"/>
  <c r="Y226" i="12"/>
  <c r="X228" i="12"/>
  <c r="Y227" i="12"/>
  <c r="X229" i="12"/>
  <c r="Y228" i="12"/>
  <c r="Y229" i="12"/>
  <c r="X230" i="12"/>
  <c r="Y230" i="12"/>
  <c r="X231" i="12"/>
  <c r="Y231" i="12"/>
  <c r="X232" i="12"/>
  <c r="X233" i="12"/>
  <c r="Y232" i="12"/>
  <c r="Y233" i="12"/>
  <c r="X234" i="12"/>
  <c r="X235" i="12"/>
  <c r="Y234" i="12"/>
  <c r="X236" i="12"/>
  <c r="Y235" i="12"/>
  <c r="X237" i="12"/>
  <c r="Y236" i="12"/>
  <c r="Y237" i="12"/>
  <c r="X238" i="12"/>
  <c r="Y238" i="12"/>
  <c r="X239" i="12"/>
  <c r="X240" i="12"/>
  <c r="Y239" i="12"/>
  <c r="Y240" i="12"/>
  <c r="X241" i="12"/>
  <c r="Y241" i="12"/>
  <c r="X242" i="12"/>
  <c r="X243" i="12"/>
  <c r="Y242" i="12"/>
  <c r="X244" i="12"/>
  <c r="Y243" i="12"/>
  <c r="X245" i="12"/>
  <c r="Y244" i="12"/>
  <c r="X246" i="12"/>
  <c r="Y245" i="12"/>
  <c r="X247" i="12"/>
  <c r="Y246" i="12"/>
  <c r="X248" i="12"/>
  <c r="Y247" i="12"/>
  <c r="Y248" i="12"/>
  <c r="X249" i="12"/>
  <c r="X250" i="12"/>
  <c r="Y249" i="12"/>
  <c r="X251" i="12"/>
  <c r="Y250" i="12"/>
  <c r="X252" i="12"/>
  <c r="Y251" i="12"/>
  <c r="Y252" i="12"/>
  <c r="X253" i="12"/>
  <c r="Y253" i="12"/>
  <c r="X254" i="12"/>
  <c r="Y254" i="12"/>
  <c r="X255" i="12"/>
  <c r="Y255" i="12"/>
  <c r="X256" i="12"/>
  <c r="Y256" i="12"/>
  <c r="X257" i="12"/>
  <c r="Y257" i="12"/>
  <c r="X258" i="12"/>
  <c r="X259" i="12"/>
  <c r="Y258" i="12"/>
  <c r="X260" i="12"/>
  <c r="Y259" i="12"/>
  <c r="Y260" i="12"/>
  <c r="X261" i="12"/>
  <c r="Y261" i="12"/>
  <c r="X262" i="12"/>
  <c r="Y262" i="12"/>
  <c r="X263" i="12"/>
  <c r="Y263" i="12"/>
  <c r="X264" i="12"/>
  <c r="X265" i="12"/>
  <c r="Y264" i="12"/>
  <c r="X266" i="12"/>
  <c r="Y265" i="12"/>
  <c r="X267" i="12"/>
  <c r="Y266" i="12"/>
  <c r="X268" i="12"/>
  <c r="Y267" i="12"/>
  <c r="Y268" i="12"/>
  <c r="X269" i="12"/>
  <c r="Y269" i="12"/>
  <c r="X270" i="12"/>
  <c r="Y270" i="12"/>
  <c r="X271" i="12"/>
  <c r="Y271" i="12"/>
  <c r="X272" i="12"/>
  <c r="Y272" i="12"/>
  <c r="X273" i="12"/>
  <c r="Y273" i="12"/>
  <c r="X274" i="12"/>
  <c r="Y274" i="12"/>
  <c r="X275" i="12"/>
  <c r="X276" i="12"/>
  <c r="Y275" i="12"/>
  <c r="Y276" i="12"/>
  <c r="X277" i="12"/>
  <c r="X278" i="12"/>
  <c r="Y277" i="12"/>
  <c r="Y278" i="12"/>
  <c r="X279" i="12"/>
  <c r="Y279" i="12"/>
  <c r="X280" i="12"/>
  <c r="Y280" i="12"/>
  <c r="X281" i="12"/>
  <c r="X282" i="12"/>
  <c r="Y281" i="12"/>
  <c r="X283" i="12"/>
  <c r="Y282" i="12"/>
  <c r="X284" i="12"/>
  <c r="Y283" i="12"/>
  <c r="Y284" i="12"/>
  <c r="X285" i="12"/>
  <c r="Y285" i="12"/>
  <c r="X286" i="12"/>
  <c r="Y286" i="12"/>
  <c r="X287" i="12"/>
  <c r="Y287" i="12"/>
  <c r="X288" i="12"/>
  <c r="X289" i="12"/>
  <c r="Y288" i="12"/>
  <c r="X290" i="12"/>
  <c r="Y289" i="12"/>
  <c r="X291" i="12"/>
  <c r="Y290" i="12"/>
  <c r="X292" i="12"/>
  <c r="Y291" i="12"/>
  <c r="Y292" i="12"/>
  <c r="X293" i="12"/>
  <c r="Y293" i="12"/>
  <c r="X294" i="12"/>
  <c r="Y294" i="12"/>
  <c r="X295" i="12"/>
  <c r="Y295" i="12"/>
  <c r="X296" i="12"/>
  <c r="X297" i="12"/>
  <c r="Y296" i="12"/>
  <c r="Y297" i="12"/>
  <c r="X298" i="12"/>
  <c r="X299" i="12"/>
  <c r="Y298" i="12"/>
  <c r="Y299" i="12"/>
  <c r="X300" i="12"/>
  <c r="Y300" i="12"/>
  <c r="X301" i="12"/>
  <c r="Y301" i="12"/>
  <c r="X302" i="12"/>
  <c r="Y302" i="12"/>
  <c r="X303" i="12"/>
  <c r="Y303" i="12"/>
  <c r="X304" i="12"/>
  <c r="Y304" i="12"/>
  <c r="X305" i="12"/>
  <c r="Y305" i="12"/>
  <c r="X306" i="12"/>
  <c r="X307" i="12"/>
  <c r="Y306" i="12"/>
  <c r="X308" i="12"/>
  <c r="Y307" i="12"/>
  <c r="Y308" i="12"/>
  <c r="X309" i="12"/>
  <c r="X310" i="12"/>
  <c r="Y309" i="12"/>
  <c r="X311" i="12"/>
  <c r="Y310" i="12"/>
  <c r="X312" i="12"/>
  <c r="Y311" i="12"/>
  <c r="Y312" i="12"/>
  <c r="X313" i="12"/>
  <c r="X314" i="12"/>
  <c r="Y313" i="12"/>
  <c r="Y314" i="12"/>
  <c r="X315" i="12"/>
  <c r="X316" i="12"/>
  <c r="Y315" i="12"/>
  <c r="Y316" i="12"/>
  <c r="X317" i="12"/>
  <c r="Y317" i="12"/>
  <c r="X318" i="12"/>
  <c r="Y318" i="12"/>
  <c r="X319" i="12"/>
  <c r="Y319" i="12"/>
  <c r="X320" i="12"/>
  <c r="Y320" i="12"/>
  <c r="X321" i="12"/>
  <c r="Y321" i="12"/>
  <c r="X322" i="12"/>
  <c r="X323" i="12"/>
  <c r="Y322" i="12"/>
  <c r="X324" i="12"/>
  <c r="Y323" i="12"/>
  <c r="X325" i="12"/>
  <c r="Y324" i="12"/>
  <c r="Y325" i="12"/>
  <c r="X326" i="12"/>
  <c r="Y326" i="12"/>
  <c r="X327" i="12"/>
  <c r="Y327" i="12"/>
  <c r="X328" i="12"/>
  <c r="X329" i="12"/>
  <c r="Y328" i="12"/>
  <c r="Y329" i="12"/>
  <c r="X330" i="12"/>
  <c r="X331" i="12"/>
  <c r="Y330" i="12"/>
  <c r="X332" i="12"/>
  <c r="Y331" i="12"/>
  <c r="Y332" i="12"/>
  <c r="X333" i="12"/>
  <c r="Y333" i="12"/>
  <c r="X334" i="12"/>
  <c r="Y334" i="12"/>
  <c r="X335" i="12"/>
  <c r="Y335" i="12"/>
  <c r="X336" i="12"/>
  <c r="Y336" i="12"/>
  <c r="X337" i="12"/>
  <c r="X338" i="12"/>
  <c r="Y337" i="12"/>
  <c r="X339" i="12"/>
  <c r="Y338" i="12"/>
  <c r="X340" i="12"/>
  <c r="Y339" i="12"/>
  <c r="Y340" i="12"/>
  <c r="X341" i="12"/>
  <c r="X342" i="12"/>
  <c r="Y341" i="12"/>
  <c r="Y342" i="12"/>
  <c r="X343" i="12"/>
  <c r="X344" i="12"/>
  <c r="Y343" i="12"/>
  <c r="Y344" i="12"/>
  <c r="X345" i="12"/>
  <c r="X346" i="12"/>
  <c r="Y345" i="12"/>
  <c r="X347" i="12"/>
  <c r="Y346" i="12"/>
  <c r="X348" i="12"/>
  <c r="Y347" i="12"/>
  <c r="Y348" i="12"/>
  <c r="X349" i="12"/>
  <c r="Y349" i="12"/>
  <c r="X350" i="12"/>
  <c r="Y350" i="12"/>
  <c r="X351" i="12"/>
  <c r="Y351" i="12"/>
  <c r="X352" i="12"/>
  <c r="X353" i="12"/>
  <c r="Y352" i="12"/>
  <c r="Y353" i="12"/>
  <c r="X354" i="12"/>
  <c r="X355" i="12"/>
  <c r="Y354" i="12"/>
  <c r="Y355" i="12"/>
  <c r="X356" i="12"/>
  <c r="Y356" i="12"/>
  <c r="X357" i="12"/>
  <c r="Y357" i="12"/>
  <c r="X358" i="12"/>
  <c r="Y358" i="12"/>
  <c r="X359" i="12"/>
  <c r="Y359" i="12"/>
  <c r="X360" i="12"/>
  <c r="X361" i="12"/>
  <c r="Y360" i="12"/>
  <c r="Y361" i="12"/>
  <c r="X362" i="12"/>
  <c r="X363" i="12"/>
  <c r="Y362" i="12"/>
  <c r="X364" i="12"/>
  <c r="Y363" i="12"/>
  <c r="X365" i="12"/>
  <c r="Y364" i="12"/>
  <c r="Y365" i="12"/>
  <c r="X366" i="12"/>
  <c r="Y366" i="12"/>
  <c r="X367" i="12"/>
  <c r="X368" i="12"/>
  <c r="Y367" i="12"/>
  <c r="Y368" i="12"/>
  <c r="X369" i="12"/>
  <c r="X370" i="12"/>
  <c r="Y369" i="12"/>
  <c r="X371" i="12"/>
  <c r="Y370" i="12"/>
  <c r="X372" i="12"/>
  <c r="Y371" i="12"/>
  <c r="X373" i="12"/>
  <c r="Y372" i="12"/>
  <c r="Y373" i="12"/>
  <c r="X374" i="12"/>
  <c r="X375" i="12"/>
  <c r="Y374" i="12"/>
  <c r="X376" i="12"/>
  <c r="Y375" i="12"/>
  <c r="Y376" i="12"/>
  <c r="X377" i="12"/>
  <c r="X378" i="12"/>
  <c r="Y377" i="12"/>
  <c r="X379" i="12"/>
  <c r="Y378" i="12"/>
  <c r="X380" i="12"/>
  <c r="Y379" i="12"/>
  <c r="Y380" i="12"/>
  <c r="X381" i="12"/>
  <c r="Y381" i="12"/>
  <c r="X382" i="12"/>
  <c r="Y382" i="12"/>
  <c r="X383" i="12"/>
  <c r="Y383" i="12"/>
  <c r="X384" i="12"/>
  <c r="X385" i="12"/>
  <c r="Y384" i="12"/>
  <c r="Y385" i="12"/>
  <c r="X386" i="12"/>
  <c r="X387" i="12"/>
  <c r="Y386" i="12"/>
  <c r="X388" i="12"/>
  <c r="Y387" i="12"/>
  <c r="Y388" i="12"/>
  <c r="X389" i="12"/>
  <c r="Y389" i="12"/>
  <c r="X390" i="12"/>
  <c r="Y390" i="12"/>
  <c r="X391" i="12"/>
  <c r="Y391" i="12"/>
  <c r="X392" i="12"/>
  <c r="X393" i="12"/>
  <c r="Y392" i="12"/>
  <c r="Y393" i="12"/>
  <c r="X394" i="12"/>
  <c r="X395" i="12"/>
  <c r="Y394" i="12"/>
  <c r="Y395" i="12"/>
  <c r="X396" i="12"/>
  <c r="Y396" i="12"/>
  <c r="X397" i="12"/>
  <c r="Y397" i="12"/>
  <c r="X398" i="12"/>
  <c r="Y398" i="12"/>
  <c r="X399" i="12"/>
  <c r="X400" i="12"/>
  <c r="Y399" i="12"/>
  <c r="X401" i="12"/>
  <c r="Y400" i="12"/>
  <c r="Y401" i="12"/>
  <c r="X402" i="12"/>
  <c r="X403" i="12"/>
  <c r="Y402" i="12"/>
  <c r="X404" i="12"/>
  <c r="Y403" i="12"/>
  <c r="X405" i="12"/>
  <c r="Y404" i="12"/>
  <c r="Y405" i="12"/>
  <c r="X406" i="12"/>
  <c r="Y406" i="12"/>
  <c r="X407" i="12"/>
  <c r="X408" i="12"/>
  <c r="Y407" i="12"/>
  <c r="Y408" i="12"/>
  <c r="X409" i="12"/>
  <c r="X410" i="12"/>
  <c r="Y409" i="12"/>
  <c r="Y410" i="12"/>
  <c r="X411" i="12"/>
  <c r="X412" i="12"/>
  <c r="Y411" i="12"/>
  <c r="Y412" i="12"/>
  <c r="X413" i="12"/>
  <c r="Y413" i="12"/>
  <c r="X414" i="12"/>
  <c r="Y414" i="12"/>
  <c r="X415" i="12"/>
  <c r="Y415" i="12"/>
  <c r="X416" i="12"/>
  <c r="X417" i="12"/>
  <c r="Y416" i="12"/>
  <c r="Y417" i="12"/>
  <c r="X418" i="12"/>
  <c r="X419" i="12"/>
  <c r="Y418" i="12"/>
  <c r="X420" i="12"/>
  <c r="Y419" i="12"/>
  <c r="Y420" i="12"/>
  <c r="X421" i="12"/>
  <c r="Y421" i="12"/>
  <c r="X422" i="12"/>
  <c r="Y422" i="12"/>
  <c r="X423" i="12"/>
  <c r="Y423" i="12"/>
  <c r="X424" i="12"/>
  <c r="X425" i="12"/>
  <c r="Y424" i="12"/>
  <c r="Y425" i="12"/>
  <c r="X426" i="12"/>
  <c r="X427" i="12"/>
  <c r="Y426" i="12"/>
  <c r="X428" i="12"/>
  <c r="Y427" i="12"/>
  <c r="Y428" i="12"/>
  <c r="X429" i="12"/>
  <c r="Y429" i="12"/>
  <c r="X430" i="12"/>
  <c r="Y430" i="12"/>
  <c r="X431" i="12"/>
  <c r="Y431" i="12"/>
  <c r="X432" i="12"/>
  <c r="Y432" i="12"/>
  <c r="X433" i="12"/>
  <c r="Y433" i="12"/>
  <c r="X434" i="12"/>
  <c r="X435" i="12"/>
  <c r="Y434" i="12"/>
  <c r="X436" i="12"/>
  <c r="Y435" i="12"/>
  <c r="Y436" i="12"/>
  <c r="X437" i="12"/>
  <c r="Y437" i="12"/>
  <c r="X438" i="12"/>
  <c r="Y438" i="12"/>
  <c r="X439" i="12"/>
  <c r="X440" i="12"/>
  <c r="Y439" i="12"/>
  <c r="Y440" i="12"/>
  <c r="X441" i="12"/>
  <c r="X442" i="12"/>
  <c r="Y441" i="12"/>
  <c r="Y442" i="12"/>
  <c r="X443" i="12"/>
  <c r="X444" i="12"/>
  <c r="Y443" i="12"/>
  <c r="Y444" i="12"/>
  <c r="X445" i="12"/>
  <c r="Y445" i="12"/>
  <c r="X446" i="12"/>
  <c r="Y446" i="12"/>
  <c r="X447" i="12"/>
  <c r="X448" i="12"/>
  <c r="Y447" i="12"/>
  <c r="X449" i="12"/>
  <c r="Y448" i="12"/>
  <c r="Y449" i="12"/>
  <c r="X450" i="12"/>
  <c r="X451" i="12"/>
  <c r="Y450" i="12"/>
  <c r="X452" i="12"/>
  <c r="Y451" i="12"/>
  <c r="Y452" i="12"/>
  <c r="X453" i="12"/>
  <c r="Y453" i="12"/>
  <c r="X454" i="12"/>
  <c r="Y454" i="12"/>
  <c r="X455" i="12"/>
  <c r="Y455" i="12"/>
  <c r="X456" i="12"/>
  <c r="X457" i="12"/>
  <c r="Y456" i="12"/>
  <c r="Y457" i="12"/>
  <c r="X458" i="12"/>
  <c r="X459" i="12"/>
  <c r="Y458" i="12"/>
  <c r="X460" i="12"/>
  <c r="Y459" i="12"/>
  <c r="Y460" i="12"/>
  <c r="X461" i="12"/>
  <c r="X462" i="12"/>
  <c r="Y461" i="12"/>
  <c r="Y462" i="12"/>
  <c r="X463" i="12"/>
  <c r="Y463" i="12"/>
  <c r="X464" i="12"/>
  <c r="Y464" i="12"/>
  <c r="X465" i="12"/>
  <c r="Y465" i="12"/>
  <c r="X466" i="12"/>
  <c r="X467" i="12"/>
  <c r="Y466" i="12"/>
  <c r="Y467" i="12"/>
  <c r="X468" i="12"/>
  <c r="X469" i="12"/>
  <c r="Y468" i="12"/>
  <c r="X470" i="12"/>
  <c r="Y469" i="12"/>
  <c r="Y470" i="12"/>
  <c r="X471" i="12"/>
  <c r="X472" i="12"/>
  <c r="Y471" i="12"/>
  <c r="Y472" i="12"/>
  <c r="X473" i="12"/>
  <c r="X474" i="12"/>
  <c r="Y473" i="12"/>
  <c r="Y474" i="12"/>
  <c r="X475" i="12"/>
  <c r="Y475" i="12"/>
  <c r="X476" i="12"/>
  <c r="Y476" i="12"/>
  <c r="X477" i="12"/>
  <c r="Y477" i="12"/>
  <c r="X478" i="12"/>
  <c r="X479" i="12"/>
  <c r="Y478" i="12"/>
  <c r="X480" i="12"/>
  <c r="Y479" i="12"/>
  <c r="Y480" i="12"/>
  <c r="X481" i="12"/>
  <c r="Y481" i="12"/>
  <c r="X482" i="12"/>
  <c r="X483" i="12"/>
  <c r="Y482" i="12"/>
  <c r="X484" i="12"/>
  <c r="Y483" i="12"/>
  <c r="X485" i="12"/>
  <c r="Y484" i="12"/>
  <c r="Y485" i="12"/>
  <c r="X486" i="12"/>
  <c r="Y486" i="12"/>
  <c r="X487" i="12"/>
  <c r="Y487" i="12"/>
  <c r="X488" i="12"/>
  <c r="Y488" i="12"/>
  <c r="X489" i="12"/>
  <c r="Y489" i="12"/>
  <c r="X490" i="12"/>
  <c r="X491" i="12"/>
  <c r="Y490" i="12"/>
  <c r="Y491" i="12"/>
  <c r="X492" i="12"/>
  <c r="Y492" i="12"/>
  <c r="X493" i="12"/>
  <c r="Y493" i="12"/>
  <c r="X494" i="12"/>
  <c r="Y494" i="12"/>
  <c r="X495" i="12"/>
  <c r="X496" i="12"/>
  <c r="Y495" i="12"/>
  <c r="Y496" i="12"/>
  <c r="X497" i="12"/>
  <c r="Y497" i="12"/>
  <c r="X498" i="12"/>
  <c r="X499" i="12"/>
  <c r="Y498" i="12"/>
  <c r="X500" i="12"/>
  <c r="Y499" i="12"/>
  <c r="X501" i="12"/>
  <c r="Y500" i="12"/>
  <c r="Y501" i="12"/>
  <c r="X502" i="12"/>
  <c r="Y502" i="12"/>
  <c r="X503" i="12"/>
  <c r="X504" i="12"/>
  <c r="Y503" i="12"/>
  <c r="Y504" i="12"/>
  <c r="X505" i="12"/>
  <c r="X506" i="12"/>
  <c r="Y505" i="12"/>
  <c r="X507" i="12"/>
  <c r="Y506" i="12"/>
  <c r="Y507" i="12"/>
  <c r="X508" i="12"/>
  <c r="Y508" i="12"/>
  <c r="X509" i="12"/>
  <c r="Y509" i="12"/>
  <c r="X510" i="12"/>
  <c r="X511" i="12"/>
  <c r="Y510" i="12"/>
  <c r="Y511" i="12"/>
  <c r="X512" i="12"/>
  <c r="Y512" i="12"/>
  <c r="X513" i="12"/>
  <c r="X514" i="12"/>
  <c r="Y513" i="12"/>
  <c r="X515" i="12"/>
  <c r="Y514" i="12"/>
  <c r="X516" i="12"/>
  <c r="Y515" i="12"/>
  <c r="Y516" i="12"/>
  <c r="X517" i="12"/>
  <c r="Y517" i="12"/>
  <c r="X518" i="12"/>
  <c r="Y518" i="12"/>
  <c r="X519" i="12"/>
  <c r="Y519" i="12"/>
  <c r="X520" i="12"/>
  <c r="X521" i="12"/>
  <c r="Y520" i="12"/>
  <c r="X522" i="12"/>
  <c r="Y521" i="12"/>
  <c r="X523" i="12"/>
  <c r="Y522" i="12"/>
  <c r="Y523" i="12"/>
  <c r="X524" i="12"/>
  <c r="X525" i="12"/>
  <c r="Y524" i="12"/>
  <c r="Y525" i="12"/>
  <c r="X526" i="12"/>
  <c r="Y526" i="12"/>
  <c r="X527" i="12"/>
  <c r="X528" i="12"/>
  <c r="Y527" i="12"/>
  <c r="X529" i="12"/>
  <c r="Y528" i="12"/>
  <c r="Y529" i="12"/>
  <c r="X530" i="12"/>
  <c r="Y530" i="12"/>
  <c r="X531" i="12"/>
  <c r="Y531" i="12"/>
  <c r="X532" i="12"/>
  <c r="X533" i="12"/>
  <c r="Y532" i="12"/>
  <c r="X534" i="12"/>
  <c r="Y533" i="12"/>
  <c r="Y534" i="12"/>
  <c r="X535" i="12"/>
  <c r="X536" i="12"/>
  <c r="Y535" i="12"/>
  <c r="Y536" i="12"/>
  <c r="X537" i="12"/>
  <c r="X538" i="12"/>
  <c r="Y537" i="12"/>
  <c r="Y538" i="12"/>
  <c r="X539" i="12"/>
  <c r="X540" i="12"/>
  <c r="Y539" i="12"/>
  <c r="Y540" i="12"/>
  <c r="X541" i="12"/>
  <c r="X542" i="12"/>
  <c r="Y541" i="12"/>
  <c r="Y542" i="12"/>
  <c r="X543" i="12"/>
  <c r="X544" i="12"/>
  <c r="Y543" i="12"/>
  <c r="X545" i="12"/>
  <c r="Y544" i="12"/>
  <c r="X546" i="12"/>
  <c r="Y545" i="12"/>
  <c r="Y546" i="12"/>
  <c r="X547" i="12"/>
  <c r="X548" i="12"/>
  <c r="Y547" i="12"/>
  <c r="Y548" i="12"/>
  <c r="X549" i="12"/>
  <c r="Y549" i="12"/>
  <c r="X550" i="12"/>
  <c r="Y550" i="12"/>
  <c r="X551" i="12"/>
  <c r="Y551" i="12"/>
  <c r="X552" i="12"/>
  <c r="X553" i="12"/>
  <c r="Y552" i="12"/>
  <c r="Y553" i="12"/>
  <c r="X554" i="12"/>
  <c r="Y554" i="12"/>
  <c r="X555" i="12"/>
  <c r="X556" i="12"/>
  <c r="Y555" i="12"/>
  <c r="X557" i="12"/>
  <c r="Y556" i="12"/>
  <c r="Y557" i="12"/>
  <c r="X558" i="12"/>
  <c r="Y558" i="12"/>
  <c r="X559" i="12"/>
  <c r="Y559" i="12"/>
  <c r="X560" i="12"/>
  <c r="Y560" i="12"/>
  <c r="X561" i="12"/>
  <c r="Y561" i="12"/>
  <c r="X562" i="12"/>
  <c r="Y562" i="12"/>
  <c r="X563" i="12"/>
  <c r="X564" i="12"/>
  <c r="Y563" i="12"/>
  <c r="X565" i="12"/>
  <c r="Y564" i="12"/>
  <c r="X566" i="12"/>
  <c r="Y565" i="12"/>
  <c r="X567" i="12"/>
  <c r="Y566" i="12"/>
  <c r="X568" i="12"/>
  <c r="Y567" i="12"/>
  <c r="Y568" i="12"/>
  <c r="X569" i="12"/>
  <c r="X570" i="12"/>
  <c r="Y569" i="12"/>
  <c r="X571" i="12"/>
  <c r="Y570" i="12"/>
  <c r="X572" i="12"/>
  <c r="Y571" i="12"/>
  <c r="Y572" i="12"/>
  <c r="X573" i="12"/>
  <c r="Y573" i="12"/>
  <c r="X574" i="12"/>
  <c r="Y574" i="12"/>
  <c r="X575" i="12"/>
  <c r="X576" i="12"/>
  <c r="Y575" i="12"/>
  <c r="X577" i="12"/>
  <c r="Y576" i="12"/>
  <c r="X578" i="12"/>
  <c r="Y577" i="12"/>
  <c r="Y578" i="12"/>
  <c r="X579" i="12"/>
  <c r="Y579" i="12"/>
  <c r="X580" i="12"/>
  <c r="Y580" i="12"/>
  <c r="X581" i="12"/>
  <c r="Y581" i="12"/>
  <c r="X582" i="12"/>
  <c r="Y582" i="12"/>
  <c r="X583" i="12"/>
  <c r="Y583" i="12"/>
  <c r="X584" i="12"/>
  <c r="X585" i="12"/>
  <c r="Y584" i="12"/>
  <c r="Y585" i="12"/>
  <c r="X586" i="12"/>
  <c r="X587" i="12"/>
  <c r="Y586" i="12"/>
  <c r="X588" i="12"/>
  <c r="Y587" i="12"/>
  <c r="Y588" i="12"/>
  <c r="X589" i="12"/>
  <c r="Y589" i="12"/>
  <c r="X590" i="12"/>
  <c r="Y590" i="12"/>
  <c r="X591" i="12"/>
  <c r="Y591" i="12"/>
  <c r="X592" i="12"/>
  <c r="Y592" i="12"/>
  <c r="X593" i="12"/>
  <c r="Y593" i="12"/>
  <c r="X594" i="12"/>
  <c r="Y594" i="12"/>
  <c r="X595" i="12"/>
  <c r="X596" i="12"/>
  <c r="Y595" i="12"/>
  <c r="X597" i="12"/>
  <c r="Y596" i="12"/>
  <c r="Y597" i="12"/>
  <c r="X598" i="12"/>
  <c r="Y598" i="12"/>
  <c r="X599" i="12"/>
  <c r="X600" i="12"/>
  <c r="Y599" i="12"/>
  <c r="Y600" i="12"/>
  <c r="X601" i="12"/>
  <c r="Y601" i="12"/>
  <c r="X602" i="12"/>
  <c r="Y602" i="12"/>
  <c r="X603" i="12"/>
  <c r="Y603" i="12"/>
  <c r="X604" i="12"/>
  <c r="X605" i="12"/>
  <c r="Y604" i="12"/>
  <c r="Y605" i="12"/>
  <c r="X606" i="12"/>
  <c r="Y606" i="12"/>
  <c r="X607" i="12"/>
  <c r="X608" i="12"/>
  <c r="Y607" i="12"/>
  <c r="X609" i="12"/>
  <c r="Y608" i="12"/>
  <c r="X610" i="12"/>
  <c r="Y609" i="12"/>
  <c r="X611" i="12"/>
  <c r="Y610" i="12"/>
  <c r="Y611" i="12"/>
  <c r="X612" i="12"/>
  <c r="Y612" i="12"/>
  <c r="X613" i="12"/>
  <c r="Y613" i="12"/>
  <c r="X614" i="12"/>
  <c r="Y614" i="12"/>
  <c r="X615" i="12"/>
  <c r="Y615" i="12"/>
  <c r="X616" i="12"/>
  <c r="X617" i="12"/>
  <c r="Y616" i="12"/>
  <c r="X618" i="12"/>
  <c r="Y617" i="12"/>
  <c r="X619" i="12"/>
  <c r="Y618" i="12"/>
  <c r="X620" i="12"/>
  <c r="Y619" i="12"/>
  <c r="Y620" i="12"/>
  <c r="X621" i="12"/>
  <c r="X622" i="12"/>
  <c r="Y621" i="12"/>
  <c r="Y622" i="12"/>
  <c r="X623" i="12"/>
  <c r="X624" i="12"/>
  <c r="Y623" i="12"/>
  <c r="Y624" i="12"/>
  <c r="X625" i="12"/>
  <c r="Y625" i="12"/>
  <c r="X626" i="12"/>
  <c r="Y626" i="12"/>
  <c r="X627" i="12"/>
  <c r="X628" i="12"/>
  <c r="Y627" i="12"/>
  <c r="Y628" i="12"/>
  <c r="X629" i="12"/>
  <c r="Y629" i="12"/>
  <c r="X630" i="12"/>
  <c r="Y630" i="12"/>
  <c r="X631" i="12"/>
  <c r="Y631" i="12"/>
  <c r="X632" i="12"/>
  <c r="Y632" i="12"/>
  <c r="X633" i="12"/>
  <c r="Y633" i="12"/>
  <c r="X634" i="12"/>
  <c r="X635" i="12"/>
  <c r="Y634" i="12"/>
  <c r="Y635" i="12"/>
  <c r="X636" i="12"/>
  <c r="Y636" i="12"/>
  <c r="X637" i="12"/>
  <c r="Y637" i="12"/>
  <c r="X638" i="12"/>
  <c r="Y638" i="12"/>
  <c r="X639" i="12"/>
  <c r="X640" i="12"/>
  <c r="Y639" i="12"/>
  <c r="X641" i="12"/>
  <c r="Y640" i="12"/>
  <c r="X642" i="12"/>
  <c r="Y641" i="12"/>
  <c r="X643" i="12"/>
  <c r="Y642" i="12"/>
  <c r="Y643" i="12"/>
  <c r="X644" i="12"/>
  <c r="Y644" i="12"/>
  <c r="X645" i="12"/>
  <c r="Y645" i="12"/>
  <c r="X646" i="12"/>
  <c r="Y646" i="12"/>
  <c r="X647" i="12"/>
  <c r="Y647" i="12"/>
  <c r="X648" i="12"/>
  <c r="X649" i="12"/>
  <c r="Y648" i="12"/>
  <c r="Y649" i="12"/>
  <c r="X650" i="12"/>
  <c r="Y650" i="12"/>
  <c r="X651" i="12"/>
  <c r="X652" i="12"/>
  <c r="Y651" i="12"/>
  <c r="Y652" i="12"/>
  <c r="X653" i="12"/>
  <c r="X654" i="12"/>
  <c r="Y653" i="12"/>
  <c r="Y654" i="12"/>
  <c r="X655" i="12"/>
  <c r="Y655" i="12"/>
  <c r="X656" i="12"/>
  <c r="X657" i="12"/>
  <c r="Y656" i="12"/>
  <c r="Y657" i="12"/>
  <c r="X658" i="12"/>
  <c r="Y658" i="12"/>
  <c r="X659" i="12"/>
  <c r="X660" i="12"/>
  <c r="Y659" i="12"/>
  <c r="X661" i="12"/>
  <c r="Y660" i="12"/>
  <c r="Y661" i="12"/>
  <c r="X662" i="12"/>
  <c r="X663" i="12"/>
  <c r="Y662" i="12"/>
  <c r="Y663" i="12"/>
  <c r="X664" i="12"/>
  <c r="Y664" i="12"/>
  <c r="X665" i="12"/>
  <c r="Y665" i="12"/>
  <c r="X666" i="12"/>
  <c r="X667" i="12"/>
  <c r="Y666" i="12"/>
  <c r="X668" i="12"/>
  <c r="Y667" i="12"/>
  <c r="X669" i="12"/>
  <c r="Y668" i="12"/>
  <c r="X670" i="12"/>
  <c r="Y669" i="12"/>
  <c r="X671" i="12"/>
  <c r="Y670" i="12"/>
  <c r="X672" i="12"/>
  <c r="Y671" i="12"/>
  <c r="Y672" i="12"/>
  <c r="X673" i="12"/>
  <c r="Y673" i="12"/>
  <c r="X674" i="12"/>
  <c r="X675" i="12"/>
  <c r="Y674" i="12"/>
  <c r="Y675" i="12"/>
  <c r="X676" i="12"/>
  <c r="X677" i="12"/>
  <c r="Y676" i="12"/>
  <c r="Y677" i="12"/>
  <c r="X678" i="12"/>
  <c r="X679" i="12"/>
  <c r="Y678" i="12"/>
  <c r="X680" i="12"/>
  <c r="Y679" i="12"/>
  <c r="X681" i="12"/>
  <c r="Y680" i="12"/>
  <c r="Y681" i="12"/>
  <c r="X682" i="12"/>
  <c r="Y682" i="12"/>
  <c r="X683" i="12"/>
  <c r="Y683" i="12"/>
  <c r="X684" i="12"/>
  <c r="X685" i="12"/>
  <c r="Y684" i="12"/>
  <c r="X686" i="12"/>
  <c r="Y685" i="12"/>
  <c r="X687" i="12"/>
  <c r="Y686" i="12"/>
  <c r="X688" i="12"/>
  <c r="Y687" i="12"/>
  <c r="Y688" i="12"/>
  <c r="X689" i="12"/>
  <c r="X690" i="12"/>
  <c r="Y689" i="12"/>
  <c r="X691" i="12"/>
  <c r="Y690" i="12"/>
  <c r="Y691" i="12"/>
  <c r="X692" i="12"/>
  <c r="Y692" i="12"/>
  <c r="X693" i="12"/>
  <c r="X694" i="12"/>
  <c r="Y693" i="12"/>
  <c r="X695" i="12"/>
  <c r="Y694" i="12"/>
  <c r="Y695" i="12"/>
  <c r="X696" i="12"/>
  <c r="Y696" i="12"/>
  <c r="X697" i="12"/>
  <c r="Y697" i="12"/>
  <c r="X698" i="12"/>
  <c r="X699" i="12"/>
  <c r="Y698" i="12"/>
  <c r="X700" i="12"/>
  <c r="Y699" i="12"/>
  <c r="Y700" i="12"/>
  <c r="X701" i="12"/>
  <c r="X702" i="12"/>
  <c r="Y701" i="12"/>
  <c r="X703" i="12"/>
  <c r="Y702" i="12"/>
  <c r="Y703" i="12"/>
  <c r="X704" i="12"/>
  <c r="Y704" i="12"/>
  <c r="X705" i="12"/>
  <c r="Y705" i="12"/>
  <c r="X706" i="12"/>
  <c r="X707" i="12"/>
  <c r="Y706" i="12"/>
  <c r="X708" i="12"/>
  <c r="Y707" i="12"/>
  <c r="Y708" i="12"/>
  <c r="X709" i="12"/>
  <c r="Y709" i="12"/>
  <c r="X710" i="12"/>
  <c r="X711" i="12"/>
  <c r="Y710" i="12"/>
  <c r="Y711" i="12"/>
  <c r="X712" i="12"/>
  <c r="X713" i="12"/>
  <c r="Y712" i="12"/>
  <c r="X714" i="12"/>
  <c r="Y713" i="12"/>
  <c r="X715" i="12"/>
  <c r="Y714" i="12"/>
  <c r="X716" i="12"/>
  <c r="Y715" i="12"/>
  <c r="Y716" i="12"/>
  <c r="X717" i="12"/>
  <c r="Y717" i="12"/>
  <c r="X718" i="12"/>
  <c r="X719" i="12"/>
  <c r="Y718" i="12"/>
  <c r="X720" i="12"/>
  <c r="Y719" i="12"/>
  <c r="Y720" i="12"/>
  <c r="X721" i="12"/>
  <c r="Y721" i="12"/>
  <c r="X722" i="12"/>
  <c r="Y722" i="12"/>
  <c r="X723" i="12"/>
  <c r="X724" i="12"/>
  <c r="Y723" i="12"/>
  <c r="Y724" i="12"/>
  <c r="X725" i="12"/>
  <c r="Y725" i="12"/>
  <c r="X726" i="12"/>
  <c r="X727" i="12"/>
  <c r="Y726" i="12"/>
  <c r="Y727" i="12"/>
  <c r="X728" i="12"/>
  <c r="Y728" i="12"/>
  <c r="X729" i="12"/>
  <c r="Y729" i="12"/>
  <c r="X730" i="12"/>
  <c r="Y730" i="12"/>
  <c r="X731" i="12"/>
  <c r="Y731" i="12"/>
  <c r="X732" i="12"/>
  <c r="X733" i="12"/>
  <c r="Y732" i="12"/>
  <c r="X734" i="12"/>
  <c r="Y733" i="12"/>
  <c r="X735" i="12"/>
  <c r="Y734" i="12"/>
  <c r="Y735" i="12"/>
  <c r="X736" i="12"/>
  <c r="Y736" i="12"/>
  <c r="X737" i="12"/>
  <c r="Y737" i="12"/>
  <c r="X738" i="12"/>
  <c r="Y738" i="12"/>
  <c r="X739" i="12"/>
  <c r="Y739" i="12"/>
  <c r="X740" i="12"/>
  <c r="Y740" i="12"/>
  <c r="X741" i="12"/>
  <c r="Y741" i="12"/>
  <c r="X742" i="12"/>
  <c r="X743" i="12"/>
  <c r="Y742" i="12"/>
  <c r="Y743" i="12"/>
  <c r="X744" i="12"/>
  <c r="X745" i="12"/>
  <c r="Y744" i="12"/>
  <c r="X746" i="12"/>
  <c r="Y745" i="12"/>
  <c r="X747" i="12"/>
  <c r="Y746" i="12"/>
  <c r="X748" i="12"/>
  <c r="Y747" i="12"/>
  <c r="Y748" i="12"/>
  <c r="X749" i="12"/>
  <c r="X750" i="12"/>
  <c r="Y749" i="12"/>
  <c r="X751" i="12"/>
  <c r="Y750" i="12"/>
  <c r="X752" i="12"/>
  <c r="Y751" i="12"/>
  <c r="Y752" i="12"/>
  <c r="X753" i="12"/>
  <c r="Y753" i="12"/>
  <c r="X754" i="12"/>
  <c r="Y754" i="12"/>
  <c r="X755" i="12"/>
  <c r="X756" i="12"/>
  <c r="Y755" i="12"/>
  <c r="Y756" i="12"/>
  <c r="X757" i="12"/>
  <c r="Y757" i="12"/>
  <c r="X758" i="12"/>
  <c r="X759" i="12"/>
  <c r="Y758" i="12"/>
  <c r="Y759" i="12"/>
  <c r="X760" i="12"/>
  <c r="Y760" i="12"/>
  <c r="X761" i="12"/>
  <c r="Y761" i="12"/>
  <c r="X762" i="12"/>
  <c r="X763" i="12"/>
  <c r="Y762" i="12"/>
  <c r="X764" i="12"/>
  <c r="Y763" i="12"/>
  <c r="Y764" i="12"/>
  <c r="X765" i="12"/>
  <c r="X766" i="12"/>
  <c r="Y765" i="12"/>
  <c r="X767" i="12"/>
  <c r="Y766" i="12"/>
  <c r="Y767" i="12"/>
  <c r="X768" i="12"/>
  <c r="Y768" i="12"/>
  <c r="X769" i="12"/>
  <c r="X770" i="12"/>
  <c r="Y769" i="12"/>
  <c r="X771" i="12"/>
  <c r="Y770" i="12"/>
  <c r="X772" i="12"/>
  <c r="Y771" i="12"/>
  <c r="X773" i="12"/>
  <c r="Y772" i="12"/>
  <c r="Y773" i="12"/>
  <c r="X774" i="12"/>
  <c r="X775" i="12"/>
  <c r="Y774" i="12"/>
  <c r="Y775" i="12"/>
  <c r="X776" i="12"/>
  <c r="Y776" i="12"/>
  <c r="X777" i="12"/>
  <c r="Y777" i="12"/>
  <c r="X778" i="12"/>
  <c r="X779" i="12"/>
  <c r="Y778" i="12"/>
  <c r="X780" i="12"/>
  <c r="Y779" i="12"/>
  <c r="X781" i="12"/>
  <c r="Y780" i="12"/>
  <c r="Y781" i="12"/>
  <c r="X782" i="12"/>
  <c r="X783" i="12"/>
  <c r="Y782" i="12"/>
  <c r="X784" i="12"/>
  <c r="Y783" i="12"/>
  <c r="X785" i="12"/>
  <c r="Y784" i="12"/>
  <c r="Y785" i="12"/>
  <c r="X786" i="12"/>
  <c r="Y786" i="12"/>
  <c r="X787" i="12"/>
  <c r="X788" i="12"/>
  <c r="Y787" i="12"/>
  <c r="X789" i="12"/>
  <c r="Y788" i="12"/>
  <c r="Y789" i="12"/>
  <c r="X790" i="12"/>
  <c r="X791" i="12"/>
  <c r="Y790" i="12"/>
  <c r="Y791" i="12"/>
  <c r="X792" i="12"/>
  <c r="X793" i="12"/>
  <c r="Y792" i="12"/>
  <c r="Y793" i="12"/>
  <c r="X794" i="12"/>
  <c r="X795" i="12"/>
  <c r="Y794" i="12"/>
  <c r="Y795" i="12"/>
  <c r="X796" i="12"/>
  <c r="Y796" i="12"/>
  <c r="X797" i="12"/>
  <c r="X798" i="12"/>
  <c r="Y797" i="12"/>
  <c r="X799" i="12"/>
  <c r="Y798" i="12"/>
  <c r="Y799" i="12"/>
  <c r="X800" i="12"/>
  <c r="X801" i="12"/>
  <c r="Y800" i="12"/>
  <c r="X802" i="12"/>
  <c r="Y801" i="12"/>
  <c r="X803" i="12"/>
  <c r="Y802" i="12"/>
  <c r="X804" i="12"/>
  <c r="Y803" i="12"/>
  <c r="Y804" i="12"/>
  <c r="X805" i="12"/>
  <c r="Y805" i="12"/>
  <c r="X806" i="12"/>
  <c r="X807" i="12"/>
  <c r="Y806" i="12"/>
  <c r="Y807" i="12"/>
  <c r="X808" i="12"/>
  <c r="Y808" i="12"/>
  <c r="X809" i="12"/>
  <c r="X810" i="12"/>
  <c r="Y809" i="12"/>
  <c r="X811" i="12"/>
  <c r="Y810" i="12"/>
  <c r="X812" i="12"/>
  <c r="Y811" i="12"/>
  <c r="Y812" i="12"/>
  <c r="X813" i="12"/>
  <c r="X814" i="12"/>
  <c r="Y813" i="12"/>
  <c r="X815" i="12"/>
  <c r="Y814" i="12"/>
  <c r="X816" i="12"/>
  <c r="Y815" i="12"/>
  <c r="X817" i="12"/>
  <c r="Y816" i="12"/>
  <c r="Y817" i="12"/>
  <c r="X818" i="12"/>
  <c r="Y818" i="12"/>
  <c r="X819" i="12"/>
  <c r="X820" i="12"/>
  <c r="Y819" i="12"/>
  <c r="Y820" i="12"/>
  <c r="X821" i="12"/>
  <c r="Y821" i="12"/>
  <c r="X822" i="12"/>
  <c r="X823" i="12"/>
  <c r="Y822" i="12"/>
  <c r="Y823" i="12"/>
  <c r="X824" i="12"/>
  <c r="X825" i="12"/>
  <c r="Y824" i="12"/>
  <c r="X826" i="12"/>
  <c r="Y825" i="12"/>
  <c r="Y826" i="12"/>
  <c r="X827" i="12"/>
  <c r="X828" i="12"/>
  <c r="Y827" i="12"/>
  <c r="Y828" i="12"/>
  <c r="X829" i="12"/>
  <c r="X830" i="12"/>
  <c r="Y829" i="12"/>
  <c r="X831" i="12"/>
  <c r="Y830" i="12"/>
  <c r="Y831" i="12"/>
  <c r="X832" i="12"/>
  <c r="X833" i="12"/>
  <c r="Y832" i="12"/>
  <c r="X834" i="12"/>
  <c r="Y833" i="12"/>
  <c r="Y834" i="12"/>
  <c r="X835" i="12"/>
  <c r="X836" i="12"/>
  <c r="Y835" i="12"/>
  <c r="X837" i="12"/>
  <c r="Y836" i="12"/>
  <c r="Y837" i="12"/>
  <c r="X838" i="12"/>
  <c r="X839" i="12"/>
  <c r="Y838" i="12"/>
  <c r="Y839" i="12"/>
  <c r="X840" i="12"/>
  <c r="X841" i="12"/>
  <c r="Y840" i="12"/>
  <c r="Y841" i="12"/>
  <c r="X842" i="12"/>
  <c r="X843" i="12"/>
  <c r="Y842" i="12"/>
  <c r="X844" i="12"/>
  <c r="Y843" i="12"/>
  <c r="X845" i="12"/>
  <c r="Y844" i="12"/>
  <c r="X846" i="12"/>
  <c r="Y845" i="12"/>
  <c r="X847" i="12"/>
  <c r="Y846" i="12"/>
  <c r="X848" i="12"/>
  <c r="Y847" i="12"/>
  <c r="X849" i="12"/>
  <c r="Y848" i="12"/>
  <c r="X850" i="12"/>
  <c r="Y849" i="12"/>
  <c r="Y850" i="12"/>
  <c r="X851" i="12"/>
  <c r="Y851" i="12"/>
  <c r="X852" i="12"/>
  <c r="Y852" i="12"/>
  <c r="X853" i="12"/>
  <c r="Y853" i="12"/>
  <c r="X854" i="12"/>
  <c r="X855" i="12"/>
  <c r="Y854" i="12"/>
  <c r="X856" i="12"/>
  <c r="Y855" i="12"/>
  <c r="Y856" i="12"/>
  <c r="X857" i="12"/>
  <c r="X858" i="12"/>
  <c r="Y857" i="12"/>
  <c r="Y858" i="12"/>
  <c r="X859" i="12"/>
  <c r="X860" i="12"/>
  <c r="Y859" i="12"/>
  <c r="Y860" i="12"/>
  <c r="X861" i="12"/>
  <c r="X862" i="12"/>
  <c r="Y861" i="12"/>
  <c r="X863" i="12"/>
  <c r="Y862" i="12"/>
  <c r="Y863" i="12"/>
  <c r="X864" i="12"/>
  <c r="Y864" i="12"/>
  <c r="X865" i="12"/>
  <c r="X866" i="12"/>
  <c r="Y865" i="12"/>
  <c r="X867" i="12"/>
  <c r="Y866" i="12"/>
  <c r="Y867" i="12"/>
  <c r="X868" i="12"/>
  <c r="X869" i="12"/>
  <c r="Y868" i="12"/>
  <c r="Y869" i="12"/>
  <c r="X870" i="12"/>
  <c r="X871" i="12"/>
  <c r="Y870" i="12"/>
  <c r="Y871" i="12"/>
  <c r="X872" i="12"/>
  <c r="X873" i="12"/>
  <c r="Y872" i="12"/>
  <c r="X874" i="12"/>
  <c r="Y873" i="12"/>
  <c r="X875" i="12"/>
  <c r="Y874" i="12"/>
  <c r="Y875" i="12"/>
  <c r="X876" i="12"/>
  <c r="X877" i="12"/>
  <c r="Y876" i="12"/>
  <c r="X878" i="12"/>
  <c r="Y877" i="12"/>
  <c r="X879" i="12"/>
  <c r="Y878" i="12"/>
  <c r="X880" i="12"/>
  <c r="Y879" i="12"/>
  <c r="Y880" i="12"/>
  <c r="X881" i="12"/>
  <c r="Y881" i="12"/>
  <c r="X882" i="12"/>
  <c r="Y882" i="12"/>
  <c r="X883" i="12"/>
  <c r="X884" i="12"/>
  <c r="Y883" i="12"/>
  <c r="X885" i="12"/>
  <c r="Y884" i="12"/>
  <c r="X886" i="12"/>
  <c r="Y885" i="12"/>
  <c r="X887" i="12"/>
  <c r="Y886" i="12"/>
  <c r="Y887" i="12"/>
  <c r="X888" i="12"/>
  <c r="X889" i="12"/>
  <c r="Y888" i="12"/>
  <c r="Y889" i="12"/>
  <c r="X890" i="12"/>
  <c r="X891" i="12"/>
  <c r="Y890" i="12"/>
  <c r="X892" i="12"/>
  <c r="Y891" i="12"/>
  <c r="X893" i="12"/>
  <c r="Y892" i="12"/>
  <c r="Y893" i="12"/>
  <c r="X894" i="12"/>
  <c r="X895" i="12"/>
  <c r="Y894" i="12"/>
  <c r="Y895" i="12"/>
  <c r="X896" i="12"/>
  <c r="Y896" i="12"/>
  <c r="X897" i="12"/>
  <c r="X898" i="12"/>
  <c r="Y897" i="12"/>
  <c r="X899" i="12"/>
  <c r="Y898" i="12"/>
  <c r="X900" i="12"/>
  <c r="Y899" i="12"/>
  <c r="X901" i="12"/>
  <c r="Y900" i="12"/>
  <c r="Y901" i="12"/>
  <c r="X902" i="12"/>
  <c r="X903" i="12"/>
  <c r="Y902" i="12"/>
  <c r="Y903" i="12"/>
  <c r="X904" i="12"/>
  <c r="X905" i="12"/>
  <c r="Y904" i="12"/>
  <c r="Y905" i="12"/>
  <c r="X906" i="12"/>
  <c r="X907" i="12"/>
  <c r="Y906" i="12"/>
  <c r="X908" i="12"/>
  <c r="Y907" i="12"/>
  <c r="X909" i="12"/>
  <c r="Y908" i="12"/>
  <c r="X910" i="12"/>
  <c r="Y909" i="12"/>
  <c r="X911" i="12"/>
  <c r="Y910" i="12"/>
  <c r="X912" i="12"/>
  <c r="Y911" i="12"/>
  <c r="X913" i="12"/>
  <c r="Y912" i="12"/>
  <c r="Y913" i="12"/>
  <c r="X914" i="12"/>
  <c r="Y914" i="12"/>
  <c r="X915" i="12"/>
  <c r="Y915" i="12"/>
  <c r="X916" i="12"/>
  <c r="Y916" i="12"/>
  <c r="X917" i="12"/>
  <c r="X918" i="12"/>
  <c r="Y917" i="12"/>
  <c r="X919" i="12"/>
  <c r="Y918" i="12"/>
  <c r="X920" i="12"/>
  <c r="Y919" i="12"/>
  <c r="X921" i="12"/>
  <c r="Y920" i="12"/>
  <c r="X922" i="12"/>
  <c r="Y921" i="12"/>
  <c r="X923" i="12"/>
  <c r="Y922" i="12"/>
  <c r="X924" i="12"/>
  <c r="Y923" i="12"/>
  <c r="Y924" i="12"/>
  <c r="X925" i="12"/>
  <c r="X926" i="12"/>
  <c r="Y925" i="12"/>
  <c r="X927" i="12"/>
  <c r="Y926" i="12"/>
  <c r="Y927" i="12"/>
  <c r="X928" i="12"/>
  <c r="X929" i="12"/>
  <c r="Y928" i="12"/>
  <c r="X930" i="12"/>
  <c r="Y929" i="12"/>
  <c r="Y930" i="12"/>
  <c r="X931" i="12"/>
  <c r="X932" i="12"/>
  <c r="Y931" i="12"/>
  <c r="X933" i="12"/>
  <c r="Y932" i="12"/>
  <c r="X934" i="12"/>
  <c r="Y933" i="12"/>
  <c r="X935" i="12"/>
  <c r="Y934" i="12"/>
  <c r="Y935" i="12"/>
  <c r="X936" i="12"/>
  <c r="X937" i="12"/>
  <c r="Y936" i="12"/>
  <c r="X938" i="12"/>
  <c r="Y937" i="12"/>
  <c r="X939" i="12"/>
  <c r="Y938" i="12"/>
  <c r="Y939" i="12"/>
  <c r="X940" i="12"/>
  <c r="X941" i="12"/>
  <c r="Y940" i="12"/>
  <c r="X942" i="12"/>
  <c r="Y941" i="12"/>
  <c r="X943" i="12"/>
  <c r="Y942" i="12"/>
  <c r="X944" i="12"/>
  <c r="Y943" i="12"/>
  <c r="Y944" i="12"/>
  <c r="X945" i="12"/>
  <c r="Y945" i="12"/>
  <c r="X946" i="12"/>
  <c r="X947" i="12"/>
  <c r="Y946" i="12"/>
  <c r="X948" i="12"/>
  <c r="Y947" i="12"/>
  <c r="X949" i="12"/>
  <c r="Y948" i="12"/>
  <c r="X950" i="12"/>
  <c r="Y949" i="12"/>
  <c r="X951" i="12"/>
  <c r="Y950" i="12"/>
  <c r="X952" i="12"/>
  <c r="Y951" i="12"/>
  <c r="X953" i="12"/>
  <c r="Y952" i="12"/>
  <c r="Y953" i="12"/>
  <c r="X954" i="12"/>
  <c r="Y954" i="12"/>
  <c r="X955" i="12"/>
  <c r="Y955" i="12"/>
  <c r="X956" i="12"/>
  <c r="X957" i="12"/>
  <c r="Y956" i="12"/>
  <c r="Y957" i="12"/>
  <c r="X958" i="12"/>
  <c r="X959" i="12"/>
  <c r="Y958" i="12"/>
  <c r="Y959" i="12"/>
  <c r="X960" i="12"/>
  <c r="Y960" i="12"/>
  <c r="X961" i="12"/>
  <c r="Y961" i="12"/>
  <c r="X962" i="12"/>
  <c r="Y962" i="12"/>
  <c r="X963" i="12"/>
  <c r="X964" i="12"/>
  <c r="Y963" i="12"/>
  <c r="X965" i="12"/>
  <c r="Y964" i="12"/>
  <c r="Y965" i="12"/>
  <c r="X966" i="12"/>
  <c r="X967" i="12"/>
  <c r="Y966" i="12"/>
  <c r="Y967" i="12"/>
  <c r="X968" i="12"/>
  <c r="X969" i="12"/>
  <c r="Y968" i="12"/>
  <c r="X970" i="12"/>
  <c r="Y969" i="12"/>
  <c r="Y970" i="12"/>
  <c r="X971" i="12"/>
  <c r="X972" i="12"/>
  <c r="Y971" i="12"/>
  <c r="Y972" i="12"/>
  <c r="X973" i="12"/>
  <c r="X974" i="12"/>
  <c r="Y973" i="12"/>
  <c r="X975" i="12"/>
  <c r="Y974" i="12"/>
  <c r="X976" i="12"/>
  <c r="Y975" i="12"/>
  <c r="Y976" i="12"/>
  <c r="X977" i="12"/>
  <c r="Y977" i="12"/>
  <c r="X978" i="12"/>
  <c r="Y978" i="12"/>
  <c r="X979" i="12"/>
  <c r="X980" i="12"/>
  <c r="Y979" i="12"/>
  <c r="X981" i="12"/>
  <c r="Y980" i="12"/>
  <c r="Y981" i="12"/>
  <c r="X982" i="12"/>
  <c r="X983" i="12"/>
  <c r="Y982" i="12"/>
  <c r="Y983" i="12"/>
  <c r="X984" i="12"/>
  <c r="Y984" i="12"/>
  <c r="X985" i="12"/>
  <c r="Y985" i="12"/>
  <c r="X986" i="12"/>
  <c r="Y986" i="12"/>
  <c r="X987" i="12"/>
  <c r="X988" i="12"/>
  <c r="Y987" i="12"/>
  <c r="Y988" i="12"/>
  <c r="X989" i="12"/>
  <c r="X990" i="12"/>
  <c r="Y989" i="12"/>
  <c r="X991" i="12"/>
  <c r="Y990" i="12"/>
  <c r="Y991" i="12"/>
  <c r="X992" i="12"/>
  <c r="Y992" i="12"/>
  <c r="X993" i="12"/>
  <c r="X994" i="12"/>
  <c r="Y993" i="12"/>
  <c r="X995" i="12"/>
  <c r="Y994" i="12"/>
  <c r="X996" i="12"/>
  <c r="Y995" i="12"/>
  <c r="X997" i="12"/>
  <c r="Y996" i="12"/>
  <c r="Y997" i="12"/>
  <c r="X998" i="12"/>
  <c r="X999" i="12"/>
  <c r="Y998" i="12"/>
  <c r="Y999" i="12"/>
  <c r="X1000" i="12"/>
  <c r="X1001" i="12"/>
  <c r="Y1000" i="12"/>
  <c r="X1002" i="12"/>
  <c r="Y1001" i="12"/>
  <c r="X1003" i="12"/>
  <c r="Y1002" i="12"/>
  <c r="X1004" i="12"/>
  <c r="Y1003" i="12"/>
  <c r="X1005" i="12"/>
  <c r="Y1004" i="12"/>
  <c r="X1006" i="12"/>
  <c r="Y1005" i="12"/>
  <c r="X1007" i="12"/>
  <c r="Y1006" i="12"/>
  <c r="X1008" i="12"/>
  <c r="Y1007" i="12"/>
  <c r="Y1008" i="12"/>
  <c r="X1009" i="12"/>
  <c r="Y1009" i="12"/>
  <c r="X1010" i="12"/>
  <c r="Y1010" i="12"/>
  <c r="X1011" i="12"/>
  <c r="Y1011" i="12"/>
  <c r="X1012" i="12"/>
  <c r="X1013" i="12"/>
  <c r="Y1012" i="12"/>
  <c r="Y1013" i="12"/>
  <c r="X1014" i="12"/>
  <c r="X1015" i="12"/>
  <c r="Y1014" i="12"/>
  <c r="Y1015" i="12"/>
  <c r="X1016" i="12"/>
  <c r="X1017" i="12"/>
  <c r="Y1016" i="12"/>
  <c r="Y1017" i="12"/>
  <c r="X1018" i="12"/>
  <c r="X1019" i="12"/>
  <c r="Y1018" i="12"/>
  <c r="X1020" i="12"/>
  <c r="Y1019" i="12"/>
  <c r="X1021" i="12"/>
  <c r="Y1020" i="12"/>
  <c r="Y1021" i="12"/>
  <c r="X1022" i="12"/>
  <c r="X1023" i="12"/>
  <c r="Y1022" i="12"/>
  <c r="Y1023" i="12"/>
  <c r="X1024" i="12"/>
  <c r="Y1024" i="12"/>
  <c r="X1025" i="12"/>
  <c r="X1026" i="12"/>
  <c r="Y1025" i="12"/>
  <c r="X1027" i="12"/>
  <c r="Y1026" i="12"/>
  <c r="X1028" i="12"/>
  <c r="Y1027" i="12"/>
  <c r="X1029" i="12"/>
  <c r="Y1028" i="12"/>
  <c r="X1030" i="12"/>
  <c r="Y1029" i="12"/>
  <c r="Y1030" i="12"/>
  <c r="X1031" i="12"/>
  <c r="Y1031" i="12"/>
  <c r="X1032" i="12"/>
  <c r="Y1032" i="12"/>
  <c r="X1033" i="12"/>
  <c r="Y1033" i="12"/>
  <c r="X1034" i="12"/>
  <c r="Y1034" i="12"/>
  <c r="X1035" i="12"/>
  <c r="X1036" i="12"/>
  <c r="Y1035" i="12"/>
  <c r="Y1036" i="12"/>
  <c r="X1037" i="12"/>
  <c r="Y1037" i="12"/>
  <c r="X1038" i="12"/>
  <c r="Y1038" i="12"/>
  <c r="X1039" i="12"/>
  <c r="Y1039" i="12"/>
  <c r="X1040" i="12"/>
  <c r="X1041" i="12"/>
  <c r="Y1040" i="12"/>
  <c r="X1042" i="12"/>
  <c r="Y1041" i="12"/>
  <c r="X1043" i="12"/>
  <c r="Y1042" i="12"/>
  <c r="X1044" i="12"/>
  <c r="Y1043" i="12"/>
  <c r="Y1044" i="12"/>
  <c r="X1045" i="12"/>
  <c r="Y1045" i="12"/>
  <c r="X1046" i="12"/>
  <c r="Y1046" i="12"/>
  <c r="X1047" i="12"/>
  <c r="Y1047" i="12"/>
  <c r="X1048" i="12"/>
  <c r="X1049" i="12"/>
  <c r="Y1048" i="12"/>
  <c r="X1050" i="12"/>
  <c r="Y1049" i="12"/>
  <c r="X1051" i="12"/>
  <c r="Y1050" i="12"/>
  <c r="X1052" i="12"/>
  <c r="Y1051" i="12"/>
  <c r="Y1052" i="12"/>
  <c r="X1053" i="12"/>
  <c r="Y1053" i="12"/>
  <c r="X1054" i="12"/>
  <c r="X1055" i="12"/>
  <c r="Y1054" i="12"/>
  <c r="X1056" i="12"/>
  <c r="Y1055" i="12"/>
  <c r="Y1056" i="12"/>
  <c r="X1057" i="12"/>
  <c r="X1058" i="12"/>
  <c r="Y1057" i="12"/>
  <c r="X1059" i="12"/>
  <c r="Y1058" i="12"/>
  <c r="X1060" i="12"/>
  <c r="Y1059" i="12"/>
  <c r="X1061" i="12"/>
  <c r="Y1060" i="12"/>
  <c r="Y1061" i="12"/>
  <c r="X1062" i="12"/>
  <c r="Y1062" i="12"/>
  <c r="X1063" i="12"/>
  <c r="Y1063" i="12"/>
  <c r="X1064" i="12"/>
  <c r="X1065" i="12"/>
  <c r="Y1064" i="12"/>
  <c r="Y1065" i="12"/>
  <c r="X1066" i="12"/>
  <c r="X1067" i="12"/>
  <c r="Y1066" i="12"/>
  <c r="Y1067" i="12"/>
  <c r="X1068" i="12"/>
  <c r="X1069" i="12"/>
  <c r="Y1068" i="12"/>
  <c r="X1070" i="12"/>
  <c r="Y1069" i="12"/>
  <c r="Y1070" i="12"/>
  <c r="X1071" i="12"/>
  <c r="Y1071" i="12"/>
  <c r="X1072" i="12"/>
  <c r="Y1072" i="12"/>
  <c r="X1073" i="12"/>
  <c r="X1074" i="12"/>
  <c r="Y1073" i="12"/>
  <c r="Y1074" i="12"/>
  <c r="X1075" i="12"/>
  <c r="Y1075" i="12"/>
  <c r="X1076" i="12"/>
  <c r="X1077" i="12"/>
  <c r="Y1076" i="12"/>
  <c r="X1078" i="12"/>
  <c r="Y1077" i="12"/>
  <c r="X1079" i="12"/>
  <c r="Y1078" i="12"/>
  <c r="X1080" i="12"/>
  <c r="Y1079" i="12"/>
  <c r="Y1080" i="12"/>
  <c r="X1081" i="12"/>
  <c r="X1082" i="12"/>
  <c r="Y1081" i="12"/>
  <c r="X1083" i="12"/>
  <c r="Y1082" i="12"/>
  <c r="Y1083" i="12"/>
  <c r="X1084" i="12"/>
  <c r="X1085" i="12"/>
  <c r="Y1084" i="12"/>
  <c r="Y1085" i="12"/>
  <c r="X1086" i="12"/>
  <c r="X1087" i="12"/>
  <c r="Y1086" i="12"/>
  <c r="Y1087" i="12"/>
  <c r="X1088" i="12"/>
  <c r="X1089" i="12"/>
  <c r="Y1088" i="12"/>
  <c r="X1090" i="12"/>
  <c r="Y1089" i="12"/>
  <c r="X1091" i="12"/>
  <c r="Y1090" i="12"/>
  <c r="Y1091" i="12"/>
  <c r="X1092" i="12"/>
  <c r="X1093" i="12"/>
  <c r="Y1092" i="12"/>
  <c r="X1094" i="12"/>
  <c r="Y1093" i="12"/>
  <c r="X1095" i="12"/>
  <c r="Y1094" i="12"/>
  <c r="X1096" i="12"/>
  <c r="Y1095" i="12"/>
  <c r="Y1096" i="12"/>
  <c r="X1097" i="12"/>
  <c r="X1098" i="12"/>
  <c r="Y1097" i="12"/>
  <c r="Y1098" i="12"/>
  <c r="X1099" i="12"/>
  <c r="Y1099" i="12"/>
  <c r="X1100" i="12"/>
  <c r="Y1100" i="12"/>
  <c r="X1101" i="12"/>
  <c r="X1102" i="12"/>
  <c r="Y1101" i="12"/>
  <c r="X1103" i="12"/>
  <c r="Y1102" i="12"/>
  <c r="Y1103" i="12"/>
  <c r="X1104" i="12"/>
  <c r="Y1104" i="12"/>
  <c r="X1105" i="12"/>
  <c r="X1106" i="12"/>
  <c r="Y1105" i="12"/>
  <c r="X1107" i="12"/>
  <c r="Y1106" i="12"/>
  <c r="X1108" i="12"/>
  <c r="Y1107" i="12"/>
  <c r="Y1108" i="12"/>
  <c r="X1109" i="12"/>
  <c r="Y1109" i="12"/>
  <c r="X1110" i="12"/>
  <c r="Y1110" i="12"/>
  <c r="X1111" i="12"/>
  <c r="X1112" i="12"/>
  <c r="Y1111" i="12"/>
  <c r="Y1112" i="12"/>
  <c r="X1113" i="12"/>
  <c r="X1114" i="12"/>
  <c r="Y1113" i="12"/>
  <c r="X1115" i="12"/>
  <c r="Y1114" i="12"/>
  <c r="Y1115" i="12"/>
  <c r="X1116" i="12"/>
  <c r="Y1116" i="12"/>
  <c r="X1117" i="12"/>
  <c r="X1118" i="12"/>
  <c r="Y1117" i="12"/>
  <c r="Y1118" i="12"/>
  <c r="X1119" i="12"/>
  <c r="Y1119" i="12"/>
  <c r="X1120" i="12"/>
  <c r="X1121" i="12"/>
  <c r="Y1120" i="12"/>
  <c r="Y1121" i="12"/>
  <c r="X1122" i="12"/>
  <c r="Y1122" i="12"/>
  <c r="X1123" i="12"/>
  <c r="Y1123" i="12"/>
  <c r="X1124" i="12"/>
  <c r="Y1124" i="12"/>
  <c r="X1125" i="12"/>
  <c r="X1126" i="12"/>
  <c r="Y1125" i="12"/>
  <c r="Y1126" i="12"/>
  <c r="X1127" i="12"/>
  <c r="X1128" i="12"/>
  <c r="Y1127" i="12"/>
  <c r="X1129" i="12"/>
  <c r="Y1128" i="12"/>
  <c r="X1130" i="12"/>
  <c r="Y1129" i="12"/>
  <c r="Y1130" i="12"/>
  <c r="X1131" i="12"/>
  <c r="X1132" i="12"/>
  <c r="Y1131" i="12"/>
  <c r="Y1132" i="12"/>
  <c r="X1133" i="12"/>
  <c r="X1134" i="12"/>
  <c r="Y1133" i="12"/>
  <c r="X1135" i="12"/>
  <c r="Y1134" i="12"/>
  <c r="Y1135" i="12"/>
  <c r="X1136" i="12"/>
  <c r="X1137" i="12"/>
  <c r="Y1136" i="12"/>
  <c r="Y1137" i="12"/>
  <c r="X1138" i="12"/>
  <c r="X1139" i="12"/>
  <c r="Y1138" i="12"/>
  <c r="Y1139" i="12"/>
  <c r="X1140" i="12"/>
  <c r="Y1140" i="12"/>
  <c r="X1141" i="12"/>
  <c r="X1142" i="12"/>
  <c r="Y1141" i="12"/>
  <c r="Y1142" i="12"/>
  <c r="X1143" i="12"/>
  <c r="Y1143" i="12"/>
  <c r="X1144" i="12"/>
  <c r="Y1144" i="12"/>
  <c r="X1145" i="12"/>
  <c r="Y1145" i="12"/>
  <c r="X1146" i="12"/>
  <c r="X1147" i="12"/>
  <c r="Y1146" i="12"/>
  <c r="X1148" i="12"/>
  <c r="Y1147" i="12"/>
  <c r="Y1148" i="12"/>
  <c r="X1149" i="12"/>
  <c r="X1150" i="12"/>
  <c r="Y1149" i="12"/>
  <c r="Y1150" i="12"/>
  <c r="X1151" i="12"/>
  <c r="X1152" i="12"/>
  <c r="Y1151" i="12"/>
  <c r="X1153" i="12"/>
  <c r="Y1152" i="12"/>
  <c r="X1154" i="12"/>
  <c r="Y1153" i="12"/>
  <c r="X1155" i="12"/>
  <c r="Y1154" i="12"/>
  <c r="X1156" i="12"/>
  <c r="Y1155" i="12"/>
  <c r="Y1156" i="12"/>
  <c r="X1157" i="12"/>
  <c r="X1158" i="12"/>
  <c r="Y1157" i="12"/>
  <c r="Y1158" i="12"/>
  <c r="X1159" i="12"/>
  <c r="X1160" i="12"/>
  <c r="Y1159" i="12"/>
  <c r="X1161" i="12"/>
  <c r="Y1160" i="12"/>
  <c r="X1162" i="12"/>
  <c r="Y1161" i="12"/>
  <c r="Y1162" i="12"/>
  <c r="X1163" i="12"/>
  <c r="X1164" i="12"/>
  <c r="Y1163" i="12"/>
  <c r="Y1164" i="12"/>
  <c r="X1165" i="12"/>
  <c r="X1166" i="12"/>
  <c r="Y1165" i="12"/>
  <c r="X1167" i="12"/>
  <c r="Y1166" i="12"/>
  <c r="X1168" i="12"/>
  <c r="Y1167" i="12"/>
  <c r="X1169" i="12"/>
  <c r="Y1168" i="12"/>
  <c r="X1170" i="12"/>
  <c r="Y1169" i="12"/>
  <c r="X1171" i="12"/>
  <c r="Y1170" i="12"/>
  <c r="Y1171" i="12"/>
  <c r="X1172" i="12"/>
  <c r="Y1172" i="12"/>
  <c r="X1173" i="12"/>
  <c r="Y1173" i="12"/>
  <c r="X1174" i="12"/>
  <c r="Y1174" i="12"/>
  <c r="X1175" i="12"/>
  <c r="Y1175" i="12"/>
  <c r="X1176" i="12"/>
  <c r="Y1176" i="12"/>
  <c r="X1177" i="12"/>
  <c r="X1178" i="12"/>
  <c r="Y1177" i="12"/>
  <c r="X1179" i="12"/>
  <c r="Y1178" i="12"/>
  <c r="Y1179" i="12"/>
  <c r="X1180" i="12"/>
  <c r="Y1180" i="12"/>
  <c r="X1181" i="12"/>
  <c r="Y1181" i="12"/>
  <c r="X1182" i="12"/>
  <c r="X1183" i="12"/>
  <c r="Y1182" i="12"/>
  <c r="X1184" i="12"/>
  <c r="Y1183" i="12"/>
  <c r="Y1184" i="12"/>
  <c r="X1185" i="12"/>
  <c r="Y1185" i="12"/>
  <c r="X1186" i="12"/>
  <c r="Y1186" i="12"/>
  <c r="X1187" i="12"/>
  <c r="Y1187" i="12"/>
  <c r="X1188" i="12"/>
  <c r="Y1188" i="12"/>
  <c r="X1189" i="12"/>
  <c r="X1190" i="12"/>
  <c r="Y1189" i="12"/>
  <c r="Y1190" i="12"/>
  <c r="X1191" i="12"/>
  <c r="X1192" i="12"/>
  <c r="Y1191" i="12"/>
  <c r="Y1192" i="12"/>
  <c r="X1193" i="12"/>
  <c r="Y1193" i="12"/>
  <c r="X1194" i="12"/>
  <c r="Y1194" i="12"/>
  <c r="X1195" i="12"/>
  <c r="Y1195" i="12"/>
  <c r="X1196" i="12"/>
  <c r="X1197" i="12"/>
  <c r="Y1196" i="12"/>
  <c r="Y1197" i="12"/>
  <c r="X1198" i="12"/>
  <c r="X1199" i="12"/>
  <c r="Y1198" i="12"/>
  <c r="Y1199" i="12"/>
  <c r="X1200" i="12"/>
  <c r="X1201" i="12"/>
  <c r="Y1200" i="12"/>
  <c r="X1202" i="12"/>
  <c r="Y1201" i="12"/>
  <c r="Y1202" i="12"/>
  <c r="X1203" i="12"/>
  <c r="Y1203" i="12"/>
  <c r="X1204" i="12"/>
  <c r="Y1204" i="12"/>
  <c r="X1205" i="12"/>
  <c r="X1206" i="12"/>
  <c r="Y1205" i="12"/>
  <c r="Y1206" i="12"/>
  <c r="X1207" i="12"/>
  <c r="Y1207" i="12"/>
  <c r="X1208" i="12"/>
  <c r="Y1208" i="12"/>
  <c r="X1209" i="12"/>
  <c r="X1210" i="12"/>
  <c r="Y1209" i="12"/>
  <c r="Y1210" i="12"/>
  <c r="X1211" i="12"/>
  <c r="Y1211" i="12"/>
  <c r="X1212" i="12"/>
  <c r="X1213" i="12"/>
  <c r="Y1212" i="12"/>
  <c r="Y1213" i="12"/>
  <c r="X1214" i="12"/>
  <c r="X1215" i="12"/>
  <c r="Y1214" i="12"/>
  <c r="Y1215" i="12"/>
  <c r="X1216" i="12"/>
  <c r="X1217" i="12"/>
  <c r="Y1216" i="12"/>
  <c r="X1218" i="12"/>
  <c r="Y1217" i="12"/>
  <c r="X1219" i="12"/>
  <c r="Y1218" i="12"/>
  <c r="X1220" i="12"/>
  <c r="Y1219" i="12"/>
  <c r="X1221" i="12"/>
  <c r="Y1220" i="12"/>
  <c r="Y1221" i="12"/>
  <c r="X1222" i="12"/>
  <c r="X1223" i="12"/>
  <c r="Y1222" i="12"/>
  <c r="Y1223" i="12"/>
  <c r="X1224" i="12"/>
  <c r="Y1224" i="12"/>
  <c r="X1225" i="12"/>
  <c r="X1226" i="12"/>
  <c r="Y1225" i="12"/>
  <c r="X1227" i="12"/>
  <c r="Y1226" i="12"/>
  <c r="X1228" i="12"/>
  <c r="Y1227" i="12"/>
  <c r="Y1228" i="12"/>
  <c r="X1229" i="12"/>
  <c r="X1230" i="12"/>
  <c r="Y1229" i="12"/>
  <c r="X1231" i="12"/>
  <c r="Y1230" i="12"/>
  <c r="Y1231" i="12"/>
  <c r="X1232" i="12"/>
  <c r="Y1232" i="12"/>
  <c r="X1233" i="12"/>
  <c r="Y1233" i="12"/>
  <c r="X1234" i="12"/>
  <c r="Y1234" i="12"/>
  <c r="X1235" i="12"/>
  <c r="X1236" i="12"/>
  <c r="Y1235" i="12"/>
  <c r="Y1236" i="12"/>
  <c r="X1237" i="12"/>
  <c r="Y1237" i="12"/>
  <c r="X1238" i="12"/>
  <c r="Y1238" i="12"/>
  <c r="X1239" i="12"/>
  <c r="Y1239" i="12"/>
  <c r="X1240" i="12"/>
  <c r="Y1240" i="12"/>
  <c r="X1241" i="12"/>
  <c r="X1242" i="12"/>
  <c r="Y1241" i="12"/>
  <c r="X1243" i="12"/>
  <c r="Y1242" i="12"/>
  <c r="Y1243" i="12"/>
  <c r="X1244" i="12"/>
  <c r="X1245" i="12"/>
  <c r="Y1244" i="12"/>
  <c r="Y1245" i="12"/>
  <c r="X1246" i="12"/>
  <c r="X1247" i="12"/>
  <c r="Y1246" i="12"/>
  <c r="X1248" i="12"/>
  <c r="Y1247" i="12"/>
  <c r="X1249" i="12"/>
  <c r="Y1248" i="12"/>
  <c r="X1250" i="12"/>
  <c r="Y1249" i="12"/>
  <c r="Y1250" i="12"/>
  <c r="X1251" i="12"/>
  <c r="X1252" i="12"/>
  <c r="Y1251" i="12"/>
  <c r="Y1252" i="12"/>
  <c r="X1253" i="12"/>
  <c r="Y1253" i="12"/>
  <c r="X1254" i="12"/>
  <c r="Y1254" i="12"/>
  <c r="X1255" i="12"/>
  <c r="X1256" i="12"/>
  <c r="Y1255" i="12"/>
  <c r="X1257" i="12"/>
  <c r="Y1256" i="12"/>
  <c r="X1258" i="12"/>
  <c r="Y1257" i="12"/>
  <c r="X1259" i="12"/>
  <c r="Y1258" i="12"/>
  <c r="Y1259" i="12"/>
  <c r="X1260" i="12"/>
  <c r="Y1260" i="12"/>
  <c r="X1261" i="12"/>
  <c r="X1262" i="12"/>
  <c r="Y1261" i="12"/>
  <c r="Y1262" i="12"/>
  <c r="X1263" i="12"/>
  <c r="X1264" i="12"/>
  <c r="Y1263" i="12"/>
  <c r="X1265" i="12"/>
  <c r="Y1264" i="12"/>
  <c r="Y1265" i="12"/>
  <c r="X1266" i="12"/>
  <c r="Y1266" i="12"/>
  <c r="X1267" i="12"/>
  <c r="Y1267" i="12"/>
  <c r="X1268" i="12"/>
  <c r="Y1268" i="12"/>
  <c r="X1269" i="12"/>
  <c r="Y1269" i="12"/>
  <c r="X1270" i="12"/>
  <c r="Y1270" i="12"/>
  <c r="X1271" i="12"/>
  <c r="Y1271" i="12"/>
  <c r="X1272" i="12"/>
  <c r="Y1272" i="12"/>
  <c r="X1273" i="12"/>
  <c r="Y1273" i="12"/>
  <c r="X1274" i="12"/>
  <c r="Y1274" i="12"/>
  <c r="X1275" i="12"/>
  <c r="X1276" i="12"/>
  <c r="Y1275" i="12"/>
  <c r="Y1276" i="12"/>
  <c r="X1277" i="12"/>
  <c r="X1278" i="12"/>
  <c r="Y1277" i="12"/>
  <c r="Y1278" i="12"/>
  <c r="X1279" i="12"/>
  <c r="Y1279" i="12"/>
  <c r="X1280" i="12"/>
  <c r="Y1280" i="12"/>
  <c r="X1281" i="12"/>
  <c r="Y1281" i="12"/>
  <c r="X1282" i="12"/>
  <c r="Y1282" i="12"/>
  <c r="X1283" i="12"/>
  <c r="Y1283" i="12"/>
  <c r="X1284" i="12"/>
  <c r="X1285" i="12"/>
  <c r="Y1284" i="12"/>
  <c r="Y1285" i="12"/>
  <c r="X1286" i="12"/>
  <c r="Y1286" i="12"/>
  <c r="X1287" i="12"/>
  <c r="X1288" i="12"/>
  <c r="Y1287" i="12"/>
  <c r="Y1288" i="12"/>
  <c r="X1289" i="12"/>
  <c r="Y1289" i="12"/>
  <c r="X1290" i="12"/>
  <c r="Y1290" i="12"/>
  <c r="X1291" i="12"/>
  <c r="Y1291" i="12"/>
  <c r="X1292" i="12"/>
  <c r="Y1292" i="12"/>
  <c r="X1293" i="12"/>
  <c r="Y1293" i="12"/>
  <c r="X1294" i="12"/>
  <c r="X1295" i="12"/>
  <c r="Y1294" i="12"/>
  <c r="X1296" i="12"/>
  <c r="Y1295" i="12"/>
  <c r="X1297" i="12"/>
  <c r="Y1296" i="12"/>
  <c r="Y1297" i="12"/>
  <c r="X1298" i="12"/>
  <c r="Y1298" i="12"/>
  <c r="X1299" i="12"/>
  <c r="Y1299" i="12"/>
  <c r="X1300" i="12"/>
  <c r="X1301" i="12"/>
  <c r="Y1300" i="12"/>
  <c r="Y1301" i="12"/>
  <c r="X1302" i="12"/>
  <c r="X1303" i="12"/>
  <c r="Y1302" i="12"/>
  <c r="Y1303" i="12"/>
  <c r="X1304" i="12"/>
  <c r="X1305" i="12"/>
  <c r="Y1304" i="12"/>
  <c r="X1306" i="12"/>
  <c r="Y1305" i="12"/>
  <c r="Y1306" i="12"/>
  <c r="X1307" i="12"/>
  <c r="X1308" i="12"/>
  <c r="Y1307" i="12"/>
  <c r="Y1308" i="12"/>
  <c r="X1309" i="12"/>
  <c r="Y1309" i="12"/>
  <c r="X1310" i="12"/>
  <c r="X1311" i="12"/>
  <c r="Y1310" i="12"/>
  <c r="Y1311" i="12"/>
  <c r="X1312" i="12"/>
  <c r="X1313" i="12"/>
  <c r="Y1312" i="12"/>
  <c r="Y1313" i="12"/>
  <c r="X1314" i="12"/>
  <c r="X1315" i="12"/>
  <c r="Y1314" i="12"/>
  <c r="Y1315" i="12"/>
  <c r="X1316" i="12"/>
  <c r="X1317" i="12"/>
  <c r="Y1316" i="12"/>
  <c r="Y1317" i="12"/>
  <c r="X1318" i="12"/>
  <c r="X1319" i="12"/>
  <c r="Y1318" i="12"/>
  <c r="X1320" i="12"/>
  <c r="Y1319" i="12"/>
  <c r="Y1320" i="12"/>
  <c r="X1321" i="12"/>
  <c r="Y1321" i="12"/>
  <c r="X1322" i="12"/>
  <c r="X1323" i="12"/>
  <c r="Y1322" i="12"/>
  <c r="X1324" i="12"/>
  <c r="Y1323" i="12"/>
  <c r="Y1324" i="12"/>
  <c r="X1325" i="12"/>
  <c r="Y1325" i="12"/>
  <c r="X1326" i="12"/>
  <c r="Y1326" i="12"/>
  <c r="X1327" i="12"/>
  <c r="Y1327" i="12"/>
  <c r="X1328" i="12"/>
  <c r="X1329" i="12"/>
  <c r="Y1328" i="12"/>
  <c r="Y1329" i="12"/>
  <c r="X1330" i="12"/>
  <c r="Y1330" i="12"/>
  <c r="X1331" i="12"/>
  <c r="Y1331" i="12"/>
  <c r="X1332" i="12"/>
  <c r="X1333" i="12"/>
  <c r="Y1332" i="12"/>
  <c r="Y1333" i="12"/>
  <c r="X1334" i="12"/>
  <c r="X1335" i="12"/>
  <c r="Y1334" i="12"/>
  <c r="X1336" i="12"/>
  <c r="Y1335" i="12"/>
  <c r="Y1336" i="12"/>
  <c r="X1337" i="12"/>
  <c r="X1338" i="12"/>
  <c r="Y1337" i="12"/>
  <c r="X1339" i="12"/>
  <c r="Y1338" i="12"/>
  <c r="X1340" i="12"/>
  <c r="Y1339" i="12"/>
  <c r="Y1340" i="12"/>
  <c r="X1341" i="12"/>
  <c r="Y1341" i="12"/>
  <c r="X1342" i="12"/>
  <c r="X1343" i="12"/>
  <c r="Y1342" i="12"/>
  <c r="Y1343" i="12"/>
  <c r="X1344" i="12"/>
  <c r="X1345" i="12"/>
  <c r="Y1344" i="12"/>
  <c r="Y1345" i="12"/>
  <c r="X1346" i="12"/>
  <c r="Y1346" i="12"/>
  <c r="X1347" i="12"/>
  <c r="X1348" i="12"/>
  <c r="Y1347" i="12"/>
  <c r="X1349" i="12"/>
  <c r="Y1348" i="12"/>
  <c r="X1350" i="12"/>
  <c r="Y1349" i="12"/>
  <c r="Y1350" i="12"/>
  <c r="X1351" i="12"/>
  <c r="X1352" i="12"/>
  <c r="Y1351" i="12"/>
  <c r="Y1352" i="12"/>
  <c r="X1353" i="12"/>
  <c r="X1354" i="12"/>
  <c r="Y1353" i="12"/>
  <c r="X1355" i="12"/>
  <c r="Y1354" i="12"/>
  <c r="X1356" i="12"/>
  <c r="Y1355" i="12"/>
  <c r="X1357" i="12"/>
  <c r="Y1356" i="12"/>
  <c r="Y1357" i="12"/>
  <c r="X1358" i="12"/>
  <c r="X1359" i="12"/>
  <c r="Y1358" i="12"/>
  <c r="Y1359" i="12"/>
  <c r="X1360" i="12"/>
  <c r="X1361" i="12"/>
  <c r="Y1360" i="12"/>
  <c r="Y1361" i="12"/>
  <c r="X1362" i="12"/>
  <c r="Y1362" i="12"/>
  <c r="X1363" i="12"/>
  <c r="Y1363" i="12"/>
  <c r="X1364" i="12"/>
  <c r="X1365" i="12"/>
  <c r="Y1364" i="12"/>
  <c r="Y1365" i="12"/>
  <c r="X1366" i="12"/>
  <c r="X1367" i="12"/>
  <c r="Y1366" i="12"/>
  <c r="X1368" i="12"/>
  <c r="Y1367" i="12"/>
  <c r="X1369" i="12"/>
  <c r="Y1368" i="12"/>
  <c r="X1370" i="12"/>
  <c r="Y1369" i="12"/>
  <c r="Y1370" i="12"/>
  <c r="X1371" i="12"/>
  <c r="X1372" i="12"/>
  <c r="Y1371" i="12"/>
  <c r="Y1372" i="12"/>
  <c r="X1373" i="12"/>
  <c r="Y1373" i="12"/>
  <c r="X1374" i="12"/>
  <c r="X1375" i="12"/>
  <c r="Y1374" i="12"/>
  <c r="X1376" i="12"/>
  <c r="Y1375" i="12"/>
  <c r="X1377" i="12"/>
  <c r="Y1376" i="12"/>
  <c r="Y1377" i="12"/>
  <c r="X1378" i="12"/>
  <c r="Y1378" i="12"/>
  <c r="X1379" i="12"/>
  <c r="X1380" i="12"/>
  <c r="Y1379" i="12"/>
  <c r="X1381" i="12"/>
  <c r="Y1380" i="12"/>
  <c r="Y1381" i="12"/>
  <c r="X1382" i="12"/>
  <c r="X1383" i="12"/>
  <c r="Y1382" i="12"/>
  <c r="X1384" i="12"/>
  <c r="Y1383" i="12"/>
  <c r="Y1384" i="12"/>
  <c r="X1385" i="12"/>
  <c r="Y1385" i="12"/>
  <c r="X1386" i="12"/>
  <c r="Y1386" i="12"/>
  <c r="X1387" i="12"/>
  <c r="X1388" i="12"/>
  <c r="Y1387" i="12"/>
  <c r="Y1388" i="12"/>
  <c r="X1389" i="12"/>
  <c r="Y1389" i="12"/>
  <c r="X1390" i="12"/>
  <c r="X1391" i="12"/>
  <c r="Y1390" i="12"/>
  <c r="Y1391" i="12"/>
  <c r="X1392" i="12"/>
  <c r="X1393" i="12"/>
  <c r="Y1392" i="12"/>
  <c r="Y1393" i="12"/>
  <c r="X1394" i="12"/>
  <c r="X1395" i="12"/>
  <c r="Y1394" i="12"/>
  <c r="X1396" i="12"/>
  <c r="Y1395" i="12"/>
  <c r="X1397" i="12"/>
  <c r="Y1396" i="12"/>
  <c r="Y1397" i="12"/>
  <c r="X1398" i="12"/>
  <c r="Y1398" i="12"/>
  <c r="X1399" i="12"/>
  <c r="Y1399" i="12"/>
  <c r="X1400" i="12"/>
  <c r="Y1400" i="12"/>
  <c r="X1401" i="12"/>
  <c r="X1402" i="12"/>
  <c r="Y1401" i="12"/>
  <c r="Y1402" i="12"/>
  <c r="X1403" i="12"/>
  <c r="Y1403" i="12"/>
  <c r="X1404" i="12"/>
  <c r="Y1404" i="12"/>
  <c r="X1405" i="12"/>
  <c r="Y1405" i="12"/>
  <c r="X1406" i="12"/>
  <c r="Y1406" i="12"/>
  <c r="X1407" i="12"/>
  <c r="X1408" i="12"/>
  <c r="Y1407" i="12"/>
  <c r="X1409" i="12"/>
  <c r="Y1408" i="12"/>
  <c r="Y1409" i="12"/>
  <c r="X1410" i="12"/>
  <c r="X1411" i="12"/>
  <c r="Y1410" i="12"/>
  <c r="Y1411" i="12"/>
  <c r="X1412" i="12"/>
  <c r="Y1412" i="12"/>
  <c r="X1413" i="12"/>
  <c r="Y1413" i="12"/>
  <c r="X1414" i="12"/>
  <c r="Y1414" i="12"/>
  <c r="X1415" i="12"/>
  <c r="Y1415" i="12"/>
  <c r="X1416" i="12"/>
  <c r="Y1416" i="12"/>
  <c r="X1417" i="12"/>
  <c r="Y1417" i="12"/>
  <c r="X1418" i="12"/>
  <c r="Y1418" i="12"/>
  <c r="X1419" i="12"/>
  <c r="Y1419" i="12"/>
  <c r="X1420" i="12"/>
  <c r="X1421" i="12"/>
  <c r="Y1420" i="12"/>
  <c r="X1422" i="12"/>
  <c r="Y1421" i="12"/>
  <c r="X1423" i="12"/>
  <c r="Y1422" i="12"/>
  <c r="Y1423" i="12"/>
  <c r="X1424" i="12"/>
  <c r="X1425" i="12"/>
  <c r="Y1424" i="12"/>
  <c r="Y1425" i="12"/>
  <c r="X1426" i="12"/>
  <c r="X1427" i="12"/>
  <c r="Y1426" i="12"/>
  <c r="X1428" i="12"/>
  <c r="Y1427" i="12"/>
  <c r="Y1428" i="12"/>
  <c r="X1429" i="12"/>
  <c r="Y1429" i="12"/>
  <c r="X1430" i="12"/>
  <c r="Y1430" i="12"/>
  <c r="X1431" i="12"/>
  <c r="X1432" i="12"/>
  <c r="Y1431" i="12"/>
  <c r="X1433" i="12"/>
  <c r="Y1432" i="12"/>
  <c r="X1434" i="12"/>
  <c r="Y1433" i="12"/>
  <c r="Y1434" i="12"/>
  <c r="X1435" i="12"/>
  <c r="Y1435" i="12"/>
  <c r="X1436" i="12"/>
  <c r="X1437" i="12"/>
  <c r="Y1436" i="12"/>
  <c r="Y1437" i="12"/>
  <c r="X1438" i="12"/>
  <c r="X1439" i="12"/>
  <c r="Y1438" i="12"/>
  <c r="X1440" i="12"/>
  <c r="Y1439" i="12"/>
  <c r="X1441" i="12"/>
  <c r="Y1440" i="12"/>
  <c r="X1442" i="12"/>
  <c r="Y1441" i="12"/>
  <c r="X1443" i="12"/>
  <c r="Y1442" i="12"/>
  <c r="X1444" i="12"/>
  <c r="Y1443" i="12"/>
  <c r="Y1444" i="12"/>
  <c r="X1445" i="12"/>
  <c r="Y1445" i="12"/>
  <c r="X1446" i="12"/>
  <c r="Y1446" i="12"/>
  <c r="X1447" i="12"/>
  <c r="X1448" i="12"/>
  <c r="Y1447" i="12"/>
  <c r="Y1448" i="12"/>
  <c r="X1449" i="12"/>
  <c r="Y1449" i="12"/>
  <c r="X1450" i="12"/>
  <c r="Y1450" i="12"/>
  <c r="X1451" i="12"/>
  <c r="Y1451" i="12"/>
  <c r="X1452" i="12"/>
  <c r="X1453" i="12"/>
  <c r="Y1452" i="12"/>
  <c r="Y1453" i="12"/>
  <c r="X1454" i="12"/>
  <c r="Y1454" i="12"/>
  <c r="X1455" i="12"/>
  <c r="X1456" i="12"/>
  <c r="Y1455" i="12"/>
  <c r="X1457" i="12"/>
  <c r="Y1456" i="12"/>
  <c r="Y1457" i="12"/>
  <c r="X1458" i="12"/>
  <c r="X1459" i="12"/>
  <c r="Y1458" i="12"/>
  <c r="X1460" i="12"/>
  <c r="Y1459" i="12"/>
  <c r="X1461" i="12"/>
  <c r="Y1460" i="12"/>
  <c r="X1462" i="12"/>
  <c r="Y1461" i="12"/>
  <c r="Y1462" i="12"/>
  <c r="X1463" i="12"/>
  <c r="X1464" i="12"/>
  <c r="Y1463" i="12"/>
  <c r="Y1464" i="12"/>
  <c r="X1465" i="12"/>
  <c r="X1466" i="12"/>
  <c r="Y1465" i="12"/>
  <c r="X1467" i="12"/>
  <c r="Y1466" i="12"/>
  <c r="Y1467" i="12"/>
  <c r="X1468" i="12"/>
  <c r="Y1468" i="12"/>
  <c r="X1469" i="12"/>
  <c r="X1470" i="12"/>
  <c r="Y1469" i="12"/>
  <c r="X1471" i="12"/>
  <c r="Y1470" i="12"/>
  <c r="Y1471" i="12"/>
  <c r="X1472" i="12"/>
  <c r="X1473" i="12"/>
  <c r="Y1472" i="12"/>
  <c r="Y1473" i="12"/>
  <c r="X1474" i="12"/>
  <c r="Y1474" i="12"/>
  <c r="X1475" i="12"/>
  <c r="Y1475" i="12"/>
  <c r="X1476" i="12"/>
  <c r="X1477" i="12"/>
  <c r="Y1476" i="12"/>
  <c r="X1478" i="12"/>
  <c r="Y1477" i="12"/>
  <c r="Y1478" i="12"/>
  <c r="X1479" i="12"/>
  <c r="X1480" i="12"/>
  <c r="Y1479" i="12"/>
  <c r="Y1480" i="12"/>
  <c r="X1481" i="12"/>
  <c r="X1482" i="12"/>
  <c r="Y1481" i="12"/>
  <c r="X1483" i="12"/>
  <c r="Y1482" i="12"/>
  <c r="Y1483" i="12"/>
  <c r="X1484" i="12"/>
  <c r="Y1484" i="12"/>
  <c r="X1485" i="12"/>
  <c r="X1486" i="12"/>
  <c r="Y1485" i="12"/>
  <c r="X1487" i="12"/>
  <c r="Y1486" i="12"/>
  <c r="Y1487" i="12"/>
  <c r="X1488" i="12"/>
  <c r="X1489" i="12"/>
  <c r="Y1488" i="12"/>
  <c r="Y1489" i="12"/>
  <c r="X1490" i="12"/>
  <c r="Y1490" i="12"/>
  <c r="X1491" i="12"/>
  <c r="Y1491" i="12"/>
  <c r="X1492" i="12"/>
  <c r="Y1492" i="12"/>
  <c r="X1493" i="12"/>
  <c r="Y1493" i="12"/>
  <c r="X1494" i="12"/>
  <c r="Y1494" i="12"/>
  <c r="X1495" i="12"/>
  <c r="Y1495" i="12"/>
  <c r="X1496" i="12"/>
  <c r="X1497" i="12"/>
  <c r="Y1496" i="12"/>
  <c r="X1498" i="12"/>
  <c r="Y1497" i="12"/>
  <c r="X1499" i="12"/>
  <c r="Y1498" i="12"/>
  <c r="Y1499" i="12"/>
  <c r="X1500" i="12"/>
  <c r="Y1500" i="12"/>
  <c r="X1501" i="12"/>
  <c r="Y1501" i="12"/>
  <c r="X1502" i="12"/>
  <c r="X1503" i="12"/>
  <c r="Y1502" i="12"/>
  <c r="X1504" i="12"/>
  <c r="Y1503" i="12"/>
  <c r="X1505" i="12"/>
  <c r="Y1504" i="12"/>
  <c r="Y1505" i="12"/>
  <c r="X1506" i="12"/>
  <c r="Y1506" i="12"/>
  <c r="X1507" i="12"/>
  <c r="X1508" i="12"/>
  <c r="Y1507" i="12"/>
  <c r="X1509" i="12"/>
  <c r="Y1508" i="12"/>
  <c r="Y1509" i="12"/>
  <c r="X1510" i="12"/>
  <c r="X1511" i="12"/>
  <c r="Y1510" i="12"/>
  <c r="X1512" i="12"/>
  <c r="Y1511" i="12"/>
  <c r="Y1512" i="12"/>
  <c r="X1513" i="12"/>
  <c r="Y1513" i="12"/>
  <c r="X1514" i="12"/>
  <c r="Y1514" i="12"/>
  <c r="X1515" i="12"/>
  <c r="X1516" i="12"/>
  <c r="Y1515" i="12"/>
  <c r="Y1516" i="12"/>
  <c r="X1517" i="12"/>
  <c r="Y1517" i="12"/>
  <c r="X1518" i="12"/>
  <c r="Y1518" i="12"/>
  <c r="X1519" i="12"/>
  <c r="Y1519" i="12"/>
  <c r="X1520" i="12"/>
  <c r="X1521" i="12"/>
  <c r="Y1520" i="12"/>
  <c r="Y1521" i="12"/>
  <c r="X1522" i="12"/>
  <c r="X1523" i="12"/>
  <c r="Y1522" i="12"/>
  <c r="Y1523" i="12"/>
  <c r="X1524" i="12"/>
  <c r="X1525" i="12"/>
  <c r="Y1524" i="12"/>
  <c r="Y1525" i="12"/>
  <c r="X1526" i="12"/>
  <c r="Y1526" i="12"/>
  <c r="X1527" i="12"/>
  <c r="X1528" i="12"/>
  <c r="Y1527" i="12"/>
  <c r="Y1528" i="12"/>
  <c r="X1529" i="12"/>
  <c r="X1530" i="12"/>
  <c r="Y1529" i="12"/>
  <c r="Y1530" i="12"/>
  <c r="X1531" i="12"/>
  <c r="Y1531" i="12"/>
  <c r="X1532" i="12"/>
  <c r="Y1532" i="12"/>
  <c r="X1533" i="12"/>
  <c r="Y1533" i="12"/>
  <c r="X1534" i="12"/>
  <c r="Y1534" i="12"/>
  <c r="X1535" i="12"/>
  <c r="X1536" i="12"/>
  <c r="Y1535" i="12"/>
  <c r="X1537" i="12"/>
  <c r="Y1536" i="12"/>
  <c r="Y1537" i="12"/>
  <c r="X1538" i="12"/>
  <c r="Y1538" i="12"/>
  <c r="X1539" i="12"/>
  <c r="Y1539" i="12"/>
  <c r="X1540" i="12"/>
  <c r="Y1540" i="12"/>
  <c r="X1541" i="12"/>
  <c r="Y1541" i="12"/>
  <c r="X1542" i="12"/>
  <c r="Y1542" i="12"/>
  <c r="X1543" i="12"/>
  <c r="X1544" i="12"/>
  <c r="Y1543" i="12"/>
  <c r="Y1544" i="12"/>
  <c r="X1545" i="12"/>
  <c r="X1546" i="12"/>
  <c r="Y1545" i="12"/>
  <c r="X1547" i="12"/>
  <c r="Y1546" i="12"/>
  <c r="Y1547" i="12"/>
  <c r="X1548" i="12"/>
  <c r="X1549" i="12"/>
  <c r="Y1548" i="12"/>
  <c r="Y1549" i="12"/>
  <c r="X1550" i="12"/>
  <c r="X1551" i="12"/>
  <c r="Y1550" i="12"/>
  <c r="Y1551" i="12"/>
  <c r="X1552" i="12"/>
  <c r="X1553" i="12"/>
  <c r="Y1552" i="12"/>
  <c r="Y1553" i="12"/>
  <c r="X1554" i="12"/>
  <c r="X1555" i="12"/>
  <c r="Y1554" i="12"/>
  <c r="X1556" i="12"/>
  <c r="Y1555" i="12"/>
  <c r="X1557" i="12"/>
  <c r="Y1556" i="12"/>
  <c r="Y1557" i="12"/>
  <c r="X1558" i="12"/>
  <c r="X1559" i="12"/>
  <c r="Y1558" i="12"/>
  <c r="Y1559" i="12"/>
  <c r="X1560" i="12"/>
  <c r="X1561" i="12"/>
  <c r="Y1560" i="12"/>
  <c r="X1562" i="12"/>
  <c r="Y1561" i="12"/>
  <c r="X1563" i="12"/>
  <c r="Y1562" i="12"/>
  <c r="Y1563" i="12"/>
  <c r="X1564" i="12"/>
  <c r="X1565" i="12"/>
  <c r="Y1564" i="12"/>
  <c r="Y1565" i="12"/>
  <c r="X1566" i="12"/>
  <c r="X1567" i="12"/>
  <c r="Y1566" i="12"/>
  <c r="X1568" i="12"/>
  <c r="Y1567" i="12"/>
  <c r="X1569" i="12"/>
  <c r="Y1568" i="12"/>
  <c r="Y1569" i="12"/>
  <c r="X1570" i="12"/>
  <c r="Y1570" i="12"/>
  <c r="X1571" i="12"/>
  <c r="X1572" i="12"/>
  <c r="Y1571" i="12"/>
  <c r="Y1572" i="12"/>
  <c r="X1573" i="12"/>
  <c r="Y1573" i="12"/>
  <c r="X1574" i="12"/>
  <c r="X1575" i="12"/>
  <c r="Y1574" i="12"/>
  <c r="Y1575" i="12"/>
  <c r="X1576" i="12"/>
  <c r="Y1576" i="12"/>
  <c r="X1577" i="12"/>
  <c r="Y1577" i="12"/>
  <c r="X1578" i="12"/>
  <c r="X1579" i="12"/>
  <c r="Y1578" i="12"/>
  <c r="Y1579" i="12"/>
  <c r="X1580" i="12"/>
  <c r="Y1580" i="12"/>
  <c r="X1581" i="12"/>
  <c r="X1582" i="12"/>
  <c r="Y1581" i="12"/>
  <c r="Y1582" i="12"/>
  <c r="X1583" i="12"/>
  <c r="Y1583" i="12"/>
  <c r="X1584" i="12"/>
  <c r="X1585" i="12"/>
  <c r="Y1584" i="12"/>
  <c r="X1586" i="12"/>
  <c r="Y1585" i="12"/>
  <c r="Y1586" i="12"/>
  <c r="X1587" i="12"/>
  <c r="Y1587" i="12"/>
  <c r="X1588" i="12"/>
  <c r="Y1588" i="12"/>
  <c r="X1589" i="12"/>
  <c r="X1590" i="12"/>
  <c r="Y1589" i="12"/>
  <c r="X1591" i="12"/>
  <c r="Y1590" i="12"/>
  <c r="X1592" i="12"/>
  <c r="Y1591" i="12"/>
  <c r="X1593" i="12"/>
  <c r="Y1592" i="12"/>
  <c r="Y1593" i="12"/>
  <c r="X1594" i="12"/>
  <c r="X1595" i="12"/>
  <c r="Y1594" i="12"/>
  <c r="Y1595" i="12"/>
  <c r="X1596" i="12"/>
  <c r="Y1596" i="12"/>
  <c r="X1597" i="12"/>
  <c r="X1598" i="12"/>
  <c r="Y1597" i="12"/>
  <c r="Y1598" i="12"/>
  <c r="X1599" i="12"/>
  <c r="X1600" i="12"/>
  <c r="Y1599" i="12"/>
  <c r="X1601" i="12"/>
  <c r="Y1600" i="12"/>
  <c r="Y1601" i="12"/>
  <c r="X1602" i="12"/>
  <c r="Y1602" i="12"/>
  <c r="X1603" i="12"/>
  <c r="X1604" i="12"/>
  <c r="Y1603" i="12"/>
  <c r="Y1604" i="12"/>
  <c r="X1605" i="12"/>
  <c r="X1606" i="12"/>
  <c r="Y1605" i="12"/>
  <c r="Y1606" i="12"/>
  <c r="X1607" i="12"/>
  <c r="X1608" i="12"/>
  <c r="Y1607" i="12"/>
  <c r="X1609" i="12"/>
  <c r="Y1608" i="12"/>
  <c r="Y1609" i="12"/>
  <c r="X1610" i="12"/>
  <c r="Y1610" i="12"/>
  <c r="X1611" i="12"/>
  <c r="X1612" i="12"/>
  <c r="Y1611" i="12"/>
  <c r="Y1612" i="12"/>
  <c r="X1613" i="12"/>
  <c r="Y1613" i="12"/>
  <c r="X1614" i="12"/>
  <c r="Y1614" i="12"/>
  <c r="X1615" i="12"/>
  <c r="X1616" i="12"/>
  <c r="Y1615" i="12"/>
  <c r="Y1616" i="12"/>
  <c r="X1617" i="12"/>
  <c r="X1618" i="12"/>
  <c r="Y1617" i="12"/>
  <c r="Y1618" i="12"/>
  <c r="X1619" i="12"/>
  <c r="X1620" i="12"/>
  <c r="Y1619" i="12"/>
  <c r="Y1620" i="12"/>
  <c r="X1621" i="12"/>
  <c r="Y1621" i="12"/>
  <c r="X1622" i="12"/>
  <c r="X1623" i="12"/>
  <c r="Y1622" i="12"/>
  <c r="Y1623" i="12"/>
  <c r="X1624" i="12"/>
  <c r="X1625" i="12"/>
  <c r="Y1624" i="12"/>
  <c r="Y1625" i="12"/>
  <c r="X1626" i="12"/>
  <c r="Y1626" i="12"/>
  <c r="X1627" i="12"/>
  <c r="X1628" i="12"/>
  <c r="Y1627" i="12"/>
  <c r="Y1628" i="12"/>
  <c r="X1629" i="12"/>
  <c r="X1630" i="12"/>
  <c r="Y1629" i="12"/>
  <c r="Y1630" i="12"/>
  <c r="X1631" i="12"/>
  <c r="X1632" i="12"/>
  <c r="Y1631" i="12"/>
  <c r="X1633" i="12"/>
  <c r="Y1632" i="12"/>
  <c r="Y1633" i="12"/>
  <c r="X1634" i="12"/>
  <c r="X1635" i="12"/>
  <c r="Y1634" i="12"/>
  <c r="Y1635" i="12"/>
  <c r="X1636" i="12"/>
  <c r="Y1636" i="12"/>
  <c r="X1637" i="12"/>
  <c r="Y1637" i="12"/>
  <c r="X1638" i="12"/>
  <c r="Y1638" i="12"/>
  <c r="X1639" i="12"/>
  <c r="X1640" i="12"/>
  <c r="Y1639" i="12"/>
  <c r="Y1640" i="12"/>
  <c r="X1641" i="12"/>
  <c r="X1642" i="12"/>
  <c r="Y1641" i="12"/>
  <c r="Y1642" i="12"/>
  <c r="X1643" i="12"/>
  <c r="X1644" i="12"/>
  <c r="Y1643" i="12"/>
  <c r="Y1644" i="12"/>
  <c r="X1645" i="12"/>
  <c r="X1646" i="12"/>
  <c r="Y1645" i="12"/>
  <c r="X1647" i="12"/>
  <c r="Y1646" i="12"/>
  <c r="Y1647" i="12"/>
  <c r="X1648" i="12"/>
  <c r="Y1648" i="12"/>
  <c r="X1649" i="12"/>
  <c r="Y1649" i="12"/>
  <c r="X1650" i="12"/>
  <c r="X1651" i="12"/>
  <c r="Y1650" i="12"/>
  <c r="X1652" i="12"/>
  <c r="Y1651" i="12"/>
  <c r="Y1652" i="12"/>
  <c r="X1653" i="12"/>
  <c r="X1654" i="12"/>
  <c r="Y1653" i="12"/>
  <c r="X1655" i="12"/>
  <c r="Y1654" i="12"/>
  <c r="X1656" i="12"/>
  <c r="Y1655" i="12"/>
  <c r="X1657" i="12"/>
  <c r="Y1656" i="12"/>
  <c r="X1658" i="12"/>
  <c r="Y1657" i="12"/>
  <c r="X1659" i="12"/>
  <c r="Y1658" i="12"/>
  <c r="X1660" i="12"/>
  <c r="Y1659" i="12"/>
  <c r="Y1660" i="12"/>
  <c r="X1661" i="12"/>
  <c r="X1662" i="12"/>
  <c r="Y1661" i="12"/>
  <c r="Y1662" i="12"/>
  <c r="X1663" i="12"/>
  <c r="Y1663" i="12"/>
  <c r="X1664" i="12"/>
  <c r="Y1664" i="12"/>
  <c r="X1665" i="12"/>
  <c r="Y1665" i="12"/>
  <c r="X1666" i="12"/>
  <c r="Y1666" i="12"/>
  <c r="X1667" i="12"/>
  <c r="X1668" i="12"/>
  <c r="Y1667" i="12"/>
  <c r="Y1668" i="12"/>
  <c r="X1669" i="12"/>
  <c r="X1670" i="12"/>
  <c r="Y1669" i="12"/>
  <c r="Y1670" i="12"/>
  <c r="X1671" i="12"/>
  <c r="X1672" i="12"/>
  <c r="Y1671" i="12"/>
  <c r="Y1672" i="12"/>
  <c r="X1673" i="12"/>
  <c r="Y1673" i="12"/>
  <c r="X1674" i="12"/>
  <c r="Y1674" i="12"/>
  <c r="X1675" i="12"/>
  <c r="Y1675" i="12"/>
  <c r="X1676" i="12"/>
  <c r="Y1676" i="12"/>
  <c r="X1677" i="12"/>
  <c r="X1678" i="12"/>
  <c r="Y1677" i="12"/>
  <c r="Y1678" i="12"/>
  <c r="X1679" i="12"/>
  <c r="X1680" i="12"/>
  <c r="Y1679" i="12"/>
  <c r="Y1680" i="12"/>
  <c r="X1681" i="12"/>
  <c r="Y1681" i="12"/>
  <c r="X1682" i="12"/>
  <c r="X1683" i="12"/>
  <c r="Y1682" i="12"/>
  <c r="X1684" i="12"/>
  <c r="Y1683" i="12"/>
  <c r="Y1684" i="12"/>
  <c r="X1685" i="12"/>
  <c r="X1686" i="12"/>
  <c r="Y1685" i="12"/>
  <c r="Y1686" i="12"/>
  <c r="X1687" i="12"/>
  <c r="Y1687" i="12"/>
  <c r="X1688" i="12"/>
  <c r="Y1688" i="12"/>
  <c r="X1689" i="12"/>
  <c r="Y1689" i="12"/>
  <c r="X1690" i="12"/>
  <c r="Y1690" i="12"/>
  <c r="X1691" i="12"/>
  <c r="X1692" i="12"/>
  <c r="Y1691" i="12"/>
  <c r="Y1692" i="12"/>
  <c r="X1693" i="12"/>
  <c r="X1694" i="12"/>
  <c r="Y1693" i="12"/>
  <c r="Y1694" i="12"/>
  <c r="X1695" i="12"/>
  <c r="X1696" i="12"/>
  <c r="Y1695" i="12"/>
  <c r="X1697" i="12"/>
  <c r="Y1696" i="12"/>
  <c r="X1698" i="12"/>
  <c r="Y1697" i="12"/>
  <c r="Y1698" i="12"/>
  <c r="X1699" i="12"/>
  <c r="Y1699" i="12"/>
  <c r="X1700" i="12"/>
  <c r="Y1700" i="12"/>
  <c r="X1701" i="12"/>
  <c r="Y1701" i="12"/>
  <c r="X1702" i="12"/>
  <c r="X1703" i="12"/>
  <c r="Y1702" i="12"/>
  <c r="X1704" i="12"/>
  <c r="Y1703" i="12"/>
  <c r="Y1704" i="12"/>
  <c r="X1705" i="12"/>
  <c r="X1706" i="12"/>
  <c r="Y1705" i="12"/>
  <c r="Y1706" i="12"/>
  <c r="X1707" i="12"/>
  <c r="X1708" i="12"/>
  <c r="Y1707" i="12"/>
  <c r="Y1708" i="12"/>
  <c r="X1709" i="12"/>
  <c r="X1710" i="12"/>
  <c r="Y1709" i="12"/>
  <c r="Y1710" i="12"/>
  <c r="X1711" i="12"/>
  <c r="X1712" i="12"/>
  <c r="Y1711" i="12"/>
  <c r="Y1712" i="12"/>
  <c r="X1713" i="12"/>
  <c r="Y1713" i="12"/>
  <c r="X1714" i="12"/>
  <c r="Y1714" i="12"/>
  <c r="X1715" i="12"/>
  <c r="Y1715" i="12"/>
  <c r="X1716" i="12"/>
  <c r="Y1716" i="12"/>
  <c r="X1717" i="12"/>
  <c r="X1718" i="12"/>
  <c r="Y1717" i="12"/>
  <c r="X1719" i="12"/>
  <c r="Y1718" i="12"/>
  <c r="X1720" i="12"/>
  <c r="Y1719" i="12"/>
  <c r="X1721" i="12"/>
  <c r="Y1720" i="12"/>
  <c r="Y1721" i="12"/>
  <c r="X1722" i="12"/>
  <c r="Y1722" i="12"/>
  <c r="X1723" i="12"/>
  <c r="Y1723" i="12"/>
  <c r="X1724" i="12"/>
  <c r="Y1724" i="12"/>
  <c r="X1725" i="12"/>
  <c r="Y1725" i="12"/>
  <c r="X1726" i="12"/>
  <c r="Y1726" i="12"/>
  <c r="X1727" i="12"/>
  <c r="X1728" i="12"/>
  <c r="Y1727" i="12"/>
  <c r="Y1728" i="12"/>
  <c r="X1729" i="12"/>
  <c r="Y1729" i="12"/>
  <c r="X1730" i="12"/>
  <c r="Y1730" i="12"/>
  <c r="X1731" i="12"/>
  <c r="X1732" i="12"/>
  <c r="Y1731" i="12"/>
  <c r="Y1732" i="12"/>
  <c r="X1733" i="12"/>
  <c r="Y1733" i="12"/>
  <c r="X1734" i="12"/>
  <c r="Y1734" i="12"/>
  <c r="X1735" i="12"/>
  <c r="X1736" i="12"/>
  <c r="Y1735" i="12"/>
  <c r="X1737" i="12"/>
  <c r="Y1736" i="12"/>
  <c r="Y1737" i="12"/>
  <c r="X1738" i="12"/>
  <c r="Y1738" i="12"/>
  <c r="X1739" i="12"/>
  <c r="X1740" i="12"/>
  <c r="Y1739" i="12"/>
  <c r="Y1740" i="12"/>
  <c r="X1741" i="12"/>
  <c r="Y1741" i="12"/>
  <c r="X1742" i="12"/>
  <c r="X1743" i="12"/>
  <c r="Y1742" i="12"/>
  <c r="Y1743" i="12"/>
  <c r="X1744" i="12"/>
  <c r="Y1744" i="12"/>
  <c r="X1745" i="12"/>
  <c r="X1746" i="12"/>
  <c r="Y1745" i="12"/>
  <c r="Y1746" i="12"/>
  <c r="X1747" i="12"/>
  <c r="X1748" i="12"/>
  <c r="Y1747" i="12"/>
  <c r="Y1748" i="12"/>
  <c r="X1749" i="12"/>
  <c r="X1750" i="12"/>
  <c r="Y1749" i="12"/>
  <c r="Y1750" i="12"/>
  <c r="X1751" i="12"/>
  <c r="X1752" i="12"/>
  <c r="Y1751" i="12"/>
  <c r="X1753" i="12"/>
  <c r="Y1752" i="12"/>
  <c r="X1754" i="12"/>
  <c r="Y1753" i="12"/>
  <c r="Y1754" i="12"/>
  <c r="X1755" i="12"/>
  <c r="Y1755" i="12"/>
  <c r="X1756" i="12"/>
  <c r="Y1756" i="12"/>
  <c r="X1757" i="12"/>
  <c r="X1758" i="12"/>
  <c r="Y1757" i="12"/>
  <c r="Y1758" i="12"/>
  <c r="X1759" i="12"/>
  <c r="X1760" i="12"/>
  <c r="Y1759" i="12"/>
  <c r="X1761" i="12"/>
  <c r="Y1760" i="12"/>
  <c r="Y1761" i="12"/>
  <c r="X1762" i="12"/>
  <c r="Y1762" i="12"/>
  <c r="X1763" i="12"/>
  <c r="X1764" i="12"/>
  <c r="Y1763" i="12"/>
  <c r="Y1764" i="12"/>
  <c r="X1765" i="12"/>
  <c r="Y1765" i="12"/>
  <c r="X1766" i="12"/>
  <c r="X1767" i="12"/>
  <c r="Y1766" i="12"/>
  <c r="Y1767" i="12"/>
  <c r="X1768" i="12"/>
  <c r="X1769" i="12"/>
  <c r="Y1768" i="12"/>
  <c r="X1770" i="12"/>
  <c r="Y1769" i="12"/>
  <c r="X1771" i="12"/>
  <c r="Y1770" i="12"/>
  <c r="X1772" i="12"/>
  <c r="Y1771" i="12"/>
  <c r="Y1772" i="12"/>
  <c r="X1773" i="12"/>
  <c r="Y1773" i="12"/>
  <c r="X1774" i="12"/>
  <c r="Y1774" i="12"/>
  <c r="X1775" i="12"/>
  <c r="Y1775" i="12"/>
  <c r="X1776" i="12"/>
  <c r="Y1776" i="12"/>
  <c r="X1777" i="12"/>
  <c r="X1778" i="12"/>
  <c r="Y1777" i="12"/>
  <c r="Y1778" i="12"/>
  <c r="X1779" i="12"/>
  <c r="Y1779" i="12"/>
  <c r="X1780" i="12"/>
  <c r="Y1780" i="12"/>
  <c r="X1781" i="12"/>
  <c r="X1782" i="12"/>
  <c r="Y1781" i="12"/>
  <c r="Y1782" i="12"/>
  <c r="X1783" i="12"/>
  <c r="X1784" i="12"/>
  <c r="Y1783" i="12"/>
  <c r="X1785" i="12"/>
  <c r="Y1784" i="12"/>
  <c r="Y1785" i="12"/>
  <c r="X1786" i="12"/>
  <c r="X1787" i="12"/>
  <c r="Y1786" i="12"/>
  <c r="X1788" i="12"/>
  <c r="Y1787" i="12"/>
  <c r="Y1788" i="12"/>
  <c r="X1789" i="12"/>
  <c r="Y1789" i="12"/>
  <c r="X1790" i="12"/>
  <c r="X1791" i="12"/>
  <c r="Y1790" i="12"/>
  <c r="X1792" i="12"/>
  <c r="Y1791" i="12"/>
  <c r="Y1792" i="12"/>
  <c r="X1793" i="12"/>
  <c r="Y1793" i="12"/>
  <c r="X1794" i="12"/>
  <c r="X1795" i="12"/>
  <c r="Y1794" i="12"/>
  <c r="X1796" i="12"/>
  <c r="Y1795" i="12"/>
  <c r="Y1796" i="12"/>
  <c r="X1797" i="12"/>
  <c r="X1798" i="12"/>
  <c r="Y1797" i="12"/>
  <c r="Y1798" i="12"/>
  <c r="X1799" i="12"/>
  <c r="X1800" i="12"/>
  <c r="Y1799" i="12"/>
  <c r="Y1800" i="12"/>
  <c r="X1801" i="12"/>
  <c r="X1802" i="12"/>
  <c r="Y1801" i="12"/>
  <c r="X1803" i="12"/>
  <c r="Y1802" i="12"/>
  <c r="X1804" i="12"/>
  <c r="Y1803" i="12"/>
  <c r="Y1804" i="12"/>
  <c r="X1805" i="12"/>
  <c r="Y1805" i="12"/>
  <c r="X1806" i="12"/>
  <c r="X1807" i="12"/>
  <c r="Y1806" i="12"/>
  <c r="X1808" i="12"/>
  <c r="Y1807" i="12"/>
  <c r="Y1808" i="12"/>
  <c r="X1809" i="12"/>
  <c r="X1810" i="12"/>
  <c r="Y1809" i="12"/>
  <c r="X1811" i="12"/>
  <c r="Y1810" i="12"/>
  <c r="X1812" i="12"/>
  <c r="Y1811" i="12"/>
  <c r="Y1812" i="12"/>
  <c r="X1813" i="12"/>
  <c r="X1814" i="12"/>
  <c r="Y1813" i="12"/>
  <c r="Y1814" i="12"/>
  <c r="X1815" i="12"/>
  <c r="X1816" i="12"/>
  <c r="Y1815" i="12"/>
  <c r="Y1816" i="12"/>
  <c r="X1817" i="12"/>
  <c r="Y1817" i="12"/>
  <c r="X1818" i="12"/>
  <c r="X1819" i="12"/>
  <c r="Y1818" i="12"/>
  <c r="X1820" i="12"/>
  <c r="Y1819" i="12"/>
  <c r="Y1820" i="12"/>
  <c r="X1821" i="12"/>
  <c r="X1822" i="12"/>
  <c r="Y1821" i="12"/>
  <c r="Y1822" i="12"/>
  <c r="X1823" i="12"/>
  <c r="X1824" i="12"/>
  <c r="Y1823" i="12"/>
  <c r="X1825" i="12"/>
  <c r="Y1824" i="12"/>
  <c r="X1826" i="12"/>
  <c r="Y1825" i="12"/>
  <c r="X1827" i="12"/>
  <c r="Y1826" i="12"/>
  <c r="Y1827" i="12"/>
  <c r="X1828" i="12"/>
  <c r="Y1828" i="12"/>
  <c r="X1829" i="12"/>
  <c r="Y1829" i="12"/>
  <c r="X1830" i="12"/>
  <c r="Y1830" i="12"/>
  <c r="X1831" i="12"/>
  <c r="Y1831" i="12"/>
  <c r="X1832" i="12"/>
  <c r="X1833" i="12"/>
  <c r="Y1832" i="12"/>
  <c r="Y1833" i="12"/>
  <c r="X1834" i="12"/>
  <c r="X1835" i="12"/>
  <c r="Y1834" i="12"/>
  <c r="X1836" i="12"/>
  <c r="Y1835" i="12"/>
  <c r="X1837" i="12"/>
  <c r="Y1836" i="12"/>
  <c r="Y1837" i="12"/>
  <c r="X1838" i="12"/>
  <c r="Y1838" i="12"/>
  <c r="X1839" i="12"/>
  <c r="Y1839" i="12"/>
  <c r="X1840" i="12"/>
  <c r="X1841" i="12"/>
  <c r="Y1840" i="12"/>
  <c r="Y1841" i="12"/>
  <c r="X1842" i="12"/>
  <c r="X1843" i="12"/>
  <c r="Y1842" i="12"/>
  <c r="X1844" i="12"/>
  <c r="Y1843" i="12"/>
  <c r="X1845" i="12"/>
  <c r="Y1844" i="12"/>
  <c r="X1846" i="12"/>
  <c r="Y1845" i="12"/>
  <c r="Y1846" i="12"/>
  <c r="X1847" i="12"/>
  <c r="Y1847" i="12"/>
  <c r="X1848" i="12"/>
  <c r="X1849" i="12"/>
  <c r="Y1848" i="12"/>
  <c r="X1850" i="12"/>
  <c r="Y1849" i="12"/>
  <c r="X1851" i="12"/>
  <c r="Y1850" i="12"/>
  <c r="X1852" i="12"/>
  <c r="Y1851" i="12"/>
  <c r="X1853" i="12"/>
  <c r="Y1852" i="12"/>
  <c r="Y1853" i="12"/>
  <c r="X1854" i="12"/>
  <c r="Y1854" i="12"/>
  <c r="X1855" i="12"/>
  <c r="X1856" i="12"/>
  <c r="Y1855" i="12"/>
  <c r="X1857" i="12"/>
  <c r="Y1856" i="12"/>
  <c r="X1858" i="12"/>
  <c r="Y1857" i="12"/>
  <c r="X1859" i="12"/>
  <c r="Y1858" i="12"/>
  <c r="X1860" i="12"/>
  <c r="Y1859" i="12"/>
  <c r="Y1860" i="12"/>
  <c r="X1861" i="12"/>
  <c r="Y1861" i="12"/>
  <c r="X1862" i="12"/>
  <c r="Y1862" i="12"/>
  <c r="X1863" i="12"/>
  <c r="Y1863" i="12"/>
  <c r="X1864" i="12"/>
  <c r="X1865" i="12"/>
  <c r="Y1864" i="12"/>
  <c r="X1866" i="12"/>
  <c r="Y1865" i="12"/>
  <c r="X1867" i="12"/>
  <c r="Y1866" i="12"/>
  <c r="X1868" i="12"/>
  <c r="Y1867" i="12"/>
  <c r="Y1868" i="12"/>
  <c r="X1869" i="12"/>
  <c r="Y1869" i="12"/>
  <c r="X1870" i="12"/>
  <c r="Y1870" i="12"/>
  <c r="X1871" i="12"/>
  <c r="X1872" i="12"/>
  <c r="Y1871" i="12"/>
  <c r="X1873" i="12"/>
  <c r="Y1872" i="12"/>
  <c r="Y1873" i="12"/>
  <c r="X1874" i="12"/>
  <c r="Y1874" i="12"/>
  <c r="X1875" i="12"/>
  <c r="X1876" i="12"/>
  <c r="Y1875" i="12"/>
  <c r="X1877" i="12"/>
  <c r="Y1876" i="12"/>
  <c r="X1878" i="12"/>
  <c r="Y1877" i="12"/>
  <c r="Y1878" i="12"/>
  <c r="X1879" i="12"/>
  <c r="X1880" i="12"/>
  <c r="Y1879" i="12"/>
  <c r="X1881" i="12"/>
  <c r="Y1880" i="12"/>
  <c r="X1882" i="12"/>
  <c r="Y1881" i="12"/>
  <c r="X1883" i="12"/>
  <c r="Y1882" i="12"/>
  <c r="X1884" i="12"/>
  <c r="Y1883" i="12"/>
  <c r="X1885" i="12"/>
  <c r="Y1884" i="12"/>
  <c r="Y1885" i="12"/>
  <c r="X1886" i="12"/>
  <c r="Y1886" i="12"/>
  <c r="X1887" i="12"/>
  <c r="X1888" i="12"/>
  <c r="Y1887" i="12"/>
  <c r="Y1888" i="12"/>
  <c r="X1889" i="12"/>
  <c r="Y1889" i="12"/>
  <c r="X1890" i="12"/>
  <c r="X1891" i="12"/>
  <c r="Y1890" i="12"/>
  <c r="X1892" i="12"/>
  <c r="Y1891" i="12"/>
  <c r="Y1892" i="12"/>
  <c r="X1893" i="12"/>
  <c r="Y1893" i="12"/>
  <c r="X1894" i="12"/>
  <c r="Y1894" i="12"/>
  <c r="X1895" i="12"/>
  <c r="Y1895" i="12"/>
  <c r="X1896" i="12"/>
  <c r="X1897" i="12"/>
  <c r="Y1896" i="12"/>
  <c r="Y1897" i="12"/>
  <c r="X1898" i="12"/>
  <c r="X1899" i="12"/>
  <c r="Y1898" i="12"/>
  <c r="X1900" i="12"/>
  <c r="Y1899" i="12"/>
  <c r="X1901" i="12"/>
  <c r="Y1900" i="12"/>
  <c r="Y1901" i="12"/>
  <c r="X1902" i="12"/>
  <c r="Y1902" i="12"/>
  <c r="X1903" i="12"/>
  <c r="X1904" i="12"/>
  <c r="Y1903" i="12"/>
  <c r="X1905" i="12"/>
  <c r="Y1904" i="12"/>
  <c r="Y1905" i="12"/>
  <c r="X1906" i="12"/>
  <c r="Y1906" i="12"/>
  <c r="X1907" i="12"/>
  <c r="X1908" i="12"/>
  <c r="Y1907" i="12"/>
  <c r="Y1908" i="12"/>
  <c r="X1909" i="12"/>
  <c r="X1910" i="12"/>
  <c r="Y1909" i="12"/>
  <c r="Y1910" i="12"/>
  <c r="X1911" i="12"/>
  <c r="X1912" i="12"/>
  <c r="Y1911" i="12"/>
  <c r="X1913" i="12"/>
  <c r="Y1912" i="12"/>
  <c r="X1914" i="12"/>
  <c r="Y1913" i="12"/>
  <c r="X1915" i="12"/>
  <c r="Y1914" i="12"/>
  <c r="X1916" i="12"/>
  <c r="Y1915" i="12"/>
  <c r="Y1916" i="12"/>
  <c r="X1917" i="12"/>
  <c r="X1918" i="12"/>
  <c r="Y1917" i="12"/>
  <c r="Y1918" i="12"/>
  <c r="X1919" i="12"/>
  <c r="X1920" i="12"/>
  <c r="Y1919" i="12"/>
  <c r="Y1920" i="12"/>
  <c r="X1921" i="12"/>
  <c r="Y1921" i="12"/>
  <c r="X1922" i="12"/>
  <c r="X1923" i="12"/>
  <c r="Y1922" i="12"/>
  <c r="X1924" i="12"/>
  <c r="Y1923" i="12"/>
  <c r="Y1924" i="12"/>
  <c r="X1925" i="12"/>
  <c r="Y1925" i="12"/>
  <c r="X1926" i="12"/>
  <c r="Y1926" i="12"/>
  <c r="X1927" i="12"/>
  <c r="Y1927" i="12"/>
  <c r="X1928" i="12"/>
  <c r="Y1928" i="12"/>
  <c r="X1929" i="12"/>
  <c r="Y1929" i="12"/>
  <c r="X1930" i="12"/>
  <c r="Y1930" i="12"/>
  <c r="X1931" i="12"/>
  <c r="X1932" i="12"/>
  <c r="Y1931" i="12"/>
  <c r="X1933" i="12"/>
  <c r="Y1932" i="12"/>
  <c r="X1934" i="12"/>
  <c r="Y1933" i="12"/>
  <c r="Y1934" i="12"/>
  <c r="X1935" i="12"/>
  <c r="Y1935" i="12"/>
  <c r="X1936" i="12"/>
  <c r="X1937" i="12"/>
  <c r="Y1936" i="12"/>
  <c r="Y1937" i="12"/>
  <c r="X1938" i="12"/>
  <c r="X1939" i="12"/>
  <c r="Y1938" i="12"/>
  <c r="Y1939" i="12"/>
  <c r="X1940" i="12"/>
  <c r="X1941" i="12"/>
  <c r="Y1940" i="12"/>
  <c r="X1942" i="12"/>
  <c r="Y1941" i="12"/>
  <c r="Y1942" i="12"/>
  <c r="X1943" i="12"/>
  <c r="X1944" i="12"/>
  <c r="Y1943" i="12"/>
  <c r="X1945" i="12"/>
  <c r="Y1944" i="12"/>
  <c r="X1946" i="12"/>
  <c r="Y1945" i="12"/>
  <c r="Y1946" i="12"/>
  <c r="X1947" i="12"/>
  <c r="Y1947" i="12"/>
  <c r="X1948" i="12"/>
  <c r="X1949" i="12"/>
  <c r="Y1948" i="12"/>
  <c r="Y1949" i="12"/>
  <c r="X1950" i="12"/>
  <c r="Y1950" i="12"/>
  <c r="X1951" i="12"/>
  <c r="Y1951" i="12"/>
  <c r="X1952" i="12"/>
  <c r="X1953" i="12"/>
  <c r="Y1952" i="12"/>
  <c r="X1954" i="12"/>
  <c r="Y1953" i="12"/>
  <c r="Y1954" i="12"/>
  <c r="X1955" i="12"/>
  <c r="Y1955" i="12"/>
  <c r="X1956" i="12"/>
  <c r="Y1956" i="12"/>
  <c r="X1957" i="12"/>
  <c r="X1958" i="12"/>
  <c r="Y1957" i="12"/>
  <c r="Y1958" i="12"/>
  <c r="X1959" i="12"/>
  <c r="X1960" i="12"/>
  <c r="Y1959" i="12"/>
  <c r="X1961" i="12"/>
  <c r="Y1960" i="12"/>
  <c r="X1962" i="12"/>
  <c r="Y1961" i="12"/>
  <c r="X1963" i="12"/>
  <c r="Y1962" i="12"/>
  <c r="X1964" i="12"/>
  <c r="Y1963" i="12"/>
  <c r="Y1964" i="12"/>
  <c r="X1965" i="12"/>
  <c r="X1966" i="12"/>
  <c r="Y1965" i="12"/>
  <c r="Y1966" i="12"/>
  <c r="X1967" i="12"/>
  <c r="Y1967" i="12"/>
  <c r="X1968" i="12"/>
  <c r="Y1968" i="12"/>
  <c r="X1969" i="12"/>
  <c r="X1970" i="12"/>
  <c r="Y1969" i="12"/>
  <c r="X1971" i="12"/>
  <c r="Y1970" i="12"/>
  <c r="Y1971" i="12"/>
  <c r="X1972" i="12"/>
  <c r="X1973" i="12"/>
  <c r="Y1972" i="12"/>
  <c r="Y1973" i="12"/>
  <c r="X1974" i="12"/>
  <c r="Y1974" i="12"/>
  <c r="X1975" i="12"/>
  <c r="Y1975" i="12"/>
  <c r="X1976" i="12"/>
  <c r="X1977" i="12"/>
  <c r="Y1976" i="12"/>
  <c r="X1978" i="12"/>
  <c r="Y1977" i="12"/>
  <c r="X1979" i="12"/>
  <c r="Y1978" i="12"/>
  <c r="Y1979" i="12"/>
  <c r="X1980" i="12"/>
  <c r="X1981" i="12"/>
  <c r="Y1980" i="12"/>
  <c r="Y1981" i="12"/>
  <c r="X1982" i="12"/>
  <c r="Y1982" i="12"/>
  <c r="X1983" i="12"/>
  <c r="Y1983" i="12"/>
  <c r="X1984" i="12"/>
  <c r="Y1984" i="12"/>
  <c r="X1985" i="12"/>
  <c r="X1986" i="12"/>
  <c r="Y1985" i="12"/>
  <c r="Y1986" i="12"/>
  <c r="X1987" i="12"/>
  <c r="Y1987" i="12"/>
  <c r="X1988" i="12"/>
  <c r="Y1988" i="12"/>
  <c r="X1989" i="12"/>
  <c r="X1990" i="12"/>
  <c r="Y1989" i="12"/>
  <c r="Y1990" i="12"/>
  <c r="X1991" i="12"/>
  <c r="X1992" i="12"/>
  <c r="Y1991" i="12"/>
  <c r="Y1992" i="12"/>
  <c r="X1993" i="12"/>
  <c r="X1994" i="12"/>
  <c r="Y1993" i="12"/>
  <c r="X1995" i="12"/>
  <c r="Y1994" i="12"/>
  <c r="Y1995" i="12"/>
  <c r="X1996" i="12"/>
  <c r="Y1996" i="12"/>
  <c r="X1997" i="12"/>
  <c r="X1998" i="12"/>
  <c r="Y1997" i="12"/>
  <c r="Y1998" i="12"/>
  <c r="X1999" i="12"/>
  <c r="Y1999" i="12"/>
  <c r="X2000" i="12"/>
  <c r="Y2000" i="12"/>
  <c r="X2001" i="12"/>
  <c r="X2002" i="12"/>
  <c r="Y2001" i="12"/>
  <c r="Y2002" i="12"/>
  <c r="X2003" i="12"/>
  <c r="X2004" i="12"/>
  <c r="Y2003" i="12"/>
  <c r="X2005" i="12"/>
  <c r="Y2004" i="12"/>
  <c r="X2006" i="12"/>
  <c r="Y2005" i="12"/>
  <c r="Y2006" i="12"/>
  <c r="X2007" i="12"/>
  <c r="Y2007" i="12"/>
  <c r="X2008" i="12"/>
  <c r="Y2008" i="12"/>
  <c r="X2009" i="12"/>
  <c r="X2010" i="12"/>
  <c r="Y2009" i="12"/>
  <c r="X2011" i="12"/>
  <c r="Y2010" i="12"/>
  <c r="Y2011" i="12"/>
  <c r="X2012" i="12"/>
  <c r="X2013" i="12"/>
  <c r="Y2012" i="12"/>
  <c r="X2014" i="12"/>
  <c r="Y2013" i="12"/>
  <c r="Y2014" i="12"/>
  <c r="X2015" i="12"/>
  <c r="X2016" i="12"/>
  <c r="Y2015" i="12"/>
  <c r="Y2016" i="12"/>
  <c r="X2017" i="12"/>
  <c r="X2018" i="12"/>
  <c r="Y2017" i="12"/>
  <c r="Y2018" i="12"/>
  <c r="X2019" i="12"/>
  <c r="Y2019" i="12"/>
  <c r="X2020" i="12"/>
  <c r="Y2020" i="12"/>
  <c r="X2021" i="12"/>
  <c r="X2022" i="12"/>
  <c r="Y2021" i="12"/>
  <c r="Y2022" i="12"/>
  <c r="X2023" i="12"/>
  <c r="X2024" i="12"/>
  <c r="Y2023" i="12"/>
  <c r="Y2024" i="12"/>
  <c r="X2025" i="12"/>
  <c r="X2026" i="12"/>
  <c r="Y2025" i="12"/>
  <c r="X2027" i="12"/>
  <c r="Y2026" i="12"/>
  <c r="Y2027" i="12"/>
  <c r="X2028" i="12"/>
  <c r="Y2028" i="12"/>
  <c r="X2029" i="12"/>
  <c r="X2030" i="12"/>
  <c r="Y2029" i="12"/>
  <c r="Y2030" i="12"/>
  <c r="X2031" i="12"/>
  <c r="Y2031" i="12"/>
  <c r="X2032" i="12"/>
  <c r="Y2032" i="12"/>
  <c r="X2033" i="12"/>
  <c r="X2034" i="12"/>
  <c r="Y2033" i="12"/>
  <c r="Y2034" i="12"/>
  <c r="X2035" i="12"/>
  <c r="X2036" i="12"/>
  <c r="Y2035" i="12"/>
  <c r="X2037" i="12"/>
  <c r="Y2036" i="12"/>
  <c r="X2038" i="12"/>
  <c r="Y2037" i="12"/>
  <c r="Y2038" i="12"/>
  <c r="X2039" i="12"/>
  <c r="Y2039" i="12"/>
  <c r="X2040" i="12"/>
  <c r="Y2040" i="12"/>
  <c r="X2041" i="12"/>
  <c r="X2042" i="12"/>
  <c r="Y2041" i="12"/>
  <c r="X2043" i="12"/>
  <c r="Y2042" i="12"/>
  <c r="Y2043" i="12"/>
  <c r="X2044" i="12"/>
  <c r="X2045" i="12"/>
  <c r="Y2044" i="12"/>
  <c r="X2046" i="12"/>
  <c r="Y2045" i="12"/>
  <c r="Y2046" i="12"/>
  <c r="X2047" i="12"/>
  <c r="X2048" i="12"/>
  <c r="Y2047" i="12"/>
  <c r="Y2048" i="12"/>
  <c r="X2049" i="12"/>
  <c r="X2050" i="12"/>
  <c r="Y2049" i="12"/>
  <c r="Y2050" i="12"/>
  <c r="X2051" i="12"/>
  <c r="Y2051" i="12"/>
  <c r="X2052" i="12"/>
  <c r="Y2052" i="12"/>
  <c r="X2053" i="12"/>
  <c r="X2054" i="12"/>
  <c r="Y2053" i="12"/>
  <c r="Y2054" i="12"/>
  <c r="X2055" i="12"/>
  <c r="X2056" i="12"/>
  <c r="Y2055" i="12"/>
  <c r="Y2056" i="12"/>
  <c r="X2057" i="12"/>
  <c r="X2058" i="12"/>
  <c r="Y2057" i="12"/>
  <c r="X2059" i="12"/>
  <c r="Y2058" i="12"/>
  <c r="Y2059" i="12"/>
  <c r="X2060" i="12"/>
  <c r="Y2060" i="12"/>
  <c r="X2061" i="12"/>
  <c r="Y2061" i="12"/>
  <c r="X2062" i="12"/>
  <c r="Y2062" i="12"/>
  <c r="X2063" i="12"/>
  <c r="Y2063" i="12"/>
  <c r="X2064" i="12"/>
  <c r="Y2064" i="12"/>
  <c r="X2065" i="12"/>
  <c r="X2066" i="12"/>
  <c r="Y2065" i="12"/>
  <c r="X2067" i="12"/>
  <c r="Y2066" i="12"/>
  <c r="X2068" i="12"/>
  <c r="Y2067" i="12"/>
  <c r="X2069" i="12"/>
  <c r="Y2068" i="12"/>
  <c r="Y2069" i="12"/>
  <c r="X2070" i="12"/>
  <c r="Y2070" i="12"/>
  <c r="X2071" i="12"/>
  <c r="Y2071" i="12"/>
  <c r="X2072" i="12"/>
  <c r="Y2072" i="12"/>
  <c r="X2073" i="12"/>
  <c r="X2074" i="12"/>
  <c r="Y2073" i="12"/>
  <c r="X2075" i="12"/>
  <c r="Y2074" i="12"/>
  <c r="Y2075" i="12"/>
  <c r="X2076" i="12"/>
  <c r="X2077" i="12"/>
  <c r="Y2076" i="12"/>
  <c r="Y2077" i="12"/>
  <c r="X2078" i="12"/>
  <c r="Y2078" i="12"/>
  <c r="X2079" i="12"/>
  <c r="X2080" i="12"/>
  <c r="Y2079" i="12"/>
  <c r="Y2080" i="12"/>
  <c r="X2081" i="12"/>
  <c r="X2082" i="12"/>
  <c r="Y2081" i="12"/>
  <c r="Y2082" i="12"/>
  <c r="X2083" i="12"/>
  <c r="X2084" i="12"/>
  <c r="Y2083" i="12"/>
  <c r="Y2084" i="12"/>
  <c r="X2085" i="12"/>
  <c r="X2086" i="12"/>
  <c r="Y2085" i="12"/>
  <c r="Y2086" i="12"/>
  <c r="X2087" i="12"/>
  <c r="X2088" i="12"/>
  <c r="Y2087" i="12"/>
  <c r="Y2088" i="12"/>
  <c r="X2089" i="12"/>
  <c r="X2090" i="12"/>
  <c r="Y2089" i="12"/>
  <c r="X2091" i="12"/>
  <c r="Y2090" i="12"/>
  <c r="Y2091" i="12"/>
  <c r="X2092" i="12"/>
  <c r="X2093" i="12"/>
  <c r="Y2092" i="12"/>
  <c r="Y2093" i="12"/>
  <c r="X2094" i="12"/>
  <c r="Y2094" i="12"/>
  <c r="X2095" i="12"/>
  <c r="X2096" i="12"/>
  <c r="Y2095" i="12"/>
  <c r="Y2096" i="12"/>
  <c r="X2097" i="12"/>
  <c r="X2098" i="12"/>
  <c r="Y2097" i="12"/>
  <c r="Y2098" i="12"/>
  <c r="X2099" i="12"/>
  <c r="X2100" i="12"/>
  <c r="Y2099" i="12"/>
  <c r="X2101" i="12"/>
  <c r="Y2100" i="12"/>
  <c r="Y2101" i="12"/>
  <c r="X2102" i="12"/>
  <c r="Y2102" i="12"/>
  <c r="X2103" i="12"/>
  <c r="Y2103" i="12"/>
  <c r="X2104" i="12"/>
  <c r="Y2104" i="12"/>
  <c r="X2105" i="12"/>
  <c r="X2106" i="12"/>
  <c r="Y2105" i="12"/>
  <c r="Y2106" i="12"/>
  <c r="X2107" i="12"/>
  <c r="Y2107" i="12"/>
  <c r="X2108" i="12"/>
  <c r="X2109" i="12"/>
  <c r="Y2108" i="12"/>
  <c r="X2110" i="12"/>
  <c r="Y2109" i="12"/>
  <c r="Y2110" i="12"/>
  <c r="X2111" i="12"/>
  <c r="X2112" i="12"/>
  <c r="Y2111" i="12"/>
  <c r="X2113" i="12"/>
  <c r="Y2112" i="12"/>
  <c r="X2114" i="12"/>
  <c r="Y2113" i="12"/>
  <c r="Y2114" i="12"/>
  <c r="X2115" i="12"/>
  <c r="Y2115" i="12"/>
  <c r="X2116" i="12"/>
  <c r="Y2116" i="12"/>
  <c r="X2117" i="12"/>
  <c r="X2118" i="12"/>
  <c r="Y2117" i="12"/>
  <c r="Y2118" i="12"/>
  <c r="X2119" i="12"/>
  <c r="X2120" i="12"/>
  <c r="Y2119" i="12"/>
  <c r="Y2120" i="12"/>
  <c r="X2121" i="12"/>
  <c r="X2122" i="12"/>
  <c r="Y2121" i="12"/>
  <c r="X2123" i="12"/>
  <c r="Y2122" i="12"/>
  <c r="Y2123" i="12"/>
  <c r="X2124" i="12"/>
  <c r="Y2124" i="12"/>
  <c r="X2125" i="12"/>
  <c r="X2126" i="12"/>
  <c r="Y2125" i="12"/>
  <c r="Y2126" i="12"/>
  <c r="X2127" i="12"/>
  <c r="Y2127" i="12"/>
  <c r="X2128" i="12"/>
  <c r="Y2128" i="12"/>
  <c r="X2129" i="12"/>
  <c r="X2130" i="12"/>
  <c r="Y2129" i="12"/>
  <c r="Y2130" i="12"/>
  <c r="X2131" i="12"/>
  <c r="Y2131" i="12"/>
  <c r="X2132" i="12"/>
  <c r="X2133" i="12"/>
  <c r="Y2132" i="12"/>
  <c r="X2134" i="12"/>
  <c r="Y2133" i="12"/>
  <c r="Y2134" i="12"/>
  <c r="X2135" i="12"/>
  <c r="Y2135" i="12"/>
  <c r="X2136" i="12"/>
  <c r="Y2136" i="12"/>
  <c r="X2137" i="12"/>
  <c r="X2138" i="12"/>
  <c r="Y2137" i="12"/>
  <c r="X2139" i="12"/>
  <c r="Y2138" i="12"/>
  <c r="Y2139" i="12"/>
  <c r="X2140" i="12"/>
  <c r="X2141" i="12"/>
  <c r="Y2140" i="12"/>
  <c r="Y2141" i="12"/>
  <c r="X2142" i="12"/>
  <c r="Y2142" i="12"/>
  <c r="X2143" i="12"/>
  <c r="X2144" i="12"/>
  <c r="Y2143" i="12"/>
  <c r="Y2144" i="12"/>
  <c r="X2145" i="12"/>
  <c r="X2146" i="12"/>
  <c r="Y2145" i="12"/>
  <c r="X2147" i="12"/>
  <c r="Y2146" i="12"/>
  <c r="Y2147" i="12"/>
  <c r="X2148" i="12"/>
  <c r="Y2148" i="12"/>
  <c r="X2149" i="12"/>
  <c r="X2150" i="12"/>
  <c r="Y2149" i="12"/>
  <c r="Y2150" i="12"/>
  <c r="X2151" i="12"/>
  <c r="X2152" i="12"/>
  <c r="Y2151" i="12"/>
  <c r="Y2152" i="12"/>
  <c r="X2153" i="12"/>
  <c r="X2154" i="12"/>
  <c r="Y2153" i="12"/>
  <c r="Y2154" i="12"/>
  <c r="X2155" i="12"/>
  <c r="X2156" i="12"/>
  <c r="Y2155" i="12"/>
  <c r="Y2156" i="12"/>
  <c r="X2157" i="12"/>
  <c r="X2158" i="12"/>
  <c r="Y2157" i="12"/>
  <c r="X2159" i="12"/>
  <c r="Y2158" i="12"/>
  <c r="X2160" i="12"/>
  <c r="Y2159" i="12"/>
  <c r="X2161" i="12"/>
  <c r="Y2160" i="12"/>
  <c r="Y2161" i="12"/>
  <c r="X2162" i="12"/>
  <c r="Y2162" i="12"/>
  <c r="X2163" i="12"/>
  <c r="Y2163" i="12"/>
  <c r="X2164" i="12"/>
  <c r="X2165" i="12"/>
  <c r="Y2164" i="12"/>
  <c r="X2166" i="12"/>
  <c r="Y2165" i="12"/>
  <c r="Y2166" i="12"/>
  <c r="X2167" i="12"/>
  <c r="Y2167" i="12"/>
  <c r="X2168" i="12"/>
  <c r="Y2168" i="12"/>
  <c r="X2169" i="12"/>
  <c r="Y2169" i="12"/>
  <c r="X2170" i="12"/>
  <c r="X2171" i="12"/>
  <c r="Y2170" i="12"/>
  <c r="Y2171" i="12"/>
  <c r="X2172" i="12"/>
  <c r="Y2172" i="12"/>
  <c r="X2173" i="12"/>
  <c r="X2174" i="12"/>
  <c r="Y2173" i="12"/>
  <c r="Y2174" i="12"/>
  <c r="X2175" i="12"/>
  <c r="Y2175" i="12"/>
  <c r="X2176" i="12"/>
  <c r="X2177" i="12"/>
  <c r="Y2176" i="12"/>
  <c r="Y2177" i="12"/>
  <c r="X2178" i="12"/>
  <c r="Y2178" i="12"/>
  <c r="X2179" i="12"/>
  <c r="Y2179" i="12"/>
  <c r="X2180" i="12"/>
  <c r="X2181" i="12"/>
  <c r="Y2180" i="12"/>
  <c r="X2182" i="12"/>
  <c r="Y2181" i="12"/>
  <c r="Y2182" i="12"/>
  <c r="X2183" i="12"/>
  <c r="Y2183" i="12"/>
  <c r="X2184" i="12"/>
  <c r="X2185" i="12"/>
  <c r="Y2184" i="12"/>
  <c r="Y2185" i="12"/>
  <c r="X2186" i="12"/>
  <c r="Y2186" i="12"/>
  <c r="X2187" i="12"/>
  <c r="X2188" i="12"/>
  <c r="Y2187" i="12"/>
  <c r="X2189" i="12"/>
  <c r="Y2188" i="12"/>
  <c r="Y2189" i="12"/>
  <c r="X2190" i="12"/>
  <c r="X2191" i="12"/>
  <c r="Y2190" i="12"/>
  <c r="Y2191" i="12"/>
  <c r="X2192" i="12"/>
  <c r="X2193" i="12"/>
  <c r="Y2192" i="12"/>
  <c r="X2194" i="12"/>
  <c r="Y2193" i="12"/>
  <c r="Y2194" i="12"/>
  <c r="X2195" i="12"/>
  <c r="Y2195" i="12"/>
  <c r="X2196" i="12"/>
  <c r="X2197" i="12"/>
  <c r="Y2196" i="12"/>
  <c r="Y2197" i="12"/>
  <c r="X2198" i="12"/>
  <c r="Y2198" i="12"/>
  <c r="X2199" i="12"/>
  <c r="Y2199" i="12"/>
  <c r="X2200" i="12"/>
  <c r="X2201" i="12"/>
  <c r="Y2200" i="12"/>
  <c r="Y2201" i="12"/>
  <c r="X2202" i="12"/>
  <c r="X2203" i="12"/>
  <c r="Y2202" i="12"/>
  <c r="X2204" i="12"/>
  <c r="Y2203" i="12"/>
  <c r="X2205" i="12"/>
  <c r="Y2204" i="12"/>
  <c r="Y2205" i="12"/>
  <c r="X2206" i="12"/>
  <c r="Y2206" i="12"/>
  <c r="X2207" i="12"/>
  <c r="Y2207" i="12"/>
  <c r="X2208" i="12"/>
  <c r="X2209" i="12"/>
  <c r="Y2208" i="12"/>
  <c r="X2210" i="12"/>
  <c r="Y2209" i="12"/>
  <c r="Y2210" i="12"/>
  <c r="X2211" i="12"/>
  <c r="X2212" i="12"/>
  <c r="Y2211" i="12"/>
  <c r="X2213" i="12"/>
  <c r="Y2212" i="12"/>
  <c r="X2214" i="12"/>
  <c r="Y2213" i="12"/>
  <c r="X2215" i="12"/>
  <c r="Y2214" i="12"/>
  <c r="Y2215" i="12"/>
  <c r="X2216" i="12"/>
  <c r="X2217" i="12"/>
  <c r="Y2216" i="12"/>
  <c r="X2218" i="12"/>
  <c r="Y2217" i="12"/>
  <c r="Y2218" i="12"/>
  <c r="X2219" i="12"/>
  <c r="Y2219" i="12"/>
  <c r="X2220" i="12"/>
  <c r="Y2220" i="12"/>
  <c r="X2221" i="12"/>
  <c r="X2222" i="12"/>
  <c r="Y2221" i="12"/>
  <c r="Y2222" i="12"/>
  <c r="X2223" i="12"/>
  <c r="X2224" i="12"/>
  <c r="Y2223" i="12"/>
  <c r="X2225" i="12"/>
  <c r="Y2224" i="12"/>
  <c r="Y2225" i="12"/>
  <c r="X2226" i="12"/>
  <c r="Y2226" i="12"/>
  <c r="X2227" i="12"/>
  <c r="Y2227" i="12"/>
  <c r="X2228" i="12"/>
  <c r="Y2228" i="12"/>
  <c r="X2229" i="12"/>
  <c r="X2230" i="12"/>
  <c r="Y2229" i="12"/>
  <c r="Y2230" i="12"/>
  <c r="X2231" i="12"/>
  <c r="Y2231" i="12"/>
  <c r="X2232" i="12"/>
  <c r="X2233" i="12"/>
  <c r="Y2232" i="12"/>
  <c r="Y2233" i="12"/>
  <c r="X2234" i="12"/>
  <c r="X2235" i="12"/>
  <c r="Y2234" i="12"/>
  <c r="Y2235" i="12"/>
  <c r="X2236" i="12"/>
  <c r="Y2236" i="12"/>
  <c r="X2237" i="12"/>
  <c r="X2238" i="12"/>
  <c r="Y2237" i="12"/>
  <c r="Y2238" i="12"/>
  <c r="X2239" i="12"/>
  <c r="Y2239" i="12"/>
  <c r="X2240" i="12"/>
  <c r="Y2240" i="12"/>
  <c r="X2241" i="12"/>
  <c r="Y2241" i="12"/>
  <c r="X2242" i="12"/>
  <c r="X2243" i="12"/>
  <c r="Y2242" i="12"/>
  <c r="Y2243" i="12"/>
  <c r="X2244" i="12"/>
  <c r="X2245" i="12"/>
  <c r="Y2244" i="12"/>
  <c r="X2246" i="12"/>
  <c r="Y2245" i="12"/>
  <c r="Y2246" i="12"/>
  <c r="X2247" i="12"/>
  <c r="X2248" i="12"/>
  <c r="Y2247" i="12"/>
  <c r="X2249" i="12"/>
  <c r="Y2248" i="12"/>
  <c r="X2250" i="12"/>
  <c r="Y2249" i="12"/>
  <c r="Y2250" i="12"/>
  <c r="X2251" i="12"/>
  <c r="Y2251" i="12"/>
  <c r="X2252" i="12"/>
  <c r="Y2252" i="12"/>
  <c r="X2253" i="12"/>
  <c r="Y2253" i="12"/>
  <c r="X2254" i="12"/>
  <c r="X2255" i="12"/>
  <c r="Y2254" i="12"/>
  <c r="Y2255" i="12"/>
  <c r="X2256" i="12"/>
  <c r="X2257" i="12"/>
  <c r="Y2256" i="12"/>
  <c r="X2258" i="12"/>
  <c r="Y2257" i="12"/>
  <c r="Y2258" i="12"/>
  <c r="X2259" i="12"/>
  <c r="Y2259" i="12"/>
  <c r="X2260" i="12"/>
  <c r="X2261" i="12"/>
  <c r="Y2260" i="12"/>
  <c r="X2262" i="12"/>
  <c r="Y2261" i="12"/>
  <c r="Y2262" i="12"/>
  <c r="X2263" i="12"/>
  <c r="Y2263" i="12"/>
  <c r="X2264" i="12"/>
  <c r="X2265" i="12"/>
  <c r="Y2264" i="12"/>
  <c r="Y2265" i="12"/>
  <c r="X2266" i="12"/>
  <c r="X2267" i="12"/>
  <c r="Y2266" i="12"/>
  <c r="Y2267" i="12"/>
  <c r="X2268" i="12"/>
  <c r="Y2268" i="12"/>
  <c r="X2269" i="12"/>
  <c r="Y2269" i="12"/>
  <c r="X2270" i="12"/>
  <c r="X2271" i="12"/>
  <c r="Y2270" i="12"/>
  <c r="X2272" i="12"/>
  <c r="Y2271" i="12"/>
  <c r="X2273" i="12"/>
  <c r="Y2272" i="12"/>
  <c r="Y2273" i="12"/>
  <c r="X2274" i="12"/>
  <c r="Y2274" i="12"/>
  <c r="X2275" i="12"/>
  <c r="X2276" i="12"/>
  <c r="Y2275" i="12"/>
  <c r="X2277" i="12"/>
  <c r="Y2276" i="12"/>
  <c r="X2278" i="12"/>
  <c r="Y2277" i="12"/>
  <c r="X2279" i="12"/>
  <c r="Y2278" i="12"/>
  <c r="X2280" i="12"/>
  <c r="Y2279" i="12"/>
  <c r="Y2280" i="12"/>
  <c r="X2281" i="12"/>
  <c r="X2282" i="12"/>
  <c r="Y2281" i="12"/>
  <c r="Y2282" i="12"/>
  <c r="X2283" i="12"/>
  <c r="Y2283" i="12"/>
  <c r="X2284" i="12"/>
  <c r="Y2284" i="12"/>
  <c r="X2285" i="12"/>
  <c r="Y2285" i="12"/>
  <c r="X2286" i="12"/>
  <c r="Y2286" i="12"/>
  <c r="X2287" i="12"/>
  <c r="X2288" i="12"/>
  <c r="Y2287" i="12"/>
  <c r="X2289" i="12"/>
  <c r="Y2288" i="12"/>
  <c r="Y2289" i="12"/>
  <c r="X2290" i="12"/>
  <c r="Y2290" i="12"/>
  <c r="X2291" i="12"/>
  <c r="Y2291" i="12"/>
  <c r="X2292" i="12"/>
  <c r="Y2292" i="12"/>
  <c r="X2293" i="12"/>
  <c r="X2294" i="12"/>
  <c r="Y2293" i="12"/>
  <c r="X2295" i="12"/>
  <c r="Y2294" i="12"/>
  <c r="Y2295" i="12"/>
  <c r="X2296" i="12"/>
  <c r="Y2296" i="12"/>
  <c r="X2297" i="12"/>
  <c r="Y2297" i="12"/>
  <c r="X2298" i="12"/>
  <c r="X2299" i="12"/>
  <c r="Y2298" i="12"/>
  <c r="Y2299" i="12"/>
  <c r="X2300" i="12"/>
  <c r="X2301" i="12"/>
  <c r="Y2300" i="12"/>
  <c r="Y2301" i="12"/>
  <c r="X2302" i="12"/>
  <c r="Y2302" i="12"/>
  <c r="X2303" i="12"/>
  <c r="Y2303" i="12"/>
  <c r="X2304" i="12"/>
  <c r="X2305" i="12"/>
  <c r="Y2304" i="12"/>
  <c r="Y2305" i="12"/>
  <c r="X2306" i="12"/>
  <c r="Y2306" i="12"/>
  <c r="X2307" i="12"/>
  <c r="Y2307" i="12"/>
  <c r="X2308" i="12"/>
  <c r="Y2308" i="12"/>
  <c r="X2309" i="12"/>
  <c r="Y2309" i="12"/>
  <c r="X2310" i="12"/>
  <c r="Y2310" i="12"/>
  <c r="X2311" i="12"/>
  <c r="Y2311" i="12"/>
  <c r="X2312" i="12"/>
  <c r="X2313" i="12"/>
  <c r="Y2312" i="12"/>
  <c r="X2314" i="12"/>
  <c r="Y2313" i="12"/>
  <c r="Y2314" i="12"/>
  <c r="X2315" i="12"/>
  <c r="X2316" i="12"/>
  <c r="Y2315" i="12"/>
  <c r="X2317" i="12"/>
  <c r="Y2316" i="12"/>
  <c r="X2318" i="12"/>
  <c r="Y2317" i="12"/>
  <c r="X2319" i="12"/>
  <c r="Y2318" i="12"/>
  <c r="X2320" i="12"/>
  <c r="Y2319" i="12"/>
  <c r="X2321" i="12"/>
  <c r="Y2320" i="12"/>
  <c r="X2322" i="12"/>
  <c r="Y2321" i="12"/>
  <c r="Y2322" i="12"/>
  <c r="X2323" i="12"/>
  <c r="Y2323" i="12"/>
  <c r="X2324" i="12"/>
  <c r="X2325" i="12"/>
  <c r="Y2324" i="12"/>
  <c r="X2326" i="12"/>
  <c r="Y2325" i="12"/>
  <c r="Y2326" i="12"/>
  <c r="X2327" i="12"/>
  <c r="X2328" i="12"/>
  <c r="Y2327" i="12"/>
  <c r="Y2328" i="12"/>
  <c r="X2329" i="12"/>
  <c r="Y2329" i="12"/>
  <c r="X2330" i="12"/>
  <c r="X2331" i="12"/>
  <c r="Y2330" i="12"/>
  <c r="X2332" i="12"/>
  <c r="Y2331" i="12"/>
  <c r="Y2332" i="12"/>
  <c r="X2333" i="12"/>
  <c r="Y2333" i="12"/>
  <c r="X2334" i="12"/>
  <c r="X2335" i="12"/>
  <c r="Y2334" i="12"/>
  <c r="X2336" i="12"/>
  <c r="Y2335" i="12"/>
  <c r="Y2336" i="12"/>
  <c r="X2337" i="12"/>
  <c r="Y2337" i="12"/>
  <c r="X2338" i="12"/>
  <c r="Y2338" i="12"/>
  <c r="X2339" i="12"/>
  <c r="X2340" i="12"/>
  <c r="Y2339" i="12"/>
  <c r="Y2340" i="12"/>
  <c r="X2341" i="12"/>
  <c r="Y2341" i="12"/>
  <c r="X2342" i="12"/>
  <c r="Y2342" i="12"/>
  <c r="X2343" i="12"/>
  <c r="Y2343" i="12"/>
  <c r="X2344" i="12"/>
  <c r="X2345" i="12"/>
  <c r="Y2344" i="12"/>
  <c r="X2346" i="12"/>
  <c r="Y2345" i="12"/>
  <c r="Y2346" i="12"/>
  <c r="X2347" i="12"/>
  <c r="X2348" i="12"/>
  <c r="Y2347" i="12"/>
  <c r="Y2348" i="12"/>
  <c r="X2349" i="12"/>
  <c r="Y2349" i="12"/>
  <c r="X2350" i="12"/>
  <c r="X2351" i="12"/>
  <c r="Y2350" i="12"/>
  <c r="Y2351" i="12"/>
  <c r="X2352" i="12"/>
  <c r="X2353" i="12"/>
  <c r="Y2352" i="12"/>
  <c r="Y2353" i="12"/>
  <c r="X2354" i="12"/>
  <c r="Y2354" i="12"/>
  <c r="X2355" i="12"/>
  <c r="Y2355" i="12"/>
  <c r="X2356" i="12"/>
  <c r="Y2356" i="12"/>
  <c r="X2357" i="12"/>
  <c r="Y2357" i="12"/>
  <c r="X2358" i="12"/>
  <c r="Y2358" i="12"/>
  <c r="X2359" i="12"/>
  <c r="Y2359" i="12"/>
  <c r="X2360" i="12"/>
  <c r="X2361" i="12"/>
  <c r="Y2360" i="12"/>
  <c r="Y2361" i="12"/>
  <c r="X2362" i="12"/>
  <c r="X2363" i="12"/>
  <c r="Y2362" i="12"/>
  <c r="X2364" i="12"/>
  <c r="Y2363" i="12"/>
  <c r="Y2364" i="12"/>
  <c r="X2365" i="12"/>
  <c r="Y2365" i="12"/>
  <c r="X2366" i="12"/>
  <c r="X2367" i="12"/>
  <c r="Y2366" i="12"/>
  <c r="Y2367" i="12"/>
  <c r="X2368" i="12"/>
  <c r="X2369" i="12"/>
  <c r="Y2368" i="12"/>
  <c r="Y2369" i="12"/>
  <c r="X2370" i="12"/>
  <c r="Y2370" i="12"/>
  <c r="X2371" i="12"/>
  <c r="X2372" i="12"/>
  <c r="Y2371" i="12"/>
  <c r="Y2372" i="12"/>
  <c r="X2373" i="12"/>
  <c r="Y2373" i="12"/>
  <c r="X2374" i="12"/>
  <c r="X2375" i="12"/>
  <c r="Y2374" i="12"/>
  <c r="Y2375" i="12"/>
  <c r="X2376" i="12"/>
  <c r="X2377" i="12"/>
  <c r="Y2376" i="12"/>
  <c r="X2378" i="12"/>
  <c r="Y2377" i="12"/>
  <c r="Y2378" i="12"/>
  <c r="X2379" i="12"/>
  <c r="X2380" i="12"/>
  <c r="Y2379" i="12"/>
  <c r="X2381" i="12"/>
  <c r="Y2380" i="12"/>
  <c r="Y2381" i="12"/>
  <c r="X2382" i="12"/>
  <c r="Y2382" i="12"/>
  <c r="X2383" i="12"/>
  <c r="X2384" i="12"/>
  <c r="Y2383" i="12"/>
  <c r="X2385" i="12"/>
  <c r="Y2384" i="12"/>
  <c r="X2386" i="12"/>
  <c r="Y2385" i="12"/>
  <c r="Y2386" i="12"/>
  <c r="X2387" i="12"/>
  <c r="Y2387" i="12"/>
  <c r="X2388" i="12"/>
  <c r="X2389" i="12"/>
  <c r="Y2388" i="12"/>
  <c r="X2390" i="12"/>
  <c r="Y2389" i="12"/>
  <c r="Y2390" i="12"/>
  <c r="X2391" i="12"/>
  <c r="Y2391" i="12"/>
  <c r="X2392" i="12"/>
  <c r="X2393" i="12"/>
  <c r="Y2392" i="12"/>
  <c r="Y2393" i="12"/>
  <c r="X2394" i="12"/>
  <c r="X2395" i="12"/>
  <c r="Y2394" i="12"/>
  <c r="X2396" i="12"/>
  <c r="Y2395" i="12"/>
  <c r="X2397" i="12"/>
  <c r="Y2396" i="12"/>
  <c r="Y2397" i="12"/>
  <c r="X2398" i="12"/>
  <c r="X2399" i="12"/>
  <c r="Y2398" i="12"/>
  <c r="X2400" i="12"/>
  <c r="Y2399" i="12"/>
  <c r="X2401" i="12"/>
  <c r="Y2400" i="12"/>
  <c r="Y2401" i="12"/>
  <c r="X2402" i="12"/>
  <c r="Y2402" i="12"/>
  <c r="X2403" i="12"/>
  <c r="Y2403" i="12"/>
  <c r="X2404" i="12"/>
  <c r="Y2404" i="12"/>
  <c r="X2405" i="12"/>
  <c r="Y2405" i="12"/>
  <c r="X2406" i="12"/>
  <c r="Y2406" i="12"/>
  <c r="X2407" i="12"/>
  <c r="Y2407" i="12"/>
  <c r="X2408" i="12"/>
  <c r="X2409" i="12"/>
  <c r="Y2408" i="12"/>
  <c r="X2410" i="12"/>
  <c r="Y2409" i="12"/>
  <c r="Y2410" i="12"/>
  <c r="X2411" i="12"/>
  <c r="Y2411" i="12"/>
  <c r="X2412" i="12"/>
  <c r="Y2412" i="12"/>
  <c r="X2413" i="12"/>
  <c r="Y2413" i="12"/>
  <c r="X2414" i="12"/>
  <c r="Y2414" i="12"/>
  <c r="X2415" i="12"/>
  <c r="X2416" i="12"/>
  <c r="Y2415" i="12"/>
  <c r="X2417" i="12"/>
  <c r="Y2416" i="12"/>
  <c r="Y2417" i="12"/>
  <c r="X2418" i="12"/>
  <c r="Y2418" i="12"/>
  <c r="X2419" i="12"/>
  <c r="Y2419" i="12"/>
  <c r="X2420" i="12"/>
  <c r="Y2420" i="12"/>
  <c r="X2421" i="12"/>
  <c r="Y2421" i="12"/>
  <c r="X2422" i="12"/>
  <c r="Y2422" i="12"/>
  <c r="X2423" i="12"/>
  <c r="Y2423" i="12"/>
  <c r="X2424" i="12"/>
  <c r="X2425" i="12"/>
  <c r="Y2424" i="12"/>
  <c r="Y2425" i="12"/>
  <c r="X2426" i="12"/>
  <c r="Y2426" i="12"/>
  <c r="X2427" i="12"/>
  <c r="X2428" i="12"/>
  <c r="Y2427" i="12"/>
  <c r="Y2428" i="12"/>
  <c r="X2429" i="12"/>
  <c r="X2430" i="12"/>
  <c r="Y2429" i="12"/>
  <c r="X2431" i="12"/>
  <c r="Y2430" i="12"/>
  <c r="Y2431" i="12"/>
  <c r="X2432" i="12"/>
  <c r="Y2432" i="12"/>
  <c r="X2433" i="12"/>
  <c r="X2434" i="12"/>
  <c r="Y2433" i="12"/>
  <c r="X2435" i="12"/>
  <c r="Y2434" i="12"/>
  <c r="X2436" i="12"/>
  <c r="Y2435" i="12"/>
  <c r="X2437" i="12"/>
  <c r="Y2436" i="12"/>
  <c r="Y2437" i="12"/>
  <c r="X2438" i="12"/>
  <c r="Y2438" i="12"/>
  <c r="X2439" i="12"/>
  <c r="X2440" i="12"/>
  <c r="Y2439" i="12"/>
  <c r="Y2440" i="12"/>
  <c r="X2441" i="12"/>
  <c r="Y2441" i="12"/>
  <c r="X2442" i="12"/>
  <c r="X2443" i="12"/>
  <c r="Y2442" i="12"/>
  <c r="X2444" i="12"/>
  <c r="Y2443" i="12"/>
  <c r="X2445" i="12"/>
  <c r="Y2444" i="12"/>
  <c r="Y2445" i="12"/>
  <c r="X2446" i="12"/>
  <c r="Y2446" i="12"/>
  <c r="X2447" i="12"/>
  <c r="Y2447" i="12"/>
  <c r="X2448" i="12"/>
  <c r="X2449" i="12"/>
  <c r="Y2448" i="12"/>
  <c r="Y2449" i="12"/>
  <c r="X2450" i="12"/>
  <c r="X2451" i="12"/>
  <c r="Y2450" i="12"/>
  <c r="X2452" i="12"/>
  <c r="Y2451" i="12"/>
  <c r="X2453" i="12"/>
  <c r="Y2452" i="12"/>
  <c r="X2454" i="12"/>
  <c r="Y2453" i="12"/>
  <c r="X2455" i="12"/>
  <c r="Y2454" i="12"/>
  <c r="Y2455" i="12"/>
  <c r="X2456" i="12"/>
  <c r="X2457" i="12"/>
  <c r="Y2456" i="12"/>
  <c r="X2458" i="12"/>
  <c r="Y2457" i="12"/>
  <c r="Y2458" i="12"/>
  <c r="X2459" i="12"/>
  <c r="X2460" i="12"/>
  <c r="Y2459" i="12"/>
  <c r="Y2460" i="12"/>
  <c r="X2461" i="12"/>
  <c r="X2462" i="12"/>
  <c r="Y2461" i="12"/>
  <c r="Y2462" i="12"/>
  <c r="X2463" i="12"/>
  <c r="X2464" i="12"/>
  <c r="Y2463" i="12"/>
  <c r="X2465" i="12"/>
  <c r="Y2464" i="12"/>
  <c r="Y2465" i="12"/>
  <c r="X2466" i="12"/>
  <c r="X2467" i="12"/>
  <c r="Y2466" i="12"/>
  <c r="X2468" i="12"/>
  <c r="Y2467" i="12"/>
  <c r="X2469" i="12"/>
  <c r="Y2468" i="12"/>
  <c r="X2470" i="12"/>
  <c r="Y2469" i="12"/>
  <c r="Y2470" i="12"/>
  <c r="X2471" i="12"/>
  <c r="Y2471" i="12"/>
  <c r="X2472" i="12"/>
  <c r="X2473" i="12"/>
  <c r="Y2472" i="12"/>
  <c r="Y2473" i="12"/>
  <c r="X2474" i="12"/>
  <c r="X2475" i="12"/>
  <c r="Y2474" i="12"/>
  <c r="Y2475" i="12"/>
  <c r="X2476" i="12"/>
  <c r="Y2476" i="12"/>
  <c r="X2477" i="12"/>
  <c r="Y2477" i="12"/>
  <c r="X2478" i="12"/>
  <c r="Y2478" i="12"/>
  <c r="X2479" i="12"/>
  <c r="X2480" i="12"/>
  <c r="Y2479" i="12"/>
  <c r="X2481" i="12"/>
  <c r="Y2480" i="12"/>
  <c r="Y2481" i="12"/>
  <c r="X2482" i="12"/>
  <c r="Y2482" i="12"/>
  <c r="X2483" i="12"/>
  <c r="Y2483" i="12"/>
  <c r="X2484" i="12"/>
  <c r="Y2484" i="12"/>
  <c r="X2485" i="12"/>
  <c r="X2486" i="12"/>
  <c r="Y2485" i="12"/>
  <c r="Y2486" i="12"/>
  <c r="X2487" i="12"/>
  <c r="Y2487" i="12"/>
  <c r="X2488" i="12"/>
  <c r="X2489" i="12"/>
  <c r="Y2488" i="12"/>
  <c r="X2490" i="12"/>
  <c r="Y2489" i="12"/>
  <c r="Y2490" i="12"/>
  <c r="X2491" i="12"/>
  <c r="X2492" i="12"/>
  <c r="Y2491" i="12"/>
  <c r="Y2492" i="12"/>
  <c r="X2493" i="12"/>
  <c r="Y2493" i="12"/>
  <c r="X2494" i="12"/>
  <c r="X2495" i="12"/>
  <c r="Y2494" i="12"/>
  <c r="X2496" i="12"/>
  <c r="Y2495" i="12"/>
  <c r="Y2496" i="12"/>
  <c r="X2497" i="12"/>
  <c r="Y2497" i="12"/>
  <c r="X2498" i="12"/>
  <c r="X2499" i="12"/>
  <c r="Y2498" i="12"/>
  <c r="Y2499" i="12"/>
  <c r="X2500" i="12"/>
  <c r="Y2500" i="12"/>
  <c r="X2501" i="12"/>
  <c r="X2502" i="12"/>
  <c r="Y2501" i="12"/>
  <c r="Y2502" i="12"/>
  <c r="X2503" i="12"/>
  <c r="X2504" i="12"/>
  <c r="Y2503" i="12"/>
  <c r="X2505" i="12"/>
  <c r="Y2504" i="12"/>
  <c r="X2506" i="12"/>
  <c r="Y2505" i="12"/>
  <c r="X2507" i="12"/>
  <c r="Y2506" i="12"/>
  <c r="Y2507" i="12"/>
  <c r="X2508" i="12"/>
  <c r="Y2508" i="12"/>
  <c r="X2509" i="12"/>
  <c r="X2510" i="12"/>
  <c r="Y2509" i="12"/>
  <c r="Y2510" i="12"/>
  <c r="X2511" i="12"/>
  <c r="X2512" i="12"/>
  <c r="Y2511" i="12"/>
  <c r="X2513" i="12"/>
  <c r="Y2512" i="12"/>
  <c r="Y2513" i="12"/>
  <c r="X2514" i="12"/>
  <c r="Y2514" i="12"/>
  <c r="X2515" i="12"/>
  <c r="Y2515" i="12"/>
  <c r="X2516" i="12"/>
  <c r="X2517" i="12"/>
  <c r="Y2516" i="12"/>
  <c r="X2518" i="12"/>
  <c r="Y2517" i="12"/>
  <c r="X2519" i="12"/>
  <c r="Y2518" i="12"/>
  <c r="Y2519" i="12"/>
  <c r="X2520" i="12"/>
  <c r="Y2520" i="12"/>
  <c r="X2521" i="12"/>
  <c r="Y2521" i="12"/>
  <c r="X2522" i="12"/>
  <c r="X2523" i="12"/>
  <c r="Y2522" i="12"/>
  <c r="Y2523" i="12"/>
  <c r="X2524" i="12"/>
  <c r="Y2524" i="12"/>
  <c r="X2525" i="12"/>
  <c r="X2526" i="12"/>
  <c r="Y2525" i="12"/>
  <c r="Y2526" i="12"/>
  <c r="X2527" i="12"/>
  <c r="Y2527" i="12"/>
  <c r="X2528" i="12"/>
  <c r="X2529" i="12"/>
  <c r="Y2528" i="12"/>
  <c r="Y2529" i="12"/>
  <c r="X2530" i="12"/>
  <c r="X2531" i="12"/>
  <c r="Y2530" i="12"/>
  <c r="Y2531" i="12"/>
  <c r="X2532" i="12"/>
  <c r="X2533" i="12"/>
  <c r="Y2532" i="12"/>
  <c r="Y2533" i="12"/>
  <c r="X2534" i="12"/>
  <c r="Y2534" i="12"/>
  <c r="X2535" i="12"/>
  <c r="Y2535" i="12"/>
  <c r="X2536" i="12"/>
  <c r="X2537" i="12"/>
  <c r="Y2536" i="12"/>
  <c r="Y2537" i="12"/>
  <c r="X2538" i="12"/>
  <c r="Y2538" i="12"/>
  <c r="X2539" i="12"/>
  <c r="X2540" i="12"/>
  <c r="Y2539" i="12"/>
  <c r="X2541" i="12"/>
  <c r="Y2540" i="12"/>
  <c r="Y2541" i="12"/>
  <c r="X2542" i="12"/>
  <c r="Y2542" i="12"/>
  <c r="X2543" i="12"/>
  <c r="X2544" i="12"/>
  <c r="Y2543" i="12"/>
  <c r="X2545" i="12"/>
  <c r="Y2544" i="12"/>
  <c r="X2546" i="12"/>
  <c r="Y2545" i="12"/>
  <c r="X2547" i="12"/>
  <c r="Y2546" i="12"/>
  <c r="X2548" i="12"/>
  <c r="Y2547" i="12"/>
  <c r="Y2548" i="12"/>
  <c r="X2549" i="12"/>
  <c r="Y2549" i="12"/>
  <c r="X2550" i="12"/>
  <c r="Y2550" i="12"/>
  <c r="X2551" i="12"/>
  <c r="Y2551" i="12"/>
  <c r="X2552" i="12"/>
  <c r="X2553" i="12"/>
  <c r="Y2552" i="12"/>
  <c r="Y2553" i="12"/>
  <c r="X2554" i="12"/>
  <c r="X2555" i="12"/>
  <c r="Y2554" i="12"/>
  <c r="Y2555" i="12"/>
  <c r="X2556" i="12"/>
  <c r="Y2556" i="12"/>
  <c r="X2557" i="12"/>
  <c r="X2558" i="12"/>
  <c r="Y2557" i="12"/>
  <c r="X2559" i="12"/>
  <c r="Y2558" i="12"/>
  <c r="X2560" i="12"/>
  <c r="Y2559" i="12"/>
  <c r="X2561" i="12"/>
  <c r="Y2560" i="12"/>
  <c r="Y2561" i="12"/>
  <c r="X2562" i="12"/>
  <c r="Y2562" i="12"/>
  <c r="X2563" i="12"/>
  <c r="X2564" i="12"/>
  <c r="Y2563" i="12"/>
  <c r="Y2564" i="12"/>
  <c r="X2565" i="12"/>
  <c r="Y2565" i="12"/>
  <c r="X2566" i="12"/>
  <c r="Y2566" i="12"/>
  <c r="X2567" i="12"/>
  <c r="X2568" i="12"/>
  <c r="Y2567" i="12"/>
  <c r="X2569" i="12"/>
  <c r="Y2568" i="12"/>
  <c r="Y2569" i="12"/>
  <c r="X2570" i="12"/>
  <c r="X2571" i="12"/>
  <c r="Y2570" i="12"/>
  <c r="Y2571" i="12"/>
  <c r="X2572" i="12"/>
  <c r="X2573" i="12"/>
  <c r="Y2572" i="12"/>
  <c r="Y2573" i="12"/>
  <c r="X2574" i="12"/>
  <c r="X2575" i="12"/>
  <c r="Y2574" i="12"/>
  <c r="X2576" i="12"/>
  <c r="Y2575" i="12"/>
  <c r="Y2576" i="12"/>
  <c r="X2577" i="12"/>
  <c r="Y2577" i="12"/>
  <c r="X2578" i="12"/>
  <c r="X2579" i="12"/>
  <c r="Y2578" i="12"/>
  <c r="X2580" i="12"/>
  <c r="Y2579" i="12"/>
  <c r="X2581" i="12"/>
  <c r="Y2580" i="12"/>
  <c r="Y2581" i="12"/>
  <c r="X2582" i="12"/>
  <c r="X2583" i="12"/>
  <c r="Y2582" i="12"/>
  <c r="Y2583" i="12"/>
  <c r="X2584" i="12"/>
  <c r="Y2584" i="12"/>
  <c r="X2585" i="12"/>
  <c r="Y2585" i="12"/>
  <c r="X2586" i="12"/>
  <c r="X2587" i="12"/>
  <c r="Y2586" i="12"/>
  <c r="Y2587" i="12"/>
  <c r="X2588" i="12"/>
  <c r="X2589" i="12"/>
  <c r="Y2588" i="12"/>
  <c r="X2590" i="12"/>
  <c r="Y2589" i="12"/>
  <c r="Y2590" i="12"/>
  <c r="X2591" i="12"/>
  <c r="Y2591" i="12"/>
  <c r="X2592" i="12"/>
  <c r="X2593" i="12"/>
  <c r="Y2592" i="12"/>
  <c r="X2594" i="12"/>
  <c r="Y2593" i="12"/>
  <c r="Y2594" i="12"/>
  <c r="X2595" i="12"/>
  <c r="Y2595" i="12"/>
  <c r="X2596" i="12"/>
  <c r="Y2596" i="12"/>
  <c r="X2597" i="12"/>
  <c r="Y2597" i="12"/>
  <c r="X2598" i="12"/>
  <c r="X2599" i="12"/>
  <c r="Y2598" i="12"/>
  <c r="Y2599" i="12"/>
  <c r="X2600" i="12"/>
  <c r="Y2600" i="12"/>
  <c r="X2601" i="12"/>
  <c r="X2602" i="12"/>
  <c r="Y2601" i="12"/>
  <c r="X2603" i="12"/>
  <c r="Y2602" i="12"/>
  <c r="Y2603" i="12"/>
  <c r="X2604" i="12"/>
  <c r="X2605" i="12"/>
  <c r="Y2604" i="12"/>
  <c r="X2606" i="12"/>
  <c r="Y2605" i="12"/>
  <c r="X2607" i="12"/>
  <c r="Y2606" i="12"/>
  <c r="Y2607" i="12"/>
  <c r="X2608" i="12"/>
  <c r="Y2608" i="12"/>
  <c r="X2609" i="12"/>
  <c r="X2610" i="12"/>
  <c r="Y2609" i="12"/>
  <c r="X2611" i="12"/>
  <c r="Y2610" i="12"/>
  <c r="X2612" i="12"/>
  <c r="Y2611" i="12"/>
  <c r="X2613" i="12"/>
  <c r="Y2612" i="12"/>
  <c r="X2614" i="12"/>
  <c r="Y2613" i="12"/>
  <c r="Y2614" i="12"/>
  <c r="X2615" i="12"/>
  <c r="X2616" i="12"/>
  <c r="Y2615" i="12"/>
  <c r="Y2616" i="12"/>
  <c r="X2617" i="12"/>
  <c r="Y2617" i="12"/>
  <c r="X2618" i="12"/>
  <c r="Y2618" i="12"/>
  <c r="X2619" i="12"/>
  <c r="X2620" i="12"/>
  <c r="Y2619" i="12"/>
  <c r="Y2620" i="12"/>
  <c r="X2621" i="12"/>
  <c r="X2622" i="12"/>
  <c r="Y2621" i="12"/>
  <c r="X2623" i="12"/>
  <c r="Y2622" i="12"/>
  <c r="Y2623" i="12"/>
  <c r="X2624" i="12"/>
  <c r="Y2624" i="12"/>
  <c r="X2625" i="12"/>
  <c r="X2626" i="12"/>
  <c r="Y2625" i="12"/>
  <c r="X2627" i="12"/>
  <c r="Y2626" i="12"/>
  <c r="Y2627" i="12"/>
  <c r="X2628" i="12"/>
  <c r="Y2628" i="12"/>
  <c r="X2629" i="12"/>
  <c r="Y2629" i="12"/>
  <c r="X2630" i="12"/>
  <c r="X2631" i="12"/>
  <c r="Y2630" i="12"/>
  <c r="X2632" i="12"/>
  <c r="Y2631" i="12"/>
  <c r="Y2632" i="12"/>
  <c r="X2633" i="12"/>
  <c r="X2634" i="12"/>
  <c r="Y2633" i="12"/>
  <c r="X2635" i="12"/>
  <c r="Y2634" i="12"/>
  <c r="Y2635" i="12"/>
  <c r="X2636" i="12"/>
  <c r="Y2636" i="12"/>
  <c r="X2637" i="12"/>
  <c r="Y2637" i="12"/>
  <c r="X2638" i="12"/>
  <c r="Y2638" i="12"/>
  <c r="X2639" i="12"/>
  <c r="Y2639" i="12"/>
  <c r="X2640" i="12"/>
  <c r="Y2640" i="12"/>
  <c r="X2641" i="12"/>
  <c r="X2642" i="12"/>
  <c r="Y2641" i="12"/>
  <c r="Y2642" i="12"/>
  <c r="X2643" i="12"/>
  <c r="X2644" i="12"/>
  <c r="Y2643" i="12"/>
  <c r="Y2644" i="12"/>
  <c r="X2645" i="12"/>
  <c r="X2646" i="12"/>
  <c r="Y2645" i="12"/>
  <c r="Y2646" i="12"/>
  <c r="X2647" i="12"/>
  <c r="X2648" i="12"/>
  <c r="Y2647" i="12"/>
  <c r="X2649" i="12"/>
  <c r="Y2648" i="12"/>
  <c r="X2650" i="12"/>
  <c r="Y2649" i="12"/>
  <c r="X2651" i="12"/>
  <c r="Y2650" i="12"/>
  <c r="X2652" i="12"/>
  <c r="Y2651" i="12"/>
  <c r="Y2652" i="12"/>
  <c r="X2653" i="12"/>
  <c r="X2654" i="12"/>
  <c r="Y2653" i="12"/>
  <c r="X2655" i="12"/>
  <c r="Y2654" i="12"/>
  <c r="X2656" i="12"/>
  <c r="Y2655" i="12"/>
  <c r="Y2656" i="12"/>
  <c r="X2657" i="12"/>
  <c r="X2658" i="12"/>
  <c r="Y2657" i="12"/>
  <c r="X2659" i="12"/>
  <c r="Y2658" i="12"/>
  <c r="X2660" i="12"/>
  <c r="Y2659" i="12"/>
  <c r="Y2660" i="12"/>
  <c r="X2661" i="12"/>
  <c r="X2662" i="12"/>
  <c r="Y2661" i="12"/>
  <c r="Y2662" i="12"/>
  <c r="X2663" i="12"/>
  <c r="X2664" i="12"/>
  <c r="Y2663" i="12"/>
  <c r="Y2664" i="12"/>
  <c r="X2665" i="12"/>
  <c r="X2666" i="12"/>
  <c r="Y2665" i="12"/>
  <c r="X2667" i="12"/>
  <c r="Y2666" i="12"/>
  <c r="Y2667" i="12"/>
  <c r="X2668" i="12"/>
  <c r="Y2668" i="12"/>
  <c r="X2669" i="12"/>
  <c r="Y2669" i="12"/>
  <c r="X2670" i="12"/>
  <c r="Y2670" i="12"/>
  <c r="X2671" i="12"/>
  <c r="X2672" i="12"/>
  <c r="Y2671" i="12"/>
  <c r="X2673" i="12"/>
  <c r="Y2672" i="12"/>
  <c r="Y2673" i="12"/>
  <c r="X2674" i="12"/>
  <c r="X2675" i="12"/>
  <c r="Y2674" i="12"/>
  <c r="X2676" i="12"/>
  <c r="Y2675" i="12"/>
  <c r="X2677" i="12"/>
  <c r="Y2676" i="12"/>
  <c r="X2678" i="12"/>
  <c r="Y2677" i="12"/>
  <c r="Y2678" i="12"/>
  <c r="X2679" i="12"/>
  <c r="X2680" i="12"/>
  <c r="Y2679" i="12"/>
  <c r="X2681" i="12"/>
  <c r="Y2680" i="12"/>
  <c r="X2682" i="12"/>
  <c r="Y2681" i="12"/>
  <c r="X2683" i="12"/>
  <c r="Y2682" i="12"/>
  <c r="Y2683" i="12"/>
  <c r="X2684" i="12"/>
  <c r="Y2684" i="12"/>
  <c r="X2685" i="12"/>
  <c r="X2686" i="12"/>
  <c r="Y2685" i="12"/>
  <c r="X2687" i="12"/>
  <c r="Y2686" i="12"/>
  <c r="X2688" i="12"/>
  <c r="Y2687" i="12"/>
  <c r="Y2688" i="12"/>
  <c r="X2689" i="12"/>
  <c r="X2690" i="12"/>
  <c r="Y2689" i="12"/>
  <c r="X2691" i="12"/>
  <c r="Y2690" i="12"/>
  <c r="X2692" i="12"/>
  <c r="Y2691" i="12"/>
  <c r="Y2692" i="12"/>
  <c r="X2693" i="12"/>
  <c r="Y2693" i="12"/>
  <c r="X2694" i="12"/>
  <c r="Y2694" i="12"/>
  <c r="X2695" i="12"/>
  <c r="Y2695" i="12"/>
  <c r="X2696" i="12"/>
  <c r="X2697" i="12"/>
  <c r="Y2696" i="12"/>
  <c r="Y2697" i="12"/>
  <c r="X2698" i="12"/>
  <c r="X2699" i="12"/>
  <c r="Y2698" i="12"/>
  <c r="Y2699" i="12"/>
  <c r="X2700" i="12"/>
  <c r="X2701" i="12"/>
  <c r="Y2700" i="12"/>
  <c r="X2702" i="12"/>
  <c r="Y2701" i="12"/>
  <c r="Y2702" i="12"/>
  <c r="X2703" i="12"/>
  <c r="X2704" i="12"/>
  <c r="Y2703" i="12"/>
  <c r="X2705" i="12"/>
  <c r="Y2704" i="12"/>
  <c r="X2706" i="12"/>
  <c r="Y2705" i="12"/>
  <c r="X2707" i="12"/>
  <c r="Y2706" i="12"/>
  <c r="X2708" i="12"/>
  <c r="Y2707" i="12"/>
  <c r="Y2708" i="12"/>
  <c r="X2709" i="12"/>
  <c r="Y2709" i="12"/>
  <c r="X2710" i="12"/>
  <c r="Y2710" i="12"/>
  <c r="X2711" i="12"/>
  <c r="X2712" i="12"/>
  <c r="Y2711" i="12"/>
  <c r="Y2712" i="12"/>
  <c r="X2713" i="12"/>
  <c r="X2714" i="12"/>
  <c r="Y2713" i="12"/>
  <c r="X2715" i="12"/>
  <c r="Y2714" i="12"/>
  <c r="Y2715" i="12"/>
  <c r="X2716" i="12"/>
  <c r="X2717" i="12"/>
  <c r="Y2716" i="12"/>
  <c r="X2718" i="12"/>
  <c r="Y2717" i="12"/>
  <c r="X2719" i="12"/>
  <c r="Y2718" i="12"/>
  <c r="X2720" i="12"/>
  <c r="Y2719" i="12"/>
  <c r="X2721" i="12"/>
  <c r="Y2720" i="12"/>
  <c r="Y2721" i="12"/>
  <c r="X2722" i="12"/>
  <c r="X2723" i="12"/>
  <c r="Y2722" i="12"/>
  <c r="Y2723" i="12"/>
  <c r="X2724" i="12"/>
  <c r="X2725" i="12"/>
  <c r="Y2724" i="12"/>
  <c r="Y2725" i="12"/>
  <c r="X2726" i="12"/>
  <c r="Y2726" i="12"/>
  <c r="X2727" i="12"/>
  <c r="X2728" i="12"/>
  <c r="Y2727" i="12"/>
  <c r="Y2728" i="12"/>
  <c r="X2729" i="12"/>
  <c r="X2730" i="12"/>
  <c r="Y2729" i="12"/>
  <c r="X2731" i="12"/>
  <c r="Y2730" i="12"/>
  <c r="Y2731" i="12"/>
  <c r="X2732" i="12"/>
  <c r="Y2732" i="12"/>
  <c r="X2733" i="12"/>
  <c r="X2734" i="12"/>
  <c r="Y2733" i="12"/>
  <c r="X2735" i="12"/>
  <c r="Y2734" i="12"/>
  <c r="X2736" i="12"/>
  <c r="Y2735" i="12"/>
  <c r="X2737" i="12"/>
  <c r="Y2736" i="12"/>
  <c r="X2738" i="12"/>
  <c r="Y2737" i="12"/>
  <c r="X2739" i="12"/>
  <c r="Y2738" i="12"/>
  <c r="Y2739" i="12"/>
  <c r="X2740" i="12"/>
  <c r="X2741" i="12"/>
  <c r="Y2740" i="12"/>
  <c r="Y2741" i="12"/>
  <c r="X2742" i="12"/>
  <c r="Y2742" i="12"/>
  <c r="X2743" i="12"/>
  <c r="X2744" i="12"/>
  <c r="Y2743" i="12"/>
  <c r="X2745" i="12"/>
  <c r="Y2744" i="12"/>
  <c r="Y2745" i="12"/>
  <c r="X2746" i="12"/>
  <c r="Y2746" i="12"/>
  <c r="X2747" i="12"/>
  <c r="Y2747" i="12"/>
  <c r="X2748" i="12"/>
  <c r="Y2748" i="12"/>
  <c r="X2749" i="12"/>
  <c r="X2750" i="12"/>
  <c r="Y2749" i="12"/>
  <c r="X2751" i="12"/>
  <c r="Y2750" i="12"/>
  <c r="Y2751" i="12"/>
  <c r="X2752" i="12"/>
  <c r="Y2752" i="12"/>
  <c r="X2753" i="12"/>
  <c r="X2754" i="12"/>
  <c r="Y2753" i="12"/>
  <c r="X2755" i="12"/>
  <c r="Y2754" i="12"/>
  <c r="X2756" i="12"/>
  <c r="Y2755" i="12"/>
  <c r="Y2756" i="12"/>
  <c r="X2757" i="12"/>
  <c r="X2758" i="12"/>
  <c r="Y2757" i="12"/>
  <c r="Y2758" i="12"/>
  <c r="X2759" i="12"/>
  <c r="Y2759" i="12"/>
  <c r="X2760" i="12"/>
  <c r="X2761" i="12"/>
  <c r="Y2760" i="12"/>
  <c r="X2762" i="12"/>
  <c r="Y2761" i="12"/>
  <c r="Y2762" i="12"/>
  <c r="X2763" i="12"/>
  <c r="Y2763" i="12"/>
  <c r="X2764" i="12"/>
  <c r="Y2764" i="12"/>
  <c r="X2765" i="12"/>
  <c r="Y2765" i="12"/>
  <c r="X2766" i="12"/>
  <c r="Y2766" i="12"/>
  <c r="X2767" i="12"/>
  <c r="Y2767" i="12"/>
  <c r="X2768" i="12"/>
  <c r="Y2768" i="12"/>
  <c r="X2769" i="12"/>
  <c r="X2770" i="12"/>
  <c r="Y2769" i="12"/>
  <c r="Y2770" i="12"/>
  <c r="X2771" i="12"/>
  <c r="Y2771" i="12"/>
  <c r="X2772" i="12"/>
  <c r="Y2772" i="12"/>
  <c r="X2773" i="12"/>
  <c r="X2774" i="12"/>
  <c r="Y2773" i="12"/>
  <c r="Y2774" i="12"/>
  <c r="X2775" i="12"/>
  <c r="Y2775" i="12"/>
  <c r="X2776" i="12"/>
  <c r="Y2776" i="12"/>
  <c r="X2777" i="12"/>
  <c r="X2778" i="12"/>
  <c r="Y2777" i="12"/>
  <c r="Y2778" i="12"/>
  <c r="X2779" i="12"/>
  <c r="Y2779" i="12"/>
  <c r="X2780" i="12"/>
  <c r="X2781" i="12"/>
  <c r="Y2780" i="12"/>
  <c r="Y2781" i="12"/>
  <c r="X2782" i="12"/>
  <c r="Y2782" i="12"/>
  <c r="X2783" i="12"/>
  <c r="Y2783" i="12"/>
  <c r="X2784" i="12"/>
  <c r="X2785" i="12"/>
  <c r="Y2784" i="12"/>
  <c r="Y2785" i="12"/>
  <c r="X2786" i="12"/>
  <c r="X2787" i="12"/>
  <c r="Y2786" i="12"/>
  <c r="X2788" i="12"/>
  <c r="Y2787" i="12"/>
  <c r="X2789" i="12"/>
  <c r="Y2788" i="12"/>
  <c r="Y2789" i="12"/>
  <c r="X2790" i="12"/>
  <c r="X2791" i="12"/>
  <c r="Y2790" i="12"/>
  <c r="X2792" i="12"/>
  <c r="Y2791" i="12"/>
  <c r="Y2792" i="12"/>
  <c r="X2793" i="12"/>
  <c r="Y2793" i="12"/>
  <c r="X2794" i="12"/>
  <c r="X2795" i="12"/>
  <c r="Y2794" i="12"/>
  <c r="Y2795" i="12"/>
  <c r="X2796" i="12"/>
  <c r="Y2796" i="12"/>
  <c r="X2797" i="12"/>
  <c r="X2798" i="12"/>
  <c r="Y2797" i="12"/>
  <c r="Y2798" i="12"/>
  <c r="X2799" i="12"/>
  <c r="X2800" i="12"/>
  <c r="Y2799" i="12"/>
  <c r="X2801" i="12"/>
  <c r="Y2800" i="12"/>
  <c r="X2802" i="12"/>
  <c r="Y2801" i="12"/>
  <c r="X2803" i="12"/>
  <c r="Y2802" i="12"/>
  <c r="Y2803" i="12"/>
  <c r="X2804" i="12"/>
  <c r="Y2804" i="12"/>
  <c r="X2805" i="12"/>
  <c r="Y2805" i="12"/>
  <c r="X2806" i="12"/>
  <c r="Y2806" i="12"/>
  <c r="X2807" i="12"/>
  <c r="Y2807" i="12"/>
  <c r="X2808" i="12"/>
  <c r="X2809" i="12"/>
  <c r="Y2808" i="12"/>
  <c r="X2810" i="12"/>
  <c r="Y2809" i="12"/>
  <c r="X2811" i="12"/>
  <c r="Y2810" i="12"/>
  <c r="Y2811" i="12"/>
  <c r="X2812" i="12"/>
  <c r="Y2812" i="12"/>
  <c r="X2813" i="12"/>
  <c r="X2814" i="12"/>
  <c r="Y2813" i="12"/>
  <c r="X2815" i="12"/>
  <c r="Y2814" i="12"/>
  <c r="Y2815" i="12"/>
  <c r="X2816" i="12"/>
  <c r="Y2816" i="12"/>
  <c r="X2817" i="12"/>
  <c r="Y2817" i="12"/>
  <c r="X2818" i="12"/>
  <c r="X2819" i="12"/>
  <c r="Y2818" i="12"/>
  <c r="X2820" i="12"/>
  <c r="Y2819" i="12"/>
  <c r="Y2820" i="12"/>
  <c r="X2821" i="12"/>
  <c r="Y2821" i="12"/>
  <c r="X2822" i="12"/>
  <c r="Y2822" i="12"/>
  <c r="X2823" i="12"/>
  <c r="X2824" i="12"/>
  <c r="Y2823" i="12"/>
  <c r="Y2824" i="12"/>
  <c r="X2825" i="12"/>
  <c r="X2826" i="12"/>
  <c r="Y2825" i="12"/>
  <c r="X2827" i="12"/>
  <c r="Y2826" i="12"/>
  <c r="Y2827" i="12"/>
  <c r="X2828" i="12"/>
  <c r="X2829" i="12"/>
  <c r="Y2828" i="12"/>
  <c r="X2830" i="12"/>
  <c r="Y2829" i="12"/>
  <c r="X2831" i="12"/>
  <c r="Y2830" i="12"/>
  <c r="Y2831" i="12"/>
  <c r="X2832" i="12"/>
  <c r="X2833" i="12"/>
  <c r="Y2832" i="12"/>
  <c r="X2834" i="12"/>
  <c r="Y2833" i="12"/>
  <c r="Y2834" i="12"/>
  <c r="X2835" i="12"/>
  <c r="Y2835" i="12"/>
  <c r="X2836" i="12"/>
  <c r="Y2836" i="12"/>
  <c r="X2837" i="12"/>
  <c r="Y2837" i="12"/>
  <c r="X2838" i="12"/>
  <c r="Y2838" i="12"/>
  <c r="X2839" i="12"/>
  <c r="Y2839" i="12"/>
  <c r="X2840" i="12"/>
  <c r="Y2840" i="12"/>
  <c r="X2841" i="12"/>
  <c r="Y2841" i="12"/>
  <c r="X2842" i="12"/>
  <c r="X2843" i="12"/>
  <c r="Y2842" i="12"/>
  <c r="Y2843" i="12"/>
  <c r="X2844" i="12"/>
  <c r="X2845" i="12"/>
  <c r="Y2844" i="12"/>
  <c r="Y2845" i="12"/>
  <c r="X2846" i="12"/>
  <c r="Y2846" i="12"/>
  <c r="X2847" i="12"/>
  <c r="Y2847" i="12"/>
  <c r="X2848" i="12"/>
  <c r="X2849" i="12"/>
  <c r="Y2848" i="12"/>
  <c r="X2850" i="12"/>
  <c r="Y2849" i="12"/>
  <c r="X2851" i="12"/>
  <c r="Y2850" i="12"/>
  <c r="X2852" i="12"/>
  <c r="Y2851" i="12"/>
  <c r="X2853" i="12"/>
  <c r="Y2852" i="12"/>
  <c r="X2854" i="12"/>
  <c r="Y2853" i="12"/>
  <c r="X2855" i="12"/>
  <c r="Y2854" i="12"/>
  <c r="Y2855" i="12"/>
  <c r="X2856" i="12"/>
  <c r="Y2856" i="12"/>
  <c r="X2857" i="12"/>
  <c r="X2858" i="12"/>
  <c r="Y2857" i="12"/>
  <c r="X2859" i="12"/>
  <c r="Y2858" i="12"/>
  <c r="Y2859" i="12"/>
  <c r="X2860" i="12"/>
  <c r="Y2860" i="12"/>
  <c r="X2861" i="12"/>
  <c r="X2862" i="12"/>
  <c r="Y2861" i="12"/>
  <c r="Y2862" i="12"/>
  <c r="X2863" i="12"/>
  <c r="X2864" i="12"/>
  <c r="Y2863" i="12"/>
  <c r="X2865" i="12"/>
  <c r="Y2864" i="12"/>
  <c r="X2866" i="12"/>
  <c r="Y2865" i="12"/>
  <c r="X2867" i="12"/>
  <c r="Y2866" i="12"/>
  <c r="X2868" i="12"/>
  <c r="Y2867" i="12"/>
  <c r="X2869" i="12"/>
  <c r="Y2868" i="12"/>
  <c r="X2870" i="12"/>
  <c r="Y2869" i="12"/>
  <c r="X2871" i="12"/>
  <c r="Y2870" i="12"/>
  <c r="X2872" i="12"/>
  <c r="Y2871" i="12"/>
  <c r="X2873" i="12"/>
  <c r="Y2872" i="12"/>
  <c r="X2874" i="12"/>
  <c r="Y2873" i="12"/>
  <c r="Y2874" i="12"/>
  <c r="X2875" i="12"/>
  <c r="Y2875" i="12"/>
  <c r="X2876" i="12"/>
  <c r="Y2876" i="12"/>
  <c r="X2877" i="12"/>
  <c r="X2878" i="12"/>
  <c r="Y2877" i="12"/>
  <c r="X2879" i="12"/>
  <c r="Y2878" i="12"/>
  <c r="Y2879" i="12"/>
  <c r="X2880" i="12"/>
  <c r="Y2880" i="12"/>
  <c r="X2881" i="12"/>
  <c r="Y2881" i="12"/>
  <c r="X2882" i="12"/>
  <c r="X2883" i="12"/>
  <c r="Y2882" i="12"/>
  <c r="X2884" i="12"/>
  <c r="Y2883" i="12"/>
  <c r="Y2884" i="12"/>
  <c r="X2885" i="12"/>
  <c r="X2886" i="12"/>
  <c r="Y2885" i="12"/>
  <c r="X2887" i="12"/>
  <c r="Y2886" i="12"/>
  <c r="Y2887" i="12"/>
  <c r="X2888" i="12"/>
  <c r="X2889" i="12"/>
  <c r="Y2888" i="12"/>
  <c r="X2890" i="12"/>
  <c r="Y2889" i="12"/>
  <c r="Y2890" i="12"/>
  <c r="X2891" i="12"/>
  <c r="Y2891" i="12"/>
  <c r="X2892" i="12"/>
  <c r="Y2892" i="12"/>
  <c r="X2893" i="12"/>
  <c r="Y2893" i="12"/>
  <c r="X2894" i="12"/>
  <c r="Y2894" i="12"/>
  <c r="X2895" i="12"/>
  <c r="X2896" i="12"/>
  <c r="Y2895" i="12"/>
  <c r="X2897" i="12"/>
  <c r="Y2896" i="12"/>
  <c r="Y2897" i="12"/>
  <c r="X2898" i="12"/>
  <c r="Y2898" i="12"/>
  <c r="X2899" i="12"/>
  <c r="Y2899" i="12"/>
  <c r="X2900" i="12"/>
  <c r="Y2900" i="12"/>
  <c r="X2901" i="12"/>
  <c r="X2902" i="12"/>
  <c r="Y2901" i="12"/>
  <c r="Y2902" i="12"/>
  <c r="X2903" i="12"/>
  <c r="X2904" i="12"/>
  <c r="Y2903" i="12"/>
  <c r="X2905" i="12"/>
  <c r="Y2904" i="12"/>
  <c r="Y2905" i="12"/>
  <c r="X2906" i="12"/>
  <c r="Y2906" i="12"/>
  <c r="X2907" i="12"/>
  <c r="Y2907" i="12"/>
  <c r="X2908" i="12"/>
  <c r="Y2908" i="12"/>
  <c r="X2909" i="12"/>
  <c r="X2910" i="12"/>
  <c r="Y2909" i="12"/>
  <c r="Y2910" i="12"/>
  <c r="X2911" i="12"/>
  <c r="Y2911" i="12"/>
  <c r="X2912" i="12"/>
  <c r="X2913" i="12"/>
  <c r="Y2912" i="12"/>
  <c r="Y2913" i="12"/>
  <c r="X2914" i="12"/>
  <c r="Y2914" i="12"/>
  <c r="X2915" i="12"/>
  <c r="Y2915" i="12"/>
  <c r="X2916" i="12"/>
  <c r="Y2916" i="12"/>
  <c r="X2917" i="12"/>
  <c r="X2918" i="12"/>
  <c r="Y2917" i="12"/>
  <c r="Y2918" i="12"/>
  <c r="X2919" i="12"/>
  <c r="X2920" i="12"/>
  <c r="Y2919" i="12"/>
  <c r="Y2920" i="12"/>
  <c r="X2921" i="12"/>
  <c r="Y2921" i="12"/>
  <c r="X2922" i="12"/>
  <c r="X2923" i="12"/>
  <c r="Y2922" i="12"/>
  <c r="Y2923" i="12"/>
  <c r="X2924" i="12"/>
  <c r="X2925" i="12"/>
  <c r="Y2924" i="12"/>
  <c r="X2926" i="12"/>
  <c r="Y2925" i="12"/>
  <c r="Y2926" i="12"/>
  <c r="X2927" i="12"/>
  <c r="X2928" i="12"/>
  <c r="Y2927" i="12"/>
  <c r="Y2928" i="12"/>
  <c r="X2929" i="12"/>
  <c r="X2930" i="12"/>
  <c r="Y2929" i="12"/>
  <c r="X2931" i="12"/>
  <c r="Y2930" i="12"/>
  <c r="Y2931" i="12"/>
  <c r="X2932" i="12"/>
  <c r="Y2932" i="12"/>
  <c r="X2933" i="12"/>
  <c r="Y2933" i="12"/>
  <c r="X2934" i="12"/>
  <c r="Y2934" i="12"/>
  <c r="X2935" i="12"/>
  <c r="Y2935" i="12"/>
  <c r="X2936" i="12"/>
  <c r="X2937" i="12"/>
  <c r="Y2936" i="12"/>
  <c r="Y2937" i="12"/>
  <c r="X2938" i="12"/>
  <c r="X2939" i="12"/>
  <c r="Y2938" i="12"/>
  <c r="Y2939" i="12"/>
  <c r="X2940" i="12"/>
  <c r="X2941" i="12"/>
  <c r="Y2940" i="12"/>
  <c r="X2942" i="12"/>
  <c r="Y2941" i="12"/>
  <c r="X2943" i="12"/>
  <c r="Y2942" i="12"/>
  <c r="X2944" i="12"/>
  <c r="Y2943" i="12"/>
  <c r="X2945" i="12"/>
  <c r="Y2944" i="12"/>
  <c r="Y2945" i="12"/>
  <c r="X2946" i="12"/>
  <c r="Y2946" i="12"/>
  <c r="X2947" i="12"/>
  <c r="Y2947" i="12"/>
  <c r="X2948" i="12"/>
  <c r="Y2948" i="12"/>
  <c r="X2949" i="12"/>
  <c r="Y2949" i="12"/>
  <c r="X2950" i="12"/>
  <c r="X2951" i="12"/>
  <c r="Y2950" i="12"/>
  <c r="Y2951" i="12"/>
  <c r="X2952" i="12"/>
  <c r="Y2952" i="12"/>
  <c r="X2953" i="12"/>
  <c r="Y2953" i="12"/>
  <c r="X2954" i="12"/>
  <c r="Y2954" i="12"/>
  <c r="X2955" i="12"/>
  <c r="Y2955" i="12"/>
  <c r="X2956" i="12"/>
  <c r="Y2956" i="12"/>
  <c r="X2957" i="12"/>
  <c r="Y2957" i="12"/>
  <c r="X2958" i="12"/>
  <c r="Y2958" i="12"/>
  <c r="X2959" i="12"/>
  <c r="Y2959" i="12"/>
  <c r="X2960" i="12"/>
  <c r="X2961" i="12"/>
  <c r="Y2960" i="12"/>
  <c r="Y2961" i="12"/>
  <c r="X2962" i="12"/>
  <c r="X2963" i="12"/>
  <c r="Y2962" i="12"/>
  <c r="X2964" i="12"/>
  <c r="Y2963" i="12"/>
  <c r="Y2964" i="12"/>
  <c r="X2965" i="12"/>
  <c r="Y2965" i="12"/>
  <c r="X2966" i="12"/>
  <c r="Y2966" i="12"/>
  <c r="X2967" i="12"/>
  <c r="Y2967" i="12"/>
  <c r="X2968" i="12"/>
  <c r="Y2968" i="12"/>
  <c r="X2969" i="12"/>
  <c r="Y2969" i="12"/>
  <c r="X2970" i="12"/>
  <c r="X2971" i="12"/>
  <c r="Y2970" i="12"/>
  <c r="X2972" i="12"/>
  <c r="Y2971" i="12"/>
  <c r="Y2972" i="12"/>
  <c r="X2973" i="12"/>
  <c r="X2974" i="12"/>
  <c r="Y2973" i="12"/>
  <c r="Y2974" i="12"/>
  <c r="X2975" i="12"/>
  <c r="Y2975" i="12"/>
  <c r="X2976" i="12"/>
  <c r="Y2976" i="12"/>
  <c r="X2977" i="12"/>
  <c r="X2978" i="12"/>
  <c r="Y2977" i="12"/>
  <c r="X2979" i="12"/>
  <c r="Y2978" i="12"/>
  <c r="Y2979" i="12"/>
  <c r="X2980" i="12"/>
  <c r="Y2980" i="12"/>
  <c r="X2981" i="12"/>
  <c r="X2982" i="12"/>
  <c r="Y2981" i="12"/>
  <c r="X2983" i="12"/>
  <c r="Y2982" i="12"/>
  <c r="Y2983" i="12"/>
  <c r="X2984" i="12"/>
  <c r="Y2984" i="12"/>
  <c r="X2985" i="12"/>
  <c r="X2986" i="12"/>
  <c r="Y2985" i="12"/>
  <c r="X2987" i="12"/>
  <c r="Y2986" i="12"/>
  <c r="Y2987" i="12"/>
  <c r="X2988" i="12"/>
  <c r="X2989" i="12"/>
  <c r="Y2988" i="12"/>
  <c r="X2990" i="12"/>
  <c r="Y2989" i="12"/>
  <c r="Y2990" i="12"/>
  <c r="X2991" i="12"/>
  <c r="X2992" i="12"/>
  <c r="Y2991" i="12"/>
  <c r="Y2992" i="12"/>
  <c r="X2993" i="12"/>
  <c r="Y2993" i="12"/>
  <c r="X2994" i="12"/>
  <c r="Y2994" i="12"/>
  <c r="X2995" i="12"/>
  <c r="X2996" i="12"/>
  <c r="Y2995" i="12"/>
  <c r="Y2996" i="12"/>
  <c r="X2997" i="12"/>
  <c r="Y2997" i="12"/>
  <c r="X2998" i="12"/>
  <c r="X2999" i="12"/>
  <c r="Y2998" i="12"/>
  <c r="X3000" i="12"/>
  <c r="Y2999" i="12"/>
  <c r="X3001" i="12"/>
  <c r="Y3000" i="12"/>
  <c r="Y3001" i="12"/>
  <c r="X3002" i="12"/>
  <c r="Y3002" i="12"/>
  <c r="X3003" i="12"/>
  <c r="X3004" i="12"/>
  <c r="Y3003" i="12"/>
  <c r="Y3004" i="12"/>
  <c r="X3005" i="12"/>
  <c r="X3006" i="12"/>
  <c r="Y3005" i="12"/>
  <c r="X3007" i="12"/>
  <c r="Y3006" i="12"/>
  <c r="X3008" i="12"/>
  <c r="Y3007" i="12"/>
  <c r="X3009" i="12"/>
  <c r="Y3008" i="12"/>
  <c r="Y3009" i="12"/>
  <c r="X3010" i="12"/>
  <c r="Y3010" i="12"/>
  <c r="X3011" i="12"/>
  <c r="Y3011" i="12"/>
  <c r="X3012" i="12"/>
  <c r="Y3012" i="12"/>
  <c r="X3013" i="12"/>
  <c r="X3014" i="12"/>
  <c r="Y3013" i="12"/>
  <c r="X3015" i="12"/>
  <c r="Y3014" i="12"/>
  <c r="X3016" i="12"/>
  <c r="Y3015" i="12"/>
  <c r="X3017" i="12"/>
  <c r="Y3016" i="12"/>
  <c r="Y3017" i="12"/>
  <c r="X3018" i="12"/>
  <c r="X3019" i="12"/>
  <c r="Y3018" i="12"/>
  <c r="X3020" i="12"/>
  <c r="Y3019" i="12"/>
  <c r="X3021" i="12"/>
  <c r="Y3020" i="12"/>
  <c r="Y3021" i="12"/>
  <c r="X3022" i="12"/>
  <c r="Y3022" i="12"/>
  <c r="X3023" i="12"/>
  <c r="Y3023" i="12"/>
  <c r="X3024" i="12"/>
  <c r="X3025" i="12"/>
  <c r="Y3024" i="12"/>
  <c r="Y3025" i="12"/>
  <c r="X3026" i="12"/>
  <c r="X3027" i="12"/>
  <c r="Y3026" i="12"/>
  <c r="Y3027" i="12"/>
  <c r="X3028" i="12"/>
  <c r="Y3028" i="12"/>
  <c r="X3029" i="12"/>
  <c r="Y3029" i="12"/>
  <c r="X3030" i="12"/>
  <c r="Y3030" i="12"/>
  <c r="X3031" i="12"/>
  <c r="X3032" i="12"/>
  <c r="Y3031" i="12"/>
  <c r="Y3032" i="12"/>
  <c r="X3033" i="12"/>
  <c r="X3034" i="12"/>
  <c r="Y3033" i="12"/>
  <c r="Y3034" i="12"/>
  <c r="X3035" i="12"/>
  <c r="X3036" i="12"/>
  <c r="Y3035" i="12"/>
  <c r="X3037" i="12"/>
  <c r="Y3036" i="12"/>
  <c r="X3038" i="12"/>
  <c r="Y3037" i="12"/>
  <c r="Y3038" i="12"/>
  <c r="X3039" i="12"/>
  <c r="Y3039" i="12"/>
  <c r="X3040" i="12"/>
  <c r="Y3040" i="12"/>
  <c r="X3041" i="12"/>
  <c r="Y3041" i="12"/>
  <c r="X3042" i="12"/>
  <c r="Y3042" i="12"/>
  <c r="X3043" i="12"/>
  <c r="Y3043" i="12"/>
  <c r="X3044" i="12"/>
  <c r="Y3044" i="12"/>
  <c r="X3045" i="12"/>
  <c r="Y3045" i="12"/>
  <c r="X3046" i="12"/>
  <c r="Y3046" i="12"/>
  <c r="X3047" i="12"/>
  <c r="X3048" i="12"/>
  <c r="Y3047" i="12"/>
  <c r="Y3048" i="12"/>
  <c r="X3049" i="12"/>
  <c r="Y3049" i="12"/>
  <c r="X3050" i="12"/>
  <c r="X3051" i="12"/>
  <c r="Y3050" i="12"/>
  <c r="X3052" i="12"/>
  <c r="Y3051" i="12"/>
  <c r="Y3052" i="12"/>
  <c r="X3053" i="12"/>
  <c r="Y3053" i="12"/>
  <c r="X3054" i="12"/>
  <c r="Y3054" i="12"/>
  <c r="X3055" i="12"/>
  <c r="X3056" i="12"/>
  <c r="Y3055" i="12"/>
  <c r="Y3056" i="12"/>
  <c r="X3057" i="12"/>
  <c r="Y3057" i="12"/>
  <c r="X3058" i="12"/>
  <c r="X3059" i="12"/>
  <c r="Y3058" i="12"/>
  <c r="Y3059" i="12"/>
  <c r="X3060" i="12"/>
  <c r="Y3060" i="12"/>
  <c r="X3061" i="12"/>
  <c r="Y3061" i="12"/>
  <c r="X3062" i="12"/>
  <c r="Y3062" i="12"/>
  <c r="X3063" i="12"/>
  <c r="Y3063" i="12"/>
  <c r="X3064" i="12"/>
  <c r="Y3064" i="12"/>
  <c r="X3065" i="12"/>
  <c r="Y3065" i="12"/>
  <c r="X3066" i="12"/>
  <c r="Y3066" i="12"/>
  <c r="X3067" i="12"/>
  <c r="X3068" i="12"/>
  <c r="Y3067" i="12"/>
  <c r="Y3068" i="12"/>
  <c r="X3069" i="12"/>
  <c r="Y3069" i="12"/>
  <c r="X3070" i="12"/>
  <c r="X3071" i="12"/>
  <c r="Y3070" i="12"/>
  <c r="X3072" i="12"/>
  <c r="Y3071" i="12"/>
  <c r="X3073" i="12"/>
  <c r="Y3072" i="12"/>
  <c r="Y3073" i="12"/>
  <c r="X3074" i="12"/>
  <c r="Y3074" i="12"/>
  <c r="X3075" i="12"/>
  <c r="Y3075" i="12"/>
  <c r="X3076" i="12"/>
  <c r="X3077" i="12"/>
  <c r="Y3076" i="12"/>
  <c r="Y3077" i="12"/>
  <c r="X3078" i="12"/>
  <c r="Y3078" i="12"/>
  <c r="X3079" i="12"/>
  <c r="X3080" i="12"/>
  <c r="Y3079" i="12"/>
  <c r="Y3080" i="12"/>
  <c r="X3081" i="12"/>
  <c r="Y3081" i="12"/>
  <c r="X3082" i="12"/>
  <c r="X3083" i="12"/>
  <c r="Y3082" i="12"/>
  <c r="Y3083" i="12"/>
  <c r="X3084" i="12"/>
  <c r="X3085" i="12"/>
  <c r="Y3084" i="12"/>
  <c r="X3086" i="12"/>
  <c r="Y3085" i="12"/>
  <c r="X3087" i="12"/>
  <c r="Y3086" i="12"/>
  <c r="X3088" i="12"/>
  <c r="Y3087" i="12"/>
  <c r="X3089" i="12"/>
  <c r="Y3088" i="12"/>
  <c r="Y3089" i="12"/>
  <c r="X3090" i="12"/>
  <c r="Y3090" i="12"/>
  <c r="X3091" i="12"/>
  <c r="Y3091" i="12"/>
  <c r="X3092" i="12"/>
  <c r="Y3092" i="12"/>
  <c r="X3093" i="12"/>
  <c r="Y3093" i="12"/>
  <c r="X3094" i="12"/>
  <c r="Y3094" i="12"/>
  <c r="X3095" i="12"/>
  <c r="Y3095" i="12"/>
  <c r="X3096" i="12"/>
  <c r="Y3096" i="12"/>
  <c r="X3097" i="12"/>
  <c r="X3098" i="12"/>
  <c r="Y3097" i="12"/>
  <c r="Y3098" i="12"/>
  <c r="X3099" i="12"/>
  <c r="Y3099" i="12"/>
  <c r="X3100" i="12"/>
  <c r="Y3100" i="12"/>
  <c r="X3101" i="12"/>
  <c r="Y3101" i="12"/>
  <c r="X3102" i="12"/>
  <c r="Y3102" i="12"/>
  <c r="X3103" i="12"/>
  <c r="Y3103" i="12"/>
  <c r="X3104" i="12"/>
  <c r="Y3104" i="12"/>
  <c r="X3105" i="12"/>
  <c r="X3106" i="12"/>
  <c r="Y3105" i="12"/>
  <c r="X3107" i="12"/>
  <c r="Y3106" i="12"/>
  <c r="Y3107" i="12"/>
  <c r="X3108" i="12"/>
  <c r="X3109" i="12"/>
  <c r="Y3108" i="12"/>
  <c r="X3110" i="12"/>
  <c r="Y3109" i="12"/>
  <c r="Y3110" i="12"/>
  <c r="X3111" i="12"/>
  <c r="Y3111" i="12"/>
  <c r="X3112" i="12"/>
  <c r="Y3112" i="12"/>
  <c r="X3113" i="12"/>
  <c r="X3114" i="12"/>
  <c r="Y3113" i="12"/>
  <c r="Y3114" i="12"/>
  <c r="X3115" i="12"/>
  <c r="Y3115" i="12"/>
  <c r="X3116" i="12"/>
  <c r="X3117" i="12"/>
  <c r="Y3116" i="12"/>
  <c r="Y3117" i="12"/>
  <c r="X3118" i="12"/>
  <c r="X3119" i="12"/>
  <c r="Y3118" i="12"/>
  <c r="X3120" i="12"/>
  <c r="Y3119" i="12"/>
  <c r="X3121" i="12"/>
  <c r="Y3120" i="12"/>
  <c r="Y3121" i="12"/>
  <c r="X3122" i="12"/>
  <c r="Y3122" i="12"/>
  <c r="X3123" i="12"/>
  <c r="X3124" i="12"/>
  <c r="Y3123" i="12"/>
  <c r="X3125" i="12"/>
  <c r="Y3124" i="12"/>
  <c r="Y3125" i="12"/>
  <c r="X3126" i="12"/>
  <c r="Y3126" i="12"/>
  <c r="X3127" i="12"/>
  <c r="X3128" i="12"/>
  <c r="Y3127" i="12"/>
  <c r="X3129" i="12"/>
  <c r="Y3128" i="12"/>
  <c r="X3130" i="12"/>
  <c r="Y3129" i="12"/>
  <c r="X3131" i="12"/>
  <c r="Y3130" i="12"/>
  <c r="Y3131" i="12"/>
  <c r="X3132" i="12"/>
  <c r="X3133" i="12"/>
  <c r="Y3132" i="12"/>
  <c r="X3134" i="12"/>
  <c r="Y3133" i="12"/>
  <c r="X3135" i="12"/>
  <c r="Y3134" i="12"/>
  <c r="Y3135" i="12"/>
  <c r="X3136" i="12"/>
  <c r="Y3136" i="12"/>
  <c r="X3137" i="12"/>
  <c r="X3138" i="12"/>
  <c r="Y3137" i="12"/>
  <c r="Y3138" i="12"/>
  <c r="X3139" i="12"/>
  <c r="Y3139" i="12"/>
  <c r="X3140" i="12"/>
  <c r="X3141" i="12"/>
  <c r="Y3140" i="12"/>
  <c r="Y3141" i="12"/>
  <c r="X3142" i="12"/>
  <c r="Y3142" i="12"/>
  <c r="X3143" i="12"/>
  <c r="X3144" i="12"/>
  <c r="Y3143" i="12"/>
  <c r="Y3144" i="12"/>
  <c r="X3145" i="12"/>
  <c r="X3146" i="12"/>
  <c r="Y3145" i="12"/>
  <c r="X3147" i="12"/>
  <c r="Y3146" i="12"/>
  <c r="Y3147" i="12"/>
  <c r="X3148" i="12"/>
  <c r="X3149" i="12"/>
  <c r="Y3148" i="12"/>
  <c r="X3150" i="12"/>
  <c r="Y3149" i="12"/>
  <c r="X3151" i="12"/>
  <c r="Y3150" i="12"/>
  <c r="Y3151" i="12"/>
  <c r="X3152" i="12"/>
  <c r="X3153" i="12"/>
  <c r="Y3152" i="12"/>
  <c r="Y3153" i="12"/>
  <c r="X3154" i="12"/>
  <c r="X3155" i="12"/>
  <c r="Y3154" i="12"/>
  <c r="Y3155" i="12"/>
  <c r="X3156" i="12"/>
  <c r="X3157" i="12"/>
  <c r="Y3156" i="12"/>
  <c r="Y3157" i="12"/>
  <c r="X3158" i="12"/>
  <c r="X3159" i="12"/>
  <c r="Y3158" i="12"/>
  <c r="X3160" i="12"/>
  <c r="Y3159" i="12"/>
  <c r="X3161" i="12"/>
  <c r="Y3160" i="12"/>
  <c r="X3162" i="12"/>
  <c r="Y3161" i="12"/>
  <c r="X3163" i="12"/>
  <c r="Y3162" i="12"/>
  <c r="Y3163" i="12"/>
  <c r="X3164" i="12"/>
  <c r="Y3164" i="12"/>
  <c r="X3165" i="12"/>
  <c r="X3166" i="12"/>
  <c r="Y3165" i="12"/>
  <c r="X3167" i="12"/>
  <c r="Y3166" i="12"/>
  <c r="Y3167" i="12"/>
  <c r="X3168" i="12"/>
  <c r="X3169" i="12"/>
  <c r="Y3168" i="12"/>
  <c r="X3170" i="12"/>
  <c r="Y3169" i="12"/>
  <c r="X3171" i="12"/>
  <c r="Y3170" i="12"/>
  <c r="Y3171" i="12"/>
  <c r="X3172" i="12"/>
  <c r="X3173" i="12"/>
  <c r="Y3172" i="12"/>
  <c r="X3174" i="12"/>
  <c r="Y3173" i="12"/>
  <c r="X3175" i="12"/>
  <c r="Y3174" i="12"/>
  <c r="Y3175" i="12"/>
  <c r="X3176" i="12"/>
  <c r="X3177" i="12"/>
  <c r="Y3176" i="12"/>
  <c r="Y3177" i="12"/>
  <c r="X3178" i="12"/>
  <c r="X3179" i="12"/>
  <c r="Y3178" i="12"/>
  <c r="Y3179" i="12"/>
  <c r="X3180" i="12"/>
  <c r="Y3180" i="12"/>
  <c r="X3181" i="12"/>
  <c r="X3182" i="12"/>
  <c r="Y3181" i="12"/>
  <c r="Y3182" i="12"/>
  <c r="X3183" i="12"/>
  <c r="Y3183" i="12"/>
  <c r="X3184" i="12"/>
  <c r="X3185" i="12"/>
  <c r="Y3184" i="12"/>
  <c r="Y3185" i="12"/>
  <c r="X3186" i="12"/>
  <c r="Y3186" i="12"/>
  <c r="X3187" i="12"/>
  <c r="X3188" i="12"/>
  <c r="Y3187" i="12"/>
  <c r="X3189" i="12"/>
  <c r="Y3188" i="12"/>
  <c r="X3190" i="12"/>
  <c r="Y3189" i="12"/>
  <c r="Y3190" i="12"/>
  <c r="X3191" i="12"/>
  <c r="Y3191" i="12"/>
  <c r="X3192" i="12"/>
  <c r="X3193" i="12"/>
  <c r="Y3192" i="12"/>
  <c r="X3194" i="12"/>
  <c r="Y3193" i="12"/>
  <c r="Y3194" i="12"/>
  <c r="X3195" i="12"/>
  <c r="X3196" i="12"/>
  <c r="Y3195" i="12"/>
  <c r="X3197" i="12"/>
  <c r="Y3196" i="12"/>
  <c r="Y3197" i="12"/>
  <c r="X3198" i="12"/>
  <c r="X3199" i="12"/>
  <c r="Y3198" i="12"/>
  <c r="X3200" i="12"/>
  <c r="Y3199" i="12"/>
  <c r="X3201" i="12"/>
  <c r="Y3200" i="12"/>
  <c r="X3202" i="12"/>
  <c r="Y3201" i="12"/>
  <c r="X3203" i="12"/>
  <c r="Y3202" i="12"/>
  <c r="Y3203" i="12"/>
  <c r="X3204" i="12"/>
  <c r="X3205" i="12"/>
  <c r="Y3204" i="12"/>
  <c r="X3206" i="12"/>
  <c r="Y3205" i="12"/>
  <c r="Y3206" i="12"/>
  <c r="X3207" i="12"/>
  <c r="X3208" i="12"/>
  <c r="Y3207" i="12"/>
  <c r="X3209" i="12"/>
  <c r="Y3208" i="12"/>
  <c r="Y3209" i="12"/>
  <c r="X3210" i="12"/>
  <c r="Y3210" i="12"/>
  <c r="X3211" i="12"/>
  <c r="X3212" i="12"/>
  <c r="Y3211" i="12"/>
  <c r="X3213" i="12"/>
  <c r="Y3212" i="12"/>
  <c r="X3214" i="12"/>
  <c r="Y3213" i="12"/>
  <c r="Y3214" i="12"/>
  <c r="X3215" i="12"/>
  <c r="Y3215" i="12"/>
  <c r="X3216" i="12"/>
  <c r="Y3216" i="12"/>
  <c r="X3217" i="12"/>
  <c r="X3218" i="12"/>
  <c r="Y3217" i="12"/>
  <c r="X3219" i="12"/>
  <c r="Y3218" i="12"/>
  <c r="Y3219" i="12"/>
  <c r="X3220" i="12"/>
  <c r="Y3220" i="12"/>
  <c r="X3221" i="12"/>
  <c r="Y3221" i="12"/>
  <c r="X3222" i="12"/>
  <c r="Y3222" i="12"/>
  <c r="X3223" i="12"/>
  <c r="X3224" i="12"/>
  <c r="Y3223" i="12"/>
  <c r="X3225" i="12"/>
  <c r="Y3224" i="12"/>
  <c r="X3226" i="12"/>
  <c r="Y3225" i="12"/>
  <c r="X3227" i="12"/>
  <c r="Y3226" i="12"/>
  <c r="Y3227" i="12"/>
  <c r="X3228" i="12"/>
  <c r="Y3228" i="12"/>
  <c r="X3229" i="12"/>
  <c r="X3230" i="12"/>
  <c r="Y3229" i="12"/>
  <c r="Y3230" i="12"/>
  <c r="X3231" i="12"/>
  <c r="Y3231" i="12"/>
  <c r="X3232" i="12"/>
  <c r="Y3232" i="12"/>
  <c r="X3233" i="12"/>
  <c r="Y3233" i="12"/>
  <c r="X3234" i="12"/>
  <c r="X3235" i="12"/>
  <c r="Y3234" i="12"/>
  <c r="X3236" i="12"/>
  <c r="Y3235" i="12"/>
  <c r="X3237" i="12"/>
  <c r="Y3236" i="12"/>
  <c r="X3238" i="12"/>
  <c r="Y3237" i="12"/>
  <c r="X3239" i="12"/>
  <c r="Y3238" i="12"/>
  <c r="X3240" i="12"/>
  <c r="Y3239" i="12"/>
  <c r="X3241" i="12"/>
  <c r="Y3240" i="12"/>
  <c r="Y3241" i="12"/>
  <c r="X3242" i="12"/>
  <c r="Y3242" i="12"/>
  <c r="X3243" i="12"/>
  <c r="X3244" i="12"/>
  <c r="Y3243" i="12"/>
  <c r="X3245" i="12"/>
  <c r="Y3244" i="12"/>
  <c r="Y3245" i="12"/>
  <c r="X3246" i="12"/>
  <c r="Y3246" i="12"/>
  <c r="X3247" i="12"/>
  <c r="Y3247" i="12"/>
  <c r="X3248" i="12"/>
  <c r="X3249" i="12"/>
  <c r="Y3248" i="12"/>
  <c r="X3250" i="12"/>
  <c r="Y3249" i="12"/>
  <c r="Y3250" i="12"/>
  <c r="X3251" i="12"/>
  <c r="X3252" i="12"/>
  <c r="Y3251" i="12"/>
  <c r="Y3252" i="12"/>
  <c r="X3253" i="12"/>
  <c r="X3254" i="12"/>
  <c r="Y3253" i="12"/>
  <c r="Y3254" i="12"/>
  <c r="X3255" i="12"/>
  <c r="Y3255" i="12"/>
  <c r="X3256" i="12"/>
  <c r="Y3256" i="12"/>
  <c r="X3257" i="12"/>
  <c r="X3258" i="12"/>
  <c r="Y3257" i="12"/>
  <c r="X3259" i="12"/>
  <c r="Y3258" i="12"/>
  <c r="X3260" i="12"/>
  <c r="Y3259" i="12"/>
  <c r="Y3260" i="12"/>
  <c r="X3261" i="12"/>
  <c r="Y3261" i="12"/>
  <c r="X3262" i="12"/>
  <c r="X3263" i="12"/>
  <c r="Y3262" i="12"/>
  <c r="X3264" i="12"/>
  <c r="Y3263" i="12"/>
  <c r="Y3264" i="12"/>
  <c r="X3265" i="12"/>
  <c r="Y3265" i="12"/>
  <c r="X3266" i="12"/>
  <c r="Y3266" i="12"/>
  <c r="X3267" i="12"/>
  <c r="Y3267" i="12"/>
  <c r="X3268" i="12"/>
  <c r="X3269" i="12"/>
  <c r="Y3268" i="12"/>
  <c r="Y3269" i="12"/>
  <c r="X3270" i="12"/>
  <c r="Y3270" i="12"/>
  <c r="X3271" i="12"/>
  <c r="X3272" i="12"/>
  <c r="Y3271" i="12"/>
  <c r="X3273" i="12"/>
  <c r="Y3272" i="12"/>
  <c r="Y3273" i="12"/>
  <c r="X3274" i="12"/>
  <c r="Y3274" i="12"/>
  <c r="X3275" i="12"/>
  <c r="X3276" i="12"/>
  <c r="Y3275" i="12"/>
  <c r="Y3276" i="12"/>
  <c r="X3277" i="12"/>
  <c r="X3278" i="12"/>
  <c r="Y3277" i="12"/>
  <c r="Y3278" i="12"/>
  <c r="X3279" i="12"/>
  <c r="Y3279" i="12"/>
  <c r="X3280" i="12"/>
  <c r="X3281" i="12"/>
  <c r="Y3280" i="12"/>
  <c r="X3282" i="12"/>
  <c r="Y3281" i="12"/>
  <c r="X3283" i="12"/>
  <c r="Y3282" i="12"/>
  <c r="X3284" i="12"/>
  <c r="Y3283" i="12"/>
  <c r="X3285" i="12"/>
  <c r="Y3284" i="12"/>
  <c r="Y3285" i="12"/>
  <c r="X3286" i="12"/>
  <c r="Y3286" i="12"/>
  <c r="X3287" i="12"/>
  <c r="Y3287" i="12"/>
  <c r="X3288" i="12"/>
  <c r="Y3288" i="12"/>
  <c r="X3289" i="12"/>
  <c r="Y3289" i="12"/>
  <c r="X3290" i="12"/>
  <c r="X3291" i="12"/>
  <c r="Y3290" i="12"/>
  <c r="X3292" i="12"/>
  <c r="Y3291" i="12"/>
  <c r="Y3292" i="12"/>
  <c r="X3293" i="12"/>
  <c r="Y3293" i="12"/>
  <c r="X3294" i="12"/>
  <c r="Y3294" i="12"/>
  <c r="X3295" i="12"/>
  <c r="Y3295" i="12"/>
  <c r="X3296" i="12"/>
  <c r="X3297" i="12"/>
  <c r="Y3296" i="12"/>
  <c r="X3298" i="12"/>
  <c r="Y3297" i="12"/>
  <c r="Y3298" i="12"/>
  <c r="X3299" i="12"/>
  <c r="Y3299" i="12"/>
  <c r="X3300" i="12"/>
  <c r="X3301" i="12"/>
  <c r="Y3300" i="12"/>
  <c r="Y3301" i="12"/>
  <c r="X3302" i="12"/>
  <c r="X3303" i="12"/>
  <c r="Y3302" i="12"/>
  <c r="Y3303" i="12"/>
  <c r="X3304" i="12"/>
  <c r="Y3304" i="12"/>
  <c r="X3305" i="12"/>
  <c r="Y3305" i="12"/>
  <c r="X3306" i="12"/>
  <c r="Y3306" i="12"/>
  <c r="X3307" i="12"/>
  <c r="X3308" i="12"/>
  <c r="Y3307" i="12"/>
  <c r="Y3308" i="12"/>
  <c r="X3309" i="12"/>
  <c r="Y3309" i="12"/>
  <c r="X3310" i="12"/>
  <c r="Y3310" i="12"/>
  <c r="X3311" i="12"/>
  <c r="X3312" i="12"/>
  <c r="Y3311" i="12"/>
  <c r="X3313" i="12"/>
  <c r="Y3312" i="12"/>
  <c r="X3314" i="12"/>
  <c r="Y3313" i="12"/>
  <c r="X3315" i="12"/>
  <c r="Y3314" i="12"/>
  <c r="Y3315" i="12"/>
  <c r="X3316" i="12"/>
  <c r="X3317" i="12"/>
  <c r="Y3316" i="12"/>
  <c r="X3318" i="12"/>
  <c r="Y3317" i="12"/>
  <c r="Y3318" i="12"/>
  <c r="X3319" i="12"/>
  <c r="Y3319" i="12"/>
  <c r="X3320" i="12"/>
  <c r="X3321" i="12"/>
  <c r="Y3320" i="12"/>
  <c r="X3322" i="12"/>
  <c r="Y3321" i="12"/>
  <c r="X3323" i="12"/>
  <c r="Y3322" i="12"/>
  <c r="Y3323" i="12"/>
  <c r="X3324" i="12"/>
  <c r="Y3324" i="12"/>
  <c r="X3325" i="12"/>
  <c r="X3326" i="12"/>
  <c r="Y3325" i="12"/>
  <c r="Y3326" i="12"/>
  <c r="X3327" i="12"/>
  <c r="Y3327" i="12"/>
  <c r="X3328" i="12"/>
  <c r="X3329" i="12"/>
  <c r="Y3328" i="12"/>
  <c r="Y3329" i="12"/>
  <c r="X3330" i="12"/>
  <c r="Y3330" i="12"/>
  <c r="X3331" i="12"/>
  <c r="Y3331" i="12"/>
  <c r="X3332" i="12"/>
  <c r="Y3332" i="12"/>
  <c r="X3333" i="12"/>
  <c r="Y3333" i="12"/>
  <c r="X3334" i="12"/>
  <c r="Y3334" i="12"/>
  <c r="X3335" i="12"/>
  <c r="X3336" i="12"/>
  <c r="Y3335" i="12"/>
  <c r="Y3336" i="12"/>
  <c r="X3337" i="12"/>
  <c r="Y3337" i="12"/>
  <c r="X3338" i="12"/>
  <c r="X3339" i="12"/>
  <c r="Y3338" i="12"/>
  <c r="X3340" i="12"/>
  <c r="Y3339" i="12"/>
  <c r="Y3340" i="12"/>
  <c r="X3341" i="12"/>
  <c r="Y3341" i="12"/>
  <c r="X3342" i="12"/>
  <c r="X3343" i="12"/>
  <c r="Y3342" i="12"/>
  <c r="X3344" i="12"/>
  <c r="Y3343" i="12"/>
  <c r="Y3344" i="12"/>
  <c r="X3345" i="12"/>
  <c r="X3346" i="12"/>
  <c r="Y3345" i="12"/>
  <c r="X3347" i="12"/>
  <c r="Y3346" i="12"/>
  <c r="Y3347" i="12"/>
  <c r="X3348" i="12"/>
  <c r="X3349" i="12"/>
  <c r="Y3348" i="12"/>
  <c r="Y3349" i="12"/>
  <c r="X3350" i="12"/>
  <c r="X3351" i="12"/>
  <c r="Y3350" i="12"/>
  <c r="Y3351" i="12"/>
  <c r="X3352" i="12"/>
  <c r="Y3352" i="12"/>
  <c r="X3353" i="12"/>
  <c r="X3354" i="12"/>
  <c r="Y3353" i="12"/>
  <c r="Y3354" i="12"/>
  <c r="X3355" i="12"/>
  <c r="Y3355" i="12"/>
  <c r="X3356" i="12"/>
  <c r="X3357" i="12"/>
  <c r="Y3356" i="12"/>
  <c r="X3358" i="12"/>
  <c r="Y3357" i="12"/>
  <c r="Y3358" i="12"/>
  <c r="X3359" i="12"/>
  <c r="X3360" i="12"/>
  <c r="Y3359" i="12"/>
  <c r="X3361" i="12"/>
  <c r="Y3360" i="12"/>
  <c r="Y3361" i="12"/>
  <c r="X3362" i="12"/>
  <c r="X3363" i="12"/>
  <c r="Y3362" i="12"/>
  <c r="X3364" i="12"/>
  <c r="Y3363" i="12"/>
  <c r="X3365" i="12"/>
  <c r="Y3364" i="12"/>
  <c r="X3366" i="12"/>
  <c r="Y3365" i="12"/>
  <c r="X3367" i="12"/>
  <c r="Y3366" i="12"/>
  <c r="X3368" i="12"/>
  <c r="Y3367" i="12"/>
  <c r="X3369" i="12"/>
  <c r="Y3368" i="12"/>
  <c r="Y3369" i="12"/>
  <c r="X3370" i="12"/>
  <c r="Y3370" i="12"/>
  <c r="X3371" i="12"/>
  <c r="X3372" i="12"/>
  <c r="Y3371" i="12"/>
  <c r="X3373" i="12"/>
  <c r="Y3372" i="12"/>
  <c r="Y3373" i="12"/>
  <c r="X3374" i="12"/>
  <c r="X3375" i="12"/>
  <c r="Y3374" i="12"/>
  <c r="X3376" i="12"/>
  <c r="Y3375" i="12"/>
  <c r="X3377" i="12"/>
  <c r="Y3376" i="12"/>
  <c r="X3378" i="12"/>
  <c r="Y3377" i="12"/>
  <c r="X3379" i="12"/>
  <c r="Y3378" i="12"/>
  <c r="Y3379" i="12"/>
  <c r="X3380" i="12"/>
  <c r="X3381" i="12"/>
  <c r="Y3380" i="12"/>
  <c r="Y3381" i="12"/>
  <c r="X3382" i="12"/>
  <c r="Y3382" i="12"/>
  <c r="X3383" i="12"/>
  <c r="Y3383" i="12"/>
  <c r="X3384" i="12"/>
  <c r="X3385" i="12"/>
  <c r="Y3384" i="12"/>
  <c r="Y3385" i="12"/>
  <c r="X3386" i="12"/>
  <c r="X3387" i="12"/>
  <c r="Y3386" i="12"/>
  <c r="X3388" i="12"/>
  <c r="Y3387" i="12"/>
  <c r="Y3388" i="12"/>
  <c r="X3389" i="12"/>
  <c r="Y3389" i="12"/>
  <c r="X3390" i="12"/>
  <c r="X3391" i="12"/>
  <c r="Y3390" i="12"/>
  <c r="X3392" i="12"/>
  <c r="Y3391" i="12"/>
  <c r="Y3392" i="12"/>
  <c r="X3393" i="12"/>
  <c r="Y3393" i="12"/>
  <c r="X3394" i="12"/>
  <c r="X3395" i="12"/>
  <c r="Y3394" i="12"/>
  <c r="X3396" i="12"/>
  <c r="Y3395" i="12"/>
  <c r="X3397" i="12"/>
  <c r="Y3396" i="12"/>
  <c r="X3398" i="12"/>
  <c r="Y3397" i="12"/>
  <c r="X3399" i="12"/>
  <c r="Y3398" i="12"/>
  <c r="Y3399" i="12"/>
  <c r="X3400" i="12"/>
  <c r="X3401" i="12"/>
  <c r="Y3400" i="12"/>
  <c r="X3402" i="12"/>
  <c r="Y3401" i="12"/>
  <c r="X3403" i="12"/>
  <c r="Y3402" i="12"/>
  <c r="X3404" i="12"/>
  <c r="Y3403" i="12"/>
  <c r="X3405" i="12"/>
  <c r="Y3404" i="12"/>
  <c r="X3406" i="12"/>
  <c r="Y3405" i="12"/>
  <c r="Y3406" i="12"/>
  <c r="X3407" i="12"/>
  <c r="Y3407" i="12"/>
  <c r="X3408" i="12"/>
  <c r="Y3408" i="12"/>
  <c r="X3409" i="12"/>
  <c r="X3410" i="12"/>
  <c r="Y3409" i="12"/>
  <c r="Y3410" i="12"/>
  <c r="X3411" i="12"/>
  <c r="X3412" i="12"/>
  <c r="Y3411" i="12"/>
  <c r="Y3412" i="12"/>
  <c r="X3413" i="12"/>
  <c r="X3414" i="12"/>
  <c r="Y3413" i="12"/>
  <c r="X3415" i="12"/>
  <c r="Y3414" i="12"/>
  <c r="X3416" i="12"/>
  <c r="Y3415" i="12"/>
  <c r="Y3416" i="12"/>
  <c r="X3417" i="12"/>
  <c r="Y3417" i="12"/>
  <c r="X3418" i="12"/>
  <c r="X3419" i="12"/>
  <c r="Y3418" i="12"/>
  <c r="X3420" i="12"/>
  <c r="Y3419" i="12"/>
  <c r="X3421" i="12"/>
  <c r="Y3420" i="12"/>
  <c r="X3422" i="12"/>
  <c r="Y3421" i="12"/>
  <c r="X3423" i="12"/>
  <c r="Y3422" i="12"/>
  <c r="Y3423" i="12"/>
  <c r="X3424" i="12"/>
  <c r="X3425" i="12"/>
  <c r="Y3424" i="12"/>
  <c r="X3426" i="12"/>
  <c r="Y3425" i="12"/>
  <c r="X3427" i="12"/>
  <c r="Y3426" i="12"/>
  <c r="X3428" i="12"/>
  <c r="Y3427" i="12"/>
  <c r="Y3428" i="12"/>
  <c r="X3429" i="12"/>
  <c r="Y3429" i="12"/>
  <c r="X3430" i="12"/>
  <c r="Y3430" i="12"/>
  <c r="X3431" i="12"/>
  <c r="X3432" i="12"/>
  <c r="Y3431" i="12"/>
  <c r="X3433" i="12"/>
  <c r="Y3432" i="12"/>
  <c r="X3434" i="12"/>
  <c r="Y3433" i="12"/>
  <c r="X3435" i="12"/>
  <c r="Y3434" i="12"/>
  <c r="X3436" i="12"/>
  <c r="Y3435" i="12"/>
  <c r="X3437" i="12"/>
  <c r="Y3436" i="12"/>
  <c r="X3438" i="12"/>
  <c r="Y3437" i="12"/>
  <c r="Y3438" i="12"/>
  <c r="X3439" i="12"/>
  <c r="X3440" i="12"/>
  <c r="Y3439" i="12"/>
  <c r="X3441" i="12"/>
  <c r="Y3440" i="12"/>
  <c r="Y3441" i="12"/>
  <c r="X3442" i="12"/>
  <c r="Y3442" i="12"/>
  <c r="X3443" i="12"/>
  <c r="Y3443" i="12"/>
  <c r="X3444" i="12"/>
  <c r="Y3444" i="12"/>
  <c r="X3445" i="12"/>
  <c r="X3446" i="12"/>
  <c r="Y3445" i="12"/>
  <c r="X3447" i="12"/>
  <c r="Y3446" i="12"/>
  <c r="X3448" i="12"/>
  <c r="Y3447" i="12"/>
  <c r="X3449" i="12"/>
  <c r="Y3448" i="12"/>
  <c r="Y3449" i="12"/>
  <c r="X3450" i="12"/>
  <c r="X3451" i="12"/>
  <c r="Y3450" i="12"/>
  <c r="Y3451" i="12"/>
  <c r="X3452" i="12"/>
  <c r="X3453" i="12"/>
  <c r="Y3452" i="12"/>
  <c r="X3454" i="12"/>
  <c r="Y3453" i="12"/>
  <c r="X3455" i="12"/>
  <c r="Y3454" i="12"/>
  <c r="X3456" i="12"/>
  <c r="Y3455" i="12"/>
  <c r="X3457" i="12"/>
  <c r="Y3456" i="12"/>
  <c r="Y3457" i="12"/>
  <c r="X3458" i="12"/>
  <c r="Y3458" i="12"/>
  <c r="X3459" i="12"/>
  <c r="Y3459" i="12"/>
  <c r="X3460" i="12"/>
  <c r="Y3460" i="12"/>
  <c r="X3461" i="12"/>
  <c r="Y3461" i="12"/>
  <c r="X3462" i="12"/>
  <c r="Y3462" i="12"/>
  <c r="X3463" i="12"/>
  <c r="Y3463" i="12"/>
  <c r="X3464" i="12"/>
  <c r="X3465" i="12"/>
  <c r="Y3464" i="12"/>
  <c r="X3466" i="12"/>
  <c r="Y3465" i="12"/>
  <c r="X3467" i="12"/>
  <c r="Y3466" i="12"/>
  <c r="X3468" i="12"/>
  <c r="Y3467" i="12"/>
  <c r="X3469" i="12"/>
  <c r="Y3468" i="12"/>
  <c r="Y3469" i="12"/>
  <c r="X3470" i="12"/>
  <c r="Y3470" i="12"/>
  <c r="X3471" i="12"/>
  <c r="Y3471" i="12"/>
  <c r="X3472" i="12"/>
  <c r="X3473" i="12"/>
  <c r="Y3472" i="12"/>
  <c r="X3474" i="12"/>
  <c r="Y3473" i="12"/>
  <c r="Y3474" i="12"/>
  <c r="X3475" i="12"/>
  <c r="Y3475" i="12"/>
  <c r="X3476" i="12"/>
  <c r="Y3476" i="12"/>
  <c r="X3477" i="12"/>
  <c r="Y3477" i="12"/>
  <c r="X3478" i="12"/>
  <c r="Y3478" i="12"/>
  <c r="X3479" i="12"/>
  <c r="X3480" i="12"/>
  <c r="Y3479" i="12"/>
  <c r="X3481" i="12"/>
  <c r="Y3480" i="12"/>
  <c r="Y3481" i="12"/>
  <c r="X3482" i="12"/>
  <c r="X3483" i="12"/>
  <c r="Y3482" i="12"/>
  <c r="X3484" i="12"/>
  <c r="Y3483" i="12"/>
  <c r="X3485" i="12"/>
  <c r="Y3484" i="12"/>
  <c r="Y3485" i="12"/>
  <c r="X3486" i="12"/>
  <c r="X3487" i="12"/>
  <c r="Y3486" i="12"/>
  <c r="X3488" i="12"/>
  <c r="Y3487" i="12"/>
  <c r="X3489" i="12"/>
  <c r="Y3488" i="12"/>
  <c r="Y3489" i="12"/>
  <c r="X3490" i="12"/>
  <c r="Y3490" i="12"/>
  <c r="X3491" i="12"/>
  <c r="X3492" i="12"/>
  <c r="Y3491" i="12"/>
  <c r="X3493" i="12"/>
  <c r="Y3492" i="12"/>
  <c r="Y3493" i="12"/>
  <c r="X3494" i="12"/>
  <c r="X3495" i="12"/>
  <c r="Y3494" i="12"/>
  <c r="Y3495" i="12"/>
  <c r="X3496" i="12"/>
  <c r="X3497" i="12"/>
  <c r="Y3496" i="12"/>
  <c r="X3498" i="12"/>
  <c r="Y3497" i="12"/>
  <c r="Y3498" i="12"/>
  <c r="X3499" i="12"/>
  <c r="X3500" i="12"/>
  <c r="Y3499" i="12"/>
  <c r="Y3500" i="12"/>
  <c r="X3501" i="12"/>
  <c r="Y3501" i="12"/>
  <c r="X3502" i="12"/>
  <c r="Y3502" i="12"/>
  <c r="X3503" i="12"/>
  <c r="Y3503" i="12"/>
  <c r="X3504" i="12"/>
  <c r="X3505" i="12"/>
  <c r="Y3504" i="12"/>
  <c r="X3506" i="12"/>
  <c r="Y3505" i="12"/>
  <c r="Y3506" i="12"/>
  <c r="X3507" i="12"/>
  <c r="X3508" i="12"/>
  <c r="Y3507" i="12"/>
  <c r="X3509" i="12"/>
  <c r="Y3508" i="12"/>
  <c r="X3510" i="12"/>
  <c r="Y3509" i="12"/>
  <c r="Y3510" i="12"/>
  <c r="X3511" i="12"/>
  <c r="X3512" i="12"/>
  <c r="Y3511" i="12"/>
  <c r="X3513" i="12"/>
  <c r="Y3512" i="12"/>
  <c r="Y3513" i="12"/>
  <c r="X3514" i="12"/>
  <c r="X3515" i="12"/>
  <c r="Y3514" i="12"/>
  <c r="X3516" i="12"/>
  <c r="Y3515" i="12"/>
  <c r="X3517" i="12"/>
  <c r="Y3516" i="12"/>
  <c r="Y3517" i="12"/>
  <c r="X3518" i="12"/>
  <c r="X3519" i="12"/>
  <c r="Y3518" i="12"/>
  <c r="X3520" i="12"/>
  <c r="Y3519" i="12"/>
  <c r="X3521" i="12"/>
  <c r="Y3520" i="12"/>
  <c r="Y3521" i="12"/>
  <c r="X3522" i="12"/>
  <c r="Y3522" i="12"/>
  <c r="X3523" i="12"/>
  <c r="X3524" i="12"/>
  <c r="Y3523" i="12"/>
  <c r="Y3524" i="12"/>
  <c r="X3525" i="12"/>
  <c r="Y3525" i="12"/>
  <c r="X3526" i="12"/>
  <c r="Y3526" i="12"/>
  <c r="X3527" i="12"/>
  <c r="Y3527" i="12"/>
  <c r="X3528" i="12"/>
  <c r="X3529" i="12"/>
  <c r="Y3528" i="12"/>
  <c r="X3530" i="12"/>
  <c r="Y3529" i="12"/>
  <c r="Y3530" i="12"/>
  <c r="X3531" i="12"/>
  <c r="Y3531" i="12"/>
  <c r="X3532" i="12"/>
  <c r="X3533" i="12"/>
  <c r="Y3532" i="12"/>
  <c r="Y3533" i="12"/>
  <c r="X3534" i="12"/>
  <c r="X3535" i="12"/>
  <c r="Y3534" i="12"/>
  <c r="X3536" i="12"/>
  <c r="Y3535" i="12"/>
  <c r="X3537" i="12"/>
  <c r="Y3536" i="12"/>
  <c r="Y3537" i="12"/>
  <c r="X3538" i="12"/>
  <c r="Y3538" i="12"/>
  <c r="X3539" i="12"/>
  <c r="Y3539" i="12"/>
  <c r="X3540" i="12"/>
  <c r="X3541" i="12"/>
  <c r="Y3540" i="12"/>
  <c r="Y3541" i="12"/>
  <c r="X3542" i="12"/>
  <c r="Y3542" i="12"/>
  <c r="X3543" i="12"/>
  <c r="Y3543" i="12"/>
  <c r="X3544" i="12"/>
  <c r="X3545" i="12"/>
  <c r="Y3544" i="12"/>
  <c r="X3546" i="12"/>
  <c r="Y3545" i="12"/>
  <c r="Y3546" i="12"/>
  <c r="X3547" i="12"/>
  <c r="Y3547" i="12"/>
  <c r="X3548" i="12"/>
  <c r="Y3548" i="12"/>
  <c r="X3549" i="12"/>
  <c r="Y3549" i="12"/>
  <c r="X3550" i="12"/>
  <c r="Y3550" i="12"/>
  <c r="X3551" i="12"/>
  <c r="Y3551" i="12"/>
  <c r="X3552" i="12"/>
  <c r="C11" i="12" l="1"/>
  <c r="C6" i="12"/>
  <c r="C12" i="12"/>
  <c r="C10" i="12"/>
  <c r="C13" i="12"/>
  <c r="K1" i="9"/>
  <c r="H5" i="11"/>
  <c r="J6" i="11"/>
  <c r="E6" i="11"/>
  <c r="D7" i="11"/>
  <c r="H6" i="11"/>
  <c r="J5" i="11"/>
  <c r="Y3552" i="12"/>
  <c r="K10" i="9"/>
  <c r="K5" i="11"/>
  <c r="K6" i="9"/>
  <c r="K15" i="9"/>
  <c r="K8" i="9"/>
  <c r="Y19" i="12"/>
  <c r="K11" i="9"/>
  <c r="K13" i="9"/>
  <c r="K9" i="9"/>
  <c r="K14" i="9"/>
  <c r="K12" i="9"/>
  <c r="K7" i="9"/>
  <c r="C7" i="12"/>
  <c r="E16" i="12" l="1"/>
  <c r="E9" i="12"/>
  <c r="E8" i="12"/>
  <c r="E10" i="12"/>
  <c r="E12" i="12"/>
  <c r="E15" i="12"/>
  <c r="E14" i="12"/>
  <c r="E7" i="12"/>
  <c r="E6" i="12"/>
  <c r="E4" i="12"/>
  <c r="E5" i="12"/>
  <c r="E3" i="12"/>
  <c r="E13" i="12"/>
  <c r="E11" i="12"/>
  <c r="C14" i="12"/>
  <c r="C8" i="12"/>
  <c r="B12" i="4"/>
  <c r="B5" i="4"/>
  <c r="B14" i="4"/>
  <c r="B4" i="4"/>
  <c r="B11" i="4"/>
  <c r="B10" i="4"/>
  <c r="B6" i="4"/>
  <c r="B8" i="4"/>
  <c r="B9" i="4"/>
  <c r="B7" i="4"/>
  <c r="B13" i="4"/>
  <c r="B2" i="4"/>
  <c r="B3" i="4"/>
  <c r="E7" i="11"/>
  <c r="I6" i="11"/>
  <c r="D8" i="11"/>
  <c r="J7" i="11"/>
  <c r="H7" i="11"/>
  <c r="C4" i="4"/>
  <c r="C3" i="4"/>
  <c r="L12" i="9"/>
  <c r="C14" i="4"/>
  <c r="L3" i="11"/>
  <c r="C6" i="4"/>
  <c r="L13" i="9"/>
  <c r="C8" i="4"/>
  <c r="C9" i="4"/>
  <c r="L14" i="9"/>
  <c r="C11" i="4"/>
  <c r="L8" i="9"/>
  <c r="L15" i="9"/>
  <c r="C2" i="4"/>
  <c r="L6" i="9"/>
  <c r="K6" i="11"/>
  <c r="C5" i="4"/>
  <c r="L9" i="9"/>
  <c r="C10" i="4"/>
  <c r="C13" i="4"/>
  <c r="L5" i="9"/>
  <c r="F4" i="7"/>
  <c r="L7" i="9"/>
  <c r="F3" i="7"/>
  <c r="C7" i="4"/>
  <c r="L3" i="9"/>
  <c r="L10" i="9"/>
  <c r="L11" i="9"/>
  <c r="C12" i="4"/>
  <c r="C15" i="12" l="1"/>
  <c r="C9" i="12"/>
  <c r="C16" i="12" s="1"/>
  <c r="B15" i="4"/>
  <c r="B16" i="4"/>
  <c r="E8" i="11"/>
  <c r="I7" i="11"/>
  <c r="D9" i="11"/>
  <c r="H8" i="11"/>
  <c r="J8" i="11"/>
  <c r="C15" i="4"/>
  <c r="C16" i="4"/>
  <c r="K7" i="11"/>
  <c r="L5" i="11"/>
  <c r="L6" i="11"/>
  <c r="B17" i="4" l="1"/>
  <c r="E9" i="11"/>
  <c r="I8" i="11"/>
  <c r="J9" i="11"/>
  <c r="H9" i="11"/>
  <c r="D10" i="11"/>
  <c r="C17" i="4"/>
  <c r="K8" i="11"/>
  <c r="L7" i="11"/>
  <c r="B18" i="4" l="1"/>
  <c r="E10" i="11"/>
  <c r="I9" i="11"/>
  <c r="D11" i="11"/>
  <c r="H10" i="11"/>
  <c r="J10" i="11"/>
  <c r="C18" i="4"/>
  <c r="K9" i="11"/>
  <c r="L8" i="11"/>
  <c r="B19" i="4" l="1"/>
  <c r="E11" i="11"/>
  <c r="I10" i="11"/>
  <c r="D12" i="11"/>
  <c r="H11" i="11"/>
  <c r="J11" i="11"/>
  <c r="C19" i="4"/>
  <c r="K10" i="11"/>
  <c r="L9" i="11"/>
  <c r="B20" i="4" l="1"/>
  <c r="I11" i="11"/>
  <c r="E12" i="11"/>
  <c r="D13" i="11"/>
  <c r="H12" i="11"/>
  <c r="J12" i="11"/>
  <c r="C20" i="4"/>
  <c r="K11" i="11"/>
  <c r="L10" i="11"/>
  <c r="B21" i="4" l="1"/>
  <c r="E13" i="11"/>
  <c r="I12" i="11"/>
  <c r="J13" i="11"/>
  <c r="H13" i="11"/>
  <c r="D14" i="11"/>
  <c r="C21" i="4"/>
  <c r="K12" i="11"/>
  <c r="L11" i="11"/>
  <c r="B22" i="4" l="1"/>
  <c r="I13" i="11"/>
  <c r="E14" i="11"/>
  <c r="D15" i="11"/>
  <c r="H14" i="11"/>
  <c r="J14" i="11"/>
  <c r="C22" i="4"/>
  <c r="K13" i="11"/>
  <c r="L12" i="11"/>
  <c r="B23" i="4" l="1"/>
  <c r="I14" i="11"/>
  <c r="E15" i="11"/>
  <c r="J15" i="11"/>
  <c r="D16" i="11"/>
  <c r="H15" i="11"/>
  <c r="C23" i="4"/>
  <c r="K14" i="11"/>
  <c r="L13" i="11"/>
  <c r="B24" i="4" l="1"/>
  <c r="E16" i="11"/>
  <c r="I15" i="11"/>
  <c r="J16" i="11"/>
  <c r="H16" i="11"/>
  <c r="D17" i="11"/>
  <c r="K15" i="11"/>
  <c r="C24" i="4"/>
  <c r="L14" i="11"/>
  <c r="B25" i="4" l="1"/>
  <c r="I16" i="11"/>
  <c r="E17" i="11"/>
  <c r="J17" i="11"/>
  <c r="D18" i="11"/>
  <c r="H17" i="11"/>
  <c r="C25" i="4"/>
  <c r="L15" i="11"/>
  <c r="K16" i="11"/>
  <c r="B26" i="4" l="1"/>
  <c r="I17" i="11"/>
  <c r="E18" i="11"/>
  <c r="D19" i="11"/>
  <c r="H18" i="11"/>
  <c r="J18" i="11"/>
  <c r="K17" i="11"/>
  <c r="L16" i="11"/>
  <c r="C26" i="4"/>
  <c r="B27" i="4" l="1"/>
  <c r="E19" i="11"/>
  <c r="I18" i="11"/>
  <c r="H19" i="11"/>
  <c r="D20" i="11"/>
  <c r="J19" i="11"/>
  <c r="L17" i="11"/>
  <c r="C27" i="4"/>
  <c r="K18" i="11"/>
  <c r="B28" i="4" l="1"/>
  <c r="E20" i="11"/>
  <c r="I19" i="11"/>
  <c r="H20" i="11"/>
  <c r="D21" i="11"/>
  <c r="J20" i="11"/>
  <c r="L18" i="11"/>
  <c r="C28" i="4"/>
  <c r="K19" i="11"/>
  <c r="B29" i="4" l="1"/>
  <c r="I20" i="11"/>
  <c r="E21" i="11"/>
  <c r="J21" i="11"/>
  <c r="D22" i="11"/>
  <c r="H21" i="11"/>
  <c r="C29" i="4"/>
  <c r="K20" i="11"/>
  <c r="L19" i="11"/>
  <c r="B30" i="4" l="1"/>
  <c r="I21" i="11"/>
  <c r="E22" i="11"/>
  <c r="D23" i="11"/>
  <c r="H22" i="11"/>
  <c r="J22" i="11"/>
  <c r="C30" i="4"/>
  <c r="K21" i="11"/>
  <c r="L20" i="11"/>
  <c r="B31" i="4" l="1"/>
  <c r="E23" i="11"/>
  <c r="I22" i="11"/>
  <c r="D24" i="11"/>
  <c r="J23" i="11"/>
  <c r="H23" i="11"/>
  <c r="C31" i="4"/>
  <c r="K22" i="11"/>
  <c r="L21" i="11"/>
  <c r="B32" i="4" l="1"/>
  <c r="E24" i="11"/>
  <c r="I23" i="11"/>
  <c r="J24" i="11"/>
  <c r="H24" i="11"/>
  <c r="D25" i="11"/>
  <c r="C32" i="4"/>
  <c r="K23" i="11"/>
  <c r="L22" i="11"/>
  <c r="B33" i="4" l="1"/>
  <c r="E25" i="11"/>
  <c r="I24" i="11"/>
  <c r="J25" i="11"/>
  <c r="D26" i="11"/>
  <c r="H25" i="11"/>
  <c r="C33" i="4"/>
  <c r="K24" i="11"/>
  <c r="L23" i="11"/>
  <c r="B34" i="4" l="1"/>
  <c r="I25" i="11"/>
  <c r="E26" i="11"/>
  <c r="D27" i="11"/>
  <c r="H26" i="11"/>
  <c r="J26" i="11"/>
  <c r="C34" i="4"/>
  <c r="K25" i="11"/>
  <c r="L24" i="11"/>
  <c r="B35" i="4" l="1"/>
  <c r="E27" i="11"/>
  <c r="I26" i="11"/>
  <c r="H27" i="11"/>
  <c r="J27" i="11"/>
  <c r="D28" i="11"/>
  <c r="C35" i="4"/>
  <c r="K26" i="11"/>
  <c r="L25" i="11"/>
  <c r="B36" i="4" l="1"/>
  <c r="I27" i="11"/>
  <c r="E28" i="11"/>
  <c r="D29" i="11"/>
  <c r="H28" i="11"/>
  <c r="J28" i="11"/>
  <c r="L26" i="11"/>
  <c r="C36" i="4"/>
  <c r="K27" i="11"/>
  <c r="B37" i="4" l="1"/>
  <c r="I28" i="11"/>
  <c r="E29" i="11"/>
  <c r="J29" i="11"/>
  <c r="H29" i="11"/>
  <c r="D30" i="11"/>
  <c r="C37" i="4"/>
  <c r="K28" i="11"/>
  <c r="L27" i="11"/>
  <c r="B38" i="4" l="1"/>
  <c r="I29" i="11"/>
  <c r="E30" i="11"/>
  <c r="D31" i="11"/>
  <c r="H30" i="11"/>
  <c r="J30" i="11"/>
  <c r="K29" i="11"/>
  <c r="L28" i="11"/>
  <c r="C38" i="4"/>
  <c r="B39" i="4" l="1"/>
  <c r="E31" i="11"/>
  <c r="I30" i="11"/>
  <c r="J31" i="11"/>
  <c r="D32" i="11"/>
  <c r="H31" i="11"/>
  <c r="K30" i="11"/>
  <c r="L29" i="11"/>
  <c r="C39" i="4"/>
  <c r="B40" i="4" l="1"/>
  <c r="I31" i="11"/>
  <c r="E32" i="11"/>
  <c r="J32" i="11"/>
  <c r="H32" i="11"/>
  <c r="D33" i="11"/>
  <c r="L30" i="11"/>
  <c r="C40" i="4"/>
  <c r="K31" i="11"/>
  <c r="B41" i="4" l="1"/>
  <c r="E33" i="11"/>
  <c r="I32" i="11"/>
  <c r="J33" i="11"/>
  <c r="D34" i="11"/>
  <c r="H33" i="11"/>
  <c r="C41" i="4"/>
  <c r="K32" i="11"/>
  <c r="L31" i="11"/>
  <c r="B42" i="4" l="1"/>
  <c r="I33" i="11"/>
  <c r="E34" i="11"/>
  <c r="D35" i="11"/>
  <c r="H34" i="11"/>
  <c r="J34" i="11"/>
  <c r="C42" i="4"/>
  <c r="K33" i="11"/>
  <c r="L32" i="11"/>
  <c r="B43" i="4" l="1"/>
  <c r="E35" i="11"/>
  <c r="I34" i="11"/>
  <c r="D36" i="11"/>
  <c r="H35" i="11"/>
  <c r="J35" i="11"/>
  <c r="C43" i="4"/>
  <c r="K34" i="11"/>
  <c r="L33" i="11"/>
  <c r="B44" i="4" l="1"/>
  <c r="E36" i="11"/>
  <c r="I35" i="11"/>
  <c r="D37" i="11"/>
  <c r="H36" i="11"/>
  <c r="J36" i="11"/>
  <c r="C44" i="4"/>
  <c r="K35" i="11"/>
  <c r="L34" i="11"/>
  <c r="B45" i="4" l="1"/>
  <c r="E37" i="11"/>
  <c r="I36" i="11"/>
  <c r="J37" i="11"/>
  <c r="H37" i="11"/>
  <c r="D38" i="11"/>
  <c r="C45" i="4"/>
  <c r="K36" i="11"/>
  <c r="L35" i="11"/>
  <c r="B46" i="4" l="1"/>
  <c r="I37" i="11"/>
  <c r="E38" i="11"/>
  <c r="D39" i="11"/>
  <c r="H38" i="11"/>
  <c r="J38" i="11"/>
  <c r="L36" i="11"/>
  <c r="C46" i="4"/>
  <c r="K37" i="11"/>
  <c r="B47" i="4" l="1"/>
  <c r="E39" i="11"/>
  <c r="I38" i="11"/>
  <c r="D40" i="11"/>
  <c r="H39" i="11"/>
  <c r="J39" i="11"/>
  <c r="C47" i="4"/>
  <c r="K38" i="11"/>
  <c r="L37" i="11"/>
  <c r="B48" i="4" l="1"/>
  <c r="E40" i="11"/>
  <c r="I39" i="11"/>
  <c r="H40" i="11"/>
  <c r="D41" i="11"/>
  <c r="J40" i="11"/>
  <c r="L38" i="11"/>
  <c r="C48" i="4"/>
  <c r="K39" i="11"/>
  <c r="B49" i="4" l="1"/>
  <c r="E41" i="11"/>
  <c r="I41" i="11" s="1"/>
  <c r="I40" i="11"/>
  <c r="H41" i="11"/>
  <c r="J41" i="11"/>
  <c r="E2" i="7"/>
  <c r="K2" i="9"/>
  <c r="K40" i="11"/>
  <c r="L39" i="11"/>
  <c r="C49" i="4"/>
  <c r="K41" i="11"/>
  <c r="B50" i="4" l="1"/>
  <c r="D7" i="6"/>
  <c r="D8" i="6"/>
  <c r="K2" i="11"/>
  <c r="D6" i="6"/>
  <c r="F2" i="7"/>
  <c r="L40" i="11"/>
  <c r="C50" i="4"/>
  <c r="L2" i="9"/>
  <c r="B1" i="6"/>
  <c r="B51" i="4" l="1"/>
  <c r="D9" i="6"/>
  <c r="D16" i="6"/>
  <c r="D20" i="6"/>
  <c r="E20" i="6"/>
  <c r="D21" i="6"/>
  <c r="C51" i="4"/>
  <c r="L2" i="11"/>
  <c r="L41" i="11"/>
  <c r="E21" i="6" l="1"/>
  <c r="I45" i="4"/>
  <c r="J29" i="4"/>
  <c r="I28" i="4"/>
  <c r="D21" i="4"/>
  <c r="E44" i="4"/>
  <c r="D4" i="4"/>
  <c r="I47" i="4"/>
  <c r="I26" i="4"/>
  <c r="E32" i="4"/>
  <c r="I22" i="4"/>
  <c r="E10" i="4"/>
  <c r="J36" i="4"/>
  <c r="I2" i="4"/>
  <c r="I31" i="4"/>
  <c r="E51" i="4"/>
  <c r="I6" i="4"/>
  <c r="I16" i="4"/>
  <c r="E25" i="4"/>
  <c r="J16" i="4"/>
  <c r="I24" i="4"/>
  <c r="J10" i="4"/>
  <c r="J11" i="4"/>
  <c r="D3" i="4"/>
  <c r="I29" i="4"/>
  <c r="D10" i="4"/>
  <c r="E17" i="4"/>
  <c r="D20" i="4"/>
  <c r="J40" i="4"/>
  <c r="J7" i="4"/>
  <c r="E15" i="4"/>
  <c r="D31" i="4"/>
  <c r="J3" i="4"/>
  <c r="D26" i="4"/>
  <c r="J47" i="4"/>
  <c r="J6" i="4"/>
  <c r="J31" i="4"/>
  <c r="E34" i="4"/>
  <c r="D32" i="4"/>
  <c r="E48" i="4"/>
  <c r="D13" i="4"/>
  <c r="I49" i="4"/>
  <c r="E7" i="4"/>
  <c r="J4" i="4"/>
  <c r="D16" i="4"/>
  <c r="I32" i="4"/>
  <c r="D36" i="4"/>
  <c r="I17" i="4"/>
  <c r="J19" i="4"/>
  <c r="I7" i="4"/>
  <c r="I9" i="4"/>
  <c r="E41" i="4"/>
  <c r="E27" i="4"/>
  <c r="J46" i="4"/>
  <c r="D23" i="4"/>
  <c r="D46" i="4"/>
  <c r="J41" i="4"/>
  <c r="E50" i="4"/>
  <c r="I42" i="4"/>
  <c r="E11" i="4"/>
  <c r="J2" i="4"/>
  <c r="E29" i="4"/>
  <c r="E12" i="4"/>
  <c r="J30" i="4"/>
  <c r="D49" i="4"/>
  <c r="E4" i="4"/>
  <c r="D25" i="4"/>
  <c r="J13" i="4"/>
  <c r="J23" i="4"/>
  <c r="J44" i="4"/>
  <c r="D43" i="4"/>
  <c r="D35" i="4"/>
  <c r="E35" i="4"/>
  <c r="J42" i="4"/>
  <c r="D15" i="4"/>
  <c r="E5" i="4"/>
  <c r="J32" i="4"/>
  <c r="D51" i="4"/>
  <c r="J8" i="4"/>
  <c r="I43" i="4"/>
  <c r="I10" i="4"/>
  <c r="E45" i="4"/>
  <c r="D39" i="4"/>
  <c r="E33" i="4"/>
  <c r="D30" i="4"/>
  <c r="E28" i="4"/>
  <c r="J15" i="4"/>
  <c r="J17" i="4"/>
  <c r="D2" i="4"/>
  <c r="D38" i="4"/>
  <c r="E36" i="4"/>
  <c r="D11" i="4"/>
  <c r="I5" i="4"/>
  <c r="E23" i="4"/>
  <c r="I51" i="4"/>
  <c r="I37" i="4"/>
  <c r="J34" i="4"/>
  <c r="J43" i="4"/>
  <c r="D8" i="4"/>
  <c r="E21" i="4"/>
  <c r="J48" i="4"/>
  <c r="D14" i="4"/>
  <c r="E47" i="4"/>
  <c r="J50" i="4"/>
  <c r="D7" i="4"/>
  <c r="E6" i="4"/>
  <c r="D18" i="4"/>
  <c r="J27" i="4"/>
  <c r="D40" i="4"/>
  <c r="D27" i="4"/>
  <c r="I50" i="4"/>
  <c r="D9" i="4"/>
  <c r="I46" i="4"/>
  <c r="E24" i="4"/>
  <c r="E26" i="4"/>
  <c r="D45" i="4"/>
  <c r="E39" i="4"/>
  <c r="E30" i="4"/>
  <c r="I48" i="4"/>
  <c r="E38" i="4"/>
  <c r="E42" i="4"/>
  <c r="J22" i="4"/>
  <c r="I40" i="4"/>
  <c r="J24" i="4"/>
  <c r="J37" i="4"/>
  <c r="I8" i="4"/>
  <c r="I41" i="4"/>
  <c r="J21" i="4"/>
  <c r="J49" i="4"/>
  <c r="D17" i="4"/>
  <c r="J9" i="4"/>
  <c r="D29" i="4"/>
  <c r="D19" i="4"/>
  <c r="I38" i="4"/>
  <c r="I30" i="4"/>
  <c r="E31" i="4"/>
  <c r="J25" i="4"/>
  <c r="I34" i="4"/>
  <c r="D22" i="4"/>
  <c r="D47" i="4"/>
  <c r="I11" i="4"/>
  <c r="E9" i="4"/>
  <c r="E16" i="4"/>
  <c r="J51" i="4"/>
  <c r="I21" i="4"/>
  <c r="E49" i="4"/>
  <c r="E14" i="4"/>
  <c r="J33" i="4"/>
  <c r="E46" i="4"/>
  <c r="D41" i="4"/>
  <c r="D44" i="4"/>
  <c r="I15" i="4"/>
  <c r="E19" i="4"/>
  <c r="I36" i="4"/>
  <c r="I44" i="4"/>
  <c r="J38" i="4"/>
  <c r="I25" i="4"/>
  <c r="D12" i="4"/>
  <c r="D28" i="4"/>
  <c r="I14" i="4"/>
  <c r="I39" i="4"/>
  <c r="J18" i="4"/>
  <c r="E43" i="4"/>
  <c r="E13" i="4"/>
  <c r="J20" i="4"/>
  <c r="I27" i="4"/>
  <c r="I20" i="4"/>
  <c r="I35" i="4"/>
  <c r="D50" i="4"/>
  <c r="I12" i="4"/>
  <c r="J39" i="4"/>
  <c r="J12" i="4"/>
  <c r="D33" i="4"/>
  <c r="D48" i="4"/>
  <c r="E40" i="4"/>
  <c r="J14" i="4"/>
  <c r="D2" i="5" a="1"/>
  <c r="I33" i="4"/>
  <c r="J35" i="4"/>
  <c r="D37" i="4"/>
  <c r="I13" i="4"/>
  <c r="E18" i="4"/>
  <c r="I19" i="4"/>
  <c r="E8" i="4"/>
  <c r="E20" i="4"/>
  <c r="D6" i="4"/>
  <c r="D42" i="4"/>
  <c r="I18" i="4"/>
  <c r="I3" i="4"/>
  <c r="E37" i="4"/>
  <c r="I4" i="4"/>
  <c r="I23" i="4"/>
  <c r="J26" i="4"/>
  <c r="J5" i="4"/>
  <c r="D5" i="4"/>
  <c r="J28" i="4"/>
  <c r="D24" i="4"/>
  <c r="J45" i="4"/>
  <c r="E22" i="4"/>
  <c r="D34" i="4"/>
  <c r="D27" i="5" l="1"/>
  <c r="D126" i="5"/>
  <c r="D5" i="5"/>
  <c r="D38" i="5"/>
  <c r="D43" i="5"/>
  <c r="D11" i="5"/>
  <c r="D48" i="5"/>
  <c r="D88" i="5"/>
  <c r="D63" i="5"/>
  <c r="D24" i="5"/>
  <c r="D84" i="5"/>
  <c r="D122" i="5"/>
  <c r="D4" i="5"/>
  <c r="D54" i="5"/>
  <c r="D30" i="5"/>
  <c r="D106" i="5"/>
  <c r="D68" i="5"/>
  <c r="D99" i="5"/>
  <c r="D119" i="5"/>
  <c r="D78" i="5"/>
  <c r="D80" i="5"/>
  <c r="D7" i="5"/>
  <c r="D47" i="5"/>
  <c r="D121" i="5"/>
  <c r="D42" i="5"/>
  <c r="D87" i="5"/>
  <c r="D124" i="5"/>
  <c r="D55" i="5"/>
  <c r="D64" i="5"/>
  <c r="D41" i="5"/>
  <c r="D15" i="5"/>
  <c r="D70" i="5"/>
  <c r="D26" i="5"/>
  <c r="D90" i="5"/>
  <c r="D52" i="5"/>
  <c r="D39" i="5"/>
  <c r="D125" i="5"/>
  <c r="D6" i="5"/>
  <c r="D32" i="5"/>
  <c r="D117" i="5"/>
  <c r="D21" i="5"/>
  <c r="D29" i="5"/>
  <c r="D116" i="5"/>
  <c r="D118" i="5"/>
  <c r="D16" i="5"/>
  <c r="D113" i="5"/>
  <c r="D10" i="5"/>
  <c r="D13" i="5"/>
  <c r="D82" i="5"/>
  <c r="D3" i="5"/>
  <c r="D9" i="5"/>
  <c r="D44" i="5"/>
  <c r="D103" i="5"/>
  <c r="D14" i="5"/>
  <c r="D12" i="5"/>
  <c r="D56" i="5"/>
  <c r="D76" i="5"/>
  <c r="D92" i="5"/>
  <c r="D62" i="5"/>
  <c r="D45" i="5"/>
  <c r="D65" i="5"/>
  <c r="D46" i="5"/>
  <c r="D75" i="5"/>
  <c r="D101" i="5"/>
  <c r="D123" i="5"/>
  <c r="D111" i="5"/>
  <c r="D49" i="5"/>
  <c r="D69" i="5"/>
  <c r="D60" i="5"/>
  <c r="D85" i="5"/>
  <c r="D120" i="5"/>
  <c r="D89" i="5"/>
  <c r="D77" i="5"/>
  <c r="D58" i="5"/>
  <c r="D114" i="5"/>
  <c r="D34" i="5"/>
  <c r="D17" i="5"/>
  <c r="D59" i="5"/>
  <c r="D67" i="5"/>
  <c r="D33" i="5"/>
  <c r="D36" i="5"/>
  <c r="D37" i="5"/>
  <c r="D98" i="5"/>
  <c r="D35" i="5"/>
  <c r="D50" i="5"/>
  <c r="D22" i="5"/>
  <c r="D107" i="5"/>
  <c r="D109" i="5"/>
  <c r="D81" i="5"/>
  <c r="D83" i="5"/>
  <c r="D112" i="5"/>
  <c r="D97" i="5"/>
  <c r="D66" i="5"/>
  <c r="D95" i="5"/>
  <c r="D108" i="5"/>
  <c r="D96" i="5"/>
  <c r="D28" i="5"/>
  <c r="D86" i="5"/>
  <c r="D79" i="5"/>
  <c r="D73" i="5"/>
  <c r="D93" i="5"/>
  <c r="D25" i="5"/>
  <c r="D72" i="5"/>
  <c r="D19" i="5"/>
  <c r="D110" i="5"/>
  <c r="D115" i="5"/>
  <c r="D40" i="5"/>
  <c r="D18" i="5"/>
  <c r="D102" i="5"/>
  <c r="D91" i="5"/>
  <c r="D53" i="5"/>
  <c r="D57" i="5"/>
  <c r="D31" i="5"/>
  <c r="D105" i="5"/>
  <c r="D2" i="5"/>
  <c r="D71" i="5"/>
  <c r="D23" i="5"/>
  <c r="D74" i="5"/>
  <c r="D61" i="5"/>
  <c r="D94" i="5"/>
  <c r="D8" i="5"/>
  <c r="D20" i="5"/>
  <c r="D51" i="5"/>
  <c r="D100" i="5"/>
  <c r="D104" i="5"/>
  <c r="M19" i="12" a="1"/>
  <c r="E46" i="5"/>
  <c r="H114" i="5"/>
  <c r="I114" i="5"/>
  <c r="H82" i="5"/>
  <c r="I93" i="5"/>
  <c r="G23" i="5"/>
  <c r="I117" i="5"/>
  <c r="E88" i="5"/>
  <c r="H122" i="5"/>
  <c r="H50" i="5"/>
  <c r="G55" i="5"/>
  <c r="G99" i="5"/>
  <c r="G22" i="5"/>
  <c r="E116" i="5"/>
  <c r="F122" i="5"/>
  <c r="F26" i="5"/>
  <c r="E26" i="5"/>
  <c r="I2" i="5"/>
  <c r="E86" i="5"/>
  <c r="I113" i="5"/>
  <c r="I15" i="5"/>
  <c r="G57" i="5"/>
  <c r="G38" i="5"/>
  <c r="E4" i="5"/>
  <c r="G85" i="5"/>
  <c r="F91" i="5"/>
  <c r="E65" i="5"/>
  <c r="H65" i="5"/>
  <c r="F105" i="5"/>
  <c r="F11" i="5"/>
  <c r="I37" i="5"/>
  <c r="F115" i="5"/>
  <c r="E16" i="5"/>
  <c r="G107" i="5"/>
  <c r="H59" i="5"/>
  <c r="I8" i="5"/>
  <c r="I25" i="5"/>
  <c r="E72" i="5"/>
  <c r="F97" i="5"/>
  <c r="G10" i="5"/>
  <c r="H64" i="5"/>
  <c r="E104" i="5"/>
  <c r="I55" i="5"/>
  <c r="G67" i="5"/>
  <c r="G80" i="5"/>
  <c r="E63" i="5"/>
  <c r="G53" i="5"/>
  <c r="F125" i="5"/>
  <c r="F126" i="5"/>
  <c r="I73" i="5"/>
  <c r="H89" i="5"/>
  <c r="H21" i="5"/>
  <c r="F101" i="5"/>
  <c r="F120" i="5"/>
  <c r="G27" i="5"/>
  <c r="H102" i="5"/>
  <c r="F47" i="5"/>
  <c r="G3" i="5"/>
  <c r="G100" i="5"/>
  <c r="G117" i="5"/>
  <c r="E113" i="5"/>
  <c r="E32" i="5"/>
  <c r="F113" i="5"/>
  <c r="E102" i="5"/>
  <c r="G16" i="5"/>
  <c r="G75" i="5"/>
  <c r="E90" i="5"/>
  <c r="H36" i="5"/>
  <c r="F51" i="5"/>
  <c r="I23" i="5"/>
  <c r="E21" i="5"/>
  <c r="G94" i="5"/>
  <c r="F64" i="5"/>
  <c r="F13" i="5"/>
  <c r="I27" i="5"/>
  <c r="F5" i="5"/>
  <c r="F65" i="5"/>
  <c r="E18" i="5"/>
  <c r="H118" i="5"/>
  <c r="G12" i="5"/>
  <c r="H104" i="5"/>
  <c r="F21" i="5"/>
  <c r="I40" i="5"/>
  <c r="E107" i="5"/>
  <c r="H95" i="5"/>
  <c r="F46" i="5"/>
  <c r="E40" i="5"/>
  <c r="G61" i="5"/>
  <c r="E80" i="5"/>
  <c r="F70" i="5"/>
  <c r="H52" i="5"/>
  <c r="G2" i="5"/>
  <c r="G70" i="5"/>
  <c r="G113" i="5"/>
  <c r="I116" i="5"/>
  <c r="I30" i="5"/>
  <c r="E84" i="5"/>
  <c r="I74" i="5"/>
  <c r="G83" i="5"/>
  <c r="E57" i="5"/>
  <c r="F102" i="5"/>
  <c r="I35" i="5"/>
  <c r="E115" i="5"/>
  <c r="I7" i="5"/>
  <c r="H80" i="5"/>
  <c r="G43" i="5"/>
  <c r="F34" i="5"/>
  <c r="I19" i="5"/>
  <c r="F4" i="5"/>
  <c r="I16" i="5"/>
  <c r="G21" i="5"/>
  <c r="H85" i="5"/>
  <c r="F67" i="5"/>
  <c r="H54" i="5"/>
  <c r="H121" i="5"/>
  <c r="G121" i="5"/>
  <c r="F123" i="5"/>
  <c r="I17" i="5"/>
  <c r="I58" i="5"/>
  <c r="G109" i="5"/>
  <c r="E12" i="5"/>
  <c r="F31" i="5"/>
  <c r="H5" i="5"/>
  <c r="G62" i="5"/>
  <c r="G9" i="5"/>
  <c r="I118" i="5"/>
  <c r="I12" i="5"/>
  <c r="A7" i="5"/>
  <c r="D14" i="6" s="1"/>
  <c r="G25" i="5"/>
  <c r="F112" i="5"/>
  <c r="E122" i="5"/>
  <c r="H19" i="5"/>
  <c r="F118" i="5"/>
  <c r="F73" i="5"/>
  <c r="F92" i="5"/>
  <c r="I34" i="5"/>
  <c r="H113" i="5"/>
  <c r="I69" i="5"/>
  <c r="G26" i="5"/>
  <c r="F60" i="5"/>
  <c r="I59" i="5"/>
  <c r="E110" i="5"/>
  <c r="H7" i="5"/>
  <c r="I38" i="5"/>
  <c r="H4" i="5"/>
  <c r="F95" i="5"/>
  <c r="G102" i="5"/>
  <c r="I42" i="5"/>
  <c r="E76" i="5"/>
  <c r="I109" i="5"/>
  <c r="G96" i="5"/>
  <c r="I123" i="5"/>
  <c r="F54" i="5"/>
  <c r="G125" i="5"/>
  <c r="H83" i="5"/>
  <c r="G95" i="5"/>
  <c r="H116" i="5"/>
  <c r="E37" i="5"/>
  <c r="I44" i="5"/>
  <c r="E74" i="5"/>
  <c r="G98" i="5"/>
  <c r="E89" i="5"/>
  <c r="G122" i="5"/>
  <c r="I80" i="5"/>
  <c r="H48" i="5"/>
  <c r="F74" i="5"/>
  <c r="G19" i="5"/>
  <c r="E59" i="5"/>
  <c r="I52" i="5"/>
  <c r="H27" i="5"/>
  <c r="E28" i="5"/>
  <c r="G73" i="5"/>
  <c r="H22" i="5"/>
  <c r="E11" i="5"/>
  <c r="G71" i="5"/>
  <c r="F107" i="5"/>
  <c r="H61" i="5"/>
  <c r="H77" i="5"/>
  <c r="G65" i="5"/>
  <c r="G32" i="5"/>
  <c r="E9" i="5"/>
  <c r="H98" i="5"/>
  <c r="F62" i="5"/>
  <c r="F104" i="5"/>
  <c r="G60" i="5"/>
  <c r="I50" i="5"/>
  <c r="I28" i="5"/>
  <c r="E49" i="5"/>
  <c r="I31" i="5"/>
  <c r="H25" i="5"/>
  <c r="G77" i="5"/>
  <c r="E121" i="5"/>
  <c r="G18" i="5"/>
  <c r="E39" i="5"/>
  <c r="G44" i="5"/>
  <c r="E50" i="5"/>
  <c r="G112" i="5"/>
  <c r="E91" i="5"/>
  <c r="I39" i="5"/>
  <c r="H63" i="5"/>
  <c r="H60" i="5"/>
  <c r="E7" i="5"/>
  <c r="G116" i="5"/>
  <c r="E71" i="5"/>
  <c r="I86" i="5"/>
  <c r="H32" i="5"/>
  <c r="G118" i="5"/>
  <c r="F44" i="5"/>
  <c r="F35" i="5"/>
  <c r="G82" i="5"/>
  <c r="E60" i="5"/>
  <c r="H14" i="5"/>
  <c r="F98" i="5"/>
  <c r="G5" i="5"/>
  <c r="G52" i="5"/>
  <c r="E8" i="5"/>
  <c r="H81" i="5"/>
  <c r="E47" i="5"/>
  <c r="E97" i="5"/>
  <c r="E67" i="5"/>
  <c r="I99" i="5"/>
  <c r="H117" i="5"/>
  <c r="E105" i="5"/>
  <c r="E98" i="5"/>
  <c r="F38" i="5"/>
  <c r="E61" i="5"/>
  <c r="H91" i="5"/>
  <c r="H123" i="5"/>
  <c r="F12" i="5"/>
  <c r="G7" i="5"/>
  <c r="I72" i="5"/>
  <c r="F39" i="5"/>
  <c r="G15" i="5"/>
  <c r="H56" i="5"/>
  <c r="E109" i="5"/>
  <c r="H51" i="5"/>
  <c r="H94" i="5"/>
  <c r="H23" i="5"/>
  <c r="E2" i="5"/>
  <c r="H12" i="5"/>
  <c r="E43" i="5"/>
  <c r="G104" i="5"/>
  <c r="F121" i="5"/>
  <c r="G89" i="5"/>
  <c r="I18" i="5"/>
  <c r="I53" i="5"/>
  <c r="I51" i="5"/>
  <c r="G110" i="5"/>
  <c r="G91" i="5"/>
  <c r="H38" i="5"/>
  <c r="E99" i="5"/>
  <c r="F81" i="5"/>
  <c r="H103" i="5"/>
  <c r="I121" i="5"/>
  <c r="H20" i="5"/>
  <c r="F10" i="5"/>
  <c r="F8" i="5"/>
  <c r="E119" i="5"/>
  <c r="F17" i="5"/>
  <c r="G59" i="5"/>
  <c r="I97" i="5"/>
  <c r="E3" i="5"/>
  <c r="I110" i="5"/>
  <c r="G36" i="5"/>
  <c r="E117" i="5"/>
  <c r="I125" i="5"/>
  <c r="I33" i="5"/>
  <c r="E83" i="5"/>
  <c r="G41" i="5"/>
  <c r="F6" i="5"/>
  <c r="I104" i="5"/>
  <c r="I100" i="5"/>
  <c r="F88" i="5"/>
  <c r="I111" i="5"/>
  <c r="E75" i="5"/>
  <c r="H78" i="5"/>
  <c r="E106" i="5"/>
  <c r="F78" i="5"/>
  <c r="E41" i="5"/>
  <c r="F80" i="5"/>
  <c r="G63" i="5"/>
  <c r="E42" i="5"/>
  <c r="F56" i="5"/>
  <c r="I107" i="5"/>
  <c r="G74" i="5"/>
  <c r="G37" i="5"/>
  <c r="G92" i="5"/>
  <c r="E103" i="5"/>
  <c r="I60" i="5"/>
  <c r="F68" i="5"/>
  <c r="H13" i="5"/>
  <c r="E77" i="5"/>
  <c r="I5" i="5"/>
  <c r="I126" i="5"/>
  <c r="G81" i="5"/>
  <c r="H58" i="5"/>
  <c r="G68" i="5"/>
  <c r="G40" i="5"/>
  <c r="I95" i="5"/>
  <c r="H97" i="5"/>
  <c r="H40" i="5"/>
  <c r="G4" i="5"/>
  <c r="E118" i="5"/>
  <c r="G106" i="5"/>
  <c r="G87" i="5"/>
  <c r="E78" i="5"/>
  <c r="E100" i="5"/>
  <c r="F19" i="5"/>
  <c r="G115" i="5"/>
  <c r="F43" i="5"/>
  <c r="F55" i="5"/>
  <c r="H71" i="5"/>
  <c r="I112" i="5"/>
  <c r="H44" i="5"/>
  <c r="F94" i="5"/>
  <c r="E64" i="5"/>
  <c r="F50" i="5"/>
  <c r="E17" i="5"/>
  <c r="I87" i="5"/>
  <c r="I119" i="5"/>
  <c r="E124" i="5"/>
  <c r="H75" i="5"/>
  <c r="F109" i="5"/>
  <c r="E101" i="5"/>
  <c r="F45" i="5"/>
  <c r="H6" i="5"/>
  <c r="E6" i="5"/>
  <c r="I65" i="5"/>
  <c r="F108" i="5"/>
  <c r="F93" i="5"/>
  <c r="E44" i="5"/>
  <c r="H8" i="5"/>
  <c r="G42" i="5"/>
  <c r="G114" i="5"/>
  <c r="G35" i="5"/>
  <c r="I63" i="5"/>
  <c r="I124" i="5"/>
  <c r="H68" i="5"/>
  <c r="G69" i="5"/>
  <c r="G124" i="5"/>
  <c r="F15" i="5"/>
  <c r="E25" i="5"/>
  <c r="G45" i="5"/>
  <c r="F30" i="5"/>
  <c r="G48" i="5"/>
  <c r="AA17" i="12"/>
  <c r="E95" i="5"/>
  <c r="I62" i="5"/>
  <c r="F52" i="5"/>
  <c r="G86" i="5"/>
  <c r="H45" i="5"/>
  <c r="I82" i="5"/>
  <c r="I32" i="5"/>
  <c r="I41" i="5"/>
  <c r="G120" i="5"/>
  <c r="E123" i="5"/>
  <c r="I61" i="5"/>
  <c r="H108" i="5"/>
  <c r="F42" i="5"/>
  <c r="F83" i="5"/>
  <c r="E126" i="5"/>
  <c r="G58" i="5"/>
  <c r="F116" i="5"/>
  <c r="E45" i="5"/>
  <c r="F23" i="5"/>
  <c r="I105" i="5"/>
  <c r="E35" i="5"/>
  <c r="H16" i="5"/>
  <c r="E33" i="5"/>
  <c r="H92" i="5"/>
  <c r="E5" i="5"/>
  <c r="G8" i="5"/>
  <c r="G79" i="5"/>
  <c r="E19" i="5"/>
  <c r="I24" i="5"/>
  <c r="G24" i="5"/>
  <c r="F106" i="5"/>
  <c r="I94" i="5"/>
  <c r="F24" i="5"/>
  <c r="I106" i="5"/>
  <c r="I14" i="5"/>
  <c r="H24" i="5"/>
  <c r="I122" i="5"/>
  <c r="H76" i="5"/>
  <c r="F59" i="5"/>
  <c r="E69" i="5"/>
  <c r="I48" i="5"/>
  <c r="H67" i="5"/>
  <c r="G90" i="5"/>
  <c r="F89" i="5"/>
  <c r="F103" i="5"/>
  <c r="F61" i="5"/>
  <c r="F77" i="5"/>
  <c r="F100" i="5"/>
  <c r="E30" i="5"/>
  <c r="I46" i="5"/>
  <c r="H46" i="5"/>
  <c r="I85" i="5"/>
  <c r="F66" i="5"/>
  <c r="E52" i="5"/>
  <c r="G108" i="5"/>
  <c r="D15" i="6"/>
  <c r="I13" i="5"/>
  <c r="F27" i="5"/>
  <c r="H2" i="5"/>
  <c r="E79" i="5"/>
  <c r="F41" i="5"/>
  <c r="H125" i="5"/>
  <c r="I120" i="5"/>
  <c r="H18" i="5"/>
  <c r="G123" i="5"/>
  <c r="E70" i="5"/>
  <c r="H9" i="5"/>
  <c r="F18" i="5"/>
  <c r="G28" i="5"/>
  <c r="G97" i="5"/>
  <c r="I108" i="5"/>
  <c r="H106" i="5"/>
  <c r="H47" i="5"/>
  <c r="I101" i="5"/>
  <c r="H53" i="5"/>
  <c r="G17" i="5"/>
  <c r="E56" i="5"/>
  <c r="I6" i="5"/>
  <c r="I49" i="5"/>
  <c r="F76" i="5"/>
  <c r="I10" i="5"/>
  <c r="I81" i="5"/>
  <c r="F28" i="5"/>
  <c r="H26" i="5"/>
  <c r="E10" i="5"/>
  <c r="H74" i="5"/>
  <c r="I11" i="5"/>
  <c r="F124" i="5"/>
  <c r="G11" i="5"/>
  <c r="F111" i="5"/>
  <c r="I68" i="5"/>
  <c r="H62" i="5"/>
  <c r="F85" i="5"/>
  <c r="I67" i="5"/>
  <c r="H37" i="5"/>
  <c r="I21" i="5"/>
  <c r="F7" i="5"/>
  <c r="F48" i="5"/>
  <c r="E24" i="5"/>
  <c r="H33" i="5"/>
  <c r="H3" i="5"/>
  <c r="H66" i="5"/>
  <c r="H96" i="5"/>
  <c r="H57" i="5"/>
  <c r="H100" i="5"/>
  <c r="F90" i="5"/>
  <c r="I64" i="5"/>
  <c r="H49" i="5"/>
  <c r="F119" i="5"/>
  <c r="I26" i="5"/>
  <c r="H15" i="5"/>
  <c r="F110" i="5"/>
  <c r="F82" i="5"/>
  <c r="G72" i="5"/>
  <c r="G33" i="5"/>
  <c r="I79" i="5"/>
  <c r="E111" i="5"/>
  <c r="E36" i="5"/>
  <c r="I4" i="5"/>
  <c r="E38" i="5"/>
  <c r="I9" i="5"/>
  <c r="G111" i="5"/>
  <c r="I92" i="5"/>
  <c r="B7" i="5"/>
  <c r="I78" i="5"/>
  <c r="F75" i="5"/>
  <c r="E13" i="5"/>
  <c r="I84" i="5"/>
  <c r="G88" i="5"/>
  <c r="H105" i="5"/>
  <c r="E53" i="5"/>
  <c r="B6" i="5"/>
  <c r="F14" i="5"/>
  <c r="I89" i="5"/>
  <c r="F99" i="5"/>
  <c r="I75" i="5"/>
  <c r="G103" i="5"/>
  <c r="I54" i="5"/>
  <c r="H11" i="5"/>
  <c r="F117" i="5"/>
  <c r="E81" i="5"/>
  <c r="G78" i="5"/>
  <c r="H112" i="5"/>
  <c r="H90" i="5"/>
  <c r="E85" i="5"/>
  <c r="H31" i="5"/>
  <c r="G84" i="5"/>
  <c r="G50" i="5"/>
  <c r="G76" i="5"/>
  <c r="I20" i="5"/>
  <c r="H124" i="5"/>
  <c r="H93" i="5"/>
  <c r="G6" i="5"/>
  <c r="H119" i="5"/>
  <c r="F25" i="5"/>
  <c r="E73" i="5"/>
  <c r="H41" i="5"/>
  <c r="F79" i="5"/>
  <c r="F32" i="5"/>
  <c r="H39" i="5"/>
  <c r="D30" i="6"/>
  <c r="F37" i="5"/>
  <c r="I36" i="5"/>
  <c r="F72" i="5"/>
  <c r="G64" i="5"/>
  <c r="G20" i="5"/>
  <c r="E14" i="5"/>
  <c r="I3" i="5"/>
  <c r="I103" i="5"/>
  <c r="E27" i="5"/>
  <c r="H29" i="5"/>
  <c r="E58" i="5"/>
  <c r="G47" i="5"/>
  <c r="F29" i="5"/>
  <c r="H115" i="5"/>
  <c r="F53" i="5"/>
  <c r="I102" i="5"/>
  <c r="G126" i="5"/>
  <c r="G105" i="5"/>
  <c r="F58" i="5"/>
  <c r="F71" i="5"/>
  <c r="E92" i="5"/>
  <c r="E108" i="5"/>
  <c r="G54" i="5"/>
  <c r="G29" i="5"/>
  <c r="E114" i="5"/>
  <c r="E22" i="5"/>
  <c r="E55" i="5"/>
  <c r="E66" i="5"/>
  <c r="H35" i="5"/>
  <c r="H120" i="5"/>
  <c r="E51" i="5"/>
  <c r="I91" i="5"/>
  <c r="F3" i="5"/>
  <c r="E87" i="5"/>
  <c r="F87" i="5"/>
  <c r="H109" i="5"/>
  <c r="F57" i="5"/>
  <c r="I66" i="5"/>
  <c r="G119" i="5"/>
  <c r="H72" i="5"/>
  <c r="E15" i="5"/>
  <c r="F2" i="5"/>
  <c r="E34" i="5"/>
  <c r="G49" i="5"/>
  <c r="F16" i="5"/>
  <c r="I77" i="5"/>
  <c r="H70" i="5"/>
  <c r="I47" i="5"/>
  <c r="H111" i="5"/>
  <c r="H107" i="5"/>
  <c r="I29" i="5"/>
  <c r="H17" i="5"/>
  <c r="E54" i="5"/>
  <c r="F20" i="5"/>
  <c r="G46" i="5"/>
  <c r="F114" i="5"/>
  <c r="E23" i="5"/>
  <c r="H88" i="5"/>
  <c r="H69" i="5"/>
  <c r="E82" i="5"/>
  <c r="F9" i="5"/>
  <c r="E29" i="5"/>
  <c r="F86" i="5"/>
  <c r="I57" i="5"/>
  <c r="H73" i="5"/>
  <c r="F84" i="5"/>
  <c r="H79" i="5"/>
  <c r="I76" i="5"/>
  <c r="H84" i="5"/>
  <c r="G51" i="5"/>
  <c r="F96" i="5"/>
  <c r="E93" i="5"/>
  <c r="H86" i="5"/>
  <c r="F69" i="5"/>
  <c r="E31" i="5"/>
  <c r="I96" i="5"/>
  <c r="E20" i="5"/>
  <c r="I56" i="5"/>
  <c r="I90" i="5"/>
  <c r="F36" i="5"/>
  <c r="E96" i="5"/>
  <c r="I43" i="5"/>
  <c r="G101" i="5"/>
  <c r="J1" i="5" a="1"/>
  <c r="G34" i="5"/>
  <c r="H99" i="5"/>
  <c r="I98" i="5"/>
  <c r="E120" i="5"/>
  <c r="G30" i="5"/>
  <c r="F40" i="5"/>
  <c r="E62" i="5"/>
  <c r="F63" i="5"/>
  <c r="E48" i="5"/>
  <c r="I83" i="5"/>
  <c r="G13" i="5"/>
  <c r="I115" i="5"/>
  <c r="E68" i="5"/>
  <c r="I22" i="5"/>
  <c r="H42" i="5"/>
  <c r="E125" i="5"/>
  <c r="I45" i="5"/>
  <c r="I71" i="5"/>
  <c r="F49" i="5"/>
  <c r="G56" i="5"/>
  <c r="E112" i="5"/>
  <c r="F22" i="5"/>
  <c r="H30" i="5"/>
  <c r="H34" i="5"/>
  <c r="F33" i="5"/>
  <c r="G66" i="5"/>
  <c r="G39" i="5"/>
  <c r="I88" i="5"/>
  <c r="I70" i="5"/>
  <c r="C28" i="6" s="1"/>
  <c r="G14" i="5"/>
  <c r="G93" i="5"/>
  <c r="H87" i="5"/>
  <c r="H110" i="5"/>
  <c r="H126" i="5"/>
  <c r="G31" i="5"/>
  <c r="H55" i="5"/>
  <c r="H28" i="5"/>
  <c r="H43" i="5"/>
  <c r="E94" i="5"/>
  <c r="H10" i="5"/>
  <c r="H101" i="5"/>
  <c r="M28" i="12"/>
  <c r="C27" i="6"/>
  <c r="N28" i="12"/>
  <c r="O28" i="12"/>
  <c r="P28" i="12"/>
  <c r="Q28" i="12" l="1"/>
  <c r="J100" i="5"/>
  <c r="J46" i="5"/>
  <c r="J15" i="5"/>
  <c r="J44" i="5"/>
  <c r="J122" i="5"/>
  <c r="J89" i="5"/>
  <c r="J64" i="5"/>
  <c r="J50" i="5"/>
  <c r="J83" i="5"/>
  <c r="J31" i="5"/>
  <c r="J26" i="5"/>
  <c r="J67" i="5"/>
  <c r="J17" i="5"/>
  <c r="J23" i="5"/>
  <c r="J125" i="5"/>
  <c r="J6" i="5"/>
  <c r="J54" i="5"/>
  <c r="J79" i="5"/>
  <c r="J87" i="5"/>
  <c r="J43" i="5"/>
  <c r="J16" i="5"/>
  <c r="J36" i="5"/>
  <c r="J111" i="5"/>
  <c r="J109" i="5"/>
  <c r="J62" i="5"/>
  <c r="J5" i="5"/>
  <c r="J60" i="5"/>
  <c r="J110" i="5"/>
  <c r="J37" i="5"/>
  <c r="J116" i="5"/>
  <c r="J72" i="5"/>
  <c r="J102" i="5"/>
  <c r="J104" i="5"/>
  <c r="J35" i="5"/>
  <c r="J114" i="5"/>
  <c r="J1" i="5"/>
  <c r="J68" i="5"/>
  <c r="J77" i="5"/>
  <c r="J58" i="5"/>
  <c r="J24" i="5"/>
  <c r="J71" i="5"/>
  <c r="J39" i="5"/>
  <c r="J124" i="5"/>
  <c r="J113" i="5"/>
  <c r="J81" i="5"/>
  <c r="J55" i="5"/>
  <c r="J106" i="5"/>
  <c r="J21" i="5"/>
  <c r="J82" i="5"/>
  <c r="J29" i="5"/>
  <c r="J75" i="5"/>
  <c r="J18" i="5"/>
  <c r="J107" i="5"/>
  <c r="J51" i="5"/>
  <c r="J40" i="5"/>
  <c r="J20" i="5"/>
  <c r="J115" i="5"/>
  <c r="J123" i="5"/>
  <c r="J96" i="5"/>
  <c r="J91" i="5"/>
  <c r="J93" i="5"/>
  <c r="J65" i="5"/>
  <c r="J8" i="5"/>
  <c r="J90" i="5"/>
  <c r="J9" i="5"/>
  <c r="J56" i="5"/>
  <c r="J70" i="5"/>
  <c r="J33" i="5"/>
  <c r="J95" i="5"/>
  <c r="J84" i="5"/>
  <c r="J78" i="5"/>
  <c r="J30" i="5"/>
  <c r="J53" i="5"/>
  <c r="J49" i="5"/>
  <c r="J105" i="5"/>
  <c r="J13" i="5"/>
  <c r="J48" i="5"/>
  <c r="J103" i="5"/>
  <c r="J41" i="5"/>
  <c r="J4" i="5"/>
  <c r="J19" i="5"/>
  <c r="J57" i="5"/>
  <c r="J108" i="5"/>
  <c r="J119" i="5"/>
  <c r="J94" i="5"/>
  <c r="J80" i="5"/>
  <c r="J121" i="5"/>
  <c r="J22" i="5"/>
  <c r="J126" i="5"/>
  <c r="J7" i="5"/>
  <c r="J34" i="5"/>
  <c r="J120" i="5"/>
  <c r="J74" i="5"/>
  <c r="J69" i="5"/>
  <c r="J14" i="5"/>
  <c r="J86" i="5"/>
  <c r="J76" i="5"/>
  <c r="J66" i="5"/>
  <c r="J112" i="5"/>
  <c r="J25" i="5"/>
  <c r="J117" i="5"/>
  <c r="J85" i="5"/>
  <c r="J97" i="5"/>
  <c r="J59" i="5"/>
  <c r="J99" i="5"/>
  <c r="J63" i="5"/>
  <c r="J12" i="5"/>
  <c r="J27" i="5"/>
  <c r="J45" i="5"/>
  <c r="J118" i="5"/>
  <c r="J10" i="5"/>
  <c r="J11" i="5"/>
  <c r="J98" i="5"/>
  <c r="J42" i="5"/>
  <c r="J38" i="5"/>
  <c r="J47" i="5"/>
  <c r="J3" i="5"/>
  <c r="J28" i="5"/>
  <c r="J73" i="5"/>
  <c r="J88" i="5"/>
  <c r="J2" i="5"/>
  <c r="J52" i="5"/>
  <c r="J32" i="5"/>
  <c r="J92" i="5"/>
  <c r="J61" i="5"/>
  <c r="J101" i="5"/>
  <c r="M20" i="12"/>
  <c r="M19" i="12"/>
  <c r="M23" i="12"/>
  <c r="Z17" i="12"/>
  <c r="M21" i="12"/>
  <c r="M27" i="12"/>
  <c r="M25" i="12"/>
  <c r="M26" i="12"/>
  <c r="Z19" i="12" a="1"/>
  <c r="M29" i="12"/>
  <c r="M30" i="12"/>
  <c r="R28" i="12"/>
  <c r="M22" i="12"/>
  <c r="D29" i="6"/>
  <c r="M24" i="12"/>
  <c r="O20" i="12"/>
  <c r="N20" i="12"/>
  <c r="P20" i="12"/>
  <c r="P19" i="12"/>
  <c r="N19" i="12"/>
  <c r="O19" i="12"/>
  <c r="N23" i="12"/>
  <c r="O23" i="12"/>
  <c r="P23" i="12"/>
  <c r="P21" i="12"/>
  <c r="O21" i="12"/>
  <c r="N21" i="12"/>
  <c r="N27" i="12"/>
  <c r="O27" i="12"/>
  <c r="P27" i="12"/>
  <c r="P25" i="12"/>
  <c r="N25" i="12"/>
  <c r="O25" i="12"/>
  <c r="O26" i="12"/>
  <c r="P26" i="12"/>
  <c r="N26" i="12"/>
  <c r="P29" i="12"/>
  <c r="O29" i="12"/>
  <c r="N29" i="12"/>
  <c r="P30" i="12"/>
  <c r="N30" i="12"/>
  <c r="O30" i="12"/>
  <c r="N22" i="12"/>
  <c r="O22" i="12"/>
  <c r="P22" i="12"/>
  <c r="P24" i="12"/>
  <c r="O24" i="12"/>
  <c r="N24" i="12"/>
  <c r="Q24" i="12" l="1"/>
  <c r="Q22" i="12"/>
  <c r="Q30" i="12"/>
  <c r="Q29" i="12"/>
  <c r="Q26" i="12"/>
  <c r="Q25" i="12"/>
  <c r="Q27" i="12"/>
  <c r="Q21" i="12"/>
  <c r="Q23" i="12"/>
  <c r="Q19" i="12"/>
  <c r="Q20" i="12"/>
  <c r="Z3358" i="12"/>
  <c r="Z2846" i="12"/>
  <c r="Z2334" i="12"/>
  <c r="Z1822" i="12"/>
  <c r="Z1310" i="12"/>
  <c r="Z798" i="12"/>
  <c r="Z286" i="12"/>
  <c r="Z3309" i="12"/>
  <c r="Z2797" i="12"/>
  <c r="Z3305" i="12"/>
  <c r="Z2623" i="12"/>
  <c r="Z3110" i="12"/>
  <c r="Z2518" i="12"/>
  <c r="Z1934" i="12"/>
  <c r="Z1350" i="12"/>
  <c r="Z766" i="12"/>
  <c r="Z182" i="12"/>
  <c r="Z3133" i="12"/>
  <c r="Z2549" i="12"/>
  <c r="Z2867" i="12"/>
  <c r="Z2189" i="12"/>
  <c r="Z1604" i="12"/>
  <c r="Z1019" i="12"/>
  <c r="Z434" i="12"/>
  <c r="Z1183" i="12"/>
  <c r="Z168" i="12"/>
  <c r="Z2215" i="12"/>
  <c r="Z779" i="12"/>
  <c r="Z3292" i="12"/>
  <c r="Z2600" i="12"/>
  <c r="Z1987" i="12"/>
  <c r="Z1347" i="12"/>
  <c r="Z3206" i="12"/>
  <c r="Z2542" i="12"/>
  <c r="Z1870" i="12"/>
  <c r="Z1198" i="12"/>
  <c r="Z526" i="12"/>
  <c r="Z3397" i="12"/>
  <c r="Z2725" i="12"/>
  <c r="Z3007" i="12"/>
  <c r="Z2208" i="12"/>
  <c r="Z1540" i="12"/>
  <c r="Z864" i="12"/>
  <c r="Z196" i="12"/>
  <c r="Z616" i="12"/>
  <c r="Z2673" i="12"/>
  <c r="Z1017" i="12"/>
  <c r="Z3314" i="12"/>
  <c r="Z2524" i="12"/>
  <c r="Z1832" i="12"/>
  <c r="Z789" i="12"/>
  <c r="Z2823" i="12"/>
  <c r="Z1401" i="12"/>
  <c r="Z3536" i="12"/>
  <c r="Z349" i="12"/>
  <c r="Z2730" i="12"/>
  <c r="Z1755" i="12"/>
  <c r="Z820" i="12"/>
  <c r="Z3340" i="12"/>
  <c r="Z2237" i="12"/>
  <c r="Z1287" i="12"/>
  <c r="Z336" i="12"/>
  <c r="Z2367" i="12"/>
  <c r="Z993" i="12"/>
  <c r="Z2996" i="12"/>
  <c r="Z1240" i="12"/>
  <c r="Z2564" i="12"/>
  <c r="Z284" i="12"/>
  <c r="Z547" i="12"/>
  <c r="Z3198" i="12"/>
  <c r="Z2534" i="12"/>
  <c r="Z1854" i="12"/>
  <c r="Z1190" i="12"/>
  <c r="Z518" i="12"/>
  <c r="Z3389" i="12"/>
  <c r="Z2717" i="12"/>
  <c r="Z2995" i="12"/>
  <c r="Z2199" i="12"/>
  <c r="Z1522" i="12"/>
  <c r="Z855" i="12"/>
  <c r="Z2750" i="12"/>
  <c r="Z1846" i="12"/>
  <c r="Z966" i="12"/>
  <c r="Z70" i="12"/>
  <c r="Z2709" i="12"/>
  <c r="Z2697" i="12"/>
  <c r="Z1741" i="12"/>
  <c r="Z845" i="12"/>
  <c r="Z87" i="12"/>
  <c r="Z250" i="12"/>
  <c r="Z1922" i="12"/>
  <c r="Z3524" i="12"/>
  <c r="Z2728" i="12"/>
  <c r="Z1905" i="12"/>
  <c r="Z753" i="12"/>
  <c r="Z2567" i="12"/>
  <c r="Z962" i="12"/>
  <c r="Z2160" i="12"/>
  <c r="Z3171" i="12"/>
  <c r="Z2003" i="12"/>
  <c r="Z922" i="12"/>
  <c r="Z3276" i="12"/>
  <c r="Z2075" i="12"/>
  <c r="Z994" i="12"/>
  <c r="Z3136" i="12"/>
  <c r="Z1517" i="12"/>
  <c r="Z42" i="12"/>
  <c r="Z1443" i="12"/>
  <c r="Z2498" i="12"/>
  <c r="Z3416" i="12"/>
  <c r="Z2218" i="12"/>
  <c r="Z316" i="12"/>
  <c r="Z490" i="12"/>
  <c r="Z904" i="12"/>
  <c r="Z1752" i="12"/>
  <c r="Z3395" i="12"/>
  <c r="Z2274" i="12"/>
  <c r="Z3096" i="12"/>
  <c r="Z721" i="12"/>
  <c r="Z252" i="12"/>
  <c r="Z3284" i="12"/>
  <c r="Z2785" i="12"/>
  <c r="Z3302" i="12"/>
  <c r="Z2406" i="12"/>
  <c r="Z1510" i="12"/>
  <c r="Z630" i="12"/>
  <c r="Z3261" i="12"/>
  <c r="Z3411" i="12"/>
  <c r="Z2299" i="12"/>
  <c r="Z1403" i="12"/>
  <c r="Z553" i="12"/>
  <c r="Z1082" i="12"/>
  <c r="Z3111" i="12"/>
  <c r="Z1172" i="12"/>
  <c r="Z3272" i="12"/>
  <c r="Z2389" i="12"/>
  <c r="Z1603" i="12"/>
  <c r="Z140" i="12"/>
  <c r="Z1931" i="12"/>
  <c r="Z2766" i="12"/>
  <c r="Z1582" i="12"/>
  <c r="Z382" i="12"/>
  <c r="Z2749" i="12"/>
  <c r="Z2354" i="12"/>
  <c r="Z1156" i="12"/>
  <c r="Z105" i="12"/>
  <c r="Z3291" i="12"/>
  <c r="Z688" i="12"/>
  <c r="Z2748" i="12"/>
  <c r="Z1676" i="12"/>
  <c r="Z3175" i="12"/>
  <c r="Z1072" i="12"/>
  <c r="Z1831" i="12"/>
  <c r="Z2900" i="12"/>
  <c r="Z1609" i="12"/>
  <c r="Z381" i="12"/>
  <c r="Z2441" i="12"/>
  <c r="Z1213" i="12"/>
  <c r="Z3235" i="12"/>
  <c r="Z1400" i="12"/>
  <c r="Z3031" i="12"/>
  <c r="Z683" i="12"/>
  <c r="Z1105" i="12"/>
  <c r="Z738" i="12"/>
  <c r="Z695" i="12"/>
  <c r="Z709" i="12"/>
  <c r="Z656" i="12"/>
  <c r="Z1341" i="12"/>
  <c r="Z2480" i="12"/>
  <c r="Z1205" i="12"/>
  <c r="Z2009" i="12"/>
  <c r="Z1012" i="12"/>
  <c r="Z63" i="12"/>
  <c r="Z2448" i="12"/>
  <c r="Z1744" i="12"/>
  <c r="Z1322" i="12"/>
  <c r="Z793" i="12"/>
  <c r="Z2582" i="12"/>
  <c r="Z1414" i="12"/>
  <c r="Z230" i="12"/>
  <c r="Z2573" i="12"/>
  <c r="Z2217" i="12"/>
  <c r="Z1001" i="12"/>
  <c r="Z1375" i="12"/>
  <c r="Z2929" i="12"/>
  <c r="Z331" i="12"/>
  <c r="Z2568" i="12"/>
  <c r="Z1530" i="12"/>
  <c r="Z2865" i="12"/>
  <c r="Z807" i="12"/>
  <c r="Z1291" i="12"/>
  <c r="Z2679" i="12"/>
  <c r="Z1434" i="12"/>
  <c r="Z207" i="12"/>
  <c r="Z2282" i="12"/>
  <c r="Z1039" i="12"/>
  <c r="Z2979" i="12"/>
  <c r="Z1168" i="12"/>
  <c r="Z2686" i="12"/>
  <c r="Z1094" i="12"/>
  <c r="Z3085" i="12"/>
  <c r="Z2272" i="12"/>
  <c r="Z708" i="12"/>
  <c r="Z351" i="12"/>
  <c r="Z551" i="12"/>
  <c r="Z2280" i="12"/>
  <c r="Z314" i="12"/>
  <c r="Z944" i="12"/>
  <c r="Z75" i="12"/>
  <c r="Z1946" i="12"/>
  <c r="Z308" i="12"/>
  <c r="Z1957" i="12"/>
  <c r="Z320" i="12"/>
  <c r="Z1269" i="12"/>
  <c r="Z2467" i="12"/>
  <c r="Z2992" i="12"/>
  <c r="Z2819" i="12"/>
  <c r="Z1308" i="12"/>
  <c r="Z1336" i="12"/>
  <c r="Z729" i="12"/>
  <c r="Z1020" i="12"/>
  <c r="Z2991" i="12"/>
  <c r="Z3375" i="12"/>
  <c r="Z2954" i="12"/>
  <c r="Z1351" i="12"/>
  <c r="Z3193" i="12"/>
  <c r="Z1801" i="12"/>
  <c r="Z794" i="12"/>
  <c r="Z3387" i="12"/>
  <c r="Z2486" i="12"/>
  <c r="Z894" i="12"/>
  <c r="Z2845" i="12"/>
  <c r="Z2089" i="12"/>
  <c r="Z525" i="12"/>
  <c r="Z3515" i="12"/>
  <c r="Z112" i="12"/>
  <c r="Z2124" i="12"/>
  <c r="Z3047" i="12"/>
  <c r="Z276" i="12"/>
  <c r="Z3257" i="12"/>
  <c r="Z1507" i="12"/>
  <c r="Z3320" i="12"/>
  <c r="Z1551" i="12"/>
  <c r="Z3083" i="12"/>
  <c r="Z684" i="12"/>
  <c r="Z1679" i="12"/>
  <c r="Z1925" i="12"/>
  <c r="Z1307" i="12"/>
  <c r="Z666" i="12"/>
  <c r="Z165" i="12"/>
  <c r="Z3115" i="12"/>
  <c r="Z98" i="12"/>
  <c r="Z1819" i="12"/>
  <c r="Z2681" i="12"/>
  <c r="Z952" i="12"/>
  <c r="Z2799" i="12"/>
  <c r="Z1160" i="12"/>
  <c r="Z2970" i="12"/>
  <c r="Z1963" i="12"/>
  <c r="Z2662" i="12"/>
  <c r="Z1046" i="12"/>
  <c r="Z3005" i="12"/>
  <c r="Z2244" i="12"/>
  <c r="Z516" i="12"/>
  <c r="Z3035" i="12"/>
  <c r="Z3432" i="12"/>
  <c r="Z1887" i="12"/>
  <c r="Z2951" i="12"/>
  <c r="Z258" i="12"/>
  <c r="Z3204" i="12"/>
  <c r="Z1222" i="12"/>
  <c r="Z3187" i="12"/>
  <c r="Z589" i="12"/>
  <c r="Z1547" i="12"/>
  <c r="Z1877" i="12"/>
  <c r="Z1309" i="12"/>
  <c r="Z2915" i="12"/>
  <c r="Z629" i="12"/>
  <c r="Z1770" i="12"/>
  <c r="Z2604" i="12"/>
  <c r="Z2927" i="12"/>
  <c r="Z2531" i="12"/>
  <c r="Z503" i="12"/>
  <c r="Z2258" i="12"/>
  <c r="Z201" i="12"/>
  <c r="Z3481" i="12"/>
  <c r="Z677" i="12"/>
  <c r="Z2357" i="12"/>
  <c r="Z2459" i="12"/>
  <c r="Z2647" i="12"/>
  <c r="Z327" i="12"/>
  <c r="Z3439" i="12"/>
  <c r="Z832" i="12"/>
  <c r="Z125" i="12"/>
  <c r="Z2826" i="12"/>
  <c r="Z1305" i="12"/>
  <c r="Z2764" i="12"/>
  <c r="Z772" i="12"/>
  <c r="Z1850" i="12"/>
  <c r="Z3294" i="12"/>
  <c r="Z2782" i="12"/>
  <c r="Z2270" i="12"/>
  <c r="Z1758" i="12"/>
  <c r="Z1246" i="12"/>
  <c r="Z734" i="12"/>
  <c r="Z222" i="12"/>
  <c r="Z3245" i="12"/>
  <c r="Z2733" i="12"/>
  <c r="Z3219" i="12"/>
  <c r="Z2537" i="12"/>
  <c r="Z3030" i="12"/>
  <c r="Z2446" i="12"/>
  <c r="Z1862" i="12"/>
  <c r="Z1278" i="12"/>
  <c r="Z694" i="12"/>
  <c r="Z110" i="12"/>
  <c r="Z3061" i="12"/>
  <c r="Z3551" i="12"/>
  <c r="Z2771" i="12"/>
  <c r="Z2116" i="12"/>
  <c r="Z1531" i="12"/>
  <c r="Z946" i="12"/>
  <c r="Z361" i="12"/>
  <c r="Z1055" i="12"/>
  <c r="Z49" i="12"/>
  <c r="Z2032" i="12"/>
  <c r="Z596" i="12"/>
  <c r="Z3208" i="12"/>
  <c r="Z2514" i="12"/>
  <c r="Z1914" i="12"/>
  <c r="Z1173" i="12"/>
  <c r="Z3126" i="12"/>
  <c r="Z2454" i="12"/>
  <c r="Z1782" i="12"/>
  <c r="Z1110" i="12"/>
  <c r="Z446" i="12"/>
  <c r="Z3317" i="12"/>
  <c r="Z2645" i="12"/>
  <c r="Z2899" i="12"/>
  <c r="Z2125" i="12"/>
  <c r="Z1449" i="12"/>
  <c r="Z781" i="12"/>
  <c r="Z114" i="12"/>
  <c r="Z479" i="12"/>
  <c r="Z2452" i="12"/>
  <c r="Z816" i="12"/>
  <c r="Z3218" i="12"/>
  <c r="Z2426" i="12"/>
  <c r="Z1749" i="12"/>
  <c r="Z634" i="12"/>
  <c r="Z2641" i="12"/>
  <c r="Z1218" i="12"/>
  <c r="Z3527" i="12"/>
  <c r="Z3514" i="12"/>
  <c r="Z2593" i="12"/>
  <c r="Z1637" i="12"/>
  <c r="Z703" i="12"/>
  <c r="Z3170" i="12"/>
  <c r="Z2120" i="12"/>
  <c r="Z1169" i="12"/>
  <c r="Z218" i="12"/>
  <c r="Z2192" i="12"/>
  <c r="Z831" i="12"/>
  <c r="Z2859" i="12"/>
  <c r="Z1004" i="12"/>
  <c r="Z2202" i="12"/>
  <c r="Z36" i="12"/>
  <c r="Z197" i="12"/>
  <c r="Z3118" i="12"/>
  <c r="Z2438" i="12"/>
  <c r="Z1774" i="12"/>
  <c r="Z1102" i="12"/>
  <c r="Z438" i="12"/>
  <c r="Z3301" i="12"/>
  <c r="Z2637" i="12"/>
  <c r="Z2889" i="12"/>
  <c r="Z2107" i="12"/>
  <c r="Z1440" i="12"/>
  <c r="Z3518" i="12"/>
  <c r="Z2638" i="12"/>
  <c r="Z1742" i="12"/>
  <c r="Z846" i="12"/>
  <c r="Z3509" i="12"/>
  <c r="Z2597" i="12"/>
  <c r="Z2527" i="12"/>
  <c r="Z1641" i="12"/>
  <c r="Z754" i="12"/>
  <c r="Z1503" i="12"/>
  <c r="Z104" i="12"/>
  <c r="Z1684" i="12"/>
  <c r="Z3516" i="12"/>
  <c r="Z2610" i="12"/>
  <c r="Z1813" i="12"/>
  <c r="Z561" i="12"/>
  <c r="Z2352" i="12"/>
  <c r="Z761" i="12"/>
  <c r="Z1675" i="12"/>
  <c r="Z3019" i="12"/>
  <c r="Z1857" i="12"/>
  <c r="Z792" i="12"/>
  <c r="Z3119" i="12"/>
  <c r="Z1945" i="12"/>
  <c r="Z848" i="12"/>
  <c r="Z2928" i="12"/>
  <c r="Z1343" i="12"/>
  <c r="Z3216" i="12"/>
  <c r="Z1179" i="12"/>
  <c r="Z2072" i="12"/>
  <c r="Z2923" i="12"/>
  <c r="Z1881" i="12"/>
  <c r="Z109" i="12"/>
  <c r="Z124" i="12"/>
  <c r="Z449" i="12"/>
  <c r="Z1516" i="12"/>
  <c r="Z3043" i="12"/>
  <c r="Z1937" i="12"/>
  <c r="Z2291" i="12"/>
  <c r="Z253" i="12"/>
  <c r="Z3211" i="12"/>
  <c r="Z2731" i="12"/>
  <c r="Z2273" i="12"/>
  <c r="Z3174" i="12"/>
  <c r="Z2294" i="12"/>
  <c r="Z1398" i="12"/>
  <c r="Z502" i="12"/>
  <c r="Z3157" i="12"/>
  <c r="Z3273" i="12"/>
  <c r="Z2171" i="12"/>
  <c r="Z1293" i="12"/>
  <c r="Z461" i="12"/>
  <c r="Z890" i="12"/>
  <c r="Z2855" i="12"/>
  <c r="Z935" i="12"/>
  <c r="Z3164" i="12"/>
  <c r="Z2298" i="12"/>
  <c r="Z1512" i="12"/>
  <c r="Z3463" i="12"/>
  <c r="Z1739" i="12"/>
  <c r="Z2606" i="12"/>
  <c r="Z1430" i="12"/>
  <c r="Z238" i="12"/>
  <c r="Z2581" i="12"/>
  <c r="Z2226" i="12"/>
  <c r="Z1010" i="12"/>
  <c r="Z1393" i="12"/>
  <c r="Z2961" i="12"/>
  <c r="Z359" i="12"/>
  <c r="Z2578" i="12"/>
  <c r="Z1548" i="12"/>
  <c r="Z2897" i="12"/>
  <c r="Z834" i="12"/>
  <c r="Z1337" i="12"/>
  <c r="Z2712" i="12"/>
  <c r="Z1450" i="12"/>
  <c r="Z219" i="12"/>
  <c r="Z2295" i="12"/>
  <c r="Z1067" i="12"/>
  <c r="Z2999" i="12"/>
  <c r="Z1196" i="12"/>
  <c r="Z2808" i="12"/>
  <c r="Z362" i="12"/>
  <c r="Z739" i="12"/>
  <c r="Z344" i="12"/>
  <c r="Z418" i="12"/>
  <c r="Z255" i="12"/>
  <c r="Z144" i="12"/>
  <c r="Z1077" i="12"/>
  <c r="Z463" i="12"/>
  <c r="Z840" i="12"/>
  <c r="Z1481" i="12"/>
  <c r="Z484" i="12"/>
  <c r="Z2936" i="12"/>
  <c r="Z1920" i="12"/>
  <c r="Z1276" i="12"/>
  <c r="Z851" i="12"/>
  <c r="Z147" i="12"/>
  <c r="Z2470" i="12"/>
  <c r="Z1254" i="12"/>
  <c r="Z78" i="12"/>
  <c r="Z3497" i="12"/>
  <c r="Z2052" i="12"/>
  <c r="Z882" i="12"/>
  <c r="Z1146" i="12"/>
  <c r="Z2523" i="12"/>
  <c r="Z57" i="12"/>
  <c r="Z2444" i="12"/>
  <c r="Z1329" i="12"/>
  <c r="Z2587" i="12"/>
  <c r="Z587" i="12"/>
  <c r="Z615" i="12"/>
  <c r="Z2507" i="12"/>
  <c r="Z1272" i="12"/>
  <c r="Z60" i="12"/>
  <c r="Z2136" i="12"/>
  <c r="Z892" i="12"/>
  <c r="Z2743" i="12"/>
  <c r="Z932" i="12"/>
  <c r="Z2494" i="12"/>
  <c r="Z902" i="12"/>
  <c r="Z2853" i="12"/>
  <c r="Z2098" i="12"/>
  <c r="Z544" i="12"/>
  <c r="Z3547" i="12"/>
  <c r="Z139" i="12"/>
  <c r="Z2133" i="12"/>
  <c r="Z3409" i="12"/>
  <c r="Z651" i="12"/>
  <c r="Z3280" i="12"/>
  <c r="Z1711" i="12"/>
  <c r="Z101" i="12"/>
  <c r="Z1738" i="12"/>
  <c r="Z88" i="12"/>
  <c r="Z1034" i="12"/>
  <c r="Z2117" i="12"/>
  <c r="Z2450" i="12"/>
  <c r="Z2140" i="12"/>
  <c r="Z1032" i="12"/>
  <c r="Z767" i="12"/>
  <c r="Z99" i="12"/>
  <c r="Z728" i="12"/>
  <c r="Z2563" i="12"/>
  <c r="Z2173" i="12"/>
  <c r="Z2300" i="12"/>
  <c r="Z705" i="12"/>
  <c r="Z2511" i="12"/>
  <c r="Z1216" i="12"/>
  <c r="Z266" i="12"/>
  <c r="Z2219" i="12"/>
  <c r="Z2254" i="12"/>
  <c r="Z710" i="12"/>
  <c r="Z2653" i="12"/>
  <c r="Z1879" i="12"/>
  <c r="Z388" i="12"/>
  <c r="Z3057" i="12"/>
  <c r="Z3442" i="12"/>
  <c r="Z1951" i="12"/>
  <c r="Z2663" i="12"/>
  <c r="Z20" i="12"/>
  <c r="Z2986" i="12"/>
  <c r="Z1316" i="12"/>
  <c r="Z3066" i="12"/>
  <c r="Z1315" i="12"/>
  <c r="Z2794" i="12"/>
  <c r="Z436" i="12"/>
  <c r="Z1354" i="12"/>
  <c r="Z1499" i="12"/>
  <c r="Z693" i="12"/>
  <c r="Z373" i="12"/>
  <c r="Z3339" i="12"/>
  <c r="Z2519" i="12"/>
  <c r="Z3233" i="12"/>
  <c r="Z1527" i="12"/>
  <c r="Z1948" i="12"/>
  <c r="Z367" i="12"/>
  <c r="Z2109" i="12"/>
  <c r="Z575" i="12"/>
  <c r="Z2375" i="12"/>
  <c r="Z1378" i="12"/>
  <c r="Z2430" i="12"/>
  <c r="Z886" i="12"/>
  <c r="Z2789" i="12"/>
  <c r="Z2016" i="12"/>
  <c r="Z160" i="12"/>
  <c r="Z2503" i="12"/>
  <c r="Z3240" i="12"/>
  <c r="Z1740" i="12"/>
  <c r="Z2513" i="12"/>
  <c r="Z3504" i="12"/>
  <c r="Z3430" i="12"/>
  <c r="Z918" i="12"/>
  <c r="Z2815" i="12"/>
  <c r="Z315" i="12"/>
  <c r="Z1063" i="12"/>
  <c r="Z1640" i="12"/>
  <c r="Z743" i="12"/>
  <c r="Z2608" i="12"/>
  <c r="Z410" i="12"/>
  <c r="Z1461" i="12"/>
  <c r="Z2236" i="12"/>
  <c r="Z2636" i="12"/>
  <c r="Z1779" i="12"/>
  <c r="Z3289" i="12"/>
  <c r="Z1571" i="12"/>
  <c r="Z3044" i="12"/>
  <c r="Z2944" i="12"/>
  <c r="Z92" i="12"/>
  <c r="Z1423" i="12"/>
  <c r="Z1642" i="12"/>
  <c r="Z1976" i="12"/>
  <c r="Z2969" i="12"/>
  <c r="Z1570" i="12"/>
  <c r="Z27" i="12"/>
  <c r="Z1791" i="12"/>
  <c r="Z1459" i="12"/>
  <c r="Z2111" i="12"/>
  <c r="Z440" i="12"/>
  <c r="Z251" i="12"/>
  <c r="Z1109" i="12"/>
  <c r="Z3230" i="12"/>
  <c r="Z2718" i="12"/>
  <c r="Z2206" i="12"/>
  <c r="Z1694" i="12"/>
  <c r="Z1182" i="12"/>
  <c r="Z670" i="12"/>
  <c r="Z158" i="12"/>
  <c r="Z3181" i="12"/>
  <c r="Z2669" i="12"/>
  <c r="Z3135" i="12"/>
  <c r="Z3542" i="12"/>
  <c r="Z2958" i="12"/>
  <c r="Z2374" i="12"/>
  <c r="Z1790" i="12"/>
  <c r="Z1206" i="12"/>
  <c r="Z622" i="12"/>
  <c r="Z38" i="12"/>
  <c r="Z2981" i="12"/>
  <c r="Z3455" i="12"/>
  <c r="Z2675" i="12"/>
  <c r="Z2043" i="12"/>
  <c r="Z1458" i="12"/>
  <c r="Z873" i="12"/>
  <c r="Z288" i="12"/>
  <c r="Z927" i="12"/>
  <c r="Z3399" i="12"/>
  <c r="Z1840" i="12"/>
  <c r="Z404" i="12"/>
  <c r="Z3122" i="12"/>
  <c r="Z2435" i="12"/>
  <c r="Z1841" i="12"/>
  <c r="Z1000" i="12"/>
  <c r="Z3046" i="12"/>
  <c r="Z2366" i="12"/>
  <c r="Z1702" i="12"/>
  <c r="Z1030" i="12"/>
  <c r="Z366" i="12"/>
  <c r="Z3229" i="12"/>
  <c r="Z2565" i="12"/>
  <c r="Z2783" i="12"/>
  <c r="Z2034" i="12"/>
  <c r="Z1367" i="12"/>
  <c r="Z699" i="12"/>
  <c r="Z32" i="12"/>
  <c r="Z341" i="12"/>
  <c r="Z2251" i="12"/>
  <c r="Z624" i="12"/>
  <c r="Z3112" i="12"/>
  <c r="Z2344" i="12"/>
  <c r="Z1667" i="12"/>
  <c r="Z442" i="12"/>
  <c r="Z2443" i="12"/>
  <c r="Z1053" i="12"/>
  <c r="Z3003" i="12"/>
  <c r="Z3322" i="12"/>
  <c r="Z2458" i="12"/>
  <c r="Z1523" i="12"/>
  <c r="Z585" i="12"/>
  <c r="Z3033" i="12"/>
  <c r="Z2002" i="12"/>
  <c r="Z1051" i="12"/>
  <c r="Z100" i="12"/>
  <c r="Z2001" i="12"/>
  <c r="Z668" i="12"/>
  <c r="Z2689" i="12"/>
  <c r="Z769" i="12"/>
  <c r="Z1893" i="12"/>
  <c r="Z3075" i="12"/>
  <c r="Z1533" i="12"/>
  <c r="Z3022" i="12"/>
  <c r="Z2358" i="12"/>
  <c r="Z1686" i="12"/>
  <c r="Z1022" i="12"/>
  <c r="Z358" i="12"/>
  <c r="Z3221" i="12"/>
  <c r="Z2557" i="12"/>
  <c r="Z2761" i="12"/>
  <c r="Z2025" i="12"/>
  <c r="Z1357" i="12"/>
  <c r="Z3414" i="12"/>
  <c r="Z2510" i="12"/>
  <c r="Z1638" i="12"/>
  <c r="Z742" i="12"/>
  <c r="Z3381" i="12"/>
  <c r="Z2501" i="12"/>
  <c r="Z2418" i="12"/>
  <c r="Z1513" i="12"/>
  <c r="Z663" i="12"/>
  <c r="Z1256" i="12"/>
  <c r="Z3451" i="12"/>
  <c r="Z1437" i="12"/>
  <c r="Z3400" i="12"/>
  <c r="Z2492" i="12"/>
  <c r="Z1722" i="12"/>
  <c r="Z360" i="12"/>
  <c r="Z2151" i="12"/>
  <c r="Z560" i="12"/>
  <c r="Z1227" i="12"/>
  <c r="Z2849" i="12"/>
  <c r="Z1727" i="12"/>
  <c r="Z658" i="12"/>
  <c r="Z2967" i="12"/>
  <c r="Z1799" i="12"/>
  <c r="Z714" i="12"/>
  <c r="Z2723" i="12"/>
  <c r="Z1123" i="12"/>
  <c r="Z2960" i="12"/>
  <c r="Z915" i="12"/>
  <c r="Z1747" i="12"/>
  <c r="Z2420" i="12"/>
  <c r="Z1661" i="12"/>
  <c r="Z3232" i="12"/>
  <c r="Z3403" i="12"/>
  <c r="Z55" i="12"/>
  <c r="Z1281" i="12"/>
  <c r="Z2754" i="12"/>
  <c r="Z1733" i="12"/>
  <c r="Z3095" i="12"/>
  <c r="Z3159" i="12"/>
  <c r="Z2666" i="12"/>
  <c r="Z2227" i="12"/>
  <c r="Z1802" i="12"/>
  <c r="Z3070" i="12"/>
  <c r="Z2174" i="12"/>
  <c r="Z1294" i="12"/>
  <c r="Z390" i="12"/>
  <c r="Z3029" i="12"/>
  <c r="Z3123" i="12"/>
  <c r="Z2071" i="12"/>
  <c r="Z1175" i="12"/>
  <c r="Z352" i="12"/>
  <c r="Z725" i="12"/>
  <c r="Z2599" i="12"/>
  <c r="Z706" i="12"/>
  <c r="Z3058" i="12"/>
  <c r="Z2197" i="12"/>
  <c r="Z1402" i="12"/>
  <c r="Z3195" i="12"/>
  <c r="Z1538" i="12"/>
  <c r="Z2478" i="12"/>
  <c r="Z1262" i="12"/>
  <c r="Z86" i="12"/>
  <c r="Z3507" i="12"/>
  <c r="Z2061" i="12"/>
  <c r="Z891" i="12"/>
  <c r="Z1164" i="12"/>
  <c r="Z2545" i="12"/>
  <c r="Z84" i="12"/>
  <c r="Z2453" i="12"/>
  <c r="Z1365" i="12"/>
  <c r="Z2609" i="12"/>
  <c r="Z605" i="12"/>
  <c r="Z770" i="12"/>
  <c r="Z2522" i="12"/>
  <c r="Z1304" i="12"/>
  <c r="Z73" i="12"/>
  <c r="Z2148" i="12"/>
  <c r="Z905" i="12"/>
  <c r="Z2776" i="12"/>
  <c r="Z977" i="12"/>
  <c r="Z2532" i="12"/>
  <c r="Z3545" i="12"/>
  <c r="Z431" i="12"/>
  <c r="Z876" i="12"/>
  <c r="Z199" i="12"/>
  <c r="Z3447" i="12"/>
  <c r="Z3274" i="12"/>
  <c r="Z785" i="12"/>
  <c r="Z3128" i="12"/>
  <c r="Z3166" i="12"/>
  <c r="Z2462" i="12"/>
  <c r="Z1566" i="12"/>
  <c r="Z862" i="12"/>
  <c r="Z3501" i="12"/>
  <c r="Z2605" i="12"/>
  <c r="Z2793" i="12"/>
  <c r="Z2814" i="12"/>
  <c r="Z2006" i="12"/>
  <c r="Z982" i="12"/>
  <c r="Z3493" i="12"/>
  <c r="Z2693" i="12"/>
  <c r="Z2483" i="12"/>
  <c r="Z1677" i="12"/>
  <c r="Z653" i="12"/>
  <c r="Z799" i="12"/>
  <c r="Z2577" i="12"/>
  <c r="Z39" i="12"/>
  <c r="Z2684" i="12"/>
  <c r="Z1612" i="12"/>
  <c r="Z2950" i="12"/>
  <c r="Z2038" i="12"/>
  <c r="Z870" i="12"/>
  <c r="Z3477" i="12"/>
  <c r="Z3337" i="12"/>
  <c r="Z1952" i="12"/>
  <c r="Z1037" i="12"/>
  <c r="Z1210" i="12"/>
  <c r="Z2907" i="12"/>
  <c r="Z3450" i="12"/>
  <c r="Z2261" i="12"/>
  <c r="Z1192" i="12"/>
  <c r="Z2087" i="12"/>
  <c r="Z176" i="12"/>
  <c r="Z3138" i="12"/>
  <c r="Z1405" i="12"/>
  <c r="Z117" i="12"/>
  <c r="Z1754" i="12"/>
  <c r="Z453" i="12"/>
  <c r="Z1473" i="12"/>
  <c r="Z2439" i="12"/>
  <c r="Z3215" i="12"/>
  <c r="Z2245" i="12"/>
  <c r="Z3278" i="12"/>
  <c r="Z2110" i="12"/>
  <c r="Z942" i="12"/>
  <c r="Z3549" i="12"/>
  <c r="Z3433" i="12"/>
  <c r="Z2281" i="12"/>
  <c r="Z1111" i="12"/>
  <c r="Z2414" i="12"/>
  <c r="Z1174" i="12"/>
  <c r="Z3165" i="12"/>
  <c r="Z2835" i="12"/>
  <c r="Z1184" i="12"/>
  <c r="Z1100" i="12"/>
  <c r="Z2361" i="12"/>
  <c r="Z3176" i="12"/>
  <c r="Z2024" i="12"/>
  <c r="Z3259" i="12"/>
  <c r="Z368" i="12"/>
  <c r="Z3535" i="12"/>
  <c r="Z1463" i="12"/>
  <c r="Z3490" i="12"/>
  <c r="Z1388" i="12"/>
  <c r="Z2487" i="12"/>
  <c r="Z420" i="12"/>
  <c r="Z391" i="12"/>
  <c r="Z211" i="12"/>
  <c r="Z1003" i="12"/>
  <c r="Z3032" i="12"/>
  <c r="Z2191" i="12"/>
  <c r="Z1588" i="12"/>
  <c r="Z226" i="12"/>
  <c r="Z1655" i="12"/>
  <c r="Z1756" i="12"/>
  <c r="Z3510" i="12"/>
  <c r="Z1966" i="12"/>
  <c r="Z726" i="12"/>
  <c r="Z2701" i="12"/>
  <c r="Z1961" i="12"/>
  <c r="Z745" i="12"/>
  <c r="Z396" i="12"/>
  <c r="Z1392" i="12"/>
  <c r="Z2706" i="12"/>
  <c r="Z1155" i="12"/>
  <c r="Z2333" i="12"/>
  <c r="Z2166" i="12"/>
  <c r="Z558" i="12"/>
  <c r="Z2921" i="12"/>
  <c r="Z736" i="12"/>
  <c r="Z305" i="12"/>
  <c r="Z3346" i="12"/>
  <c r="Z1795" i="12"/>
  <c r="Z1821" i="12"/>
  <c r="Z167" i="12"/>
  <c r="Z1917" i="12"/>
  <c r="Z3188" i="12"/>
  <c r="Z1360" i="12"/>
  <c r="Z2074" i="12"/>
  <c r="Z2232" i="12"/>
  <c r="Z1820" i="12"/>
  <c r="Z1735" i="12"/>
  <c r="Z1221" i="12"/>
  <c r="Z2101" i="12"/>
  <c r="Z2667" i="12"/>
  <c r="Z1965" i="12"/>
  <c r="Z1537" i="12"/>
  <c r="Z1817" i="12"/>
  <c r="Z3264" i="12"/>
  <c r="Z1789" i="12"/>
  <c r="Z3342" i="12"/>
  <c r="Z1878" i="12"/>
  <c r="Z374" i="12"/>
  <c r="Z3081" i="12"/>
  <c r="Z1467" i="12"/>
  <c r="Z96" i="12"/>
  <c r="Z1940" i="12"/>
  <c r="Z3026" i="12"/>
  <c r="Z1649" i="12"/>
  <c r="Z2023" i="12"/>
  <c r="Z3067" i="12"/>
  <c r="Z2882" i="12"/>
  <c r="Z979" i="12"/>
  <c r="Z2795" i="12"/>
  <c r="Z1197" i="12"/>
  <c r="Z2277" i="12"/>
  <c r="Z3270" i="12"/>
  <c r="Z1326" i="12"/>
  <c r="Z3529" i="12"/>
  <c r="Z1266" i="12"/>
  <c r="Z625" i="12"/>
  <c r="Z3260" i="12"/>
  <c r="Z1439" i="12"/>
  <c r="Z1245" i="12"/>
  <c r="Z3034" i="12"/>
  <c r="Z906" i="12"/>
  <c r="Z2177" i="12"/>
  <c r="Z2809" i="12"/>
  <c r="Z3466" i="12"/>
  <c r="Z3459" i="12"/>
  <c r="Z783" i="12"/>
  <c r="Z3108" i="12"/>
  <c r="Z1241" i="12"/>
  <c r="Z155" i="12"/>
  <c r="Z1263" i="12"/>
  <c r="Z193" i="12"/>
  <c r="Z2868" i="12"/>
  <c r="Z47" i="12"/>
  <c r="Z1379" i="12"/>
  <c r="Z3462" i="12"/>
  <c r="Z1478" i="12"/>
  <c r="Z3077" i="12"/>
  <c r="Z1485" i="12"/>
  <c r="Z863" i="12"/>
  <c r="Z514" i="12"/>
  <c r="Z1585" i="12"/>
  <c r="Z1200" i="12"/>
  <c r="Z3258" i="12"/>
  <c r="Z893" i="12"/>
  <c r="Z2164" i="12"/>
  <c r="Z72" i="12"/>
  <c r="Z3424" i="12"/>
  <c r="Z3417" i="12"/>
  <c r="Z2083" i="12"/>
  <c r="Z3024" i="12"/>
  <c r="Z1180" i="12"/>
  <c r="Z403" i="12"/>
  <c r="Z751" i="12"/>
  <c r="Z2883" i="12"/>
  <c r="Z3540" i="12"/>
  <c r="Z2850" i="12"/>
  <c r="Z209" i="12"/>
  <c r="Z2830" i="12"/>
  <c r="Z462" i="12"/>
  <c r="Z2943" i="12"/>
  <c r="Z681" i="12"/>
  <c r="Z1730" i="12"/>
  <c r="Z2417" i="12"/>
  <c r="Z3355" i="12"/>
  <c r="Z2105" i="12"/>
  <c r="Z2214" i="12"/>
  <c r="Z2525" i="12"/>
  <c r="Z1036" i="12"/>
  <c r="Z2780" i="12"/>
  <c r="Z1712" i="12"/>
  <c r="Z2019" i="12"/>
  <c r="Z2676" i="12"/>
  <c r="Z3012" i="12"/>
  <c r="Z1618" i="12"/>
  <c r="Z3009" i="12"/>
  <c r="Z3161" i="12"/>
  <c r="Z1984" i="12"/>
  <c r="Z2128" i="12"/>
  <c r="Z3225" i="12"/>
  <c r="Z3521" i="12"/>
  <c r="Z2496" i="12"/>
  <c r="Z2912" i="12"/>
  <c r="Z567" i="12"/>
  <c r="Z1453" i="12"/>
  <c r="Z485" i="12"/>
  <c r="Z454" i="12"/>
  <c r="Z752" i="12"/>
  <c r="Z3105" i="12"/>
  <c r="Z819" i="12"/>
  <c r="Z1645" i="12"/>
  <c r="Z522" i="12"/>
  <c r="Z371" i="12"/>
  <c r="Z676" i="12"/>
  <c r="Z425" i="12"/>
  <c r="Z2631" i="12"/>
  <c r="Z1572" i="12"/>
  <c r="Z3134" i="12"/>
  <c r="Z574" i="12"/>
  <c r="Z2381" i="12"/>
  <c r="Z50" i="12"/>
  <c r="Z203" i="12"/>
  <c r="Z1247" i="12"/>
  <c r="Z212" i="12"/>
  <c r="Z2255" i="12"/>
  <c r="Z44" i="12"/>
  <c r="Z1185" i="12"/>
  <c r="Z1737" i="12"/>
  <c r="Z1561" i="12"/>
  <c r="Z650" i="12"/>
  <c r="Z1353" i="12"/>
  <c r="Z3511" i="12"/>
  <c r="Z1866" i="12"/>
  <c r="Z2465" i="12"/>
  <c r="Z2241" i="12"/>
  <c r="Z2285" i="12"/>
  <c r="Z2330" i="12"/>
  <c r="Z2314" i="12"/>
  <c r="Z383" i="12"/>
  <c r="Z469" i="12"/>
  <c r="Z496" i="12"/>
  <c r="Z601" i="12"/>
  <c r="Z348" i="12"/>
  <c r="Z143" i="12"/>
  <c r="Z2905" i="12"/>
  <c r="Z1104" i="12"/>
  <c r="Z3348" i="12"/>
  <c r="Z1889" i="12"/>
  <c r="Z153" i="12"/>
  <c r="Z1908" i="12"/>
  <c r="Z2447" i="12"/>
  <c r="Z1750" i="12"/>
  <c r="Z763" i="12"/>
  <c r="Z1008" i="12"/>
  <c r="Z2787" i="12"/>
  <c r="Z2726" i="12"/>
  <c r="Z206" i="12"/>
  <c r="Z1997" i="12"/>
  <c r="Z1009" i="12"/>
  <c r="Z1557" i="12"/>
  <c r="Z1093" i="12"/>
  <c r="Z1106" i="12"/>
  <c r="Z1408" i="12"/>
  <c r="Z3334" i="12"/>
  <c r="Z3357" i="12"/>
  <c r="Z1338" i="12"/>
  <c r="Z3335" i="12"/>
  <c r="Z804" i="12"/>
  <c r="Z2860" i="12"/>
  <c r="Z1016" i="12"/>
  <c r="Z1387" i="12"/>
  <c r="Z1891" i="12"/>
  <c r="Z984" i="12"/>
  <c r="Z983" i="12"/>
  <c r="Z2068" i="12"/>
  <c r="Z887" i="12"/>
  <c r="Z1928" i="12"/>
  <c r="Z248" i="12"/>
  <c r="Z527" i="12"/>
  <c r="Z1882" i="12"/>
  <c r="Z2591" i="12"/>
  <c r="Z2243" i="12"/>
  <c r="Z1800" i="12"/>
  <c r="Z1956" i="12"/>
  <c r="Z1482" i="12"/>
  <c r="Z2044" i="12"/>
  <c r="Z328" i="12"/>
  <c r="Z61" i="12"/>
  <c r="Z1671" i="12"/>
  <c r="Z2569" i="12"/>
  <c r="Z2234" i="12"/>
  <c r="Z1564" i="12"/>
  <c r="Z1944" i="12"/>
  <c r="Z1425" i="12"/>
  <c r="Z2012" i="12"/>
  <c r="Z3307" i="12"/>
  <c r="Z1581" i="12"/>
  <c r="Z1610" i="12"/>
  <c r="Z2427" i="12"/>
  <c r="Z2033" i="12"/>
  <c r="Z1552" i="12"/>
  <c r="Z1781" i="12"/>
  <c r="Z1088" i="12"/>
  <c r="Z1780" i="12"/>
  <c r="Z2818" i="12"/>
  <c r="Z2922" i="12"/>
  <c r="Z1025" i="12"/>
  <c r="Z1549" i="12"/>
  <c r="Z3099" i="12"/>
  <c r="Z3448" i="12"/>
  <c r="Z3097" i="12"/>
  <c r="Z755" i="12"/>
  <c r="Z82" i="12"/>
  <c r="Z895" i="12"/>
  <c r="Z45" i="12"/>
  <c r="Z1274" i="12"/>
  <c r="Z1783" i="12"/>
  <c r="Z356" i="12"/>
  <c r="Z2595" i="12"/>
  <c r="Z1014" i="12"/>
  <c r="Z3268" i="12"/>
  <c r="Z419" i="12"/>
  <c r="Z722" i="12"/>
  <c r="Z444" i="12"/>
  <c r="Z407" i="12"/>
  <c r="Z2416" i="12"/>
  <c r="Z2323" i="12"/>
  <c r="Z1999" i="12"/>
  <c r="Z1890" i="12"/>
  <c r="Z1852" i="12"/>
  <c r="Z2699" i="12"/>
  <c r="Z2957" i="12"/>
  <c r="Z2935" i="12"/>
  <c r="Z2617" i="12"/>
  <c r="Z1746" i="12"/>
  <c r="Z1964" i="12"/>
  <c r="Z2546" i="12"/>
  <c r="Z2383" i="12"/>
  <c r="Z1899" i="12"/>
  <c r="Z883" i="12"/>
  <c r="Z2338" i="12"/>
  <c r="Z549" i="12"/>
  <c r="Z1992" i="12"/>
  <c r="Z928" i="12"/>
  <c r="Z1024" i="12"/>
  <c r="Z1149" i="12"/>
  <c r="Z3102" i="12"/>
  <c r="Z2398" i="12"/>
  <c r="Z1502" i="12"/>
  <c r="Z606" i="12"/>
  <c r="Z3437" i="12"/>
  <c r="Z2541" i="12"/>
  <c r="Z2707" i="12"/>
  <c r="Z2742" i="12"/>
  <c r="Z1718" i="12"/>
  <c r="Z910" i="12"/>
  <c r="Z3421" i="12"/>
  <c r="Z2621" i="12"/>
  <c r="Z2409" i="12"/>
  <c r="Z1385" i="12"/>
  <c r="Z580" i="12"/>
  <c r="Z661" i="12"/>
  <c r="Z2379" i="12"/>
  <c r="Z3548" i="12"/>
  <c r="Z2362" i="12"/>
  <c r="Z1539" i="12"/>
  <c r="Z2870" i="12"/>
  <c r="Z1958" i="12"/>
  <c r="Z782" i="12"/>
  <c r="Z3149" i="12"/>
  <c r="Z3231" i="12"/>
  <c r="Z1869" i="12"/>
  <c r="Z955" i="12"/>
  <c r="Z1064" i="12"/>
  <c r="Z2059" i="12"/>
  <c r="Z3506" i="12"/>
  <c r="Z2179" i="12"/>
  <c r="Z981" i="12"/>
  <c r="Z1913" i="12"/>
  <c r="Z2434" i="12"/>
  <c r="Z3001" i="12"/>
  <c r="Z1288" i="12"/>
  <c r="Z3512" i="12"/>
  <c r="Z1636" i="12"/>
  <c r="Z3275" i="12"/>
  <c r="Z1314" i="12"/>
  <c r="Z2203" i="12"/>
  <c r="Z2906" i="12"/>
  <c r="Z1701" i="12"/>
  <c r="Z2942" i="12"/>
  <c r="Z2030" i="12"/>
  <c r="Z854" i="12"/>
  <c r="Z3469" i="12"/>
  <c r="Z3327" i="12"/>
  <c r="Z1943" i="12"/>
  <c r="Z1028" i="12"/>
  <c r="Z2310" i="12"/>
  <c r="Z1078" i="12"/>
  <c r="Z3037" i="12"/>
  <c r="Z2308" i="12"/>
  <c r="Z1074" i="12"/>
  <c r="Z945" i="12"/>
  <c r="Z2141" i="12"/>
  <c r="Z3068" i="12"/>
  <c r="Z1621" i="12"/>
  <c r="Z2993" i="12"/>
  <c r="Z148" i="12"/>
  <c r="Z3343" i="12"/>
  <c r="Z1332" i="12"/>
  <c r="Z2810" i="12"/>
  <c r="Z1258" i="12"/>
  <c r="Z2322" i="12"/>
  <c r="Z229" i="12"/>
  <c r="Z111" i="12"/>
  <c r="Z1864" i="12"/>
  <c r="Z784" i="12"/>
  <c r="Z2500" i="12"/>
  <c r="Z1955" i="12"/>
  <c r="Z3212" i="12"/>
  <c r="Z3160" i="12"/>
  <c r="Z1187" i="12"/>
  <c r="Z1232" i="12"/>
  <c r="Z3406" i="12"/>
  <c r="Z1838" i="12"/>
  <c r="Z294" i="12"/>
  <c r="Z2589" i="12"/>
  <c r="Z1842" i="12"/>
  <c r="Z644" i="12"/>
  <c r="Z241" i="12"/>
  <c r="Z468" i="12"/>
  <c r="Z2588" i="12"/>
  <c r="Z936" i="12"/>
  <c r="Z2132" i="12"/>
  <c r="Z2022" i="12"/>
  <c r="Z3461" i="12"/>
  <c r="Z2729" i="12"/>
  <c r="Z608" i="12"/>
  <c r="Z76" i="12"/>
  <c r="Z3196" i="12"/>
  <c r="Z1091" i="12"/>
  <c r="Z1511" i="12"/>
  <c r="Z3386" i="12"/>
  <c r="Z1771" i="12"/>
  <c r="Z3000" i="12"/>
  <c r="Z746" i="12"/>
  <c r="Z1839" i="12"/>
  <c r="Z1911" i="12"/>
  <c r="Z1471" i="12"/>
  <c r="Z1455" i="12"/>
  <c r="Z3098" i="12"/>
  <c r="Z1853" i="12"/>
  <c r="Z2376" i="12"/>
  <c r="Z3226" i="12"/>
  <c r="Z3457" i="12"/>
  <c r="Z1171" i="12"/>
  <c r="Z2713" i="12"/>
  <c r="Z384" i="12"/>
  <c r="Z3214" i="12"/>
  <c r="Z1710" i="12"/>
  <c r="Z3453" i="12"/>
  <c r="Z2911" i="12"/>
  <c r="Z1321" i="12"/>
  <c r="Z963" i="12"/>
  <c r="Z1565" i="12"/>
  <c r="Z2888" i="12"/>
  <c r="Z1073" i="12"/>
  <c r="Z1803" i="12"/>
  <c r="Z2324" i="12"/>
  <c r="Z2356" i="12"/>
  <c r="Z833" i="12"/>
  <c r="Z2607" i="12"/>
  <c r="Z730" i="12"/>
  <c r="Z2045" i="12"/>
  <c r="Z3094" i="12"/>
  <c r="Z718" i="12"/>
  <c r="Z3251" i="12"/>
  <c r="Z1101" i="12"/>
  <c r="Z3089" i="12"/>
  <c r="Z3090" i="12"/>
  <c r="Z1045" i="12"/>
  <c r="Z304" i="12"/>
  <c r="Z2796" i="12"/>
  <c r="Z731" i="12"/>
  <c r="Z3038" i="12"/>
  <c r="Z2014" i="12"/>
  <c r="Z990" i="12"/>
  <c r="Z3373" i="12"/>
  <c r="Z3391" i="12"/>
  <c r="Z3182" i="12"/>
  <c r="Z1646" i="12"/>
  <c r="Z470" i="12"/>
  <c r="Z2837" i="12"/>
  <c r="Z2336" i="12"/>
  <c r="Z1165" i="12"/>
  <c r="Z1658" i="12"/>
  <c r="Z1657" i="12"/>
  <c r="Z3036" i="12"/>
  <c r="Z1768" i="12"/>
  <c r="Z2790" i="12"/>
  <c r="Z1454" i="12"/>
  <c r="Z118" i="12"/>
  <c r="Z3113" i="12"/>
  <c r="Z1623" i="12"/>
  <c r="Z279" i="12"/>
  <c r="Z1812" i="12"/>
  <c r="Z2920" i="12"/>
  <c r="Z1484" i="12"/>
  <c r="Z1757" i="12"/>
  <c r="Z1163" i="12"/>
  <c r="Z1991" i="12"/>
  <c r="Z2896" i="12"/>
  <c r="Z933" i="12"/>
  <c r="Z1826" i="12"/>
  <c r="Z1971" i="12"/>
  <c r="Z1076" i="12"/>
  <c r="Z3446" i="12"/>
  <c r="Z1942" i="12"/>
  <c r="Z598" i="12"/>
  <c r="Z2805" i="12"/>
  <c r="Z1860" i="12"/>
  <c r="Z3190" i="12"/>
  <c r="Z1406" i="12"/>
  <c r="Z2941" i="12"/>
  <c r="Z1979" i="12"/>
  <c r="Z269" i="12"/>
  <c r="Z1191" i="12"/>
  <c r="Z2399" i="12"/>
  <c r="Z159" i="12"/>
  <c r="Z3472" i="12"/>
  <c r="Z2401" i="12"/>
  <c r="Z264" i="12"/>
  <c r="Z1124" i="12"/>
  <c r="Z1724" i="12"/>
  <c r="Z1736" i="12"/>
  <c r="Z1250" i="12"/>
  <c r="Z2201" i="12"/>
  <c r="Z2704" i="12"/>
  <c r="Z2804" i="12"/>
  <c r="Z1656" i="12"/>
  <c r="Z765" i="12"/>
  <c r="Z2966" i="12"/>
  <c r="Z1166" i="12"/>
  <c r="Z2933" i="12"/>
  <c r="Z1732" i="12"/>
  <c r="Z77" i="12"/>
  <c r="Z1895" i="12"/>
  <c r="Z2482" i="12"/>
  <c r="Z332" i="12"/>
  <c r="Z2918" i="12"/>
  <c r="Z3333" i="12"/>
  <c r="Z1769" i="12"/>
  <c r="Z716" i="12"/>
  <c r="Z3048" i="12"/>
  <c r="Z259" i="12"/>
  <c r="Z3153" i="12"/>
  <c r="Z1141" i="12"/>
  <c r="Z1989" i="12"/>
  <c r="Z2538" i="12"/>
  <c r="Z1589" i="12"/>
  <c r="Z2548" i="12"/>
  <c r="Z2156" i="12"/>
  <c r="Z1605" i="12"/>
  <c r="Z1498" i="12"/>
  <c r="Z2680" i="12"/>
  <c r="Z647" i="12"/>
  <c r="Z338" i="12"/>
  <c r="Z1317" i="12"/>
  <c r="Z1558" i="12"/>
  <c r="Z3013" i="12"/>
  <c r="Z1760" i="12"/>
  <c r="Z698" i="12"/>
  <c r="Z669" i="12"/>
  <c r="Z1932" i="12"/>
  <c r="Z1492" i="12"/>
  <c r="Z3364" i="12"/>
  <c r="Z1580" i="12"/>
  <c r="Z2428" i="12"/>
  <c r="Z263" i="12"/>
  <c r="Z538" i="12"/>
  <c r="Z494" i="12"/>
  <c r="Z2473" i="12"/>
  <c r="Z1228" i="12"/>
  <c r="Z2866" i="12"/>
  <c r="Z2683" i="12"/>
  <c r="Z880" i="12"/>
  <c r="Z499" i="12"/>
  <c r="Z1140" i="12"/>
  <c r="Z1562" i="12"/>
  <c r="Z1061" i="12"/>
  <c r="Z3480" i="12"/>
  <c r="Z138" i="12"/>
  <c r="Z3168" i="12"/>
  <c r="Z2891" i="12"/>
  <c r="Z3479" i="12"/>
  <c r="Z3287" i="12"/>
  <c r="Z1863" i="12"/>
  <c r="Z2432" i="12"/>
  <c r="Z106" i="12"/>
  <c r="Z1318" i="12"/>
  <c r="Z3241" i="12"/>
  <c r="Z900" i="12"/>
  <c r="Z2169" i="12"/>
  <c r="Z2463" i="12"/>
  <c r="Z1876" i="12"/>
  <c r="Z29" i="12"/>
  <c r="Z719" i="12"/>
  <c r="Z1725" i="12"/>
  <c r="Z1871" i="12"/>
  <c r="Z2085" i="12"/>
  <c r="Z329" i="12"/>
  <c r="Z975" i="12"/>
  <c r="Z1708" i="12"/>
  <c r="Z2858" i="12"/>
  <c r="Z2924" i="12"/>
  <c r="Z3140" i="12"/>
  <c r="Z3127" i="12"/>
  <c r="Z1847" i="12"/>
  <c r="Z3246" i="12"/>
  <c r="Z654" i="12"/>
  <c r="Z2643" i="12"/>
  <c r="Z1137" i="12"/>
  <c r="Z441" i="12"/>
  <c r="Z1301" i="12"/>
  <c r="Z898" i="12"/>
  <c r="Z2806" i="12"/>
  <c r="Z2901" i="12"/>
  <c r="Z643" i="12"/>
  <c r="Z2225" i="12"/>
  <c r="Z1949" i="12"/>
  <c r="Z951" i="12"/>
  <c r="Z641" i="12"/>
  <c r="Z3508" i="12"/>
  <c r="Z183" i="12"/>
  <c r="Z824" i="12"/>
  <c r="Z1167" i="12"/>
  <c r="Z2231" i="12"/>
  <c r="Z1525" i="12"/>
  <c r="Z1333" i="12"/>
  <c r="Z1435" i="12"/>
  <c r="Z1692" i="12"/>
  <c r="Z3489" i="12"/>
  <c r="Z529" i="12"/>
  <c r="Z1988" i="12"/>
  <c r="Z2727" i="12"/>
  <c r="Z3137" i="12"/>
  <c r="Z1500" i="12"/>
  <c r="Z2672" i="12"/>
  <c r="Z1244" i="12"/>
  <c r="Z2990" i="12"/>
  <c r="Z3304" i="12"/>
  <c r="Z1080" i="12"/>
  <c r="Z1116" i="12"/>
  <c r="Z1214" i="12"/>
  <c r="Z2803" i="12"/>
  <c r="Z1027" i="12"/>
  <c r="Z3100" i="12"/>
  <c r="Z2843" i="12"/>
  <c r="Z3344" i="12"/>
  <c r="Z877" i="12"/>
  <c r="Z1709" i="12"/>
  <c r="Z2147" i="12"/>
  <c r="Z1122" i="12"/>
  <c r="Z2976" i="12"/>
  <c r="Z227" i="12"/>
  <c r="Z815" i="12"/>
  <c r="Z2807" i="12"/>
  <c r="Z1706" i="12"/>
  <c r="Z3074" i="12"/>
  <c r="Z749" i="12"/>
  <c r="Z969" i="12"/>
  <c r="Z157" i="12"/>
  <c r="Z1108" i="12"/>
  <c r="Z1669" i="12"/>
  <c r="Z1153" i="12"/>
  <c r="Z1532" i="12"/>
  <c r="Z531" i="12"/>
  <c r="Z1249" i="12"/>
  <c r="Z91" i="12"/>
  <c r="Z493" i="12"/>
  <c r="Z1809" i="12"/>
  <c r="Z472" i="12"/>
  <c r="Z1990" i="12"/>
  <c r="Z835" i="12"/>
  <c r="Z3087" i="12"/>
  <c r="Z2027" i="12"/>
  <c r="Z1462" i="12"/>
  <c r="Z3155" i="12"/>
  <c r="Z297" i="12"/>
  <c r="Z2696" i="12"/>
  <c r="Z1194" i="12"/>
  <c r="Z3060" i="12"/>
  <c r="Z692" i="12"/>
  <c r="Z1390" i="12"/>
  <c r="Z1650" i="12"/>
  <c r="Z2079" i="12"/>
  <c r="Z1377" i="12"/>
  <c r="Z1680" i="12"/>
  <c r="Z929" i="12"/>
  <c r="Z610" i="12"/>
  <c r="Z3073" i="12"/>
  <c r="Z2997" i="12"/>
  <c r="Z1823" i="12"/>
  <c r="Z2841" i="12"/>
  <c r="Z2114" i="12"/>
  <c r="Z2744" i="12"/>
  <c r="Z2395" i="12"/>
  <c r="Z1598" i="12"/>
  <c r="Z2425" i="12"/>
  <c r="Z3363" i="12"/>
  <c r="Z3169" i="12"/>
  <c r="Z1811" i="12"/>
  <c r="Z464" i="12"/>
  <c r="Z1772" i="12"/>
  <c r="Z748" i="12"/>
  <c r="Z646" i="12"/>
  <c r="Z423" i="12"/>
  <c r="Z2385" i="12"/>
  <c r="Z802" i="12"/>
  <c r="Z1089" i="12"/>
  <c r="Z2977" i="12"/>
  <c r="Z3543" i="12"/>
  <c r="Z2562" i="12"/>
  <c r="Z3285" i="12"/>
  <c r="Z2908" i="12"/>
  <c r="Z760" i="12"/>
  <c r="Z3130" i="12"/>
  <c r="Z3308" i="12"/>
  <c r="Z2852" i="12"/>
  <c r="Z1058" i="12"/>
  <c r="Z619" i="12"/>
  <c r="Z2162" i="12"/>
  <c r="Z1373" i="12"/>
  <c r="Z1856" i="12"/>
  <c r="Z2650" i="12"/>
  <c r="Z363" i="12"/>
  <c r="Z2476" i="12"/>
  <c r="Z1103" i="12"/>
  <c r="Z1229" i="12"/>
  <c r="Z202" i="12"/>
  <c r="Z1691" i="12"/>
  <c r="Z2987" i="12"/>
  <c r="Z3239" i="12"/>
  <c r="Z189" i="12"/>
  <c r="Z3523" i="12"/>
  <c r="Z3415" i="12"/>
  <c r="Z817" i="12"/>
  <c r="Z2555" i="12"/>
  <c r="Z161" i="12"/>
  <c r="Z2130" i="12"/>
  <c r="Z1788" i="12"/>
  <c r="Z1935" i="12"/>
  <c r="Z1230" i="12"/>
  <c r="Z1259" i="12"/>
  <c r="Z1515" i="12"/>
  <c r="Z837" i="12"/>
  <c r="Z2144" i="12"/>
  <c r="Z455" i="12"/>
  <c r="Z345" i="12"/>
  <c r="Z777" i="12"/>
  <c r="Z1325" i="12"/>
  <c r="Z1409" i="12"/>
  <c r="Z2836" i="12"/>
  <c r="Z177" i="12"/>
  <c r="Z2671" i="12"/>
  <c r="Z79" i="12"/>
  <c r="Z1654" i="12"/>
  <c r="Z788" i="12"/>
  <c r="Z389" i="12"/>
  <c r="Z1829" i="12"/>
  <c r="Z1973" i="12"/>
  <c r="Z2552" i="12"/>
  <c r="Z2529" i="12"/>
  <c r="Z1907" i="12"/>
  <c r="Z3262" i="12"/>
  <c r="Z1086" i="12"/>
  <c r="Z690" i="12"/>
  <c r="Z1748" i="12"/>
  <c r="Z2271" i="12"/>
  <c r="Z1602" i="12"/>
  <c r="Z2778" i="12"/>
  <c r="Z483" i="12"/>
  <c r="Z1112" i="12"/>
  <c r="Z1546" i="12"/>
  <c r="Z1033" i="12"/>
  <c r="Z3352" i="12"/>
  <c r="Z611" i="12"/>
  <c r="Z2405" i="12"/>
  <c r="Z2011" i="12"/>
  <c r="Z2460" i="12"/>
  <c r="Z2387" i="12"/>
  <c r="Z1261" i="12"/>
  <c r="Z3014" i="12"/>
  <c r="Z262" i="12"/>
  <c r="Z2436" i="12"/>
  <c r="Z853" i="12"/>
  <c r="Z3418" i="12"/>
  <c r="Z917" i="12"/>
  <c r="Z541" i="12"/>
  <c r="Z2550" i="12"/>
  <c r="Z2391" i="12"/>
  <c r="Z149" i="12"/>
  <c r="Z1265" i="12"/>
  <c r="Z925" i="12"/>
  <c r="Z146" i="12"/>
  <c r="Z380" i="12"/>
  <c r="Z2146" i="12"/>
  <c r="Z2185" i="12"/>
  <c r="Z756" i="12"/>
  <c r="Z3092" i="12"/>
  <c r="Z823" i="12"/>
  <c r="Z513" i="12"/>
  <c r="Z3390" i="12"/>
  <c r="Z2892" i="12"/>
  <c r="Z1444" i="12"/>
  <c r="Z1509" i="12"/>
  <c r="Z1348" i="12"/>
  <c r="Z1090" i="12"/>
  <c r="Z2221" i="12"/>
  <c r="Z69" i="12"/>
  <c r="Z2159" i="12"/>
  <c r="Z2053" i="12"/>
  <c r="Z1038" i="12"/>
  <c r="Z2353" i="12"/>
  <c r="Z1212" i="12"/>
  <c r="Z2624" i="12"/>
  <c r="Z878" i="12"/>
  <c r="Z2007" i="12"/>
  <c r="Z524" i="12"/>
  <c r="Z2760" i="12"/>
  <c r="Z2370" i="12"/>
  <c r="Z3156" i="12"/>
  <c r="Z613" i="12"/>
  <c r="Z1445" i="12"/>
  <c r="Z1359" i="12"/>
  <c r="Z594" i="12"/>
  <c r="Z2010" i="12"/>
  <c r="Z2956" i="12"/>
  <c r="Z3488" i="12"/>
  <c r="Z2247" i="12"/>
  <c r="Z3023" i="12"/>
  <c r="Z1468" i="12"/>
  <c r="Z3434" i="12"/>
  <c r="Z152" i="12"/>
  <c r="Z2994" i="12"/>
  <c r="Z679" i="12"/>
  <c r="Z1157" i="12"/>
  <c r="Z612" i="12"/>
  <c r="Z3028" i="12"/>
  <c r="Z2058" i="12"/>
  <c r="Z2008" i="12"/>
  <c r="Z1203" i="12"/>
  <c r="Z1939" i="12"/>
  <c r="Z216" i="12"/>
  <c r="Z1452" i="12"/>
  <c r="Z1382" i="12"/>
  <c r="Z1625" i="12"/>
  <c r="Z828" i="12"/>
  <c r="Z1158" i="12"/>
  <c r="Z2633" i="12"/>
  <c r="Z2005" i="12"/>
  <c r="Z2178" i="12"/>
  <c r="Z970" i="12"/>
  <c r="Z1587" i="12"/>
  <c r="Z1861" i="12"/>
  <c r="Z1150" i="12"/>
  <c r="Z992" i="12"/>
  <c r="Z1493" i="12"/>
  <c r="Z280" i="12"/>
  <c r="Z859" i="12"/>
  <c r="Z1633" i="12"/>
  <c r="Z2688" i="12"/>
  <c r="Z1289" i="12"/>
  <c r="Z3039" i="12"/>
  <c r="Z405" i="12"/>
  <c r="Z2100" i="12"/>
  <c r="Z1320" i="12"/>
  <c r="Z2457" i="12"/>
  <c r="Z1619" i="12"/>
  <c r="Z750" i="12"/>
  <c r="Z578" i="12"/>
  <c r="Z2413" i="12"/>
  <c r="Z1066" i="12"/>
  <c r="Z1121" i="12"/>
  <c r="Z3010" i="12"/>
  <c r="Z74" i="12"/>
  <c r="Z2628" i="12"/>
  <c r="Z3293" i="12"/>
  <c r="Z2930" i="12"/>
  <c r="Z967" i="12"/>
  <c r="Z3552" i="12"/>
  <c r="Z3436" i="12"/>
  <c r="Z3288" i="12"/>
  <c r="Z1583" i="12"/>
  <c r="Z1087" i="12"/>
  <c r="Z3379" i="12"/>
  <c r="Z1283" i="12"/>
  <c r="Z162" i="12"/>
  <c r="Z2175" i="12"/>
  <c r="Z1002" i="12"/>
  <c r="Z1880" i="12"/>
  <c r="Z3002" i="12"/>
  <c r="Z2627" i="12"/>
  <c r="Z635" i="12"/>
  <c r="Z3440" i="12"/>
  <c r="Z1023" i="12"/>
  <c r="Z959" i="12"/>
  <c r="Z2484" i="12"/>
  <c r="Z1013" i="12"/>
  <c r="Z1508" i="12"/>
  <c r="Z1703" i="12"/>
  <c r="Z1460" i="12"/>
  <c r="Z53" i="12"/>
  <c r="Z3499" i="12"/>
  <c r="Z3528" i="12"/>
  <c r="Z1432" i="12"/>
  <c r="Z2634" i="12"/>
  <c r="Z675" i="12"/>
  <c r="Z3217" i="12"/>
  <c r="Z3460" i="12"/>
  <c r="Z1107" i="12"/>
  <c r="Z3129" i="12"/>
  <c r="Z934" i="12"/>
  <c r="Z339" i="12"/>
  <c r="Z2153" i="12"/>
  <c r="Z645" i="12"/>
  <c r="Z2512" i="12"/>
  <c r="Z940" i="12"/>
  <c r="Z1220" i="12"/>
  <c r="Z2396" i="12"/>
  <c r="Z299" i="12"/>
  <c r="Z821" i="12"/>
  <c r="Z475" i="12"/>
  <c r="Z429" i="12"/>
  <c r="Z3498" i="12"/>
  <c r="Z2004" i="12"/>
  <c r="Z3353" i="12"/>
  <c r="Z1818" i="12"/>
  <c r="Z3541" i="12"/>
  <c r="Z3385" i="12"/>
  <c r="Z2592" i="12"/>
  <c r="Z237" i="12"/>
  <c r="Z2910" i="12"/>
  <c r="Z1886" i="12"/>
  <c r="Z542" i="12"/>
  <c r="Z3053" i="12"/>
  <c r="Z2963" i="12"/>
  <c r="Z2670" i="12"/>
  <c r="Z1494" i="12"/>
  <c r="Z326" i="12"/>
  <c r="Z3359" i="12"/>
  <c r="Z1970" i="12"/>
  <c r="Z800" i="12"/>
  <c r="Z543" i="12"/>
  <c r="Z1300" i="12"/>
  <c r="Z2856" i="12"/>
  <c r="Z1457" i="12"/>
  <c r="Z2622" i="12"/>
  <c r="Z1286" i="12"/>
  <c r="Z3069" i="12"/>
  <c r="Z2559" i="12"/>
  <c r="Z1202" i="12"/>
  <c r="Z908" i="12"/>
  <c r="Z1410" i="12"/>
  <c r="Z2716" i="12"/>
  <c r="Z277" i="12"/>
  <c r="Z871" i="12"/>
  <c r="Z3449" i="12"/>
  <c r="Z1170" i="12"/>
  <c r="Z2625" i="12"/>
  <c r="Z685" i="12"/>
  <c r="Z1152" i="12"/>
  <c r="Z1472" i="12"/>
  <c r="Z564" i="12"/>
  <c r="Z2862" i="12"/>
  <c r="Z1526" i="12"/>
  <c r="Z190" i="12"/>
  <c r="Z3209" i="12"/>
  <c r="Z1696" i="12"/>
  <c r="Z2982" i="12"/>
  <c r="Z638" i="12"/>
  <c r="Z3423" i="12"/>
  <c r="Z1412" i="12"/>
  <c r="Z744" i="12"/>
  <c r="Z733" i="12"/>
  <c r="Z2207" i="12"/>
  <c r="Z2769" i="12"/>
  <c r="Z2715" i="12"/>
  <c r="Z2137" i="12"/>
  <c r="Z2658" i="12"/>
  <c r="Z437" i="12"/>
  <c r="Z757" i="12"/>
  <c r="Z3248" i="12"/>
  <c r="Z458" i="12"/>
  <c r="Z1396" i="12"/>
  <c r="Z1049" i="12"/>
  <c r="Z1469" i="12"/>
  <c r="Z2612" i="12"/>
  <c r="Z764" i="12"/>
  <c r="Z2734" i="12"/>
  <c r="Z958" i="12"/>
  <c r="Z2493" i="12"/>
  <c r="Z1504" i="12"/>
  <c r="Z1237" i="12"/>
  <c r="Z249" i="12"/>
  <c r="Z1996" i="12"/>
  <c r="Z2747" i="12"/>
  <c r="Z1894" i="12"/>
  <c r="Z3021" i="12"/>
  <c r="Z1476" i="12"/>
  <c r="Z2279" i="12"/>
  <c r="Z2325" i="12"/>
  <c r="Z2306" i="12"/>
  <c r="Z3471" i="12"/>
  <c r="Z849" i="12"/>
  <c r="Z1681" i="12"/>
  <c r="Z1607" i="12"/>
  <c r="Z976" i="12"/>
  <c r="Z1132" i="12"/>
  <c r="Z2411" i="12"/>
  <c r="Z273" i="12"/>
  <c r="Z35" i="12"/>
  <c r="Z2800" i="12"/>
  <c r="Z3056" i="12"/>
  <c r="Z2767" i="12"/>
  <c r="Z3054" i="12"/>
  <c r="Z974" i="12"/>
  <c r="Z2741" i="12"/>
  <c r="Z1147" i="12"/>
  <c r="Z268" i="12"/>
  <c r="Z3336" i="12"/>
  <c r="Z771" i="12"/>
  <c r="Z1026" i="12"/>
  <c r="Z3224" i="12"/>
  <c r="Z674" i="12"/>
  <c r="Z1827" i="12"/>
  <c r="Z3220" i="12"/>
  <c r="Z2894" i="12"/>
  <c r="Z1687" i="12"/>
  <c r="Z2705" i="12"/>
  <c r="Z2472" i="12"/>
  <c r="Z1885" i="12"/>
  <c r="Z2575" i="12"/>
  <c r="Z3084" i="12"/>
  <c r="Z701" i="12"/>
  <c r="Z465" i="12"/>
  <c r="Z283" i="12"/>
  <c r="Z1892" i="12"/>
  <c r="Z2248" i="12"/>
  <c r="Z3522" i="12"/>
  <c r="Z2066" i="12"/>
  <c r="Z1936" i="12"/>
  <c r="Z632" i="12"/>
  <c r="Z3172" i="12"/>
  <c r="Z3086" i="12"/>
  <c r="Z486" i="12"/>
  <c r="Z2739" i="12"/>
  <c r="Z187" i="12"/>
  <c r="Z1346" i="12"/>
  <c r="Z1759" i="12"/>
  <c r="Z916" i="12"/>
  <c r="Z2560" i="12"/>
  <c r="Z292" i="12"/>
  <c r="Z921" i="12"/>
  <c r="Z1253" i="12"/>
  <c r="Z623" i="12"/>
  <c r="Z2786" i="12"/>
  <c r="Z2392" i="12"/>
  <c r="Z3530" i="12"/>
  <c r="Z3458" i="12"/>
  <c r="Z3393" i="12"/>
  <c r="Z1875" i="12"/>
  <c r="Z1745" i="12"/>
  <c r="Z737" i="12"/>
  <c r="Z2246" i="12"/>
  <c r="Z54" i="12"/>
  <c r="Z1833" i="12"/>
  <c r="Z552" i="12"/>
  <c r="Z3004" i="12"/>
  <c r="Z607" i="12"/>
  <c r="Z2939" i="12"/>
  <c r="Z1814" i="12"/>
  <c r="Z2135" i="12"/>
  <c r="Z3015" i="12"/>
  <c r="Z689" i="12"/>
  <c r="Z3408" i="12"/>
  <c r="Z3236" i="12"/>
  <c r="Z145" i="12"/>
  <c r="Z1151" i="12"/>
  <c r="Z1043" i="12"/>
  <c r="Z3151" i="12"/>
  <c r="Z330" i="12"/>
  <c r="Z2301" i="12"/>
  <c r="Z3370" i="12"/>
  <c r="Z3244" i="12"/>
  <c r="Z3006" i="12"/>
  <c r="Z2000" i="12"/>
  <c r="Z244" i="12"/>
  <c r="Z2508" i="12"/>
  <c r="Z991" i="12"/>
  <c r="Z2791" i="12"/>
  <c r="Z1417" i="12"/>
  <c r="Z593" i="12"/>
  <c r="Z960" i="12"/>
  <c r="Z2049" i="12"/>
  <c r="Z142" i="12"/>
  <c r="Z1475" i="12"/>
  <c r="Z2349" i="12"/>
  <c r="Z392" i="12"/>
  <c r="Z214" i="12"/>
  <c r="Z1723" i="12"/>
  <c r="Z131" i="12"/>
  <c r="Z2408" i="12"/>
  <c r="Z1693" i="12"/>
  <c r="Z2831" i="12"/>
  <c r="Z337" i="12"/>
  <c r="Z860" i="12"/>
  <c r="Z920" i="12"/>
  <c r="Z171" i="12"/>
  <c r="Z1015" i="12"/>
  <c r="Z2112" i="12"/>
  <c r="Z3011" i="12"/>
  <c r="Z3179" i="12"/>
  <c r="Z1306" i="12"/>
  <c r="Z530" i="12"/>
  <c r="Z2576" i="12"/>
  <c r="Z2903" i="12"/>
  <c r="Z2380" i="12"/>
  <c r="Z194" i="12"/>
  <c r="Z865" i="12"/>
  <c r="Z2913" i="12"/>
  <c r="Z1674" i="12"/>
  <c r="Z3444" i="12"/>
  <c r="Z3008" i="12"/>
  <c r="Z2710" i="12"/>
  <c r="Z2145" i="12"/>
  <c r="Z2129" i="12"/>
  <c r="Z281" i="12"/>
  <c r="Z758" i="12"/>
  <c r="Z642" i="12"/>
  <c r="Z3104" i="12"/>
  <c r="Z1953" i="12"/>
  <c r="Z806" i="12"/>
  <c r="Z2327" i="12"/>
  <c r="Z460" i="12"/>
  <c r="Z3300" i="12"/>
  <c r="Z869" i="12"/>
  <c r="Z51" i="12"/>
  <c r="Z3107" i="12"/>
  <c r="Z790" i="12"/>
  <c r="Z443" i="12"/>
  <c r="Z1648" i="12"/>
  <c r="Z2777" i="12"/>
  <c r="Z3183" i="12"/>
  <c r="Z491" i="12"/>
  <c r="Z2404" i="12"/>
  <c r="Z2155" i="12"/>
  <c r="Z1933" i="12"/>
  <c r="Z477" i="12"/>
  <c r="Z504" i="12"/>
  <c r="Z66" i="12"/>
  <c r="Z1900" i="12"/>
  <c r="Z847" i="12"/>
  <c r="Z2974" i="12"/>
  <c r="Z1950" i="12"/>
  <c r="Z926" i="12"/>
  <c r="Z3117" i="12"/>
  <c r="Z3049" i="12"/>
  <c r="Z2886" i="12"/>
  <c r="Z1574" i="12"/>
  <c r="Z398" i="12"/>
  <c r="Z2765" i="12"/>
  <c r="Z2263" i="12"/>
  <c r="Z1092" i="12"/>
  <c r="Z1311" i="12"/>
  <c r="Z1483" i="12"/>
  <c r="Z2952" i="12"/>
  <c r="Z1695" i="12"/>
  <c r="Z2702" i="12"/>
  <c r="Z1366" i="12"/>
  <c r="Z22" i="12"/>
  <c r="Z2665" i="12"/>
  <c r="Z1284" i="12"/>
  <c r="Z1356" i="12"/>
  <c r="Z1611" i="12"/>
  <c r="Z2812" i="12"/>
  <c r="Z1384" i="12"/>
  <c r="Z1584" i="12"/>
  <c r="Z715" i="12"/>
  <c r="Z1873" i="12"/>
  <c r="Z2762" i="12"/>
  <c r="Z803" i="12"/>
  <c r="Z1651" i="12"/>
  <c r="Z1707" i="12"/>
  <c r="Z796" i="12"/>
  <c r="Z3366" i="12"/>
  <c r="Z1606" i="12"/>
  <c r="Z270" i="12"/>
  <c r="Z3539" i="12"/>
  <c r="Z1778" i="12"/>
  <c r="Z3078" i="12"/>
  <c r="Z1302" i="12"/>
  <c r="Z2829" i="12"/>
  <c r="Z1851" i="12"/>
  <c r="Z178" i="12"/>
  <c r="Z971" i="12"/>
  <c r="Z2307" i="12"/>
  <c r="Z3483" i="12"/>
  <c r="Z3303" i="12"/>
  <c r="Z2267" i="12"/>
  <c r="Z133" i="12"/>
  <c r="Z584" i="12"/>
  <c r="Z948" i="12"/>
  <c r="Z655" i="12"/>
  <c r="Z811" i="12"/>
  <c r="Z1762" i="12"/>
  <c r="Z2423" i="12"/>
  <c r="Z2497" i="12"/>
  <c r="Z1188" i="12"/>
  <c r="Z298" i="12"/>
  <c r="Z2838" i="12"/>
  <c r="Z1070" i="12"/>
  <c r="Z2821" i="12"/>
  <c r="Z1632" i="12"/>
  <c r="Z1429" i="12"/>
  <c r="Z1639" i="12"/>
  <c r="Z2106" i="12"/>
  <c r="Z2971" i="12"/>
  <c r="Z2326" i="12"/>
  <c r="Z3189" i="12"/>
  <c r="Z1595" i="12"/>
  <c r="Z515" i="12"/>
  <c r="Z2898" i="12"/>
  <c r="Z3537" i="12"/>
  <c r="Z2388" i="12"/>
  <c r="Z995" i="12"/>
  <c r="Z1843" i="12"/>
  <c r="Z2293" i="12"/>
  <c r="Z1297" i="12"/>
  <c r="Z1921" i="12"/>
  <c r="Z1673" i="12"/>
  <c r="Z521" i="12"/>
  <c r="Z474" i="12"/>
  <c r="Z2065" i="12"/>
  <c r="Z119" i="12"/>
  <c r="Z3329" i="12"/>
  <c r="Z3494" i="12"/>
  <c r="Z1126" i="12"/>
  <c r="Z2869" i="12"/>
  <c r="Z1586" i="12"/>
  <c r="Z497" i="12"/>
  <c r="Z3474" i="12"/>
  <c r="Z1786" i="12"/>
  <c r="Z1264" i="12"/>
  <c r="Z3427" i="12"/>
  <c r="Z1125" i="12"/>
  <c r="Z116" i="12"/>
  <c r="Z3478" i="12"/>
  <c r="Z318" i="12"/>
  <c r="Z1888" i="12"/>
  <c r="Z881" i="12"/>
  <c r="Z2664" i="12"/>
  <c r="Z2242" i="12"/>
  <c r="Z3299" i="12"/>
  <c r="Z3362" i="12"/>
  <c r="Z949" i="12"/>
  <c r="Z700" i="12"/>
  <c r="Z712" i="12"/>
  <c r="Z1368" i="12"/>
  <c r="Z2449" i="12"/>
  <c r="Z2516" i="12"/>
  <c r="Z2752" i="12"/>
  <c r="Z1217" i="12"/>
  <c r="Z3017" i="12"/>
  <c r="Z81" i="12"/>
  <c r="Z3531" i="12"/>
  <c r="Z2737" i="12"/>
  <c r="Z2654" i="12"/>
  <c r="Z1118" i="12"/>
  <c r="Z2925" i="12"/>
  <c r="Z3254" i="12"/>
  <c r="Z1062" i="12"/>
  <c r="Z3263" i="12"/>
  <c r="Z1312" i="12"/>
  <c r="Z287" i="12"/>
  <c r="Z3378" i="12"/>
  <c r="Z3454" i="12"/>
  <c r="Z950" i="12"/>
  <c r="Z2485" i="12"/>
  <c r="Z617" i="12"/>
  <c r="Z3131" i="12"/>
  <c r="Z2015" i="12"/>
  <c r="Z697" i="12"/>
  <c r="Z2223" i="12"/>
  <c r="Z2355" i="12"/>
  <c r="Z2520" i="12"/>
  <c r="Z37" i="12"/>
  <c r="Z2774" i="12"/>
  <c r="Z774" i="12"/>
  <c r="Z2655" i="12"/>
  <c r="Z3310" i="12"/>
  <c r="Z302" i="12"/>
  <c r="Z1303" i="12"/>
  <c r="Z2887" i="12"/>
  <c r="Z1521" i="12"/>
  <c r="Z1154" i="12"/>
  <c r="Z1068" i="12"/>
  <c r="Z307" i="12"/>
  <c r="Z2292" i="12"/>
  <c r="Z1426" i="12"/>
  <c r="Z3234" i="12"/>
  <c r="Z604" i="12"/>
  <c r="Z293" i="12"/>
  <c r="Z1734" i="12"/>
  <c r="Z2825" i="12"/>
  <c r="Z169" i="12"/>
  <c r="Z3388" i="12"/>
  <c r="Z2535" i="12"/>
  <c r="Z822" i="12"/>
  <c r="Z489" i="12"/>
  <c r="Z3484" i="12"/>
  <c r="Z386" i="12"/>
  <c r="Z687" i="12"/>
  <c r="Z275" i="12"/>
  <c r="Z2703" i="12"/>
  <c r="Z2768" i="12"/>
  <c r="Z2840" i="12"/>
  <c r="Z2228" i="12"/>
  <c r="Z2211" i="12"/>
  <c r="Z2758" i="12"/>
  <c r="Z3173" i="12"/>
  <c r="Z480" i="12"/>
  <c r="Z3186" i="12"/>
  <c r="Z3143" i="12"/>
  <c r="Z2194" i="12"/>
  <c r="Z2980" i="12"/>
  <c r="Z1578" i="12"/>
  <c r="Z134" i="12"/>
  <c r="Z397" i="12"/>
  <c r="Z1960" i="12"/>
  <c r="Z2260" i="12"/>
  <c r="Z2572" i="12"/>
  <c r="Z1883" i="12"/>
  <c r="Z1528" i="12"/>
  <c r="Z402" i="12"/>
  <c r="Z1370" i="12"/>
  <c r="Z1424" i="12"/>
  <c r="Z939" i="12"/>
  <c r="Z2020" i="12"/>
  <c r="Z1670" i="12"/>
  <c r="Z1668" i="12"/>
  <c r="Z889" i="12"/>
  <c r="Z296" i="12"/>
  <c r="Z2121" i="12"/>
  <c r="Z1929" i="12"/>
  <c r="Z2978" i="12"/>
  <c r="Z239" i="12"/>
  <c r="Z2756" i="12"/>
  <c r="Z2530" i="12"/>
  <c r="Z1597" i="12"/>
  <c r="Z1683" i="12"/>
  <c r="Z2054" i="12"/>
  <c r="Z3487" i="12"/>
  <c r="Z3495" i="12"/>
  <c r="Z1567" i="12"/>
  <c r="Z3546" i="12"/>
  <c r="Z1796" i="12"/>
  <c r="Z3132" i="12"/>
  <c r="Z2283" i="12"/>
  <c r="Z965" i="12"/>
  <c r="Z3147" i="12"/>
  <c r="Z2249" i="12"/>
  <c r="Z1660" i="12"/>
  <c r="Z2580" i="12"/>
  <c r="Z618" i="12"/>
  <c r="Z2113" i="12"/>
  <c r="Z399" i="12"/>
  <c r="Z2371" i="12"/>
  <c r="Z2029" i="12"/>
  <c r="Z1161" i="12"/>
  <c r="Z1626" i="12"/>
  <c r="Z3313" i="12"/>
  <c r="Z1178" i="12"/>
  <c r="Z3109" i="12"/>
  <c r="Z306" i="12"/>
  <c r="Z1631" i="12"/>
  <c r="Z2489" i="12"/>
  <c r="Z2266" i="12"/>
  <c r="Z274" i="12"/>
  <c r="Z154" i="12"/>
  <c r="Z2964" i="12"/>
  <c r="Z2055" i="12"/>
  <c r="Z1362" i="12"/>
  <c r="Z1098" i="12"/>
  <c r="Z122" i="12"/>
  <c r="Z2816" i="12"/>
  <c r="Z2103" i="12"/>
  <c r="Z1690" i="12"/>
  <c r="Z1349" i="12"/>
  <c r="Z2424" i="12"/>
  <c r="Z1947" i="12"/>
  <c r="Z430" i="12"/>
  <c r="Z2695" i="12"/>
  <c r="Z1285" i="12"/>
  <c r="Z2509" i="12"/>
  <c r="Z1501" i="12"/>
  <c r="Z2067" i="12"/>
  <c r="Z2284" i="12"/>
  <c r="Z3093" i="12"/>
  <c r="Z2674" i="12"/>
  <c r="Z1096" i="12"/>
  <c r="Z2839" i="12"/>
  <c r="Z309" i="12"/>
  <c r="Z3345" i="12"/>
  <c r="Z1972" i="12"/>
  <c r="Z1361" i="12"/>
  <c r="Z481" i="12"/>
  <c r="Z919" i="12"/>
  <c r="Z2041" i="12"/>
  <c r="Z2321" i="12"/>
  <c r="Z1079" i="12"/>
  <c r="Z3476" i="12"/>
  <c r="Z3243" i="12"/>
  <c r="Z132" i="12"/>
  <c r="Z3321" i="12"/>
  <c r="Z858" i="12"/>
  <c r="Z3082" i="12"/>
  <c r="Z1480" i="12"/>
  <c r="Z90" i="12"/>
  <c r="Z213" i="12"/>
  <c r="Z2296" i="12"/>
  <c r="Z2736" i="12"/>
  <c r="Z931" i="12"/>
  <c r="Z2871" i="12"/>
  <c r="Z2222" i="12"/>
  <c r="Z3290" i="12"/>
  <c r="Z2691" i="12"/>
  <c r="Z665" i="12"/>
  <c r="Z2753" i="12"/>
  <c r="Z2851" i="12"/>
  <c r="Z844" i="12"/>
  <c r="Z620" i="12"/>
  <c r="Z2714" i="12"/>
  <c r="Z2461" i="12"/>
  <c r="Z2331" i="12"/>
  <c r="Z2784" i="12"/>
  <c r="Z3228" i="12"/>
  <c r="Z3051" i="12"/>
  <c r="Z1717" i="12"/>
  <c r="Z3297" i="12"/>
  <c r="Z3055" i="12"/>
  <c r="Z3312" i="12"/>
  <c r="Z2451" i="12"/>
  <c r="Z2373" i="12"/>
  <c r="Z2035" i="12"/>
  <c r="Z842" i="12"/>
  <c r="Z2256" i="12"/>
  <c r="Z1983" i="12"/>
  <c r="Z2566" i="12"/>
  <c r="Z759" i="12"/>
  <c r="Z271" i="12"/>
  <c r="Z1815" i="12"/>
  <c r="Z3184" i="12"/>
  <c r="Z1075" i="12"/>
  <c r="Z2119" i="12"/>
  <c r="Z175" i="12"/>
  <c r="Z3150" i="12"/>
  <c r="Z2711" i="12"/>
  <c r="Z1296" i="12"/>
  <c r="Z1114" i="12"/>
  <c r="Z1334" i="12"/>
  <c r="Z1978" i="12"/>
  <c r="Z393" i="12"/>
  <c r="Z1808" i="12"/>
  <c r="Z2021" i="12"/>
  <c r="Z1328" i="12"/>
  <c r="Z637" i="12"/>
  <c r="Z501" i="12"/>
  <c r="Z2659" i="12"/>
  <c r="Z261" i="12"/>
  <c r="Z2574" i="12"/>
  <c r="Z2536" i="12"/>
  <c r="Z2347" i="12"/>
  <c r="Z492" i="12"/>
  <c r="Z968" i="12"/>
  <c r="Z2412" i="12"/>
  <c r="Z874" i="12"/>
  <c r="Z1926" i="12"/>
  <c r="Z978" i="12"/>
  <c r="Z2348" i="12"/>
  <c r="Z1918" i="12"/>
  <c r="Z1834" i="12"/>
  <c r="Z2847" i="12"/>
  <c r="Z179" i="12"/>
  <c r="Z324" i="12"/>
  <c r="Z83" i="12"/>
  <c r="Z2037" i="12"/>
  <c r="Z3269" i="12"/>
  <c r="Z394" i="12"/>
  <c r="Z2873" i="12"/>
  <c r="Z581" i="12"/>
  <c r="Z2127" i="12"/>
  <c r="Z1335" i="12"/>
  <c r="Z2515" i="12"/>
  <c r="Z85" i="12"/>
  <c r="Z2824" i="12"/>
  <c r="Z3350" i="12"/>
  <c r="Z2877" i="12"/>
  <c r="Z233" i="12"/>
  <c r="Z3396" i="12"/>
  <c r="Z3404" i="12"/>
  <c r="Z741" i="12"/>
  <c r="Z97" i="12"/>
  <c r="Z1635" i="12"/>
  <c r="Z1775" i="12"/>
  <c r="Z1115" i="12"/>
  <c r="Z2257" i="12"/>
  <c r="Z2150" i="12"/>
  <c r="Z224" i="12"/>
  <c r="Z2316" i="12"/>
  <c r="Z322" i="12"/>
  <c r="Z1901" i="12"/>
  <c r="Z1490" i="12"/>
  <c r="Z713" i="12"/>
  <c r="Z3253" i="12"/>
  <c r="Z41" i="12"/>
  <c r="Z1594" i="12"/>
  <c r="Z2328" i="12"/>
  <c r="Z1563" i="12"/>
  <c r="Z3064" i="12"/>
  <c r="Z711" i="12"/>
  <c r="Z3361" i="12"/>
  <c r="Z3267" i="12"/>
  <c r="Z1715" i="12"/>
  <c r="Z2916" i="12"/>
  <c r="Z126" i="12"/>
  <c r="Z1083" i="12"/>
  <c r="Z3080" i="12"/>
  <c r="Z633" i="12"/>
  <c r="Z1698" i="12"/>
  <c r="Z495" i="12"/>
  <c r="Z2410" i="12"/>
  <c r="Z1836" i="12"/>
  <c r="Z1898" i="12"/>
  <c r="Z1177" i="12"/>
  <c r="Z648" i="12"/>
  <c r="Z631" i="12"/>
  <c r="Z1662" i="12"/>
  <c r="Z1659" i="12"/>
  <c r="Z1255" i="12"/>
  <c r="Z2196" i="12"/>
  <c r="Z3142" i="12"/>
  <c r="Z1138" i="12"/>
  <c r="Z67" i="12"/>
  <c r="Z1479" i="12"/>
  <c r="Z1416" i="12"/>
  <c r="Z768" i="12"/>
  <c r="Z875" i="12"/>
  <c r="Z1541" i="12"/>
  <c r="Z924" i="12"/>
  <c r="Z1721" i="12"/>
  <c r="Z2998" i="12"/>
  <c r="Z450" i="12"/>
  <c r="Z156" i="12"/>
  <c r="Z2890" i="12"/>
  <c r="Z1903" i="12"/>
  <c r="Z3407" i="12"/>
  <c r="Z2798" i="12"/>
  <c r="Z2517" i="12"/>
  <c r="Z2297" i="12"/>
  <c r="Z40" i="12"/>
  <c r="Z1682" i="12"/>
  <c r="Z628" i="12"/>
  <c r="Z2157" i="12"/>
  <c r="Z1505" i="12"/>
  <c r="Z1148" i="12"/>
  <c r="Z3210" i="12"/>
  <c r="Z3178" i="12"/>
  <c r="Z1128" i="12"/>
  <c r="Z2239" i="12"/>
  <c r="Z888" i="12"/>
  <c r="Z1825" i="12"/>
  <c r="Z1041" i="12"/>
  <c r="Z857" i="12"/>
  <c r="Z412" i="12"/>
  <c r="Z2685" i="12"/>
  <c r="Z2827" i="12"/>
  <c r="Z2126" i="12"/>
  <c r="Z1376" i="12"/>
  <c r="Z3356" i="12"/>
  <c r="Z773" i="12"/>
  <c r="Z912" i="12"/>
  <c r="Z3059" i="12"/>
  <c r="Z1629" i="12"/>
  <c r="Z247" i="12"/>
  <c r="Z3467" i="12"/>
  <c r="Z3192" i="12"/>
  <c r="Z3332" i="12"/>
  <c r="Z3468" i="12"/>
  <c r="Z3503" i="12"/>
  <c r="Z680" i="12"/>
  <c r="Z191" i="12"/>
  <c r="Z3311" i="12"/>
  <c r="Z1224" i="12"/>
  <c r="Z180" i="12"/>
  <c r="Z3158" i="12"/>
  <c r="Z2407" i="12"/>
  <c r="Z2724" i="12"/>
  <c r="Z1381" i="12"/>
  <c r="Z375" i="12"/>
  <c r="Z1699" i="12"/>
  <c r="Z2238" i="12"/>
  <c r="Z313" i="12"/>
  <c r="Z1872" i="12"/>
  <c r="Z3266" i="12"/>
  <c r="Z2635" i="12"/>
  <c r="Z1277" i="12"/>
  <c r="Z422" i="12"/>
  <c r="Z872" i="12"/>
  <c r="Z2657" i="12"/>
  <c r="Z2583" i="12"/>
  <c r="Z2584" i="12"/>
  <c r="Z559" i="12"/>
  <c r="Z285" i="12"/>
  <c r="Z319" i="12"/>
  <c r="Z911" i="12"/>
  <c r="Z1243" i="12"/>
  <c r="Z1573" i="12"/>
  <c r="Z46" i="12"/>
  <c r="Z1704" i="12"/>
  <c r="Z775" i="12"/>
  <c r="Z2026" i="12"/>
  <c r="Z1380" i="12"/>
  <c r="Z1982" i="12"/>
  <c r="Z1007" i="12"/>
  <c r="Z2551" i="12"/>
  <c r="Z2949" i="12"/>
  <c r="Z376" i="12"/>
  <c r="Z1689" i="12"/>
  <c r="Z1828" i="12"/>
  <c r="Z311" i="12"/>
  <c r="Z780" i="12"/>
  <c r="Z1095" i="12"/>
  <c r="Z2154" i="12"/>
  <c r="Z2471" i="12"/>
  <c r="Z1268" i="12"/>
  <c r="Z866" i="12"/>
  <c r="Z2142" i="12"/>
  <c r="Z414" i="12"/>
  <c r="Z3475" i="12"/>
  <c r="Z2230" i="12"/>
  <c r="Z254" i="12"/>
  <c r="Z2975" i="12"/>
  <c r="Z507" i="12"/>
  <c r="Z2779" i="12"/>
  <c r="Z2216" i="12"/>
  <c r="Z2286" i="12"/>
  <c r="Z278" i="12"/>
  <c r="Z2372" i="12"/>
  <c r="Z370" i="12"/>
  <c r="Z185" i="12"/>
  <c r="Z95" i="12"/>
  <c r="Z1995" i="12"/>
  <c r="Z938" i="12"/>
  <c r="Z1404" i="12"/>
  <c r="Z2735" i="12"/>
  <c r="Z2278" i="12"/>
  <c r="Z3141" i="12"/>
  <c r="Z2363" i="12"/>
  <c r="Z3283" i="12"/>
  <c r="Z471" i="12"/>
  <c r="Z267" i="12"/>
  <c r="Z954" i="12"/>
  <c r="Z3428" i="12"/>
  <c r="Z2488" i="12"/>
  <c r="Z2131" i="12"/>
  <c r="Z1442" i="12"/>
  <c r="Z2720" i="12"/>
  <c r="Z346" i="12"/>
  <c r="Z2122" i="12"/>
  <c r="Z867" i="12"/>
  <c r="Z166" i="12"/>
  <c r="Z2400" i="12"/>
  <c r="Z3419" i="12"/>
  <c r="Z1896" i="12"/>
  <c r="Z3222" i="12"/>
  <c r="Z3315" i="12"/>
  <c r="Z972" i="12"/>
  <c r="Z1941" i="12"/>
  <c r="Z3242" i="12"/>
  <c r="Z2828" i="12"/>
  <c r="Z554" i="12"/>
  <c r="Z3042" i="12"/>
  <c r="Z1139" i="12"/>
  <c r="Z2466" i="12"/>
  <c r="Z591" i="12"/>
  <c r="Z3412" i="12"/>
  <c r="Z1998" i="12"/>
  <c r="Z2495" i="12"/>
  <c r="Z31" i="12"/>
  <c r="Z2170" i="12"/>
  <c r="Z103" i="12"/>
  <c r="Z1743" i="12"/>
  <c r="Z1344" i="12"/>
  <c r="Z2262" i="12"/>
  <c r="Z2661" i="12"/>
  <c r="Z2187" i="12"/>
  <c r="Z671" i="12"/>
  <c r="Z2149" i="12"/>
  <c r="Z1331" i="12"/>
  <c r="Z2775" i="12"/>
  <c r="Z357" i="12"/>
  <c r="Z2842" i="12"/>
  <c r="Z2229" i="12"/>
  <c r="Z1069" i="12"/>
  <c r="Z2329" i="12"/>
  <c r="Z33" i="12"/>
  <c r="Z3429" i="12"/>
  <c r="Z23" i="12"/>
  <c r="Z2844" i="12"/>
  <c r="Z3207" i="12"/>
  <c r="Z1097" i="12"/>
  <c r="Z291" i="12"/>
  <c r="Z257" i="12"/>
  <c r="Z1544" i="12"/>
  <c r="Z1634" i="12"/>
  <c r="Z312" i="12"/>
  <c r="Z1464" i="12"/>
  <c r="Z3106" i="12"/>
  <c r="Z1470" i="12"/>
  <c r="Z1431" i="12"/>
  <c r="Z861" i="12"/>
  <c r="Z1858" i="12"/>
  <c r="Z1550" i="12"/>
  <c r="Z818" i="12"/>
  <c r="Z2919" i="12"/>
  <c r="Z1215" i="12"/>
  <c r="Z1050" i="12"/>
  <c r="Z1792" i="12"/>
  <c r="Z2337" i="12"/>
  <c r="Z603" i="12"/>
  <c r="Z107" i="12"/>
  <c r="Z1962" i="12"/>
  <c r="Z2186" i="12"/>
  <c r="Z3465" i="12"/>
  <c r="Z2442" i="12"/>
  <c r="Z2874" i="12"/>
  <c r="Z1441" i="12"/>
  <c r="Z3401" i="12"/>
  <c r="Z2165" i="12"/>
  <c r="Z2422" i="12"/>
  <c r="Z3177" i="12"/>
  <c r="Z1520" i="12"/>
  <c r="Z1136" i="12"/>
  <c r="Z1418" i="12"/>
  <c r="Z364" i="12"/>
  <c r="Z2057" i="12"/>
  <c r="Z1763" i="12"/>
  <c r="Z2305" i="12"/>
  <c r="Z649" i="12"/>
  <c r="Z2402" i="12"/>
  <c r="Z1615" i="12"/>
  <c r="Z21" i="12"/>
  <c r="Z28" i="12"/>
  <c r="Z3296" i="12"/>
  <c r="Z639" i="12"/>
  <c r="Z2200" i="12"/>
  <c r="Z2039" i="12"/>
  <c r="Z1497" i="12"/>
  <c r="Z2601" i="12"/>
  <c r="Z115" i="12"/>
  <c r="Z1798" i="12"/>
  <c r="Z1047" i="12"/>
  <c r="Z1389" i="12"/>
  <c r="Z2276" i="12"/>
  <c r="Z2081" i="12"/>
  <c r="Z2317" i="12"/>
  <c r="Z3491" i="12"/>
  <c r="Z2378" i="12"/>
  <c r="Z2618" i="12"/>
  <c r="Z2139" i="12"/>
  <c r="Z2632" i="12"/>
  <c r="Z447" i="12"/>
  <c r="Z1608" i="12"/>
  <c r="Z3238" i="12"/>
  <c r="Z3144" i="12"/>
  <c r="Z2947" i="12"/>
  <c r="Z1413" i="12"/>
  <c r="Z3330" i="12"/>
  <c r="Z1874" i="12"/>
  <c r="Z2342" i="12"/>
  <c r="Z1448" i="12"/>
  <c r="Z2063" i="12"/>
  <c r="Z3544" i="12"/>
  <c r="Z2172" i="12"/>
  <c r="Z1688" i="12"/>
  <c r="Z1342" i="12"/>
  <c r="Z3121" i="12"/>
  <c r="Z1242" i="12"/>
  <c r="Z1909" i="12"/>
  <c r="Z986" i="12"/>
  <c r="Z3124" i="12"/>
  <c r="Z3197" i="12"/>
  <c r="Z980" i="12"/>
  <c r="Z1489" i="12"/>
  <c r="Z884" i="12"/>
  <c r="Z2543" i="12"/>
  <c r="Z2431" i="12"/>
  <c r="Z2076" i="12"/>
  <c r="Z2700" i="12"/>
  <c r="Z2822" i="12"/>
  <c r="Z3256" i="12"/>
  <c r="Z2359" i="12"/>
  <c r="Z2917" i="12"/>
  <c r="Z387" i="12"/>
  <c r="Z303" i="12"/>
  <c r="Z355" i="12"/>
  <c r="Z1773" i="12"/>
  <c r="Z626" i="12"/>
  <c r="Z2639" i="12"/>
  <c r="Z2377" i="12"/>
  <c r="Z1119" i="12"/>
  <c r="Z1647" i="12"/>
  <c r="Z2332" i="12"/>
  <c r="Z1397" i="12"/>
  <c r="Z192" i="12"/>
  <c r="Z1081" i="12"/>
  <c r="Z2303" i="12"/>
  <c r="Z3328" i="12"/>
  <c r="Z3154" i="12"/>
  <c r="Z272" i="12"/>
  <c r="Z1204" i="12"/>
  <c r="Z2078" i="12"/>
  <c r="Z350" i="12"/>
  <c r="Z2879" i="12"/>
  <c r="Z2158" i="12"/>
  <c r="Z3349" i="12"/>
  <c r="Z2579" i="12"/>
  <c r="Z215" i="12"/>
  <c r="Z1127" i="12"/>
  <c r="Z2143" i="12"/>
  <c r="Z2198" i="12"/>
  <c r="Z198" i="12"/>
  <c r="Z2290" i="12"/>
  <c r="Z762" i="12"/>
  <c r="Z3410" i="12"/>
  <c r="Z3431" i="12"/>
  <c r="Z1575" i="12"/>
  <c r="Z467" i="12"/>
  <c r="Z568" i="12"/>
  <c r="Z26" i="12"/>
  <c r="Z1189" i="12"/>
  <c r="Z2190" i="12"/>
  <c r="Z3045" i="12"/>
  <c r="Z1613" i="12"/>
  <c r="Z1974" i="12"/>
  <c r="Z3145" i="12"/>
  <c r="Z379" i="12"/>
  <c r="Z3282" i="12"/>
  <c r="Z1959" i="12"/>
  <c r="Z2692" i="12"/>
  <c r="Z2339" i="12"/>
  <c r="Z1133" i="12"/>
  <c r="Z941" i="12"/>
  <c r="Z127" i="12"/>
  <c r="Z720" i="12"/>
  <c r="Z400" i="12"/>
  <c r="Z62" i="12"/>
  <c r="Z1065" i="12"/>
  <c r="Z2343" i="12"/>
  <c r="Z1804" i="12"/>
  <c r="Z3062" i="12"/>
  <c r="Z3091" i="12"/>
  <c r="Z1968" i="12"/>
  <c r="Z808" i="12"/>
  <c r="Z3072" i="12"/>
  <c r="Z2640" i="12"/>
  <c r="Z335" i="12"/>
  <c r="Z1967" i="12"/>
  <c r="Z2656" i="12"/>
  <c r="Z2544" i="12"/>
  <c r="Z2341" i="12"/>
  <c r="Z2832" i="12"/>
  <c r="Z814" i="12"/>
  <c r="Z2345" i="12"/>
  <c r="Z3271" i="12"/>
  <c r="Z2051" i="12"/>
  <c r="Z3354" i="12"/>
  <c r="Z512" i="12"/>
  <c r="Z555" i="12"/>
  <c r="Z2102" i="12"/>
  <c r="Z3027" i="12"/>
  <c r="Z1767" i="12"/>
  <c r="Z3079" i="12"/>
  <c r="Z1536" i="12"/>
  <c r="Z511" i="12"/>
  <c r="Z1764" i="12"/>
  <c r="Z2393" i="12"/>
  <c r="Z2204" i="12"/>
  <c r="Z1848" i="12"/>
  <c r="Z427" i="12"/>
  <c r="Z691" i="12"/>
  <c r="Z2878" i="12"/>
  <c r="Z3237" i="12"/>
  <c r="Z1201" i="12"/>
  <c r="Z2652" i="12"/>
  <c r="Z2205" i="12"/>
  <c r="Z89" i="12"/>
  <c r="Z2440" i="12"/>
  <c r="Z2959" i="12"/>
  <c r="Z1280" i="12"/>
  <c r="Z1313" i="12"/>
  <c r="Z1363" i="12"/>
  <c r="Z879" i="12"/>
  <c r="Z2490" i="12"/>
  <c r="Z1238" i="12"/>
  <c r="Z1248" i="12"/>
  <c r="Z2802" i="12"/>
  <c r="Z1465" i="12"/>
  <c r="Z582" i="12"/>
  <c r="Z59" i="12"/>
  <c r="Z2397" i="12"/>
  <c r="Z2932" i="12"/>
  <c r="Z627" i="12"/>
  <c r="Z1369" i="12"/>
  <c r="Z1545" i="12"/>
  <c r="Z659" i="12"/>
  <c r="Z1672" i="12"/>
  <c r="Z321" i="12"/>
  <c r="Z1994" i="12"/>
  <c r="Z2611" i="12"/>
  <c r="Z1653" i="12"/>
  <c r="Z1616" i="12"/>
  <c r="Z519" i="12"/>
  <c r="Z2235" i="12"/>
  <c r="Z556" i="12"/>
  <c r="Z2134" i="12"/>
  <c r="Z1394" i="12"/>
  <c r="Z843" i="12"/>
  <c r="Z724" i="12"/>
  <c r="Z1186" i="12"/>
  <c r="Z56" i="12"/>
  <c r="Z3063" i="12"/>
  <c r="Z901" i="12"/>
  <c r="Z1488" i="12"/>
  <c r="Z1981" i="12"/>
  <c r="Z1407" i="12"/>
  <c r="Z2138" i="12"/>
  <c r="Z2801" i="12"/>
  <c r="Z2881" i="12"/>
  <c r="Z2499" i="12"/>
  <c r="Z2721" i="12"/>
  <c r="Z2984" i="12"/>
  <c r="Z1985" i="12"/>
  <c r="Z2698" i="12"/>
  <c r="Z1577" i="12"/>
  <c r="Z1415" i="12"/>
  <c r="Z566" i="12"/>
  <c r="Z791" i="12"/>
  <c r="Z3203" i="12"/>
  <c r="Z3331" i="12"/>
  <c r="Z2382" i="12"/>
  <c r="Z451" i="12"/>
  <c r="Z2763" i="12"/>
  <c r="Z947" i="12"/>
  <c r="Z1427" i="12"/>
  <c r="Z34" i="12"/>
  <c r="Z395" i="12"/>
  <c r="Z2649" i="12"/>
  <c r="Z1372" i="12"/>
  <c r="Z2558" i="12"/>
  <c r="Z1466" i="12"/>
  <c r="Z2091" i="12"/>
  <c r="Z243" i="12"/>
  <c r="Z2287" i="12"/>
  <c r="Z1980" i="12"/>
  <c r="Z1590" i="12"/>
  <c r="Z3281" i="12"/>
  <c r="Z1271" i="12"/>
  <c r="Z1938" i="12"/>
  <c r="Z1323" i="12"/>
  <c r="Z164" i="12"/>
  <c r="Z590" i="12"/>
  <c r="Z1419" i="12"/>
  <c r="Z466" i="12"/>
  <c r="Z812" i="12"/>
  <c r="Z2668" i="12"/>
  <c r="Z1569" i="12"/>
  <c r="Z3369" i="12"/>
  <c r="Z2948" i="12"/>
  <c r="Z640" i="12"/>
  <c r="Z2351" i="12"/>
  <c r="Z2732" i="12"/>
  <c r="Z2926" i="12"/>
  <c r="Z3426" i="12"/>
  <c r="Z868" i="12"/>
  <c r="Z334" i="12"/>
  <c r="Z1592" i="12"/>
  <c r="Z2415" i="12"/>
  <c r="Z2857" i="12"/>
  <c r="Z852" i="12"/>
  <c r="Z2722" i="12"/>
  <c r="Z2095" i="12"/>
  <c r="Z135" i="12"/>
  <c r="Z3323" i="12"/>
  <c r="Z408" i="12"/>
  <c r="Z896" i="12"/>
  <c r="Z1145" i="12"/>
  <c r="Z2040" i="12"/>
  <c r="Z664" i="12"/>
  <c r="Z300" i="12"/>
  <c r="Z1993" i="12"/>
  <c r="Z2335" i="12"/>
  <c r="Z1644" i="12"/>
  <c r="Z1006" i="12"/>
  <c r="Z1685" i="12"/>
  <c r="Z1664" i="12"/>
  <c r="Z1728" i="12"/>
  <c r="Z1630" i="12"/>
  <c r="Z94" i="12"/>
  <c r="Z3470" i="12"/>
  <c r="Z2086" i="12"/>
  <c r="Z3277" i="12"/>
  <c r="Z1897" i="12"/>
  <c r="Z141" i="12"/>
  <c r="Z953" i="12"/>
  <c r="Z2069" i="12"/>
  <c r="Z2118" i="12"/>
  <c r="Z2973" i="12"/>
  <c r="Z1787" i="12"/>
  <c r="Z195" i="12"/>
  <c r="Z3016" i="12"/>
  <c r="Z3227" i="12"/>
  <c r="Z3279" i="12"/>
  <c r="Z353" i="12"/>
  <c r="Z3065" i="12"/>
  <c r="Z3252" i="12"/>
  <c r="Z856" i="12"/>
  <c r="Z1446" i="12"/>
  <c r="Z2965" i="12"/>
  <c r="Z1275" i="12"/>
  <c r="Z1518" i="12"/>
  <c r="Z2985" i="12"/>
  <c r="Z588" i="12"/>
  <c r="Z2962" i="12"/>
  <c r="Z1785" i="12"/>
  <c r="Z2540" i="12"/>
  <c r="Z2209" i="12"/>
  <c r="Z583" i="12"/>
  <c r="Z841" i="12"/>
  <c r="Z2090" i="12"/>
  <c r="Z2437" i="12"/>
  <c r="Z2168" i="12"/>
  <c r="Z2630" i="12"/>
  <c r="Z3485" i="12"/>
  <c r="Z964" i="12"/>
  <c r="Z2123" i="12"/>
  <c r="Z1713" i="12"/>
  <c r="Z1726" i="12"/>
  <c r="Z2505" i="12"/>
  <c r="Z1593" i="12"/>
  <c r="Z506" i="12"/>
  <c r="Z2369" i="12"/>
  <c r="Z1506" i="12"/>
  <c r="Z128" i="12"/>
  <c r="Z1207" i="12"/>
  <c r="Z2365" i="12"/>
  <c r="Z956" i="12"/>
  <c r="Z1395" i="12"/>
  <c r="Z2313" i="12"/>
  <c r="Z662" i="12"/>
  <c r="Z1906" i="12"/>
  <c r="Z2233" i="12"/>
  <c r="Z488" i="12"/>
  <c r="Z1776" i="12"/>
  <c r="Z365" i="12"/>
  <c r="Z409" i="12"/>
  <c r="Z1910" i="12"/>
  <c r="Z2751" i="12"/>
  <c r="Z1364" i="12"/>
  <c r="Z1620" i="12"/>
  <c r="Z1345" i="12"/>
  <c r="Z3116" i="12"/>
  <c r="Z1386" i="12"/>
  <c r="Z1865" i="12"/>
  <c r="Z1810" i="12"/>
  <c r="Z1555" i="12"/>
  <c r="Z120" i="12"/>
  <c r="Z163" i="12"/>
  <c r="Z2678" i="12"/>
  <c r="Z3519" i="12"/>
  <c r="Z597" i="12"/>
  <c r="Z1420" i="12"/>
  <c r="Z1474" i="12"/>
  <c r="Z2848" i="12"/>
  <c r="Z2421" i="12"/>
  <c r="Z988" i="12"/>
  <c r="Z778" i="12"/>
  <c r="Z236" i="12"/>
  <c r="Z732" i="12"/>
  <c r="Z3413" i="12"/>
  <c r="Z1056" i="12"/>
  <c r="Z2642" i="12"/>
  <c r="Z1181" i="12"/>
  <c r="Z246" i="12"/>
  <c r="Z2315" i="12"/>
  <c r="Z240" i="12"/>
  <c r="Z2311" i="12"/>
  <c r="Z290" i="12"/>
  <c r="Z1060" i="12"/>
  <c r="Z2304" i="12"/>
  <c r="Z3371" i="12"/>
  <c r="Z1029" i="12"/>
  <c r="Z2250" i="12"/>
  <c r="Z563" i="12"/>
  <c r="Z3473" i="12"/>
  <c r="Z1084" i="12"/>
  <c r="Z2084" i="12"/>
  <c r="Z2884" i="12"/>
  <c r="Z1339" i="12"/>
  <c r="Z476" i="12"/>
  <c r="Z1806" i="12"/>
  <c r="Z1129" i="12"/>
  <c r="Z3368" i="12"/>
  <c r="Z3367" i="12"/>
  <c r="Z3223" i="12"/>
  <c r="Z2946" i="12"/>
  <c r="Z2364" i="12"/>
  <c r="Z577" i="12"/>
  <c r="Z1135" i="12"/>
  <c r="Z546" i="12"/>
  <c r="Z586" i="12"/>
  <c r="Z1260" i="12"/>
  <c r="Z1666" i="12"/>
  <c r="Z2521" i="12"/>
  <c r="Z621" i="12"/>
  <c r="Z2433" i="12"/>
  <c r="Z505" i="12"/>
  <c r="Z3402" i="12"/>
  <c r="Z325" i="12"/>
  <c r="Z2972" i="12"/>
  <c r="Z987" i="12"/>
  <c r="Z3405" i="12"/>
  <c r="Z498" i="12"/>
  <c r="Z1433" i="12"/>
  <c r="Z2184" i="12"/>
  <c r="Z2046" i="12"/>
  <c r="Z2759" i="12"/>
  <c r="Z2181" i="12"/>
  <c r="Z508" i="12"/>
  <c r="Z1031" i="12"/>
  <c r="Z1143" i="12"/>
  <c r="Z2429" i="12"/>
  <c r="Z401" i="12"/>
  <c r="Z787" i="12"/>
  <c r="Z3533" i="12"/>
  <c r="Z113" i="12"/>
  <c r="Z1299" i="12"/>
  <c r="Z3500" i="12"/>
  <c r="Z225" i="12"/>
  <c r="Z2533" i="12"/>
  <c r="Z1849" i="12"/>
  <c r="Z482" i="12"/>
  <c r="Z1059" i="12"/>
  <c r="Z137" i="12"/>
  <c r="Z2036" i="12"/>
  <c r="Z1559" i="12"/>
  <c r="Z413" i="12"/>
  <c r="Z2690" i="12"/>
  <c r="Z2571" i="12"/>
  <c r="Z1071" i="12"/>
  <c r="Z220" i="12"/>
  <c r="Z1292" i="12"/>
  <c r="Z2092" i="12"/>
  <c r="Z1837" i="12"/>
  <c r="Z1720" i="12"/>
  <c r="Z997" i="12"/>
  <c r="Z342" i="12"/>
  <c r="Z2945" i="12"/>
  <c r="Z2419" i="12"/>
  <c r="Z2931" i="12"/>
  <c r="Z2740" i="12"/>
  <c r="Z2403" i="12"/>
  <c r="Z1924" i="12"/>
  <c r="Z2644" i="12"/>
  <c r="Z228" i="12"/>
  <c r="Z923" i="12"/>
  <c r="Z500" i="12"/>
  <c r="Z1793" i="12"/>
  <c r="Z996" i="12"/>
  <c r="Z707" i="12"/>
  <c r="Z2479" i="12"/>
  <c r="Z985" i="12"/>
  <c r="Z64" i="12"/>
  <c r="Z411" i="12"/>
  <c r="Z2491" i="12"/>
  <c r="Z3316" i="12"/>
  <c r="Z3360" i="12"/>
  <c r="Z1816" i="12"/>
  <c r="Z2073" i="12"/>
  <c r="Z1438" i="12"/>
  <c r="Z30" i="12"/>
  <c r="Z3398" i="12"/>
  <c r="Z1422" i="12"/>
  <c r="Z3205" i="12"/>
  <c r="Z1824" i="12"/>
  <c r="Z68" i="12"/>
  <c r="Z231" i="12"/>
  <c r="Z826" i="12"/>
  <c r="Z1614" i="12"/>
  <c r="Z2893" i="12"/>
  <c r="Z1705" i="12"/>
  <c r="Z58" i="12"/>
  <c r="Z2620" i="12"/>
  <c r="Z3025" i="12"/>
  <c r="Z2864" i="12"/>
  <c r="Z235" i="12"/>
  <c r="Z2880" i="12"/>
  <c r="Z537" i="12"/>
  <c r="Z2056" i="12"/>
  <c r="Z1358" i="12"/>
  <c r="Z2885" i="12"/>
  <c r="Z1193" i="12"/>
  <c r="Z510" i="12"/>
  <c r="Z2180" i="12"/>
  <c r="Z433" i="12"/>
  <c r="Z2834" i="12"/>
  <c r="Z1556" i="12"/>
  <c r="Z1596" i="12"/>
  <c r="Z1665" i="12"/>
  <c r="Z2788" i="12"/>
  <c r="Z536" i="12"/>
  <c r="Z1753" i="12"/>
  <c r="Z1234" i="12"/>
  <c r="Z1700" i="12"/>
  <c r="Z2502" i="12"/>
  <c r="Z3365" i="12"/>
  <c r="Z836" i="12"/>
  <c r="Z3482" i="12"/>
  <c r="Z735" i="12"/>
  <c r="Z1142" i="12"/>
  <c r="Z1915" i="12"/>
  <c r="Z1319" i="12"/>
  <c r="Z2050" i="12"/>
  <c r="Z2210" i="12"/>
  <c r="Z600" i="12"/>
  <c r="Z3380" i="12"/>
  <c r="Z943" i="12"/>
  <c r="Z25" i="12"/>
  <c r="Z810" i="12"/>
  <c r="Z1845" i="12"/>
  <c r="Z534" i="12"/>
  <c r="Z717" i="12"/>
  <c r="Z1273" i="12"/>
  <c r="Z232" i="12"/>
  <c r="Z121" i="12"/>
  <c r="Z3384" i="12"/>
  <c r="Z2468" i="12"/>
  <c r="Z1678" i="12"/>
  <c r="Z1495" i="12"/>
  <c r="Z907" i="12"/>
  <c r="Z48" i="12"/>
  <c r="Z1113" i="12"/>
  <c r="Z2456" i="12"/>
  <c r="Z317" i="12"/>
  <c r="Z1560" i="12"/>
  <c r="Z1927" i="12"/>
  <c r="Z795" i="12"/>
  <c r="Z2167" i="12"/>
  <c r="Z3041" i="12"/>
  <c r="Z2094" i="12"/>
  <c r="Z2464" i="12"/>
  <c r="Z323" i="12"/>
  <c r="Z1018" i="12"/>
  <c r="Z825" i="12"/>
  <c r="Z2554" i="12"/>
  <c r="Z1005" i="12"/>
  <c r="Z1048" i="12"/>
  <c r="Z1279" i="12"/>
  <c r="Z696" i="12"/>
  <c r="Z136" i="12"/>
  <c r="Z3520" i="12"/>
  <c r="Z1085" i="12"/>
  <c r="Z3213" i="12"/>
  <c r="Z2876" i="12"/>
  <c r="Z2252" i="12"/>
  <c r="Z1428" i="12"/>
  <c r="Z3525" i="12"/>
  <c r="Z295" i="12"/>
  <c r="Z3441" i="12"/>
  <c r="Z2047" i="12"/>
  <c r="Z740" i="12"/>
  <c r="Z609" i="12"/>
  <c r="Z3247" i="12"/>
  <c r="Z2346" i="12"/>
  <c r="Z2195" i="12"/>
  <c r="Z565" i="12"/>
  <c r="Z2955" i="12"/>
  <c r="Z2013" i="12"/>
  <c r="Z572" i="12"/>
  <c r="Z1267" i="12"/>
  <c r="Z2988" i="12"/>
  <c r="Z378" i="12"/>
  <c r="Z2616" i="12"/>
  <c r="Z1542" i="12"/>
  <c r="Z809" i="12"/>
  <c r="Z2161" i="12"/>
  <c r="Z1904" i="12"/>
  <c r="Z2914" i="12"/>
  <c r="Z2586" i="12"/>
  <c r="Z1719" i="12"/>
  <c r="Z1514" i="12"/>
  <c r="Z667" i="12"/>
  <c r="Z3088" i="12"/>
  <c r="Z3435" i="12"/>
  <c r="Z557" i="12"/>
  <c r="Z2875" i="12"/>
  <c r="Z2018" i="12"/>
  <c r="Z2872" i="12"/>
  <c r="Z914" i="12"/>
  <c r="Z3532" i="12"/>
  <c r="Z2772" i="12"/>
  <c r="Z2646" i="12"/>
  <c r="Z2042" i="12"/>
  <c r="Z1543" i="12"/>
  <c r="Z3101" i="12"/>
  <c r="Z2811" i="12"/>
  <c r="Z2553" i="12"/>
  <c r="Z3020" i="12"/>
  <c r="Z1766" i="12"/>
  <c r="Z1456" i="12"/>
  <c r="Z2506" i="12"/>
  <c r="Z2820" i="12"/>
  <c r="Z80" i="12"/>
  <c r="Z3318" i="12"/>
  <c r="Z1040" i="12"/>
  <c r="Z2745" i="12"/>
  <c r="Z234" i="12"/>
  <c r="Z2613" i="12"/>
  <c r="Z1977" i="12"/>
  <c r="Z657" i="12"/>
  <c r="Z1600" i="12"/>
  <c r="Z181" i="12"/>
  <c r="Z2093" i="12"/>
  <c r="Z1568" i="12"/>
  <c r="Z432" i="12"/>
  <c r="Z3050" i="12"/>
  <c r="Z3202" i="12"/>
  <c r="Z1599" i="12"/>
  <c r="Z573" i="12"/>
  <c r="Z672" i="12"/>
  <c r="Z1044" i="12"/>
  <c r="Z786" i="12"/>
  <c r="Z2746" i="12"/>
  <c r="Z2082" i="12"/>
  <c r="Z186" i="12"/>
  <c r="Z1491" i="12"/>
  <c r="Z801" i="12"/>
  <c r="Z903" i="12"/>
  <c r="Z2660" i="12"/>
  <c r="Z3347" i="12"/>
  <c r="Z448" i="12"/>
  <c r="Z2475" i="12"/>
  <c r="Z416" i="12"/>
  <c r="Z885" i="12"/>
  <c r="Z2528" i="12"/>
  <c r="Z1211" i="12"/>
  <c r="Z1231" i="12"/>
  <c r="Z2360" i="12"/>
  <c r="Z1436" i="12"/>
  <c r="Z2792" i="12"/>
  <c r="Z1969" i="12"/>
  <c r="Z3146" i="12"/>
  <c r="Z1042" i="12"/>
  <c r="Z989" i="12"/>
  <c r="Z1487" i="12"/>
  <c r="Z1391" i="12"/>
  <c r="Z1855" i="12"/>
  <c r="Z2386" i="12"/>
  <c r="Z2626" i="12"/>
  <c r="Z1252" i="12"/>
  <c r="Z457" i="12"/>
  <c r="Z426" i="12"/>
  <c r="Z3076" i="12"/>
  <c r="Z3422" i="12"/>
  <c r="Z1374" i="12"/>
  <c r="Z2989" i="12"/>
  <c r="Z3326" i="12"/>
  <c r="Z1134" i="12"/>
  <c r="Z2909" i="12"/>
  <c r="Z1751" i="12"/>
  <c r="Z415" i="12"/>
  <c r="Z3464" i="12"/>
  <c r="Z3534" i="12"/>
  <c r="Z1534" i="12"/>
  <c r="Z2813" i="12"/>
  <c r="Z1120" i="12"/>
  <c r="Z3377" i="12"/>
  <c r="Z2097" i="12"/>
  <c r="Z2269" i="12"/>
  <c r="Z2340" i="12"/>
  <c r="Z2469" i="12"/>
  <c r="Z2708" i="12"/>
  <c r="Z289" i="12"/>
  <c r="Z3526" i="12"/>
  <c r="Z1270" i="12"/>
  <c r="Z3103" i="12"/>
  <c r="Z937" i="12"/>
  <c r="Z406" i="12"/>
  <c r="Z2080" i="12"/>
  <c r="Z3163" i="12"/>
  <c r="Z2115" i="12"/>
  <c r="Z1355" i="12"/>
  <c r="Z1199" i="12"/>
  <c r="Z1535" i="12"/>
  <c r="Z2570" i="12"/>
  <c r="Z19" i="12"/>
  <c r="Z1327" i="12"/>
  <c r="Z913" i="12"/>
  <c r="Z1233" i="12"/>
  <c r="Z2062" i="12"/>
  <c r="Z2953" i="12"/>
  <c r="Z260" i="12"/>
  <c r="Z3496" i="12"/>
  <c r="Z533" i="12"/>
  <c r="Z998" i="12"/>
  <c r="Z1330" i="12"/>
  <c r="Z1035" i="12"/>
  <c r="Z1282" i="12"/>
  <c r="Z2064" i="12"/>
  <c r="Z421" i="12"/>
  <c r="Z3114" i="12"/>
  <c r="Z3372" i="12"/>
  <c r="Z3162" i="12"/>
  <c r="Z3306" i="12"/>
  <c r="Z282" i="12"/>
  <c r="Z2902" i="12"/>
  <c r="Z3325" i="12"/>
  <c r="Z599" i="12"/>
  <c r="Z999" i="12"/>
  <c r="Z3505" i="12"/>
  <c r="Z3052" i="12"/>
  <c r="Z3152" i="12"/>
  <c r="Z1797" i="12"/>
  <c r="Z1486" i="12"/>
  <c r="Z909" i="12"/>
  <c r="Z3452" i="12"/>
  <c r="Z3249" i="12"/>
  <c r="Z2863" i="12"/>
  <c r="Z2220" i="12"/>
  <c r="Z1954" i="12"/>
  <c r="Z723" i="12"/>
  <c r="Z1663" i="12"/>
  <c r="Z372" i="12"/>
  <c r="Z1524" i="12"/>
  <c r="Z2561" i="12"/>
  <c r="Z1902" i="12"/>
  <c r="Z2253" i="12"/>
  <c r="Z2651" i="12"/>
  <c r="Z652" i="12"/>
  <c r="Z2312" i="12"/>
  <c r="Z172" i="12"/>
  <c r="Z682" i="12"/>
  <c r="Z636" i="12"/>
  <c r="Z2938" i="12"/>
  <c r="Z2240" i="12"/>
  <c r="Z2268" i="12"/>
  <c r="Z3438" i="12"/>
  <c r="Z2629" i="12"/>
  <c r="Z223" i="12"/>
  <c r="Z2088" i="12"/>
  <c r="Z569" i="12"/>
  <c r="Z3125" i="12"/>
  <c r="Z3420" i="12"/>
  <c r="Z3191" i="12"/>
  <c r="Z1226" i="12"/>
  <c r="Z200" i="12"/>
  <c r="Z256" i="12"/>
  <c r="Z2596" i="12"/>
  <c r="Z704" i="12"/>
  <c r="Z1553" i="12"/>
  <c r="Z2320" i="12"/>
  <c r="Z3139" i="12"/>
  <c r="Z3324" i="12"/>
  <c r="Z3383" i="12"/>
  <c r="Z52" i="12"/>
  <c r="Z517" i="12"/>
  <c r="Z1986" i="12"/>
  <c r="Z108" i="12"/>
  <c r="Z3517" i="12"/>
  <c r="Z571" i="12"/>
  <c r="Z1868" i="12"/>
  <c r="Z532" i="12"/>
  <c r="Z2539" i="12"/>
  <c r="Z595" i="12"/>
  <c r="Z1223" i="12"/>
  <c r="Z576" i="12"/>
  <c r="Z301" i="12"/>
  <c r="Z2183" i="12"/>
  <c r="Z1919" i="12"/>
  <c r="Z3382" i="12"/>
  <c r="Z3120" i="12"/>
  <c r="Z1697" i="12"/>
  <c r="Z385" i="12"/>
  <c r="Z473" i="12"/>
  <c r="Z1624" i="12"/>
  <c r="Z1131" i="12"/>
  <c r="Z2350" i="12"/>
  <c r="Z899" i="12"/>
  <c r="Z3425" i="12"/>
  <c r="Z2773" i="12"/>
  <c r="Z2077" i="12"/>
  <c r="Z245" i="12"/>
  <c r="Z545" i="12"/>
  <c r="Z150" i="12"/>
  <c r="Z3376" i="12"/>
  <c r="Z1916" i="12"/>
  <c r="Z65" i="12"/>
  <c r="Z2817" i="12"/>
  <c r="Z242" i="12"/>
  <c r="Z2193" i="12"/>
  <c r="Z1844" i="12"/>
  <c r="Z3319" i="12"/>
  <c r="Z1805" i="12"/>
  <c r="Z459" i="12"/>
  <c r="Z71" i="12"/>
  <c r="Z3255" i="12"/>
  <c r="Z1716" i="12"/>
  <c r="Z1144" i="12"/>
  <c r="Z827" i="12"/>
  <c r="Z1117" i="12"/>
  <c r="Z2264" i="12"/>
  <c r="Z1021" i="12"/>
  <c r="Z3392" i="12"/>
  <c r="Z3040" i="12"/>
  <c r="Z123" i="12"/>
  <c r="Z2968" i="12"/>
  <c r="Z829" i="12"/>
  <c r="Z2585" i="12"/>
  <c r="Z1130" i="12"/>
  <c r="Z2934" i="12"/>
  <c r="Z1794" i="12"/>
  <c r="Z3194" i="12"/>
  <c r="Z2602" i="12"/>
  <c r="Z2556" i="12"/>
  <c r="Z930" i="12"/>
  <c r="Z1731" i="12"/>
  <c r="Z2648" i="12"/>
  <c r="Z439" i="12"/>
  <c r="Z3018" i="12"/>
  <c r="Z2481" i="12"/>
  <c r="Z1451" i="12"/>
  <c r="Z2394" i="12"/>
  <c r="Z1399" i="12"/>
  <c r="Z2104" i="12"/>
  <c r="Z2677" i="12"/>
  <c r="Z2319" i="12"/>
  <c r="Z2590" i="12"/>
  <c r="Z1054" i="12"/>
  <c r="Z2861" i="12"/>
  <c r="Z2598" i="12"/>
  <c r="Z838" i="12"/>
  <c r="Z3167" i="12"/>
  <c r="Z1239" i="12"/>
  <c r="Z3185" i="12"/>
  <c r="Z2770" i="12"/>
  <c r="Z3374" i="12"/>
  <c r="Z702" i="12"/>
  <c r="Z3443" i="12"/>
  <c r="Z535" i="12"/>
  <c r="Z1209" i="12"/>
  <c r="Z1923" i="12"/>
  <c r="Z523" i="12"/>
  <c r="Z2108" i="12"/>
  <c r="Z1884" i="12"/>
  <c r="Z509" i="12"/>
  <c r="Z1617" i="12"/>
  <c r="Z2694" i="12"/>
  <c r="Z686" i="12"/>
  <c r="Z2547" i="12"/>
  <c r="Z2854" i="12"/>
  <c r="Z174" i="12"/>
  <c r="Z973" i="12"/>
  <c r="Z2619" i="12"/>
  <c r="Z1411" i="12"/>
  <c r="Z660" i="12"/>
  <c r="Z528" i="12"/>
  <c r="Z173" i="12"/>
  <c r="Z2028" i="12"/>
  <c r="Z1235" i="12"/>
  <c r="Z813" i="12"/>
  <c r="Z2615" i="12"/>
  <c r="Z3351" i="12"/>
  <c r="Z1622" i="12"/>
  <c r="Z2687" i="12"/>
  <c r="Z570" i="12"/>
  <c r="Z2940" i="12"/>
  <c r="Z3502" i="12"/>
  <c r="Z678" i="12"/>
  <c r="Z343" i="12"/>
  <c r="Z2188" i="12"/>
  <c r="Z130" i="12"/>
  <c r="Z540" i="12"/>
  <c r="Z129" i="12"/>
  <c r="Z2259" i="12"/>
  <c r="Z2017" i="12"/>
  <c r="Z2099" i="12"/>
  <c r="Z1643" i="12"/>
  <c r="Z805" i="12"/>
  <c r="Z2318" i="12"/>
  <c r="Z3295" i="12"/>
  <c r="Z333" i="12"/>
  <c r="Z2738" i="12"/>
  <c r="Z2288" i="12"/>
  <c r="Z2048" i="12"/>
  <c r="Z1652" i="12"/>
  <c r="Z1371" i="12"/>
  <c r="Z3445" i="12"/>
  <c r="Z205" i="12"/>
  <c r="Z1777" i="12"/>
  <c r="Z1529" i="12"/>
  <c r="Z2384" i="12"/>
  <c r="Z217" i="12"/>
  <c r="Z1162" i="12"/>
  <c r="Z210" i="12"/>
  <c r="Z435" i="12"/>
  <c r="Z839" i="12"/>
  <c r="Z354" i="12"/>
  <c r="Z1496" i="12"/>
  <c r="Z310" i="12"/>
  <c r="Z1257" i="12"/>
  <c r="Z3250" i="12"/>
  <c r="Z2224" i="12"/>
  <c r="Z1930" i="12"/>
  <c r="Z673" i="12"/>
  <c r="Z2755" i="12"/>
  <c r="Z2275" i="12"/>
  <c r="Z2163" i="12"/>
  <c r="Z2213" i="12"/>
  <c r="Z1290" i="12"/>
  <c r="Z1159" i="12"/>
  <c r="Z1830" i="12"/>
  <c r="Z3199" i="12"/>
  <c r="Z2096" i="12"/>
  <c r="Z204" i="12"/>
  <c r="Z3513" i="12"/>
  <c r="Z1421" i="12"/>
  <c r="Z2504" i="12"/>
  <c r="Z1784" i="12"/>
  <c r="Z1765" i="12"/>
  <c r="Z1251" i="12"/>
  <c r="Z1591" i="12"/>
  <c r="Z1295" i="12"/>
  <c r="Z1627" i="12"/>
  <c r="Z2152" i="12"/>
  <c r="Z1324" i="12"/>
  <c r="Z1554" i="12"/>
  <c r="Z424" i="12"/>
  <c r="Z1225" i="12"/>
  <c r="Z3200" i="12"/>
  <c r="Z2904" i="12"/>
  <c r="Z1447" i="12"/>
  <c r="Z24" i="12"/>
  <c r="Z2781" i="12"/>
  <c r="Z2833" i="12"/>
  <c r="Z579" i="12"/>
  <c r="Z1975" i="12"/>
  <c r="Z2031" i="12"/>
  <c r="Z3338" i="12"/>
  <c r="Z417" i="12"/>
  <c r="Z1628" i="12"/>
  <c r="Z602" i="12"/>
  <c r="Z456" i="12"/>
  <c r="Z1859" i="12"/>
  <c r="Z2474" i="12"/>
  <c r="Z1298" i="12"/>
  <c r="Z520" i="12"/>
  <c r="Z2212" i="12"/>
  <c r="Z2682" i="12"/>
  <c r="Z2937" i="12"/>
  <c r="Z3341" i="12"/>
  <c r="Z1383" i="12"/>
  <c r="Z2390" i="12"/>
  <c r="Z1714" i="12"/>
  <c r="Z797" i="12"/>
  <c r="Z2895" i="12"/>
  <c r="Z3265" i="12"/>
  <c r="Z2757" i="12"/>
  <c r="Z93" i="12"/>
  <c r="Z539" i="12"/>
  <c r="Z445" i="12"/>
  <c r="Z1176" i="12"/>
  <c r="Z1236" i="12"/>
  <c r="Z897" i="12"/>
  <c r="Z776" i="12"/>
  <c r="Z3148" i="12"/>
  <c r="Z151" i="12"/>
  <c r="Z1011" i="12"/>
  <c r="Z1208" i="12"/>
  <c r="Z3201" i="12"/>
  <c r="Z1761" i="12"/>
  <c r="Z265" i="12"/>
  <c r="Z369" i="12"/>
  <c r="Z3180" i="12"/>
  <c r="Z1195" i="12"/>
  <c r="Z3456" i="12"/>
  <c r="Z1867" i="12"/>
  <c r="Z184" i="12"/>
  <c r="Z1807" i="12"/>
  <c r="Z1579" i="12"/>
  <c r="Z2265" i="12"/>
  <c r="Z2603" i="12"/>
  <c r="Z188" i="12"/>
  <c r="Z1912" i="12"/>
  <c r="Z2176" i="12"/>
  <c r="Z3538" i="12"/>
  <c r="Z3486" i="12"/>
  <c r="Z747" i="12"/>
  <c r="Z2594" i="12"/>
  <c r="Z592" i="12"/>
  <c r="Z1099" i="12"/>
  <c r="Z3298" i="12"/>
  <c r="Z957" i="12"/>
  <c r="Z2309" i="12"/>
  <c r="Z3492" i="12"/>
  <c r="Z1729" i="12"/>
  <c r="Z208" i="12"/>
  <c r="Z3394" i="12"/>
  <c r="Z1477" i="12"/>
  <c r="Z2526" i="12"/>
  <c r="Z478" i="12"/>
  <c r="Z2477" i="12"/>
  <c r="Z2302" i="12"/>
  <c r="Z550" i="12"/>
  <c r="Z3071" i="12"/>
  <c r="Z727" i="12"/>
  <c r="Z2983" i="12"/>
  <c r="Z2289" i="12"/>
  <c r="Z3286" i="12"/>
  <c r="Z614" i="12"/>
  <c r="Z2455" i="12"/>
  <c r="Z452" i="12"/>
  <c r="Z377" i="12"/>
  <c r="Z1576" i="12"/>
  <c r="Z340" i="12"/>
  <c r="Z1052" i="12"/>
  <c r="Z1519" i="12"/>
  <c r="Z347" i="12"/>
  <c r="Z1340" i="12"/>
  <c r="Z2614" i="12"/>
  <c r="Z102" i="12"/>
  <c r="Z2445" i="12"/>
  <c r="Z2182" i="12"/>
  <c r="Z562" i="12"/>
  <c r="Z487" i="12"/>
  <c r="Z1219" i="12"/>
  <c r="Z221" i="12"/>
  <c r="Z43" i="12"/>
  <c r="Z548" i="12"/>
  <c r="Z830" i="12"/>
  <c r="Z2060" i="12"/>
  <c r="Z2719" i="12"/>
  <c r="Z850" i="12"/>
  <c r="Z170" i="12"/>
  <c r="Z1601" i="12"/>
  <c r="Z3550" i="12"/>
  <c r="Z1835" i="12"/>
  <c r="Z1352" i="12"/>
  <c r="Z428" i="12"/>
  <c r="Z961" i="12"/>
  <c r="Z2368" i="12"/>
  <c r="Z1057" i="12"/>
  <c r="Z2070" i="12"/>
  <c r="R24" i="12"/>
  <c r="D27" i="6"/>
  <c r="R22" i="12"/>
  <c r="AA19" i="12" a="1"/>
  <c r="S22" i="12"/>
  <c r="R30" i="12"/>
  <c r="S30" i="12" s="1"/>
  <c r="S24" i="12"/>
  <c r="R27" i="12"/>
  <c r="S27" i="12" s="1"/>
  <c r="R29" i="12"/>
  <c r="R26" i="12"/>
  <c r="R25" i="12"/>
  <c r="S25" i="12" s="1"/>
  <c r="R21" i="12"/>
  <c r="R23" i="12"/>
  <c r="R19" i="12"/>
  <c r="S19" i="12" s="1"/>
  <c r="R20" i="12"/>
  <c r="S20" i="12" s="1"/>
  <c r="S28" i="12"/>
  <c r="S23" i="12"/>
  <c r="S21" i="12"/>
  <c r="S26" i="12"/>
  <c r="S29" i="12"/>
  <c r="D28" i="6"/>
  <c r="T30" i="12" l="1"/>
  <c r="T20" i="12"/>
  <c r="T22" i="12"/>
  <c r="AA212" i="12"/>
  <c r="AA962" i="12"/>
  <c r="AA1840" i="12"/>
  <c r="AA305" i="12"/>
  <c r="AA1066" i="12"/>
  <c r="AA1846" i="12"/>
  <c r="AA320" i="12"/>
  <c r="AA1084" i="12"/>
  <c r="AA1863" i="12"/>
  <c r="AA325" i="12"/>
  <c r="AA1092" i="12"/>
  <c r="AA1871" i="12"/>
  <c r="AA340" i="12"/>
  <c r="AA1109" i="12"/>
  <c r="AA1888" i="12"/>
  <c r="AA347" i="12"/>
  <c r="AA1114" i="12"/>
  <c r="AA1896" i="12"/>
  <c r="AA362" i="12"/>
  <c r="AA1132" i="12"/>
  <c r="AA1916" i="12"/>
  <c r="AA369" i="12"/>
  <c r="AA1140" i="12"/>
  <c r="AA1921" i="12"/>
  <c r="AA2398" i="12"/>
  <c r="AA2624" i="12"/>
  <c r="AA2854" i="12"/>
  <c r="AA3080" i="12"/>
  <c r="AA3308" i="12"/>
  <c r="AA3536" i="12"/>
  <c r="AA2836" i="12"/>
  <c r="AA3062" i="12"/>
  <c r="AA3348" i="12"/>
  <c r="AA3148" i="12"/>
  <c r="AA2812" i="12"/>
  <c r="AA2919" i="12"/>
  <c r="AA3201" i="12"/>
  <c r="AA3457" i="12"/>
  <c r="AA264" i="12"/>
  <c r="AA74" i="12"/>
  <c r="AA436" i="12"/>
  <c r="AA849" i="12"/>
  <c r="AA1192" i="12"/>
  <c r="AA1558" i="12"/>
  <c r="AA1953" i="12"/>
  <c r="AA2465" i="12"/>
  <c r="AA2951" i="12"/>
  <c r="AA81" i="12"/>
  <c r="AA394" i="12"/>
  <c r="AA754" i="12"/>
  <c r="AA1145" i="12"/>
  <c r="AA1534" i="12"/>
  <c r="AA1900" i="12"/>
  <c r="AA2326" i="12"/>
  <c r="AA2782" i="12"/>
  <c r="AA3094" i="12"/>
  <c r="AA3324" i="12"/>
  <c r="AA3550" i="12"/>
  <c r="AA187" i="12"/>
  <c r="AA379" i="12"/>
  <c r="AA566" i="12"/>
  <c r="AA762" i="12"/>
  <c r="AA982" i="12"/>
  <c r="AA1176" i="12"/>
  <c r="AA1370" i="12"/>
  <c r="AA1567" i="12"/>
  <c r="AA1761" i="12"/>
  <c r="AA1965" i="12"/>
  <c r="AA2193" i="12"/>
  <c r="AA2421" i="12"/>
  <c r="AA2647" i="12"/>
  <c r="AA2877" i="12"/>
  <c r="AA3103" i="12"/>
  <c r="AA3329" i="12"/>
  <c r="AA2433" i="12"/>
  <c r="AA3005" i="12"/>
  <c r="AA392" i="12"/>
  <c r="AA873" i="12"/>
  <c r="AA1264" i="12"/>
  <c r="AA1605" i="12"/>
  <c r="AA2038" i="12"/>
  <c r="AA2408" i="12"/>
  <c r="AA2806" i="12"/>
  <c r="AA1276" i="12"/>
  <c r="AA1495" i="12"/>
  <c r="AA1689" i="12"/>
  <c r="AA1910" i="12"/>
  <c r="AA2140" i="12"/>
  <c r="AA2366" i="12"/>
  <c r="AA2592" i="12"/>
  <c r="AA2822" i="12"/>
  <c r="AA3048" i="12"/>
  <c r="AA3276" i="12"/>
  <c r="AA3504" i="12"/>
  <c r="AA370" i="12"/>
  <c r="AA848" i="12"/>
  <c r="AA1287" i="12"/>
  <c r="AA1799" i="12"/>
  <c r="AA2294" i="12"/>
  <c r="AA265" i="12"/>
  <c r="AA655" i="12"/>
  <c r="AA1069" i="12"/>
  <c r="AA1533" i="12"/>
  <c r="AA1927" i="12"/>
  <c r="AA2381" i="12"/>
  <c r="AA2837" i="12"/>
  <c r="AA3293" i="12"/>
  <c r="AA101" i="12"/>
  <c r="AA462" i="12"/>
  <c r="AA876" i="12"/>
  <c r="AA1266" i="12"/>
  <c r="AA1657" i="12"/>
  <c r="AA2100" i="12"/>
  <c r="AA2582" i="12"/>
  <c r="AA19" i="12"/>
  <c r="AA188" i="12"/>
  <c r="AA380" i="12"/>
  <c r="AA569" i="12"/>
  <c r="AA789" i="12"/>
  <c r="AA1008" i="12"/>
  <c r="AA1349" i="12"/>
  <c r="AA147" i="12"/>
  <c r="AA317" i="12"/>
  <c r="AA497" i="12"/>
  <c r="AA692" i="12"/>
  <c r="AA886" i="12"/>
  <c r="AA1082" i="12"/>
  <c r="AA1277" i="12"/>
  <c r="AA1471" i="12"/>
  <c r="AA1668" i="12"/>
  <c r="AA1862" i="12"/>
  <c r="AA2081" i="12"/>
  <c r="AA2311" i="12"/>
  <c r="AA2537" i="12"/>
  <c r="AA2765" i="12"/>
  <c r="AA2993" i="12"/>
  <c r="AA3221" i="12"/>
  <c r="AA3447" i="12"/>
  <c r="AA149" i="12"/>
  <c r="AA363" i="12"/>
  <c r="AA573" i="12"/>
  <c r="AA854" i="12"/>
  <c r="AA1133" i="12"/>
  <c r="AA1366" i="12"/>
  <c r="AA1560" i="12"/>
  <c r="AA1805" i="12"/>
  <c r="AA2087" i="12"/>
  <c r="AA2327" i="12"/>
  <c r="AA2625" i="12"/>
  <c r="AA2953" i="12"/>
  <c r="AA3223" i="12"/>
  <c r="AA3453" i="12"/>
  <c r="AA140" i="12"/>
  <c r="AA793" i="12"/>
  <c r="AA1429" i="12"/>
  <c r="AA2558" i="12"/>
  <c r="AA3496" i="12"/>
  <c r="AA225" i="12"/>
  <c r="AA500" i="12"/>
  <c r="AA817" i="12"/>
  <c r="AA1121" i="12"/>
  <c r="AA1498" i="12"/>
  <c r="AA1816" i="12"/>
  <c r="AA2185" i="12"/>
  <c r="AA2541" i="12"/>
  <c r="AA2855" i="12"/>
  <c r="AA3181" i="12"/>
  <c r="AA3423" i="12"/>
  <c r="AA172" i="12"/>
  <c r="AA364" i="12"/>
  <c r="AA588" i="12"/>
  <c r="AA818" i="12"/>
  <c r="AA1049" i="12"/>
  <c r="AA1282" i="12"/>
  <c r="AA1502" i="12"/>
  <c r="AA1733" i="12"/>
  <c r="AA1974" i="12"/>
  <c r="AA2246" i="12"/>
  <c r="AA2502" i="12"/>
  <c r="AA2772" i="12"/>
  <c r="AA3028" i="12"/>
  <c r="AA3296" i="12"/>
  <c r="AA3526" i="12"/>
  <c r="AA89" i="12"/>
  <c r="AA173" i="12"/>
  <c r="AA259" i="12"/>
  <c r="AA345" i="12"/>
  <c r="AA429" i="12"/>
  <c r="AA527" i="12"/>
  <c r="AA625" i="12"/>
  <c r="AA721" i="12"/>
  <c r="AA820" i="12"/>
  <c r="AA918" i="12"/>
  <c r="AA1014" i="12"/>
  <c r="AA1112" i="12"/>
  <c r="AA1210" i="12"/>
  <c r="AA1306" i="12"/>
  <c r="AA1405" i="12"/>
  <c r="AA1503" i="12"/>
  <c r="AA1599" i="12"/>
  <c r="AA1697" i="12"/>
  <c r="AA1796" i="12"/>
  <c r="AA1905" i="12"/>
  <c r="AA2017" i="12"/>
  <c r="AA2133" i="12"/>
  <c r="AA2247" i="12"/>
  <c r="AA2359" i="12"/>
  <c r="AA2473" i="12"/>
  <c r="AA2589" i="12"/>
  <c r="AA2701" i="12"/>
  <c r="AA2815" i="12"/>
  <c r="AA2929" i="12"/>
  <c r="AA3041" i="12"/>
  <c r="AA3157" i="12"/>
  <c r="AA3271" i="12"/>
  <c r="AA3383" i="12"/>
  <c r="AA3497" i="12"/>
  <c r="AA203" i="12"/>
  <c r="AA511" i="12"/>
  <c r="AA804" i="12"/>
  <c r="AA1110" i="12"/>
  <c r="AA1425" i="12"/>
  <c r="AA1780" i="12"/>
  <c r="AA2157" i="12"/>
  <c r="AA2583" i="12"/>
  <c r="AA2983" i="12"/>
  <c r="AA130" i="12"/>
  <c r="AA332" i="12"/>
  <c r="AA551" i="12"/>
  <c r="AA770" i="12"/>
  <c r="AA1001" i="12"/>
  <c r="AA1232" i="12"/>
  <c r="AA1465" i="12"/>
  <c r="AA1671" i="12"/>
  <c r="AA1868" i="12"/>
  <c r="AA2118" i="12"/>
  <c r="AA2332" i="12"/>
  <c r="AA2588" i="12"/>
  <c r="AA2814" i="12"/>
  <c r="AA3070" i="12"/>
  <c r="AA3312" i="12"/>
  <c r="AA48" i="12"/>
  <c r="AA132" i="12"/>
  <c r="AA218" i="12"/>
  <c r="AA304" i="12"/>
  <c r="AA388" i="12"/>
  <c r="AA480" i="12"/>
  <c r="AA578" i="12"/>
  <c r="AA674" i="12"/>
  <c r="AA773" i="12"/>
  <c r="AA871" i="12"/>
  <c r="AA967" i="12"/>
  <c r="AA1065" i="12"/>
  <c r="AA1164" i="12"/>
  <c r="AA1260" i="12"/>
  <c r="AA1358" i="12"/>
  <c r="AA1456" i="12"/>
  <c r="AA1552" i="12"/>
  <c r="AA1650" i="12"/>
  <c r="AA1749" i="12"/>
  <c r="AA1845" i="12"/>
  <c r="AA1950" i="12"/>
  <c r="AA2064" i="12"/>
  <c r="AA2176" i="12"/>
  <c r="AA2292" i="12"/>
  <c r="AA2406" i="12"/>
  <c r="AA2518" i="12"/>
  <c r="AA2632" i="12"/>
  <c r="AA2748" i="12"/>
  <c r="AA2860" i="12"/>
  <c r="AA2974" i="12"/>
  <c r="AA3088" i="12"/>
  <c r="AA3200" i="12"/>
  <c r="AA3316" i="12"/>
  <c r="AA3430" i="12"/>
  <c r="AA3542" i="12"/>
  <c r="AA78" i="12"/>
  <c r="AA142" i="12"/>
  <c r="AA206" i="12"/>
  <c r="AA270" i="12"/>
  <c r="AA334" i="12"/>
  <c r="AA398" i="12"/>
  <c r="AA466" i="12"/>
  <c r="AA540" i="12"/>
  <c r="AA613" i="12"/>
  <c r="AA686" i="12"/>
  <c r="AA759" i="12"/>
  <c r="AA832" i="12"/>
  <c r="AA905" i="12"/>
  <c r="AA978" i="12"/>
  <c r="AA1052" i="12"/>
  <c r="AA1125" i="12"/>
  <c r="AA1198" i="12"/>
  <c r="AA1271" i="12"/>
  <c r="AA1344" i="12"/>
  <c r="AA1417" i="12"/>
  <c r="AA1490" i="12"/>
  <c r="AA1564" i="12"/>
  <c r="AA1637" i="12"/>
  <c r="AA1710" i="12"/>
  <c r="AA1783" i="12"/>
  <c r="AA1856" i="12"/>
  <c r="AA1934" i="12"/>
  <c r="AA2020" i="12"/>
  <c r="AA2104" i="12"/>
  <c r="AA2190" i="12"/>
  <c r="AA2276" i="12"/>
  <c r="AA2360" i="12"/>
  <c r="AA2446" i="12"/>
  <c r="AA2532" i="12"/>
  <c r="AA2616" i="12"/>
  <c r="AA2702" i="12"/>
  <c r="AA2788" i="12"/>
  <c r="AA2872" i="12"/>
  <c r="AA2958" i="12"/>
  <c r="AA3044" i="12"/>
  <c r="AA3128" i="12"/>
  <c r="AA3214" i="12"/>
  <c r="AA3300" i="12"/>
  <c r="AA3384" i="12"/>
  <c r="AA3470" i="12"/>
  <c r="AA23" i="12"/>
  <c r="AA87" i="12"/>
  <c r="AA151" i="12"/>
  <c r="AA215" i="12"/>
  <c r="AA279" i="12"/>
  <c r="AA343" i="12"/>
  <c r="AA407" i="12"/>
  <c r="AA477" i="12"/>
  <c r="AA550" i="12"/>
  <c r="AA623" i="12"/>
  <c r="AA696" i="12"/>
  <c r="AA769" i="12"/>
  <c r="AA842" i="12"/>
  <c r="AA916" i="12"/>
  <c r="AA989" i="12"/>
  <c r="AA1062" i="12"/>
  <c r="AA1135" i="12"/>
  <c r="AA1208" i="12"/>
  <c r="AA1281" i="12"/>
  <c r="AA1354" i="12"/>
  <c r="AA298" i="12"/>
  <c r="AA1058" i="12"/>
  <c r="AA1942" i="12"/>
  <c r="AA389" i="12"/>
  <c r="AA1165" i="12"/>
  <c r="AA1951" i="12"/>
  <c r="AA404" i="12"/>
  <c r="AA1182" i="12"/>
  <c r="AA1972" i="12"/>
  <c r="AA411" i="12"/>
  <c r="AA1188" i="12"/>
  <c r="AA1981" i="12"/>
  <c r="AA426" i="12"/>
  <c r="AA1205" i="12"/>
  <c r="AA2000" i="12"/>
  <c r="AA433" i="12"/>
  <c r="AA1213" i="12"/>
  <c r="AA2007" i="12"/>
  <c r="AA450" i="12"/>
  <c r="AA1230" i="12"/>
  <c r="AA2028" i="12"/>
  <c r="AA456" i="12"/>
  <c r="AA1238" i="12"/>
  <c r="AA2037" i="12"/>
  <c r="AA2428" i="12"/>
  <c r="AA2654" i="12"/>
  <c r="AA2880" i="12"/>
  <c r="AA3110" i="12"/>
  <c r="AA3336" i="12"/>
  <c r="AA629" i="12"/>
  <c r="AA2864" i="12"/>
  <c r="AA3120" i="12"/>
  <c r="AA3376" i="12"/>
  <c r="AA307" i="12"/>
  <c r="AA2493" i="12"/>
  <c r="AA2975" i="12"/>
  <c r="AA3231" i="12"/>
  <c r="AA3487" i="12"/>
  <c r="AA348" i="12"/>
  <c r="AA115" i="12"/>
  <c r="AA484" i="12"/>
  <c r="AA874" i="12"/>
  <c r="AA1215" i="12"/>
  <c r="AA1606" i="12"/>
  <c r="AA2013" i="12"/>
  <c r="AA2525" i="12"/>
  <c r="AA3037" i="12"/>
  <c r="AA138" i="12"/>
  <c r="AA437" i="12"/>
  <c r="AA802" i="12"/>
  <c r="AA1193" i="12"/>
  <c r="AA1584" i="12"/>
  <c r="AA1958" i="12"/>
  <c r="AA2384" i="12"/>
  <c r="AA2838" i="12"/>
  <c r="AA3124" i="12"/>
  <c r="AA3350" i="12"/>
  <c r="AA40" i="12"/>
  <c r="AA209" i="12"/>
  <c r="AA401" i="12"/>
  <c r="AA591" i="12"/>
  <c r="AA785" i="12"/>
  <c r="AA1005" i="12"/>
  <c r="AA1201" i="12"/>
  <c r="AA1396" i="12"/>
  <c r="AA1590" i="12"/>
  <c r="AA1786" i="12"/>
  <c r="AA1993" i="12"/>
  <c r="AA2221" i="12"/>
  <c r="AA2449" i="12"/>
  <c r="AA2677" i="12"/>
  <c r="AA2903" i="12"/>
  <c r="AA3133" i="12"/>
  <c r="AA3359" i="12"/>
  <c r="AA2463" i="12"/>
  <c r="AA3287" i="12"/>
  <c r="AA460" i="12"/>
  <c r="AA898" i="12"/>
  <c r="AA1312" i="12"/>
  <c r="AA1653" i="12"/>
  <c r="AA2096" i="12"/>
  <c r="AA2464" i="12"/>
  <c r="AA3415" i="12"/>
  <c r="AA1301" i="12"/>
  <c r="AA1520" i="12"/>
  <c r="AA1714" i="12"/>
  <c r="AA1940" i="12"/>
  <c r="AA2166" i="12"/>
  <c r="AA2396" i="12"/>
  <c r="AA2622" i="12"/>
  <c r="AA2848" i="12"/>
  <c r="AA3078" i="12"/>
  <c r="AA3304" i="12"/>
  <c r="AA3532" i="12"/>
  <c r="AA412" i="12"/>
  <c r="AA921" i="12"/>
  <c r="AA1337" i="12"/>
  <c r="AA1849" i="12"/>
  <c r="AA2438" i="12"/>
  <c r="AA329" i="12"/>
  <c r="AA680" i="12"/>
  <c r="AA1167" i="12"/>
  <c r="AA1581" i="12"/>
  <c r="AA1983" i="12"/>
  <c r="AA2439" i="12"/>
  <c r="AA2893" i="12"/>
  <c r="AA3349" i="12"/>
  <c r="AA116" i="12"/>
  <c r="AA510" i="12"/>
  <c r="AA926" i="12"/>
  <c r="AA1314" i="12"/>
  <c r="AA1730" i="12"/>
  <c r="AA2156" i="12"/>
  <c r="AA2640" i="12"/>
  <c r="AA41" i="12"/>
  <c r="AA210" i="12"/>
  <c r="AA402" i="12"/>
  <c r="AA592" i="12"/>
  <c r="AA812" i="12"/>
  <c r="AA1031" i="12"/>
  <c r="AA1740" i="12"/>
  <c r="AA169" i="12"/>
  <c r="AA339" i="12"/>
  <c r="AA520" i="12"/>
  <c r="AA717" i="12"/>
  <c r="AA911" i="12"/>
  <c r="AA1105" i="12"/>
  <c r="AA1302" i="12"/>
  <c r="AA1496" i="12"/>
  <c r="AA1690" i="12"/>
  <c r="AA1887" i="12"/>
  <c r="AA2111" i="12"/>
  <c r="AA2337" i="12"/>
  <c r="AA2567" i="12"/>
  <c r="AA2793" i="12"/>
  <c r="AA3021" i="12"/>
  <c r="AA3249" i="12"/>
  <c r="AA3477" i="12"/>
  <c r="AA171" i="12"/>
  <c r="AA395" i="12"/>
  <c r="AA609" i="12"/>
  <c r="AA890" i="12"/>
  <c r="AA1169" i="12"/>
  <c r="AA1389" i="12"/>
  <c r="AA1597" i="12"/>
  <c r="AA1841" i="12"/>
  <c r="AA2113" i="12"/>
  <c r="AA2369" i="12"/>
  <c r="AA2669" i="12"/>
  <c r="AA2997" i="12"/>
  <c r="AA3253" i="12"/>
  <c r="AA3465" i="12"/>
  <c r="AA216" i="12"/>
  <c r="AA880" i="12"/>
  <c r="AA1513" i="12"/>
  <c r="AA2700" i="12"/>
  <c r="AA3540" i="12"/>
  <c r="AA257" i="12"/>
  <c r="AA536" i="12"/>
  <c r="AA865" i="12"/>
  <c r="AA1158" i="12"/>
  <c r="AA1549" i="12"/>
  <c r="AA1853" i="12"/>
  <c r="AA2241" i="12"/>
  <c r="AA2569" i="12"/>
  <c r="AA2911" i="12"/>
  <c r="AA3209" i="12"/>
  <c r="AA3495" i="12"/>
  <c r="AA194" i="12"/>
  <c r="AA396" i="12"/>
  <c r="AA624" i="12"/>
  <c r="AA844" i="12"/>
  <c r="AA1074" i="12"/>
  <c r="AA1305" i="12"/>
  <c r="AA1538" i="12"/>
  <c r="AA1758" i="12"/>
  <c r="AA2004" i="12"/>
  <c r="AA2272" i="12"/>
  <c r="AA2528" i="12"/>
  <c r="AA2800" i="12"/>
  <c r="AA3056" i="12"/>
  <c r="AA3326" i="12"/>
  <c r="AA3552" i="12"/>
  <c r="AA99" i="12"/>
  <c r="AA185" i="12"/>
  <c r="AA269" i="12"/>
  <c r="AA355" i="12"/>
  <c r="AA442" i="12"/>
  <c r="AA538" i="12"/>
  <c r="AA637" i="12"/>
  <c r="AA735" i="12"/>
  <c r="AA831" i="12"/>
  <c r="AA929" i="12"/>
  <c r="AA1028" i="12"/>
  <c r="AA1124" i="12"/>
  <c r="AA1222" i="12"/>
  <c r="AA1320" i="12"/>
  <c r="AA1416" i="12"/>
  <c r="AA1514" i="12"/>
  <c r="AA1613" i="12"/>
  <c r="AA1709" i="12"/>
  <c r="AA1807" i="12"/>
  <c r="AA1919" i="12"/>
  <c r="AA2033" i="12"/>
  <c r="AA2145" i="12"/>
  <c r="AA2261" i="12"/>
  <c r="AA2375" i="12"/>
  <c r="AA2487" i="12"/>
  <c r="AA2601" i="12"/>
  <c r="AA2717" i="12"/>
  <c r="AA2829" i="12"/>
  <c r="AA2943" i="12"/>
  <c r="AA3057" i="12"/>
  <c r="AA3169" i="12"/>
  <c r="AA3285" i="12"/>
  <c r="AA3399" i="12"/>
  <c r="AA3511" i="12"/>
  <c r="AA235" i="12"/>
  <c r="AA548" i="12"/>
  <c r="AA840" i="12"/>
  <c r="AA1146" i="12"/>
  <c r="AA1476" i="12"/>
  <c r="AA1828" i="12"/>
  <c r="AA2215" i="12"/>
  <c r="AA2641" i="12"/>
  <c r="AA3069" i="12"/>
  <c r="AA162" i="12"/>
  <c r="AA354" i="12"/>
  <c r="AA574" i="12"/>
  <c r="AA807" i="12"/>
  <c r="AA1026" i="12"/>
  <c r="AA1257" i="12"/>
  <c r="AA1488" i="12"/>
  <c r="AA1696" i="12"/>
  <c r="AA1890" i="12"/>
  <c r="AA2144" i="12"/>
  <c r="AA2358" i="12"/>
  <c r="AA2614" i="12"/>
  <c r="AA2856" i="12"/>
  <c r="AA3100" i="12"/>
  <c r="AA3356" i="12"/>
  <c r="AA58" i="12"/>
  <c r="AA144" i="12"/>
  <c r="AA228" i="12"/>
  <c r="AA314" i="12"/>
  <c r="AA400" i="12"/>
  <c r="AA492" i="12"/>
  <c r="AA590" i="12"/>
  <c r="AA688" i="12"/>
  <c r="AA784" i="12"/>
  <c r="AA882" i="12"/>
  <c r="AA981" i="12"/>
  <c r="AA1077" i="12"/>
  <c r="AA1175" i="12"/>
  <c r="AA1273" i="12"/>
  <c r="AA1369" i="12"/>
  <c r="AA1468" i="12"/>
  <c r="AA1566" i="12"/>
  <c r="AA1662" i="12"/>
  <c r="AA1760" i="12"/>
  <c r="AA1858" i="12"/>
  <c r="AA1964" i="12"/>
  <c r="AA2078" i="12"/>
  <c r="AA2192" i="12"/>
  <c r="AA2304" i="12"/>
  <c r="AA2420" i="12"/>
  <c r="AA2534" i="12"/>
  <c r="AA2646" i="12"/>
  <c r="AA2760" i="12"/>
  <c r="AA2876" i="12"/>
  <c r="AA2988" i="12"/>
  <c r="AA3102" i="12"/>
  <c r="AA3216" i="12"/>
  <c r="AA3328" i="12"/>
  <c r="AA3444" i="12"/>
  <c r="AA22" i="12"/>
  <c r="AA86" i="12"/>
  <c r="AA150" i="12"/>
  <c r="AA214" i="12"/>
  <c r="AA278" i="12"/>
  <c r="AA342" i="12"/>
  <c r="AA406" i="12"/>
  <c r="AA476" i="12"/>
  <c r="AA549" i="12"/>
  <c r="AA622" i="12"/>
  <c r="AA695" i="12"/>
  <c r="AA768" i="12"/>
  <c r="AA841" i="12"/>
  <c r="AA914" i="12"/>
  <c r="AA988" i="12"/>
  <c r="AA1061" i="12"/>
  <c r="AA1134" i="12"/>
  <c r="AA1207" i="12"/>
  <c r="AA1280" i="12"/>
  <c r="AA1353" i="12"/>
  <c r="AA1426" i="12"/>
  <c r="AA1500" i="12"/>
  <c r="AA1573" i="12"/>
  <c r="AA1646" i="12"/>
  <c r="AA1719" i="12"/>
  <c r="AA1792" i="12"/>
  <c r="AA1865" i="12"/>
  <c r="AA1944" i="12"/>
  <c r="AA2030" i="12"/>
  <c r="AA2116" i="12"/>
  <c r="AA2200" i="12"/>
  <c r="AA2286" i="12"/>
  <c r="AA2372" i="12"/>
  <c r="AA2456" i="12"/>
  <c r="AA2542" i="12"/>
  <c r="AA2628" i="12"/>
  <c r="AA2712" i="12"/>
  <c r="AA2798" i="12"/>
  <c r="AA2884" i="12"/>
  <c r="AA2968" i="12"/>
  <c r="AA3054" i="12"/>
  <c r="AA3140" i="12"/>
  <c r="AA3224" i="12"/>
  <c r="AA3310" i="12"/>
  <c r="AA3396" i="12"/>
  <c r="AA3480" i="12"/>
  <c r="AA31" i="12"/>
  <c r="AA95" i="12"/>
  <c r="AA159" i="12"/>
  <c r="AA223" i="12"/>
  <c r="AA287" i="12"/>
  <c r="AA351" i="12"/>
  <c r="AA415" i="12"/>
  <c r="AA486" i="12"/>
  <c r="AA559" i="12"/>
  <c r="AA632" i="12"/>
  <c r="AA705" i="12"/>
  <c r="AA778" i="12"/>
  <c r="AA852" i="12"/>
  <c r="AA925" i="12"/>
  <c r="AA998" i="12"/>
  <c r="AA1071" i="12"/>
  <c r="AA1144" i="12"/>
  <c r="AA1217" i="12"/>
  <c r="AA1290" i="12"/>
  <c r="AA384" i="12"/>
  <c r="AA1255" i="12"/>
  <c r="AA2056" i="12"/>
  <c r="AA481" i="12"/>
  <c r="AA1261" i="12"/>
  <c r="AA2065" i="12"/>
  <c r="AA498" i="12"/>
  <c r="AA1278" i="12"/>
  <c r="AA2086" i="12"/>
  <c r="AA506" i="12"/>
  <c r="AA1286" i="12"/>
  <c r="AA2093" i="12"/>
  <c r="AA524" i="12"/>
  <c r="AA1303" i="12"/>
  <c r="AA2112" i="12"/>
  <c r="AA529" i="12"/>
  <c r="AA1311" i="12"/>
  <c r="AA2121" i="12"/>
  <c r="AA546" i="12"/>
  <c r="AA1328" i="12"/>
  <c r="AA2142" i="12"/>
  <c r="AA554" i="12"/>
  <c r="AA1334" i="12"/>
  <c r="AA2151" i="12"/>
  <c r="AA2454" i="12"/>
  <c r="AA2684" i="12"/>
  <c r="AA2910" i="12"/>
  <c r="AA3136" i="12"/>
  <c r="AA3366" i="12"/>
  <c r="AA1484" i="12"/>
  <c r="AA2892" i="12"/>
  <c r="AA3176" i="12"/>
  <c r="AA3404" i="12"/>
  <c r="AA1119" i="12"/>
  <c r="AA2605" i="12"/>
  <c r="AA3031" i="12"/>
  <c r="AA3261" i="12"/>
  <c r="AA3517" i="12"/>
  <c r="AA434" i="12"/>
  <c r="AA157" i="12"/>
  <c r="AA534" i="12"/>
  <c r="AA922" i="12"/>
  <c r="AA1265" i="12"/>
  <c r="AA1654" i="12"/>
  <c r="AA2069" i="12"/>
  <c r="AA2581" i="12"/>
  <c r="AA3093" i="12"/>
  <c r="AA180" i="12"/>
  <c r="AA487" i="12"/>
  <c r="AA853" i="12"/>
  <c r="AA1241" i="12"/>
  <c r="AA1632" i="12"/>
  <c r="AA2014" i="12"/>
  <c r="AA2440" i="12"/>
  <c r="AA2896" i="12"/>
  <c r="AA3152" i="12"/>
  <c r="AA3380" i="12"/>
  <c r="AA60" i="12"/>
  <c r="AA251" i="12"/>
  <c r="AA421" i="12"/>
  <c r="AA616" i="12"/>
  <c r="AA810" i="12"/>
  <c r="AA1030" i="12"/>
  <c r="AA1224" i="12"/>
  <c r="AA1421" i="12"/>
  <c r="AA1615" i="12"/>
  <c r="AA1809" i="12"/>
  <c r="AA2023" i="12"/>
  <c r="AA2249" i="12"/>
  <c r="AA2477" i="12"/>
  <c r="AA2705" i="12"/>
  <c r="AA2933" i="12"/>
  <c r="AA3159" i="12"/>
  <c r="AA3389" i="12"/>
  <c r="AA2519" i="12"/>
  <c r="AA51" i="12"/>
  <c r="AA508" i="12"/>
  <c r="AA946" i="12"/>
  <c r="AA1360" i="12"/>
  <c r="AA1703" i="12"/>
  <c r="AA2182" i="12"/>
  <c r="AA2524" i="12"/>
  <c r="AA360" i="12"/>
  <c r="AA1324" i="12"/>
  <c r="AA1543" i="12"/>
  <c r="AA1762" i="12"/>
  <c r="AA1968" i="12"/>
  <c r="AA2196" i="12"/>
  <c r="AA2422" i="12"/>
  <c r="AA2652" i="12"/>
  <c r="AA2878" i="12"/>
  <c r="AA3104" i="12"/>
  <c r="AA3334" i="12"/>
  <c r="AA2577" i="12"/>
  <c r="AA482" i="12"/>
  <c r="AA972" i="12"/>
  <c r="AA1385" i="12"/>
  <c r="AA1897" i="12"/>
  <c r="AA2750" i="12"/>
  <c r="AA371" i="12"/>
  <c r="AA728" i="12"/>
  <c r="AA1240" i="12"/>
  <c r="AA1631" i="12"/>
  <c r="AA2039" i="12"/>
  <c r="AA2495" i="12"/>
  <c r="AA2977" i="12"/>
  <c r="AA3405" i="12"/>
  <c r="AA160" i="12"/>
  <c r="AA560" i="12"/>
  <c r="AA974" i="12"/>
  <c r="AA1365" i="12"/>
  <c r="AA1778" i="12"/>
  <c r="AA2214" i="12"/>
  <c r="AA2696" i="12"/>
  <c r="AA61" i="12"/>
  <c r="AA232" i="12"/>
  <c r="AA424" i="12"/>
  <c r="AA617" i="12"/>
  <c r="AA837" i="12"/>
  <c r="AA1056" i="12"/>
  <c r="AA20" i="12"/>
  <c r="AA189" i="12"/>
  <c r="AA361" i="12"/>
  <c r="AA545" i="12"/>
  <c r="AA740" i="12"/>
  <c r="AA936" i="12"/>
  <c r="AA1130" i="12"/>
  <c r="AA1325" i="12"/>
  <c r="AA1521" i="12"/>
  <c r="AA1716" i="12"/>
  <c r="AA1911" i="12"/>
  <c r="AA2141" i="12"/>
  <c r="AA2367" i="12"/>
  <c r="AA2593" i="12"/>
  <c r="AA2823" i="12"/>
  <c r="AA3049" i="12"/>
  <c r="AA3277" i="12"/>
  <c r="AA3505" i="12"/>
  <c r="AA193" i="12"/>
  <c r="AA417" i="12"/>
  <c r="AA646" i="12"/>
  <c r="AA927" i="12"/>
  <c r="AA1194" i="12"/>
  <c r="AA1414" i="12"/>
  <c r="AA1633" i="12"/>
  <c r="AA1864" i="12"/>
  <c r="AA2143" i="12"/>
  <c r="AA2413" i="12"/>
  <c r="AA2711" i="12"/>
  <c r="AA3025" i="12"/>
  <c r="AA3281" i="12"/>
  <c r="AA3479" i="12"/>
  <c r="AA290" i="12"/>
  <c r="AA965" i="12"/>
  <c r="AA1634" i="12"/>
  <c r="AA2844" i="12"/>
  <c r="AA33" i="12"/>
  <c r="AA289" i="12"/>
  <c r="AA584" i="12"/>
  <c r="AA902" i="12"/>
  <c r="AA1206" i="12"/>
  <c r="AA1585" i="12"/>
  <c r="AA1889" i="12"/>
  <c r="AA2271" i="12"/>
  <c r="AA2613" i="12"/>
  <c r="AA2967" i="12"/>
  <c r="AA3239" i="12"/>
  <c r="AA24" i="12"/>
  <c r="AA226" i="12"/>
  <c r="AA418" i="12"/>
  <c r="AA647" i="12"/>
  <c r="AA866" i="12"/>
  <c r="AA1100" i="12"/>
  <c r="AA1330" i="12"/>
  <c r="AA1561" i="12"/>
  <c r="AA1794" i="12"/>
  <c r="AA2032" i="12"/>
  <c r="AA2302" i="12"/>
  <c r="AA2572" i="12"/>
  <c r="AA2828" i="12"/>
  <c r="AA3084" i="12"/>
  <c r="AA3368" i="12"/>
  <c r="AA25" i="12"/>
  <c r="AA109" i="12"/>
  <c r="AA195" i="12"/>
  <c r="AA281" i="12"/>
  <c r="AA365" i="12"/>
  <c r="AA454" i="12"/>
  <c r="AA552" i="12"/>
  <c r="AA648" i="12"/>
  <c r="AA746" i="12"/>
  <c r="AA845" i="12"/>
  <c r="AA941" i="12"/>
  <c r="AA1039" i="12"/>
  <c r="AA1137" i="12"/>
  <c r="AA1233" i="12"/>
  <c r="AA1332" i="12"/>
  <c r="AA1430" i="12"/>
  <c r="AA1526" i="12"/>
  <c r="AA1624" i="12"/>
  <c r="AA1722" i="12"/>
  <c r="AA1818" i="12"/>
  <c r="AA1933" i="12"/>
  <c r="AA2047" i="12"/>
  <c r="AA2161" i="12"/>
  <c r="AA2273" i="12"/>
  <c r="AA2389" i="12"/>
  <c r="AA2503" i="12"/>
  <c r="AA2615" i="12"/>
  <c r="AA2729" i="12"/>
  <c r="AA2845" i="12"/>
  <c r="AA2957" i="12"/>
  <c r="AA3071" i="12"/>
  <c r="AA3185" i="12"/>
  <c r="AA3297" i="12"/>
  <c r="AA3413" i="12"/>
  <c r="AA3527" i="12"/>
  <c r="AA267" i="12"/>
  <c r="AA598" i="12"/>
  <c r="AA877" i="12"/>
  <c r="AA1183" i="12"/>
  <c r="AA1524" i="12"/>
  <c r="AA1878" i="12"/>
  <c r="AA2285" i="12"/>
  <c r="AA2697" i="12"/>
  <c r="AA3167" i="12"/>
  <c r="AA184" i="12"/>
  <c r="AA386" i="12"/>
  <c r="AA599" i="12"/>
  <c r="AA830" i="12"/>
  <c r="AA1063" i="12"/>
  <c r="AA1294" i="12"/>
  <c r="AA1525" i="12"/>
  <c r="AA1721" i="12"/>
  <c r="AA1932" i="12"/>
  <c r="AA2160" i="12"/>
  <c r="AA2400" i="12"/>
  <c r="AA2644" i="12"/>
  <c r="AA2886" i="12"/>
  <c r="AA3142" i="12"/>
  <c r="AA3382" i="12"/>
  <c r="AA68" i="12"/>
  <c r="AA154" i="12"/>
  <c r="AA240" i="12"/>
  <c r="AA324" i="12"/>
  <c r="AA410" i="12"/>
  <c r="AA505" i="12"/>
  <c r="AA601" i="12"/>
  <c r="AA700" i="12"/>
  <c r="AA798" i="12"/>
  <c r="AA894" i="12"/>
  <c r="AA992" i="12"/>
  <c r="AA1090" i="12"/>
  <c r="AA1186" i="12"/>
  <c r="AA1285" i="12"/>
  <c r="AA1383" i="12"/>
  <c r="AA1479" i="12"/>
  <c r="AA1577" i="12"/>
  <c r="AA1676" i="12"/>
  <c r="AA1772" i="12"/>
  <c r="AA1870" i="12"/>
  <c r="AA1980" i="12"/>
  <c r="AA2092" i="12"/>
  <c r="AA2206" i="12"/>
  <c r="AA2320" i="12"/>
  <c r="AA2432" i="12"/>
  <c r="AA2548" i="12"/>
  <c r="AA2662" i="12"/>
  <c r="AA2774" i="12"/>
  <c r="AA2888" i="12"/>
  <c r="AA3004" i="12"/>
  <c r="AA3116" i="12"/>
  <c r="AA3230" i="12"/>
  <c r="AA3344" i="12"/>
  <c r="AA3456" i="12"/>
  <c r="AA30" i="12"/>
  <c r="AA94" i="12"/>
  <c r="AA158" i="12"/>
  <c r="AA222" i="12"/>
  <c r="AA286" i="12"/>
  <c r="AA350" i="12"/>
  <c r="AA414" i="12"/>
  <c r="AA485" i="12"/>
  <c r="AA558" i="12"/>
  <c r="AA631" i="12"/>
  <c r="AA704" i="12"/>
  <c r="AA777" i="12"/>
  <c r="AA850" i="12"/>
  <c r="AA924" i="12"/>
  <c r="AA997" i="12"/>
  <c r="AA1070" i="12"/>
  <c r="AA1143" i="12"/>
  <c r="AA1216" i="12"/>
  <c r="AA1289" i="12"/>
  <c r="AA1362" i="12"/>
  <c r="AA1436" i="12"/>
  <c r="AA1509" i="12"/>
  <c r="AA1582" i="12"/>
  <c r="AA1655" i="12"/>
  <c r="AA1728" i="12"/>
  <c r="AA1801" i="12"/>
  <c r="AA1874" i="12"/>
  <c r="AA1956" i="12"/>
  <c r="AA2040" i="12"/>
  <c r="AA2126" i="12"/>
  <c r="AA2212" i="12"/>
  <c r="AA2296" i="12"/>
  <c r="AA2382" i="12"/>
  <c r="AA2468" i="12"/>
  <c r="AA2552" i="12"/>
  <c r="AA2638" i="12"/>
  <c r="AA2724" i="12"/>
  <c r="AA2808" i="12"/>
  <c r="AA2894" i="12"/>
  <c r="AA2980" i="12"/>
  <c r="AA3064" i="12"/>
  <c r="AA3150" i="12"/>
  <c r="AA3236" i="12"/>
  <c r="AA3320" i="12"/>
  <c r="AA3406" i="12"/>
  <c r="AA3492" i="12"/>
  <c r="AA39" i="12"/>
  <c r="AA103" i="12"/>
  <c r="AA167" i="12"/>
  <c r="AA231" i="12"/>
  <c r="AA295" i="12"/>
  <c r="AA359" i="12"/>
  <c r="AA423" i="12"/>
  <c r="AA495" i="12"/>
  <c r="AA568" i="12"/>
  <c r="AA641" i="12"/>
  <c r="AA714" i="12"/>
  <c r="AA788" i="12"/>
  <c r="AA861" i="12"/>
  <c r="AA934" i="12"/>
  <c r="AA1007" i="12"/>
  <c r="AA1080" i="12"/>
  <c r="AA1153" i="12"/>
  <c r="AA1226" i="12"/>
  <c r="AA1300" i="12"/>
  <c r="AA49" i="12"/>
  <c r="AA1449" i="12"/>
  <c r="AA219" i="12"/>
  <c r="AA1553" i="12"/>
  <c r="AA597" i="12"/>
  <c r="AA1669" i="12"/>
  <c r="AA701" i="12"/>
  <c r="AA1773" i="12"/>
  <c r="AA816" i="12"/>
  <c r="AA2228" i="12"/>
  <c r="AA920" i="12"/>
  <c r="AA27" i="12"/>
  <c r="AA1036" i="12"/>
  <c r="AA113" i="12"/>
  <c r="AA1432" i="12"/>
  <c r="AA2342" i="12"/>
  <c r="AA2740" i="12"/>
  <c r="AA3052" i="12"/>
  <c r="AA3452" i="12"/>
  <c r="AA2920" i="12"/>
  <c r="AA3292" i="12"/>
  <c r="AA2921" i="12"/>
  <c r="AA2889" i="12"/>
  <c r="AA3373" i="12"/>
  <c r="AA556" i="12"/>
  <c r="AA349" i="12"/>
  <c r="AA1021" i="12"/>
  <c r="AA1508" i="12"/>
  <c r="AA2295" i="12"/>
  <c r="AA3149" i="12"/>
  <c r="AA330" i="12"/>
  <c r="AA949" i="12"/>
  <c r="AA1486" i="12"/>
  <c r="AA2184" i="12"/>
  <c r="AA2924" i="12"/>
  <c r="AA3264" i="12"/>
  <c r="AA104" i="12"/>
  <c r="AA357" i="12"/>
  <c r="AA689" i="12"/>
  <c r="AA1055" i="12"/>
  <c r="AA1322" i="12"/>
  <c r="AA1663" i="12"/>
  <c r="AA1937" i="12"/>
  <c r="AA2335" i="12"/>
  <c r="AA2733" i="12"/>
  <c r="AA3047" i="12"/>
  <c r="AA3473" i="12"/>
  <c r="AA2833" i="12"/>
  <c r="AA702" i="12"/>
  <c r="AA1410" i="12"/>
  <c r="AA1926" i="12"/>
  <c r="AA2580" i="12"/>
  <c r="AA1250" i="12"/>
  <c r="AA1616" i="12"/>
  <c r="AA1996" i="12"/>
  <c r="AA2310" i="12"/>
  <c r="AA2708" i="12"/>
  <c r="AA3020" i="12"/>
  <c r="AA3420" i="12"/>
  <c r="AA533" i="12"/>
  <c r="AA1191" i="12"/>
  <c r="AA2012" i="12"/>
  <c r="AA221" i="12"/>
  <c r="AA900" i="12"/>
  <c r="AA1679" i="12"/>
  <c r="AA2269" i="12"/>
  <c r="AA3063" i="12"/>
  <c r="AA59" i="12"/>
  <c r="AA729" i="12"/>
  <c r="AA1413" i="12"/>
  <c r="AA1984" i="12"/>
  <c r="AA2868" i="12"/>
  <c r="AA168" i="12"/>
  <c r="AA496" i="12"/>
  <c r="AA862" i="12"/>
  <c r="AA1177" i="12"/>
  <c r="AA233" i="12"/>
  <c r="AA472" i="12"/>
  <c r="AA813" i="12"/>
  <c r="AA1156" i="12"/>
  <c r="AA1423" i="12"/>
  <c r="AA1764" i="12"/>
  <c r="AA2055" i="12"/>
  <c r="AA2453" i="12"/>
  <c r="AA2849" i="12"/>
  <c r="AA3165" i="12"/>
  <c r="AA2941" i="12"/>
  <c r="AA331" i="12"/>
  <c r="AA756" i="12"/>
  <c r="AA1231" i="12"/>
  <c r="AA1512" i="12"/>
  <c r="AA1929" i="12"/>
  <c r="AA2301" i="12"/>
  <c r="AA2839" i="12"/>
  <c r="AA3309" i="12"/>
  <c r="AA3551" i="12"/>
  <c r="AA1122" i="12"/>
  <c r="AA2388" i="12"/>
  <c r="AA117" i="12"/>
  <c r="AA621" i="12"/>
  <c r="AA1048" i="12"/>
  <c r="AA1658" i="12"/>
  <c r="AA2129" i="12"/>
  <c r="AA2727" i="12"/>
  <c r="AA3265" i="12"/>
  <c r="AA120" i="12"/>
  <c r="AA478" i="12"/>
  <c r="AA782" i="12"/>
  <c r="AA1184" i="12"/>
  <c r="AA1586" i="12"/>
  <c r="AA1904" i="12"/>
  <c r="AA2374" i="12"/>
  <c r="AA2742" i="12"/>
  <c r="AA3184" i="12"/>
  <c r="AA35" i="12"/>
  <c r="AA153" i="12"/>
  <c r="AA301" i="12"/>
  <c r="AA419" i="12"/>
  <c r="AA589" i="12"/>
  <c r="AA758" i="12"/>
  <c r="AA893" i="12"/>
  <c r="AA1064" i="12"/>
  <c r="AA1197" i="12"/>
  <c r="AA1368" i="12"/>
  <c r="AA1540" i="12"/>
  <c r="AA1672" i="12"/>
  <c r="AA1844" i="12"/>
  <c r="AA2005" i="12"/>
  <c r="AA2205" i="12"/>
  <c r="AA2401" i="12"/>
  <c r="AA2559" i="12"/>
  <c r="AA2759" i="12"/>
  <c r="AA2913" i="12"/>
  <c r="AA3113" i="12"/>
  <c r="AA3313" i="12"/>
  <c r="AA3469" i="12"/>
  <c r="AA353" i="12"/>
  <c r="AA781" i="12"/>
  <c r="AA1279" i="12"/>
  <c r="AA1917" i="12"/>
  <c r="AA2471" i="12"/>
  <c r="AA34" i="12"/>
  <c r="AA312" i="12"/>
  <c r="AA684" i="12"/>
  <c r="AA1086" i="12"/>
  <c r="AA1404" i="12"/>
  <c r="AA1781" i="12"/>
  <c r="AA2088" i="12"/>
  <c r="AA2486" i="12"/>
  <c r="AA2912" i="12"/>
  <c r="AA3254" i="12"/>
  <c r="AA90" i="12"/>
  <c r="AA208" i="12"/>
  <c r="AA356" i="12"/>
  <c r="AA517" i="12"/>
  <c r="AA652" i="12"/>
  <c r="AA821" i="12"/>
  <c r="AA956" i="12"/>
  <c r="AA1127" i="12"/>
  <c r="AA1296" i="12"/>
  <c r="AA1431" i="12"/>
  <c r="AA1602" i="12"/>
  <c r="AA1735" i="12"/>
  <c r="AA1908" i="12"/>
  <c r="AA2108" i="12"/>
  <c r="AA2262" i="12"/>
  <c r="AA2462" i="12"/>
  <c r="AA2620" i="12"/>
  <c r="AA2816" i="12"/>
  <c r="AA3016" i="12"/>
  <c r="AA3174" i="12"/>
  <c r="AA3372" i="12"/>
  <c r="AA3528" i="12"/>
  <c r="AA118" i="12"/>
  <c r="AA230" i="12"/>
  <c r="AA318" i="12"/>
  <c r="AA430" i="12"/>
  <c r="AA530" i="12"/>
  <c r="AA658" i="12"/>
  <c r="AA786" i="12"/>
  <c r="AA887" i="12"/>
  <c r="AA1015" i="12"/>
  <c r="AA1116" i="12"/>
  <c r="AA1244" i="12"/>
  <c r="AA1372" i="12"/>
  <c r="AA1472" i="12"/>
  <c r="AA1600" i="12"/>
  <c r="AA1701" i="12"/>
  <c r="AA1829" i="12"/>
  <c r="AA1966" i="12"/>
  <c r="AA2084" i="12"/>
  <c r="AA2232" i="12"/>
  <c r="AA2350" i="12"/>
  <c r="AA2500" i="12"/>
  <c r="AA2648" i="12"/>
  <c r="AA2766" i="12"/>
  <c r="AA2916" i="12"/>
  <c r="AA3032" i="12"/>
  <c r="AA3182" i="12"/>
  <c r="AA3332" i="12"/>
  <c r="AA3448" i="12"/>
  <c r="AA55" i="12"/>
  <c r="AA143" i="12"/>
  <c r="AA255" i="12"/>
  <c r="AA367" i="12"/>
  <c r="AA458" i="12"/>
  <c r="AA586" i="12"/>
  <c r="AA687" i="12"/>
  <c r="AA815" i="12"/>
  <c r="AA943" i="12"/>
  <c r="AA1044" i="12"/>
  <c r="AA1172" i="12"/>
  <c r="AA1272" i="12"/>
  <c r="AA1382" i="12"/>
  <c r="AA1455" i="12"/>
  <c r="AA1528" i="12"/>
  <c r="AA1601" i="12"/>
  <c r="AA1674" i="12"/>
  <c r="AA1748" i="12"/>
  <c r="AA1821" i="12"/>
  <c r="AA1894" i="12"/>
  <c r="AA1977" i="12"/>
  <c r="AA2063" i="12"/>
  <c r="AA2149" i="12"/>
  <c r="AA2233" i="12"/>
  <c r="AA2319" i="12"/>
  <c r="AA2405" i="12"/>
  <c r="AA2489" i="12"/>
  <c r="AA2575" i="12"/>
  <c r="AA2661" i="12"/>
  <c r="AA2745" i="12"/>
  <c r="AA2831" i="12"/>
  <c r="AA2917" i="12"/>
  <c r="AA3001" i="12"/>
  <c r="AA3087" i="12"/>
  <c r="AA3173" i="12"/>
  <c r="AA3257" i="12"/>
  <c r="AA3343" i="12"/>
  <c r="AA3429" i="12"/>
  <c r="AA3513" i="12"/>
  <c r="AA1938" i="12"/>
  <c r="AA2002" i="12"/>
  <c r="AA2066" i="12"/>
  <c r="AA2130" i="12"/>
  <c r="AA2194" i="12"/>
  <c r="AA2258" i="12"/>
  <c r="AA2322" i="12"/>
  <c r="AA2386" i="12"/>
  <c r="AA2450" i="12"/>
  <c r="AA2514" i="12"/>
  <c r="AA2578" i="12"/>
  <c r="AA2642" i="12"/>
  <c r="AA2706" i="12"/>
  <c r="AA2770" i="12"/>
  <c r="AA2834" i="12"/>
  <c r="AA2898" i="12"/>
  <c r="AA2962" i="12"/>
  <c r="AA3026" i="12"/>
  <c r="AA3090" i="12"/>
  <c r="AA3154" i="12"/>
  <c r="AA3218" i="12"/>
  <c r="AA3282" i="12"/>
  <c r="AA3346" i="12"/>
  <c r="AA3410" i="12"/>
  <c r="AA3474" i="12"/>
  <c r="AA3538" i="12"/>
  <c r="AA483" i="12"/>
  <c r="AA547" i="12"/>
  <c r="AA611" i="12"/>
  <c r="AA675" i="12"/>
  <c r="AA739" i="12"/>
  <c r="AA803" i="12"/>
  <c r="AA867" i="12"/>
  <c r="AA931" i="12"/>
  <c r="AA995" i="12"/>
  <c r="AA1059" i="12"/>
  <c r="AA1123" i="12"/>
  <c r="AA1187" i="12"/>
  <c r="AA1251" i="12"/>
  <c r="AA1315" i="12"/>
  <c r="AA1379" i="12"/>
  <c r="AA1443" i="12"/>
  <c r="AA1507" i="12"/>
  <c r="AA1571" i="12"/>
  <c r="AA1635" i="12"/>
  <c r="AA1699" i="12"/>
  <c r="AA1763" i="12"/>
  <c r="AA1827" i="12"/>
  <c r="AA1891" i="12"/>
  <c r="AA1955" i="12"/>
  <c r="AA2019" i="12"/>
  <c r="AA2083" i="12"/>
  <c r="AA2147" i="12"/>
  <c r="AA2211" i="12"/>
  <c r="AA2275" i="12"/>
  <c r="AA2339" i="12"/>
  <c r="AA2403" i="12"/>
  <c r="AA2467" i="12"/>
  <c r="AA2531" i="12"/>
  <c r="AA2595" i="12"/>
  <c r="AA2659" i="12"/>
  <c r="AA2723" i="12"/>
  <c r="AA2787" i="12"/>
  <c r="AA2851" i="12"/>
  <c r="AA2915" i="12"/>
  <c r="AA2979" i="12"/>
  <c r="AA3043" i="12"/>
  <c r="AA3107" i="12"/>
  <c r="AA3171" i="12"/>
  <c r="AA3235" i="12"/>
  <c r="AA3299" i="12"/>
  <c r="AA3363" i="12"/>
  <c r="AA3427" i="12"/>
  <c r="AA3491" i="12"/>
  <c r="AA3222" i="12"/>
  <c r="AA1095" i="12"/>
  <c r="AA493" i="12"/>
  <c r="AA2109" i="12"/>
  <c r="AA242" i="12"/>
  <c r="AA2268" i="12"/>
  <c r="AA1788" i="12"/>
  <c r="AA2792" i="12"/>
  <c r="AA752" i="12"/>
  <c r="AA509" i="12"/>
  <c r="AA1825" i="12"/>
  <c r="AA1022" i="12"/>
  <c r="AA884" i="12"/>
  <c r="AA64" i="12"/>
  <c r="AA959" i="12"/>
  <c r="AA1837" i="12"/>
  <c r="AA3335" i="12"/>
  <c r="AA1316" i="12"/>
  <c r="AA2513" i="12"/>
  <c r="AA453" i="12"/>
  <c r="AA321" i="12"/>
  <c r="AA1768" i="12"/>
  <c r="AA268" i="12"/>
  <c r="AA1367" i="12"/>
  <c r="AA2472" i="12"/>
  <c r="AA67" i="12"/>
  <c r="AA490" i="12"/>
  <c r="AA128" i="12"/>
  <c r="AA1548" i="12"/>
  <c r="AA580" i="12"/>
  <c r="AA1652" i="12"/>
  <c r="AA693" i="12"/>
  <c r="AA1767" i="12"/>
  <c r="AA799" i="12"/>
  <c r="AA2207" i="12"/>
  <c r="AA912" i="12"/>
  <c r="AA2633" i="12"/>
  <c r="AA1018" i="12"/>
  <c r="AA107" i="12"/>
  <c r="AA1424" i="12"/>
  <c r="AA197" i="12"/>
  <c r="AA1530" i="12"/>
  <c r="AA2368" i="12"/>
  <c r="AA2768" i="12"/>
  <c r="AA3166" i="12"/>
  <c r="AA3478" i="12"/>
  <c r="AA2950" i="12"/>
  <c r="AA3318" i="12"/>
  <c r="AA3319" i="12"/>
  <c r="AA3061" i="12"/>
  <c r="AA3401" i="12"/>
  <c r="AA727" i="12"/>
  <c r="AA393" i="12"/>
  <c r="AA1046" i="12"/>
  <c r="AA1704" i="12"/>
  <c r="AA2353" i="12"/>
  <c r="AA3207" i="12"/>
  <c r="AA352" i="12"/>
  <c r="AA999" i="12"/>
  <c r="AA1680" i="12"/>
  <c r="AA2240" i="12"/>
  <c r="AA2952" i="12"/>
  <c r="AA3294" i="12"/>
  <c r="AA123" i="12"/>
  <c r="AA445" i="12"/>
  <c r="AA712" i="12"/>
  <c r="AA1078" i="12"/>
  <c r="AA1348" i="12"/>
  <c r="AA1688" i="12"/>
  <c r="AA2049" i="12"/>
  <c r="AA2365" i="12"/>
  <c r="AA2761" i="12"/>
  <c r="AA3073" i="12"/>
  <c r="AA3501" i="12"/>
  <c r="AA114" i="12"/>
  <c r="AA775" i="12"/>
  <c r="AA1433" i="12"/>
  <c r="AA1982" i="12"/>
  <c r="AA2608" i="12"/>
  <c r="AA1374" i="12"/>
  <c r="AA1641" i="12"/>
  <c r="AA2024" i="12"/>
  <c r="AA2336" i="12"/>
  <c r="AA2736" i="12"/>
  <c r="AA3134" i="12"/>
  <c r="AA3446" i="12"/>
  <c r="AA606" i="12"/>
  <c r="AA1239" i="12"/>
  <c r="AA2068" i="12"/>
  <c r="AA413" i="12"/>
  <c r="AA948" i="12"/>
  <c r="AA1727" i="12"/>
  <c r="AA2325" i="12"/>
  <c r="AA3121" i="12"/>
  <c r="AA202" i="12"/>
  <c r="AA780" i="12"/>
  <c r="AA1461" i="12"/>
  <c r="AA2044" i="12"/>
  <c r="AA3068" i="12"/>
  <c r="AA252" i="12"/>
  <c r="AA519" i="12"/>
  <c r="AA885" i="12"/>
  <c r="AA1228" i="12"/>
  <c r="AA253" i="12"/>
  <c r="AA570" i="12"/>
  <c r="AA838" i="12"/>
  <c r="AA1178" i="12"/>
  <c r="AA1448" i="12"/>
  <c r="AA1789" i="12"/>
  <c r="AA2167" i="12"/>
  <c r="AA2481" i="12"/>
  <c r="AA2879" i="12"/>
  <c r="AA3191" i="12"/>
  <c r="AA43" i="12"/>
  <c r="AA438" i="12"/>
  <c r="AA792" i="12"/>
  <c r="AA1268" i="12"/>
  <c r="AA1535" i="12"/>
  <c r="AA1973" i="12"/>
  <c r="AA2441" i="12"/>
  <c r="AA2869" i="12"/>
  <c r="AA3337" i="12"/>
  <c r="AA66" i="12"/>
  <c r="AA1196" i="12"/>
  <c r="AA2972" i="12"/>
  <c r="AA139" i="12"/>
  <c r="AA657" i="12"/>
  <c r="AA1085" i="12"/>
  <c r="AA1695" i="12"/>
  <c r="AA2313" i="12"/>
  <c r="AA2769" i="12"/>
  <c r="AA3295" i="12"/>
  <c r="AA152" i="12"/>
  <c r="AA501" i="12"/>
  <c r="AA903" i="12"/>
  <c r="AA1221" i="12"/>
  <c r="AA1612" i="12"/>
  <c r="AA1948" i="12"/>
  <c r="AA2416" i="12"/>
  <c r="AA2870" i="12"/>
  <c r="AA3228" i="12"/>
  <c r="AA45" i="12"/>
  <c r="AA163" i="12"/>
  <c r="AA313" i="12"/>
  <c r="AA465" i="12"/>
  <c r="AA600" i="12"/>
  <c r="AA772" i="12"/>
  <c r="AA904" i="12"/>
  <c r="AA1076" i="12"/>
  <c r="AA1247" i="12"/>
  <c r="AA1380" i="12"/>
  <c r="AA1551" i="12"/>
  <c r="AA1686" i="12"/>
  <c r="AA1855" i="12"/>
  <c r="AA2061" i="12"/>
  <c r="AA2217" i="12"/>
  <c r="AA2417" i="12"/>
  <c r="AA2573" i="12"/>
  <c r="AA2773" i="12"/>
  <c r="AA2973" i="12"/>
  <c r="AA3127" i="12"/>
  <c r="AA3327" i="12"/>
  <c r="AA3485" i="12"/>
  <c r="AA385" i="12"/>
  <c r="AA913" i="12"/>
  <c r="AA1329" i="12"/>
  <c r="AA1959" i="12"/>
  <c r="AA2527" i="12"/>
  <c r="AA56" i="12"/>
  <c r="AA408" i="12"/>
  <c r="AA720" i="12"/>
  <c r="AA1111" i="12"/>
  <c r="AA1440" i="12"/>
  <c r="AA1806" i="12"/>
  <c r="AA2188" i="12"/>
  <c r="AA2516" i="12"/>
  <c r="AA2942" i="12"/>
  <c r="AA3284" i="12"/>
  <c r="AA100" i="12"/>
  <c r="AA250" i="12"/>
  <c r="AA368" i="12"/>
  <c r="AA528" i="12"/>
  <c r="AA663" i="12"/>
  <c r="AA834" i="12"/>
  <c r="AA1004" i="12"/>
  <c r="AA1138" i="12"/>
  <c r="AA1310" i="12"/>
  <c r="AA1442" i="12"/>
  <c r="AA1614" i="12"/>
  <c r="AA1785" i="12"/>
  <c r="AA1920" i="12"/>
  <c r="AA2120" i="12"/>
  <c r="AA2278" i="12"/>
  <c r="AA2476" i="12"/>
  <c r="AA2676" i="12"/>
  <c r="AA2832" i="12"/>
  <c r="AA3030" i="12"/>
  <c r="AA3188" i="12"/>
  <c r="AA3388" i="12"/>
  <c r="AA38" i="12"/>
  <c r="AA126" i="12"/>
  <c r="AA238" i="12"/>
  <c r="AA326" i="12"/>
  <c r="AA439" i="12"/>
  <c r="AA567" i="12"/>
  <c r="AA668" i="12"/>
  <c r="AA796" i="12"/>
  <c r="AA896" i="12"/>
  <c r="AA1024" i="12"/>
  <c r="AA1152" i="12"/>
  <c r="AA1253" i="12"/>
  <c r="AA1381" i="12"/>
  <c r="AA1481" i="12"/>
  <c r="AA1609" i="12"/>
  <c r="AA1737" i="12"/>
  <c r="AA1838" i="12"/>
  <c r="AA1976" i="12"/>
  <c r="AA2094" i="12"/>
  <c r="AA2244" i="12"/>
  <c r="AA2392" i="12"/>
  <c r="AA2510" i="12"/>
  <c r="AA2660" i="12"/>
  <c r="AA2776" i="12"/>
  <c r="AA2926" i="12"/>
  <c r="AA3076" i="12"/>
  <c r="AA3192" i="12"/>
  <c r="AA3342" i="12"/>
  <c r="AA3460" i="12"/>
  <c r="AA63" i="12"/>
  <c r="AA175" i="12"/>
  <c r="AA263" i="12"/>
  <c r="AA375" i="12"/>
  <c r="AA468" i="12"/>
  <c r="AA596" i="12"/>
  <c r="AA724" i="12"/>
  <c r="AA824" i="12"/>
  <c r="AA952" i="12"/>
  <c r="AA1053" i="12"/>
  <c r="AA1181" i="12"/>
  <c r="AA1309" i="12"/>
  <c r="AA1391" i="12"/>
  <c r="AA1464" i="12"/>
  <c r="AA1537" i="12"/>
  <c r="AA1610" i="12"/>
  <c r="AA1684" i="12"/>
  <c r="AA1757" i="12"/>
  <c r="AA1830" i="12"/>
  <c r="AA1903" i="12"/>
  <c r="AA1989" i="12"/>
  <c r="AA2073" i="12"/>
  <c r="AA2159" i="12"/>
  <c r="AA2245" i="12"/>
  <c r="AA2329" i="12"/>
  <c r="AA2415" i="12"/>
  <c r="AA2501" i="12"/>
  <c r="AA2585" i="12"/>
  <c r="AA2671" i="12"/>
  <c r="AA2757" i="12"/>
  <c r="AA2841" i="12"/>
  <c r="AA2927" i="12"/>
  <c r="AA3013" i="12"/>
  <c r="AA3097" i="12"/>
  <c r="AA3183" i="12"/>
  <c r="AA3269" i="12"/>
  <c r="AA3353" i="12"/>
  <c r="AA3439" i="12"/>
  <c r="AA3525" i="12"/>
  <c r="AA1946" i="12"/>
  <c r="AA2010" i="12"/>
  <c r="AA2074" i="12"/>
  <c r="AA2138" i="12"/>
  <c r="AA2202" i="12"/>
  <c r="AA2266" i="12"/>
  <c r="AA2330" i="12"/>
  <c r="AA2394" i="12"/>
  <c r="AA2458" i="12"/>
  <c r="AA2522" i="12"/>
  <c r="AA2586" i="12"/>
  <c r="AA2650" i="12"/>
  <c r="AA2714" i="12"/>
  <c r="AA2778" i="12"/>
  <c r="AA2842" i="12"/>
  <c r="AA2906" i="12"/>
  <c r="AA2970" i="12"/>
  <c r="AA3034" i="12"/>
  <c r="AA3098" i="12"/>
  <c r="AA3162" i="12"/>
  <c r="AA3226" i="12"/>
  <c r="AA3290" i="12"/>
  <c r="AA3354" i="12"/>
  <c r="AA3418" i="12"/>
  <c r="AA3482" i="12"/>
  <c r="AA3546" i="12"/>
  <c r="AA491" i="12"/>
  <c r="AA555" i="12"/>
  <c r="AA619" i="12"/>
  <c r="AA683" i="12"/>
  <c r="AA747" i="12"/>
  <c r="AA811" i="12"/>
  <c r="AA875" i="12"/>
  <c r="AA939" i="12"/>
  <c r="AA1003" i="12"/>
  <c r="AA1067" i="12"/>
  <c r="AA1131" i="12"/>
  <c r="AA1195" i="12"/>
  <c r="AA1259" i="12"/>
  <c r="AA1323" i="12"/>
  <c r="AA1387" i="12"/>
  <c r="AA1451" i="12"/>
  <c r="AA1515" i="12"/>
  <c r="AA1579" i="12"/>
  <c r="AA1643" i="12"/>
  <c r="AA1707" i="12"/>
  <c r="AA1771" i="12"/>
  <c r="AA1835" i="12"/>
  <c r="AA1899" i="12"/>
  <c r="AA1963" i="12"/>
  <c r="AA2027" i="12"/>
  <c r="AA2091" i="12"/>
  <c r="AA2155" i="12"/>
  <c r="AA2219" i="12"/>
  <c r="AA2283" i="12"/>
  <c r="AA2347" i="12"/>
  <c r="AA2411" i="12"/>
  <c r="AA2475" i="12"/>
  <c r="AA2539" i="12"/>
  <c r="AA2603" i="12"/>
  <c r="AA2667" i="12"/>
  <c r="AA2731" i="12"/>
  <c r="AA2795" i="12"/>
  <c r="AA2859" i="12"/>
  <c r="AA2923" i="12"/>
  <c r="AA2987" i="12"/>
  <c r="AA3051" i="12"/>
  <c r="AA3115" i="12"/>
  <c r="AA3179" i="12"/>
  <c r="AA3243" i="12"/>
  <c r="AA3307" i="12"/>
  <c r="AA3371" i="12"/>
  <c r="AA3435" i="12"/>
  <c r="AA3499" i="12"/>
  <c r="AA3006" i="12"/>
  <c r="AA1753" i="12"/>
  <c r="AA1128" i="12"/>
  <c r="AA2505" i="12"/>
  <c r="AA994" i="12"/>
  <c r="AA2694" i="12"/>
  <c r="AA2080" i="12"/>
  <c r="AA3190" i="12"/>
  <c r="AA1580" i="12"/>
  <c r="AA1288" i="12"/>
  <c r="AA308" i="12"/>
  <c r="AA2356" i="12"/>
  <c r="AA642" i="12"/>
  <c r="AA297" i="12"/>
  <c r="AA1229" i="12"/>
  <c r="AA2623" i="12"/>
  <c r="AA488" i="12"/>
  <c r="AA2045" i="12"/>
  <c r="AA3409" i="12"/>
  <c r="AA3240" i="12"/>
  <c r="AA1304" i="12"/>
  <c r="AA3009" i="12"/>
  <c r="AA562" i="12"/>
  <c r="AA1685" i="12"/>
  <c r="AA2928" i="12"/>
  <c r="AA217" i="12"/>
  <c r="AA473" i="12"/>
  <c r="AA1644" i="12"/>
  <c r="AA676" i="12"/>
  <c r="AA1750" i="12"/>
  <c r="AA791" i="12"/>
  <c r="AA2198" i="12"/>
  <c r="AA895" i="12"/>
  <c r="AA2377" i="12"/>
  <c r="AA1010" i="12"/>
  <c r="AA92" i="12"/>
  <c r="AA1407" i="12"/>
  <c r="AA192" i="12"/>
  <c r="AA1522" i="12"/>
  <c r="AA283" i="12"/>
  <c r="AA1626" i="12"/>
  <c r="AA2484" i="12"/>
  <c r="AA2796" i="12"/>
  <c r="AA3196" i="12"/>
  <c r="AA3508" i="12"/>
  <c r="AA2976" i="12"/>
  <c r="AA3432" i="12"/>
  <c r="AA3549" i="12"/>
  <c r="AA3089" i="12"/>
  <c r="AA3431" i="12"/>
  <c r="AA1093" i="12"/>
  <c r="AA582" i="12"/>
  <c r="AA1094" i="12"/>
  <c r="AA1752" i="12"/>
  <c r="AA2409" i="12"/>
  <c r="AA3263" i="12"/>
  <c r="AA535" i="12"/>
  <c r="AA1047" i="12"/>
  <c r="AA1705" i="12"/>
  <c r="AA2270" i="12"/>
  <c r="AA2982" i="12"/>
  <c r="AA3408" i="12"/>
  <c r="AA145" i="12"/>
  <c r="AA470" i="12"/>
  <c r="AA737" i="12"/>
  <c r="AA1103" i="12"/>
  <c r="AA1444" i="12"/>
  <c r="AA1713" i="12"/>
  <c r="AA2079" i="12"/>
  <c r="AA2391" i="12"/>
  <c r="AA2791" i="12"/>
  <c r="AA3189" i="12"/>
  <c r="AA3529" i="12"/>
  <c r="AA178" i="12"/>
  <c r="AA825" i="12"/>
  <c r="AA1506" i="12"/>
  <c r="AA2238" i="12"/>
  <c r="AA2636" i="12"/>
  <c r="AA1397" i="12"/>
  <c r="AA1666" i="12"/>
  <c r="AA2054" i="12"/>
  <c r="AA2452" i="12"/>
  <c r="AA2764" i="12"/>
  <c r="AA3164" i="12"/>
  <c r="AA3476" i="12"/>
  <c r="AA679" i="12"/>
  <c r="AA1458" i="12"/>
  <c r="AA2124" i="12"/>
  <c r="AA461" i="12"/>
  <c r="AA996" i="12"/>
  <c r="AA1777" i="12"/>
  <c r="AA2551" i="12"/>
  <c r="AA3177" i="12"/>
  <c r="AA244" i="12"/>
  <c r="AA828" i="12"/>
  <c r="AA1511" i="12"/>
  <c r="AA2300" i="12"/>
  <c r="AA229" i="12"/>
  <c r="AA274" i="12"/>
  <c r="AA544" i="12"/>
  <c r="AA910" i="12"/>
  <c r="AA42" i="12"/>
  <c r="AA275" i="12"/>
  <c r="AA593" i="12"/>
  <c r="AA863" i="12"/>
  <c r="AA1204" i="12"/>
  <c r="AA1544" i="12"/>
  <c r="AA1814" i="12"/>
  <c r="AA2197" i="12"/>
  <c r="AA2509" i="12"/>
  <c r="AA2909" i="12"/>
  <c r="AA3305" i="12"/>
  <c r="AA75" i="12"/>
  <c r="AA463" i="12"/>
  <c r="AA829" i="12"/>
  <c r="AA1293" i="12"/>
  <c r="AA1670" i="12"/>
  <c r="AA2015" i="12"/>
  <c r="AA2485" i="12"/>
  <c r="AA2897" i="12"/>
  <c r="AA3381" i="12"/>
  <c r="AA376" i="12"/>
  <c r="AA1269" i="12"/>
  <c r="AA3112" i="12"/>
  <c r="AA181" i="12"/>
  <c r="AA694" i="12"/>
  <c r="AA1256" i="12"/>
  <c r="AA1732" i="12"/>
  <c r="AA2357" i="12"/>
  <c r="AA2813" i="12"/>
  <c r="AA3325" i="12"/>
  <c r="AA248" i="12"/>
  <c r="AA537" i="12"/>
  <c r="AA928" i="12"/>
  <c r="AA1246" i="12"/>
  <c r="AA1648" i="12"/>
  <c r="AA2060" i="12"/>
  <c r="AA2444" i="12"/>
  <c r="AA2900" i="12"/>
  <c r="AA3270" i="12"/>
  <c r="AA57" i="12"/>
  <c r="AA205" i="12"/>
  <c r="AA323" i="12"/>
  <c r="AA479" i="12"/>
  <c r="AA612" i="12"/>
  <c r="AA783" i="12"/>
  <c r="AA954" i="12"/>
  <c r="AA1087" i="12"/>
  <c r="AA1258" i="12"/>
  <c r="AA1393" i="12"/>
  <c r="AA1562" i="12"/>
  <c r="AA1734" i="12"/>
  <c r="AA1869" i="12"/>
  <c r="AA2077" i="12"/>
  <c r="AA2231" i="12"/>
  <c r="AA2431" i="12"/>
  <c r="AA2631" i="12"/>
  <c r="AA2785" i="12"/>
  <c r="AA2985" i="12"/>
  <c r="AA3143" i="12"/>
  <c r="AA3341" i="12"/>
  <c r="AA3541" i="12"/>
  <c r="AA427" i="12"/>
  <c r="AA950" i="12"/>
  <c r="AA1377" i="12"/>
  <c r="AA2001" i="12"/>
  <c r="AA2741" i="12"/>
  <c r="AA88" i="12"/>
  <c r="AA428" i="12"/>
  <c r="AA745" i="12"/>
  <c r="AA1148" i="12"/>
  <c r="AA1550" i="12"/>
  <c r="AA1817" i="12"/>
  <c r="AA2230" i="12"/>
  <c r="AA2544" i="12"/>
  <c r="AA2984" i="12"/>
  <c r="AA3412" i="12"/>
  <c r="AA112" i="12"/>
  <c r="AA260" i="12"/>
  <c r="AA378" i="12"/>
  <c r="AA542" i="12"/>
  <c r="AA711" i="12"/>
  <c r="AA846" i="12"/>
  <c r="AA1017" i="12"/>
  <c r="AA1150" i="12"/>
  <c r="AA1321" i="12"/>
  <c r="AA1493" i="12"/>
  <c r="AA1625" i="12"/>
  <c r="AA1797" i="12"/>
  <c r="AA1936" i="12"/>
  <c r="AA2134" i="12"/>
  <c r="AA2334" i="12"/>
  <c r="AA2492" i="12"/>
  <c r="AA2688" i="12"/>
  <c r="AA2846" i="12"/>
  <c r="AA3046" i="12"/>
  <c r="AA3244" i="12"/>
  <c r="AA3400" i="12"/>
  <c r="AA46" i="12"/>
  <c r="AA134" i="12"/>
  <c r="AA246" i="12"/>
  <c r="AA358" i="12"/>
  <c r="AA448" i="12"/>
  <c r="AA576" i="12"/>
  <c r="AA677" i="12"/>
  <c r="AA805" i="12"/>
  <c r="AA933" i="12"/>
  <c r="AA1033" i="12"/>
  <c r="AA1161" i="12"/>
  <c r="AA1262" i="12"/>
  <c r="AA1390" i="12"/>
  <c r="AA1518" i="12"/>
  <c r="AA1618" i="12"/>
  <c r="AA1746" i="12"/>
  <c r="AA1847" i="12"/>
  <c r="AA1988" i="12"/>
  <c r="AA2136" i="12"/>
  <c r="AA2254" i="12"/>
  <c r="AA2404" i="12"/>
  <c r="AA2520" i="12"/>
  <c r="AA2670" i="12"/>
  <c r="AA2820" i="12"/>
  <c r="AA2936" i="12"/>
  <c r="AA3086" i="12"/>
  <c r="AA3204" i="12"/>
  <c r="AA3352" i="12"/>
  <c r="AA3502" i="12"/>
  <c r="AA71" i="12"/>
  <c r="AA183" i="12"/>
  <c r="AA271" i="12"/>
  <c r="AA383" i="12"/>
  <c r="AA504" i="12"/>
  <c r="AA605" i="12"/>
  <c r="AA733" i="12"/>
  <c r="AA833" i="12"/>
  <c r="AA961" i="12"/>
  <c r="AA1089" i="12"/>
  <c r="AA1190" i="12"/>
  <c r="AA1318" i="12"/>
  <c r="AA1400" i="12"/>
  <c r="AA1473" i="12"/>
  <c r="AA1546" i="12"/>
  <c r="AA1620" i="12"/>
  <c r="AA1693" i="12"/>
  <c r="AA1766" i="12"/>
  <c r="AA1839" i="12"/>
  <c r="AA1913" i="12"/>
  <c r="AA1999" i="12"/>
  <c r="AA2085" i="12"/>
  <c r="AA2169" i="12"/>
  <c r="AA2255" i="12"/>
  <c r="AA2341" i="12"/>
  <c r="AA2425" i="12"/>
  <c r="AA2511" i="12"/>
  <c r="AA2597" i="12"/>
  <c r="AA2681" i="12"/>
  <c r="AA2767" i="12"/>
  <c r="AA2853" i="12"/>
  <c r="AA2937" i="12"/>
  <c r="AA3023" i="12"/>
  <c r="AA3109" i="12"/>
  <c r="AA3193" i="12"/>
  <c r="AA3279" i="12"/>
  <c r="AA3365" i="12"/>
  <c r="AA3449" i="12"/>
  <c r="AA3535" i="12"/>
  <c r="AA1954" i="12"/>
  <c r="AA2018" i="12"/>
  <c r="AA2082" i="12"/>
  <c r="AA2146" i="12"/>
  <c r="AA2210" i="12"/>
  <c r="AA2274" i="12"/>
  <c r="AA2338" i="12"/>
  <c r="AA2402" i="12"/>
  <c r="AA2466" i="12"/>
  <c r="AA2530" i="12"/>
  <c r="AA2594" i="12"/>
  <c r="AA2658" i="12"/>
  <c r="AA2722" i="12"/>
  <c r="AA2786" i="12"/>
  <c r="AA2850" i="12"/>
  <c r="AA2914" i="12"/>
  <c r="AA2978" i="12"/>
  <c r="AA3042" i="12"/>
  <c r="AA3106" i="12"/>
  <c r="AA3170" i="12"/>
  <c r="AA3234" i="12"/>
  <c r="AA3298" i="12"/>
  <c r="AA3362" i="12"/>
  <c r="AA3426" i="12"/>
  <c r="AA3490" i="12"/>
  <c r="AA435" i="12"/>
  <c r="AA499" i="12"/>
  <c r="AA563" i="12"/>
  <c r="AA627" i="12"/>
  <c r="AA691" i="12"/>
  <c r="AA755" i="12"/>
  <c r="AA819" i="12"/>
  <c r="AA883" i="12"/>
  <c r="AA947" i="12"/>
  <c r="AA1011" i="12"/>
  <c r="AA1075" i="12"/>
  <c r="AA1139" i="12"/>
  <c r="AA1203" i="12"/>
  <c r="AA1267" i="12"/>
  <c r="AA1331" i="12"/>
  <c r="AA1395" i="12"/>
  <c r="AA1459" i="12"/>
  <c r="AA1523" i="12"/>
  <c r="AA1587" i="12"/>
  <c r="AA1651" i="12"/>
  <c r="AA1715" i="12"/>
  <c r="AA1779" i="12"/>
  <c r="AA1843" i="12"/>
  <c r="AA1907" i="12"/>
  <c r="AA1971" i="12"/>
  <c r="AA2035" i="12"/>
  <c r="AA2099" i="12"/>
  <c r="AA2163" i="12"/>
  <c r="AA2227" i="12"/>
  <c r="AA2291" i="12"/>
  <c r="AA2355" i="12"/>
  <c r="AA2419" i="12"/>
  <c r="AA2483" i="12"/>
  <c r="AA2547" i="12"/>
  <c r="AA2611" i="12"/>
  <c r="AA2675" i="12"/>
  <c r="AA2739" i="12"/>
  <c r="AA2803" i="12"/>
  <c r="AA2867" i="12"/>
  <c r="AA2931" i="12"/>
  <c r="AA2995" i="12"/>
  <c r="AA3059" i="12"/>
  <c r="AA3123" i="12"/>
  <c r="AA3187" i="12"/>
  <c r="AA3251" i="12"/>
  <c r="AA3315" i="12"/>
  <c r="AA3379" i="12"/>
  <c r="AA3443" i="12"/>
  <c r="AA3507" i="12"/>
  <c r="AA3462" i="12"/>
  <c r="AA3008" i="12"/>
  <c r="AA1469" i="12"/>
  <c r="AA2817" i="12"/>
  <c r="AA3217" i="12"/>
  <c r="AA2407" i="12"/>
  <c r="AA1532" i="12"/>
  <c r="AA1422" i="12"/>
  <c r="AA2480" i="12"/>
  <c r="AA2945" i="12"/>
  <c r="AA2208" i="12"/>
  <c r="AA2609" i="12"/>
  <c r="AA1559" i="12"/>
  <c r="AA296" i="12"/>
  <c r="AA935" i="12"/>
  <c r="AA618" i="12"/>
  <c r="AA1569" i="12"/>
  <c r="AA2225" i="12"/>
  <c r="AA2935" i="12"/>
  <c r="AA129" i="12"/>
  <c r="AA964" i="12"/>
  <c r="AA1706" i="12"/>
  <c r="AA3053" i="12"/>
  <c r="AA1342" i="12"/>
  <c r="AA730" i="12"/>
  <c r="AA2399" i="12"/>
  <c r="AA3367" i="12"/>
  <c r="AA953" i="12"/>
  <c r="AA2102" i="12"/>
  <c r="AA3398" i="12"/>
  <c r="AA333" i="12"/>
  <c r="AA572" i="12"/>
  <c r="AA1742" i="12"/>
  <c r="AA774" i="12"/>
  <c r="AA2177" i="12"/>
  <c r="AA889" i="12"/>
  <c r="AA2349" i="12"/>
  <c r="AA993" i="12"/>
  <c r="AA91" i="12"/>
  <c r="AA1401" i="12"/>
  <c r="AA177" i="12"/>
  <c r="AA1505" i="12"/>
  <c r="AA276" i="12"/>
  <c r="AA1621" i="12"/>
  <c r="AA653" i="12"/>
  <c r="AA1725" i="12"/>
  <c r="AA2512" i="12"/>
  <c r="AA2824" i="12"/>
  <c r="AA2152" i="12"/>
  <c r="AA3092" i="12"/>
  <c r="AA3117" i="12"/>
  <c r="AA3543" i="12"/>
  <c r="AA1776" i="12"/>
  <c r="AA630" i="12"/>
  <c r="AA1142" i="12"/>
  <c r="AA1800" i="12"/>
  <c r="AA2637" i="12"/>
  <c r="AA3377" i="12"/>
  <c r="AA583" i="12"/>
  <c r="AA2496" i="12"/>
  <c r="AA3436" i="12"/>
  <c r="AA165" i="12"/>
  <c r="AA836" i="12"/>
  <c r="AA1736" i="12"/>
  <c r="AA670" i="12"/>
  <c r="AA2172" i="12"/>
  <c r="AA872" i="12"/>
  <c r="AA2321" i="12"/>
  <c r="AA985" i="12"/>
  <c r="AA72" i="12"/>
  <c r="AA1384" i="12"/>
  <c r="AA170" i="12"/>
  <c r="AA1497" i="12"/>
  <c r="AA261" i="12"/>
  <c r="AA1604" i="12"/>
  <c r="AA645" i="12"/>
  <c r="AA1717" i="12"/>
  <c r="AA749" i="12"/>
  <c r="AA1823" i="12"/>
  <c r="AA2540" i="12"/>
  <c r="AA2940" i="12"/>
  <c r="AA3252" i="12"/>
  <c r="AA2494" i="12"/>
  <c r="AA3036" i="12"/>
  <c r="AA3488" i="12"/>
  <c r="AA2689" i="12"/>
  <c r="AA3145" i="12"/>
  <c r="AA29" i="12"/>
  <c r="AA32" i="12"/>
  <c r="AA703" i="12"/>
  <c r="AA1313" i="12"/>
  <c r="AA1850" i="12"/>
  <c r="AA2695" i="12"/>
  <c r="AA37" i="12"/>
  <c r="AA633" i="12"/>
  <c r="AA1292" i="12"/>
  <c r="AA1804" i="12"/>
  <c r="AA2556" i="12"/>
  <c r="AA3038" i="12"/>
  <c r="AA3464" i="12"/>
  <c r="AA273" i="12"/>
  <c r="AA518" i="12"/>
  <c r="AA858" i="12"/>
  <c r="AA1151" i="12"/>
  <c r="AA1494" i="12"/>
  <c r="AA1834" i="12"/>
  <c r="AA2135" i="12"/>
  <c r="AA2535" i="12"/>
  <c r="AA2847" i="12"/>
  <c r="AA3245" i="12"/>
  <c r="AA50" i="12"/>
  <c r="AA1376" i="12"/>
  <c r="AA1677" i="12"/>
  <c r="AA726" i="12"/>
  <c r="AA1815" i="12"/>
  <c r="AA2312" i="12"/>
  <c r="AA3392" i="12"/>
  <c r="AA3518" i="12"/>
  <c r="AA3345" i="12"/>
  <c r="AA801" i="12"/>
  <c r="AA2751" i="12"/>
  <c r="AA901" i="12"/>
  <c r="AA2668" i="12"/>
  <c r="AA293" i="12"/>
  <c r="AA957" i="12"/>
  <c r="AA1882" i="12"/>
  <c r="AA2961" i="12"/>
  <c r="AA2719" i="12"/>
  <c r="AA1166" i="12"/>
  <c r="AA2380" i="12"/>
  <c r="AA1568" i="12"/>
  <c r="AA2252" i="12"/>
  <c r="AA2964" i="12"/>
  <c r="AA220" i="12"/>
  <c r="AA1726" i="12"/>
  <c r="AA776" i="12"/>
  <c r="AA2183" i="12"/>
  <c r="AA3463" i="12"/>
  <c r="AA1120" i="12"/>
  <c r="AA2470" i="12"/>
  <c r="AA338" i="12"/>
  <c r="AA1081" i="12"/>
  <c r="AA403" i="12"/>
  <c r="AA1009" i="12"/>
  <c r="AA1617" i="12"/>
  <c r="AA2281" i="12"/>
  <c r="AA3079" i="12"/>
  <c r="AA245" i="12"/>
  <c r="AA1037" i="12"/>
  <c r="AA1754" i="12"/>
  <c r="AA2599" i="12"/>
  <c r="AA3509" i="12"/>
  <c r="AA1918" i="12"/>
  <c r="AA373" i="12"/>
  <c r="AA1402" i="12"/>
  <c r="AA2497" i="12"/>
  <c r="AA44" i="12"/>
  <c r="AA709" i="12"/>
  <c r="AA1415" i="12"/>
  <c r="AA2174" i="12"/>
  <c r="AA2998" i="12"/>
  <c r="AA121" i="12"/>
  <c r="AA387" i="12"/>
  <c r="AA673" i="12"/>
  <c r="AA881" i="12"/>
  <c r="AA1160" i="12"/>
  <c r="AA1441" i="12"/>
  <c r="AA1649" i="12"/>
  <c r="AA1949" i="12"/>
  <c r="AA2189" i="12"/>
  <c r="AA2517" i="12"/>
  <c r="AA2801" i="12"/>
  <c r="AA3085" i="12"/>
  <c r="AA3369" i="12"/>
  <c r="AA309" i="12"/>
  <c r="AA1060" i="12"/>
  <c r="AA2057" i="12"/>
  <c r="AA2925" i="12"/>
  <c r="AA489" i="12"/>
  <c r="AA976" i="12"/>
  <c r="AA1623" i="12"/>
  <c r="AA2260" i="12"/>
  <c r="AA2758" i="12"/>
  <c r="AA1892" i="12"/>
  <c r="AA196" i="12"/>
  <c r="AA444" i="12"/>
  <c r="AA725" i="12"/>
  <c r="AA930" i="12"/>
  <c r="AA1212" i="12"/>
  <c r="AA1420" i="12"/>
  <c r="AA1698" i="12"/>
  <c r="AA1992" i="12"/>
  <c r="AA2236" i="12"/>
  <c r="AA2560" i="12"/>
  <c r="AA2804" i="12"/>
  <c r="AA3132" i="12"/>
  <c r="AA3414" i="12"/>
  <c r="AA102" i="12"/>
  <c r="AA262" i="12"/>
  <c r="AA422" i="12"/>
  <c r="AA604" i="12"/>
  <c r="AA814" i="12"/>
  <c r="AA969" i="12"/>
  <c r="AA1180" i="12"/>
  <c r="AA1335" i="12"/>
  <c r="AA1545" i="12"/>
  <c r="AA1756" i="12"/>
  <c r="AA1912" i="12"/>
  <c r="AA2158" i="12"/>
  <c r="AA2340" i="12"/>
  <c r="AA2584" i="12"/>
  <c r="AA2830" i="12"/>
  <c r="AA3012" i="12"/>
  <c r="AA3256" i="12"/>
  <c r="AA3438" i="12"/>
  <c r="AA119" i="12"/>
  <c r="AA303" i="12"/>
  <c r="AA440" i="12"/>
  <c r="AA650" i="12"/>
  <c r="AA806" i="12"/>
  <c r="AA1016" i="12"/>
  <c r="AA1199" i="12"/>
  <c r="AA1364" i="12"/>
  <c r="AA1492" i="12"/>
  <c r="AA1592" i="12"/>
  <c r="AA1720" i="12"/>
  <c r="AA1848" i="12"/>
  <c r="AA1957" i="12"/>
  <c r="AA2105" i="12"/>
  <c r="AA2223" i="12"/>
  <c r="AA2373" i="12"/>
  <c r="AA2521" i="12"/>
  <c r="AA2639" i="12"/>
  <c r="AA2789" i="12"/>
  <c r="AA2905" i="12"/>
  <c r="AA3055" i="12"/>
  <c r="AA3205" i="12"/>
  <c r="AA3321" i="12"/>
  <c r="AA3471" i="12"/>
  <c r="AA1930" i="12"/>
  <c r="AA2042" i="12"/>
  <c r="AA2154" i="12"/>
  <c r="AA2242" i="12"/>
  <c r="AA2354" i="12"/>
  <c r="AA2442" i="12"/>
  <c r="AA2554" i="12"/>
  <c r="AA2666" i="12"/>
  <c r="AA2754" i="12"/>
  <c r="AA2866" i="12"/>
  <c r="AA2954" i="12"/>
  <c r="AA3066" i="12"/>
  <c r="AA3178" i="12"/>
  <c r="AA3266" i="12"/>
  <c r="AA3378" i="12"/>
  <c r="AA3466" i="12"/>
  <c r="AA459" i="12"/>
  <c r="AA571" i="12"/>
  <c r="AA659" i="12"/>
  <c r="AA771" i="12"/>
  <c r="AA859" i="12"/>
  <c r="AA971" i="12"/>
  <c r="AA1083" i="12"/>
  <c r="AA1171" i="12"/>
  <c r="AA1283" i="12"/>
  <c r="AA1371" i="12"/>
  <c r="AA1483" i="12"/>
  <c r="AA1595" i="12"/>
  <c r="AA1683" i="12"/>
  <c r="AA1795" i="12"/>
  <c r="AA1883" i="12"/>
  <c r="AA1995" i="12"/>
  <c r="AA2107" i="12"/>
  <c r="AA2195" i="12"/>
  <c r="AA2307" i="12"/>
  <c r="AA2395" i="12"/>
  <c r="AA2507" i="12"/>
  <c r="AA2619" i="12"/>
  <c r="AA2707" i="12"/>
  <c r="AA2819" i="12"/>
  <c r="AA2907" i="12"/>
  <c r="AA3019" i="12"/>
  <c r="AA3131" i="12"/>
  <c r="AA3219" i="12"/>
  <c r="AA3331" i="12"/>
  <c r="AA3419" i="12"/>
  <c r="AA3531" i="12"/>
  <c r="AA1952" i="12"/>
  <c r="AA823" i="12"/>
  <c r="AA870" i="12"/>
  <c r="AA2649" i="12"/>
  <c r="AA1962" i="12"/>
  <c r="AA2362" i="12"/>
  <c r="AA2762" i="12"/>
  <c r="AA2986" i="12"/>
  <c r="AA3186" i="12"/>
  <c r="AA3274" i="12"/>
  <c r="AA3498" i="12"/>
  <c r="AA467" i="12"/>
  <c r="AA667" i="12"/>
  <c r="AA779" i="12"/>
  <c r="AA891" i="12"/>
  <c r="AA1091" i="12"/>
  <c r="AA1179" i="12"/>
  <c r="AA1291" i="12"/>
  <c r="AA1491" i="12"/>
  <c r="AA1603" i="12"/>
  <c r="AA1691" i="12"/>
  <c r="AA1803" i="12"/>
  <c r="AA2003" i="12"/>
  <c r="AA2115" i="12"/>
  <c r="AA2203" i="12"/>
  <c r="AA2315" i="12"/>
  <c r="AA2427" i="12"/>
  <c r="AA2627" i="12"/>
  <c r="AA2715" i="12"/>
  <c r="AA2827" i="12"/>
  <c r="AA2939" i="12"/>
  <c r="AA3027" i="12"/>
  <c r="AA3139" i="12"/>
  <c r="AA3339" i="12"/>
  <c r="AA3451" i="12"/>
  <c r="AA3539" i="12"/>
  <c r="AA1209" i="12"/>
  <c r="AA1359" i="12"/>
  <c r="AA983" i="12"/>
  <c r="AA665" i="12"/>
  <c r="AA2653" i="12"/>
  <c r="AA3095" i="12"/>
  <c r="AA1943" i="12"/>
  <c r="AA1478" i="12"/>
  <c r="AA1572" i="12"/>
  <c r="AA80" i="12"/>
  <c r="AA1808" i="12"/>
  <c r="AA174" i="12"/>
  <c r="AA1445" i="12"/>
  <c r="AA2680" i="12"/>
  <c r="AA191" i="12"/>
  <c r="AA1254" i="12"/>
  <c r="AA2021" i="12"/>
  <c r="AA2969" i="12"/>
  <c r="AA1978" i="12"/>
  <c r="AA2378" i="12"/>
  <c r="AA2890" i="12"/>
  <c r="AA3314" i="12"/>
  <c r="AA595" i="12"/>
  <c r="AA1019" i="12"/>
  <c r="AA1307" i="12"/>
  <c r="AA1619" i="12"/>
  <c r="AA1931" i="12"/>
  <c r="AA2243" i="12"/>
  <c r="AA2555" i="12"/>
  <c r="AA2843" i="12"/>
  <c r="AA3155" i="12"/>
  <c r="AA708" i="12"/>
  <c r="AA1822" i="12"/>
  <c r="AA2944" i="12"/>
  <c r="AA512" i="12"/>
  <c r="AA878" i="12"/>
  <c r="AA1454" i="12"/>
  <c r="AA1820" i="12"/>
  <c r="AA2478" i="12"/>
  <c r="AA3118" i="12"/>
  <c r="AA199" i="12"/>
  <c r="AA532" i="12"/>
  <c r="AA1108" i="12"/>
  <c r="AA1428" i="12"/>
  <c r="AA1784" i="12"/>
  <c r="AA2181" i="12"/>
  <c r="AA2565" i="12"/>
  <c r="AA2981" i="12"/>
  <c r="AA3247" i="12"/>
  <c r="AA1986" i="12"/>
  <c r="AA2298" i="12"/>
  <c r="AA2498" i="12"/>
  <c r="AA2810" i="12"/>
  <c r="AA3010" i="12"/>
  <c r="AA3434" i="12"/>
  <c r="AA715" i="12"/>
  <c r="AA915" i="12"/>
  <c r="AA1227" i="12"/>
  <c r="AA1427" i="12"/>
  <c r="AA1739" i="12"/>
  <c r="AA2051" i="12"/>
  <c r="AA2363" i="12"/>
  <c r="AA2763" i="12"/>
  <c r="AA3075" i="12"/>
  <c r="AA3275" i="12"/>
  <c r="AA892" i="12"/>
  <c r="AA942" i="12"/>
  <c r="AA2062" i="12"/>
  <c r="AA2948" i="12"/>
  <c r="AA906" i="12"/>
  <c r="AA2873" i="12"/>
  <c r="AA133" i="12"/>
  <c r="AA1474" i="12"/>
  <c r="AA256" i="12"/>
  <c r="AA822" i="12"/>
  <c r="AA2256" i="12"/>
  <c r="AA2568" i="12"/>
  <c r="AA3422" i="12"/>
  <c r="AA3548" i="12"/>
  <c r="AA93" i="12"/>
  <c r="AA973" i="12"/>
  <c r="AA2807" i="12"/>
  <c r="AA1340" i="12"/>
  <c r="AA2726" i="12"/>
  <c r="AA315" i="12"/>
  <c r="AA1249" i="12"/>
  <c r="AA1909" i="12"/>
  <c r="AA2989" i="12"/>
  <c r="AA2775" i="12"/>
  <c r="AA1214" i="12"/>
  <c r="AA2550" i="12"/>
  <c r="AA1593" i="12"/>
  <c r="AA2280" i="12"/>
  <c r="AA2992" i="12"/>
  <c r="AA306" i="12"/>
  <c r="AA826" i="12"/>
  <c r="AA2209" i="12"/>
  <c r="AA3489" i="12"/>
  <c r="AA1168" i="12"/>
  <c r="AA2526" i="12"/>
  <c r="AA446" i="12"/>
  <c r="AA1104" i="12"/>
  <c r="AA425" i="12"/>
  <c r="AA1032" i="12"/>
  <c r="AA1642" i="12"/>
  <c r="AA2397" i="12"/>
  <c r="AA3105" i="12"/>
  <c r="AA277" i="12"/>
  <c r="AA1073" i="12"/>
  <c r="AA1791" i="12"/>
  <c r="AA2753" i="12"/>
  <c r="AA3521" i="12"/>
  <c r="AA2076" i="12"/>
  <c r="AA405" i="12"/>
  <c r="AA1450" i="12"/>
  <c r="AA2655" i="12"/>
  <c r="AA76" i="12"/>
  <c r="AA734" i="12"/>
  <c r="AA1452" i="12"/>
  <c r="AA2204" i="12"/>
  <c r="AA3126" i="12"/>
  <c r="AA131" i="12"/>
  <c r="AA397" i="12"/>
  <c r="AA685" i="12"/>
  <c r="AA966" i="12"/>
  <c r="AA1174" i="12"/>
  <c r="AA1453" i="12"/>
  <c r="AA1661" i="12"/>
  <c r="AA1961" i="12"/>
  <c r="AA2289" i="12"/>
  <c r="AA2529" i="12"/>
  <c r="AA2857" i="12"/>
  <c r="AA3101" i="12"/>
  <c r="AA3425" i="12"/>
  <c r="AA474" i="12"/>
  <c r="AA1220" i="12"/>
  <c r="AA2101" i="12"/>
  <c r="AA3351" i="12"/>
  <c r="AA514" i="12"/>
  <c r="AA1173" i="12"/>
  <c r="AA1660" i="12"/>
  <c r="AA2288" i="12"/>
  <c r="AA2784" i="12"/>
  <c r="AA26" i="12"/>
  <c r="AA272" i="12"/>
  <c r="AA455" i="12"/>
  <c r="AA736" i="12"/>
  <c r="AA944" i="12"/>
  <c r="AA1223" i="12"/>
  <c r="AA1504" i="12"/>
  <c r="AA1712" i="12"/>
  <c r="AA2006" i="12"/>
  <c r="AA2248" i="12"/>
  <c r="AA2576" i="12"/>
  <c r="AA2902" i="12"/>
  <c r="AA3144" i="12"/>
  <c r="AA3472" i="12"/>
  <c r="AA110" i="12"/>
  <c r="AA294" i="12"/>
  <c r="AA457" i="12"/>
  <c r="AA640" i="12"/>
  <c r="AA1006" i="12"/>
  <c r="AA1189" i="12"/>
  <c r="AA1399" i="12"/>
  <c r="AA1554" i="12"/>
  <c r="AA1765" i="12"/>
  <c r="AA1924" i="12"/>
  <c r="AA2168" i="12"/>
  <c r="AA2414" i="12"/>
  <c r="AA2596" i="12"/>
  <c r="AA2840" i="12"/>
  <c r="AA3022" i="12"/>
  <c r="AA3268" i="12"/>
  <c r="AA3512" i="12"/>
  <c r="AA127" i="12"/>
  <c r="AA311" i="12"/>
  <c r="AA449" i="12"/>
  <c r="AA660" i="12"/>
  <c r="AA1025" i="12"/>
  <c r="AA1236" i="12"/>
  <c r="AA1373" i="12"/>
  <c r="AA1501" i="12"/>
  <c r="AA1629" i="12"/>
  <c r="AA1729" i="12"/>
  <c r="AA1857" i="12"/>
  <c r="AA1967" i="12"/>
  <c r="AA2117" i="12"/>
  <c r="AA2265" i="12"/>
  <c r="AA2383" i="12"/>
  <c r="AA2533" i="12"/>
  <c r="AA2799" i="12"/>
  <c r="AA2949" i="12"/>
  <c r="AA3065" i="12"/>
  <c r="AA3215" i="12"/>
  <c r="AA3333" i="12"/>
  <c r="AA3481" i="12"/>
  <c r="AA2050" i="12"/>
  <c r="AA2162" i="12"/>
  <c r="AA2250" i="12"/>
  <c r="AA2474" i="12"/>
  <c r="AA2562" i="12"/>
  <c r="AA2674" i="12"/>
  <c r="AA2874" i="12"/>
  <c r="AA3074" i="12"/>
  <c r="AA3386" i="12"/>
  <c r="AA579" i="12"/>
  <c r="AA979" i="12"/>
  <c r="AA1403" i="12"/>
  <c r="AA1915" i="12"/>
  <c r="AA2515" i="12"/>
  <c r="AA3227" i="12"/>
  <c r="AA1242" i="12"/>
  <c r="AA155" i="12"/>
  <c r="AA2536" i="12"/>
  <c r="AA644" i="12"/>
  <c r="AA525" i="12"/>
  <c r="AA526" i="12"/>
  <c r="AA3039" i="12"/>
  <c r="AA990" i="12"/>
  <c r="AA2600" i="12"/>
  <c r="AA227" i="12"/>
  <c r="AA710" i="12"/>
  <c r="AA1759" i="12"/>
  <c r="AA2317" i="12"/>
  <c r="AA2887" i="12"/>
  <c r="AA3455" i="12"/>
  <c r="AA2385" i="12"/>
  <c r="AA661" i="12"/>
  <c r="AA1842" i="12"/>
  <c r="AA3040" i="12"/>
  <c r="AA553" i="12"/>
  <c r="AA1248" i="12"/>
  <c r="AA2036" i="12"/>
  <c r="AA2604" i="12"/>
  <c r="AA3260" i="12"/>
  <c r="AA310" i="12"/>
  <c r="AA869" i="12"/>
  <c r="AA1234" i="12"/>
  <c r="AA1810" i="12"/>
  <c r="AA2222" i="12"/>
  <c r="AA2862" i="12"/>
  <c r="AA3288" i="12"/>
  <c r="AA327" i="12"/>
  <c r="AA678" i="12"/>
  <c r="AA1098" i="12"/>
  <c r="AA1519" i="12"/>
  <c r="AA1775" i="12"/>
  <c r="AA2287" i="12"/>
  <c r="AA2821" i="12"/>
  <c r="AA3237" i="12"/>
  <c r="AA3503" i="12"/>
  <c r="AA2178" i="12"/>
  <c r="AA2602" i="12"/>
  <c r="AA2802" i="12"/>
  <c r="AA3114" i="12"/>
  <c r="AA3402" i="12"/>
  <c r="AA507" i="12"/>
  <c r="AA795" i="12"/>
  <c r="AA1107" i="12"/>
  <c r="AA1419" i="12"/>
  <c r="AA1731" i="12"/>
  <c r="AA2043" i="12"/>
  <c r="AA2331" i="12"/>
  <c r="AA2755" i="12"/>
  <c r="AA3067" i="12"/>
  <c r="AA3355" i="12"/>
  <c r="AA1608" i="12"/>
  <c r="AA1541" i="12"/>
  <c r="AA2704" i="12"/>
  <c r="AA182" i="12"/>
  <c r="AA1298" i="12"/>
  <c r="AA2052" i="12"/>
  <c r="AA2692" i="12"/>
  <c r="AA3364" i="12"/>
  <c r="AA742" i="12"/>
  <c r="AA1556" i="12"/>
  <c r="AA2031" i="12"/>
  <c r="AA2447" i="12"/>
  <c r="AA2863" i="12"/>
  <c r="AA2098" i="12"/>
  <c r="AA2698" i="12"/>
  <c r="AA3210" i="12"/>
  <c r="AA603" i="12"/>
  <c r="AA1027" i="12"/>
  <c r="AA1627" i="12"/>
  <c r="AA2139" i="12"/>
  <c r="AA2563" i="12"/>
  <c r="AA2963" i="12"/>
  <c r="AA3387" i="12"/>
  <c r="AA2783" i="12"/>
  <c r="AA521" i="12"/>
  <c r="AA1673" i="12"/>
  <c r="AA2308" i="12"/>
  <c r="AA3374" i="12"/>
  <c r="AA1665" i="12"/>
  <c r="AA2106" i="12"/>
  <c r="AA968" i="12"/>
  <c r="AA1570" i="12"/>
  <c r="AA620" i="12"/>
  <c r="AA1700" i="12"/>
  <c r="AA28" i="12"/>
  <c r="AA2598" i="12"/>
  <c r="AA2664" i="12"/>
  <c r="AA2153" i="12"/>
  <c r="AA136" i="12"/>
  <c r="AA1361" i="12"/>
  <c r="AA2865" i="12"/>
  <c r="AA1388" i="12"/>
  <c r="AA3180" i="12"/>
  <c r="AA337" i="12"/>
  <c r="AA1274" i="12"/>
  <c r="AA2165" i="12"/>
  <c r="AA3017" i="12"/>
  <c r="AA284" i="12"/>
  <c r="AA1557" i="12"/>
  <c r="AA738" i="12"/>
  <c r="AA1813" i="12"/>
  <c r="AA2508" i="12"/>
  <c r="AA3220" i="12"/>
  <c r="AA800" i="12"/>
  <c r="AA52" i="12"/>
  <c r="AA1338" i="12"/>
  <c r="AA2665" i="12"/>
  <c r="AA3519" i="12"/>
  <c r="AA1218" i="12"/>
  <c r="AA2752" i="12"/>
  <c r="AA471" i="12"/>
  <c r="AA1154" i="12"/>
  <c r="AA447" i="12"/>
  <c r="AA1057" i="12"/>
  <c r="AA1741" i="12"/>
  <c r="AA2423" i="12"/>
  <c r="AA3135" i="12"/>
  <c r="AA299" i="12"/>
  <c r="AA1096" i="12"/>
  <c r="AA1901" i="12"/>
  <c r="AA2797" i="12"/>
  <c r="AA3537" i="12"/>
  <c r="AA2216" i="12"/>
  <c r="AA452" i="12"/>
  <c r="AA1622" i="12"/>
  <c r="AA2685" i="12"/>
  <c r="AA98" i="12"/>
  <c r="AA757" i="12"/>
  <c r="AA1477" i="12"/>
  <c r="AA2344" i="12"/>
  <c r="AA3156" i="12"/>
  <c r="AA141" i="12"/>
  <c r="AA409" i="12"/>
  <c r="AA698" i="12"/>
  <c r="AA977" i="12"/>
  <c r="AA1185" i="12"/>
  <c r="AA1466" i="12"/>
  <c r="AA1745" i="12"/>
  <c r="AA1975" i="12"/>
  <c r="AA2303" i="12"/>
  <c r="AA2545" i="12"/>
  <c r="AA2871" i="12"/>
  <c r="AA3199" i="12"/>
  <c r="AA3441" i="12"/>
  <c r="AA634" i="12"/>
  <c r="AA2343" i="12"/>
  <c r="AA108" i="12"/>
  <c r="AA636" i="12"/>
  <c r="AA1744" i="12"/>
  <c r="AA2316" i="12"/>
  <c r="AA3014" i="12"/>
  <c r="AA36" i="12"/>
  <c r="AA282" i="12"/>
  <c r="AA469" i="12"/>
  <c r="AA748" i="12"/>
  <c r="AA1029" i="12"/>
  <c r="AA1237" i="12"/>
  <c r="AA1516" i="12"/>
  <c r="AA1724" i="12"/>
  <c r="AA2022" i="12"/>
  <c r="AA2348" i="12"/>
  <c r="AA2590" i="12"/>
  <c r="AA2918" i="12"/>
  <c r="AA3158" i="12"/>
  <c r="AA3486" i="12"/>
  <c r="AA166" i="12"/>
  <c r="AA302" i="12"/>
  <c r="AA494" i="12"/>
  <c r="AA649" i="12"/>
  <c r="AA860" i="12"/>
  <c r="AA1042" i="12"/>
  <c r="AA1225" i="12"/>
  <c r="AA1408" i="12"/>
  <c r="AA1591" i="12"/>
  <c r="AA1774" i="12"/>
  <c r="AA1998" i="12"/>
  <c r="AA2180" i="12"/>
  <c r="AA2424" i="12"/>
  <c r="AA2606" i="12"/>
  <c r="AA2852" i="12"/>
  <c r="AA3096" i="12"/>
  <c r="AA3278" i="12"/>
  <c r="AA3524" i="12"/>
  <c r="AA135" i="12"/>
  <c r="AA319" i="12"/>
  <c r="AA513" i="12"/>
  <c r="AA669" i="12"/>
  <c r="AA879" i="12"/>
  <c r="AA1034" i="12"/>
  <c r="AA1245" i="12"/>
  <c r="AA1409" i="12"/>
  <c r="AA1510" i="12"/>
  <c r="AA1638" i="12"/>
  <c r="AA1738" i="12"/>
  <c r="AA1866" i="12"/>
  <c r="AA2009" i="12"/>
  <c r="AA2127" i="12"/>
  <c r="AA2277" i="12"/>
  <c r="AA2393" i="12"/>
  <c r="AA2543" i="12"/>
  <c r="AA2693" i="12"/>
  <c r="AA2809" i="12"/>
  <c r="AA2959" i="12"/>
  <c r="AA3077" i="12"/>
  <c r="AA3225" i="12"/>
  <c r="AA3375" i="12"/>
  <c r="AA3493" i="12"/>
  <c r="AA1970" i="12"/>
  <c r="AA2058" i="12"/>
  <c r="AA2170" i="12"/>
  <c r="AA2282" i="12"/>
  <c r="AA2370" i="12"/>
  <c r="AA2482" i="12"/>
  <c r="AA2570" i="12"/>
  <c r="AA2682" i="12"/>
  <c r="AA2794" i="12"/>
  <c r="AA2882" i="12"/>
  <c r="AA2994" i="12"/>
  <c r="AA3082" i="12"/>
  <c r="AA3194" i="12"/>
  <c r="AA3306" i="12"/>
  <c r="AA3394" i="12"/>
  <c r="AA3506" i="12"/>
  <c r="AA475" i="12"/>
  <c r="AA587" i="12"/>
  <c r="AA699" i="12"/>
  <c r="AA787" i="12"/>
  <c r="AA899" i="12"/>
  <c r="AA987" i="12"/>
  <c r="AA1099" i="12"/>
  <c r="AA1211" i="12"/>
  <c r="AA1299" i="12"/>
  <c r="AA1411" i="12"/>
  <c r="AA1499" i="12"/>
  <c r="AA1611" i="12"/>
  <c r="AA1723" i="12"/>
  <c r="AA1811" i="12"/>
  <c r="AA1923" i="12"/>
  <c r="AA2011" i="12"/>
  <c r="AA2123" i="12"/>
  <c r="AA2235" i="12"/>
  <c r="AA2323" i="12"/>
  <c r="AA2435" i="12"/>
  <c r="AA2523" i="12"/>
  <c r="AA2635" i="12"/>
  <c r="AA2747" i="12"/>
  <c r="AA2835" i="12"/>
  <c r="AA2947" i="12"/>
  <c r="AA3035" i="12"/>
  <c r="AA3147" i="12"/>
  <c r="AA3259" i="12"/>
  <c r="AA3347" i="12"/>
  <c r="AA3459" i="12"/>
  <c r="AA3547" i="12"/>
  <c r="AA1020" i="12"/>
  <c r="AA1252" i="12"/>
  <c r="AA1341" i="12"/>
  <c r="AA3340" i="12"/>
  <c r="AA300" i="12"/>
  <c r="AA1708" i="12"/>
  <c r="AA3440" i="12"/>
  <c r="AA502" i="12"/>
  <c r="AA1270" i="12"/>
  <c r="AA1991" i="12"/>
  <c r="AA2645" i="12"/>
  <c r="AA3213" i="12"/>
  <c r="AA671" i="12"/>
  <c r="AA204" i="12"/>
  <c r="AA1319" i="12"/>
  <c r="AA2430" i="12"/>
  <c r="AA292" i="12"/>
  <c r="AA761" i="12"/>
  <c r="AA1040" i="12"/>
  <c r="AA1529" i="12"/>
  <c r="AA2364" i="12"/>
  <c r="AA2932" i="12"/>
  <c r="AA3500" i="12"/>
  <c r="AA503" i="12"/>
  <c r="AA713" i="12"/>
  <c r="AA1079" i="12"/>
  <c r="AA1628" i="12"/>
  <c r="AA2008" i="12"/>
  <c r="AA2436" i="12"/>
  <c r="AA3108" i="12"/>
  <c r="AA3534" i="12"/>
  <c r="AA522" i="12"/>
  <c r="AA888" i="12"/>
  <c r="AA1418" i="12"/>
  <c r="AA1647" i="12"/>
  <c r="AA1876" i="12"/>
  <c r="AA2137" i="12"/>
  <c r="AA2437" i="12"/>
  <c r="AA2553" i="12"/>
  <c r="AA3119" i="12"/>
  <c r="AA3385" i="12"/>
  <c r="AA2090" i="12"/>
  <c r="AA2290" i="12"/>
  <c r="AA2490" i="12"/>
  <c r="AA2690" i="12"/>
  <c r="AA3002" i="12"/>
  <c r="AA3202" i="12"/>
  <c r="AA3514" i="12"/>
  <c r="AA707" i="12"/>
  <c r="AA907" i="12"/>
  <c r="AA1219" i="12"/>
  <c r="AA1531" i="12"/>
  <c r="AA1819" i="12"/>
  <c r="AA2131" i="12"/>
  <c r="AA2443" i="12"/>
  <c r="AA2643" i="12"/>
  <c r="AA2955" i="12"/>
  <c r="AA3267" i="12"/>
  <c r="AA3467" i="12"/>
  <c r="AA21" i="12"/>
  <c r="AA2048" i="12"/>
  <c r="AA3272" i="12"/>
  <c r="AA366" i="12"/>
  <c r="AA722" i="12"/>
  <c r="AA1088" i="12"/>
  <c r="AA1664" i="12"/>
  <c r="AA2264" i="12"/>
  <c r="AA2904" i="12"/>
  <c r="AA3544" i="12"/>
  <c r="AA335" i="12"/>
  <c r="AA897" i="12"/>
  <c r="AA1263" i="12"/>
  <c r="AA1656" i="12"/>
  <c r="AA1885" i="12"/>
  <c r="AA2297" i="12"/>
  <c r="AA2713" i="12"/>
  <c r="AA3129" i="12"/>
  <c r="AA3397" i="12"/>
  <c r="AA2186" i="12"/>
  <c r="AA2410" i="12"/>
  <c r="AA2610" i="12"/>
  <c r="AA2922" i="12"/>
  <c r="AA3122" i="12"/>
  <c r="AA3322" i="12"/>
  <c r="AA3522" i="12"/>
  <c r="AA515" i="12"/>
  <c r="AA827" i="12"/>
  <c r="AA1115" i="12"/>
  <c r="AA1339" i="12"/>
  <c r="AA1539" i="12"/>
  <c r="AA1851" i="12"/>
  <c r="AA1939" i="12"/>
  <c r="AA2251" i="12"/>
  <c r="AA2451" i="12"/>
  <c r="AA2651" i="12"/>
  <c r="AA2875" i="12"/>
  <c r="AA3163" i="12"/>
  <c r="AA3475" i="12"/>
  <c r="AA258" i="12"/>
  <c r="AA374" i="12"/>
  <c r="AA1463" i="12"/>
  <c r="AA2488" i="12"/>
  <c r="AA207" i="12"/>
  <c r="AA1925" i="12"/>
  <c r="AA2418" i="12"/>
  <c r="AA1157" i="12"/>
  <c r="AA718" i="12"/>
  <c r="AA1798" i="12"/>
  <c r="AA847" i="12"/>
  <c r="AA2710" i="12"/>
  <c r="AA2720" i="12"/>
  <c r="AA2749" i="12"/>
  <c r="AA200" i="12"/>
  <c r="AA1412" i="12"/>
  <c r="AA224" i="12"/>
  <c r="AA1438" i="12"/>
  <c r="AA3208" i="12"/>
  <c r="AA543" i="12"/>
  <c r="AA1297" i="12"/>
  <c r="AA2279" i="12"/>
  <c r="AA3273" i="12"/>
  <c r="AA328" i="12"/>
  <c r="AA1751" i="12"/>
  <c r="AA1836" i="12"/>
  <c r="AA3248" i="12"/>
  <c r="AA96" i="12"/>
  <c r="AA1386" i="12"/>
  <c r="AA2721" i="12"/>
  <c r="AA372" i="12"/>
  <c r="AA1607" i="12"/>
  <c r="AA83" i="12"/>
  <c r="AA84" i="12"/>
  <c r="AA1941" i="12"/>
  <c r="AA3361" i="12"/>
  <c r="AA2173" i="12"/>
  <c r="AA767" i="12"/>
  <c r="AA991" i="12"/>
  <c r="AA2703" i="12"/>
  <c r="AA766" i="12"/>
  <c r="AA1457" i="12"/>
  <c r="AA241" i="12"/>
  <c r="AA1596" i="12"/>
  <c r="AA2237" i="12"/>
  <c r="AA945" i="12"/>
  <c r="AA2966" i="12"/>
  <c r="AA2780" i="12"/>
  <c r="AA2805" i="12"/>
  <c r="AA201" i="12"/>
  <c r="AA1460" i="12"/>
  <c r="AA266" i="12"/>
  <c r="AA1852" i="12"/>
  <c r="AA3238" i="12"/>
  <c r="AA639" i="12"/>
  <c r="AA1517" i="12"/>
  <c r="AA2305" i="12"/>
  <c r="AA3303" i="12"/>
  <c r="AA581" i="12"/>
  <c r="AA1824" i="12"/>
  <c r="AA1129" i="12"/>
  <c r="AA1861" i="12"/>
  <c r="AA2566" i="12"/>
  <c r="AA3360" i="12"/>
  <c r="AA1068" i="12"/>
  <c r="AA137" i="12"/>
  <c r="AA1434" i="12"/>
  <c r="AA2781" i="12"/>
  <c r="AA416" i="12"/>
  <c r="AA1826" i="12"/>
  <c r="AA105" i="12"/>
  <c r="AA690" i="12"/>
  <c r="AA106" i="12"/>
  <c r="AA666" i="12"/>
  <c r="AA1350" i="12"/>
  <c r="AA1969" i="12"/>
  <c r="AA2679" i="12"/>
  <c r="AA3391" i="12"/>
  <c r="AA561" i="12"/>
  <c r="AA1439" i="12"/>
  <c r="AA2199" i="12"/>
  <c r="AA3125" i="12"/>
  <c r="AA610" i="12"/>
  <c r="AA3424" i="12"/>
  <c r="AA938" i="12"/>
  <c r="AA1985" i="12"/>
  <c r="AA3081" i="12"/>
  <c r="AA322" i="12"/>
  <c r="AA1013" i="12"/>
  <c r="AA1831" i="12"/>
  <c r="AA2630" i="12"/>
  <c r="AA3454" i="12"/>
  <c r="AA237" i="12"/>
  <c r="AA516" i="12"/>
  <c r="AA794" i="12"/>
  <c r="AA1002" i="12"/>
  <c r="AA1284" i="12"/>
  <c r="AA1489" i="12"/>
  <c r="AA1770" i="12"/>
  <c r="AA2089" i="12"/>
  <c r="AA2333" i="12"/>
  <c r="AA2657" i="12"/>
  <c r="AA2901" i="12"/>
  <c r="AA3229" i="12"/>
  <c r="AA2429" i="12"/>
  <c r="AA236" i="12"/>
  <c r="AA855" i="12"/>
  <c r="AA1356" i="12"/>
  <c r="AA1960" i="12"/>
  <c r="AA2460" i="12"/>
  <c r="AA3168" i="12"/>
  <c r="AA122" i="12"/>
  <c r="AA336" i="12"/>
  <c r="AA565" i="12"/>
  <c r="AA809" i="12"/>
  <c r="AA1054" i="12"/>
  <c r="AA1333" i="12"/>
  <c r="AA2376" i="12"/>
  <c r="AA3516" i="12"/>
  <c r="AA3545" i="12"/>
  <c r="AA864" i="12"/>
  <c r="AA69" i="12"/>
  <c r="AA602" i="12"/>
  <c r="AA1694" i="12"/>
  <c r="AA743" i="12"/>
  <c r="AA1041" i="12"/>
  <c r="AA2996" i="12"/>
  <c r="AA3206" i="12"/>
  <c r="AA2861" i="12"/>
  <c r="AA243" i="12"/>
  <c r="AA1898" i="12"/>
  <c r="AA288" i="12"/>
  <c r="AA2070" i="12"/>
  <c r="AA3494" i="12"/>
  <c r="AA664" i="12"/>
  <c r="AA1542" i="12"/>
  <c r="AA2561" i="12"/>
  <c r="AA3445" i="12"/>
  <c r="AA654" i="12"/>
  <c r="AA1872" i="12"/>
  <c r="AA1202" i="12"/>
  <c r="AA1886" i="12"/>
  <c r="AA2678" i="12"/>
  <c r="AA3390" i="12"/>
  <c r="AA1141" i="12"/>
  <c r="AA179" i="12"/>
  <c r="AA1485" i="12"/>
  <c r="AA3007" i="12"/>
  <c r="AA608" i="12"/>
  <c r="AA1877" i="12"/>
  <c r="AA124" i="12"/>
  <c r="AA716" i="12"/>
  <c r="AA125" i="12"/>
  <c r="AA765" i="12"/>
  <c r="AA1375" i="12"/>
  <c r="AA1997" i="12"/>
  <c r="AA2709" i="12"/>
  <c r="AA3421" i="12"/>
  <c r="AA682" i="12"/>
  <c r="AA1462" i="12"/>
  <c r="AA2229" i="12"/>
  <c r="AA3153" i="12"/>
  <c r="AA697" i="12"/>
  <c r="AA65" i="12"/>
  <c r="AA975" i="12"/>
  <c r="AA2029" i="12"/>
  <c r="AA3111" i="12"/>
  <c r="AA344" i="12"/>
  <c r="AA1136" i="12"/>
  <c r="AA1854" i="12"/>
  <c r="AA2672" i="12"/>
  <c r="AA3468" i="12"/>
  <c r="AA249" i="12"/>
  <c r="AA564" i="12"/>
  <c r="AA808" i="12"/>
  <c r="AA1050" i="12"/>
  <c r="AA1295" i="12"/>
  <c r="AA1576" i="12"/>
  <c r="AA1782" i="12"/>
  <c r="AA2103" i="12"/>
  <c r="AA2345" i="12"/>
  <c r="AA2673" i="12"/>
  <c r="AA2999" i="12"/>
  <c r="AA3241" i="12"/>
  <c r="AA53" i="12"/>
  <c r="AA744" i="12"/>
  <c r="AA1645" i="12"/>
  <c r="AA1378" i="12"/>
  <c r="AA1990" i="12"/>
  <c r="AA2656" i="12"/>
  <c r="AA3198" i="12"/>
  <c r="AA164" i="12"/>
  <c r="AA346" i="12"/>
  <c r="AA615" i="12"/>
  <c r="AA857" i="12"/>
  <c r="AA1102" i="12"/>
  <c r="AA1346" i="12"/>
  <c r="AA1589" i="12"/>
  <c r="AA1833" i="12"/>
  <c r="AA2150" i="12"/>
  <c r="AA2390" i="12"/>
  <c r="AA2718" i="12"/>
  <c r="AA2960" i="12"/>
  <c r="AA3286" i="12"/>
  <c r="AA54" i="12"/>
  <c r="AA190" i="12"/>
  <c r="AA732" i="12"/>
  <c r="AA1097" i="12"/>
  <c r="AA1308" i="12"/>
  <c r="AA1884" i="12"/>
  <c r="AA2734" i="12"/>
  <c r="AA3160" i="12"/>
  <c r="AA47" i="12"/>
  <c r="AA391" i="12"/>
  <c r="AA541" i="12"/>
  <c r="AA751" i="12"/>
  <c r="AA1117" i="12"/>
  <c r="AA1327" i="12"/>
  <c r="AA1437" i="12"/>
  <c r="AA1565" i="12"/>
  <c r="AA1793" i="12"/>
  <c r="AA2041" i="12"/>
  <c r="AA2191" i="12"/>
  <c r="AA2309" i="12"/>
  <c r="AA2457" i="12"/>
  <c r="AA2607" i="12"/>
  <c r="AA2725" i="12"/>
  <c r="AA2991" i="12"/>
  <c r="AA3141" i="12"/>
  <c r="AA3289" i="12"/>
  <c r="AA3407" i="12"/>
  <c r="AA1906" i="12"/>
  <c r="AA1994" i="12"/>
  <c r="AA2218" i="12"/>
  <c r="AA2306" i="12"/>
  <c r="AA2506" i="12"/>
  <c r="AA2618" i="12"/>
  <c r="AA2730" i="12"/>
  <c r="AA2818" i="12"/>
  <c r="AA2930" i="12"/>
  <c r="AA3018" i="12"/>
  <c r="AA3130" i="12"/>
  <c r="AA3242" i="12"/>
  <c r="AA3330" i="12"/>
  <c r="AA3442" i="12"/>
  <c r="AA3530" i="12"/>
  <c r="AA523" i="12"/>
  <c r="AA635" i="12"/>
  <c r="AA723" i="12"/>
  <c r="AA923" i="12"/>
  <c r="AA1035" i="12"/>
  <c r="AA1147" i="12"/>
  <c r="AA1235" i="12"/>
  <c r="AA1347" i="12"/>
  <c r="AA1435" i="12"/>
  <c r="AA1547" i="12"/>
  <c r="AA1659" i="12"/>
  <c r="AA1747" i="12"/>
  <c r="AA1859" i="12"/>
  <c r="AA2059" i="12"/>
  <c r="AA2171" i="12"/>
  <c r="AA2371" i="12"/>
  <c r="AA2459" i="12"/>
  <c r="AA2571" i="12"/>
  <c r="AA2683" i="12"/>
  <c r="AA2771" i="12"/>
  <c r="AA2883" i="12"/>
  <c r="AA2293" i="12"/>
  <c r="AA234" i="12"/>
  <c r="AA1578" i="12"/>
  <c r="AA628" i="12"/>
  <c r="AA937" i="12"/>
  <c r="AA2284" i="12"/>
  <c r="AA3280" i="12"/>
  <c r="AA3262" i="12"/>
  <c r="AA3317" i="12"/>
  <c r="AA753" i="12"/>
  <c r="AA2239" i="12"/>
  <c r="AA706" i="12"/>
  <c r="AA2612" i="12"/>
  <c r="AA82" i="12"/>
  <c r="AA932" i="12"/>
  <c r="AA1860" i="12"/>
  <c r="AA2621" i="12"/>
  <c r="AA2663" i="12"/>
  <c r="AA1118" i="12"/>
  <c r="AA2352" i="12"/>
  <c r="AA1470" i="12"/>
  <c r="AA2224" i="12"/>
  <c r="AA2934" i="12"/>
  <c r="AA156" i="12"/>
  <c r="AA1678" i="12"/>
  <c r="AA607" i="12"/>
  <c r="AA2097" i="12"/>
  <c r="AA3433" i="12"/>
  <c r="AA1072" i="12"/>
  <c r="AA2412" i="12"/>
  <c r="AA316" i="12"/>
  <c r="AA958" i="12"/>
  <c r="AA381" i="12"/>
  <c r="AA984" i="12"/>
  <c r="AA1594" i="12"/>
  <c r="AA2253" i="12"/>
  <c r="AA2965" i="12"/>
  <c r="AA213" i="12"/>
  <c r="AA1000" i="12"/>
  <c r="AA1743" i="12"/>
  <c r="AA2557" i="12"/>
  <c r="AA3437" i="12"/>
  <c r="AA1769" i="12"/>
  <c r="AA341" i="12"/>
  <c r="AA1352" i="12"/>
  <c r="AA2455" i="12"/>
  <c r="AA3393" i="12"/>
  <c r="AA672" i="12"/>
  <c r="AA1392" i="12"/>
  <c r="AA2132" i="12"/>
  <c r="AA2956" i="12"/>
  <c r="AA77" i="12"/>
  <c r="AA377" i="12"/>
  <c r="AA662" i="12"/>
  <c r="AA868" i="12"/>
  <c r="AA1149" i="12"/>
  <c r="AA1357" i="12"/>
  <c r="AA1636" i="12"/>
  <c r="AA1880" i="12"/>
  <c r="AA2175" i="12"/>
  <c r="AA2461" i="12"/>
  <c r="AA2743" i="12"/>
  <c r="AA3029" i="12"/>
  <c r="AA3357" i="12"/>
  <c r="AA161" i="12"/>
  <c r="AA1023" i="12"/>
  <c r="AA1718" i="12"/>
  <c r="AA2881" i="12"/>
  <c r="AA464" i="12"/>
  <c r="AA940" i="12"/>
  <c r="AA1598" i="12"/>
  <c r="AA2046" i="12"/>
  <c r="AA2728" i="12"/>
  <c r="AA3484" i="12"/>
  <c r="AA186" i="12"/>
  <c r="AA432" i="12"/>
  <c r="AA638" i="12"/>
  <c r="AA919" i="12"/>
  <c r="AA1200" i="12"/>
  <c r="AA1406" i="12"/>
  <c r="AA1687" i="12"/>
  <c r="AA1895" i="12"/>
  <c r="AA2220" i="12"/>
  <c r="AA2504" i="12"/>
  <c r="AA1351" i="12"/>
  <c r="AA3175" i="12"/>
  <c r="AA2591" i="12"/>
  <c r="AA1630" i="12"/>
  <c r="AA211" i="12"/>
  <c r="AA2257" i="12"/>
  <c r="AA1159" i="12"/>
  <c r="AA1343" i="12"/>
  <c r="AA97" i="12"/>
  <c r="AA2686" i="12"/>
  <c r="AA1639" i="12"/>
  <c r="AA3302" i="12"/>
  <c r="AA585" i="12"/>
  <c r="AA1317" i="12"/>
  <c r="AA2072" i="12"/>
  <c r="AA2990" i="12"/>
  <c r="AA239" i="12"/>
  <c r="AA970" i="12"/>
  <c r="AA1574" i="12"/>
  <c r="AA2053" i="12"/>
  <c r="AA2617" i="12"/>
  <c r="AA3151" i="12"/>
  <c r="AA2026" i="12"/>
  <c r="AA2426" i="12"/>
  <c r="AA2826" i="12"/>
  <c r="AA3250" i="12"/>
  <c r="AA531" i="12"/>
  <c r="AA851" i="12"/>
  <c r="AA1275" i="12"/>
  <c r="AA1675" i="12"/>
  <c r="AA2067" i="12"/>
  <c r="AA2387" i="12"/>
  <c r="AA2811" i="12"/>
  <c r="AA3099" i="12"/>
  <c r="AA3403" i="12"/>
  <c r="AA750" i="12"/>
  <c r="AA577" i="12"/>
  <c r="AA909" i="12"/>
  <c r="AA3137" i="12"/>
  <c r="AA1113" i="12"/>
  <c r="AA1893" i="12"/>
  <c r="AA760" i="12"/>
  <c r="AA3033" i="12"/>
  <c r="AA2738" i="12"/>
  <c r="AA835" i="12"/>
  <c r="AA1979" i="12"/>
  <c r="AA3083" i="12"/>
  <c r="AA148" i="12"/>
  <c r="AA285" i="12"/>
  <c r="AA2549" i="12"/>
  <c r="AA557" i="12"/>
  <c r="AA790" i="12"/>
  <c r="AA3197" i="12"/>
  <c r="AA1879" i="12"/>
  <c r="AA1588" i="12"/>
  <c r="AA986" i="12"/>
  <c r="AA3212" i="12"/>
  <c r="AA1881" i="12"/>
  <c r="AA3358" i="12"/>
  <c r="AA594" i="12"/>
  <c r="AA1326" i="12"/>
  <c r="AA2148" i="12"/>
  <c r="AA3000" i="12"/>
  <c r="AA247" i="12"/>
  <c r="AA980" i="12"/>
  <c r="AA1583" i="12"/>
  <c r="AA2095" i="12"/>
  <c r="AA2629" i="12"/>
  <c r="AA3161" i="12"/>
  <c r="AA2034" i="12"/>
  <c r="AA2434" i="12"/>
  <c r="AA2858" i="12"/>
  <c r="AA3258" i="12"/>
  <c r="AA539" i="12"/>
  <c r="AA955" i="12"/>
  <c r="AA1355" i="12"/>
  <c r="AA1755" i="12"/>
  <c r="AA2075" i="12"/>
  <c r="AA2491" i="12"/>
  <c r="AA2891" i="12"/>
  <c r="AA3195" i="12"/>
  <c r="AA3411" i="12"/>
  <c r="AA1790" i="12"/>
  <c r="AA2324" i="12"/>
  <c r="AA3233" i="12"/>
  <c r="AA2025" i="12"/>
  <c r="AA85" i="12"/>
  <c r="AA3510" i="12"/>
  <c r="AA2119" i="12"/>
  <c r="AA2825" i="12"/>
  <c r="AA420" i="12"/>
  <c r="AA2448" i="12"/>
  <c r="AA70" i="12"/>
  <c r="AA1536" i="12"/>
  <c r="AA2328" i="12"/>
  <c r="AA3246" i="12"/>
  <c r="AA431" i="12"/>
  <c r="AA1162" i="12"/>
  <c r="AA1711" i="12"/>
  <c r="AA2213" i="12"/>
  <c r="AA2777" i="12"/>
  <c r="AA3311" i="12"/>
  <c r="AA2122" i="12"/>
  <c r="AA2546" i="12"/>
  <c r="AA2946" i="12"/>
  <c r="AA3370" i="12"/>
  <c r="AA1043" i="12"/>
  <c r="AA1467" i="12"/>
  <c r="AA1867" i="12"/>
  <c r="AA2187" i="12"/>
  <c r="AA2579" i="12"/>
  <c r="AA2971" i="12"/>
  <c r="AA3211" i="12"/>
  <c r="AA3515" i="12"/>
  <c r="AA3520" i="12"/>
  <c r="AA2895" i="12"/>
  <c r="AA3011" i="12"/>
  <c r="AA2908" i="12"/>
  <c r="AA719" i="12"/>
  <c r="AA3015" i="12"/>
  <c r="AA3060" i="12"/>
  <c r="AA1106" i="12"/>
  <c r="AA79" i="12"/>
  <c r="AA1935" i="12"/>
  <c r="AA1914" i="12"/>
  <c r="AA3138" i="12"/>
  <c r="AA1163" i="12"/>
  <c r="AA2299" i="12"/>
  <c r="AA1480" i="12"/>
  <c r="AA2125" i="12"/>
  <c r="AA1045" i="12"/>
  <c r="AA1873" i="12"/>
  <c r="AA1398" i="12"/>
  <c r="AA1038" i="12"/>
  <c r="AA2716" i="12"/>
  <c r="AA1832" i="12"/>
  <c r="AA1681" i="12"/>
  <c r="AA176" i="12"/>
  <c r="AA2164" i="12"/>
  <c r="AA62" i="12"/>
  <c r="AA741" i="12"/>
  <c r="AA1527" i="12"/>
  <c r="AA2318" i="12"/>
  <c r="AA3172" i="12"/>
  <c r="AA399" i="12"/>
  <c r="AA1126" i="12"/>
  <c r="AA1702" i="12"/>
  <c r="AA2201" i="12"/>
  <c r="AA2735" i="12"/>
  <c r="AA3301" i="12"/>
  <c r="AA2114" i="12"/>
  <c r="AA2538" i="12"/>
  <c r="AA2938" i="12"/>
  <c r="AA3338" i="12"/>
  <c r="AA643" i="12"/>
  <c r="AA963" i="12"/>
  <c r="AA1363" i="12"/>
  <c r="AA1787" i="12"/>
  <c r="AA2179" i="12"/>
  <c r="AA2499" i="12"/>
  <c r="AA2899" i="12"/>
  <c r="AA3203" i="12"/>
  <c r="AA3483" i="12"/>
  <c r="AA2128" i="12"/>
  <c r="AA1682" i="12"/>
  <c r="AA2885" i="12"/>
  <c r="AA3050" i="12"/>
  <c r="AA1051" i="12"/>
  <c r="AA1875" i="12"/>
  <c r="AA2587" i="12"/>
  <c r="AA3003" i="12"/>
  <c r="AA3283" i="12"/>
  <c r="AA656" i="12"/>
  <c r="AA651" i="12"/>
  <c r="AA1447" i="12"/>
  <c r="AA839" i="12"/>
  <c r="AA681" i="12"/>
  <c r="AA2737" i="12"/>
  <c r="AA1012" i="12"/>
  <c r="AA291" i="12"/>
  <c r="AA2445" i="12"/>
  <c r="AA280" i="12"/>
  <c r="AA626" i="12"/>
  <c r="AA2732" i="12"/>
  <c r="AA198" i="12"/>
  <c r="AA951" i="12"/>
  <c r="AA2564" i="12"/>
  <c r="AA3416" i="12"/>
  <c r="AA1336" i="12"/>
  <c r="AA1802" i="12"/>
  <c r="AA2351" i="12"/>
  <c r="AA3417" i="12"/>
  <c r="AA2226" i="12"/>
  <c r="AA2626" i="12"/>
  <c r="AA3450" i="12"/>
  <c r="AA731" i="12"/>
  <c r="AA1475" i="12"/>
  <c r="AA2259" i="12"/>
  <c r="AA3523" i="12"/>
  <c r="AA2263" i="12"/>
  <c r="AA2110" i="12"/>
  <c r="AA1928" i="12"/>
  <c r="AA3533" i="12"/>
  <c r="AA2071" i="12"/>
  <c r="AA575" i="12"/>
  <c r="AA2687" i="12"/>
  <c r="AA917" i="12"/>
  <c r="AA908" i="12"/>
  <c r="AA2790" i="12"/>
  <c r="AA254" i="12"/>
  <c r="AA960" i="12"/>
  <c r="AA1692" i="12"/>
  <c r="AA2574" i="12"/>
  <c r="AA3428" i="12"/>
  <c r="AA614" i="12"/>
  <c r="AA1345" i="12"/>
  <c r="AA1812" i="12"/>
  <c r="AA2361" i="12"/>
  <c r="AA3461" i="12"/>
  <c r="AA2234" i="12"/>
  <c r="AA2634" i="12"/>
  <c r="AA3058" i="12"/>
  <c r="AA3458" i="12"/>
  <c r="AA763" i="12"/>
  <c r="AA1155" i="12"/>
  <c r="AA1555" i="12"/>
  <c r="AA1947" i="12"/>
  <c r="AA2267" i="12"/>
  <c r="AA2691" i="12"/>
  <c r="AA3291" i="12"/>
  <c r="AA3232" i="12"/>
  <c r="AA1640" i="12"/>
  <c r="AA73" i="12"/>
  <c r="AA764" i="12"/>
  <c r="AA1487" i="12"/>
  <c r="AA441" i="12"/>
  <c r="AA1101" i="12"/>
  <c r="AA3255" i="12"/>
  <c r="AA2016" i="12"/>
  <c r="AA1394" i="12"/>
  <c r="AA3072" i="12"/>
  <c r="AA390" i="12"/>
  <c r="AA1170" i="12"/>
  <c r="AA1902" i="12"/>
  <c r="AA2756" i="12"/>
  <c r="AA111" i="12"/>
  <c r="AA797" i="12"/>
  <c r="AA1482" i="12"/>
  <c r="AA1945" i="12"/>
  <c r="AA2479" i="12"/>
  <c r="AA3045" i="12"/>
  <c r="AA1922" i="12"/>
  <c r="AA2346" i="12"/>
  <c r="AA2746" i="12"/>
  <c r="AA3146" i="12"/>
  <c r="AA451" i="12"/>
  <c r="AA843" i="12"/>
  <c r="AA1243" i="12"/>
  <c r="AA1667" i="12"/>
  <c r="AA1987" i="12"/>
  <c r="AA2379" i="12"/>
  <c r="AA2779" i="12"/>
  <c r="AA3091" i="12"/>
  <c r="AA3395" i="12"/>
  <c r="AA3024" i="12"/>
  <c r="AA146" i="12"/>
  <c r="AA856" i="12"/>
  <c r="AA1575" i="12"/>
  <c r="AA382" i="12"/>
  <c r="AA2744" i="12"/>
  <c r="AA1446" i="12"/>
  <c r="AA2469" i="12"/>
  <c r="AA2314" i="12"/>
  <c r="AA443" i="12"/>
  <c r="AA1563" i="12"/>
  <c r="AA2699" i="12"/>
  <c r="AA3323" i="12"/>
  <c r="T24" i="12"/>
  <c r="T25" i="12"/>
  <c r="T27" i="12"/>
  <c r="T19" i="12"/>
  <c r="T29" i="12"/>
  <c r="T26" i="12"/>
  <c r="T21" i="12"/>
  <c r="T23" i="12"/>
  <c r="T28" i="12"/>
  <c r="K11" i="12"/>
  <c r="K16" i="12"/>
  <c r="K15" i="12"/>
  <c r="J11" i="12"/>
  <c r="J16" i="12"/>
  <c r="G16" i="12" l="1"/>
  <c r="H16" i="12"/>
  <c r="H11" i="12"/>
  <c r="G11" i="12"/>
  <c r="J10" i="12"/>
  <c r="K10" i="12"/>
  <c r="I16" i="12" l="1"/>
  <c r="I11" i="12"/>
  <c r="H10" i="12"/>
  <c r="G10" i="12"/>
  <c r="J12" i="12"/>
  <c r="K12" i="12"/>
  <c r="I10" i="12" l="1"/>
  <c r="H12" i="12"/>
  <c r="G12" i="12"/>
  <c r="J13" i="12"/>
  <c r="I12" i="12" l="1"/>
  <c r="G13" i="12"/>
  <c r="K8" i="12"/>
  <c r="K6" i="12"/>
  <c r="J9" i="12"/>
  <c r="K4" i="12"/>
  <c r="K13" i="12"/>
  <c r="J7" i="12"/>
  <c r="J8" i="12"/>
  <c r="K7" i="12"/>
  <c r="J5" i="12"/>
  <c r="K3" i="12"/>
  <c r="J6" i="12"/>
  <c r="K5" i="12"/>
  <c r="J4" i="12"/>
  <c r="K9" i="12"/>
  <c r="J3" i="12"/>
  <c r="G3" i="12" l="1"/>
  <c r="G6" i="12"/>
  <c r="G8" i="12"/>
  <c r="H9" i="12"/>
  <c r="H3" i="12"/>
  <c r="G9" i="12"/>
  <c r="G7" i="12"/>
  <c r="G5" i="12"/>
  <c r="G4" i="12"/>
  <c r="H6" i="12"/>
  <c r="H13" i="12"/>
  <c r="I13" i="12" s="1"/>
  <c r="H5" i="12"/>
  <c r="H7" i="12"/>
  <c r="H8" i="12"/>
  <c r="I8" i="12" s="1"/>
  <c r="H4" i="12"/>
  <c r="I4" i="12" s="1"/>
  <c r="I6" i="12" l="1"/>
  <c r="I5" i="12"/>
  <c r="I7" i="12"/>
  <c r="I9" i="12"/>
  <c r="I3" i="12"/>
  <c r="U20" i="12" a="1"/>
  <c r="K14" i="12"/>
  <c r="J14" i="12"/>
  <c r="J15" i="12"/>
  <c r="U20" i="12" l="1"/>
  <c r="G15" i="12"/>
  <c r="H15" i="12"/>
  <c r="G14" i="12"/>
  <c r="H14" i="12"/>
  <c r="I14" i="12" s="1"/>
  <c r="I15" i="12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<sst xmlns="http://schemas.openxmlformats.org/spreadsheetml/2006/main" count="310" uniqueCount="159">
  <si>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</si>
  <si>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</si>
  <si>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</si>
  <si>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</si>
  <si>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</si>
  <si>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</si>
  <si>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</si>
  <si>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</si>
  <si>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</si>
  <si>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</si>
  <si>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</si>
  <si>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</si>
  <si>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</si>
  <si>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</si>
  <si>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</si>
  <si>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</si>
  <si>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</si>
  <si>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</si>
  <si>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</si>
  <si>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</si>
  <si>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</si>
  <si>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</si>
  <si>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</si>
  <si>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</si>
  <si>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</si>
  <si>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</si>
  <si>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</si>
  <si>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</si>
  <si>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</si>
  <si>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</si>
  <si>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</si>
  <si>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</si>
  <si>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</si>
  <si>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</si>
  <si>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</si>
  <si>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</si>
  <si>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</si>
  <si>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X1S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</si>
  <si>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</si>
  <si>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</si>
  <si>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</si>
  <si>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</si>
  <si>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</si>
  <si>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</si>
  <si>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</si>
  <si>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</si>
  <si>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</si>
  <si>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</si>
  <si>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</si>
  <si>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</si>
  <si>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</si>
  <si>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</si>
  <si>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</si>
  <si>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</si>
  <si>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</si>
  <si>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</si>
  <si>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</si>
  <si>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</si>
  <si>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</si>
  <si>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</si>
  <si>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</si>
  <si>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</si>
  <si>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</si>
  <si>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</si>
  <si>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</si>
  <si>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</si>
  <si>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</si>
  <si>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</si>
  <si>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</si>
  <si>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</si>
  <si>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</si>
  <si>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</si>
  <si>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</si>
  <si>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</si>
  <si>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</si>
  <si>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</si>
  <si>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</si>
  <si>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>SwapFixedFreq</t>
  </si>
  <si>
    <t>JPY</t>
  </si>
  <si>
    <t>IborType</t>
  </si>
  <si>
    <t>SB</t>
  </si>
  <si>
    <t>GBP</t>
  </si>
  <si>
    <t>IndexTenor</t>
  </si>
  <si>
    <t>AB</t>
  </si>
  <si>
    <t>EUR</t>
  </si>
  <si>
    <t>Months</t>
  </si>
  <si>
    <t>CHF</t>
  </si>
  <si>
    <t>Currency</t>
  </si>
  <si>
    <t>General Settings</t>
  </si>
  <si>
    <t>1M</t>
  </si>
  <si>
    <t>SW</t>
  </si>
  <si>
    <t>Quote Object ID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</si>
  <si>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</si>
  <si>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</si>
  <si>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</si>
  <si>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</si>
  <si>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</si>
  <si>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</si>
  <si>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</si>
  <si>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</si>
  <si>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</si>
  <si>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</si>
  <si>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Annual</t>
  </si>
  <si>
    <t>12M</t>
  </si>
  <si>
    <t>0D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</si>
  <si>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</si>
  <si>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</si>
  <si>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</si>
  <si>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</si>
  <si>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</si>
  <si>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</si>
  <si>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</si>
  <si>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</si>
  <si>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</si>
  <si>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</si>
  <si>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Spread</t>
  </si>
  <si>
    <t>Day Count Convention</t>
  </si>
  <si>
    <t>Business Day Convention</t>
  </si>
  <si>
    <t>Freq</t>
  </si>
  <si>
    <t>Length</t>
  </si>
  <si>
    <t>Fwd start</t>
  </si>
  <si>
    <t>Discounting2</t>
  </si>
  <si>
    <t>Discounting</t>
  </si>
  <si>
    <t>Actual/360</t>
  </si>
  <si>
    <t>MoneyMarketDayCounter</t>
  </si>
  <si>
    <t>30/360 (Bond Basis)</t>
  </si>
  <si>
    <t>BondBasisDayCounter</t>
  </si>
  <si>
    <t>1L</t>
  </si>
  <si>
    <t>1E</t>
  </si>
  <si>
    <t>3L</t>
  </si>
  <si>
    <t>Ibor Index</t>
  </si>
  <si>
    <t>Extrapolation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</si>
  <si>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</si>
  <si>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</si>
  <si>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</si>
  <si>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</si>
  <si>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</si>
  <si>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</si>
  <si>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</si>
  <si>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</si>
  <si>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</si>
  <si>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</si>
  <si>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</si>
  <si>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</si>
  <si>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</si>
  <si>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</si>
  <si>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</si>
  <si>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</si>
  <si>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</si>
  <si>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</si>
  <si>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</si>
  <si>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</si>
  <si>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</si>
  <si>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</si>
  <si>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</si>
  <si>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</si>
  <si>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</si>
  <si>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</si>
  <si>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Instruments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</si>
</sst>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0%"/>
    <numFmt numFmtId="167" formatCode="0.000000000"/>
    <numFmt numFmtId="168" formatCode="ddd\,\ dd\-mmm\-yyyy"/>
    <numFmt numFmtId="169" formatCode="ddd\,\ dd\-mmm\-yyyy\,\ hh:mm:ss"/>
    <numFmt numFmtId="170" formatCode="ddd\,\ d\-mmm\-yy"/>
    <numFmt numFmtId="171" formatCode="ddd\,\ d\-mmm\-yyyy\,\ hh:mm:ss"/>
    <numFmt numFmtId="172" formatCode="[$-409]d\-mmm\-yy;@"/>
    <numFmt numFmtId="173" formatCode="mm/dd/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</numFmts>
  <fonts count="26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81"/>
      <name val="Tahoma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name val="Arial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sz val="10"/>
      <name val="MS Sans Serif"/>
      <family val="2"/>
    </font>
    <font>
      <sz val="8"/>
      <name val="MS Sans Serif"/>
      <family val="2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4" fontId="14" fillId="0" borderId="0"/>
    <xf numFmtId="175" fontId="15" fillId="9" borderId="0">
      <alignment horizontal="center" vertical="center"/>
    </xf>
    <xf numFmtId="176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11" fillId="0" borderId="0"/>
    <xf numFmtId="9" fontId="21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0" fontId="2" fillId="0" borderId="0"/>
    <xf numFmtId="9" fontId="23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8">
    <xf numFmtId="0" fontId="0" fillId="0" borderId="0" xfId="0"/>
    <xf numFmtId="0" fontId="5" fillId="0" borderId="0" xfId="1" applyFont="1"/>
    <xf numFmtId="0" fontId="5" fillId="0" borderId="0" xfId="1" applyFont="1" applyAlignment="1">
      <alignment horizontal="left"/>
    </xf>
    <xf numFmtId="167" fontId="5" fillId="0" borderId="0" xfId="1" applyNumberFormat="1" applyFont="1"/>
    <xf numFmtId="168" fontId="5" fillId="2" borderId="11" xfId="1" applyNumberFormat="1" applyFont="1" applyFill="1" applyBorder="1" applyAlignment="1"/>
    <xf numFmtId="168" fontId="5" fillId="2" borderId="12" xfId="1" applyNumberFormat="1" applyFont="1" applyFill="1" applyBorder="1" applyAlignment="1"/>
    <xf numFmtId="165" fontId="5" fillId="2" borderId="12" xfId="1" applyNumberFormat="1" applyFont="1" applyFill="1" applyBorder="1" applyAlignment="1"/>
    <xf numFmtId="0" fontId="5" fillId="2" borderId="13" xfId="1" applyFont="1" applyFill="1" applyBorder="1" applyAlignment="1"/>
    <xf numFmtId="168" fontId="5" fillId="2" borderId="14" xfId="1" applyNumberFormat="1" applyFont="1" applyFill="1" applyBorder="1" applyAlignment="1"/>
    <xf numFmtId="168" fontId="5" fillId="2" borderId="0" xfId="1" applyNumberFormat="1" applyFont="1" applyFill="1" applyBorder="1" applyAlignment="1"/>
    <xf numFmtId="165" fontId="5" fillId="2" borderId="0" xfId="1" applyNumberFormat="1" applyFont="1" applyFill="1" applyBorder="1" applyAlignment="1"/>
    <xf numFmtId="0" fontId="5" fillId="2" borderId="15" xfId="1" applyFont="1" applyFill="1" applyBorder="1" applyAlignment="1"/>
    <xf numFmtId="0" fontId="6" fillId="4" borderId="16" xfId="1" applyFont="1" applyFill="1" applyBorder="1" applyAlignment="1">
      <alignment horizontal="left"/>
    </xf>
    <xf numFmtId="0" fontId="5" fillId="0" borderId="17" xfId="1" applyFont="1" applyBorder="1"/>
    <xf numFmtId="0" fontId="6" fillId="4" borderId="18" xfId="1" applyFont="1" applyFill="1" applyBorder="1" applyAlignment="1">
      <alignment horizontal="left"/>
    </xf>
    <xf numFmtId="0" fontId="7" fillId="5" borderId="19" xfId="1" applyFont="1" applyFill="1" applyBorder="1" applyAlignment="1">
      <alignment horizontal="right"/>
    </xf>
    <xf numFmtId="0" fontId="5" fillId="6" borderId="18" xfId="1" applyFont="1" applyFill="1" applyBorder="1" applyAlignment="1">
      <alignment horizontal="center"/>
    </xf>
    <xf numFmtId="3" fontId="5" fillId="6" borderId="18" xfId="1" applyNumberFormat="1" applyFont="1" applyFill="1" applyBorder="1" applyAlignment="1">
      <alignment horizontal="center"/>
    </xf>
    <xf numFmtId="3" fontId="5" fillId="6" borderId="20" xfId="1" applyNumberFormat="1" applyFont="1" applyFill="1" applyBorder="1" applyAlignment="1">
      <alignment horizontal="center"/>
    </xf>
    <xf numFmtId="0" fontId="7" fillId="5" borderId="21" xfId="1" applyFont="1" applyFill="1" applyBorder="1" applyAlignment="1">
      <alignment horizontal="right"/>
    </xf>
    <xf numFmtId="0" fontId="7" fillId="3" borderId="22" xfId="1" applyFont="1" applyFill="1" applyBorder="1" applyAlignment="1">
      <alignment horizontal="center" vertical="center" wrapText="1"/>
    </xf>
    <xf numFmtId="0" fontId="7" fillId="3" borderId="23" xfId="1" applyFont="1" applyFill="1" applyBorder="1" applyAlignment="1">
      <alignment horizontal="center" vertical="center" wrapText="1"/>
    </xf>
    <xf numFmtId="0" fontId="7" fillId="3" borderId="24" xfId="1" applyFont="1" applyFill="1" applyBorder="1" applyAlignment="1">
      <alignment horizontal="center" vertical="center" wrapText="1"/>
    </xf>
    <xf numFmtId="0" fontId="2" fillId="2" borderId="14" xfId="3" applyFont="1" applyFill="1" applyBorder="1"/>
    <xf numFmtId="0" fontId="2" fillId="2" borderId="0" xfId="3" applyFont="1" applyFill="1" applyBorder="1"/>
    <xf numFmtId="168" fontId="2" fillId="2" borderId="27" xfId="1" applyNumberFormat="1" applyFont="1" applyFill="1" applyBorder="1" applyAlignment="1">
      <alignment horizontal="right"/>
    </xf>
    <xf numFmtId="0" fontId="2" fillId="2" borderId="15" xfId="3" applyFont="1" applyFill="1" applyBorder="1"/>
    <xf numFmtId="0" fontId="2" fillId="2" borderId="4" xfId="1" applyFont="1" applyFill="1" applyBorder="1" applyAlignment="1">
      <alignment horizontal="center"/>
    </xf>
    <xf numFmtId="168" fontId="2" fillId="2" borderId="28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8" fontId="2" fillId="2" borderId="29" xfId="1" applyNumberFormat="1" applyFont="1" applyFill="1" applyBorder="1" applyAlignment="1">
      <alignment horizontal="right"/>
    </xf>
    <xf numFmtId="169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70" fontId="2" fillId="6" borderId="6" xfId="1" applyNumberFormat="1" applyFont="1" applyFill="1" applyBorder="1" applyAlignment="1">
      <alignment horizontal="center"/>
    </xf>
    <xf numFmtId="0" fontId="3" fillId="5" borderId="29" xfId="1" applyFont="1" applyFill="1" applyBorder="1" applyAlignment="1">
      <alignment horizontal="right"/>
    </xf>
    <xf numFmtId="1" fontId="9" fillId="4" borderId="1" xfId="1" applyNumberFormat="1" applyFont="1" applyFill="1" applyBorder="1" applyAlignment="1">
      <alignment horizontal="left"/>
    </xf>
    <xf numFmtId="170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7" xfId="1" applyFont="1" applyFill="1" applyBorder="1"/>
    <xf numFmtId="171" fontId="2" fillId="2" borderId="4" xfId="1" applyNumberFormat="1" applyFont="1" applyFill="1" applyBorder="1" applyAlignment="1">
      <alignment horizontal="center"/>
    </xf>
    <xf numFmtId="0" fontId="2" fillId="5" borderId="28" xfId="1" applyFont="1" applyFill="1" applyBorder="1"/>
    <xf numFmtId="0" fontId="2" fillId="5" borderId="28" xfId="3" applyFont="1" applyFill="1" applyBorder="1"/>
    <xf numFmtId="0" fontId="2" fillId="5" borderId="29" xfId="3" applyFont="1" applyFill="1" applyBorder="1"/>
    <xf numFmtId="0" fontId="3" fillId="2" borderId="0" xfId="3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16" fillId="2" borderId="14" xfId="1" applyFont="1" applyFill="1" applyBorder="1"/>
    <xf numFmtId="171" fontId="12" fillId="4" borderId="9" xfId="1" quotePrefix="1" applyNumberFormat="1" applyFont="1" applyFill="1" applyBorder="1" applyAlignment="1" applyProtection="1">
      <alignment horizontal="center"/>
    </xf>
    <xf numFmtId="0" fontId="17" fillId="5" borderId="8" xfId="1" applyFont="1" applyFill="1" applyBorder="1"/>
    <xf numFmtId="0" fontId="16" fillId="2" borderId="15" xfId="1" applyFont="1" applyFill="1" applyBorder="1"/>
    <xf numFmtId="171" fontId="12" fillId="4" borderId="9" xfId="1" applyNumberFormat="1" applyFont="1" applyFill="1" applyBorder="1" applyAlignment="1" applyProtection="1">
      <alignment horizontal="center"/>
    </xf>
    <xf numFmtId="0" fontId="16" fillId="2" borderId="0" xfId="1" applyFont="1" applyFill="1" applyBorder="1"/>
    <xf numFmtId="0" fontId="12" fillId="2" borderId="11" xfId="1" applyFont="1" applyFill="1" applyBorder="1"/>
    <xf numFmtId="0" fontId="12" fillId="2" borderId="12" xfId="1" applyFont="1" applyFill="1" applyBorder="1"/>
    <xf numFmtId="0" fontId="12" fillId="2" borderId="13" xfId="1" applyFont="1" applyFill="1" applyBorder="1"/>
    <xf numFmtId="15" fontId="12" fillId="2" borderId="14" xfId="1" applyNumberFormat="1" applyFont="1" applyFill="1" applyBorder="1"/>
    <xf numFmtId="0" fontId="12" fillId="5" borderId="8" xfId="1" applyNumberFormat="1" applyFont="1" applyFill="1" applyBorder="1"/>
    <xf numFmtId="0" fontId="12" fillId="2" borderId="15" xfId="1" applyFont="1" applyFill="1" applyBorder="1"/>
    <xf numFmtId="171" fontId="12" fillId="4" borderId="9" xfId="1" quotePrefix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0" xfId="1" applyFont="1" applyFill="1" applyBorder="1"/>
    <xf numFmtId="0" fontId="2" fillId="2" borderId="27" xfId="1" applyFont="1" applyFill="1" applyBorder="1" applyAlignment="1">
      <alignment horizontal="center"/>
    </xf>
    <xf numFmtId="0" fontId="2" fillId="10" borderId="0" xfId="3" applyFont="1" applyFill="1"/>
    <xf numFmtId="0" fontId="11" fillId="10" borderId="0" xfId="10" applyFill="1"/>
    <xf numFmtId="0" fontId="2" fillId="11" borderId="31" xfId="3" applyFont="1" applyFill="1" applyBorder="1"/>
    <xf numFmtId="0" fontId="2" fillId="11" borderId="30" xfId="3" applyFont="1" applyFill="1" applyBorder="1"/>
    <xf numFmtId="0" fontId="2" fillId="11" borderId="15" xfId="3" applyFont="1" applyFill="1" applyBorder="1"/>
    <xf numFmtId="0" fontId="2" fillId="11" borderId="14" xfId="3" applyFont="1" applyFill="1" applyBorder="1"/>
    <xf numFmtId="0" fontId="2" fillId="11" borderId="13" xfId="3" applyFont="1" applyFill="1" applyBorder="1"/>
    <xf numFmtId="0" fontId="2" fillId="11" borderId="11" xfId="3" applyFont="1" applyFill="1" applyBorder="1"/>
    <xf numFmtId="0" fontId="2" fillId="2" borderId="28" xfId="1" applyFont="1" applyFill="1" applyBorder="1" applyAlignment="1">
      <alignment horizontal="left"/>
    </xf>
    <xf numFmtId="0" fontId="2" fillId="10" borderId="14" xfId="3" applyFont="1" applyFill="1" applyBorder="1"/>
    <xf numFmtId="0" fontId="2" fillId="10" borderId="15" xfId="3" applyFont="1" applyFill="1" applyBorder="1"/>
    <xf numFmtId="168" fontId="2" fillId="2" borderId="34" xfId="1" applyNumberFormat="1" applyFont="1" applyFill="1" applyBorder="1" applyAlignment="1">
      <alignment horizontal="right"/>
    </xf>
    <xf numFmtId="0" fontId="2" fillId="2" borderId="34" xfId="1" applyFont="1" applyFill="1" applyBorder="1" applyAlignment="1">
      <alignment horizontal="center"/>
    </xf>
    <xf numFmtId="0" fontId="2" fillId="10" borderId="32" xfId="3" applyFont="1" applyFill="1" applyBorder="1"/>
    <xf numFmtId="0" fontId="10" fillId="7" borderId="33" xfId="3" applyFont="1" applyFill="1" applyBorder="1" applyAlignment="1">
      <alignment horizontal="centerContinuous"/>
    </xf>
    <xf numFmtId="0" fontId="10" fillId="7" borderId="25" xfId="3" applyFont="1" applyFill="1" applyBorder="1" applyAlignment="1">
      <alignment horizontal="centerContinuous"/>
    </xf>
    <xf numFmtId="0" fontId="18" fillId="7" borderId="26" xfId="3" applyFont="1" applyFill="1" applyBorder="1" applyAlignment="1">
      <alignment horizontal="centerContinuous"/>
    </xf>
    <xf numFmtId="0" fontId="7" fillId="3" borderId="8" xfId="1" applyFont="1" applyFill="1" applyBorder="1" applyAlignment="1">
      <alignment horizontal="center" vertical="center" wrapText="1"/>
    </xf>
    <xf numFmtId="0" fontId="5" fillId="2" borderId="0" xfId="1" applyNumberFormat="1" applyFont="1" applyFill="1" applyBorder="1" applyAlignment="1">
      <alignment horizontal="center"/>
    </xf>
    <xf numFmtId="0" fontId="5" fillId="2" borderId="0" xfId="1" applyFont="1" applyFill="1" applyBorder="1" applyAlignment="1">
      <alignment horizontal="left"/>
    </xf>
    <xf numFmtId="165" fontId="5" fillId="2" borderId="0" xfId="2" applyNumberFormat="1" applyFont="1" applyFill="1" applyBorder="1" applyAlignment="1">
      <alignment horizontal="right"/>
    </xf>
    <xf numFmtId="0" fontId="5" fillId="2" borderId="0" xfId="1" applyFont="1" applyFill="1" applyBorder="1" applyAlignment="1">
      <alignment horizontal="center"/>
    </xf>
    <xf numFmtId="164" fontId="5" fillId="2" borderId="0" xfId="1" applyNumberFormat="1" applyFont="1" applyFill="1" applyBorder="1" applyAlignment="1">
      <alignment horizontal="right"/>
    </xf>
    <xf numFmtId="164" fontId="5" fillId="2" borderId="4" xfId="1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left"/>
    </xf>
    <xf numFmtId="165" fontId="5" fillId="2" borderId="2" xfId="2" applyNumberFormat="1" applyFont="1" applyFill="1" applyBorder="1" applyAlignment="1">
      <alignment horizontal="right"/>
    </xf>
    <xf numFmtId="0" fontId="5" fillId="2" borderId="2" xfId="1" applyFont="1" applyFill="1" applyBorder="1" applyAlignment="1">
      <alignment horizontal="center"/>
    </xf>
    <xf numFmtId="164" fontId="5" fillId="2" borderId="2" xfId="1" applyNumberFormat="1" applyFont="1" applyFill="1" applyBorder="1" applyAlignment="1">
      <alignment horizontal="right"/>
    </xf>
    <xf numFmtId="164" fontId="5" fillId="2" borderId="1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left"/>
    </xf>
    <xf numFmtId="165" fontId="5" fillId="2" borderId="7" xfId="2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164" fontId="5" fillId="2" borderId="7" xfId="1" applyNumberFormat="1" applyFont="1" applyFill="1" applyBorder="1" applyAlignment="1">
      <alignment horizontal="right"/>
    </xf>
    <xf numFmtId="164" fontId="5" fillId="2" borderId="6" xfId="1" applyNumberFormat="1" applyFont="1" applyFill="1" applyBorder="1" applyAlignment="1">
      <alignment horizontal="right"/>
    </xf>
    <xf numFmtId="165" fontId="5" fillId="0" borderId="0" xfId="1" applyNumberFormat="1" applyFont="1"/>
    <xf numFmtId="166" fontId="5" fillId="0" borderId="0" xfId="1" applyNumberFormat="1" applyFont="1"/>
    <xf numFmtId="0" fontId="5" fillId="2" borderId="15" xfId="1" applyFont="1" applyFill="1" applyBorder="1"/>
    <xf numFmtId="0" fontId="5" fillId="2" borderId="0" xfId="1" applyFont="1" applyFill="1" applyBorder="1"/>
    <xf numFmtId="0" fontId="5" fillId="0" borderId="0" xfId="1" applyFont="1" applyAlignment="1">
      <alignment horizontal="center"/>
    </xf>
    <xf numFmtId="0" fontId="5" fillId="2" borderId="14" xfId="1" applyFont="1" applyFill="1" applyBorder="1"/>
    <xf numFmtId="0" fontId="5" fillId="2" borderId="15" xfId="1" applyFont="1" applyFill="1" applyBorder="1" applyAlignment="1">
      <alignment horizontal="center"/>
    </xf>
    <xf numFmtId="0" fontId="7" fillId="2" borderId="8" xfId="1" applyFont="1" applyFill="1" applyBorder="1" applyAlignment="1">
      <alignment horizontal="center" vertical="center" wrapText="1"/>
    </xf>
    <xf numFmtId="0" fontId="19" fillId="2" borderId="8" xfId="1" applyFont="1" applyFill="1" applyBorder="1" applyAlignment="1">
      <alignment horizontal="center" vertical="center"/>
    </xf>
    <xf numFmtId="0" fontId="5" fillId="4" borderId="9" xfId="1" applyNumberFormat="1" applyFont="1" applyFill="1" applyBorder="1" applyAlignment="1" applyProtection="1">
      <alignment horizontal="center" vertical="center"/>
    </xf>
    <xf numFmtId="0" fontId="6" fillId="4" borderId="8" xfId="1" applyNumberFormat="1" applyFont="1" applyFill="1" applyBorder="1" applyAlignment="1" applyProtection="1">
      <alignment horizontal="left" vertical="center"/>
    </xf>
    <xf numFmtId="0" fontId="7" fillId="2" borderId="10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left"/>
    </xf>
    <xf numFmtId="173" fontId="5" fillId="8" borderId="27" xfId="1" applyNumberFormat="1" applyFont="1" applyFill="1" applyBorder="1" applyAlignment="1">
      <alignment horizontal="left"/>
    </xf>
    <xf numFmtId="0" fontId="5" fillId="2" borderId="1" xfId="1" applyNumberFormat="1" applyFont="1" applyFill="1" applyBorder="1" applyAlignment="1">
      <alignment horizontal="left"/>
    </xf>
    <xf numFmtId="172" fontId="6" fillId="4" borderId="9" xfId="1" applyNumberFormat="1" applyFont="1" applyFill="1" applyBorder="1" applyAlignment="1" applyProtection="1">
      <alignment horizontal="left"/>
    </xf>
    <xf numFmtId="0" fontId="5" fillId="2" borderId="13" xfId="1" applyFont="1" applyFill="1" applyBorder="1"/>
    <xf numFmtId="0" fontId="5" fillId="2" borderId="12" xfId="1" applyFont="1" applyFill="1" applyBorder="1"/>
    <xf numFmtId="0" fontId="5" fillId="2" borderId="11" xfId="1" applyFont="1" applyFill="1" applyBorder="1"/>
    <xf numFmtId="0" fontId="20" fillId="2" borderId="14" xfId="1" applyFont="1" applyFill="1" applyBorder="1"/>
    <xf numFmtId="0" fontId="19" fillId="2" borderId="8" xfId="1" applyFont="1" applyFill="1" applyBorder="1" applyAlignment="1">
      <alignment horizontal="left" vertical="center"/>
    </xf>
    <xf numFmtId="0" fontId="5" fillId="4" borderId="8" xfId="1" applyNumberFormat="1" applyFont="1" applyFill="1" applyBorder="1" applyAlignment="1" applyProtection="1">
      <alignment horizontal="center" vertical="center"/>
    </xf>
    <xf numFmtId="0" fontId="5" fillId="2" borderId="8" xfId="1" applyFont="1" applyFill="1" applyBorder="1"/>
    <xf numFmtId="172" fontId="6" fillId="4" borderId="8" xfId="1" applyNumberFormat="1" applyFont="1" applyFill="1" applyBorder="1" applyAlignment="1" applyProtection="1">
      <alignment horizontal="left"/>
    </xf>
    <xf numFmtId="0" fontId="5" fillId="2" borderId="8" xfId="1" applyNumberFormat="1" applyFont="1" applyFill="1" applyBorder="1" applyAlignment="1">
      <alignment horizontal="center"/>
    </xf>
    <xf numFmtId="0" fontId="5" fillId="2" borderId="8" xfId="1" applyFont="1" applyFill="1" applyBorder="1" applyAlignment="1">
      <alignment horizontal="center"/>
    </xf>
    <xf numFmtId="165" fontId="5" fillId="2" borderId="8" xfId="1" applyNumberFormat="1" applyFont="1" applyFill="1" applyBorder="1" applyAlignment="1"/>
    <xf numFmtId="0" fontId="5" fillId="2" borderId="8" xfId="1" applyFont="1" applyFill="1" applyBorder="1" applyAlignment="1"/>
    <xf numFmtId="0" fontId="5" fillId="2" borderId="8" xfId="1" applyNumberFormat="1" applyFont="1" applyFill="1" applyBorder="1" applyAlignment="1"/>
    <xf numFmtId="0" fontId="5" fillId="2" borderId="27" xfId="1" applyFont="1" applyFill="1" applyBorder="1" applyAlignment="1">
      <alignment horizontal="center"/>
    </xf>
    <xf numFmtId="0" fontId="5" fillId="2" borderId="0" xfId="1" applyFont="1" applyFill="1" applyBorder="1" applyAlignment="1"/>
    <xf numFmtId="0" fontId="5" fillId="2" borderId="12" xfId="1" applyFont="1" applyFill="1" applyBorder="1" applyAlignment="1">
      <alignment horizontal="left"/>
    </xf>
    <xf numFmtId="0" fontId="5" fillId="2" borderId="11" xfId="1" applyFont="1" applyFill="1" applyBorder="1" applyAlignment="1">
      <alignment horizontal="left"/>
    </xf>
    <xf numFmtId="0" fontId="5" fillId="4" borderId="8" xfId="1" applyNumberFormat="1" applyFont="1" applyFill="1" applyBorder="1" applyAlignment="1" applyProtection="1">
      <alignment horizontal="left" vertical="center"/>
    </xf>
    <xf numFmtId="0" fontId="5" fillId="8" borderId="8" xfId="1" applyNumberFormat="1" applyFont="1" applyFill="1" applyBorder="1" applyAlignment="1">
      <alignment horizontal="center"/>
    </xf>
    <xf numFmtId="0" fontId="5" fillId="0" borderId="31" xfId="1" applyFont="1" applyBorder="1"/>
    <xf numFmtId="0" fontId="5" fillId="0" borderId="32" xfId="1" applyFont="1" applyBorder="1"/>
    <xf numFmtId="0" fontId="5" fillId="0" borderId="30" xfId="1" applyFont="1" applyBorder="1"/>
    <xf numFmtId="0" fontId="5" fillId="0" borderId="15" xfId="1" applyFont="1" applyBorder="1"/>
    <xf numFmtId="0" fontId="5" fillId="0" borderId="0" xfId="1" applyFont="1" applyBorder="1"/>
    <xf numFmtId="0" fontId="5" fillId="0" borderId="14" xfId="1" applyFont="1" applyBorder="1"/>
    <xf numFmtId="0" fontId="5" fillId="0" borderId="13" xfId="1" applyFont="1" applyBorder="1"/>
    <xf numFmtId="0" fontId="5" fillId="0" borderId="12" xfId="1" applyFont="1" applyBorder="1"/>
    <xf numFmtId="0" fontId="5" fillId="0" borderId="11" xfId="1" applyFont="1" applyBorder="1"/>
    <xf numFmtId="0" fontId="7" fillId="3" borderId="26" xfId="1" applyFont="1" applyFill="1" applyBorder="1" applyAlignment="1">
      <alignment horizontal="center" vertical="center" wrapText="1"/>
    </xf>
    <xf numFmtId="0" fontId="7" fillId="12" borderId="26" xfId="12" applyFont="1" applyFill="1" applyBorder="1" applyAlignment="1">
      <alignment horizontal="centerContinuous"/>
    </xf>
    <xf numFmtId="0" fontId="7" fillId="12" borderId="31" xfId="12" applyFont="1" applyFill="1" applyBorder="1" applyAlignment="1">
      <alignment horizontal="centerContinuous"/>
    </xf>
    <xf numFmtId="0" fontId="7" fillId="12" borderId="30" xfId="12" applyFont="1" applyFill="1" applyBorder="1" applyAlignment="1">
      <alignment horizontal="centerContinuous"/>
    </xf>
    <xf numFmtId="0" fontId="7" fillId="12" borderId="32" xfId="12" applyFont="1" applyFill="1" applyBorder="1" applyAlignment="1">
      <alignment horizontal="centerContinuous"/>
    </xf>
    <xf numFmtId="0" fontId="7" fillId="12" borderId="35" xfId="12" applyFont="1" applyFill="1" applyBorder="1" applyAlignment="1">
      <alignment horizontal="centerContinuous"/>
    </xf>
    <xf numFmtId="0" fontId="7" fillId="12" borderId="33" xfId="12" applyFont="1" applyFill="1" applyBorder="1" applyAlignment="1">
      <alignment horizontal="centerContinuous"/>
    </xf>
    <xf numFmtId="0" fontId="24" fillId="0" borderId="0" xfId="0" applyFont="1"/>
    <xf numFmtId="0" fontId="7" fillId="13" borderId="35" xfId="12" applyFont="1" applyFill="1" applyBorder="1" applyAlignment="1">
      <alignment horizontal="center"/>
    </xf>
    <xf numFmtId="0" fontId="7" fillId="13" borderId="36" xfId="12" applyFont="1" applyFill="1" applyBorder="1" applyAlignment="1">
      <alignment horizontal="center"/>
    </xf>
    <xf numFmtId="0" fontId="7" fillId="13" borderId="37" xfId="12" applyFont="1" applyFill="1" applyBorder="1" applyAlignment="1">
      <alignment horizontal="center"/>
    </xf>
    <xf numFmtId="0" fontId="7" fillId="13" borderId="38" xfId="12" applyFont="1" applyFill="1" applyBorder="1" applyAlignment="1">
      <alignment horizontal="center"/>
    </xf>
    <xf numFmtId="0" fontId="5" fillId="0" borderId="0" xfId="12" applyFont="1"/>
    <xf numFmtId="0" fontId="5" fillId="0" borderId="0" xfId="12" applyFont="1" applyAlignment="1">
      <alignment horizontal="right"/>
    </xf>
    <xf numFmtId="0" fontId="5" fillId="14" borderId="15" xfId="12" applyFont="1" applyFill="1" applyBorder="1" applyAlignment="1">
      <alignment vertical="center"/>
    </xf>
    <xf numFmtId="0" fontId="5" fillId="14" borderId="39" xfId="12" applyFont="1" applyFill="1" applyBorder="1"/>
    <xf numFmtId="168" fontId="5" fillId="14" borderId="28" xfId="12" applyNumberFormat="1" applyFont="1" applyFill="1" applyBorder="1"/>
    <xf numFmtId="0" fontId="5" fillId="11" borderId="28" xfId="12" applyFont="1" applyFill="1" applyBorder="1"/>
    <xf numFmtId="0" fontId="5" fillId="14" borderId="40" xfId="12" applyNumberFormat="1" applyFont="1" applyFill="1" applyBorder="1"/>
    <xf numFmtId="9" fontId="5" fillId="14" borderId="39" xfId="12" applyNumberFormat="1" applyFont="1" applyFill="1" applyBorder="1"/>
    <xf numFmtId="10" fontId="5" fillId="14" borderId="28" xfId="12" applyNumberFormat="1" applyFont="1" applyFill="1" applyBorder="1"/>
    <xf numFmtId="10" fontId="5" fillId="14" borderId="40" xfId="12" applyNumberFormat="1" applyFont="1" applyFill="1" applyBorder="1"/>
    <xf numFmtId="10" fontId="5" fillId="0" borderId="0" xfId="12" applyNumberFormat="1" applyFont="1"/>
    <xf numFmtId="177" fontId="5" fillId="0" borderId="0" xfId="12" applyNumberFormat="1" applyFont="1"/>
    <xf numFmtId="0" fontId="5" fillId="14" borderId="31" xfId="12" applyFont="1" applyFill="1" applyBorder="1"/>
    <xf numFmtId="0" fontId="5" fillId="14" borderId="36" xfId="12" applyFont="1" applyFill="1" applyBorder="1"/>
    <xf numFmtId="168" fontId="5" fillId="14" borderId="37" xfId="12" applyNumberFormat="1" applyFont="1" applyFill="1" applyBorder="1"/>
    <xf numFmtId="0" fontId="5" fillId="11" borderId="37" xfId="12" applyFont="1" applyFill="1" applyBorder="1"/>
    <xf numFmtId="0" fontId="5" fillId="14" borderId="38" xfId="12" applyFont="1" applyFill="1" applyBorder="1"/>
    <xf numFmtId="9" fontId="5" fillId="14" borderId="36" xfId="12" applyNumberFormat="1" applyFont="1" applyFill="1" applyBorder="1"/>
    <xf numFmtId="10" fontId="5" fillId="14" borderId="37" xfId="12" applyNumberFormat="1" applyFont="1" applyFill="1" applyBorder="1"/>
    <xf numFmtId="10" fontId="5" fillId="14" borderId="38" xfId="12" applyNumberFormat="1" applyFont="1" applyFill="1" applyBorder="1"/>
    <xf numFmtId="0" fontId="5" fillId="14" borderId="15" xfId="12" applyFont="1" applyFill="1" applyBorder="1"/>
    <xf numFmtId="0" fontId="7" fillId="13" borderId="0" xfId="12" applyFont="1" applyFill="1" applyBorder="1" applyAlignment="1">
      <alignment horizontal="center" vertical="center"/>
    </xf>
    <xf numFmtId="0" fontId="5" fillId="0" borderId="32" xfId="12" applyFont="1" applyBorder="1"/>
    <xf numFmtId="0" fontId="24" fillId="0" borderId="32" xfId="0" applyFont="1" applyBorder="1"/>
    <xf numFmtId="0" fontId="5" fillId="0" borderId="0" xfId="12" applyFont="1" applyBorder="1"/>
    <xf numFmtId="0" fontId="5" fillId="0" borderId="7" xfId="12" applyFont="1" applyBorder="1" applyAlignment="1">
      <alignment horizontal="center" vertical="center"/>
    </xf>
    <xf numFmtId="0" fontId="7" fillId="12" borderId="31" xfId="12" applyFont="1" applyFill="1" applyBorder="1" applyAlignment="1">
      <alignment horizontal="center"/>
    </xf>
    <xf numFmtId="0" fontId="7" fillId="12" borderId="32" xfId="12" applyFont="1" applyFill="1" applyBorder="1" applyAlignment="1">
      <alignment horizontal="center"/>
    </xf>
    <xf numFmtId="0" fontId="7" fillId="12" borderId="30" xfId="12" applyFont="1" applyFill="1" applyBorder="1" applyAlignment="1">
      <alignment horizontal="center"/>
    </xf>
    <xf numFmtId="0" fontId="7" fillId="12" borderId="26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/>
    </xf>
    <xf numFmtId="0" fontId="7" fillId="12" borderId="33" xfId="12" applyFont="1" applyFill="1" applyBorder="1" applyAlignment="1">
      <alignment horizontal="center" vertical="center"/>
    </xf>
    <xf numFmtId="0" fontId="7" fillId="12" borderId="25" xfId="12" applyFont="1" applyFill="1" applyBorder="1" applyAlignment="1">
      <alignment horizontal="center" vertical="center"/>
    </xf>
    <xf numFmtId="0" fontId="7" fillId="12" borderId="41" xfId="12" applyFont="1" applyFill="1" applyBorder="1" applyAlignment="1">
      <alignment horizontal="center"/>
    </xf>
    <xf numFmtId="0" fontId="5" fillId="0" borderId="15" xfId="12" applyFont="1" applyBorder="1"/>
    <xf numFmtId="168" fontId="5" fillId="0" borderId="0" xfId="12" applyNumberFormat="1" applyFont="1" applyBorder="1"/>
    <xf numFmtId="165" fontId="5" fillId="0" borderId="14" xfId="12" applyNumberFormat="1" applyFont="1" applyBorder="1" applyAlignment="1">
      <alignment horizontal="right"/>
    </xf>
    <xf numFmtId="165" fontId="25" fillId="0" borderId="15" xfId="13" applyNumberFormat="1" applyFont="1" applyBorder="1"/>
    <xf numFmtId="0" fontId="5" fillId="0" borderId="0" xfId="12" applyFont="1" applyAlignment="1"/>
    <xf numFmtId="168" fontId="5" fillId="0" borderId="0" xfId="12" applyNumberFormat="1" applyFont="1" applyBorder="1" applyAlignment="1"/>
    <xf numFmtId="165" fontId="5" fillId="0" borderId="0" xfId="13" quotePrefix="1" applyNumberFormat="1" applyFont="1" applyBorder="1" applyAlignment="1"/>
    <xf numFmtId="165" fontId="5" fillId="0" borderId="12" xfId="13" quotePrefix="1" applyNumberFormat="1" applyFont="1" applyBorder="1" applyAlignment="1"/>
    <xf numFmtId="165" fontId="5" fillId="0" borderId="14" xfId="13" quotePrefix="1" applyNumberFormat="1" applyFont="1" applyBorder="1" applyAlignment="1"/>
    <xf numFmtId="165" fontId="5" fillId="0" borderId="11" xfId="13" quotePrefix="1" applyNumberFormat="1" applyFont="1" applyBorder="1" applyAlignment="1"/>
    <xf numFmtId="0" fontId="5" fillId="0" borderId="41" xfId="12" applyFont="1" applyBorder="1" applyAlignment="1">
      <alignment horizontal="center"/>
    </xf>
    <xf numFmtId="0" fontId="24" fillId="0" borderId="15" xfId="0" applyFont="1" applyBorder="1"/>
    <xf numFmtId="0" fontId="5" fillId="0" borderId="13" xfId="12" applyFont="1" applyBorder="1"/>
    <xf numFmtId="165" fontId="5" fillId="0" borderId="0" xfId="13" applyNumberFormat="1" applyFont="1"/>
    <xf numFmtId="0" fontId="7" fillId="12" borderId="32" xfId="12" applyFont="1" applyFill="1" applyBorder="1" applyAlignment="1">
      <alignment horizontal="right"/>
    </xf>
    <xf numFmtId="168" fontId="5" fillId="0" borderId="12" xfId="12" applyNumberFormat="1" applyFont="1" applyBorder="1"/>
    <xf numFmtId="0" fontId="5" fillId="0" borderId="12" xfId="12" applyFont="1" applyBorder="1"/>
    <xf numFmtId="165" fontId="5" fillId="0" borderId="0" xfId="13" applyNumberFormat="1" applyFont="1" applyBorder="1"/>
    <xf numFmtId="0" fontId="5" fillId="0" borderId="0" xfId="12" applyFont="1" applyBorder="1" applyAlignment="1">
      <alignment horizontal="right" vertical="center"/>
    </xf>
    <xf numFmtId="165" fontId="5" fillId="0" borderId="0" xfId="11" applyNumberFormat="1" applyFont="1" applyBorder="1"/>
    <xf numFmtId="165" fontId="5" fillId="0" borderId="12" xfId="13" applyNumberFormat="1" applyFont="1" applyBorder="1"/>
    <xf numFmtId="165" fontId="5" fillId="0" borderId="12" xfId="11" applyNumberFormat="1" applyFont="1" applyBorder="1"/>
    <xf numFmtId="168" fontId="5" fillId="0" borderId="12" xfId="12" applyNumberFormat="1" applyFont="1" applyBorder="1" applyAlignment="1"/>
    <xf numFmtId="0" fontId="24" fillId="0" borderId="13" xfId="0" applyFont="1" applyBorder="1"/>
    <xf numFmtId="0" fontId="5" fillId="0" borderId="12" xfId="12" applyFont="1" applyBorder="1" applyAlignment="1">
      <alignment horizontal="right" vertical="center"/>
    </xf>
    <xf numFmtId="165" fontId="5" fillId="0" borderId="11" xfId="12" applyNumberFormat="1" applyFont="1" applyBorder="1" applyAlignment="1">
      <alignment horizontal="right"/>
    </xf>
    <xf numFmtId="0" fontId="7" fillId="12" borderId="35" xfId="12" applyFont="1" applyFill="1" applyBorder="1" applyAlignment="1">
      <alignment horizontal="center"/>
    </xf>
    <xf numFmtId="0" fontId="7" fillId="3" borderId="26" xfId="1" applyFont="1" applyFill="1" applyBorder="1" applyAlignment="1">
      <alignment horizontal="center" vertical="center" wrapText="1"/>
    </xf>
    <xf numFmtId="0" fontId="7" fillId="3" borderId="25" xfId="1" applyFont="1" applyFill="1" applyBorder="1" applyAlignment="1">
      <alignment horizontal="center" vertical="center" wrapText="1"/>
    </xf>
  </cellXfs>
  <cellStyles count="17"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3" xfId="15"/>
    <cellStyle name="Percent 4" xfId="16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41816</c:v>
                </c:pt>
                <c:pt idx="1">
                  <c:v>41817</c:v>
                </c:pt>
                <c:pt idx="2">
                  <c:v>41820</c:v>
                </c:pt>
                <c:pt idx="3">
                  <c:v>41821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41855</c:v>
                </c:pt>
                <c:pt idx="28">
                  <c:v>41856</c:v>
                </c:pt>
                <c:pt idx="29">
                  <c:v>41857</c:v>
                </c:pt>
                <c:pt idx="30">
                  <c:v>41858</c:v>
                </c:pt>
                <c:pt idx="31">
                  <c:v>41859</c:v>
                </c:pt>
                <c:pt idx="32">
                  <c:v>41862</c:v>
                </c:pt>
                <c:pt idx="33">
                  <c:v>41863</c:v>
                </c:pt>
                <c:pt idx="34">
                  <c:v>41864</c:v>
                </c:pt>
                <c:pt idx="35">
                  <c:v>41865</c:v>
                </c:pt>
                <c:pt idx="36">
                  <c:v>41866</c:v>
                </c:pt>
                <c:pt idx="37">
                  <c:v>41869</c:v>
                </c:pt>
                <c:pt idx="38">
                  <c:v>41870</c:v>
                </c:pt>
                <c:pt idx="39">
                  <c:v>41871</c:v>
                </c:pt>
                <c:pt idx="40">
                  <c:v>41872</c:v>
                </c:pt>
                <c:pt idx="41">
                  <c:v>41873</c:v>
                </c:pt>
                <c:pt idx="42">
                  <c:v>41877</c:v>
                </c:pt>
                <c:pt idx="43">
                  <c:v>41878</c:v>
                </c:pt>
                <c:pt idx="44">
                  <c:v>41879</c:v>
                </c:pt>
                <c:pt idx="45">
                  <c:v>41880</c:v>
                </c:pt>
                <c:pt idx="46">
                  <c:v>41883</c:v>
                </c:pt>
                <c:pt idx="47">
                  <c:v>41884</c:v>
                </c:pt>
                <c:pt idx="48">
                  <c:v>41885</c:v>
                </c:pt>
                <c:pt idx="49">
                  <c:v>41886</c:v>
                </c:pt>
                <c:pt idx="50">
                  <c:v>41887</c:v>
                </c:pt>
                <c:pt idx="51">
                  <c:v>41890</c:v>
                </c:pt>
                <c:pt idx="52">
                  <c:v>41891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41913</c:v>
                </c:pt>
                <c:pt idx="69">
                  <c:v>41914</c:v>
                </c:pt>
                <c:pt idx="70">
                  <c:v>41915</c:v>
                </c:pt>
                <c:pt idx="71">
                  <c:v>41918</c:v>
                </c:pt>
                <c:pt idx="72">
                  <c:v>41919</c:v>
                </c:pt>
                <c:pt idx="73">
                  <c:v>41920</c:v>
                </c:pt>
                <c:pt idx="74">
                  <c:v>41921</c:v>
                </c:pt>
                <c:pt idx="75">
                  <c:v>41922</c:v>
                </c:pt>
                <c:pt idx="76">
                  <c:v>41925</c:v>
                </c:pt>
                <c:pt idx="77">
                  <c:v>41926</c:v>
                </c:pt>
                <c:pt idx="78">
                  <c:v>41927</c:v>
                </c:pt>
                <c:pt idx="79">
                  <c:v>41928</c:v>
                </c:pt>
                <c:pt idx="80">
                  <c:v>41929</c:v>
                </c:pt>
                <c:pt idx="81">
                  <c:v>41932</c:v>
                </c:pt>
                <c:pt idx="82">
                  <c:v>41933</c:v>
                </c:pt>
                <c:pt idx="83">
                  <c:v>41934</c:v>
                </c:pt>
                <c:pt idx="84">
                  <c:v>41935</c:v>
                </c:pt>
                <c:pt idx="85">
                  <c:v>41936</c:v>
                </c:pt>
                <c:pt idx="86">
                  <c:v>41939</c:v>
                </c:pt>
                <c:pt idx="87">
                  <c:v>41940</c:v>
                </c:pt>
                <c:pt idx="88">
                  <c:v>41941</c:v>
                </c:pt>
                <c:pt idx="89">
                  <c:v>41942</c:v>
                </c:pt>
                <c:pt idx="90">
                  <c:v>41943</c:v>
                </c:pt>
                <c:pt idx="91">
                  <c:v>41946</c:v>
                </c:pt>
                <c:pt idx="92">
                  <c:v>41947</c:v>
                </c:pt>
                <c:pt idx="93">
                  <c:v>41948</c:v>
                </c:pt>
                <c:pt idx="94">
                  <c:v>41949</c:v>
                </c:pt>
                <c:pt idx="95">
                  <c:v>41950</c:v>
                </c:pt>
                <c:pt idx="96">
                  <c:v>41953</c:v>
                </c:pt>
                <c:pt idx="97">
                  <c:v>41954</c:v>
                </c:pt>
                <c:pt idx="98">
                  <c:v>41955</c:v>
                </c:pt>
                <c:pt idx="99">
                  <c:v>41956</c:v>
                </c:pt>
                <c:pt idx="100">
                  <c:v>41957</c:v>
                </c:pt>
                <c:pt idx="101">
                  <c:v>41960</c:v>
                </c:pt>
                <c:pt idx="102">
                  <c:v>41961</c:v>
                </c:pt>
                <c:pt idx="103">
                  <c:v>41962</c:v>
                </c:pt>
                <c:pt idx="104">
                  <c:v>41963</c:v>
                </c:pt>
                <c:pt idx="105">
                  <c:v>41964</c:v>
                </c:pt>
                <c:pt idx="106">
                  <c:v>41967</c:v>
                </c:pt>
                <c:pt idx="107">
                  <c:v>41968</c:v>
                </c:pt>
                <c:pt idx="108">
                  <c:v>41969</c:v>
                </c:pt>
                <c:pt idx="109">
                  <c:v>41970</c:v>
                </c:pt>
                <c:pt idx="110">
                  <c:v>41971</c:v>
                </c:pt>
                <c:pt idx="111">
                  <c:v>41974</c:v>
                </c:pt>
                <c:pt idx="112">
                  <c:v>41975</c:v>
                </c:pt>
                <c:pt idx="113">
                  <c:v>41976</c:v>
                </c:pt>
                <c:pt idx="114">
                  <c:v>41977</c:v>
                </c:pt>
                <c:pt idx="115">
                  <c:v>41978</c:v>
                </c:pt>
                <c:pt idx="116">
                  <c:v>41981</c:v>
                </c:pt>
                <c:pt idx="117">
                  <c:v>41982</c:v>
                </c:pt>
                <c:pt idx="118">
                  <c:v>41983</c:v>
                </c:pt>
                <c:pt idx="119">
                  <c:v>41984</c:v>
                </c:pt>
                <c:pt idx="120">
                  <c:v>41985</c:v>
                </c:pt>
                <c:pt idx="121">
                  <c:v>41988</c:v>
                </c:pt>
                <c:pt idx="122">
                  <c:v>41989</c:v>
                </c:pt>
                <c:pt idx="123">
                  <c:v>41990</c:v>
                </c:pt>
                <c:pt idx="124">
                  <c:v>41991</c:v>
                </c:pt>
                <c:pt idx="125">
                  <c:v>41992</c:v>
                </c:pt>
                <c:pt idx="126">
                  <c:v>41995</c:v>
                </c:pt>
                <c:pt idx="127">
                  <c:v>41996</c:v>
                </c:pt>
                <c:pt idx="128">
                  <c:v>41997</c:v>
                </c:pt>
                <c:pt idx="129">
                  <c:v>42002</c:v>
                </c:pt>
                <c:pt idx="130">
                  <c:v>42003</c:v>
                </c:pt>
                <c:pt idx="131">
                  <c:v>42004</c:v>
                </c:pt>
                <c:pt idx="132">
                  <c:v>42006</c:v>
                </c:pt>
                <c:pt idx="133">
                  <c:v>42009</c:v>
                </c:pt>
                <c:pt idx="134">
                  <c:v>42010</c:v>
                </c:pt>
                <c:pt idx="135">
                  <c:v>42011</c:v>
                </c:pt>
                <c:pt idx="136">
                  <c:v>42012</c:v>
                </c:pt>
                <c:pt idx="137">
                  <c:v>42013</c:v>
                </c:pt>
                <c:pt idx="138">
                  <c:v>42016</c:v>
                </c:pt>
                <c:pt idx="139">
                  <c:v>42017</c:v>
                </c:pt>
                <c:pt idx="140">
                  <c:v>42018</c:v>
                </c:pt>
                <c:pt idx="141">
                  <c:v>42019</c:v>
                </c:pt>
                <c:pt idx="142">
                  <c:v>42020</c:v>
                </c:pt>
                <c:pt idx="143">
                  <c:v>42023</c:v>
                </c:pt>
                <c:pt idx="144">
                  <c:v>42024</c:v>
                </c:pt>
                <c:pt idx="145">
                  <c:v>42025</c:v>
                </c:pt>
                <c:pt idx="146">
                  <c:v>42026</c:v>
                </c:pt>
                <c:pt idx="147">
                  <c:v>42027</c:v>
                </c:pt>
                <c:pt idx="148">
                  <c:v>42030</c:v>
                </c:pt>
                <c:pt idx="149">
                  <c:v>42031</c:v>
                </c:pt>
                <c:pt idx="150">
                  <c:v>42032</c:v>
                </c:pt>
                <c:pt idx="151">
                  <c:v>42033</c:v>
                </c:pt>
                <c:pt idx="152">
                  <c:v>42034</c:v>
                </c:pt>
                <c:pt idx="153">
                  <c:v>42037</c:v>
                </c:pt>
                <c:pt idx="154">
                  <c:v>42038</c:v>
                </c:pt>
                <c:pt idx="155">
                  <c:v>42039</c:v>
                </c:pt>
                <c:pt idx="156">
                  <c:v>42040</c:v>
                </c:pt>
                <c:pt idx="157">
                  <c:v>42041</c:v>
                </c:pt>
                <c:pt idx="158">
                  <c:v>42044</c:v>
                </c:pt>
                <c:pt idx="159">
                  <c:v>42045</c:v>
                </c:pt>
                <c:pt idx="160">
                  <c:v>42046</c:v>
                </c:pt>
                <c:pt idx="161">
                  <c:v>42047</c:v>
                </c:pt>
                <c:pt idx="162">
                  <c:v>42048</c:v>
                </c:pt>
                <c:pt idx="163">
                  <c:v>42051</c:v>
                </c:pt>
                <c:pt idx="164">
                  <c:v>42052</c:v>
                </c:pt>
                <c:pt idx="165">
                  <c:v>42053</c:v>
                </c:pt>
                <c:pt idx="166">
                  <c:v>42054</c:v>
                </c:pt>
                <c:pt idx="167">
                  <c:v>42055</c:v>
                </c:pt>
                <c:pt idx="168">
                  <c:v>42058</c:v>
                </c:pt>
                <c:pt idx="169">
                  <c:v>42059</c:v>
                </c:pt>
                <c:pt idx="170">
                  <c:v>42060</c:v>
                </c:pt>
                <c:pt idx="171">
                  <c:v>42061</c:v>
                </c:pt>
                <c:pt idx="172">
                  <c:v>42062</c:v>
                </c:pt>
                <c:pt idx="173">
                  <c:v>42065</c:v>
                </c:pt>
                <c:pt idx="174">
                  <c:v>42066</c:v>
                </c:pt>
                <c:pt idx="175">
                  <c:v>42067</c:v>
                </c:pt>
                <c:pt idx="176">
                  <c:v>42068</c:v>
                </c:pt>
                <c:pt idx="177">
                  <c:v>42069</c:v>
                </c:pt>
                <c:pt idx="178">
                  <c:v>42072</c:v>
                </c:pt>
                <c:pt idx="179">
                  <c:v>42073</c:v>
                </c:pt>
                <c:pt idx="180">
                  <c:v>42074</c:v>
                </c:pt>
                <c:pt idx="181">
                  <c:v>42075</c:v>
                </c:pt>
                <c:pt idx="182">
                  <c:v>42076</c:v>
                </c:pt>
                <c:pt idx="183">
                  <c:v>42079</c:v>
                </c:pt>
                <c:pt idx="184">
                  <c:v>42080</c:v>
                </c:pt>
                <c:pt idx="185">
                  <c:v>42081</c:v>
                </c:pt>
                <c:pt idx="186">
                  <c:v>42082</c:v>
                </c:pt>
                <c:pt idx="187">
                  <c:v>42083</c:v>
                </c:pt>
                <c:pt idx="188">
                  <c:v>42086</c:v>
                </c:pt>
                <c:pt idx="189">
                  <c:v>42087</c:v>
                </c:pt>
                <c:pt idx="190">
                  <c:v>42088</c:v>
                </c:pt>
                <c:pt idx="191">
                  <c:v>42089</c:v>
                </c:pt>
                <c:pt idx="192">
                  <c:v>42090</c:v>
                </c:pt>
                <c:pt idx="193">
                  <c:v>42093</c:v>
                </c:pt>
                <c:pt idx="194">
                  <c:v>42094</c:v>
                </c:pt>
                <c:pt idx="195">
                  <c:v>42095</c:v>
                </c:pt>
                <c:pt idx="196">
                  <c:v>42096</c:v>
                </c:pt>
                <c:pt idx="197">
                  <c:v>42101</c:v>
                </c:pt>
                <c:pt idx="198">
                  <c:v>42102</c:v>
                </c:pt>
                <c:pt idx="199">
                  <c:v>42103</c:v>
                </c:pt>
                <c:pt idx="200">
                  <c:v>42104</c:v>
                </c:pt>
                <c:pt idx="201">
                  <c:v>42107</c:v>
                </c:pt>
                <c:pt idx="202">
                  <c:v>42108</c:v>
                </c:pt>
                <c:pt idx="203">
                  <c:v>42109</c:v>
                </c:pt>
                <c:pt idx="204">
                  <c:v>42110</c:v>
                </c:pt>
                <c:pt idx="205">
                  <c:v>42111</c:v>
                </c:pt>
                <c:pt idx="206">
                  <c:v>42114</c:v>
                </c:pt>
                <c:pt idx="207">
                  <c:v>42115</c:v>
                </c:pt>
                <c:pt idx="208">
                  <c:v>42116</c:v>
                </c:pt>
                <c:pt idx="209">
                  <c:v>42117</c:v>
                </c:pt>
                <c:pt idx="210">
                  <c:v>42118</c:v>
                </c:pt>
                <c:pt idx="211">
                  <c:v>42121</c:v>
                </c:pt>
                <c:pt idx="212">
                  <c:v>42122</c:v>
                </c:pt>
                <c:pt idx="213">
                  <c:v>42123</c:v>
                </c:pt>
                <c:pt idx="214">
                  <c:v>42124</c:v>
                </c:pt>
                <c:pt idx="215">
                  <c:v>42125</c:v>
                </c:pt>
                <c:pt idx="216">
                  <c:v>42129</c:v>
                </c:pt>
                <c:pt idx="217">
                  <c:v>42130</c:v>
                </c:pt>
                <c:pt idx="218">
                  <c:v>42131</c:v>
                </c:pt>
                <c:pt idx="219">
                  <c:v>42132</c:v>
                </c:pt>
                <c:pt idx="220">
                  <c:v>42135</c:v>
                </c:pt>
                <c:pt idx="221">
                  <c:v>42136</c:v>
                </c:pt>
                <c:pt idx="222">
                  <c:v>42137</c:v>
                </c:pt>
                <c:pt idx="223">
                  <c:v>42138</c:v>
                </c:pt>
                <c:pt idx="224">
                  <c:v>42139</c:v>
                </c:pt>
                <c:pt idx="225">
                  <c:v>42142</c:v>
                </c:pt>
                <c:pt idx="226">
                  <c:v>42143</c:v>
                </c:pt>
                <c:pt idx="227">
                  <c:v>42144</c:v>
                </c:pt>
                <c:pt idx="228">
                  <c:v>42145</c:v>
                </c:pt>
                <c:pt idx="229">
                  <c:v>42146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42163</c:v>
                </c:pt>
                <c:pt idx="240">
                  <c:v>42164</c:v>
                </c:pt>
                <c:pt idx="241">
                  <c:v>42165</c:v>
                </c:pt>
                <c:pt idx="242">
                  <c:v>42166</c:v>
                </c:pt>
                <c:pt idx="243">
                  <c:v>42167</c:v>
                </c:pt>
                <c:pt idx="244">
                  <c:v>42170</c:v>
                </c:pt>
                <c:pt idx="245">
                  <c:v>42171</c:v>
                </c:pt>
                <c:pt idx="246">
                  <c:v>42172</c:v>
                </c:pt>
                <c:pt idx="247">
                  <c:v>42173</c:v>
                </c:pt>
                <c:pt idx="248">
                  <c:v>42174</c:v>
                </c:pt>
                <c:pt idx="249">
                  <c:v>42177</c:v>
                </c:pt>
                <c:pt idx="250">
                  <c:v>42178</c:v>
                </c:pt>
                <c:pt idx="251">
                  <c:v>42179</c:v>
                </c:pt>
                <c:pt idx="252">
                  <c:v>42180</c:v>
                </c:pt>
                <c:pt idx="253">
                  <c:v>42181</c:v>
                </c:pt>
                <c:pt idx="254">
                  <c:v>42184</c:v>
                </c:pt>
                <c:pt idx="255">
                  <c:v>42185</c:v>
                </c:pt>
                <c:pt idx="256">
                  <c:v>42186</c:v>
                </c:pt>
                <c:pt idx="257">
                  <c:v>42187</c:v>
                </c:pt>
                <c:pt idx="258">
                  <c:v>42188</c:v>
                </c:pt>
                <c:pt idx="259">
                  <c:v>42191</c:v>
                </c:pt>
                <c:pt idx="260">
                  <c:v>42192</c:v>
                </c:pt>
                <c:pt idx="261">
                  <c:v>42193</c:v>
                </c:pt>
                <c:pt idx="262">
                  <c:v>42194</c:v>
                </c:pt>
                <c:pt idx="263">
                  <c:v>42195</c:v>
                </c:pt>
                <c:pt idx="264">
                  <c:v>42198</c:v>
                </c:pt>
                <c:pt idx="265">
                  <c:v>42199</c:v>
                </c:pt>
                <c:pt idx="266">
                  <c:v>42200</c:v>
                </c:pt>
                <c:pt idx="267">
                  <c:v>42201</c:v>
                </c:pt>
                <c:pt idx="268">
                  <c:v>42202</c:v>
                </c:pt>
                <c:pt idx="269">
                  <c:v>42205</c:v>
                </c:pt>
                <c:pt idx="270">
                  <c:v>42206</c:v>
                </c:pt>
                <c:pt idx="271">
                  <c:v>42207</c:v>
                </c:pt>
                <c:pt idx="272">
                  <c:v>42208</c:v>
                </c:pt>
                <c:pt idx="273">
                  <c:v>42209</c:v>
                </c:pt>
                <c:pt idx="274">
                  <c:v>42212</c:v>
                </c:pt>
                <c:pt idx="275">
                  <c:v>42213</c:v>
                </c:pt>
                <c:pt idx="276">
                  <c:v>42214</c:v>
                </c:pt>
                <c:pt idx="277">
                  <c:v>42215</c:v>
                </c:pt>
                <c:pt idx="278">
                  <c:v>42216</c:v>
                </c:pt>
                <c:pt idx="279">
                  <c:v>42219</c:v>
                </c:pt>
                <c:pt idx="280">
                  <c:v>42220</c:v>
                </c:pt>
                <c:pt idx="281">
                  <c:v>42221</c:v>
                </c:pt>
                <c:pt idx="282">
                  <c:v>42222</c:v>
                </c:pt>
                <c:pt idx="283">
                  <c:v>42223</c:v>
                </c:pt>
                <c:pt idx="284">
                  <c:v>42226</c:v>
                </c:pt>
                <c:pt idx="285">
                  <c:v>42227</c:v>
                </c:pt>
                <c:pt idx="286">
                  <c:v>42228</c:v>
                </c:pt>
                <c:pt idx="287">
                  <c:v>42229</c:v>
                </c:pt>
                <c:pt idx="288">
                  <c:v>42230</c:v>
                </c:pt>
                <c:pt idx="289">
                  <c:v>42233</c:v>
                </c:pt>
                <c:pt idx="290">
                  <c:v>42234</c:v>
                </c:pt>
                <c:pt idx="291">
                  <c:v>42235</c:v>
                </c:pt>
                <c:pt idx="292">
                  <c:v>42236</c:v>
                </c:pt>
                <c:pt idx="293">
                  <c:v>42237</c:v>
                </c:pt>
                <c:pt idx="294">
                  <c:v>42240</c:v>
                </c:pt>
                <c:pt idx="295">
                  <c:v>42241</c:v>
                </c:pt>
                <c:pt idx="296">
                  <c:v>42242</c:v>
                </c:pt>
                <c:pt idx="297">
                  <c:v>42243</c:v>
                </c:pt>
                <c:pt idx="298">
                  <c:v>42244</c:v>
                </c:pt>
                <c:pt idx="299">
                  <c:v>42248</c:v>
                </c:pt>
                <c:pt idx="300">
                  <c:v>42249</c:v>
                </c:pt>
                <c:pt idx="301">
                  <c:v>42250</c:v>
                </c:pt>
                <c:pt idx="302">
                  <c:v>42251</c:v>
                </c:pt>
                <c:pt idx="303">
                  <c:v>42254</c:v>
                </c:pt>
                <c:pt idx="304">
                  <c:v>42255</c:v>
                </c:pt>
                <c:pt idx="305">
                  <c:v>42256</c:v>
                </c:pt>
                <c:pt idx="306">
                  <c:v>42257</c:v>
                </c:pt>
                <c:pt idx="307">
                  <c:v>42258</c:v>
                </c:pt>
                <c:pt idx="308">
                  <c:v>42261</c:v>
                </c:pt>
                <c:pt idx="309">
                  <c:v>42262</c:v>
                </c:pt>
                <c:pt idx="310">
                  <c:v>42263</c:v>
                </c:pt>
                <c:pt idx="311">
                  <c:v>42264</c:v>
                </c:pt>
                <c:pt idx="312">
                  <c:v>42265</c:v>
                </c:pt>
                <c:pt idx="313">
                  <c:v>42268</c:v>
                </c:pt>
                <c:pt idx="314">
                  <c:v>42269</c:v>
                </c:pt>
                <c:pt idx="315">
                  <c:v>42270</c:v>
                </c:pt>
                <c:pt idx="316">
                  <c:v>42271</c:v>
                </c:pt>
                <c:pt idx="317">
                  <c:v>42272</c:v>
                </c:pt>
                <c:pt idx="318">
                  <c:v>42275</c:v>
                </c:pt>
                <c:pt idx="319">
                  <c:v>42276</c:v>
                </c:pt>
                <c:pt idx="320">
                  <c:v>42277</c:v>
                </c:pt>
                <c:pt idx="321">
                  <c:v>42278</c:v>
                </c:pt>
                <c:pt idx="322">
                  <c:v>42279</c:v>
                </c:pt>
                <c:pt idx="323">
                  <c:v>42282</c:v>
                </c:pt>
                <c:pt idx="324">
                  <c:v>42283</c:v>
                </c:pt>
                <c:pt idx="325">
                  <c:v>42284</c:v>
                </c:pt>
                <c:pt idx="326">
                  <c:v>42285</c:v>
                </c:pt>
                <c:pt idx="327">
                  <c:v>42286</c:v>
                </c:pt>
                <c:pt idx="328">
                  <c:v>42289</c:v>
                </c:pt>
                <c:pt idx="329">
                  <c:v>42290</c:v>
                </c:pt>
                <c:pt idx="330">
                  <c:v>42291</c:v>
                </c:pt>
                <c:pt idx="331">
                  <c:v>42292</c:v>
                </c:pt>
                <c:pt idx="332">
                  <c:v>42293</c:v>
                </c:pt>
                <c:pt idx="333">
                  <c:v>42296</c:v>
                </c:pt>
                <c:pt idx="334">
                  <c:v>42297</c:v>
                </c:pt>
                <c:pt idx="335">
                  <c:v>42298</c:v>
                </c:pt>
                <c:pt idx="336">
                  <c:v>42299</c:v>
                </c:pt>
                <c:pt idx="337">
                  <c:v>42300</c:v>
                </c:pt>
                <c:pt idx="338">
                  <c:v>42303</c:v>
                </c:pt>
                <c:pt idx="339">
                  <c:v>42304</c:v>
                </c:pt>
                <c:pt idx="340">
                  <c:v>42305</c:v>
                </c:pt>
                <c:pt idx="341">
                  <c:v>42306</c:v>
                </c:pt>
                <c:pt idx="342">
                  <c:v>42307</c:v>
                </c:pt>
                <c:pt idx="343">
                  <c:v>42310</c:v>
                </c:pt>
                <c:pt idx="344">
                  <c:v>42311</c:v>
                </c:pt>
                <c:pt idx="345">
                  <c:v>42312</c:v>
                </c:pt>
                <c:pt idx="346">
                  <c:v>42313</c:v>
                </c:pt>
                <c:pt idx="347">
                  <c:v>42314</c:v>
                </c:pt>
                <c:pt idx="348">
                  <c:v>42317</c:v>
                </c:pt>
                <c:pt idx="349">
                  <c:v>42318</c:v>
                </c:pt>
                <c:pt idx="350">
                  <c:v>42319</c:v>
                </c:pt>
                <c:pt idx="351">
                  <c:v>42320</c:v>
                </c:pt>
                <c:pt idx="352">
                  <c:v>42321</c:v>
                </c:pt>
                <c:pt idx="353">
                  <c:v>42324</c:v>
                </c:pt>
                <c:pt idx="354">
                  <c:v>42325</c:v>
                </c:pt>
                <c:pt idx="355">
                  <c:v>42326</c:v>
                </c:pt>
                <c:pt idx="356">
                  <c:v>42327</c:v>
                </c:pt>
                <c:pt idx="357">
                  <c:v>42328</c:v>
                </c:pt>
                <c:pt idx="358">
                  <c:v>42331</c:v>
                </c:pt>
                <c:pt idx="359">
                  <c:v>42332</c:v>
                </c:pt>
                <c:pt idx="360">
                  <c:v>42333</c:v>
                </c:pt>
                <c:pt idx="361">
                  <c:v>42334</c:v>
                </c:pt>
                <c:pt idx="362">
                  <c:v>42335</c:v>
                </c:pt>
                <c:pt idx="363">
                  <c:v>42338</c:v>
                </c:pt>
                <c:pt idx="364">
                  <c:v>42339</c:v>
                </c:pt>
                <c:pt idx="365">
                  <c:v>42340</c:v>
                </c:pt>
                <c:pt idx="366">
                  <c:v>42341</c:v>
                </c:pt>
                <c:pt idx="367">
                  <c:v>42342</c:v>
                </c:pt>
                <c:pt idx="368">
                  <c:v>42345</c:v>
                </c:pt>
                <c:pt idx="369">
                  <c:v>42346</c:v>
                </c:pt>
                <c:pt idx="370">
                  <c:v>42347</c:v>
                </c:pt>
                <c:pt idx="371">
                  <c:v>42348</c:v>
                </c:pt>
                <c:pt idx="372">
                  <c:v>42349</c:v>
                </c:pt>
                <c:pt idx="373">
                  <c:v>42352</c:v>
                </c:pt>
                <c:pt idx="374">
                  <c:v>42353</c:v>
                </c:pt>
                <c:pt idx="375">
                  <c:v>42354</c:v>
                </c:pt>
                <c:pt idx="376">
                  <c:v>42355</c:v>
                </c:pt>
                <c:pt idx="377">
                  <c:v>42356</c:v>
                </c:pt>
                <c:pt idx="378">
                  <c:v>42359</c:v>
                </c:pt>
                <c:pt idx="379">
                  <c:v>42360</c:v>
                </c:pt>
                <c:pt idx="380">
                  <c:v>42361</c:v>
                </c:pt>
                <c:pt idx="381">
                  <c:v>42362</c:v>
                </c:pt>
                <c:pt idx="382">
                  <c:v>42367</c:v>
                </c:pt>
                <c:pt idx="383">
                  <c:v>42368</c:v>
                </c:pt>
                <c:pt idx="384">
                  <c:v>42369</c:v>
                </c:pt>
                <c:pt idx="385">
                  <c:v>42373</c:v>
                </c:pt>
                <c:pt idx="386">
                  <c:v>42374</c:v>
                </c:pt>
                <c:pt idx="387">
                  <c:v>42375</c:v>
                </c:pt>
                <c:pt idx="388">
                  <c:v>42376</c:v>
                </c:pt>
                <c:pt idx="389">
                  <c:v>42377</c:v>
                </c:pt>
                <c:pt idx="390">
                  <c:v>42380</c:v>
                </c:pt>
                <c:pt idx="391">
                  <c:v>42381</c:v>
                </c:pt>
                <c:pt idx="392">
                  <c:v>42382</c:v>
                </c:pt>
                <c:pt idx="393">
                  <c:v>42383</c:v>
                </c:pt>
                <c:pt idx="394">
                  <c:v>42384</c:v>
                </c:pt>
                <c:pt idx="395">
                  <c:v>42387</c:v>
                </c:pt>
                <c:pt idx="396">
                  <c:v>42388</c:v>
                </c:pt>
                <c:pt idx="397">
                  <c:v>42389</c:v>
                </c:pt>
                <c:pt idx="398">
                  <c:v>42390</c:v>
                </c:pt>
                <c:pt idx="399">
                  <c:v>42391</c:v>
                </c:pt>
                <c:pt idx="400">
                  <c:v>42394</c:v>
                </c:pt>
                <c:pt idx="401">
                  <c:v>42395</c:v>
                </c:pt>
                <c:pt idx="402">
                  <c:v>42396</c:v>
                </c:pt>
                <c:pt idx="403">
                  <c:v>42397</c:v>
                </c:pt>
                <c:pt idx="404">
                  <c:v>42398</c:v>
                </c:pt>
                <c:pt idx="405">
                  <c:v>42401</c:v>
                </c:pt>
                <c:pt idx="406">
                  <c:v>42402</c:v>
                </c:pt>
                <c:pt idx="407">
                  <c:v>42403</c:v>
                </c:pt>
                <c:pt idx="408">
                  <c:v>42404</c:v>
                </c:pt>
                <c:pt idx="409">
                  <c:v>42405</c:v>
                </c:pt>
                <c:pt idx="410">
                  <c:v>42408</c:v>
                </c:pt>
                <c:pt idx="411">
                  <c:v>42409</c:v>
                </c:pt>
                <c:pt idx="412">
                  <c:v>42410</c:v>
                </c:pt>
                <c:pt idx="413">
                  <c:v>42411</c:v>
                </c:pt>
                <c:pt idx="414">
                  <c:v>42412</c:v>
                </c:pt>
                <c:pt idx="415">
                  <c:v>42415</c:v>
                </c:pt>
                <c:pt idx="416">
                  <c:v>42416</c:v>
                </c:pt>
                <c:pt idx="417">
                  <c:v>42417</c:v>
                </c:pt>
                <c:pt idx="418">
                  <c:v>42418</c:v>
                </c:pt>
                <c:pt idx="419">
                  <c:v>42419</c:v>
                </c:pt>
                <c:pt idx="420">
                  <c:v>42422</c:v>
                </c:pt>
                <c:pt idx="421">
                  <c:v>42423</c:v>
                </c:pt>
                <c:pt idx="422">
                  <c:v>42424</c:v>
                </c:pt>
                <c:pt idx="423">
                  <c:v>42425</c:v>
                </c:pt>
                <c:pt idx="424">
                  <c:v>42426</c:v>
                </c:pt>
                <c:pt idx="425">
                  <c:v>42429</c:v>
                </c:pt>
                <c:pt idx="426">
                  <c:v>42430</c:v>
                </c:pt>
                <c:pt idx="427">
                  <c:v>42431</c:v>
                </c:pt>
                <c:pt idx="428">
                  <c:v>42432</c:v>
                </c:pt>
                <c:pt idx="429">
                  <c:v>42433</c:v>
                </c:pt>
                <c:pt idx="430">
                  <c:v>42436</c:v>
                </c:pt>
                <c:pt idx="431">
                  <c:v>42437</c:v>
                </c:pt>
                <c:pt idx="432">
                  <c:v>42438</c:v>
                </c:pt>
                <c:pt idx="433">
                  <c:v>42439</c:v>
                </c:pt>
                <c:pt idx="434">
                  <c:v>42440</c:v>
                </c:pt>
                <c:pt idx="435">
                  <c:v>42443</c:v>
                </c:pt>
                <c:pt idx="436">
                  <c:v>42444</c:v>
                </c:pt>
                <c:pt idx="437">
                  <c:v>42445</c:v>
                </c:pt>
                <c:pt idx="438">
                  <c:v>42446</c:v>
                </c:pt>
                <c:pt idx="439">
                  <c:v>42447</c:v>
                </c:pt>
                <c:pt idx="440">
                  <c:v>42450</c:v>
                </c:pt>
                <c:pt idx="441">
                  <c:v>42451</c:v>
                </c:pt>
                <c:pt idx="442">
                  <c:v>42452</c:v>
                </c:pt>
                <c:pt idx="443">
                  <c:v>42453</c:v>
                </c:pt>
                <c:pt idx="444">
                  <c:v>42458</c:v>
                </c:pt>
                <c:pt idx="445">
                  <c:v>42459</c:v>
                </c:pt>
                <c:pt idx="446">
                  <c:v>42460</c:v>
                </c:pt>
                <c:pt idx="447">
                  <c:v>42461</c:v>
                </c:pt>
                <c:pt idx="448">
                  <c:v>42464</c:v>
                </c:pt>
                <c:pt idx="449">
                  <c:v>42465</c:v>
                </c:pt>
                <c:pt idx="450">
                  <c:v>42466</c:v>
                </c:pt>
                <c:pt idx="451">
                  <c:v>42467</c:v>
                </c:pt>
                <c:pt idx="452">
                  <c:v>42468</c:v>
                </c:pt>
                <c:pt idx="453">
                  <c:v>42471</c:v>
                </c:pt>
                <c:pt idx="454">
                  <c:v>42472</c:v>
                </c:pt>
                <c:pt idx="455">
                  <c:v>42473</c:v>
                </c:pt>
                <c:pt idx="456">
                  <c:v>42474</c:v>
                </c:pt>
                <c:pt idx="457">
                  <c:v>42475</c:v>
                </c:pt>
                <c:pt idx="458">
                  <c:v>42478</c:v>
                </c:pt>
                <c:pt idx="459">
                  <c:v>42479</c:v>
                </c:pt>
                <c:pt idx="460">
                  <c:v>42480</c:v>
                </c:pt>
                <c:pt idx="461">
                  <c:v>42481</c:v>
                </c:pt>
                <c:pt idx="462">
                  <c:v>42482</c:v>
                </c:pt>
                <c:pt idx="463">
                  <c:v>42485</c:v>
                </c:pt>
                <c:pt idx="464">
                  <c:v>42486</c:v>
                </c:pt>
                <c:pt idx="465">
                  <c:v>42487</c:v>
                </c:pt>
                <c:pt idx="466">
                  <c:v>42488</c:v>
                </c:pt>
                <c:pt idx="467">
                  <c:v>42489</c:v>
                </c:pt>
                <c:pt idx="468">
                  <c:v>42493</c:v>
                </c:pt>
                <c:pt idx="469">
                  <c:v>42494</c:v>
                </c:pt>
                <c:pt idx="470">
                  <c:v>42495</c:v>
                </c:pt>
                <c:pt idx="471">
                  <c:v>42496</c:v>
                </c:pt>
                <c:pt idx="472">
                  <c:v>42499</c:v>
                </c:pt>
                <c:pt idx="473">
                  <c:v>42500</c:v>
                </c:pt>
                <c:pt idx="474">
                  <c:v>42501</c:v>
                </c:pt>
                <c:pt idx="475">
                  <c:v>42502</c:v>
                </c:pt>
                <c:pt idx="476">
                  <c:v>42503</c:v>
                </c:pt>
                <c:pt idx="477">
                  <c:v>42506</c:v>
                </c:pt>
                <c:pt idx="478">
                  <c:v>42507</c:v>
                </c:pt>
                <c:pt idx="479">
                  <c:v>42508</c:v>
                </c:pt>
                <c:pt idx="480">
                  <c:v>42509</c:v>
                </c:pt>
                <c:pt idx="481">
                  <c:v>42510</c:v>
                </c:pt>
                <c:pt idx="482">
                  <c:v>42513</c:v>
                </c:pt>
                <c:pt idx="483">
                  <c:v>42514</c:v>
                </c:pt>
                <c:pt idx="484">
                  <c:v>42515</c:v>
                </c:pt>
                <c:pt idx="485">
                  <c:v>42516</c:v>
                </c:pt>
                <c:pt idx="486">
                  <c:v>42517</c:v>
                </c:pt>
                <c:pt idx="487">
                  <c:v>42521</c:v>
                </c:pt>
                <c:pt idx="488">
                  <c:v>42522</c:v>
                </c:pt>
                <c:pt idx="489">
                  <c:v>42523</c:v>
                </c:pt>
                <c:pt idx="490">
                  <c:v>42524</c:v>
                </c:pt>
                <c:pt idx="491">
                  <c:v>42527</c:v>
                </c:pt>
                <c:pt idx="492">
                  <c:v>42528</c:v>
                </c:pt>
                <c:pt idx="493">
                  <c:v>42529</c:v>
                </c:pt>
                <c:pt idx="494">
                  <c:v>42530</c:v>
                </c:pt>
                <c:pt idx="495">
                  <c:v>42531</c:v>
                </c:pt>
                <c:pt idx="496">
                  <c:v>42534</c:v>
                </c:pt>
                <c:pt idx="497">
                  <c:v>42535</c:v>
                </c:pt>
                <c:pt idx="498">
                  <c:v>42536</c:v>
                </c:pt>
                <c:pt idx="499">
                  <c:v>42537</c:v>
                </c:pt>
                <c:pt idx="500">
                  <c:v>42538</c:v>
                </c:pt>
                <c:pt idx="501">
                  <c:v>42541</c:v>
                </c:pt>
                <c:pt idx="502">
                  <c:v>42542</c:v>
                </c:pt>
                <c:pt idx="503">
                  <c:v>42543</c:v>
                </c:pt>
                <c:pt idx="504">
                  <c:v>42544</c:v>
                </c:pt>
                <c:pt idx="505">
                  <c:v>42545</c:v>
                </c:pt>
                <c:pt idx="506">
                  <c:v>42548</c:v>
                </c:pt>
                <c:pt idx="507">
                  <c:v>42549</c:v>
                </c:pt>
                <c:pt idx="508">
                  <c:v>42550</c:v>
                </c:pt>
                <c:pt idx="509">
                  <c:v>42551</c:v>
                </c:pt>
                <c:pt idx="510">
                  <c:v>42552</c:v>
                </c:pt>
                <c:pt idx="511">
                  <c:v>42555</c:v>
                </c:pt>
                <c:pt idx="512">
                  <c:v>42556</c:v>
                </c:pt>
                <c:pt idx="513">
                  <c:v>42557</c:v>
                </c:pt>
                <c:pt idx="514">
                  <c:v>42558</c:v>
                </c:pt>
                <c:pt idx="515">
                  <c:v>42559</c:v>
                </c:pt>
                <c:pt idx="516">
                  <c:v>42562</c:v>
                </c:pt>
                <c:pt idx="517">
                  <c:v>42563</c:v>
                </c:pt>
                <c:pt idx="518">
                  <c:v>42570</c:v>
                </c:pt>
                <c:pt idx="519">
                  <c:v>42577</c:v>
                </c:pt>
                <c:pt idx="520">
                  <c:v>42584</c:v>
                </c:pt>
                <c:pt idx="521">
                  <c:v>42591</c:v>
                </c:pt>
                <c:pt idx="522">
                  <c:v>42598</c:v>
                </c:pt>
                <c:pt idx="523">
                  <c:v>42605</c:v>
                </c:pt>
                <c:pt idx="524">
                  <c:v>42613</c:v>
                </c:pt>
                <c:pt idx="525">
                  <c:v>42619</c:v>
                </c:pt>
                <c:pt idx="526">
                  <c:v>42626</c:v>
                </c:pt>
                <c:pt idx="527">
                  <c:v>42633</c:v>
                </c:pt>
                <c:pt idx="528">
                  <c:v>42640</c:v>
                </c:pt>
                <c:pt idx="529">
                  <c:v>42647</c:v>
                </c:pt>
                <c:pt idx="530">
                  <c:v>42654</c:v>
                </c:pt>
                <c:pt idx="531">
                  <c:v>42661</c:v>
                </c:pt>
                <c:pt idx="532">
                  <c:v>42668</c:v>
                </c:pt>
                <c:pt idx="533">
                  <c:v>42675</c:v>
                </c:pt>
                <c:pt idx="534">
                  <c:v>42682</c:v>
                </c:pt>
                <c:pt idx="535">
                  <c:v>42689</c:v>
                </c:pt>
                <c:pt idx="536">
                  <c:v>42696</c:v>
                </c:pt>
                <c:pt idx="537">
                  <c:v>42703</c:v>
                </c:pt>
                <c:pt idx="538">
                  <c:v>42710</c:v>
                </c:pt>
                <c:pt idx="539">
                  <c:v>42717</c:v>
                </c:pt>
                <c:pt idx="540">
                  <c:v>42724</c:v>
                </c:pt>
                <c:pt idx="541">
                  <c:v>42733</c:v>
                </c:pt>
                <c:pt idx="542">
                  <c:v>42739</c:v>
                </c:pt>
                <c:pt idx="543">
                  <c:v>42745</c:v>
                </c:pt>
                <c:pt idx="544">
                  <c:v>42752</c:v>
                </c:pt>
                <c:pt idx="545">
                  <c:v>42759</c:v>
                </c:pt>
                <c:pt idx="546">
                  <c:v>42766</c:v>
                </c:pt>
                <c:pt idx="547">
                  <c:v>42773</c:v>
                </c:pt>
                <c:pt idx="548">
                  <c:v>42780</c:v>
                </c:pt>
                <c:pt idx="549">
                  <c:v>42787</c:v>
                </c:pt>
                <c:pt idx="550">
                  <c:v>42794</c:v>
                </c:pt>
                <c:pt idx="551">
                  <c:v>42801</c:v>
                </c:pt>
                <c:pt idx="552">
                  <c:v>42808</c:v>
                </c:pt>
                <c:pt idx="553">
                  <c:v>42815</c:v>
                </c:pt>
                <c:pt idx="554">
                  <c:v>42822</c:v>
                </c:pt>
                <c:pt idx="555">
                  <c:v>42829</c:v>
                </c:pt>
                <c:pt idx="556">
                  <c:v>42836</c:v>
                </c:pt>
                <c:pt idx="557">
                  <c:v>42845</c:v>
                </c:pt>
                <c:pt idx="558">
                  <c:v>42852</c:v>
                </c:pt>
                <c:pt idx="559">
                  <c:v>42859</c:v>
                </c:pt>
                <c:pt idx="560">
                  <c:v>42866</c:v>
                </c:pt>
                <c:pt idx="561">
                  <c:v>42873</c:v>
                </c:pt>
                <c:pt idx="562">
                  <c:v>42880</c:v>
                </c:pt>
                <c:pt idx="563">
                  <c:v>42887</c:v>
                </c:pt>
                <c:pt idx="564">
                  <c:v>42894</c:v>
                </c:pt>
                <c:pt idx="565">
                  <c:v>42901</c:v>
                </c:pt>
                <c:pt idx="566">
                  <c:v>42908</c:v>
                </c:pt>
                <c:pt idx="567">
                  <c:v>42915</c:v>
                </c:pt>
                <c:pt idx="568">
                  <c:v>42922</c:v>
                </c:pt>
                <c:pt idx="569">
                  <c:v>42929</c:v>
                </c:pt>
                <c:pt idx="570">
                  <c:v>42936</c:v>
                </c:pt>
                <c:pt idx="571">
                  <c:v>42943</c:v>
                </c:pt>
                <c:pt idx="572">
                  <c:v>42950</c:v>
                </c:pt>
                <c:pt idx="573">
                  <c:v>42957</c:v>
                </c:pt>
                <c:pt idx="574">
                  <c:v>42964</c:v>
                </c:pt>
                <c:pt idx="575">
                  <c:v>42971</c:v>
                </c:pt>
                <c:pt idx="576">
                  <c:v>42978</c:v>
                </c:pt>
                <c:pt idx="577">
                  <c:v>42985</c:v>
                </c:pt>
                <c:pt idx="578">
                  <c:v>42992</c:v>
                </c:pt>
                <c:pt idx="579">
                  <c:v>42999</c:v>
                </c:pt>
                <c:pt idx="580">
                  <c:v>43006</c:v>
                </c:pt>
                <c:pt idx="581">
                  <c:v>43013</c:v>
                </c:pt>
                <c:pt idx="582">
                  <c:v>43020</c:v>
                </c:pt>
                <c:pt idx="583">
                  <c:v>43027</c:v>
                </c:pt>
                <c:pt idx="584">
                  <c:v>43034</c:v>
                </c:pt>
                <c:pt idx="585">
                  <c:v>43041</c:v>
                </c:pt>
                <c:pt idx="586">
                  <c:v>43048</c:v>
                </c:pt>
                <c:pt idx="587">
                  <c:v>43055</c:v>
                </c:pt>
                <c:pt idx="588">
                  <c:v>43062</c:v>
                </c:pt>
                <c:pt idx="589">
                  <c:v>43069</c:v>
                </c:pt>
                <c:pt idx="590">
                  <c:v>43076</c:v>
                </c:pt>
                <c:pt idx="591">
                  <c:v>43083</c:v>
                </c:pt>
                <c:pt idx="592">
                  <c:v>43090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9.7694022479721809E-4</c:v>
                </c:pt>
                <c:pt idx="1">
                  <c:v>1.0084348185198763E-3</c:v>
                </c:pt>
                <c:pt idx="2">
                  <c:v>1.1746752613894438E-3</c:v>
                </c:pt>
                <c:pt idx="3">
                  <c:v>1.229410415898911E-3</c:v>
                </c:pt>
                <c:pt idx="4">
                  <c:v>1.3111147958013512E-3</c:v>
                </c:pt>
                <c:pt idx="5">
                  <c:v>1.3496747698260592E-3</c:v>
                </c:pt>
                <c:pt idx="6">
                  <c:v>1.5147614308784428E-3</c:v>
                </c:pt>
                <c:pt idx="7">
                  <c:v>1.5147614308784428E-3</c:v>
                </c:pt>
                <c:pt idx="8">
                  <c:v>1.5490643370636777E-3</c:v>
                </c:pt>
                <c:pt idx="9">
                  <c:v>1.5897576976369784E-3</c:v>
                </c:pt>
                <c:pt idx="10">
                  <c:v>1.6113059110628436E-3</c:v>
                </c:pt>
                <c:pt idx="11">
                  <c:v>1.6309936944910561E-3</c:v>
                </c:pt>
                <c:pt idx="12">
                  <c:v>1.6857397346567706E-3</c:v>
                </c:pt>
                <c:pt idx="13">
                  <c:v>1.6989000977631467E-3</c:v>
                </c:pt>
                <c:pt idx="14">
                  <c:v>1.7122244864512224E-3</c:v>
                </c:pt>
                <c:pt idx="15">
                  <c:v>1.71975821291942E-3</c:v>
                </c:pt>
                <c:pt idx="16">
                  <c:v>1.7259735980512312E-3</c:v>
                </c:pt>
                <c:pt idx="17">
                  <c:v>1.7387218539576291E-3</c:v>
                </c:pt>
                <c:pt idx="18">
                  <c:v>1.7407403708596409E-3</c:v>
                </c:pt>
                <c:pt idx="19">
                  <c:v>1.7425845252207767E-3</c:v>
                </c:pt>
                <c:pt idx="20">
                  <c:v>1.7430185602754476E-3</c:v>
                </c:pt>
                <c:pt idx="21">
                  <c:v>1.743132752543286E-3</c:v>
                </c:pt>
                <c:pt idx="22">
                  <c:v>1.7437144095394832E-3</c:v>
                </c:pt>
                <c:pt idx="23">
                  <c:v>1.7442949751067169E-3</c:v>
                </c:pt>
                <c:pt idx="24">
                  <c:v>1.7447481070682613E-3</c:v>
                </c:pt>
                <c:pt idx="25">
                  <c:v>1.7451755307301504E-3</c:v>
                </c:pt>
                <c:pt idx="26">
                  <c:v>1.7455215056411122E-3</c:v>
                </c:pt>
                <c:pt idx="27">
                  <c:v>1.7461590076066839E-3</c:v>
                </c:pt>
                <c:pt idx="28">
                  <c:v>1.7461997861485175E-3</c:v>
                </c:pt>
                <c:pt idx="29">
                  <c:v>1.7456472037117008E-3</c:v>
                </c:pt>
                <c:pt idx="30">
                  <c:v>1.7457661780634348E-3</c:v>
                </c:pt>
                <c:pt idx="31">
                  <c:v>1.7458594470909361E-3</c:v>
                </c:pt>
                <c:pt idx="32">
                  <c:v>1.7448250960757747E-3</c:v>
                </c:pt>
                <c:pt idx="33">
                  <c:v>1.7443260875509507E-3</c:v>
                </c:pt>
                <c:pt idx="34">
                  <c:v>1.7426939025977364E-3</c:v>
                </c:pt>
                <c:pt idx="35">
                  <c:v>1.7425429964343375E-3</c:v>
                </c:pt>
                <c:pt idx="36">
                  <c:v>1.7423663875641481E-3</c:v>
                </c:pt>
                <c:pt idx="37">
                  <c:v>1.7397126762463608E-3</c:v>
                </c:pt>
                <c:pt idx="38">
                  <c:v>1.7386738811448102E-3</c:v>
                </c:pt>
                <c:pt idx="39">
                  <c:v>1.73596205857733E-3</c:v>
                </c:pt>
                <c:pt idx="40">
                  <c:v>1.7355412903993783E-3</c:v>
                </c:pt>
                <c:pt idx="41">
                  <c:v>1.7350948221420944E-3</c:v>
                </c:pt>
                <c:pt idx="42">
                  <c:v>1.7292431724456835E-3</c:v>
                </c:pt>
                <c:pt idx="43">
                  <c:v>1.7254715747744792E-3</c:v>
                </c:pt>
                <c:pt idx="44">
                  <c:v>1.7247815847978853E-3</c:v>
                </c:pt>
                <c:pt idx="45">
                  <c:v>1.7229612200289623E-3</c:v>
                </c:pt>
                <c:pt idx="46">
                  <c:v>1.717469773132585E-3</c:v>
                </c:pt>
                <c:pt idx="47">
                  <c:v>1.717469773132585E-3</c:v>
                </c:pt>
                <c:pt idx="48">
                  <c:v>1.7154158051981838E-3</c:v>
                </c:pt>
                <c:pt idx="49">
                  <c:v>1.7109622540256719E-3</c:v>
                </c:pt>
                <c:pt idx="50">
                  <c:v>1.7100006322160717E-3</c:v>
                </c:pt>
                <c:pt idx="51">
                  <c:v>1.7045972211082727E-3</c:v>
                </c:pt>
                <c:pt idx="52">
                  <c:v>1.7023577994761396E-3</c:v>
                </c:pt>
                <c:pt idx="53">
                  <c:v>1.7001044909097374E-3</c:v>
                </c:pt>
                <c:pt idx="54">
                  <c:v>1.6945034010375857E-3</c:v>
                </c:pt>
                <c:pt idx="55">
                  <c:v>1.6933688926629165E-3</c:v>
                </c:pt>
                <c:pt idx="56">
                  <c:v>1.6887998638432933E-3</c:v>
                </c:pt>
                <c:pt idx="57">
                  <c:v>1.686565365475623E-3</c:v>
                </c:pt>
                <c:pt idx="58">
                  <c:v>1.684351024074715E-3</c:v>
                </c:pt>
                <c:pt idx="59">
                  <c:v>1.6802544781385764E-3</c:v>
                </c:pt>
                <c:pt idx="60">
                  <c:v>1.6790675775744542E-3</c:v>
                </c:pt>
                <c:pt idx="61">
                  <c:v>1.6737518903573445E-3</c:v>
                </c:pt>
                <c:pt idx="62">
                  <c:v>1.671760621999141E-3</c:v>
                </c:pt>
                <c:pt idx="63">
                  <c:v>1.6698235543302076E-3</c:v>
                </c:pt>
                <c:pt idx="64">
                  <c:v>1.6664938465868473E-3</c:v>
                </c:pt>
                <c:pt idx="65">
                  <c:v>1.6654285225303767E-3</c:v>
                </c:pt>
                <c:pt idx="66">
                  <c:v>1.6610995592092337E-3</c:v>
                </c:pt>
                <c:pt idx="67">
                  <c:v>1.6589944352467737E-3</c:v>
                </c:pt>
                <c:pt idx="68">
                  <c:v>1.6565646445545277E-3</c:v>
                </c:pt>
                <c:pt idx="69">
                  <c:v>1.6557164410063718E-3</c:v>
                </c:pt>
                <c:pt idx="70">
                  <c:v>1.6548911755689328E-3</c:v>
                </c:pt>
                <c:pt idx="71">
                  <c:v>1.6514070343972313E-3</c:v>
                </c:pt>
                <c:pt idx="72">
                  <c:v>1.6503832357977852E-3</c:v>
                </c:pt>
                <c:pt idx="73">
                  <c:v>1.6489164474485887E-3</c:v>
                </c:pt>
                <c:pt idx="74">
                  <c:v>1.6483090483696006E-3</c:v>
                </c:pt>
                <c:pt idx="75">
                  <c:v>1.6477245851175307E-3</c:v>
                </c:pt>
                <c:pt idx="76">
                  <c:v>1.6451427889316575E-3</c:v>
                </c:pt>
                <c:pt idx="77">
                  <c:v>1.6451427889316575E-3</c:v>
                </c:pt>
                <c:pt idx="78">
                  <c:v>1.6446390325172448E-3</c:v>
                </c:pt>
                <c:pt idx="79">
                  <c:v>1.6442724219339899E-3</c:v>
                </c:pt>
                <c:pt idx="80">
                  <c:v>1.643928744933422E-3</c:v>
                </c:pt>
                <c:pt idx="81">
                  <c:v>1.6433338176853115E-3</c:v>
                </c:pt>
                <c:pt idx="82">
                  <c:v>1.6432730900842992E-3</c:v>
                </c:pt>
                <c:pt idx="83">
                  <c:v>1.6437323957951835E-3</c:v>
                </c:pt>
                <c:pt idx="84">
                  <c:v>1.6436065580649473E-3</c:v>
                </c:pt>
                <c:pt idx="85">
                  <c:v>1.643503651710864E-3</c:v>
                </c:pt>
                <c:pt idx="86">
                  <c:v>1.6447394676785687E-3</c:v>
                </c:pt>
                <c:pt idx="87">
                  <c:v>1.6447741376312034E-3</c:v>
                </c:pt>
                <c:pt idx="88">
                  <c:v>1.644831737388941E-3</c:v>
                </c:pt>
                <c:pt idx="89">
                  <c:v>1.6449122666362115E-3</c:v>
                </c:pt>
                <c:pt idx="90">
                  <c:v>1.6450157250637507E-3</c:v>
                </c:pt>
                <c:pt idx="91">
                  <c:v>1.6481395988989789E-3</c:v>
                </c:pt>
                <c:pt idx="92">
                  <c:v>1.6490075426771611E-3</c:v>
                </c:pt>
                <c:pt idx="93">
                  <c:v>1.6499442769806194E-3</c:v>
                </c:pt>
                <c:pt idx="94">
                  <c:v>1.6523871186860384E-3</c:v>
                </c:pt>
                <c:pt idx="95">
                  <c:v>1.6527657076098781E-3</c:v>
                </c:pt>
                <c:pt idx="96">
                  <c:v>1.6556598069739081E-3</c:v>
                </c:pt>
                <c:pt idx="97">
                  <c:v>1.6584275532967041E-3</c:v>
                </c:pt>
                <c:pt idx="98">
                  <c:v>1.6584275532967041E-3</c:v>
                </c:pt>
                <c:pt idx="99">
                  <c:v>1.6618335510623639E-3</c:v>
                </c:pt>
                <c:pt idx="100">
                  <c:v>1.6624528647946773E-3</c:v>
                </c:pt>
                <c:pt idx="101">
                  <c:v>1.6665507565827298E-3</c:v>
                </c:pt>
                <c:pt idx="102">
                  <c:v>1.6683817696012682E-3</c:v>
                </c:pt>
                <c:pt idx="103">
                  <c:v>1.6702815734808141E-3</c:v>
                </c:pt>
                <c:pt idx="104">
                  <c:v>1.6746507617926287E-3</c:v>
                </c:pt>
                <c:pt idx="105">
                  <c:v>1.6755107850700611E-3</c:v>
                </c:pt>
                <c:pt idx="106">
                  <c:v>1.6808124569100968E-3</c:v>
                </c:pt>
                <c:pt idx="107">
                  <c:v>1.68870608880019E-3</c:v>
                </c:pt>
                <c:pt idx="108">
                  <c:v>1.6897609652868149E-3</c:v>
                </c:pt>
                <c:pt idx="109">
                  <c:v>1.6949376562511924E-3</c:v>
                </c:pt>
                <c:pt idx="110">
                  <c:v>1.6949376562511924E-3</c:v>
                </c:pt>
                <c:pt idx="111">
                  <c:v>1.7016122777549492E-3</c:v>
                </c:pt>
                <c:pt idx="112">
                  <c:v>1.7028508439939549E-3</c:v>
                </c:pt>
                <c:pt idx="113">
                  <c:v>1.7091300614925265E-3</c:v>
                </c:pt>
                <c:pt idx="114">
                  <c:v>1.7104501320183707E-3</c:v>
                </c:pt>
                <c:pt idx="115">
                  <c:v>1.7117932232774673E-3</c:v>
                </c:pt>
                <c:pt idx="116">
                  <c:v>1.7214145269873354E-3</c:v>
                </c:pt>
                <c:pt idx="117">
                  <c:v>1.7247769299988391E-3</c:v>
                </c:pt>
                <c:pt idx="118">
                  <c:v>1.7321758282686582E-3</c:v>
                </c:pt>
                <c:pt idx="119">
                  <c:v>1.733747712068523E-3</c:v>
                </c:pt>
                <c:pt idx="120">
                  <c:v>1.7353433334748967E-3</c:v>
                </c:pt>
                <c:pt idx="121">
                  <c:v>1.746648462462684E-3</c:v>
                </c:pt>
                <c:pt idx="122">
                  <c:v>1.7505854297851554E-3</c:v>
                </c:pt>
                <c:pt idx="123">
                  <c:v>1.7615504576241811E-3</c:v>
                </c:pt>
                <c:pt idx="124">
                  <c:v>1.7634082456918778E-3</c:v>
                </c:pt>
                <c:pt idx="125">
                  <c:v>1.7652918552010788E-3</c:v>
                </c:pt>
                <c:pt idx="126">
                  <c:v>1.7760438864131414E-3</c:v>
                </c:pt>
                <c:pt idx="127">
                  <c:v>1.7806019310181191E-3</c:v>
                </c:pt>
                <c:pt idx="128">
                  <c:v>1.7905208066251986E-3</c:v>
                </c:pt>
                <c:pt idx="129">
                  <c:v>1.809926393027737E-3</c:v>
                </c:pt>
                <c:pt idx="130">
                  <c:v>1.8151518708613996E-3</c:v>
                </c:pt>
                <c:pt idx="131">
                  <c:v>1.8175472217860644E-3</c:v>
                </c:pt>
                <c:pt idx="132">
                  <c:v>1.8314176140369952E-3</c:v>
                </c:pt>
                <c:pt idx="133">
                  <c:v>1.8485673246434573E-3</c:v>
                </c:pt>
                <c:pt idx="134">
                  <c:v>1.8544803327266266E-3</c:v>
                </c:pt>
                <c:pt idx="135">
                  <c:v>1.8671345097789139E-3</c:v>
                </c:pt>
                <c:pt idx="136">
                  <c:v>1.8699552361731153E-3</c:v>
                </c:pt>
                <c:pt idx="137">
                  <c:v>1.8728086727026749E-3</c:v>
                </c:pt>
                <c:pt idx="138">
                  <c:v>1.8920209895652519E-3</c:v>
                </c:pt>
                <c:pt idx="139">
                  <c:v>1.8986215352468881E-3</c:v>
                </c:pt>
                <c:pt idx="140">
                  <c:v>1.9163659248183967E-3</c:v>
                </c:pt>
                <c:pt idx="141">
                  <c:v>1.9195465516006686E-3</c:v>
                </c:pt>
                <c:pt idx="142">
                  <c:v>1.9227598844395732E-3</c:v>
                </c:pt>
                <c:pt idx="143">
                  <c:v>1.9475755332969986E-3</c:v>
                </c:pt>
                <c:pt idx="144">
                  <c:v>1.9475755332969986E-3</c:v>
                </c:pt>
                <c:pt idx="145">
                  <c:v>1.9629809082356464E-3</c:v>
                </c:pt>
                <c:pt idx="146">
                  <c:v>1.9664886721304509E-3</c:v>
                </c:pt>
                <c:pt idx="147">
                  <c:v>1.9700291377952863E-3</c:v>
                </c:pt>
                <c:pt idx="148">
                  <c:v>1.9933667413791194E-3</c:v>
                </c:pt>
                <c:pt idx="149">
                  <c:v>2.0013423877289268E-3</c:v>
                </c:pt>
                <c:pt idx="150">
                  <c:v>2.0051118248964883E-3</c:v>
                </c:pt>
                <c:pt idx="151">
                  <c:v>2.008913960005312E-3</c:v>
                </c:pt>
                <c:pt idx="152">
                  <c:v>2.0127487924120097E-3</c:v>
                </c:pt>
                <c:pt idx="153">
                  <c:v>2.0377066522222643E-3</c:v>
                </c:pt>
                <c:pt idx="154">
                  <c:v>2.046222381735241E-3</c:v>
                </c:pt>
                <c:pt idx="155">
                  <c:v>2.0548363330274988E-3</c:v>
                </c:pt>
                <c:pt idx="156">
                  <c:v>2.0635485062931685E-3</c:v>
                </c:pt>
                <c:pt idx="157">
                  <c:v>2.0723589017349448E-3</c:v>
                </c:pt>
                <c:pt idx="158">
                  <c:v>2.0993794231410107E-3</c:v>
                </c:pt>
                <c:pt idx="159">
                  <c:v>2.1085827093255839E-3</c:v>
                </c:pt>
                <c:pt idx="160">
                  <c:v>2.1178842187168684E-3</c:v>
                </c:pt>
                <c:pt idx="161">
                  <c:v>2.1272839515261233E-3</c:v>
                </c:pt>
                <c:pt idx="162">
                  <c:v>2.1367819079731731E-3</c:v>
                </c:pt>
                <c:pt idx="163">
                  <c:v>2.1757559745015443E-3</c:v>
                </c:pt>
                <c:pt idx="164">
                  <c:v>2.1757559745015443E-3</c:v>
                </c:pt>
                <c:pt idx="165">
                  <c:v>2.1857450524349303E-3</c:v>
                </c:pt>
                <c:pt idx="166">
                  <c:v>2.1958323553421849E-3</c:v>
                </c:pt>
                <c:pt idx="167">
                  <c:v>2.2060178834602618E-3</c:v>
                </c:pt>
                <c:pt idx="168">
                  <c:v>2.2371638213861517E-3</c:v>
                </c:pt>
                <c:pt idx="169">
                  <c:v>2.2477422526827923E-3</c:v>
                </c:pt>
                <c:pt idx="170">
                  <c:v>2.2584189103750213E-3</c:v>
                </c:pt>
                <c:pt idx="171">
                  <c:v>2.2691937947083574E-3</c:v>
                </c:pt>
                <c:pt idx="172">
                  <c:v>2.3031163331616034E-3</c:v>
                </c:pt>
                <c:pt idx="173">
                  <c:v>2.3309496202455859E-3</c:v>
                </c:pt>
                <c:pt idx="174">
                  <c:v>2.3665659800014638E-3</c:v>
                </c:pt>
                <c:pt idx="175">
                  <c:v>2.372116629097649E-3</c:v>
                </c:pt>
                <c:pt idx="176">
                  <c:v>2.3776998781478331E-3</c:v>
                </c:pt>
                <c:pt idx="177">
                  <c:v>2.3833157196909149E-3</c:v>
                </c:pt>
                <c:pt idx="178">
                  <c:v>2.4128456653420057E-3</c:v>
                </c:pt>
                <c:pt idx="179">
                  <c:v>2.4249306023698698E-3</c:v>
                </c:pt>
                <c:pt idx="180">
                  <c:v>2.4499139873324083E-3</c:v>
                </c:pt>
                <c:pt idx="181">
                  <c:v>2.4558209387445795E-3</c:v>
                </c:pt>
                <c:pt idx="182">
                  <c:v>2.4617602681128196E-3</c:v>
                </c:pt>
                <c:pt idx="183">
                  <c:v>2.4994489720718146E-3</c:v>
                </c:pt>
                <c:pt idx="184">
                  <c:v>2.5122020499507114E-3</c:v>
                </c:pt>
                <c:pt idx="185">
                  <c:v>2.5385122628364021E-3</c:v>
                </c:pt>
                <c:pt idx="186">
                  <c:v>2.5447550106189043E-3</c:v>
                </c:pt>
                <c:pt idx="187">
                  <c:v>2.5510296508658042E-3</c:v>
                </c:pt>
                <c:pt idx="188">
                  <c:v>2.5907065591666075E-3</c:v>
                </c:pt>
                <c:pt idx="189">
                  <c:v>2.6041202094732293E-3</c:v>
                </c:pt>
                <c:pt idx="190">
                  <c:v>2.6317461318785137E-3</c:v>
                </c:pt>
                <c:pt idx="191">
                  <c:v>2.6383190625775543E-3</c:v>
                </c:pt>
                <c:pt idx="192">
                  <c:v>2.6449230665585629E-3</c:v>
                </c:pt>
                <c:pt idx="193">
                  <c:v>2.6865671002277687E-3</c:v>
                </c:pt>
                <c:pt idx="194">
                  <c:v>2.6933420038419698E-3</c:v>
                </c:pt>
                <c:pt idx="195">
                  <c:v>2.7074568472693628E-3</c:v>
                </c:pt>
                <c:pt idx="196">
                  <c:v>2.7439198525494846E-3</c:v>
                </c:pt>
                <c:pt idx="197">
                  <c:v>2.7941081886515562E-3</c:v>
                </c:pt>
                <c:pt idx="198">
                  <c:v>2.808877128834375E-3</c:v>
                </c:pt>
                <c:pt idx="199">
                  <c:v>2.8392004301003304E-3</c:v>
                </c:pt>
                <c:pt idx="200">
                  <c:v>2.8464570058889787E-3</c:v>
                </c:pt>
                <c:pt idx="201">
                  <c:v>2.8841234930538917E-3</c:v>
                </c:pt>
                <c:pt idx="202">
                  <c:v>2.8994531010182456E-3</c:v>
                </c:pt>
                <c:pt idx="203">
                  <c:v>2.9148761548549729E-3</c:v>
                </c:pt>
                <c:pt idx="204">
                  <c:v>2.9465094195596508E-3</c:v>
                </c:pt>
                <c:pt idx="205">
                  <c:v>2.9540921960690887E-3</c:v>
                </c:pt>
                <c:pt idx="206">
                  <c:v>2.9933931247834167E-3</c:v>
                </c:pt>
                <c:pt idx="207">
                  <c:v>3.0093768614856131E-3</c:v>
                </c:pt>
                <c:pt idx="208">
                  <c:v>3.0254540466234658E-3</c:v>
                </c:pt>
                <c:pt idx="209">
                  <c:v>3.0668307755780818E-3</c:v>
                </c:pt>
                <c:pt idx="210">
                  <c:v>3.0747552642709786E-3</c:v>
                </c:pt>
                <c:pt idx="211">
                  <c:v>3.1072417121063012E-3</c:v>
                </c:pt>
                <c:pt idx="212">
                  <c:v>3.1238795958330456E-3</c:v>
                </c:pt>
                <c:pt idx="213">
                  <c:v>3.1406109306733043E-3</c:v>
                </c:pt>
                <c:pt idx="214">
                  <c:v>3.1487681955835634E-3</c:v>
                </c:pt>
                <c:pt idx="215">
                  <c:v>3.1830996538197557E-3</c:v>
                </c:pt>
                <c:pt idx="216">
                  <c:v>3.2518946561623007E-3</c:v>
                </c:pt>
                <c:pt idx="217">
                  <c:v>3.2873811998144413E-3</c:v>
                </c:pt>
                <c:pt idx="218">
                  <c:v>3.2959111992261758E-3</c:v>
                </c:pt>
                <c:pt idx="219">
                  <c:v>3.3044721921698401E-3</c:v>
                </c:pt>
                <c:pt idx="220">
                  <c:v>3.3578908416427087E-3</c:v>
                </c:pt>
                <c:pt idx="221">
                  <c:v>3.3758839742317479E-3</c:v>
                </c:pt>
                <c:pt idx="222">
                  <c:v>3.4126812626247083E-3</c:v>
                </c:pt>
                <c:pt idx="223">
                  <c:v>3.4215372034054892E-3</c:v>
                </c:pt>
                <c:pt idx="224">
                  <c:v>3.4304241263940424E-3</c:v>
                </c:pt>
                <c:pt idx="225">
                  <c:v>3.4858054193675331E-3</c:v>
                </c:pt>
                <c:pt idx="226">
                  <c:v>3.5044527726161541E-3</c:v>
                </c:pt>
                <c:pt idx="227">
                  <c:v>3.5425610260779324E-3</c:v>
                </c:pt>
                <c:pt idx="228">
                  <c:v>3.5517428306330867E-3</c:v>
                </c:pt>
                <c:pt idx="229">
                  <c:v>3.5609556054158162E-3</c:v>
                </c:pt>
                <c:pt idx="230">
                  <c:v>3.6376012033332724E-3</c:v>
                </c:pt>
                <c:pt idx="231">
                  <c:v>3.6770118031157688E-3</c:v>
                </c:pt>
                <c:pt idx="232">
                  <c:v>3.6865191128052088E-3</c:v>
                </c:pt>
                <c:pt idx="233">
                  <c:v>3.7061355330833545E-3</c:v>
                </c:pt>
                <c:pt idx="234">
                  <c:v>3.7451286545922002E-3</c:v>
                </c:pt>
                <c:pt idx="235">
                  <c:v>3.765004762125379E-3</c:v>
                </c:pt>
                <c:pt idx="236">
                  <c:v>3.8157325125903249E-3</c:v>
                </c:pt>
                <c:pt idx="237">
                  <c:v>3.8255555529936869E-3</c:v>
                </c:pt>
                <c:pt idx="238">
                  <c:v>3.8354088769238497E-3</c:v>
                </c:pt>
                <c:pt idx="239">
                  <c:v>3.8858758958193462E-3</c:v>
                </c:pt>
                <c:pt idx="240">
                  <c:v>3.9062699776799548E-3</c:v>
                </c:pt>
                <c:pt idx="241">
                  <c:v>3.9267294035774114E-3</c:v>
                </c:pt>
                <c:pt idx="242">
                  <c:v>3.9681782436337687E-3</c:v>
                </c:pt>
                <c:pt idx="243">
                  <c:v>3.9783145000266322E-3</c:v>
                </c:pt>
                <c:pt idx="244">
                  <c:v>4.0299309841387299E-3</c:v>
                </c:pt>
                <c:pt idx="245">
                  <c:v>4.0507370483755523E-3</c:v>
                </c:pt>
                <c:pt idx="246">
                  <c:v>4.0715933145509808E-3</c:v>
                </c:pt>
                <c:pt idx="247">
                  <c:v>4.1136916116188416E-3</c:v>
                </c:pt>
                <c:pt idx="248">
                  <c:v>4.1240562185601752E-3</c:v>
                </c:pt>
                <c:pt idx="249">
                  <c:v>4.1765519616365765E-3</c:v>
                </c:pt>
                <c:pt idx="250">
                  <c:v>4.1976640114969044E-3</c:v>
                </c:pt>
                <c:pt idx="251">
                  <c:v>4.2188111204994883E-3</c:v>
                </c:pt>
                <c:pt idx="252">
                  <c:v>4.2614000504889726E-3</c:v>
                </c:pt>
                <c:pt idx="253">
                  <c:v>4.2719159859938571E-3</c:v>
                </c:pt>
                <c:pt idx="254">
                  <c:v>4.3250065719613318E-3</c:v>
                </c:pt>
                <c:pt idx="255">
                  <c:v>4.3571042310016732E-3</c:v>
                </c:pt>
                <c:pt idx="256">
                  <c:v>4.4000757258253684E-3</c:v>
                </c:pt>
                <c:pt idx="257">
                  <c:v>4.4106809398439251E-3</c:v>
                </c:pt>
                <c:pt idx="258">
                  <c:v>4.4857437451805903E-3</c:v>
                </c:pt>
                <c:pt idx="259">
                  <c:v>4.4857437451805903E-3</c:v>
                </c:pt>
                <c:pt idx="260">
                  <c:v>4.5072836666812301E-3</c:v>
                </c:pt>
                <c:pt idx="261">
                  <c:v>4.5506589168933043E-3</c:v>
                </c:pt>
                <c:pt idx="262">
                  <c:v>4.5613622672893706E-3</c:v>
                </c:pt>
                <c:pt idx="263">
                  <c:v>4.5720748671659785E-3</c:v>
                </c:pt>
                <c:pt idx="264">
                  <c:v>4.6371232249629458E-3</c:v>
                </c:pt>
                <c:pt idx="265">
                  <c:v>4.65886315770986E-3</c:v>
                </c:pt>
                <c:pt idx="266">
                  <c:v>4.7026423414055852E-3</c:v>
                </c:pt>
                <c:pt idx="267">
                  <c:v>4.7134437509557814E-3</c:v>
                </c:pt>
                <c:pt idx="268">
                  <c:v>4.7242543986454836E-3</c:v>
                </c:pt>
                <c:pt idx="269">
                  <c:v>4.7899028069910542E-3</c:v>
                </c:pt>
                <c:pt idx="270">
                  <c:v>4.8118427588360281E-3</c:v>
                </c:pt>
                <c:pt idx="271">
                  <c:v>4.8560260578003134E-3</c:v>
                </c:pt>
                <c:pt idx="272">
                  <c:v>4.8669254475453005E-3</c:v>
                </c:pt>
                <c:pt idx="273">
                  <c:v>4.8778340638423422E-3</c:v>
                </c:pt>
                <c:pt idx="274">
                  <c:v>4.9440825464491618E-3</c:v>
                </c:pt>
                <c:pt idx="275">
                  <c:v>4.9662225253187565E-3</c:v>
                </c:pt>
                <c:pt idx="276">
                  <c:v>4.9771963058864443E-3</c:v>
                </c:pt>
                <c:pt idx="277">
                  <c:v>4.9881793035283697E-3</c:v>
                </c:pt>
                <c:pt idx="278">
                  <c:v>4.9991715168706818E-3</c:v>
                </c:pt>
                <c:pt idx="279">
                  <c:v>5.099662499026914E-3</c:v>
                </c:pt>
                <c:pt idx="280">
                  <c:v>5.1220025129198928E-3</c:v>
                </c:pt>
                <c:pt idx="281">
                  <c:v>5.1783211226631631E-3</c:v>
                </c:pt>
                <c:pt idx="282">
                  <c:v>5.1894209936455904E-3</c:v>
                </c:pt>
                <c:pt idx="283">
                  <c:v>5.200530066906961E-3</c:v>
                </c:pt>
                <c:pt idx="284">
                  <c:v>5.2566427209245169E-3</c:v>
                </c:pt>
                <c:pt idx="285">
                  <c:v>5.2791827779118429E-3</c:v>
                </c:pt>
                <c:pt idx="286">
                  <c:v>5.3245795507846213E-3</c:v>
                </c:pt>
                <c:pt idx="287">
                  <c:v>5.3357723897701215E-3</c:v>
                </c:pt>
                <c:pt idx="288">
                  <c:v>5.346974419017712E-3</c:v>
                </c:pt>
                <c:pt idx="289">
                  <c:v>5.4150232688501563E-3</c:v>
                </c:pt>
                <c:pt idx="290">
                  <c:v>5.4377633770672576E-3</c:v>
                </c:pt>
                <c:pt idx="291">
                  <c:v>5.4835650299081811E-3</c:v>
                </c:pt>
                <c:pt idx="292">
                  <c:v>5.4948555155751033E-3</c:v>
                </c:pt>
                <c:pt idx="293">
                  <c:v>5.5061551788942471E-3</c:v>
                </c:pt>
                <c:pt idx="294">
                  <c:v>5.5748042000071073E-3</c:v>
                </c:pt>
                <c:pt idx="295">
                  <c:v>5.5977443676719267E-3</c:v>
                </c:pt>
                <c:pt idx="296">
                  <c:v>5.6439511012024669E-3</c:v>
                </c:pt>
                <c:pt idx="297">
                  <c:v>5.6553391456701241E-3</c:v>
                </c:pt>
                <c:pt idx="298">
                  <c:v>5.6900329532433803E-3</c:v>
                </c:pt>
                <c:pt idx="299">
                  <c:v>5.7474337170049239E-3</c:v>
                </c:pt>
                <c:pt idx="300">
                  <c:v>5.7705878728162574E-3</c:v>
                </c:pt>
                <c:pt idx="301">
                  <c:v>5.817223339902311E-3</c:v>
                </c:pt>
                <c:pt idx="302">
                  <c:v>5.8287180051113325E-3</c:v>
                </c:pt>
                <c:pt idx="303">
                  <c:v>5.9101129918399664E-3</c:v>
                </c:pt>
                <c:pt idx="304">
                  <c:v>5.9101129918399664E-3</c:v>
                </c:pt>
                <c:pt idx="305">
                  <c:v>5.9334672105855191E-3</c:v>
                </c:pt>
                <c:pt idx="306">
                  <c:v>5.9923521069810649E-3</c:v>
                </c:pt>
                <c:pt idx="307">
                  <c:v>6.0039489015475955E-3</c:v>
                </c:pt>
                <c:pt idx="308">
                  <c:v>6.0506670239277582E-3</c:v>
                </c:pt>
                <c:pt idx="309">
                  <c:v>6.0741927316856348E-3</c:v>
                </c:pt>
                <c:pt idx="310">
                  <c:v>6.0977470215348717E-3</c:v>
                </c:pt>
                <c:pt idx="311">
                  <c:v>6.1451936627546222E-3</c:v>
                </c:pt>
                <c:pt idx="312">
                  <c:v>6.1568829625209048E-3</c:v>
                </c:pt>
                <c:pt idx="313">
                  <c:v>6.2159472079841294E-3</c:v>
                </c:pt>
                <c:pt idx="314">
                  <c:v>6.239672993898715E-3</c:v>
                </c:pt>
                <c:pt idx="315">
                  <c:v>6.2634273630823856E-3</c:v>
                </c:pt>
                <c:pt idx="316">
                  <c:v>6.3112799136744169E-3</c:v>
                </c:pt>
                <c:pt idx="317">
                  <c:v>6.3230663882871754E-3</c:v>
                </c:pt>
                <c:pt idx="318">
                  <c:v>6.3826279639656036E-3</c:v>
                </c:pt>
                <c:pt idx="319">
                  <c:v>6.4065538363289321E-3</c:v>
                </c:pt>
                <c:pt idx="320">
                  <c:v>6.4305082931497282E-3</c:v>
                </c:pt>
                <c:pt idx="321">
                  <c:v>6.4787669733232245E-3</c:v>
                </c:pt>
                <c:pt idx="322">
                  <c:v>6.4906505253010819E-3</c:v>
                </c:pt>
                <c:pt idx="323">
                  <c:v>6.5629011024479923E-3</c:v>
                </c:pt>
                <c:pt idx="324">
                  <c:v>6.5870418033495051E-3</c:v>
                </c:pt>
                <c:pt idx="325">
                  <c:v>6.6356834562016206E-3</c:v>
                </c:pt>
                <c:pt idx="326">
                  <c:v>6.6476549041585842E-3</c:v>
                </c:pt>
                <c:pt idx="327">
                  <c:v>6.6596354341025826E-3</c:v>
                </c:pt>
                <c:pt idx="328">
                  <c:v>6.7568271805470894E-3</c:v>
                </c:pt>
                <c:pt idx="329">
                  <c:v>6.7568271805470894E-3</c:v>
                </c:pt>
                <c:pt idx="330">
                  <c:v>6.8058754298236128E-3</c:v>
                </c:pt>
                <c:pt idx="331">
                  <c:v>6.8179437691626155E-3</c:v>
                </c:pt>
                <c:pt idx="332">
                  <c:v>6.8300211757318843E-3</c:v>
                </c:pt>
                <c:pt idx="333">
                  <c:v>6.90347247804712E-3</c:v>
                </c:pt>
                <c:pt idx="334">
                  <c:v>6.9280134256850317E-3</c:v>
                </c:pt>
                <c:pt idx="335">
                  <c:v>6.9774685041259299E-3</c:v>
                </c:pt>
                <c:pt idx="336">
                  <c:v>6.9896336318370222E-3</c:v>
                </c:pt>
                <c:pt idx="337">
                  <c:v>7.0018078117500644E-3</c:v>
                </c:pt>
                <c:pt idx="338">
                  <c:v>7.0883711687710904E-3</c:v>
                </c:pt>
                <c:pt idx="339">
                  <c:v>7.1006006006080558E-3</c:v>
                </c:pt>
                <c:pt idx="340">
                  <c:v>7.1504627450969986E-3</c:v>
                </c:pt>
                <c:pt idx="341">
                  <c:v>7.1627245562055908E-3</c:v>
                </c:pt>
                <c:pt idx="342">
                  <c:v>7.1749954042055553E-3</c:v>
                </c:pt>
                <c:pt idx="343">
                  <c:v>7.23704237926448E-3</c:v>
                </c:pt>
                <c:pt idx="344">
                  <c:v>7.2619688107300462E-3</c:v>
                </c:pt>
                <c:pt idx="345">
                  <c:v>7.2869238327575303E-3</c:v>
                </c:pt>
                <c:pt idx="346">
                  <c:v>7.3372166068166877E-3</c:v>
                </c:pt>
                <c:pt idx="347">
                  <c:v>7.3495840156702396E-3</c:v>
                </c:pt>
                <c:pt idx="348">
                  <c:v>7.4121278075747199E-3</c:v>
                </c:pt>
                <c:pt idx="349">
                  <c:v>7.4372543767227128E-3</c:v>
                </c:pt>
                <c:pt idx="350">
                  <c:v>7.5131098487432602E-3</c:v>
                </c:pt>
                <c:pt idx="351">
                  <c:v>7.5131098487432602E-3</c:v>
                </c:pt>
                <c:pt idx="352">
                  <c:v>7.5255737092136668E-3</c:v>
                </c:pt>
                <c:pt idx="353">
                  <c:v>7.5886142259822265E-3</c:v>
                </c:pt>
                <c:pt idx="354">
                  <c:v>7.6139409415976189E-3</c:v>
                </c:pt>
                <c:pt idx="355">
                  <c:v>7.6392962502902506E-3</c:v>
                </c:pt>
                <c:pt idx="356">
                  <c:v>7.6904043475778394E-3</c:v>
                </c:pt>
                <c:pt idx="357">
                  <c:v>7.7029645484133673E-3</c:v>
                </c:pt>
                <c:pt idx="358">
                  <c:v>7.7665016961869782E-3</c:v>
                </c:pt>
                <c:pt idx="359">
                  <c:v>7.7920285671266853E-3</c:v>
                </c:pt>
                <c:pt idx="360">
                  <c:v>7.8694291242820784E-3</c:v>
                </c:pt>
                <c:pt idx="361">
                  <c:v>7.8947425415906713E-3</c:v>
                </c:pt>
                <c:pt idx="362">
                  <c:v>7.8947425415906713E-3</c:v>
                </c:pt>
                <c:pt idx="363">
                  <c:v>7.9588107189362371E-3</c:v>
                </c:pt>
                <c:pt idx="364">
                  <c:v>8.0237191718226259E-3</c:v>
                </c:pt>
                <c:pt idx="365">
                  <c:v>8.0364537973883071E-3</c:v>
                </c:pt>
                <c:pt idx="366">
                  <c:v>8.049197380981532E-3</c:v>
                </c:pt>
                <c:pt idx="367">
                  <c:v>8.0619499206367688E-3</c:v>
                </c:pt>
                <c:pt idx="368">
                  <c:v>8.1396046082589241E-3</c:v>
                </c:pt>
                <c:pt idx="369">
                  <c:v>8.1655467025510218E-3</c:v>
                </c:pt>
                <c:pt idx="370">
                  <c:v>8.2178564543785894E-3</c:v>
                </c:pt>
                <c:pt idx="371">
                  <c:v>8.2306960493511161E-3</c:v>
                </c:pt>
                <c:pt idx="372">
                  <c:v>8.2435445833502798E-3</c:v>
                </c:pt>
                <c:pt idx="373">
                  <c:v>8.3217998650707593E-3</c:v>
                </c:pt>
                <c:pt idx="374">
                  <c:v>8.3479421600782169E-3</c:v>
                </c:pt>
                <c:pt idx="375">
                  <c:v>8.4139498241979117E-3</c:v>
                </c:pt>
                <c:pt idx="376">
                  <c:v>8.4268900791662962E-3</c:v>
                </c:pt>
                <c:pt idx="377">
                  <c:v>8.4398392553647339E-3</c:v>
                </c:pt>
                <c:pt idx="378">
                  <c:v>8.5053965551977959E-3</c:v>
                </c:pt>
                <c:pt idx="379">
                  <c:v>8.5317390603659622E-3</c:v>
                </c:pt>
                <c:pt idx="380">
                  <c:v>8.5848667697946916E-3</c:v>
                </c:pt>
                <c:pt idx="381">
                  <c:v>8.5978980278725303E-3</c:v>
                </c:pt>
                <c:pt idx="382">
                  <c:v>8.7169374698153352E-3</c:v>
                </c:pt>
                <c:pt idx="383">
                  <c:v>8.7300411844957182E-3</c:v>
                </c:pt>
                <c:pt idx="384">
                  <c:v>8.7431537888600589E-3</c:v>
                </c:pt>
                <c:pt idx="385">
                  <c:v>8.8767945012183901E-3</c:v>
                </c:pt>
                <c:pt idx="386">
                  <c:v>8.9035374553379735E-3</c:v>
                </c:pt>
                <c:pt idx="387">
                  <c:v>8.9574842252115872E-3</c:v>
                </c:pt>
                <c:pt idx="388">
                  <c:v>8.9707066527960899E-3</c:v>
                </c:pt>
                <c:pt idx="389">
                  <c:v>8.9839379482903325E-3</c:v>
                </c:pt>
                <c:pt idx="390">
                  <c:v>9.0645958912962243E-3</c:v>
                </c:pt>
                <c:pt idx="391">
                  <c:v>9.0915390843457622E-3</c:v>
                </c:pt>
                <c:pt idx="392">
                  <c:v>9.1596036068979508E-3</c:v>
                </c:pt>
                <c:pt idx="393">
                  <c:v>9.1729261971395075E-3</c:v>
                </c:pt>
                <c:pt idx="394">
                  <c:v>9.1862576362558568E-3</c:v>
                </c:pt>
                <c:pt idx="395">
                  <c:v>9.2809424247662954E-3</c:v>
                </c:pt>
                <c:pt idx="396">
                  <c:v>9.2809424247662954E-3</c:v>
                </c:pt>
                <c:pt idx="397">
                  <c:v>9.335709393894347E-3</c:v>
                </c:pt>
                <c:pt idx="398">
                  <c:v>9.3491224802869088E-3</c:v>
                </c:pt>
                <c:pt idx="399">
                  <c:v>9.3625443972177712E-3</c:v>
                </c:pt>
                <c:pt idx="400">
                  <c:v>9.444403844845909E-3</c:v>
                </c:pt>
                <c:pt idx="401">
                  <c:v>9.4717475450325789E-3</c:v>
                </c:pt>
                <c:pt idx="402">
                  <c:v>9.5269250522173558E-3</c:v>
                </c:pt>
                <c:pt idx="403">
                  <c:v>9.5404332710885553E-3</c:v>
                </c:pt>
                <c:pt idx="404">
                  <c:v>9.5539503013480007E-3</c:v>
                </c:pt>
                <c:pt idx="405">
                  <c:v>9.6084960701503519E-3</c:v>
                </c:pt>
                <c:pt idx="406">
                  <c:v>9.6360099577020887E-3</c:v>
                </c:pt>
                <c:pt idx="407">
                  <c:v>9.6635524498842138E-3</c:v>
                </c:pt>
                <c:pt idx="408">
                  <c:v>9.6911235468924335E-3</c:v>
                </c:pt>
                <c:pt idx="409">
                  <c:v>9.7467580839624979E-3</c:v>
                </c:pt>
                <c:pt idx="410">
                  <c:v>9.8016939869735673E-3</c:v>
                </c:pt>
                <c:pt idx="411">
                  <c:v>9.8294081109568786E-3</c:v>
                </c:pt>
                <c:pt idx="412">
                  <c:v>9.8571508409129524E-3</c:v>
                </c:pt>
                <c:pt idx="413">
                  <c:v>9.8849221770237125E-3</c:v>
                </c:pt>
                <c:pt idx="414">
                  <c:v>9.9409678147216636E-3</c:v>
                </c:pt>
                <c:pt idx="415">
                  <c:v>1.0024207956692373E-2</c:v>
                </c:pt>
                <c:pt idx="416">
                  <c:v>1.0024207956692373E-2</c:v>
                </c:pt>
                <c:pt idx="417">
                  <c:v>1.0052150933791453E-2</c:v>
                </c:pt>
                <c:pt idx="418">
                  <c:v>1.0080122518393105E-2</c:v>
                </c:pt>
                <c:pt idx="419">
                  <c:v>1.0136579563801627E-2</c:v>
                </c:pt>
                <c:pt idx="420">
                  <c:v>1.0192294935714757E-2</c:v>
                </c:pt>
                <c:pt idx="421">
                  <c:v>1.0220409560740053E-2</c:v>
                </c:pt>
                <c:pt idx="422">
                  <c:v>1.0248552794428373E-2</c:v>
                </c:pt>
                <c:pt idx="423">
                  <c:v>1.0334042198219994E-2</c:v>
                </c:pt>
                <c:pt idx="424">
                  <c:v>1.0347943082881228E-2</c:v>
                </c:pt>
                <c:pt idx="425">
                  <c:v>1.0418457132445441E-2</c:v>
                </c:pt>
                <c:pt idx="426">
                  <c:v>1.0446802274634981E-2</c:v>
                </c:pt>
                <c:pt idx="427">
                  <c:v>1.0504037041762454E-2</c:v>
                </c:pt>
                <c:pt idx="428">
                  <c:v>1.0518018865471046E-2</c:v>
                </c:pt>
                <c:pt idx="429">
                  <c:v>1.0532009400127071E-2</c:v>
                </c:pt>
                <c:pt idx="430">
                  <c:v>1.0617474078408578E-2</c:v>
                </c:pt>
                <c:pt idx="431">
                  <c:v>1.0646019539435767E-2</c:v>
                </c:pt>
                <c:pt idx="432">
                  <c:v>1.0703666705442155E-2</c:v>
                </c:pt>
                <c:pt idx="433">
                  <c:v>1.0717742822896059E-2</c:v>
                </c:pt>
                <c:pt idx="434">
                  <c:v>1.0731827630256969E-2</c:v>
                </c:pt>
                <c:pt idx="435">
                  <c:v>1.0817893287126661E-2</c:v>
                </c:pt>
                <c:pt idx="436">
                  <c:v>1.0846639077303247E-2</c:v>
                </c:pt>
                <c:pt idx="437">
                  <c:v>1.0904698968956921E-2</c:v>
                </c:pt>
                <c:pt idx="438">
                  <c:v>1.0918869232438011E-2</c:v>
                </c:pt>
                <c:pt idx="439">
                  <c:v>1.0933048164458439E-2</c:v>
                </c:pt>
                <c:pt idx="440">
                  <c:v>1.1019714831016599E-2</c:v>
                </c:pt>
                <c:pt idx="441">
                  <c:v>1.1048660960731692E-2</c:v>
                </c:pt>
                <c:pt idx="442">
                  <c:v>1.1107133909643676E-2</c:v>
                </c:pt>
                <c:pt idx="443">
                  <c:v>1.1121398169116892E-2</c:v>
                </c:pt>
                <c:pt idx="444">
                  <c:v>1.1252085262715615E-2</c:v>
                </c:pt>
                <c:pt idx="445">
                  <c:v>1.1266420431993218E-2</c:v>
                </c:pt>
                <c:pt idx="446">
                  <c:v>1.1280764230447226E-2</c:v>
                </c:pt>
                <c:pt idx="447">
                  <c:v>1.1354577288135437E-2</c:v>
                </c:pt>
                <c:pt idx="448">
                  <c:v>1.1412649121515628E-2</c:v>
                </c:pt>
                <c:pt idx="449">
                  <c:v>1.1441980719122391E-2</c:v>
                </c:pt>
                <c:pt idx="450">
                  <c:v>1.147134093711788E-2</c:v>
                </c:pt>
                <c:pt idx="451">
                  <c:v>1.1530663926590801E-2</c:v>
                </c:pt>
                <c:pt idx="452">
                  <c:v>1.1545124321127989E-2</c:v>
                </c:pt>
                <c:pt idx="453">
                  <c:v>1.1618571340277661E-2</c:v>
                </c:pt>
                <c:pt idx="454">
                  <c:v>1.164810328501531E-2</c:v>
                </c:pt>
                <c:pt idx="455">
                  <c:v>1.1677663851612508E-2</c:v>
                </c:pt>
                <c:pt idx="456">
                  <c:v>1.1737400900043715E-2</c:v>
                </c:pt>
                <c:pt idx="457">
                  <c:v>1.1751954803781045E-2</c:v>
                </c:pt>
                <c:pt idx="458">
                  <c:v>1.1825896019891147E-2</c:v>
                </c:pt>
                <c:pt idx="459">
                  <c:v>1.1855628322084755E-2</c:v>
                </c:pt>
                <c:pt idx="460">
                  <c:v>1.1885389247622058E-2</c:v>
                </c:pt>
                <c:pt idx="461">
                  <c:v>1.1945540705956825E-2</c:v>
                </c:pt>
                <c:pt idx="462">
                  <c:v>1.1960187959124357E-2</c:v>
                </c:pt>
                <c:pt idx="463">
                  <c:v>1.2034623232855424E-2</c:v>
                </c:pt>
                <c:pt idx="464">
                  <c:v>1.2064555902904672E-2</c:v>
                </c:pt>
                <c:pt idx="465">
                  <c:v>1.2094517197784427E-2</c:v>
                </c:pt>
                <c:pt idx="466">
                  <c:v>1.2170387414086907E-2</c:v>
                </c:pt>
                <c:pt idx="467">
                  <c:v>1.2185132623512562E-2</c:v>
                </c:pt>
                <c:pt idx="468">
                  <c:v>1.2290245641462975E-2</c:v>
                </c:pt>
                <c:pt idx="469">
                  <c:v>1.2351204172901153E-2</c:v>
                </c:pt>
                <c:pt idx="470">
                  <c:v>1.2366029126247291E-2</c:v>
                </c:pt>
                <c:pt idx="471">
                  <c:v>1.2380862589372196E-2</c:v>
                </c:pt>
                <c:pt idx="472">
                  <c:v>1.2471737212777841E-2</c:v>
                </c:pt>
                <c:pt idx="473">
                  <c:v>1.2502086016175945E-2</c:v>
                </c:pt>
                <c:pt idx="474">
                  <c:v>1.2563460064425932E-2</c:v>
                </c:pt>
                <c:pt idx="475">
                  <c:v>1.2578377897481674E-2</c:v>
                </c:pt>
                <c:pt idx="476">
                  <c:v>1.2593304216294475E-2</c:v>
                </c:pt>
                <c:pt idx="477">
                  <c:v>1.2684780106006542E-2</c:v>
                </c:pt>
                <c:pt idx="478">
                  <c:v>1.27153293346475E-2</c:v>
                </c:pt>
                <c:pt idx="479">
                  <c:v>1.2777119271223179E-2</c:v>
                </c:pt>
                <c:pt idx="480">
                  <c:v>1.2792129814882813E-2</c:v>
                </c:pt>
                <c:pt idx="481">
                  <c:v>1.2807148819934782E-2</c:v>
                </c:pt>
                <c:pt idx="482">
                  <c:v>1.2899226009013276E-2</c:v>
                </c:pt>
                <c:pt idx="483">
                  <c:v>1.2929975673935999E-2</c:v>
                </c:pt>
                <c:pt idx="484">
                  <c:v>1.299218187549139E-2</c:v>
                </c:pt>
                <c:pt idx="485">
                  <c:v>1.3007284958191923E-2</c:v>
                </c:pt>
                <c:pt idx="486">
                  <c:v>1.3022396477578392E-2</c:v>
                </c:pt>
                <c:pt idx="487">
                  <c:v>1.3130225576255761E-2</c:v>
                </c:pt>
                <c:pt idx="488">
                  <c:v>1.3161176596122814E-2</c:v>
                </c:pt>
                <c:pt idx="489">
                  <c:v>1.3239531758849924E-2</c:v>
                </c:pt>
                <c:pt idx="490">
                  <c:v>1.3254735564644793E-2</c:v>
                </c:pt>
                <c:pt idx="491">
                  <c:v>1.3316201875027467E-2</c:v>
                </c:pt>
                <c:pt idx="492">
                  <c:v>1.3347247027702736E-2</c:v>
                </c:pt>
                <c:pt idx="493">
                  <c:v>1.3378300899574036E-2</c:v>
                </c:pt>
                <c:pt idx="494">
                  <c:v>1.3440951349212027E-2</c:v>
                </c:pt>
                <c:pt idx="495">
                  <c:v>1.3456219858330114E-2</c:v>
                </c:pt>
                <c:pt idx="496">
                  <c:v>1.3533631348192188E-2</c:v>
                </c:pt>
                <c:pt idx="497">
                  <c:v>1.3564695715737152E-2</c:v>
                </c:pt>
                <c:pt idx="498">
                  <c:v>1.3595754862455678E-2</c:v>
                </c:pt>
                <c:pt idx="499">
                  <c:v>1.3658288597672708E-2</c:v>
                </c:pt>
                <c:pt idx="500">
                  <c:v>1.3673583746411063E-2</c:v>
                </c:pt>
                <c:pt idx="501">
                  <c:v>1.3750902579862334E-2</c:v>
                </c:pt>
                <c:pt idx="502">
                  <c:v>1.3781888579074142E-2</c:v>
                </c:pt>
                <c:pt idx="503">
                  <c:v>1.381285541641919E-2</c:v>
                </c:pt>
                <c:pt idx="504">
                  <c:v>1.3875107979341439E-2</c:v>
                </c:pt>
                <c:pt idx="505">
                  <c:v>1.389036768086882E-2</c:v>
                </c:pt>
                <c:pt idx="506">
                  <c:v>1.3967332466426896E-2</c:v>
                </c:pt>
                <c:pt idx="507">
                  <c:v>1.3998142838970828E-2</c:v>
                </c:pt>
                <c:pt idx="508">
                  <c:v>1.4028922099156738E-2</c:v>
                </c:pt>
                <c:pt idx="509">
                  <c:v>1.4044102900579197E-2</c:v>
                </c:pt>
                <c:pt idx="510">
                  <c:v>1.4105931094823849E-2</c:v>
                </c:pt>
                <c:pt idx="511">
                  <c:v>1.4228430690380206E-2</c:v>
                </c:pt>
                <c:pt idx="512">
                  <c:v>1.4228430690380206E-2</c:v>
                </c:pt>
                <c:pt idx="513">
                  <c:v>1.4289894410965752E-2</c:v>
                </c:pt>
                <c:pt idx="514">
                  <c:v>1.4304942350834848E-2</c:v>
                </c:pt>
                <c:pt idx="515">
                  <c:v>1.4319978703661324E-2</c:v>
                </c:pt>
                <c:pt idx="516">
                  <c:v>1.4411246695243712E-2</c:v>
                </c:pt>
                <c:pt idx="517">
                  <c:v>1.444160713092147E-2</c:v>
                </c:pt>
                <c:pt idx="518">
                  <c:v>1.4653258961009366E-2</c:v>
                </c:pt>
                <c:pt idx="519">
                  <c:v>1.4863386097247376E-2</c:v>
                </c:pt>
                <c:pt idx="520">
                  <c:v>1.5071988456829484E-2</c:v>
                </c:pt>
                <c:pt idx="521">
                  <c:v>1.5279065957565946E-2</c:v>
                </c:pt>
                <c:pt idx="522">
                  <c:v>1.5484618517849786E-2</c:v>
                </c:pt>
                <c:pt idx="523">
                  <c:v>1.568864605668515E-2</c:v>
                </c:pt>
                <c:pt idx="524">
                  <c:v>1.5905282678414956E-2</c:v>
                </c:pt>
                <c:pt idx="525">
                  <c:v>1.6077541252299987E-2</c:v>
                </c:pt>
                <c:pt idx="526">
                  <c:v>1.6277093236543472E-2</c:v>
                </c:pt>
                <c:pt idx="527">
                  <c:v>1.6475119846216302E-2</c:v>
                </c:pt>
                <c:pt idx="528">
                  <c:v>1.6671621005800219E-2</c:v>
                </c:pt>
                <c:pt idx="529">
                  <c:v>1.6880781378903996E-2</c:v>
                </c:pt>
                <c:pt idx="530">
                  <c:v>1.7116331723361095E-2</c:v>
                </c:pt>
                <c:pt idx="531">
                  <c:v>1.7265956073288638E-2</c:v>
                </c:pt>
                <c:pt idx="532">
                  <c:v>1.74562548731216E-2</c:v>
                </c:pt>
                <c:pt idx="533">
                  <c:v>1.7631242449748008E-2</c:v>
                </c:pt>
                <c:pt idx="534">
                  <c:v>1.7818589355353076E-2</c:v>
                </c:pt>
                <c:pt idx="535">
                  <c:v>1.8004410298479101E-2</c:v>
                </c:pt>
                <c:pt idx="536">
                  <c:v>1.8188705208252109E-2</c:v>
                </c:pt>
                <c:pt idx="537">
                  <c:v>1.8371474014378997E-2</c:v>
                </c:pt>
                <c:pt idx="538">
                  <c:v>1.856600332212523E-2</c:v>
                </c:pt>
                <c:pt idx="539">
                  <c:v>1.8745619991601153E-2</c:v>
                </c:pt>
                <c:pt idx="540">
                  <c:v>1.8923710354483703E-2</c:v>
                </c:pt>
                <c:pt idx="541">
                  <c:v>1.9163390815299663E-2</c:v>
                </c:pt>
                <c:pt idx="542">
                  <c:v>1.9325912617842243E-2</c:v>
                </c:pt>
                <c:pt idx="543">
                  <c:v>1.9448822904623127E-2</c:v>
                </c:pt>
                <c:pt idx="544">
                  <c:v>1.9620807345201136E-2</c:v>
                </c:pt>
                <c:pt idx="545">
                  <c:v>1.9791265134235899E-2</c:v>
                </c:pt>
                <c:pt idx="546">
                  <c:v>1.9922702333092471E-2</c:v>
                </c:pt>
                <c:pt idx="547">
                  <c:v>2.0090405854901974E-2</c:v>
                </c:pt>
                <c:pt idx="548">
                  <c:v>2.0256582562987457E-2</c:v>
                </c:pt>
                <c:pt idx="549">
                  <c:v>2.0421232398181957E-2</c:v>
                </c:pt>
                <c:pt idx="550">
                  <c:v>2.0620651975689148E-2</c:v>
                </c:pt>
                <c:pt idx="551">
                  <c:v>2.0781948465556886E-2</c:v>
                </c:pt>
                <c:pt idx="552">
                  <c:v>2.098918804340423E-2</c:v>
                </c:pt>
                <c:pt idx="553">
                  <c:v>2.1099960054619081E-2</c:v>
                </c:pt>
                <c:pt idx="554">
                  <c:v>2.1256675028463484E-2</c:v>
                </c:pt>
                <c:pt idx="555">
                  <c:v>2.1400272148164312E-2</c:v>
                </c:pt>
                <c:pt idx="556">
                  <c:v>2.1554032402927525E-2</c:v>
                </c:pt>
                <c:pt idx="557">
                  <c:v>2.1772194930683442E-2</c:v>
                </c:pt>
                <c:pt idx="558">
                  <c:v>2.1933507830531405E-2</c:v>
                </c:pt>
                <c:pt idx="559">
                  <c:v>2.2070805298058938E-2</c:v>
                </c:pt>
                <c:pt idx="560">
                  <c:v>2.2217819036871589E-2</c:v>
                </c:pt>
                <c:pt idx="561">
                  <c:v>2.2363305065793149E-2</c:v>
                </c:pt>
                <c:pt idx="562">
                  <c:v>2.250726332562597E-2</c:v>
                </c:pt>
                <c:pt idx="563">
                  <c:v>2.2649701391600496E-2</c:v>
                </c:pt>
                <c:pt idx="564">
                  <c:v>2.2790657375600376E-2</c:v>
                </c:pt>
                <c:pt idx="565">
                  <c:v>2.2930177026015686E-2</c:v>
                </c:pt>
                <c:pt idx="566">
                  <c:v>2.3068306094061741E-2</c:v>
                </c:pt>
                <c:pt idx="567">
                  <c:v>2.3205089732787343E-2</c:v>
                </c:pt>
                <c:pt idx="568">
                  <c:v>2.3340553244340367E-2</c:v>
                </c:pt>
                <c:pt idx="569">
                  <c:v>2.3474698005576944E-2</c:v>
                </c:pt>
                <c:pt idx="570">
                  <c:v>2.3607523969387256E-2</c:v>
                </c:pt>
                <c:pt idx="571">
                  <c:v>2.3749083780418543E-2</c:v>
                </c:pt>
                <c:pt idx="572">
                  <c:v>2.3879186397503076E-2</c:v>
                </c:pt>
                <c:pt idx="573">
                  <c:v>2.3998088612026958E-2</c:v>
                </c:pt>
                <c:pt idx="574">
                  <c:v>2.4125638924224202E-2</c:v>
                </c:pt>
                <c:pt idx="575">
                  <c:v>2.4251870210358073E-2</c:v>
                </c:pt>
                <c:pt idx="576">
                  <c:v>2.4347863421673662E-2</c:v>
                </c:pt>
                <c:pt idx="577">
                  <c:v>2.4509913854316296E-2</c:v>
                </c:pt>
                <c:pt idx="578">
                  <c:v>2.4622649471329749E-2</c:v>
                </c:pt>
                <c:pt idx="579">
                  <c:v>2.4743604214466086E-2</c:v>
                </c:pt>
                <c:pt idx="580">
                  <c:v>2.4863239714485175E-2</c:v>
                </c:pt>
                <c:pt idx="581">
                  <c:v>2.4981555929360633E-2</c:v>
                </c:pt>
                <c:pt idx="582">
                  <c:v>2.5098552817533204E-2</c:v>
                </c:pt>
                <c:pt idx="583">
                  <c:v>2.5214230337908261E-2</c:v>
                </c:pt>
                <c:pt idx="584">
                  <c:v>2.532858844984831E-2</c:v>
                </c:pt>
                <c:pt idx="585">
                  <c:v>2.5441627113187981E-2</c:v>
                </c:pt>
                <c:pt idx="586">
                  <c:v>2.5553346288219037E-2</c:v>
                </c:pt>
                <c:pt idx="587">
                  <c:v>2.566374593569537E-2</c:v>
                </c:pt>
                <c:pt idx="588">
                  <c:v>2.5796879169503614E-2</c:v>
                </c:pt>
                <c:pt idx="589">
                  <c:v>2.5855027952510028E-2</c:v>
                </c:pt>
                <c:pt idx="590">
                  <c:v>2.5987027327329382E-2</c:v>
                </c:pt>
                <c:pt idx="591">
                  <c:v>2.6100479022518837E-2</c:v>
                </c:pt>
                <c:pt idx="592">
                  <c:v>2.6195949918703942E-2</c:v>
                </c:pt>
                <c:pt idx="593">
                  <c:v>2.6321108685925573E-2</c:v>
                </c:pt>
                <c:pt idx="594">
                  <c:v>2.6405871875775474E-2</c:v>
                </c:pt>
                <c:pt idx="595">
                  <c:v>2.6505612350057793E-2</c:v>
                </c:pt>
                <c:pt idx="596">
                  <c:v>2.6611924633020423E-2</c:v>
                </c:pt>
                <c:pt idx="597">
                  <c:v>2.6701133887526672E-2</c:v>
                </c:pt>
                <c:pt idx="598">
                  <c:v>2.6773715320919576E-2</c:v>
                </c:pt>
                <c:pt idx="599">
                  <c:v>2.686843811245573E-2</c:v>
                </c:pt>
                <c:pt idx="600">
                  <c:v>2.6961841208613193E-2</c:v>
                </c:pt>
                <c:pt idx="601">
                  <c:v>2.7053924580677791E-2</c:v>
                </c:pt>
                <c:pt idx="602">
                  <c:v>2.7174207503242453E-2</c:v>
                </c:pt>
                <c:pt idx="603">
                  <c:v>2.7256020856098802E-2</c:v>
                </c:pt>
                <c:pt idx="604">
                  <c:v>2.7343882029483318E-2</c:v>
                </c:pt>
                <c:pt idx="605">
                  <c:v>2.7430423125047874E-2</c:v>
                </c:pt>
                <c:pt idx="606">
                  <c:v>2.7556774157675434E-2</c:v>
                </c:pt>
                <c:pt idx="607">
                  <c:v>2.7606474216796129E-2</c:v>
                </c:pt>
                <c:pt idx="608">
                  <c:v>2.7682125652549783E-2</c:v>
                </c:pt>
                <c:pt idx="609">
                  <c:v>2.7763386146803282E-2</c:v>
                </c:pt>
                <c:pt idx="610">
                  <c:v>2.7849991501378291E-2</c:v>
                </c:pt>
                <c:pt idx="611">
                  <c:v>2.7921946446330913E-2</c:v>
                </c:pt>
                <c:pt idx="612">
                  <c:v>2.7999246197640468E-2</c:v>
                </c:pt>
                <c:pt idx="613">
                  <c:v>2.8075225648087836E-2</c:v>
                </c:pt>
                <c:pt idx="614">
                  <c:v>2.8149884771807254E-2</c:v>
                </c:pt>
                <c:pt idx="615">
                  <c:v>2.8223247128218946E-2</c:v>
                </c:pt>
                <c:pt idx="616">
                  <c:v>2.8295481827591919E-2</c:v>
                </c:pt>
                <c:pt idx="617">
                  <c:v>2.8366813453457308E-2</c:v>
                </c:pt>
                <c:pt idx="618">
                  <c:v>2.8437466704286554E-2</c:v>
                </c:pt>
                <c:pt idx="619">
                  <c:v>2.8513775221018223E-2</c:v>
                </c:pt>
                <c:pt idx="620">
                  <c:v>2.8577527710323566E-2</c:v>
                </c:pt>
                <c:pt idx="621">
                  <c:v>2.8647066809674635E-2</c:v>
                </c:pt>
                <c:pt idx="622">
                  <c:v>2.8716280628204072E-2</c:v>
                </c:pt>
                <c:pt idx="623">
                  <c:v>2.8791210159458402E-2</c:v>
                </c:pt>
                <c:pt idx="624">
                  <c:v>2.8859755644703722E-2</c:v>
                </c:pt>
                <c:pt idx="625">
                  <c:v>2.8921970340916682E-2</c:v>
                </c:pt>
                <c:pt idx="626">
                  <c:v>2.8989882978355502E-2</c:v>
                </c:pt>
                <c:pt idx="627">
                  <c:v>2.9057470306208606E-2</c:v>
                </c:pt>
                <c:pt idx="628">
                  <c:v>2.9106867774428516E-2</c:v>
                </c:pt>
                <c:pt idx="629">
                  <c:v>2.919760327828036E-2</c:v>
                </c:pt>
                <c:pt idx="630">
                  <c:v>2.9258280375694955E-2</c:v>
                </c:pt>
                <c:pt idx="631">
                  <c:v>2.9324566408778049E-2</c:v>
                </c:pt>
                <c:pt idx="632">
                  <c:v>2.9402287138777797E-2</c:v>
                </c:pt>
                <c:pt idx="633">
                  <c:v>2.9456162456421468E-2</c:v>
                </c:pt>
                <c:pt idx="634">
                  <c:v>2.9527317390285746E-2</c:v>
                </c:pt>
                <c:pt idx="635">
                  <c:v>2.9586457109271665E-2</c:v>
                </c:pt>
                <c:pt idx="636">
                  <c:v>2.9651116398969602E-2</c:v>
                </c:pt>
                <c:pt idx="637">
                  <c:v>2.971545032360362E-2</c:v>
                </c:pt>
                <c:pt idx="638">
                  <c:v>2.9779458877781894E-2</c:v>
                </c:pt>
                <c:pt idx="639">
                  <c:v>2.9843142056130666E-2</c:v>
                </c:pt>
                <c:pt idx="640">
                  <c:v>2.9906499853307105E-2</c:v>
                </c:pt>
                <c:pt idx="641">
                  <c:v>2.9969532263994184E-2</c:v>
                </c:pt>
                <c:pt idx="642">
                  <c:v>3.0032239282905798E-2</c:v>
                </c:pt>
                <c:pt idx="643">
                  <c:v>3.009462090477907E-2</c:v>
                </c:pt>
                <c:pt idx="644">
                  <c:v>3.0162342211732807E-2</c:v>
                </c:pt>
                <c:pt idx="645">
                  <c:v>3.0244764383025466E-2</c:v>
                </c:pt>
                <c:pt idx="646">
                  <c:v>3.0306030318346559E-2</c:v>
                </c:pt>
                <c:pt idx="647">
                  <c:v>3.0366970833656713E-2</c:v>
                </c:pt>
                <c:pt idx="648">
                  <c:v>3.0436218656830414E-2</c:v>
                </c:pt>
                <c:pt idx="649">
                  <c:v>3.0487875583824414E-2</c:v>
                </c:pt>
                <c:pt idx="650">
                  <c:v>3.0531185526501137E-2</c:v>
                </c:pt>
                <c:pt idx="651">
                  <c:v>3.0590878862486775E-2</c:v>
                </c:pt>
                <c:pt idx="652">
                  <c:v>3.0658701379871874E-2</c:v>
                </c:pt>
                <c:pt idx="653">
                  <c:v>3.0709289357435981E-2</c:v>
                </c:pt>
                <c:pt idx="654">
                  <c:v>3.0784442254503601E-2</c:v>
                </c:pt>
                <c:pt idx="655">
                  <c:v>3.0842779227959392E-2</c:v>
                </c:pt>
                <c:pt idx="656">
                  <c:v>3.09007907363693E-2</c:v>
                </c:pt>
                <c:pt idx="657">
                  <c:v>3.095847677486754E-2</c:v>
                </c:pt>
                <c:pt idx="658">
                  <c:v>3.1010433336776444E-2</c:v>
                </c:pt>
                <c:pt idx="659">
                  <c:v>3.106748675677018E-2</c:v>
                </c:pt>
                <c:pt idx="660">
                  <c:v>3.1124214711836906E-2</c:v>
                </c:pt>
                <c:pt idx="661">
                  <c:v>3.1196672412476367E-2</c:v>
                </c:pt>
                <c:pt idx="662">
                  <c:v>3.1236694208790716E-2</c:v>
                </c:pt>
                <c:pt idx="663">
                  <c:v>3.1305693171013386E-2</c:v>
                </c:pt>
                <c:pt idx="664">
                  <c:v>3.1353165483662029E-2</c:v>
                </c:pt>
                <c:pt idx="665">
                  <c:v>3.1408247590906421E-2</c:v>
                </c:pt>
                <c:pt idx="666">
                  <c:v>3.1470800041955016E-2</c:v>
                </c:pt>
                <c:pt idx="667">
                  <c:v>3.1512199580019384E-2</c:v>
                </c:pt>
                <c:pt idx="668">
                  <c:v>3.15663417420744E-2</c:v>
                </c:pt>
                <c:pt idx="669">
                  <c:v>3.1620189410425326E-2</c:v>
                </c:pt>
                <c:pt idx="670">
                  <c:v>3.1673758086973258E-2</c:v>
                </c:pt>
                <c:pt idx="671">
                  <c:v>3.1732243618959433E-2</c:v>
                </c:pt>
                <c:pt idx="672">
                  <c:v>3.1785274908053683E-2</c:v>
                </c:pt>
                <c:pt idx="673">
                  <c:v>3.1838047115545318E-2</c:v>
                </c:pt>
                <c:pt idx="674">
                  <c:v>3.1890560237906831E-2</c:v>
                </c:pt>
                <c:pt idx="675">
                  <c:v>3.1942814271631342E-2</c:v>
                </c:pt>
                <c:pt idx="676">
                  <c:v>3.1994809213227456E-2</c:v>
                </c:pt>
                <c:pt idx="677">
                  <c:v>3.204654505922698E-2</c:v>
                </c:pt>
                <c:pt idx="678">
                  <c:v>3.2098021806169462E-2</c:v>
                </c:pt>
                <c:pt idx="679">
                  <c:v>3.2156535105549437E-2</c:v>
                </c:pt>
                <c:pt idx="680">
                  <c:v>3.2202402394928775E-2</c:v>
                </c:pt>
                <c:pt idx="681">
                  <c:v>3.2245855164146242E-2</c:v>
                </c:pt>
                <c:pt idx="682">
                  <c:v>3.2296309471933959E-2</c:v>
                </c:pt>
                <c:pt idx="683">
                  <c:v>3.2346504680083932E-2</c:v>
                </c:pt>
                <c:pt idx="684">
                  <c:v>3.2401441016365114E-2</c:v>
                </c:pt>
                <c:pt idx="685">
                  <c:v>3.2451103974629629E-2</c:v>
                </c:pt>
                <c:pt idx="686">
                  <c:v>3.2507544343789871E-2</c:v>
                </c:pt>
                <c:pt idx="687">
                  <c:v>3.2549652509631773E-2</c:v>
                </c:pt>
                <c:pt idx="688">
                  <c:v>3.260348099930005E-2</c:v>
                </c:pt>
                <c:pt idx="689">
                  <c:v>3.2642234656143465E-2</c:v>
                </c:pt>
                <c:pt idx="690">
                  <c:v>3.2697506555488864E-2</c:v>
                </c:pt>
                <c:pt idx="691">
                  <c:v>3.2738738372622755E-2</c:v>
                </c:pt>
                <c:pt idx="692">
                  <c:v>3.2796375342356021E-2</c:v>
                </c:pt>
                <c:pt idx="693">
                  <c:v>3.2839078827042303E-2</c:v>
                </c:pt>
                <c:pt idx="694">
                  <c:v>3.2886409533292082E-2</c:v>
                </c:pt>
                <c:pt idx="695">
                  <c:v>3.2933481084395484E-2</c:v>
                </c:pt>
                <c:pt idx="696">
                  <c:v>3.2980293477204062E-2</c:v>
                </c:pt>
                <c:pt idx="697">
                  <c:v>3.3033476014001709E-2</c:v>
                </c:pt>
                <c:pt idx="698">
                  <c:v>3.3079733057103419E-2</c:v>
                </c:pt>
                <c:pt idx="699">
                  <c:v>3.312573093214264E-2</c:v>
                </c:pt>
                <c:pt idx="700">
                  <c:v>3.317146963604569E-2</c:v>
                </c:pt>
                <c:pt idx="701">
                  <c:v>3.3216949165759534E-2</c:v>
                </c:pt>
                <c:pt idx="702">
                  <c:v>3.3252682848315299E-2</c:v>
                </c:pt>
                <c:pt idx="703">
                  <c:v>3.3297672740025319E-2</c:v>
                </c:pt>
                <c:pt idx="704">
                  <c:v>3.3342403485637655E-2</c:v>
                </c:pt>
                <c:pt idx="705">
                  <c:v>3.3386875082357305E-2</c:v>
                </c:pt>
                <c:pt idx="706">
                  <c:v>3.344045909577651E-2</c:v>
                </c:pt>
                <c:pt idx="707">
                  <c:v>3.3503055849373756E-2</c:v>
                </c:pt>
                <c:pt idx="708">
                  <c:v>3.3528048743463622E-2</c:v>
                </c:pt>
                <c:pt idx="709">
                  <c:v>3.3571454771757867E-2</c:v>
                </c:pt>
                <c:pt idx="710">
                  <c:v>3.3609974215178084E-2</c:v>
                </c:pt>
                <c:pt idx="711">
                  <c:v>3.3652876350950045E-2</c:v>
                </c:pt>
                <c:pt idx="712">
                  <c:v>3.3716842661359048E-2</c:v>
                </c:pt>
                <c:pt idx="713">
                  <c:v>3.3763700670541172E-2</c:v>
                </c:pt>
                <c:pt idx="714">
                  <c:v>3.3787449448351929E-2</c:v>
                </c:pt>
                <c:pt idx="715">
                  <c:v>3.384290672489465E-2</c:v>
                </c:pt>
                <c:pt idx="716">
                  <c:v>3.3884409606318722E-2</c:v>
                </c:pt>
                <c:pt idx="717">
                  <c:v>3.3925653246416887E-2</c:v>
                </c:pt>
                <c:pt idx="718">
                  <c:v>3.3966637704007097E-2</c:v>
                </c:pt>
                <c:pt idx="719">
                  <c:v>3.4007365075145179E-2</c:v>
                </c:pt>
                <c:pt idx="720">
                  <c:v>3.4047839911102995E-2</c:v>
                </c:pt>
                <c:pt idx="721">
                  <c:v>3.4088066909400416E-2</c:v>
                </c:pt>
                <c:pt idx="722">
                  <c:v>3.4128050767649742E-2</c:v>
                </c:pt>
                <c:pt idx="723">
                  <c:v>3.4167795690212832E-2</c:v>
                </c:pt>
                <c:pt idx="724">
                  <c:v>3.420730283707929E-2</c:v>
                </c:pt>
                <c:pt idx="725">
                  <c:v>3.4246572208029291E-2</c:v>
                </c:pt>
                <c:pt idx="726">
                  <c:v>3.428560380058232E-2</c:v>
                </c:pt>
                <c:pt idx="727">
                  <c:v>3.4311240484005703E-2</c:v>
                </c:pt>
                <c:pt idx="728">
                  <c:v>3.4367324056255366E-2</c:v>
                </c:pt>
                <c:pt idx="729">
                  <c:v>3.4401271883259255E-2</c:v>
                </c:pt>
                <c:pt idx="730">
                  <c:v>3.4439352337694018E-2</c:v>
                </c:pt>
                <c:pt idx="731">
                  <c:v>3.4477195001539063E-2</c:v>
                </c:pt>
                <c:pt idx="732">
                  <c:v>3.4514799872403801E-2</c:v>
                </c:pt>
                <c:pt idx="733">
                  <c:v>3.4556470514751136E-2</c:v>
                </c:pt>
                <c:pt idx="734">
                  <c:v>3.4589296225692456E-2</c:v>
                </c:pt>
                <c:pt idx="735">
                  <c:v>3.462618770340764E-2</c:v>
                </c:pt>
                <c:pt idx="736">
                  <c:v>3.4662841378717557E-2</c:v>
                </c:pt>
                <c:pt idx="737">
                  <c:v>3.4699257249304061E-2</c:v>
                </c:pt>
                <c:pt idx="738">
                  <c:v>3.4735435312866492E-2</c:v>
                </c:pt>
                <c:pt idx="739">
                  <c:v>3.477137556711668E-2</c:v>
                </c:pt>
                <c:pt idx="740">
                  <c:v>3.4807078009781445E-2</c:v>
                </c:pt>
                <c:pt idx="741">
                  <c:v>3.484254263860509E-2</c:v>
                </c:pt>
                <c:pt idx="742">
                  <c:v>3.4877769451341911E-2</c:v>
                </c:pt>
                <c:pt idx="743">
                  <c:v>3.4912758445763692E-2</c:v>
                </c:pt>
                <c:pt idx="744">
                  <c:v>3.4952454659022691E-2</c:v>
                </c:pt>
                <c:pt idx="745">
                  <c:v>3.4982022970829196E-2</c:v>
                </c:pt>
                <c:pt idx="746">
                  <c:v>3.5016298497091425E-2</c:v>
                </c:pt>
                <c:pt idx="747">
                  <c:v>3.5054450015349049E-2</c:v>
                </c:pt>
                <c:pt idx="748">
                  <c:v>3.5084136066243499E-2</c:v>
                </c:pt>
                <c:pt idx="749">
                  <c:v>3.5105432655985543E-2</c:v>
                </c:pt>
                <c:pt idx="750">
                  <c:v>3.5151022309949653E-2</c:v>
                </c:pt>
                <c:pt idx="751">
                  <c:v>3.5188167569718848E-2</c:v>
                </c:pt>
                <c:pt idx="752">
                  <c:v>3.5216957211290922E-2</c:v>
                </c:pt>
                <c:pt idx="753">
                  <c:v>3.5237467665813114E-2</c:v>
                </c:pt>
                <c:pt idx="754">
                  <c:v>3.5265860265372151E-2</c:v>
                </c:pt>
                <c:pt idx="755">
                  <c:v>3.5298050622968785E-2</c:v>
                </c:pt>
                <c:pt idx="756">
                  <c:v>3.5330003216973757E-2</c:v>
                </c:pt>
                <c:pt idx="757">
                  <c:v>3.5361718045622742E-2</c:v>
                </c:pt>
                <c:pt idx="758">
                  <c:v>3.5413015674360698E-2</c:v>
                </c:pt>
                <c:pt idx="759">
                  <c:v>3.5440237306221534E-2</c:v>
                </c:pt>
                <c:pt idx="760">
                  <c:v>3.5471183063026102E-2</c:v>
                </c:pt>
                <c:pt idx="761">
                  <c:v>3.5501890963985649E-2</c:v>
                </c:pt>
                <c:pt idx="762">
                  <c:v>3.5536267151995531E-2</c:v>
                </c:pt>
                <c:pt idx="763">
                  <c:v>3.5562593190623382E-2</c:v>
                </c:pt>
                <c:pt idx="764">
                  <c:v>3.5592587512462137E-2</c:v>
                </c:pt>
                <c:pt idx="765">
                  <c:v>3.5622343970779513E-2</c:v>
                </c:pt>
                <c:pt idx="766">
                  <c:v>3.5640306106393488E-2</c:v>
                </c:pt>
                <c:pt idx="767">
                  <c:v>3.5681143289338635E-2</c:v>
                </c:pt>
                <c:pt idx="768">
                  <c:v>3.5710186145863354E-2</c:v>
                </c:pt>
                <c:pt idx="769">
                  <c:v>3.5738991131427644E-2</c:v>
                </c:pt>
                <c:pt idx="770">
                  <c:v>3.576755824421296E-2</c:v>
                </c:pt>
                <c:pt idx="771">
                  <c:v>3.5799673507060224E-2</c:v>
                </c:pt>
                <c:pt idx="772">
                  <c:v>3.5824016103985223E-2</c:v>
                </c:pt>
                <c:pt idx="773">
                  <c:v>3.5851958079885782E-2</c:v>
                </c:pt>
                <c:pt idx="774">
                  <c:v>3.5879746011169278E-2</c:v>
                </c:pt>
                <c:pt idx="775">
                  <c:v>3.5907407475103681E-2</c:v>
                </c:pt>
                <c:pt idx="776">
                  <c:v>3.5934957936960554E-2</c:v>
                </c:pt>
                <c:pt idx="777">
                  <c:v>3.5962398264975382E-2</c:v>
                </c:pt>
                <c:pt idx="778">
                  <c:v>3.5989728458341308E-2</c:v>
                </c:pt>
                <c:pt idx="779">
                  <c:v>3.6020682529396685E-2</c:v>
                </c:pt>
                <c:pt idx="780">
                  <c:v>3.6047787292599054E-2</c:v>
                </c:pt>
                <c:pt idx="781">
                  <c:v>3.6071058222577057E-2</c:v>
                </c:pt>
                <c:pt idx="782">
                  <c:v>3.6097947869381253E-2</c:v>
                </c:pt>
                <c:pt idx="783">
                  <c:v>3.6124727377572219E-2</c:v>
                </c:pt>
                <c:pt idx="784">
                  <c:v>3.6151396746360587E-2</c:v>
                </c:pt>
                <c:pt idx="785">
                  <c:v>3.6181658901156447E-2</c:v>
                </c:pt>
                <c:pt idx="786">
                  <c:v>3.6204405062612022E-2</c:v>
                </c:pt>
                <c:pt idx="787">
                  <c:v>3.623074400852383E-2</c:v>
                </c:pt>
                <c:pt idx="788">
                  <c:v>3.6245909520516331E-2</c:v>
                </c:pt>
                <c:pt idx="789">
                  <c:v>3.6283091472057716E-2</c:v>
                </c:pt>
                <c:pt idx="790">
                  <c:v>3.6309099988151017E-2</c:v>
                </c:pt>
                <c:pt idx="791">
                  <c:v>3.6334998359438542E-2</c:v>
                </c:pt>
                <c:pt idx="792">
                  <c:v>3.6360786585168392E-2</c:v>
                </c:pt>
                <c:pt idx="793">
                  <c:v>3.6386464664583673E-2</c:v>
                </c:pt>
                <c:pt idx="794">
                  <c:v>3.6412020988616081E-2</c:v>
                </c:pt>
                <c:pt idx="795">
                  <c:v>3.6437490381465432E-2</c:v>
                </c:pt>
                <c:pt idx="796">
                  <c:v>3.6470094430767409E-2</c:v>
                </c:pt>
                <c:pt idx="797">
                  <c:v>3.6491715261667584E-2</c:v>
                </c:pt>
                <c:pt idx="798">
                  <c:v>3.6513202840722514E-2</c:v>
                </c:pt>
                <c:pt idx="799">
                  <c:v>3.6541849124885999E-2</c:v>
                </c:pt>
                <c:pt idx="800">
                  <c:v>3.6563127060897926E-2</c:v>
                </c:pt>
                <c:pt idx="801">
                  <c:v>3.6601953722512771E-2</c:v>
                </c:pt>
                <c:pt idx="802">
                  <c:v>3.6612515816682366E-2</c:v>
                </c:pt>
                <c:pt idx="803">
                  <c:v>3.6637082028529069E-2</c:v>
                </c:pt>
                <c:pt idx="804">
                  <c:v>3.6665139879333009E-2</c:v>
                </c:pt>
                <c:pt idx="805">
                  <c:v>3.6685884016726733E-2</c:v>
                </c:pt>
                <c:pt idx="806">
                  <c:v>3.6699345189243573E-2</c:v>
                </c:pt>
                <c:pt idx="807">
                  <c:v>3.6723487043944632E-2</c:v>
                </c:pt>
                <c:pt idx="808">
                  <c:v>3.6747518779937254E-2</c:v>
                </c:pt>
                <c:pt idx="809">
                  <c:v>3.6771440396601927E-2</c:v>
                </c:pt>
                <c:pt idx="810">
                  <c:v>3.6805961414681884E-2</c:v>
                </c:pt>
                <c:pt idx="811">
                  <c:v>3.6829646447808916E-2</c:v>
                </c:pt>
                <c:pt idx="812">
                  <c:v>3.6856779708566156E-2</c:v>
                </c:pt>
                <c:pt idx="813">
                  <c:v>3.6876686062203561E-2</c:v>
                </c:pt>
                <c:pt idx="814">
                  <c:v>3.6903588071364457E-2</c:v>
                </c:pt>
                <c:pt idx="815">
                  <c:v>3.6923285069671768E-2</c:v>
                </c:pt>
                <c:pt idx="816">
                  <c:v>3.6956055894333595E-2</c:v>
                </c:pt>
                <c:pt idx="817">
                  <c:v>3.6969443464930044E-2</c:v>
                </c:pt>
                <c:pt idx="818">
                  <c:v>3.699588284498817E-2</c:v>
                </c:pt>
                <c:pt idx="819">
                  <c:v>3.7015161242736107E-2</c:v>
                </c:pt>
                <c:pt idx="820">
                  <c:v>3.7037854898472639E-2</c:v>
                </c:pt>
                <c:pt idx="821">
                  <c:v>3.7060438397904447E-2</c:v>
                </c:pt>
                <c:pt idx="822">
                  <c:v>3.7082911740389461E-2</c:v>
                </c:pt>
                <c:pt idx="823">
                  <c:v>3.7108771322101886E-2</c:v>
                </c:pt>
                <c:pt idx="824">
                  <c:v>3.7127520902377031E-2</c:v>
                </c:pt>
                <c:pt idx="825">
                  <c:v>3.714964702737631E-2</c:v>
                </c:pt>
                <c:pt idx="826">
                  <c:v>3.7171647131179542E-2</c:v>
                </c:pt>
                <c:pt idx="827">
                  <c:v>3.7193516090269614E-2</c:v>
                </c:pt>
                <c:pt idx="828">
                  <c:v>3.7215251542889294E-2</c:v>
                </c:pt>
                <c:pt idx="829">
                  <c:v>3.7236853418926914E-2</c:v>
                </c:pt>
                <c:pt idx="830">
                  <c:v>3.7258321717639854E-2</c:v>
                </c:pt>
                <c:pt idx="831">
                  <c:v>3.7286536054277751E-2</c:v>
                </c:pt>
                <c:pt idx="832">
                  <c:v>3.7304290270228635E-2</c:v>
                </c:pt>
                <c:pt idx="833">
                  <c:v>3.7321925142463547E-2</c:v>
                </c:pt>
                <c:pt idx="834">
                  <c:v>3.7342859124533945E-2</c:v>
                </c:pt>
                <c:pt idx="835">
                  <c:v>3.7363659525630963E-2</c:v>
                </c:pt>
                <c:pt idx="836">
                  <c:v>3.7384326345042906E-2</c:v>
                </c:pt>
                <c:pt idx="837">
                  <c:v>3.7408255334211438E-2</c:v>
                </c:pt>
                <c:pt idx="838">
                  <c:v>3.7425259235962266E-2</c:v>
                </c:pt>
                <c:pt idx="839">
                  <c:v>3.7445525306059192E-2</c:v>
                </c:pt>
                <c:pt idx="840">
                  <c:v>3.7465657791652653E-2</c:v>
                </c:pt>
                <c:pt idx="841">
                  <c:v>3.7485656692049021E-2</c:v>
                </c:pt>
                <c:pt idx="842">
                  <c:v>3.7505522006559815E-2</c:v>
                </c:pt>
                <c:pt idx="843">
                  <c:v>3.7525253734504278E-2</c:v>
                </c:pt>
                <c:pt idx="844">
                  <c:v>3.7544851875199091E-2</c:v>
                </c:pt>
                <c:pt idx="845">
                  <c:v>3.7564316427971249E-2</c:v>
                </c:pt>
                <c:pt idx="846">
                  <c:v>3.7588565480198177E-2</c:v>
                </c:pt>
                <c:pt idx="847">
                  <c:v>3.7602844767078744E-2</c:v>
                </c:pt>
                <c:pt idx="848">
                  <c:v>3.7628534787080337E-2</c:v>
                </c:pt>
                <c:pt idx="849">
                  <c:v>3.7644144541948421E-2</c:v>
                </c:pt>
                <c:pt idx="850">
                  <c:v>3.7659635349730741E-2</c:v>
                </c:pt>
                <c:pt idx="851">
                  <c:v>3.7681588982574066E-2</c:v>
                </c:pt>
                <c:pt idx="852">
                  <c:v>3.7696827779898641E-2</c:v>
                </c:pt>
                <c:pt idx="853">
                  <c:v>3.7718499000953254E-2</c:v>
                </c:pt>
                <c:pt idx="854">
                  <c:v>3.7733485837468758E-2</c:v>
                </c:pt>
                <c:pt idx="855">
                  <c:v>3.7751614474947688E-2</c:v>
                </c:pt>
                <c:pt idx="856">
                  <c:v>3.7772861975367833E-2</c:v>
                </c:pt>
                <c:pt idx="857">
                  <c:v>3.7787470964183514E-2</c:v>
                </c:pt>
                <c:pt idx="858">
                  <c:v>3.7795484470486099E-2</c:v>
                </c:pt>
                <c:pt idx="859">
                  <c:v>3.7813101809291032E-2</c:v>
                </c:pt>
                <c:pt idx="860">
                  <c:v>3.7830585590211206E-2</c:v>
                </c:pt>
                <c:pt idx="861">
                  <c:v>3.7847935812707068E-2</c:v>
                </c:pt>
                <c:pt idx="862">
                  <c:v>3.7874774241969923E-2</c:v>
                </c:pt>
                <c:pt idx="863">
                  <c:v>3.7895032578307009E-2</c:v>
                </c:pt>
                <c:pt idx="864">
                  <c:v>3.7908760362347256E-2</c:v>
                </c:pt>
                <c:pt idx="865">
                  <c:v>3.7925553022164778E-2</c:v>
                </c:pt>
                <c:pt idx="866">
                  <c:v>3.7932683530013743E-2</c:v>
                </c:pt>
                <c:pt idx="867">
                  <c:v>3.7964957276523492E-2</c:v>
                </c:pt>
                <c:pt idx="868">
                  <c:v>3.7975129393206741E-2</c:v>
                </c:pt>
                <c:pt idx="869">
                  <c:v>3.7991387645522796E-2</c:v>
                </c:pt>
                <c:pt idx="870">
                  <c:v>3.801379945381908E-2</c:v>
                </c:pt>
                <c:pt idx="871">
                  <c:v>3.8023503339745517E-2</c:v>
                </c:pt>
                <c:pt idx="872">
                  <c:v>3.8039360780548551E-2</c:v>
                </c:pt>
                <c:pt idx="873">
                  <c:v>3.8055084616415442E-2</c:v>
                </c:pt>
                <c:pt idx="874">
                  <c:v>3.8070674846804688E-2</c:v>
                </c:pt>
                <c:pt idx="875">
                  <c:v>3.8086142983810786E-2</c:v>
                </c:pt>
                <c:pt idx="876">
                  <c:v>3.8101546590157354E-2</c:v>
                </c:pt>
                <c:pt idx="877">
                  <c:v>3.8116954741531504E-2</c:v>
                </c:pt>
                <c:pt idx="878">
                  <c:v>3.8132436513996816E-2</c:v>
                </c:pt>
                <c:pt idx="879">
                  <c:v>3.8148058835835559E-2</c:v>
                </c:pt>
                <c:pt idx="880">
                  <c:v>3.8163852553606582E-2</c:v>
                </c:pt>
                <c:pt idx="881">
                  <c:v>3.8179818574251512E-2</c:v>
                </c:pt>
                <c:pt idx="882">
                  <c:v>3.8195956898479461E-2</c:v>
                </c:pt>
                <c:pt idx="883">
                  <c:v>3.8215474394716065E-2</c:v>
                </c:pt>
                <c:pt idx="884">
                  <c:v>3.8231971384350416E-2</c:v>
                </c:pt>
                <c:pt idx="885">
                  <c:v>3.8245405699868514E-2</c:v>
                </c:pt>
                <c:pt idx="886">
                  <c:v>3.8262233245671753E-2</c:v>
                </c:pt>
                <c:pt idx="887">
                  <c:v>3.8279233098711861E-2</c:v>
                </c:pt>
                <c:pt idx="888">
                  <c:v>3.8296405259749512E-2</c:v>
                </c:pt>
                <c:pt idx="889">
                  <c:v>3.8317041220475856E-2</c:v>
                </c:pt>
                <c:pt idx="890">
                  <c:v>3.8331266508862774E-2</c:v>
                </c:pt>
                <c:pt idx="891">
                  <c:v>3.8348955598482948E-2</c:v>
                </c:pt>
                <c:pt idx="892">
                  <c:v>3.8370151060704016E-2</c:v>
                </c:pt>
                <c:pt idx="893">
                  <c:v>3.838485071178014E-2</c:v>
                </c:pt>
                <c:pt idx="894">
                  <c:v>3.8403056737050731E-2</c:v>
                </c:pt>
                <c:pt idx="895">
                  <c:v>3.8421435075806087E-2</c:v>
                </c:pt>
                <c:pt idx="896">
                  <c:v>3.8439985728866206E-2</c:v>
                </c:pt>
                <c:pt idx="897">
                  <c:v>3.8458708697051078E-2</c:v>
                </c:pt>
                <c:pt idx="898">
                  <c:v>3.8482330451412139E-2</c:v>
                </c:pt>
                <c:pt idx="899">
                  <c:v>3.8496671582129167E-2</c:v>
                </c:pt>
                <c:pt idx="900">
                  <c:v>3.852280998396377E-2</c:v>
                </c:pt>
                <c:pt idx="901">
                  <c:v>3.8538786555364912E-2</c:v>
                </c:pt>
                <c:pt idx="902">
                  <c:v>3.8554908294206408E-2</c:v>
                </c:pt>
                <c:pt idx="903">
                  <c:v>3.8578156815044784E-2</c:v>
                </c:pt>
                <c:pt idx="904">
                  <c:v>3.8594594368609923E-2</c:v>
                </c:pt>
                <c:pt idx="905">
                  <c:v>3.862173861780379E-2</c:v>
                </c:pt>
                <c:pt idx="906">
                  <c:v>3.8634969730958875E-2</c:v>
                </c:pt>
                <c:pt idx="907">
                  <c:v>3.8655415897349804E-2</c:v>
                </c:pt>
                <c:pt idx="908">
                  <c:v>3.8679598442452889E-2</c:v>
                </c:pt>
                <c:pt idx="909">
                  <c:v>3.8696825205092572E-2</c:v>
                </c:pt>
                <c:pt idx="910">
                  <c:v>3.8717788348285515E-2</c:v>
                </c:pt>
                <c:pt idx="911">
                  <c:v>3.873892381892368E-2</c:v>
                </c:pt>
                <c:pt idx="912">
                  <c:v>3.8760231617953396E-2</c:v>
                </c:pt>
                <c:pt idx="913">
                  <c:v>3.8781711746313272E-2</c:v>
                </c:pt>
                <c:pt idx="914">
                  <c:v>3.8807015802535816E-2</c:v>
                </c:pt>
                <c:pt idx="915">
                  <c:v>3.8825188994852711E-2</c:v>
                </c:pt>
                <c:pt idx="916">
                  <c:v>3.8847186116961044E-2</c:v>
                </c:pt>
                <c:pt idx="917">
                  <c:v>3.886935557226226E-2</c:v>
                </c:pt>
                <c:pt idx="918">
                  <c:v>3.8900824367469333E-2</c:v>
                </c:pt>
                <c:pt idx="919">
                  <c:v>3.8917936584560164E-2</c:v>
                </c:pt>
                <c:pt idx="920">
                  <c:v>3.8936897947175926E-2</c:v>
                </c:pt>
                <c:pt idx="921">
                  <c:v>3.8959756745150405E-2</c:v>
                </c:pt>
                <c:pt idx="922">
                  <c:v>3.8986557320648541E-2</c:v>
                </c:pt>
                <c:pt idx="923">
                  <c:v>3.9005991356672938E-2</c:v>
                </c:pt>
                <c:pt idx="924">
                  <c:v>3.9029367172273545E-2</c:v>
                </c:pt>
                <c:pt idx="925">
                  <c:v>3.9052915329145732E-2</c:v>
                </c:pt>
                <c:pt idx="926">
                  <c:v>3.9076635828336398E-2</c:v>
                </c:pt>
                <c:pt idx="927">
                  <c:v>3.9089007226564831E-2</c:v>
                </c:pt>
                <c:pt idx="928">
                  <c:v>3.9124515666856159E-2</c:v>
                </c:pt>
                <c:pt idx="929">
                  <c:v>3.9148521023825475E-2</c:v>
                </c:pt>
                <c:pt idx="930">
                  <c:v>3.9172445961985124E-2</c:v>
                </c:pt>
                <c:pt idx="931">
                  <c:v>3.9203809763983119E-2</c:v>
                </c:pt>
                <c:pt idx="932">
                  <c:v>3.9219715070558263E-2</c:v>
                </c:pt>
                <c:pt idx="933">
                  <c:v>3.9242992359269001E-2</c:v>
                </c:pt>
                <c:pt idx="934">
                  <c:v>3.9266029583595881E-2</c:v>
                </c:pt>
                <c:pt idx="935">
                  <c:v>3.9292574805828151E-2</c:v>
                </c:pt>
                <c:pt idx="936">
                  <c:v>3.9315117206104588E-2</c:v>
                </c:pt>
                <c:pt idx="937">
                  <c:v>3.9333700856160808E-2</c:v>
                </c:pt>
                <c:pt idx="938">
                  <c:v>3.935577780888868E-2</c:v>
                </c:pt>
                <c:pt idx="939">
                  <c:v>3.9377614690267945E-2</c:v>
                </c:pt>
                <c:pt idx="940">
                  <c:v>3.9399211498947422E-2</c:v>
                </c:pt>
                <c:pt idx="941">
                  <c:v>3.9420568233593987E-2</c:v>
                </c:pt>
                <c:pt idx="942">
                  <c:v>3.9445329595313161E-2</c:v>
                </c:pt>
                <c:pt idx="943">
                  <c:v>3.9462561475517764E-2</c:v>
                </c:pt>
                <c:pt idx="944">
                  <c:v>3.9483197980198344E-2</c:v>
                </c:pt>
                <c:pt idx="945">
                  <c:v>3.9503594405655325E-2</c:v>
                </c:pt>
                <c:pt idx="946">
                  <c:v>3.9527335837437616E-2</c:v>
                </c:pt>
                <c:pt idx="947">
                  <c:v>3.9543667013857357E-2</c:v>
                </c:pt>
                <c:pt idx="948">
                  <c:v>3.9563343194129554E-2</c:v>
                </c:pt>
                <c:pt idx="949">
                  <c:v>3.9582779290219534E-2</c:v>
                </c:pt>
                <c:pt idx="950">
                  <c:v>3.9601975300933422E-2</c:v>
                </c:pt>
                <c:pt idx="951">
                  <c:v>3.9620931225072174E-2</c:v>
                </c:pt>
                <c:pt idx="952">
                  <c:v>3.9639647061475429E-2</c:v>
                </c:pt>
                <c:pt idx="953">
                  <c:v>3.9661602593193679E-2</c:v>
                </c:pt>
                <c:pt idx="954">
                  <c:v>3.967635846644172E-2</c:v>
                </c:pt>
                <c:pt idx="955">
                  <c:v>3.969435403274077E-2</c:v>
                </c:pt>
                <c:pt idx="956">
                  <c:v>3.9715543778691964E-2</c:v>
                </c:pt>
                <c:pt idx="957">
                  <c:v>3.9739525878898563E-2</c:v>
                </c:pt>
                <c:pt idx="958">
                  <c:v>3.9756663967766614E-2</c:v>
                </c:pt>
                <c:pt idx="959">
                  <c:v>3.9773561960503301E-2</c:v>
                </c:pt>
                <c:pt idx="960">
                  <c:v>3.9790219856066879E-2</c:v>
                </c:pt>
                <c:pt idx="961">
                  <c:v>3.9806637653423335E-2</c:v>
                </c:pt>
                <c:pt idx="962">
                  <c:v>3.9812806718066973E-2</c:v>
                </c:pt>
                <c:pt idx="963">
                  <c:v>3.9828790469432294E-2</c:v>
                </c:pt>
                <c:pt idx="964">
                  <c:v>3.9844534197267995E-2</c:v>
                </c:pt>
                <c:pt idx="965">
                  <c:v>3.9860037900694777E-2</c:v>
                </c:pt>
                <c:pt idx="966">
                  <c:v>3.9885125132128031E-2</c:v>
                </c:pt>
                <c:pt idx="967">
                  <c:v>3.9900102319463539E-2</c:v>
                </c:pt>
                <c:pt idx="968">
                  <c:v>3.9927796073495357E-2</c:v>
                </c:pt>
                <c:pt idx="969">
                  <c:v>3.9929336378221818E-2</c:v>
                </c:pt>
                <c:pt idx="970">
                  <c:v>3.9940382087559456E-2</c:v>
                </c:pt>
                <c:pt idx="971">
                  <c:v>3.9954414445485753E-2</c:v>
                </c:pt>
                <c:pt idx="972">
                  <c:v>3.9968206720988775E-2</c:v>
                </c:pt>
                <c:pt idx="973">
                  <c:v>3.9995062542866389E-2</c:v>
                </c:pt>
                <c:pt idx="974">
                  <c:v>4.0005117391832545E-2</c:v>
                </c:pt>
                <c:pt idx="975">
                  <c:v>4.0018089399458112E-2</c:v>
                </c:pt>
                <c:pt idx="976">
                  <c:v>4.0030821268739469E-2</c:v>
                </c:pt>
                <c:pt idx="977">
                  <c:v>4.0043312998867264E-2</c:v>
                </c:pt>
                <c:pt idx="978">
                  <c:v>4.0055564589039638E-2</c:v>
                </c:pt>
                <c:pt idx="979">
                  <c:v>4.0067576038479713E-2</c:v>
                </c:pt>
                <c:pt idx="980">
                  <c:v>4.0079347346420602E-2</c:v>
                </c:pt>
                <c:pt idx="981">
                  <c:v>4.0090878512107908E-2</c:v>
                </c:pt>
                <c:pt idx="982">
                  <c:v>4.0102169534807219E-2</c:v>
                </c:pt>
                <c:pt idx="983">
                  <c:v>4.0113220413796613E-2</c:v>
                </c:pt>
                <c:pt idx="984">
                  <c:v>4.0124031148374151E-2</c:v>
                </c:pt>
                <c:pt idx="985">
                  <c:v>4.0134601737850384E-2</c:v>
                </c:pt>
                <c:pt idx="986">
                  <c:v>4.0147883467060393E-2</c:v>
                </c:pt>
                <c:pt idx="987">
                  <c:v>4.0146208848333399E-2</c:v>
                </c:pt>
                <c:pt idx="988">
                  <c:v>4.0164872628981607E-2</c:v>
                </c:pt>
                <c:pt idx="989">
                  <c:v>4.0174482631450403E-2</c:v>
                </c:pt>
                <c:pt idx="990">
                  <c:v>4.0183852485597971E-2</c:v>
                </c:pt>
                <c:pt idx="991">
                  <c:v>4.0192982190822291E-2</c:v>
                </c:pt>
                <c:pt idx="992">
                  <c:v>4.0201871746543827E-2</c:v>
                </c:pt>
                <c:pt idx="993">
                  <c:v>4.0213359657479006E-2</c:v>
                </c:pt>
                <c:pt idx="994">
                  <c:v>4.0218930407225351E-2</c:v>
                </c:pt>
                <c:pt idx="995">
                  <c:v>4.0227099511096209E-2</c:v>
                </c:pt>
                <c:pt idx="996">
                  <c:v>4.0235028463283529E-2</c:v>
                </c:pt>
                <c:pt idx="997">
                  <c:v>4.024271726328521E-2</c:v>
                </c:pt>
                <c:pt idx="998">
                  <c:v>4.0250165910614144E-2</c:v>
                </c:pt>
                <c:pt idx="999">
                  <c:v>4.0257374404785717E-2</c:v>
                </c:pt>
                <c:pt idx="1000">
                  <c:v>4.0256161324756359E-2</c:v>
                </c:pt>
                <c:pt idx="1001">
                  <c:v>4.0271070931853226E-2</c:v>
                </c:pt>
                <c:pt idx="1002">
                  <c:v>4.0277558963867366E-2</c:v>
                </c:pt>
                <c:pt idx="1003">
                  <c:v>4.0283806840985537E-2</c:v>
                </c:pt>
                <c:pt idx="1004">
                  <c:v>4.0293309489588841E-2</c:v>
                </c:pt>
                <c:pt idx="1005">
                  <c:v>4.0295582128937746E-2</c:v>
                </c:pt>
                <c:pt idx="1006">
                  <c:v>4.0301109539024882E-2</c:v>
                </c:pt>
                <c:pt idx="1007">
                  <c:v>4.0309005820383964E-2</c:v>
                </c:pt>
                <c:pt idx="1008">
                  <c:v>4.0311635784596199E-2</c:v>
                </c:pt>
                <c:pt idx="1009">
                  <c:v>4.0314343095387228E-2</c:v>
                </c:pt>
                <c:pt idx="1010">
                  <c:v>4.0320817612033433E-2</c:v>
                </c:pt>
                <c:pt idx="1011">
                  <c:v>4.0327686736349608E-2</c:v>
                </c:pt>
                <c:pt idx="1012">
                  <c:v>4.0329230703791685E-2</c:v>
                </c:pt>
                <c:pt idx="1013">
                  <c:v>4.0325541338336129E-2</c:v>
                </c:pt>
                <c:pt idx="1014">
                  <c:v>4.032669975520526E-2</c:v>
                </c:pt>
                <c:pt idx="1015">
                  <c:v>4.0330132827326129E-2</c:v>
                </c:pt>
                <c:pt idx="1016">
                  <c:v>4.0333325847922624E-2</c:v>
                </c:pt>
                <c:pt idx="1017">
                  <c:v>4.0336278816820607E-2</c:v>
                </c:pt>
                <c:pt idx="1018">
                  <c:v>4.0351131217162071E-2</c:v>
                </c:pt>
                <c:pt idx="1019">
                  <c:v>4.035111152995513E-2</c:v>
                </c:pt>
                <c:pt idx="1020">
                  <c:v>4.035327672527067E-2</c:v>
                </c:pt>
                <c:pt idx="1021">
                  <c:v>4.0355201760851611E-2</c:v>
                </c:pt>
                <c:pt idx="1022">
                  <c:v>4.0359243969309719E-2</c:v>
                </c:pt>
                <c:pt idx="1023">
                  <c:v>4.0358331352342569E-2</c:v>
                </c:pt>
                <c:pt idx="1024">
                  <c:v>4.0359535908050248E-2</c:v>
                </c:pt>
                <c:pt idx="1025">
                  <c:v>4.0362806572135798E-2</c:v>
                </c:pt>
                <c:pt idx="1026">
                  <c:v>4.0354348210988926E-2</c:v>
                </c:pt>
                <c:pt idx="1027">
                  <c:v>4.0361708614157776E-2</c:v>
                </c:pt>
                <c:pt idx="1028">
                  <c:v>4.0361952529031075E-2</c:v>
                </c:pt>
                <c:pt idx="1029">
                  <c:v>4.0361956283622713E-2</c:v>
                </c:pt>
                <c:pt idx="1030">
                  <c:v>4.0361720503422349E-2</c:v>
                </c:pt>
                <c:pt idx="1031">
                  <c:v>4.0361266478527169E-2</c:v>
                </c:pt>
                <c:pt idx="1032">
                  <c:v>4.0360640403118153E-2</c:v>
                </c:pt>
                <c:pt idx="1033">
                  <c:v>4.0359889954020289E-2</c:v>
                </c:pt>
                <c:pt idx="1034">
                  <c:v>4.0359062808061064E-2</c:v>
                </c:pt>
                <c:pt idx="1035">
                  <c:v>4.0358201638078239E-2</c:v>
                </c:pt>
                <c:pt idx="1036">
                  <c:v>4.0357318235856865E-2</c:v>
                </c:pt>
                <c:pt idx="1037">
                  <c:v>4.0356412624573401E-2</c:v>
                </c:pt>
                <c:pt idx="1038">
                  <c:v>4.0355484804230346E-2</c:v>
                </c:pt>
                <c:pt idx="1039">
                  <c:v>4.0347967096629252E-2</c:v>
                </c:pt>
                <c:pt idx="1040">
                  <c:v>4.0355750070885807E-2</c:v>
                </c:pt>
                <c:pt idx="1041">
                  <c:v>4.0352568088901086E-2</c:v>
                </c:pt>
                <c:pt idx="1042">
                  <c:v>4.035155143237712E-2</c:v>
                </c:pt>
                <c:pt idx="1043">
                  <c:v>4.0350512566826036E-2</c:v>
                </c:pt>
                <c:pt idx="1044">
                  <c:v>4.0349451492247834E-2</c:v>
                </c:pt>
                <c:pt idx="1045">
                  <c:v>4.0350547229268882E-2</c:v>
                </c:pt>
                <c:pt idx="1046">
                  <c:v>4.0347262716045051E-2</c:v>
                </c:pt>
                <c:pt idx="1047">
                  <c:v>4.034613501443296E-2</c:v>
                </c:pt>
                <c:pt idx="1048">
                  <c:v>4.0344985103826225E-2</c:v>
                </c:pt>
                <c:pt idx="1049">
                  <c:v>4.0343812984224847E-2</c:v>
                </c:pt>
                <c:pt idx="1050">
                  <c:v>4.0342618655638818E-2</c:v>
                </c:pt>
                <c:pt idx="1051">
                  <c:v>4.0341402118075631E-2</c:v>
                </c:pt>
                <c:pt idx="1052">
                  <c:v>4.0340163371542781E-2</c:v>
                </c:pt>
                <c:pt idx="1053">
                  <c:v>4.0338902416045264E-2</c:v>
                </c:pt>
                <c:pt idx="1054">
                  <c:v>4.0337619251593071E-2</c:v>
                </c:pt>
                <c:pt idx="1055">
                  <c:v>4.0336313878193697E-2</c:v>
                </c:pt>
                <c:pt idx="1056">
                  <c:v>4.0334794828260356E-2</c:v>
                </c:pt>
                <c:pt idx="1057">
                  <c:v>4.0333636504580883E-2</c:v>
                </c:pt>
                <c:pt idx="1058">
                  <c:v>4.0332264504384929E-2</c:v>
                </c:pt>
                <c:pt idx="1059">
                  <c:v>4.0333025147124862E-2</c:v>
                </c:pt>
                <c:pt idx="1060">
                  <c:v>4.0329453877251398E-2</c:v>
                </c:pt>
                <c:pt idx="1061">
                  <c:v>4.0321561134324238E-2</c:v>
                </c:pt>
                <c:pt idx="1062">
                  <c:v>4.0326554414513993E-2</c:v>
                </c:pt>
                <c:pt idx="1063">
                  <c:v>4.0327219227086791E-2</c:v>
                </c:pt>
                <c:pt idx="1064">
                  <c:v>4.0323566116252652E-2</c:v>
                </c:pt>
                <c:pt idx="1065">
                  <c:v>4.0315605572082247E-2</c:v>
                </c:pt>
                <c:pt idx="1066">
                  <c:v>4.0311918560314339E-2</c:v>
                </c:pt>
                <c:pt idx="1067">
                  <c:v>4.0310353725512602E-2</c:v>
                </c:pt>
                <c:pt idx="1068">
                  <c:v>4.0308766691771032E-2</c:v>
                </c:pt>
                <c:pt idx="1069">
                  <c:v>4.0307157459101059E-2</c:v>
                </c:pt>
                <c:pt idx="1070">
                  <c:v>4.0314068208989473E-2</c:v>
                </c:pt>
                <c:pt idx="1071">
                  <c:v>4.0312407493559299E-2</c:v>
                </c:pt>
                <c:pt idx="1072">
                  <c:v>4.0310724569326828E-2</c:v>
                </c:pt>
                <c:pt idx="1073">
                  <c:v>4.0309019436309546E-2</c:v>
                </c:pt>
                <c:pt idx="1074">
                  <c:v>4.0309420512402869E-2</c:v>
                </c:pt>
                <c:pt idx="1075">
                  <c:v>4.0305542543943029E-2</c:v>
                </c:pt>
                <c:pt idx="1076">
                  <c:v>4.0303770784616277E-2</c:v>
                </c:pt>
                <c:pt idx="1077">
                  <c:v>4.0301976816544682E-2</c:v>
                </c:pt>
                <c:pt idx="1078">
                  <c:v>4.0293796739689837E-2</c:v>
                </c:pt>
                <c:pt idx="1079">
                  <c:v>4.0298322254191943E-2</c:v>
                </c:pt>
                <c:pt idx="1080">
                  <c:v>4.0296461659935778E-2</c:v>
                </c:pt>
                <c:pt idx="1081">
                  <c:v>4.0294578856977237E-2</c:v>
                </c:pt>
                <c:pt idx="1082">
                  <c:v>4.0292673845321314E-2</c:v>
                </c:pt>
                <c:pt idx="1083">
                  <c:v>4.0292858915332151E-2</c:v>
                </c:pt>
                <c:pt idx="1084">
                  <c:v>4.0288797195974779E-2</c:v>
                </c:pt>
                <c:pt idx="1085">
                  <c:v>4.0286825558309147E-2</c:v>
                </c:pt>
                <c:pt idx="1086">
                  <c:v>4.0284831711991098E-2</c:v>
                </c:pt>
                <c:pt idx="1087">
                  <c:v>4.0282815657040616E-2</c:v>
                </c:pt>
                <c:pt idx="1088">
                  <c:v>4.0280777393462697E-2</c:v>
                </c:pt>
                <c:pt idx="1089">
                  <c:v>4.0278716921272328E-2</c:v>
                </c:pt>
                <c:pt idx="1090">
                  <c:v>4.0276634240482001E-2</c:v>
                </c:pt>
                <c:pt idx="1091">
                  <c:v>4.0276627137887586E-2</c:v>
                </c:pt>
                <c:pt idx="1092">
                  <c:v>4.0274498215881624E-2</c:v>
                </c:pt>
                <c:pt idx="1093">
                  <c:v>4.0270252946631169E-2</c:v>
                </c:pt>
                <c:pt idx="1094">
                  <c:v>4.0268081431563407E-2</c:v>
                </c:pt>
                <c:pt idx="1095">
                  <c:v>4.0265887707960635E-2</c:v>
                </c:pt>
                <c:pt idx="1096">
                  <c:v>4.0263671775827847E-2</c:v>
                </c:pt>
                <c:pt idx="1097">
                  <c:v>4.0263520440676395E-2</c:v>
                </c:pt>
                <c:pt idx="1098">
                  <c:v>4.0259173286047167E-2</c:v>
                </c:pt>
                <c:pt idx="1099">
                  <c:v>4.0256890728421757E-2</c:v>
                </c:pt>
                <c:pt idx="1100">
                  <c:v>4.0248341992077073E-2</c:v>
                </c:pt>
                <c:pt idx="1101">
                  <c:v>4.0252258987770739E-2</c:v>
                </c:pt>
                <c:pt idx="1102">
                  <c:v>4.024990980477261E-2</c:v>
                </c:pt>
                <c:pt idx="1103">
                  <c:v>4.0247538413341888E-2</c:v>
                </c:pt>
                <c:pt idx="1104">
                  <c:v>4.0245144813496059E-2</c:v>
                </c:pt>
                <c:pt idx="1105">
                  <c:v>4.0242729005250111E-2</c:v>
                </c:pt>
                <c:pt idx="1106">
                  <c:v>4.023787096277899E-2</c:v>
                </c:pt>
                <c:pt idx="1107">
                  <c:v>4.0237830763602822E-2</c:v>
                </c:pt>
                <c:pt idx="1108">
                  <c:v>4.0237058060319117E-2</c:v>
                </c:pt>
                <c:pt idx="1109">
                  <c:v>4.0234908265358887E-2</c:v>
                </c:pt>
                <c:pt idx="1110">
                  <c:v>4.0230316838478219E-2</c:v>
                </c:pt>
                <c:pt idx="1111">
                  <c:v>4.02298286177303E-2</c:v>
                </c:pt>
                <c:pt idx="1112">
                  <c:v>4.0225196513461736E-2</c:v>
                </c:pt>
                <c:pt idx="1113">
                  <c:v>4.0218681186100322E-2</c:v>
                </c:pt>
                <c:pt idx="1114">
                  <c:v>4.0217556905179058E-2</c:v>
                </c:pt>
                <c:pt idx="1115">
                  <c:v>4.0214917721744688E-2</c:v>
                </c:pt>
                <c:pt idx="1116">
                  <c:v>4.0214307536981242E-2</c:v>
                </c:pt>
                <c:pt idx="1117">
                  <c:v>4.0209572737552664E-2</c:v>
                </c:pt>
                <c:pt idx="1118">
                  <c:v>4.0206866936823384E-2</c:v>
                </c:pt>
                <c:pt idx="1119">
                  <c:v>4.0204138930360074E-2</c:v>
                </c:pt>
                <c:pt idx="1120">
                  <c:v>4.0201388718180797E-2</c:v>
                </c:pt>
                <c:pt idx="1121">
                  <c:v>4.019861630029585E-2</c:v>
                </c:pt>
                <c:pt idx="1122">
                  <c:v>4.0195821676725876E-2</c:v>
                </c:pt>
                <c:pt idx="1123">
                  <c:v>4.0193004847486336E-2</c:v>
                </c:pt>
                <c:pt idx="1124">
                  <c:v>4.0192201863941679E-2</c:v>
                </c:pt>
                <c:pt idx="1125">
                  <c:v>4.0187304572052725E-2</c:v>
                </c:pt>
                <c:pt idx="1126">
                  <c:v>4.0178324224803115E-2</c:v>
                </c:pt>
                <c:pt idx="1127">
                  <c:v>4.0181515474131686E-2</c:v>
                </c:pt>
                <c:pt idx="1128">
                  <c:v>4.0174877231669903E-2</c:v>
                </c:pt>
                <c:pt idx="1129">
                  <c:v>4.0175637553854726E-2</c:v>
                </c:pt>
                <c:pt idx="1130">
                  <c:v>4.0176714419979997E-2</c:v>
                </c:pt>
                <c:pt idx="1131">
                  <c:v>4.0169670811355931E-2</c:v>
                </c:pt>
                <c:pt idx="1132">
                  <c:v>4.0166654131814923E-2</c:v>
                </c:pt>
                <c:pt idx="1133">
                  <c:v>4.0163615246771964E-2</c:v>
                </c:pt>
                <c:pt idx="1134">
                  <c:v>4.0160554156237364E-2</c:v>
                </c:pt>
                <c:pt idx="1135">
                  <c:v>4.0157470860236917E-2</c:v>
                </c:pt>
                <c:pt idx="1136">
                  <c:v>4.01543653587835E-2</c:v>
                </c:pt>
                <c:pt idx="1137">
                  <c:v>4.0151237651897757E-2</c:v>
                </c:pt>
                <c:pt idx="1138">
                  <c:v>4.0148087739595155E-2</c:v>
                </c:pt>
                <c:pt idx="1139">
                  <c:v>4.014491562189116E-2</c:v>
                </c:pt>
                <c:pt idx="1140">
                  <c:v>4.0141721298811564E-2</c:v>
                </c:pt>
                <c:pt idx="1141">
                  <c:v>4.013850477036926E-2</c:v>
                </c:pt>
                <c:pt idx="1142">
                  <c:v>4.013526603658487E-2</c:v>
                </c:pt>
                <c:pt idx="1143">
                  <c:v>4.0134004532015599E-2</c:v>
                </c:pt>
                <c:pt idx="1144">
                  <c:v>4.0130719435960416E-2</c:v>
                </c:pt>
                <c:pt idx="1145">
                  <c:v>4.012541660335199E-2</c:v>
                </c:pt>
                <c:pt idx="1146">
                  <c:v>4.0122089048377198E-2</c:v>
                </c:pt>
                <c:pt idx="1147">
                  <c:v>4.0118739288155736E-2</c:v>
                </c:pt>
                <c:pt idx="1148">
                  <c:v>4.0115367322700497E-2</c:v>
                </c:pt>
                <c:pt idx="1149">
                  <c:v>4.0113960840166829E-2</c:v>
                </c:pt>
                <c:pt idx="1150">
                  <c:v>4.0108556776181491E-2</c:v>
                </c:pt>
                <c:pt idx="1151">
                  <c:v>4.0105118195156414E-2</c:v>
                </c:pt>
                <c:pt idx="1152">
                  <c:v>4.0103639190993967E-2</c:v>
                </c:pt>
                <c:pt idx="1153">
                  <c:v>4.0098174417665354E-2</c:v>
                </c:pt>
                <c:pt idx="1154">
                  <c:v>4.0094669221238048E-2</c:v>
                </c:pt>
                <c:pt idx="1155">
                  <c:v>4.0091141819721364E-2</c:v>
                </c:pt>
                <c:pt idx="1156">
                  <c:v>4.0087592213130768E-2</c:v>
                </c:pt>
                <c:pt idx="1157">
                  <c:v>4.0084020401486897E-2</c:v>
                </c:pt>
                <c:pt idx="1158">
                  <c:v>4.0076910198634685E-2</c:v>
                </c:pt>
                <c:pt idx="1159">
                  <c:v>4.00768101631244E-2</c:v>
                </c:pt>
                <c:pt idx="1160">
                  <c:v>4.0077103542888994E-2</c:v>
                </c:pt>
                <c:pt idx="1161">
                  <c:v>4.0071475037103677E-2</c:v>
                </c:pt>
                <c:pt idx="1162">
                  <c:v>4.0065828268208384E-2</c:v>
                </c:pt>
                <c:pt idx="1163">
                  <c:v>4.0064083165646247E-2</c:v>
                </c:pt>
                <c:pt idx="1164">
                  <c:v>4.005839598025427E-2</c:v>
                </c:pt>
                <c:pt idx="1165">
                  <c:v>4.0058558354606984E-2</c:v>
                </c:pt>
                <c:pt idx="1166">
                  <c:v>4.0050874872757471E-2</c:v>
                </c:pt>
                <c:pt idx="1167">
                  <c:v>4.0047081011735999E-2</c:v>
                </c:pt>
                <c:pt idx="1168">
                  <c:v>4.0045214859059097E-2</c:v>
                </c:pt>
                <c:pt idx="1169">
                  <c:v>4.003942667525523E-2</c:v>
                </c:pt>
                <c:pt idx="1170">
                  <c:v>4.0029728253829458E-2</c:v>
                </c:pt>
                <c:pt idx="1171">
                  <c:v>4.0025851623130153E-2</c:v>
                </c:pt>
                <c:pt idx="1172">
                  <c:v>4.0021952794961263E-2</c:v>
                </c:pt>
                <c:pt idx="1173">
                  <c:v>4.0018031769342786E-2</c:v>
                </c:pt>
                <c:pt idx="1174">
                  <c:v>4.0021840053073299E-2</c:v>
                </c:pt>
                <c:pt idx="1175">
                  <c:v>4.0015930751867677E-2</c:v>
                </c:pt>
                <c:pt idx="1176">
                  <c:v>4.0011937048257278E-2</c:v>
                </c:pt>
                <c:pt idx="1177">
                  <c:v>4.0007921140024223E-2</c:v>
                </c:pt>
                <c:pt idx="1178">
                  <c:v>3.9999636996880028E-2</c:v>
                </c:pt>
                <c:pt idx="1179">
                  <c:v>4.0001750353052257E-2</c:v>
                </c:pt>
                <c:pt idx="1180">
                  <c:v>3.9995740187844402E-2</c:v>
                </c:pt>
                <c:pt idx="1181">
                  <c:v>3.9991635461363112E-2</c:v>
                </c:pt>
                <c:pt idx="1182">
                  <c:v>3.9989430049260088E-2</c:v>
                </c:pt>
                <c:pt idx="1183">
                  <c:v>3.9983359394916762E-2</c:v>
                </c:pt>
                <c:pt idx="1184">
                  <c:v>3.9979188054998123E-2</c:v>
                </c:pt>
                <c:pt idx="1185">
                  <c:v>3.9974994510645061E-2</c:v>
                </c:pt>
                <c:pt idx="1186">
                  <c:v>3.997077876188336E-2</c:v>
                </c:pt>
                <c:pt idx="1187">
                  <c:v>3.9966540986877616E-2</c:v>
                </c:pt>
                <c:pt idx="1188">
                  <c:v>3.9962282463137523E-2</c:v>
                </c:pt>
                <c:pt idx="1189">
                  <c:v>3.9958004887130569E-2</c:v>
                </c:pt>
                <c:pt idx="1190">
                  <c:v>3.9953709956144223E-2</c:v>
                </c:pt>
                <c:pt idx="1191">
                  <c:v>3.99513042052832E-2</c:v>
                </c:pt>
                <c:pt idx="1192">
                  <c:v>3.9945073993664898E-2</c:v>
                </c:pt>
                <c:pt idx="1193">
                  <c:v>3.9940733954340848E-2</c:v>
                </c:pt>
                <c:pt idx="1194">
                  <c:v>3.9936379227240637E-2</c:v>
                </c:pt>
                <c:pt idx="1195">
                  <c:v>3.9933908549404928E-2</c:v>
                </c:pt>
                <c:pt idx="1196">
                  <c:v>3.9929522912106608E-2</c:v>
                </c:pt>
                <c:pt idx="1197">
                  <c:v>3.9923226919453249E-2</c:v>
                </c:pt>
                <c:pt idx="1198">
                  <c:v>3.99188134414186E-2</c:v>
                </c:pt>
                <c:pt idx="1199">
                  <c:v>3.9914385275690308E-2</c:v>
                </c:pt>
                <c:pt idx="1200">
                  <c:v>3.9904269234704498E-2</c:v>
                </c:pt>
                <c:pt idx="1201">
                  <c:v>3.9907374386503047E-2</c:v>
                </c:pt>
                <c:pt idx="1202">
                  <c:v>3.9901012652521502E-2</c:v>
                </c:pt>
                <c:pt idx="1203">
                  <c:v>3.9896525736191409E-2</c:v>
                </c:pt>
                <c:pt idx="1204">
                  <c:v>3.9895793860181529E-2</c:v>
                </c:pt>
                <c:pt idx="1205">
                  <c:v>3.9887507840728781E-2</c:v>
                </c:pt>
                <c:pt idx="1206">
                  <c:v>3.9884858630635789E-2</c:v>
                </c:pt>
                <c:pt idx="1207">
                  <c:v>3.9878431194971198E-2</c:v>
                </c:pt>
                <c:pt idx="1208">
                  <c:v>3.9873870840773706E-2</c:v>
                </c:pt>
                <c:pt idx="1209">
                  <c:v>3.9869295799055335E-2</c:v>
                </c:pt>
                <c:pt idx="1210">
                  <c:v>3.9864706069831557E-2</c:v>
                </c:pt>
                <c:pt idx="1211">
                  <c:v>3.9860101653123002E-2</c:v>
                </c:pt>
                <c:pt idx="1212">
                  <c:v>3.9855482548937407E-2</c:v>
                </c:pt>
                <c:pt idx="1213">
                  <c:v>3.9850848757303131E-2</c:v>
                </c:pt>
                <c:pt idx="1214">
                  <c:v>3.9846200278235655E-2</c:v>
                </c:pt>
                <c:pt idx="1215">
                  <c:v>3.9841537111747871E-2</c:v>
                </c:pt>
                <c:pt idx="1216">
                  <c:v>3.9838725436935618E-2</c:v>
                </c:pt>
                <c:pt idx="1217">
                  <c:v>3.9830151131344194E-2</c:v>
                </c:pt>
                <c:pt idx="1218">
                  <c:v>3.9825437608133743E-2</c:v>
                </c:pt>
                <c:pt idx="1219">
                  <c:v>3.9820709397580339E-2</c:v>
                </c:pt>
                <c:pt idx="1220">
                  <c:v>3.9815287743904651E-2</c:v>
                </c:pt>
                <c:pt idx="1221">
                  <c:v>3.9811208914529751E-2</c:v>
                </c:pt>
                <c:pt idx="1222">
                  <c:v>3.9800868336737745E-2</c:v>
                </c:pt>
                <c:pt idx="1223">
                  <c:v>3.9796086108133198E-2</c:v>
                </c:pt>
                <c:pt idx="1224">
                  <c:v>3.9790602725348227E-2</c:v>
                </c:pt>
                <c:pt idx="1225">
                  <c:v>3.9786477603201496E-2</c:v>
                </c:pt>
                <c:pt idx="1226">
                  <c:v>3.9787200679733424E-2</c:v>
                </c:pt>
                <c:pt idx="1227">
                  <c:v>3.9782354971117123E-2</c:v>
                </c:pt>
                <c:pt idx="1228">
                  <c:v>3.9777494575322897E-2</c:v>
                </c:pt>
                <c:pt idx="1229">
                  <c:v>3.9772619492376537E-2</c:v>
                </c:pt>
                <c:pt idx="1230">
                  <c:v>3.9765886296231123E-2</c:v>
                </c:pt>
                <c:pt idx="1231">
                  <c:v>3.9760983428775099E-2</c:v>
                </c:pt>
                <c:pt idx="1232">
                  <c:v>3.9756065875770297E-2</c:v>
                </c:pt>
                <c:pt idx="1233">
                  <c:v>3.9749721728879805E-2</c:v>
                </c:pt>
                <c:pt idx="1234">
                  <c:v>3.9746186713178311E-2</c:v>
                </c:pt>
                <c:pt idx="1235">
                  <c:v>3.9742350337101363E-2</c:v>
                </c:pt>
                <c:pt idx="1236">
                  <c:v>3.9738082672866458E-2</c:v>
                </c:pt>
                <c:pt idx="1237">
                  <c:v>3.9733090093324416E-2</c:v>
                </c:pt>
                <c:pt idx="1238">
                  <c:v>3.972736630405993E-2</c:v>
                </c:pt>
                <c:pt idx="1239">
                  <c:v>3.9721231810820434E-2</c:v>
                </c:pt>
                <c:pt idx="1240">
                  <c:v>3.9716196774059576E-2</c:v>
                </c:pt>
                <c:pt idx="1241">
                  <c:v>3.9711147051915141E-2</c:v>
                </c:pt>
                <c:pt idx="1242">
                  <c:v>3.9706082644395124E-2</c:v>
                </c:pt>
                <c:pt idx="1243">
                  <c:v>3.9702826189943655E-2</c:v>
                </c:pt>
                <c:pt idx="1244">
                  <c:v>3.9697730801868308E-2</c:v>
                </c:pt>
                <c:pt idx="1245">
                  <c:v>3.9692620726939944E-2</c:v>
                </c:pt>
                <c:pt idx="1246">
                  <c:v>3.9687495965179183E-2</c:v>
                </c:pt>
                <c:pt idx="1247">
                  <c:v>3.9682356516596337E-2</c:v>
                </c:pt>
                <c:pt idx="1248">
                  <c:v>3.9677202381214624E-2</c:v>
                </c:pt>
                <c:pt idx="1249">
                  <c:v>3.9672033559054659E-2</c:v>
                </c:pt>
                <c:pt idx="1250">
                  <c:v>3.9666850050137085E-2</c:v>
                </c:pt>
                <c:pt idx="1251">
                  <c:v>3.9660908056184725E-2</c:v>
                </c:pt>
                <c:pt idx="1252">
                  <c:v>3.9653885213532192E-2</c:v>
                </c:pt>
                <c:pt idx="1253">
                  <c:v>3.9649404932721843E-2</c:v>
                </c:pt>
                <c:pt idx="1254">
                  <c:v>3.9644164302245599E-2</c:v>
                </c:pt>
                <c:pt idx="1255">
                  <c:v>3.9638908986641574E-2</c:v>
                </c:pt>
                <c:pt idx="1256">
                  <c:v>3.9635440575794358E-2</c:v>
                </c:pt>
                <c:pt idx="1257">
                  <c:v>3.9630154260112384E-2</c:v>
                </c:pt>
                <c:pt idx="1258">
                  <c:v>3.9624094772890722E-2</c:v>
                </c:pt>
                <c:pt idx="1259">
                  <c:v>3.9619537568978423E-2</c:v>
                </c:pt>
                <c:pt idx="1260">
                  <c:v>3.961600223029299E-2</c:v>
                </c:pt>
                <c:pt idx="1261">
                  <c:v>3.9607068706522419E-2</c:v>
                </c:pt>
                <c:pt idx="1262">
                  <c:v>3.9600943952399881E-2</c:v>
                </c:pt>
                <c:pt idx="1263">
                  <c:v>3.9596337799700621E-2</c:v>
                </c:pt>
                <c:pt idx="1264">
                  <c:v>3.9594527308994265E-2</c:v>
                </c:pt>
                <c:pt idx="1265">
                  <c:v>3.9587335018759752E-2</c:v>
                </c:pt>
                <c:pt idx="1266">
                  <c:v>3.9581916524402037E-2</c:v>
                </c:pt>
                <c:pt idx="1267">
                  <c:v>3.9576483343624499E-2</c:v>
                </c:pt>
                <c:pt idx="1268">
                  <c:v>3.9571035476455504E-2</c:v>
                </c:pt>
                <c:pt idx="1269">
                  <c:v>3.9564791359219337E-2</c:v>
                </c:pt>
                <c:pt idx="1270">
                  <c:v>3.9559312021265648E-2</c:v>
                </c:pt>
                <c:pt idx="1271">
                  <c:v>3.9553817996977235E-2</c:v>
                </c:pt>
                <c:pt idx="1272">
                  <c:v>3.9548309286379882E-2</c:v>
                </c:pt>
                <c:pt idx="1273">
                  <c:v>3.9542785889489049E-2</c:v>
                </c:pt>
                <c:pt idx="1274">
                  <c:v>3.9531932378628856E-2</c:v>
                </c:pt>
                <c:pt idx="1275">
                  <c:v>3.9526384581261641E-2</c:v>
                </c:pt>
                <c:pt idx="1276">
                  <c:v>3.9520822102238534E-2</c:v>
                </c:pt>
                <c:pt idx="1277">
                  <c:v>3.9515244941568106E-2</c:v>
                </c:pt>
                <c:pt idx="1278">
                  <c:v>3.9514948611396095E-2</c:v>
                </c:pt>
                <c:pt idx="1279">
                  <c:v>3.9516390708890264E-2</c:v>
                </c:pt>
                <c:pt idx="1280">
                  <c:v>3.9503710896864261E-2</c:v>
                </c:pt>
                <c:pt idx="1281">
                  <c:v>3.9498070010399233E-2</c:v>
                </c:pt>
                <c:pt idx="1282">
                  <c:v>3.9490655960596754E-2</c:v>
                </c:pt>
                <c:pt idx="1283">
                  <c:v>3.9484987371755764E-2</c:v>
                </c:pt>
                <c:pt idx="1284">
                  <c:v>3.9481186894158304E-2</c:v>
                </c:pt>
                <c:pt idx="1285">
                  <c:v>3.9477234315710354E-2</c:v>
                </c:pt>
                <c:pt idx="1286">
                  <c:v>3.9469761206050169E-2</c:v>
                </c:pt>
                <c:pt idx="1287">
                  <c:v>3.9464026330725543E-2</c:v>
                </c:pt>
                <c:pt idx="1288">
                  <c:v>3.9458276767924683E-2</c:v>
                </c:pt>
                <c:pt idx="1289">
                  <c:v>3.9452512517665073E-2</c:v>
                </c:pt>
                <c:pt idx="1290">
                  <c:v>3.9446733579971693E-2</c:v>
                </c:pt>
                <c:pt idx="1291">
                  <c:v>3.9440939954864529E-2</c:v>
                </c:pt>
                <c:pt idx="1292">
                  <c:v>3.9435131642368559E-2</c:v>
                </c:pt>
                <c:pt idx="1293">
                  <c:v>3.9429308642506267E-2</c:v>
                </c:pt>
                <c:pt idx="1294">
                  <c:v>3.9423470955297635E-2</c:v>
                </c:pt>
                <c:pt idx="1295">
                  <c:v>3.9417618580770142E-2</c:v>
                </c:pt>
                <c:pt idx="1296">
                  <c:v>3.9411751518938776E-2</c:v>
                </c:pt>
                <c:pt idx="1297">
                  <c:v>3.9405869769836011E-2</c:v>
                </c:pt>
                <c:pt idx="1298">
                  <c:v>3.9401704357805337E-2</c:v>
                </c:pt>
                <c:pt idx="1299">
                  <c:v>3.9388874008268335E-2</c:v>
                </c:pt>
                <c:pt idx="1300">
                  <c:v>3.9388136399091667E-2</c:v>
                </c:pt>
                <c:pt idx="1301">
                  <c:v>3.9382195901113137E-2</c:v>
                </c:pt>
                <c:pt idx="1302">
                  <c:v>3.9376240715975619E-2</c:v>
                </c:pt>
                <c:pt idx="1303">
                  <c:v>3.9370270843699096E-2</c:v>
                </c:pt>
                <c:pt idx="1304">
                  <c:v>3.9364286284311045E-2</c:v>
                </c:pt>
                <c:pt idx="1305">
                  <c:v>3.9360006165626196E-2</c:v>
                </c:pt>
                <c:pt idx="1306">
                  <c:v>3.9352273104275304E-2</c:v>
                </c:pt>
                <c:pt idx="1307">
                  <c:v>3.9346244483685067E-2</c:v>
                </c:pt>
                <c:pt idx="1308">
                  <c:v>3.9340201176068235E-2</c:v>
                </c:pt>
                <c:pt idx="1309">
                  <c:v>3.9334143181462278E-2</c:v>
                </c:pt>
                <c:pt idx="1310">
                  <c:v>3.9328070499877188E-2</c:v>
                </c:pt>
                <c:pt idx="1311">
                  <c:v>3.9321983131342941E-2</c:v>
                </c:pt>
                <c:pt idx="1312">
                  <c:v>3.931075936684824E-2</c:v>
                </c:pt>
                <c:pt idx="1313">
                  <c:v>3.9309764333531894E-2</c:v>
                </c:pt>
                <c:pt idx="1314">
                  <c:v>3.9303632904290065E-2</c:v>
                </c:pt>
                <c:pt idx="1315">
                  <c:v>3.9297486788198999E-2</c:v>
                </c:pt>
                <c:pt idx="1316">
                  <c:v>3.9292144710465493E-2</c:v>
                </c:pt>
                <c:pt idx="1317">
                  <c:v>3.9285150495549093E-2</c:v>
                </c:pt>
                <c:pt idx="1318">
                  <c:v>3.9278960319040213E-2</c:v>
                </c:pt>
                <c:pt idx="1319">
                  <c:v>3.9274450570070195E-2</c:v>
                </c:pt>
                <c:pt idx="1320">
                  <c:v>3.9261282840739042E-2</c:v>
                </c:pt>
                <c:pt idx="1321">
                  <c:v>3.9257718410016851E-2</c:v>
                </c:pt>
                <c:pt idx="1322">
                  <c:v>3.9254052745666401E-2</c:v>
                </c:pt>
                <c:pt idx="1323">
                  <c:v>3.9249477335147762E-2</c:v>
                </c:pt>
                <c:pt idx="1324">
                  <c:v>3.9241510838920746E-2</c:v>
                </c:pt>
                <c:pt idx="1325">
                  <c:v>3.9230163397658682E-2</c:v>
                </c:pt>
                <c:pt idx="1326">
                  <c:v>3.9223860932201572E-2</c:v>
                </c:pt>
                <c:pt idx="1327">
                  <c:v>3.9217543784640659E-2</c:v>
                </c:pt>
                <c:pt idx="1328">
                  <c:v>3.9211211954997986E-2</c:v>
                </c:pt>
                <c:pt idx="1329">
                  <c:v>3.9211576839562189E-2</c:v>
                </c:pt>
                <c:pt idx="1330">
                  <c:v>3.9203532640794403E-2</c:v>
                </c:pt>
                <c:pt idx="1331">
                  <c:v>3.9197151538340469E-2</c:v>
                </c:pt>
                <c:pt idx="1332">
                  <c:v>3.9190755749449468E-2</c:v>
                </c:pt>
                <c:pt idx="1333">
                  <c:v>3.9184345274143884E-2</c:v>
                </c:pt>
                <c:pt idx="1334">
                  <c:v>3.9179589173797526E-2</c:v>
                </c:pt>
                <c:pt idx="1335">
                  <c:v>3.9171480264391378E-2</c:v>
                </c:pt>
                <c:pt idx="1336">
                  <c:v>3.9165025729996916E-2</c:v>
                </c:pt>
                <c:pt idx="1337">
                  <c:v>3.9158556509290288E-2</c:v>
                </c:pt>
                <c:pt idx="1338">
                  <c:v>3.9147086148884562E-2</c:v>
                </c:pt>
                <c:pt idx="1339">
                  <c:v>3.9145574009032957E-2</c:v>
                </c:pt>
                <c:pt idx="1340">
                  <c:v>3.9139060729537212E-2</c:v>
                </c:pt>
                <c:pt idx="1341">
                  <c:v>3.9132532763834216E-2</c:v>
                </c:pt>
                <c:pt idx="1342">
                  <c:v>3.9125990111941455E-2</c:v>
                </c:pt>
                <c:pt idx="1343">
                  <c:v>3.9121086043539713E-2</c:v>
                </c:pt>
                <c:pt idx="1344">
                  <c:v>3.9112860749696554E-2</c:v>
                </c:pt>
                <c:pt idx="1345">
                  <c:v>3.9106274039396871E-2</c:v>
                </c:pt>
                <c:pt idx="1346">
                  <c:v>3.9099672643014838E-2</c:v>
                </c:pt>
                <c:pt idx="1347">
                  <c:v>3.9093056560577932E-2</c:v>
                </c:pt>
                <c:pt idx="1348">
                  <c:v>3.9086425792106139E-2</c:v>
                </c:pt>
                <c:pt idx="1349">
                  <c:v>3.9079780337626935E-2</c:v>
                </c:pt>
                <c:pt idx="1350">
                  <c:v>3.9073120197172795E-2</c:v>
                </c:pt>
                <c:pt idx="1351">
                  <c:v>3.9068084503243679E-2</c:v>
                </c:pt>
                <c:pt idx="1352">
                  <c:v>3.9061393217148778E-2</c:v>
                </c:pt>
                <c:pt idx="1353">
                  <c:v>3.9053051660175586E-2</c:v>
                </c:pt>
                <c:pt idx="1354">
                  <c:v>3.9046332776059012E-2</c:v>
                </c:pt>
                <c:pt idx="1355">
                  <c:v>3.9039599206092401E-2</c:v>
                </c:pt>
                <c:pt idx="1356">
                  <c:v>3.9032850950300735E-2</c:v>
                </c:pt>
                <c:pt idx="1357">
                  <c:v>3.9027716476743961E-2</c:v>
                </c:pt>
                <c:pt idx="1358">
                  <c:v>3.9019310381354644E-2</c:v>
                </c:pt>
                <c:pt idx="1359">
                  <c:v>3.9012518068250179E-2</c:v>
                </c:pt>
                <c:pt idx="1360">
                  <c:v>3.9000841402533001E-2</c:v>
                </c:pt>
                <c:pt idx="1361">
                  <c:v>3.89988893849183E-2</c:v>
                </c:pt>
                <c:pt idx="1362">
                  <c:v>3.8992053014743344E-2</c:v>
                </c:pt>
                <c:pt idx="1363">
                  <c:v>3.8985201958930682E-2</c:v>
                </c:pt>
                <c:pt idx="1364">
                  <c:v>3.8978336217507792E-2</c:v>
                </c:pt>
                <c:pt idx="1365">
                  <c:v>3.8971455790497156E-2</c:v>
                </c:pt>
                <c:pt idx="1366">
                  <c:v>3.8961962291729324E-2</c:v>
                </c:pt>
                <c:pt idx="1367">
                  <c:v>3.895765087983255E-2</c:v>
                </c:pt>
                <c:pt idx="1368">
                  <c:v>3.8951344508738509E-2</c:v>
                </c:pt>
                <c:pt idx="1369">
                  <c:v>3.8945394208730638E-2</c:v>
                </c:pt>
                <c:pt idx="1370">
                  <c:v>3.8936833372629487E-2</c:v>
                </c:pt>
                <c:pt idx="1371">
                  <c:v>3.8931468212834795E-2</c:v>
                </c:pt>
                <c:pt idx="1372">
                  <c:v>3.8922881607338922E-2</c:v>
                </c:pt>
                <c:pt idx="1373">
                  <c:v>3.8909277657623649E-2</c:v>
                </c:pt>
                <c:pt idx="1374">
                  <c:v>3.8906270336057681E-2</c:v>
                </c:pt>
                <c:pt idx="1375">
                  <c:v>3.8899242763933452E-2</c:v>
                </c:pt>
                <c:pt idx="1376">
                  <c:v>3.8893794658529379E-2</c:v>
                </c:pt>
                <c:pt idx="1377">
                  <c:v>3.8885143568210268E-2</c:v>
                </c:pt>
                <c:pt idx="1378">
                  <c:v>3.887330000768939E-2</c:v>
                </c:pt>
                <c:pt idx="1379">
                  <c:v>3.8866219137404984E-2</c:v>
                </c:pt>
                <c:pt idx="1380">
                  <c:v>3.8859123587720035E-2</c:v>
                </c:pt>
                <c:pt idx="1381">
                  <c:v>3.8852013358648803E-2</c:v>
                </c:pt>
                <c:pt idx="1382">
                  <c:v>3.8849638613156851E-2</c:v>
                </c:pt>
                <c:pt idx="1383">
                  <c:v>3.8842493571089168E-2</c:v>
                </c:pt>
                <c:pt idx="1384">
                  <c:v>3.8836913475330803E-2</c:v>
                </c:pt>
                <c:pt idx="1385">
                  <c:v>3.8828159436118573E-2</c:v>
                </c:pt>
                <c:pt idx="1386">
                  <c:v>3.8822546328650953E-2</c:v>
                </c:pt>
                <c:pt idx="1387">
                  <c:v>3.8813766566876337E-2</c:v>
                </c:pt>
                <c:pt idx="1388">
                  <c:v>3.8800845327672917E-2</c:v>
                </c:pt>
                <c:pt idx="1389">
                  <c:v>3.8799314963584214E-2</c:v>
                </c:pt>
                <c:pt idx="1390">
                  <c:v>3.8793635815807248E-2</c:v>
                </c:pt>
                <c:pt idx="1391">
                  <c:v>3.8784804626453659E-2</c:v>
                </c:pt>
                <c:pt idx="1392">
                  <c:v>3.87775274327673E-2</c:v>
                </c:pt>
                <c:pt idx="1393">
                  <c:v>3.8770235555706425E-2</c:v>
                </c:pt>
                <c:pt idx="1394">
                  <c:v>3.8762928995296819E-2</c:v>
                </c:pt>
                <c:pt idx="1395">
                  <c:v>3.8757167265542625E-2</c:v>
                </c:pt>
                <c:pt idx="1396">
                  <c:v>3.8748271824539715E-2</c:v>
                </c:pt>
                <c:pt idx="1397">
                  <c:v>3.8740921214254105E-2</c:v>
                </c:pt>
                <c:pt idx="1398">
                  <c:v>3.8733555920725485E-2</c:v>
                </c:pt>
                <c:pt idx="1399">
                  <c:v>3.8726175943987376E-2</c:v>
                </c:pt>
                <c:pt idx="1400">
                  <c:v>3.8718781284062989E-2</c:v>
                </c:pt>
                <c:pt idx="1401">
                  <c:v>3.871137194098842E-2</c:v>
                </c:pt>
                <c:pt idx="1402">
                  <c:v>3.8703947914786881E-2</c:v>
                </c:pt>
                <c:pt idx="1403">
                  <c:v>3.8699598691186346E-2</c:v>
                </c:pt>
                <c:pt idx="1404">
                  <c:v>3.8690598740065696E-2</c:v>
                </c:pt>
                <c:pt idx="1405">
                  <c:v>3.8681587737704075E-2</c:v>
                </c:pt>
                <c:pt idx="1406">
                  <c:v>3.8674104979283447E-2</c:v>
                </c:pt>
                <c:pt idx="1407">
                  <c:v>3.8666607537872516E-2</c:v>
                </c:pt>
                <c:pt idx="1408">
                  <c:v>3.8659095413504797E-2</c:v>
                </c:pt>
                <c:pt idx="1409">
                  <c:v>3.8653102268425554E-2</c:v>
                </c:pt>
                <c:pt idx="1410">
                  <c:v>3.864402711601761E-2</c:v>
                </c:pt>
                <c:pt idx="1411">
                  <c:v>3.8636470942947143E-2</c:v>
                </c:pt>
                <c:pt idx="1412">
                  <c:v>3.8628900087038502E-2</c:v>
                </c:pt>
                <c:pt idx="1413">
                  <c:v>3.8621314548314897E-2</c:v>
                </c:pt>
                <c:pt idx="1414">
                  <c:v>3.8613714326802114E-2</c:v>
                </c:pt>
                <c:pt idx="1415">
                  <c:v>3.8606099422533673E-2</c:v>
                </c:pt>
                <c:pt idx="1416">
                  <c:v>3.8598469835540522E-2</c:v>
                </c:pt>
                <c:pt idx="1417">
                  <c:v>3.8590825565845858E-2</c:v>
                </c:pt>
                <c:pt idx="1418">
                  <c:v>3.8578363545187955E-2</c:v>
                </c:pt>
                <c:pt idx="1419">
                  <c:v>3.8575492978473215E-2</c:v>
                </c:pt>
                <c:pt idx="1420">
                  <c:v>3.8570830901332377E-2</c:v>
                </c:pt>
                <c:pt idx="1421">
                  <c:v>3.8561612943444623E-2</c:v>
                </c:pt>
                <c:pt idx="1422">
                  <c:v>3.8552383977896877E-2</c:v>
                </c:pt>
                <c:pt idx="1423">
                  <c:v>3.8546159145810555E-2</c:v>
                </c:pt>
                <c:pt idx="1424">
                  <c:v>3.8536904564837139E-2</c:v>
                </c:pt>
                <c:pt idx="1425">
                  <c:v>3.8530646612587593E-2</c:v>
                </c:pt>
                <c:pt idx="1426">
                  <c:v>3.8521366421912562E-2</c:v>
                </c:pt>
                <c:pt idx="1427">
                  <c:v>3.8513575326822189E-2</c:v>
                </c:pt>
                <c:pt idx="1428">
                  <c:v>3.8507267684051993E-2</c:v>
                </c:pt>
                <c:pt idx="1429">
                  <c:v>3.8497949089539997E-2</c:v>
                </c:pt>
                <c:pt idx="1430">
                  <c:v>3.8485630410965185E-2</c:v>
                </c:pt>
                <c:pt idx="1431">
                  <c:v>3.8477786244859945E-2</c:v>
                </c:pt>
                <c:pt idx="1432">
                  <c:v>3.8469927400678811E-2</c:v>
                </c:pt>
                <c:pt idx="1433">
                  <c:v>3.8462053878444619E-2</c:v>
                </c:pt>
                <c:pt idx="1434">
                  <c:v>3.8458626556264003E-2</c:v>
                </c:pt>
                <c:pt idx="1435">
                  <c:v>3.8452202921145096E-2</c:v>
                </c:pt>
                <c:pt idx="1436">
                  <c:v>3.8442794767555605E-2</c:v>
                </c:pt>
                <c:pt idx="1437">
                  <c:v>3.8434856850016838E-2</c:v>
                </c:pt>
                <c:pt idx="1438">
                  <c:v>3.8422466097442723E-2</c:v>
                </c:pt>
                <c:pt idx="1439">
                  <c:v>3.8412901318140236E-2</c:v>
                </c:pt>
                <c:pt idx="1440">
                  <c:v>3.8410955005041332E-2</c:v>
                </c:pt>
                <c:pt idx="1441">
                  <c:v>3.8402958359362797E-2</c:v>
                </c:pt>
                <c:pt idx="1442">
                  <c:v>3.839789022193104E-2</c:v>
                </c:pt>
                <c:pt idx="1443">
                  <c:v>3.8386921022154886E-2</c:v>
                </c:pt>
                <c:pt idx="1444">
                  <c:v>3.837888033068998E-2</c:v>
                </c:pt>
                <c:pt idx="1445">
                  <c:v>3.8370824957351293E-2</c:v>
                </c:pt>
                <c:pt idx="1446">
                  <c:v>3.8362754902174924E-2</c:v>
                </c:pt>
                <c:pt idx="1447">
                  <c:v>3.8354671104414706E-2</c:v>
                </c:pt>
                <c:pt idx="1448">
                  <c:v>3.8346578260203164E-2</c:v>
                </c:pt>
                <c:pt idx="1449">
                  <c:v>3.8338482004882803E-2</c:v>
                </c:pt>
                <c:pt idx="1450">
                  <c:v>3.8330387973785823E-2</c:v>
                </c:pt>
                <c:pt idx="1451">
                  <c:v>3.832230162696787E-2</c:v>
                </c:pt>
                <c:pt idx="1452">
                  <c:v>3.831422548086761E-2</c:v>
                </c:pt>
                <c:pt idx="1453">
                  <c:v>3.8306159609397518E-2</c:v>
                </c:pt>
                <c:pt idx="1454">
                  <c:v>3.8298104012534404E-2</c:v>
                </c:pt>
                <c:pt idx="1455">
                  <c:v>3.8291519034139021E-2</c:v>
                </c:pt>
                <c:pt idx="1456">
                  <c:v>3.8283483867242174E-2</c:v>
                </c:pt>
                <c:pt idx="1457">
                  <c:v>3.8273998869372869E-2</c:v>
                </c:pt>
                <c:pt idx="1458">
                  <c:v>3.8265984370726203E-2</c:v>
                </c:pt>
                <c:pt idx="1459">
                  <c:v>3.8257980146575624E-2</c:v>
                </c:pt>
                <c:pt idx="1460">
                  <c:v>3.8249986196910821E-2</c:v>
                </c:pt>
                <c:pt idx="1461">
                  <c:v>3.824346216949881E-2</c:v>
                </c:pt>
                <c:pt idx="1462">
                  <c:v>3.8234029120925099E-2</c:v>
                </c:pt>
                <c:pt idx="1463">
                  <c:v>3.8226065994570652E-2</c:v>
                </c:pt>
                <c:pt idx="1464">
                  <c:v>3.8219572459446127E-2</c:v>
                </c:pt>
                <c:pt idx="1465">
                  <c:v>3.8210170565022565E-2</c:v>
                </c:pt>
                <c:pt idx="1466">
                  <c:v>3.8202238261792816E-2</c:v>
                </c:pt>
                <c:pt idx="1467">
                  <c:v>3.8194316232888978E-2</c:v>
                </c:pt>
                <c:pt idx="1468">
                  <c:v>3.818640447829557E-2</c:v>
                </c:pt>
                <c:pt idx="1469">
                  <c:v>3.8178502997999707E-2</c:v>
                </c:pt>
                <c:pt idx="1470">
                  <c:v>3.816577443931557E-2</c:v>
                </c:pt>
                <c:pt idx="1471">
                  <c:v>3.8162730860187143E-2</c:v>
                </c:pt>
                <c:pt idx="1472">
                  <c:v>3.8157777275791692E-2</c:v>
                </c:pt>
                <c:pt idx="1473">
                  <c:v>3.8148458211325897E-2</c:v>
                </c:pt>
                <c:pt idx="1474">
                  <c:v>3.8139149710122264E-2</c:v>
                </c:pt>
                <c:pt idx="1475">
                  <c:v>3.8132768075495316E-2</c:v>
                </c:pt>
                <c:pt idx="1476">
                  <c:v>3.8123480314276897E-2</c:v>
                </c:pt>
                <c:pt idx="1477">
                  <c:v>3.8118577149071277E-2</c:v>
                </c:pt>
                <c:pt idx="1478">
                  <c:v>3.8107852014925475E-2</c:v>
                </c:pt>
                <c:pt idx="1479">
                  <c:v>3.8100053276382786E-2</c:v>
                </c:pt>
                <c:pt idx="1480">
                  <c:v>3.8093722555038456E-2</c:v>
                </c:pt>
                <c:pt idx="1481">
                  <c:v>3.808448662146028E-2</c:v>
                </c:pt>
                <c:pt idx="1482">
                  <c:v>3.8072346565150648E-2</c:v>
                </c:pt>
                <c:pt idx="1483">
                  <c:v>3.806458917885161E-2</c:v>
                </c:pt>
                <c:pt idx="1484">
                  <c:v>3.8056842062780101E-2</c:v>
                </c:pt>
                <c:pt idx="1485">
                  <c:v>3.805493391690451E-2</c:v>
                </c:pt>
                <c:pt idx="1486">
                  <c:v>3.8045749779171606E-2</c:v>
                </c:pt>
                <c:pt idx="1487">
                  <c:v>3.8038033232549284E-2</c:v>
                </c:pt>
                <c:pt idx="1488">
                  <c:v>3.8030326959824813E-2</c:v>
                </c:pt>
                <c:pt idx="1489">
                  <c:v>3.8018237860106115E-2</c:v>
                </c:pt>
                <c:pt idx="1490">
                  <c:v>3.8014945235986954E-2</c:v>
                </c:pt>
                <c:pt idx="1491">
                  <c:v>3.8008726632086098E-2</c:v>
                </c:pt>
                <c:pt idx="1492">
                  <c:v>3.7999604607500723E-2</c:v>
                </c:pt>
                <c:pt idx="1493">
                  <c:v>3.7991949703961296E-2</c:v>
                </c:pt>
                <c:pt idx="1494">
                  <c:v>3.7985761703284993E-2</c:v>
                </c:pt>
                <c:pt idx="1495">
                  <c:v>3.7976670718191809E-2</c:v>
                </c:pt>
                <c:pt idx="1496">
                  <c:v>3.7969046635920496E-2</c:v>
                </c:pt>
                <c:pt idx="1497">
                  <c:v>3.7961432827361384E-2</c:v>
                </c:pt>
                <c:pt idx="1498">
                  <c:v>3.7953829292499006E-2</c:v>
                </c:pt>
                <c:pt idx="1499">
                  <c:v>3.7946236031315313E-2</c:v>
                </c:pt>
                <c:pt idx="1500">
                  <c:v>3.7938653043784507E-2</c:v>
                </c:pt>
                <c:pt idx="1501">
                  <c:v>3.7931080329888553E-2</c:v>
                </c:pt>
                <c:pt idx="1502">
                  <c:v>3.7923517889606823E-2</c:v>
                </c:pt>
                <c:pt idx="1503">
                  <c:v>3.7917421764536996E-2</c:v>
                </c:pt>
                <c:pt idx="1504">
                  <c:v>3.7908423829811223E-2</c:v>
                </c:pt>
                <c:pt idx="1505">
                  <c:v>3.7900892210258677E-2</c:v>
                </c:pt>
                <c:pt idx="1506">
                  <c:v>3.7893370864237844E-2</c:v>
                </c:pt>
                <c:pt idx="1507">
                  <c:v>3.7887315604427096E-2</c:v>
                </c:pt>
                <c:pt idx="1508">
                  <c:v>3.7879814751275998E-2</c:v>
                </c:pt>
                <c:pt idx="1509">
                  <c:v>3.7870868467190198E-2</c:v>
                </c:pt>
                <c:pt idx="1510">
                  <c:v>3.7863388215110511E-2</c:v>
                </c:pt>
                <c:pt idx="1511">
                  <c:v>3.78559182364697E-2</c:v>
                </c:pt>
                <c:pt idx="1512">
                  <c:v>3.7844092452188657E-2</c:v>
                </c:pt>
                <c:pt idx="1513">
                  <c:v>3.7842464605737092E-2</c:v>
                </c:pt>
                <c:pt idx="1514">
                  <c:v>3.7833569940963908E-2</c:v>
                </c:pt>
                <c:pt idx="1515">
                  <c:v>3.7826141055869726E-2</c:v>
                </c:pt>
                <c:pt idx="1516">
                  <c:v>3.7821633281334144E-2</c:v>
                </c:pt>
                <c:pt idx="1517">
                  <c:v>3.7811314105667924E-2</c:v>
                </c:pt>
                <c:pt idx="1518">
                  <c:v>3.7805371325379811E-2</c:v>
                </c:pt>
                <c:pt idx="1519">
                  <c:v>3.7796528248669803E-2</c:v>
                </c:pt>
                <c:pt idx="1520">
                  <c:v>3.7789150730066036E-2</c:v>
                </c:pt>
                <c:pt idx="1521">
                  <c:v>3.778178348470259E-2</c:v>
                </c:pt>
                <c:pt idx="1522">
                  <c:v>3.7774426512558842E-2</c:v>
                </c:pt>
                <c:pt idx="1523">
                  <c:v>3.7767079813616738E-2</c:v>
                </c:pt>
                <c:pt idx="1524">
                  <c:v>3.7759743387855649E-2</c:v>
                </c:pt>
                <c:pt idx="1525">
                  <c:v>3.7752417235257525E-2</c:v>
                </c:pt>
                <c:pt idx="1526">
                  <c:v>3.7745101355799164E-2</c:v>
                </c:pt>
                <c:pt idx="1527">
                  <c:v>3.773779574947024E-2</c:v>
                </c:pt>
                <c:pt idx="1528">
                  <c:v>3.7731955350085722E-2</c:v>
                </c:pt>
                <c:pt idx="1529">
                  <c:v>3.7720096332279011E-2</c:v>
                </c:pt>
                <c:pt idx="1530">
                  <c:v>3.7712825947935416E-2</c:v>
                </c:pt>
                <c:pt idx="1531">
                  <c:v>3.7705565836631018E-2</c:v>
                </c:pt>
                <c:pt idx="1532">
                  <c:v>3.7697281145775099E-2</c:v>
                </c:pt>
                <c:pt idx="1533">
                  <c:v>3.7691076433057288E-2</c:v>
                </c:pt>
                <c:pt idx="1534">
                  <c:v>3.7680937893637939E-2</c:v>
                </c:pt>
                <c:pt idx="1535">
                  <c:v>3.7673718915665295E-2</c:v>
                </c:pt>
                <c:pt idx="1536">
                  <c:v>3.7665481231254828E-2</c:v>
                </c:pt>
                <c:pt idx="1537">
                  <c:v>3.7659311771230594E-2</c:v>
                </c:pt>
                <c:pt idx="1538">
                  <c:v>3.7655032700947347E-2</c:v>
                </c:pt>
                <c:pt idx="1539">
                  <c:v>3.7647854773257702E-2</c:v>
                </c:pt>
                <c:pt idx="1540">
                  <c:v>3.7640687118431902E-2</c:v>
                </c:pt>
                <c:pt idx="1541">
                  <c:v>3.7633529736454487E-2</c:v>
                </c:pt>
                <c:pt idx="1542">
                  <c:v>3.7624928085125298E-2</c:v>
                </c:pt>
                <c:pt idx="1543">
                  <c:v>3.7617791259711986E-2</c:v>
                </c:pt>
                <c:pt idx="1544">
                  <c:v>3.7608630434251111E-2</c:v>
                </c:pt>
                <c:pt idx="1545">
                  <c:v>3.7603548423601474E-2</c:v>
                </c:pt>
                <c:pt idx="1546">
                  <c:v>3.7596442412874964E-2</c:v>
                </c:pt>
                <c:pt idx="1547">
                  <c:v>3.7589788334013718E-2</c:v>
                </c:pt>
                <c:pt idx="1548">
                  <c:v>3.7583715700747797E-2</c:v>
                </c:pt>
                <c:pt idx="1549">
                  <c:v>3.7576640500868924E-2</c:v>
                </c:pt>
                <c:pt idx="1550">
                  <c:v>3.7568567136935418E-2</c:v>
                </c:pt>
                <c:pt idx="1551">
                  <c:v>3.7561066431727852E-2</c:v>
                </c:pt>
                <c:pt idx="1552">
                  <c:v>3.7554022049868685E-2</c:v>
                </c:pt>
                <c:pt idx="1553">
                  <c:v>3.754698793943323E-2</c:v>
                </c:pt>
                <c:pt idx="1554">
                  <c:v>3.7539964100389511E-2</c:v>
                </c:pt>
                <c:pt idx="1555">
                  <c:v>3.753440502716987E-2</c:v>
                </c:pt>
                <c:pt idx="1556">
                  <c:v>3.7527401735643812E-2</c:v>
                </c:pt>
                <c:pt idx="1557">
                  <c:v>3.7520408716664448E-2</c:v>
                </c:pt>
                <c:pt idx="1558">
                  <c:v>3.7513425970211137E-2</c:v>
                </c:pt>
                <c:pt idx="1559">
                  <c:v>3.7506453496273559E-2</c:v>
                </c:pt>
                <c:pt idx="1560">
                  <c:v>3.7499491294825944E-2</c:v>
                </c:pt>
                <c:pt idx="1561">
                  <c:v>3.7492539365847656E-2</c:v>
                </c:pt>
                <c:pt idx="1562">
                  <c:v>3.7485597709333539E-2</c:v>
                </c:pt>
                <c:pt idx="1563">
                  <c:v>3.7477676966090306E-2</c:v>
                </c:pt>
                <c:pt idx="1564">
                  <c:v>3.7469302739101984E-2</c:v>
                </c:pt>
                <c:pt idx="1565">
                  <c:v>3.7463379778081674E-2</c:v>
                </c:pt>
                <c:pt idx="1566">
                  <c:v>3.7456479194425185E-2</c:v>
                </c:pt>
                <c:pt idx="1567">
                  <c:v>3.7449588881933948E-2</c:v>
                </c:pt>
                <c:pt idx="1568">
                  <c:v>3.7442708840589312E-2</c:v>
                </c:pt>
                <c:pt idx="1569">
                  <c:v>3.743729374091613E-2</c:v>
                </c:pt>
                <c:pt idx="1570">
                  <c:v>3.7429455176573999E-2</c:v>
                </c:pt>
                <c:pt idx="1571">
                  <c:v>3.7423585058138795E-2</c:v>
                </c:pt>
                <c:pt idx="1572">
                  <c:v>3.7418200967078707E-2</c:v>
                </c:pt>
                <c:pt idx="1573">
                  <c:v>3.7408462700484257E-2</c:v>
                </c:pt>
                <c:pt idx="1574">
                  <c:v>3.7401644285662172E-2</c:v>
                </c:pt>
                <c:pt idx="1575">
                  <c:v>3.7394836141869447E-2</c:v>
                </c:pt>
                <c:pt idx="1576">
                  <c:v>3.7388038269082102E-2</c:v>
                </c:pt>
                <c:pt idx="1577">
                  <c:v>3.7384160523849519E-2</c:v>
                </c:pt>
                <c:pt idx="1578">
                  <c:v>3.737592824407214E-2</c:v>
                </c:pt>
                <c:pt idx="1579">
                  <c:v>3.736916121650416E-2</c:v>
                </c:pt>
                <c:pt idx="1580">
                  <c:v>3.7362404461070295E-2</c:v>
                </c:pt>
                <c:pt idx="1581">
                  <c:v>3.7352277279595114E-2</c:v>
                </c:pt>
                <c:pt idx="1582">
                  <c:v>3.734990944254335E-2</c:v>
                </c:pt>
                <c:pt idx="1583">
                  <c:v>3.7344641917769338E-2</c:v>
                </c:pt>
                <c:pt idx="1584">
                  <c:v>3.7336473858581604E-2</c:v>
                </c:pt>
                <c:pt idx="1585">
                  <c:v>3.7325405654595301E-2</c:v>
                </c:pt>
                <c:pt idx="1586">
                  <c:v>3.7315803316599894E-2</c:v>
                </c:pt>
                <c:pt idx="1587">
                  <c:v>3.7309121274297558E-2</c:v>
                </c:pt>
                <c:pt idx="1588">
                  <c:v>3.7302449500412775E-2</c:v>
                </c:pt>
                <c:pt idx="1589">
                  <c:v>3.7295787994948384E-2</c:v>
                </c:pt>
                <c:pt idx="1590">
                  <c:v>3.7297869393358149E-2</c:v>
                </c:pt>
                <c:pt idx="1591">
                  <c:v>3.7289772957597674E-2</c:v>
                </c:pt>
                <c:pt idx="1592">
                  <c:v>3.7283142497574223E-2</c:v>
                </c:pt>
                <c:pt idx="1593">
                  <c:v>3.7276522311807371E-2</c:v>
                </c:pt>
                <c:pt idx="1594">
                  <c:v>3.7265545340281925E-2</c:v>
                </c:pt>
                <c:pt idx="1595">
                  <c:v>3.7260914945116963E-2</c:v>
                </c:pt>
                <c:pt idx="1596">
                  <c:v>3.7254326996605247E-2</c:v>
                </c:pt>
                <c:pt idx="1597">
                  <c:v>3.7249205279823047E-2</c:v>
                </c:pt>
                <c:pt idx="1598">
                  <c:v>3.7236814509905146E-2</c:v>
                </c:pt>
                <c:pt idx="1599">
                  <c:v>3.7234624789004855E-2</c:v>
                </c:pt>
                <c:pt idx="1600">
                  <c:v>3.7228077932393022E-2</c:v>
                </c:pt>
                <c:pt idx="1601">
                  <c:v>3.72215413487062E-2</c:v>
                </c:pt>
                <c:pt idx="1602">
                  <c:v>3.7215015037936894E-2</c:v>
                </c:pt>
                <c:pt idx="1603">
                  <c:v>3.7208499000057627E-2</c:v>
                </c:pt>
                <c:pt idx="1604">
                  <c:v>3.7201993235055908E-2</c:v>
                </c:pt>
                <c:pt idx="1605">
                  <c:v>3.719549774291675E-2</c:v>
                </c:pt>
                <c:pt idx="1606">
                  <c:v>3.7189012523612675E-2</c:v>
                </c:pt>
                <c:pt idx="1607">
                  <c:v>3.7182537577136188E-2</c:v>
                </c:pt>
                <c:pt idx="1608">
                  <c:v>3.7176072903462309E-2</c:v>
                </c:pt>
                <c:pt idx="1609">
                  <c:v>3.716961850257855E-2</c:v>
                </c:pt>
                <c:pt idx="1610">
                  <c:v>3.7163174374462427E-2</c:v>
                </c:pt>
                <c:pt idx="1611">
                  <c:v>3.7152370631932261E-2</c:v>
                </c:pt>
                <c:pt idx="1612">
                  <c:v>3.715177385142629E-2</c:v>
                </c:pt>
                <c:pt idx="1613">
                  <c:v>3.7143903626567498E-2</c:v>
                </c:pt>
                <c:pt idx="1614">
                  <c:v>3.7137500589357053E-2</c:v>
                </c:pt>
                <c:pt idx="1615">
                  <c:v>3.713110782483181E-2</c:v>
                </c:pt>
                <c:pt idx="1616">
                  <c:v>3.7124725332971786E-2</c:v>
                </c:pt>
                <c:pt idx="1617">
                  <c:v>3.7119810406100615E-2</c:v>
                </c:pt>
                <c:pt idx="1618">
                  <c:v>3.7111991167174951E-2</c:v>
                </c:pt>
                <c:pt idx="1619">
                  <c:v>3.7105639493205667E-2</c:v>
                </c:pt>
                <c:pt idx="1620">
                  <c:v>3.7099298091831656E-2</c:v>
                </c:pt>
                <c:pt idx="1621">
                  <c:v>3.709296696304043E-2</c:v>
                </c:pt>
                <c:pt idx="1622">
                  <c:v>3.7086646106802013E-2</c:v>
                </c:pt>
                <c:pt idx="1623">
                  <c:v>3.7080335523108909E-2</c:v>
                </c:pt>
                <c:pt idx="1624">
                  <c:v>3.7074035211946132E-2</c:v>
                </c:pt>
                <c:pt idx="1625">
                  <c:v>3.7067745173293698E-2</c:v>
                </c:pt>
                <c:pt idx="1626">
                  <c:v>3.7061465407129124E-2</c:v>
                </c:pt>
                <c:pt idx="1627">
                  <c:v>3.7055195913442418E-2</c:v>
                </c:pt>
                <c:pt idx="1628">
                  <c:v>3.7048043356318339E-2</c:v>
                </c:pt>
                <c:pt idx="1629">
                  <c:v>3.7042687743425173E-2</c:v>
                </c:pt>
                <c:pt idx="1630">
                  <c:v>3.7036449067059662E-2</c:v>
                </c:pt>
                <c:pt idx="1631">
                  <c:v>3.7031679167325915E-2</c:v>
                </c:pt>
                <c:pt idx="1632">
                  <c:v>3.7024002531534927E-2</c:v>
                </c:pt>
                <c:pt idx="1633">
                  <c:v>3.7013419239410532E-2</c:v>
                </c:pt>
                <c:pt idx="1634">
                  <c:v>3.7011597085502002E-2</c:v>
                </c:pt>
                <c:pt idx="1635">
                  <c:v>3.7006868663332818E-2</c:v>
                </c:pt>
                <c:pt idx="1636">
                  <c:v>3.6999232728820997E-2</c:v>
                </c:pt>
                <c:pt idx="1637">
                  <c:v>3.6988689336278344E-2</c:v>
                </c:pt>
                <c:pt idx="1638">
                  <c:v>3.6981073775557781E-2</c:v>
                </c:pt>
                <c:pt idx="1639">
                  <c:v>3.6974927137659118E-2</c:v>
                </c:pt>
                <c:pt idx="1640">
                  <c:v>3.6968790767381493E-2</c:v>
                </c:pt>
                <c:pt idx="1641">
                  <c:v>3.6962664664722054E-2</c:v>
                </c:pt>
                <c:pt idx="1642">
                  <c:v>3.6962386193575558E-2</c:v>
                </c:pt>
                <c:pt idx="1643">
                  <c:v>3.6956281057176632E-2</c:v>
                </c:pt>
                <c:pt idx="1644">
                  <c:v>3.6950186192975798E-2</c:v>
                </c:pt>
                <c:pt idx="1645">
                  <c:v>3.6945561544591179E-2</c:v>
                </c:pt>
                <c:pt idx="1646">
                  <c:v>3.693948733619673E-2</c:v>
                </c:pt>
                <c:pt idx="1647">
                  <c:v>3.6931963233314546E-2</c:v>
                </c:pt>
                <c:pt idx="1648">
                  <c:v>3.6925909457696249E-2</c:v>
                </c:pt>
                <c:pt idx="1649">
                  <c:v>3.6919865954178621E-2</c:v>
                </c:pt>
                <c:pt idx="1650">
                  <c:v>3.6909451850166544E-2</c:v>
                </c:pt>
                <c:pt idx="1651">
                  <c:v>3.6907809763397914E-2</c:v>
                </c:pt>
                <c:pt idx="1652">
                  <c:v>3.6901797076099863E-2</c:v>
                </c:pt>
                <c:pt idx="1653">
                  <c:v>3.6895794660840031E-2</c:v>
                </c:pt>
                <c:pt idx="1654">
                  <c:v>3.6889802517600934E-2</c:v>
                </c:pt>
                <c:pt idx="1655">
                  <c:v>3.6885281756707501E-2</c:v>
                </c:pt>
                <c:pt idx="1656">
                  <c:v>3.6877849047132483E-2</c:v>
                </c:pt>
                <c:pt idx="1657">
                  <c:v>3.6871887719865659E-2</c:v>
                </c:pt>
                <c:pt idx="1658">
                  <c:v>3.686593666455712E-2</c:v>
                </c:pt>
                <c:pt idx="1659">
                  <c:v>3.6859995881189378E-2</c:v>
                </c:pt>
                <c:pt idx="1660">
                  <c:v>3.6854065369747446E-2</c:v>
                </c:pt>
                <c:pt idx="1661">
                  <c:v>3.6848145130213839E-2</c:v>
                </c:pt>
                <c:pt idx="1662">
                  <c:v>3.6842235162573567E-2</c:v>
                </c:pt>
                <c:pt idx="1663">
                  <c:v>3.6837797593202062E-2</c:v>
                </c:pt>
                <c:pt idx="1664">
                  <c:v>3.683190830146172E-2</c:v>
                </c:pt>
                <c:pt idx="1665">
                  <c:v>3.6824566890847898E-2</c:v>
                </c:pt>
                <c:pt idx="1666">
                  <c:v>3.6818698010616102E-2</c:v>
                </c:pt>
                <c:pt idx="1667">
                  <c:v>3.6812839402197706E-2</c:v>
                </c:pt>
                <c:pt idx="1668">
                  <c:v>3.6806991065577721E-2</c:v>
                </c:pt>
                <c:pt idx="1669">
                  <c:v>3.6802615937252335E-2</c:v>
                </c:pt>
                <c:pt idx="1670">
                  <c:v>3.6795325207660545E-2</c:v>
                </c:pt>
                <c:pt idx="1671">
                  <c:v>3.678950768633088E-2</c:v>
                </c:pt>
                <c:pt idx="1672">
                  <c:v>3.6779311044434618E-2</c:v>
                </c:pt>
                <c:pt idx="1673">
                  <c:v>3.6777903458856953E-2</c:v>
                </c:pt>
                <c:pt idx="1674">
                  <c:v>3.6772116752682715E-2</c:v>
                </c:pt>
                <c:pt idx="1675">
                  <c:v>3.6766340318189483E-2</c:v>
                </c:pt>
                <c:pt idx="1676">
                  <c:v>3.6760574155367265E-2</c:v>
                </c:pt>
                <c:pt idx="1677">
                  <c:v>3.6754818264198574E-2</c:v>
                </c:pt>
                <c:pt idx="1678">
                  <c:v>3.6746788544166138E-2</c:v>
                </c:pt>
                <c:pt idx="1679">
                  <c:v>3.6743337296759326E-2</c:v>
                </c:pt>
                <c:pt idx="1680">
                  <c:v>3.6738259740882739E-2</c:v>
                </c:pt>
                <c:pt idx="1681">
                  <c:v>3.6733362095676986E-2</c:v>
                </c:pt>
                <c:pt idx="1682">
                  <c:v>3.6726192882610975E-2</c:v>
                </c:pt>
                <c:pt idx="1683">
                  <c:v>3.6721963607455811E-2</c:v>
                </c:pt>
                <c:pt idx="1684">
                  <c:v>3.6714814631005066E-2</c:v>
                </c:pt>
                <c:pt idx="1685">
                  <c:v>3.6703629250024995E-2</c:v>
                </c:pt>
                <c:pt idx="1686">
                  <c:v>3.6701203877518296E-2</c:v>
                </c:pt>
                <c:pt idx="1687">
                  <c:v>3.6695552010977066E-2</c:v>
                </c:pt>
                <c:pt idx="1688">
                  <c:v>3.6691376095357719E-2</c:v>
                </c:pt>
                <c:pt idx="1689">
                  <c:v>3.6684279088923175E-2</c:v>
                </c:pt>
                <c:pt idx="1690">
                  <c:v>3.6674260714020877E-2</c:v>
                </c:pt>
                <c:pt idx="1691">
                  <c:v>3.6668649440603537E-2</c:v>
                </c:pt>
                <c:pt idx="1692">
                  <c:v>3.6663048434084952E-2</c:v>
                </c:pt>
                <c:pt idx="1693">
                  <c:v>3.6657457694450848E-2</c:v>
                </c:pt>
                <c:pt idx="1694">
                  <c:v>3.6656276514096496E-2</c:v>
                </c:pt>
                <c:pt idx="1695">
                  <c:v>3.6652173638934138E-2</c:v>
                </c:pt>
                <c:pt idx="1696">
                  <c:v>3.6645147375977037E-2</c:v>
                </c:pt>
                <c:pt idx="1697">
                  <c:v>3.6639598212244648E-2</c:v>
                </c:pt>
                <c:pt idx="1698">
                  <c:v>3.6635526656851325E-2</c:v>
                </c:pt>
                <c:pt idx="1699">
                  <c:v>3.6623908600219579E-2</c:v>
                </c:pt>
                <c:pt idx="1700">
                  <c:v>3.6623012342191785E-2</c:v>
                </c:pt>
                <c:pt idx="1701">
                  <c:v>3.6617504259172415E-2</c:v>
                </c:pt>
                <c:pt idx="1702">
                  <c:v>3.6613474479047503E-2</c:v>
                </c:pt>
                <c:pt idx="1703">
                  <c:v>3.660651890354339E-2</c:v>
                </c:pt>
                <c:pt idx="1704">
                  <c:v>3.6601041630902789E-2</c:v>
                </c:pt>
                <c:pt idx="1705">
                  <c:v>3.6595574628361792E-2</c:v>
                </c:pt>
                <c:pt idx="1706">
                  <c:v>3.6590117895904939E-2</c:v>
                </c:pt>
                <c:pt idx="1707">
                  <c:v>3.6586140120380972E-2</c:v>
                </c:pt>
                <c:pt idx="1708">
                  <c:v>3.6579233916499455E-2</c:v>
                </c:pt>
                <c:pt idx="1709">
                  <c:v>3.6573804848081405E-2</c:v>
                </c:pt>
                <c:pt idx="1710">
                  <c:v>3.6568383069153651E-2</c:v>
                </c:pt>
                <c:pt idx="1711">
                  <c:v>3.656296761709267E-2</c:v>
                </c:pt>
                <c:pt idx="1712">
                  <c:v>3.6557558048235295E-2</c:v>
                </c:pt>
                <c:pt idx="1713">
                  <c:v>3.6552154349541628E-2</c:v>
                </c:pt>
                <c:pt idx="1714">
                  <c:v>3.6546756521001353E-2</c:v>
                </c:pt>
                <c:pt idx="1715">
                  <c:v>3.6544300697942074E-2</c:v>
                </c:pt>
                <c:pt idx="1716">
                  <c:v>3.6537446371932569E-2</c:v>
                </c:pt>
                <c:pt idx="1717">
                  <c:v>3.6530598256215817E-2</c:v>
                </c:pt>
                <c:pt idx="1718">
                  <c:v>3.6525223908209191E-2</c:v>
                </c:pt>
                <c:pt idx="1719">
                  <c:v>3.6519855430312123E-2</c:v>
                </c:pt>
                <c:pt idx="1720">
                  <c:v>3.6514492822519458E-2</c:v>
                </c:pt>
                <c:pt idx="1721">
                  <c:v>3.6510603360049299E-2</c:v>
                </c:pt>
                <c:pt idx="1722">
                  <c:v>3.6503785217216395E-2</c:v>
                </c:pt>
                <c:pt idx="1723">
                  <c:v>3.649844021969053E-2</c:v>
                </c:pt>
                <c:pt idx="1724">
                  <c:v>3.6493101092235539E-2</c:v>
                </c:pt>
                <c:pt idx="1725">
                  <c:v>3.6487767834846273E-2</c:v>
                </c:pt>
                <c:pt idx="1726">
                  <c:v>3.6482440447512414E-2</c:v>
                </c:pt>
                <c:pt idx="1727">
                  <c:v>3.6477118930226232E-2</c:v>
                </c:pt>
                <c:pt idx="1728">
                  <c:v>3.6471803282979991E-2</c:v>
                </c:pt>
                <c:pt idx="1729">
                  <c:v>3.6466493505765946E-2</c:v>
                </c:pt>
                <c:pt idx="1730">
                  <c:v>3.6457452232847132E-2</c:v>
                </c:pt>
                <c:pt idx="1731">
                  <c:v>3.6455891561400951E-2</c:v>
                </c:pt>
                <c:pt idx="1732">
                  <c:v>3.6453531412581341E-2</c:v>
                </c:pt>
                <c:pt idx="1733">
                  <c:v>3.6446778947236969E-2</c:v>
                </c:pt>
                <c:pt idx="1734">
                  <c:v>3.6440032669895123E-2</c:v>
                </c:pt>
                <c:pt idx="1735">
                  <c:v>3.6436223734755413E-2</c:v>
                </c:pt>
                <c:pt idx="1736">
                  <c:v>3.6429489425491145E-2</c:v>
                </c:pt>
                <c:pt idx="1737">
                  <c:v>3.6425692004857235E-2</c:v>
                </c:pt>
                <c:pt idx="1738">
                  <c:v>3.6418969660958117E-2</c:v>
                </c:pt>
                <c:pt idx="1739">
                  <c:v>3.641371858362516E-2</c:v>
                </c:pt>
                <c:pt idx="1740">
                  <c:v>3.6409938439707357E-2</c:v>
                </c:pt>
                <c:pt idx="1741">
                  <c:v>3.6403234038782525E-2</c:v>
                </c:pt>
                <c:pt idx="1742">
                  <c:v>3.6398000571254793E-2</c:v>
                </c:pt>
                <c:pt idx="1743">
                  <c:v>3.6392772973653544E-2</c:v>
                </c:pt>
                <c:pt idx="1744">
                  <c:v>3.6387551245960728E-2</c:v>
                </c:pt>
                <c:pt idx="1745">
                  <c:v>3.6382335388171178E-2</c:v>
                </c:pt>
                <c:pt idx="1746">
                  <c:v>3.6378589815510842E-2</c:v>
                </c:pt>
                <c:pt idx="1747">
                  <c:v>3.6371921282278695E-2</c:v>
                </c:pt>
                <c:pt idx="1748">
                  <c:v>3.6366723034160289E-2</c:v>
                </c:pt>
                <c:pt idx="1749">
                  <c:v>3.6361530655911641E-2</c:v>
                </c:pt>
                <c:pt idx="1750">
                  <c:v>3.6351919215114492E-2</c:v>
                </c:pt>
                <c:pt idx="1751">
                  <c:v>3.6352627402368998E-2</c:v>
                </c:pt>
                <c:pt idx="1752">
                  <c:v>3.6345988740330036E-2</c:v>
                </c:pt>
                <c:pt idx="1753">
                  <c:v>3.6340819841498499E-2</c:v>
                </c:pt>
                <c:pt idx="1754">
                  <c:v>3.6337120400728729E-2</c:v>
                </c:pt>
                <c:pt idx="1755">
                  <c:v>3.6330499653326069E-2</c:v>
                </c:pt>
                <c:pt idx="1756">
                  <c:v>3.6325348363969702E-2</c:v>
                </c:pt>
                <c:pt idx="1757">
                  <c:v>3.6320202944426359E-2</c:v>
                </c:pt>
                <c:pt idx="1758">
                  <c:v>3.631506339468573E-2</c:v>
                </c:pt>
                <c:pt idx="1759">
                  <c:v>3.6309929714740063E-2</c:v>
                </c:pt>
                <c:pt idx="1760">
                  <c:v>3.6304801904579062E-2</c:v>
                </c:pt>
                <c:pt idx="1761">
                  <c:v>3.6299679964200138E-2</c:v>
                </c:pt>
                <c:pt idx="1762">
                  <c:v>3.6294563893595561E-2</c:v>
                </c:pt>
                <c:pt idx="1763">
                  <c:v>3.6290916401457152E-2</c:v>
                </c:pt>
                <c:pt idx="1764">
                  <c:v>3.6284349361665594E-2</c:v>
                </c:pt>
                <c:pt idx="1765">
                  <c:v>3.6279250900329893E-2</c:v>
                </c:pt>
                <c:pt idx="1766">
                  <c:v>3.6274158308732443E-2</c:v>
                </c:pt>
                <c:pt idx="1767">
                  <c:v>3.6270533921910486E-2</c:v>
                </c:pt>
                <c:pt idx="1768">
                  <c:v>3.6265452978004875E-2</c:v>
                </c:pt>
                <c:pt idx="1769">
                  <c:v>3.6258915752310238E-2</c:v>
                </c:pt>
                <c:pt idx="1770">
                  <c:v>3.6253846639601295E-2</c:v>
                </c:pt>
                <c:pt idx="1771">
                  <c:v>3.6248783396594493E-2</c:v>
                </c:pt>
                <c:pt idx="1772">
                  <c:v>3.6239340912165297E-2</c:v>
                </c:pt>
                <c:pt idx="1773">
                  <c:v>3.6240136314037164E-2</c:v>
                </c:pt>
                <c:pt idx="1774">
                  <c:v>3.6233628885714755E-2</c:v>
                </c:pt>
                <c:pt idx="1775">
                  <c:v>3.622858912143917E-2</c:v>
                </c:pt>
                <c:pt idx="1776">
                  <c:v>3.6226478382519064E-2</c:v>
                </c:pt>
                <c:pt idx="1777">
                  <c:v>3.6218527201878403E-2</c:v>
                </c:pt>
                <c:pt idx="1778">
                  <c:v>3.6214966408559812E-2</c:v>
                </c:pt>
                <c:pt idx="1779">
                  <c:v>3.620848876091734E-2</c:v>
                </c:pt>
                <c:pt idx="1780">
                  <c:v>3.620347834488688E-2</c:v>
                </c:pt>
                <c:pt idx="1781">
                  <c:v>3.619847379848895E-2</c:v>
                </c:pt>
                <c:pt idx="1782">
                  <c:v>3.6193475121708063E-2</c:v>
                </c:pt>
                <c:pt idx="1783">
                  <c:v>3.6188482314536488E-2</c:v>
                </c:pt>
                <c:pt idx="1784">
                  <c:v>3.6183495376971658E-2</c:v>
                </c:pt>
                <c:pt idx="1785">
                  <c:v>3.6178514309000667E-2</c:v>
                </c:pt>
                <c:pt idx="1786">
                  <c:v>3.6173539110618359E-2</c:v>
                </c:pt>
                <c:pt idx="1787">
                  <c:v>3.6168569781817005E-2</c:v>
                </c:pt>
                <c:pt idx="1788">
                  <c:v>3.6165066869159324E-2</c:v>
                </c:pt>
                <c:pt idx="1789">
                  <c:v>3.6156525848454121E-2</c:v>
                </c:pt>
                <c:pt idx="1790">
                  <c:v>3.6151576643875055E-2</c:v>
                </c:pt>
                <c:pt idx="1791">
                  <c:v>3.6146633308845995E-2</c:v>
                </c:pt>
                <c:pt idx="1792">
                  <c:v>3.6140990970288327E-2</c:v>
                </c:pt>
                <c:pt idx="1793">
                  <c:v>3.613676424739664E-2</c:v>
                </c:pt>
                <c:pt idx="1794">
                  <c:v>3.6127458893115971E-2</c:v>
                </c:pt>
                <c:pt idx="1795">
                  <c:v>3.6122539257614134E-2</c:v>
                </c:pt>
                <c:pt idx="1796">
                  <c:v>3.6116924001788106E-2</c:v>
                </c:pt>
                <c:pt idx="1797">
                  <c:v>3.6112717589238397E-2</c:v>
                </c:pt>
                <c:pt idx="1798">
                  <c:v>3.6112194310351724E-2</c:v>
                </c:pt>
                <c:pt idx="1799">
                  <c:v>3.6107297931436501E-2</c:v>
                </c:pt>
                <c:pt idx="1800">
                  <c:v>3.610240742200424E-2</c:v>
                </c:pt>
                <c:pt idx="1801">
                  <c:v>3.609752278204463E-2</c:v>
                </c:pt>
                <c:pt idx="1802">
                  <c:v>3.6091184616818595E-2</c:v>
                </c:pt>
                <c:pt idx="1803">
                  <c:v>3.6086311784313096E-2</c:v>
                </c:pt>
                <c:pt idx="1804">
                  <c:v>3.6081444820609043E-2</c:v>
                </c:pt>
                <c:pt idx="1805">
                  <c:v>3.6075195919372582E-2</c:v>
                </c:pt>
                <c:pt idx="1806">
                  <c:v>3.6071728499565303E-2</c:v>
                </c:pt>
                <c:pt idx="1807">
                  <c:v>3.6067645905206294E-2</c:v>
                </c:pt>
                <c:pt idx="1808">
                  <c:v>3.6063494646976224E-2</c:v>
                </c:pt>
                <c:pt idx="1809">
                  <c:v>3.6058656962542533E-2</c:v>
                </c:pt>
                <c:pt idx="1810">
                  <c:v>3.6053135367361454E-2</c:v>
                </c:pt>
                <c:pt idx="1811">
                  <c:v>3.6047540400441669E-2</c:v>
                </c:pt>
                <c:pt idx="1812">
                  <c:v>3.6042720386874727E-2</c:v>
                </c:pt>
                <c:pt idx="1813">
                  <c:v>3.6037906242039952E-2</c:v>
                </c:pt>
                <c:pt idx="1814">
                  <c:v>3.603309796593468E-2</c:v>
                </c:pt>
                <c:pt idx="1815">
                  <c:v>3.6029754113238957E-2</c:v>
                </c:pt>
                <c:pt idx="1816">
                  <c:v>3.6024957514505268E-2</c:v>
                </c:pt>
                <c:pt idx="1817">
                  <c:v>3.6020166785128191E-2</c:v>
                </c:pt>
                <c:pt idx="1818">
                  <c:v>3.6015381925099996E-2</c:v>
                </c:pt>
                <c:pt idx="1819">
                  <c:v>3.6010602934415527E-2</c:v>
                </c:pt>
                <c:pt idx="1820">
                  <c:v>3.6005829813061878E-2</c:v>
                </c:pt>
                <c:pt idx="1821">
                  <c:v>3.6001062561041637E-2</c:v>
                </c:pt>
                <c:pt idx="1822">
                  <c:v>3.5996301178336756E-2</c:v>
                </c:pt>
                <c:pt idx="1823">
                  <c:v>3.5990866785022044E-2</c:v>
                </c:pt>
                <c:pt idx="1824">
                  <c:v>3.5984659949718001E-2</c:v>
                </c:pt>
                <c:pt idx="1825">
                  <c:v>3.5980594262832177E-2</c:v>
                </c:pt>
                <c:pt idx="1826">
                  <c:v>3.5975856410916052E-2</c:v>
                </c:pt>
                <c:pt idx="1827">
                  <c:v>3.5971124427641499E-2</c:v>
                </c:pt>
                <c:pt idx="1828">
                  <c:v>3.5967856137454027E-2</c:v>
                </c:pt>
                <c:pt idx="1829">
                  <c:v>3.596313583979676E-2</c:v>
                </c:pt>
                <c:pt idx="1830">
                  <c:v>3.5957748400752207E-2</c:v>
                </c:pt>
                <c:pt idx="1831">
                  <c:v>3.5953712852255543E-2</c:v>
                </c:pt>
                <c:pt idx="1832">
                  <c:v>3.5950467876408321E-2</c:v>
                </c:pt>
                <c:pt idx="1833">
                  <c:v>3.5942855768990256E-2</c:v>
                </c:pt>
                <c:pt idx="1834">
                  <c:v>3.5937495216055382E-2</c:v>
                </c:pt>
                <c:pt idx="1835">
                  <c:v>3.5933479831561144E-2</c:v>
                </c:pt>
                <c:pt idx="1836">
                  <c:v>3.5931715617035509E-2</c:v>
                </c:pt>
                <c:pt idx="1837">
                  <c:v>3.5925584751403158E-2</c:v>
                </c:pt>
                <c:pt idx="1838">
                  <c:v>3.5920917276856944E-2</c:v>
                </c:pt>
                <c:pt idx="1839">
                  <c:v>3.591625567151005E-2</c:v>
                </c:pt>
                <c:pt idx="1840">
                  <c:v>3.5911599935357322E-2</c:v>
                </c:pt>
                <c:pt idx="1841">
                  <c:v>3.5906286280795799E-2</c:v>
                </c:pt>
                <c:pt idx="1842">
                  <c:v>3.5901643121460075E-2</c:v>
                </c:pt>
                <c:pt idx="1843">
                  <c:v>3.5897005831292725E-2</c:v>
                </c:pt>
                <c:pt idx="1844">
                  <c:v>3.5892374410291181E-2</c:v>
                </c:pt>
                <c:pt idx="1845">
                  <c:v>3.5887748858445111E-2</c:v>
                </c:pt>
                <c:pt idx="1846">
                  <c:v>3.5878758490595394E-2</c:v>
                </c:pt>
                <c:pt idx="1847">
                  <c:v>3.5874144797011072E-2</c:v>
                </c:pt>
                <c:pt idx="1848">
                  <c:v>3.5869536970636329E-2</c:v>
                </c:pt>
                <c:pt idx="1849">
                  <c:v>3.5864935011462595E-2</c:v>
                </c:pt>
                <c:pt idx="1850">
                  <c:v>3.5870537395423341E-2</c:v>
                </c:pt>
                <c:pt idx="1851">
                  <c:v>3.5860118799257414E-2</c:v>
                </c:pt>
                <c:pt idx="1852">
                  <c:v>3.5855534331311507E-2</c:v>
                </c:pt>
                <c:pt idx="1853">
                  <c:v>3.5850955732461769E-2</c:v>
                </c:pt>
                <c:pt idx="1854">
                  <c:v>3.584492631634717E-2</c:v>
                </c:pt>
                <c:pt idx="1855">
                  <c:v>3.5841969137769825E-2</c:v>
                </c:pt>
                <c:pt idx="1856">
                  <c:v>3.5837409789118702E-2</c:v>
                </c:pt>
                <c:pt idx="1857">
                  <c:v>3.5834313071443157E-2</c:v>
                </c:pt>
                <c:pt idx="1858">
                  <c:v>3.5828308700948108E-2</c:v>
                </c:pt>
                <c:pt idx="1859">
                  <c:v>3.582376696141365E-2</c:v>
                </c:pt>
                <c:pt idx="1860">
                  <c:v>3.5819231091568926E-2</c:v>
                </c:pt>
                <c:pt idx="1861">
                  <c:v>3.5814701091406442E-2</c:v>
                </c:pt>
                <c:pt idx="1862">
                  <c:v>3.5810176960918705E-2</c:v>
                </c:pt>
                <c:pt idx="1863">
                  <c:v>3.5805658700103216E-2</c:v>
                </c:pt>
                <c:pt idx="1864">
                  <c:v>3.5801146308949983E-2</c:v>
                </c:pt>
                <c:pt idx="1865">
                  <c:v>3.5796639787446516E-2</c:v>
                </c:pt>
                <c:pt idx="1866">
                  <c:v>3.5792139135595313E-2</c:v>
                </c:pt>
                <c:pt idx="1867">
                  <c:v>3.5787644353381387E-2</c:v>
                </c:pt>
                <c:pt idx="1868">
                  <c:v>3.5783155440804737E-2</c:v>
                </c:pt>
                <c:pt idx="1869">
                  <c:v>3.5778672397852873E-2</c:v>
                </c:pt>
                <c:pt idx="1870">
                  <c:v>3.5775651611649195E-2</c:v>
                </c:pt>
                <c:pt idx="1871">
                  <c:v>3.5765355396880139E-2</c:v>
                </c:pt>
                <c:pt idx="1872">
                  <c:v>3.5765258486688545E-2</c:v>
                </c:pt>
                <c:pt idx="1873">
                  <c:v>3.5760798922175874E-2</c:v>
                </c:pt>
                <c:pt idx="1874">
                  <c:v>3.5756345227253017E-2</c:v>
                </c:pt>
                <c:pt idx="1875">
                  <c:v>3.5751897401917476E-2</c:v>
                </c:pt>
                <c:pt idx="1876">
                  <c:v>3.5747455446156762E-2</c:v>
                </c:pt>
                <c:pt idx="1877">
                  <c:v>3.5744475590287129E-2</c:v>
                </c:pt>
                <c:pt idx="1878">
                  <c:v>3.5738589143344823E-2</c:v>
                </c:pt>
                <c:pt idx="1879">
                  <c:v>3.5734164796276113E-2</c:v>
                </c:pt>
                <c:pt idx="1880">
                  <c:v>3.5729746318762245E-2</c:v>
                </c:pt>
                <c:pt idx="1881">
                  <c:v>3.5725333710788232E-2</c:v>
                </c:pt>
                <c:pt idx="1882">
                  <c:v>3.5720926972354072E-2</c:v>
                </c:pt>
                <c:pt idx="1883">
                  <c:v>3.5716526103444779E-2</c:v>
                </c:pt>
                <c:pt idx="1884">
                  <c:v>3.5707763358304757E-2</c:v>
                </c:pt>
                <c:pt idx="1885">
                  <c:v>3.5707741974193297E-2</c:v>
                </c:pt>
                <c:pt idx="1886">
                  <c:v>3.570335871383612E-2</c:v>
                </c:pt>
                <c:pt idx="1887">
                  <c:v>3.5698981322978829E-2</c:v>
                </c:pt>
                <c:pt idx="1888">
                  <c:v>3.5695441822644565E-2</c:v>
                </c:pt>
                <c:pt idx="1889">
                  <c:v>3.569024414974642E-2</c:v>
                </c:pt>
                <c:pt idx="1890">
                  <c:v>3.5685884367358811E-2</c:v>
                </c:pt>
                <c:pt idx="1891">
                  <c:v>3.5682986464522705E-2</c:v>
                </c:pt>
                <c:pt idx="1892">
                  <c:v>3.5673244552014344E-2</c:v>
                </c:pt>
                <c:pt idx="1893">
                  <c:v>3.5670764513398588E-2</c:v>
                </c:pt>
                <c:pt idx="1894">
                  <c:v>3.5668503932477502E-2</c:v>
                </c:pt>
                <c:pt idx="1895">
                  <c:v>3.5665629467354687E-2</c:v>
                </c:pt>
                <c:pt idx="1896">
                  <c:v>3.565984893175389E-2</c:v>
                </c:pt>
                <c:pt idx="1897">
                  <c:v>3.5651162946416348E-2</c:v>
                </c:pt>
                <c:pt idx="1898">
                  <c:v>3.5645394576425522E-2</c:v>
                </c:pt>
                <c:pt idx="1899">
                  <c:v>3.5641087645767691E-2</c:v>
                </c:pt>
                <c:pt idx="1900">
                  <c:v>3.5636786581999695E-2</c:v>
                </c:pt>
                <c:pt idx="1901">
                  <c:v>3.5632491385112958E-2</c:v>
                </c:pt>
                <c:pt idx="1902">
                  <c:v>3.5634024795791752E-2</c:v>
                </c:pt>
                <c:pt idx="1903">
                  <c:v>3.5629741316048347E-2</c:v>
                </c:pt>
                <c:pt idx="1904">
                  <c:v>3.5625463705694915E-2</c:v>
                </c:pt>
                <c:pt idx="1905">
                  <c:v>3.5621191964723964E-2</c:v>
                </c:pt>
                <c:pt idx="1906">
                  <c:v>3.5618382004847439E-2</c:v>
                </c:pt>
                <c:pt idx="1907">
                  <c:v>3.5612666090889533E-2</c:v>
                </c:pt>
                <c:pt idx="1908">
                  <c:v>3.5608411958021058E-2</c:v>
                </c:pt>
                <c:pt idx="1909">
                  <c:v>3.5605619603583161E-2</c:v>
                </c:pt>
                <c:pt idx="1910">
                  <c:v>3.5595554147680911E-2</c:v>
                </c:pt>
                <c:pt idx="1911">
                  <c:v>3.5595684775508174E-2</c:v>
                </c:pt>
                <c:pt idx="1912">
                  <c:v>3.5591454120009747E-2</c:v>
                </c:pt>
                <c:pt idx="1913">
                  <c:v>3.5587229333843839E-2</c:v>
                </c:pt>
                <c:pt idx="1914">
                  <c:v>3.5583010416997962E-2</c:v>
                </c:pt>
                <c:pt idx="1915">
                  <c:v>3.5578797369469617E-2</c:v>
                </c:pt>
                <c:pt idx="1916">
                  <c:v>3.5574590191248812E-2</c:v>
                </c:pt>
                <c:pt idx="1917">
                  <c:v>3.5570388882323056E-2</c:v>
                </c:pt>
                <c:pt idx="1918">
                  <c:v>3.5566193442699845E-2</c:v>
                </c:pt>
                <c:pt idx="1919">
                  <c:v>3.5562003872361692E-2</c:v>
                </c:pt>
                <c:pt idx="1920">
                  <c:v>3.55578201713036E-2</c:v>
                </c:pt>
                <c:pt idx="1921">
                  <c:v>3.5553642339523073E-2</c:v>
                </c:pt>
                <c:pt idx="1922">
                  <c:v>3.5549470377012615E-2</c:v>
                </c:pt>
                <c:pt idx="1923">
                  <c:v>3.5540936948818026E-2</c:v>
                </c:pt>
                <c:pt idx="1924">
                  <c:v>3.5542600040417684E-2</c:v>
                </c:pt>
                <c:pt idx="1925">
                  <c:v>3.5536989705021726E-2</c:v>
                </c:pt>
                <c:pt idx="1926">
                  <c:v>3.5532841219521605E-2</c:v>
                </c:pt>
                <c:pt idx="1927">
                  <c:v>3.5528698603256581E-2</c:v>
                </c:pt>
                <c:pt idx="1928">
                  <c:v>3.5524561856221659E-2</c:v>
                </c:pt>
                <c:pt idx="1929">
                  <c:v>3.5521887014243449E-2</c:v>
                </c:pt>
                <c:pt idx="1930">
                  <c:v>3.5516305969812145E-2</c:v>
                </c:pt>
                <c:pt idx="1931">
                  <c:v>3.5512186830427561E-2</c:v>
                </c:pt>
                <c:pt idx="1932">
                  <c:v>3.5508073560248099E-2</c:v>
                </c:pt>
                <c:pt idx="1933">
                  <c:v>3.5503966159263767E-2</c:v>
                </c:pt>
                <c:pt idx="1934">
                  <c:v>3.5499864627472066E-2</c:v>
                </c:pt>
                <c:pt idx="1935">
                  <c:v>3.5495768964865504E-2</c:v>
                </c:pt>
                <c:pt idx="1936">
                  <c:v>3.5491679171436585E-2</c:v>
                </c:pt>
                <c:pt idx="1937">
                  <c:v>3.5487595247177817E-2</c:v>
                </c:pt>
                <c:pt idx="1938">
                  <c:v>3.5483517192089198E-2</c:v>
                </c:pt>
                <c:pt idx="1939">
                  <c:v>3.5479445006158239E-2</c:v>
                </c:pt>
                <c:pt idx="1940">
                  <c:v>3.5474798266095509E-2</c:v>
                </c:pt>
                <c:pt idx="1941">
                  <c:v>3.5471318241749317E-2</c:v>
                </c:pt>
                <c:pt idx="1942">
                  <c:v>3.5467263663253867E-2</c:v>
                </c:pt>
                <c:pt idx="1943">
                  <c:v>3.5464671227293951E-2</c:v>
                </c:pt>
                <c:pt idx="1944">
                  <c:v>3.5459172113673498E-2</c:v>
                </c:pt>
                <c:pt idx="1945">
                  <c:v>3.545076677670559E-2</c:v>
                </c:pt>
                <c:pt idx="1946">
                  <c:v>3.5451104040566395E-2</c:v>
                </c:pt>
                <c:pt idx="1947">
                  <c:v>3.544853517137464E-2</c:v>
                </c:pt>
                <c:pt idx="1948">
                  <c:v>3.544305944390258E-2</c:v>
                </c:pt>
                <c:pt idx="1949">
                  <c:v>3.5439045949218484E-2</c:v>
                </c:pt>
                <c:pt idx="1950">
                  <c:v>3.5430669597344901E-2</c:v>
                </c:pt>
                <c:pt idx="1951">
                  <c:v>3.5426667763162244E-2</c:v>
                </c:pt>
                <c:pt idx="1952">
                  <c:v>3.5422671796200782E-2</c:v>
                </c:pt>
                <c:pt idx="1953">
                  <c:v>3.5418681696441218E-2</c:v>
                </c:pt>
                <c:pt idx="1954">
                  <c:v>3.5419066512013819E-2</c:v>
                </c:pt>
                <c:pt idx="1955">
                  <c:v>3.5415088231776082E-2</c:v>
                </c:pt>
                <c:pt idx="1956">
                  <c:v>3.5412572423772951E-2</c:v>
                </c:pt>
                <c:pt idx="1957">
                  <c:v>3.5407149278448846E-2</c:v>
                </c:pt>
                <c:pt idx="1958">
                  <c:v>3.5398819205611207E-2</c:v>
                </c:pt>
                <c:pt idx="1959">
                  <c:v>3.5399233801282626E-2</c:v>
                </c:pt>
                <c:pt idx="1960">
                  <c:v>3.5395284866241161E-2</c:v>
                </c:pt>
                <c:pt idx="1961">
                  <c:v>3.5391341800224962E-2</c:v>
                </c:pt>
                <c:pt idx="1962">
                  <c:v>3.53888613939667E-2</c:v>
                </c:pt>
                <c:pt idx="1963">
                  <c:v>3.5383473275235888E-2</c:v>
                </c:pt>
                <c:pt idx="1964">
                  <c:v>3.5379547816248025E-2</c:v>
                </c:pt>
                <c:pt idx="1965">
                  <c:v>3.5375628226255451E-2</c:v>
                </c:pt>
                <c:pt idx="1966">
                  <c:v>3.5371714505258167E-2</c:v>
                </c:pt>
                <c:pt idx="1967">
                  <c:v>3.5369262855162731E-2</c:v>
                </c:pt>
                <c:pt idx="1968">
                  <c:v>3.5363900458466047E-2</c:v>
                </c:pt>
                <c:pt idx="1969">
                  <c:v>3.5359994341518652E-2</c:v>
                </c:pt>
                <c:pt idx="1970">
                  <c:v>3.5356084617131911E-2</c:v>
                </c:pt>
                <c:pt idx="1971">
                  <c:v>3.5347807751193422E-2</c:v>
                </c:pt>
                <c:pt idx="1972">
                  <c:v>3.5348243245732214E-2</c:v>
                </c:pt>
                <c:pt idx="1973">
                  <c:v>3.5344309752261271E-2</c:v>
                </c:pt>
                <c:pt idx="1974">
                  <c:v>3.5340367687546614E-2</c:v>
                </c:pt>
                <c:pt idx="1975">
                  <c:v>3.5337866530747296E-2</c:v>
                </c:pt>
                <c:pt idx="1976">
                  <c:v>3.5333906323273823E-2</c:v>
                </c:pt>
                <c:pt idx="1977">
                  <c:v>3.5328490066017793E-2</c:v>
                </c:pt>
                <c:pt idx="1978">
                  <c:v>3.5324513716415706E-2</c:v>
                </c:pt>
                <c:pt idx="1979">
                  <c:v>3.5320528795607375E-2</c:v>
                </c:pt>
                <c:pt idx="1980">
                  <c:v>3.5316535303612784E-2</c:v>
                </c:pt>
                <c:pt idx="1981">
                  <c:v>3.5313976705862907E-2</c:v>
                </c:pt>
                <c:pt idx="1982">
                  <c:v>3.5308522606079806E-2</c:v>
                </c:pt>
                <c:pt idx="1983">
                  <c:v>3.5304503400561404E-2</c:v>
                </c:pt>
                <c:pt idx="1984">
                  <c:v>3.5300475623891714E-2</c:v>
                </c:pt>
                <c:pt idx="1985">
                  <c:v>3.5296439276078229E-2</c:v>
                </c:pt>
                <c:pt idx="1986">
                  <c:v>3.5292394357123447E-2</c:v>
                </c:pt>
                <c:pt idx="1987">
                  <c:v>3.5288340867042356E-2</c:v>
                </c:pt>
                <c:pt idx="1988">
                  <c:v>3.5284278805844949E-2</c:v>
                </c:pt>
                <c:pt idx="1989">
                  <c:v>3.5280208173541217E-2</c:v>
                </c:pt>
                <c:pt idx="1990">
                  <c:v>3.5276128970136156E-2</c:v>
                </c:pt>
                <c:pt idx="1991">
                  <c:v>3.5272041195639758E-2</c:v>
                </c:pt>
                <c:pt idx="1992">
                  <c:v>3.5268791179439353E-2</c:v>
                </c:pt>
                <c:pt idx="1993">
                  <c:v>3.5265271285688342E-2</c:v>
                </c:pt>
                <c:pt idx="1994">
                  <c:v>3.5259726445707462E-2</c:v>
                </c:pt>
                <c:pt idx="1995">
                  <c:v>3.5257033709268561E-2</c:v>
                </c:pt>
                <c:pt idx="1996">
                  <c:v>3.5251473757144935E-2</c:v>
                </c:pt>
                <c:pt idx="1997">
                  <c:v>3.5246742542222598E-2</c:v>
                </c:pt>
                <c:pt idx="1998">
                  <c:v>3.5241167415836085E-2</c:v>
                </c:pt>
                <c:pt idx="1999">
                  <c:v>3.5237010867017401E-2</c:v>
                </c:pt>
                <c:pt idx="2000">
                  <c:v>3.5234269840308807E-2</c:v>
                </c:pt>
                <c:pt idx="2001">
                  <c:v>3.5228672058741257E-2</c:v>
                </c:pt>
                <c:pt idx="2002">
                  <c:v>3.5220223617134581E-2</c:v>
                </c:pt>
                <c:pt idx="2003">
                  <c:v>3.5216035851520298E-2</c:v>
                </c:pt>
                <c:pt idx="2004">
                  <c:v>3.521183951809384E-2</c:v>
                </c:pt>
                <c:pt idx="2005">
                  <c:v>3.5207634616858066E-2</c:v>
                </c:pt>
                <c:pt idx="2006">
                  <c:v>3.5207675059773354E-2</c:v>
                </c:pt>
                <c:pt idx="2007">
                  <c:v>3.5204866884813446E-2</c:v>
                </c:pt>
                <c:pt idx="2008">
                  <c:v>3.5199216269065477E-2</c:v>
                </c:pt>
                <c:pt idx="2009">
                  <c:v>3.519497401851205E-2</c:v>
                </c:pt>
                <c:pt idx="2010">
                  <c:v>3.5186481593879125E-2</c:v>
                </c:pt>
                <c:pt idx="2011">
                  <c:v>3.5182613774973781E-2</c:v>
                </c:pt>
                <c:pt idx="2012">
                  <c:v>3.5182195846151822E-2</c:v>
                </c:pt>
                <c:pt idx="2013">
                  <c:v>3.517791931516958E-2</c:v>
                </c:pt>
                <c:pt idx="2014">
                  <c:v>3.5176453687130085E-2</c:v>
                </c:pt>
                <c:pt idx="2015">
                  <c:v>3.5169340542947944E-2</c:v>
                </c:pt>
                <c:pt idx="2016">
                  <c:v>3.5165038301734342E-2</c:v>
                </c:pt>
                <c:pt idx="2017">
                  <c:v>3.5160727490467683E-2</c:v>
                </c:pt>
                <c:pt idx="2018">
                  <c:v>3.515640810915055E-2</c:v>
                </c:pt>
                <c:pt idx="2019">
                  <c:v>3.5152080157800983E-2</c:v>
                </c:pt>
                <c:pt idx="2020">
                  <c:v>3.5147743636418996E-2</c:v>
                </c:pt>
                <c:pt idx="2021">
                  <c:v>3.5143398545022637E-2</c:v>
                </c:pt>
                <c:pt idx="2022">
                  <c:v>3.5139044883617056E-2</c:v>
                </c:pt>
                <c:pt idx="2023">
                  <c:v>3.5134682652212569E-2</c:v>
                </c:pt>
                <c:pt idx="2024">
                  <c:v>3.513031185081434E-2</c:v>
                </c:pt>
                <c:pt idx="2025">
                  <c:v>3.5125932479442991E-2</c:v>
                </c:pt>
                <c:pt idx="2026">
                  <c:v>3.512154453809594E-2</c:v>
                </c:pt>
                <c:pt idx="2027">
                  <c:v>3.5118544301512011E-2</c:v>
                </c:pt>
                <c:pt idx="2028">
                  <c:v>3.5114138179015153E-2</c:v>
                </c:pt>
                <c:pt idx="2029">
                  <c:v>3.5108329294347602E-2</c:v>
                </c:pt>
                <c:pt idx="2030">
                  <c:v>3.5103907073218955E-2</c:v>
                </c:pt>
                <c:pt idx="2031">
                  <c:v>3.5099476282168772E-2</c:v>
                </c:pt>
                <c:pt idx="2032">
                  <c:v>3.5095036921215086E-2</c:v>
                </c:pt>
                <c:pt idx="2033">
                  <c:v>3.5091979005901219E-2</c:v>
                </c:pt>
                <c:pt idx="2034">
                  <c:v>3.5086132489602385E-2</c:v>
                </c:pt>
                <c:pt idx="2035">
                  <c:v>3.5081667418966581E-2</c:v>
                </c:pt>
                <c:pt idx="2036">
                  <c:v>3.5078580653913338E-2</c:v>
                </c:pt>
                <c:pt idx="2037">
                  <c:v>3.5072711568090192E-2</c:v>
                </c:pt>
                <c:pt idx="2038">
                  <c:v>3.5068220787870245E-2</c:v>
                </c:pt>
                <c:pt idx="2039">
                  <c:v>3.5063721437806103E-2</c:v>
                </c:pt>
                <c:pt idx="2040">
                  <c:v>3.5059213517908097E-2</c:v>
                </c:pt>
                <c:pt idx="2041">
                  <c:v>3.5054697028191681E-2</c:v>
                </c:pt>
                <c:pt idx="2042">
                  <c:v>3.5046849900050248E-2</c:v>
                </c:pt>
                <c:pt idx="2043">
                  <c:v>3.5045638339326848E-2</c:v>
                </c:pt>
                <c:pt idx="2044">
                  <c:v>3.5043853064425014E-2</c:v>
                </c:pt>
                <c:pt idx="2045">
                  <c:v>3.5037922784497133E-2</c:v>
                </c:pt>
                <c:pt idx="2046">
                  <c:v>3.5031986032609458E-2</c:v>
                </c:pt>
                <c:pt idx="2047">
                  <c:v>3.5028793426122862E-2</c:v>
                </c:pt>
                <c:pt idx="2048">
                  <c:v>3.5022841645970589E-2</c:v>
                </c:pt>
                <c:pt idx="2049">
                  <c:v>3.5021002961361992E-2</c:v>
                </c:pt>
                <c:pt idx="2050">
                  <c:v>3.5013662980362376E-2</c:v>
                </c:pt>
                <c:pt idx="2051">
                  <c:v>3.5009060792967332E-2</c:v>
                </c:pt>
                <c:pt idx="2052">
                  <c:v>3.5005820046151992E-2</c:v>
                </c:pt>
                <c:pt idx="2053">
                  <c:v>3.4999830709057246E-2</c:v>
                </c:pt>
                <c:pt idx="2054">
                  <c:v>3.4991099072157548E-2</c:v>
                </c:pt>
                <c:pt idx="2055">
                  <c:v>3.4986465791635446E-2</c:v>
                </c:pt>
                <c:pt idx="2056">
                  <c:v>3.4981823943757942E-2</c:v>
                </c:pt>
                <c:pt idx="2057">
                  <c:v>3.4982632404340352E-2</c:v>
                </c:pt>
                <c:pt idx="2058">
                  <c:v>3.4976605529855473E-2</c:v>
                </c:pt>
                <c:pt idx="2059">
                  <c:v>3.497193478505551E-2</c:v>
                </c:pt>
                <c:pt idx="2060">
                  <c:v>3.4967255470625382E-2</c:v>
                </c:pt>
                <c:pt idx="2061">
                  <c:v>3.4959884948105334E-2</c:v>
                </c:pt>
                <c:pt idx="2062">
                  <c:v>3.4957871132913307E-2</c:v>
                </c:pt>
                <c:pt idx="2063">
                  <c:v>3.4954524410377996E-2</c:v>
                </c:pt>
                <c:pt idx="2064">
                  <c:v>3.494845251680434E-2</c:v>
                </c:pt>
                <c:pt idx="2065">
                  <c:v>3.494373035438067E-2</c:v>
                </c:pt>
                <c:pt idx="2066">
                  <c:v>3.4940354713432209E-2</c:v>
                </c:pt>
                <c:pt idx="2067">
                  <c:v>3.4934260320836227E-2</c:v>
                </c:pt>
                <c:pt idx="2068">
                  <c:v>3.4929512449738659E-2</c:v>
                </c:pt>
                <c:pt idx="2069">
                  <c:v>3.4924756009103754E-2</c:v>
                </c:pt>
                <c:pt idx="2070">
                  <c:v>3.491999099894183E-2</c:v>
                </c:pt>
                <c:pt idx="2071">
                  <c:v>3.4915217419270922E-2</c:v>
                </c:pt>
                <c:pt idx="2072">
                  <c:v>3.491043527009105E-2</c:v>
                </c:pt>
                <c:pt idx="2073">
                  <c:v>3.4905644551417675E-2</c:v>
                </c:pt>
                <c:pt idx="2074">
                  <c:v>3.4900845263258526E-2</c:v>
                </c:pt>
                <c:pt idx="2075">
                  <c:v>3.4897382826223622E-2</c:v>
                </c:pt>
                <c:pt idx="2076">
                  <c:v>3.4891220978537092E-2</c:v>
                </c:pt>
                <c:pt idx="2077">
                  <c:v>3.488639598199543E-2</c:v>
                </c:pt>
                <c:pt idx="2078">
                  <c:v>3.4881562416006678E-2</c:v>
                </c:pt>
                <c:pt idx="2079">
                  <c:v>3.4878061383318004E-2</c:v>
                </c:pt>
                <c:pt idx="2080">
                  <c:v>3.4873209597107713E-2</c:v>
                </c:pt>
                <c:pt idx="2081">
                  <c:v>3.4867010301515199E-2</c:v>
                </c:pt>
                <c:pt idx="2082">
                  <c:v>3.4862142457869609E-2</c:v>
                </c:pt>
                <c:pt idx="2083">
                  <c:v>3.4857266044843974E-2</c:v>
                </c:pt>
                <c:pt idx="2084">
                  <c:v>3.4848373894269855E-2</c:v>
                </c:pt>
                <c:pt idx="2085">
                  <c:v>3.4848822113694999E-2</c:v>
                </c:pt>
                <c:pt idx="2086">
                  <c:v>3.4842585389533207E-2</c:v>
                </c:pt>
                <c:pt idx="2087">
                  <c:v>3.4837674699062175E-2</c:v>
                </c:pt>
                <c:pt idx="2088">
                  <c:v>3.4835418107167407E-2</c:v>
                </c:pt>
                <c:pt idx="2089">
                  <c:v>3.4827827610126955E-2</c:v>
                </c:pt>
                <c:pt idx="2090">
                  <c:v>3.4824220377374371E-2</c:v>
                </c:pt>
                <c:pt idx="2091">
                  <c:v>3.4817946243942306E-2</c:v>
                </c:pt>
                <c:pt idx="2092">
                  <c:v>3.4812992706911419E-2</c:v>
                </c:pt>
                <c:pt idx="2093">
                  <c:v>3.4808030600603633E-2</c:v>
                </c:pt>
                <c:pt idx="2094">
                  <c:v>3.480305992502411E-2</c:v>
                </c:pt>
                <c:pt idx="2095">
                  <c:v>3.4798080680190885E-2</c:v>
                </c:pt>
                <c:pt idx="2096">
                  <c:v>3.4793092866103971E-2</c:v>
                </c:pt>
                <c:pt idx="2097">
                  <c:v>3.4788096482789146E-2</c:v>
                </c:pt>
                <c:pt idx="2098">
                  <c:v>3.4783091530248993E-2</c:v>
                </c:pt>
                <c:pt idx="2099">
                  <c:v>3.4778078008496402E-2</c:v>
                </c:pt>
                <c:pt idx="2100">
                  <c:v>3.4774374151637366E-2</c:v>
                </c:pt>
                <c:pt idx="2101">
                  <c:v>3.4765866636966965E-2</c:v>
                </c:pt>
                <c:pt idx="2102">
                  <c:v>3.4760823735141805E-2</c:v>
                </c:pt>
                <c:pt idx="2103">
                  <c:v>3.4755772264145467E-2</c:v>
                </c:pt>
                <c:pt idx="2104">
                  <c:v>3.4749988661604066E-2</c:v>
                </c:pt>
                <c:pt idx="2105">
                  <c:v>3.4745643614716618E-2</c:v>
                </c:pt>
                <c:pt idx="2106">
                  <c:v>3.4736632811814348E-2</c:v>
                </c:pt>
                <c:pt idx="2107">
                  <c:v>3.4731550369864195E-2</c:v>
                </c:pt>
                <c:pt idx="2108">
                  <c:v>3.472573137475557E-2</c:v>
                </c:pt>
                <c:pt idx="2109">
                  <c:v>3.4721359785422186E-2</c:v>
                </c:pt>
                <c:pt idx="2110">
                  <c:v>3.4720172031548778E-2</c:v>
                </c:pt>
                <c:pt idx="2111">
                  <c:v>3.4715052007644576E-2</c:v>
                </c:pt>
                <c:pt idx="2112">
                  <c:v>3.4709923414685227E-2</c:v>
                </c:pt>
                <c:pt idx="2113">
                  <c:v>3.4704786252668159E-2</c:v>
                </c:pt>
                <c:pt idx="2114">
                  <c:v>3.4698338171355481E-2</c:v>
                </c:pt>
                <c:pt idx="2115">
                  <c:v>3.4693184979298408E-2</c:v>
                </c:pt>
                <c:pt idx="2116">
                  <c:v>3.4686546856553591E-2</c:v>
                </c:pt>
                <c:pt idx="2117">
                  <c:v>3.4682852890401961E-2</c:v>
                </c:pt>
                <c:pt idx="2118">
                  <c:v>3.4677673993583902E-2</c:v>
                </c:pt>
                <c:pt idx="2119">
                  <c:v>3.4673041406468694E-2</c:v>
                </c:pt>
                <c:pt idx="2120">
                  <c:v>3.4668586186077377E-2</c:v>
                </c:pt>
                <c:pt idx="2121">
                  <c:v>3.4663380472057526E-2</c:v>
                </c:pt>
                <c:pt idx="2122">
                  <c:v>3.4657420592022876E-2</c:v>
                </c:pt>
                <c:pt idx="2123">
                  <c:v>3.4651650986170957E-2</c:v>
                </c:pt>
                <c:pt idx="2124">
                  <c:v>3.4646420680110701E-2</c:v>
                </c:pt>
                <c:pt idx="2125">
                  <c:v>3.4641181805882937E-2</c:v>
                </c:pt>
                <c:pt idx="2126">
                  <c:v>3.4635934363495657E-2</c:v>
                </c:pt>
                <c:pt idx="2127">
                  <c:v>3.4631966240433777E-2</c:v>
                </c:pt>
                <c:pt idx="2128">
                  <c:v>3.4626700544018105E-2</c:v>
                </c:pt>
                <c:pt idx="2129">
                  <c:v>3.4621426278732943E-2</c:v>
                </c:pt>
                <c:pt idx="2130">
                  <c:v>3.4616143444591192E-2</c:v>
                </c:pt>
                <c:pt idx="2131">
                  <c:v>3.4610852041608318E-2</c:v>
                </c:pt>
                <c:pt idx="2132">
                  <c:v>3.4605552069789478E-2</c:v>
                </c:pt>
                <c:pt idx="2133">
                  <c:v>3.460024352915015E-2</c:v>
                </c:pt>
                <c:pt idx="2134">
                  <c:v>3.4594926419705803E-2</c:v>
                </c:pt>
                <c:pt idx="2135">
                  <c:v>3.4588839230787718E-2</c:v>
                </c:pt>
                <c:pt idx="2136">
                  <c:v>3.45822261193236E-2</c:v>
                </c:pt>
                <c:pt idx="2137">
                  <c:v>3.4577647002158152E-2</c:v>
                </c:pt>
                <c:pt idx="2138">
                  <c:v>3.457229674277329E-2</c:v>
                </c:pt>
                <c:pt idx="2139">
                  <c:v>3.4566937915391449E-2</c:v>
                </c:pt>
                <c:pt idx="2140">
                  <c:v>3.4562843818673201E-2</c:v>
                </c:pt>
                <c:pt idx="2141">
                  <c:v>3.455746672789025E-2</c:v>
                </c:pt>
                <c:pt idx="2142">
                  <c:v>3.455131098897294E-2</c:v>
                </c:pt>
                <c:pt idx="2143">
                  <c:v>3.4546686840187767E-2</c:v>
                </c:pt>
                <c:pt idx="2144">
                  <c:v>3.4542552801263837E-2</c:v>
                </c:pt>
                <c:pt idx="2145">
                  <c:v>3.4534605023494258E-2</c:v>
                </c:pt>
                <c:pt idx="2146">
                  <c:v>3.4528411406208548E-2</c:v>
                </c:pt>
                <c:pt idx="2147">
                  <c:v>3.4523758849314135E-2</c:v>
                </c:pt>
                <c:pt idx="2148">
                  <c:v>3.452085140048744E-2</c:v>
                </c:pt>
                <c:pt idx="2149">
                  <c:v>3.4514141528874755E-2</c:v>
                </c:pt>
                <c:pt idx="2150">
                  <c:v>3.4508687320081756E-2</c:v>
                </c:pt>
                <c:pt idx="2151">
                  <c:v>3.4503224542690024E-2</c:v>
                </c:pt>
                <c:pt idx="2152">
                  <c:v>3.4497753196696984E-2</c:v>
                </c:pt>
                <c:pt idx="2153">
                  <c:v>3.4491489737706812E-2</c:v>
                </c:pt>
                <c:pt idx="2154">
                  <c:v>3.4486000030481231E-2</c:v>
                </c:pt>
                <c:pt idx="2155">
                  <c:v>3.4480501754695601E-2</c:v>
                </c:pt>
                <c:pt idx="2156">
                  <c:v>3.4474994910365382E-2</c:v>
                </c:pt>
                <c:pt idx="2157">
                  <c:v>3.446947949750348E-2</c:v>
                </c:pt>
                <c:pt idx="2158">
                  <c:v>3.446145002843333E-2</c:v>
                </c:pt>
                <c:pt idx="2159">
                  <c:v>3.4455919759947412E-2</c:v>
                </c:pt>
                <c:pt idx="2160">
                  <c:v>3.4450380924427523E-2</c:v>
                </c:pt>
                <c:pt idx="2161">
                  <c:v>3.4444833521895708E-2</c:v>
                </c:pt>
                <c:pt idx="2162">
                  <c:v>3.4446766258709412E-2</c:v>
                </c:pt>
                <c:pt idx="2163">
                  <c:v>3.4436207081818916E-2</c:v>
                </c:pt>
                <c:pt idx="2164">
                  <c:v>3.4430631689572971E-2</c:v>
                </c:pt>
                <c:pt idx="2165">
                  <c:v>3.4425047728888158E-2</c:v>
                </c:pt>
                <c:pt idx="2166">
                  <c:v>3.4418211617085248E-2</c:v>
                </c:pt>
                <c:pt idx="2167">
                  <c:v>3.4413494292948599E-2</c:v>
                </c:pt>
                <c:pt idx="2168">
                  <c:v>3.440788103119069E-2</c:v>
                </c:pt>
                <c:pt idx="2169">
                  <c:v>3.4403498951601275E-2</c:v>
                </c:pt>
                <c:pt idx="2170">
                  <c:v>3.4392912810135394E-2</c:v>
                </c:pt>
                <c:pt idx="2171">
                  <c:v>3.4390989831306895E-2</c:v>
                </c:pt>
                <c:pt idx="2172">
                  <c:v>3.4385342293179744E-2</c:v>
                </c:pt>
                <c:pt idx="2173">
                  <c:v>3.4379686185992131E-2</c:v>
                </c:pt>
                <c:pt idx="2174">
                  <c:v>3.4374021509761543E-2</c:v>
                </c:pt>
                <c:pt idx="2175">
                  <c:v>3.4368348264495474E-2</c:v>
                </c:pt>
                <c:pt idx="2176">
                  <c:v>3.4362666450206414E-2</c:v>
                </c:pt>
                <c:pt idx="2177">
                  <c:v>3.4356976066906852E-2</c:v>
                </c:pt>
                <c:pt idx="2178">
                  <c:v>3.4351277114614276E-2</c:v>
                </c:pt>
                <c:pt idx="2179">
                  <c:v>3.4345569593341174E-2</c:v>
                </c:pt>
                <c:pt idx="2180">
                  <c:v>3.4339853503100037E-2</c:v>
                </c:pt>
                <c:pt idx="2181">
                  <c:v>3.4334128843895861E-2</c:v>
                </c:pt>
                <c:pt idx="2182">
                  <c:v>3.4328395615753626E-2</c:v>
                </c:pt>
                <c:pt idx="2183">
                  <c:v>3.431898283915167E-2</c:v>
                </c:pt>
                <c:pt idx="2184">
                  <c:v>3.4318125887506733E-2</c:v>
                </c:pt>
                <c:pt idx="2185">
                  <c:v>3.4311144517785996E-2</c:v>
                </c:pt>
                <c:pt idx="2186">
                  <c:v>3.4305377014006433E-2</c:v>
                </c:pt>
                <c:pt idx="2187">
                  <c:v>3.4299600941336272E-2</c:v>
                </c:pt>
                <c:pt idx="2188">
                  <c:v>3.4293816299802993E-2</c:v>
                </c:pt>
                <c:pt idx="2189">
                  <c:v>3.428923971587753E-2</c:v>
                </c:pt>
                <c:pt idx="2190">
                  <c:v>3.4282221310207028E-2</c:v>
                </c:pt>
                <c:pt idx="2191">
                  <c:v>3.4276410962159332E-2</c:v>
                </c:pt>
                <c:pt idx="2192">
                  <c:v>3.4270592045303472E-2</c:v>
                </c:pt>
                <c:pt idx="2193">
                  <c:v>3.4264764559649441E-2</c:v>
                </c:pt>
                <c:pt idx="2194">
                  <c:v>3.4258928505209729E-2</c:v>
                </c:pt>
                <c:pt idx="2195">
                  <c:v>3.425308388199183E-2</c:v>
                </c:pt>
                <c:pt idx="2196">
                  <c:v>3.4247230690023223E-2</c:v>
                </c:pt>
                <c:pt idx="2197">
                  <c:v>3.4241368929306404E-2</c:v>
                </c:pt>
                <c:pt idx="2198">
                  <c:v>3.4235498599856362E-2</c:v>
                </c:pt>
                <c:pt idx="2199">
                  <c:v>3.4229619701683089E-2</c:v>
                </c:pt>
                <c:pt idx="2200">
                  <c:v>3.4222890468629807E-2</c:v>
                </c:pt>
                <c:pt idx="2201">
                  <c:v>3.4217836199249285E-2</c:v>
                </c:pt>
                <c:pt idx="2202">
                  <c:v>3.4211931595003742E-2</c:v>
                </c:pt>
                <c:pt idx="2203">
                  <c:v>3.4207218689417118E-2</c:v>
                </c:pt>
                <c:pt idx="2204">
                  <c:v>3.4200096680537806E-2</c:v>
                </c:pt>
                <c:pt idx="2205">
                  <c:v>3.4190572396767524E-2</c:v>
                </c:pt>
                <c:pt idx="2206">
                  <c:v>3.4188227491513679E-2</c:v>
                </c:pt>
                <c:pt idx="2207">
                  <c:v>3.4183475611569071E-2</c:v>
                </c:pt>
                <c:pt idx="2208">
                  <c:v>3.4176324028048766E-2</c:v>
                </c:pt>
                <c:pt idx="2209">
                  <c:v>3.4166779582747851E-2</c:v>
                </c:pt>
                <c:pt idx="2210">
                  <c:v>3.4159617780244692E-2</c:v>
                </c:pt>
                <c:pt idx="2211">
                  <c:v>3.415364077246455E-2</c:v>
                </c:pt>
                <c:pt idx="2212">
                  <c:v>3.4147655198990545E-2</c:v>
                </c:pt>
                <c:pt idx="2213">
                  <c:v>3.4141661059822664E-2</c:v>
                </c:pt>
                <c:pt idx="2214">
                  <c:v>3.4140407992073463E-2</c:v>
                </c:pt>
                <c:pt idx="2215">
                  <c:v>3.413439199624696E-2</c:v>
                </c:pt>
                <c:pt idx="2216">
                  <c:v>3.4129552383116941E-2</c:v>
                </c:pt>
                <c:pt idx="2217">
                  <c:v>3.41223342991262E-2</c:v>
                </c:pt>
                <c:pt idx="2218">
                  <c:v>3.41174751820668E-2</c:v>
                </c:pt>
                <c:pt idx="2219">
                  <c:v>3.4110242328169171E-2</c:v>
                </c:pt>
                <c:pt idx="2220">
                  <c:v>3.4104183490030471E-2</c:v>
                </c:pt>
                <c:pt idx="2221">
                  <c:v>3.4098116083475793E-2</c:v>
                </c:pt>
                <c:pt idx="2222">
                  <c:v>3.408850635045766E-2</c:v>
                </c:pt>
                <c:pt idx="2223">
                  <c:v>3.4085955565158477E-2</c:v>
                </c:pt>
                <c:pt idx="2224">
                  <c:v>3.4079862453428311E-2</c:v>
                </c:pt>
                <c:pt idx="2225">
                  <c:v>3.4073760773334627E-2</c:v>
                </c:pt>
                <c:pt idx="2226">
                  <c:v>3.4067650524889914E-2</c:v>
                </c:pt>
                <c:pt idx="2227">
                  <c:v>3.4062703605815391E-2</c:v>
                </c:pt>
                <c:pt idx="2228">
                  <c:v>3.4055404323002358E-2</c:v>
                </c:pt>
                <c:pt idx="2229">
                  <c:v>3.404926836959199E-2</c:v>
                </c:pt>
                <c:pt idx="2230">
                  <c:v>3.404312384788305E-2</c:v>
                </c:pt>
                <c:pt idx="2231">
                  <c:v>3.4036970757895524E-2</c:v>
                </c:pt>
                <c:pt idx="2232">
                  <c:v>3.4030809099641901E-2</c:v>
                </c:pt>
                <c:pt idx="2233">
                  <c:v>3.4024638873139668E-2</c:v>
                </c:pt>
                <c:pt idx="2234">
                  <c:v>3.401846007839382E-2</c:v>
                </c:pt>
                <c:pt idx="2235">
                  <c:v>3.4013435066101945E-2</c:v>
                </c:pt>
                <c:pt idx="2236">
                  <c:v>3.4007237938389133E-2</c:v>
                </c:pt>
                <c:pt idx="2237">
                  <c:v>3.3999872284874444E-2</c:v>
                </c:pt>
                <c:pt idx="2238">
                  <c:v>3.3993659217316508E-2</c:v>
                </c:pt>
                <c:pt idx="2239">
                  <c:v>3.3987437581592395E-2</c:v>
                </c:pt>
                <c:pt idx="2240">
                  <c:v>3.3981207377717093E-2</c:v>
                </c:pt>
                <c:pt idx="2241">
                  <c:v>3.3976123766648249E-2</c:v>
                </c:pt>
                <c:pt idx="2242">
                  <c:v>3.3968721265557889E-2</c:v>
                </c:pt>
                <c:pt idx="2243">
                  <c:v>3.3962465357303961E-2</c:v>
                </c:pt>
                <c:pt idx="2244">
                  <c:v>3.3952745957585281E-2</c:v>
                </c:pt>
                <c:pt idx="2245">
                  <c:v>3.3949927836522398E-2</c:v>
                </c:pt>
                <c:pt idx="2246">
                  <c:v>3.3943646224022239E-2</c:v>
                </c:pt>
                <c:pt idx="2247">
                  <c:v>3.393735604347331E-2</c:v>
                </c:pt>
                <c:pt idx="2248">
                  <c:v>3.3931057294880607E-2</c:v>
                </c:pt>
                <c:pt idx="2249">
                  <c:v>3.3924749978259117E-2</c:v>
                </c:pt>
                <c:pt idx="2250">
                  <c:v>3.3916386924912827E-2</c:v>
                </c:pt>
                <c:pt idx="2251">
                  <c:v>3.3912109641012211E-2</c:v>
                </c:pt>
                <c:pt idx="2252">
                  <c:v>3.3906012945707852E-2</c:v>
                </c:pt>
                <c:pt idx="2253">
                  <c:v>3.3900575737986216E-2</c:v>
                </c:pt>
                <c:pt idx="2254">
                  <c:v>3.3893084875301904E-2</c:v>
                </c:pt>
                <c:pt idx="2255">
                  <c:v>3.3887864438140791E-2</c:v>
                </c:pt>
                <c:pt idx="2256">
                  <c:v>3.3880358858451587E-2</c:v>
                </c:pt>
                <c:pt idx="2257">
                  <c:v>3.3868288522054833E-2</c:v>
                </c:pt>
                <c:pt idx="2258">
                  <c:v>3.3865551284276457E-2</c:v>
                </c:pt>
                <c:pt idx="2259">
                  <c:v>3.3859158276702807E-2</c:v>
                </c:pt>
                <c:pt idx="2260">
                  <c:v>3.3853888801395338E-2</c:v>
                </c:pt>
                <c:pt idx="2261">
                  <c:v>3.3846346560052656E-2</c:v>
                </c:pt>
                <c:pt idx="2262">
                  <c:v>3.3836538567753038E-2</c:v>
                </c:pt>
                <c:pt idx="2263">
                  <c:v>3.383011493636337E-2</c:v>
                </c:pt>
                <c:pt idx="2264">
                  <c:v>3.3823682739922187E-2</c:v>
                </c:pt>
                <c:pt idx="2265">
                  <c:v>3.3817241978449451E-2</c:v>
                </c:pt>
                <c:pt idx="2266">
                  <c:v>3.3814167343630817E-2</c:v>
                </c:pt>
                <c:pt idx="2267">
                  <c:v>3.3808829387003136E-2</c:v>
                </c:pt>
                <c:pt idx="2268">
                  <c:v>3.3801235687446231E-2</c:v>
                </c:pt>
                <c:pt idx="2269">
                  <c:v>3.3794757008773983E-2</c:v>
                </c:pt>
                <c:pt idx="2270">
                  <c:v>3.3789389692913674E-2</c:v>
                </c:pt>
                <c:pt idx="2271">
                  <c:v>3.3776940153200208E-2</c:v>
                </c:pt>
                <c:pt idx="2272">
                  <c:v>3.3775269570633391E-2</c:v>
                </c:pt>
                <c:pt idx="2273">
                  <c:v>3.3768756623927566E-2</c:v>
                </c:pt>
                <c:pt idx="2274">
                  <c:v>3.3763350153036831E-2</c:v>
                </c:pt>
                <c:pt idx="2275">
                  <c:v>3.3755705029606141E-2</c:v>
                </c:pt>
                <c:pt idx="2276">
                  <c:v>3.3749166382016318E-2</c:v>
                </c:pt>
                <c:pt idx="2277">
                  <c:v>3.3742619167498683E-2</c:v>
                </c:pt>
                <c:pt idx="2278">
                  <c:v>3.3736063386063546E-2</c:v>
                </c:pt>
                <c:pt idx="2279">
                  <c:v>3.3730607956335423E-2</c:v>
                </c:pt>
                <c:pt idx="2280">
                  <c:v>3.3722926122500094E-2</c:v>
                </c:pt>
                <c:pt idx="2281">
                  <c:v>3.37163446404053E-2</c:v>
                </c:pt>
                <c:pt idx="2282">
                  <c:v>3.3709754591452312E-2</c:v>
                </c:pt>
                <c:pt idx="2283">
                  <c:v>3.3703155975648866E-2</c:v>
                </c:pt>
                <c:pt idx="2284">
                  <c:v>3.3696548793025909E-2</c:v>
                </c:pt>
                <c:pt idx="2285">
                  <c:v>3.3689933043583441E-2</c:v>
                </c:pt>
                <c:pt idx="2286">
                  <c:v>3.3683308727342091E-2</c:v>
                </c:pt>
                <c:pt idx="2287">
                  <c:v>3.3678873964433365E-2</c:v>
                </c:pt>
                <c:pt idx="2288">
                  <c:v>3.3671132246730628E-2</c:v>
                </c:pt>
                <c:pt idx="2289">
                  <c:v>3.3663384377958828E-2</c:v>
                </c:pt>
                <c:pt idx="2290">
                  <c:v>3.3656725794661189E-2</c:v>
                </c:pt>
                <c:pt idx="2291">
                  <c:v>3.365005864463945E-2</c:v>
                </c:pt>
                <c:pt idx="2292">
                  <c:v>3.3643382927909068E-2</c:v>
                </c:pt>
                <c:pt idx="2293">
                  <c:v>3.363779032499209E-2</c:v>
                </c:pt>
                <c:pt idx="2294">
                  <c:v>3.3630005794361095E-2</c:v>
                </c:pt>
                <c:pt idx="2295">
                  <c:v>3.3623304377574444E-2</c:v>
                </c:pt>
                <c:pt idx="2296">
                  <c:v>3.361659439414362E-2</c:v>
                </c:pt>
                <c:pt idx="2297">
                  <c:v>3.3609875844068632E-2</c:v>
                </c:pt>
                <c:pt idx="2298">
                  <c:v>3.3603148727375264E-2</c:v>
                </c:pt>
                <c:pt idx="2299">
                  <c:v>3.3596413044068664E-2</c:v>
                </c:pt>
                <c:pt idx="2300">
                  <c:v>3.3589668794169469E-2</c:v>
                </c:pt>
                <c:pt idx="2301">
                  <c:v>3.3582915977690572E-2</c:v>
                </c:pt>
                <c:pt idx="2302">
                  <c:v>3.3572174188706505E-2</c:v>
                </c:pt>
                <c:pt idx="2303">
                  <c:v>3.3569384645065869E-2</c:v>
                </c:pt>
                <c:pt idx="2304">
                  <c:v>3.3564762164429017E-2</c:v>
                </c:pt>
                <c:pt idx="2305">
                  <c:v>3.3556895846069135E-2</c:v>
                </c:pt>
                <c:pt idx="2306">
                  <c:v>3.3549023397147187E-2</c:v>
                </c:pt>
                <c:pt idx="2307">
                  <c:v>3.3543293491786197E-2</c:v>
                </c:pt>
                <c:pt idx="2308">
                  <c:v>3.3535406399406192E-2</c:v>
                </c:pt>
                <c:pt idx="2309">
                  <c:v>3.352965686893028E-2</c:v>
                </c:pt>
                <c:pt idx="2310">
                  <c:v>3.3521755135823415E-2</c:v>
                </c:pt>
                <c:pt idx="2311">
                  <c:v>3.3514916654382942E-2</c:v>
                </c:pt>
                <c:pt idx="2312">
                  <c:v>3.3509137681361212E-2</c:v>
                </c:pt>
                <c:pt idx="2313">
                  <c:v>3.3501213992276027E-2</c:v>
                </c:pt>
                <c:pt idx="2314">
                  <c:v>3.3491152765200587E-2</c:v>
                </c:pt>
                <c:pt idx="2315">
                  <c:v>3.3484283768511994E-2</c:v>
                </c:pt>
                <c:pt idx="2316">
                  <c:v>3.3477406207459898E-2</c:v>
                </c:pt>
                <c:pt idx="2317">
                  <c:v>3.347052008205572E-2</c:v>
                </c:pt>
                <c:pt idx="2318">
                  <c:v>3.3467867995929657E-2</c:v>
                </c:pt>
                <c:pt idx="2319">
                  <c:v>3.3459900413235641E-2</c:v>
                </c:pt>
                <c:pt idx="2320">
                  <c:v>3.3452984834620073E-2</c:v>
                </c:pt>
                <c:pt idx="2321">
                  <c:v>3.3446060689723917E-2</c:v>
                </c:pt>
                <c:pt idx="2322">
                  <c:v>3.3434107692180248E-2</c:v>
                </c:pt>
                <c:pt idx="2323">
                  <c:v>3.3432186701162034E-2</c:v>
                </c:pt>
                <c:pt idx="2324">
                  <c:v>3.3425236857529836E-2</c:v>
                </c:pt>
                <c:pt idx="2325">
                  <c:v>3.3418278447678931E-2</c:v>
                </c:pt>
                <c:pt idx="2326">
                  <c:v>3.3413412471371924E-2</c:v>
                </c:pt>
                <c:pt idx="2327">
                  <c:v>3.3404335929393222E-2</c:v>
                </c:pt>
                <c:pt idx="2328">
                  <c:v>3.3397351820989359E-2</c:v>
                </c:pt>
                <c:pt idx="2329">
                  <c:v>3.3390359146428676E-2</c:v>
                </c:pt>
                <c:pt idx="2330">
                  <c:v>3.3383357905731811E-2</c:v>
                </c:pt>
                <c:pt idx="2331">
                  <c:v>3.3376348098909069E-2</c:v>
                </c:pt>
                <c:pt idx="2332">
                  <c:v>3.3369329725978503E-2</c:v>
                </c:pt>
                <c:pt idx="2333">
                  <c:v>3.3362302786955587E-2</c:v>
                </c:pt>
                <c:pt idx="2334">
                  <c:v>3.3355267281860945E-2</c:v>
                </c:pt>
                <c:pt idx="2335">
                  <c:v>3.3348223210699746E-2</c:v>
                </c:pt>
                <c:pt idx="2336">
                  <c:v>3.3341170573495178E-2</c:v>
                </c:pt>
                <c:pt idx="2337">
                  <c:v>3.3334109370257568E-2</c:v>
                </c:pt>
                <c:pt idx="2338">
                  <c:v>3.3327039601012708E-2</c:v>
                </c:pt>
                <c:pt idx="2339">
                  <c:v>3.3320995383482599E-2</c:v>
                </c:pt>
                <c:pt idx="2340">
                  <c:v>3.3313907215395122E-2</c:v>
                </c:pt>
                <c:pt idx="2341">
                  <c:v>3.3305778897327387E-2</c:v>
                </c:pt>
                <c:pt idx="2342">
                  <c:v>3.3298674864174677E-2</c:v>
                </c:pt>
                <c:pt idx="2343">
                  <c:v>3.3291562265086914E-2</c:v>
                </c:pt>
                <c:pt idx="2344">
                  <c:v>3.3284441100076986E-2</c:v>
                </c:pt>
                <c:pt idx="2345">
                  <c:v>3.3278337876001263E-2</c:v>
                </c:pt>
                <c:pt idx="2346">
                  <c:v>3.3270173072362831E-2</c:v>
                </c:pt>
                <c:pt idx="2347">
                  <c:v>3.3263026209689552E-2</c:v>
                </c:pt>
                <c:pt idx="2348">
                  <c:v>3.3256893473779803E-2</c:v>
                </c:pt>
                <c:pt idx="2349">
                  <c:v>3.3248706786772463E-2</c:v>
                </c:pt>
                <c:pt idx="2350">
                  <c:v>3.32415342265725E-2</c:v>
                </c:pt>
                <c:pt idx="2351">
                  <c:v>3.3234353100558667E-2</c:v>
                </c:pt>
                <c:pt idx="2352">
                  <c:v>3.3227163408751592E-2</c:v>
                </c:pt>
                <c:pt idx="2353">
                  <c:v>3.3219965151164182E-2</c:v>
                </c:pt>
                <c:pt idx="2354">
                  <c:v>3.3208652508021075E-2</c:v>
                </c:pt>
                <c:pt idx="2355">
                  <c:v>3.3205542938725685E-2</c:v>
                </c:pt>
                <c:pt idx="2356">
                  <c:v>3.3200343910313054E-2</c:v>
                </c:pt>
                <c:pt idx="2357">
                  <c:v>3.3192097678495514E-2</c:v>
                </c:pt>
                <c:pt idx="2358">
                  <c:v>3.3183845377120207E-2</c:v>
                </c:pt>
                <c:pt idx="2359">
                  <c:v>3.3177604382694514E-2</c:v>
                </c:pt>
                <c:pt idx="2360">
                  <c:v>3.3169337507605437E-2</c:v>
                </c:pt>
                <c:pt idx="2361">
                  <c:v>3.316408285864144E-2</c:v>
                </c:pt>
                <c:pt idx="2362">
                  <c:v>3.3154795375487593E-2</c:v>
                </c:pt>
                <c:pt idx="2363">
                  <c:v>3.3147511460994095E-2</c:v>
                </c:pt>
                <c:pt idx="2364">
                  <c:v>3.3141221233103924E-2</c:v>
                </c:pt>
                <c:pt idx="2365">
                  <c:v>3.3132917935217894E-2</c:v>
                </c:pt>
                <c:pt idx="2366">
                  <c:v>3.3125608323963544E-2</c:v>
                </c:pt>
                <c:pt idx="2367">
                  <c:v>3.3118290147155775E-2</c:v>
                </c:pt>
                <c:pt idx="2368">
                  <c:v>3.3110963404807466E-2</c:v>
                </c:pt>
                <c:pt idx="2369">
                  <c:v>3.3103628096944407E-2</c:v>
                </c:pt>
                <c:pt idx="2370">
                  <c:v>3.3096284223569181E-2</c:v>
                </c:pt>
                <c:pt idx="2371">
                  <c:v>3.3088931784702416E-2</c:v>
                </c:pt>
                <c:pt idx="2372">
                  <c:v>3.3081570780369891E-2</c:v>
                </c:pt>
                <c:pt idx="2373">
                  <c:v>3.3075191893035816E-2</c:v>
                </c:pt>
                <c:pt idx="2374">
                  <c:v>3.3067812469098901E-2</c:v>
                </c:pt>
                <c:pt idx="2375">
                  <c:v>3.3060424479101624E-2</c:v>
                </c:pt>
                <c:pt idx="2376">
                  <c:v>3.305204110860914E-2</c:v>
                </c:pt>
                <c:pt idx="2377">
                  <c:v>3.3039417821716377E-2</c:v>
                </c:pt>
                <c:pt idx="2378">
                  <c:v>3.3038209112929984E-2</c:v>
                </c:pt>
                <c:pt idx="2379">
                  <c:v>3.3029803918120146E-2</c:v>
                </c:pt>
                <c:pt idx="2380">
                  <c:v>3.302237439058503E-2</c:v>
                </c:pt>
                <c:pt idx="2381">
                  <c:v>3.3014936297718241E-2</c:v>
                </c:pt>
                <c:pt idx="2382">
                  <c:v>3.3007489639542982E-2</c:v>
                </c:pt>
                <c:pt idx="2383">
                  <c:v>3.2997100733189733E-2</c:v>
                </c:pt>
                <c:pt idx="2384">
                  <c:v>3.2992570627328979E-2</c:v>
                </c:pt>
                <c:pt idx="2385">
                  <c:v>3.2985098273323743E-2</c:v>
                </c:pt>
                <c:pt idx="2386">
                  <c:v>3.2977617354071932E-2</c:v>
                </c:pt>
                <c:pt idx="2387">
                  <c:v>3.2972072971608958E-2</c:v>
                </c:pt>
                <c:pt idx="2388">
                  <c:v>3.2962629819905942E-2</c:v>
                </c:pt>
                <c:pt idx="2389">
                  <c:v>3.2955123205022703E-2</c:v>
                </c:pt>
                <c:pt idx="2390">
                  <c:v>3.2947608024962508E-2</c:v>
                </c:pt>
                <c:pt idx="2391">
                  <c:v>3.2941051669044819E-2</c:v>
                </c:pt>
                <c:pt idx="2392">
                  <c:v>3.2933518058646805E-2</c:v>
                </c:pt>
                <c:pt idx="2393">
                  <c:v>3.2925011093877493E-2</c:v>
                </c:pt>
                <c:pt idx="2394">
                  <c:v>3.2917461653266776E-2</c:v>
                </c:pt>
                <c:pt idx="2395">
                  <c:v>3.2909903647561613E-2</c:v>
                </c:pt>
                <c:pt idx="2396">
                  <c:v>3.2902337076782646E-2</c:v>
                </c:pt>
                <c:pt idx="2397">
                  <c:v>3.2894761940940175E-2</c:v>
                </c:pt>
                <c:pt idx="2398">
                  <c:v>3.288813651610295E-2</c:v>
                </c:pt>
                <c:pt idx="2399">
                  <c:v>3.2879585974134373E-2</c:v>
                </c:pt>
                <c:pt idx="2400">
                  <c:v>3.2871985143209714E-2</c:v>
                </c:pt>
                <c:pt idx="2401">
                  <c:v>3.2864375747286019E-2</c:v>
                </c:pt>
                <c:pt idx="2402">
                  <c:v>3.2857710841198429E-2</c:v>
                </c:pt>
                <c:pt idx="2403">
                  <c:v>3.2849131260529213E-2</c:v>
                </c:pt>
                <c:pt idx="2404">
                  <c:v>3.2841496169727036E-2</c:v>
                </c:pt>
                <c:pt idx="2405">
                  <c:v>3.2833852513992873E-2</c:v>
                </c:pt>
                <c:pt idx="2406">
                  <c:v>3.2826200293352509E-2</c:v>
                </c:pt>
                <c:pt idx="2407">
                  <c:v>3.2818539507813674E-2</c:v>
                </c:pt>
                <c:pt idx="2408">
                  <c:v>3.2810870157404734E-2</c:v>
                </c:pt>
                <c:pt idx="2409">
                  <c:v>3.280413613597627E-2</c:v>
                </c:pt>
                <c:pt idx="2410">
                  <c:v>3.2795505762017799E-2</c:v>
                </c:pt>
                <c:pt idx="2411">
                  <c:v>3.2787810717078487E-2</c:v>
                </c:pt>
                <c:pt idx="2412">
                  <c:v>3.2781047065812974E-2</c:v>
                </c:pt>
                <c:pt idx="2413">
                  <c:v>3.2767984130499528E-2</c:v>
                </c:pt>
                <c:pt idx="2414">
                  <c:v>3.2760258497034955E-2</c:v>
                </c:pt>
                <c:pt idx="2415">
                  <c:v>3.2752524298818891E-2</c:v>
                </c:pt>
                <c:pt idx="2416">
                  <c:v>3.2744781535882284E-2</c:v>
                </c:pt>
                <c:pt idx="2417">
                  <c:v>3.2737030208219969E-2</c:v>
                </c:pt>
                <c:pt idx="2418">
                  <c:v>3.2726475944785234E-2</c:v>
                </c:pt>
                <c:pt idx="2419">
                  <c:v>3.271871143793062E-2</c:v>
                </c:pt>
                <c:pt idx="2420">
                  <c:v>3.2710938368231295E-2</c:v>
                </c:pt>
                <c:pt idx="2421">
                  <c:v>3.2703156735715791E-2</c:v>
                </c:pt>
                <c:pt idx="2422">
                  <c:v>3.2701848870232447E-2</c:v>
                </c:pt>
                <c:pt idx="2423">
                  <c:v>3.2690342384246639E-2</c:v>
                </c:pt>
                <c:pt idx="2424">
                  <c:v>3.2682531104076852E-2</c:v>
                </c:pt>
                <c:pt idx="2425">
                  <c:v>3.2674711259323183E-2</c:v>
                </c:pt>
                <c:pt idx="2426">
                  <c:v>3.2665962014051253E-2</c:v>
                </c:pt>
                <c:pt idx="2427">
                  <c:v>3.2657724233716712E-2</c:v>
                </c:pt>
                <c:pt idx="2428">
                  <c:v>3.2649874925680666E-2</c:v>
                </c:pt>
                <c:pt idx="2429">
                  <c:v>3.2642933401837743E-2</c:v>
                </c:pt>
                <c:pt idx="2430">
                  <c:v>3.2634150614302693E-2</c:v>
                </c:pt>
                <c:pt idx="2431">
                  <c:v>3.2626275611000732E-2</c:v>
                </c:pt>
                <c:pt idx="2432">
                  <c:v>3.2618392042650102E-2</c:v>
                </c:pt>
                <c:pt idx="2433">
                  <c:v>3.2610499909258295E-2</c:v>
                </c:pt>
                <c:pt idx="2434">
                  <c:v>3.2602599210860284E-2</c:v>
                </c:pt>
                <c:pt idx="2435">
                  <c:v>3.259468994745357E-2</c:v>
                </c:pt>
                <c:pt idx="2436">
                  <c:v>3.258677211906813E-2</c:v>
                </c:pt>
                <c:pt idx="2437">
                  <c:v>3.2578845725723948E-2</c:v>
                </c:pt>
                <c:pt idx="2438">
                  <c:v>3.257091076743851E-2</c:v>
                </c:pt>
                <c:pt idx="2439">
                  <c:v>3.2562967244221808E-2</c:v>
                </c:pt>
                <c:pt idx="2440">
                  <c:v>3.2555015156101319E-2</c:v>
                </c:pt>
                <c:pt idx="2441">
                  <c:v>3.2547054503087036E-2</c:v>
                </c:pt>
                <c:pt idx="2442">
                  <c:v>3.2539984375481855E-2</c:v>
                </c:pt>
                <c:pt idx="2443">
                  <c:v>3.2528413789767223E-2</c:v>
                </c:pt>
                <c:pt idx="2444">
                  <c:v>3.2523121154898749E-2</c:v>
                </c:pt>
                <c:pt idx="2445">
                  <c:v>3.2515126242509129E-2</c:v>
                </c:pt>
                <c:pt idx="2446">
                  <c:v>3.250712276532064E-2</c:v>
                </c:pt>
                <c:pt idx="2447">
                  <c:v>3.2499110723348268E-2</c:v>
                </c:pt>
                <c:pt idx="2448">
                  <c:v>3.2491090116616994E-2</c:v>
                </c:pt>
                <c:pt idx="2449">
                  <c:v>3.2483950700320209E-2</c:v>
                </c:pt>
                <c:pt idx="2450">
                  <c:v>3.2475023208942688E-2</c:v>
                </c:pt>
                <c:pt idx="2451">
                  <c:v>3.246697690803213E-2</c:v>
                </c:pt>
                <c:pt idx="2452">
                  <c:v>3.2458922042435112E-2</c:v>
                </c:pt>
                <c:pt idx="2453">
                  <c:v>3.245085861216912E-2</c:v>
                </c:pt>
                <c:pt idx="2454">
                  <c:v>3.2442786617241648E-2</c:v>
                </c:pt>
                <c:pt idx="2455">
                  <c:v>3.2434706057692664E-2</c:v>
                </c:pt>
                <c:pt idx="2456">
                  <c:v>3.2423975311275617E-2</c:v>
                </c:pt>
                <c:pt idx="2457">
                  <c:v>3.2418519244752642E-2</c:v>
                </c:pt>
                <c:pt idx="2458">
                  <c:v>3.241041299140407E-2</c:v>
                </c:pt>
                <c:pt idx="2459">
                  <c:v>3.2402298173496435E-2</c:v>
                </c:pt>
                <c:pt idx="2460">
                  <c:v>3.2393888444199478E-2</c:v>
                </c:pt>
                <c:pt idx="2461">
                  <c:v>3.2386042844076424E-2</c:v>
                </c:pt>
                <c:pt idx="2462">
                  <c:v>3.2377902332599018E-2</c:v>
                </c:pt>
                <c:pt idx="2463">
                  <c:v>3.2370624254851196E-2</c:v>
                </c:pt>
                <c:pt idx="2464">
                  <c:v>3.2356061300328594E-2</c:v>
                </c:pt>
                <c:pt idx="2465">
                  <c:v>3.2351393918165251E-2</c:v>
                </c:pt>
                <c:pt idx="2466">
                  <c:v>3.2345254642015542E-2</c:v>
                </c:pt>
                <c:pt idx="2467">
                  <c:v>3.2337936926300645E-2</c:v>
                </c:pt>
                <c:pt idx="2468">
                  <c:v>3.2328879410180034E-2</c:v>
                </c:pt>
                <c:pt idx="2469">
                  <c:v>3.2318089713835201E-2</c:v>
                </c:pt>
                <c:pt idx="2470">
                  <c:v>3.2309022844751692E-2</c:v>
                </c:pt>
                <c:pt idx="2471">
                  <c:v>3.2300810645065701E-2</c:v>
                </c:pt>
                <c:pt idx="2472">
                  <c:v>3.229258988337718E-2</c:v>
                </c:pt>
                <c:pt idx="2473">
                  <c:v>3.2284360559703247E-2</c:v>
                </c:pt>
                <c:pt idx="2474">
                  <c:v>3.2279548170277006E-2</c:v>
                </c:pt>
                <c:pt idx="2475">
                  <c:v>3.2271296321934873E-2</c:v>
                </c:pt>
                <c:pt idx="2476">
                  <c:v>3.2263035909340931E-2</c:v>
                </c:pt>
                <c:pt idx="2477">
                  <c:v>3.2254766932532652E-2</c:v>
                </c:pt>
                <c:pt idx="2478">
                  <c:v>3.2247340166121935E-2</c:v>
                </c:pt>
                <c:pt idx="2479">
                  <c:v>3.2238203286315548E-2</c:v>
                </c:pt>
                <c:pt idx="2480">
                  <c:v>3.2229908616939196E-2</c:v>
                </c:pt>
                <c:pt idx="2481">
                  <c:v>3.2222452097720608E-2</c:v>
                </c:pt>
                <c:pt idx="2482">
                  <c:v>3.2210757034406755E-2</c:v>
                </c:pt>
                <c:pt idx="2483">
                  <c:v>3.220497322400373E-2</c:v>
                </c:pt>
                <c:pt idx="2484">
                  <c:v>3.2196644298147226E-2</c:v>
                </c:pt>
                <c:pt idx="2485">
                  <c:v>3.2188306808223766E-2</c:v>
                </c:pt>
                <c:pt idx="2486">
                  <c:v>3.2179960824849363E-2</c:v>
                </c:pt>
                <c:pt idx="2487">
                  <c:v>3.2171608751221659E-2</c:v>
                </c:pt>
                <c:pt idx="2488">
                  <c:v>3.2163255801659629E-2</c:v>
                </c:pt>
                <c:pt idx="2489">
                  <c:v>3.2154907357820894E-2</c:v>
                </c:pt>
                <c:pt idx="2490">
                  <c:v>3.2146568801345587E-2</c:v>
                </c:pt>
                <c:pt idx="2491">
                  <c:v>3.2138244949008188E-2</c:v>
                </c:pt>
                <c:pt idx="2492">
                  <c:v>3.2129937131828989E-2</c:v>
                </c:pt>
                <c:pt idx="2493">
                  <c:v>3.2121645352370942E-2</c:v>
                </c:pt>
                <c:pt idx="2494">
                  <c:v>3.2113369610599074E-2</c:v>
                </c:pt>
                <c:pt idx="2495">
                  <c:v>3.2102585246250981E-2</c:v>
                </c:pt>
                <c:pt idx="2496">
                  <c:v>3.209770838336129E-2</c:v>
                </c:pt>
                <c:pt idx="2497">
                  <c:v>3.2088638611083298E-2</c:v>
                </c:pt>
                <c:pt idx="2498">
                  <c:v>3.2080427019718916E-2</c:v>
                </c:pt>
                <c:pt idx="2499">
                  <c:v>3.2072231465875845E-2</c:v>
                </c:pt>
                <c:pt idx="2500">
                  <c:v>3.206405194950912E-2</c:v>
                </c:pt>
                <c:pt idx="2501">
                  <c:v>3.2056732696069581E-2</c:v>
                </c:pt>
                <c:pt idx="2502">
                  <c:v>3.2047741029067323E-2</c:v>
                </c:pt>
                <c:pt idx="2503">
                  <c:v>3.2039609624927301E-2</c:v>
                </c:pt>
                <c:pt idx="2504">
                  <c:v>3.2031494258128734E-2</c:v>
                </c:pt>
                <c:pt idx="2505">
                  <c:v>3.2023394928631654E-2</c:v>
                </c:pt>
                <c:pt idx="2506">
                  <c:v>3.2015311636406085E-2</c:v>
                </c:pt>
                <c:pt idx="2507">
                  <c:v>3.2007244381422051E-2</c:v>
                </c:pt>
                <c:pt idx="2508">
                  <c:v>3.1999193163637085E-2</c:v>
                </c:pt>
                <c:pt idx="2509">
                  <c:v>3.1991157983016216E-2</c:v>
                </c:pt>
                <c:pt idx="2510">
                  <c:v>3.1983138839536962E-2</c:v>
                </c:pt>
                <c:pt idx="2511">
                  <c:v>3.1975135733149362E-2</c:v>
                </c:pt>
                <c:pt idx="2512">
                  <c:v>3.1966008963074666E-2</c:v>
                </c:pt>
                <c:pt idx="2513">
                  <c:v>3.1959177631539215E-2</c:v>
                </c:pt>
                <c:pt idx="2514">
                  <c:v>3.1951222636246723E-2</c:v>
                </c:pt>
                <c:pt idx="2515">
                  <c:v>3.1944133946748755E-2</c:v>
                </c:pt>
                <c:pt idx="2516">
                  <c:v>3.1935360756519537E-2</c:v>
                </c:pt>
                <c:pt idx="2517">
                  <c:v>3.1924900955791993E-2</c:v>
                </c:pt>
                <c:pt idx="2518">
                  <c:v>3.1919563024377096E-2</c:v>
                </c:pt>
                <c:pt idx="2519">
                  <c:v>3.1912540266521627E-2</c:v>
                </c:pt>
                <c:pt idx="2520">
                  <c:v>3.1903829439539622E-2</c:v>
                </c:pt>
                <c:pt idx="2521">
                  <c:v>3.1893428399470916E-2</c:v>
                </c:pt>
                <c:pt idx="2522">
                  <c:v>3.1884747307140415E-2</c:v>
                </c:pt>
                <c:pt idx="2523">
                  <c:v>3.1876934825889922E-2</c:v>
                </c:pt>
                <c:pt idx="2524">
                  <c:v>3.1869138374962205E-2</c:v>
                </c:pt>
                <c:pt idx="2525">
                  <c:v>3.1861357954328727E-2</c:v>
                </c:pt>
                <c:pt idx="2526">
                  <c:v>3.1857013566241599E-2</c:v>
                </c:pt>
                <c:pt idx="2527">
                  <c:v>3.1849267048846552E-2</c:v>
                </c:pt>
                <c:pt idx="2528">
                  <c:v>3.1842392728081884E-2</c:v>
                </c:pt>
                <c:pt idx="2529">
                  <c:v>3.1833822123615296E-2</c:v>
                </c:pt>
                <c:pt idx="2530">
                  <c:v>3.1826980805904626E-2</c:v>
                </c:pt>
                <c:pt idx="2531">
                  <c:v>3.1818441344235171E-2</c:v>
                </c:pt>
                <c:pt idx="2532">
                  <c:v>3.181077500915841E-2</c:v>
                </c:pt>
                <c:pt idx="2533">
                  <c:v>3.1803124710446384E-2</c:v>
                </c:pt>
                <c:pt idx="2534">
                  <c:v>3.1792914113944373E-2</c:v>
                </c:pt>
                <c:pt idx="2535">
                  <c:v>3.178787222198165E-2</c:v>
                </c:pt>
                <c:pt idx="2536">
                  <c:v>3.1780270032163993E-2</c:v>
                </c:pt>
                <c:pt idx="2537">
                  <c:v>3.1772683878578678E-2</c:v>
                </c:pt>
                <c:pt idx="2538">
                  <c:v>3.1765113761200725E-2</c:v>
                </c:pt>
                <c:pt idx="2539">
                  <c:v>3.175842103356772E-2</c:v>
                </c:pt>
                <c:pt idx="2540">
                  <c:v>3.1750021634919523E-2</c:v>
                </c:pt>
                <c:pt idx="2541">
                  <c:v>3.1742499625948828E-2</c:v>
                </c:pt>
                <c:pt idx="2542">
                  <c:v>3.1734993653055599E-2</c:v>
                </c:pt>
                <c:pt idx="2543">
                  <c:v>3.1727503716204863E-2</c:v>
                </c:pt>
                <c:pt idx="2544">
                  <c:v>3.172002981536165E-2</c:v>
                </c:pt>
                <c:pt idx="2545">
                  <c:v>3.1712571950493484E-2</c:v>
                </c:pt>
                <c:pt idx="2546">
                  <c:v>3.1705130121577885E-2</c:v>
                </c:pt>
                <c:pt idx="2547">
                  <c:v>3.1698569578471468E-2</c:v>
                </c:pt>
                <c:pt idx="2548">
                  <c:v>3.1691160315418673E-2</c:v>
                </c:pt>
                <c:pt idx="2549">
                  <c:v>3.1682900850169282E-2</c:v>
                </c:pt>
                <c:pt idx="2550">
                  <c:v>3.1675523164716723E-2</c:v>
                </c:pt>
                <c:pt idx="2551">
                  <c:v>3.1668161515051862E-2</c:v>
                </c:pt>
                <c:pt idx="2552">
                  <c:v>3.1660815901139727E-2</c:v>
                </c:pt>
                <c:pt idx="2553">
                  <c:v>3.1654354560654727E-2</c:v>
                </c:pt>
                <c:pt idx="2554">
                  <c:v>3.164617278046622E-2</c:v>
                </c:pt>
                <c:pt idx="2555">
                  <c:v>3.1638875273637401E-2</c:v>
                </c:pt>
                <c:pt idx="2556">
                  <c:v>3.1628985140307507E-2</c:v>
                </c:pt>
                <c:pt idx="2557">
                  <c:v>3.1624328366843257E-2</c:v>
                </c:pt>
                <c:pt idx="2558">
                  <c:v>3.161707896681798E-2</c:v>
                </c:pt>
                <c:pt idx="2559">
                  <c:v>3.1609845602325604E-2</c:v>
                </c:pt>
                <c:pt idx="2560">
                  <c:v>3.1602628273343647E-2</c:v>
                </c:pt>
                <c:pt idx="2561">
                  <c:v>3.1595426979844632E-2</c:v>
                </c:pt>
                <c:pt idx="2562">
                  <c:v>3.1586343767615814E-2</c:v>
                </c:pt>
                <c:pt idx="2563">
                  <c:v>3.158107249914055E-2</c:v>
                </c:pt>
                <c:pt idx="2564">
                  <c:v>3.1573772671754957E-2</c:v>
                </c:pt>
                <c:pt idx="2565">
                  <c:v>3.1567656540928919E-2</c:v>
                </c:pt>
                <c:pt idx="2566">
                  <c:v>3.1559661043402132E-2</c:v>
                </c:pt>
                <c:pt idx="2567">
                  <c:v>3.1553431388580744E-2</c:v>
                </c:pt>
                <c:pt idx="2568">
                  <c:v>3.1545466916098608E-2</c:v>
                </c:pt>
                <c:pt idx="2569">
                  <c:v>3.1532474818554361E-2</c:v>
                </c:pt>
                <c:pt idx="2570">
                  <c:v>3.1529453119124334E-2</c:v>
                </c:pt>
                <c:pt idx="2571">
                  <c:v>3.1522413939704334E-2</c:v>
                </c:pt>
                <c:pt idx="2572">
                  <c:v>3.1516268835138084E-2</c:v>
                </c:pt>
                <c:pt idx="2573">
                  <c:v>3.1508383681652208E-2</c:v>
                </c:pt>
                <c:pt idx="2574">
                  <c:v>3.1501392602953031E-2</c:v>
                </c:pt>
                <c:pt idx="2575">
                  <c:v>3.1494417557771597E-2</c:v>
                </c:pt>
                <c:pt idx="2576">
                  <c:v>3.1487458546074383E-2</c:v>
                </c:pt>
                <c:pt idx="2577">
                  <c:v>3.1480515567838173E-2</c:v>
                </c:pt>
                <c:pt idx="2578">
                  <c:v>3.1474469884165135E-2</c:v>
                </c:pt>
                <c:pt idx="2579">
                  <c:v>3.1466677711617284E-2</c:v>
                </c:pt>
                <c:pt idx="2580">
                  <c:v>3.1459782833578455E-2</c:v>
                </c:pt>
                <c:pt idx="2581">
                  <c:v>3.1452903988884597E-2</c:v>
                </c:pt>
                <c:pt idx="2582">
                  <c:v>3.1441243121942186E-2</c:v>
                </c:pt>
                <c:pt idx="2583">
                  <c:v>3.1439194399410605E-2</c:v>
                </c:pt>
                <c:pt idx="2584">
                  <c:v>3.1432363654576329E-2</c:v>
                </c:pt>
                <c:pt idx="2585">
                  <c:v>3.1425548942968409E-2</c:v>
                </c:pt>
                <c:pt idx="2586">
                  <c:v>3.1420521648840675E-2</c:v>
                </c:pt>
                <c:pt idx="2587">
                  <c:v>3.1411967619331085E-2</c:v>
                </c:pt>
                <c:pt idx="2588">
                  <c:v>3.140520100724753E-2</c:v>
                </c:pt>
                <c:pt idx="2589">
                  <c:v>3.1398450428279448E-2</c:v>
                </c:pt>
                <c:pt idx="2590">
                  <c:v>3.1391715882403651E-2</c:v>
                </c:pt>
                <c:pt idx="2591">
                  <c:v>3.1384997369589177E-2</c:v>
                </c:pt>
                <c:pt idx="2592">
                  <c:v>3.1378294889807666E-2</c:v>
                </c:pt>
                <c:pt idx="2593">
                  <c:v>3.1371608443033341E-2</c:v>
                </c:pt>
                <c:pt idx="2594">
                  <c:v>3.1364938029237829E-2</c:v>
                </c:pt>
                <c:pt idx="2595">
                  <c:v>3.1358283648392771E-2</c:v>
                </c:pt>
                <c:pt idx="2596">
                  <c:v>3.1351645300472374E-2</c:v>
                </c:pt>
                <c:pt idx="2597">
                  <c:v>3.1345022985448286E-2</c:v>
                </c:pt>
                <c:pt idx="2598">
                  <c:v>3.1338416703292127E-2</c:v>
                </c:pt>
                <c:pt idx="2599">
                  <c:v>3.1332719417320742E-2</c:v>
                </c:pt>
                <c:pt idx="2600">
                  <c:v>3.132614577476045E-2</c:v>
                </c:pt>
                <c:pt idx="2601">
                  <c:v>3.1318694053770836E-2</c:v>
                </c:pt>
                <c:pt idx="2602">
                  <c:v>3.1312151902820828E-2</c:v>
                </c:pt>
                <c:pt idx="2603">
                  <c:v>3.1305625784604676E-2</c:v>
                </c:pt>
                <c:pt idx="2604">
                  <c:v>3.1299115699096582E-2</c:v>
                </c:pt>
                <c:pt idx="2605">
                  <c:v>3.1293518075887761E-2</c:v>
                </c:pt>
                <c:pt idx="2606">
                  <c:v>3.1286143626085984E-2</c:v>
                </c:pt>
                <c:pt idx="2607">
                  <c:v>3.1279681638534479E-2</c:v>
                </c:pt>
                <c:pt idx="2608">
                  <c:v>3.1274133866697473E-2</c:v>
                </c:pt>
                <c:pt idx="2609">
                  <c:v>3.1266805761199813E-2</c:v>
                </c:pt>
                <c:pt idx="2610">
                  <c:v>3.1260391871367664E-2</c:v>
                </c:pt>
                <c:pt idx="2611">
                  <c:v>3.1253994014052766E-2</c:v>
                </c:pt>
                <c:pt idx="2612">
                  <c:v>3.1247612189231905E-2</c:v>
                </c:pt>
                <c:pt idx="2613">
                  <c:v>3.1241246396876726E-2</c:v>
                </c:pt>
                <c:pt idx="2614">
                  <c:v>3.1231278342024993E-2</c:v>
                </c:pt>
                <c:pt idx="2615">
                  <c:v>3.1228562909462833E-2</c:v>
                </c:pt>
                <c:pt idx="2616">
                  <c:v>3.1224051174027843E-2</c:v>
                </c:pt>
                <c:pt idx="2617">
                  <c:v>3.1216847076308563E-2</c:v>
                </c:pt>
                <c:pt idx="2618">
                  <c:v>3.1209657921188641E-2</c:v>
                </c:pt>
                <c:pt idx="2619">
                  <c:v>3.1204293051289023E-2</c:v>
                </c:pt>
                <c:pt idx="2620">
                  <c:v>3.119713475727116E-2</c:v>
                </c:pt>
                <c:pt idx="2621">
                  <c:v>3.1192709209183794E-2</c:v>
                </c:pt>
                <c:pt idx="2622">
                  <c:v>3.1184675722380931E-2</c:v>
                </c:pt>
                <c:pt idx="2623">
                  <c:v>3.1178470253261727E-2</c:v>
                </c:pt>
                <c:pt idx="2624">
                  <c:v>3.1173188579410871E-2</c:v>
                </c:pt>
                <c:pt idx="2625">
                  <c:v>3.1166107411538479E-2</c:v>
                </c:pt>
                <c:pt idx="2626">
                  <c:v>3.1157223741897458E-2</c:v>
                </c:pt>
                <c:pt idx="2627">
                  <c:v>3.1151080559055036E-2</c:v>
                </c:pt>
                <c:pt idx="2628">
                  <c:v>3.1144953403837557E-2</c:v>
                </c:pt>
                <c:pt idx="2629">
                  <c:v>3.1138842276202196E-2</c:v>
                </c:pt>
                <c:pt idx="2630">
                  <c:v>3.1135480869064768E-2</c:v>
                </c:pt>
                <c:pt idx="2631">
                  <c:v>3.1129403656684988E-2</c:v>
                </c:pt>
                <c:pt idx="2632">
                  <c:v>3.1123342476278373E-2</c:v>
                </c:pt>
                <c:pt idx="2633">
                  <c:v>3.1118210647541333E-2</c:v>
                </c:pt>
                <c:pt idx="2634">
                  <c:v>3.1111268211307296E-2</c:v>
                </c:pt>
                <c:pt idx="2635">
                  <c:v>3.1106169697541763E-2</c:v>
                </c:pt>
                <c:pt idx="2636">
                  <c:v>3.1099258073945247E-2</c:v>
                </c:pt>
                <c:pt idx="2637">
                  <c:v>3.1088950449502661E-2</c:v>
                </c:pt>
                <c:pt idx="2638">
                  <c:v>3.1088228522683503E-2</c:v>
                </c:pt>
                <c:pt idx="2639">
                  <c:v>3.1081363106759758E-2</c:v>
                </c:pt>
                <c:pt idx="2640">
                  <c:v>3.1075430181290137E-2</c:v>
                </c:pt>
                <c:pt idx="2641">
                  <c:v>3.1069513287574509E-2</c:v>
                </c:pt>
                <c:pt idx="2642">
                  <c:v>3.1063612425592236E-2</c:v>
                </c:pt>
                <c:pt idx="2643">
                  <c:v>3.1057727595317542E-2</c:v>
                </c:pt>
                <c:pt idx="2644">
                  <c:v>3.1051858796727214E-2</c:v>
                </c:pt>
                <c:pt idx="2645">
                  <c:v>3.1046006029787729E-2</c:v>
                </c:pt>
                <c:pt idx="2646">
                  <c:v>3.1040169294491358E-2</c:v>
                </c:pt>
                <c:pt idx="2647">
                  <c:v>3.1035270792712233E-2</c:v>
                </c:pt>
                <c:pt idx="2648">
                  <c:v>3.1028543918693852E-2</c:v>
                </c:pt>
                <c:pt idx="2649">
                  <c:v>3.1022755278151466E-2</c:v>
                </c:pt>
                <c:pt idx="2650">
                  <c:v>3.1016982669146466E-2</c:v>
                </c:pt>
                <c:pt idx="2651">
                  <c:v>3.1012150884431877E-2</c:v>
                </c:pt>
                <c:pt idx="2652">
                  <c:v>3.1006410989822264E-2</c:v>
                </c:pt>
                <c:pt idx="2653">
                  <c:v>3.0999761031123726E-2</c:v>
                </c:pt>
                <c:pt idx="2654">
                  <c:v>3.0994052548033627E-2</c:v>
                </c:pt>
                <c:pt idx="2655">
                  <c:v>3.09883600963623E-2</c:v>
                </c:pt>
                <c:pt idx="2656">
                  <c:v>3.0979900178427538E-2</c:v>
                </c:pt>
                <c:pt idx="2657">
                  <c:v>3.0977952010316778E-2</c:v>
                </c:pt>
                <c:pt idx="2658">
                  <c:v>3.0971378929636625E-2</c:v>
                </c:pt>
                <c:pt idx="2659">
                  <c:v>3.0965750603410898E-2</c:v>
                </c:pt>
                <c:pt idx="2660">
                  <c:v>3.0961999841285379E-2</c:v>
                </c:pt>
                <c:pt idx="2661">
                  <c:v>3.0954542044847027E-2</c:v>
                </c:pt>
                <c:pt idx="2662">
                  <c:v>3.0949893851155708E-2</c:v>
                </c:pt>
                <c:pt idx="2663">
                  <c:v>3.0943397611308446E-2</c:v>
                </c:pt>
                <c:pt idx="2664">
                  <c:v>3.0937849441361753E-2</c:v>
                </c:pt>
                <c:pt idx="2665">
                  <c:v>3.0932317302606916E-2</c:v>
                </c:pt>
                <c:pt idx="2666">
                  <c:v>3.0926801195020732E-2</c:v>
                </c:pt>
                <c:pt idx="2667">
                  <c:v>3.0921301118572254E-2</c:v>
                </c:pt>
                <c:pt idx="2668">
                  <c:v>3.0915817073240856E-2</c:v>
                </c:pt>
                <c:pt idx="2669">
                  <c:v>3.0910349059005908E-2</c:v>
                </c:pt>
                <c:pt idx="2670">
                  <c:v>3.090489707585194E-2</c:v>
                </c:pt>
                <c:pt idx="2671">
                  <c:v>3.0899461123742849E-2</c:v>
                </c:pt>
                <c:pt idx="2672">
                  <c:v>3.0894979981966331E-2</c:v>
                </c:pt>
                <c:pt idx="2673">
                  <c:v>3.0886326267149503E-2</c:v>
                </c:pt>
                <c:pt idx="2674">
                  <c:v>3.0880945278475506E-2</c:v>
                </c:pt>
                <c:pt idx="2675">
                  <c:v>3.0875580320758718E-2</c:v>
                </c:pt>
                <c:pt idx="2676">
                  <c:v>3.0869468570215639E-2</c:v>
                </c:pt>
                <c:pt idx="2677">
                  <c:v>3.0864898498088458E-2</c:v>
                </c:pt>
                <c:pt idx="2678">
                  <c:v>3.0856752783186319E-2</c:v>
                </c:pt>
                <c:pt idx="2679">
                  <c:v>3.085144987588162E-2</c:v>
                </c:pt>
                <c:pt idx="2680">
                  <c:v>3.0845409034680075E-2</c:v>
                </c:pt>
                <c:pt idx="2681">
                  <c:v>3.0840892140755471E-2</c:v>
                </c:pt>
                <c:pt idx="2682">
                  <c:v>3.0838474481534265E-2</c:v>
                </c:pt>
                <c:pt idx="2683">
                  <c:v>3.0833237770644825E-2</c:v>
                </c:pt>
                <c:pt idx="2684">
                  <c:v>3.0828017090508884E-2</c:v>
                </c:pt>
                <c:pt idx="2685">
                  <c:v>3.0822812441105817E-2</c:v>
                </c:pt>
                <c:pt idx="2686">
                  <c:v>3.0816675182468778E-2</c:v>
                </c:pt>
                <c:pt idx="2687">
                  <c:v>3.0811501891681026E-2</c:v>
                </c:pt>
                <c:pt idx="2688">
                  <c:v>3.0804874070951449E-2</c:v>
                </c:pt>
                <c:pt idx="2689">
                  <c:v>3.0801203397756716E-2</c:v>
                </c:pt>
                <c:pt idx="2690">
                  <c:v>3.0796078194590848E-2</c:v>
                </c:pt>
                <c:pt idx="2691">
                  <c:v>3.0791192716744405E-2</c:v>
                </c:pt>
                <c:pt idx="2692">
                  <c:v>3.0786828754046102E-2</c:v>
                </c:pt>
                <c:pt idx="2693">
                  <c:v>3.0781752349745312E-2</c:v>
                </c:pt>
                <c:pt idx="2694">
                  <c:v>3.0775970374067714E-2</c:v>
                </c:pt>
                <c:pt idx="2695">
                  <c:v>3.0770692615813111E-2</c:v>
                </c:pt>
                <c:pt idx="2696">
                  <c:v>3.0765663587328795E-2</c:v>
                </c:pt>
                <c:pt idx="2697">
                  <c:v>3.0760650587891902E-2</c:v>
                </c:pt>
                <c:pt idx="2698">
                  <c:v>3.0755653617475787E-2</c:v>
                </c:pt>
                <c:pt idx="2699">
                  <c:v>3.0751630564622354E-2</c:v>
                </c:pt>
                <c:pt idx="2700">
                  <c:v>3.0746666373687906E-2</c:v>
                </c:pt>
                <c:pt idx="2701">
                  <c:v>3.0741718213148531E-2</c:v>
                </c:pt>
                <c:pt idx="2702">
                  <c:v>3.0736786082988764E-2</c:v>
                </c:pt>
                <c:pt idx="2703">
                  <c:v>3.073186998318797E-2</c:v>
                </c:pt>
                <c:pt idx="2704">
                  <c:v>3.0726969913720367E-2</c:v>
                </c:pt>
                <c:pt idx="2705">
                  <c:v>3.0722085874570482E-2</c:v>
                </c:pt>
                <c:pt idx="2706">
                  <c:v>3.0717217865720264E-2</c:v>
                </c:pt>
                <c:pt idx="2707">
                  <c:v>3.0711674055937416E-2</c:v>
                </c:pt>
                <c:pt idx="2708">
                  <c:v>3.0705875859280418E-2</c:v>
                </c:pt>
                <c:pt idx="2709">
                  <c:v>3.0701744852815516E-2</c:v>
                </c:pt>
                <c:pt idx="2710">
                  <c:v>3.0696940229148595E-2</c:v>
                </c:pt>
                <c:pt idx="2711">
                  <c:v>3.0692151634249321E-2</c:v>
                </c:pt>
                <c:pt idx="2712">
                  <c:v>3.0688346447707803E-2</c:v>
                </c:pt>
                <c:pt idx="2713">
                  <c:v>3.068359065036735E-2</c:v>
                </c:pt>
                <c:pt idx="2714">
                  <c:v>3.0678175082146385E-2</c:v>
                </c:pt>
                <c:pt idx="2715">
                  <c:v>3.0674127146090358E-2</c:v>
                </c:pt>
                <c:pt idx="2716">
                  <c:v>3.0670389913708407E-2</c:v>
                </c:pt>
                <c:pt idx="2717">
                  <c:v>3.0663756667937747E-2</c:v>
                </c:pt>
                <c:pt idx="2718">
                  <c:v>3.0658413526056805E-2</c:v>
                </c:pt>
                <c:pt idx="2719">
                  <c:v>3.0654419908465513E-2</c:v>
                </c:pt>
                <c:pt idx="2720">
                  <c:v>3.0651722378705615E-2</c:v>
                </c:pt>
                <c:pt idx="2721">
                  <c:v>3.064612135498998E-2</c:v>
                </c:pt>
                <c:pt idx="2722">
                  <c:v>3.0641509828190843E-2</c:v>
                </c:pt>
                <c:pt idx="2723">
                  <c:v>3.0636914331353585E-2</c:v>
                </c:pt>
                <c:pt idx="2724">
                  <c:v>3.0632334864467883E-2</c:v>
                </c:pt>
                <c:pt idx="2725">
                  <c:v>3.0627120816500306E-2</c:v>
                </c:pt>
                <c:pt idx="2726">
                  <c:v>3.0622575699425343E-2</c:v>
                </c:pt>
                <c:pt idx="2727">
                  <c:v>3.0618046612242631E-2</c:v>
                </c:pt>
                <c:pt idx="2728">
                  <c:v>3.0613533554918651E-2</c:v>
                </c:pt>
                <c:pt idx="2729">
                  <c:v>3.0609036527448244E-2</c:v>
                </c:pt>
                <c:pt idx="2730">
                  <c:v>3.0601612831351956E-2</c:v>
                </c:pt>
                <c:pt idx="2731">
                  <c:v>3.0597145566485358E-2</c:v>
                </c:pt>
                <c:pt idx="2732">
                  <c:v>3.059269432716822E-2</c:v>
                </c:pt>
                <c:pt idx="2733">
                  <c:v>3.0588259113386265E-2</c:v>
                </c:pt>
                <c:pt idx="2734">
                  <c:v>3.0586791837167494E-2</c:v>
                </c:pt>
                <c:pt idx="2735">
                  <c:v>3.0582390988395641E-2</c:v>
                </c:pt>
                <c:pt idx="2736">
                  <c:v>3.0578006169343273E-2</c:v>
                </c:pt>
                <c:pt idx="2737">
                  <c:v>3.0573637379994925E-2</c:v>
                </c:pt>
                <c:pt idx="2738">
                  <c:v>3.0570019141195365E-2</c:v>
                </c:pt>
                <c:pt idx="2739">
                  <c:v>3.0564700092705899E-2</c:v>
                </c:pt>
                <c:pt idx="2740">
                  <c:v>3.0560384751384118E-2</c:v>
                </c:pt>
                <c:pt idx="2741">
                  <c:v>3.0557075455099086E-2</c:v>
                </c:pt>
                <c:pt idx="2742">
                  <c:v>3.0551802161810082E-2</c:v>
                </c:pt>
                <c:pt idx="2743">
                  <c:v>3.0547534913527852E-2</c:v>
                </c:pt>
                <c:pt idx="2744">
                  <c:v>3.0543283696229662E-2</c:v>
                </c:pt>
                <c:pt idx="2745">
                  <c:v>3.0539048509888034E-2</c:v>
                </c:pt>
                <c:pt idx="2746">
                  <c:v>3.053482935448798E-2</c:v>
                </c:pt>
                <c:pt idx="2747">
                  <c:v>3.0530626230014513E-2</c:v>
                </c:pt>
                <c:pt idx="2748">
                  <c:v>3.0526439136452643E-2</c:v>
                </c:pt>
                <c:pt idx="2749">
                  <c:v>3.0522268073774894E-2</c:v>
                </c:pt>
                <c:pt idx="2750">
                  <c:v>3.0518113041963779E-2</c:v>
                </c:pt>
                <c:pt idx="2751">
                  <c:v>3.0513974041011804E-2</c:v>
                </c:pt>
                <c:pt idx="2752">
                  <c:v>3.0509851070896488E-2</c:v>
                </c:pt>
                <c:pt idx="2753">
                  <c:v>3.0505744131592849E-2</c:v>
                </c:pt>
                <c:pt idx="2754">
                  <c:v>3.0502653514314918E-2</c:v>
                </c:pt>
                <c:pt idx="2755">
                  <c:v>3.0494575867618102E-2</c:v>
                </c:pt>
                <c:pt idx="2756">
                  <c:v>3.0493519498434596E-2</c:v>
                </c:pt>
                <c:pt idx="2757">
                  <c:v>3.0489476682232786E-2</c:v>
                </c:pt>
                <c:pt idx="2758">
                  <c:v>3.0485449896762717E-2</c:v>
                </c:pt>
                <c:pt idx="2759">
                  <c:v>3.0481439142011901E-2</c:v>
                </c:pt>
                <c:pt idx="2760">
                  <c:v>3.0477444417952859E-2</c:v>
                </c:pt>
                <c:pt idx="2761">
                  <c:v>3.0474471647845357E-2</c:v>
                </c:pt>
                <c:pt idx="2762">
                  <c:v>3.0469503061860137E-2</c:v>
                </c:pt>
                <c:pt idx="2763">
                  <c:v>3.0465556429793983E-2</c:v>
                </c:pt>
                <c:pt idx="2764">
                  <c:v>3.0461625828352157E-2</c:v>
                </c:pt>
                <c:pt idx="2765">
                  <c:v>3.0457711257524667E-2</c:v>
                </c:pt>
                <c:pt idx="2766">
                  <c:v>3.0453812717296525E-2</c:v>
                </c:pt>
                <c:pt idx="2767">
                  <c:v>3.0449930207645248E-2</c:v>
                </c:pt>
                <c:pt idx="2768">
                  <c:v>3.0443029667518093E-2</c:v>
                </c:pt>
                <c:pt idx="2769">
                  <c:v>3.044221328001584E-2</c:v>
                </c:pt>
                <c:pt idx="2770">
                  <c:v>3.0438378862005233E-2</c:v>
                </c:pt>
                <c:pt idx="2771">
                  <c:v>3.0434560474504047E-2</c:v>
                </c:pt>
                <c:pt idx="2772">
                  <c:v>3.0431231262044927E-2</c:v>
                </c:pt>
                <c:pt idx="2773">
                  <c:v>3.0426971790984969E-2</c:v>
                </c:pt>
                <c:pt idx="2774">
                  <c:v>3.0423201494929608E-2</c:v>
                </c:pt>
                <c:pt idx="2775">
                  <c:v>3.0420464621975736E-2</c:v>
                </c:pt>
                <c:pt idx="2776">
                  <c:v>3.0412561496576423E-2</c:v>
                </c:pt>
                <c:pt idx="2777">
                  <c:v>3.0410437318860121E-2</c:v>
                </c:pt>
                <c:pt idx="2778">
                  <c:v>3.0408280615040473E-2</c:v>
                </c:pt>
                <c:pt idx="2779">
                  <c:v>3.0405611190804652E-2</c:v>
                </c:pt>
                <c:pt idx="2780">
                  <c:v>3.0400916357466723E-2</c:v>
                </c:pt>
                <c:pt idx="2781">
                  <c:v>3.0394191923183957E-2</c:v>
                </c:pt>
                <c:pt idx="2782">
                  <c:v>3.0390547357252152E-2</c:v>
                </c:pt>
                <c:pt idx="2783">
                  <c:v>3.0386918817482809E-2</c:v>
                </c:pt>
                <c:pt idx="2784">
                  <c:v>3.0383306303859395E-2</c:v>
                </c:pt>
                <c:pt idx="2785">
                  <c:v>3.0379709816370885E-2</c:v>
                </c:pt>
                <c:pt idx="2786">
                  <c:v>3.037920831274743E-2</c:v>
                </c:pt>
                <c:pt idx="2787">
                  <c:v>3.0375646411301138E-2</c:v>
                </c:pt>
                <c:pt idx="2788">
                  <c:v>3.037312882695628E-2</c:v>
                </c:pt>
                <c:pt idx="2789">
                  <c:v>3.0368570699124964E-2</c:v>
                </c:pt>
                <c:pt idx="2790">
                  <c:v>3.0366086872051022E-2</c:v>
                </c:pt>
                <c:pt idx="2791">
                  <c:v>3.0361559107817404E-2</c:v>
                </c:pt>
                <c:pt idx="2792">
                  <c:v>3.0358077357446889E-2</c:v>
                </c:pt>
                <c:pt idx="2793">
                  <c:v>3.0354611637246065E-2</c:v>
                </c:pt>
                <c:pt idx="2794">
                  <c:v>3.0348062602721208E-2</c:v>
                </c:pt>
                <c:pt idx="2795">
                  <c:v>3.0347728287308529E-2</c:v>
                </c:pt>
                <c:pt idx="2796">
                  <c:v>3.0344310657534346E-2</c:v>
                </c:pt>
                <c:pt idx="2797">
                  <c:v>3.0340909057869903E-2</c:v>
                </c:pt>
                <c:pt idx="2798">
                  <c:v>3.0337523488312701E-2</c:v>
                </c:pt>
                <c:pt idx="2799">
                  <c:v>3.0335191636631335E-2</c:v>
                </c:pt>
                <c:pt idx="2800">
                  <c:v>3.0330800439425099E-2</c:v>
                </c:pt>
                <c:pt idx="2801">
                  <c:v>3.0327462960072216E-2</c:v>
                </c:pt>
                <c:pt idx="2802">
                  <c:v>3.032414151075663E-2</c:v>
                </c:pt>
                <c:pt idx="2803">
                  <c:v>3.0320836091473347E-2</c:v>
                </c:pt>
                <c:pt idx="2804">
                  <c:v>3.0317546702197384E-2</c:v>
                </c:pt>
                <c:pt idx="2805">
                  <c:v>3.031427334292125E-2</c:v>
                </c:pt>
                <c:pt idx="2806">
                  <c:v>3.0311016013632452E-2</c:v>
                </c:pt>
                <c:pt idx="2807">
                  <c:v>3.0308819344007695E-2</c:v>
                </c:pt>
                <c:pt idx="2808">
                  <c:v>3.0305594948573406E-2</c:v>
                </c:pt>
                <c:pt idx="2809">
                  <c:v>3.0301340205525218E-2</c:v>
                </c:pt>
                <c:pt idx="2810">
                  <c:v>3.0298146996035891E-2</c:v>
                </c:pt>
                <c:pt idx="2811">
                  <c:v>3.0294969816456463E-2</c:v>
                </c:pt>
                <c:pt idx="2812">
                  <c:v>3.0291808666781939E-2</c:v>
                </c:pt>
                <c:pt idx="2813">
                  <c:v>3.0289713440912927E-2</c:v>
                </c:pt>
                <c:pt idx="2814">
                  <c:v>3.0285534457090146E-2</c:v>
                </c:pt>
                <c:pt idx="2815">
                  <c:v>3.0282421397040404E-2</c:v>
                </c:pt>
                <c:pt idx="2816">
                  <c:v>3.0276167593338094E-2</c:v>
                </c:pt>
                <c:pt idx="2817">
                  <c:v>3.0276243366478273E-2</c:v>
                </c:pt>
                <c:pt idx="2818">
                  <c:v>3.0273178395935907E-2</c:v>
                </c:pt>
                <c:pt idx="2819">
                  <c:v>3.027012945520352E-2</c:v>
                </c:pt>
                <c:pt idx="2820">
                  <c:v>3.0267096544271122E-2</c:v>
                </c:pt>
                <c:pt idx="2821">
                  <c:v>3.0264079663121224E-2</c:v>
                </c:pt>
                <c:pt idx="2822">
                  <c:v>3.025959356107872E-2</c:v>
                </c:pt>
                <c:pt idx="2823">
                  <c:v>3.0258093990111479E-2</c:v>
                </c:pt>
                <c:pt idx="2824">
                  <c:v>3.0255762195061858E-2</c:v>
                </c:pt>
                <c:pt idx="2825">
                  <c:v>3.0253233006656482E-2</c:v>
                </c:pt>
                <c:pt idx="2826">
                  <c:v>3.0249235703659616E-2</c:v>
                </c:pt>
                <c:pt idx="2827">
                  <c:v>3.0247377370125669E-2</c:v>
                </c:pt>
                <c:pt idx="2828">
                  <c:v>3.024341032791783E-2</c:v>
                </c:pt>
                <c:pt idx="2829">
                  <c:v>3.0237403508846891E-2</c:v>
                </c:pt>
                <c:pt idx="2830">
                  <c:v>3.0236174945281174E-2</c:v>
                </c:pt>
                <c:pt idx="2831">
                  <c:v>3.0233319745735992E-2</c:v>
                </c:pt>
                <c:pt idx="2832">
                  <c:v>3.0231547447579776E-2</c:v>
                </c:pt>
                <c:pt idx="2833">
                  <c:v>3.0227657431464341E-2</c:v>
                </c:pt>
                <c:pt idx="2834">
                  <c:v>3.0221645123057632E-2</c:v>
                </c:pt>
                <c:pt idx="2835">
                  <c:v>3.0218851304778051E-2</c:v>
                </c:pt>
                <c:pt idx="2836">
                  <c:v>3.0216073510634774E-2</c:v>
                </c:pt>
                <c:pt idx="2837">
                  <c:v>3.0213311740622091E-2</c:v>
                </c:pt>
                <c:pt idx="2838">
                  <c:v>3.0213782140045286E-2</c:v>
                </c:pt>
                <c:pt idx="2839">
                  <c:v>3.0212128425656792E-2</c:v>
                </c:pt>
                <c:pt idx="2840">
                  <c:v>3.0208344220936729E-2</c:v>
                </c:pt>
                <c:pt idx="2841">
                  <c:v>3.0205649303648691E-2</c:v>
                </c:pt>
                <c:pt idx="2842">
                  <c:v>3.0204046431160647E-2</c:v>
                </c:pt>
                <c:pt idx="2843">
                  <c:v>3.0197715797373625E-2</c:v>
                </c:pt>
                <c:pt idx="2844">
                  <c:v>3.0197660720730938E-2</c:v>
                </c:pt>
                <c:pt idx="2845">
                  <c:v>3.0195029916034268E-2</c:v>
                </c:pt>
                <c:pt idx="2846">
                  <c:v>3.0193494851648017E-2</c:v>
                </c:pt>
                <c:pt idx="2847">
                  <c:v>3.018981639098775E-2</c:v>
                </c:pt>
                <c:pt idx="2848">
                  <c:v>3.01872336706147E-2</c:v>
                </c:pt>
                <c:pt idx="2849">
                  <c:v>3.0184666978334052E-2</c:v>
                </c:pt>
                <c:pt idx="2850">
                  <c:v>3.018211631412775E-2</c:v>
                </c:pt>
                <c:pt idx="2851">
                  <c:v>3.0180666040252324E-2</c:v>
                </c:pt>
                <c:pt idx="2852">
                  <c:v>3.0177063069902109E-2</c:v>
                </c:pt>
                <c:pt idx="2853">
                  <c:v>3.0174560489867296E-2</c:v>
                </c:pt>
                <c:pt idx="2854">
                  <c:v>3.0172073937865574E-2</c:v>
                </c:pt>
                <c:pt idx="2855">
                  <c:v>3.0169603413889211E-2</c:v>
                </c:pt>
                <c:pt idx="2856">
                  <c:v>3.0167148917925313E-2</c:v>
                </c:pt>
                <c:pt idx="2857">
                  <c:v>3.0164710449966149E-2</c:v>
                </c:pt>
                <c:pt idx="2858">
                  <c:v>3.0162288010003976E-2</c:v>
                </c:pt>
                <c:pt idx="2859">
                  <c:v>3.0162065495009865E-2</c:v>
                </c:pt>
                <c:pt idx="2860">
                  <c:v>3.0158584031982905E-2</c:v>
                </c:pt>
                <c:pt idx="2861">
                  <c:v>3.0155116857980807E-2</c:v>
                </c:pt>
                <c:pt idx="2862">
                  <c:v>3.0152758529898311E-2</c:v>
                </c:pt>
                <c:pt idx="2863">
                  <c:v>3.0150416229761237E-2</c:v>
                </c:pt>
                <c:pt idx="2864">
                  <c:v>3.0148089957559271E-2</c:v>
                </c:pt>
                <c:pt idx="2865">
                  <c:v>3.0146877276328032E-2</c:v>
                </c:pt>
                <c:pt idx="2866">
                  <c:v>3.0143485496919406E-2</c:v>
                </c:pt>
                <c:pt idx="2867">
                  <c:v>3.0141207308466037E-2</c:v>
                </c:pt>
                <c:pt idx="2868">
                  <c:v>3.0138945147909098E-2</c:v>
                </c:pt>
                <c:pt idx="2869">
                  <c:v>3.013669901524085E-2</c:v>
                </c:pt>
                <c:pt idx="2870">
                  <c:v>3.0134468910445824E-2</c:v>
                </c:pt>
                <c:pt idx="2871">
                  <c:v>3.0132254833531758E-2</c:v>
                </c:pt>
                <c:pt idx="2872">
                  <c:v>3.0130056784472864E-2</c:v>
                </c:pt>
                <c:pt idx="2873">
                  <c:v>3.0127874763266563E-2</c:v>
                </c:pt>
                <c:pt idx="2874">
                  <c:v>3.0123678944154797E-2</c:v>
                </c:pt>
                <c:pt idx="2875">
                  <c:v>3.0123558804370482E-2</c:v>
                </c:pt>
                <c:pt idx="2876">
                  <c:v>3.0123641263395194E-2</c:v>
                </c:pt>
                <c:pt idx="2877">
                  <c:v>3.0120416046108545E-2</c:v>
                </c:pt>
                <c:pt idx="2878">
                  <c:v>3.0117205074686165E-2</c:v>
                </c:pt>
                <c:pt idx="2879">
                  <c:v>3.0116230249716547E-2</c:v>
                </c:pt>
                <c:pt idx="2880">
                  <c:v>3.0113049393903447E-2</c:v>
                </c:pt>
                <c:pt idx="2881">
                  <c:v>3.0112108569876617E-2</c:v>
                </c:pt>
                <c:pt idx="2882">
                  <c:v>3.0108957824247461E-2</c:v>
                </c:pt>
                <c:pt idx="2883">
                  <c:v>3.0106936081069426E-2</c:v>
                </c:pt>
                <c:pt idx="2884">
                  <c:v>3.0106046268530695E-2</c:v>
                </c:pt>
                <c:pt idx="2885">
                  <c:v>3.0102940677974605E-2</c:v>
                </c:pt>
                <c:pt idx="2886">
                  <c:v>3.0097614367071861E-2</c:v>
                </c:pt>
                <c:pt idx="2887">
                  <c:v>3.0095653791569914E-2</c:v>
                </c:pt>
                <c:pt idx="2888">
                  <c:v>3.0093709239741782E-2</c:v>
                </c:pt>
                <c:pt idx="2889">
                  <c:v>3.0096263014768587E-2</c:v>
                </c:pt>
                <c:pt idx="2890">
                  <c:v>3.0093232655537056E-2</c:v>
                </c:pt>
                <c:pt idx="2891">
                  <c:v>3.009133913417928E-2</c:v>
                </c:pt>
                <c:pt idx="2892">
                  <c:v>3.0089461640514226E-2</c:v>
                </c:pt>
                <c:pt idx="2893">
                  <c:v>3.008654367578761E-2</c:v>
                </c:pt>
                <c:pt idx="2894">
                  <c:v>3.0082378425631946E-2</c:v>
                </c:pt>
                <c:pt idx="2895">
                  <c:v>3.0083925325590306E-2</c:v>
                </c:pt>
                <c:pt idx="2896">
                  <c:v>3.0082111942611043E-2</c:v>
                </c:pt>
                <c:pt idx="2897">
                  <c:v>3.0080314587288406E-2</c:v>
                </c:pt>
                <c:pt idx="2898">
                  <c:v>3.0080792873921073E-2</c:v>
                </c:pt>
                <c:pt idx="2899">
                  <c:v>3.0076767959574313E-2</c:v>
                </c:pt>
                <c:pt idx="2900">
                  <c:v>3.0075018687164806E-2</c:v>
                </c:pt>
                <c:pt idx="2901">
                  <c:v>3.007328544238614E-2</c:v>
                </c:pt>
                <c:pt idx="2902">
                  <c:v>3.0071568225217678E-2</c:v>
                </c:pt>
                <c:pt idx="2903">
                  <c:v>3.0069867035664579E-2</c:v>
                </c:pt>
                <c:pt idx="2904">
                  <c:v>3.0068181873711373E-2</c:v>
                </c:pt>
                <c:pt idx="2905">
                  <c:v>3.0066512739352902E-2</c:v>
                </c:pt>
                <c:pt idx="2906">
                  <c:v>3.006485963258659E-2</c:v>
                </c:pt>
                <c:pt idx="2907">
                  <c:v>3.0063222553402116E-2</c:v>
                </c:pt>
                <c:pt idx="2908">
                  <c:v>3.0061601501791751E-2</c:v>
                </c:pt>
                <c:pt idx="2909">
                  <c:v>3.0059996477750338E-2</c:v>
                </c:pt>
                <c:pt idx="2910">
                  <c:v>3.0058407481272715E-2</c:v>
                </c:pt>
                <c:pt idx="2911">
                  <c:v>3.0057977314515982E-2</c:v>
                </c:pt>
                <c:pt idx="2912">
                  <c:v>3.0056421388238164E-2</c:v>
                </c:pt>
                <c:pt idx="2913">
                  <c:v>3.0053736657140083E-2</c:v>
                </c:pt>
                <c:pt idx="2914">
                  <c:v>3.0052211770848009E-2</c:v>
                </c:pt>
                <c:pt idx="2915">
                  <c:v>3.0050702912081045E-2</c:v>
                </c:pt>
                <c:pt idx="2916">
                  <c:v>3.0049210080839196E-2</c:v>
                </c:pt>
                <c:pt idx="2917">
                  <c:v>3.0048882189987469E-2</c:v>
                </c:pt>
                <c:pt idx="2918">
                  <c:v>3.0046272500905056E-2</c:v>
                </c:pt>
                <c:pt idx="2919">
                  <c:v>3.004482775219729E-2</c:v>
                </c:pt>
                <c:pt idx="2920">
                  <c:v>3.0044551017334442E-2</c:v>
                </c:pt>
                <c:pt idx="2921">
                  <c:v>3.0041986337277164E-2</c:v>
                </c:pt>
                <c:pt idx="2922">
                  <c:v>3.0040589671051911E-2</c:v>
                </c:pt>
                <c:pt idx="2923">
                  <c:v>3.0039209032307935E-2</c:v>
                </c:pt>
                <c:pt idx="2924">
                  <c:v>3.0037844421040079E-2</c:v>
                </c:pt>
                <c:pt idx="2925">
                  <c:v>3.003649583724061E-2</c:v>
                </c:pt>
                <c:pt idx="2926">
                  <c:v>3.0033438641758892E-2</c:v>
                </c:pt>
                <c:pt idx="2927">
                  <c:v>3.0033846752036505E-2</c:v>
                </c:pt>
                <c:pt idx="2928">
                  <c:v>3.0034866896473392E-2</c:v>
                </c:pt>
                <c:pt idx="2929">
                  <c:v>3.0032423055794399E-2</c:v>
                </c:pt>
                <c:pt idx="2930">
                  <c:v>3.0029993330124627E-2</c:v>
                </c:pt>
                <c:pt idx="2931">
                  <c:v>3.0029904269989471E-2</c:v>
                </c:pt>
                <c:pt idx="2932">
                  <c:v>3.0027504519382613E-2</c:v>
                </c:pt>
                <c:pt idx="2933">
                  <c:v>3.0028615207648587E-2</c:v>
                </c:pt>
                <c:pt idx="2934">
                  <c:v>3.0025079818354266E-2</c:v>
                </c:pt>
                <c:pt idx="2935">
                  <c:v>3.0023891508962737E-2</c:v>
                </c:pt>
                <c:pt idx="2936">
                  <c:v>3.0023887808890148E-2</c:v>
                </c:pt>
                <c:pt idx="2937">
                  <c:v>3.0021562972432692E-2</c:v>
                </c:pt>
                <c:pt idx="2938">
                  <c:v>3.0016911694727026E-2</c:v>
                </c:pt>
                <c:pt idx="2939">
                  <c:v>3.0015784342218535E-2</c:v>
                </c:pt>
                <c:pt idx="2940">
                  <c:v>3.0014673013095523E-2</c:v>
                </c:pt>
                <c:pt idx="2941">
                  <c:v>3.0013577707349422E-2</c:v>
                </c:pt>
                <c:pt idx="2942">
                  <c:v>3.0016022110567878E-2</c:v>
                </c:pt>
                <c:pt idx="2943">
                  <c:v>3.0014962020353558E-2</c:v>
                </c:pt>
                <c:pt idx="2944">
                  <c:v>3.001509496571908E-2</c:v>
                </c:pt>
                <c:pt idx="2945">
                  <c:v>3.0012889922051585E-2</c:v>
                </c:pt>
                <c:pt idx="2946">
                  <c:v>3.0011877913956195E-2</c:v>
                </c:pt>
                <c:pt idx="2947">
                  <c:v>3.0012062123349337E-2</c:v>
                </c:pt>
                <c:pt idx="2948">
                  <c:v>3.000816750788271E-2</c:v>
                </c:pt>
                <c:pt idx="2949">
                  <c:v>3.0008938053827955E-2</c:v>
                </c:pt>
                <c:pt idx="2950">
                  <c:v>3.0009173539252421E-2</c:v>
                </c:pt>
                <c:pt idx="2951">
                  <c:v>3.0007058283841835E-2</c:v>
                </c:pt>
                <c:pt idx="2952">
                  <c:v>3.0006142439863114E-2</c:v>
                </c:pt>
                <c:pt idx="2953">
                  <c:v>3.0005242623223852E-2</c:v>
                </c:pt>
                <c:pt idx="2954">
                  <c:v>3.0004358833924043E-2</c:v>
                </c:pt>
                <c:pt idx="2955">
                  <c:v>3.0003491071958533E-2</c:v>
                </c:pt>
                <c:pt idx="2956">
                  <c:v>3.0002639337317009E-2</c:v>
                </c:pt>
                <c:pt idx="2957">
                  <c:v>3.0001803630004622E-2</c:v>
                </c:pt>
                <c:pt idx="2958">
                  <c:v>3.0000983950008487E-2</c:v>
                </c:pt>
                <c:pt idx="2959">
                  <c:v>3.0001373335472037E-2</c:v>
                </c:pt>
                <c:pt idx="2960">
                  <c:v>2.9999392671975274E-2</c:v>
                </c:pt>
                <c:pt idx="2961">
                  <c:v>2.9998621073927884E-2</c:v>
                </c:pt>
                <c:pt idx="2962">
                  <c:v>2.9997865503191584E-2</c:v>
                </c:pt>
                <c:pt idx="2963">
                  <c:v>2.9998323323306708E-2</c:v>
                </c:pt>
                <c:pt idx="2964">
                  <c:v>2.999760089186454E-2</c:v>
                </c:pt>
                <c:pt idx="2965">
                  <c:v>2.9995694954792502E-2</c:v>
                </c:pt>
                <c:pt idx="2966">
                  <c:v>2.9995003493261889E-2</c:v>
                </c:pt>
                <c:pt idx="2967">
                  <c:v>2.9994328059019158E-2</c:v>
                </c:pt>
                <c:pt idx="2968">
                  <c:v>2.9990061275039386E-2</c:v>
                </c:pt>
                <c:pt idx="2969">
                  <c:v>2.9994229164127528E-2</c:v>
                </c:pt>
                <c:pt idx="2970">
                  <c:v>2.9992397920031166E-2</c:v>
                </c:pt>
                <c:pt idx="2971">
                  <c:v>2.9991786594939972E-2</c:v>
                </c:pt>
                <c:pt idx="2972">
                  <c:v>2.999360581624089E-2</c:v>
                </c:pt>
                <c:pt idx="2973">
                  <c:v>2.9990612026592874E-2</c:v>
                </c:pt>
                <c:pt idx="2974">
                  <c:v>2.9991258151898792E-2</c:v>
                </c:pt>
                <c:pt idx="2975">
                  <c:v>2.9989501567348316E-2</c:v>
                </c:pt>
                <c:pt idx="2976">
                  <c:v>2.9988970378634655E-2</c:v>
                </c:pt>
                <c:pt idx="2977">
                  <c:v>2.9988455217188251E-2</c:v>
                </c:pt>
                <c:pt idx="2978">
                  <c:v>2.9987956083009099E-2</c:v>
                </c:pt>
                <c:pt idx="2979">
                  <c:v>2.9987472976097204E-2</c:v>
                </c:pt>
                <c:pt idx="2980">
                  <c:v>2.9987005896444832E-2</c:v>
                </c:pt>
                <c:pt idx="2981">
                  <c:v>2.9986554844051976E-2</c:v>
                </c:pt>
                <c:pt idx="2982">
                  <c:v>2.998611981891864E-2</c:v>
                </c:pt>
                <c:pt idx="2983">
                  <c:v>2.9985700821044823E-2</c:v>
                </c:pt>
                <c:pt idx="2984">
                  <c:v>2.9986518272732132E-2</c:v>
                </c:pt>
                <c:pt idx="2985">
                  <c:v>2.9984749980492723E-2</c:v>
                </c:pt>
                <c:pt idx="2986">
                  <c:v>2.9984385933199766E-2</c:v>
                </c:pt>
                <c:pt idx="2987">
                  <c:v>2.9984037913158595E-2</c:v>
                </c:pt>
                <c:pt idx="2988">
                  <c:v>2.9983659801167847E-2</c:v>
                </c:pt>
                <c:pt idx="2989">
                  <c:v>2.9983389954818709E-2</c:v>
                </c:pt>
                <c:pt idx="2990">
                  <c:v>2.9980635343744382E-2</c:v>
                </c:pt>
                <c:pt idx="2991">
                  <c:v>2.9980349190695539E-2</c:v>
                </c:pt>
                <c:pt idx="2992">
                  <c:v>2.9980041780559571E-2</c:v>
                </c:pt>
                <c:pt idx="2993">
                  <c:v>2.9979824958311141E-2</c:v>
                </c:pt>
                <c:pt idx="2994">
                  <c:v>2.9982050535747568E-2</c:v>
                </c:pt>
                <c:pt idx="2995">
                  <c:v>2.9981830733658781E-2</c:v>
                </c:pt>
                <c:pt idx="2996">
                  <c:v>2.9981626958808884E-2</c:v>
                </c:pt>
                <c:pt idx="2997">
                  <c:v>2.9981439211197877E-2</c:v>
                </c:pt>
                <c:pt idx="2998">
                  <c:v>2.9980031060931722E-2</c:v>
                </c:pt>
                <c:pt idx="2999">
                  <c:v>2.9979832372463378E-2</c:v>
                </c:pt>
                <c:pt idx="3000">
                  <c:v>2.997973343704885E-2</c:v>
                </c:pt>
                <c:pt idx="3001">
                  <c:v>2.9979608663958324E-2</c:v>
                </c:pt>
                <c:pt idx="3002">
                  <c:v>2.9979499916771069E-2</c:v>
                </c:pt>
                <c:pt idx="3003">
                  <c:v>2.9980637522394792E-2</c:v>
                </c:pt>
                <c:pt idx="3004">
                  <c:v>2.9980573740545313E-2</c:v>
                </c:pt>
                <c:pt idx="3005">
                  <c:v>2.998051421081965E-2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148992"/>
        <c:axId val="300253184"/>
      </c:lineChart>
      <c:dateAx>
        <c:axId val="300148992"/>
        <c:scaling>
          <c:orientation val="minMax"/>
          <c:max val="42547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0025318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00253184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00148992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41816</c:v>
                </c:pt>
                <c:pt idx="1">
                  <c:v>41817</c:v>
                </c:pt>
                <c:pt idx="2">
                  <c:v>41820</c:v>
                </c:pt>
                <c:pt idx="3">
                  <c:v>41821</c:v>
                </c:pt>
                <c:pt idx="4">
                  <c:v>41822</c:v>
                </c:pt>
                <c:pt idx="5">
                  <c:v>41823</c:v>
                </c:pt>
                <c:pt idx="6">
                  <c:v>41824</c:v>
                </c:pt>
                <c:pt idx="7">
                  <c:v>41827</c:v>
                </c:pt>
                <c:pt idx="8">
                  <c:v>41828</c:v>
                </c:pt>
                <c:pt idx="9">
                  <c:v>41829</c:v>
                </c:pt>
                <c:pt idx="10">
                  <c:v>41830</c:v>
                </c:pt>
                <c:pt idx="11">
                  <c:v>41831</c:v>
                </c:pt>
                <c:pt idx="12">
                  <c:v>41834</c:v>
                </c:pt>
                <c:pt idx="13">
                  <c:v>41835</c:v>
                </c:pt>
                <c:pt idx="14">
                  <c:v>41836</c:v>
                </c:pt>
                <c:pt idx="15">
                  <c:v>41837</c:v>
                </c:pt>
                <c:pt idx="16">
                  <c:v>41838</c:v>
                </c:pt>
                <c:pt idx="17">
                  <c:v>41841</c:v>
                </c:pt>
                <c:pt idx="18">
                  <c:v>41842</c:v>
                </c:pt>
                <c:pt idx="19">
                  <c:v>41843</c:v>
                </c:pt>
                <c:pt idx="20">
                  <c:v>41844</c:v>
                </c:pt>
                <c:pt idx="21">
                  <c:v>41845</c:v>
                </c:pt>
                <c:pt idx="22">
                  <c:v>41848</c:v>
                </c:pt>
                <c:pt idx="23">
                  <c:v>41849</c:v>
                </c:pt>
                <c:pt idx="24">
                  <c:v>41850</c:v>
                </c:pt>
                <c:pt idx="25">
                  <c:v>41851</c:v>
                </c:pt>
                <c:pt idx="26">
                  <c:v>41852</c:v>
                </c:pt>
                <c:pt idx="27">
                  <c:v>41855</c:v>
                </c:pt>
                <c:pt idx="28">
                  <c:v>41856</c:v>
                </c:pt>
                <c:pt idx="29">
                  <c:v>41857</c:v>
                </c:pt>
                <c:pt idx="30">
                  <c:v>41858</c:v>
                </c:pt>
                <c:pt idx="31">
                  <c:v>41859</c:v>
                </c:pt>
                <c:pt idx="32">
                  <c:v>41862</c:v>
                </c:pt>
                <c:pt idx="33">
                  <c:v>41863</c:v>
                </c:pt>
                <c:pt idx="34">
                  <c:v>41864</c:v>
                </c:pt>
                <c:pt idx="35">
                  <c:v>41865</c:v>
                </c:pt>
                <c:pt idx="36">
                  <c:v>41866</c:v>
                </c:pt>
                <c:pt idx="37">
                  <c:v>41869</c:v>
                </c:pt>
                <c:pt idx="38">
                  <c:v>41870</c:v>
                </c:pt>
                <c:pt idx="39">
                  <c:v>41871</c:v>
                </c:pt>
                <c:pt idx="40">
                  <c:v>41872</c:v>
                </c:pt>
                <c:pt idx="41">
                  <c:v>41873</c:v>
                </c:pt>
                <c:pt idx="42">
                  <c:v>41877</c:v>
                </c:pt>
                <c:pt idx="43">
                  <c:v>41878</c:v>
                </c:pt>
                <c:pt idx="44">
                  <c:v>41879</c:v>
                </c:pt>
                <c:pt idx="45">
                  <c:v>41880</c:v>
                </c:pt>
                <c:pt idx="46">
                  <c:v>41883</c:v>
                </c:pt>
                <c:pt idx="47">
                  <c:v>41884</c:v>
                </c:pt>
                <c:pt idx="48">
                  <c:v>41885</c:v>
                </c:pt>
                <c:pt idx="49">
                  <c:v>41886</c:v>
                </c:pt>
                <c:pt idx="50">
                  <c:v>41887</c:v>
                </c:pt>
                <c:pt idx="51">
                  <c:v>41890</c:v>
                </c:pt>
                <c:pt idx="52">
                  <c:v>41891</c:v>
                </c:pt>
                <c:pt idx="53">
                  <c:v>41892</c:v>
                </c:pt>
                <c:pt idx="54">
                  <c:v>41893</c:v>
                </c:pt>
                <c:pt idx="55">
                  <c:v>41894</c:v>
                </c:pt>
                <c:pt idx="56">
                  <c:v>41897</c:v>
                </c:pt>
                <c:pt idx="57">
                  <c:v>41898</c:v>
                </c:pt>
                <c:pt idx="58">
                  <c:v>41899</c:v>
                </c:pt>
                <c:pt idx="59">
                  <c:v>41900</c:v>
                </c:pt>
                <c:pt idx="60">
                  <c:v>41901</c:v>
                </c:pt>
                <c:pt idx="61">
                  <c:v>41904</c:v>
                </c:pt>
                <c:pt idx="62">
                  <c:v>41905</c:v>
                </c:pt>
                <c:pt idx="63">
                  <c:v>41906</c:v>
                </c:pt>
                <c:pt idx="64">
                  <c:v>41907</c:v>
                </c:pt>
                <c:pt idx="65">
                  <c:v>41908</c:v>
                </c:pt>
                <c:pt idx="66">
                  <c:v>41911</c:v>
                </c:pt>
                <c:pt idx="67">
                  <c:v>41912</c:v>
                </c:pt>
                <c:pt idx="68">
                  <c:v>41913</c:v>
                </c:pt>
                <c:pt idx="69">
                  <c:v>41914</c:v>
                </c:pt>
                <c:pt idx="70">
                  <c:v>41915</c:v>
                </c:pt>
                <c:pt idx="71">
                  <c:v>41918</c:v>
                </c:pt>
                <c:pt idx="72">
                  <c:v>41919</c:v>
                </c:pt>
                <c:pt idx="73">
                  <c:v>41920</c:v>
                </c:pt>
                <c:pt idx="74">
                  <c:v>41921</c:v>
                </c:pt>
                <c:pt idx="75">
                  <c:v>41922</c:v>
                </c:pt>
                <c:pt idx="76">
                  <c:v>41925</c:v>
                </c:pt>
                <c:pt idx="77">
                  <c:v>41926</c:v>
                </c:pt>
                <c:pt idx="78">
                  <c:v>41927</c:v>
                </c:pt>
                <c:pt idx="79">
                  <c:v>41928</c:v>
                </c:pt>
                <c:pt idx="80">
                  <c:v>41929</c:v>
                </c:pt>
                <c:pt idx="81">
                  <c:v>41932</c:v>
                </c:pt>
                <c:pt idx="82">
                  <c:v>41933</c:v>
                </c:pt>
                <c:pt idx="83">
                  <c:v>41934</c:v>
                </c:pt>
                <c:pt idx="84">
                  <c:v>41935</c:v>
                </c:pt>
                <c:pt idx="85">
                  <c:v>41936</c:v>
                </c:pt>
                <c:pt idx="86">
                  <c:v>41939</c:v>
                </c:pt>
                <c:pt idx="87">
                  <c:v>41940</c:v>
                </c:pt>
                <c:pt idx="88">
                  <c:v>41941</c:v>
                </c:pt>
                <c:pt idx="89">
                  <c:v>41942</c:v>
                </c:pt>
                <c:pt idx="90">
                  <c:v>41943</c:v>
                </c:pt>
                <c:pt idx="91">
                  <c:v>41946</c:v>
                </c:pt>
                <c:pt idx="92">
                  <c:v>41947</c:v>
                </c:pt>
                <c:pt idx="93">
                  <c:v>41948</c:v>
                </c:pt>
                <c:pt idx="94">
                  <c:v>41949</c:v>
                </c:pt>
                <c:pt idx="95">
                  <c:v>41950</c:v>
                </c:pt>
                <c:pt idx="96">
                  <c:v>41953</c:v>
                </c:pt>
                <c:pt idx="97">
                  <c:v>41954</c:v>
                </c:pt>
                <c:pt idx="98">
                  <c:v>41955</c:v>
                </c:pt>
                <c:pt idx="99">
                  <c:v>41956</c:v>
                </c:pt>
                <c:pt idx="100">
                  <c:v>41957</c:v>
                </c:pt>
                <c:pt idx="101">
                  <c:v>41960</c:v>
                </c:pt>
                <c:pt idx="102">
                  <c:v>41961</c:v>
                </c:pt>
                <c:pt idx="103">
                  <c:v>41962</c:v>
                </c:pt>
                <c:pt idx="104">
                  <c:v>41963</c:v>
                </c:pt>
                <c:pt idx="105">
                  <c:v>41964</c:v>
                </c:pt>
                <c:pt idx="106">
                  <c:v>41967</c:v>
                </c:pt>
                <c:pt idx="107">
                  <c:v>41968</c:v>
                </c:pt>
                <c:pt idx="108">
                  <c:v>41969</c:v>
                </c:pt>
                <c:pt idx="109">
                  <c:v>41970</c:v>
                </c:pt>
                <c:pt idx="110">
                  <c:v>41971</c:v>
                </c:pt>
                <c:pt idx="111">
                  <c:v>41974</c:v>
                </c:pt>
                <c:pt idx="112">
                  <c:v>41975</c:v>
                </c:pt>
                <c:pt idx="113">
                  <c:v>41976</c:v>
                </c:pt>
                <c:pt idx="114">
                  <c:v>41977</c:v>
                </c:pt>
                <c:pt idx="115">
                  <c:v>41978</c:v>
                </c:pt>
                <c:pt idx="116">
                  <c:v>41981</c:v>
                </c:pt>
                <c:pt idx="117">
                  <c:v>41982</c:v>
                </c:pt>
                <c:pt idx="118">
                  <c:v>41983</c:v>
                </c:pt>
                <c:pt idx="119">
                  <c:v>41984</c:v>
                </c:pt>
                <c:pt idx="120">
                  <c:v>41985</c:v>
                </c:pt>
                <c:pt idx="121">
                  <c:v>41988</c:v>
                </c:pt>
                <c:pt idx="122">
                  <c:v>41989</c:v>
                </c:pt>
                <c:pt idx="123">
                  <c:v>41990</c:v>
                </c:pt>
                <c:pt idx="124">
                  <c:v>41991</c:v>
                </c:pt>
                <c:pt idx="125">
                  <c:v>41992</c:v>
                </c:pt>
                <c:pt idx="126">
                  <c:v>41995</c:v>
                </c:pt>
                <c:pt idx="127">
                  <c:v>41996</c:v>
                </c:pt>
                <c:pt idx="128">
                  <c:v>41997</c:v>
                </c:pt>
                <c:pt idx="129">
                  <c:v>42002</c:v>
                </c:pt>
                <c:pt idx="130">
                  <c:v>42003</c:v>
                </c:pt>
                <c:pt idx="131">
                  <c:v>42004</c:v>
                </c:pt>
                <c:pt idx="132">
                  <c:v>42006</c:v>
                </c:pt>
                <c:pt idx="133">
                  <c:v>42009</c:v>
                </c:pt>
                <c:pt idx="134">
                  <c:v>42010</c:v>
                </c:pt>
                <c:pt idx="135">
                  <c:v>42011</c:v>
                </c:pt>
                <c:pt idx="136">
                  <c:v>42012</c:v>
                </c:pt>
                <c:pt idx="137">
                  <c:v>42013</c:v>
                </c:pt>
                <c:pt idx="138">
                  <c:v>42016</c:v>
                </c:pt>
                <c:pt idx="139">
                  <c:v>42017</c:v>
                </c:pt>
                <c:pt idx="140">
                  <c:v>42018</c:v>
                </c:pt>
                <c:pt idx="141">
                  <c:v>42019</c:v>
                </c:pt>
                <c:pt idx="142">
                  <c:v>42020</c:v>
                </c:pt>
                <c:pt idx="143">
                  <c:v>42023</c:v>
                </c:pt>
                <c:pt idx="144">
                  <c:v>42024</c:v>
                </c:pt>
                <c:pt idx="145">
                  <c:v>42025</c:v>
                </c:pt>
                <c:pt idx="146">
                  <c:v>42026</c:v>
                </c:pt>
                <c:pt idx="147">
                  <c:v>42027</c:v>
                </c:pt>
                <c:pt idx="148">
                  <c:v>42030</c:v>
                </c:pt>
                <c:pt idx="149">
                  <c:v>42031</c:v>
                </c:pt>
                <c:pt idx="150">
                  <c:v>42032</c:v>
                </c:pt>
                <c:pt idx="151">
                  <c:v>42033</c:v>
                </c:pt>
                <c:pt idx="152">
                  <c:v>42034</c:v>
                </c:pt>
                <c:pt idx="153">
                  <c:v>42037</c:v>
                </c:pt>
                <c:pt idx="154">
                  <c:v>42038</c:v>
                </c:pt>
                <c:pt idx="155">
                  <c:v>42039</c:v>
                </c:pt>
                <c:pt idx="156">
                  <c:v>42040</c:v>
                </c:pt>
                <c:pt idx="157">
                  <c:v>42041</c:v>
                </c:pt>
                <c:pt idx="158">
                  <c:v>42044</c:v>
                </c:pt>
                <c:pt idx="159">
                  <c:v>42045</c:v>
                </c:pt>
                <c:pt idx="160">
                  <c:v>42046</c:v>
                </c:pt>
                <c:pt idx="161">
                  <c:v>42047</c:v>
                </c:pt>
                <c:pt idx="162">
                  <c:v>42048</c:v>
                </c:pt>
                <c:pt idx="163">
                  <c:v>42051</c:v>
                </c:pt>
                <c:pt idx="164">
                  <c:v>42052</c:v>
                </c:pt>
                <c:pt idx="165">
                  <c:v>42053</c:v>
                </c:pt>
                <c:pt idx="166">
                  <c:v>42054</c:v>
                </c:pt>
                <c:pt idx="167">
                  <c:v>42055</c:v>
                </c:pt>
                <c:pt idx="168">
                  <c:v>42058</c:v>
                </c:pt>
                <c:pt idx="169">
                  <c:v>42059</c:v>
                </c:pt>
                <c:pt idx="170">
                  <c:v>42060</c:v>
                </c:pt>
                <c:pt idx="171">
                  <c:v>42061</c:v>
                </c:pt>
                <c:pt idx="172">
                  <c:v>42062</c:v>
                </c:pt>
                <c:pt idx="173">
                  <c:v>42065</c:v>
                </c:pt>
                <c:pt idx="174">
                  <c:v>42066</c:v>
                </c:pt>
                <c:pt idx="175">
                  <c:v>42067</c:v>
                </c:pt>
                <c:pt idx="176">
                  <c:v>42068</c:v>
                </c:pt>
                <c:pt idx="177">
                  <c:v>42069</c:v>
                </c:pt>
                <c:pt idx="178">
                  <c:v>42072</c:v>
                </c:pt>
                <c:pt idx="179">
                  <c:v>42073</c:v>
                </c:pt>
                <c:pt idx="180">
                  <c:v>42074</c:v>
                </c:pt>
                <c:pt idx="181">
                  <c:v>42075</c:v>
                </c:pt>
                <c:pt idx="182">
                  <c:v>42076</c:v>
                </c:pt>
                <c:pt idx="183">
                  <c:v>42079</c:v>
                </c:pt>
                <c:pt idx="184">
                  <c:v>42080</c:v>
                </c:pt>
                <c:pt idx="185">
                  <c:v>42081</c:v>
                </c:pt>
                <c:pt idx="186">
                  <c:v>42082</c:v>
                </c:pt>
                <c:pt idx="187">
                  <c:v>42083</c:v>
                </c:pt>
                <c:pt idx="188">
                  <c:v>42086</c:v>
                </c:pt>
                <c:pt idx="189">
                  <c:v>42087</c:v>
                </c:pt>
                <c:pt idx="190">
                  <c:v>42088</c:v>
                </c:pt>
                <c:pt idx="191">
                  <c:v>42089</c:v>
                </c:pt>
                <c:pt idx="192">
                  <c:v>42090</c:v>
                </c:pt>
                <c:pt idx="193">
                  <c:v>42093</c:v>
                </c:pt>
                <c:pt idx="194">
                  <c:v>42094</c:v>
                </c:pt>
                <c:pt idx="195">
                  <c:v>42095</c:v>
                </c:pt>
                <c:pt idx="196">
                  <c:v>42096</c:v>
                </c:pt>
                <c:pt idx="197">
                  <c:v>42101</c:v>
                </c:pt>
                <c:pt idx="198">
                  <c:v>42102</c:v>
                </c:pt>
                <c:pt idx="199">
                  <c:v>42103</c:v>
                </c:pt>
                <c:pt idx="200">
                  <c:v>42104</c:v>
                </c:pt>
                <c:pt idx="201">
                  <c:v>42107</c:v>
                </c:pt>
                <c:pt idx="202">
                  <c:v>42108</c:v>
                </c:pt>
                <c:pt idx="203">
                  <c:v>42109</c:v>
                </c:pt>
                <c:pt idx="204">
                  <c:v>42110</c:v>
                </c:pt>
                <c:pt idx="205">
                  <c:v>42111</c:v>
                </c:pt>
                <c:pt idx="206">
                  <c:v>42114</c:v>
                </c:pt>
                <c:pt idx="207">
                  <c:v>42115</c:v>
                </c:pt>
                <c:pt idx="208">
                  <c:v>42116</c:v>
                </c:pt>
                <c:pt idx="209">
                  <c:v>42117</c:v>
                </c:pt>
                <c:pt idx="210">
                  <c:v>42118</c:v>
                </c:pt>
                <c:pt idx="211">
                  <c:v>42121</c:v>
                </c:pt>
                <c:pt idx="212">
                  <c:v>42122</c:v>
                </c:pt>
                <c:pt idx="213">
                  <c:v>42123</c:v>
                </c:pt>
                <c:pt idx="214">
                  <c:v>42124</c:v>
                </c:pt>
                <c:pt idx="215">
                  <c:v>42125</c:v>
                </c:pt>
                <c:pt idx="216">
                  <c:v>42129</c:v>
                </c:pt>
                <c:pt idx="217">
                  <c:v>42130</c:v>
                </c:pt>
                <c:pt idx="218">
                  <c:v>42131</c:v>
                </c:pt>
                <c:pt idx="219">
                  <c:v>42132</c:v>
                </c:pt>
                <c:pt idx="220">
                  <c:v>42135</c:v>
                </c:pt>
                <c:pt idx="221">
                  <c:v>42136</c:v>
                </c:pt>
                <c:pt idx="222">
                  <c:v>42137</c:v>
                </c:pt>
                <c:pt idx="223">
                  <c:v>42138</c:v>
                </c:pt>
                <c:pt idx="224">
                  <c:v>42139</c:v>
                </c:pt>
                <c:pt idx="225">
                  <c:v>42142</c:v>
                </c:pt>
                <c:pt idx="226">
                  <c:v>42143</c:v>
                </c:pt>
                <c:pt idx="227">
                  <c:v>42144</c:v>
                </c:pt>
                <c:pt idx="228">
                  <c:v>42145</c:v>
                </c:pt>
                <c:pt idx="229">
                  <c:v>42146</c:v>
                </c:pt>
                <c:pt idx="230">
                  <c:v>42150</c:v>
                </c:pt>
                <c:pt idx="231">
                  <c:v>42151</c:v>
                </c:pt>
                <c:pt idx="232">
                  <c:v>42152</c:v>
                </c:pt>
                <c:pt idx="233">
                  <c:v>42153</c:v>
                </c:pt>
                <c:pt idx="234">
                  <c:v>42156</c:v>
                </c:pt>
                <c:pt idx="235">
                  <c:v>42157</c:v>
                </c:pt>
                <c:pt idx="236">
                  <c:v>42158</c:v>
                </c:pt>
                <c:pt idx="237">
                  <c:v>42159</c:v>
                </c:pt>
                <c:pt idx="238">
                  <c:v>42160</c:v>
                </c:pt>
                <c:pt idx="239">
                  <c:v>42163</c:v>
                </c:pt>
                <c:pt idx="240">
                  <c:v>42164</c:v>
                </c:pt>
                <c:pt idx="241">
                  <c:v>42165</c:v>
                </c:pt>
                <c:pt idx="242">
                  <c:v>42166</c:v>
                </c:pt>
                <c:pt idx="243">
                  <c:v>42167</c:v>
                </c:pt>
                <c:pt idx="244">
                  <c:v>42170</c:v>
                </c:pt>
                <c:pt idx="245">
                  <c:v>42171</c:v>
                </c:pt>
                <c:pt idx="246">
                  <c:v>42172</c:v>
                </c:pt>
                <c:pt idx="247">
                  <c:v>42173</c:v>
                </c:pt>
                <c:pt idx="248">
                  <c:v>42174</c:v>
                </c:pt>
                <c:pt idx="249">
                  <c:v>42177</c:v>
                </c:pt>
                <c:pt idx="250">
                  <c:v>42178</c:v>
                </c:pt>
                <c:pt idx="251">
                  <c:v>42179</c:v>
                </c:pt>
                <c:pt idx="252">
                  <c:v>42180</c:v>
                </c:pt>
                <c:pt idx="253">
                  <c:v>42181</c:v>
                </c:pt>
                <c:pt idx="254">
                  <c:v>42184</c:v>
                </c:pt>
                <c:pt idx="255">
                  <c:v>42185</c:v>
                </c:pt>
                <c:pt idx="256">
                  <c:v>42186</c:v>
                </c:pt>
                <c:pt idx="257">
                  <c:v>42187</c:v>
                </c:pt>
                <c:pt idx="258">
                  <c:v>42188</c:v>
                </c:pt>
                <c:pt idx="259">
                  <c:v>42191</c:v>
                </c:pt>
                <c:pt idx="260">
                  <c:v>42192</c:v>
                </c:pt>
                <c:pt idx="261">
                  <c:v>42193</c:v>
                </c:pt>
                <c:pt idx="262">
                  <c:v>42194</c:v>
                </c:pt>
                <c:pt idx="263">
                  <c:v>42195</c:v>
                </c:pt>
                <c:pt idx="264">
                  <c:v>42198</c:v>
                </c:pt>
                <c:pt idx="265">
                  <c:v>42199</c:v>
                </c:pt>
                <c:pt idx="266">
                  <c:v>42200</c:v>
                </c:pt>
                <c:pt idx="267">
                  <c:v>42201</c:v>
                </c:pt>
                <c:pt idx="268">
                  <c:v>42202</c:v>
                </c:pt>
                <c:pt idx="269">
                  <c:v>42205</c:v>
                </c:pt>
                <c:pt idx="270">
                  <c:v>42206</c:v>
                </c:pt>
                <c:pt idx="271">
                  <c:v>42207</c:v>
                </c:pt>
                <c:pt idx="272">
                  <c:v>42208</c:v>
                </c:pt>
                <c:pt idx="273">
                  <c:v>42209</c:v>
                </c:pt>
                <c:pt idx="274">
                  <c:v>42212</c:v>
                </c:pt>
                <c:pt idx="275">
                  <c:v>42213</c:v>
                </c:pt>
                <c:pt idx="276">
                  <c:v>42214</c:v>
                </c:pt>
                <c:pt idx="277">
                  <c:v>42215</c:v>
                </c:pt>
                <c:pt idx="278">
                  <c:v>42216</c:v>
                </c:pt>
                <c:pt idx="279">
                  <c:v>42219</c:v>
                </c:pt>
                <c:pt idx="280">
                  <c:v>42220</c:v>
                </c:pt>
                <c:pt idx="281">
                  <c:v>42221</c:v>
                </c:pt>
                <c:pt idx="282">
                  <c:v>42222</c:v>
                </c:pt>
                <c:pt idx="283">
                  <c:v>42223</c:v>
                </c:pt>
                <c:pt idx="284">
                  <c:v>42226</c:v>
                </c:pt>
                <c:pt idx="285">
                  <c:v>42227</c:v>
                </c:pt>
                <c:pt idx="286">
                  <c:v>42228</c:v>
                </c:pt>
                <c:pt idx="287">
                  <c:v>42229</c:v>
                </c:pt>
                <c:pt idx="288">
                  <c:v>42230</c:v>
                </c:pt>
                <c:pt idx="289">
                  <c:v>42233</c:v>
                </c:pt>
                <c:pt idx="290">
                  <c:v>42234</c:v>
                </c:pt>
                <c:pt idx="291">
                  <c:v>42235</c:v>
                </c:pt>
                <c:pt idx="292">
                  <c:v>42236</c:v>
                </c:pt>
                <c:pt idx="293">
                  <c:v>42237</c:v>
                </c:pt>
                <c:pt idx="294">
                  <c:v>42240</c:v>
                </c:pt>
                <c:pt idx="295">
                  <c:v>42241</c:v>
                </c:pt>
                <c:pt idx="296">
                  <c:v>42242</c:v>
                </c:pt>
                <c:pt idx="297">
                  <c:v>42243</c:v>
                </c:pt>
                <c:pt idx="298">
                  <c:v>42244</c:v>
                </c:pt>
                <c:pt idx="299">
                  <c:v>42248</c:v>
                </c:pt>
                <c:pt idx="300">
                  <c:v>42249</c:v>
                </c:pt>
                <c:pt idx="301">
                  <c:v>42250</c:v>
                </c:pt>
                <c:pt idx="302">
                  <c:v>42251</c:v>
                </c:pt>
                <c:pt idx="303">
                  <c:v>42254</c:v>
                </c:pt>
                <c:pt idx="304">
                  <c:v>42255</c:v>
                </c:pt>
                <c:pt idx="305">
                  <c:v>42256</c:v>
                </c:pt>
                <c:pt idx="306">
                  <c:v>42257</c:v>
                </c:pt>
                <c:pt idx="307">
                  <c:v>42258</c:v>
                </c:pt>
                <c:pt idx="308">
                  <c:v>42261</c:v>
                </c:pt>
                <c:pt idx="309">
                  <c:v>42262</c:v>
                </c:pt>
                <c:pt idx="310">
                  <c:v>42263</c:v>
                </c:pt>
                <c:pt idx="311">
                  <c:v>42264</c:v>
                </c:pt>
                <c:pt idx="312">
                  <c:v>42265</c:v>
                </c:pt>
                <c:pt idx="313">
                  <c:v>42268</c:v>
                </c:pt>
                <c:pt idx="314">
                  <c:v>42269</c:v>
                </c:pt>
                <c:pt idx="315">
                  <c:v>42270</c:v>
                </c:pt>
                <c:pt idx="316">
                  <c:v>42271</c:v>
                </c:pt>
                <c:pt idx="317">
                  <c:v>42272</c:v>
                </c:pt>
                <c:pt idx="318">
                  <c:v>42275</c:v>
                </c:pt>
                <c:pt idx="319">
                  <c:v>42276</c:v>
                </c:pt>
                <c:pt idx="320">
                  <c:v>42277</c:v>
                </c:pt>
                <c:pt idx="321">
                  <c:v>42278</c:v>
                </c:pt>
                <c:pt idx="322">
                  <c:v>42279</c:v>
                </c:pt>
                <c:pt idx="323">
                  <c:v>42282</c:v>
                </c:pt>
                <c:pt idx="324">
                  <c:v>42283</c:v>
                </c:pt>
                <c:pt idx="325">
                  <c:v>42284</c:v>
                </c:pt>
                <c:pt idx="326">
                  <c:v>42285</c:v>
                </c:pt>
                <c:pt idx="327">
                  <c:v>42286</c:v>
                </c:pt>
                <c:pt idx="328">
                  <c:v>42289</c:v>
                </c:pt>
                <c:pt idx="329">
                  <c:v>42290</c:v>
                </c:pt>
                <c:pt idx="330">
                  <c:v>42291</c:v>
                </c:pt>
                <c:pt idx="331">
                  <c:v>42292</c:v>
                </c:pt>
                <c:pt idx="332">
                  <c:v>42293</c:v>
                </c:pt>
                <c:pt idx="333">
                  <c:v>42296</c:v>
                </c:pt>
                <c:pt idx="334">
                  <c:v>42297</c:v>
                </c:pt>
                <c:pt idx="335">
                  <c:v>42298</c:v>
                </c:pt>
                <c:pt idx="336">
                  <c:v>42299</c:v>
                </c:pt>
                <c:pt idx="337">
                  <c:v>42300</c:v>
                </c:pt>
                <c:pt idx="338">
                  <c:v>42303</c:v>
                </c:pt>
                <c:pt idx="339">
                  <c:v>42304</c:v>
                </c:pt>
                <c:pt idx="340">
                  <c:v>42305</c:v>
                </c:pt>
                <c:pt idx="341">
                  <c:v>42306</c:v>
                </c:pt>
                <c:pt idx="342">
                  <c:v>42307</c:v>
                </c:pt>
                <c:pt idx="343">
                  <c:v>42310</c:v>
                </c:pt>
                <c:pt idx="344">
                  <c:v>42311</c:v>
                </c:pt>
                <c:pt idx="345">
                  <c:v>42312</c:v>
                </c:pt>
                <c:pt idx="346">
                  <c:v>42313</c:v>
                </c:pt>
                <c:pt idx="347">
                  <c:v>42314</c:v>
                </c:pt>
                <c:pt idx="348">
                  <c:v>42317</c:v>
                </c:pt>
                <c:pt idx="349">
                  <c:v>42318</c:v>
                </c:pt>
                <c:pt idx="350">
                  <c:v>42319</c:v>
                </c:pt>
                <c:pt idx="351">
                  <c:v>42320</c:v>
                </c:pt>
                <c:pt idx="352">
                  <c:v>42321</c:v>
                </c:pt>
                <c:pt idx="353">
                  <c:v>42324</c:v>
                </c:pt>
                <c:pt idx="354">
                  <c:v>42325</c:v>
                </c:pt>
                <c:pt idx="355">
                  <c:v>42326</c:v>
                </c:pt>
                <c:pt idx="356">
                  <c:v>42327</c:v>
                </c:pt>
                <c:pt idx="357">
                  <c:v>42328</c:v>
                </c:pt>
                <c:pt idx="358">
                  <c:v>42331</c:v>
                </c:pt>
                <c:pt idx="359">
                  <c:v>42332</c:v>
                </c:pt>
                <c:pt idx="360">
                  <c:v>42333</c:v>
                </c:pt>
                <c:pt idx="361">
                  <c:v>42334</c:v>
                </c:pt>
                <c:pt idx="362">
                  <c:v>42335</c:v>
                </c:pt>
                <c:pt idx="363">
                  <c:v>42338</c:v>
                </c:pt>
                <c:pt idx="364">
                  <c:v>42339</c:v>
                </c:pt>
                <c:pt idx="365">
                  <c:v>42340</c:v>
                </c:pt>
                <c:pt idx="366">
                  <c:v>42341</c:v>
                </c:pt>
                <c:pt idx="367">
                  <c:v>42342</c:v>
                </c:pt>
                <c:pt idx="368">
                  <c:v>42345</c:v>
                </c:pt>
                <c:pt idx="369">
                  <c:v>42346</c:v>
                </c:pt>
                <c:pt idx="370">
                  <c:v>42347</c:v>
                </c:pt>
                <c:pt idx="371">
                  <c:v>42348</c:v>
                </c:pt>
                <c:pt idx="372">
                  <c:v>42349</c:v>
                </c:pt>
                <c:pt idx="373">
                  <c:v>42352</c:v>
                </c:pt>
                <c:pt idx="374">
                  <c:v>42353</c:v>
                </c:pt>
                <c:pt idx="375">
                  <c:v>42354</c:v>
                </c:pt>
                <c:pt idx="376">
                  <c:v>42355</c:v>
                </c:pt>
                <c:pt idx="377">
                  <c:v>42356</c:v>
                </c:pt>
                <c:pt idx="378">
                  <c:v>42359</c:v>
                </c:pt>
                <c:pt idx="379">
                  <c:v>42360</c:v>
                </c:pt>
                <c:pt idx="380">
                  <c:v>42361</c:v>
                </c:pt>
                <c:pt idx="381">
                  <c:v>42362</c:v>
                </c:pt>
                <c:pt idx="382">
                  <c:v>42367</c:v>
                </c:pt>
                <c:pt idx="383">
                  <c:v>42368</c:v>
                </c:pt>
                <c:pt idx="384">
                  <c:v>42369</c:v>
                </c:pt>
                <c:pt idx="385">
                  <c:v>42373</c:v>
                </c:pt>
                <c:pt idx="386">
                  <c:v>42374</c:v>
                </c:pt>
                <c:pt idx="387">
                  <c:v>42375</c:v>
                </c:pt>
                <c:pt idx="388">
                  <c:v>42376</c:v>
                </c:pt>
                <c:pt idx="389">
                  <c:v>42377</c:v>
                </c:pt>
                <c:pt idx="390">
                  <c:v>42380</c:v>
                </c:pt>
                <c:pt idx="391">
                  <c:v>42381</c:v>
                </c:pt>
                <c:pt idx="392">
                  <c:v>42382</c:v>
                </c:pt>
                <c:pt idx="393">
                  <c:v>42383</c:v>
                </c:pt>
                <c:pt idx="394">
                  <c:v>42384</c:v>
                </c:pt>
                <c:pt idx="395">
                  <c:v>42387</c:v>
                </c:pt>
                <c:pt idx="396">
                  <c:v>42388</c:v>
                </c:pt>
                <c:pt idx="397">
                  <c:v>42389</c:v>
                </c:pt>
                <c:pt idx="398">
                  <c:v>42390</c:v>
                </c:pt>
                <c:pt idx="399">
                  <c:v>42391</c:v>
                </c:pt>
                <c:pt idx="400">
                  <c:v>42394</c:v>
                </c:pt>
                <c:pt idx="401">
                  <c:v>42395</c:v>
                </c:pt>
                <c:pt idx="402">
                  <c:v>42396</c:v>
                </c:pt>
                <c:pt idx="403">
                  <c:v>42397</c:v>
                </c:pt>
                <c:pt idx="404">
                  <c:v>42398</c:v>
                </c:pt>
                <c:pt idx="405">
                  <c:v>42401</c:v>
                </c:pt>
                <c:pt idx="406">
                  <c:v>42402</c:v>
                </c:pt>
                <c:pt idx="407">
                  <c:v>42403</c:v>
                </c:pt>
                <c:pt idx="408">
                  <c:v>42404</c:v>
                </c:pt>
                <c:pt idx="409">
                  <c:v>42405</c:v>
                </c:pt>
                <c:pt idx="410">
                  <c:v>42408</c:v>
                </c:pt>
                <c:pt idx="411">
                  <c:v>42409</c:v>
                </c:pt>
                <c:pt idx="412">
                  <c:v>42410</c:v>
                </c:pt>
                <c:pt idx="413">
                  <c:v>42411</c:v>
                </c:pt>
                <c:pt idx="414">
                  <c:v>42412</c:v>
                </c:pt>
                <c:pt idx="415">
                  <c:v>42415</c:v>
                </c:pt>
                <c:pt idx="416">
                  <c:v>42416</c:v>
                </c:pt>
                <c:pt idx="417">
                  <c:v>42417</c:v>
                </c:pt>
                <c:pt idx="418">
                  <c:v>42418</c:v>
                </c:pt>
                <c:pt idx="419">
                  <c:v>42419</c:v>
                </c:pt>
                <c:pt idx="420">
                  <c:v>42422</c:v>
                </c:pt>
                <c:pt idx="421">
                  <c:v>42423</c:v>
                </c:pt>
                <c:pt idx="422">
                  <c:v>42424</c:v>
                </c:pt>
                <c:pt idx="423">
                  <c:v>42425</c:v>
                </c:pt>
                <c:pt idx="424">
                  <c:v>42426</c:v>
                </c:pt>
                <c:pt idx="425">
                  <c:v>42429</c:v>
                </c:pt>
                <c:pt idx="426">
                  <c:v>42430</c:v>
                </c:pt>
                <c:pt idx="427">
                  <c:v>42431</c:v>
                </c:pt>
                <c:pt idx="428">
                  <c:v>42432</c:v>
                </c:pt>
                <c:pt idx="429">
                  <c:v>42433</c:v>
                </c:pt>
                <c:pt idx="430">
                  <c:v>42436</c:v>
                </c:pt>
                <c:pt idx="431">
                  <c:v>42437</c:v>
                </c:pt>
                <c:pt idx="432">
                  <c:v>42438</c:v>
                </c:pt>
                <c:pt idx="433">
                  <c:v>42439</c:v>
                </c:pt>
                <c:pt idx="434">
                  <c:v>42440</c:v>
                </c:pt>
                <c:pt idx="435">
                  <c:v>42443</c:v>
                </c:pt>
                <c:pt idx="436">
                  <c:v>42444</c:v>
                </c:pt>
                <c:pt idx="437">
                  <c:v>42445</c:v>
                </c:pt>
                <c:pt idx="438">
                  <c:v>42446</c:v>
                </c:pt>
                <c:pt idx="439">
                  <c:v>42447</c:v>
                </c:pt>
                <c:pt idx="440">
                  <c:v>42450</c:v>
                </c:pt>
                <c:pt idx="441">
                  <c:v>42451</c:v>
                </c:pt>
                <c:pt idx="442">
                  <c:v>42452</c:v>
                </c:pt>
                <c:pt idx="443">
                  <c:v>42453</c:v>
                </c:pt>
                <c:pt idx="444">
                  <c:v>42458</c:v>
                </c:pt>
                <c:pt idx="445">
                  <c:v>42459</c:v>
                </c:pt>
                <c:pt idx="446">
                  <c:v>42460</c:v>
                </c:pt>
                <c:pt idx="447">
                  <c:v>42461</c:v>
                </c:pt>
                <c:pt idx="448">
                  <c:v>42464</c:v>
                </c:pt>
                <c:pt idx="449">
                  <c:v>42465</c:v>
                </c:pt>
                <c:pt idx="450">
                  <c:v>42466</c:v>
                </c:pt>
                <c:pt idx="451">
                  <c:v>42467</c:v>
                </c:pt>
                <c:pt idx="452">
                  <c:v>42468</c:v>
                </c:pt>
                <c:pt idx="453">
                  <c:v>42471</c:v>
                </c:pt>
                <c:pt idx="454">
                  <c:v>42472</c:v>
                </c:pt>
                <c:pt idx="455">
                  <c:v>42473</c:v>
                </c:pt>
                <c:pt idx="456">
                  <c:v>42474</c:v>
                </c:pt>
                <c:pt idx="457">
                  <c:v>42475</c:v>
                </c:pt>
                <c:pt idx="458">
                  <c:v>42478</c:v>
                </c:pt>
                <c:pt idx="459">
                  <c:v>42479</c:v>
                </c:pt>
                <c:pt idx="460">
                  <c:v>42480</c:v>
                </c:pt>
                <c:pt idx="461">
                  <c:v>42481</c:v>
                </c:pt>
                <c:pt idx="462">
                  <c:v>42482</c:v>
                </c:pt>
                <c:pt idx="463">
                  <c:v>42485</c:v>
                </c:pt>
                <c:pt idx="464">
                  <c:v>42486</c:v>
                </c:pt>
                <c:pt idx="465">
                  <c:v>42487</c:v>
                </c:pt>
                <c:pt idx="466">
                  <c:v>42488</c:v>
                </c:pt>
                <c:pt idx="467">
                  <c:v>42489</c:v>
                </c:pt>
                <c:pt idx="468">
                  <c:v>42493</c:v>
                </c:pt>
                <c:pt idx="469">
                  <c:v>42494</c:v>
                </c:pt>
                <c:pt idx="470">
                  <c:v>42495</c:v>
                </c:pt>
                <c:pt idx="471">
                  <c:v>42496</c:v>
                </c:pt>
                <c:pt idx="472">
                  <c:v>42499</c:v>
                </c:pt>
                <c:pt idx="473">
                  <c:v>42500</c:v>
                </c:pt>
                <c:pt idx="474">
                  <c:v>42501</c:v>
                </c:pt>
                <c:pt idx="475">
                  <c:v>42502</c:v>
                </c:pt>
                <c:pt idx="476">
                  <c:v>42503</c:v>
                </c:pt>
                <c:pt idx="477">
                  <c:v>42506</c:v>
                </c:pt>
                <c:pt idx="478">
                  <c:v>42507</c:v>
                </c:pt>
                <c:pt idx="479">
                  <c:v>42508</c:v>
                </c:pt>
                <c:pt idx="480">
                  <c:v>42509</c:v>
                </c:pt>
                <c:pt idx="481">
                  <c:v>42510</c:v>
                </c:pt>
                <c:pt idx="482">
                  <c:v>42513</c:v>
                </c:pt>
                <c:pt idx="483">
                  <c:v>42514</c:v>
                </c:pt>
                <c:pt idx="484">
                  <c:v>42515</c:v>
                </c:pt>
                <c:pt idx="485">
                  <c:v>42516</c:v>
                </c:pt>
                <c:pt idx="486">
                  <c:v>42517</c:v>
                </c:pt>
                <c:pt idx="487">
                  <c:v>42521</c:v>
                </c:pt>
                <c:pt idx="488">
                  <c:v>42522</c:v>
                </c:pt>
                <c:pt idx="489">
                  <c:v>42523</c:v>
                </c:pt>
                <c:pt idx="490">
                  <c:v>42524</c:v>
                </c:pt>
                <c:pt idx="491">
                  <c:v>42527</c:v>
                </c:pt>
                <c:pt idx="492">
                  <c:v>42528</c:v>
                </c:pt>
                <c:pt idx="493">
                  <c:v>42529</c:v>
                </c:pt>
                <c:pt idx="494">
                  <c:v>42530</c:v>
                </c:pt>
                <c:pt idx="495">
                  <c:v>42531</c:v>
                </c:pt>
                <c:pt idx="496">
                  <c:v>42534</c:v>
                </c:pt>
                <c:pt idx="497">
                  <c:v>42535</c:v>
                </c:pt>
                <c:pt idx="498">
                  <c:v>42536</c:v>
                </c:pt>
                <c:pt idx="499">
                  <c:v>42537</c:v>
                </c:pt>
                <c:pt idx="500">
                  <c:v>42538</c:v>
                </c:pt>
                <c:pt idx="501">
                  <c:v>42541</c:v>
                </c:pt>
                <c:pt idx="502">
                  <c:v>42542</c:v>
                </c:pt>
                <c:pt idx="503">
                  <c:v>42543</c:v>
                </c:pt>
                <c:pt idx="504">
                  <c:v>42544</c:v>
                </c:pt>
                <c:pt idx="505">
                  <c:v>42545</c:v>
                </c:pt>
                <c:pt idx="506">
                  <c:v>42548</c:v>
                </c:pt>
                <c:pt idx="507">
                  <c:v>42549</c:v>
                </c:pt>
                <c:pt idx="508">
                  <c:v>42550</c:v>
                </c:pt>
                <c:pt idx="509">
                  <c:v>42551</c:v>
                </c:pt>
                <c:pt idx="510">
                  <c:v>42552</c:v>
                </c:pt>
                <c:pt idx="511">
                  <c:v>42555</c:v>
                </c:pt>
                <c:pt idx="512">
                  <c:v>42556</c:v>
                </c:pt>
                <c:pt idx="513">
                  <c:v>42557</c:v>
                </c:pt>
                <c:pt idx="514">
                  <c:v>42558</c:v>
                </c:pt>
                <c:pt idx="515">
                  <c:v>42559</c:v>
                </c:pt>
                <c:pt idx="516">
                  <c:v>42562</c:v>
                </c:pt>
                <c:pt idx="517">
                  <c:v>42563</c:v>
                </c:pt>
                <c:pt idx="518">
                  <c:v>42570</c:v>
                </c:pt>
                <c:pt idx="519">
                  <c:v>42577</c:v>
                </c:pt>
                <c:pt idx="520">
                  <c:v>42584</c:v>
                </c:pt>
                <c:pt idx="521">
                  <c:v>42591</c:v>
                </c:pt>
                <c:pt idx="522">
                  <c:v>42598</c:v>
                </c:pt>
                <c:pt idx="523">
                  <c:v>42605</c:v>
                </c:pt>
                <c:pt idx="524">
                  <c:v>42613</c:v>
                </c:pt>
                <c:pt idx="525">
                  <c:v>42619</c:v>
                </c:pt>
                <c:pt idx="526">
                  <c:v>42626</c:v>
                </c:pt>
                <c:pt idx="527">
                  <c:v>42633</c:v>
                </c:pt>
                <c:pt idx="528">
                  <c:v>42640</c:v>
                </c:pt>
                <c:pt idx="529">
                  <c:v>42647</c:v>
                </c:pt>
                <c:pt idx="530">
                  <c:v>42654</c:v>
                </c:pt>
                <c:pt idx="531">
                  <c:v>42661</c:v>
                </c:pt>
                <c:pt idx="532">
                  <c:v>42668</c:v>
                </c:pt>
                <c:pt idx="533">
                  <c:v>42675</c:v>
                </c:pt>
                <c:pt idx="534">
                  <c:v>42682</c:v>
                </c:pt>
                <c:pt idx="535">
                  <c:v>42689</c:v>
                </c:pt>
                <c:pt idx="536">
                  <c:v>42696</c:v>
                </c:pt>
                <c:pt idx="537">
                  <c:v>42703</c:v>
                </c:pt>
                <c:pt idx="538">
                  <c:v>42710</c:v>
                </c:pt>
                <c:pt idx="539">
                  <c:v>42717</c:v>
                </c:pt>
                <c:pt idx="540">
                  <c:v>42724</c:v>
                </c:pt>
                <c:pt idx="541">
                  <c:v>42733</c:v>
                </c:pt>
                <c:pt idx="542">
                  <c:v>42739</c:v>
                </c:pt>
                <c:pt idx="543">
                  <c:v>42745</c:v>
                </c:pt>
                <c:pt idx="544">
                  <c:v>42752</c:v>
                </c:pt>
                <c:pt idx="545">
                  <c:v>42759</c:v>
                </c:pt>
                <c:pt idx="546">
                  <c:v>42766</c:v>
                </c:pt>
                <c:pt idx="547">
                  <c:v>42773</c:v>
                </c:pt>
                <c:pt idx="548">
                  <c:v>42780</c:v>
                </c:pt>
                <c:pt idx="549">
                  <c:v>42787</c:v>
                </c:pt>
                <c:pt idx="550">
                  <c:v>42794</c:v>
                </c:pt>
                <c:pt idx="551">
                  <c:v>42801</c:v>
                </c:pt>
                <c:pt idx="552">
                  <c:v>42808</c:v>
                </c:pt>
                <c:pt idx="553">
                  <c:v>42815</c:v>
                </c:pt>
                <c:pt idx="554">
                  <c:v>42822</c:v>
                </c:pt>
                <c:pt idx="555">
                  <c:v>42829</c:v>
                </c:pt>
                <c:pt idx="556">
                  <c:v>42836</c:v>
                </c:pt>
                <c:pt idx="557">
                  <c:v>42845</c:v>
                </c:pt>
                <c:pt idx="558">
                  <c:v>42852</c:v>
                </c:pt>
                <c:pt idx="559">
                  <c:v>42859</c:v>
                </c:pt>
                <c:pt idx="560">
                  <c:v>42866</c:v>
                </c:pt>
                <c:pt idx="561">
                  <c:v>42873</c:v>
                </c:pt>
                <c:pt idx="562">
                  <c:v>42880</c:v>
                </c:pt>
                <c:pt idx="563">
                  <c:v>42887</c:v>
                </c:pt>
                <c:pt idx="564">
                  <c:v>42894</c:v>
                </c:pt>
                <c:pt idx="565">
                  <c:v>42901</c:v>
                </c:pt>
                <c:pt idx="566">
                  <c:v>42908</c:v>
                </c:pt>
                <c:pt idx="567">
                  <c:v>42915</c:v>
                </c:pt>
                <c:pt idx="568">
                  <c:v>42922</c:v>
                </c:pt>
                <c:pt idx="569">
                  <c:v>42929</c:v>
                </c:pt>
                <c:pt idx="570">
                  <c:v>42936</c:v>
                </c:pt>
                <c:pt idx="571">
                  <c:v>42943</c:v>
                </c:pt>
                <c:pt idx="572">
                  <c:v>42950</c:v>
                </c:pt>
                <c:pt idx="573">
                  <c:v>42957</c:v>
                </c:pt>
                <c:pt idx="574">
                  <c:v>42964</c:v>
                </c:pt>
                <c:pt idx="575">
                  <c:v>42971</c:v>
                </c:pt>
                <c:pt idx="576">
                  <c:v>42978</c:v>
                </c:pt>
                <c:pt idx="577">
                  <c:v>42985</c:v>
                </c:pt>
                <c:pt idx="578">
                  <c:v>42992</c:v>
                </c:pt>
                <c:pt idx="579">
                  <c:v>42999</c:v>
                </c:pt>
                <c:pt idx="580">
                  <c:v>43006</c:v>
                </c:pt>
                <c:pt idx="581">
                  <c:v>43013</c:v>
                </c:pt>
                <c:pt idx="582">
                  <c:v>43020</c:v>
                </c:pt>
                <c:pt idx="583">
                  <c:v>43027</c:v>
                </c:pt>
                <c:pt idx="584">
                  <c:v>43034</c:v>
                </c:pt>
                <c:pt idx="585">
                  <c:v>43041</c:v>
                </c:pt>
                <c:pt idx="586">
                  <c:v>43048</c:v>
                </c:pt>
                <c:pt idx="587">
                  <c:v>43055</c:v>
                </c:pt>
                <c:pt idx="588">
                  <c:v>43062</c:v>
                </c:pt>
                <c:pt idx="589">
                  <c:v>43069</c:v>
                </c:pt>
                <c:pt idx="590">
                  <c:v>43076</c:v>
                </c:pt>
                <c:pt idx="591">
                  <c:v>43083</c:v>
                </c:pt>
                <c:pt idx="592">
                  <c:v>43090</c:v>
                </c:pt>
                <c:pt idx="593">
                  <c:v>43098</c:v>
                </c:pt>
                <c:pt idx="594">
                  <c:v>43105</c:v>
                </c:pt>
                <c:pt idx="595">
                  <c:v>43112</c:v>
                </c:pt>
                <c:pt idx="596">
                  <c:v>43119</c:v>
                </c:pt>
                <c:pt idx="597">
                  <c:v>43126</c:v>
                </c:pt>
                <c:pt idx="598">
                  <c:v>43133</c:v>
                </c:pt>
                <c:pt idx="599">
                  <c:v>43140</c:v>
                </c:pt>
                <c:pt idx="600">
                  <c:v>43147</c:v>
                </c:pt>
                <c:pt idx="601">
                  <c:v>43154</c:v>
                </c:pt>
                <c:pt idx="602">
                  <c:v>43161</c:v>
                </c:pt>
                <c:pt idx="603">
                  <c:v>43168</c:v>
                </c:pt>
                <c:pt idx="604">
                  <c:v>43175</c:v>
                </c:pt>
                <c:pt idx="605">
                  <c:v>43182</c:v>
                </c:pt>
                <c:pt idx="606">
                  <c:v>43193</c:v>
                </c:pt>
                <c:pt idx="607">
                  <c:v>43196</c:v>
                </c:pt>
                <c:pt idx="608">
                  <c:v>43203</c:v>
                </c:pt>
                <c:pt idx="609">
                  <c:v>43210</c:v>
                </c:pt>
                <c:pt idx="610">
                  <c:v>43217</c:v>
                </c:pt>
                <c:pt idx="611">
                  <c:v>43224</c:v>
                </c:pt>
                <c:pt idx="612">
                  <c:v>43231</c:v>
                </c:pt>
                <c:pt idx="613">
                  <c:v>43238</c:v>
                </c:pt>
                <c:pt idx="614">
                  <c:v>43245</c:v>
                </c:pt>
                <c:pt idx="615">
                  <c:v>43252</c:v>
                </c:pt>
                <c:pt idx="616">
                  <c:v>43259</c:v>
                </c:pt>
                <c:pt idx="617">
                  <c:v>43266</c:v>
                </c:pt>
                <c:pt idx="618">
                  <c:v>43273</c:v>
                </c:pt>
                <c:pt idx="619">
                  <c:v>43280</c:v>
                </c:pt>
                <c:pt idx="620">
                  <c:v>43287</c:v>
                </c:pt>
                <c:pt idx="621">
                  <c:v>43294</c:v>
                </c:pt>
                <c:pt idx="622">
                  <c:v>43301</c:v>
                </c:pt>
                <c:pt idx="623">
                  <c:v>43308</c:v>
                </c:pt>
                <c:pt idx="624">
                  <c:v>43315</c:v>
                </c:pt>
                <c:pt idx="625">
                  <c:v>43322</c:v>
                </c:pt>
                <c:pt idx="626">
                  <c:v>43329</c:v>
                </c:pt>
                <c:pt idx="627">
                  <c:v>43336</c:v>
                </c:pt>
                <c:pt idx="628">
                  <c:v>43343</c:v>
                </c:pt>
                <c:pt idx="629">
                  <c:v>43350</c:v>
                </c:pt>
                <c:pt idx="630">
                  <c:v>43357</c:v>
                </c:pt>
                <c:pt idx="631">
                  <c:v>43364</c:v>
                </c:pt>
                <c:pt idx="632">
                  <c:v>43371</c:v>
                </c:pt>
                <c:pt idx="633">
                  <c:v>43378</c:v>
                </c:pt>
                <c:pt idx="634">
                  <c:v>43385</c:v>
                </c:pt>
                <c:pt idx="635">
                  <c:v>43392</c:v>
                </c:pt>
                <c:pt idx="636">
                  <c:v>43399</c:v>
                </c:pt>
                <c:pt idx="637">
                  <c:v>43406</c:v>
                </c:pt>
                <c:pt idx="638">
                  <c:v>43413</c:v>
                </c:pt>
                <c:pt idx="639">
                  <c:v>43420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43465</c:v>
                </c:pt>
                <c:pt idx="646">
                  <c:v>43472</c:v>
                </c:pt>
                <c:pt idx="647">
                  <c:v>43479</c:v>
                </c:pt>
                <c:pt idx="648">
                  <c:v>43486</c:v>
                </c:pt>
                <c:pt idx="649">
                  <c:v>43493</c:v>
                </c:pt>
                <c:pt idx="650">
                  <c:v>43500</c:v>
                </c:pt>
                <c:pt idx="651">
                  <c:v>43507</c:v>
                </c:pt>
                <c:pt idx="652">
                  <c:v>43514</c:v>
                </c:pt>
                <c:pt idx="653">
                  <c:v>43521</c:v>
                </c:pt>
                <c:pt idx="654">
                  <c:v>43528</c:v>
                </c:pt>
                <c:pt idx="655">
                  <c:v>43535</c:v>
                </c:pt>
                <c:pt idx="656">
                  <c:v>43542</c:v>
                </c:pt>
                <c:pt idx="657">
                  <c:v>43549</c:v>
                </c:pt>
                <c:pt idx="658">
                  <c:v>43556</c:v>
                </c:pt>
                <c:pt idx="659">
                  <c:v>43563</c:v>
                </c:pt>
                <c:pt idx="660">
                  <c:v>43570</c:v>
                </c:pt>
                <c:pt idx="661">
                  <c:v>43579</c:v>
                </c:pt>
                <c:pt idx="662">
                  <c:v>43584</c:v>
                </c:pt>
                <c:pt idx="663">
                  <c:v>43592</c:v>
                </c:pt>
                <c:pt idx="664">
                  <c:v>43598</c:v>
                </c:pt>
                <c:pt idx="665">
                  <c:v>43605</c:v>
                </c:pt>
                <c:pt idx="666">
                  <c:v>43613</c:v>
                </c:pt>
                <c:pt idx="667">
                  <c:v>43619</c:v>
                </c:pt>
                <c:pt idx="668">
                  <c:v>43626</c:v>
                </c:pt>
                <c:pt idx="669">
                  <c:v>43633</c:v>
                </c:pt>
                <c:pt idx="670">
                  <c:v>43640</c:v>
                </c:pt>
                <c:pt idx="671">
                  <c:v>43647</c:v>
                </c:pt>
                <c:pt idx="672">
                  <c:v>43654</c:v>
                </c:pt>
                <c:pt idx="673">
                  <c:v>43661</c:v>
                </c:pt>
                <c:pt idx="674">
                  <c:v>43668</c:v>
                </c:pt>
                <c:pt idx="675">
                  <c:v>43675</c:v>
                </c:pt>
                <c:pt idx="676">
                  <c:v>43682</c:v>
                </c:pt>
                <c:pt idx="677">
                  <c:v>43689</c:v>
                </c:pt>
                <c:pt idx="678">
                  <c:v>43696</c:v>
                </c:pt>
                <c:pt idx="679">
                  <c:v>43704</c:v>
                </c:pt>
                <c:pt idx="680">
                  <c:v>43710</c:v>
                </c:pt>
                <c:pt idx="681">
                  <c:v>43717</c:v>
                </c:pt>
                <c:pt idx="682">
                  <c:v>43724</c:v>
                </c:pt>
                <c:pt idx="683">
                  <c:v>43731</c:v>
                </c:pt>
                <c:pt idx="684">
                  <c:v>43738</c:v>
                </c:pt>
                <c:pt idx="685">
                  <c:v>43745</c:v>
                </c:pt>
                <c:pt idx="686">
                  <c:v>43752</c:v>
                </c:pt>
                <c:pt idx="687">
                  <c:v>43759</c:v>
                </c:pt>
                <c:pt idx="688">
                  <c:v>43766</c:v>
                </c:pt>
                <c:pt idx="689">
                  <c:v>43773</c:v>
                </c:pt>
                <c:pt idx="690">
                  <c:v>43780</c:v>
                </c:pt>
                <c:pt idx="691">
                  <c:v>43787</c:v>
                </c:pt>
                <c:pt idx="692">
                  <c:v>43794</c:v>
                </c:pt>
                <c:pt idx="693">
                  <c:v>43801</c:v>
                </c:pt>
                <c:pt idx="694">
                  <c:v>43808</c:v>
                </c:pt>
                <c:pt idx="695">
                  <c:v>43815</c:v>
                </c:pt>
                <c:pt idx="696">
                  <c:v>43822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43937</c:v>
                </c:pt>
                <c:pt idx="713">
                  <c:v>43944</c:v>
                </c:pt>
                <c:pt idx="714">
                  <c:v>43951</c:v>
                </c:pt>
                <c:pt idx="715">
                  <c:v>43958</c:v>
                </c:pt>
                <c:pt idx="716">
                  <c:v>43965</c:v>
                </c:pt>
                <c:pt idx="717">
                  <c:v>43972</c:v>
                </c:pt>
                <c:pt idx="718">
                  <c:v>43979</c:v>
                </c:pt>
                <c:pt idx="719">
                  <c:v>43986</c:v>
                </c:pt>
                <c:pt idx="720">
                  <c:v>43993</c:v>
                </c:pt>
                <c:pt idx="721">
                  <c:v>44000</c:v>
                </c:pt>
                <c:pt idx="722">
                  <c:v>44007</c:v>
                </c:pt>
                <c:pt idx="723">
                  <c:v>44014</c:v>
                </c:pt>
                <c:pt idx="724">
                  <c:v>44021</c:v>
                </c:pt>
                <c:pt idx="725">
                  <c:v>44028</c:v>
                </c:pt>
                <c:pt idx="726">
                  <c:v>44035</c:v>
                </c:pt>
                <c:pt idx="727">
                  <c:v>44042</c:v>
                </c:pt>
                <c:pt idx="728">
                  <c:v>44049</c:v>
                </c:pt>
                <c:pt idx="729">
                  <c:v>44056</c:v>
                </c:pt>
                <c:pt idx="730">
                  <c:v>44063</c:v>
                </c:pt>
                <c:pt idx="731">
                  <c:v>44070</c:v>
                </c:pt>
                <c:pt idx="732">
                  <c:v>44077</c:v>
                </c:pt>
                <c:pt idx="733">
                  <c:v>44084</c:v>
                </c:pt>
                <c:pt idx="734">
                  <c:v>44091</c:v>
                </c:pt>
                <c:pt idx="735">
                  <c:v>44098</c:v>
                </c:pt>
                <c:pt idx="736">
                  <c:v>44105</c:v>
                </c:pt>
                <c:pt idx="737">
                  <c:v>44112</c:v>
                </c:pt>
                <c:pt idx="738">
                  <c:v>44119</c:v>
                </c:pt>
                <c:pt idx="739">
                  <c:v>44126</c:v>
                </c:pt>
                <c:pt idx="740">
                  <c:v>44133</c:v>
                </c:pt>
                <c:pt idx="741">
                  <c:v>44140</c:v>
                </c:pt>
                <c:pt idx="742">
                  <c:v>44147</c:v>
                </c:pt>
                <c:pt idx="743">
                  <c:v>44154</c:v>
                </c:pt>
                <c:pt idx="744">
                  <c:v>44161</c:v>
                </c:pt>
                <c:pt idx="745">
                  <c:v>44168</c:v>
                </c:pt>
                <c:pt idx="746">
                  <c:v>44175</c:v>
                </c:pt>
                <c:pt idx="747">
                  <c:v>44182</c:v>
                </c:pt>
                <c:pt idx="748">
                  <c:v>44189</c:v>
                </c:pt>
                <c:pt idx="749">
                  <c:v>44196</c:v>
                </c:pt>
                <c:pt idx="750">
                  <c:v>44203</c:v>
                </c:pt>
                <c:pt idx="751">
                  <c:v>44210</c:v>
                </c:pt>
                <c:pt idx="752">
                  <c:v>44217</c:v>
                </c:pt>
                <c:pt idx="753">
                  <c:v>44224</c:v>
                </c:pt>
                <c:pt idx="754">
                  <c:v>44231</c:v>
                </c:pt>
                <c:pt idx="755">
                  <c:v>44238</c:v>
                </c:pt>
                <c:pt idx="756">
                  <c:v>44245</c:v>
                </c:pt>
                <c:pt idx="757">
                  <c:v>44252</c:v>
                </c:pt>
                <c:pt idx="758">
                  <c:v>44259</c:v>
                </c:pt>
                <c:pt idx="759">
                  <c:v>44266</c:v>
                </c:pt>
                <c:pt idx="760">
                  <c:v>44273</c:v>
                </c:pt>
                <c:pt idx="761">
                  <c:v>44280</c:v>
                </c:pt>
                <c:pt idx="762">
                  <c:v>44287</c:v>
                </c:pt>
                <c:pt idx="763">
                  <c:v>44294</c:v>
                </c:pt>
                <c:pt idx="764">
                  <c:v>44301</c:v>
                </c:pt>
                <c:pt idx="765">
                  <c:v>44308</c:v>
                </c:pt>
                <c:pt idx="766">
                  <c:v>44315</c:v>
                </c:pt>
                <c:pt idx="767">
                  <c:v>44322</c:v>
                </c:pt>
                <c:pt idx="768">
                  <c:v>44329</c:v>
                </c:pt>
                <c:pt idx="769">
                  <c:v>44336</c:v>
                </c:pt>
                <c:pt idx="770">
                  <c:v>44343</c:v>
                </c:pt>
                <c:pt idx="771">
                  <c:v>44350</c:v>
                </c:pt>
                <c:pt idx="772">
                  <c:v>44357</c:v>
                </c:pt>
                <c:pt idx="773">
                  <c:v>44364</c:v>
                </c:pt>
                <c:pt idx="774">
                  <c:v>44371</c:v>
                </c:pt>
                <c:pt idx="775">
                  <c:v>44378</c:v>
                </c:pt>
                <c:pt idx="776">
                  <c:v>44385</c:v>
                </c:pt>
                <c:pt idx="777">
                  <c:v>44392</c:v>
                </c:pt>
                <c:pt idx="778">
                  <c:v>44399</c:v>
                </c:pt>
                <c:pt idx="779">
                  <c:v>44406</c:v>
                </c:pt>
                <c:pt idx="780">
                  <c:v>44413</c:v>
                </c:pt>
                <c:pt idx="781">
                  <c:v>44420</c:v>
                </c:pt>
                <c:pt idx="782">
                  <c:v>44427</c:v>
                </c:pt>
                <c:pt idx="783">
                  <c:v>44434</c:v>
                </c:pt>
                <c:pt idx="784">
                  <c:v>44441</c:v>
                </c:pt>
                <c:pt idx="785">
                  <c:v>44448</c:v>
                </c:pt>
                <c:pt idx="786">
                  <c:v>44455</c:v>
                </c:pt>
                <c:pt idx="787">
                  <c:v>44462</c:v>
                </c:pt>
                <c:pt idx="788">
                  <c:v>44469</c:v>
                </c:pt>
                <c:pt idx="789">
                  <c:v>44476</c:v>
                </c:pt>
                <c:pt idx="790">
                  <c:v>44483</c:v>
                </c:pt>
                <c:pt idx="791">
                  <c:v>44490</c:v>
                </c:pt>
                <c:pt idx="792">
                  <c:v>44497</c:v>
                </c:pt>
                <c:pt idx="793">
                  <c:v>44504</c:v>
                </c:pt>
                <c:pt idx="794">
                  <c:v>44511</c:v>
                </c:pt>
                <c:pt idx="795">
                  <c:v>44518</c:v>
                </c:pt>
                <c:pt idx="796">
                  <c:v>44525</c:v>
                </c:pt>
                <c:pt idx="797">
                  <c:v>44532</c:v>
                </c:pt>
                <c:pt idx="798">
                  <c:v>44539</c:v>
                </c:pt>
                <c:pt idx="799">
                  <c:v>44546</c:v>
                </c:pt>
                <c:pt idx="800">
                  <c:v>44553</c:v>
                </c:pt>
                <c:pt idx="801">
                  <c:v>44561</c:v>
                </c:pt>
                <c:pt idx="802">
                  <c:v>44568</c:v>
                </c:pt>
                <c:pt idx="803">
                  <c:v>44575</c:v>
                </c:pt>
                <c:pt idx="804">
                  <c:v>44582</c:v>
                </c:pt>
                <c:pt idx="805">
                  <c:v>44589</c:v>
                </c:pt>
                <c:pt idx="806">
                  <c:v>44596</c:v>
                </c:pt>
                <c:pt idx="807">
                  <c:v>44603</c:v>
                </c:pt>
                <c:pt idx="808">
                  <c:v>44610</c:v>
                </c:pt>
                <c:pt idx="809">
                  <c:v>44617</c:v>
                </c:pt>
                <c:pt idx="810">
                  <c:v>44624</c:v>
                </c:pt>
                <c:pt idx="811">
                  <c:v>44631</c:v>
                </c:pt>
                <c:pt idx="812">
                  <c:v>44638</c:v>
                </c:pt>
                <c:pt idx="813">
                  <c:v>44645</c:v>
                </c:pt>
                <c:pt idx="814">
                  <c:v>44652</c:v>
                </c:pt>
                <c:pt idx="815">
                  <c:v>44659</c:v>
                </c:pt>
                <c:pt idx="816">
                  <c:v>44670</c:v>
                </c:pt>
                <c:pt idx="817">
                  <c:v>44673</c:v>
                </c:pt>
                <c:pt idx="818">
                  <c:v>44680</c:v>
                </c:pt>
                <c:pt idx="819">
                  <c:v>44687</c:v>
                </c:pt>
                <c:pt idx="820">
                  <c:v>44694</c:v>
                </c:pt>
                <c:pt idx="821">
                  <c:v>44701</c:v>
                </c:pt>
                <c:pt idx="822">
                  <c:v>44708</c:v>
                </c:pt>
                <c:pt idx="823">
                  <c:v>44715</c:v>
                </c:pt>
                <c:pt idx="824">
                  <c:v>44722</c:v>
                </c:pt>
                <c:pt idx="825">
                  <c:v>44729</c:v>
                </c:pt>
                <c:pt idx="826">
                  <c:v>44736</c:v>
                </c:pt>
                <c:pt idx="827">
                  <c:v>44743</c:v>
                </c:pt>
                <c:pt idx="828">
                  <c:v>44750</c:v>
                </c:pt>
                <c:pt idx="829">
                  <c:v>44757</c:v>
                </c:pt>
                <c:pt idx="830">
                  <c:v>44764</c:v>
                </c:pt>
                <c:pt idx="831">
                  <c:v>44771</c:v>
                </c:pt>
                <c:pt idx="832">
                  <c:v>44778</c:v>
                </c:pt>
                <c:pt idx="833">
                  <c:v>44785</c:v>
                </c:pt>
                <c:pt idx="834">
                  <c:v>44792</c:v>
                </c:pt>
                <c:pt idx="835">
                  <c:v>44799</c:v>
                </c:pt>
                <c:pt idx="836">
                  <c:v>44806</c:v>
                </c:pt>
                <c:pt idx="837">
                  <c:v>44813</c:v>
                </c:pt>
                <c:pt idx="838">
                  <c:v>44820</c:v>
                </c:pt>
                <c:pt idx="839">
                  <c:v>44827</c:v>
                </c:pt>
                <c:pt idx="840">
                  <c:v>44834</c:v>
                </c:pt>
                <c:pt idx="841">
                  <c:v>44841</c:v>
                </c:pt>
                <c:pt idx="842">
                  <c:v>44848</c:v>
                </c:pt>
                <c:pt idx="843">
                  <c:v>44855</c:v>
                </c:pt>
                <c:pt idx="844">
                  <c:v>44862</c:v>
                </c:pt>
                <c:pt idx="845">
                  <c:v>44869</c:v>
                </c:pt>
                <c:pt idx="846">
                  <c:v>44876</c:v>
                </c:pt>
                <c:pt idx="847">
                  <c:v>44883</c:v>
                </c:pt>
                <c:pt idx="848">
                  <c:v>44890</c:v>
                </c:pt>
                <c:pt idx="849">
                  <c:v>44897</c:v>
                </c:pt>
                <c:pt idx="850">
                  <c:v>44904</c:v>
                </c:pt>
                <c:pt idx="851">
                  <c:v>44911</c:v>
                </c:pt>
                <c:pt idx="852">
                  <c:v>44918</c:v>
                </c:pt>
                <c:pt idx="853">
                  <c:v>44925</c:v>
                </c:pt>
                <c:pt idx="854">
                  <c:v>44932</c:v>
                </c:pt>
                <c:pt idx="855">
                  <c:v>44939</c:v>
                </c:pt>
                <c:pt idx="856">
                  <c:v>44946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45030</c:v>
                </c:pt>
                <c:pt idx="869">
                  <c:v>45037</c:v>
                </c:pt>
                <c:pt idx="870">
                  <c:v>45044</c:v>
                </c:pt>
                <c:pt idx="871">
                  <c:v>45051</c:v>
                </c:pt>
                <c:pt idx="872">
                  <c:v>45058</c:v>
                </c:pt>
                <c:pt idx="873">
                  <c:v>45065</c:v>
                </c:pt>
                <c:pt idx="874">
                  <c:v>45072</c:v>
                </c:pt>
                <c:pt idx="875">
                  <c:v>45079</c:v>
                </c:pt>
                <c:pt idx="876">
                  <c:v>45086</c:v>
                </c:pt>
                <c:pt idx="877">
                  <c:v>45093</c:v>
                </c:pt>
                <c:pt idx="878">
                  <c:v>45100</c:v>
                </c:pt>
                <c:pt idx="879">
                  <c:v>45107</c:v>
                </c:pt>
                <c:pt idx="880">
                  <c:v>45114</c:v>
                </c:pt>
                <c:pt idx="881">
                  <c:v>45121</c:v>
                </c:pt>
                <c:pt idx="882">
                  <c:v>45128</c:v>
                </c:pt>
                <c:pt idx="883">
                  <c:v>45135</c:v>
                </c:pt>
                <c:pt idx="884">
                  <c:v>45142</c:v>
                </c:pt>
                <c:pt idx="885">
                  <c:v>45149</c:v>
                </c:pt>
                <c:pt idx="886">
                  <c:v>45156</c:v>
                </c:pt>
                <c:pt idx="887">
                  <c:v>45163</c:v>
                </c:pt>
                <c:pt idx="888">
                  <c:v>45170</c:v>
                </c:pt>
                <c:pt idx="889">
                  <c:v>45177</c:v>
                </c:pt>
                <c:pt idx="890">
                  <c:v>45184</c:v>
                </c:pt>
                <c:pt idx="891">
                  <c:v>45191</c:v>
                </c:pt>
                <c:pt idx="892">
                  <c:v>45198</c:v>
                </c:pt>
                <c:pt idx="893">
                  <c:v>45205</c:v>
                </c:pt>
                <c:pt idx="894">
                  <c:v>45212</c:v>
                </c:pt>
                <c:pt idx="895">
                  <c:v>45219</c:v>
                </c:pt>
                <c:pt idx="896">
                  <c:v>45226</c:v>
                </c:pt>
                <c:pt idx="897">
                  <c:v>45233</c:v>
                </c:pt>
                <c:pt idx="898">
                  <c:v>45240</c:v>
                </c:pt>
                <c:pt idx="899">
                  <c:v>45247</c:v>
                </c:pt>
                <c:pt idx="900">
                  <c:v>45254</c:v>
                </c:pt>
                <c:pt idx="901">
                  <c:v>45261</c:v>
                </c:pt>
                <c:pt idx="902">
                  <c:v>45268</c:v>
                </c:pt>
                <c:pt idx="903">
                  <c:v>45275</c:v>
                </c:pt>
                <c:pt idx="904">
                  <c:v>45282</c:v>
                </c:pt>
                <c:pt idx="905">
                  <c:v>45289</c:v>
                </c:pt>
                <c:pt idx="906">
                  <c:v>45296</c:v>
                </c:pt>
                <c:pt idx="907">
                  <c:v>45303</c:v>
                </c:pt>
                <c:pt idx="908">
                  <c:v>45310</c:v>
                </c:pt>
                <c:pt idx="909">
                  <c:v>45317</c:v>
                </c:pt>
                <c:pt idx="910">
                  <c:v>45324</c:v>
                </c:pt>
                <c:pt idx="911">
                  <c:v>45331</c:v>
                </c:pt>
                <c:pt idx="912">
                  <c:v>45338</c:v>
                </c:pt>
                <c:pt idx="913">
                  <c:v>45345</c:v>
                </c:pt>
                <c:pt idx="914">
                  <c:v>45352</c:v>
                </c:pt>
                <c:pt idx="915">
                  <c:v>45359</c:v>
                </c:pt>
                <c:pt idx="916">
                  <c:v>45366</c:v>
                </c:pt>
                <c:pt idx="917">
                  <c:v>45373</c:v>
                </c:pt>
                <c:pt idx="918">
                  <c:v>45384</c:v>
                </c:pt>
                <c:pt idx="919">
                  <c:v>45387</c:v>
                </c:pt>
                <c:pt idx="920">
                  <c:v>45394</c:v>
                </c:pt>
                <c:pt idx="921">
                  <c:v>45401</c:v>
                </c:pt>
                <c:pt idx="922">
                  <c:v>45408</c:v>
                </c:pt>
                <c:pt idx="923">
                  <c:v>45415</c:v>
                </c:pt>
                <c:pt idx="924">
                  <c:v>45422</c:v>
                </c:pt>
                <c:pt idx="925">
                  <c:v>45429</c:v>
                </c:pt>
                <c:pt idx="926">
                  <c:v>45436</c:v>
                </c:pt>
                <c:pt idx="927">
                  <c:v>45443</c:v>
                </c:pt>
                <c:pt idx="928">
                  <c:v>45450</c:v>
                </c:pt>
                <c:pt idx="929">
                  <c:v>45457</c:v>
                </c:pt>
                <c:pt idx="930">
                  <c:v>45464</c:v>
                </c:pt>
                <c:pt idx="931">
                  <c:v>45471</c:v>
                </c:pt>
                <c:pt idx="932">
                  <c:v>45478</c:v>
                </c:pt>
                <c:pt idx="933">
                  <c:v>45485</c:v>
                </c:pt>
                <c:pt idx="934">
                  <c:v>45492</c:v>
                </c:pt>
                <c:pt idx="935">
                  <c:v>45499</c:v>
                </c:pt>
                <c:pt idx="936">
                  <c:v>45506</c:v>
                </c:pt>
                <c:pt idx="937">
                  <c:v>45513</c:v>
                </c:pt>
                <c:pt idx="938">
                  <c:v>45520</c:v>
                </c:pt>
                <c:pt idx="939">
                  <c:v>45527</c:v>
                </c:pt>
                <c:pt idx="940">
                  <c:v>45534</c:v>
                </c:pt>
                <c:pt idx="941">
                  <c:v>45541</c:v>
                </c:pt>
                <c:pt idx="942">
                  <c:v>45548</c:v>
                </c:pt>
                <c:pt idx="943">
                  <c:v>45555</c:v>
                </c:pt>
                <c:pt idx="944">
                  <c:v>45562</c:v>
                </c:pt>
                <c:pt idx="945">
                  <c:v>45569</c:v>
                </c:pt>
                <c:pt idx="946">
                  <c:v>45576</c:v>
                </c:pt>
                <c:pt idx="947">
                  <c:v>45583</c:v>
                </c:pt>
                <c:pt idx="948">
                  <c:v>45590</c:v>
                </c:pt>
                <c:pt idx="949">
                  <c:v>45597</c:v>
                </c:pt>
                <c:pt idx="950">
                  <c:v>45604</c:v>
                </c:pt>
                <c:pt idx="951">
                  <c:v>45611</c:v>
                </c:pt>
                <c:pt idx="952">
                  <c:v>45618</c:v>
                </c:pt>
                <c:pt idx="953">
                  <c:v>45625</c:v>
                </c:pt>
                <c:pt idx="954">
                  <c:v>45632</c:v>
                </c:pt>
                <c:pt idx="955">
                  <c:v>45639</c:v>
                </c:pt>
                <c:pt idx="956">
                  <c:v>45646</c:v>
                </c:pt>
                <c:pt idx="957">
                  <c:v>45657</c:v>
                </c:pt>
                <c:pt idx="958">
                  <c:v>45664</c:v>
                </c:pt>
                <c:pt idx="959">
                  <c:v>45671</c:v>
                </c:pt>
                <c:pt idx="960">
                  <c:v>45678</c:v>
                </c:pt>
                <c:pt idx="961">
                  <c:v>45685</c:v>
                </c:pt>
                <c:pt idx="962">
                  <c:v>45692</c:v>
                </c:pt>
                <c:pt idx="963">
                  <c:v>45699</c:v>
                </c:pt>
                <c:pt idx="964">
                  <c:v>45706</c:v>
                </c:pt>
                <c:pt idx="965">
                  <c:v>45713</c:v>
                </c:pt>
                <c:pt idx="966">
                  <c:v>45720</c:v>
                </c:pt>
                <c:pt idx="967">
                  <c:v>45727</c:v>
                </c:pt>
                <c:pt idx="968">
                  <c:v>45734</c:v>
                </c:pt>
                <c:pt idx="969">
                  <c:v>45741</c:v>
                </c:pt>
                <c:pt idx="970">
                  <c:v>45748</c:v>
                </c:pt>
                <c:pt idx="971">
                  <c:v>45755</c:v>
                </c:pt>
                <c:pt idx="972">
                  <c:v>45762</c:v>
                </c:pt>
                <c:pt idx="973">
                  <c:v>45771</c:v>
                </c:pt>
                <c:pt idx="974">
                  <c:v>45778</c:v>
                </c:pt>
                <c:pt idx="975">
                  <c:v>45785</c:v>
                </c:pt>
                <c:pt idx="976">
                  <c:v>45792</c:v>
                </c:pt>
                <c:pt idx="977">
                  <c:v>45799</c:v>
                </c:pt>
                <c:pt idx="978">
                  <c:v>45806</c:v>
                </c:pt>
                <c:pt idx="979">
                  <c:v>45813</c:v>
                </c:pt>
                <c:pt idx="980">
                  <c:v>45820</c:v>
                </c:pt>
                <c:pt idx="981">
                  <c:v>45827</c:v>
                </c:pt>
                <c:pt idx="982">
                  <c:v>45834</c:v>
                </c:pt>
                <c:pt idx="983">
                  <c:v>45841</c:v>
                </c:pt>
                <c:pt idx="984">
                  <c:v>45848</c:v>
                </c:pt>
                <c:pt idx="985">
                  <c:v>45855</c:v>
                </c:pt>
                <c:pt idx="986">
                  <c:v>45862</c:v>
                </c:pt>
                <c:pt idx="987">
                  <c:v>45869</c:v>
                </c:pt>
                <c:pt idx="988">
                  <c:v>45876</c:v>
                </c:pt>
                <c:pt idx="989">
                  <c:v>45883</c:v>
                </c:pt>
                <c:pt idx="990">
                  <c:v>45890</c:v>
                </c:pt>
                <c:pt idx="991">
                  <c:v>45897</c:v>
                </c:pt>
                <c:pt idx="992">
                  <c:v>45904</c:v>
                </c:pt>
                <c:pt idx="993">
                  <c:v>45911</c:v>
                </c:pt>
                <c:pt idx="994">
                  <c:v>45918</c:v>
                </c:pt>
                <c:pt idx="995">
                  <c:v>45925</c:v>
                </c:pt>
                <c:pt idx="996">
                  <c:v>45932</c:v>
                </c:pt>
                <c:pt idx="997">
                  <c:v>45939</c:v>
                </c:pt>
                <c:pt idx="998">
                  <c:v>45946</c:v>
                </c:pt>
                <c:pt idx="999">
                  <c:v>45953</c:v>
                </c:pt>
                <c:pt idx="1000">
                  <c:v>45960</c:v>
                </c:pt>
                <c:pt idx="1001">
                  <c:v>45967</c:v>
                </c:pt>
                <c:pt idx="1002">
                  <c:v>45974</c:v>
                </c:pt>
                <c:pt idx="1003">
                  <c:v>45981</c:v>
                </c:pt>
                <c:pt idx="1004">
                  <c:v>45988</c:v>
                </c:pt>
                <c:pt idx="1005">
                  <c:v>45995</c:v>
                </c:pt>
                <c:pt idx="1006">
                  <c:v>46002</c:v>
                </c:pt>
                <c:pt idx="1007">
                  <c:v>46009</c:v>
                </c:pt>
                <c:pt idx="1008">
                  <c:v>46020</c:v>
                </c:pt>
                <c:pt idx="1009">
                  <c:v>46024</c:v>
                </c:pt>
                <c:pt idx="1010">
                  <c:v>46030</c:v>
                </c:pt>
                <c:pt idx="1011">
                  <c:v>46037</c:v>
                </c:pt>
                <c:pt idx="1012">
                  <c:v>46044</c:v>
                </c:pt>
                <c:pt idx="1013">
                  <c:v>46051</c:v>
                </c:pt>
                <c:pt idx="1014">
                  <c:v>46058</c:v>
                </c:pt>
                <c:pt idx="1015">
                  <c:v>46065</c:v>
                </c:pt>
                <c:pt idx="1016">
                  <c:v>46072</c:v>
                </c:pt>
                <c:pt idx="1017">
                  <c:v>46079</c:v>
                </c:pt>
                <c:pt idx="1018">
                  <c:v>46086</c:v>
                </c:pt>
                <c:pt idx="1019">
                  <c:v>46093</c:v>
                </c:pt>
                <c:pt idx="1020">
                  <c:v>46100</c:v>
                </c:pt>
                <c:pt idx="1021">
                  <c:v>46107</c:v>
                </c:pt>
                <c:pt idx="1022">
                  <c:v>46114</c:v>
                </c:pt>
                <c:pt idx="1023">
                  <c:v>46121</c:v>
                </c:pt>
                <c:pt idx="1024">
                  <c:v>46128</c:v>
                </c:pt>
                <c:pt idx="1025">
                  <c:v>46135</c:v>
                </c:pt>
                <c:pt idx="1026">
                  <c:v>46142</c:v>
                </c:pt>
                <c:pt idx="1027">
                  <c:v>46149</c:v>
                </c:pt>
                <c:pt idx="1028">
                  <c:v>46156</c:v>
                </c:pt>
                <c:pt idx="1029">
                  <c:v>46163</c:v>
                </c:pt>
                <c:pt idx="1030">
                  <c:v>46170</c:v>
                </c:pt>
                <c:pt idx="1031">
                  <c:v>46177</c:v>
                </c:pt>
                <c:pt idx="1032">
                  <c:v>46184</c:v>
                </c:pt>
                <c:pt idx="1033">
                  <c:v>46191</c:v>
                </c:pt>
                <c:pt idx="1034">
                  <c:v>46198</c:v>
                </c:pt>
                <c:pt idx="1035">
                  <c:v>46205</c:v>
                </c:pt>
                <c:pt idx="1036">
                  <c:v>46212</c:v>
                </c:pt>
                <c:pt idx="1037">
                  <c:v>46219</c:v>
                </c:pt>
                <c:pt idx="1038">
                  <c:v>46226</c:v>
                </c:pt>
                <c:pt idx="1039">
                  <c:v>46233</c:v>
                </c:pt>
                <c:pt idx="1040">
                  <c:v>46240</c:v>
                </c:pt>
                <c:pt idx="1041">
                  <c:v>46247</c:v>
                </c:pt>
                <c:pt idx="1042">
                  <c:v>46254</c:v>
                </c:pt>
                <c:pt idx="1043">
                  <c:v>46261</c:v>
                </c:pt>
                <c:pt idx="1044">
                  <c:v>46268</c:v>
                </c:pt>
                <c:pt idx="1045">
                  <c:v>46275</c:v>
                </c:pt>
                <c:pt idx="1046">
                  <c:v>46282</c:v>
                </c:pt>
                <c:pt idx="1047">
                  <c:v>46289</c:v>
                </c:pt>
                <c:pt idx="1048">
                  <c:v>46296</c:v>
                </c:pt>
                <c:pt idx="1049">
                  <c:v>46303</c:v>
                </c:pt>
                <c:pt idx="1050">
                  <c:v>46310</c:v>
                </c:pt>
                <c:pt idx="1051">
                  <c:v>46317</c:v>
                </c:pt>
                <c:pt idx="1052">
                  <c:v>46324</c:v>
                </c:pt>
                <c:pt idx="1053">
                  <c:v>46331</c:v>
                </c:pt>
                <c:pt idx="1054">
                  <c:v>46338</c:v>
                </c:pt>
                <c:pt idx="1055">
                  <c:v>46345</c:v>
                </c:pt>
                <c:pt idx="1056">
                  <c:v>46352</c:v>
                </c:pt>
                <c:pt idx="1057">
                  <c:v>46359</c:v>
                </c:pt>
                <c:pt idx="1058">
                  <c:v>46366</c:v>
                </c:pt>
                <c:pt idx="1059">
                  <c:v>46373</c:v>
                </c:pt>
                <c:pt idx="1060">
                  <c:v>46380</c:v>
                </c:pt>
                <c:pt idx="1061">
                  <c:v>46387</c:v>
                </c:pt>
                <c:pt idx="1062">
                  <c:v>46394</c:v>
                </c:pt>
                <c:pt idx="1063">
                  <c:v>46401</c:v>
                </c:pt>
                <c:pt idx="1064">
                  <c:v>46408</c:v>
                </c:pt>
                <c:pt idx="1065">
                  <c:v>46415</c:v>
                </c:pt>
                <c:pt idx="1066">
                  <c:v>46422</c:v>
                </c:pt>
                <c:pt idx="1067">
                  <c:v>46429</c:v>
                </c:pt>
                <c:pt idx="1068">
                  <c:v>46436</c:v>
                </c:pt>
                <c:pt idx="1069">
                  <c:v>46443</c:v>
                </c:pt>
                <c:pt idx="1070">
                  <c:v>46450</c:v>
                </c:pt>
                <c:pt idx="1071">
                  <c:v>46457</c:v>
                </c:pt>
                <c:pt idx="1072">
                  <c:v>46464</c:v>
                </c:pt>
                <c:pt idx="1073">
                  <c:v>46471</c:v>
                </c:pt>
                <c:pt idx="1074">
                  <c:v>46478</c:v>
                </c:pt>
                <c:pt idx="1075">
                  <c:v>46485</c:v>
                </c:pt>
                <c:pt idx="1076">
                  <c:v>46492</c:v>
                </c:pt>
                <c:pt idx="1077">
                  <c:v>46499</c:v>
                </c:pt>
                <c:pt idx="1078">
                  <c:v>46506</c:v>
                </c:pt>
                <c:pt idx="1079">
                  <c:v>46513</c:v>
                </c:pt>
                <c:pt idx="1080">
                  <c:v>46520</c:v>
                </c:pt>
                <c:pt idx="1081">
                  <c:v>46527</c:v>
                </c:pt>
                <c:pt idx="1082">
                  <c:v>46534</c:v>
                </c:pt>
                <c:pt idx="1083">
                  <c:v>46541</c:v>
                </c:pt>
                <c:pt idx="1084">
                  <c:v>46548</c:v>
                </c:pt>
                <c:pt idx="1085">
                  <c:v>46555</c:v>
                </c:pt>
                <c:pt idx="1086">
                  <c:v>46562</c:v>
                </c:pt>
                <c:pt idx="1087">
                  <c:v>46569</c:v>
                </c:pt>
                <c:pt idx="1088">
                  <c:v>46576</c:v>
                </c:pt>
                <c:pt idx="1089">
                  <c:v>46583</c:v>
                </c:pt>
                <c:pt idx="1090">
                  <c:v>46590</c:v>
                </c:pt>
                <c:pt idx="1091">
                  <c:v>46597</c:v>
                </c:pt>
                <c:pt idx="1092">
                  <c:v>46604</c:v>
                </c:pt>
                <c:pt idx="1093">
                  <c:v>46611</c:v>
                </c:pt>
                <c:pt idx="1094">
                  <c:v>46618</c:v>
                </c:pt>
                <c:pt idx="1095">
                  <c:v>46625</c:v>
                </c:pt>
                <c:pt idx="1096">
                  <c:v>46632</c:v>
                </c:pt>
                <c:pt idx="1097">
                  <c:v>46639</c:v>
                </c:pt>
                <c:pt idx="1098">
                  <c:v>46646</c:v>
                </c:pt>
                <c:pt idx="1099">
                  <c:v>46653</c:v>
                </c:pt>
                <c:pt idx="1100">
                  <c:v>46660</c:v>
                </c:pt>
                <c:pt idx="1101">
                  <c:v>46667</c:v>
                </c:pt>
                <c:pt idx="1102">
                  <c:v>46674</c:v>
                </c:pt>
                <c:pt idx="1103">
                  <c:v>46681</c:v>
                </c:pt>
                <c:pt idx="1104">
                  <c:v>46688</c:v>
                </c:pt>
                <c:pt idx="1105">
                  <c:v>46695</c:v>
                </c:pt>
                <c:pt idx="1106">
                  <c:v>46702</c:v>
                </c:pt>
                <c:pt idx="1107">
                  <c:v>46709</c:v>
                </c:pt>
                <c:pt idx="1108">
                  <c:v>46716</c:v>
                </c:pt>
                <c:pt idx="1109">
                  <c:v>46723</c:v>
                </c:pt>
                <c:pt idx="1110">
                  <c:v>46730</c:v>
                </c:pt>
                <c:pt idx="1111">
                  <c:v>46737</c:v>
                </c:pt>
                <c:pt idx="1112">
                  <c:v>46744</c:v>
                </c:pt>
                <c:pt idx="1113">
                  <c:v>46752</c:v>
                </c:pt>
                <c:pt idx="1114">
                  <c:v>46759</c:v>
                </c:pt>
                <c:pt idx="1115">
                  <c:v>46766</c:v>
                </c:pt>
                <c:pt idx="1116">
                  <c:v>46773</c:v>
                </c:pt>
                <c:pt idx="1117">
                  <c:v>46780</c:v>
                </c:pt>
                <c:pt idx="1118">
                  <c:v>46787</c:v>
                </c:pt>
                <c:pt idx="1119">
                  <c:v>46794</c:v>
                </c:pt>
                <c:pt idx="1120">
                  <c:v>46801</c:v>
                </c:pt>
                <c:pt idx="1121">
                  <c:v>46808</c:v>
                </c:pt>
                <c:pt idx="1122">
                  <c:v>46815</c:v>
                </c:pt>
                <c:pt idx="1123">
                  <c:v>46822</c:v>
                </c:pt>
                <c:pt idx="1124">
                  <c:v>46829</c:v>
                </c:pt>
                <c:pt idx="1125">
                  <c:v>46836</c:v>
                </c:pt>
                <c:pt idx="1126">
                  <c:v>46843</c:v>
                </c:pt>
                <c:pt idx="1127">
                  <c:v>46850</c:v>
                </c:pt>
                <c:pt idx="1128">
                  <c:v>46861</c:v>
                </c:pt>
                <c:pt idx="1129">
                  <c:v>46864</c:v>
                </c:pt>
                <c:pt idx="1130">
                  <c:v>46871</c:v>
                </c:pt>
                <c:pt idx="1131">
                  <c:v>46878</c:v>
                </c:pt>
                <c:pt idx="1132">
                  <c:v>46885</c:v>
                </c:pt>
                <c:pt idx="1133">
                  <c:v>46892</c:v>
                </c:pt>
                <c:pt idx="1134">
                  <c:v>46899</c:v>
                </c:pt>
                <c:pt idx="1135">
                  <c:v>46906</c:v>
                </c:pt>
                <c:pt idx="1136">
                  <c:v>46913</c:v>
                </c:pt>
                <c:pt idx="1137">
                  <c:v>46920</c:v>
                </c:pt>
                <c:pt idx="1138">
                  <c:v>46927</c:v>
                </c:pt>
                <c:pt idx="1139">
                  <c:v>46934</c:v>
                </c:pt>
                <c:pt idx="1140">
                  <c:v>46941</c:v>
                </c:pt>
                <c:pt idx="1141">
                  <c:v>46948</c:v>
                </c:pt>
                <c:pt idx="1142">
                  <c:v>46955</c:v>
                </c:pt>
                <c:pt idx="1143">
                  <c:v>46962</c:v>
                </c:pt>
                <c:pt idx="1144">
                  <c:v>46969</c:v>
                </c:pt>
                <c:pt idx="1145">
                  <c:v>46976</c:v>
                </c:pt>
                <c:pt idx="1146">
                  <c:v>46983</c:v>
                </c:pt>
                <c:pt idx="1147">
                  <c:v>46990</c:v>
                </c:pt>
                <c:pt idx="1148">
                  <c:v>46997</c:v>
                </c:pt>
                <c:pt idx="1149">
                  <c:v>47004</c:v>
                </c:pt>
                <c:pt idx="1150">
                  <c:v>47011</c:v>
                </c:pt>
                <c:pt idx="1151">
                  <c:v>47018</c:v>
                </c:pt>
                <c:pt idx="1152">
                  <c:v>47025</c:v>
                </c:pt>
                <c:pt idx="1153">
                  <c:v>47032</c:v>
                </c:pt>
                <c:pt idx="1154">
                  <c:v>47039</c:v>
                </c:pt>
                <c:pt idx="1155">
                  <c:v>47046</c:v>
                </c:pt>
                <c:pt idx="1156">
                  <c:v>47053</c:v>
                </c:pt>
                <c:pt idx="1157">
                  <c:v>47060</c:v>
                </c:pt>
                <c:pt idx="1158">
                  <c:v>47067</c:v>
                </c:pt>
                <c:pt idx="1159">
                  <c:v>47074</c:v>
                </c:pt>
                <c:pt idx="1160">
                  <c:v>47081</c:v>
                </c:pt>
                <c:pt idx="1161">
                  <c:v>47088</c:v>
                </c:pt>
                <c:pt idx="1162">
                  <c:v>47095</c:v>
                </c:pt>
                <c:pt idx="1163">
                  <c:v>47102</c:v>
                </c:pt>
                <c:pt idx="1164">
                  <c:v>47109</c:v>
                </c:pt>
                <c:pt idx="1165">
                  <c:v>47116</c:v>
                </c:pt>
                <c:pt idx="1166">
                  <c:v>47123</c:v>
                </c:pt>
                <c:pt idx="1167">
                  <c:v>47130</c:v>
                </c:pt>
                <c:pt idx="1168">
                  <c:v>47137</c:v>
                </c:pt>
                <c:pt idx="1169">
                  <c:v>47144</c:v>
                </c:pt>
                <c:pt idx="1170">
                  <c:v>47151</c:v>
                </c:pt>
                <c:pt idx="1171">
                  <c:v>47158</c:v>
                </c:pt>
                <c:pt idx="1172">
                  <c:v>47165</c:v>
                </c:pt>
                <c:pt idx="1173">
                  <c:v>47172</c:v>
                </c:pt>
                <c:pt idx="1174">
                  <c:v>47179</c:v>
                </c:pt>
                <c:pt idx="1175">
                  <c:v>47186</c:v>
                </c:pt>
                <c:pt idx="1176">
                  <c:v>47193</c:v>
                </c:pt>
                <c:pt idx="1177">
                  <c:v>47200</c:v>
                </c:pt>
                <c:pt idx="1178">
                  <c:v>47211</c:v>
                </c:pt>
                <c:pt idx="1179">
                  <c:v>47214</c:v>
                </c:pt>
                <c:pt idx="1180">
                  <c:v>47221</c:v>
                </c:pt>
                <c:pt idx="1181">
                  <c:v>47228</c:v>
                </c:pt>
                <c:pt idx="1182">
                  <c:v>47235</c:v>
                </c:pt>
                <c:pt idx="1183">
                  <c:v>47242</c:v>
                </c:pt>
                <c:pt idx="1184">
                  <c:v>47249</c:v>
                </c:pt>
                <c:pt idx="1185">
                  <c:v>47256</c:v>
                </c:pt>
                <c:pt idx="1186">
                  <c:v>47263</c:v>
                </c:pt>
                <c:pt idx="1187">
                  <c:v>47270</c:v>
                </c:pt>
                <c:pt idx="1188">
                  <c:v>47277</c:v>
                </c:pt>
                <c:pt idx="1189">
                  <c:v>47284</c:v>
                </c:pt>
                <c:pt idx="1190">
                  <c:v>47291</c:v>
                </c:pt>
                <c:pt idx="1191">
                  <c:v>47298</c:v>
                </c:pt>
                <c:pt idx="1192">
                  <c:v>47305</c:v>
                </c:pt>
                <c:pt idx="1193">
                  <c:v>47312</c:v>
                </c:pt>
                <c:pt idx="1194">
                  <c:v>47319</c:v>
                </c:pt>
                <c:pt idx="1195">
                  <c:v>47326</c:v>
                </c:pt>
                <c:pt idx="1196">
                  <c:v>47333</c:v>
                </c:pt>
                <c:pt idx="1197">
                  <c:v>47340</c:v>
                </c:pt>
                <c:pt idx="1198">
                  <c:v>47347</c:v>
                </c:pt>
                <c:pt idx="1199">
                  <c:v>47354</c:v>
                </c:pt>
                <c:pt idx="1200">
                  <c:v>47361</c:v>
                </c:pt>
                <c:pt idx="1201">
                  <c:v>47368</c:v>
                </c:pt>
                <c:pt idx="1202">
                  <c:v>47375</c:v>
                </c:pt>
                <c:pt idx="1203">
                  <c:v>47382</c:v>
                </c:pt>
                <c:pt idx="1204">
                  <c:v>47389</c:v>
                </c:pt>
                <c:pt idx="1205">
                  <c:v>47396</c:v>
                </c:pt>
                <c:pt idx="1206">
                  <c:v>47403</c:v>
                </c:pt>
                <c:pt idx="1207">
                  <c:v>47410</c:v>
                </c:pt>
                <c:pt idx="1208">
                  <c:v>47417</c:v>
                </c:pt>
                <c:pt idx="1209">
                  <c:v>47424</c:v>
                </c:pt>
                <c:pt idx="1210">
                  <c:v>47431</c:v>
                </c:pt>
                <c:pt idx="1211">
                  <c:v>47438</c:v>
                </c:pt>
                <c:pt idx="1212">
                  <c:v>47445</c:v>
                </c:pt>
                <c:pt idx="1213">
                  <c:v>47452</c:v>
                </c:pt>
                <c:pt idx="1214">
                  <c:v>47459</c:v>
                </c:pt>
                <c:pt idx="1215">
                  <c:v>47466</c:v>
                </c:pt>
                <c:pt idx="1216">
                  <c:v>47473</c:v>
                </c:pt>
                <c:pt idx="1217">
                  <c:v>47483</c:v>
                </c:pt>
                <c:pt idx="1218">
                  <c:v>47490</c:v>
                </c:pt>
                <c:pt idx="1219">
                  <c:v>47497</c:v>
                </c:pt>
                <c:pt idx="1220">
                  <c:v>47504</c:v>
                </c:pt>
                <c:pt idx="1221">
                  <c:v>47511</c:v>
                </c:pt>
                <c:pt idx="1222">
                  <c:v>47518</c:v>
                </c:pt>
                <c:pt idx="1223">
                  <c:v>47525</c:v>
                </c:pt>
                <c:pt idx="1224">
                  <c:v>47532</c:v>
                </c:pt>
                <c:pt idx="1225">
                  <c:v>47539</c:v>
                </c:pt>
                <c:pt idx="1226">
                  <c:v>47546</c:v>
                </c:pt>
                <c:pt idx="1227">
                  <c:v>47553</c:v>
                </c:pt>
                <c:pt idx="1228">
                  <c:v>47560</c:v>
                </c:pt>
                <c:pt idx="1229">
                  <c:v>47567</c:v>
                </c:pt>
                <c:pt idx="1230">
                  <c:v>47574</c:v>
                </c:pt>
                <c:pt idx="1231">
                  <c:v>47581</c:v>
                </c:pt>
                <c:pt idx="1232">
                  <c:v>47588</c:v>
                </c:pt>
                <c:pt idx="1233">
                  <c:v>47597</c:v>
                </c:pt>
                <c:pt idx="1234">
                  <c:v>47602</c:v>
                </c:pt>
                <c:pt idx="1235">
                  <c:v>47610</c:v>
                </c:pt>
                <c:pt idx="1236">
                  <c:v>47616</c:v>
                </c:pt>
                <c:pt idx="1237">
                  <c:v>47623</c:v>
                </c:pt>
                <c:pt idx="1238">
                  <c:v>47631</c:v>
                </c:pt>
                <c:pt idx="1239">
                  <c:v>47637</c:v>
                </c:pt>
                <c:pt idx="1240">
                  <c:v>47644</c:v>
                </c:pt>
                <c:pt idx="1241">
                  <c:v>47651</c:v>
                </c:pt>
                <c:pt idx="1242">
                  <c:v>47658</c:v>
                </c:pt>
                <c:pt idx="1243">
                  <c:v>47665</c:v>
                </c:pt>
                <c:pt idx="1244">
                  <c:v>47672</c:v>
                </c:pt>
                <c:pt idx="1245">
                  <c:v>47679</c:v>
                </c:pt>
                <c:pt idx="1246">
                  <c:v>47686</c:v>
                </c:pt>
                <c:pt idx="1247">
                  <c:v>47693</c:v>
                </c:pt>
                <c:pt idx="1248">
                  <c:v>47700</c:v>
                </c:pt>
                <c:pt idx="1249">
                  <c:v>47707</c:v>
                </c:pt>
                <c:pt idx="1250">
                  <c:v>47714</c:v>
                </c:pt>
                <c:pt idx="1251">
                  <c:v>47722</c:v>
                </c:pt>
                <c:pt idx="1252">
                  <c:v>47728</c:v>
                </c:pt>
                <c:pt idx="1253">
                  <c:v>47735</c:v>
                </c:pt>
                <c:pt idx="1254">
                  <c:v>47742</c:v>
                </c:pt>
                <c:pt idx="1255">
                  <c:v>47749</c:v>
                </c:pt>
                <c:pt idx="1256">
                  <c:v>47756</c:v>
                </c:pt>
                <c:pt idx="1257">
                  <c:v>47763</c:v>
                </c:pt>
                <c:pt idx="1258">
                  <c:v>47770</c:v>
                </c:pt>
                <c:pt idx="1259">
                  <c:v>47777</c:v>
                </c:pt>
                <c:pt idx="1260">
                  <c:v>47784</c:v>
                </c:pt>
                <c:pt idx="1261">
                  <c:v>47791</c:v>
                </c:pt>
                <c:pt idx="1262">
                  <c:v>47798</c:v>
                </c:pt>
                <c:pt idx="1263">
                  <c:v>47805</c:v>
                </c:pt>
                <c:pt idx="1264">
                  <c:v>47812</c:v>
                </c:pt>
                <c:pt idx="1265">
                  <c:v>47819</c:v>
                </c:pt>
                <c:pt idx="1266">
                  <c:v>47826</c:v>
                </c:pt>
                <c:pt idx="1267">
                  <c:v>47833</c:v>
                </c:pt>
                <c:pt idx="1268">
                  <c:v>47840</c:v>
                </c:pt>
                <c:pt idx="1269">
                  <c:v>47848</c:v>
                </c:pt>
                <c:pt idx="1270">
                  <c:v>47855</c:v>
                </c:pt>
                <c:pt idx="1271">
                  <c:v>47862</c:v>
                </c:pt>
                <c:pt idx="1272">
                  <c:v>47869</c:v>
                </c:pt>
                <c:pt idx="1273">
                  <c:v>47876</c:v>
                </c:pt>
                <c:pt idx="1274">
                  <c:v>47883</c:v>
                </c:pt>
                <c:pt idx="1275">
                  <c:v>47890</c:v>
                </c:pt>
                <c:pt idx="1276">
                  <c:v>47897</c:v>
                </c:pt>
                <c:pt idx="1277">
                  <c:v>47904</c:v>
                </c:pt>
                <c:pt idx="1278">
                  <c:v>47911</c:v>
                </c:pt>
                <c:pt idx="1279">
                  <c:v>47918</c:v>
                </c:pt>
                <c:pt idx="1280">
                  <c:v>47925</c:v>
                </c:pt>
                <c:pt idx="1281">
                  <c:v>47932</c:v>
                </c:pt>
                <c:pt idx="1282">
                  <c:v>47939</c:v>
                </c:pt>
                <c:pt idx="1283">
                  <c:v>47946</c:v>
                </c:pt>
                <c:pt idx="1284">
                  <c:v>47955</c:v>
                </c:pt>
                <c:pt idx="1285">
                  <c:v>47962</c:v>
                </c:pt>
                <c:pt idx="1286">
                  <c:v>47969</c:v>
                </c:pt>
                <c:pt idx="1287">
                  <c:v>47976</c:v>
                </c:pt>
                <c:pt idx="1288">
                  <c:v>47983</c:v>
                </c:pt>
                <c:pt idx="1289">
                  <c:v>47990</c:v>
                </c:pt>
                <c:pt idx="1290">
                  <c:v>47997</c:v>
                </c:pt>
                <c:pt idx="1291">
                  <c:v>48004</c:v>
                </c:pt>
                <c:pt idx="1292">
                  <c:v>48011</c:v>
                </c:pt>
                <c:pt idx="1293">
                  <c:v>48018</c:v>
                </c:pt>
                <c:pt idx="1294">
                  <c:v>48025</c:v>
                </c:pt>
                <c:pt idx="1295">
                  <c:v>48032</c:v>
                </c:pt>
                <c:pt idx="1296">
                  <c:v>48039</c:v>
                </c:pt>
                <c:pt idx="1297">
                  <c:v>48046</c:v>
                </c:pt>
                <c:pt idx="1298">
                  <c:v>48053</c:v>
                </c:pt>
                <c:pt idx="1299">
                  <c:v>48060</c:v>
                </c:pt>
                <c:pt idx="1300">
                  <c:v>48067</c:v>
                </c:pt>
                <c:pt idx="1301">
                  <c:v>48074</c:v>
                </c:pt>
                <c:pt idx="1302">
                  <c:v>48081</c:v>
                </c:pt>
                <c:pt idx="1303">
                  <c:v>48088</c:v>
                </c:pt>
                <c:pt idx="1304">
                  <c:v>48095</c:v>
                </c:pt>
                <c:pt idx="1305">
                  <c:v>48102</c:v>
                </c:pt>
                <c:pt idx="1306">
                  <c:v>48109</c:v>
                </c:pt>
                <c:pt idx="1307">
                  <c:v>48116</c:v>
                </c:pt>
                <c:pt idx="1308">
                  <c:v>48123</c:v>
                </c:pt>
                <c:pt idx="1309">
                  <c:v>48130</c:v>
                </c:pt>
                <c:pt idx="1310">
                  <c:v>48137</c:v>
                </c:pt>
                <c:pt idx="1311">
                  <c:v>48144</c:v>
                </c:pt>
                <c:pt idx="1312">
                  <c:v>48151</c:v>
                </c:pt>
                <c:pt idx="1313">
                  <c:v>48158</c:v>
                </c:pt>
                <c:pt idx="1314">
                  <c:v>48165</c:v>
                </c:pt>
                <c:pt idx="1315">
                  <c:v>48172</c:v>
                </c:pt>
                <c:pt idx="1316">
                  <c:v>48179</c:v>
                </c:pt>
                <c:pt idx="1317">
                  <c:v>48186</c:v>
                </c:pt>
                <c:pt idx="1318">
                  <c:v>48193</c:v>
                </c:pt>
                <c:pt idx="1319">
                  <c:v>48200</c:v>
                </c:pt>
                <c:pt idx="1320">
                  <c:v>48211</c:v>
                </c:pt>
                <c:pt idx="1321">
                  <c:v>48215</c:v>
                </c:pt>
                <c:pt idx="1322">
                  <c:v>48221</c:v>
                </c:pt>
                <c:pt idx="1323">
                  <c:v>48228</c:v>
                </c:pt>
                <c:pt idx="1324">
                  <c:v>48235</c:v>
                </c:pt>
                <c:pt idx="1325">
                  <c:v>48242</c:v>
                </c:pt>
                <c:pt idx="1326">
                  <c:v>48249</c:v>
                </c:pt>
                <c:pt idx="1327">
                  <c:v>48256</c:v>
                </c:pt>
                <c:pt idx="1328">
                  <c:v>48263</c:v>
                </c:pt>
                <c:pt idx="1329">
                  <c:v>48270</c:v>
                </c:pt>
                <c:pt idx="1330">
                  <c:v>48277</c:v>
                </c:pt>
                <c:pt idx="1331">
                  <c:v>48284</c:v>
                </c:pt>
                <c:pt idx="1332">
                  <c:v>48291</c:v>
                </c:pt>
                <c:pt idx="1333">
                  <c:v>48298</c:v>
                </c:pt>
                <c:pt idx="1334">
                  <c:v>48305</c:v>
                </c:pt>
                <c:pt idx="1335">
                  <c:v>48312</c:v>
                </c:pt>
                <c:pt idx="1336">
                  <c:v>48319</c:v>
                </c:pt>
                <c:pt idx="1337">
                  <c:v>48326</c:v>
                </c:pt>
                <c:pt idx="1338">
                  <c:v>48333</c:v>
                </c:pt>
                <c:pt idx="1339">
                  <c:v>48340</c:v>
                </c:pt>
                <c:pt idx="1340">
                  <c:v>48347</c:v>
                </c:pt>
                <c:pt idx="1341">
                  <c:v>48354</c:v>
                </c:pt>
                <c:pt idx="1342">
                  <c:v>48361</c:v>
                </c:pt>
                <c:pt idx="1343">
                  <c:v>48368</c:v>
                </c:pt>
                <c:pt idx="1344">
                  <c:v>48375</c:v>
                </c:pt>
                <c:pt idx="1345">
                  <c:v>48382</c:v>
                </c:pt>
                <c:pt idx="1346">
                  <c:v>48389</c:v>
                </c:pt>
                <c:pt idx="1347">
                  <c:v>48396</c:v>
                </c:pt>
                <c:pt idx="1348">
                  <c:v>48403</c:v>
                </c:pt>
                <c:pt idx="1349">
                  <c:v>48410</c:v>
                </c:pt>
                <c:pt idx="1350">
                  <c:v>48417</c:v>
                </c:pt>
                <c:pt idx="1351">
                  <c:v>48424</c:v>
                </c:pt>
                <c:pt idx="1352">
                  <c:v>48431</c:v>
                </c:pt>
                <c:pt idx="1353">
                  <c:v>48438</c:v>
                </c:pt>
                <c:pt idx="1354">
                  <c:v>48445</c:v>
                </c:pt>
                <c:pt idx="1355">
                  <c:v>48452</c:v>
                </c:pt>
                <c:pt idx="1356">
                  <c:v>48459</c:v>
                </c:pt>
                <c:pt idx="1357">
                  <c:v>48466</c:v>
                </c:pt>
                <c:pt idx="1358">
                  <c:v>48473</c:v>
                </c:pt>
                <c:pt idx="1359">
                  <c:v>48480</c:v>
                </c:pt>
                <c:pt idx="1360">
                  <c:v>48487</c:v>
                </c:pt>
                <c:pt idx="1361">
                  <c:v>48494</c:v>
                </c:pt>
                <c:pt idx="1362">
                  <c:v>48501</c:v>
                </c:pt>
                <c:pt idx="1363">
                  <c:v>48508</c:v>
                </c:pt>
                <c:pt idx="1364">
                  <c:v>48515</c:v>
                </c:pt>
                <c:pt idx="1365">
                  <c:v>48522</c:v>
                </c:pt>
                <c:pt idx="1366">
                  <c:v>48529</c:v>
                </c:pt>
                <c:pt idx="1367">
                  <c:v>48536</c:v>
                </c:pt>
                <c:pt idx="1368">
                  <c:v>48543</c:v>
                </c:pt>
                <c:pt idx="1369">
                  <c:v>48550</c:v>
                </c:pt>
                <c:pt idx="1370">
                  <c:v>48557</c:v>
                </c:pt>
                <c:pt idx="1371">
                  <c:v>48564</c:v>
                </c:pt>
                <c:pt idx="1372">
                  <c:v>48571</c:v>
                </c:pt>
                <c:pt idx="1373">
                  <c:v>48579</c:v>
                </c:pt>
                <c:pt idx="1374">
                  <c:v>48586</c:v>
                </c:pt>
                <c:pt idx="1375">
                  <c:v>48593</c:v>
                </c:pt>
                <c:pt idx="1376">
                  <c:v>48600</c:v>
                </c:pt>
                <c:pt idx="1377">
                  <c:v>48607</c:v>
                </c:pt>
                <c:pt idx="1378">
                  <c:v>48614</c:v>
                </c:pt>
                <c:pt idx="1379">
                  <c:v>48621</c:v>
                </c:pt>
                <c:pt idx="1380">
                  <c:v>48628</c:v>
                </c:pt>
                <c:pt idx="1381">
                  <c:v>48635</c:v>
                </c:pt>
                <c:pt idx="1382">
                  <c:v>48642</c:v>
                </c:pt>
                <c:pt idx="1383">
                  <c:v>48649</c:v>
                </c:pt>
                <c:pt idx="1384">
                  <c:v>48656</c:v>
                </c:pt>
                <c:pt idx="1385">
                  <c:v>48663</c:v>
                </c:pt>
                <c:pt idx="1386">
                  <c:v>48670</c:v>
                </c:pt>
                <c:pt idx="1387">
                  <c:v>48677</c:v>
                </c:pt>
                <c:pt idx="1388">
                  <c:v>48688</c:v>
                </c:pt>
                <c:pt idx="1389">
                  <c:v>48691</c:v>
                </c:pt>
                <c:pt idx="1390">
                  <c:v>48698</c:v>
                </c:pt>
                <c:pt idx="1391">
                  <c:v>48705</c:v>
                </c:pt>
                <c:pt idx="1392">
                  <c:v>48712</c:v>
                </c:pt>
                <c:pt idx="1393">
                  <c:v>48719</c:v>
                </c:pt>
                <c:pt idx="1394">
                  <c:v>48726</c:v>
                </c:pt>
                <c:pt idx="1395">
                  <c:v>48733</c:v>
                </c:pt>
                <c:pt idx="1396">
                  <c:v>48740</c:v>
                </c:pt>
                <c:pt idx="1397">
                  <c:v>48747</c:v>
                </c:pt>
                <c:pt idx="1398">
                  <c:v>48754</c:v>
                </c:pt>
                <c:pt idx="1399">
                  <c:v>48761</c:v>
                </c:pt>
                <c:pt idx="1400">
                  <c:v>48768</c:v>
                </c:pt>
                <c:pt idx="1401">
                  <c:v>48775</c:v>
                </c:pt>
                <c:pt idx="1402">
                  <c:v>48782</c:v>
                </c:pt>
                <c:pt idx="1403">
                  <c:v>48789</c:v>
                </c:pt>
                <c:pt idx="1404">
                  <c:v>48796</c:v>
                </c:pt>
                <c:pt idx="1405">
                  <c:v>48803</c:v>
                </c:pt>
                <c:pt idx="1406">
                  <c:v>48810</c:v>
                </c:pt>
                <c:pt idx="1407">
                  <c:v>48817</c:v>
                </c:pt>
                <c:pt idx="1408">
                  <c:v>48824</c:v>
                </c:pt>
                <c:pt idx="1409">
                  <c:v>48831</c:v>
                </c:pt>
                <c:pt idx="1410">
                  <c:v>48838</c:v>
                </c:pt>
                <c:pt idx="1411">
                  <c:v>48845</c:v>
                </c:pt>
                <c:pt idx="1412">
                  <c:v>48852</c:v>
                </c:pt>
                <c:pt idx="1413">
                  <c:v>48859</c:v>
                </c:pt>
                <c:pt idx="1414">
                  <c:v>48866</c:v>
                </c:pt>
                <c:pt idx="1415">
                  <c:v>48873</c:v>
                </c:pt>
                <c:pt idx="1416">
                  <c:v>48880</c:v>
                </c:pt>
                <c:pt idx="1417">
                  <c:v>48887</c:v>
                </c:pt>
                <c:pt idx="1418">
                  <c:v>48894</c:v>
                </c:pt>
                <c:pt idx="1419">
                  <c:v>48901</c:v>
                </c:pt>
                <c:pt idx="1420">
                  <c:v>48908</c:v>
                </c:pt>
                <c:pt idx="1421">
                  <c:v>48915</c:v>
                </c:pt>
                <c:pt idx="1422">
                  <c:v>48922</c:v>
                </c:pt>
                <c:pt idx="1423">
                  <c:v>48929</c:v>
                </c:pt>
                <c:pt idx="1424">
                  <c:v>48936</c:v>
                </c:pt>
                <c:pt idx="1425">
                  <c:v>48943</c:v>
                </c:pt>
                <c:pt idx="1426">
                  <c:v>48950</c:v>
                </c:pt>
                <c:pt idx="1427">
                  <c:v>48957</c:v>
                </c:pt>
                <c:pt idx="1428">
                  <c:v>48964</c:v>
                </c:pt>
                <c:pt idx="1429">
                  <c:v>48971</c:v>
                </c:pt>
                <c:pt idx="1430">
                  <c:v>48978</c:v>
                </c:pt>
                <c:pt idx="1431">
                  <c:v>48985</c:v>
                </c:pt>
                <c:pt idx="1432">
                  <c:v>48992</c:v>
                </c:pt>
                <c:pt idx="1433">
                  <c:v>48999</c:v>
                </c:pt>
                <c:pt idx="1434">
                  <c:v>49006</c:v>
                </c:pt>
                <c:pt idx="1435">
                  <c:v>49013</c:v>
                </c:pt>
                <c:pt idx="1436">
                  <c:v>49020</c:v>
                </c:pt>
                <c:pt idx="1437">
                  <c:v>49027</c:v>
                </c:pt>
                <c:pt idx="1438">
                  <c:v>49034</c:v>
                </c:pt>
                <c:pt idx="1439">
                  <c:v>49045</c:v>
                </c:pt>
                <c:pt idx="1440">
                  <c:v>49048</c:v>
                </c:pt>
                <c:pt idx="1441">
                  <c:v>49055</c:v>
                </c:pt>
                <c:pt idx="1442">
                  <c:v>49062</c:v>
                </c:pt>
                <c:pt idx="1443">
                  <c:v>49069</c:v>
                </c:pt>
                <c:pt idx="1444">
                  <c:v>49076</c:v>
                </c:pt>
                <c:pt idx="1445">
                  <c:v>49083</c:v>
                </c:pt>
                <c:pt idx="1446">
                  <c:v>49090</c:v>
                </c:pt>
                <c:pt idx="1447">
                  <c:v>49097</c:v>
                </c:pt>
                <c:pt idx="1448">
                  <c:v>49104</c:v>
                </c:pt>
                <c:pt idx="1449">
                  <c:v>49111</c:v>
                </c:pt>
                <c:pt idx="1450">
                  <c:v>49118</c:v>
                </c:pt>
                <c:pt idx="1451">
                  <c:v>49125</c:v>
                </c:pt>
                <c:pt idx="1452">
                  <c:v>49132</c:v>
                </c:pt>
                <c:pt idx="1453">
                  <c:v>49139</c:v>
                </c:pt>
                <c:pt idx="1454">
                  <c:v>49146</c:v>
                </c:pt>
                <c:pt idx="1455">
                  <c:v>49153</c:v>
                </c:pt>
                <c:pt idx="1456">
                  <c:v>49160</c:v>
                </c:pt>
                <c:pt idx="1457">
                  <c:v>49167</c:v>
                </c:pt>
                <c:pt idx="1458">
                  <c:v>49174</c:v>
                </c:pt>
                <c:pt idx="1459">
                  <c:v>49181</c:v>
                </c:pt>
                <c:pt idx="1460">
                  <c:v>49188</c:v>
                </c:pt>
                <c:pt idx="1461">
                  <c:v>49195</c:v>
                </c:pt>
                <c:pt idx="1462">
                  <c:v>49202</c:v>
                </c:pt>
                <c:pt idx="1463">
                  <c:v>49209</c:v>
                </c:pt>
                <c:pt idx="1464">
                  <c:v>49216</c:v>
                </c:pt>
                <c:pt idx="1465">
                  <c:v>49223</c:v>
                </c:pt>
                <c:pt idx="1466">
                  <c:v>49230</c:v>
                </c:pt>
                <c:pt idx="1467">
                  <c:v>49237</c:v>
                </c:pt>
                <c:pt idx="1468">
                  <c:v>49244</c:v>
                </c:pt>
                <c:pt idx="1469">
                  <c:v>49251</c:v>
                </c:pt>
                <c:pt idx="1470">
                  <c:v>49258</c:v>
                </c:pt>
                <c:pt idx="1471">
                  <c:v>49265</c:v>
                </c:pt>
                <c:pt idx="1472">
                  <c:v>49272</c:v>
                </c:pt>
                <c:pt idx="1473">
                  <c:v>49279</c:v>
                </c:pt>
                <c:pt idx="1474">
                  <c:v>49286</c:v>
                </c:pt>
                <c:pt idx="1475">
                  <c:v>49293</c:v>
                </c:pt>
                <c:pt idx="1476">
                  <c:v>49300</c:v>
                </c:pt>
                <c:pt idx="1477">
                  <c:v>49307</c:v>
                </c:pt>
                <c:pt idx="1478">
                  <c:v>49314</c:v>
                </c:pt>
                <c:pt idx="1479">
                  <c:v>49321</c:v>
                </c:pt>
                <c:pt idx="1480">
                  <c:v>49328</c:v>
                </c:pt>
                <c:pt idx="1481">
                  <c:v>49335</c:v>
                </c:pt>
                <c:pt idx="1482">
                  <c:v>49342</c:v>
                </c:pt>
                <c:pt idx="1483">
                  <c:v>49349</c:v>
                </c:pt>
                <c:pt idx="1484">
                  <c:v>49356</c:v>
                </c:pt>
                <c:pt idx="1485">
                  <c:v>49363</c:v>
                </c:pt>
                <c:pt idx="1486">
                  <c:v>49370</c:v>
                </c:pt>
                <c:pt idx="1487">
                  <c:v>49377</c:v>
                </c:pt>
                <c:pt idx="1488">
                  <c:v>49384</c:v>
                </c:pt>
                <c:pt idx="1489">
                  <c:v>49395</c:v>
                </c:pt>
                <c:pt idx="1490">
                  <c:v>49398</c:v>
                </c:pt>
                <c:pt idx="1491">
                  <c:v>49405</c:v>
                </c:pt>
                <c:pt idx="1492">
                  <c:v>49412</c:v>
                </c:pt>
                <c:pt idx="1493">
                  <c:v>49419</c:v>
                </c:pt>
                <c:pt idx="1494">
                  <c:v>49426</c:v>
                </c:pt>
                <c:pt idx="1495">
                  <c:v>49433</c:v>
                </c:pt>
                <c:pt idx="1496">
                  <c:v>49440</c:v>
                </c:pt>
                <c:pt idx="1497">
                  <c:v>49447</c:v>
                </c:pt>
                <c:pt idx="1498">
                  <c:v>49454</c:v>
                </c:pt>
                <c:pt idx="1499">
                  <c:v>49461</c:v>
                </c:pt>
                <c:pt idx="1500">
                  <c:v>49468</c:v>
                </c:pt>
                <c:pt idx="1501">
                  <c:v>49475</c:v>
                </c:pt>
                <c:pt idx="1502">
                  <c:v>49482</c:v>
                </c:pt>
                <c:pt idx="1503">
                  <c:v>49489</c:v>
                </c:pt>
                <c:pt idx="1504">
                  <c:v>49496</c:v>
                </c:pt>
                <c:pt idx="1505">
                  <c:v>49503</c:v>
                </c:pt>
                <c:pt idx="1506">
                  <c:v>49510</c:v>
                </c:pt>
                <c:pt idx="1507">
                  <c:v>49517</c:v>
                </c:pt>
                <c:pt idx="1508">
                  <c:v>49524</c:v>
                </c:pt>
                <c:pt idx="1509">
                  <c:v>49531</c:v>
                </c:pt>
                <c:pt idx="1510">
                  <c:v>49538</c:v>
                </c:pt>
                <c:pt idx="1511">
                  <c:v>49545</c:v>
                </c:pt>
                <c:pt idx="1512">
                  <c:v>49552</c:v>
                </c:pt>
                <c:pt idx="1513">
                  <c:v>49559</c:v>
                </c:pt>
                <c:pt idx="1514">
                  <c:v>49566</c:v>
                </c:pt>
                <c:pt idx="1515">
                  <c:v>49573</c:v>
                </c:pt>
                <c:pt idx="1516">
                  <c:v>49580</c:v>
                </c:pt>
                <c:pt idx="1517">
                  <c:v>49587</c:v>
                </c:pt>
                <c:pt idx="1518">
                  <c:v>49594</c:v>
                </c:pt>
                <c:pt idx="1519">
                  <c:v>49601</c:v>
                </c:pt>
                <c:pt idx="1520">
                  <c:v>49608</c:v>
                </c:pt>
                <c:pt idx="1521">
                  <c:v>49615</c:v>
                </c:pt>
                <c:pt idx="1522">
                  <c:v>49622</c:v>
                </c:pt>
                <c:pt idx="1523">
                  <c:v>49629</c:v>
                </c:pt>
                <c:pt idx="1524">
                  <c:v>49636</c:v>
                </c:pt>
                <c:pt idx="1525">
                  <c:v>49643</c:v>
                </c:pt>
                <c:pt idx="1526">
                  <c:v>49650</c:v>
                </c:pt>
                <c:pt idx="1527">
                  <c:v>49657</c:v>
                </c:pt>
                <c:pt idx="1528">
                  <c:v>49664</c:v>
                </c:pt>
                <c:pt idx="1529">
                  <c:v>49674</c:v>
                </c:pt>
                <c:pt idx="1530">
                  <c:v>49681</c:v>
                </c:pt>
                <c:pt idx="1531">
                  <c:v>49688</c:v>
                </c:pt>
                <c:pt idx="1532">
                  <c:v>49695</c:v>
                </c:pt>
                <c:pt idx="1533">
                  <c:v>49702</c:v>
                </c:pt>
                <c:pt idx="1534">
                  <c:v>49709</c:v>
                </c:pt>
                <c:pt idx="1535">
                  <c:v>49716</c:v>
                </c:pt>
                <c:pt idx="1536">
                  <c:v>49723</c:v>
                </c:pt>
                <c:pt idx="1537">
                  <c:v>49730</c:v>
                </c:pt>
                <c:pt idx="1538">
                  <c:v>49737</c:v>
                </c:pt>
                <c:pt idx="1539">
                  <c:v>49744</c:v>
                </c:pt>
                <c:pt idx="1540">
                  <c:v>49751</c:v>
                </c:pt>
                <c:pt idx="1541">
                  <c:v>49758</c:v>
                </c:pt>
                <c:pt idx="1542">
                  <c:v>49765</c:v>
                </c:pt>
                <c:pt idx="1543">
                  <c:v>49772</c:v>
                </c:pt>
                <c:pt idx="1544">
                  <c:v>49781</c:v>
                </c:pt>
                <c:pt idx="1545">
                  <c:v>49786</c:v>
                </c:pt>
                <c:pt idx="1546">
                  <c:v>49793</c:v>
                </c:pt>
                <c:pt idx="1547">
                  <c:v>49801</c:v>
                </c:pt>
                <c:pt idx="1548">
                  <c:v>49807</c:v>
                </c:pt>
                <c:pt idx="1549">
                  <c:v>49814</c:v>
                </c:pt>
                <c:pt idx="1550">
                  <c:v>49822</c:v>
                </c:pt>
                <c:pt idx="1551">
                  <c:v>49828</c:v>
                </c:pt>
                <c:pt idx="1552">
                  <c:v>49835</c:v>
                </c:pt>
                <c:pt idx="1553">
                  <c:v>49842</c:v>
                </c:pt>
                <c:pt idx="1554">
                  <c:v>49849</c:v>
                </c:pt>
                <c:pt idx="1555">
                  <c:v>49856</c:v>
                </c:pt>
                <c:pt idx="1556">
                  <c:v>49863</c:v>
                </c:pt>
                <c:pt idx="1557">
                  <c:v>49870</c:v>
                </c:pt>
                <c:pt idx="1558">
                  <c:v>49877</c:v>
                </c:pt>
                <c:pt idx="1559">
                  <c:v>49884</c:v>
                </c:pt>
                <c:pt idx="1560">
                  <c:v>49891</c:v>
                </c:pt>
                <c:pt idx="1561">
                  <c:v>49898</c:v>
                </c:pt>
                <c:pt idx="1562">
                  <c:v>49905</c:v>
                </c:pt>
                <c:pt idx="1563">
                  <c:v>49913</c:v>
                </c:pt>
                <c:pt idx="1564">
                  <c:v>49919</c:v>
                </c:pt>
                <c:pt idx="1565">
                  <c:v>49926</c:v>
                </c:pt>
                <c:pt idx="1566">
                  <c:v>49933</c:v>
                </c:pt>
                <c:pt idx="1567">
                  <c:v>49940</c:v>
                </c:pt>
                <c:pt idx="1568">
                  <c:v>49947</c:v>
                </c:pt>
                <c:pt idx="1569">
                  <c:v>49954</c:v>
                </c:pt>
                <c:pt idx="1570">
                  <c:v>49961</c:v>
                </c:pt>
                <c:pt idx="1571">
                  <c:v>49968</c:v>
                </c:pt>
                <c:pt idx="1572">
                  <c:v>49975</c:v>
                </c:pt>
                <c:pt idx="1573">
                  <c:v>49982</c:v>
                </c:pt>
                <c:pt idx="1574">
                  <c:v>49989</c:v>
                </c:pt>
                <c:pt idx="1575">
                  <c:v>49996</c:v>
                </c:pt>
                <c:pt idx="1576">
                  <c:v>50003</c:v>
                </c:pt>
                <c:pt idx="1577">
                  <c:v>50010</c:v>
                </c:pt>
                <c:pt idx="1578">
                  <c:v>50017</c:v>
                </c:pt>
                <c:pt idx="1579">
                  <c:v>50024</c:v>
                </c:pt>
                <c:pt idx="1580">
                  <c:v>50031</c:v>
                </c:pt>
                <c:pt idx="1581">
                  <c:v>50040</c:v>
                </c:pt>
                <c:pt idx="1582">
                  <c:v>50047</c:v>
                </c:pt>
                <c:pt idx="1583">
                  <c:v>50054</c:v>
                </c:pt>
                <c:pt idx="1584">
                  <c:v>50061</c:v>
                </c:pt>
                <c:pt idx="1585">
                  <c:v>50068</c:v>
                </c:pt>
                <c:pt idx="1586">
                  <c:v>50075</c:v>
                </c:pt>
                <c:pt idx="1587">
                  <c:v>50082</c:v>
                </c:pt>
                <c:pt idx="1588">
                  <c:v>50089</c:v>
                </c:pt>
                <c:pt idx="1589">
                  <c:v>50096</c:v>
                </c:pt>
                <c:pt idx="1590">
                  <c:v>50103</c:v>
                </c:pt>
                <c:pt idx="1591">
                  <c:v>50110</c:v>
                </c:pt>
                <c:pt idx="1592">
                  <c:v>50117</c:v>
                </c:pt>
                <c:pt idx="1593">
                  <c:v>50124</c:v>
                </c:pt>
                <c:pt idx="1594">
                  <c:v>50131</c:v>
                </c:pt>
                <c:pt idx="1595">
                  <c:v>50139</c:v>
                </c:pt>
                <c:pt idx="1596">
                  <c:v>50146</c:v>
                </c:pt>
                <c:pt idx="1597">
                  <c:v>50153</c:v>
                </c:pt>
                <c:pt idx="1598">
                  <c:v>50160</c:v>
                </c:pt>
                <c:pt idx="1599">
                  <c:v>50167</c:v>
                </c:pt>
                <c:pt idx="1600">
                  <c:v>50174</c:v>
                </c:pt>
                <c:pt idx="1601">
                  <c:v>50181</c:v>
                </c:pt>
                <c:pt idx="1602">
                  <c:v>50188</c:v>
                </c:pt>
                <c:pt idx="1603">
                  <c:v>50195</c:v>
                </c:pt>
                <c:pt idx="1604">
                  <c:v>50202</c:v>
                </c:pt>
                <c:pt idx="1605">
                  <c:v>50209</c:v>
                </c:pt>
                <c:pt idx="1606">
                  <c:v>50216</c:v>
                </c:pt>
                <c:pt idx="1607">
                  <c:v>50223</c:v>
                </c:pt>
                <c:pt idx="1608">
                  <c:v>50230</c:v>
                </c:pt>
                <c:pt idx="1609">
                  <c:v>50237</c:v>
                </c:pt>
                <c:pt idx="1610">
                  <c:v>50244</c:v>
                </c:pt>
                <c:pt idx="1611">
                  <c:v>50251</c:v>
                </c:pt>
                <c:pt idx="1612">
                  <c:v>50258</c:v>
                </c:pt>
                <c:pt idx="1613">
                  <c:v>50265</c:v>
                </c:pt>
                <c:pt idx="1614">
                  <c:v>50272</c:v>
                </c:pt>
                <c:pt idx="1615">
                  <c:v>50279</c:v>
                </c:pt>
                <c:pt idx="1616">
                  <c:v>50286</c:v>
                </c:pt>
                <c:pt idx="1617">
                  <c:v>50293</c:v>
                </c:pt>
                <c:pt idx="1618">
                  <c:v>50300</c:v>
                </c:pt>
                <c:pt idx="1619">
                  <c:v>50307</c:v>
                </c:pt>
                <c:pt idx="1620">
                  <c:v>50314</c:v>
                </c:pt>
                <c:pt idx="1621">
                  <c:v>50321</c:v>
                </c:pt>
                <c:pt idx="1622">
                  <c:v>50328</c:v>
                </c:pt>
                <c:pt idx="1623">
                  <c:v>50335</c:v>
                </c:pt>
                <c:pt idx="1624">
                  <c:v>50342</c:v>
                </c:pt>
                <c:pt idx="1625">
                  <c:v>50349</c:v>
                </c:pt>
                <c:pt idx="1626">
                  <c:v>50356</c:v>
                </c:pt>
                <c:pt idx="1627">
                  <c:v>50363</c:v>
                </c:pt>
                <c:pt idx="1628">
                  <c:v>50370</c:v>
                </c:pt>
                <c:pt idx="1629">
                  <c:v>50377</c:v>
                </c:pt>
                <c:pt idx="1630">
                  <c:v>50384</c:v>
                </c:pt>
                <c:pt idx="1631">
                  <c:v>50391</c:v>
                </c:pt>
                <c:pt idx="1632">
                  <c:v>50398</c:v>
                </c:pt>
                <c:pt idx="1633">
                  <c:v>50405</c:v>
                </c:pt>
                <c:pt idx="1634">
                  <c:v>50412</c:v>
                </c:pt>
                <c:pt idx="1635">
                  <c:v>50419</c:v>
                </c:pt>
                <c:pt idx="1636">
                  <c:v>50426</c:v>
                </c:pt>
                <c:pt idx="1637">
                  <c:v>50433</c:v>
                </c:pt>
                <c:pt idx="1638">
                  <c:v>50440</c:v>
                </c:pt>
                <c:pt idx="1639">
                  <c:v>50447</c:v>
                </c:pt>
                <c:pt idx="1640">
                  <c:v>50454</c:v>
                </c:pt>
                <c:pt idx="1641">
                  <c:v>50461</c:v>
                </c:pt>
                <c:pt idx="1642">
                  <c:v>50468</c:v>
                </c:pt>
                <c:pt idx="1643">
                  <c:v>50475</c:v>
                </c:pt>
                <c:pt idx="1644">
                  <c:v>50482</c:v>
                </c:pt>
                <c:pt idx="1645">
                  <c:v>50489</c:v>
                </c:pt>
                <c:pt idx="1646">
                  <c:v>50496</c:v>
                </c:pt>
                <c:pt idx="1647">
                  <c:v>50503</c:v>
                </c:pt>
                <c:pt idx="1648">
                  <c:v>50510</c:v>
                </c:pt>
                <c:pt idx="1649">
                  <c:v>50517</c:v>
                </c:pt>
                <c:pt idx="1650">
                  <c:v>50524</c:v>
                </c:pt>
                <c:pt idx="1651">
                  <c:v>50531</c:v>
                </c:pt>
                <c:pt idx="1652">
                  <c:v>50538</c:v>
                </c:pt>
                <c:pt idx="1653">
                  <c:v>50545</c:v>
                </c:pt>
                <c:pt idx="1654">
                  <c:v>50552</c:v>
                </c:pt>
                <c:pt idx="1655">
                  <c:v>50559</c:v>
                </c:pt>
                <c:pt idx="1656">
                  <c:v>50566</c:v>
                </c:pt>
                <c:pt idx="1657">
                  <c:v>50573</c:v>
                </c:pt>
                <c:pt idx="1658">
                  <c:v>50580</c:v>
                </c:pt>
                <c:pt idx="1659">
                  <c:v>50587</c:v>
                </c:pt>
                <c:pt idx="1660">
                  <c:v>50594</c:v>
                </c:pt>
                <c:pt idx="1661">
                  <c:v>50601</c:v>
                </c:pt>
                <c:pt idx="1662">
                  <c:v>50608</c:v>
                </c:pt>
                <c:pt idx="1663">
                  <c:v>50615</c:v>
                </c:pt>
                <c:pt idx="1664">
                  <c:v>50622</c:v>
                </c:pt>
                <c:pt idx="1665">
                  <c:v>50629</c:v>
                </c:pt>
                <c:pt idx="1666">
                  <c:v>50636</c:v>
                </c:pt>
                <c:pt idx="1667">
                  <c:v>50643</c:v>
                </c:pt>
                <c:pt idx="1668">
                  <c:v>50650</c:v>
                </c:pt>
                <c:pt idx="1669">
                  <c:v>50657</c:v>
                </c:pt>
                <c:pt idx="1670">
                  <c:v>50664</c:v>
                </c:pt>
                <c:pt idx="1671">
                  <c:v>50671</c:v>
                </c:pt>
                <c:pt idx="1672">
                  <c:v>50678</c:v>
                </c:pt>
                <c:pt idx="1673">
                  <c:v>50685</c:v>
                </c:pt>
                <c:pt idx="1674">
                  <c:v>50692</c:v>
                </c:pt>
                <c:pt idx="1675">
                  <c:v>50699</c:v>
                </c:pt>
                <c:pt idx="1676">
                  <c:v>50706</c:v>
                </c:pt>
                <c:pt idx="1677">
                  <c:v>50713</c:v>
                </c:pt>
                <c:pt idx="1678">
                  <c:v>50720</c:v>
                </c:pt>
                <c:pt idx="1679">
                  <c:v>50727</c:v>
                </c:pt>
                <c:pt idx="1680">
                  <c:v>50734</c:v>
                </c:pt>
                <c:pt idx="1681">
                  <c:v>50741</c:v>
                </c:pt>
                <c:pt idx="1682">
                  <c:v>50748</c:v>
                </c:pt>
                <c:pt idx="1683">
                  <c:v>50755</c:v>
                </c:pt>
                <c:pt idx="1684">
                  <c:v>50762</c:v>
                </c:pt>
                <c:pt idx="1685">
                  <c:v>50770</c:v>
                </c:pt>
                <c:pt idx="1686">
                  <c:v>50777</c:v>
                </c:pt>
                <c:pt idx="1687">
                  <c:v>50784</c:v>
                </c:pt>
                <c:pt idx="1688">
                  <c:v>50791</c:v>
                </c:pt>
                <c:pt idx="1689">
                  <c:v>50798</c:v>
                </c:pt>
                <c:pt idx="1690">
                  <c:v>50805</c:v>
                </c:pt>
                <c:pt idx="1691">
                  <c:v>50812</c:v>
                </c:pt>
                <c:pt idx="1692">
                  <c:v>50819</c:v>
                </c:pt>
                <c:pt idx="1693">
                  <c:v>50826</c:v>
                </c:pt>
                <c:pt idx="1694">
                  <c:v>50833</c:v>
                </c:pt>
                <c:pt idx="1695">
                  <c:v>50840</c:v>
                </c:pt>
                <c:pt idx="1696">
                  <c:v>50847</c:v>
                </c:pt>
                <c:pt idx="1697">
                  <c:v>50854</c:v>
                </c:pt>
                <c:pt idx="1698">
                  <c:v>50861</c:v>
                </c:pt>
                <c:pt idx="1699">
                  <c:v>50872</c:v>
                </c:pt>
                <c:pt idx="1700">
                  <c:v>50875</c:v>
                </c:pt>
                <c:pt idx="1701">
                  <c:v>50882</c:v>
                </c:pt>
                <c:pt idx="1702">
                  <c:v>50889</c:v>
                </c:pt>
                <c:pt idx="1703">
                  <c:v>50896</c:v>
                </c:pt>
                <c:pt idx="1704">
                  <c:v>50903</c:v>
                </c:pt>
                <c:pt idx="1705">
                  <c:v>50910</c:v>
                </c:pt>
                <c:pt idx="1706">
                  <c:v>50917</c:v>
                </c:pt>
                <c:pt idx="1707">
                  <c:v>50924</c:v>
                </c:pt>
                <c:pt idx="1708">
                  <c:v>50931</c:v>
                </c:pt>
                <c:pt idx="1709">
                  <c:v>50938</c:v>
                </c:pt>
                <c:pt idx="1710">
                  <c:v>50945</c:v>
                </c:pt>
                <c:pt idx="1711">
                  <c:v>50952</c:v>
                </c:pt>
                <c:pt idx="1712">
                  <c:v>50959</c:v>
                </c:pt>
                <c:pt idx="1713">
                  <c:v>50966</c:v>
                </c:pt>
                <c:pt idx="1714">
                  <c:v>50973</c:v>
                </c:pt>
                <c:pt idx="1715">
                  <c:v>50980</c:v>
                </c:pt>
                <c:pt idx="1716">
                  <c:v>50987</c:v>
                </c:pt>
                <c:pt idx="1717">
                  <c:v>50994</c:v>
                </c:pt>
                <c:pt idx="1718">
                  <c:v>51001</c:v>
                </c:pt>
                <c:pt idx="1719">
                  <c:v>51008</c:v>
                </c:pt>
                <c:pt idx="1720">
                  <c:v>51015</c:v>
                </c:pt>
                <c:pt idx="1721">
                  <c:v>51022</c:v>
                </c:pt>
                <c:pt idx="1722">
                  <c:v>51029</c:v>
                </c:pt>
                <c:pt idx="1723">
                  <c:v>51036</c:v>
                </c:pt>
                <c:pt idx="1724">
                  <c:v>51043</c:v>
                </c:pt>
                <c:pt idx="1725">
                  <c:v>51050</c:v>
                </c:pt>
                <c:pt idx="1726">
                  <c:v>51057</c:v>
                </c:pt>
                <c:pt idx="1727">
                  <c:v>51064</c:v>
                </c:pt>
                <c:pt idx="1728">
                  <c:v>51071</c:v>
                </c:pt>
                <c:pt idx="1729">
                  <c:v>51078</c:v>
                </c:pt>
                <c:pt idx="1730">
                  <c:v>51085</c:v>
                </c:pt>
                <c:pt idx="1731">
                  <c:v>51092</c:v>
                </c:pt>
                <c:pt idx="1732">
                  <c:v>51099</c:v>
                </c:pt>
                <c:pt idx="1733">
                  <c:v>51106</c:v>
                </c:pt>
                <c:pt idx="1734">
                  <c:v>51113</c:v>
                </c:pt>
                <c:pt idx="1735">
                  <c:v>51120</c:v>
                </c:pt>
                <c:pt idx="1736">
                  <c:v>51127</c:v>
                </c:pt>
                <c:pt idx="1737">
                  <c:v>51134</c:v>
                </c:pt>
                <c:pt idx="1738">
                  <c:v>51141</c:v>
                </c:pt>
                <c:pt idx="1739">
                  <c:v>51148</c:v>
                </c:pt>
                <c:pt idx="1740">
                  <c:v>51155</c:v>
                </c:pt>
                <c:pt idx="1741">
                  <c:v>51162</c:v>
                </c:pt>
                <c:pt idx="1742">
                  <c:v>51169</c:v>
                </c:pt>
                <c:pt idx="1743">
                  <c:v>51176</c:v>
                </c:pt>
                <c:pt idx="1744">
                  <c:v>51183</c:v>
                </c:pt>
                <c:pt idx="1745">
                  <c:v>51190</c:v>
                </c:pt>
                <c:pt idx="1746">
                  <c:v>51197</c:v>
                </c:pt>
                <c:pt idx="1747">
                  <c:v>51204</c:v>
                </c:pt>
                <c:pt idx="1748">
                  <c:v>51211</c:v>
                </c:pt>
                <c:pt idx="1749">
                  <c:v>51218</c:v>
                </c:pt>
                <c:pt idx="1750">
                  <c:v>51229</c:v>
                </c:pt>
                <c:pt idx="1751">
                  <c:v>51232</c:v>
                </c:pt>
                <c:pt idx="1752">
                  <c:v>51239</c:v>
                </c:pt>
                <c:pt idx="1753">
                  <c:v>51246</c:v>
                </c:pt>
                <c:pt idx="1754">
                  <c:v>51253</c:v>
                </c:pt>
                <c:pt idx="1755">
                  <c:v>51260</c:v>
                </c:pt>
                <c:pt idx="1756">
                  <c:v>51267</c:v>
                </c:pt>
                <c:pt idx="1757">
                  <c:v>51274</c:v>
                </c:pt>
                <c:pt idx="1758">
                  <c:v>51281</c:v>
                </c:pt>
                <c:pt idx="1759">
                  <c:v>51288</c:v>
                </c:pt>
                <c:pt idx="1760">
                  <c:v>51295</c:v>
                </c:pt>
                <c:pt idx="1761">
                  <c:v>51302</c:v>
                </c:pt>
                <c:pt idx="1762">
                  <c:v>51309</c:v>
                </c:pt>
                <c:pt idx="1763">
                  <c:v>51316</c:v>
                </c:pt>
                <c:pt idx="1764">
                  <c:v>51323</c:v>
                </c:pt>
                <c:pt idx="1765">
                  <c:v>51330</c:v>
                </c:pt>
                <c:pt idx="1766">
                  <c:v>51337</c:v>
                </c:pt>
                <c:pt idx="1767">
                  <c:v>51344</c:v>
                </c:pt>
                <c:pt idx="1768">
                  <c:v>51351</c:v>
                </c:pt>
                <c:pt idx="1769">
                  <c:v>51358</c:v>
                </c:pt>
                <c:pt idx="1770">
                  <c:v>51365</c:v>
                </c:pt>
                <c:pt idx="1771">
                  <c:v>51372</c:v>
                </c:pt>
                <c:pt idx="1772">
                  <c:v>51379</c:v>
                </c:pt>
                <c:pt idx="1773">
                  <c:v>51386</c:v>
                </c:pt>
                <c:pt idx="1774">
                  <c:v>51393</c:v>
                </c:pt>
                <c:pt idx="1775">
                  <c:v>51400</c:v>
                </c:pt>
                <c:pt idx="1776">
                  <c:v>51407</c:v>
                </c:pt>
                <c:pt idx="1777">
                  <c:v>51414</c:v>
                </c:pt>
                <c:pt idx="1778">
                  <c:v>51421</c:v>
                </c:pt>
                <c:pt idx="1779">
                  <c:v>51428</c:v>
                </c:pt>
                <c:pt idx="1780">
                  <c:v>51435</c:v>
                </c:pt>
                <c:pt idx="1781">
                  <c:v>51442</c:v>
                </c:pt>
                <c:pt idx="1782">
                  <c:v>51449</c:v>
                </c:pt>
                <c:pt idx="1783">
                  <c:v>51456</c:v>
                </c:pt>
                <c:pt idx="1784">
                  <c:v>51463</c:v>
                </c:pt>
                <c:pt idx="1785">
                  <c:v>51470</c:v>
                </c:pt>
                <c:pt idx="1786">
                  <c:v>51477</c:v>
                </c:pt>
                <c:pt idx="1787">
                  <c:v>51484</c:v>
                </c:pt>
                <c:pt idx="1788">
                  <c:v>51491</c:v>
                </c:pt>
                <c:pt idx="1789">
                  <c:v>51501</c:v>
                </c:pt>
                <c:pt idx="1790">
                  <c:v>51508</c:v>
                </c:pt>
                <c:pt idx="1791">
                  <c:v>51515</c:v>
                </c:pt>
                <c:pt idx="1792">
                  <c:v>51522</c:v>
                </c:pt>
                <c:pt idx="1793">
                  <c:v>51529</c:v>
                </c:pt>
                <c:pt idx="1794">
                  <c:v>51536</c:v>
                </c:pt>
                <c:pt idx="1795">
                  <c:v>51543</c:v>
                </c:pt>
                <c:pt idx="1796">
                  <c:v>51550</c:v>
                </c:pt>
                <c:pt idx="1797">
                  <c:v>51557</c:v>
                </c:pt>
                <c:pt idx="1798">
                  <c:v>51564</c:v>
                </c:pt>
                <c:pt idx="1799">
                  <c:v>51571</c:v>
                </c:pt>
                <c:pt idx="1800">
                  <c:v>51578</c:v>
                </c:pt>
                <c:pt idx="1801">
                  <c:v>51585</c:v>
                </c:pt>
                <c:pt idx="1802">
                  <c:v>51592</c:v>
                </c:pt>
                <c:pt idx="1803">
                  <c:v>51599</c:v>
                </c:pt>
                <c:pt idx="1804">
                  <c:v>51606</c:v>
                </c:pt>
                <c:pt idx="1805">
                  <c:v>51615</c:v>
                </c:pt>
                <c:pt idx="1806">
                  <c:v>51620</c:v>
                </c:pt>
                <c:pt idx="1807">
                  <c:v>51628</c:v>
                </c:pt>
                <c:pt idx="1808">
                  <c:v>51634</c:v>
                </c:pt>
                <c:pt idx="1809">
                  <c:v>51641</c:v>
                </c:pt>
                <c:pt idx="1810">
                  <c:v>51649</c:v>
                </c:pt>
                <c:pt idx="1811">
                  <c:v>51655</c:v>
                </c:pt>
                <c:pt idx="1812">
                  <c:v>51662</c:v>
                </c:pt>
                <c:pt idx="1813">
                  <c:v>51669</c:v>
                </c:pt>
                <c:pt idx="1814">
                  <c:v>51676</c:v>
                </c:pt>
                <c:pt idx="1815">
                  <c:v>51683</c:v>
                </c:pt>
                <c:pt idx="1816">
                  <c:v>51690</c:v>
                </c:pt>
                <c:pt idx="1817">
                  <c:v>51697</c:v>
                </c:pt>
                <c:pt idx="1818">
                  <c:v>51704</c:v>
                </c:pt>
                <c:pt idx="1819">
                  <c:v>51711</c:v>
                </c:pt>
                <c:pt idx="1820">
                  <c:v>51718</c:v>
                </c:pt>
                <c:pt idx="1821">
                  <c:v>51725</c:v>
                </c:pt>
                <c:pt idx="1822">
                  <c:v>51732</c:v>
                </c:pt>
                <c:pt idx="1823">
                  <c:v>51740</c:v>
                </c:pt>
                <c:pt idx="1824">
                  <c:v>51746</c:v>
                </c:pt>
                <c:pt idx="1825">
                  <c:v>51753</c:v>
                </c:pt>
                <c:pt idx="1826">
                  <c:v>51760</c:v>
                </c:pt>
                <c:pt idx="1827">
                  <c:v>51767</c:v>
                </c:pt>
                <c:pt idx="1828">
                  <c:v>51774</c:v>
                </c:pt>
                <c:pt idx="1829">
                  <c:v>51781</c:v>
                </c:pt>
                <c:pt idx="1830">
                  <c:v>51788</c:v>
                </c:pt>
                <c:pt idx="1831">
                  <c:v>51795</c:v>
                </c:pt>
                <c:pt idx="1832">
                  <c:v>51802</c:v>
                </c:pt>
                <c:pt idx="1833">
                  <c:v>51809</c:v>
                </c:pt>
                <c:pt idx="1834">
                  <c:v>51816</c:v>
                </c:pt>
                <c:pt idx="1835">
                  <c:v>51823</c:v>
                </c:pt>
                <c:pt idx="1836">
                  <c:v>51830</c:v>
                </c:pt>
                <c:pt idx="1837">
                  <c:v>51837</c:v>
                </c:pt>
                <c:pt idx="1838">
                  <c:v>51844</c:v>
                </c:pt>
                <c:pt idx="1839">
                  <c:v>51851</c:v>
                </c:pt>
                <c:pt idx="1840">
                  <c:v>51858</c:v>
                </c:pt>
                <c:pt idx="1841">
                  <c:v>51866</c:v>
                </c:pt>
                <c:pt idx="1842">
                  <c:v>51873</c:v>
                </c:pt>
                <c:pt idx="1843">
                  <c:v>51880</c:v>
                </c:pt>
                <c:pt idx="1844">
                  <c:v>51887</c:v>
                </c:pt>
                <c:pt idx="1845">
                  <c:v>51894</c:v>
                </c:pt>
                <c:pt idx="1846">
                  <c:v>51901</c:v>
                </c:pt>
                <c:pt idx="1847">
                  <c:v>51908</c:v>
                </c:pt>
                <c:pt idx="1848">
                  <c:v>51915</c:v>
                </c:pt>
                <c:pt idx="1849">
                  <c:v>51922</c:v>
                </c:pt>
                <c:pt idx="1850">
                  <c:v>51929</c:v>
                </c:pt>
                <c:pt idx="1851">
                  <c:v>51936</c:v>
                </c:pt>
                <c:pt idx="1852">
                  <c:v>51943</c:v>
                </c:pt>
                <c:pt idx="1853">
                  <c:v>51950</c:v>
                </c:pt>
                <c:pt idx="1854">
                  <c:v>51957</c:v>
                </c:pt>
                <c:pt idx="1855">
                  <c:v>51966</c:v>
                </c:pt>
                <c:pt idx="1856">
                  <c:v>51973</c:v>
                </c:pt>
                <c:pt idx="1857">
                  <c:v>51980</c:v>
                </c:pt>
                <c:pt idx="1858">
                  <c:v>51987</c:v>
                </c:pt>
                <c:pt idx="1859">
                  <c:v>51994</c:v>
                </c:pt>
                <c:pt idx="1860">
                  <c:v>52001</c:v>
                </c:pt>
                <c:pt idx="1861">
                  <c:v>52008</c:v>
                </c:pt>
                <c:pt idx="1862">
                  <c:v>52015</c:v>
                </c:pt>
                <c:pt idx="1863">
                  <c:v>52022</c:v>
                </c:pt>
                <c:pt idx="1864">
                  <c:v>52029</c:v>
                </c:pt>
                <c:pt idx="1865">
                  <c:v>52036</c:v>
                </c:pt>
                <c:pt idx="1866">
                  <c:v>52043</c:v>
                </c:pt>
                <c:pt idx="1867">
                  <c:v>52050</c:v>
                </c:pt>
                <c:pt idx="1868">
                  <c:v>52057</c:v>
                </c:pt>
                <c:pt idx="1869">
                  <c:v>52064</c:v>
                </c:pt>
                <c:pt idx="1870">
                  <c:v>52071</c:v>
                </c:pt>
                <c:pt idx="1871">
                  <c:v>52078</c:v>
                </c:pt>
                <c:pt idx="1872">
                  <c:v>52085</c:v>
                </c:pt>
                <c:pt idx="1873">
                  <c:v>52092</c:v>
                </c:pt>
                <c:pt idx="1874">
                  <c:v>52099</c:v>
                </c:pt>
                <c:pt idx="1875">
                  <c:v>52106</c:v>
                </c:pt>
                <c:pt idx="1876">
                  <c:v>52113</c:v>
                </c:pt>
                <c:pt idx="1877">
                  <c:v>52120</c:v>
                </c:pt>
                <c:pt idx="1878">
                  <c:v>52127</c:v>
                </c:pt>
                <c:pt idx="1879">
                  <c:v>52134</c:v>
                </c:pt>
                <c:pt idx="1880">
                  <c:v>52141</c:v>
                </c:pt>
                <c:pt idx="1881">
                  <c:v>52148</c:v>
                </c:pt>
                <c:pt idx="1882">
                  <c:v>52155</c:v>
                </c:pt>
                <c:pt idx="1883">
                  <c:v>52162</c:v>
                </c:pt>
                <c:pt idx="1884">
                  <c:v>52169</c:v>
                </c:pt>
                <c:pt idx="1885">
                  <c:v>52176</c:v>
                </c:pt>
                <c:pt idx="1886">
                  <c:v>52183</c:v>
                </c:pt>
                <c:pt idx="1887">
                  <c:v>52190</c:v>
                </c:pt>
                <c:pt idx="1888">
                  <c:v>52197</c:v>
                </c:pt>
                <c:pt idx="1889">
                  <c:v>52204</c:v>
                </c:pt>
                <c:pt idx="1890">
                  <c:v>52211</c:v>
                </c:pt>
                <c:pt idx="1891">
                  <c:v>52218</c:v>
                </c:pt>
                <c:pt idx="1892">
                  <c:v>52229</c:v>
                </c:pt>
                <c:pt idx="1893">
                  <c:v>52233</c:v>
                </c:pt>
                <c:pt idx="1894">
                  <c:v>52239</c:v>
                </c:pt>
                <c:pt idx="1895">
                  <c:v>52246</c:v>
                </c:pt>
                <c:pt idx="1896">
                  <c:v>52253</c:v>
                </c:pt>
                <c:pt idx="1897">
                  <c:v>52260</c:v>
                </c:pt>
                <c:pt idx="1898">
                  <c:v>52267</c:v>
                </c:pt>
                <c:pt idx="1899">
                  <c:v>52274</c:v>
                </c:pt>
                <c:pt idx="1900">
                  <c:v>52281</c:v>
                </c:pt>
                <c:pt idx="1901">
                  <c:v>52288</c:v>
                </c:pt>
                <c:pt idx="1902">
                  <c:v>52295</c:v>
                </c:pt>
                <c:pt idx="1903">
                  <c:v>52302</c:v>
                </c:pt>
                <c:pt idx="1904">
                  <c:v>52309</c:v>
                </c:pt>
                <c:pt idx="1905">
                  <c:v>52316</c:v>
                </c:pt>
                <c:pt idx="1906">
                  <c:v>52323</c:v>
                </c:pt>
                <c:pt idx="1907">
                  <c:v>52330</c:v>
                </c:pt>
                <c:pt idx="1908">
                  <c:v>52337</c:v>
                </c:pt>
                <c:pt idx="1909">
                  <c:v>52344</c:v>
                </c:pt>
                <c:pt idx="1910">
                  <c:v>52351</c:v>
                </c:pt>
                <c:pt idx="1911">
                  <c:v>52358</c:v>
                </c:pt>
                <c:pt idx="1912">
                  <c:v>52365</c:v>
                </c:pt>
                <c:pt idx="1913">
                  <c:v>52372</c:v>
                </c:pt>
                <c:pt idx="1914">
                  <c:v>52379</c:v>
                </c:pt>
                <c:pt idx="1915">
                  <c:v>52386</c:v>
                </c:pt>
                <c:pt idx="1916">
                  <c:v>52393</c:v>
                </c:pt>
                <c:pt idx="1917">
                  <c:v>52400</c:v>
                </c:pt>
                <c:pt idx="1918">
                  <c:v>52407</c:v>
                </c:pt>
                <c:pt idx="1919">
                  <c:v>52414</c:v>
                </c:pt>
                <c:pt idx="1920">
                  <c:v>52421</c:v>
                </c:pt>
                <c:pt idx="1921">
                  <c:v>52428</c:v>
                </c:pt>
                <c:pt idx="1922">
                  <c:v>52435</c:v>
                </c:pt>
                <c:pt idx="1923">
                  <c:v>52442</c:v>
                </c:pt>
                <c:pt idx="1924">
                  <c:v>52449</c:v>
                </c:pt>
                <c:pt idx="1925">
                  <c:v>52456</c:v>
                </c:pt>
                <c:pt idx="1926">
                  <c:v>52463</c:v>
                </c:pt>
                <c:pt idx="1927">
                  <c:v>52470</c:v>
                </c:pt>
                <c:pt idx="1928">
                  <c:v>52477</c:v>
                </c:pt>
                <c:pt idx="1929">
                  <c:v>52484</c:v>
                </c:pt>
                <c:pt idx="1930">
                  <c:v>52491</c:v>
                </c:pt>
                <c:pt idx="1931">
                  <c:v>52498</c:v>
                </c:pt>
                <c:pt idx="1932">
                  <c:v>52505</c:v>
                </c:pt>
                <c:pt idx="1933">
                  <c:v>52512</c:v>
                </c:pt>
                <c:pt idx="1934">
                  <c:v>52519</c:v>
                </c:pt>
                <c:pt idx="1935">
                  <c:v>52526</c:v>
                </c:pt>
                <c:pt idx="1936">
                  <c:v>52533</c:v>
                </c:pt>
                <c:pt idx="1937">
                  <c:v>52540</c:v>
                </c:pt>
                <c:pt idx="1938">
                  <c:v>52547</c:v>
                </c:pt>
                <c:pt idx="1939">
                  <c:v>52554</c:v>
                </c:pt>
                <c:pt idx="1940">
                  <c:v>52561</c:v>
                </c:pt>
                <c:pt idx="1941">
                  <c:v>52568</c:v>
                </c:pt>
                <c:pt idx="1942">
                  <c:v>52575</c:v>
                </c:pt>
                <c:pt idx="1943">
                  <c:v>52582</c:v>
                </c:pt>
                <c:pt idx="1944">
                  <c:v>52589</c:v>
                </c:pt>
                <c:pt idx="1945">
                  <c:v>52596</c:v>
                </c:pt>
                <c:pt idx="1946">
                  <c:v>52603</c:v>
                </c:pt>
                <c:pt idx="1947">
                  <c:v>52610</c:v>
                </c:pt>
                <c:pt idx="1948">
                  <c:v>52617</c:v>
                </c:pt>
                <c:pt idx="1949">
                  <c:v>52624</c:v>
                </c:pt>
                <c:pt idx="1950">
                  <c:v>52631</c:v>
                </c:pt>
                <c:pt idx="1951">
                  <c:v>52638</c:v>
                </c:pt>
                <c:pt idx="1952">
                  <c:v>52645</c:v>
                </c:pt>
                <c:pt idx="1953">
                  <c:v>52652</c:v>
                </c:pt>
                <c:pt idx="1954">
                  <c:v>52659</c:v>
                </c:pt>
                <c:pt idx="1955">
                  <c:v>52666</c:v>
                </c:pt>
                <c:pt idx="1956">
                  <c:v>52673</c:v>
                </c:pt>
                <c:pt idx="1957">
                  <c:v>52680</c:v>
                </c:pt>
                <c:pt idx="1958">
                  <c:v>52687</c:v>
                </c:pt>
                <c:pt idx="1959">
                  <c:v>52694</c:v>
                </c:pt>
                <c:pt idx="1960">
                  <c:v>52701</c:v>
                </c:pt>
                <c:pt idx="1961">
                  <c:v>52708</c:v>
                </c:pt>
                <c:pt idx="1962">
                  <c:v>52715</c:v>
                </c:pt>
                <c:pt idx="1963">
                  <c:v>52722</c:v>
                </c:pt>
                <c:pt idx="1964">
                  <c:v>52729</c:v>
                </c:pt>
                <c:pt idx="1965">
                  <c:v>52736</c:v>
                </c:pt>
                <c:pt idx="1966">
                  <c:v>52743</c:v>
                </c:pt>
                <c:pt idx="1967">
                  <c:v>52750</c:v>
                </c:pt>
                <c:pt idx="1968">
                  <c:v>52757</c:v>
                </c:pt>
                <c:pt idx="1969">
                  <c:v>52764</c:v>
                </c:pt>
                <c:pt idx="1970">
                  <c:v>52771</c:v>
                </c:pt>
                <c:pt idx="1971">
                  <c:v>52778</c:v>
                </c:pt>
                <c:pt idx="1972">
                  <c:v>52785</c:v>
                </c:pt>
                <c:pt idx="1973">
                  <c:v>52792</c:v>
                </c:pt>
                <c:pt idx="1974">
                  <c:v>52799</c:v>
                </c:pt>
                <c:pt idx="1975">
                  <c:v>52806</c:v>
                </c:pt>
                <c:pt idx="1976">
                  <c:v>52813</c:v>
                </c:pt>
                <c:pt idx="1977">
                  <c:v>52820</c:v>
                </c:pt>
                <c:pt idx="1978">
                  <c:v>52827</c:v>
                </c:pt>
                <c:pt idx="1979">
                  <c:v>52834</c:v>
                </c:pt>
                <c:pt idx="1980">
                  <c:v>52841</c:v>
                </c:pt>
                <c:pt idx="1981">
                  <c:v>52848</c:v>
                </c:pt>
                <c:pt idx="1982">
                  <c:v>52855</c:v>
                </c:pt>
                <c:pt idx="1983">
                  <c:v>52862</c:v>
                </c:pt>
                <c:pt idx="1984">
                  <c:v>52869</c:v>
                </c:pt>
                <c:pt idx="1985">
                  <c:v>52876</c:v>
                </c:pt>
                <c:pt idx="1986">
                  <c:v>52883</c:v>
                </c:pt>
                <c:pt idx="1987">
                  <c:v>52890</c:v>
                </c:pt>
                <c:pt idx="1988">
                  <c:v>52897</c:v>
                </c:pt>
                <c:pt idx="1989">
                  <c:v>52904</c:v>
                </c:pt>
                <c:pt idx="1990">
                  <c:v>52911</c:v>
                </c:pt>
                <c:pt idx="1991">
                  <c:v>52918</c:v>
                </c:pt>
                <c:pt idx="1992">
                  <c:v>52925</c:v>
                </c:pt>
                <c:pt idx="1993">
                  <c:v>52932</c:v>
                </c:pt>
                <c:pt idx="1994">
                  <c:v>52939</c:v>
                </c:pt>
                <c:pt idx="1995">
                  <c:v>52946</c:v>
                </c:pt>
                <c:pt idx="1996">
                  <c:v>52953</c:v>
                </c:pt>
                <c:pt idx="1997">
                  <c:v>52961</c:v>
                </c:pt>
                <c:pt idx="1998">
                  <c:v>52968</c:v>
                </c:pt>
                <c:pt idx="1999">
                  <c:v>52975</c:v>
                </c:pt>
                <c:pt idx="2000">
                  <c:v>52982</c:v>
                </c:pt>
                <c:pt idx="2001">
                  <c:v>52989</c:v>
                </c:pt>
                <c:pt idx="2002">
                  <c:v>52996</c:v>
                </c:pt>
                <c:pt idx="2003">
                  <c:v>53003</c:v>
                </c:pt>
                <c:pt idx="2004">
                  <c:v>53010</c:v>
                </c:pt>
                <c:pt idx="2005">
                  <c:v>53017</c:v>
                </c:pt>
                <c:pt idx="2006">
                  <c:v>53024</c:v>
                </c:pt>
                <c:pt idx="2007">
                  <c:v>53031</c:v>
                </c:pt>
                <c:pt idx="2008">
                  <c:v>53038</c:v>
                </c:pt>
                <c:pt idx="2009">
                  <c:v>53045</c:v>
                </c:pt>
                <c:pt idx="2010">
                  <c:v>53052</c:v>
                </c:pt>
                <c:pt idx="2011">
                  <c:v>53063</c:v>
                </c:pt>
                <c:pt idx="2012">
                  <c:v>53066</c:v>
                </c:pt>
                <c:pt idx="2013">
                  <c:v>53073</c:v>
                </c:pt>
                <c:pt idx="2014">
                  <c:v>53080</c:v>
                </c:pt>
                <c:pt idx="2015">
                  <c:v>53087</c:v>
                </c:pt>
                <c:pt idx="2016">
                  <c:v>53094</c:v>
                </c:pt>
                <c:pt idx="2017">
                  <c:v>53101</c:v>
                </c:pt>
                <c:pt idx="2018">
                  <c:v>53108</c:v>
                </c:pt>
                <c:pt idx="2019">
                  <c:v>53115</c:v>
                </c:pt>
                <c:pt idx="2020">
                  <c:v>53122</c:v>
                </c:pt>
                <c:pt idx="2021">
                  <c:v>53129</c:v>
                </c:pt>
                <c:pt idx="2022">
                  <c:v>53136</c:v>
                </c:pt>
                <c:pt idx="2023">
                  <c:v>53143</c:v>
                </c:pt>
                <c:pt idx="2024">
                  <c:v>53150</c:v>
                </c:pt>
                <c:pt idx="2025">
                  <c:v>53157</c:v>
                </c:pt>
                <c:pt idx="2026">
                  <c:v>53164</c:v>
                </c:pt>
                <c:pt idx="2027">
                  <c:v>53171</c:v>
                </c:pt>
                <c:pt idx="2028">
                  <c:v>53178</c:v>
                </c:pt>
                <c:pt idx="2029">
                  <c:v>53185</c:v>
                </c:pt>
                <c:pt idx="2030">
                  <c:v>53192</c:v>
                </c:pt>
                <c:pt idx="2031">
                  <c:v>53199</c:v>
                </c:pt>
                <c:pt idx="2032">
                  <c:v>53206</c:v>
                </c:pt>
                <c:pt idx="2033">
                  <c:v>53213</c:v>
                </c:pt>
                <c:pt idx="2034">
                  <c:v>53220</c:v>
                </c:pt>
                <c:pt idx="2035">
                  <c:v>53227</c:v>
                </c:pt>
                <c:pt idx="2036">
                  <c:v>53234</c:v>
                </c:pt>
                <c:pt idx="2037">
                  <c:v>53241</c:v>
                </c:pt>
                <c:pt idx="2038">
                  <c:v>53248</c:v>
                </c:pt>
                <c:pt idx="2039">
                  <c:v>53255</c:v>
                </c:pt>
                <c:pt idx="2040">
                  <c:v>53262</c:v>
                </c:pt>
                <c:pt idx="2041">
                  <c:v>53269</c:v>
                </c:pt>
                <c:pt idx="2042">
                  <c:v>53276</c:v>
                </c:pt>
                <c:pt idx="2043">
                  <c:v>53283</c:v>
                </c:pt>
                <c:pt idx="2044">
                  <c:v>53290</c:v>
                </c:pt>
                <c:pt idx="2045">
                  <c:v>53297</c:v>
                </c:pt>
                <c:pt idx="2046">
                  <c:v>53304</c:v>
                </c:pt>
                <c:pt idx="2047">
                  <c:v>53311</c:v>
                </c:pt>
                <c:pt idx="2048">
                  <c:v>53318</c:v>
                </c:pt>
                <c:pt idx="2049">
                  <c:v>53325</c:v>
                </c:pt>
                <c:pt idx="2050">
                  <c:v>53332</c:v>
                </c:pt>
                <c:pt idx="2051">
                  <c:v>53339</c:v>
                </c:pt>
                <c:pt idx="2052">
                  <c:v>53346</c:v>
                </c:pt>
                <c:pt idx="2053">
                  <c:v>53353</c:v>
                </c:pt>
                <c:pt idx="2054">
                  <c:v>53360</c:v>
                </c:pt>
                <c:pt idx="2055">
                  <c:v>53367</c:v>
                </c:pt>
                <c:pt idx="2056">
                  <c:v>53374</c:v>
                </c:pt>
                <c:pt idx="2057">
                  <c:v>53381</c:v>
                </c:pt>
                <c:pt idx="2058">
                  <c:v>53388</c:v>
                </c:pt>
                <c:pt idx="2059">
                  <c:v>53395</c:v>
                </c:pt>
                <c:pt idx="2060">
                  <c:v>53402</c:v>
                </c:pt>
                <c:pt idx="2061">
                  <c:v>53413</c:v>
                </c:pt>
                <c:pt idx="2062">
                  <c:v>53416</c:v>
                </c:pt>
                <c:pt idx="2063">
                  <c:v>53423</c:v>
                </c:pt>
                <c:pt idx="2064">
                  <c:v>53430</c:v>
                </c:pt>
                <c:pt idx="2065">
                  <c:v>53437</c:v>
                </c:pt>
                <c:pt idx="2066">
                  <c:v>53444</c:v>
                </c:pt>
                <c:pt idx="2067">
                  <c:v>53451</c:v>
                </c:pt>
                <c:pt idx="2068">
                  <c:v>53458</c:v>
                </c:pt>
                <c:pt idx="2069">
                  <c:v>53465</c:v>
                </c:pt>
                <c:pt idx="2070">
                  <c:v>53472</c:v>
                </c:pt>
                <c:pt idx="2071">
                  <c:v>53479</c:v>
                </c:pt>
                <c:pt idx="2072">
                  <c:v>53486</c:v>
                </c:pt>
                <c:pt idx="2073">
                  <c:v>53493</c:v>
                </c:pt>
                <c:pt idx="2074">
                  <c:v>53500</c:v>
                </c:pt>
                <c:pt idx="2075">
                  <c:v>53507</c:v>
                </c:pt>
                <c:pt idx="2076">
                  <c:v>53514</c:v>
                </c:pt>
                <c:pt idx="2077">
                  <c:v>53521</c:v>
                </c:pt>
                <c:pt idx="2078">
                  <c:v>53528</c:v>
                </c:pt>
                <c:pt idx="2079">
                  <c:v>53535</c:v>
                </c:pt>
                <c:pt idx="2080">
                  <c:v>53542</c:v>
                </c:pt>
                <c:pt idx="2081">
                  <c:v>53549</c:v>
                </c:pt>
                <c:pt idx="2082">
                  <c:v>53556</c:v>
                </c:pt>
                <c:pt idx="2083">
                  <c:v>53563</c:v>
                </c:pt>
                <c:pt idx="2084">
                  <c:v>53570</c:v>
                </c:pt>
                <c:pt idx="2085">
                  <c:v>53577</c:v>
                </c:pt>
                <c:pt idx="2086">
                  <c:v>53584</c:v>
                </c:pt>
                <c:pt idx="2087">
                  <c:v>53591</c:v>
                </c:pt>
                <c:pt idx="2088">
                  <c:v>53598</c:v>
                </c:pt>
                <c:pt idx="2089">
                  <c:v>53605</c:v>
                </c:pt>
                <c:pt idx="2090">
                  <c:v>53612</c:v>
                </c:pt>
                <c:pt idx="2091">
                  <c:v>53619</c:v>
                </c:pt>
                <c:pt idx="2092">
                  <c:v>53626</c:v>
                </c:pt>
                <c:pt idx="2093">
                  <c:v>53633</c:v>
                </c:pt>
                <c:pt idx="2094">
                  <c:v>53640</c:v>
                </c:pt>
                <c:pt idx="2095">
                  <c:v>53647</c:v>
                </c:pt>
                <c:pt idx="2096">
                  <c:v>53654</c:v>
                </c:pt>
                <c:pt idx="2097">
                  <c:v>53661</c:v>
                </c:pt>
                <c:pt idx="2098">
                  <c:v>53668</c:v>
                </c:pt>
                <c:pt idx="2099">
                  <c:v>53675</c:v>
                </c:pt>
                <c:pt idx="2100">
                  <c:v>53682</c:v>
                </c:pt>
                <c:pt idx="2101">
                  <c:v>53692</c:v>
                </c:pt>
                <c:pt idx="2102">
                  <c:v>53699</c:v>
                </c:pt>
                <c:pt idx="2103">
                  <c:v>53706</c:v>
                </c:pt>
                <c:pt idx="2104">
                  <c:v>53713</c:v>
                </c:pt>
                <c:pt idx="2105">
                  <c:v>53720</c:v>
                </c:pt>
                <c:pt idx="2106">
                  <c:v>53727</c:v>
                </c:pt>
                <c:pt idx="2107">
                  <c:v>53734</c:v>
                </c:pt>
                <c:pt idx="2108">
                  <c:v>53741</c:v>
                </c:pt>
                <c:pt idx="2109">
                  <c:v>53748</c:v>
                </c:pt>
                <c:pt idx="2110">
                  <c:v>53755</c:v>
                </c:pt>
                <c:pt idx="2111">
                  <c:v>53762</c:v>
                </c:pt>
                <c:pt idx="2112">
                  <c:v>53769</c:v>
                </c:pt>
                <c:pt idx="2113">
                  <c:v>53776</c:v>
                </c:pt>
                <c:pt idx="2114">
                  <c:v>53783</c:v>
                </c:pt>
                <c:pt idx="2115">
                  <c:v>53790</c:v>
                </c:pt>
                <c:pt idx="2116">
                  <c:v>53799</c:v>
                </c:pt>
                <c:pt idx="2117">
                  <c:v>53804</c:v>
                </c:pt>
                <c:pt idx="2118">
                  <c:v>53811</c:v>
                </c:pt>
                <c:pt idx="2119">
                  <c:v>53819</c:v>
                </c:pt>
                <c:pt idx="2120">
                  <c:v>53825</c:v>
                </c:pt>
                <c:pt idx="2121">
                  <c:v>53832</c:v>
                </c:pt>
                <c:pt idx="2122">
                  <c:v>53840</c:v>
                </c:pt>
                <c:pt idx="2123">
                  <c:v>53846</c:v>
                </c:pt>
                <c:pt idx="2124">
                  <c:v>53853</c:v>
                </c:pt>
                <c:pt idx="2125">
                  <c:v>53860</c:v>
                </c:pt>
                <c:pt idx="2126">
                  <c:v>53867</c:v>
                </c:pt>
                <c:pt idx="2127">
                  <c:v>53874</c:v>
                </c:pt>
                <c:pt idx="2128">
                  <c:v>53881</c:v>
                </c:pt>
                <c:pt idx="2129">
                  <c:v>53888</c:v>
                </c:pt>
                <c:pt idx="2130">
                  <c:v>53895</c:v>
                </c:pt>
                <c:pt idx="2131">
                  <c:v>53902</c:v>
                </c:pt>
                <c:pt idx="2132">
                  <c:v>53909</c:v>
                </c:pt>
                <c:pt idx="2133">
                  <c:v>53916</c:v>
                </c:pt>
                <c:pt idx="2134">
                  <c:v>53923</c:v>
                </c:pt>
                <c:pt idx="2135">
                  <c:v>53931</c:v>
                </c:pt>
                <c:pt idx="2136">
                  <c:v>53937</c:v>
                </c:pt>
                <c:pt idx="2137">
                  <c:v>53944</c:v>
                </c:pt>
                <c:pt idx="2138">
                  <c:v>53951</c:v>
                </c:pt>
                <c:pt idx="2139">
                  <c:v>53958</c:v>
                </c:pt>
                <c:pt idx="2140">
                  <c:v>53965</c:v>
                </c:pt>
                <c:pt idx="2141">
                  <c:v>53972</c:v>
                </c:pt>
                <c:pt idx="2142">
                  <c:v>53979</c:v>
                </c:pt>
                <c:pt idx="2143">
                  <c:v>53986</c:v>
                </c:pt>
                <c:pt idx="2144">
                  <c:v>53993</c:v>
                </c:pt>
                <c:pt idx="2145">
                  <c:v>54000</c:v>
                </c:pt>
                <c:pt idx="2146">
                  <c:v>54007</c:v>
                </c:pt>
                <c:pt idx="2147">
                  <c:v>54014</c:v>
                </c:pt>
                <c:pt idx="2148">
                  <c:v>54021</c:v>
                </c:pt>
                <c:pt idx="2149">
                  <c:v>54028</c:v>
                </c:pt>
                <c:pt idx="2150">
                  <c:v>54035</c:v>
                </c:pt>
                <c:pt idx="2151">
                  <c:v>54042</c:v>
                </c:pt>
                <c:pt idx="2152">
                  <c:v>54049</c:v>
                </c:pt>
                <c:pt idx="2153">
                  <c:v>54057</c:v>
                </c:pt>
                <c:pt idx="2154">
                  <c:v>54064</c:v>
                </c:pt>
                <c:pt idx="2155">
                  <c:v>54071</c:v>
                </c:pt>
                <c:pt idx="2156">
                  <c:v>54078</c:v>
                </c:pt>
                <c:pt idx="2157">
                  <c:v>54085</c:v>
                </c:pt>
                <c:pt idx="2158">
                  <c:v>54092</c:v>
                </c:pt>
                <c:pt idx="2159">
                  <c:v>54099</c:v>
                </c:pt>
                <c:pt idx="2160">
                  <c:v>54106</c:v>
                </c:pt>
                <c:pt idx="2161">
                  <c:v>54113</c:v>
                </c:pt>
                <c:pt idx="2162">
                  <c:v>54120</c:v>
                </c:pt>
                <c:pt idx="2163">
                  <c:v>54127</c:v>
                </c:pt>
                <c:pt idx="2164">
                  <c:v>54134</c:v>
                </c:pt>
                <c:pt idx="2165">
                  <c:v>54141</c:v>
                </c:pt>
                <c:pt idx="2166">
                  <c:v>54148</c:v>
                </c:pt>
                <c:pt idx="2167">
                  <c:v>54157</c:v>
                </c:pt>
                <c:pt idx="2168">
                  <c:v>54164</c:v>
                </c:pt>
                <c:pt idx="2169">
                  <c:v>54171</c:v>
                </c:pt>
                <c:pt idx="2170">
                  <c:v>54178</c:v>
                </c:pt>
                <c:pt idx="2171">
                  <c:v>54185</c:v>
                </c:pt>
                <c:pt idx="2172">
                  <c:v>54192</c:v>
                </c:pt>
                <c:pt idx="2173">
                  <c:v>54199</c:v>
                </c:pt>
                <c:pt idx="2174">
                  <c:v>54206</c:v>
                </c:pt>
                <c:pt idx="2175">
                  <c:v>54213</c:v>
                </c:pt>
                <c:pt idx="2176">
                  <c:v>54220</c:v>
                </c:pt>
                <c:pt idx="2177">
                  <c:v>54227</c:v>
                </c:pt>
                <c:pt idx="2178">
                  <c:v>54234</c:v>
                </c:pt>
                <c:pt idx="2179">
                  <c:v>54241</c:v>
                </c:pt>
                <c:pt idx="2180">
                  <c:v>54248</c:v>
                </c:pt>
                <c:pt idx="2181">
                  <c:v>54255</c:v>
                </c:pt>
                <c:pt idx="2182">
                  <c:v>54262</c:v>
                </c:pt>
                <c:pt idx="2183">
                  <c:v>54269</c:v>
                </c:pt>
                <c:pt idx="2184">
                  <c:v>54276</c:v>
                </c:pt>
                <c:pt idx="2185">
                  <c:v>54283</c:v>
                </c:pt>
                <c:pt idx="2186">
                  <c:v>54290</c:v>
                </c:pt>
                <c:pt idx="2187">
                  <c:v>54297</c:v>
                </c:pt>
                <c:pt idx="2188">
                  <c:v>54304</c:v>
                </c:pt>
                <c:pt idx="2189">
                  <c:v>54311</c:v>
                </c:pt>
                <c:pt idx="2190">
                  <c:v>54318</c:v>
                </c:pt>
                <c:pt idx="2191">
                  <c:v>54325</c:v>
                </c:pt>
                <c:pt idx="2192">
                  <c:v>54332</c:v>
                </c:pt>
                <c:pt idx="2193">
                  <c:v>54339</c:v>
                </c:pt>
                <c:pt idx="2194">
                  <c:v>54346</c:v>
                </c:pt>
                <c:pt idx="2195">
                  <c:v>54353</c:v>
                </c:pt>
                <c:pt idx="2196">
                  <c:v>54360</c:v>
                </c:pt>
                <c:pt idx="2197">
                  <c:v>54367</c:v>
                </c:pt>
                <c:pt idx="2198">
                  <c:v>54374</c:v>
                </c:pt>
                <c:pt idx="2199">
                  <c:v>54381</c:v>
                </c:pt>
                <c:pt idx="2200">
                  <c:v>54388</c:v>
                </c:pt>
                <c:pt idx="2201">
                  <c:v>54395</c:v>
                </c:pt>
                <c:pt idx="2202">
                  <c:v>54402</c:v>
                </c:pt>
                <c:pt idx="2203">
                  <c:v>54409</c:v>
                </c:pt>
                <c:pt idx="2204">
                  <c:v>54416</c:v>
                </c:pt>
                <c:pt idx="2205">
                  <c:v>54423</c:v>
                </c:pt>
                <c:pt idx="2206">
                  <c:v>54430</c:v>
                </c:pt>
                <c:pt idx="2207">
                  <c:v>54437</c:v>
                </c:pt>
                <c:pt idx="2208">
                  <c:v>54444</c:v>
                </c:pt>
                <c:pt idx="2209">
                  <c:v>54451</c:v>
                </c:pt>
                <c:pt idx="2210">
                  <c:v>54458</c:v>
                </c:pt>
                <c:pt idx="2211">
                  <c:v>54465</c:v>
                </c:pt>
                <c:pt idx="2212">
                  <c:v>54472</c:v>
                </c:pt>
                <c:pt idx="2213">
                  <c:v>54479</c:v>
                </c:pt>
                <c:pt idx="2214">
                  <c:v>54486</c:v>
                </c:pt>
                <c:pt idx="2215">
                  <c:v>54493</c:v>
                </c:pt>
                <c:pt idx="2216">
                  <c:v>54500</c:v>
                </c:pt>
                <c:pt idx="2217">
                  <c:v>54507</c:v>
                </c:pt>
                <c:pt idx="2218">
                  <c:v>54514</c:v>
                </c:pt>
                <c:pt idx="2219">
                  <c:v>54521</c:v>
                </c:pt>
                <c:pt idx="2220">
                  <c:v>54528</c:v>
                </c:pt>
                <c:pt idx="2221">
                  <c:v>54535</c:v>
                </c:pt>
                <c:pt idx="2222">
                  <c:v>54542</c:v>
                </c:pt>
                <c:pt idx="2223">
                  <c:v>54549</c:v>
                </c:pt>
                <c:pt idx="2224">
                  <c:v>54556</c:v>
                </c:pt>
                <c:pt idx="2225">
                  <c:v>54563</c:v>
                </c:pt>
                <c:pt idx="2226">
                  <c:v>54570</c:v>
                </c:pt>
                <c:pt idx="2227">
                  <c:v>54577</c:v>
                </c:pt>
                <c:pt idx="2228">
                  <c:v>54584</c:v>
                </c:pt>
                <c:pt idx="2229">
                  <c:v>54591</c:v>
                </c:pt>
                <c:pt idx="2230">
                  <c:v>54598</c:v>
                </c:pt>
                <c:pt idx="2231">
                  <c:v>54605</c:v>
                </c:pt>
                <c:pt idx="2232">
                  <c:v>54612</c:v>
                </c:pt>
                <c:pt idx="2233">
                  <c:v>54619</c:v>
                </c:pt>
                <c:pt idx="2234">
                  <c:v>54626</c:v>
                </c:pt>
                <c:pt idx="2235">
                  <c:v>54633</c:v>
                </c:pt>
                <c:pt idx="2236">
                  <c:v>54640</c:v>
                </c:pt>
                <c:pt idx="2237">
                  <c:v>54647</c:v>
                </c:pt>
                <c:pt idx="2238">
                  <c:v>54654</c:v>
                </c:pt>
                <c:pt idx="2239">
                  <c:v>54661</c:v>
                </c:pt>
                <c:pt idx="2240">
                  <c:v>54668</c:v>
                </c:pt>
                <c:pt idx="2241">
                  <c:v>54675</c:v>
                </c:pt>
                <c:pt idx="2242">
                  <c:v>54682</c:v>
                </c:pt>
                <c:pt idx="2243">
                  <c:v>54689</c:v>
                </c:pt>
                <c:pt idx="2244">
                  <c:v>54696</c:v>
                </c:pt>
                <c:pt idx="2245">
                  <c:v>54703</c:v>
                </c:pt>
                <c:pt idx="2246">
                  <c:v>54710</c:v>
                </c:pt>
                <c:pt idx="2247">
                  <c:v>54717</c:v>
                </c:pt>
                <c:pt idx="2248">
                  <c:v>54724</c:v>
                </c:pt>
                <c:pt idx="2249">
                  <c:v>54731</c:v>
                </c:pt>
                <c:pt idx="2250">
                  <c:v>54738</c:v>
                </c:pt>
                <c:pt idx="2251">
                  <c:v>54745</c:v>
                </c:pt>
                <c:pt idx="2252">
                  <c:v>54752</c:v>
                </c:pt>
                <c:pt idx="2253">
                  <c:v>54759</c:v>
                </c:pt>
                <c:pt idx="2254">
                  <c:v>54766</c:v>
                </c:pt>
                <c:pt idx="2255">
                  <c:v>54773</c:v>
                </c:pt>
                <c:pt idx="2256">
                  <c:v>54780</c:v>
                </c:pt>
                <c:pt idx="2257">
                  <c:v>54788</c:v>
                </c:pt>
                <c:pt idx="2258">
                  <c:v>54795</c:v>
                </c:pt>
                <c:pt idx="2259">
                  <c:v>54802</c:v>
                </c:pt>
                <c:pt idx="2260">
                  <c:v>54809</c:v>
                </c:pt>
                <c:pt idx="2261">
                  <c:v>54816</c:v>
                </c:pt>
                <c:pt idx="2262">
                  <c:v>54823</c:v>
                </c:pt>
                <c:pt idx="2263">
                  <c:v>54830</c:v>
                </c:pt>
                <c:pt idx="2264">
                  <c:v>54837</c:v>
                </c:pt>
                <c:pt idx="2265">
                  <c:v>54844</c:v>
                </c:pt>
                <c:pt idx="2266">
                  <c:v>54851</c:v>
                </c:pt>
                <c:pt idx="2267">
                  <c:v>54858</c:v>
                </c:pt>
                <c:pt idx="2268">
                  <c:v>54865</c:v>
                </c:pt>
                <c:pt idx="2269">
                  <c:v>54872</c:v>
                </c:pt>
                <c:pt idx="2270">
                  <c:v>54879</c:v>
                </c:pt>
                <c:pt idx="2271">
                  <c:v>54890</c:v>
                </c:pt>
                <c:pt idx="2272">
                  <c:v>54893</c:v>
                </c:pt>
                <c:pt idx="2273">
                  <c:v>54900</c:v>
                </c:pt>
                <c:pt idx="2274">
                  <c:v>54907</c:v>
                </c:pt>
                <c:pt idx="2275">
                  <c:v>54914</c:v>
                </c:pt>
                <c:pt idx="2276">
                  <c:v>54921</c:v>
                </c:pt>
                <c:pt idx="2277">
                  <c:v>54928</c:v>
                </c:pt>
                <c:pt idx="2278">
                  <c:v>54935</c:v>
                </c:pt>
                <c:pt idx="2279">
                  <c:v>54942</c:v>
                </c:pt>
                <c:pt idx="2280">
                  <c:v>54949</c:v>
                </c:pt>
                <c:pt idx="2281">
                  <c:v>54956</c:v>
                </c:pt>
                <c:pt idx="2282">
                  <c:v>54963</c:v>
                </c:pt>
                <c:pt idx="2283">
                  <c:v>54970</c:v>
                </c:pt>
                <c:pt idx="2284">
                  <c:v>54977</c:v>
                </c:pt>
                <c:pt idx="2285">
                  <c:v>54984</c:v>
                </c:pt>
                <c:pt idx="2286">
                  <c:v>54991</c:v>
                </c:pt>
                <c:pt idx="2287">
                  <c:v>54998</c:v>
                </c:pt>
                <c:pt idx="2288">
                  <c:v>55005</c:v>
                </c:pt>
                <c:pt idx="2289">
                  <c:v>55012</c:v>
                </c:pt>
                <c:pt idx="2290">
                  <c:v>55019</c:v>
                </c:pt>
                <c:pt idx="2291">
                  <c:v>55026</c:v>
                </c:pt>
                <c:pt idx="2292">
                  <c:v>55033</c:v>
                </c:pt>
                <c:pt idx="2293">
                  <c:v>55040</c:v>
                </c:pt>
                <c:pt idx="2294">
                  <c:v>55047</c:v>
                </c:pt>
                <c:pt idx="2295">
                  <c:v>55054</c:v>
                </c:pt>
                <c:pt idx="2296">
                  <c:v>55061</c:v>
                </c:pt>
                <c:pt idx="2297">
                  <c:v>55068</c:v>
                </c:pt>
                <c:pt idx="2298">
                  <c:v>55075</c:v>
                </c:pt>
                <c:pt idx="2299">
                  <c:v>55082</c:v>
                </c:pt>
                <c:pt idx="2300">
                  <c:v>55089</c:v>
                </c:pt>
                <c:pt idx="2301">
                  <c:v>55096</c:v>
                </c:pt>
                <c:pt idx="2302">
                  <c:v>55103</c:v>
                </c:pt>
                <c:pt idx="2303">
                  <c:v>55110</c:v>
                </c:pt>
                <c:pt idx="2304">
                  <c:v>55117</c:v>
                </c:pt>
                <c:pt idx="2305">
                  <c:v>55124</c:v>
                </c:pt>
                <c:pt idx="2306">
                  <c:v>55131</c:v>
                </c:pt>
                <c:pt idx="2307">
                  <c:v>55138</c:v>
                </c:pt>
                <c:pt idx="2308">
                  <c:v>55145</c:v>
                </c:pt>
                <c:pt idx="2309">
                  <c:v>55152</c:v>
                </c:pt>
                <c:pt idx="2310">
                  <c:v>55159</c:v>
                </c:pt>
                <c:pt idx="2311">
                  <c:v>55166</c:v>
                </c:pt>
                <c:pt idx="2312">
                  <c:v>55173</c:v>
                </c:pt>
                <c:pt idx="2313">
                  <c:v>55180</c:v>
                </c:pt>
                <c:pt idx="2314">
                  <c:v>55187</c:v>
                </c:pt>
                <c:pt idx="2315">
                  <c:v>55194</c:v>
                </c:pt>
                <c:pt idx="2316">
                  <c:v>55201</c:v>
                </c:pt>
                <c:pt idx="2317">
                  <c:v>55208</c:v>
                </c:pt>
                <c:pt idx="2318">
                  <c:v>55215</c:v>
                </c:pt>
                <c:pt idx="2319">
                  <c:v>55222</c:v>
                </c:pt>
                <c:pt idx="2320">
                  <c:v>55229</c:v>
                </c:pt>
                <c:pt idx="2321">
                  <c:v>55236</c:v>
                </c:pt>
                <c:pt idx="2322">
                  <c:v>55247</c:v>
                </c:pt>
                <c:pt idx="2323">
                  <c:v>55250</c:v>
                </c:pt>
                <c:pt idx="2324">
                  <c:v>55257</c:v>
                </c:pt>
                <c:pt idx="2325">
                  <c:v>55264</c:v>
                </c:pt>
                <c:pt idx="2326">
                  <c:v>55271</c:v>
                </c:pt>
                <c:pt idx="2327">
                  <c:v>55278</c:v>
                </c:pt>
                <c:pt idx="2328">
                  <c:v>55285</c:v>
                </c:pt>
                <c:pt idx="2329">
                  <c:v>55292</c:v>
                </c:pt>
                <c:pt idx="2330">
                  <c:v>55299</c:v>
                </c:pt>
                <c:pt idx="2331">
                  <c:v>55306</c:v>
                </c:pt>
                <c:pt idx="2332">
                  <c:v>55313</c:v>
                </c:pt>
                <c:pt idx="2333">
                  <c:v>55320</c:v>
                </c:pt>
                <c:pt idx="2334">
                  <c:v>55327</c:v>
                </c:pt>
                <c:pt idx="2335">
                  <c:v>55334</c:v>
                </c:pt>
                <c:pt idx="2336">
                  <c:v>55341</c:v>
                </c:pt>
                <c:pt idx="2337">
                  <c:v>55348</c:v>
                </c:pt>
                <c:pt idx="2338">
                  <c:v>55355</c:v>
                </c:pt>
                <c:pt idx="2339">
                  <c:v>55362</c:v>
                </c:pt>
                <c:pt idx="2340">
                  <c:v>55369</c:v>
                </c:pt>
                <c:pt idx="2341">
                  <c:v>55376</c:v>
                </c:pt>
                <c:pt idx="2342">
                  <c:v>55383</c:v>
                </c:pt>
                <c:pt idx="2343">
                  <c:v>55390</c:v>
                </c:pt>
                <c:pt idx="2344">
                  <c:v>55397</c:v>
                </c:pt>
                <c:pt idx="2345">
                  <c:v>55404</c:v>
                </c:pt>
                <c:pt idx="2346">
                  <c:v>55411</c:v>
                </c:pt>
                <c:pt idx="2347">
                  <c:v>55418</c:v>
                </c:pt>
                <c:pt idx="2348">
                  <c:v>55425</c:v>
                </c:pt>
                <c:pt idx="2349">
                  <c:v>55432</c:v>
                </c:pt>
                <c:pt idx="2350">
                  <c:v>55439</c:v>
                </c:pt>
                <c:pt idx="2351">
                  <c:v>55446</c:v>
                </c:pt>
                <c:pt idx="2352">
                  <c:v>55453</c:v>
                </c:pt>
                <c:pt idx="2353">
                  <c:v>55460</c:v>
                </c:pt>
                <c:pt idx="2354">
                  <c:v>55467</c:v>
                </c:pt>
                <c:pt idx="2355">
                  <c:v>55474</c:v>
                </c:pt>
                <c:pt idx="2356">
                  <c:v>55481</c:v>
                </c:pt>
                <c:pt idx="2357">
                  <c:v>55488</c:v>
                </c:pt>
                <c:pt idx="2358">
                  <c:v>55495</c:v>
                </c:pt>
                <c:pt idx="2359">
                  <c:v>55502</c:v>
                </c:pt>
                <c:pt idx="2360">
                  <c:v>55509</c:v>
                </c:pt>
                <c:pt idx="2361">
                  <c:v>55516</c:v>
                </c:pt>
                <c:pt idx="2362">
                  <c:v>55523</c:v>
                </c:pt>
                <c:pt idx="2363">
                  <c:v>55530</c:v>
                </c:pt>
                <c:pt idx="2364">
                  <c:v>55537</c:v>
                </c:pt>
                <c:pt idx="2365">
                  <c:v>55544</c:v>
                </c:pt>
                <c:pt idx="2366">
                  <c:v>55551</c:v>
                </c:pt>
                <c:pt idx="2367">
                  <c:v>55558</c:v>
                </c:pt>
                <c:pt idx="2368">
                  <c:v>55565</c:v>
                </c:pt>
                <c:pt idx="2369">
                  <c:v>55572</c:v>
                </c:pt>
                <c:pt idx="2370">
                  <c:v>55579</c:v>
                </c:pt>
                <c:pt idx="2371">
                  <c:v>55586</c:v>
                </c:pt>
                <c:pt idx="2372">
                  <c:v>55593</c:v>
                </c:pt>
                <c:pt idx="2373">
                  <c:v>55600</c:v>
                </c:pt>
                <c:pt idx="2374">
                  <c:v>55607</c:v>
                </c:pt>
                <c:pt idx="2375">
                  <c:v>55614</c:v>
                </c:pt>
                <c:pt idx="2376">
                  <c:v>55621</c:v>
                </c:pt>
                <c:pt idx="2377">
                  <c:v>55632</c:v>
                </c:pt>
                <c:pt idx="2378">
                  <c:v>55635</c:v>
                </c:pt>
                <c:pt idx="2379">
                  <c:v>55642</c:v>
                </c:pt>
                <c:pt idx="2380">
                  <c:v>55649</c:v>
                </c:pt>
                <c:pt idx="2381">
                  <c:v>55656</c:v>
                </c:pt>
                <c:pt idx="2382">
                  <c:v>55663</c:v>
                </c:pt>
                <c:pt idx="2383">
                  <c:v>55670</c:v>
                </c:pt>
                <c:pt idx="2384">
                  <c:v>55677</c:v>
                </c:pt>
                <c:pt idx="2385">
                  <c:v>55684</c:v>
                </c:pt>
                <c:pt idx="2386">
                  <c:v>55691</c:v>
                </c:pt>
                <c:pt idx="2387">
                  <c:v>55698</c:v>
                </c:pt>
                <c:pt idx="2388">
                  <c:v>55705</c:v>
                </c:pt>
                <c:pt idx="2389">
                  <c:v>55712</c:v>
                </c:pt>
                <c:pt idx="2390">
                  <c:v>55719</c:v>
                </c:pt>
                <c:pt idx="2391">
                  <c:v>55726</c:v>
                </c:pt>
                <c:pt idx="2392">
                  <c:v>55733</c:v>
                </c:pt>
                <c:pt idx="2393">
                  <c:v>55740</c:v>
                </c:pt>
                <c:pt idx="2394">
                  <c:v>55747</c:v>
                </c:pt>
                <c:pt idx="2395">
                  <c:v>55754</c:v>
                </c:pt>
                <c:pt idx="2396">
                  <c:v>55761</c:v>
                </c:pt>
                <c:pt idx="2397">
                  <c:v>55768</c:v>
                </c:pt>
                <c:pt idx="2398">
                  <c:v>55775</c:v>
                </c:pt>
                <c:pt idx="2399">
                  <c:v>55782</c:v>
                </c:pt>
                <c:pt idx="2400">
                  <c:v>55789</c:v>
                </c:pt>
                <c:pt idx="2401">
                  <c:v>55796</c:v>
                </c:pt>
                <c:pt idx="2402">
                  <c:v>55803</c:v>
                </c:pt>
                <c:pt idx="2403">
                  <c:v>55810</c:v>
                </c:pt>
                <c:pt idx="2404">
                  <c:v>55817</c:v>
                </c:pt>
                <c:pt idx="2405">
                  <c:v>55824</c:v>
                </c:pt>
                <c:pt idx="2406">
                  <c:v>55831</c:v>
                </c:pt>
                <c:pt idx="2407">
                  <c:v>55838</c:v>
                </c:pt>
                <c:pt idx="2408">
                  <c:v>55845</c:v>
                </c:pt>
                <c:pt idx="2409">
                  <c:v>55852</c:v>
                </c:pt>
                <c:pt idx="2410">
                  <c:v>55859</c:v>
                </c:pt>
                <c:pt idx="2411">
                  <c:v>55866</c:v>
                </c:pt>
                <c:pt idx="2412">
                  <c:v>55873</c:v>
                </c:pt>
                <c:pt idx="2413">
                  <c:v>55884</c:v>
                </c:pt>
                <c:pt idx="2414">
                  <c:v>55891</c:v>
                </c:pt>
                <c:pt idx="2415">
                  <c:v>55898</c:v>
                </c:pt>
                <c:pt idx="2416">
                  <c:v>55905</c:v>
                </c:pt>
                <c:pt idx="2417">
                  <c:v>55912</c:v>
                </c:pt>
                <c:pt idx="2418">
                  <c:v>55919</c:v>
                </c:pt>
                <c:pt idx="2419">
                  <c:v>55926</c:v>
                </c:pt>
                <c:pt idx="2420">
                  <c:v>55933</c:v>
                </c:pt>
                <c:pt idx="2421">
                  <c:v>55940</c:v>
                </c:pt>
                <c:pt idx="2422">
                  <c:v>55947</c:v>
                </c:pt>
                <c:pt idx="2423">
                  <c:v>55954</c:v>
                </c:pt>
                <c:pt idx="2424">
                  <c:v>55961</c:v>
                </c:pt>
                <c:pt idx="2425">
                  <c:v>55968</c:v>
                </c:pt>
                <c:pt idx="2426">
                  <c:v>55975</c:v>
                </c:pt>
                <c:pt idx="2427">
                  <c:v>55984</c:v>
                </c:pt>
                <c:pt idx="2428">
                  <c:v>55991</c:v>
                </c:pt>
                <c:pt idx="2429">
                  <c:v>55998</c:v>
                </c:pt>
                <c:pt idx="2430">
                  <c:v>56005</c:v>
                </c:pt>
                <c:pt idx="2431">
                  <c:v>56012</c:v>
                </c:pt>
                <c:pt idx="2432">
                  <c:v>56019</c:v>
                </c:pt>
                <c:pt idx="2433">
                  <c:v>56026</c:v>
                </c:pt>
                <c:pt idx="2434">
                  <c:v>56033</c:v>
                </c:pt>
                <c:pt idx="2435">
                  <c:v>56040</c:v>
                </c:pt>
                <c:pt idx="2436">
                  <c:v>56047</c:v>
                </c:pt>
                <c:pt idx="2437">
                  <c:v>56054</c:v>
                </c:pt>
                <c:pt idx="2438">
                  <c:v>56061</c:v>
                </c:pt>
                <c:pt idx="2439">
                  <c:v>56068</c:v>
                </c:pt>
                <c:pt idx="2440">
                  <c:v>56075</c:v>
                </c:pt>
                <c:pt idx="2441">
                  <c:v>56082</c:v>
                </c:pt>
                <c:pt idx="2442">
                  <c:v>56089</c:v>
                </c:pt>
                <c:pt idx="2443">
                  <c:v>56096</c:v>
                </c:pt>
                <c:pt idx="2444">
                  <c:v>56103</c:v>
                </c:pt>
                <c:pt idx="2445">
                  <c:v>56110</c:v>
                </c:pt>
                <c:pt idx="2446">
                  <c:v>56117</c:v>
                </c:pt>
                <c:pt idx="2447">
                  <c:v>56124</c:v>
                </c:pt>
                <c:pt idx="2448">
                  <c:v>56131</c:v>
                </c:pt>
                <c:pt idx="2449">
                  <c:v>56138</c:v>
                </c:pt>
                <c:pt idx="2450">
                  <c:v>56145</c:v>
                </c:pt>
                <c:pt idx="2451">
                  <c:v>56152</c:v>
                </c:pt>
                <c:pt idx="2452">
                  <c:v>56159</c:v>
                </c:pt>
                <c:pt idx="2453">
                  <c:v>56166</c:v>
                </c:pt>
                <c:pt idx="2454">
                  <c:v>56173</c:v>
                </c:pt>
                <c:pt idx="2455">
                  <c:v>56180</c:v>
                </c:pt>
                <c:pt idx="2456">
                  <c:v>56187</c:v>
                </c:pt>
                <c:pt idx="2457">
                  <c:v>56194</c:v>
                </c:pt>
                <c:pt idx="2458">
                  <c:v>56201</c:v>
                </c:pt>
                <c:pt idx="2459">
                  <c:v>56208</c:v>
                </c:pt>
                <c:pt idx="2460">
                  <c:v>56215</c:v>
                </c:pt>
                <c:pt idx="2461">
                  <c:v>56222</c:v>
                </c:pt>
                <c:pt idx="2462">
                  <c:v>56229</c:v>
                </c:pt>
                <c:pt idx="2463">
                  <c:v>56236</c:v>
                </c:pt>
                <c:pt idx="2464">
                  <c:v>56247</c:v>
                </c:pt>
                <c:pt idx="2465">
                  <c:v>56251</c:v>
                </c:pt>
                <c:pt idx="2466">
                  <c:v>56257</c:v>
                </c:pt>
                <c:pt idx="2467">
                  <c:v>56264</c:v>
                </c:pt>
                <c:pt idx="2468">
                  <c:v>56271</c:v>
                </c:pt>
                <c:pt idx="2469">
                  <c:v>56278</c:v>
                </c:pt>
                <c:pt idx="2470">
                  <c:v>56285</c:v>
                </c:pt>
                <c:pt idx="2471">
                  <c:v>56292</c:v>
                </c:pt>
                <c:pt idx="2472">
                  <c:v>56299</c:v>
                </c:pt>
                <c:pt idx="2473">
                  <c:v>56306</c:v>
                </c:pt>
                <c:pt idx="2474">
                  <c:v>56313</c:v>
                </c:pt>
                <c:pt idx="2475">
                  <c:v>56320</c:v>
                </c:pt>
                <c:pt idx="2476">
                  <c:v>56327</c:v>
                </c:pt>
                <c:pt idx="2477">
                  <c:v>56334</c:v>
                </c:pt>
                <c:pt idx="2478">
                  <c:v>56341</c:v>
                </c:pt>
                <c:pt idx="2479">
                  <c:v>56348</c:v>
                </c:pt>
                <c:pt idx="2480">
                  <c:v>56355</c:v>
                </c:pt>
                <c:pt idx="2481">
                  <c:v>56362</c:v>
                </c:pt>
                <c:pt idx="2482">
                  <c:v>56369</c:v>
                </c:pt>
                <c:pt idx="2483">
                  <c:v>56376</c:v>
                </c:pt>
                <c:pt idx="2484">
                  <c:v>56383</c:v>
                </c:pt>
                <c:pt idx="2485">
                  <c:v>56390</c:v>
                </c:pt>
                <c:pt idx="2486">
                  <c:v>56397</c:v>
                </c:pt>
                <c:pt idx="2487">
                  <c:v>56404</c:v>
                </c:pt>
                <c:pt idx="2488">
                  <c:v>56411</c:v>
                </c:pt>
                <c:pt idx="2489">
                  <c:v>56418</c:v>
                </c:pt>
                <c:pt idx="2490">
                  <c:v>56425</c:v>
                </c:pt>
                <c:pt idx="2491">
                  <c:v>56432</c:v>
                </c:pt>
                <c:pt idx="2492">
                  <c:v>56439</c:v>
                </c:pt>
                <c:pt idx="2493">
                  <c:v>56446</c:v>
                </c:pt>
                <c:pt idx="2494">
                  <c:v>56453</c:v>
                </c:pt>
                <c:pt idx="2495">
                  <c:v>56460</c:v>
                </c:pt>
                <c:pt idx="2496">
                  <c:v>56467</c:v>
                </c:pt>
                <c:pt idx="2497">
                  <c:v>56474</c:v>
                </c:pt>
                <c:pt idx="2498">
                  <c:v>56481</c:v>
                </c:pt>
                <c:pt idx="2499">
                  <c:v>56488</c:v>
                </c:pt>
                <c:pt idx="2500">
                  <c:v>56495</c:v>
                </c:pt>
                <c:pt idx="2501">
                  <c:v>56502</c:v>
                </c:pt>
                <c:pt idx="2502">
                  <c:v>56509</c:v>
                </c:pt>
                <c:pt idx="2503">
                  <c:v>56516</c:v>
                </c:pt>
                <c:pt idx="2504">
                  <c:v>56523</c:v>
                </c:pt>
                <c:pt idx="2505">
                  <c:v>56530</c:v>
                </c:pt>
                <c:pt idx="2506">
                  <c:v>56537</c:v>
                </c:pt>
                <c:pt idx="2507">
                  <c:v>56544</c:v>
                </c:pt>
                <c:pt idx="2508">
                  <c:v>56551</c:v>
                </c:pt>
                <c:pt idx="2509">
                  <c:v>56558</c:v>
                </c:pt>
                <c:pt idx="2510">
                  <c:v>56565</c:v>
                </c:pt>
                <c:pt idx="2511">
                  <c:v>56572</c:v>
                </c:pt>
                <c:pt idx="2512">
                  <c:v>56579</c:v>
                </c:pt>
                <c:pt idx="2513">
                  <c:v>56586</c:v>
                </c:pt>
                <c:pt idx="2514">
                  <c:v>56593</c:v>
                </c:pt>
                <c:pt idx="2515">
                  <c:v>56600</c:v>
                </c:pt>
                <c:pt idx="2516">
                  <c:v>56607</c:v>
                </c:pt>
                <c:pt idx="2517">
                  <c:v>56614</c:v>
                </c:pt>
                <c:pt idx="2518">
                  <c:v>56621</c:v>
                </c:pt>
                <c:pt idx="2519">
                  <c:v>56628</c:v>
                </c:pt>
                <c:pt idx="2520">
                  <c:v>56635</c:v>
                </c:pt>
                <c:pt idx="2521">
                  <c:v>56642</c:v>
                </c:pt>
                <c:pt idx="2522">
                  <c:v>56649</c:v>
                </c:pt>
                <c:pt idx="2523">
                  <c:v>56656</c:v>
                </c:pt>
                <c:pt idx="2524">
                  <c:v>56663</c:v>
                </c:pt>
                <c:pt idx="2525">
                  <c:v>56670</c:v>
                </c:pt>
                <c:pt idx="2526">
                  <c:v>56677</c:v>
                </c:pt>
                <c:pt idx="2527">
                  <c:v>56684</c:v>
                </c:pt>
                <c:pt idx="2528">
                  <c:v>56691</c:v>
                </c:pt>
                <c:pt idx="2529">
                  <c:v>56698</c:v>
                </c:pt>
                <c:pt idx="2530">
                  <c:v>56705</c:v>
                </c:pt>
                <c:pt idx="2531">
                  <c:v>56712</c:v>
                </c:pt>
                <c:pt idx="2532">
                  <c:v>56719</c:v>
                </c:pt>
                <c:pt idx="2533">
                  <c:v>56726</c:v>
                </c:pt>
                <c:pt idx="2534">
                  <c:v>56733</c:v>
                </c:pt>
                <c:pt idx="2535">
                  <c:v>56740</c:v>
                </c:pt>
                <c:pt idx="2536">
                  <c:v>56747</c:v>
                </c:pt>
                <c:pt idx="2537">
                  <c:v>56754</c:v>
                </c:pt>
                <c:pt idx="2538">
                  <c:v>56761</c:v>
                </c:pt>
                <c:pt idx="2539">
                  <c:v>56768</c:v>
                </c:pt>
                <c:pt idx="2540">
                  <c:v>56775</c:v>
                </c:pt>
                <c:pt idx="2541">
                  <c:v>56782</c:v>
                </c:pt>
                <c:pt idx="2542">
                  <c:v>56789</c:v>
                </c:pt>
                <c:pt idx="2543">
                  <c:v>56796</c:v>
                </c:pt>
                <c:pt idx="2544">
                  <c:v>56803</c:v>
                </c:pt>
                <c:pt idx="2545">
                  <c:v>56810</c:v>
                </c:pt>
                <c:pt idx="2546">
                  <c:v>56817</c:v>
                </c:pt>
                <c:pt idx="2547">
                  <c:v>56824</c:v>
                </c:pt>
                <c:pt idx="2548">
                  <c:v>56831</c:v>
                </c:pt>
                <c:pt idx="2549">
                  <c:v>56838</c:v>
                </c:pt>
                <c:pt idx="2550">
                  <c:v>56845</c:v>
                </c:pt>
                <c:pt idx="2551">
                  <c:v>56852</c:v>
                </c:pt>
                <c:pt idx="2552">
                  <c:v>56859</c:v>
                </c:pt>
                <c:pt idx="2553">
                  <c:v>56866</c:v>
                </c:pt>
                <c:pt idx="2554">
                  <c:v>56873</c:v>
                </c:pt>
                <c:pt idx="2555">
                  <c:v>56880</c:v>
                </c:pt>
                <c:pt idx="2556">
                  <c:v>56887</c:v>
                </c:pt>
                <c:pt idx="2557">
                  <c:v>56894</c:v>
                </c:pt>
                <c:pt idx="2558">
                  <c:v>56901</c:v>
                </c:pt>
                <c:pt idx="2559">
                  <c:v>56908</c:v>
                </c:pt>
                <c:pt idx="2560">
                  <c:v>56915</c:v>
                </c:pt>
                <c:pt idx="2561">
                  <c:v>56922</c:v>
                </c:pt>
                <c:pt idx="2562">
                  <c:v>56929</c:v>
                </c:pt>
                <c:pt idx="2563">
                  <c:v>56936</c:v>
                </c:pt>
                <c:pt idx="2564">
                  <c:v>56943</c:v>
                </c:pt>
                <c:pt idx="2565">
                  <c:v>56950</c:v>
                </c:pt>
                <c:pt idx="2566">
                  <c:v>56957</c:v>
                </c:pt>
                <c:pt idx="2567">
                  <c:v>56964</c:v>
                </c:pt>
                <c:pt idx="2568">
                  <c:v>56971</c:v>
                </c:pt>
                <c:pt idx="2569">
                  <c:v>56979</c:v>
                </c:pt>
                <c:pt idx="2570">
                  <c:v>56986</c:v>
                </c:pt>
                <c:pt idx="2571">
                  <c:v>56993</c:v>
                </c:pt>
                <c:pt idx="2572">
                  <c:v>57000</c:v>
                </c:pt>
                <c:pt idx="2573">
                  <c:v>57007</c:v>
                </c:pt>
                <c:pt idx="2574">
                  <c:v>57014</c:v>
                </c:pt>
                <c:pt idx="2575">
                  <c:v>57021</c:v>
                </c:pt>
                <c:pt idx="2576">
                  <c:v>57028</c:v>
                </c:pt>
                <c:pt idx="2577">
                  <c:v>57035</c:v>
                </c:pt>
                <c:pt idx="2578">
                  <c:v>57042</c:v>
                </c:pt>
                <c:pt idx="2579">
                  <c:v>57049</c:v>
                </c:pt>
                <c:pt idx="2580">
                  <c:v>57056</c:v>
                </c:pt>
                <c:pt idx="2581">
                  <c:v>57063</c:v>
                </c:pt>
                <c:pt idx="2582">
                  <c:v>57074</c:v>
                </c:pt>
                <c:pt idx="2583">
                  <c:v>57077</c:v>
                </c:pt>
                <c:pt idx="2584">
                  <c:v>57084</c:v>
                </c:pt>
                <c:pt idx="2585">
                  <c:v>57091</c:v>
                </c:pt>
                <c:pt idx="2586">
                  <c:v>57098</c:v>
                </c:pt>
                <c:pt idx="2587">
                  <c:v>57105</c:v>
                </c:pt>
                <c:pt idx="2588">
                  <c:v>57112</c:v>
                </c:pt>
                <c:pt idx="2589">
                  <c:v>57119</c:v>
                </c:pt>
                <c:pt idx="2590">
                  <c:v>57126</c:v>
                </c:pt>
                <c:pt idx="2591">
                  <c:v>57133</c:v>
                </c:pt>
                <c:pt idx="2592">
                  <c:v>57140</c:v>
                </c:pt>
                <c:pt idx="2593">
                  <c:v>57147</c:v>
                </c:pt>
                <c:pt idx="2594">
                  <c:v>57154</c:v>
                </c:pt>
                <c:pt idx="2595">
                  <c:v>57161</c:v>
                </c:pt>
                <c:pt idx="2596">
                  <c:v>57168</c:v>
                </c:pt>
                <c:pt idx="2597">
                  <c:v>57175</c:v>
                </c:pt>
                <c:pt idx="2598">
                  <c:v>57182</c:v>
                </c:pt>
                <c:pt idx="2599">
                  <c:v>57189</c:v>
                </c:pt>
                <c:pt idx="2600">
                  <c:v>57196</c:v>
                </c:pt>
                <c:pt idx="2601">
                  <c:v>57203</c:v>
                </c:pt>
                <c:pt idx="2602">
                  <c:v>57210</c:v>
                </c:pt>
                <c:pt idx="2603">
                  <c:v>57217</c:v>
                </c:pt>
                <c:pt idx="2604">
                  <c:v>57224</c:v>
                </c:pt>
                <c:pt idx="2605">
                  <c:v>57231</c:v>
                </c:pt>
                <c:pt idx="2606">
                  <c:v>57238</c:v>
                </c:pt>
                <c:pt idx="2607">
                  <c:v>57245</c:v>
                </c:pt>
                <c:pt idx="2608">
                  <c:v>57252</c:v>
                </c:pt>
                <c:pt idx="2609">
                  <c:v>57259</c:v>
                </c:pt>
                <c:pt idx="2610">
                  <c:v>57266</c:v>
                </c:pt>
                <c:pt idx="2611">
                  <c:v>57273</c:v>
                </c:pt>
                <c:pt idx="2612">
                  <c:v>57280</c:v>
                </c:pt>
                <c:pt idx="2613">
                  <c:v>57287</c:v>
                </c:pt>
                <c:pt idx="2614">
                  <c:v>57294</c:v>
                </c:pt>
                <c:pt idx="2615">
                  <c:v>57301</c:v>
                </c:pt>
                <c:pt idx="2616">
                  <c:v>57308</c:v>
                </c:pt>
                <c:pt idx="2617">
                  <c:v>57315</c:v>
                </c:pt>
                <c:pt idx="2618">
                  <c:v>57322</c:v>
                </c:pt>
                <c:pt idx="2619">
                  <c:v>57329</c:v>
                </c:pt>
                <c:pt idx="2620">
                  <c:v>57336</c:v>
                </c:pt>
                <c:pt idx="2621">
                  <c:v>57343</c:v>
                </c:pt>
                <c:pt idx="2622">
                  <c:v>57350</c:v>
                </c:pt>
                <c:pt idx="2623">
                  <c:v>57357</c:v>
                </c:pt>
                <c:pt idx="2624">
                  <c:v>57364</c:v>
                </c:pt>
                <c:pt idx="2625">
                  <c:v>57371</c:v>
                </c:pt>
                <c:pt idx="2626">
                  <c:v>57378</c:v>
                </c:pt>
                <c:pt idx="2627">
                  <c:v>57385</c:v>
                </c:pt>
                <c:pt idx="2628">
                  <c:v>57392</c:v>
                </c:pt>
                <c:pt idx="2629">
                  <c:v>57399</c:v>
                </c:pt>
                <c:pt idx="2630">
                  <c:v>57406</c:v>
                </c:pt>
                <c:pt idx="2631">
                  <c:v>57413</c:v>
                </c:pt>
                <c:pt idx="2632">
                  <c:v>57420</c:v>
                </c:pt>
                <c:pt idx="2633">
                  <c:v>57427</c:v>
                </c:pt>
                <c:pt idx="2634">
                  <c:v>57434</c:v>
                </c:pt>
                <c:pt idx="2635">
                  <c:v>57441</c:v>
                </c:pt>
                <c:pt idx="2636">
                  <c:v>57448</c:v>
                </c:pt>
                <c:pt idx="2637">
                  <c:v>57459</c:v>
                </c:pt>
                <c:pt idx="2638">
                  <c:v>57462</c:v>
                </c:pt>
                <c:pt idx="2639">
                  <c:v>57469</c:v>
                </c:pt>
                <c:pt idx="2640">
                  <c:v>57476</c:v>
                </c:pt>
                <c:pt idx="2641">
                  <c:v>57483</c:v>
                </c:pt>
                <c:pt idx="2642">
                  <c:v>57490</c:v>
                </c:pt>
                <c:pt idx="2643">
                  <c:v>57497</c:v>
                </c:pt>
                <c:pt idx="2644">
                  <c:v>57504</c:v>
                </c:pt>
                <c:pt idx="2645">
                  <c:v>57511</c:v>
                </c:pt>
                <c:pt idx="2646">
                  <c:v>57518</c:v>
                </c:pt>
                <c:pt idx="2647">
                  <c:v>57525</c:v>
                </c:pt>
                <c:pt idx="2648">
                  <c:v>57532</c:v>
                </c:pt>
                <c:pt idx="2649">
                  <c:v>57539</c:v>
                </c:pt>
                <c:pt idx="2650">
                  <c:v>57546</c:v>
                </c:pt>
                <c:pt idx="2651">
                  <c:v>57553</c:v>
                </c:pt>
                <c:pt idx="2652">
                  <c:v>57560</c:v>
                </c:pt>
                <c:pt idx="2653">
                  <c:v>57567</c:v>
                </c:pt>
                <c:pt idx="2654">
                  <c:v>57574</c:v>
                </c:pt>
                <c:pt idx="2655">
                  <c:v>57581</c:v>
                </c:pt>
                <c:pt idx="2656">
                  <c:v>57588</c:v>
                </c:pt>
                <c:pt idx="2657">
                  <c:v>57595</c:v>
                </c:pt>
                <c:pt idx="2658">
                  <c:v>57602</c:v>
                </c:pt>
                <c:pt idx="2659">
                  <c:v>57609</c:v>
                </c:pt>
                <c:pt idx="2660">
                  <c:v>57616</c:v>
                </c:pt>
                <c:pt idx="2661">
                  <c:v>57623</c:v>
                </c:pt>
                <c:pt idx="2662">
                  <c:v>57630</c:v>
                </c:pt>
                <c:pt idx="2663">
                  <c:v>57637</c:v>
                </c:pt>
                <c:pt idx="2664">
                  <c:v>57644</c:v>
                </c:pt>
                <c:pt idx="2665">
                  <c:v>57651</c:v>
                </c:pt>
                <c:pt idx="2666">
                  <c:v>57658</c:v>
                </c:pt>
                <c:pt idx="2667">
                  <c:v>57665</c:v>
                </c:pt>
                <c:pt idx="2668">
                  <c:v>57672</c:v>
                </c:pt>
                <c:pt idx="2669">
                  <c:v>57679</c:v>
                </c:pt>
                <c:pt idx="2670">
                  <c:v>57686</c:v>
                </c:pt>
                <c:pt idx="2671">
                  <c:v>57693</c:v>
                </c:pt>
                <c:pt idx="2672">
                  <c:v>57700</c:v>
                </c:pt>
                <c:pt idx="2673">
                  <c:v>57710</c:v>
                </c:pt>
                <c:pt idx="2674">
                  <c:v>57717</c:v>
                </c:pt>
                <c:pt idx="2675">
                  <c:v>57724</c:v>
                </c:pt>
                <c:pt idx="2676">
                  <c:v>57731</c:v>
                </c:pt>
                <c:pt idx="2677">
                  <c:v>57738</c:v>
                </c:pt>
                <c:pt idx="2678">
                  <c:v>57745</c:v>
                </c:pt>
                <c:pt idx="2679">
                  <c:v>57752</c:v>
                </c:pt>
                <c:pt idx="2680">
                  <c:v>57759</c:v>
                </c:pt>
                <c:pt idx="2681">
                  <c:v>57766</c:v>
                </c:pt>
                <c:pt idx="2682">
                  <c:v>57773</c:v>
                </c:pt>
                <c:pt idx="2683">
                  <c:v>57780</c:v>
                </c:pt>
                <c:pt idx="2684">
                  <c:v>57787</c:v>
                </c:pt>
                <c:pt idx="2685">
                  <c:v>57794</c:v>
                </c:pt>
                <c:pt idx="2686">
                  <c:v>57801</c:v>
                </c:pt>
                <c:pt idx="2687">
                  <c:v>57808</c:v>
                </c:pt>
                <c:pt idx="2688">
                  <c:v>57817</c:v>
                </c:pt>
                <c:pt idx="2689">
                  <c:v>57822</c:v>
                </c:pt>
                <c:pt idx="2690">
                  <c:v>57829</c:v>
                </c:pt>
                <c:pt idx="2691">
                  <c:v>57837</c:v>
                </c:pt>
                <c:pt idx="2692">
                  <c:v>57843</c:v>
                </c:pt>
                <c:pt idx="2693">
                  <c:v>57850</c:v>
                </c:pt>
                <c:pt idx="2694">
                  <c:v>57858</c:v>
                </c:pt>
                <c:pt idx="2695">
                  <c:v>57864</c:v>
                </c:pt>
                <c:pt idx="2696">
                  <c:v>57871</c:v>
                </c:pt>
                <c:pt idx="2697">
                  <c:v>57878</c:v>
                </c:pt>
                <c:pt idx="2698">
                  <c:v>57885</c:v>
                </c:pt>
                <c:pt idx="2699">
                  <c:v>57892</c:v>
                </c:pt>
                <c:pt idx="2700">
                  <c:v>57899</c:v>
                </c:pt>
                <c:pt idx="2701">
                  <c:v>57906</c:v>
                </c:pt>
                <c:pt idx="2702">
                  <c:v>57913</c:v>
                </c:pt>
                <c:pt idx="2703">
                  <c:v>57920</c:v>
                </c:pt>
                <c:pt idx="2704">
                  <c:v>57927</c:v>
                </c:pt>
                <c:pt idx="2705">
                  <c:v>57934</c:v>
                </c:pt>
                <c:pt idx="2706">
                  <c:v>57941</c:v>
                </c:pt>
                <c:pt idx="2707">
                  <c:v>57949</c:v>
                </c:pt>
                <c:pt idx="2708">
                  <c:v>57955</c:v>
                </c:pt>
                <c:pt idx="2709">
                  <c:v>57962</c:v>
                </c:pt>
                <c:pt idx="2710">
                  <c:v>57969</c:v>
                </c:pt>
                <c:pt idx="2711">
                  <c:v>57976</c:v>
                </c:pt>
                <c:pt idx="2712">
                  <c:v>57983</c:v>
                </c:pt>
                <c:pt idx="2713">
                  <c:v>57990</c:v>
                </c:pt>
                <c:pt idx="2714">
                  <c:v>57997</c:v>
                </c:pt>
                <c:pt idx="2715">
                  <c:v>58004</c:v>
                </c:pt>
                <c:pt idx="2716">
                  <c:v>58011</c:v>
                </c:pt>
                <c:pt idx="2717">
                  <c:v>58018</c:v>
                </c:pt>
                <c:pt idx="2718">
                  <c:v>58025</c:v>
                </c:pt>
                <c:pt idx="2719">
                  <c:v>58032</c:v>
                </c:pt>
                <c:pt idx="2720">
                  <c:v>58039</c:v>
                </c:pt>
                <c:pt idx="2721">
                  <c:v>58046</c:v>
                </c:pt>
                <c:pt idx="2722">
                  <c:v>58053</c:v>
                </c:pt>
                <c:pt idx="2723">
                  <c:v>58060</c:v>
                </c:pt>
                <c:pt idx="2724">
                  <c:v>58067</c:v>
                </c:pt>
                <c:pt idx="2725">
                  <c:v>58075</c:v>
                </c:pt>
                <c:pt idx="2726">
                  <c:v>58082</c:v>
                </c:pt>
                <c:pt idx="2727">
                  <c:v>58089</c:v>
                </c:pt>
                <c:pt idx="2728">
                  <c:v>58096</c:v>
                </c:pt>
                <c:pt idx="2729">
                  <c:v>58103</c:v>
                </c:pt>
                <c:pt idx="2730">
                  <c:v>58110</c:v>
                </c:pt>
                <c:pt idx="2731">
                  <c:v>58117</c:v>
                </c:pt>
                <c:pt idx="2732">
                  <c:v>58124</c:v>
                </c:pt>
                <c:pt idx="2733">
                  <c:v>58131</c:v>
                </c:pt>
                <c:pt idx="2734">
                  <c:v>58138</c:v>
                </c:pt>
                <c:pt idx="2735">
                  <c:v>58145</c:v>
                </c:pt>
                <c:pt idx="2736">
                  <c:v>58152</c:v>
                </c:pt>
                <c:pt idx="2737">
                  <c:v>58159</c:v>
                </c:pt>
                <c:pt idx="2738">
                  <c:v>58168</c:v>
                </c:pt>
                <c:pt idx="2739">
                  <c:v>58175</c:v>
                </c:pt>
                <c:pt idx="2740">
                  <c:v>58182</c:v>
                </c:pt>
                <c:pt idx="2741">
                  <c:v>58189</c:v>
                </c:pt>
                <c:pt idx="2742">
                  <c:v>58196</c:v>
                </c:pt>
                <c:pt idx="2743">
                  <c:v>58203</c:v>
                </c:pt>
                <c:pt idx="2744">
                  <c:v>58210</c:v>
                </c:pt>
                <c:pt idx="2745">
                  <c:v>58217</c:v>
                </c:pt>
                <c:pt idx="2746">
                  <c:v>58224</c:v>
                </c:pt>
                <c:pt idx="2747">
                  <c:v>58231</c:v>
                </c:pt>
                <c:pt idx="2748">
                  <c:v>58238</c:v>
                </c:pt>
                <c:pt idx="2749">
                  <c:v>58245</c:v>
                </c:pt>
                <c:pt idx="2750">
                  <c:v>58252</c:v>
                </c:pt>
                <c:pt idx="2751">
                  <c:v>58259</c:v>
                </c:pt>
                <c:pt idx="2752">
                  <c:v>58266</c:v>
                </c:pt>
                <c:pt idx="2753">
                  <c:v>58273</c:v>
                </c:pt>
                <c:pt idx="2754">
                  <c:v>58280</c:v>
                </c:pt>
                <c:pt idx="2755">
                  <c:v>58287</c:v>
                </c:pt>
                <c:pt idx="2756">
                  <c:v>58294</c:v>
                </c:pt>
                <c:pt idx="2757">
                  <c:v>58301</c:v>
                </c:pt>
                <c:pt idx="2758">
                  <c:v>58308</c:v>
                </c:pt>
                <c:pt idx="2759">
                  <c:v>58315</c:v>
                </c:pt>
                <c:pt idx="2760">
                  <c:v>58322</c:v>
                </c:pt>
                <c:pt idx="2761">
                  <c:v>58329</c:v>
                </c:pt>
                <c:pt idx="2762">
                  <c:v>58336</c:v>
                </c:pt>
                <c:pt idx="2763">
                  <c:v>58343</c:v>
                </c:pt>
                <c:pt idx="2764">
                  <c:v>58350</c:v>
                </c:pt>
                <c:pt idx="2765">
                  <c:v>58357</c:v>
                </c:pt>
                <c:pt idx="2766">
                  <c:v>58364</c:v>
                </c:pt>
                <c:pt idx="2767">
                  <c:v>58371</c:v>
                </c:pt>
                <c:pt idx="2768">
                  <c:v>58378</c:v>
                </c:pt>
                <c:pt idx="2769">
                  <c:v>58385</c:v>
                </c:pt>
                <c:pt idx="2770">
                  <c:v>58392</c:v>
                </c:pt>
                <c:pt idx="2771">
                  <c:v>58399</c:v>
                </c:pt>
                <c:pt idx="2772">
                  <c:v>58406</c:v>
                </c:pt>
                <c:pt idx="2773">
                  <c:v>58413</c:v>
                </c:pt>
                <c:pt idx="2774">
                  <c:v>58420</c:v>
                </c:pt>
                <c:pt idx="2775">
                  <c:v>58427</c:v>
                </c:pt>
                <c:pt idx="2776">
                  <c:v>58438</c:v>
                </c:pt>
                <c:pt idx="2777">
                  <c:v>58442</c:v>
                </c:pt>
                <c:pt idx="2778">
                  <c:v>58448</c:v>
                </c:pt>
                <c:pt idx="2779">
                  <c:v>58455</c:v>
                </c:pt>
                <c:pt idx="2780">
                  <c:v>58462</c:v>
                </c:pt>
                <c:pt idx="2781">
                  <c:v>58469</c:v>
                </c:pt>
                <c:pt idx="2782">
                  <c:v>58476</c:v>
                </c:pt>
                <c:pt idx="2783">
                  <c:v>58483</c:v>
                </c:pt>
                <c:pt idx="2784">
                  <c:v>58490</c:v>
                </c:pt>
                <c:pt idx="2785">
                  <c:v>58497</c:v>
                </c:pt>
                <c:pt idx="2786">
                  <c:v>58504</c:v>
                </c:pt>
                <c:pt idx="2787">
                  <c:v>58511</c:v>
                </c:pt>
                <c:pt idx="2788">
                  <c:v>58518</c:v>
                </c:pt>
                <c:pt idx="2789">
                  <c:v>58525</c:v>
                </c:pt>
                <c:pt idx="2790">
                  <c:v>58532</c:v>
                </c:pt>
                <c:pt idx="2791">
                  <c:v>58539</c:v>
                </c:pt>
                <c:pt idx="2792">
                  <c:v>58546</c:v>
                </c:pt>
                <c:pt idx="2793">
                  <c:v>58553</c:v>
                </c:pt>
                <c:pt idx="2794">
                  <c:v>58560</c:v>
                </c:pt>
                <c:pt idx="2795">
                  <c:v>58567</c:v>
                </c:pt>
                <c:pt idx="2796">
                  <c:v>58574</c:v>
                </c:pt>
                <c:pt idx="2797">
                  <c:v>58581</c:v>
                </c:pt>
                <c:pt idx="2798">
                  <c:v>58588</c:v>
                </c:pt>
                <c:pt idx="2799">
                  <c:v>58595</c:v>
                </c:pt>
                <c:pt idx="2800">
                  <c:v>58602</c:v>
                </c:pt>
                <c:pt idx="2801">
                  <c:v>58609</c:v>
                </c:pt>
                <c:pt idx="2802">
                  <c:v>58616</c:v>
                </c:pt>
                <c:pt idx="2803">
                  <c:v>58623</c:v>
                </c:pt>
                <c:pt idx="2804">
                  <c:v>58630</c:v>
                </c:pt>
                <c:pt idx="2805">
                  <c:v>58637</c:v>
                </c:pt>
                <c:pt idx="2806">
                  <c:v>58644</c:v>
                </c:pt>
                <c:pt idx="2807">
                  <c:v>58651</c:v>
                </c:pt>
                <c:pt idx="2808">
                  <c:v>58658</c:v>
                </c:pt>
                <c:pt idx="2809">
                  <c:v>58665</c:v>
                </c:pt>
                <c:pt idx="2810">
                  <c:v>58672</c:v>
                </c:pt>
                <c:pt idx="2811">
                  <c:v>58679</c:v>
                </c:pt>
                <c:pt idx="2812">
                  <c:v>58686</c:v>
                </c:pt>
                <c:pt idx="2813">
                  <c:v>58693</c:v>
                </c:pt>
                <c:pt idx="2814">
                  <c:v>58700</c:v>
                </c:pt>
                <c:pt idx="2815">
                  <c:v>58707</c:v>
                </c:pt>
                <c:pt idx="2816">
                  <c:v>58714</c:v>
                </c:pt>
                <c:pt idx="2817">
                  <c:v>58721</c:v>
                </c:pt>
                <c:pt idx="2818">
                  <c:v>58728</c:v>
                </c:pt>
                <c:pt idx="2819">
                  <c:v>58735</c:v>
                </c:pt>
                <c:pt idx="2820">
                  <c:v>58742</c:v>
                </c:pt>
                <c:pt idx="2821">
                  <c:v>58749</c:v>
                </c:pt>
                <c:pt idx="2822">
                  <c:v>58756</c:v>
                </c:pt>
                <c:pt idx="2823">
                  <c:v>58763</c:v>
                </c:pt>
                <c:pt idx="2824">
                  <c:v>58770</c:v>
                </c:pt>
                <c:pt idx="2825">
                  <c:v>58777</c:v>
                </c:pt>
                <c:pt idx="2826">
                  <c:v>58784</c:v>
                </c:pt>
                <c:pt idx="2827">
                  <c:v>58791</c:v>
                </c:pt>
                <c:pt idx="2828">
                  <c:v>58798</c:v>
                </c:pt>
                <c:pt idx="2829">
                  <c:v>58806</c:v>
                </c:pt>
                <c:pt idx="2830">
                  <c:v>58813</c:v>
                </c:pt>
                <c:pt idx="2831">
                  <c:v>58820</c:v>
                </c:pt>
                <c:pt idx="2832">
                  <c:v>58827</c:v>
                </c:pt>
                <c:pt idx="2833">
                  <c:v>58834</c:v>
                </c:pt>
                <c:pt idx="2834">
                  <c:v>58841</c:v>
                </c:pt>
                <c:pt idx="2835">
                  <c:v>58848</c:v>
                </c:pt>
                <c:pt idx="2836">
                  <c:v>58855</c:v>
                </c:pt>
                <c:pt idx="2837">
                  <c:v>58862</c:v>
                </c:pt>
                <c:pt idx="2838">
                  <c:v>58869</c:v>
                </c:pt>
                <c:pt idx="2839">
                  <c:v>58876</c:v>
                </c:pt>
                <c:pt idx="2840">
                  <c:v>58883</c:v>
                </c:pt>
                <c:pt idx="2841">
                  <c:v>58890</c:v>
                </c:pt>
                <c:pt idx="2842">
                  <c:v>58897</c:v>
                </c:pt>
                <c:pt idx="2843">
                  <c:v>58908</c:v>
                </c:pt>
                <c:pt idx="2844">
                  <c:v>58911</c:v>
                </c:pt>
                <c:pt idx="2845">
                  <c:v>58918</c:v>
                </c:pt>
                <c:pt idx="2846">
                  <c:v>58925</c:v>
                </c:pt>
                <c:pt idx="2847">
                  <c:v>58932</c:v>
                </c:pt>
                <c:pt idx="2848">
                  <c:v>58939</c:v>
                </c:pt>
                <c:pt idx="2849">
                  <c:v>58946</c:v>
                </c:pt>
                <c:pt idx="2850">
                  <c:v>58953</c:v>
                </c:pt>
                <c:pt idx="2851">
                  <c:v>58960</c:v>
                </c:pt>
                <c:pt idx="2852">
                  <c:v>58967</c:v>
                </c:pt>
                <c:pt idx="2853">
                  <c:v>58974</c:v>
                </c:pt>
                <c:pt idx="2854">
                  <c:v>58981</c:v>
                </c:pt>
                <c:pt idx="2855">
                  <c:v>58988</c:v>
                </c:pt>
                <c:pt idx="2856">
                  <c:v>58995</c:v>
                </c:pt>
                <c:pt idx="2857">
                  <c:v>59002</c:v>
                </c:pt>
                <c:pt idx="2858">
                  <c:v>59009</c:v>
                </c:pt>
                <c:pt idx="2859">
                  <c:v>59016</c:v>
                </c:pt>
                <c:pt idx="2860">
                  <c:v>59023</c:v>
                </c:pt>
                <c:pt idx="2861">
                  <c:v>59030</c:v>
                </c:pt>
                <c:pt idx="2862">
                  <c:v>59037</c:v>
                </c:pt>
                <c:pt idx="2863">
                  <c:v>59044</c:v>
                </c:pt>
                <c:pt idx="2864">
                  <c:v>59051</c:v>
                </c:pt>
                <c:pt idx="2865">
                  <c:v>59058</c:v>
                </c:pt>
                <c:pt idx="2866">
                  <c:v>59065</c:v>
                </c:pt>
                <c:pt idx="2867">
                  <c:v>59072</c:v>
                </c:pt>
                <c:pt idx="2868">
                  <c:v>59079</c:v>
                </c:pt>
                <c:pt idx="2869">
                  <c:v>59086</c:v>
                </c:pt>
                <c:pt idx="2870">
                  <c:v>59093</c:v>
                </c:pt>
                <c:pt idx="2871">
                  <c:v>59100</c:v>
                </c:pt>
                <c:pt idx="2872">
                  <c:v>59107</c:v>
                </c:pt>
                <c:pt idx="2873">
                  <c:v>59114</c:v>
                </c:pt>
                <c:pt idx="2874">
                  <c:v>59121</c:v>
                </c:pt>
                <c:pt idx="2875">
                  <c:v>59128</c:v>
                </c:pt>
                <c:pt idx="2876">
                  <c:v>59135</c:v>
                </c:pt>
                <c:pt idx="2877">
                  <c:v>59142</c:v>
                </c:pt>
                <c:pt idx="2878">
                  <c:v>59149</c:v>
                </c:pt>
                <c:pt idx="2879">
                  <c:v>59156</c:v>
                </c:pt>
                <c:pt idx="2880">
                  <c:v>59163</c:v>
                </c:pt>
                <c:pt idx="2881">
                  <c:v>59170</c:v>
                </c:pt>
                <c:pt idx="2882">
                  <c:v>59177</c:v>
                </c:pt>
                <c:pt idx="2883">
                  <c:v>59184</c:v>
                </c:pt>
                <c:pt idx="2884">
                  <c:v>59191</c:v>
                </c:pt>
                <c:pt idx="2885">
                  <c:v>59198</c:v>
                </c:pt>
                <c:pt idx="2886">
                  <c:v>59205</c:v>
                </c:pt>
                <c:pt idx="2887">
                  <c:v>59212</c:v>
                </c:pt>
                <c:pt idx="2888">
                  <c:v>59219</c:v>
                </c:pt>
                <c:pt idx="2889">
                  <c:v>59226</c:v>
                </c:pt>
                <c:pt idx="2890">
                  <c:v>59233</c:v>
                </c:pt>
                <c:pt idx="2891">
                  <c:v>59240</c:v>
                </c:pt>
                <c:pt idx="2892">
                  <c:v>59247</c:v>
                </c:pt>
                <c:pt idx="2893">
                  <c:v>59258</c:v>
                </c:pt>
                <c:pt idx="2894">
                  <c:v>59261</c:v>
                </c:pt>
                <c:pt idx="2895">
                  <c:v>59268</c:v>
                </c:pt>
                <c:pt idx="2896">
                  <c:v>59275</c:v>
                </c:pt>
                <c:pt idx="2897">
                  <c:v>59282</c:v>
                </c:pt>
                <c:pt idx="2898">
                  <c:v>59289</c:v>
                </c:pt>
                <c:pt idx="2899">
                  <c:v>59296</c:v>
                </c:pt>
                <c:pt idx="2900">
                  <c:v>59303</c:v>
                </c:pt>
                <c:pt idx="2901">
                  <c:v>59310</c:v>
                </c:pt>
                <c:pt idx="2902">
                  <c:v>59317</c:v>
                </c:pt>
                <c:pt idx="2903">
                  <c:v>59324</c:v>
                </c:pt>
                <c:pt idx="2904">
                  <c:v>59331</c:v>
                </c:pt>
                <c:pt idx="2905">
                  <c:v>59338</c:v>
                </c:pt>
                <c:pt idx="2906">
                  <c:v>59345</c:v>
                </c:pt>
                <c:pt idx="2907">
                  <c:v>59352</c:v>
                </c:pt>
                <c:pt idx="2908">
                  <c:v>59359</c:v>
                </c:pt>
                <c:pt idx="2909">
                  <c:v>59366</c:v>
                </c:pt>
                <c:pt idx="2910">
                  <c:v>59373</c:v>
                </c:pt>
                <c:pt idx="2911">
                  <c:v>59380</c:v>
                </c:pt>
                <c:pt idx="2912">
                  <c:v>59387</c:v>
                </c:pt>
                <c:pt idx="2913">
                  <c:v>59394</c:v>
                </c:pt>
                <c:pt idx="2914">
                  <c:v>59401</c:v>
                </c:pt>
                <c:pt idx="2915">
                  <c:v>59408</c:v>
                </c:pt>
                <c:pt idx="2916">
                  <c:v>59415</c:v>
                </c:pt>
                <c:pt idx="2917">
                  <c:v>59422</c:v>
                </c:pt>
                <c:pt idx="2918">
                  <c:v>59429</c:v>
                </c:pt>
                <c:pt idx="2919">
                  <c:v>59436</c:v>
                </c:pt>
                <c:pt idx="2920">
                  <c:v>59443</c:v>
                </c:pt>
                <c:pt idx="2921">
                  <c:v>59450</c:v>
                </c:pt>
                <c:pt idx="2922">
                  <c:v>59457</c:v>
                </c:pt>
                <c:pt idx="2923">
                  <c:v>59464</c:v>
                </c:pt>
                <c:pt idx="2924">
                  <c:v>59471</c:v>
                </c:pt>
                <c:pt idx="2925">
                  <c:v>59478</c:v>
                </c:pt>
                <c:pt idx="2926">
                  <c:v>59485</c:v>
                </c:pt>
                <c:pt idx="2927">
                  <c:v>59492</c:v>
                </c:pt>
                <c:pt idx="2928">
                  <c:v>59499</c:v>
                </c:pt>
                <c:pt idx="2929">
                  <c:v>59506</c:v>
                </c:pt>
                <c:pt idx="2930">
                  <c:v>59513</c:v>
                </c:pt>
                <c:pt idx="2931">
                  <c:v>59520</c:v>
                </c:pt>
                <c:pt idx="2932">
                  <c:v>59527</c:v>
                </c:pt>
                <c:pt idx="2933">
                  <c:v>59534</c:v>
                </c:pt>
                <c:pt idx="2934">
                  <c:v>59541</c:v>
                </c:pt>
                <c:pt idx="2935">
                  <c:v>59548</c:v>
                </c:pt>
                <c:pt idx="2936">
                  <c:v>59555</c:v>
                </c:pt>
                <c:pt idx="2937">
                  <c:v>59562</c:v>
                </c:pt>
                <c:pt idx="2938">
                  <c:v>59569</c:v>
                </c:pt>
                <c:pt idx="2939">
                  <c:v>59576</c:v>
                </c:pt>
                <c:pt idx="2940">
                  <c:v>59583</c:v>
                </c:pt>
                <c:pt idx="2941">
                  <c:v>59590</c:v>
                </c:pt>
                <c:pt idx="2942">
                  <c:v>59597</c:v>
                </c:pt>
                <c:pt idx="2943">
                  <c:v>59604</c:v>
                </c:pt>
                <c:pt idx="2944">
                  <c:v>59611</c:v>
                </c:pt>
                <c:pt idx="2945">
                  <c:v>59618</c:v>
                </c:pt>
                <c:pt idx="2946">
                  <c:v>59625</c:v>
                </c:pt>
                <c:pt idx="2947">
                  <c:v>59632</c:v>
                </c:pt>
                <c:pt idx="2948">
                  <c:v>59643</c:v>
                </c:pt>
                <c:pt idx="2949">
                  <c:v>59646</c:v>
                </c:pt>
                <c:pt idx="2950">
                  <c:v>59653</c:v>
                </c:pt>
                <c:pt idx="2951">
                  <c:v>59660</c:v>
                </c:pt>
                <c:pt idx="2952">
                  <c:v>59667</c:v>
                </c:pt>
                <c:pt idx="2953">
                  <c:v>59674</c:v>
                </c:pt>
                <c:pt idx="2954">
                  <c:v>59681</c:v>
                </c:pt>
                <c:pt idx="2955">
                  <c:v>59688</c:v>
                </c:pt>
                <c:pt idx="2956">
                  <c:v>59695</c:v>
                </c:pt>
                <c:pt idx="2957">
                  <c:v>59702</c:v>
                </c:pt>
                <c:pt idx="2958">
                  <c:v>59709</c:v>
                </c:pt>
                <c:pt idx="2959">
                  <c:v>59716</c:v>
                </c:pt>
                <c:pt idx="2960">
                  <c:v>59723</c:v>
                </c:pt>
                <c:pt idx="2961">
                  <c:v>59730</c:v>
                </c:pt>
                <c:pt idx="2962">
                  <c:v>59737</c:v>
                </c:pt>
                <c:pt idx="2963">
                  <c:v>59744</c:v>
                </c:pt>
                <c:pt idx="2964">
                  <c:v>59751</c:v>
                </c:pt>
                <c:pt idx="2965">
                  <c:v>59758</c:v>
                </c:pt>
                <c:pt idx="2966">
                  <c:v>59765</c:v>
                </c:pt>
                <c:pt idx="2967">
                  <c:v>59772</c:v>
                </c:pt>
                <c:pt idx="2968">
                  <c:v>59779</c:v>
                </c:pt>
                <c:pt idx="2969">
                  <c:v>59786</c:v>
                </c:pt>
                <c:pt idx="2970">
                  <c:v>59793</c:v>
                </c:pt>
                <c:pt idx="2971">
                  <c:v>59800</c:v>
                </c:pt>
                <c:pt idx="2972">
                  <c:v>59807</c:v>
                </c:pt>
                <c:pt idx="2973">
                  <c:v>59814</c:v>
                </c:pt>
                <c:pt idx="2974">
                  <c:v>59821</c:v>
                </c:pt>
                <c:pt idx="2975">
                  <c:v>59828</c:v>
                </c:pt>
                <c:pt idx="2976">
                  <c:v>59835</c:v>
                </c:pt>
                <c:pt idx="2977">
                  <c:v>59842</c:v>
                </c:pt>
                <c:pt idx="2978">
                  <c:v>59849</c:v>
                </c:pt>
                <c:pt idx="2979">
                  <c:v>59856</c:v>
                </c:pt>
                <c:pt idx="2980">
                  <c:v>59863</c:v>
                </c:pt>
                <c:pt idx="2981">
                  <c:v>59870</c:v>
                </c:pt>
                <c:pt idx="2982">
                  <c:v>59877</c:v>
                </c:pt>
                <c:pt idx="2983">
                  <c:v>59884</c:v>
                </c:pt>
                <c:pt idx="2984">
                  <c:v>59891</c:v>
                </c:pt>
                <c:pt idx="2985">
                  <c:v>59901</c:v>
                </c:pt>
                <c:pt idx="2986">
                  <c:v>59908</c:v>
                </c:pt>
                <c:pt idx="2987">
                  <c:v>59915</c:v>
                </c:pt>
                <c:pt idx="2988">
                  <c:v>59922</c:v>
                </c:pt>
                <c:pt idx="2989">
                  <c:v>59929</c:v>
                </c:pt>
                <c:pt idx="2990">
                  <c:v>59936</c:v>
                </c:pt>
                <c:pt idx="2991">
                  <c:v>59943</c:v>
                </c:pt>
                <c:pt idx="2992">
                  <c:v>59950</c:v>
                </c:pt>
                <c:pt idx="2993">
                  <c:v>59957</c:v>
                </c:pt>
                <c:pt idx="2994">
                  <c:v>59964</c:v>
                </c:pt>
                <c:pt idx="2995">
                  <c:v>59971</c:v>
                </c:pt>
                <c:pt idx="2996">
                  <c:v>59978</c:v>
                </c:pt>
                <c:pt idx="2997">
                  <c:v>59985</c:v>
                </c:pt>
                <c:pt idx="2998">
                  <c:v>59992</c:v>
                </c:pt>
                <c:pt idx="2999">
                  <c:v>60001</c:v>
                </c:pt>
                <c:pt idx="3000">
                  <c:v>60006</c:v>
                </c:pt>
                <c:pt idx="3001">
                  <c:v>60013</c:v>
                </c:pt>
                <c:pt idx="3002">
                  <c:v>60020</c:v>
                </c:pt>
                <c:pt idx="3003">
                  <c:v>60028</c:v>
                </c:pt>
                <c:pt idx="3004">
                  <c:v>60034</c:v>
                </c:pt>
                <c:pt idx="3005">
                  <c:v>60041</c:v>
                </c:pt>
                <c:pt idx="3006">
                  <c:v>60049</c:v>
                </c:pt>
                <c:pt idx="3007">
                  <c:v>60055</c:v>
                </c:pt>
                <c:pt idx="3008">
                  <c:v>60062</c:v>
                </c:pt>
                <c:pt idx="3009">
                  <c:v>60069</c:v>
                </c:pt>
                <c:pt idx="3010">
                  <c:v>60076</c:v>
                </c:pt>
                <c:pt idx="3011">
                  <c:v>60083</c:v>
                </c:pt>
                <c:pt idx="3012">
                  <c:v>60090</c:v>
                </c:pt>
                <c:pt idx="3013">
                  <c:v>60097</c:v>
                </c:pt>
                <c:pt idx="3014">
                  <c:v>60104</c:v>
                </c:pt>
                <c:pt idx="3015">
                  <c:v>60111</c:v>
                </c:pt>
                <c:pt idx="3016">
                  <c:v>60118</c:v>
                </c:pt>
                <c:pt idx="3017">
                  <c:v>60125</c:v>
                </c:pt>
                <c:pt idx="3018">
                  <c:v>60132</c:v>
                </c:pt>
                <c:pt idx="3019">
                  <c:v>60140</c:v>
                </c:pt>
                <c:pt idx="3020">
                  <c:v>60146</c:v>
                </c:pt>
                <c:pt idx="3021">
                  <c:v>60153</c:v>
                </c:pt>
                <c:pt idx="3022">
                  <c:v>60160</c:v>
                </c:pt>
                <c:pt idx="3023">
                  <c:v>60167</c:v>
                </c:pt>
                <c:pt idx="3024">
                  <c:v>60174</c:v>
                </c:pt>
                <c:pt idx="3025">
                  <c:v>60181</c:v>
                </c:pt>
                <c:pt idx="3026">
                  <c:v>60188</c:v>
                </c:pt>
                <c:pt idx="3027">
                  <c:v>60195</c:v>
                </c:pt>
                <c:pt idx="3028">
                  <c:v>60202</c:v>
                </c:pt>
                <c:pt idx="3029">
                  <c:v>60209</c:v>
                </c:pt>
                <c:pt idx="3030">
                  <c:v>60216</c:v>
                </c:pt>
                <c:pt idx="3031">
                  <c:v>60223</c:v>
                </c:pt>
                <c:pt idx="3032">
                  <c:v>60230</c:v>
                </c:pt>
                <c:pt idx="3033">
                  <c:v>60237</c:v>
                </c:pt>
                <c:pt idx="3034">
                  <c:v>60244</c:v>
                </c:pt>
                <c:pt idx="3035">
                  <c:v>60251</c:v>
                </c:pt>
                <c:pt idx="3036">
                  <c:v>60258</c:v>
                </c:pt>
                <c:pt idx="3037">
                  <c:v>60267</c:v>
                </c:pt>
                <c:pt idx="3038">
                  <c:v>60274</c:v>
                </c:pt>
                <c:pt idx="3039">
                  <c:v>60281</c:v>
                </c:pt>
                <c:pt idx="3040">
                  <c:v>60288</c:v>
                </c:pt>
                <c:pt idx="3041">
                  <c:v>60295</c:v>
                </c:pt>
                <c:pt idx="3042">
                  <c:v>60302</c:v>
                </c:pt>
                <c:pt idx="3043">
                  <c:v>60309</c:v>
                </c:pt>
                <c:pt idx="3044">
                  <c:v>60316</c:v>
                </c:pt>
                <c:pt idx="3045">
                  <c:v>60323</c:v>
                </c:pt>
                <c:pt idx="3046">
                  <c:v>60330</c:v>
                </c:pt>
                <c:pt idx="3047">
                  <c:v>60337</c:v>
                </c:pt>
                <c:pt idx="3048">
                  <c:v>60344</c:v>
                </c:pt>
                <c:pt idx="3049">
                  <c:v>60351</c:v>
                </c:pt>
                <c:pt idx="3050">
                  <c:v>60359</c:v>
                </c:pt>
                <c:pt idx="3051">
                  <c:v>60366</c:v>
                </c:pt>
                <c:pt idx="3052">
                  <c:v>60373</c:v>
                </c:pt>
                <c:pt idx="3053">
                  <c:v>60380</c:v>
                </c:pt>
                <c:pt idx="3054">
                  <c:v>60387</c:v>
                </c:pt>
                <c:pt idx="3055">
                  <c:v>60394</c:v>
                </c:pt>
                <c:pt idx="3056">
                  <c:v>60401</c:v>
                </c:pt>
                <c:pt idx="3057">
                  <c:v>60408</c:v>
                </c:pt>
                <c:pt idx="3058">
                  <c:v>60415</c:v>
                </c:pt>
                <c:pt idx="3059">
                  <c:v>60422</c:v>
                </c:pt>
                <c:pt idx="3060">
                  <c:v>60429</c:v>
                </c:pt>
                <c:pt idx="3061">
                  <c:v>60436</c:v>
                </c:pt>
                <c:pt idx="3062">
                  <c:v>60443</c:v>
                </c:pt>
                <c:pt idx="3063">
                  <c:v>60450</c:v>
                </c:pt>
                <c:pt idx="3064">
                  <c:v>60457</c:v>
                </c:pt>
                <c:pt idx="3065">
                  <c:v>60464</c:v>
                </c:pt>
                <c:pt idx="3066">
                  <c:v>60471</c:v>
                </c:pt>
                <c:pt idx="3067">
                  <c:v>60478</c:v>
                </c:pt>
                <c:pt idx="3068">
                  <c:v>60485</c:v>
                </c:pt>
                <c:pt idx="3069">
                  <c:v>60492</c:v>
                </c:pt>
                <c:pt idx="3070">
                  <c:v>60499</c:v>
                </c:pt>
                <c:pt idx="3071">
                  <c:v>60506</c:v>
                </c:pt>
                <c:pt idx="3072">
                  <c:v>60513</c:v>
                </c:pt>
                <c:pt idx="3073">
                  <c:v>60520</c:v>
                </c:pt>
                <c:pt idx="3074">
                  <c:v>60527</c:v>
                </c:pt>
                <c:pt idx="3075">
                  <c:v>60534</c:v>
                </c:pt>
                <c:pt idx="3076">
                  <c:v>60541</c:v>
                </c:pt>
                <c:pt idx="3077">
                  <c:v>60548</c:v>
                </c:pt>
                <c:pt idx="3078">
                  <c:v>60555</c:v>
                </c:pt>
                <c:pt idx="3079">
                  <c:v>60562</c:v>
                </c:pt>
                <c:pt idx="3080">
                  <c:v>60569</c:v>
                </c:pt>
                <c:pt idx="3081">
                  <c:v>60576</c:v>
                </c:pt>
                <c:pt idx="3082">
                  <c:v>60583</c:v>
                </c:pt>
                <c:pt idx="3083">
                  <c:v>60590</c:v>
                </c:pt>
                <c:pt idx="3084">
                  <c:v>60597</c:v>
                </c:pt>
                <c:pt idx="3085">
                  <c:v>60604</c:v>
                </c:pt>
                <c:pt idx="3086">
                  <c:v>60611</c:v>
                </c:pt>
                <c:pt idx="3087">
                  <c:v>60618</c:v>
                </c:pt>
                <c:pt idx="3088">
                  <c:v>60625</c:v>
                </c:pt>
                <c:pt idx="3089">
                  <c:v>60632</c:v>
                </c:pt>
                <c:pt idx="3090">
                  <c:v>60639</c:v>
                </c:pt>
                <c:pt idx="3091">
                  <c:v>60646</c:v>
                </c:pt>
                <c:pt idx="3092">
                  <c:v>60653</c:v>
                </c:pt>
                <c:pt idx="3093">
                  <c:v>60660</c:v>
                </c:pt>
                <c:pt idx="3094">
                  <c:v>60667</c:v>
                </c:pt>
                <c:pt idx="3095">
                  <c:v>60674</c:v>
                </c:pt>
                <c:pt idx="3096">
                  <c:v>60681</c:v>
                </c:pt>
                <c:pt idx="3097">
                  <c:v>60688</c:v>
                </c:pt>
                <c:pt idx="3098">
                  <c:v>60695</c:v>
                </c:pt>
                <c:pt idx="3099">
                  <c:v>60702</c:v>
                </c:pt>
                <c:pt idx="3100">
                  <c:v>60709</c:v>
                </c:pt>
                <c:pt idx="3101">
                  <c:v>60716</c:v>
                </c:pt>
                <c:pt idx="3102">
                  <c:v>60723</c:v>
                </c:pt>
                <c:pt idx="3103">
                  <c:v>60730</c:v>
                </c:pt>
                <c:pt idx="3104">
                  <c:v>60737</c:v>
                </c:pt>
                <c:pt idx="3105">
                  <c:v>60744</c:v>
                </c:pt>
                <c:pt idx="3106">
                  <c:v>60751</c:v>
                </c:pt>
                <c:pt idx="3107">
                  <c:v>60758</c:v>
                </c:pt>
                <c:pt idx="3108">
                  <c:v>60765</c:v>
                </c:pt>
                <c:pt idx="3109">
                  <c:v>60772</c:v>
                </c:pt>
                <c:pt idx="3110">
                  <c:v>60779</c:v>
                </c:pt>
                <c:pt idx="3111">
                  <c:v>60786</c:v>
                </c:pt>
                <c:pt idx="3112">
                  <c:v>60793</c:v>
                </c:pt>
                <c:pt idx="3113">
                  <c:v>60800</c:v>
                </c:pt>
                <c:pt idx="3114">
                  <c:v>60807</c:v>
                </c:pt>
                <c:pt idx="3115">
                  <c:v>60814</c:v>
                </c:pt>
                <c:pt idx="3116">
                  <c:v>60821</c:v>
                </c:pt>
                <c:pt idx="3117">
                  <c:v>60828</c:v>
                </c:pt>
                <c:pt idx="3118">
                  <c:v>60835</c:v>
                </c:pt>
                <c:pt idx="3119">
                  <c:v>60842</c:v>
                </c:pt>
                <c:pt idx="3120">
                  <c:v>60849</c:v>
                </c:pt>
                <c:pt idx="3121">
                  <c:v>60856</c:v>
                </c:pt>
                <c:pt idx="3122">
                  <c:v>60863</c:v>
                </c:pt>
                <c:pt idx="3123">
                  <c:v>60870</c:v>
                </c:pt>
                <c:pt idx="3124">
                  <c:v>60877</c:v>
                </c:pt>
                <c:pt idx="3125">
                  <c:v>60884</c:v>
                </c:pt>
                <c:pt idx="3126">
                  <c:v>60891</c:v>
                </c:pt>
                <c:pt idx="3127">
                  <c:v>60898</c:v>
                </c:pt>
                <c:pt idx="3128">
                  <c:v>60905</c:v>
                </c:pt>
                <c:pt idx="3129">
                  <c:v>60912</c:v>
                </c:pt>
                <c:pt idx="3130">
                  <c:v>60919</c:v>
                </c:pt>
                <c:pt idx="3131">
                  <c:v>60926</c:v>
                </c:pt>
                <c:pt idx="3132">
                  <c:v>60933</c:v>
                </c:pt>
                <c:pt idx="3133">
                  <c:v>60940</c:v>
                </c:pt>
                <c:pt idx="3134">
                  <c:v>60947</c:v>
                </c:pt>
                <c:pt idx="3135">
                  <c:v>60954</c:v>
                </c:pt>
                <c:pt idx="3136">
                  <c:v>60961</c:v>
                </c:pt>
                <c:pt idx="3137">
                  <c:v>60968</c:v>
                </c:pt>
                <c:pt idx="3138">
                  <c:v>60975</c:v>
                </c:pt>
                <c:pt idx="3139">
                  <c:v>60982</c:v>
                </c:pt>
                <c:pt idx="3140">
                  <c:v>60989</c:v>
                </c:pt>
                <c:pt idx="3141">
                  <c:v>60997</c:v>
                </c:pt>
                <c:pt idx="3142">
                  <c:v>61004</c:v>
                </c:pt>
                <c:pt idx="3143">
                  <c:v>61011</c:v>
                </c:pt>
                <c:pt idx="3144">
                  <c:v>61018</c:v>
                </c:pt>
                <c:pt idx="3145">
                  <c:v>61025</c:v>
                </c:pt>
                <c:pt idx="3146">
                  <c:v>61032</c:v>
                </c:pt>
                <c:pt idx="3147">
                  <c:v>61039</c:v>
                </c:pt>
                <c:pt idx="3148">
                  <c:v>61046</c:v>
                </c:pt>
                <c:pt idx="3149">
                  <c:v>61053</c:v>
                </c:pt>
                <c:pt idx="3150">
                  <c:v>61060</c:v>
                </c:pt>
                <c:pt idx="3151">
                  <c:v>61067</c:v>
                </c:pt>
                <c:pt idx="3152">
                  <c:v>61074</c:v>
                </c:pt>
                <c:pt idx="3153">
                  <c:v>61081</c:v>
                </c:pt>
                <c:pt idx="3154">
                  <c:v>61092</c:v>
                </c:pt>
                <c:pt idx="3155">
                  <c:v>61095</c:v>
                </c:pt>
                <c:pt idx="3156">
                  <c:v>61102</c:v>
                </c:pt>
                <c:pt idx="3157">
                  <c:v>61109</c:v>
                </c:pt>
                <c:pt idx="3158">
                  <c:v>61116</c:v>
                </c:pt>
                <c:pt idx="3159">
                  <c:v>61123</c:v>
                </c:pt>
                <c:pt idx="3160">
                  <c:v>61130</c:v>
                </c:pt>
                <c:pt idx="3161">
                  <c:v>61137</c:v>
                </c:pt>
                <c:pt idx="3162">
                  <c:v>61144</c:v>
                </c:pt>
                <c:pt idx="3163">
                  <c:v>61151</c:v>
                </c:pt>
                <c:pt idx="3164">
                  <c:v>61158</c:v>
                </c:pt>
                <c:pt idx="3165">
                  <c:v>61165</c:v>
                </c:pt>
                <c:pt idx="3166">
                  <c:v>61172</c:v>
                </c:pt>
                <c:pt idx="3167">
                  <c:v>61179</c:v>
                </c:pt>
                <c:pt idx="3168">
                  <c:v>61186</c:v>
                </c:pt>
                <c:pt idx="3169">
                  <c:v>61193</c:v>
                </c:pt>
                <c:pt idx="3170">
                  <c:v>61200</c:v>
                </c:pt>
                <c:pt idx="3171">
                  <c:v>61207</c:v>
                </c:pt>
                <c:pt idx="3172">
                  <c:v>61214</c:v>
                </c:pt>
                <c:pt idx="3173">
                  <c:v>61221</c:v>
                </c:pt>
                <c:pt idx="3174">
                  <c:v>61228</c:v>
                </c:pt>
                <c:pt idx="3175">
                  <c:v>61235</c:v>
                </c:pt>
                <c:pt idx="3176">
                  <c:v>61242</c:v>
                </c:pt>
                <c:pt idx="3177">
                  <c:v>61249</c:v>
                </c:pt>
                <c:pt idx="3178">
                  <c:v>61256</c:v>
                </c:pt>
                <c:pt idx="3179">
                  <c:v>61263</c:v>
                </c:pt>
                <c:pt idx="3180">
                  <c:v>61270</c:v>
                </c:pt>
                <c:pt idx="3181">
                  <c:v>61277</c:v>
                </c:pt>
                <c:pt idx="3182">
                  <c:v>61284</c:v>
                </c:pt>
                <c:pt idx="3183">
                  <c:v>61291</c:v>
                </c:pt>
                <c:pt idx="3184">
                  <c:v>61298</c:v>
                </c:pt>
                <c:pt idx="3185">
                  <c:v>61305</c:v>
                </c:pt>
                <c:pt idx="3186">
                  <c:v>61312</c:v>
                </c:pt>
                <c:pt idx="3187">
                  <c:v>61319</c:v>
                </c:pt>
                <c:pt idx="3188">
                  <c:v>61326</c:v>
                </c:pt>
                <c:pt idx="3189">
                  <c:v>61333</c:v>
                </c:pt>
                <c:pt idx="3190">
                  <c:v>61340</c:v>
                </c:pt>
                <c:pt idx="3191">
                  <c:v>61347</c:v>
                </c:pt>
                <c:pt idx="3192">
                  <c:v>61354</c:v>
                </c:pt>
                <c:pt idx="3193">
                  <c:v>61361</c:v>
                </c:pt>
                <c:pt idx="3194">
                  <c:v>61368</c:v>
                </c:pt>
                <c:pt idx="3195">
                  <c:v>61375</c:v>
                </c:pt>
                <c:pt idx="3196">
                  <c:v>61382</c:v>
                </c:pt>
                <c:pt idx="3197">
                  <c:v>61389</c:v>
                </c:pt>
                <c:pt idx="3198">
                  <c:v>61396</c:v>
                </c:pt>
                <c:pt idx="3199">
                  <c:v>61403</c:v>
                </c:pt>
                <c:pt idx="3200">
                  <c:v>61410</c:v>
                </c:pt>
                <c:pt idx="3201">
                  <c:v>61417</c:v>
                </c:pt>
                <c:pt idx="3202">
                  <c:v>61424</c:v>
                </c:pt>
                <c:pt idx="3203">
                  <c:v>61431</c:v>
                </c:pt>
                <c:pt idx="3204">
                  <c:v>61438</c:v>
                </c:pt>
                <c:pt idx="3205">
                  <c:v>61445</c:v>
                </c:pt>
                <c:pt idx="3206">
                  <c:v>61452</c:v>
                </c:pt>
                <c:pt idx="3207">
                  <c:v>61459</c:v>
                </c:pt>
                <c:pt idx="3208">
                  <c:v>61466</c:v>
                </c:pt>
                <c:pt idx="3209">
                  <c:v>61477</c:v>
                </c:pt>
                <c:pt idx="3210">
                  <c:v>61480</c:v>
                </c:pt>
                <c:pt idx="3211">
                  <c:v>61487</c:v>
                </c:pt>
                <c:pt idx="3212">
                  <c:v>61494</c:v>
                </c:pt>
                <c:pt idx="3213">
                  <c:v>61501</c:v>
                </c:pt>
                <c:pt idx="3214">
                  <c:v>61508</c:v>
                </c:pt>
                <c:pt idx="3215">
                  <c:v>61515</c:v>
                </c:pt>
                <c:pt idx="3216">
                  <c:v>61522</c:v>
                </c:pt>
                <c:pt idx="3217">
                  <c:v>61529</c:v>
                </c:pt>
                <c:pt idx="3218">
                  <c:v>61536</c:v>
                </c:pt>
                <c:pt idx="3219">
                  <c:v>61543</c:v>
                </c:pt>
                <c:pt idx="3220">
                  <c:v>61550</c:v>
                </c:pt>
                <c:pt idx="3221">
                  <c:v>61557</c:v>
                </c:pt>
                <c:pt idx="3222">
                  <c:v>61564</c:v>
                </c:pt>
                <c:pt idx="3223">
                  <c:v>61571</c:v>
                </c:pt>
                <c:pt idx="3224">
                  <c:v>61578</c:v>
                </c:pt>
                <c:pt idx="3225">
                  <c:v>61585</c:v>
                </c:pt>
                <c:pt idx="3226">
                  <c:v>61592</c:v>
                </c:pt>
                <c:pt idx="3227">
                  <c:v>61599</c:v>
                </c:pt>
                <c:pt idx="3228">
                  <c:v>61606</c:v>
                </c:pt>
                <c:pt idx="3229">
                  <c:v>61613</c:v>
                </c:pt>
                <c:pt idx="3230">
                  <c:v>61620</c:v>
                </c:pt>
                <c:pt idx="3231">
                  <c:v>61627</c:v>
                </c:pt>
                <c:pt idx="3232">
                  <c:v>61634</c:v>
                </c:pt>
                <c:pt idx="3233">
                  <c:v>61641</c:v>
                </c:pt>
                <c:pt idx="3234">
                  <c:v>61648</c:v>
                </c:pt>
                <c:pt idx="3235">
                  <c:v>61655</c:v>
                </c:pt>
                <c:pt idx="3236">
                  <c:v>61662</c:v>
                </c:pt>
                <c:pt idx="3237">
                  <c:v>61669</c:v>
                </c:pt>
                <c:pt idx="3238">
                  <c:v>61676</c:v>
                </c:pt>
                <c:pt idx="3239">
                  <c:v>61683</c:v>
                </c:pt>
                <c:pt idx="3240">
                  <c:v>61690</c:v>
                </c:pt>
                <c:pt idx="3241">
                  <c:v>61697</c:v>
                </c:pt>
                <c:pt idx="3242">
                  <c:v>61704</c:v>
                </c:pt>
                <c:pt idx="3243">
                  <c:v>61711</c:v>
                </c:pt>
                <c:pt idx="3244">
                  <c:v>61718</c:v>
                </c:pt>
                <c:pt idx="3245">
                  <c:v>61728</c:v>
                </c:pt>
                <c:pt idx="3246">
                  <c:v>61735</c:v>
                </c:pt>
                <c:pt idx="3247">
                  <c:v>61742</c:v>
                </c:pt>
                <c:pt idx="3248">
                  <c:v>61749</c:v>
                </c:pt>
                <c:pt idx="3249">
                  <c:v>61756</c:v>
                </c:pt>
                <c:pt idx="3250">
                  <c:v>61763</c:v>
                </c:pt>
                <c:pt idx="3251">
                  <c:v>61770</c:v>
                </c:pt>
                <c:pt idx="3252">
                  <c:v>61777</c:v>
                </c:pt>
                <c:pt idx="3253">
                  <c:v>61784</c:v>
                </c:pt>
                <c:pt idx="3254">
                  <c:v>61791</c:v>
                </c:pt>
                <c:pt idx="3255">
                  <c:v>61798</c:v>
                </c:pt>
                <c:pt idx="3256">
                  <c:v>61805</c:v>
                </c:pt>
                <c:pt idx="3257">
                  <c:v>61812</c:v>
                </c:pt>
                <c:pt idx="3258">
                  <c:v>61819</c:v>
                </c:pt>
                <c:pt idx="3259">
                  <c:v>61826</c:v>
                </c:pt>
                <c:pt idx="3260">
                  <c:v>61835</c:v>
                </c:pt>
                <c:pt idx="3261">
                  <c:v>61840</c:v>
                </c:pt>
                <c:pt idx="3262">
                  <c:v>61847</c:v>
                </c:pt>
                <c:pt idx="3263">
                  <c:v>61855</c:v>
                </c:pt>
                <c:pt idx="3264">
                  <c:v>61861</c:v>
                </c:pt>
                <c:pt idx="3265">
                  <c:v>61868</c:v>
                </c:pt>
                <c:pt idx="3266">
                  <c:v>61876</c:v>
                </c:pt>
                <c:pt idx="3267">
                  <c:v>61882</c:v>
                </c:pt>
                <c:pt idx="3268">
                  <c:v>61889</c:v>
                </c:pt>
                <c:pt idx="3269">
                  <c:v>61896</c:v>
                </c:pt>
                <c:pt idx="3270">
                  <c:v>61903</c:v>
                </c:pt>
                <c:pt idx="3271">
                  <c:v>61910</c:v>
                </c:pt>
                <c:pt idx="3272">
                  <c:v>61917</c:v>
                </c:pt>
                <c:pt idx="3273">
                  <c:v>61924</c:v>
                </c:pt>
                <c:pt idx="3274">
                  <c:v>61931</c:v>
                </c:pt>
                <c:pt idx="3275">
                  <c:v>61938</c:v>
                </c:pt>
                <c:pt idx="3276">
                  <c:v>61945</c:v>
                </c:pt>
                <c:pt idx="3277">
                  <c:v>61952</c:v>
                </c:pt>
                <c:pt idx="3278">
                  <c:v>61959</c:v>
                </c:pt>
                <c:pt idx="3279">
                  <c:v>61967</c:v>
                </c:pt>
                <c:pt idx="3280">
                  <c:v>61973</c:v>
                </c:pt>
                <c:pt idx="3281">
                  <c:v>61980</c:v>
                </c:pt>
                <c:pt idx="3282">
                  <c:v>61987</c:v>
                </c:pt>
                <c:pt idx="3283">
                  <c:v>61994</c:v>
                </c:pt>
                <c:pt idx="3284">
                  <c:v>62001</c:v>
                </c:pt>
                <c:pt idx="3285">
                  <c:v>62008</c:v>
                </c:pt>
                <c:pt idx="3286">
                  <c:v>62015</c:v>
                </c:pt>
                <c:pt idx="3287">
                  <c:v>62022</c:v>
                </c:pt>
                <c:pt idx="3288">
                  <c:v>62029</c:v>
                </c:pt>
                <c:pt idx="3289">
                  <c:v>62036</c:v>
                </c:pt>
                <c:pt idx="3290">
                  <c:v>62043</c:v>
                </c:pt>
                <c:pt idx="3291">
                  <c:v>62050</c:v>
                </c:pt>
                <c:pt idx="3292">
                  <c:v>62057</c:v>
                </c:pt>
                <c:pt idx="3293">
                  <c:v>62064</c:v>
                </c:pt>
                <c:pt idx="3294">
                  <c:v>62071</c:v>
                </c:pt>
                <c:pt idx="3295">
                  <c:v>62078</c:v>
                </c:pt>
                <c:pt idx="3296">
                  <c:v>62085</c:v>
                </c:pt>
                <c:pt idx="3297">
                  <c:v>62093</c:v>
                </c:pt>
                <c:pt idx="3298">
                  <c:v>62100</c:v>
                </c:pt>
                <c:pt idx="3299">
                  <c:v>62107</c:v>
                </c:pt>
                <c:pt idx="3300">
                  <c:v>62114</c:v>
                </c:pt>
                <c:pt idx="3301">
                  <c:v>62121</c:v>
                </c:pt>
                <c:pt idx="3302">
                  <c:v>62128</c:v>
                </c:pt>
                <c:pt idx="3303">
                  <c:v>62135</c:v>
                </c:pt>
                <c:pt idx="3304">
                  <c:v>62142</c:v>
                </c:pt>
                <c:pt idx="3305">
                  <c:v>62149</c:v>
                </c:pt>
                <c:pt idx="3306">
                  <c:v>62156</c:v>
                </c:pt>
                <c:pt idx="3307">
                  <c:v>62163</c:v>
                </c:pt>
                <c:pt idx="3308">
                  <c:v>62170</c:v>
                </c:pt>
                <c:pt idx="3309">
                  <c:v>62177</c:v>
                </c:pt>
                <c:pt idx="3310">
                  <c:v>62186</c:v>
                </c:pt>
                <c:pt idx="3311">
                  <c:v>62193</c:v>
                </c:pt>
                <c:pt idx="3312">
                  <c:v>62200</c:v>
                </c:pt>
                <c:pt idx="3313">
                  <c:v>62207</c:v>
                </c:pt>
                <c:pt idx="3314">
                  <c:v>62214</c:v>
                </c:pt>
                <c:pt idx="3315">
                  <c:v>62221</c:v>
                </c:pt>
                <c:pt idx="3316">
                  <c:v>62228</c:v>
                </c:pt>
                <c:pt idx="3317">
                  <c:v>62235</c:v>
                </c:pt>
                <c:pt idx="3318">
                  <c:v>62242</c:v>
                </c:pt>
                <c:pt idx="3319">
                  <c:v>62249</c:v>
                </c:pt>
                <c:pt idx="3320">
                  <c:v>62256</c:v>
                </c:pt>
                <c:pt idx="3321">
                  <c:v>62263</c:v>
                </c:pt>
                <c:pt idx="3322">
                  <c:v>62270</c:v>
                </c:pt>
                <c:pt idx="3323">
                  <c:v>62277</c:v>
                </c:pt>
                <c:pt idx="3324">
                  <c:v>62284</c:v>
                </c:pt>
                <c:pt idx="3325">
                  <c:v>62291</c:v>
                </c:pt>
                <c:pt idx="3326">
                  <c:v>62298</c:v>
                </c:pt>
                <c:pt idx="3327">
                  <c:v>62305</c:v>
                </c:pt>
                <c:pt idx="3328">
                  <c:v>62312</c:v>
                </c:pt>
                <c:pt idx="3329">
                  <c:v>62319</c:v>
                </c:pt>
                <c:pt idx="3330">
                  <c:v>62326</c:v>
                </c:pt>
                <c:pt idx="3331">
                  <c:v>62333</c:v>
                </c:pt>
                <c:pt idx="3332">
                  <c:v>62340</c:v>
                </c:pt>
                <c:pt idx="3333">
                  <c:v>62347</c:v>
                </c:pt>
                <c:pt idx="3334">
                  <c:v>62354</c:v>
                </c:pt>
                <c:pt idx="3335">
                  <c:v>62361</c:v>
                </c:pt>
                <c:pt idx="3336">
                  <c:v>62368</c:v>
                </c:pt>
                <c:pt idx="3337">
                  <c:v>62375</c:v>
                </c:pt>
                <c:pt idx="3338">
                  <c:v>62382</c:v>
                </c:pt>
                <c:pt idx="3339">
                  <c:v>62389</c:v>
                </c:pt>
                <c:pt idx="3340">
                  <c:v>62396</c:v>
                </c:pt>
                <c:pt idx="3341">
                  <c:v>62403</c:v>
                </c:pt>
                <c:pt idx="3342">
                  <c:v>62410</c:v>
                </c:pt>
                <c:pt idx="3343">
                  <c:v>62417</c:v>
                </c:pt>
                <c:pt idx="3344">
                  <c:v>62424</c:v>
                </c:pt>
                <c:pt idx="3345">
                  <c:v>62431</c:v>
                </c:pt>
                <c:pt idx="3346">
                  <c:v>62438</c:v>
                </c:pt>
                <c:pt idx="3347">
                  <c:v>62445</c:v>
                </c:pt>
                <c:pt idx="3348">
                  <c:v>62456</c:v>
                </c:pt>
                <c:pt idx="3349">
                  <c:v>62460</c:v>
                </c:pt>
                <c:pt idx="3350">
                  <c:v>62466</c:v>
                </c:pt>
                <c:pt idx="3351">
                  <c:v>62473</c:v>
                </c:pt>
                <c:pt idx="3352">
                  <c:v>62480</c:v>
                </c:pt>
                <c:pt idx="3353">
                  <c:v>62487</c:v>
                </c:pt>
                <c:pt idx="3354">
                  <c:v>62494</c:v>
                </c:pt>
                <c:pt idx="3355">
                  <c:v>62501</c:v>
                </c:pt>
                <c:pt idx="3356">
                  <c:v>62508</c:v>
                </c:pt>
                <c:pt idx="3357">
                  <c:v>62515</c:v>
                </c:pt>
                <c:pt idx="3358">
                  <c:v>62522</c:v>
                </c:pt>
                <c:pt idx="3359">
                  <c:v>62529</c:v>
                </c:pt>
                <c:pt idx="3360">
                  <c:v>62536</c:v>
                </c:pt>
                <c:pt idx="3361">
                  <c:v>62543</c:v>
                </c:pt>
                <c:pt idx="3362">
                  <c:v>62550</c:v>
                </c:pt>
                <c:pt idx="3363">
                  <c:v>62557</c:v>
                </c:pt>
                <c:pt idx="3364">
                  <c:v>62564</c:v>
                </c:pt>
                <c:pt idx="3365">
                  <c:v>62571</c:v>
                </c:pt>
                <c:pt idx="3366">
                  <c:v>62578</c:v>
                </c:pt>
                <c:pt idx="3367">
                  <c:v>62585</c:v>
                </c:pt>
                <c:pt idx="3368">
                  <c:v>62592</c:v>
                </c:pt>
                <c:pt idx="3369">
                  <c:v>62599</c:v>
                </c:pt>
                <c:pt idx="3370">
                  <c:v>62606</c:v>
                </c:pt>
                <c:pt idx="3371">
                  <c:v>62613</c:v>
                </c:pt>
                <c:pt idx="3372">
                  <c:v>62620</c:v>
                </c:pt>
                <c:pt idx="3373">
                  <c:v>62627</c:v>
                </c:pt>
                <c:pt idx="3374">
                  <c:v>62634</c:v>
                </c:pt>
                <c:pt idx="3375">
                  <c:v>62641</c:v>
                </c:pt>
                <c:pt idx="3376">
                  <c:v>62648</c:v>
                </c:pt>
                <c:pt idx="3377">
                  <c:v>62655</c:v>
                </c:pt>
                <c:pt idx="3378">
                  <c:v>62662</c:v>
                </c:pt>
                <c:pt idx="3379">
                  <c:v>62669</c:v>
                </c:pt>
                <c:pt idx="3380">
                  <c:v>62676</c:v>
                </c:pt>
                <c:pt idx="3381">
                  <c:v>62683</c:v>
                </c:pt>
                <c:pt idx="3382">
                  <c:v>62690</c:v>
                </c:pt>
                <c:pt idx="3383">
                  <c:v>62697</c:v>
                </c:pt>
                <c:pt idx="3384">
                  <c:v>62704</c:v>
                </c:pt>
                <c:pt idx="3385">
                  <c:v>62711</c:v>
                </c:pt>
                <c:pt idx="3386">
                  <c:v>62718</c:v>
                </c:pt>
                <c:pt idx="3387">
                  <c:v>62725</c:v>
                </c:pt>
                <c:pt idx="3388">
                  <c:v>62732</c:v>
                </c:pt>
                <c:pt idx="3389">
                  <c:v>62739</c:v>
                </c:pt>
                <c:pt idx="3390">
                  <c:v>62746</c:v>
                </c:pt>
                <c:pt idx="3391">
                  <c:v>62753</c:v>
                </c:pt>
                <c:pt idx="3392">
                  <c:v>62760</c:v>
                </c:pt>
                <c:pt idx="3393">
                  <c:v>62767</c:v>
                </c:pt>
                <c:pt idx="3394">
                  <c:v>62774</c:v>
                </c:pt>
                <c:pt idx="3395">
                  <c:v>62781</c:v>
                </c:pt>
                <c:pt idx="3396">
                  <c:v>62788</c:v>
                </c:pt>
                <c:pt idx="3397">
                  <c:v>62795</c:v>
                </c:pt>
                <c:pt idx="3398">
                  <c:v>62802</c:v>
                </c:pt>
                <c:pt idx="3399">
                  <c:v>62809</c:v>
                </c:pt>
                <c:pt idx="3400">
                  <c:v>62816</c:v>
                </c:pt>
                <c:pt idx="3401">
                  <c:v>62823</c:v>
                </c:pt>
                <c:pt idx="3402">
                  <c:v>62830</c:v>
                </c:pt>
                <c:pt idx="3403">
                  <c:v>62837</c:v>
                </c:pt>
                <c:pt idx="3404">
                  <c:v>62844</c:v>
                </c:pt>
                <c:pt idx="3405">
                  <c:v>62851</c:v>
                </c:pt>
                <c:pt idx="3406">
                  <c:v>62858</c:v>
                </c:pt>
                <c:pt idx="3407">
                  <c:v>62865</c:v>
                </c:pt>
                <c:pt idx="3408">
                  <c:v>62872</c:v>
                </c:pt>
                <c:pt idx="3409">
                  <c:v>62879</c:v>
                </c:pt>
                <c:pt idx="3410">
                  <c:v>62886</c:v>
                </c:pt>
                <c:pt idx="3411">
                  <c:v>62893</c:v>
                </c:pt>
                <c:pt idx="3412">
                  <c:v>62900</c:v>
                </c:pt>
                <c:pt idx="3413">
                  <c:v>62907</c:v>
                </c:pt>
                <c:pt idx="3414">
                  <c:v>62914</c:v>
                </c:pt>
                <c:pt idx="3415">
                  <c:v>62921</c:v>
                </c:pt>
                <c:pt idx="3416">
                  <c:v>62928</c:v>
                </c:pt>
                <c:pt idx="3417">
                  <c:v>62935</c:v>
                </c:pt>
                <c:pt idx="3418">
                  <c:v>62942</c:v>
                </c:pt>
                <c:pt idx="3419">
                  <c:v>62949</c:v>
                </c:pt>
                <c:pt idx="3420">
                  <c:v>62956</c:v>
                </c:pt>
                <c:pt idx="3421">
                  <c:v>62963</c:v>
                </c:pt>
                <c:pt idx="3422">
                  <c:v>62970</c:v>
                </c:pt>
                <c:pt idx="3423">
                  <c:v>62977</c:v>
                </c:pt>
                <c:pt idx="3424">
                  <c:v>62984</c:v>
                </c:pt>
                <c:pt idx="3425">
                  <c:v>62991</c:v>
                </c:pt>
                <c:pt idx="3426">
                  <c:v>62998</c:v>
                </c:pt>
                <c:pt idx="3427">
                  <c:v>63005</c:v>
                </c:pt>
                <c:pt idx="3428">
                  <c:v>63012</c:v>
                </c:pt>
                <c:pt idx="3429">
                  <c:v>63019</c:v>
                </c:pt>
                <c:pt idx="3430">
                  <c:v>63026</c:v>
                </c:pt>
                <c:pt idx="3431">
                  <c:v>63033</c:v>
                </c:pt>
                <c:pt idx="3432">
                  <c:v>63040</c:v>
                </c:pt>
                <c:pt idx="3433">
                  <c:v>63047</c:v>
                </c:pt>
                <c:pt idx="3434">
                  <c:v>63054</c:v>
                </c:pt>
                <c:pt idx="3435">
                  <c:v>63061</c:v>
                </c:pt>
                <c:pt idx="3436">
                  <c:v>63068</c:v>
                </c:pt>
                <c:pt idx="3437">
                  <c:v>63075</c:v>
                </c:pt>
                <c:pt idx="3438">
                  <c:v>63082</c:v>
                </c:pt>
                <c:pt idx="3439">
                  <c:v>63089</c:v>
                </c:pt>
                <c:pt idx="3440">
                  <c:v>63096</c:v>
                </c:pt>
                <c:pt idx="3441">
                  <c:v>63103</c:v>
                </c:pt>
                <c:pt idx="3442">
                  <c:v>63110</c:v>
                </c:pt>
                <c:pt idx="3443">
                  <c:v>63117</c:v>
                </c:pt>
                <c:pt idx="3444">
                  <c:v>63124</c:v>
                </c:pt>
                <c:pt idx="3445">
                  <c:v>63131</c:v>
                </c:pt>
                <c:pt idx="3446">
                  <c:v>63138</c:v>
                </c:pt>
                <c:pt idx="3447">
                  <c:v>63145</c:v>
                </c:pt>
                <c:pt idx="3448">
                  <c:v>63152</c:v>
                </c:pt>
                <c:pt idx="3449">
                  <c:v>63159</c:v>
                </c:pt>
                <c:pt idx="3450">
                  <c:v>63166</c:v>
                </c:pt>
                <c:pt idx="3451">
                  <c:v>63173</c:v>
                </c:pt>
                <c:pt idx="3452">
                  <c:v>63180</c:v>
                </c:pt>
                <c:pt idx="3453">
                  <c:v>63188</c:v>
                </c:pt>
                <c:pt idx="3454">
                  <c:v>63195</c:v>
                </c:pt>
                <c:pt idx="3455">
                  <c:v>63202</c:v>
                </c:pt>
                <c:pt idx="3456">
                  <c:v>63209</c:v>
                </c:pt>
                <c:pt idx="3457">
                  <c:v>63216</c:v>
                </c:pt>
                <c:pt idx="3458">
                  <c:v>63223</c:v>
                </c:pt>
                <c:pt idx="3459">
                  <c:v>63230</c:v>
                </c:pt>
                <c:pt idx="3460">
                  <c:v>63237</c:v>
                </c:pt>
                <c:pt idx="3461">
                  <c:v>63244</c:v>
                </c:pt>
                <c:pt idx="3462">
                  <c:v>63251</c:v>
                </c:pt>
                <c:pt idx="3463">
                  <c:v>63258</c:v>
                </c:pt>
                <c:pt idx="3464">
                  <c:v>63265</c:v>
                </c:pt>
                <c:pt idx="3465">
                  <c:v>63276</c:v>
                </c:pt>
                <c:pt idx="3466">
                  <c:v>63279</c:v>
                </c:pt>
                <c:pt idx="3467">
                  <c:v>63286</c:v>
                </c:pt>
                <c:pt idx="3468">
                  <c:v>63293</c:v>
                </c:pt>
                <c:pt idx="3469">
                  <c:v>63300</c:v>
                </c:pt>
                <c:pt idx="3470">
                  <c:v>63307</c:v>
                </c:pt>
                <c:pt idx="3471">
                  <c:v>63314</c:v>
                </c:pt>
                <c:pt idx="3472">
                  <c:v>63321</c:v>
                </c:pt>
                <c:pt idx="3473">
                  <c:v>63328</c:v>
                </c:pt>
                <c:pt idx="3474">
                  <c:v>63335</c:v>
                </c:pt>
                <c:pt idx="3475">
                  <c:v>63342</c:v>
                </c:pt>
                <c:pt idx="3476">
                  <c:v>63349</c:v>
                </c:pt>
                <c:pt idx="3477">
                  <c:v>63356</c:v>
                </c:pt>
                <c:pt idx="3478">
                  <c:v>63363</c:v>
                </c:pt>
                <c:pt idx="3479">
                  <c:v>63370</c:v>
                </c:pt>
                <c:pt idx="3480">
                  <c:v>63377</c:v>
                </c:pt>
                <c:pt idx="3481">
                  <c:v>63384</c:v>
                </c:pt>
                <c:pt idx="3482">
                  <c:v>63391</c:v>
                </c:pt>
                <c:pt idx="3483">
                  <c:v>63398</c:v>
                </c:pt>
                <c:pt idx="3484">
                  <c:v>63405</c:v>
                </c:pt>
                <c:pt idx="3485">
                  <c:v>63412</c:v>
                </c:pt>
                <c:pt idx="3486">
                  <c:v>63419</c:v>
                </c:pt>
                <c:pt idx="3487">
                  <c:v>63426</c:v>
                </c:pt>
                <c:pt idx="3488">
                  <c:v>63433</c:v>
                </c:pt>
                <c:pt idx="3489">
                  <c:v>63440</c:v>
                </c:pt>
                <c:pt idx="3490">
                  <c:v>63447</c:v>
                </c:pt>
                <c:pt idx="3491">
                  <c:v>63454</c:v>
                </c:pt>
                <c:pt idx="3492">
                  <c:v>63461</c:v>
                </c:pt>
                <c:pt idx="3493">
                  <c:v>63468</c:v>
                </c:pt>
                <c:pt idx="3494">
                  <c:v>63475</c:v>
                </c:pt>
                <c:pt idx="3495">
                  <c:v>63482</c:v>
                </c:pt>
                <c:pt idx="3496">
                  <c:v>63489</c:v>
                </c:pt>
                <c:pt idx="3497">
                  <c:v>63496</c:v>
                </c:pt>
                <c:pt idx="3498">
                  <c:v>63503</c:v>
                </c:pt>
                <c:pt idx="3499">
                  <c:v>63510</c:v>
                </c:pt>
                <c:pt idx="3500">
                  <c:v>63517</c:v>
                </c:pt>
                <c:pt idx="3501">
                  <c:v>63524</c:v>
                </c:pt>
                <c:pt idx="3502">
                  <c:v>63531</c:v>
                </c:pt>
                <c:pt idx="3503">
                  <c:v>63538</c:v>
                </c:pt>
                <c:pt idx="3504">
                  <c:v>63545</c:v>
                </c:pt>
                <c:pt idx="3505">
                  <c:v>63552</c:v>
                </c:pt>
                <c:pt idx="3506">
                  <c:v>63559</c:v>
                </c:pt>
                <c:pt idx="3507">
                  <c:v>63566</c:v>
                </c:pt>
                <c:pt idx="3508">
                  <c:v>63573</c:v>
                </c:pt>
                <c:pt idx="3509">
                  <c:v>63580</c:v>
                </c:pt>
                <c:pt idx="3510">
                  <c:v>63587</c:v>
                </c:pt>
                <c:pt idx="3511">
                  <c:v>63594</c:v>
                </c:pt>
                <c:pt idx="3512">
                  <c:v>63601</c:v>
                </c:pt>
                <c:pt idx="3513">
                  <c:v>63608</c:v>
                </c:pt>
                <c:pt idx="3514">
                  <c:v>63615</c:v>
                </c:pt>
                <c:pt idx="3515">
                  <c:v>63622</c:v>
                </c:pt>
                <c:pt idx="3516">
                  <c:v>63629</c:v>
                </c:pt>
                <c:pt idx="3517">
                  <c:v>63636</c:v>
                </c:pt>
                <c:pt idx="3518">
                  <c:v>63643</c:v>
                </c:pt>
                <c:pt idx="3519">
                  <c:v>63650</c:v>
                </c:pt>
                <c:pt idx="3520">
                  <c:v>63661</c:v>
                </c:pt>
                <c:pt idx="3521">
                  <c:v>63664</c:v>
                </c:pt>
                <c:pt idx="3522">
                  <c:v>63671</c:v>
                </c:pt>
                <c:pt idx="3523">
                  <c:v>63678</c:v>
                </c:pt>
                <c:pt idx="3524">
                  <c:v>63685</c:v>
                </c:pt>
                <c:pt idx="3525">
                  <c:v>63692</c:v>
                </c:pt>
                <c:pt idx="3526">
                  <c:v>63699</c:v>
                </c:pt>
                <c:pt idx="3527">
                  <c:v>63706</c:v>
                </c:pt>
                <c:pt idx="3528">
                  <c:v>63713</c:v>
                </c:pt>
                <c:pt idx="3529">
                  <c:v>63720</c:v>
                </c:pt>
                <c:pt idx="3530">
                  <c:v>63727</c:v>
                </c:pt>
                <c:pt idx="3531">
                  <c:v>63734</c:v>
                </c:pt>
                <c:pt idx="3532">
                  <c:v>63741</c:v>
                </c:pt>
                <c:pt idx="3533">
                  <c:v>63748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3.7073764698192235E-5</c:v>
                </c:pt>
                <c:pt idx="1">
                  <c:v>5.5306765087692611E-5</c:v>
                </c:pt>
                <c:pt idx="2">
                  <c:v>7.7186366898018832E-5</c:v>
                </c:pt>
                <c:pt idx="3">
                  <c:v>1.6106546432581581E-4</c:v>
                </c:pt>
                <c:pt idx="4">
                  <c:v>4.3088529920076724E-4</c:v>
                </c:pt>
                <c:pt idx="5">
                  <c:v>6.793594474974185E-4</c:v>
                </c:pt>
                <c:pt idx="6">
                  <c:v>7.9292441196976426E-4</c:v>
                </c:pt>
                <c:pt idx="7">
                  <c:v>9.0008595121204849E-4</c:v>
                </c:pt>
                <c:pt idx="8">
                  <c:v>1.0008440595488111E-3</c:v>
                </c:pt>
                <c:pt idx="9">
                  <c:v>1.1810193482109099E-3</c:v>
                </c:pt>
                <c:pt idx="10">
                  <c:v>1.339842081602427E-3</c:v>
                </c:pt>
                <c:pt idx="11">
                  <c:v>1.4085829617105361E-3</c:v>
                </c:pt>
                <c:pt idx="12">
                  <c:v>1.4709203837348639E-3</c:v>
                </c:pt>
                <c:pt idx="13">
                  <c:v>1.526854344398032E-3</c:v>
                </c:pt>
                <c:pt idx="14">
                  <c:v>1.6173846452272045E-3</c:v>
                </c:pt>
                <c:pt idx="15">
                  <c:v>1.6865555189227166E-3</c:v>
                </c:pt>
                <c:pt idx="16">
                  <c:v>1.7104721348903951E-3</c:v>
                </c:pt>
                <c:pt idx="17">
                  <c:v>1.7279852766272086E-3</c:v>
                </c:pt>
                <c:pt idx="18">
                  <c:v>1.7390949434137326E-3</c:v>
                </c:pt>
                <c:pt idx="19">
                  <c:v>1.739977767307721E-3</c:v>
                </c:pt>
                <c:pt idx="20">
                  <c:v>1.7287124168952062E-3</c:v>
                </c:pt>
                <c:pt idx="21">
                  <c:v>1.7304494163994377E-3</c:v>
                </c:pt>
                <c:pt idx="22">
                  <c:v>1.7321093147781852E-3</c:v>
                </c:pt>
                <c:pt idx="23">
                  <c:v>1.7336921118715765E-3</c:v>
                </c:pt>
                <c:pt idx="24">
                  <c:v>1.736609079232565E-3</c:v>
                </c:pt>
                <c:pt idx="25">
                  <c:v>1.73925228819094E-3</c:v>
                </c:pt>
                <c:pt idx="26">
                  <c:v>1.7404495791772945E-3</c:v>
                </c:pt>
                <c:pt idx="27">
                  <c:v>1.7415697689582288E-3</c:v>
                </c:pt>
                <c:pt idx="28">
                  <c:v>1.742612857533743E-3</c:v>
                </c:pt>
                <c:pt idx="29">
                  <c:v>1.7444504835850694E-3</c:v>
                </c:pt>
                <c:pt idx="30">
                  <c:v>1.7460141995417899E-3</c:v>
                </c:pt>
                <c:pt idx="31">
                  <c:v>1.7466717820102673E-3</c:v>
                </c:pt>
                <c:pt idx="32">
                  <c:v>1.7472522631933884E-3</c:v>
                </c:pt>
                <c:pt idx="33">
                  <c:v>1.7477556431710894E-3</c:v>
                </c:pt>
                <c:pt idx="34">
                  <c:v>1.7485138914619114E-3</c:v>
                </c:pt>
                <c:pt idx="35">
                  <c:v>1.7489981507878838E-3</c:v>
                </c:pt>
                <c:pt idx="36">
                  <c:v>1.749116024658548E-3</c:v>
                </c:pt>
                <c:pt idx="37">
                  <c:v>1.749156797243856E-3</c:v>
                </c:pt>
                <c:pt idx="38">
                  <c:v>1.7491204686237438E-3</c:v>
                </c:pt>
                <c:pt idx="39">
                  <c:v>1.7486568816349468E-3</c:v>
                </c:pt>
                <c:pt idx="40">
                  <c:v>1.7477823071221366E-3</c:v>
                </c:pt>
                <c:pt idx="41">
                  <c:v>1.7472833711096314E-3</c:v>
                </c:pt>
                <c:pt idx="42">
                  <c:v>1.7467073338917061E-3</c:v>
                </c:pt>
                <c:pt idx="43">
                  <c:v>1.7453067166695035E-3</c:v>
                </c:pt>
                <c:pt idx="44">
                  <c:v>1.7436321727259951E-3</c:v>
                </c:pt>
                <c:pt idx="45">
                  <c:v>1.742670629401033E-3</c:v>
                </c:pt>
                <c:pt idx="46">
                  <c:v>1.7416319847907147E-3</c:v>
                </c:pt>
                <c:pt idx="47">
                  <c:v>1.7405162390549123E-3</c:v>
                </c:pt>
                <c:pt idx="48">
                  <c:v>1.7380361342667072E-3</c:v>
                </c:pt>
                <c:pt idx="49">
                  <c:v>1.7352822435778847E-3</c:v>
                </c:pt>
                <c:pt idx="50">
                  <c:v>1.7337809916551095E-3</c:v>
                </c:pt>
                <c:pt idx="51">
                  <c:v>1.732202638526914E-3</c:v>
                </c:pt>
                <c:pt idx="52">
                  <c:v>1.7305471841932984E-3</c:v>
                </c:pt>
                <c:pt idx="53">
                  <c:v>1.7269875560543824E-3</c:v>
                </c:pt>
                <c:pt idx="54">
                  <c:v>1.7231543546447625E-3</c:v>
                </c:pt>
                <c:pt idx="55">
                  <c:v>1.7211133942041101E-3</c:v>
                </c:pt>
                <c:pt idx="56">
                  <c:v>1.7189953325580376E-3</c:v>
                </c:pt>
                <c:pt idx="57">
                  <c:v>1.7168001697065449E-3</c:v>
                </c:pt>
                <c:pt idx="58">
                  <c:v>1.7121609829917617E-3</c:v>
                </c:pt>
                <c:pt idx="59">
                  <c:v>1.7072485063263088E-3</c:v>
                </c:pt>
                <c:pt idx="60">
                  <c:v>1.7046678374477153E-3</c:v>
                </c:pt>
                <c:pt idx="61">
                  <c:v>1.7020100673637018E-3</c:v>
                </c:pt>
                <c:pt idx="62">
                  <c:v>1.699275196074268E-3</c:v>
                </c:pt>
                <c:pt idx="63">
                  <c:v>1.6937752424084351E-3</c:v>
                </c:pt>
                <c:pt idx="64">
                  <c:v>1.6884643080494754E-3</c:v>
                </c:pt>
                <c:pt idx="65">
                  <c:v>1.6859274609970498E-3</c:v>
                </c:pt>
                <c:pt idx="66">
                  <c:v>1.6834593953252153E-3</c:v>
                </c:pt>
                <c:pt idx="67">
                  <c:v>1.6810601108740997E-3</c:v>
                </c:pt>
                <c:pt idx="68">
                  <c:v>1.6764986205419774E-3</c:v>
                </c:pt>
                <c:pt idx="69">
                  <c:v>1.672150786795612E-3</c:v>
                </c:pt>
                <c:pt idx="70">
                  <c:v>1.6700954090875797E-3</c:v>
                </c:pt>
                <c:pt idx="71">
                  <c:v>1.6681088127601384E-3</c:v>
                </c:pt>
                <c:pt idx="72">
                  <c:v>1.6661909976534162E-3</c:v>
                </c:pt>
                <c:pt idx="73">
                  <c:v>1.6625923170732193E-3</c:v>
                </c:pt>
                <c:pt idx="74">
                  <c:v>1.6592075509525017E-3</c:v>
                </c:pt>
                <c:pt idx="75">
                  <c:v>1.6576336425888627E-3</c:v>
                </c:pt>
                <c:pt idx="76">
                  <c:v>1.6561285155258787E-3</c:v>
                </c:pt>
                <c:pt idx="77">
                  <c:v>1.6546921698434858E-3</c:v>
                </c:pt>
                <c:pt idx="78">
                  <c:v>1.6520563307764746E-3</c:v>
                </c:pt>
                <c:pt idx="79">
                  <c:v>1.6496346002803364E-3</c:v>
                </c:pt>
                <c:pt idx="80">
                  <c:v>1.6485421611811546E-3</c:v>
                </c:pt>
                <c:pt idx="81">
                  <c:v>1.6475185033826278E-3</c:v>
                </c:pt>
                <c:pt idx="82">
                  <c:v>1.6465636269646922E-3</c:v>
                </c:pt>
                <c:pt idx="83">
                  <c:v>1.6448906607990921E-3</c:v>
                </c:pt>
                <c:pt idx="84">
                  <c:v>1.6434319343794357E-3</c:v>
                </c:pt>
                <c:pt idx="85">
                  <c:v>1.6428209645447112E-3</c:v>
                </c:pt>
                <c:pt idx="86">
                  <c:v>1.6422787760905777E-3</c:v>
                </c:pt>
                <c:pt idx="87">
                  <c:v>1.6418053687772272E-3</c:v>
                </c:pt>
                <c:pt idx="88">
                  <c:v>1.6410953065548739E-3</c:v>
                </c:pt>
                <c:pt idx="89">
                  <c:v>1.6405995532497997E-3</c:v>
                </c:pt>
                <c:pt idx="90">
                  <c:v>1.6404700526795324E-3</c:v>
                </c:pt>
                <c:pt idx="91">
                  <c:v>1.6404093333299841E-3</c:v>
                </c:pt>
                <c:pt idx="92">
                  <c:v>1.6404173953610268E-3</c:v>
                </c:pt>
                <c:pt idx="93">
                  <c:v>1.6406702676707852E-3</c:v>
                </c:pt>
                <c:pt idx="94">
                  <c:v>1.6411374566516201E-3</c:v>
                </c:pt>
                <c:pt idx="95">
                  <c:v>1.641489425265874E-3</c:v>
                </c:pt>
                <c:pt idx="96">
                  <c:v>1.641910175260719E-3</c:v>
                </c:pt>
                <c:pt idx="97">
                  <c:v>1.642399706556219E-3</c:v>
                </c:pt>
                <c:pt idx="98">
                  <c:v>1.6436155441468259E-3</c:v>
                </c:pt>
                <c:pt idx="99">
                  <c:v>1.6450456447447692E-3</c:v>
                </c:pt>
                <c:pt idx="100">
                  <c:v>1.6458790826234804E-3</c:v>
                </c:pt>
                <c:pt idx="101">
                  <c:v>1.6467813018028465E-3</c:v>
                </c:pt>
                <c:pt idx="102">
                  <c:v>1.6477523023628038E-3</c:v>
                </c:pt>
                <c:pt idx="103">
                  <c:v>1.6499311362494495E-3</c:v>
                </c:pt>
                <c:pt idx="104">
                  <c:v>1.652324117609183E-3</c:v>
                </c:pt>
                <c:pt idx="105">
                  <c:v>1.6536390247523514E-3</c:v>
                </c:pt>
                <c:pt idx="106">
                  <c:v>1.6550227131961748E-3</c:v>
                </c:pt>
                <c:pt idx="107">
                  <c:v>1.6564751829406532E-3</c:v>
                </c:pt>
                <c:pt idx="108">
                  <c:v>1.6596170444316272E-3</c:v>
                </c:pt>
                <c:pt idx="109">
                  <c:v>1.6629728753247974E-3</c:v>
                </c:pt>
                <c:pt idx="110">
                  <c:v>1.6647692518123591E-3</c:v>
                </c:pt>
                <c:pt idx="111">
                  <c:v>1.6666344095206398E-3</c:v>
                </c:pt>
                <c:pt idx="112">
                  <c:v>1.6685683486095115E-3</c:v>
                </c:pt>
                <c:pt idx="113">
                  <c:v>1.6726732696259461E-3</c:v>
                </c:pt>
                <c:pt idx="114">
                  <c:v>1.6769919182912929E-3</c:v>
                </c:pt>
                <c:pt idx="115">
                  <c:v>1.6792697641232479E-3</c:v>
                </c:pt>
                <c:pt idx="116">
                  <c:v>1.6816163911759219E-3</c:v>
                </c:pt>
                <c:pt idx="117">
                  <c:v>1.684031799689123E-3</c:v>
                </c:pt>
                <c:pt idx="118">
                  <c:v>1.6890998128449297E-3</c:v>
                </c:pt>
                <c:pt idx="119">
                  <c:v>1.6943812469882857E-3</c:v>
                </c:pt>
                <c:pt idx="120">
                  <c:v>1.697140562084698E-3</c:v>
                </c:pt>
                <c:pt idx="121">
                  <c:v>1.6999686587215734E-3</c:v>
                </c:pt>
                <c:pt idx="122">
                  <c:v>1.7028655365791678E-3</c:v>
                </c:pt>
                <c:pt idx="123">
                  <c:v>1.7088966754741364E-3</c:v>
                </c:pt>
                <c:pt idx="124">
                  <c:v>1.7151408617355202E-3</c:v>
                </c:pt>
                <c:pt idx="125">
                  <c:v>1.7183816463361978E-3</c:v>
                </c:pt>
                <c:pt idx="126">
                  <c:v>1.72860207004355E-3</c:v>
                </c:pt>
                <c:pt idx="127">
                  <c:v>1.7392756663703324E-3</c:v>
                </c:pt>
                <c:pt idx="128">
                  <c:v>1.7430273402219143E-3</c:v>
                </c:pt>
                <c:pt idx="129">
                  <c:v>1.7488555007760809E-3</c:v>
                </c:pt>
                <c:pt idx="130">
                  <c:v>1.7590573740555726E-3</c:v>
                </c:pt>
                <c:pt idx="131">
                  <c:v>1.7675996035659836E-3</c:v>
                </c:pt>
                <c:pt idx="132">
                  <c:v>1.7720386841890701E-3</c:v>
                </c:pt>
                <c:pt idx="133">
                  <c:v>1.7765759657795144E-3</c:v>
                </c:pt>
                <c:pt idx="134">
                  <c:v>1.7812114484172525E-3</c:v>
                </c:pt>
                <c:pt idx="135">
                  <c:v>1.7908186585913199E-3</c:v>
                </c:pt>
                <c:pt idx="136">
                  <c:v>1.8007353888016553E-3</c:v>
                </c:pt>
                <c:pt idx="137">
                  <c:v>1.8058618764360546E-3</c:v>
                </c:pt>
                <c:pt idx="138">
                  <c:v>1.8110865650378116E-3</c:v>
                </c:pt>
                <c:pt idx="139">
                  <c:v>1.8164094546069265E-3</c:v>
                </c:pt>
                <c:pt idx="140">
                  <c:v>1.8273918465361305E-3</c:v>
                </c:pt>
                <c:pt idx="141">
                  <c:v>1.8386830234362606E-3</c:v>
                </c:pt>
                <c:pt idx="142">
                  <c:v>1.8444969181619086E-3</c:v>
                </c:pt>
                <c:pt idx="143">
                  <c:v>1.8504090140147866E-3</c:v>
                </c:pt>
                <c:pt idx="144">
                  <c:v>1.8564193109149585E-3</c:v>
                </c:pt>
                <c:pt idx="145">
                  <c:v>1.8687769422598421E-3</c:v>
                </c:pt>
                <c:pt idx="146">
                  <c:v>1.8814425089086484E-3</c:v>
                </c:pt>
                <c:pt idx="147">
                  <c:v>1.8879438111252256E-3</c:v>
                </c:pt>
                <c:pt idx="148">
                  <c:v>1.8945433143890966E-3</c:v>
                </c:pt>
                <c:pt idx="149">
                  <c:v>1.9012410187002615E-3</c:v>
                </c:pt>
                <c:pt idx="150">
                  <c:v>1.9149739507184904E-3</c:v>
                </c:pt>
                <c:pt idx="151">
                  <c:v>1.9290138470573481E-3</c:v>
                </c:pt>
                <c:pt idx="152">
                  <c:v>1.9362025569247265E-3</c:v>
                </c:pt>
                <c:pt idx="153">
                  <c:v>1.9434894679193349E-3</c:v>
                </c:pt>
                <c:pt idx="154">
                  <c:v>1.9508745800411731E-3</c:v>
                </c:pt>
                <c:pt idx="155">
                  <c:v>1.965982877480954E-3</c:v>
                </c:pt>
                <c:pt idx="156">
                  <c:v>1.9813970397208891E-3</c:v>
                </c:pt>
                <c:pt idx="157">
                  <c:v>1.989273157558813E-3</c:v>
                </c:pt>
                <c:pt idx="158">
                  <c:v>1.9972474765239667E-3</c:v>
                </c:pt>
                <c:pt idx="159">
                  <c:v>2.0053199966163504E-3</c:v>
                </c:pt>
                <c:pt idx="160">
                  <c:v>2.0218037287023094E-3</c:v>
                </c:pt>
                <c:pt idx="161">
                  <c:v>2.0385920890575449E-3</c:v>
                </c:pt>
                <c:pt idx="162">
                  <c:v>2.0471556151058223E-3</c:v>
                </c:pt>
                <c:pt idx="163">
                  <c:v>2.0558173423612658E-3</c:v>
                </c:pt>
                <c:pt idx="164">
                  <c:v>2.0645772709038113E-3</c:v>
                </c:pt>
                <c:pt idx="165">
                  <c:v>2.0824365110971854E-3</c:v>
                </c:pt>
                <c:pt idx="166">
                  <c:v>2.100598997225589E-3</c:v>
                </c:pt>
                <c:pt idx="167">
                  <c:v>2.1098499318839004E-3</c:v>
                </c:pt>
                <c:pt idx="168">
                  <c:v>2.1191990679092498E-3</c:v>
                </c:pt>
                <c:pt idx="169">
                  <c:v>2.1286464051417653E-3</c:v>
                </c:pt>
                <c:pt idx="170">
                  <c:v>2.1478812319397633E-3</c:v>
                </c:pt>
                <c:pt idx="171">
                  <c:v>2.1674177668629113E-3</c:v>
                </c:pt>
                <c:pt idx="172">
                  <c:v>2.1773561105309369E-3</c:v>
                </c:pt>
                <c:pt idx="173">
                  <c:v>2.1873926555660006E-3</c:v>
                </c:pt>
                <c:pt idx="174">
                  <c:v>2.1975274018881663E-3</c:v>
                </c:pt>
                <c:pt idx="175">
                  <c:v>2.2181378990904221E-3</c:v>
                </c:pt>
                <c:pt idx="176">
                  <c:v>2.2390484005274658E-3</c:v>
                </c:pt>
                <c:pt idx="177">
                  <c:v>2.2496741536848219E-3</c:v>
                </c:pt>
                <c:pt idx="178">
                  <c:v>2.260398108049344E-3</c:v>
                </c:pt>
                <c:pt idx="179">
                  <c:v>2.2712202639407764E-3</c:v>
                </c:pt>
                <c:pt idx="180">
                  <c:v>2.2932065210490293E-3</c:v>
                </c:pt>
                <c:pt idx="181">
                  <c:v>2.3154909011768865E-3</c:v>
                </c:pt>
                <c:pt idx="182">
                  <c:v>2.3268040640633814E-3</c:v>
                </c:pt>
                <c:pt idx="183">
                  <c:v>2.3382154283968504E-3</c:v>
                </c:pt>
                <c:pt idx="184">
                  <c:v>2.3497249942572296E-3</c:v>
                </c:pt>
                <c:pt idx="185">
                  <c:v>2.3730871067950687E-3</c:v>
                </c:pt>
                <c:pt idx="186">
                  <c:v>2.3967452719286797E-3</c:v>
                </c:pt>
                <c:pt idx="187">
                  <c:v>2.4087458451038657E-3</c:v>
                </c:pt>
                <c:pt idx="188">
                  <c:v>2.4208446197260258E-3</c:v>
                </c:pt>
                <c:pt idx="189">
                  <c:v>2.4330407964345824E-3</c:v>
                </c:pt>
                <c:pt idx="190">
                  <c:v>2.4577628766841997E-3</c:v>
                </c:pt>
                <c:pt idx="191">
                  <c:v>2.4827627477108649E-3</c:v>
                </c:pt>
                <c:pt idx="192">
                  <c:v>2.4954267471599678E-3</c:v>
                </c:pt>
                <c:pt idx="193">
                  <c:v>2.5081841514129621E-3</c:v>
                </c:pt>
                <c:pt idx="194">
                  <c:v>2.5471462400883382E-3</c:v>
                </c:pt>
                <c:pt idx="195">
                  <c:v>2.5866900760540545E-3</c:v>
                </c:pt>
                <c:pt idx="196">
                  <c:v>2.6001013134546724E-3</c:v>
                </c:pt>
                <c:pt idx="197">
                  <c:v>2.6136059555792457E-3</c:v>
                </c:pt>
                <c:pt idx="198">
                  <c:v>2.6409459628240484E-3</c:v>
                </c:pt>
                <c:pt idx="199">
                  <c:v>2.6685585724361971E-3</c:v>
                </c:pt>
                <c:pt idx="200">
                  <c:v>2.6825302386601635E-3</c:v>
                </c:pt>
                <c:pt idx="201">
                  <c:v>2.6965953097679574E-3</c:v>
                </c:pt>
                <c:pt idx="202">
                  <c:v>2.7107537857595787E-3</c:v>
                </c:pt>
                <c:pt idx="203">
                  <c:v>2.7394029321747837E-3</c:v>
                </c:pt>
                <c:pt idx="204">
                  <c:v>2.7683217384044667E-3</c:v>
                </c:pt>
                <c:pt idx="205">
                  <c:v>2.7829472388152254E-3</c:v>
                </c:pt>
                <c:pt idx="206">
                  <c:v>2.7976661441897477E-3</c:v>
                </c:pt>
                <c:pt idx="207">
                  <c:v>2.8124784544480974E-3</c:v>
                </c:pt>
                <c:pt idx="208">
                  <c:v>2.8424368672919087E-3</c:v>
                </c:pt>
                <c:pt idx="209">
                  <c:v>2.8726617451990677E-3</c:v>
                </c:pt>
                <c:pt idx="210">
                  <c:v>2.8879410802762351E-3</c:v>
                </c:pt>
                <c:pt idx="211">
                  <c:v>2.9033138204770381E-3</c:v>
                </c:pt>
                <c:pt idx="212">
                  <c:v>2.9187799656416047E-3</c:v>
                </c:pt>
                <c:pt idx="213">
                  <c:v>2.9579488086906025E-3</c:v>
                </c:pt>
                <c:pt idx="214">
                  <c:v>2.9975117671199314E-3</c:v>
                </c:pt>
                <c:pt idx="215">
                  <c:v>3.0135383426266316E-3</c:v>
                </c:pt>
                <c:pt idx="216">
                  <c:v>3.0296583232569674E-3</c:v>
                </c:pt>
                <c:pt idx="217">
                  <c:v>3.0622356823339913E-3</c:v>
                </c:pt>
                <c:pt idx="218">
                  <c:v>3.0950722970946032E-3</c:v>
                </c:pt>
                <c:pt idx="219">
                  <c:v>3.1116593034230533E-3</c:v>
                </c:pt>
                <c:pt idx="220">
                  <c:v>3.1283397149550751E-3</c:v>
                </c:pt>
                <c:pt idx="221">
                  <c:v>3.1451135316107326E-3</c:v>
                </c:pt>
                <c:pt idx="222">
                  <c:v>3.1790005874388072E-3</c:v>
                </c:pt>
                <c:pt idx="223">
                  <c:v>3.2131428506687598E-3</c:v>
                </c:pt>
                <c:pt idx="224">
                  <c:v>3.230383693582084E-3</c:v>
                </c:pt>
                <c:pt idx="225">
                  <c:v>3.2477179417789159E-3</c:v>
                </c:pt>
                <c:pt idx="226">
                  <c:v>3.2651455950993835E-3</c:v>
                </c:pt>
                <c:pt idx="227">
                  <c:v>3.3092273828794205E-3</c:v>
                </c:pt>
                <c:pt idx="228">
                  <c:v>3.3536849420734427E-3</c:v>
                </c:pt>
                <c:pt idx="229">
                  <c:v>3.3716730274946372E-3</c:v>
                </c:pt>
                <c:pt idx="230">
                  <c:v>3.3897545183592115E-3</c:v>
                </c:pt>
                <c:pt idx="231">
                  <c:v>3.4262614596158869E-3</c:v>
                </c:pt>
                <c:pt idx="232">
                  <c:v>3.4630145357716913E-3</c:v>
                </c:pt>
                <c:pt idx="233">
                  <c:v>3.4815630536932929E-3</c:v>
                </c:pt>
                <c:pt idx="234">
                  <c:v>3.5002049771382104E-3</c:v>
                </c:pt>
                <c:pt idx="235">
                  <c:v>3.5189403060265079E-3</c:v>
                </c:pt>
                <c:pt idx="236">
                  <c:v>3.5567574549588699E-3</c:v>
                </c:pt>
                <c:pt idx="237">
                  <c:v>3.5948156767329209E-3</c:v>
                </c:pt>
                <c:pt idx="238">
                  <c:v>3.6140180333177341E-3</c:v>
                </c:pt>
                <c:pt idx="239">
                  <c:v>3.6333137954258632E-3</c:v>
                </c:pt>
                <c:pt idx="240">
                  <c:v>3.6527029631372443E-3</c:v>
                </c:pt>
                <c:pt idx="241">
                  <c:v>3.6918305095401394E-3</c:v>
                </c:pt>
                <c:pt idx="242">
                  <c:v>3.7311936900152887E-3</c:v>
                </c:pt>
                <c:pt idx="243">
                  <c:v>3.7510498859028019E-3</c:v>
                </c:pt>
                <c:pt idx="244">
                  <c:v>3.7709994873935671E-3</c:v>
                </c:pt>
                <c:pt idx="245">
                  <c:v>3.7910424946474564E-3</c:v>
                </c:pt>
                <c:pt idx="246">
                  <c:v>3.8314806388406453E-3</c:v>
                </c:pt>
                <c:pt idx="247">
                  <c:v>3.8721485808146383E-3</c:v>
                </c:pt>
                <c:pt idx="248">
                  <c:v>3.892658616724276E-3</c:v>
                </c:pt>
                <c:pt idx="249">
                  <c:v>3.9132620584769739E-3</c:v>
                </c:pt>
                <c:pt idx="250">
                  <c:v>3.9339589059128599E-3</c:v>
                </c:pt>
                <c:pt idx="251">
                  <c:v>3.9756105324340041E-3</c:v>
                </c:pt>
                <c:pt idx="252">
                  <c:v>4.0172802435822774E-3</c:v>
                </c:pt>
                <c:pt idx="253">
                  <c:v>4.0381845890369306E-3</c:v>
                </c:pt>
                <c:pt idx="254">
                  <c:v>4.0591174575155264E-3</c:v>
                </c:pt>
                <c:pt idx="255">
                  <c:v>4.0800788490180651E-3</c:v>
                </c:pt>
                <c:pt idx="256">
                  <c:v>4.122143907681064E-3</c:v>
                </c:pt>
                <c:pt idx="257">
                  <c:v>4.164209645427519E-3</c:v>
                </c:pt>
                <c:pt idx="258">
                  <c:v>4.1853136522096435E-3</c:v>
                </c:pt>
                <c:pt idx="259">
                  <c:v>4.2064461820157106E-3</c:v>
                </c:pt>
                <c:pt idx="260">
                  <c:v>4.2276072348457205E-3</c:v>
                </c:pt>
                <c:pt idx="261">
                  <c:v>4.2700750648982932E-3</c:v>
                </c:pt>
                <c:pt idx="262">
                  <c:v>4.3125366772844842E-3</c:v>
                </c:pt>
                <c:pt idx="263">
                  <c:v>4.3338403456338881E-3</c:v>
                </c:pt>
                <c:pt idx="264">
                  <c:v>4.3551725370871708E-3</c:v>
                </c:pt>
                <c:pt idx="265">
                  <c:v>4.3765332515643962E-3</c:v>
                </c:pt>
                <c:pt idx="266">
                  <c:v>4.419404009308181E-3</c:v>
                </c:pt>
                <c:pt idx="267">
                  <c:v>4.4622613409117662E-3</c:v>
                </c:pt>
                <c:pt idx="268">
                  <c:v>4.4837646710682577E-3</c:v>
                </c:pt>
                <c:pt idx="269">
                  <c:v>4.5052965244085641E-3</c:v>
                </c:pt>
                <c:pt idx="270">
                  <c:v>4.5268569007728132E-3</c:v>
                </c:pt>
                <c:pt idx="271">
                  <c:v>4.5701307461332163E-3</c:v>
                </c:pt>
                <c:pt idx="272">
                  <c:v>4.6133836381478943E-3</c:v>
                </c:pt>
                <c:pt idx="273">
                  <c:v>4.6350866303512817E-3</c:v>
                </c:pt>
                <c:pt idx="274">
                  <c:v>4.6568181457384838E-3</c:v>
                </c:pt>
                <c:pt idx="275">
                  <c:v>4.6785781843095009E-3</c:v>
                </c:pt>
                <c:pt idx="276">
                  <c:v>4.7222552805958884E-3</c:v>
                </c:pt>
                <c:pt idx="277">
                  <c:v>4.7659035705116537E-3</c:v>
                </c:pt>
                <c:pt idx="278">
                  <c:v>4.7878062250816811E-3</c:v>
                </c:pt>
                <c:pt idx="279">
                  <c:v>4.8097374029154594E-3</c:v>
                </c:pt>
                <c:pt idx="280">
                  <c:v>4.8316971038531165E-3</c:v>
                </c:pt>
                <c:pt idx="281">
                  <c:v>4.8757776180252677E-3</c:v>
                </c:pt>
                <c:pt idx="282">
                  <c:v>4.9198211400813818E-3</c:v>
                </c:pt>
                <c:pt idx="283">
                  <c:v>4.9419234572578574E-3</c:v>
                </c:pt>
                <c:pt idx="284">
                  <c:v>4.9640542976181479E-3</c:v>
                </c:pt>
                <c:pt idx="285">
                  <c:v>4.9862136612421892E-3</c:v>
                </c:pt>
                <c:pt idx="286">
                  <c:v>5.03069776377707E-3</c:v>
                </c:pt>
                <c:pt idx="287">
                  <c:v>5.0751363484557999E-3</c:v>
                </c:pt>
                <c:pt idx="288">
                  <c:v>5.0974383283985958E-3</c:v>
                </c:pt>
                <c:pt idx="289">
                  <c:v>5.1197688316850787E-3</c:v>
                </c:pt>
                <c:pt idx="290">
                  <c:v>5.1421278582353125E-3</c:v>
                </c:pt>
                <c:pt idx="291">
                  <c:v>5.187015723260302E-3</c:v>
                </c:pt>
                <c:pt idx="292">
                  <c:v>5.2318491974734371E-3</c:v>
                </c:pt>
                <c:pt idx="293">
                  <c:v>5.2543508405822337E-3</c:v>
                </c:pt>
                <c:pt idx="294">
                  <c:v>5.2768810070347172E-3</c:v>
                </c:pt>
                <c:pt idx="295">
                  <c:v>5.2994396967509516E-3</c:v>
                </c:pt>
                <c:pt idx="296">
                  <c:v>5.3560985651679438E-3</c:v>
                </c:pt>
                <c:pt idx="297">
                  <c:v>5.4126609954874283E-3</c:v>
                </c:pt>
                <c:pt idx="298">
                  <c:v>5.4353908252657845E-3</c:v>
                </c:pt>
                <c:pt idx="299">
                  <c:v>5.4581491784677638E-3</c:v>
                </c:pt>
                <c:pt idx="300">
                  <c:v>5.5038451054034709E-3</c:v>
                </c:pt>
                <c:pt idx="301">
                  <c:v>5.5494678248724227E-3</c:v>
                </c:pt>
                <c:pt idx="302">
                  <c:v>5.572368795032645E-3</c:v>
                </c:pt>
                <c:pt idx="303">
                  <c:v>5.5952982884566183E-3</c:v>
                </c:pt>
                <c:pt idx="304">
                  <c:v>5.6182563053841506E-3</c:v>
                </c:pt>
                <c:pt idx="305">
                  <c:v>5.6643565391212292E-3</c:v>
                </c:pt>
                <c:pt idx="306">
                  <c:v>5.7103736070107658E-3</c:v>
                </c:pt>
                <c:pt idx="307">
                  <c:v>5.7334742408965411E-3</c:v>
                </c:pt>
                <c:pt idx="308">
                  <c:v>5.7566033983658116E-3</c:v>
                </c:pt>
                <c:pt idx="309">
                  <c:v>5.779761079178769E-3</c:v>
                </c:pt>
                <c:pt idx="310">
                  <c:v>5.8262658087127051E-3</c:v>
                </c:pt>
                <c:pt idx="311">
                  <c:v>5.8726770370665093E-3</c:v>
                </c:pt>
                <c:pt idx="312">
                  <c:v>5.8959773352373901E-3</c:v>
                </c:pt>
                <c:pt idx="313">
                  <c:v>5.9193061568318939E-3</c:v>
                </c:pt>
                <c:pt idx="314">
                  <c:v>5.9426635019299567E-3</c:v>
                </c:pt>
                <c:pt idx="315">
                  <c:v>5.9895729198533587E-3</c:v>
                </c:pt>
                <c:pt idx="316">
                  <c:v>6.0363781171979269E-3</c:v>
                </c:pt>
                <c:pt idx="317">
                  <c:v>6.0598780797338492E-3</c:v>
                </c:pt>
                <c:pt idx="318">
                  <c:v>6.0834065657733305E-3</c:v>
                </c:pt>
                <c:pt idx="319">
                  <c:v>6.106963575476243E-3</c:v>
                </c:pt>
                <c:pt idx="320">
                  <c:v>6.1542778782452956E-3</c:v>
                </c:pt>
                <c:pt idx="321">
                  <c:v>6.2014768490836758E-3</c:v>
                </c:pt>
                <c:pt idx="322">
                  <c:v>6.2251764763843198E-3</c:v>
                </c:pt>
                <c:pt idx="323">
                  <c:v>6.2489046271885229E-3</c:v>
                </c:pt>
                <c:pt idx="324">
                  <c:v>6.2726613015762211E-3</c:v>
                </c:pt>
                <c:pt idx="325">
                  <c:v>6.3203806896172665E-3</c:v>
                </c:pt>
                <c:pt idx="326">
                  <c:v>6.3679732348020934E-3</c:v>
                </c:pt>
                <c:pt idx="327">
                  <c:v>6.3918725271072674E-3</c:v>
                </c:pt>
                <c:pt idx="328">
                  <c:v>6.4158003429160004E-3</c:v>
                </c:pt>
                <c:pt idx="329">
                  <c:v>6.4397566823881647E-3</c:v>
                </c:pt>
                <c:pt idx="330">
                  <c:v>6.487881359831249E-3</c:v>
                </c:pt>
                <c:pt idx="331">
                  <c:v>6.5358672762716452E-3</c:v>
                </c:pt>
                <c:pt idx="332">
                  <c:v>6.5599662338211573E-3</c:v>
                </c:pt>
                <c:pt idx="333">
                  <c:v>6.5840937149541645E-3</c:v>
                </c:pt>
                <c:pt idx="334">
                  <c:v>6.6082497197506029E-3</c:v>
                </c:pt>
                <c:pt idx="335">
                  <c:v>6.65677989469593E-3</c:v>
                </c:pt>
                <c:pt idx="336">
                  <c:v>6.7051589753308605E-3</c:v>
                </c:pt>
                <c:pt idx="337">
                  <c:v>6.7294575984444549E-3</c:v>
                </c:pt>
                <c:pt idx="338">
                  <c:v>6.7537847452214805E-3</c:v>
                </c:pt>
                <c:pt idx="339">
                  <c:v>6.7781404155820013E-3</c:v>
                </c:pt>
                <c:pt idx="340">
                  <c:v>6.8270763001265777E-3</c:v>
                </c:pt>
                <c:pt idx="341">
                  <c:v>6.8758483341380128E-3</c:v>
                </c:pt>
                <c:pt idx="342">
                  <c:v>6.9003466230554977E-3</c:v>
                </c:pt>
                <c:pt idx="343">
                  <c:v>6.9248734356364139E-3</c:v>
                </c:pt>
                <c:pt idx="344">
                  <c:v>6.9494287719606973E-3</c:v>
                </c:pt>
                <c:pt idx="345">
                  <c:v>6.9987705820651058E-3</c:v>
                </c:pt>
                <c:pt idx="346">
                  <c:v>7.0479353546115675E-3</c:v>
                </c:pt>
                <c:pt idx="347">
                  <c:v>7.0726333095727512E-3</c:v>
                </c:pt>
                <c:pt idx="348">
                  <c:v>7.0973597883572381E-3</c:v>
                </c:pt>
                <c:pt idx="349">
                  <c:v>7.1221147908051563E-3</c:v>
                </c:pt>
                <c:pt idx="350">
                  <c:v>7.1718627465067186E-3</c:v>
                </c:pt>
                <c:pt idx="351">
                  <c:v>7.22142003866999E-3</c:v>
                </c:pt>
                <c:pt idx="352">
                  <c:v>7.2463176600745527E-3</c:v>
                </c:pt>
                <c:pt idx="353">
                  <c:v>7.2712438052224826E-3</c:v>
                </c:pt>
                <c:pt idx="354">
                  <c:v>7.2961984741937158E-3</c:v>
                </c:pt>
                <c:pt idx="355">
                  <c:v>7.3463527995265565E-3</c:v>
                </c:pt>
                <c:pt idx="356">
                  <c:v>7.3963023883916179E-3</c:v>
                </c:pt>
                <c:pt idx="357">
                  <c:v>7.4213996764793677E-3</c:v>
                </c:pt>
                <c:pt idx="358">
                  <c:v>7.4465254883104848E-3</c:v>
                </c:pt>
                <c:pt idx="359">
                  <c:v>7.4716798241247773E-3</c:v>
                </c:pt>
                <c:pt idx="360">
                  <c:v>7.5222407471731145E-3</c:v>
                </c:pt>
                <c:pt idx="361">
                  <c:v>7.5725824056949165E-3</c:v>
                </c:pt>
                <c:pt idx="362">
                  <c:v>7.5978793608655337E-3</c:v>
                </c:pt>
                <c:pt idx="363">
                  <c:v>7.6232048397795182E-3</c:v>
                </c:pt>
                <c:pt idx="364">
                  <c:v>7.6485588425967421E-3</c:v>
                </c:pt>
                <c:pt idx="365">
                  <c:v>7.6995265956547598E-3</c:v>
                </c:pt>
                <c:pt idx="366">
                  <c:v>7.7502600928980314E-3</c:v>
                </c:pt>
                <c:pt idx="367">
                  <c:v>7.7757567153113882E-3</c:v>
                </c:pt>
                <c:pt idx="368">
                  <c:v>7.8012818615480484E-3</c:v>
                </c:pt>
                <c:pt idx="369">
                  <c:v>7.8268355317678839E-3</c:v>
                </c:pt>
                <c:pt idx="370">
                  <c:v>7.8782103511265689E-3</c:v>
                </c:pt>
                <c:pt idx="371">
                  <c:v>7.9293354519194281E-3</c:v>
                </c:pt>
                <c:pt idx="372">
                  <c:v>7.9550317418153327E-3</c:v>
                </c:pt>
                <c:pt idx="373">
                  <c:v>7.9807565556944127E-3</c:v>
                </c:pt>
                <c:pt idx="374">
                  <c:v>8.0065098935566681E-3</c:v>
                </c:pt>
                <c:pt idx="375">
                  <c:v>8.0582920198235541E-3</c:v>
                </c:pt>
                <c:pt idx="376">
                  <c:v>8.1098084848374441E-3</c:v>
                </c:pt>
                <c:pt idx="377">
                  <c:v>8.1357044425356406E-3</c:v>
                </c:pt>
                <c:pt idx="378">
                  <c:v>8.1616289243768847E-3</c:v>
                </c:pt>
                <c:pt idx="379">
                  <c:v>8.2399792171266029E-3</c:v>
                </c:pt>
                <c:pt idx="380">
                  <c:v>8.3177748196305856E-3</c:v>
                </c:pt>
                <c:pt idx="381">
                  <c:v>8.343898969753738E-3</c:v>
                </c:pt>
                <c:pt idx="382">
                  <c:v>8.4096466234351297E-3</c:v>
                </c:pt>
                <c:pt idx="383">
                  <c:v>8.4749475807566199E-3</c:v>
                </c:pt>
                <c:pt idx="384">
                  <c:v>8.5012428751785052E-3</c:v>
                </c:pt>
                <c:pt idx="385">
                  <c:v>8.527566693743438E-3</c:v>
                </c:pt>
                <c:pt idx="386">
                  <c:v>8.5539190363714823E-3</c:v>
                </c:pt>
                <c:pt idx="387">
                  <c:v>8.6069245685749252E-3</c:v>
                </c:pt>
                <c:pt idx="388">
                  <c:v>8.6596136480743269E-3</c:v>
                </c:pt>
                <c:pt idx="389">
                  <c:v>8.6861086112577368E-3</c:v>
                </c:pt>
                <c:pt idx="390">
                  <c:v>8.7126320986641304E-3</c:v>
                </c:pt>
                <c:pt idx="391">
                  <c:v>8.7391841101336354E-3</c:v>
                </c:pt>
                <c:pt idx="392">
                  <c:v>8.7925979536418453E-3</c:v>
                </c:pt>
                <c:pt idx="393">
                  <c:v>8.8456773977618752E-3</c:v>
                </c:pt>
                <c:pt idx="394">
                  <c:v>8.8723720300265541E-3</c:v>
                </c:pt>
                <c:pt idx="395">
                  <c:v>8.8990951865941526E-3</c:v>
                </c:pt>
                <c:pt idx="396">
                  <c:v>8.9258468672248625E-3</c:v>
                </c:pt>
                <c:pt idx="397">
                  <c:v>8.9796692839083647E-3</c:v>
                </c:pt>
                <c:pt idx="398">
                  <c:v>9.0331388319775385E-3</c:v>
                </c:pt>
                <c:pt idx="399">
                  <c:v>9.0600331337231665E-3</c:v>
                </c:pt>
                <c:pt idx="400">
                  <c:v>9.0869559596917782E-3</c:v>
                </c:pt>
                <c:pt idx="401">
                  <c:v>9.1139073098833734E-3</c:v>
                </c:pt>
                <c:pt idx="402">
                  <c:v>9.1681385659292403E-3</c:v>
                </c:pt>
                <c:pt idx="403">
                  <c:v>9.2219979530394625E-3</c:v>
                </c:pt>
                <c:pt idx="404">
                  <c:v>9.2490919245058478E-3</c:v>
                </c:pt>
                <c:pt idx="405">
                  <c:v>9.2762144201952168E-3</c:v>
                </c:pt>
                <c:pt idx="406">
                  <c:v>9.3033654401875054E-3</c:v>
                </c:pt>
                <c:pt idx="407">
                  <c:v>9.3580058062325833E-3</c:v>
                </c:pt>
                <c:pt idx="408">
                  <c:v>9.4122547631059206E-3</c:v>
                </c:pt>
                <c:pt idx="409">
                  <c:v>9.4395484045328715E-3</c:v>
                </c:pt>
                <c:pt idx="410">
                  <c:v>9.4668705703426781E-3</c:v>
                </c:pt>
                <c:pt idx="411">
                  <c:v>9.4942212604554044E-3</c:v>
                </c:pt>
                <c:pt idx="412">
                  <c:v>9.5492710114797319E-3</c:v>
                </c:pt>
                <c:pt idx="413">
                  <c:v>9.6039092642552504E-3</c:v>
                </c:pt>
                <c:pt idx="414">
                  <c:v>9.6314025760424471E-3</c:v>
                </c:pt>
                <c:pt idx="415">
                  <c:v>9.6589244122924356E-3</c:v>
                </c:pt>
                <c:pt idx="416">
                  <c:v>9.6864747728453438E-3</c:v>
                </c:pt>
                <c:pt idx="417">
                  <c:v>9.741934188385315E-3</c:v>
                </c:pt>
                <c:pt idx="418">
                  <c:v>9.7969614588855336E-3</c:v>
                </c:pt>
                <c:pt idx="419">
                  <c:v>9.8246544413527204E-3</c:v>
                </c:pt>
                <c:pt idx="420">
                  <c:v>9.8523759482027629E-3</c:v>
                </c:pt>
                <c:pt idx="421">
                  <c:v>9.8801259795955332E-3</c:v>
                </c:pt>
                <c:pt idx="422">
                  <c:v>9.9359953436106707E-3</c:v>
                </c:pt>
                <c:pt idx="423">
                  <c:v>9.9914113491550438E-3</c:v>
                </c:pt>
                <c:pt idx="424">
                  <c:v>1.0019304002621965E-2</c:v>
                </c:pt>
                <c:pt idx="425">
                  <c:v>1.0047225180551678E-2</c:v>
                </c:pt>
                <c:pt idx="426">
                  <c:v>1.0075174882944182E-2</c:v>
                </c:pt>
                <c:pt idx="427">
                  <c:v>1.0131454484003655E-2</c:v>
                </c:pt>
                <c:pt idx="428">
                  <c:v>1.0187258937301991E-2</c:v>
                </c:pt>
                <c:pt idx="429">
                  <c:v>1.021535126208839E-2</c:v>
                </c:pt>
                <c:pt idx="430">
                  <c:v>1.0243472111417518E-2</c:v>
                </c:pt>
                <c:pt idx="431">
                  <c:v>1.0271621485209437E-2</c:v>
                </c:pt>
                <c:pt idx="432">
                  <c:v>1.0328311616385477E-2</c:v>
                </c:pt>
                <c:pt idx="433">
                  <c:v>1.038450422564452E-2</c:v>
                </c:pt>
                <c:pt idx="434">
                  <c:v>1.0412796222150078E-2</c:v>
                </c:pt>
                <c:pt idx="435">
                  <c:v>1.0441116743118428E-2</c:v>
                </c:pt>
                <c:pt idx="436">
                  <c:v>1.0469465788709442E-2</c:v>
                </c:pt>
                <c:pt idx="437">
                  <c:v>1.0526566747603994E-2</c:v>
                </c:pt>
                <c:pt idx="438">
                  <c:v>1.0583147216500777E-2</c:v>
                </c:pt>
                <c:pt idx="439">
                  <c:v>1.0611638885045238E-2</c:v>
                </c:pt>
                <c:pt idx="440">
                  <c:v>1.0640159077972555E-2</c:v>
                </c:pt>
                <c:pt idx="441">
                  <c:v>1.0726558486895854E-2</c:v>
                </c:pt>
                <c:pt idx="442">
                  <c:v>1.081187925301208E-2</c:v>
                </c:pt>
                <c:pt idx="443">
                  <c:v>1.084059911837798E-2</c:v>
                </c:pt>
                <c:pt idx="444">
                  <c:v>1.0869347508366545E-2</c:v>
                </c:pt>
                <c:pt idx="445">
                  <c:v>1.0927271034315567E-2</c:v>
                </c:pt>
                <c:pt idx="446">
                  <c:v>1.0984626315106993E-2</c:v>
                </c:pt>
                <c:pt idx="447">
                  <c:v>1.1013517328448685E-2</c:v>
                </c:pt>
                <c:pt idx="448">
                  <c:v>1.1042436866492977E-2</c:v>
                </c:pt>
                <c:pt idx="449">
                  <c:v>1.1071384929319805E-2</c:v>
                </c:pt>
                <c:pt idx="450">
                  <c:v>1.1129720203850724E-2</c:v>
                </c:pt>
                <c:pt idx="451">
                  <c:v>1.1187462427493244E-2</c:v>
                </c:pt>
                <c:pt idx="452">
                  <c:v>1.1216553113753136E-2</c:v>
                </c:pt>
                <c:pt idx="453">
                  <c:v>1.12456723248755E-2</c:v>
                </c:pt>
                <c:pt idx="454">
                  <c:v>1.1274820060700463E-2</c:v>
                </c:pt>
                <c:pt idx="455">
                  <c:v>1.1333567400226841E-2</c:v>
                </c:pt>
                <c:pt idx="456">
                  <c:v>1.1391696251665806E-2</c:v>
                </c:pt>
                <c:pt idx="457">
                  <c:v>1.1420986611243578E-2</c:v>
                </c:pt>
                <c:pt idx="458">
                  <c:v>1.1450305495763757E-2</c:v>
                </c:pt>
                <c:pt idx="459">
                  <c:v>1.1479652904986537E-2</c:v>
                </c:pt>
                <c:pt idx="460">
                  <c:v>1.1538812630584871E-2</c:v>
                </c:pt>
                <c:pt idx="461">
                  <c:v>1.159732779002276E-2</c:v>
                </c:pt>
                <c:pt idx="462">
                  <c:v>1.1626817823398028E-2</c:v>
                </c:pt>
                <c:pt idx="463">
                  <c:v>1.1656336381555832E-2</c:v>
                </c:pt>
                <c:pt idx="464">
                  <c:v>1.1685883464496172E-2</c:v>
                </c:pt>
                <c:pt idx="465">
                  <c:v>1.1760470036914494E-2</c:v>
                </c:pt>
                <c:pt idx="466">
                  <c:v>1.1834046752374761E-2</c:v>
                </c:pt>
                <c:pt idx="467">
                  <c:v>1.1863764984649805E-2</c:v>
                </c:pt>
                <c:pt idx="468">
                  <c:v>1.1893511741707385E-2</c:v>
                </c:pt>
                <c:pt idx="469">
                  <c:v>1.1953497221970366E-2</c:v>
                </c:pt>
                <c:pt idx="470">
                  <c:v>1.201278401912198E-2</c:v>
                </c:pt>
                <c:pt idx="471">
                  <c:v>1.2042673400891601E-2</c:v>
                </c:pt>
                <c:pt idx="472">
                  <c:v>1.2072591307443759E-2</c:v>
                </c:pt>
                <c:pt idx="473">
                  <c:v>1.2102537738938324E-2</c:v>
                </c:pt>
                <c:pt idx="474">
                  <c:v>1.2162936597466256E-2</c:v>
                </c:pt>
                <c:pt idx="475">
                  <c:v>1.2222608714740346E-2</c:v>
                </c:pt>
                <c:pt idx="476">
                  <c:v>1.2252697771106824E-2</c:v>
                </c:pt>
                <c:pt idx="477">
                  <c:v>1.228281535241571E-2</c:v>
                </c:pt>
                <c:pt idx="478">
                  <c:v>1.231296145874694E-2</c:v>
                </c:pt>
                <c:pt idx="479">
                  <c:v>1.2373774035934204E-2</c:v>
                </c:pt>
                <c:pt idx="480">
                  <c:v>1.2433831134135431E-2</c:v>
                </c:pt>
                <c:pt idx="481">
                  <c:v>1.2464119865578382E-2</c:v>
                </c:pt>
                <c:pt idx="482">
                  <c:v>1.2494437122043678E-2</c:v>
                </c:pt>
                <c:pt idx="483">
                  <c:v>1.2524782903531317E-2</c:v>
                </c:pt>
                <c:pt idx="484">
                  <c:v>1.2601451579259404E-2</c:v>
                </c:pt>
                <c:pt idx="485">
                  <c:v>1.2676939686784294E-2</c:v>
                </c:pt>
                <c:pt idx="486">
                  <c:v>1.2707456618725743E-2</c:v>
                </c:pt>
                <c:pt idx="487">
                  <c:v>1.2738002075689536E-2</c:v>
                </c:pt>
                <c:pt idx="488">
                  <c:v>1.2799643131202743E-2</c:v>
                </c:pt>
                <c:pt idx="489">
                  <c:v>1.2860469154727383E-2</c:v>
                </c:pt>
                <c:pt idx="490">
                  <c:v>1.2891157237282513E-2</c:v>
                </c:pt>
                <c:pt idx="491">
                  <c:v>1.2921873844859988E-2</c:v>
                </c:pt>
                <c:pt idx="492">
                  <c:v>1.2952618977779551E-2</c:v>
                </c:pt>
                <c:pt idx="493">
                  <c:v>1.3014674802951376E-2</c:v>
                </c:pt>
                <c:pt idx="494">
                  <c:v>1.3075884760720413E-2</c:v>
                </c:pt>
                <c:pt idx="495">
                  <c:v>1.3106772519391185E-2</c:v>
                </c:pt>
                <c:pt idx="496">
                  <c:v>1.3137688803244174E-2</c:v>
                </c:pt>
                <c:pt idx="497">
                  <c:v>1.3168633612199443E-2</c:v>
                </c:pt>
                <c:pt idx="498">
                  <c:v>1.3231104567381635E-2</c:v>
                </c:pt>
                <c:pt idx="499">
                  <c:v>1.3292698100562106E-2</c:v>
                </c:pt>
                <c:pt idx="500">
                  <c:v>1.33237855357482E-2</c:v>
                </c:pt>
                <c:pt idx="501">
                  <c:v>1.3354901496036575E-2</c:v>
                </c:pt>
                <c:pt idx="502">
                  <c:v>1.3386045981667039E-2</c:v>
                </c:pt>
                <c:pt idx="503">
                  <c:v>1.3448932432114091E-2</c:v>
                </c:pt>
                <c:pt idx="504">
                  <c:v>1.351089923028681E-2</c:v>
                </c:pt>
                <c:pt idx="505">
                  <c:v>1.3542126663566023E-2</c:v>
                </c:pt>
                <c:pt idx="506">
                  <c:v>1.3573322943445376E-2</c:v>
                </c:pt>
                <c:pt idx="507">
                  <c:v>1.3604488069844933E-2</c:v>
                </c:pt>
                <c:pt idx="508">
                  <c:v>1.3667233314444971E-2</c:v>
                </c:pt>
                <c:pt idx="509">
                  <c:v>1.3728837041204756E-2</c:v>
                </c:pt>
                <c:pt idx="510">
                  <c:v>1.3759846400445142E-2</c:v>
                </c:pt>
                <c:pt idx="511">
                  <c:v>1.3790824606125796E-2</c:v>
                </c:pt>
                <c:pt idx="512">
                  <c:v>1.382177165840659E-2</c:v>
                </c:pt>
                <c:pt idx="513">
                  <c:v>1.3884097349681213E-2</c:v>
                </c:pt>
                <c:pt idx="514">
                  <c:v>1.3945248332332127E-2</c:v>
                </c:pt>
                <c:pt idx="515">
                  <c:v>1.3976039617134006E-2</c:v>
                </c:pt>
                <c:pt idx="516">
                  <c:v>1.4006799748216281E-2</c:v>
                </c:pt>
                <c:pt idx="517">
                  <c:v>1.4037528725978632E-2</c:v>
                </c:pt>
                <c:pt idx="518">
                  <c:v>1.4251759269763298E-2</c:v>
                </c:pt>
                <c:pt idx="519">
                  <c:v>1.446446328728257E-2</c:v>
                </c:pt>
                <c:pt idx="520">
                  <c:v>1.4675640775578813E-2</c:v>
                </c:pt>
                <c:pt idx="521">
                  <c:v>1.4885291732174011E-2</c:v>
                </c:pt>
                <c:pt idx="522">
                  <c:v>1.5093416154190464E-2</c:v>
                </c:pt>
                <c:pt idx="523">
                  <c:v>1.5300014039230092E-2</c:v>
                </c:pt>
                <c:pt idx="524">
                  <c:v>1.5564059266965913E-2</c:v>
                </c:pt>
                <c:pt idx="525">
                  <c:v>1.5708630187267758E-2</c:v>
                </c:pt>
                <c:pt idx="526">
                  <c:v>1.5910648445229825E-2</c:v>
                </c:pt>
                <c:pt idx="527">
                  <c:v>1.6111140155663506E-2</c:v>
                </c:pt>
                <c:pt idx="528">
                  <c:v>1.6310105316010848E-2</c:v>
                </c:pt>
                <c:pt idx="529">
                  <c:v>1.6507543923873769E-2</c:v>
                </c:pt>
                <c:pt idx="530">
                  <c:v>1.6703455976534443E-2</c:v>
                </c:pt>
                <c:pt idx="531">
                  <c:v>1.6897841471594788E-2</c:v>
                </c:pt>
                <c:pt idx="532">
                  <c:v>1.7090700406656723E-2</c:v>
                </c:pt>
                <c:pt idx="533">
                  <c:v>1.7282032779082357E-2</c:v>
                </c:pt>
                <c:pt idx="534">
                  <c:v>1.7471838586553545E-2</c:v>
                </c:pt>
                <c:pt idx="535">
                  <c:v>1.7660117826752142E-2</c:v>
                </c:pt>
                <c:pt idx="536">
                  <c:v>1.7846870497200129E-2</c:v>
                </c:pt>
                <c:pt idx="537">
                  <c:v>1.8032096595419489E-2</c:v>
                </c:pt>
                <c:pt idx="538">
                  <c:v>1.8215796119172012E-2</c:v>
                </c:pt>
                <c:pt idx="539">
                  <c:v>1.8397969066139552E-2</c:v>
                </c:pt>
                <c:pt idx="540">
                  <c:v>1.8578615433924028E-2</c:v>
                </c:pt>
                <c:pt idx="541">
                  <c:v>1.8884743281795124E-2</c:v>
                </c:pt>
                <c:pt idx="542">
                  <c:v>1.898677985389341E-2</c:v>
                </c:pt>
                <c:pt idx="543">
                  <c:v>1.911139503947723E-2</c:v>
                </c:pt>
                <c:pt idx="544">
                  <c:v>1.9285935067827609E-2</c:v>
                </c:pt>
                <c:pt idx="545">
                  <c:v>1.9458948505803875E-2</c:v>
                </c:pt>
                <c:pt idx="546">
                  <c:v>1.9630435351007947E-2</c:v>
                </c:pt>
                <c:pt idx="547">
                  <c:v>1.9800395601521359E-2</c:v>
                </c:pt>
                <c:pt idx="548">
                  <c:v>1.996882925494603E-2</c:v>
                </c:pt>
                <c:pt idx="549">
                  <c:v>2.0135736309283558E-2</c:v>
                </c:pt>
                <c:pt idx="550">
                  <c:v>2.0301116762375671E-2</c:v>
                </c:pt>
                <c:pt idx="551">
                  <c:v>2.0464970612064093E-2</c:v>
                </c:pt>
                <c:pt idx="552">
                  <c:v>2.0627297856350424E-2</c:v>
                </c:pt>
                <c:pt idx="553">
                  <c:v>2.0788098493156326E-2</c:v>
                </c:pt>
                <c:pt idx="554">
                  <c:v>2.0947372520323526E-2</c:v>
                </c:pt>
                <c:pt idx="555">
                  <c:v>2.1105119935933558E-2</c:v>
                </c:pt>
                <c:pt idx="556">
                  <c:v>2.1308185687139769E-2</c:v>
                </c:pt>
                <c:pt idx="557">
                  <c:v>2.1503746182345296E-2</c:v>
                </c:pt>
                <c:pt idx="558">
                  <c:v>2.1677673234785644E-2</c:v>
                </c:pt>
                <c:pt idx="559">
                  <c:v>2.1806809991993248E-2</c:v>
                </c:pt>
                <c:pt idx="560">
                  <c:v>2.1956051964053813E-2</c:v>
                </c:pt>
                <c:pt idx="561">
                  <c:v>2.2103767311687506E-2</c:v>
                </c:pt>
                <c:pt idx="562">
                  <c:v>2.2270715513350581E-2</c:v>
                </c:pt>
                <c:pt idx="563">
                  <c:v>2.2394618126080346E-2</c:v>
                </c:pt>
                <c:pt idx="564">
                  <c:v>2.2537753589242371E-2</c:v>
                </c:pt>
                <c:pt idx="565">
                  <c:v>2.2679362420623406E-2</c:v>
                </c:pt>
                <c:pt idx="566">
                  <c:v>2.2819445329176347E-2</c:v>
                </c:pt>
                <c:pt idx="567">
                  <c:v>2.2958120307077223E-2</c:v>
                </c:pt>
                <c:pt idx="568">
                  <c:v>2.3095477625236782E-2</c:v>
                </c:pt>
                <c:pt idx="569">
                  <c:v>2.3231517282216174E-2</c:v>
                </c:pt>
                <c:pt idx="570">
                  <c:v>2.3366239276496614E-2</c:v>
                </c:pt>
                <c:pt idx="571">
                  <c:v>2.3499643606479381E-2</c:v>
                </c:pt>
                <c:pt idx="572">
                  <c:v>2.3631730270885498E-2</c:v>
                </c:pt>
                <c:pt idx="573">
                  <c:v>2.3762499268036308E-2</c:v>
                </c:pt>
                <c:pt idx="574">
                  <c:v>2.3891950596732769E-2</c:v>
                </c:pt>
                <c:pt idx="575">
                  <c:v>2.4038281498848235E-2</c:v>
                </c:pt>
                <c:pt idx="576">
                  <c:v>2.4146900242687508E-2</c:v>
                </c:pt>
                <c:pt idx="577">
                  <c:v>2.4272398557227959E-2</c:v>
                </c:pt>
                <c:pt idx="578">
                  <c:v>2.4396579197638601E-2</c:v>
                </c:pt>
                <c:pt idx="579">
                  <c:v>2.4519442162480587E-2</c:v>
                </c:pt>
                <c:pt idx="580">
                  <c:v>2.4640987450474938E-2</c:v>
                </c:pt>
                <c:pt idx="581">
                  <c:v>2.4761215060262742E-2</c:v>
                </c:pt>
                <c:pt idx="582">
                  <c:v>2.4880124990565022E-2</c:v>
                </c:pt>
                <c:pt idx="583">
                  <c:v>2.4997717240022865E-2</c:v>
                </c:pt>
                <c:pt idx="584">
                  <c:v>2.5113991807277358E-2</c:v>
                </c:pt>
                <c:pt idx="585">
                  <c:v>2.5228948691209396E-2</c:v>
                </c:pt>
                <c:pt idx="586">
                  <c:v>2.5342587890540003E-2</c:v>
                </c:pt>
                <c:pt idx="587">
                  <c:v>2.5454909403830328E-2</c:v>
                </c:pt>
                <c:pt idx="588">
                  <c:v>2.5565913230041204E-2</c:v>
                </c:pt>
                <c:pt idx="589">
                  <c:v>2.5675599367893653E-2</c:v>
                </c:pt>
                <c:pt idx="590">
                  <c:v>2.5783967816188635E-2</c:v>
                </c:pt>
                <c:pt idx="591">
                  <c:v>2.5891018573727109E-2</c:v>
                </c:pt>
                <c:pt idx="592">
                  <c:v>2.6026719061453818E-2</c:v>
                </c:pt>
                <c:pt idx="593">
                  <c:v>2.6130757949998085E-2</c:v>
                </c:pt>
                <c:pt idx="594">
                  <c:v>2.6218885362965239E-2</c:v>
                </c:pt>
                <c:pt idx="595">
                  <c:v>2.6320477103585205E-2</c:v>
                </c:pt>
                <c:pt idx="596">
                  <c:v>2.6420751147613331E-2</c:v>
                </c:pt>
                <c:pt idx="597">
                  <c:v>2.6519707493850575E-2</c:v>
                </c:pt>
                <c:pt idx="598">
                  <c:v>2.6617346141257769E-2</c:v>
                </c:pt>
                <c:pt idx="599">
                  <c:v>2.6713667088795745E-2</c:v>
                </c:pt>
                <c:pt idx="600">
                  <c:v>2.6808670335345397E-2</c:v>
                </c:pt>
                <c:pt idx="601">
                  <c:v>2.6902355879867557E-2</c:v>
                </c:pt>
                <c:pt idx="602">
                  <c:v>2.6994723721402991E-2</c:v>
                </c:pt>
                <c:pt idx="603">
                  <c:v>2.7085773858832596E-2</c:v>
                </c:pt>
                <c:pt idx="604">
                  <c:v>2.7175506291277074E-2</c:v>
                </c:pt>
                <c:pt idx="605">
                  <c:v>2.7263921017697257E-2</c:v>
                </c:pt>
                <c:pt idx="606">
                  <c:v>2.7375660871786778E-2</c:v>
                </c:pt>
                <c:pt idx="607">
                  <c:v>2.7436797348467934E-2</c:v>
                </c:pt>
                <c:pt idx="608">
                  <c:v>2.7521258950979899E-2</c:v>
                </c:pt>
                <c:pt idx="609">
                  <c:v>2.7604402843710574E-2</c:v>
                </c:pt>
                <c:pt idx="610">
                  <c:v>2.768622902562079E-2</c:v>
                </c:pt>
                <c:pt idx="611">
                  <c:v>2.7778131137621287E-2</c:v>
                </c:pt>
                <c:pt idx="612">
                  <c:v>2.7845928253782404E-2</c:v>
                </c:pt>
                <c:pt idx="613">
                  <c:v>2.7923801298115336E-2</c:v>
                </c:pt>
                <c:pt idx="614">
                  <c:v>2.8011185535401495E-2</c:v>
                </c:pt>
                <c:pt idx="615">
                  <c:v>2.8075594243368585E-2</c:v>
                </c:pt>
                <c:pt idx="616">
                  <c:v>2.8149514142530307E-2</c:v>
                </c:pt>
                <c:pt idx="617">
                  <c:v>2.8222116324876367E-2</c:v>
                </c:pt>
                <c:pt idx="618">
                  <c:v>2.8293404166745972E-2</c:v>
                </c:pt>
                <c:pt idx="619">
                  <c:v>2.8363938235571595E-2</c:v>
                </c:pt>
                <c:pt idx="620">
                  <c:v>2.843414739981398E-2</c:v>
                </c:pt>
                <c:pt idx="621">
                  <c:v>2.8504031659153384E-2</c:v>
                </c:pt>
                <c:pt idx="622">
                  <c:v>2.8573591013509869E-2</c:v>
                </c:pt>
                <c:pt idx="623">
                  <c:v>2.8642825462643628E-2</c:v>
                </c:pt>
                <c:pt idx="624">
                  <c:v>2.871173500639479E-2</c:v>
                </c:pt>
                <c:pt idx="625">
                  <c:v>2.8780319644523544E-2</c:v>
                </c:pt>
                <c:pt idx="626">
                  <c:v>2.884857937687002E-2</c:v>
                </c:pt>
                <c:pt idx="627">
                  <c:v>2.8926192655474026E-2</c:v>
                </c:pt>
                <c:pt idx="628">
                  <c:v>2.8984124123416777E-2</c:v>
                </c:pt>
                <c:pt idx="629">
                  <c:v>2.9051409137297313E-2</c:v>
                </c:pt>
                <c:pt idx="630">
                  <c:v>2.9118369244676146E-2</c:v>
                </c:pt>
                <c:pt idx="631">
                  <c:v>2.9185004445393403E-2</c:v>
                </c:pt>
                <c:pt idx="632">
                  <c:v>2.9251314739129342E-2</c:v>
                </c:pt>
                <c:pt idx="633">
                  <c:v>2.9317300125883961E-2</c:v>
                </c:pt>
                <c:pt idx="634">
                  <c:v>2.9382960605417452E-2</c:v>
                </c:pt>
                <c:pt idx="635">
                  <c:v>2.9448296177490008E-2</c:v>
                </c:pt>
                <c:pt idx="636">
                  <c:v>2.9513306841941755E-2</c:v>
                </c:pt>
                <c:pt idx="637">
                  <c:v>2.9577992598692759E-2</c:v>
                </c:pt>
                <c:pt idx="638">
                  <c:v>2.9642353447503211E-2</c:v>
                </c:pt>
                <c:pt idx="639">
                  <c:v>2.9706389388213239E-2</c:v>
                </c:pt>
                <c:pt idx="640">
                  <c:v>2.9770100420583034E-2</c:v>
                </c:pt>
                <c:pt idx="641">
                  <c:v>2.9833486544532661E-2</c:v>
                </c:pt>
                <c:pt idx="642">
                  <c:v>2.9896547759822312E-2</c:v>
                </c:pt>
                <c:pt idx="643">
                  <c:v>2.9959284066292113E-2</c:v>
                </c:pt>
                <c:pt idx="644">
                  <c:v>3.0039467614493276E-2</c:v>
                </c:pt>
                <c:pt idx="645">
                  <c:v>3.0101461271661023E-2</c:v>
                </c:pt>
                <c:pt idx="646">
                  <c:v>3.0154340090744469E-2</c:v>
                </c:pt>
                <c:pt idx="647">
                  <c:v>3.0215730344744784E-2</c:v>
                </c:pt>
                <c:pt idx="648">
                  <c:v>3.0276795688966018E-2</c:v>
                </c:pt>
                <c:pt idx="649">
                  <c:v>3.0337536123328235E-2</c:v>
                </c:pt>
                <c:pt idx="650">
                  <c:v>3.0397951647831434E-2</c:v>
                </c:pt>
                <c:pt idx="651">
                  <c:v>3.0458042262075935E-2</c:v>
                </c:pt>
                <c:pt idx="652">
                  <c:v>3.0517807965981802E-2</c:v>
                </c:pt>
                <c:pt idx="653">
                  <c:v>3.05772487594691E-2</c:v>
                </c:pt>
                <c:pt idx="654">
                  <c:v>3.063636464229802E-2</c:v>
                </c:pt>
                <c:pt idx="655">
                  <c:v>3.0695155614308689E-2</c:v>
                </c:pt>
                <c:pt idx="656">
                  <c:v>3.0753621675341236E-2</c:v>
                </c:pt>
                <c:pt idx="657">
                  <c:v>3.0811762825235789E-2</c:v>
                </c:pt>
                <c:pt idx="658">
                  <c:v>3.0869579063912411E-2</c:v>
                </c:pt>
                <c:pt idx="659">
                  <c:v>3.0927070391131295E-2</c:v>
                </c:pt>
                <c:pt idx="660">
                  <c:v>3.0984236806732568E-2</c:v>
                </c:pt>
                <c:pt idx="661">
                  <c:v>3.1068018067861303E-2</c:v>
                </c:pt>
                <c:pt idx="662">
                  <c:v>3.1097594902522729E-2</c:v>
                </c:pt>
                <c:pt idx="663">
                  <c:v>3.1161787441806865E-2</c:v>
                </c:pt>
                <c:pt idx="664">
                  <c:v>3.1209653350083855E-2</c:v>
                </c:pt>
                <c:pt idx="665">
                  <c:v>3.12651952054388E-2</c:v>
                </c:pt>
                <c:pt idx="666">
                  <c:v>3.132827375949887E-2</c:v>
                </c:pt>
                <c:pt idx="667">
                  <c:v>3.1375304178418162E-2</c:v>
                </c:pt>
                <c:pt idx="668">
                  <c:v>3.1429871295802769E-2</c:v>
                </c:pt>
                <c:pt idx="669">
                  <c:v>3.1484113500210853E-2</c:v>
                </c:pt>
                <c:pt idx="670">
                  <c:v>3.1538031016902224E-2</c:v>
                </c:pt>
                <c:pt idx="671">
                  <c:v>3.1591661271859195E-2</c:v>
                </c:pt>
                <c:pt idx="672">
                  <c:v>3.1645032897937853E-2</c:v>
                </c:pt>
                <c:pt idx="673">
                  <c:v>3.1698145895138197E-2</c:v>
                </c:pt>
                <c:pt idx="674">
                  <c:v>3.1751000263220419E-2</c:v>
                </c:pt>
                <c:pt idx="675">
                  <c:v>3.1803596002024648E-2</c:v>
                </c:pt>
                <c:pt idx="676">
                  <c:v>3.1855933111630819E-2</c:v>
                </c:pt>
                <c:pt idx="677">
                  <c:v>3.1908011591799124E-2</c:v>
                </c:pt>
                <c:pt idx="678">
                  <c:v>3.1959831442449627E-2</c:v>
                </c:pt>
                <c:pt idx="679">
                  <c:v>3.2018737439569733E-2</c:v>
                </c:pt>
                <c:pt idx="680">
                  <c:v>3.2062695254797546E-2</c:v>
                </c:pt>
                <c:pt idx="681">
                  <c:v>3.2113739216175219E-2</c:v>
                </c:pt>
                <c:pt idx="682">
                  <c:v>3.2164524547715345E-2</c:v>
                </c:pt>
                <c:pt idx="683">
                  <c:v>3.2215051249098181E-2</c:v>
                </c:pt>
                <c:pt idx="684">
                  <c:v>3.226531932024379E-2</c:v>
                </c:pt>
                <c:pt idx="685">
                  <c:v>3.2315328761152173E-2</c:v>
                </c:pt>
                <c:pt idx="686">
                  <c:v>3.2365079571743394E-2</c:v>
                </c:pt>
                <c:pt idx="687">
                  <c:v>3.2414571751697707E-2</c:v>
                </c:pt>
                <c:pt idx="688">
                  <c:v>3.246380530109505E-2</c:v>
                </c:pt>
                <c:pt idx="689">
                  <c:v>3.251278021977555E-2</c:v>
                </c:pt>
                <c:pt idx="690">
                  <c:v>3.2561496507659271E-2</c:v>
                </c:pt>
                <c:pt idx="691">
                  <c:v>3.2609954164586341E-2</c:v>
                </c:pt>
                <c:pt idx="692">
                  <c:v>3.2658153190476824E-2</c:v>
                </c:pt>
                <c:pt idx="693">
                  <c:v>3.2706093585250784E-2</c:v>
                </c:pt>
                <c:pt idx="694">
                  <c:v>3.2753775348748349E-2</c:v>
                </c:pt>
                <c:pt idx="695">
                  <c:v>3.2801198480889582E-2</c:v>
                </c:pt>
                <c:pt idx="696">
                  <c:v>3.2871496436932546E-2</c:v>
                </c:pt>
                <c:pt idx="697">
                  <c:v>3.2918300015358781E-2</c:v>
                </c:pt>
                <c:pt idx="698">
                  <c:v>3.2948558866623401E-2</c:v>
                </c:pt>
                <c:pt idx="699">
                  <c:v>3.2994910525054877E-2</c:v>
                </c:pt>
                <c:pt idx="700">
                  <c:v>3.3041003551490533E-2</c:v>
                </c:pt>
                <c:pt idx="701">
                  <c:v>3.3086837946090242E-2</c:v>
                </c:pt>
                <c:pt idx="702">
                  <c:v>3.3132413708534258E-2</c:v>
                </c:pt>
                <c:pt idx="703">
                  <c:v>3.3177730838902519E-2</c:v>
                </c:pt>
                <c:pt idx="704">
                  <c:v>3.3222789336955216E-2</c:v>
                </c:pt>
                <c:pt idx="705">
                  <c:v>3.3267589202692349E-2</c:v>
                </c:pt>
                <c:pt idx="706">
                  <c:v>3.3312130435954046E-2</c:v>
                </c:pt>
                <c:pt idx="707">
                  <c:v>3.3356413036740307E-2</c:v>
                </c:pt>
                <c:pt idx="708">
                  <c:v>3.3400437004731387E-2</c:v>
                </c:pt>
                <c:pt idx="709">
                  <c:v>3.3444202340087159E-2</c:v>
                </c:pt>
                <c:pt idx="710">
                  <c:v>3.3487709042647751E-2</c:v>
                </c:pt>
                <c:pt idx="711">
                  <c:v>3.3549512338920451E-2</c:v>
                </c:pt>
                <c:pt idx="712">
                  <c:v>3.3598395820151339E-2</c:v>
                </c:pt>
                <c:pt idx="713">
                  <c:v>3.3640978833187063E-2</c:v>
                </c:pt>
                <c:pt idx="714">
                  <c:v>3.3689328440065225E-2</c:v>
                </c:pt>
                <c:pt idx="715">
                  <c:v>3.3725368959514057E-2</c:v>
                </c:pt>
                <c:pt idx="716">
                  <c:v>3.3767176072485583E-2</c:v>
                </c:pt>
                <c:pt idx="717">
                  <c:v>3.3814638936124908E-2</c:v>
                </c:pt>
                <c:pt idx="718">
                  <c:v>3.385001439788482E-2</c:v>
                </c:pt>
                <c:pt idx="719">
                  <c:v>3.3891045610072723E-2</c:v>
                </c:pt>
                <c:pt idx="720">
                  <c:v>3.3931818188426277E-2</c:v>
                </c:pt>
                <c:pt idx="721">
                  <c:v>3.3972332132945482E-2</c:v>
                </c:pt>
                <c:pt idx="722">
                  <c:v>3.4012590139713694E-2</c:v>
                </c:pt>
                <c:pt idx="723">
                  <c:v>3.4052608240067173E-2</c:v>
                </c:pt>
                <c:pt idx="724">
                  <c:v>3.4092389130249146E-2</c:v>
                </c:pt>
                <c:pt idx="725">
                  <c:v>3.4131932810259613E-2</c:v>
                </c:pt>
                <c:pt idx="726">
                  <c:v>3.4171239279858767E-2</c:v>
                </c:pt>
                <c:pt idx="727">
                  <c:v>3.4210308538966672E-2</c:v>
                </c:pt>
                <c:pt idx="728">
                  <c:v>3.4249140587583327E-2</c:v>
                </c:pt>
                <c:pt idx="729">
                  <c:v>3.4287735425628796E-2</c:v>
                </c:pt>
                <c:pt idx="730">
                  <c:v>3.4326093053023143E-2</c:v>
                </c:pt>
                <c:pt idx="731">
                  <c:v>3.4369639879407998E-2</c:v>
                </c:pt>
                <c:pt idx="732">
                  <c:v>3.4402096675538729E-2</c:v>
                </c:pt>
                <c:pt idx="733">
                  <c:v>3.4439742670420159E-2</c:v>
                </c:pt>
                <c:pt idx="734">
                  <c:v>3.4477151454490595E-2</c:v>
                </c:pt>
                <c:pt idx="735">
                  <c:v>3.4514323027430294E-2</c:v>
                </c:pt>
                <c:pt idx="736">
                  <c:v>3.4551257389239254E-2</c:v>
                </c:pt>
                <c:pt idx="737">
                  <c:v>3.4587954539917476E-2</c:v>
                </c:pt>
                <c:pt idx="738">
                  <c:v>3.4624414479305088E-2</c:v>
                </c:pt>
                <c:pt idx="739">
                  <c:v>3.4660637207322154E-2</c:v>
                </c:pt>
                <c:pt idx="740">
                  <c:v>3.4696622724048609E-2</c:v>
                </c:pt>
                <c:pt idx="741">
                  <c:v>3.4732371029244646E-2</c:v>
                </c:pt>
                <c:pt idx="742">
                  <c:v>3.4767882122910265E-2</c:v>
                </c:pt>
                <c:pt idx="743">
                  <c:v>3.480315600496553E-2</c:v>
                </c:pt>
                <c:pt idx="744">
                  <c:v>3.4838192675330504E-2</c:v>
                </c:pt>
                <c:pt idx="745">
                  <c:v>3.4872992133845315E-2</c:v>
                </c:pt>
                <c:pt idx="746">
                  <c:v>3.4907554380669836E-2</c:v>
                </c:pt>
                <c:pt idx="747">
                  <c:v>3.4941879415644195E-2</c:v>
                </c:pt>
                <c:pt idx="748">
                  <c:v>3.4985663046924742E-2</c:v>
                </c:pt>
                <c:pt idx="749">
                  <c:v>3.5014634286811841E-2</c:v>
                </c:pt>
                <c:pt idx="750">
                  <c:v>3.504343124834719E-2</c:v>
                </c:pt>
                <c:pt idx="751">
                  <c:v>3.5076807434961665E-2</c:v>
                </c:pt>
                <c:pt idx="752">
                  <c:v>3.5109946409406234E-2</c:v>
                </c:pt>
                <c:pt idx="753">
                  <c:v>3.514284817160096E-2</c:v>
                </c:pt>
                <c:pt idx="754">
                  <c:v>3.5175512721385971E-2</c:v>
                </c:pt>
                <c:pt idx="755">
                  <c:v>3.5207940058841203E-2</c:v>
                </c:pt>
                <c:pt idx="756">
                  <c:v>3.5240130183726848E-2</c:v>
                </c:pt>
                <c:pt idx="757">
                  <c:v>3.5272083096042905E-2</c:v>
                </c:pt>
                <c:pt idx="758">
                  <c:v>3.5303798795869312E-2</c:v>
                </c:pt>
                <c:pt idx="759">
                  <c:v>3.5335277282886324E-2</c:v>
                </c:pt>
                <c:pt idx="760">
                  <c:v>3.5366518557333748E-2</c:v>
                </c:pt>
                <c:pt idx="761">
                  <c:v>3.5397522618891841E-2</c:v>
                </c:pt>
                <c:pt idx="762">
                  <c:v>3.5437036426078095E-2</c:v>
                </c:pt>
                <c:pt idx="763">
                  <c:v>3.5458819103340034E-2</c:v>
                </c:pt>
                <c:pt idx="764">
                  <c:v>3.5489111526150197E-2</c:v>
                </c:pt>
                <c:pt idx="765">
                  <c:v>3.5519166735991092E-2</c:v>
                </c:pt>
                <c:pt idx="766">
                  <c:v>3.5553225082134432E-2</c:v>
                </c:pt>
                <c:pt idx="767">
                  <c:v>3.5578565516125593E-2</c:v>
                </c:pt>
                <c:pt idx="768">
                  <c:v>3.5607909086419198E-2</c:v>
                </c:pt>
                <c:pt idx="769">
                  <c:v>3.5637015443503728E-2</c:v>
                </c:pt>
                <c:pt idx="770">
                  <c:v>3.5669989386200029E-2</c:v>
                </c:pt>
                <c:pt idx="771">
                  <c:v>3.5694516517486008E-2</c:v>
                </c:pt>
                <c:pt idx="772">
                  <c:v>3.5722911234383758E-2</c:v>
                </c:pt>
                <c:pt idx="773">
                  <c:v>3.5751068737752689E-2</c:v>
                </c:pt>
                <c:pt idx="774">
                  <c:v>3.5778989460766297E-2</c:v>
                </c:pt>
                <c:pt idx="775">
                  <c:v>3.5806745311184329E-2</c:v>
                </c:pt>
                <c:pt idx="776">
                  <c:v>3.583439130292021E-2</c:v>
                </c:pt>
                <c:pt idx="777">
                  <c:v>3.5861927435814067E-2</c:v>
                </c:pt>
                <c:pt idx="778">
                  <c:v>3.5889353709945837E-2</c:v>
                </c:pt>
                <c:pt idx="779">
                  <c:v>3.591667012531552E-2</c:v>
                </c:pt>
                <c:pt idx="780">
                  <c:v>3.5943876681763243E-2</c:v>
                </c:pt>
                <c:pt idx="781">
                  <c:v>3.5970973379368942E-2</c:v>
                </c:pt>
                <c:pt idx="782">
                  <c:v>3.5997960218132619E-2</c:v>
                </c:pt>
                <c:pt idx="783">
                  <c:v>3.6028667798451153E-2</c:v>
                </c:pt>
                <c:pt idx="784">
                  <c:v>3.6051604318814157E-2</c:v>
                </c:pt>
                <c:pt idx="785">
                  <c:v>3.6078261580732018E-2</c:v>
                </c:pt>
                <c:pt idx="786">
                  <c:v>3.6104808983727921E-2</c:v>
                </c:pt>
                <c:pt idx="787">
                  <c:v>3.6131246527562055E-2</c:v>
                </c:pt>
                <c:pt idx="788">
                  <c:v>3.6157574212474231E-2</c:v>
                </c:pt>
                <c:pt idx="789">
                  <c:v>3.6183792038304574E-2</c:v>
                </c:pt>
                <c:pt idx="790">
                  <c:v>3.6209900005053086E-2</c:v>
                </c:pt>
                <c:pt idx="791">
                  <c:v>3.6235898112639831E-2</c:v>
                </c:pt>
                <c:pt idx="792">
                  <c:v>3.6261786361144743E-2</c:v>
                </c:pt>
                <c:pt idx="793">
                  <c:v>3.6287564750487888E-2</c:v>
                </c:pt>
                <c:pt idx="794">
                  <c:v>3.6313233280669266E-2</c:v>
                </c:pt>
                <c:pt idx="795">
                  <c:v>3.633879195160894E-2</c:v>
                </c:pt>
                <c:pt idx="796">
                  <c:v>3.6364240763386846E-2</c:v>
                </c:pt>
                <c:pt idx="797">
                  <c:v>3.6389579715843112E-2</c:v>
                </c:pt>
                <c:pt idx="798">
                  <c:v>3.6414808808977739E-2</c:v>
                </c:pt>
                <c:pt idx="799">
                  <c:v>3.6439928042950598E-2</c:v>
                </c:pt>
                <c:pt idx="800">
                  <c:v>3.6472062774866032E-2</c:v>
                </c:pt>
                <c:pt idx="801">
                  <c:v>3.6496930901783742E-2</c:v>
                </c:pt>
                <c:pt idx="802">
                  <c:v>3.651815899994304E-2</c:v>
                </c:pt>
                <c:pt idx="803">
                  <c:v>3.6542823102223565E-2</c:v>
                </c:pt>
                <c:pt idx="804">
                  <c:v>3.656737734518245E-2</c:v>
                </c:pt>
                <c:pt idx="805">
                  <c:v>3.6591821728579887E-2</c:v>
                </c:pt>
                <c:pt idx="806">
                  <c:v>3.6616156252575749E-2</c:v>
                </c:pt>
                <c:pt idx="807">
                  <c:v>3.6640380917090098E-2</c:v>
                </c:pt>
                <c:pt idx="808">
                  <c:v>3.6664495722043E-2</c:v>
                </c:pt>
                <c:pt idx="809">
                  <c:v>3.6688500667594326E-2</c:v>
                </c:pt>
                <c:pt idx="810">
                  <c:v>3.6712395753504268E-2</c:v>
                </c:pt>
                <c:pt idx="811">
                  <c:v>3.6736180979852762E-2</c:v>
                </c:pt>
                <c:pt idx="812">
                  <c:v>3.6759856346639808E-2</c:v>
                </c:pt>
                <c:pt idx="813">
                  <c:v>3.678342185378547E-2</c:v>
                </c:pt>
                <c:pt idx="814">
                  <c:v>3.6806877501289748E-2</c:v>
                </c:pt>
                <c:pt idx="815">
                  <c:v>3.6830223289232578E-2</c:v>
                </c:pt>
                <c:pt idx="816">
                  <c:v>3.6860077875795483E-2</c:v>
                </c:pt>
                <c:pt idx="817">
                  <c:v>3.6876585285874341E-2</c:v>
                </c:pt>
                <c:pt idx="818">
                  <c:v>3.6902880556395345E-2</c:v>
                </c:pt>
                <c:pt idx="819">
                  <c:v>3.6922507843710761E-2</c:v>
                </c:pt>
                <c:pt idx="820">
                  <c:v>3.6945304332967055E-2</c:v>
                </c:pt>
                <c:pt idx="821">
                  <c:v>3.6967990962502029E-2</c:v>
                </c:pt>
                <c:pt idx="822">
                  <c:v>3.6993784016834397E-2</c:v>
                </c:pt>
                <c:pt idx="823">
                  <c:v>3.7013034642088272E-2</c:v>
                </c:pt>
                <c:pt idx="824">
                  <c:v>3.7035391692139541E-2</c:v>
                </c:pt>
                <c:pt idx="825">
                  <c:v>3.7057638882309618E-2</c:v>
                </c:pt>
                <c:pt idx="826">
                  <c:v>3.7079775656803093E-2</c:v>
                </c:pt>
                <c:pt idx="827">
                  <c:v>3.7101786453908048E-2</c:v>
                </c:pt>
                <c:pt idx="828">
                  <c:v>3.7123664048603899E-2</c:v>
                </c:pt>
                <c:pt idx="829">
                  <c:v>3.7145408440890648E-2</c:v>
                </c:pt>
                <c:pt idx="830">
                  <c:v>3.7167019630608422E-2</c:v>
                </c:pt>
                <c:pt idx="831">
                  <c:v>3.7188497617837157E-2</c:v>
                </c:pt>
                <c:pt idx="832">
                  <c:v>3.7209842402496918E-2</c:v>
                </c:pt>
                <c:pt idx="833">
                  <c:v>3.7231053984587703E-2</c:v>
                </c:pt>
                <c:pt idx="834">
                  <c:v>3.7252132364109514E-2</c:v>
                </c:pt>
                <c:pt idx="835">
                  <c:v>3.7276058835473691E-2</c:v>
                </c:pt>
                <c:pt idx="836">
                  <c:v>3.7293889515286338E-2</c:v>
                </c:pt>
                <c:pt idx="837">
                  <c:v>3.7314568286941352E-2</c:v>
                </c:pt>
                <c:pt idx="838">
                  <c:v>3.7335113855787583E-2</c:v>
                </c:pt>
                <c:pt idx="839">
                  <c:v>3.7355526221984903E-2</c:v>
                </c:pt>
                <c:pt idx="840">
                  <c:v>3.7375805385533312E-2</c:v>
                </c:pt>
                <c:pt idx="841">
                  <c:v>3.7395951346272938E-2</c:v>
                </c:pt>
                <c:pt idx="842">
                  <c:v>3.741596410420378E-2</c:v>
                </c:pt>
                <c:pt idx="843">
                  <c:v>3.743584365932584E-2</c:v>
                </c:pt>
                <c:pt idx="844">
                  <c:v>3.7455590011719053E-2</c:v>
                </c:pt>
                <c:pt idx="845">
                  <c:v>3.7475203161143611E-2</c:v>
                </c:pt>
                <c:pt idx="846">
                  <c:v>3.7494683107839322E-2</c:v>
                </c:pt>
                <c:pt idx="847">
                  <c:v>3.7514029851566377E-2</c:v>
                </c:pt>
                <c:pt idx="848">
                  <c:v>3.7533243392404714E-2</c:v>
                </c:pt>
                <c:pt idx="849">
                  <c:v>3.7552323730354331E-2</c:v>
                </c:pt>
                <c:pt idx="850">
                  <c:v>3.7571270865335293E-2</c:v>
                </c:pt>
                <c:pt idx="851">
                  <c:v>3.75900847973476E-2</c:v>
                </c:pt>
                <c:pt idx="852">
                  <c:v>3.7614078411722929E-2</c:v>
                </c:pt>
                <c:pt idx="853">
                  <c:v>3.7629951825266517E-2</c:v>
                </c:pt>
                <c:pt idx="854">
                  <c:v>3.7645727375412719E-2</c:v>
                </c:pt>
                <c:pt idx="855">
                  <c:v>3.7664008495310597E-2</c:v>
                </c:pt>
                <c:pt idx="856">
                  <c:v>3.7682156412159884E-2</c:v>
                </c:pt>
                <c:pt idx="857">
                  <c:v>3.770017112596058E-2</c:v>
                </c:pt>
                <c:pt idx="858">
                  <c:v>3.7718052636552812E-2</c:v>
                </c:pt>
                <c:pt idx="859">
                  <c:v>3.7735800944096454E-2</c:v>
                </c:pt>
                <c:pt idx="860">
                  <c:v>3.7753416048511568E-2</c:v>
                </c:pt>
                <c:pt idx="861">
                  <c:v>3.7770897949718218E-2</c:v>
                </c:pt>
                <c:pt idx="862">
                  <c:v>3.778824664763647E-2</c:v>
                </c:pt>
                <c:pt idx="863">
                  <c:v>3.780546214250613E-2</c:v>
                </c:pt>
                <c:pt idx="864">
                  <c:v>3.7822544434087391E-2</c:v>
                </c:pt>
                <c:pt idx="865">
                  <c:v>3.7839493522380252E-2</c:v>
                </c:pt>
                <c:pt idx="866">
                  <c:v>3.785630940746465E-2</c:v>
                </c:pt>
                <c:pt idx="867">
                  <c:v>3.7877734103801686E-2</c:v>
                </c:pt>
                <c:pt idx="868">
                  <c:v>3.7889541567688312E-2</c:v>
                </c:pt>
                <c:pt idx="869">
                  <c:v>3.7905957842827576E-2</c:v>
                </c:pt>
                <c:pt idx="870">
                  <c:v>3.7924556194086634E-2</c:v>
                </c:pt>
                <c:pt idx="871">
                  <c:v>3.7938390783081033E-2</c:v>
                </c:pt>
                <c:pt idx="872">
                  <c:v>3.7954407448195226E-2</c:v>
                </c:pt>
                <c:pt idx="873">
                  <c:v>3.7970290909861149E-2</c:v>
                </c:pt>
                <c:pt idx="874">
                  <c:v>3.7988280331333613E-2</c:v>
                </c:pt>
                <c:pt idx="875">
                  <c:v>3.800165822300805E-2</c:v>
                </c:pt>
                <c:pt idx="876">
                  <c:v>3.8017142074409094E-2</c:v>
                </c:pt>
                <c:pt idx="877">
                  <c:v>3.8032492722361866E-2</c:v>
                </c:pt>
                <c:pt idx="878">
                  <c:v>3.8047717427218686E-2</c:v>
                </c:pt>
                <c:pt idx="879">
                  <c:v>3.8063019481882066E-2</c:v>
                </c:pt>
                <c:pt idx="880">
                  <c:v>3.807849327229107E-2</c:v>
                </c:pt>
                <c:pt idx="881">
                  <c:v>3.8094138798445698E-2</c:v>
                </c:pt>
                <c:pt idx="882">
                  <c:v>3.8109956060425887E-2</c:v>
                </c:pt>
                <c:pt idx="883">
                  <c:v>3.81259450581517E-2</c:v>
                </c:pt>
                <c:pt idx="884">
                  <c:v>3.8142105791623138E-2</c:v>
                </c:pt>
                <c:pt idx="885">
                  <c:v>3.8158438261080008E-2</c:v>
                </c:pt>
                <c:pt idx="886">
                  <c:v>3.8174942466362438E-2</c:v>
                </c:pt>
                <c:pt idx="887">
                  <c:v>3.8194014703991641E-2</c:v>
                </c:pt>
                <c:pt idx="888">
                  <c:v>3.8208466084483916E-2</c:v>
                </c:pt>
                <c:pt idx="889">
                  <c:v>3.82254854974029E-2</c:v>
                </c:pt>
                <c:pt idx="890">
                  <c:v>3.8242676646307316E-2</c:v>
                </c:pt>
                <c:pt idx="891">
                  <c:v>3.8260039531277101E-2</c:v>
                </c:pt>
                <c:pt idx="892">
                  <c:v>3.8277574152152383E-2</c:v>
                </c:pt>
                <c:pt idx="893">
                  <c:v>3.8295280509093033E-2</c:v>
                </c:pt>
                <c:pt idx="894">
                  <c:v>3.8313158602099051E-2</c:v>
                </c:pt>
                <c:pt idx="895">
                  <c:v>3.8331208431250374E-2</c:v>
                </c:pt>
                <c:pt idx="896">
                  <c:v>3.8349429996467066E-2</c:v>
                </c:pt>
                <c:pt idx="897">
                  <c:v>3.8367823297749126E-2</c:v>
                </c:pt>
                <c:pt idx="898">
                  <c:v>3.8386388335336363E-2</c:v>
                </c:pt>
                <c:pt idx="899">
                  <c:v>3.8405125108909033E-2</c:v>
                </c:pt>
                <c:pt idx="900">
                  <c:v>3.8424033618946751E-2</c:v>
                </c:pt>
                <c:pt idx="901">
                  <c:v>3.8443113864969902E-2</c:v>
                </c:pt>
                <c:pt idx="902">
                  <c:v>3.8462365847378166E-2</c:v>
                </c:pt>
                <c:pt idx="903">
                  <c:v>3.8481789566251479E-2</c:v>
                </c:pt>
                <c:pt idx="904">
                  <c:v>3.8507015266100453E-2</c:v>
                </c:pt>
                <c:pt idx="905">
                  <c:v>3.8523990116425821E-2</c:v>
                </c:pt>
                <c:pt idx="906">
                  <c:v>3.8541091140462669E-2</c:v>
                </c:pt>
                <c:pt idx="907">
                  <c:v>3.8561201804636625E-2</c:v>
                </c:pt>
                <c:pt idx="908">
                  <c:v>3.8581484205275629E-2</c:v>
                </c:pt>
                <c:pt idx="909">
                  <c:v>3.8601938342379682E-2</c:v>
                </c:pt>
                <c:pt idx="910">
                  <c:v>3.8622564215948785E-2</c:v>
                </c:pt>
                <c:pt idx="911">
                  <c:v>3.8643361826062872E-2</c:v>
                </c:pt>
                <c:pt idx="912">
                  <c:v>3.866433117280188E-2</c:v>
                </c:pt>
                <c:pt idx="913">
                  <c:v>3.8685472256005937E-2</c:v>
                </c:pt>
                <c:pt idx="914">
                  <c:v>3.8706785075914851E-2</c:v>
                </c:pt>
                <c:pt idx="915">
                  <c:v>3.8728269632448686E-2</c:v>
                </c:pt>
                <c:pt idx="916">
                  <c:v>3.8749925925687378E-2</c:v>
                </c:pt>
                <c:pt idx="917">
                  <c:v>3.8771753955630928E-2</c:v>
                </c:pt>
                <c:pt idx="918">
                  <c:v>3.8800070913449503E-2</c:v>
                </c:pt>
                <c:pt idx="919">
                  <c:v>3.8815925225712533E-2</c:v>
                </c:pt>
                <c:pt idx="920">
                  <c:v>3.8838268465930526E-2</c:v>
                </c:pt>
                <c:pt idx="921">
                  <c:v>3.8860783443013247E-2</c:v>
                </c:pt>
                <c:pt idx="922">
                  <c:v>3.8883470156960698E-2</c:v>
                </c:pt>
                <c:pt idx="923">
                  <c:v>3.8909608120114569E-2</c:v>
                </c:pt>
                <c:pt idx="924">
                  <c:v>3.8929358795609659E-2</c:v>
                </c:pt>
                <c:pt idx="925">
                  <c:v>3.8952560720311169E-2</c:v>
                </c:pt>
                <c:pt idx="926">
                  <c:v>3.8979287495983783E-2</c:v>
                </c:pt>
                <c:pt idx="927">
                  <c:v>3.8999479780867929E-2</c:v>
                </c:pt>
                <c:pt idx="928">
                  <c:v>3.902319691672318E-2</c:v>
                </c:pt>
                <c:pt idx="929">
                  <c:v>3.9047085789682967E-2</c:v>
                </c:pt>
                <c:pt idx="930">
                  <c:v>3.9071146399747292E-2</c:v>
                </c:pt>
                <c:pt idx="931">
                  <c:v>3.9095201178795946E-2</c:v>
                </c:pt>
                <c:pt idx="932">
                  <c:v>3.9119018030007169E-2</c:v>
                </c:pt>
                <c:pt idx="933">
                  <c:v>3.9142595554899628E-2</c:v>
                </c:pt>
                <c:pt idx="934">
                  <c:v>3.9165933753633198E-2</c:v>
                </c:pt>
                <c:pt idx="935">
                  <c:v>3.918903262612794E-2</c:v>
                </c:pt>
                <c:pt idx="936">
                  <c:v>3.9211892172144047E-2</c:v>
                </c:pt>
                <c:pt idx="937">
                  <c:v>3.9234512391921328E-2</c:v>
                </c:pt>
                <c:pt idx="938">
                  <c:v>3.925689328529991E-2</c:v>
                </c:pt>
                <c:pt idx="939">
                  <c:v>3.9282178396264911E-2</c:v>
                </c:pt>
                <c:pt idx="940">
                  <c:v>3.9300937092541233E-2</c:v>
                </c:pt>
                <c:pt idx="941">
                  <c:v>3.9322600006403974E-2</c:v>
                </c:pt>
                <c:pt idx="942">
                  <c:v>3.9344023593708144E-2</c:v>
                </c:pt>
                <c:pt idx="943">
                  <c:v>3.9365207854293871E-2</c:v>
                </c:pt>
                <c:pt idx="944">
                  <c:v>3.9386152788161155E-2</c:v>
                </c:pt>
                <c:pt idx="945">
                  <c:v>3.9406858395469868E-2</c:v>
                </c:pt>
                <c:pt idx="946">
                  <c:v>3.9427324675900266E-2</c:v>
                </c:pt>
                <c:pt idx="947">
                  <c:v>3.9447551629612221E-2</c:v>
                </c:pt>
                <c:pt idx="948">
                  <c:v>3.946753925644586E-2</c:v>
                </c:pt>
                <c:pt idx="949">
                  <c:v>3.9487287556401185E-2</c:v>
                </c:pt>
                <c:pt idx="950">
                  <c:v>3.9506796529478194E-2</c:v>
                </c:pt>
                <c:pt idx="951">
                  <c:v>3.9526066175517016E-2</c:v>
                </c:pt>
                <c:pt idx="952">
                  <c:v>3.9545096494677523E-2</c:v>
                </c:pt>
                <c:pt idx="953">
                  <c:v>3.9563887486719906E-2</c:v>
                </c:pt>
                <c:pt idx="954">
                  <c:v>3.9582439151724103E-2</c:v>
                </c:pt>
                <c:pt idx="955">
                  <c:v>3.9600751489530239E-2</c:v>
                </c:pt>
                <c:pt idx="956">
                  <c:v>3.9625746059996914E-2</c:v>
                </c:pt>
                <c:pt idx="957">
                  <c:v>3.9651106228175692E-2</c:v>
                </c:pt>
                <c:pt idx="958">
                  <c:v>3.9659235541131821E-2</c:v>
                </c:pt>
                <c:pt idx="959">
                  <c:v>3.9676522191003372E-2</c:v>
                </c:pt>
                <c:pt idx="960">
                  <c:v>3.9693569513596927E-2</c:v>
                </c:pt>
                <c:pt idx="961">
                  <c:v>3.9710377508832551E-2</c:v>
                </c:pt>
                <c:pt idx="962">
                  <c:v>3.9726946176790179E-2</c:v>
                </c:pt>
                <c:pt idx="963">
                  <c:v>3.9743275517230003E-2</c:v>
                </c:pt>
                <c:pt idx="964">
                  <c:v>3.9759365530311896E-2</c:v>
                </c:pt>
                <c:pt idx="965">
                  <c:v>3.9775216215875986E-2</c:v>
                </c:pt>
                <c:pt idx="966">
                  <c:v>3.9790827574002208E-2</c:v>
                </c:pt>
                <c:pt idx="967">
                  <c:v>3.9806199604690562E-2</c:v>
                </c:pt>
                <c:pt idx="968">
                  <c:v>3.982133230770124E-2</c:v>
                </c:pt>
                <c:pt idx="969">
                  <c:v>3.9836225683114179E-2</c:v>
                </c:pt>
                <c:pt idx="970">
                  <c:v>3.9850879730929378E-2</c:v>
                </c:pt>
                <c:pt idx="971">
                  <c:v>3.986529445130671E-2</c:v>
                </c:pt>
                <c:pt idx="972">
                  <c:v>3.9892309266331694E-2</c:v>
                </c:pt>
                <c:pt idx="973">
                  <c:v>3.9901261921029274E-2</c:v>
                </c:pt>
                <c:pt idx="974">
                  <c:v>3.991673950216601E-2</c:v>
                </c:pt>
                <c:pt idx="975">
                  <c:v>3.9928142550031964E-2</c:v>
                </c:pt>
                <c:pt idx="976">
                  <c:v>3.9941223872856924E-2</c:v>
                </c:pt>
                <c:pt idx="977">
                  <c:v>3.9955880901567653E-2</c:v>
                </c:pt>
                <c:pt idx="978">
                  <c:v>3.9966668534994199E-2</c:v>
                </c:pt>
                <c:pt idx="979">
                  <c:v>3.9979031874306514E-2</c:v>
                </c:pt>
                <c:pt idx="980">
                  <c:v>3.9991155885701346E-2</c:v>
                </c:pt>
                <c:pt idx="981">
                  <c:v>4.0003040569178694E-2</c:v>
                </c:pt>
                <c:pt idx="982">
                  <c:v>4.0014685924738558E-2</c:v>
                </c:pt>
                <c:pt idx="983">
                  <c:v>4.0026091952301002E-2</c:v>
                </c:pt>
                <c:pt idx="984">
                  <c:v>4.003725865178609E-2</c:v>
                </c:pt>
                <c:pt idx="985">
                  <c:v>4.004818602343363E-2</c:v>
                </c:pt>
                <c:pt idx="986">
                  <c:v>4.0058874066843941E-2</c:v>
                </c:pt>
                <c:pt idx="987">
                  <c:v>4.0069322782336769E-2</c:v>
                </c:pt>
                <c:pt idx="988">
                  <c:v>4.0079532169752241E-2</c:v>
                </c:pt>
                <c:pt idx="989">
                  <c:v>4.0089502229010421E-2</c:v>
                </c:pt>
                <c:pt idx="990">
                  <c:v>4.0100603527690737E-2</c:v>
                </c:pt>
                <c:pt idx="991">
                  <c:v>4.0108724363294712E-2</c:v>
                </c:pt>
                <c:pt idx="992">
                  <c:v>4.0117976438081016E-2</c:v>
                </c:pt>
                <c:pt idx="993">
                  <c:v>4.0126989184789963E-2</c:v>
                </c:pt>
                <c:pt idx="994">
                  <c:v>4.0135762603341618E-2</c:v>
                </c:pt>
                <c:pt idx="995">
                  <c:v>4.0144296693656045E-2</c:v>
                </c:pt>
                <c:pt idx="996">
                  <c:v>4.0152591455733244E-2</c:v>
                </c:pt>
                <c:pt idx="997">
                  <c:v>4.0160646889493279E-2</c:v>
                </c:pt>
                <c:pt idx="998">
                  <c:v>4.0168462995096021E-2</c:v>
                </c:pt>
                <c:pt idx="999">
                  <c:v>4.01760397723816E-2</c:v>
                </c:pt>
                <c:pt idx="1000">
                  <c:v>4.0183377221350014E-2</c:v>
                </c:pt>
                <c:pt idx="1001">
                  <c:v>4.01904753420812E-2</c:v>
                </c:pt>
                <c:pt idx="1002">
                  <c:v>4.0197334134495222E-2</c:v>
                </c:pt>
                <c:pt idx="1003">
                  <c:v>4.0203953598592079E-2</c:v>
                </c:pt>
                <c:pt idx="1004">
                  <c:v>4.02103337342119E-2</c:v>
                </c:pt>
                <c:pt idx="1005">
                  <c:v>4.0216474541514557E-2</c:v>
                </c:pt>
                <c:pt idx="1006">
                  <c:v>4.0222376020579986E-2</c:v>
                </c:pt>
                <c:pt idx="1007">
                  <c:v>4.0228038171088443E-2</c:v>
                </c:pt>
                <c:pt idx="1008">
                  <c:v>4.0237587552414134E-2</c:v>
                </c:pt>
                <c:pt idx="1009">
                  <c:v>4.0239365449243891E-2</c:v>
                </c:pt>
                <c:pt idx="1010">
                  <c:v>4.0243588652550955E-2</c:v>
                </c:pt>
                <c:pt idx="1011">
                  <c:v>4.024829348947101E-2</c:v>
                </c:pt>
                <c:pt idx="1012">
                  <c:v>4.0252758997914029E-2</c:v>
                </c:pt>
                <c:pt idx="1013">
                  <c:v>4.0256985178039884E-2</c:v>
                </c:pt>
                <c:pt idx="1014">
                  <c:v>4.0260972029608766E-2</c:v>
                </c:pt>
                <c:pt idx="1015">
                  <c:v>4.0264719552780548E-2</c:v>
                </c:pt>
                <c:pt idx="1016">
                  <c:v>4.0268227747475294E-2</c:v>
                </c:pt>
                <c:pt idx="1017">
                  <c:v>4.0271496613693003E-2</c:v>
                </c:pt>
                <c:pt idx="1018">
                  <c:v>4.0274526151433676E-2</c:v>
                </c:pt>
                <c:pt idx="1019">
                  <c:v>4.0277316360697313E-2</c:v>
                </c:pt>
                <c:pt idx="1020">
                  <c:v>4.0279867241483913E-2</c:v>
                </c:pt>
                <c:pt idx="1021">
                  <c:v>4.0282178793713541E-2</c:v>
                </c:pt>
                <c:pt idx="1022">
                  <c:v>4.0284799123107007E-2</c:v>
                </c:pt>
                <c:pt idx="1023">
                  <c:v>4.0286083912741688E-2</c:v>
                </c:pt>
                <c:pt idx="1024">
                  <c:v>4.0287677479380335E-2</c:v>
                </c:pt>
                <c:pt idx="1025">
                  <c:v>4.0289031717621882E-2</c:v>
                </c:pt>
                <c:pt idx="1026">
                  <c:v>4.0290286363209304E-2</c:v>
                </c:pt>
                <c:pt idx="1027">
                  <c:v>4.029102220859393E-2</c:v>
                </c:pt>
                <c:pt idx="1028">
                  <c:v>4.0291658461244495E-2</c:v>
                </c:pt>
                <c:pt idx="1029">
                  <c:v>4.0292092551847958E-2</c:v>
                </c:pt>
                <c:pt idx="1030">
                  <c:v>4.0292212981034581E-2</c:v>
                </c:pt>
                <c:pt idx="1031">
                  <c:v>4.0292131248174101E-2</c:v>
                </c:pt>
                <c:pt idx="1032">
                  <c:v>4.0291810186836585E-2</c:v>
                </c:pt>
                <c:pt idx="1033">
                  <c:v>4.0291249796862161E-2</c:v>
                </c:pt>
                <c:pt idx="1034">
                  <c:v>4.0290477412625592E-2</c:v>
                </c:pt>
                <c:pt idx="1035">
                  <c:v>4.0289655561958071E-2</c:v>
                </c:pt>
                <c:pt idx="1036">
                  <c:v>4.0288811578994554E-2</c:v>
                </c:pt>
                <c:pt idx="1037">
                  <c:v>4.0287945463894914E-2</c:v>
                </c:pt>
                <c:pt idx="1038">
                  <c:v>4.0287057216579214E-2</c:v>
                </c:pt>
                <c:pt idx="1039">
                  <c:v>4.0286146837047454E-2</c:v>
                </c:pt>
                <c:pt idx="1040">
                  <c:v>4.0285214325219698E-2</c:v>
                </c:pt>
                <c:pt idx="1041">
                  <c:v>4.0284259681255818E-2</c:v>
                </c:pt>
                <c:pt idx="1042">
                  <c:v>4.0283282904995943E-2</c:v>
                </c:pt>
                <c:pt idx="1043">
                  <c:v>4.0282139488674318E-2</c:v>
                </c:pt>
                <c:pt idx="1044">
                  <c:v>4.0281262955828012E-2</c:v>
                </c:pt>
                <c:pt idx="1045">
                  <c:v>4.0280219782919957E-2</c:v>
                </c:pt>
                <c:pt idx="1046">
                  <c:v>4.0279154477795842E-2</c:v>
                </c:pt>
                <c:pt idx="1047">
                  <c:v>4.0278067040455667E-2</c:v>
                </c:pt>
                <c:pt idx="1048">
                  <c:v>4.0276957470979369E-2</c:v>
                </c:pt>
                <c:pt idx="1049">
                  <c:v>4.0275825769127138E-2</c:v>
                </c:pt>
                <c:pt idx="1050">
                  <c:v>4.0274671935138784E-2</c:v>
                </c:pt>
                <c:pt idx="1051">
                  <c:v>4.027349596893437E-2</c:v>
                </c:pt>
                <c:pt idx="1052">
                  <c:v>4.027229787043396E-2</c:v>
                </c:pt>
                <c:pt idx="1053">
                  <c:v>4.027107763971749E-2</c:v>
                </c:pt>
                <c:pt idx="1054">
                  <c:v>4.0269835276864896E-2</c:v>
                </c:pt>
                <c:pt idx="1055">
                  <c:v>4.0268570781796242E-2</c:v>
                </c:pt>
                <c:pt idx="1056">
                  <c:v>4.0267284154431593E-2</c:v>
                </c:pt>
                <c:pt idx="1057">
                  <c:v>4.026597539493082E-2</c:v>
                </c:pt>
                <c:pt idx="1058">
                  <c:v>4.0264644503134051E-2</c:v>
                </c:pt>
                <c:pt idx="1059">
                  <c:v>4.0263291479121222E-2</c:v>
                </c:pt>
                <c:pt idx="1060">
                  <c:v>4.0261519356112885E-2</c:v>
                </c:pt>
                <c:pt idx="1061">
                  <c:v>4.026031761516613E-2</c:v>
                </c:pt>
                <c:pt idx="1062">
                  <c:v>4.0259099613946248E-2</c:v>
                </c:pt>
                <c:pt idx="1063">
                  <c:v>4.0257658061069179E-2</c:v>
                </c:pt>
                <c:pt idx="1064">
                  <c:v>4.0256194375896115E-2</c:v>
                </c:pt>
                <c:pt idx="1065">
                  <c:v>4.0254708558666863E-2</c:v>
                </c:pt>
                <c:pt idx="1066">
                  <c:v>4.0253200609221551E-2</c:v>
                </c:pt>
                <c:pt idx="1067">
                  <c:v>4.0251670527480243E-2</c:v>
                </c:pt>
                <c:pt idx="1068">
                  <c:v>4.0250118313522876E-2</c:v>
                </c:pt>
                <c:pt idx="1069">
                  <c:v>4.0248543967349448E-2</c:v>
                </c:pt>
                <c:pt idx="1070">
                  <c:v>4.0246947488959961E-2</c:v>
                </c:pt>
                <c:pt idx="1071">
                  <c:v>4.0245328878354414E-2</c:v>
                </c:pt>
                <c:pt idx="1072">
                  <c:v>4.0243688135532807E-2</c:v>
                </c:pt>
                <c:pt idx="1073">
                  <c:v>4.0241546088273239E-2</c:v>
                </c:pt>
                <c:pt idx="1074">
                  <c:v>4.0240340253241413E-2</c:v>
                </c:pt>
                <c:pt idx="1075">
                  <c:v>4.0238633113851563E-2</c:v>
                </c:pt>
                <c:pt idx="1076">
                  <c:v>4.0236903842245653E-2</c:v>
                </c:pt>
                <c:pt idx="1077">
                  <c:v>4.0235152438343746E-2</c:v>
                </c:pt>
                <c:pt idx="1078">
                  <c:v>4.0233123733219855E-2</c:v>
                </c:pt>
                <c:pt idx="1079">
                  <c:v>4.0231583233971691E-2</c:v>
                </c:pt>
                <c:pt idx="1080">
                  <c:v>4.0229765433341669E-2</c:v>
                </c:pt>
                <c:pt idx="1081">
                  <c:v>4.0227925500655459E-2</c:v>
                </c:pt>
                <c:pt idx="1082">
                  <c:v>4.022579561974382E-2</c:v>
                </c:pt>
                <c:pt idx="1083">
                  <c:v>4.0224179238554925E-2</c:v>
                </c:pt>
                <c:pt idx="1084">
                  <c:v>4.0222272909220536E-2</c:v>
                </c:pt>
                <c:pt idx="1085">
                  <c:v>4.0220344447670087E-2</c:v>
                </c:pt>
                <c:pt idx="1086">
                  <c:v>4.0218393853903578E-2</c:v>
                </c:pt>
                <c:pt idx="1087">
                  <c:v>4.0216421127921009E-2</c:v>
                </c:pt>
                <c:pt idx="1088">
                  <c:v>4.0214426269722381E-2</c:v>
                </c:pt>
                <c:pt idx="1089">
                  <c:v>4.0212409279227757E-2</c:v>
                </c:pt>
                <c:pt idx="1090">
                  <c:v>4.0210370156597008E-2</c:v>
                </c:pt>
                <c:pt idx="1091">
                  <c:v>4.02083089017502E-2</c:v>
                </c:pt>
                <c:pt idx="1092">
                  <c:v>4.0206225514687333E-2</c:v>
                </c:pt>
                <c:pt idx="1093">
                  <c:v>4.0204119995488341E-2</c:v>
                </c:pt>
                <c:pt idx="1094">
                  <c:v>4.020199234407329E-2</c:v>
                </c:pt>
                <c:pt idx="1095">
                  <c:v>4.0199533641711582E-2</c:v>
                </c:pt>
                <c:pt idx="1096">
                  <c:v>4.0197670644515071E-2</c:v>
                </c:pt>
                <c:pt idx="1097">
                  <c:v>4.019547659645184E-2</c:v>
                </c:pt>
                <c:pt idx="1098">
                  <c:v>4.0193260416172549E-2</c:v>
                </c:pt>
                <c:pt idx="1099">
                  <c:v>4.0191022103597263E-2</c:v>
                </c:pt>
                <c:pt idx="1100">
                  <c:v>4.0188761658965788E-2</c:v>
                </c:pt>
                <c:pt idx="1101">
                  <c:v>4.0186479082038318E-2</c:v>
                </c:pt>
                <c:pt idx="1102">
                  <c:v>4.0184174372894788E-2</c:v>
                </c:pt>
                <c:pt idx="1103">
                  <c:v>4.0181847531615134E-2</c:v>
                </c:pt>
                <c:pt idx="1104">
                  <c:v>4.0179498558199356E-2</c:v>
                </c:pt>
                <c:pt idx="1105">
                  <c:v>4.0177127452487582E-2</c:v>
                </c:pt>
                <c:pt idx="1106">
                  <c:v>4.0174734214479813E-2</c:v>
                </c:pt>
                <c:pt idx="1107">
                  <c:v>4.0172318844415855E-2</c:v>
                </c:pt>
                <c:pt idx="1108">
                  <c:v>4.0169881342055902E-2</c:v>
                </c:pt>
                <c:pt idx="1109">
                  <c:v>4.0167421707559825E-2</c:v>
                </c:pt>
                <c:pt idx="1110">
                  <c:v>4.0164939940767752E-2</c:v>
                </c:pt>
                <c:pt idx="1111">
                  <c:v>4.0162436041839555E-2</c:v>
                </c:pt>
                <c:pt idx="1112">
                  <c:v>4.0159184222465782E-2</c:v>
                </c:pt>
                <c:pt idx="1113">
                  <c:v>4.015662973568368E-2</c:v>
                </c:pt>
                <c:pt idx="1114">
                  <c:v>4.0154422560121361E-2</c:v>
                </c:pt>
                <c:pt idx="1115">
                  <c:v>4.0151826970697968E-2</c:v>
                </c:pt>
                <c:pt idx="1116">
                  <c:v>4.0149209249058515E-2</c:v>
                </c:pt>
                <c:pt idx="1117">
                  <c:v>4.0146569395203002E-2</c:v>
                </c:pt>
                <c:pt idx="1118">
                  <c:v>4.014390740913143E-2</c:v>
                </c:pt>
                <c:pt idx="1119">
                  <c:v>4.0141223290843797E-2</c:v>
                </c:pt>
                <c:pt idx="1120">
                  <c:v>4.0138517040420041E-2</c:v>
                </c:pt>
                <c:pt idx="1121">
                  <c:v>4.0135788657700289E-2</c:v>
                </c:pt>
                <c:pt idx="1122">
                  <c:v>4.0133038142924349E-2</c:v>
                </c:pt>
                <c:pt idx="1123">
                  <c:v>4.0130265495852413E-2</c:v>
                </c:pt>
                <c:pt idx="1124">
                  <c:v>4.0127470716644353E-2</c:v>
                </c:pt>
                <c:pt idx="1125">
                  <c:v>4.0124653805220234E-2</c:v>
                </c:pt>
                <c:pt idx="1126">
                  <c:v>4.0121814761580055E-2</c:v>
                </c:pt>
                <c:pt idx="1127">
                  <c:v>4.0118953585803752E-2</c:v>
                </c:pt>
                <c:pt idx="1128">
                  <c:v>4.0115242410436736E-2</c:v>
                </c:pt>
                <c:pt idx="1129">
                  <c:v>4.0113164837682902E-2</c:v>
                </c:pt>
                <c:pt idx="1130">
                  <c:v>4.010981723396867E-2</c:v>
                </c:pt>
                <c:pt idx="1131">
                  <c:v>4.0107287560697813E-2</c:v>
                </c:pt>
                <c:pt idx="1132">
                  <c:v>4.0104315723921147E-2</c:v>
                </c:pt>
                <c:pt idx="1133">
                  <c:v>4.0101321754928421E-2</c:v>
                </c:pt>
                <c:pt idx="1134">
                  <c:v>4.0097872975586313E-2</c:v>
                </c:pt>
                <c:pt idx="1135">
                  <c:v>4.0095267420534597E-2</c:v>
                </c:pt>
                <c:pt idx="1136">
                  <c:v>4.0092207054973628E-2</c:v>
                </c:pt>
                <c:pt idx="1137">
                  <c:v>4.0089124557276534E-2</c:v>
                </c:pt>
                <c:pt idx="1138">
                  <c:v>4.0086019927363381E-2</c:v>
                </c:pt>
                <c:pt idx="1139">
                  <c:v>4.0082893165314104E-2</c:v>
                </c:pt>
                <c:pt idx="1140">
                  <c:v>4.0079744271048767E-2</c:v>
                </c:pt>
                <c:pt idx="1141">
                  <c:v>4.0076573244647307E-2</c:v>
                </c:pt>
                <c:pt idx="1142">
                  <c:v>4.007338008594985E-2</c:v>
                </c:pt>
                <c:pt idx="1143">
                  <c:v>4.007016479511627E-2</c:v>
                </c:pt>
                <c:pt idx="1144">
                  <c:v>4.0066927372146566E-2</c:v>
                </c:pt>
                <c:pt idx="1145">
                  <c:v>4.0063667817040738E-2</c:v>
                </c:pt>
                <c:pt idx="1146">
                  <c:v>4.0060386129638914E-2</c:v>
                </c:pt>
                <c:pt idx="1147">
                  <c:v>4.0056608529246418E-2</c:v>
                </c:pt>
                <c:pt idx="1148">
                  <c:v>4.0053756358426895E-2</c:v>
                </c:pt>
                <c:pt idx="1149">
                  <c:v>4.0050408274536764E-2</c:v>
                </c:pt>
                <c:pt idx="1150">
                  <c:v>4.0047038058430573E-2</c:v>
                </c:pt>
                <c:pt idx="1151">
                  <c:v>4.0043645710108322E-2</c:v>
                </c:pt>
                <c:pt idx="1152">
                  <c:v>4.0040231229729883E-2</c:v>
                </c:pt>
                <c:pt idx="1153">
                  <c:v>4.0036794617135385E-2</c:v>
                </c:pt>
                <c:pt idx="1154">
                  <c:v>4.0033335872324827E-2</c:v>
                </c:pt>
                <c:pt idx="1155">
                  <c:v>4.0029854995298209E-2</c:v>
                </c:pt>
                <c:pt idx="1156">
                  <c:v>4.0026351986215403E-2</c:v>
                </c:pt>
                <c:pt idx="1157">
                  <c:v>4.0022826844916537E-2</c:v>
                </c:pt>
                <c:pt idx="1158">
                  <c:v>4.0019279571481547E-2</c:v>
                </c:pt>
                <c:pt idx="1159">
                  <c:v>4.0015710165750562E-2</c:v>
                </c:pt>
                <c:pt idx="1160">
                  <c:v>4.0012118627883453E-2</c:v>
                </c:pt>
                <c:pt idx="1161">
                  <c:v>4.000850495788022E-2</c:v>
                </c:pt>
                <c:pt idx="1162">
                  <c:v>4.0004869155660927E-2</c:v>
                </c:pt>
                <c:pt idx="1163">
                  <c:v>4.0001211221385446E-2</c:v>
                </c:pt>
                <c:pt idx="1164">
                  <c:v>3.9996475642176677E-2</c:v>
                </c:pt>
                <c:pt idx="1165">
                  <c:v>3.9993298263896193E-2</c:v>
                </c:pt>
                <c:pt idx="1166">
                  <c:v>3.9990104625262646E-2</c:v>
                </c:pt>
                <c:pt idx="1167">
                  <c:v>3.9986358162282798E-2</c:v>
                </c:pt>
                <c:pt idx="1168">
                  <c:v>3.998258956708689E-2</c:v>
                </c:pt>
                <c:pt idx="1169">
                  <c:v>3.9978798839674923E-2</c:v>
                </c:pt>
                <c:pt idx="1170">
                  <c:v>3.9974985980206768E-2</c:v>
                </c:pt>
                <c:pt idx="1171">
                  <c:v>3.9971150988442616E-2</c:v>
                </c:pt>
                <c:pt idx="1172">
                  <c:v>3.9967293864622278E-2</c:v>
                </c:pt>
                <c:pt idx="1173">
                  <c:v>3.9963414608585879E-2</c:v>
                </c:pt>
                <c:pt idx="1174">
                  <c:v>3.9959513220413356E-2</c:v>
                </c:pt>
                <c:pt idx="1175">
                  <c:v>3.9955589700024774E-2</c:v>
                </c:pt>
                <c:pt idx="1176">
                  <c:v>3.9951644047580004E-2</c:v>
                </c:pt>
                <c:pt idx="1177">
                  <c:v>3.9947676262839238E-2</c:v>
                </c:pt>
                <c:pt idx="1178">
                  <c:v>3.9942542304700623E-2</c:v>
                </c:pt>
                <c:pt idx="1179">
                  <c:v>3.9939674297029271E-2</c:v>
                </c:pt>
                <c:pt idx="1180">
                  <c:v>3.9935640115880133E-2</c:v>
                </c:pt>
                <c:pt idx="1181">
                  <c:v>3.9931583802514936E-2</c:v>
                </c:pt>
                <c:pt idx="1182">
                  <c:v>3.9927505357093551E-2</c:v>
                </c:pt>
                <c:pt idx="1183">
                  <c:v>3.9922817175970238E-2</c:v>
                </c:pt>
                <c:pt idx="1184">
                  <c:v>3.9919282069682538E-2</c:v>
                </c:pt>
                <c:pt idx="1185">
                  <c:v>3.9915137227772846E-2</c:v>
                </c:pt>
                <c:pt idx="1186">
                  <c:v>3.9910373164948609E-2</c:v>
                </c:pt>
                <c:pt idx="1187">
                  <c:v>3.9906781147465153E-2</c:v>
                </c:pt>
                <c:pt idx="1188">
                  <c:v>3.9902569908987218E-2</c:v>
                </c:pt>
                <c:pt idx="1189">
                  <c:v>3.9898336538453094E-2</c:v>
                </c:pt>
                <c:pt idx="1190">
                  <c:v>3.9894081061282449E-2</c:v>
                </c:pt>
                <c:pt idx="1191">
                  <c:v>3.988980770729178E-2</c:v>
                </c:pt>
                <c:pt idx="1192">
                  <c:v>3.9885519712692385E-2</c:v>
                </c:pt>
                <c:pt idx="1193">
                  <c:v>3.9881217077564202E-2</c:v>
                </c:pt>
                <c:pt idx="1194">
                  <c:v>3.9876899801747356E-2</c:v>
                </c:pt>
                <c:pt idx="1195">
                  <c:v>3.987256788524185E-2</c:v>
                </c:pt>
                <c:pt idx="1196">
                  <c:v>3.9868221328207554E-2</c:v>
                </c:pt>
                <c:pt idx="1197">
                  <c:v>3.986386013040466E-2</c:v>
                </c:pt>
                <c:pt idx="1198">
                  <c:v>3.9859484292152914E-2</c:v>
                </c:pt>
                <c:pt idx="1199">
                  <c:v>3.9854465406845563E-2</c:v>
                </c:pt>
                <c:pt idx="1200">
                  <c:v>3.9850688693743308E-2</c:v>
                </c:pt>
                <c:pt idx="1201">
                  <c:v>3.9846268933505513E-2</c:v>
                </c:pt>
                <c:pt idx="1202">
                  <c:v>3.9841834532818865E-2</c:v>
                </c:pt>
                <c:pt idx="1203">
                  <c:v>3.9837385491523492E-2</c:v>
                </c:pt>
                <c:pt idx="1204">
                  <c:v>3.9832921809459521E-2</c:v>
                </c:pt>
                <c:pt idx="1205">
                  <c:v>3.9828443486946696E-2</c:v>
                </c:pt>
                <c:pt idx="1206">
                  <c:v>3.9823950523665275E-2</c:v>
                </c:pt>
                <c:pt idx="1207">
                  <c:v>3.9819442919855064E-2</c:v>
                </c:pt>
                <c:pt idx="1208">
                  <c:v>3.9814920675356191E-2</c:v>
                </c:pt>
                <c:pt idx="1209">
                  <c:v>3.981038379032853E-2</c:v>
                </c:pt>
                <c:pt idx="1210">
                  <c:v>3.9805832264692143E-2</c:v>
                </c:pt>
                <c:pt idx="1211">
                  <c:v>3.980126609844703E-2</c:v>
                </c:pt>
                <c:pt idx="1212">
                  <c:v>3.9796685291593192E-2</c:v>
                </c:pt>
                <c:pt idx="1213">
                  <c:v>3.9792089844130629E-2</c:v>
                </c:pt>
                <c:pt idx="1214">
                  <c:v>3.9787479756059341E-2</c:v>
                </c:pt>
                <c:pt idx="1215">
                  <c:v>3.9782855027299391E-2</c:v>
                </c:pt>
                <c:pt idx="1216">
                  <c:v>3.9776887434879171E-2</c:v>
                </c:pt>
                <c:pt idx="1217">
                  <c:v>3.9772229241927803E-2</c:v>
                </c:pt>
                <c:pt idx="1218">
                  <c:v>3.9768224852387846E-2</c:v>
                </c:pt>
                <c:pt idx="1219">
                  <c:v>3.9763539469745979E-2</c:v>
                </c:pt>
                <c:pt idx="1220">
                  <c:v>3.9758839446495386E-2</c:v>
                </c:pt>
                <c:pt idx="1221">
                  <c:v>3.9754124782636069E-2</c:v>
                </c:pt>
                <c:pt idx="1222">
                  <c:v>3.9749395478247962E-2</c:v>
                </c:pt>
                <c:pt idx="1223">
                  <c:v>3.9744651533171194E-2</c:v>
                </c:pt>
                <c:pt idx="1224">
                  <c:v>3.9739892947565636E-2</c:v>
                </c:pt>
                <c:pt idx="1225">
                  <c:v>3.9735119721271417E-2</c:v>
                </c:pt>
                <c:pt idx="1226">
                  <c:v>3.9730331854448409E-2</c:v>
                </c:pt>
                <c:pt idx="1227">
                  <c:v>3.9725529346936739E-2</c:v>
                </c:pt>
                <c:pt idx="1228">
                  <c:v>3.972071219889628E-2</c:v>
                </c:pt>
                <c:pt idx="1229">
                  <c:v>3.9715880410327031E-2</c:v>
                </c:pt>
                <c:pt idx="1230">
                  <c:v>3.9711033981069122E-2</c:v>
                </c:pt>
                <c:pt idx="1231">
                  <c:v>3.9706172911202486E-2</c:v>
                </c:pt>
                <c:pt idx="1232">
                  <c:v>3.9701297200727126E-2</c:v>
                </c:pt>
                <c:pt idx="1233">
                  <c:v>3.9698683336588658E-2</c:v>
                </c:pt>
                <c:pt idx="1234">
                  <c:v>3.9691501858110101E-2</c:v>
                </c:pt>
                <c:pt idx="1235">
                  <c:v>3.9685878226149995E-2</c:v>
                </c:pt>
                <c:pt idx="1236">
                  <c:v>3.9681647953058174E-2</c:v>
                </c:pt>
                <c:pt idx="1237">
                  <c:v>3.9676699039778995E-2</c:v>
                </c:pt>
                <c:pt idx="1238">
                  <c:v>3.9671025211331923E-2</c:v>
                </c:pt>
                <c:pt idx="1239">
                  <c:v>3.9666757291074717E-2</c:v>
                </c:pt>
                <c:pt idx="1240">
                  <c:v>3.9661764455889426E-2</c:v>
                </c:pt>
                <c:pt idx="1241">
                  <c:v>3.9656756980015473E-2</c:v>
                </c:pt>
                <c:pt idx="1242">
                  <c:v>3.9651734863692667E-2</c:v>
                </c:pt>
                <c:pt idx="1243">
                  <c:v>3.9646698106841072E-2</c:v>
                </c:pt>
                <c:pt idx="1244">
                  <c:v>3.9641646709140943E-2</c:v>
                </c:pt>
                <c:pt idx="1245">
                  <c:v>3.9636580670991961E-2</c:v>
                </c:pt>
                <c:pt idx="1246">
                  <c:v>3.963149999231419E-2</c:v>
                </c:pt>
                <c:pt idx="1247">
                  <c:v>3.9626404672947757E-2</c:v>
                </c:pt>
                <c:pt idx="1248">
                  <c:v>3.9621294713052535E-2</c:v>
                </c:pt>
                <c:pt idx="1249">
                  <c:v>3.9616170112548588E-2</c:v>
                </c:pt>
                <c:pt idx="1250">
                  <c:v>3.9611030871595787E-2</c:v>
                </c:pt>
                <c:pt idx="1251">
                  <c:v>3.960513952586453E-2</c:v>
                </c:pt>
                <c:pt idx="1252">
                  <c:v>3.9600708467624202E-2</c:v>
                </c:pt>
                <c:pt idx="1253">
                  <c:v>3.9595525304765289E-2</c:v>
                </c:pt>
                <c:pt idx="1254">
                  <c:v>3.9590327501297651E-2</c:v>
                </c:pt>
                <c:pt idx="1255">
                  <c:v>3.9585115057301223E-2</c:v>
                </c:pt>
                <c:pt idx="1256">
                  <c:v>3.9579887972696071E-2</c:v>
                </c:pt>
                <c:pt idx="1257">
                  <c:v>3.9574646247562129E-2</c:v>
                </c:pt>
                <c:pt idx="1258">
                  <c:v>3.9569389881739525E-2</c:v>
                </c:pt>
                <c:pt idx="1259">
                  <c:v>3.9564118875548004E-2</c:v>
                </c:pt>
                <c:pt idx="1260">
                  <c:v>3.9558833228587886E-2</c:v>
                </c:pt>
                <c:pt idx="1261">
                  <c:v>3.9553532941178915E-2</c:v>
                </c:pt>
                <c:pt idx="1262">
                  <c:v>3.9548218013001346E-2</c:v>
                </c:pt>
                <c:pt idx="1263">
                  <c:v>3.9542888444374924E-2</c:v>
                </c:pt>
                <c:pt idx="1264">
                  <c:v>3.9537544235139777E-2</c:v>
                </c:pt>
                <c:pt idx="1265">
                  <c:v>3.953218538537584E-2</c:v>
                </c:pt>
                <c:pt idx="1266">
                  <c:v>3.9526811895003178E-2</c:v>
                </c:pt>
                <c:pt idx="1267">
                  <c:v>3.952142376402179E-2</c:v>
                </c:pt>
                <c:pt idx="1268">
                  <c:v>3.9518038131207689E-2</c:v>
                </c:pt>
                <c:pt idx="1269">
                  <c:v>3.9512613253993578E-2</c:v>
                </c:pt>
                <c:pt idx="1270">
                  <c:v>3.950439432512276E-2</c:v>
                </c:pt>
                <c:pt idx="1271">
                  <c:v>3.9498945540339392E-2</c:v>
                </c:pt>
                <c:pt idx="1272">
                  <c:v>3.9493482115027234E-2</c:v>
                </c:pt>
                <c:pt idx="1273">
                  <c:v>3.9488004049026415E-2</c:v>
                </c:pt>
                <c:pt idx="1274">
                  <c:v>3.9482511342656679E-2</c:v>
                </c:pt>
                <c:pt idx="1275">
                  <c:v>3.9477003995678217E-2</c:v>
                </c:pt>
                <c:pt idx="1276">
                  <c:v>3.9471482008011094E-2</c:v>
                </c:pt>
                <c:pt idx="1277">
                  <c:v>3.9465945379895118E-2</c:v>
                </c:pt>
                <c:pt idx="1278">
                  <c:v>3.946039411109048E-2</c:v>
                </c:pt>
                <c:pt idx="1279">
                  <c:v>3.9454828201757053E-2</c:v>
                </c:pt>
                <c:pt idx="1280">
                  <c:v>3.9449247651974773E-2</c:v>
                </c:pt>
                <c:pt idx="1281">
                  <c:v>3.9443652461423895E-2</c:v>
                </c:pt>
                <c:pt idx="1282">
                  <c:v>3.9438042630424164E-2</c:v>
                </c:pt>
                <c:pt idx="1283">
                  <c:v>3.9439446839940828E-2</c:v>
                </c:pt>
                <c:pt idx="1284">
                  <c:v>3.9423550123629525E-2</c:v>
                </c:pt>
                <c:pt idx="1285">
                  <c:v>3.941788800493562E-2</c:v>
                </c:pt>
                <c:pt idx="1286">
                  <c:v>3.9411399084894327E-2</c:v>
                </c:pt>
                <c:pt idx="1287">
                  <c:v>3.9406519845801569E-2</c:v>
                </c:pt>
                <c:pt idx="1288">
                  <c:v>3.9400813805441359E-2</c:v>
                </c:pt>
                <c:pt idx="1289">
                  <c:v>3.9394274689072972E-2</c:v>
                </c:pt>
                <c:pt idx="1290">
                  <c:v>3.9389357802894764E-2</c:v>
                </c:pt>
                <c:pt idx="1291">
                  <c:v>3.9383607840788315E-2</c:v>
                </c:pt>
                <c:pt idx="1292">
                  <c:v>3.9377843238153076E-2</c:v>
                </c:pt>
                <c:pt idx="1293">
                  <c:v>3.9372063994989048E-2</c:v>
                </c:pt>
                <c:pt idx="1294">
                  <c:v>3.9366270111136359E-2</c:v>
                </c:pt>
                <c:pt idx="1295">
                  <c:v>3.9360461586834816E-2</c:v>
                </c:pt>
                <c:pt idx="1296">
                  <c:v>3.9354638421924548E-2</c:v>
                </c:pt>
                <c:pt idx="1297">
                  <c:v>3.9348800616565427E-2</c:v>
                </c:pt>
                <c:pt idx="1298">
                  <c:v>3.934294817059758E-2</c:v>
                </c:pt>
                <c:pt idx="1299">
                  <c:v>3.9337081084021008E-2</c:v>
                </c:pt>
                <c:pt idx="1300">
                  <c:v>3.9331199356995583E-2</c:v>
                </c:pt>
                <c:pt idx="1301">
                  <c:v>3.9325302989281496E-2</c:v>
                </c:pt>
                <c:pt idx="1302">
                  <c:v>3.9318546356268413E-2</c:v>
                </c:pt>
                <c:pt idx="1303">
                  <c:v>3.9313466332426827E-2</c:v>
                </c:pt>
                <c:pt idx="1304">
                  <c:v>3.9307526043126373E-2</c:v>
                </c:pt>
                <c:pt idx="1305">
                  <c:v>3.9301571113297129E-2</c:v>
                </c:pt>
                <c:pt idx="1306">
                  <c:v>3.9295601542939096E-2</c:v>
                </c:pt>
                <c:pt idx="1307">
                  <c:v>3.9289617331972337E-2</c:v>
                </c:pt>
                <c:pt idx="1308">
                  <c:v>3.928361848047679E-2</c:v>
                </c:pt>
                <c:pt idx="1309">
                  <c:v>3.9277604988452453E-2</c:v>
                </c:pt>
                <c:pt idx="1310">
                  <c:v>3.9271576855899326E-2</c:v>
                </c:pt>
                <c:pt idx="1311">
                  <c:v>3.926553408281741E-2</c:v>
                </c:pt>
                <c:pt idx="1312">
                  <c:v>3.9259476669206705E-2</c:v>
                </c:pt>
                <c:pt idx="1313">
                  <c:v>3.9253404614987275E-2</c:v>
                </c:pt>
                <c:pt idx="1314">
                  <c:v>3.9247317920159119E-2</c:v>
                </c:pt>
                <c:pt idx="1315">
                  <c:v>3.9241216585041983E-2</c:v>
                </c:pt>
                <c:pt idx="1316">
                  <c:v>3.9235100609076312E-2</c:v>
                </c:pt>
                <c:pt idx="1317">
                  <c:v>3.9228969992741725E-2</c:v>
                </c:pt>
                <c:pt idx="1318">
                  <c:v>3.9222824735878348E-2</c:v>
                </c:pt>
                <c:pt idx="1319">
                  <c:v>3.9216664838406246E-2</c:v>
                </c:pt>
                <c:pt idx="1320">
                  <c:v>3.921041664696201E-2</c:v>
                </c:pt>
                <c:pt idx="1321">
                  <c:v>3.9203415758413129E-2</c:v>
                </c:pt>
                <c:pt idx="1322">
                  <c:v>3.9198097302897139E-2</c:v>
                </c:pt>
                <c:pt idx="1323">
                  <c:v>3.919187884330988E-2</c:v>
                </c:pt>
                <c:pt idx="1324">
                  <c:v>3.9185645743193831E-2</c:v>
                </c:pt>
                <c:pt idx="1325">
                  <c:v>3.9179398002548993E-2</c:v>
                </c:pt>
                <c:pt idx="1326">
                  <c:v>3.9173135621375366E-2</c:v>
                </c:pt>
                <c:pt idx="1327">
                  <c:v>3.9166858599672949E-2</c:v>
                </c:pt>
                <c:pt idx="1328">
                  <c:v>3.9160566937441743E-2</c:v>
                </c:pt>
                <c:pt idx="1329">
                  <c:v>3.9154260634681748E-2</c:v>
                </c:pt>
                <c:pt idx="1330">
                  <c:v>3.9147939691313027E-2</c:v>
                </c:pt>
                <c:pt idx="1331">
                  <c:v>3.9141604107495453E-2</c:v>
                </c:pt>
                <c:pt idx="1332">
                  <c:v>3.913525388314909E-2</c:v>
                </c:pt>
                <c:pt idx="1333">
                  <c:v>3.9127067796300707E-2</c:v>
                </c:pt>
                <c:pt idx="1334">
                  <c:v>3.912250951279006E-2</c:v>
                </c:pt>
                <c:pt idx="1335">
                  <c:v>3.9116115366937265E-2</c:v>
                </c:pt>
                <c:pt idx="1336">
                  <c:v>3.9109706580475745E-2</c:v>
                </c:pt>
                <c:pt idx="1337">
                  <c:v>3.9103283153405499E-2</c:v>
                </c:pt>
                <c:pt idx="1338">
                  <c:v>3.9095924166865359E-2</c:v>
                </c:pt>
                <c:pt idx="1339">
                  <c:v>3.9090392377838512E-2</c:v>
                </c:pt>
                <c:pt idx="1340">
                  <c:v>3.9083925029341771E-2</c:v>
                </c:pt>
                <c:pt idx="1341">
                  <c:v>3.9077443040156368E-2</c:v>
                </c:pt>
                <c:pt idx="1342">
                  <c:v>3.9070017125553136E-2</c:v>
                </c:pt>
                <c:pt idx="1343">
                  <c:v>3.9064435140598874E-2</c:v>
                </c:pt>
                <c:pt idx="1344">
                  <c:v>3.9057909229986976E-2</c:v>
                </c:pt>
                <c:pt idx="1345">
                  <c:v>3.9051368678686416E-2</c:v>
                </c:pt>
                <c:pt idx="1346">
                  <c:v>3.9044813487096874E-2</c:v>
                </c:pt>
                <c:pt idx="1347">
                  <c:v>3.9038243654898608E-2</c:v>
                </c:pt>
                <c:pt idx="1348">
                  <c:v>3.9031659182251488E-2</c:v>
                </c:pt>
                <c:pt idx="1349">
                  <c:v>3.9025060068995643E-2</c:v>
                </c:pt>
                <c:pt idx="1350">
                  <c:v>3.9018446315290944E-2</c:v>
                </c:pt>
                <c:pt idx="1351">
                  <c:v>3.9011817921057457E-2</c:v>
                </c:pt>
                <c:pt idx="1352">
                  <c:v>3.9005174886215244E-2</c:v>
                </c:pt>
                <c:pt idx="1353">
                  <c:v>3.8998517210924177E-2</c:v>
                </c:pt>
                <c:pt idx="1354">
                  <c:v>3.8991844895104322E-2</c:v>
                </c:pt>
                <c:pt idx="1355">
                  <c:v>3.8984201464256074E-2</c:v>
                </c:pt>
                <c:pt idx="1356">
                  <c:v>3.8978456342038115E-2</c:v>
                </c:pt>
                <c:pt idx="1357">
                  <c:v>3.8971740104791763E-2</c:v>
                </c:pt>
                <c:pt idx="1358">
                  <c:v>3.8965009226856751E-2</c:v>
                </c:pt>
                <c:pt idx="1359">
                  <c:v>3.8958263708552821E-2</c:v>
                </c:pt>
                <c:pt idx="1360">
                  <c:v>3.8951503549800037E-2</c:v>
                </c:pt>
                <c:pt idx="1361">
                  <c:v>3.8944728750438529E-2</c:v>
                </c:pt>
                <c:pt idx="1362">
                  <c:v>3.8937939310628167E-2</c:v>
                </c:pt>
                <c:pt idx="1363">
                  <c:v>3.8931135230289016E-2</c:v>
                </c:pt>
                <c:pt idx="1364">
                  <c:v>3.8924316509501011E-2</c:v>
                </c:pt>
                <c:pt idx="1365">
                  <c:v>3.8917483148104282E-2</c:v>
                </c:pt>
                <c:pt idx="1366">
                  <c:v>3.8910635146178763E-2</c:v>
                </c:pt>
                <c:pt idx="1367">
                  <c:v>3.8903772503884326E-2</c:v>
                </c:pt>
                <c:pt idx="1368">
                  <c:v>3.8896895220981165E-2</c:v>
                </c:pt>
                <c:pt idx="1369">
                  <c:v>3.8890003297709086E-2</c:v>
                </c:pt>
                <c:pt idx="1370">
                  <c:v>3.8883096733828282E-2</c:v>
                </c:pt>
                <c:pt idx="1371">
                  <c:v>3.887617552957856E-2</c:v>
                </c:pt>
                <c:pt idx="1372">
                  <c:v>3.8867255325722994E-2</c:v>
                </c:pt>
                <c:pt idx="1373">
                  <c:v>3.8860300657281854E-2</c:v>
                </c:pt>
                <c:pt idx="1374">
                  <c:v>3.8854327860384785E-2</c:v>
                </c:pt>
                <c:pt idx="1375">
                  <c:v>3.8847346002572891E-2</c:v>
                </c:pt>
                <c:pt idx="1376">
                  <c:v>3.8840349504312144E-2</c:v>
                </c:pt>
                <c:pt idx="1377">
                  <c:v>3.8833338365522607E-2</c:v>
                </c:pt>
                <c:pt idx="1378">
                  <c:v>3.8826312586204281E-2</c:v>
                </c:pt>
                <c:pt idx="1379">
                  <c:v>3.8819272166437102E-2</c:v>
                </c:pt>
                <c:pt idx="1380">
                  <c:v>3.8812217106141134E-2</c:v>
                </c:pt>
                <c:pt idx="1381">
                  <c:v>3.8805147405476248E-2</c:v>
                </c:pt>
                <c:pt idx="1382">
                  <c:v>3.8798063064122701E-2</c:v>
                </c:pt>
                <c:pt idx="1383">
                  <c:v>3.8790964082480173E-2</c:v>
                </c:pt>
                <c:pt idx="1384">
                  <c:v>3.8783850460148983E-2</c:v>
                </c:pt>
                <c:pt idx="1385">
                  <c:v>3.8776722197688684E-2</c:v>
                </c:pt>
                <c:pt idx="1386">
                  <c:v>3.8769579294299916E-2</c:v>
                </c:pt>
                <c:pt idx="1387">
                  <c:v>3.8762421750622167E-2</c:v>
                </c:pt>
                <c:pt idx="1388">
                  <c:v>3.8753197681993257E-2</c:v>
                </c:pt>
                <c:pt idx="1389">
                  <c:v>3.8748062741920108E-2</c:v>
                </c:pt>
                <c:pt idx="1390">
                  <c:v>3.8739831300951266E-2</c:v>
                </c:pt>
                <c:pt idx="1391">
                  <c:v>3.8733645171182829E-2</c:v>
                </c:pt>
                <c:pt idx="1392">
                  <c:v>3.8726414425100941E-2</c:v>
                </c:pt>
                <c:pt idx="1393">
                  <c:v>3.87191690385702E-2</c:v>
                </c:pt>
                <c:pt idx="1394">
                  <c:v>3.8710870669698139E-2</c:v>
                </c:pt>
                <c:pt idx="1395">
                  <c:v>3.8704634344002287E-2</c:v>
                </c:pt>
                <c:pt idx="1396">
                  <c:v>3.8697345036124986E-2</c:v>
                </c:pt>
                <c:pt idx="1397">
                  <c:v>3.869004108763896E-2</c:v>
                </c:pt>
                <c:pt idx="1398">
                  <c:v>3.8682722498704081E-2</c:v>
                </c:pt>
                <c:pt idx="1399">
                  <c:v>3.8675389269320348E-2</c:v>
                </c:pt>
                <c:pt idx="1400">
                  <c:v>3.8668041399487763E-2</c:v>
                </c:pt>
                <c:pt idx="1401">
                  <c:v>3.8660678889126388E-2</c:v>
                </c:pt>
                <c:pt idx="1402">
                  <c:v>3.8653301738396095E-2</c:v>
                </c:pt>
                <c:pt idx="1403">
                  <c:v>3.8645909947137014E-2</c:v>
                </c:pt>
                <c:pt idx="1404">
                  <c:v>3.8638503515269207E-2</c:v>
                </c:pt>
                <c:pt idx="1405">
                  <c:v>3.8631082443192355E-2</c:v>
                </c:pt>
                <c:pt idx="1406">
                  <c:v>3.8623646730426842E-2</c:v>
                </c:pt>
                <c:pt idx="1407">
                  <c:v>3.8615130846029189E-2</c:v>
                </c:pt>
                <c:pt idx="1408">
                  <c:v>3.8608731383709127E-2</c:v>
                </c:pt>
                <c:pt idx="1409">
                  <c:v>3.860125174967699E-2</c:v>
                </c:pt>
                <c:pt idx="1410">
                  <c:v>3.8593757475116064E-2</c:v>
                </c:pt>
                <c:pt idx="1411">
                  <c:v>3.8586248560106284E-2</c:v>
                </c:pt>
                <c:pt idx="1412">
                  <c:v>3.8578725004727588E-2</c:v>
                </c:pt>
                <c:pt idx="1413">
                  <c:v>3.8571186808820102E-2</c:v>
                </c:pt>
                <c:pt idx="1414">
                  <c:v>3.8563633972383826E-2</c:v>
                </c:pt>
                <c:pt idx="1415">
                  <c:v>3.8556066495578634E-2</c:v>
                </c:pt>
                <c:pt idx="1416">
                  <c:v>3.8548484378324588E-2</c:v>
                </c:pt>
                <c:pt idx="1417">
                  <c:v>3.8540887620541753E-2</c:v>
                </c:pt>
                <c:pt idx="1418">
                  <c:v>3.853327622239E-2</c:v>
                </c:pt>
                <c:pt idx="1419">
                  <c:v>3.8525650183789395E-2</c:v>
                </c:pt>
                <c:pt idx="1420">
                  <c:v>3.851800950466E-2</c:v>
                </c:pt>
                <c:pt idx="1421">
                  <c:v>3.8510354185161688E-2</c:v>
                </c:pt>
                <c:pt idx="1422">
                  <c:v>3.8502684225054651E-2</c:v>
                </c:pt>
                <c:pt idx="1423">
                  <c:v>3.8494999624658632E-2</c:v>
                </c:pt>
                <c:pt idx="1424">
                  <c:v>3.8485097911689081E-2</c:v>
                </c:pt>
                <c:pt idx="1425">
                  <c:v>3.8478483324171364E-2</c:v>
                </c:pt>
                <c:pt idx="1426">
                  <c:v>3.8471857980617585E-2</c:v>
                </c:pt>
                <c:pt idx="1427">
                  <c:v>3.8464114818346218E-2</c:v>
                </c:pt>
                <c:pt idx="1428">
                  <c:v>3.8456357015705933E-2</c:v>
                </c:pt>
                <c:pt idx="1429">
                  <c:v>3.8448584572536859E-2</c:v>
                </c:pt>
                <c:pt idx="1430">
                  <c:v>3.8440797488998868E-2</c:v>
                </c:pt>
                <c:pt idx="1431">
                  <c:v>3.8432995764932087E-2</c:v>
                </c:pt>
                <c:pt idx="1432">
                  <c:v>3.8425179400576326E-2</c:v>
                </c:pt>
                <c:pt idx="1433">
                  <c:v>3.8417348395531903E-2</c:v>
                </c:pt>
                <c:pt idx="1434">
                  <c:v>3.8409502750278435E-2</c:v>
                </c:pt>
                <c:pt idx="1435">
                  <c:v>3.8401642464496177E-2</c:v>
                </c:pt>
                <c:pt idx="1436">
                  <c:v>3.8393767538185131E-2</c:v>
                </c:pt>
                <c:pt idx="1437">
                  <c:v>3.8385877971665039E-2</c:v>
                </c:pt>
                <c:pt idx="1438">
                  <c:v>3.8377973764456286E-2</c:v>
                </c:pt>
                <c:pt idx="1439">
                  <c:v>3.8367789700064492E-2</c:v>
                </c:pt>
                <c:pt idx="1440">
                  <c:v>3.8362121429011964E-2</c:v>
                </c:pt>
                <c:pt idx="1441">
                  <c:v>3.8354173300696459E-2</c:v>
                </c:pt>
                <c:pt idx="1442">
                  <c:v>3.834507179826474E-2</c:v>
                </c:pt>
                <c:pt idx="1443">
                  <c:v>3.8338233122559018E-2</c:v>
                </c:pt>
                <c:pt idx="1444">
                  <c:v>3.8330241072896953E-2</c:v>
                </c:pt>
                <c:pt idx="1445">
                  <c:v>3.83222343827061E-2</c:v>
                </c:pt>
                <c:pt idx="1446">
                  <c:v>3.8313065952690906E-2</c:v>
                </c:pt>
                <c:pt idx="1447">
                  <c:v>3.8306177081137704E-2</c:v>
                </c:pt>
                <c:pt idx="1448">
                  <c:v>3.8298126469840099E-2</c:v>
                </c:pt>
                <c:pt idx="1449">
                  <c:v>3.8290061218013705E-2</c:v>
                </c:pt>
                <c:pt idx="1450">
                  <c:v>3.8281981918064645E-2</c:v>
                </c:pt>
                <c:pt idx="1451">
                  <c:v>3.827390515464657E-2</c:v>
                </c:pt>
                <c:pt idx="1452">
                  <c:v>3.8265838627840054E-2</c:v>
                </c:pt>
                <c:pt idx="1453">
                  <c:v>3.8257782337485224E-2</c:v>
                </c:pt>
                <c:pt idx="1454">
                  <c:v>3.8249736283662017E-2</c:v>
                </c:pt>
                <c:pt idx="1455">
                  <c:v>3.8241700466450368E-2</c:v>
                </c:pt>
                <c:pt idx="1456">
                  <c:v>3.8233674885530533E-2</c:v>
                </c:pt>
                <c:pt idx="1457">
                  <c:v>3.8225659541462065E-2</c:v>
                </c:pt>
                <c:pt idx="1458">
                  <c:v>3.8217654433765347E-2</c:v>
                </c:pt>
                <c:pt idx="1459">
                  <c:v>3.8208518273776804E-2</c:v>
                </c:pt>
                <c:pt idx="1460">
                  <c:v>3.8201674928046714E-2</c:v>
                </c:pt>
                <c:pt idx="1461">
                  <c:v>3.8193700530024799E-2</c:v>
                </c:pt>
                <c:pt idx="1462">
                  <c:v>3.818573636845457E-2</c:v>
                </c:pt>
                <c:pt idx="1463">
                  <c:v>3.81777824434959E-2</c:v>
                </c:pt>
                <c:pt idx="1464">
                  <c:v>3.8169838754988916E-2</c:v>
                </c:pt>
                <c:pt idx="1465">
                  <c:v>3.8161905303013555E-2</c:v>
                </c:pt>
                <c:pt idx="1466">
                  <c:v>3.8153982087489879E-2</c:v>
                </c:pt>
                <c:pt idx="1467">
                  <c:v>3.8146069108657699E-2</c:v>
                </c:pt>
                <c:pt idx="1468">
                  <c:v>3.813816636635714E-2</c:v>
                </c:pt>
                <c:pt idx="1469">
                  <c:v>3.8130273860508268E-2</c:v>
                </c:pt>
                <c:pt idx="1470">
                  <c:v>3.8122391591270954E-2</c:v>
                </c:pt>
                <c:pt idx="1471">
                  <c:v>3.8114519558325455E-2</c:v>
                </c:pt>
                <c:pt idx="1472">
                  <c:v>3.810665776207145E-2</c:v>
                </c:pt>
                <c:pt idx="1473">
                  <c:v>3.8098806202349067E-2</c:v>
                </c:pt>
                <c:pt idx="1474">
                  <c:v>3.8090964879158307E-2</c:v>
                </c:pt>
                <c:pt idx="1475">
                  <c:v>3.8083133792419233E-2</c:v>
                </c:pt>
                <c:pt idx="1476">
                  <c:v>3.8073080293825612E-2</c:v>
                </c:pt>
                <c:pt idx="1477">
                  <c:v>3.8066387362256648E-2</c:v>
                </c:pt>
                <c:pt idx="1478">
                  <c:v>3.8059701951471681E-2</c:v>
                </c:pt>
                <c:pt idx="1479">
                  <c:v>3.8051911810859096E-2</c:v>
                </c:pt>
                <c:pt idx="1480">
                  <c:v>3.8044131906698198E-2</c:v>
                </c:pt>
                <c:pt idx="1481">
                  <c:v>3.8036362239228794E-2</c:v>
                </c:pt>
                <c:pt idx="1482">
                  <c:v>3.8028602808051204E-2</c:v>
                </c:pt>
                <c:pt idx="1483">
                  <c:v>3.8020853613565109E-2</c:v>
                </c:pt>
                <c:pt idx="1484">
                  <c:v>3.8013114655450764E-2</c:v>
                </c:pt>
                <c:pt idx="1485">
                  <c:v>3.8005385933947977E-2</c:v>
                </c:pt>
                <c:pt idx="1486">
                  <c:v>3.7997667448976813E-2</c:v>
                </c:pt>
                <c:pt idx="1487">
                  <c:v>3.7989959200457335E-2</c:v>
                </c:pt>
                <c:pt idx="1488">
                  <c:v>3.7982261188549415E-2</c:v>
                </c:pt>
                <c:pt idx="1489">
                  <c:v>3.7972378785973149E-2</c:v>
                </c:pt>
                <c:pt idx="1490">
                  <c:v>3.7966895874168571E-2</c:v>
                </c:pt>
                <c:pt idx="1491">
                  <c:v>3.7959228571695647E-2</c:v>
                </c:pt>
                <c:pt idx="1492">
                  <c:v>3.7951571505754345E-2</c:v>
                </c:pt>
                <c:pt idx="1493">
                  <c:v>3.7943924676264729E-2</c:v>
                </c:pt>
                <c:pt idx="1494">
                  <c:v>3.7936288083386671E-2</c:v>
                </c:pt>
                <c:pt idx="1495">
                  <c:v>3.7927573083145205E-2</c:v>
                </c:pt>
                <c:pt idx="1496">
                  <c:v>3.7921045607065551E-2</c:v>
                </c:pt>
                <c:pt idx="1497">
                  <c:v>3.7913439723702425E-2</c:v>
                </c:pt>
                <c:pt idx="1498">
                  <c:v>3.7904759820026612E-2</c:v>
                </c:pt>
                <c:pt idx="1499">
                  <c:v>3.7898258666491103E-2</c:v>
                </c:pt>
                <c:pt idx="1500">
                  <c:v>3.7890683492562971E-2</c:v>
                </c:pt>
                <c:pt idx="1501">
                  <c:v>3.7883118555246398E-2</c:v>
                </c:pt>
                <c:pt idx="1502">
                  <c:v>3.7875563854381511E-2</c:v>
                </c:pt>
                <c:pt idx="1503">
                  <c:v>3.7868019390048246E-2</c:v>
                </c:pt>
                <c:pt idx="1504">
                  <c:v>3.7860485162166668E-2</c:v>
                </c:pt>
                <c:pt idx="1505">
                  <c:v>3.7852961170816712E-2</c:v>
                </c:pt>
                <c:pt idx="1506">
                  <c:v>3.7845447415998379E-2</c:v>
                </c:pt>
                <c:pt idx="1507">
                  <c:v>3.7837943897631732E-2</c:v>
                </c:pt>
                <c:pt idx="1508">
                  <c:v>3.7830450615796707E-2</c:v>
                </c:pt>
                <c:pt idx="1509">
                  <c:v>3.7822967570413368E-2</c:v>
                </c:pt>
                <c:pt idx="1510">
                  <c:v>3.7815494761481716E-2</c:v>
                </c:pt>
                <c:pt idx="1511">
                  <c:v>3.7806966943110254E-2</c:v>
                </c:pt>
                <c:pt idx="1512">
                  <c:v>3.7800579853373151E-2</c:v>
                </c:pt>
                <c:pt idx="1513">
                  <c:v>3.7793137754036366E-2</c:v>
                </c:pt>
                <c:pt idx="1514">
                  <c:v>3.7785705891151267E-2</c:v>
                </c:pt>
                <c:pt idx="1515">
                  <c:v>3.777828426479779E-2</c:v>
                </c:pt>
                <c:pt idx="1516">
                  <c:v>3.7770872874896E-2</c:v>
                </c:pt>
                <c:pt idx="1517">
                  <c:v>3.7763471721605768E-2</c:v>
                </c:pt>
                <c:pt idx="1518">
                  <c:v>3.775608080460735E-2</c:v>
                </c:pt>
                <c:pt idx="1519">
                  <c:v>3.7748700124300427E-2</c:v>
                </c:pt>
                <c:pt idx="1520">
                  <c:v>3.7741329680365254E-2</c:v>
                </c:pt>
                <c:pt idx="1521">
                  <c:v>3.7733969472961704E-2</c:v>
                </c:pt>
                <c:pt idx="1522">
                  <c:v>3.7726619502009839E-2</c:v>
                </c:pt>
                <c:pt idx="1523">
                  <c:v>3.7719279767669533E-2</c:v>
                </c:pt>
                <c:pt idx="1524">
                  <c:v>3.7711950269700978E-2</c:v>
                </c:pt>
                <c:pt idx="1525">
                  <c:v>3.7704631008264045E-2</c:v>
                </c:pt>
                <c:pt idx="1526">
                  <c:v>3.7697321983358734E-2</c:v>
                </c:pt>
                <c:pt idx="1527">
                  <c:v>3.7690023194825173E-2</c:v>
                </c:pt>
                <c:pt idx="1528">
                  <c:v>3.7680654079581544E-2</c:v>
                </c:pt>
                <c:pt idx="1529">
                  <c:v>3.7673378688971582E-2</c:v>
                </c:pt>
                <c:pt idx="1530">
                  <c:v>3.7667150787017434E-2</c:v>
                </c:pt>
                <c:pt idx="1531">
                  <c:v>3.7659894406880667E-2</c:v>
                </c:pt>
                <c:pt idx="1532">
                  <c:v>3.7652648263115651E-2</c:v>
                </c:pt>
                <c:pt idx="1533">
                  <c:v>3.7645412356042129E-2</c:v>
                </c:pt>
                <c:pt idx="1534">
                  <c:v>3.7638186685340358E-2</c:v>
                </c:pt>
                <c:pt idx="1535">
                  <c:v>3.7630971251090273E-2</c:v>
                </c:pt>
                <c:pt idx="1536">
                  <c:v>3.7623766053291874E-2</c:v>
                </c:pt>
                <c:pt idx="1537">
                  <c:v>3.7616571092025097E-2</c:v>
                </c:pt>
                <c:pt idx="1538">
                  <c:v>3.7609386367369879E-2</c:v>
                </c:pt>
                <c:pt idx="1539">
                  <c:v>3.7602211879006475E-2</c:v>
                </c:pt>
                <c:pt idx="1540">
                  <c:v>3.7595047627174694E-2</c:v>
                </c:pt>
                <c:pt idx="1541">
                  <c:v>3.7587893611794598E-2</c:v>
                </c:pt>
                <c:pt idx="1542">
                  <c:v>3.7580749833026061E-2</c:v>
                </c:pt>
                <c:pt idx="1543">
                  <c:v>3.7573616290629275E-2</c:v>
                </c:pt>
                <c:pt idx="1544">
                  <c:v>3.7567362957444672E-2</c:v>
                </c:pt>
                <c:pt idx="1545">
                  <c:v>3.7559379915270696E-2</c:v>
                </c:pt>
                <c:pt idx="1546">
                  <c:v>3.7552277082308905E-2</c:v>
                </c:pt>
                <c:pt idx="1547">
                  <c:v>3.7544172093468831E-2</c:v>
                </c:pt>
                <c:pt idx="1548">
                  <c:v>3.7538102125820316E-2</c:v>
                </c:pt>
                <c:pt idx="1549">
                  <c:v>3.7531030002373456E-2</c:v>
                </c:pt>
                <c:pt idx="1550">
                  <c:v>3.7522960109859227E-2</c:v>
                </c:pt>
                <c:pt idx="1551">
                  <c:v>3.7516916464754857E-2</c:v>
                </c:pt>
                <c:pt idx="1552">
                  <c:v>3.7509875050663055E-2</c:v>
                </c:pt>
                <c:pt idx="1553">
                  <c:v>3.7502843872943004E-2</c:v>
                </c:pt>
                <c:pt idx="1554">
                  <c:v>3.749582293183451E-2</c:v>
                </c:pt>
                <c:pt idx="1555">
                  <c:v>3.7488812227097768E-2</c:v>
                </c:pt>
                <c:pt idx="1556">
                  <c:v>3.7481811758972583E-2</c:v>
                </c:pt>
                <c:pt idx="1557">
                  <c:v>3.7474821527219149E-2</c:v>
                </c:pt>
                <c:pt idx="1558">
                  <c:v>3.7467841531997337E-2</c:v>
                </c:pt>
                <c:pt idx="1559">
                  <c:v>3.7460871773067339E-2</c:v>
                </c:pt>
                <c:pt idx="1560">
                  <c:v>3.7453912250828836E-2</c:v>
                </c:pt>
                <c:pt idx="1561">
                  <c:v>3.7446962964882147E-2</c:v>
                </c:pt>
                <c:pt idx="1562">
                  <c:v>3.744002391546708E-2</c:v>
                </c:pt>
                <c:pt idx="1563">
                  <c:v>3.7432106107777585E-2</c:v>
                </c:pt>
                <c:pt idx="1564">
                  <c:v>3.7426176526071941E-2</c:v>
                </c:pt>
                <c:pt idx="1565">
                  <c:v>3.7419268186011934E-2</c:v>
                </c:pt>
                <c:pt idx="1566">
                  <c:v>3.7412370082483548E-2</c:v>
                </c:pt>
                <c:pt idx="1567">
                  <c:v>3.7405482215486785E-2</c:v>
                </c:pt>
                <c:pt idx="1568">
                  <c:v>3.7398604584781836E-2</c:v>
                </c:pt>
                <c:pt idx="1569">
                  <c:v>3.7391737190768382E-2</c:v>
                </c:pt>
                <c:pt idx="1570">
                  <c:v>3.7384880032966805E-2</c:v>
                </c:pt>
                <c:pt idx="1571">
                  <c:v>3.7378033111776787E-2</c:v>
                </c:pt>
                <c:pt idx="1572">
                  <c:v>3.737119642695852E-2</c:v>
                </c:pt>
                <c:pt idx="1573">
                  <c:v>3.7364369978671874E-2</c:v>
                </c:pt>
                <c:pt idx="1574">
                  <c:v>3.7357553766756979E-2</c:v>
                </c:pt>
                <c:pt idx="1575">
                  <c:v>3.7350747791453642E-2</c:v>
                </c:pt>
                <c:pt idx="1576">
                  <c:v>3.7343952052601992E-2</c:v>
                </c:pt>
                <c:pt idx="1577">
                  <c:v>3.7337166550042156E-2</c:v>
                </c:pt>
                <c:pt idx="1578">
                  <c:v>3.7330391284093878E-2</c:v>
                </c:pt>
                <c:pt idx="1579">
                  <c:v>3.7323626254437414E-2</c:v>
                </c:pt>
                <c:pt idx="1580">
                  <c:v>3.7322679994838737E-2</c:v>
                </c:pt>
                <c:pt idx="1581">
                  <c:v>3.7305315631499525E-2</c:v>
                </c:pt>
                <c:pt idx="1582">
                  <c:v>3.730437458409952E-2</c:v>
                </c:pt>
                <c:pt idx="1583">
                  <c:v>3.729765349497427E-2</c:v>
                </c:pt>
                <c:pt idx="1584">
                  <c:v>3.7290942644698788E-2</c:v>
                </c:pt>
                <c:pt idx="1585">
                  <c:v>3.7284242033193138E-2</c:v>
                </c:pt>
                <c:pt idx="1586">
                  <c:v>3.7277551660563901E-2</c:v>
                </c:pt>
                <c:pt idx="1587">
                  <c:v>3.7270871526731142E-2</c:v>
                </c:pt>
                <c:pt idx="1588">
                  <c:v>3.7264201631748151E-2</c:v>
                </c:pt>
                <c:pt idx="1589">
                  <c:v>3.7257541975534991E-2</c:v>
                </c:pt>
                <c:pt idx="1590">
                  <c:v>3.72508925581716E-2</c:v>
                </c:pt>
                <c:pt idx="1591">
                  <c:v>3.7244253379604686E-2</c:v>
                </c:pt>
                <c:pt idx="1592">
                  <c:v>3.7237624439834249E-2</c:v>
                </c:pt>
                <c:pt idx="1593">
                  <c:v>3.7231005738886935E-2</c:v>
                </c:pt>
                <c:pt idx="1594">
                  <c:v>3.7217720347753058E-2</c:v>
                </c:pt>
                <c:pt idx="1595">
                  <c:v>3.7212069030498895E-2</c:v>
                </c:pt>
                <c:pt idx="1596">
                  <c:v>3.7205485332432175E-2</c:v>
                </c:pt>
                <c:pt idx="1597">
                  <c:v>3.7198911870737206E-2</c:v>
                </c:pt>
                <c:pt idx="1598">
                  <c:v>3.7191411877550706E-2</c:v>
                </c:pt>
                <c:pt idx="1599">
                  <c:v>3.7185795656702325E-2</c:v>
                </c:pt>
                <c:pt idx="1600">
                  <c:v>3.7179252904282478E-2</c:v>
                </c:pt>
                <c:pt idx="1601">
                  <c:v>3.7171788007581696E-2</c:v>
                </c:pt>
                <c:pt idx="1602">
                  <c:v>3.7166198109037651E-2</c:v>
                </c:pt>
                <c:pt idx="1603">
                  <c:v>3.7159686066052799E-2</c:v>
                </c:pt>
                <c:pt idx="1604">
                  <c:v>3.7153184259359762E-2</c:v>
                </c:pt>
                <c:pt idx="1605">
                  <c:v>3.7146692689278282E-2</c:v>
                </c:pt>
                <c:pt idx="1606">
                  <c:v>3.7140211355568553E-2</c:v>
                </c:pt>
                <c:pt idx="1607">
                  <c:v>3.713374025831051E-2</c:v>
                </c:pt>
                <c:pt idx="1608">
                  <c:v>3.7127279397504154E-2</c:v>
                </c:pt>
                <c:pt idx="1609">
                  <c:v>3.7120828773069547E-2</c:v>
                </c:pt>
                <c:pt idx="1610">
                  <c:v>3.7114388385166563E-2</c:v>
                </c:pt>
                <c:pt idx="1611">
                  <c:v>3.7107958233715266E-2</c:v>
                </c:pt>
                <c:pt idx="1612">
                  <c:v>3.7101538318715654E-2</c:v>
                </c:pt>
                <c:pt idx="1613">
                  <c:v>3.7095128640087793E-2</c:v>
                </c:pt>
                <c:pt idx="1614">
                  <c:v>3.7088729197911618E-2</c:v>
                </c:pt>
                <c:pt idx="1615">
                  <c:v>3.7081428084118073E-2</c:v>
                </c:pt>
                <c:pt idx="1616">
                  <c:v>3.7075961022834392E-2</c:v>
                </c:pt>
                <c:pt idx="1617">
                  <c:v>3.7069592290013276E-2</c:v>
                </c:pt>
                <c:pt idx="1618">
                  <c:v>3.706323379356391E-2</c:v>
                </c:pt>
                <c:pt idx="1619">
                  <c:v>3.7056885533566231E-2</c:v>
                </c:pt>
                <c:pt idx="1620">
                  <c:v>3.7050547509940301E-2</c:v>
                </c:pt>
                <c:pt idx="1621">
                  <c:v>3.7044219722925931E-2</c:v>
                </c:pt>
                <c:pt idx="1622">
                  <c:v>3.7037902172123438E-2</c:v>
                </c:pt>
                <c:pt idx="1623">
                  <c:v>3.7031594857932504E-2</c:v>
                </c:pt>
                <c:pt idx="1624">
                  <c:v>3.7025297780033384E-2</c:v>
                </c:pt>
                <c:pt idx="1625">
                  <c:v>3.701901093858595E-2</c:v>
                </c:pt>
                <c:pt idx="1626">
                  <c:v>3.7012734333670139E-2</c:v>
                </c:pt>
                <c:pt idx="1627">
                  <c:v>3.7006467965126078E-2</c:v>
                </c:pt>
                <c:pt idx="1628">
                  <c:v>3.7000211832953767E-2</c:v>
                </c:pt>
                <c:pt idx="1629">
                  <c:v>3.6993965937233142E-2</c:v>
                </c:pt>
                <c:pt idx="1630">
                  <c:v>3.6987730278124076E-2</c:v>
                </c:pt>
                <c:pt idx="1631">
                  <c:v>3.6981504855226888E-2</c:v>
                </c:pt>
                <c:pt idx="1632">
                  <c:v>3.6973515781344446E-2</c:v>
                </c:pt>
                <c:pt idx="1633">
                  <c:v>3.6968199132942914E-2</c:v>
                </c:pt>
                <c:pt idx="1634">
                  <c:v>3.6962890005325377E-2</c:v>
                </c:pt>
                <c:pt idx="1635">
                  <c:v>3.6956705528154998E-2</c:v>
                </c:pt>
                <c:pt idx="1636">
                  <c:v>3.6950531287436306E-2</c:v>
                </c:pt>
                <c:pt idx="1637">
                  <c:v>3.6944367283169299E-2</c:v>
                </c:pt>
                <c:pt idx="1638">
                  <c:v>3.6938213515274043E-2</c:v>
                </c:pt>
                <c:pt idx="1639">
                  <c:v>3.6932069983910409E-2</c:v>
                </c:pt>
                <c:pt idx="1640">
                  <c:v>3.692593668883859E-2</c:v>
                </c:pt>
                <c:pt idx="1641">
                  <c:v>3.6919813630298393E-2</c:v>
                </c:pt>
                <c:pt idx="1642">
                  <c:v>3.6913700808129946E-2</c:v>
                </c:pt>
                <c:pt idx="1643">
                  <c:v>3.6907598222413185E-2</c:v>
                </c:pt>
                <c:pt idx="1644">
                  <c:v>3.6901505873068174E-2</c:v>
                </c:pt>
                <c:pt idx="1645">
                  <c:v>3.689542376017485E-2</c:v>
                </c:pt>
                <c:pt idx="1646">
                  <c:v>3.6889351883653276E-2</c:v>
                </c:pt>
                <c:pt idx="1647">
                  <c:v>3.6883290243663325E-2</c:v>
                </c:pt>
                <c:pt idx="1648">
                  <c:v>3.6877238839965187E-2</c:v>
                </c:pt>
                <c:pt idx="1649">
                  <c:v>3.6869473505110051E-2</c:v>
                </c:pt>
                <c:pt idx="1650">
                  <c:v>3.686430601603341E-2</c:v>
                </c:pt>
                <c:pt idx="1651">
                  <c:v>3.6859146047660829E-2</c:v>
                </c:pt>
                <c:pt idx="1652">
                  <c:v>3.6853135589609565E-2</c:v>
                </c:pt>
                <c:pt idx="1653">
                  <c:v>3.6847135368089923E-2</c:v>
                </c:pt>
                <c:pt idx="1654">
                  <c:v>3.6840290506372497E-2</c:v>
                </c:pt>
                <c:pt idx="1655">
                  <c:v>3.6835165634245826E-2</c:v>
                </c:pt>
                <c:pt idx="1656">
                  <c:v>3.6829196121841434E-2</c:v>
                </c:pt>
                <c:pt idx="1657">
                  <c:v>3.6823236845968665E-2</c:v>
                </c:pt>
                <c:pt idx="1658">
                  <c:v>3.6817287806467647E-2</c:v>
                </c:pt>
                <c:pt idx="1659">
                  <c:v>3.681134900349825E-2</c:v>
                </c:pt>
                <c:pt idx="1660">
                  <c:v>3.6805420436820668E-2</c:v>
                </c:pt>
                <c:pt idx="1661">
                  <c:v>3.6799502106594772E-2</c:v>
                </c:pt>
                <c:pt idx="1662">
                  <c:v>3.6793594012740627E-2</c:v>
                </c:pt>
                <c:pt idx="1663">
                  <c:v>3.6787696155258232E-2</c:v>
                </c:pt>
                <c:pt idx="1664">
                  <c:v>3.6781808534307459E-2</c:v>
                </c:pt>
                <c:pt idx="1665">
                  <c:v>3.67759311496485E-2</c:v>
                </c:pt>
                <c:pt idx="1666">
                  <c:v>3.6770064001521163E-2</c:v>
                </c:pt>
                <c:pt idx="1667">
                  <c:v>3.6763371223669239E-2</c:v>
                </c:pt>
                <c:pt idx="1668">
                  <c:v>3.6758360414381741E-2</c:v>
                </c:pt>
                <c:pt idx="1669">
                  <c:v>3.6752523975369655E-2</c:v>
                </c:pt>
                <c:pt idx="1670">
                  <c:v>3.6746697772889192E-2</c:v>
                </c:pt>
                <c:pt idx="1671">
                  <c:v>3.6740881806700543E-2</c:v>
                </c:pt>
                <c:pt idx="1672">
                  <c:v>3.6735076076883644E-2</c:v>
                </c:pt>
                <c:pt idx="1673">
                  <c:v>3.6729280583598367E-2</c:v>
                </c:pt>
                <c:pt idx="1674">
                  <c:v>3.6723495326684841E-2</c:v>
                </c:pt>
                <c:pt idx="1675">
                  <c:v>3.6717720306143065E-2</c:v>
                </c:pt>
                <c:pt idx="1676">
                  <c:v>3.6711955522052975E-2</c:v>
                </c:pt>
                <c:pt idx="1677">
                  <c:v>3.6706200974414571E-2</c:v>
                </c:pt>
                <c:pt idx="1678">
                  <c:v>3.6700456662988046E-2</c:v>
                </c:pt>
                <c:pt idx="1679">
                  <c:v>3.6694722588173079E-2</c:v>
                </c:pt>
                <c:pt idx="1680">
                  <c:v>3.668899874956999E-2</c:v>
                </c:pt>
                <c:pt idx="1681">
                  <c:v>3.6683285147498523E-2</c:v>
                </c:pt>
                <c:pt idx="1682">
                  <c:v>3.6677581781798807E-2</c:v>
                </c:pt>
                <c:pt idx="1683">
                  <c:v>3.6671888652550777E-2</c:v>
                </c:pt>
                <c:pt idx="1684">
                  <c:v>3.6664583956023122E-2</c:v>
                </c:pt>
                <c:pt idx="1685">
                  <c:v>3.6658914224299011E-2</c:v>
                </c:pt>
                <c:pt idx="1686">
                  <c:v>3.6654062601515491E-2</c:v>
                </c:pt>
                <c:pt idx="1687">
                  <c:v>3.6648411880104703E-2</c:v>
                </c:pt>
                <c:pt idx="1688">
                  <c:v>3.6642771395145601E-2</c:v>
                </c:pt>
                <c:pt idx="1689">
                  <c:v>3.6637141146638186E-2</c:v>
                </c:pt>
                <c:pt idx="1690">
                  <c:v>3.663152113450252E-2</c:v>
                </c:pt>
                <c:pt idx="1691">
                  <c:v>3.6625911358658669E-2</c:v>
                </c:pt>
                <c:pt idx="1692">
                  <c:v>3.6620311819346441E-2</c:v>
                </c:pt>
                <c:pt idx="1693">
                  <c:v>3.6614722516405962E-2</c:v>
                </c:pt>
                <c:pt idx="1694">
                  <c:v>3.6609143449757298E-2</c:v>
                </c:pt>
                <c:pt idx="1695">
                  <c:v>3.6603574619640256E-2</c:v>
                </c:pt>
                <c:pt idx="1696">
                  <c:v>3.6598016025894964E-2</c:v>
                </c:pt>
                <c:pt idx="1697">
                  <c:v>3.659246766836155E-2</c:v>
                </c:pt>
                <c:pt idx="1698">
                  <c:v>3.6586929547439695E-2</c:v>
                </c:pt>
                <c:pt idx="1699">
                  <c:v>3.6579824147331408E-2</c:v>
                </c:pt>
                <c:pt idx="1700">
                  <c:v>3.6575884014631299E-2</c:v>
                </c:pt>
                <c:pt idx="1701">
                  <c:v>3.6570376602904631E-2</c:v>
                </c:pt>
                <c:pt idx="1702">
                  <c:v>3.6564094952264981E-2</c:v>
                </c:pt>
                <c:pt idx="1703">
                  <c:v>3.6559392488326736E-2</c:v>
                </c:pt>
                <c:pt idx="1704">
                  <c:v>3.6553915785795255E-2</c:v>
                </c:pt>
                <c:pt idx="1705">
                  <c:v>3.6548449319475651E-2</c:v>
                </c:pt>
                <c:pt idx="1706">
                  <c:v>3.6542214463803901E-2</c:v>
                </c:pt>
                <c:pt idx="1707">
                  <c:v>3.6537547096111567E-2</c:v>
                </c:pt>
                <c:pt idx="1708">
                  <c:v>3.6532111339067086E-2</c:v>
                </c:pt>
                <c:pt idx="1709">
                  <c:v>3.6526685818314419E-2</c:v>
                </c:pt>
                <c:pt idx="1710">
                  <c:v>3.6521270429616948E-2</c:v>
                </c:pt>
                <c:pt idx="1711">
                  <c:v>3.6515862248593933E-2</c:v>
                </c:pt>
                <c:pt idx="1712">
                  <c:v>3.6510459917371563E-2</c:v>
                </c:pt>
                <c:pt idx="1713">
                  <c:v>3.6505063436109708E-2</c:v>
                </c:pt>
                <c:pt idx="1714">
                  <c:v>3.6499672804648498E-2</c:v>
                </c:pt>
                <c:pt idx="1715">
                  <c:v>3.6494288023147803E-2</c:v>
                </c:pt>
                <c:pt idx="1716">
                  <c:v>3.648890909168756E-2</c:v>
                </c:pt>
                <c:pt idx="1717">
                  <c:v>3.6483536010107898E-2</c:v>
                </c:pt>
                <c:pt idx="1718">
                  <c:v>3.6478168778408815E-2</c:v>
                </c:pt>
                <c:pt idx="1719">
                  <c:v>3.6472041962394286E-2</c:v>
                </c:pt>
                <c:pt idx="1720">
                  <c:v>3.6467451864652389E-2</c:v>
                </c:pt>
                <c:pt idx="1721">
                  <c:v>3.6462102182595046E-2</c:v>
                </c:pt>
                <c:pt idx="1722">
                  <c:v>3.6456758350578156E-2</c:v>
                </c:pt>
                <c:pt idx="1723">
                  <c:v>3.6451420368361909E-2</c:v>
                </c:pt>
                <c:pt idx="1724">
                  <c:v>3.6446088236106178E-2</c:v>
                </c:pt>
                <c:pt idx="1725">
                  <c:v>3.6440761953731027E-2</c:v>
                </c:pt>
                <c:pt idx="1726">
                  <c:v>3.6435441521396328E-2</c:v>
                </c:pt>
                <c:pt idx="1727">
                  <c:v>3.6430126938782337E-2</c:v>
                </c:pt>
                <c:pt idx="1728">
                  <c:v>3.6424818206208798E-2</c:v>
                </c:pt>
                <c:pt idx="1729">
                  <c:v>3.6419515323515839E-2</c:v>
                </c:pt>
                <c:pt idx="1730">
                  <c:v>3.641421829070346E-2</c:v>
                </c:pt>
                <c:pt idx="1731">
                  <c:v>3.640892710777166E-2</c:v>
                </c:pt>
                <c:pt idx="1732">
                  <c:v>3.6403641774800377E-2</c:v>
                </c:pt>
                <c:pt idx="1733">
                  <c:v>3.6398362291709674E-2</c:v>
                </c:pt>
                <c:pt idx="1734">
                  <c:v>3.6393088658499551E-2</c:v>
                </c:pt>
                <c:pt idx="1735">
                  <c:v>3.6387820875249943E-2</c:v>
                </c:pt>
                <c:pt idx="1736">
                  <c:v>3.6381056606824558E-2</c:v>
                </c:pt>
                <c:pt idx="1737">
                  <c:v>3.6376552466883538E-2</c:v>
                </c:pt>
                <c:pt idx="1738">
                  <c:v>3.6372052624864537E-2</c:v>
                </c:pt>
                <c:pt idx="1739">
                  <c:v>3.6366808241297122E-2</c:v>
                </c:pt>
                <c:pt idx="1740">
                  <c:v>3.6361569707610286E-2</c:v>
                </c:pt>
                <c:pt idx="1741">
                  <c:v>3.6356337023724095E-2</c:v>
                </c:pt>
                <c:pt idx="1742">
                  <c:v>3.6351110189878355E-2</c:v>
                </c:pt>
                <c:pt idx="1743">
                  <c:v>3.6345889205833259E-2</c:v>
                </c:pt>
                <c:pt idx="1744">
                  <c:v>3.634067407174868E-2</c:v>
                </c:pt>
                <c:pt idx="1745">
                  <c:v>3.6335464787464744E-2</c:v>
                </c:pt>
                <c:pt idx="1746">
                  <c:v>3.6330261353141324E-2</c:v>
                </c:pt>
                <c:pt idx="1747">
                  <c:v>3.6325063768778421E-2</c:v>
                </c:pt>
                <c:pt idx="1748">
                  <c:v>3.6319872034296097E-2</c:v>
                </c:pt>
                <c:pt idx="1749">
                  <c:v>3.6314686149774289E-2</c:v>
                </c:pt>
                <c:pt idx="1750">
                  <c:v>3.6308027179599023E-2</c:v>
                </c:pt>
                <c:pt idx="1751">
                  <c:v>3.6304331930292477E-2</c:v>
                </c:pt>
                <c:pt idx="1752">
                  <c:v>3.6299163595332473E-2</c:v>
                </c:pt>
                <c:pt idx="1753">
                  <c:v>3.6294001110412921E-2</c:v>
                </c:pt>
                <c:pt idx="1754">
                  <c:v>3.6288844475373949E-2</c:v>
                </c:pt>
                <c:pt idx="1755">
                  <c:v>3.6282958341233851E-2</c:v>
                </c:pt>
                <c:pt idx="1756">
                  <c:v>3.6278548754937745E-2</c:v>
                </c:pt>
                <c:pt idx="1757">
                  <c:v>3.6273409669460577E-2</c:v>
                </c:pt>
                <c:pt idx="1758">
                  <c:v>3.6267543592236606E-2</c:v>
                </c:pt>
                <c:pt idx="1759">
                  <c:v>3.6263149048467724E-2</c:v>
                </c:pt>
                <c:pt idx="1760">
                  <c:v>3.6258027512872104E-2</c:v>
                </c:pt>
                <c:pt idx="1761">
                  <c:v>3.6252911827077128E-2</c:v>
                </c:pt>
                <c:pt idx="1762">
                  <c:v>3.6247801991162731E-2</c:v>
                </c:pt>
                <c:pt idx="1763">
                  <c:v>3.6242698005288787E-2</c:v>
                </c:pt>
                <c:pt idx="1764">
                  <c:v>3.6237599869135551E-2</c:v>
                </c:pt>
                <c:pt idx="1765">
                  <c:v>3.6232507583022766E-2</c:v>
                </c:pt>
                <c:pt idx="1766">
                  <c:v>3.6227421146710626E-2</c:v>
                </c:pt>
                <c:pt idx="1767">
                  <c:v>3.6222340560438937E-2</c:v>
                </c:pt>
                <c:pt idx="1768">
                  <c:v>3.6217265823967892E-2</c:v>
                </c:pt>
                <c:pt idx="1769">
                  <c:v>3.6212196937377428E-2</c:v>
                </c:pt>
                <c:pt idx="1770">
                  <c:v>3.6207133900667543E-2</c:v>
                </c:pt>
                <c:pt idx="1771">
                  <c:v>3.6201354736160596E-2</c:v>
                </c:pt>
                <c:pt idx="1772">
                  <c:v>3.6197025377129322E-2</c:v>
                </c:pt>
                <c:pt idx="1773">
                  <c:v>3.6191979890061177E-2</c:v>
                </c:pt>
                <c:pt idx="1774">
                  <c:v>3.6186940252953548E-2</c:v>
                </c:pt>
                <c:pt idx="1775">
                  <c:v>3.6181906465806435E-2</c:v>
                </c:pt>
                <c:pt idx="1776">
                  <c:v>3.6176878528619838E-2</c:v>
                </c:pt>
                <c:pt idx="1777">
                  <c:v>3.6171856441153949E-2</c:v>
                </c:pt>
                <c:pt idx="1778">
                  <c:v>3.6166840203728512E-2</c:v>
                </c:pt>
                <c:pt idx="1779">
                  <c:v>3.6161829816103719E-2</c:v>
                </c:pt>
                <c:pt idx="1780">
                  <c:v>3.6156825278439442E-2</c:v>
                </c:pt>
                <c:pt idx="1781">
                  <c:v>3.6151826590575808E-2</c:v>
                </c:pt>
                <c:pt idx="1782">
                  <c:v>3.6146833752672691E-2</c:v>
                </c:pt>
                <c:pt idx="1783">
                  <c:v>3.614184676473009E-2</c:v>
                </c:pt>
                <c:pt idx="1784">
                  <c:v>3.6136865626588133E-2</c:v>
                </c:pt>
                <c:pt idx="1785">
                  <c:v>3.6131890338406691E-2</c:v>
                </c:pt>
                <c:pt idx="1786">
                  <c:v>3.6126920900025894E-2</c:v>
                </c:pt>
                <c:pt idx="1787">
                  <c:v>3.6121957311685549E-2</c:v>
                </c:pt>
                <c:pt idx="1788">
                  <c:v>3.6115584150806512E-2</c:v>
                </c:pt>
                <c:pt idx="1789">
                  <c:v>3.6110633933530423E-2</c:v>
                </c:pt>
                <c:pt idx="1790">
                  <c:v>3.6106395546209313E-2</c:v>
                </c:pt>
                <c:pt idx="1791">
                  <c:v>3.6101456193042836E-2</c:v>
                </c:pt>
                <c:pt idx="1792">
                  <c:v>3.6096522689836874E-2</c:v>
                </c:pt>
                <c:pt idx="1793">
                  <c:v>3.6091595036431556E-2</c:v>
                </c:pt>
                <c:pt idx="1794">
                  <c:v>3.6086673232986755E-2</c:v>
                </c:pt>
                <c:pt idx="1795">
                  <c:v>3.6081757279342597E-2</c:v>
                </c:pt>
                <c:pt idx="1796">
                  <c:v>3.6076847175658955E-2</c:v>
                </c:pt>
                <c:pt idx="1797">
                  <c:v>3.6071942921855893E-2</c:v>
                </c:pt>
                <c:pt idx="1798">
                  <c:v>3.6067044518013347E-2</c:v>
                </c:pt>
                <c:pt idx="1799">
                  <c:v>3.6062151963971445E-2</c:v>
                </c:pt>
                <c:pt idx="1800">
                  <c:v>3.6057265259810123E-2</c:v>
                </c:pt>
                <c:pt idx="1801">
                  <c:v>3.6052384405609317E-2</c:v>
                </c:pt>
                <c:pt idx="1802">
                  <c:v>3.6047509401209155E-2</c:v>
                </c:pt>
                <c:pt idx="1803">
                  <c:v>3.6042640246849444E-2</c:v>
                </c:pt>
                <c:pt idx="1804">
                  <c:v>3.6037776942210442E-2</c:v>
                </c:pt>
                <c:pt idx="1805">
                  <c:v>3.6034445842734186E-2</c:v>
                </c:pt>
                <c:pt idx="1806">
                  <c:v>3.6028067882813986E-2</c:v>
                </c:pt>
                <c:pt idx="1807">
                  <c:v>3.6022530354777871E-2</c:v>
                </c:pt>
                <c:pt idx="1808">
                  <c:v>3.6018382222859913E-2</c:v>
                </c:pt>
                <c:pt idx="1809">
                  <c:v>3.6013548167783682E-2</c:v>
                </c:pt>
                <c:pt idx="1810">
                  <c:v>3.6008030696423887E-2</c:v>
                </c:pt>
                <c:pt idx="1811">
                  <c:v>3.6003897607113089E-2</c:v>
                </c:pt>
                <c:pt idx="1812">
                  <c:v>3.599908110183847E-2</c:v>
                </c:pt>
                <c:pt idx="1813">
                  <c:v>3.5994270446124688E-2</c:v>
                </c:pt>
                <c:pt idx="1814">
                  <c:v>3.5989465640451357E-2</c:v>
                </c:pt>
                <c:pt idx="1815">
                  <c:v>3.5984666684738542E-2</c:v>
                </c:pt>
                <c:pt idx="1816">
                  <c:v>3.5979873578746435E-2</c:v>
                </c:pt>
                <c:pt idx="1817">
                  <c:v>3.597508632279478E-2</c:v>
                </c:pt>
                <c:pt idx="1818">
                  <c:v>3.5970304916643769E-2</c:v>
                </c:pt>
                <c:pt idx="1819">
                  <c:v>3.596552936053321E-2</c:v>
                </c:pt>
                <c:pt idx="1820">
                  <c:v>3.5960759654143359E-2</c:v>
                </c:pt>
                <c:pt idx="1821">
                  <c:v>3.5955995797714024E-2</c:v>
                </c:pt>
                <c:pt idx="1822">
                  <c:v>3.5951237791085333E-2</c:v>
                </c:pt>
                <c:pt idx="1823">
                  <c:v>3.5945807232362625E-2</c:v>
                </c:pt>
                <c:pt idx="1824">
                  <c:v>3.5941739327469691E-2</c:v>
                </c:pt>
                <c:pt idx="1825">
                  <c:v>3.5936998870562675E-2</c:v>
                </c:pt>
                <c:pt idx="1826">
                  <c:v>3.593226426353624E-2</c:v>
                </c:pt>
                <c:pt idx="1827">
                  <c:v>3.5927535506390385E-2</c:v>
                </c:pt>
                <c:pt idx="1828">
                  <c:v>3.5922812599125109E-2</c:v>
                </c:pt>
                <c:pt idx="1829">
                  <c:v>3.591809554182035E-2</c:v>
                </c:pt>
                <c:pt idx="1830">
                  <c:v>3.5913384334316234E-2</c:v>
                </c:pt>
                <c:pt idx="1831">
                  <c:v>3.5908678976612762E-2</c:v>
                </c:pt>
                <c:pt idx="1832">
                  <c:v>3.5903979468949743E-2</c:v>
                </c:pt>
                <c:pt idx="1833">
                  <c:v>3.5899285811007431E-2</c:v>
                </c:pt>
                <c:pt idx="1834">
                  <c:v>3.5894598003105571E-2</c:v>
                </c:pt>
                <c:pt idx="1835">
                  <c:v>3.5889916045004355E-2</c:v>
                </c:pt>
                <c:pt idx="1836">
                  <c:v>3.5885239936783719E-2</c:v>
                </c:pt>
                <c:pt idx="1837">
                  <c:v>3.5880569678523599E-2</c:v>
                </c:pt>
                <c:pt idx="1838">
                  <c:v>3.5875905270064123E-2</c:v>
                </c:pt>
                <c:pt idx="1839">
                  <c:v>3.5871246711565163E-2</c:v>
                </c:pt>
                <c:pt idx="1840">
                  <c:v>3.5868174905342443E-2</c:v>
                </c:pt>
                <c:pt idx="1841">
                  <c:v>3.5863529628272772E-2</c:v>
                </c:pt>
                <c:pt idx="1842">
                  <c:v>3.5856643611396066E-2</c:v>
                </c:pt>
                <c:pt idx="1843">
                  <c:v>3.5852009288070974E-2</c:v>
                </c:pt>
                <c:pt idx="1844">
                  <c:v>3.5847380814626462E-2</c:v>
                </c:pt>
                <c:pt idx="1845">
                  <c:v>3.5842758191062529E-2</c:v>
                </c:pt>
                <c:pt idx="1846">
                  <c:v>3.5838141417379177E-2</c:v>
                </c:pt>
                <c:pt idx="1847">
                  <c:v>3.5833530493496468E-2</c:v>
                </c:pt>
                <c:pt idx="1848">
                  <c:v>3.5828925419654212E-2</c:v>
                </c:pt>
                <c:pt idx="1849">
                  <c:v>3.5824326195532663E-2</c:v>
                </c:pt>
                <c:pt idx="1850">
                  <c:v>3.5819732821451566E-2</c:v>
                </c:pt>
                <c:pt idx="1851">
                  <c:v>3.5815145297091178E-2</c:v>
                </c:pt>
                <c:pt idx="1852">
                  <c:v>3.5810563622771241E-2</c:v>
                </c:pt>
                <c:pt idx="1853">
                  <c:v>3.5805987798251948E-2</c:v>
                </c:pt>
                <c:pt idx="1854">
                  <c:v>3.5807234285741174E-2</c:v>
                </c:pt>
                <c:pt idx="1855">
                  <c:v>3.579424825403521E-2</c:v>
                </c:pt>
                <c:pt idx="1856">
                  <c:v>3.5789693321763849E-2</c:v>
                </c:pt>
                <c:pt idx="1857">
                  <c:v>3.5785144239612876E-2</c:v>
                </c:pt>
                <c:pt idx="1858">
                  <c:v>3.5779952451573394E-2</c:v>
                </c:pt>
                <c:pt idx="1859">
                  <c:v>3.5776063624712862E-2</c:v>
                </c:pt>
                <c:pt idx="1860">
                  <c:v>3.5771532092203628E-2</c:v>
                </c:pt>
                <c:pt idx="1861">
                  <c:v>3.5766360360840466E-2</c:v>
                </c:pt>
                <c:pt idx="1862">
                  <c:v>3.5762486576587094E-2</c:v>
                </c:pt>
                <c:pt idx="1863">
                  <c:v>3.5757972593639664E-2</c:v>
                </c:pt>
                <c:pt idx="1864">
                  <c:v>3.5753464460572815E-2</c:v>
                </c:pt>
                <c:pt idx="1865">
                  <c:v>3.5748962177306609E-2</c:v>
                </c:pt>
                <c:pt idx="1866">
                  <c:v>3.5744465744080856E-2</c:v>
                </c:pt>
                <c:pt idx="1867">
                  <c:v>3.573997516057581E-2</c:v>
                </c:pt>
                <c:pt idx="1868">
                  <c:v>3.5735490426951344E-2</c:v>
                </c:pt>
                <c:pt idx="1869">
                  <c:v>3.5731011543207458E-2</c:v>
                </c:pt>
                <c:pt idx="1870">
                  <c:v>3.5726538509344152E-2</c:v>
                </c:pt>
                <c:pt idx="1871">
                  <c:v>3.5722071325441362E-2</c:v>
                </c:pt>
                <c:pt idx="1872">
                  <c:v>3.5717609991339216E-2</c:v>
                </c:pt>
                <c:pt idx="1873">
                  <c:v>3.571315450711765E-2</c:v>
                </c:pt>
                <c:pt idx="1874">
                  <c:v>3.5708069688311639E-2</c:v>
                </c:pt>
                <c:pt idx="1875">
                  <c:v>3.5704261088316258E-2</c:v>
                </c:pt>
                <c:pt idx="1876">
                  <c:v>3.5699823153656496E-2</c:v>
                </c:pt>
                <c:pt idx="1877">
                  <c:v>3.5695391069037186E-2</c:v>
                </c:pt>
                <c:pt idx="1878">
                  <c:v>3.5690964834138583E-2</c:v>
                </c:pt>
                <c:pt idx="1879">
                  <c:v>3.5686544449120561E-2</c:v>
                </c:pt>
                <c:pt idx="1880">
                  <c:v>3.5682129914063054E-2</c:v>
                </c:pt>
                <c:pt idx="1881">
                  <c:v>3.5677721228806192E-2</c:v>
                </c:pt>
                <c:pt idx="1882">
                  <c:v>3.5673318393509845E-2</c:v>
                </c:pt>
                <c:pt idx="1883">
                  <c:v>3.5668921408014143E-2</c:v>
                </c:pt>
                <c:pt idx="1884">
                  <c:v>3.566453027239902E-2</c:v>
                </c:pt>
                <c:pt idx="1885">
                  <c:v>3.5660144986664477E-2</c:v>
                </c:pt>
                <c:pt idx="1886">
                  <c:v>3.5655765550810514E-2</c:v>
                </c:pt>
                <c:pt idx="1887">
                  <c:v>3.5651391964837131E-2</c:v>
                </c:pt>
                <c:pt idx="1888">
                  <c:v>3.5647024228584456E-2</c:v>
                </c:pt>
                <c:pt idx="1889">
                  <c:v>3.5642662342372233E-2</c:v>
                </c:pt>
                <c:pt idx="1890">
                  <c:v>3.563830630604059E-2</c:v>
                </c:pt>
                <c:pt idx="1891">
                  <c:v>3.5633956119509591E-2</c:v>
                </c:pt>
                <c:pt idx="1892">
                  <c:v>3.5629824665011078E-2</c:v>
                </c:pt>
                <c:pt idx="1893">
                  <c:v>3.5624653989803079E-2</c:v>
                </c:pt>
                <c:pt idx="1894">
                  <c:v>3.5620940659200073E-2</c:v>
                </c:pt>
                <c:pt idx="1895">
                  <c:v>3.5616613872191394E-2</c:v>
                </c:pt>
                <c:pt idx="1896">
                  <c:v>3.5612292935063294E-2</c:v>
                </c:pt>
                <c:pt idx="1897">
                  <c:v>3.5607977847655903E-2</c:v>
                </c:pt>
                <c:pt idx="1898">
                  <c:v>3.5603668610288963E-2</c:v>
                </c:pt>
                <c:pt idx="1899">
                  <c:v>3.5599365222722668E-2</c:v>
                </c:pt>
                <c:pt idx="1900">
                  <c:v>3.5595067685036952E-2</c:v>
                </c:pt>
                <c:pt idx="1901">
                  <c:v>3.559077599715188E-2</c:v>
                </c:pt>
                <c:pt idx="1902">
                  <c:v>3.5586490159387196E-2</c:v>
                </c:pt>
                <c:pt idx="1903">
                  <c:v>3.5582210171183348E-2</c:v>
                </c:pt>
                <c:pt idx="1904">
                  <c:v>3.5577936033019952E-2</c:v>
                </c:pt>
                <c:pt idx="1905">
                  <c:v>3.5572449308185483E-2</c:v>
                </c:pt>
                <c:pt idx="1906">
                  <c:v>3.5569405306175028E-2</c:v>
                </c:pt>
                <c:pt idx="1907">
                  <c:v>3.5565148717573436E-2</c:v>
                </c:pt>
                <c:pt idx="1908">
                  <c:v>3.5560897978772488E-2</c:v>
                </c:pt>
                <c:pt idx="1909">
                  <c:v>3.5556653089932055E-2</c:v>
                </c:pt>
                <c:pt idx="1910">
                  <c:v>3.5551808951481689E-2</c:v>
                </c:pt>
                <c:pt idx="1911">
                  <c:v>3.5548180861812995E-2</c:v>
                </c:pt>
                <c:pt idx="1912">
                  <c:v>3.554395352245443E-2</c:v>
                </c:pt>
                <c:pt idx="1913">
                  <c:v>3.5539129440680384E-2</c:v>
                </c:pt>
                <c:pt idx="1914">
                  <c:v>3.5535516393458977E-2</c:v>
                </c:pt>
                <c:pt idx="1915">
                  <c:v>3.5531306603822088E-2</c:v>
                </c:pt>
                <c:pt idx="1916">
                  <c:v>3.5527102664065779E-2</c:v>
                </c:pt>
                <c:pt idx="1917">
                  <c:v>3.5522904574110115E-2</c:v>
                </c:pt>
                <c:pt idx="1918">
                  <c:v>3.5518712333955094E-2</c:v>
                </c:pt>
                <c:pt idx="1919">
                  <c:v>3.5514525943760589E-2</c:v>
                </c:pt>
                <c:pt idx="1920">
                  <c:v>3.5510345403366728E-2</c:v>
                </c:pt>
                <c:pt idx="1921">
                  <c:v>3.5506170712933383E-2</c:v>
                </c:pt>
                <c:pt idx="1922">
                  <c:v>3.5502001872300681E-2</c:v>
                </c:pt>
                <c:pt idx="1923">
                  <c:v>3.549783888154856E-2</c:v>
                </c:pt>
                <c:pt idx="1924">
                  <c:v>3.5493681740677019E-2</c:v>
                </c:pt>
                <c:pt idx="1925">
                  <c:v>3.5489530449526185E-2</c:v>
                </c:pt>
                <c:pt idx="1926">
                  <c:v>3.5485385008415804E-2</c:v>
                </c:pt>
                <c:pt idx="1927">
                  <c:v>3.5480654524411293E-2</c:v>
                </c:pt>
                <c:pt idx="1928">
                  <c:v>3.5477111675676909E-2</c:v>
                </c:pt>
                <c:pt idx="1929">
                  <c:v>3.5472983784048395E-2</c:v>
                </c:pt>
                <c:pt idx="1930">
                  <c:v>3.5468861742380398E-2</c:v>
                </c:pt>
                <c:pt idx="1931">
                  <c:v>3.5464745550513044E-2</c:v>
                </c:pt>
                <c:pt idx="1932">
                  <c:v>3.5460635208446334E-2</c:v>
                </c:pt>
                <c:pt idx="1933">
                  <c:v>3.545653071634014E-2</c:v>
                </c:pt>
                <c:pt idx="1934">
                  <c:v>3.545243207403459E-2</c:v>
                </c:pt>
                <c:pt idx="1935">
                  <c:v>3.5448339281529684E-2</c:v>
                </c:pt>
                <c:pt idx="1936">
                  <c:v>3.5444252338985294E-2</c:v>
                </c:pt>
                <c:pt idx="1937">
                  <c:v>3.544017124640142E-2</c:v>
                </c:pt>
                <c:pt idx="1938">
                  <c:v>3.5436096003618189E-2</c:v>
                </c:pt>
                <c:pt idx="1939">
                  <c:v>3.5432026610555667E-2</c:v>
                </c:pt>
                <c:pt idx="1940">
                  <c:v>3.5427963067613533E-2</c:v>
                </c:pt>
                <c:pt idx="1941">
                  <c:v>3.5423905374232234E-2</c:v>
                </c:pt>
                <c:pt idx="1942">
                  <c:v>3.5419853530891388E-2</c:v>
                </c:pt>
                <c:pt idx="1943">
                  <c:v>3.5415807537271249E-2</c:v>
                </c:pt>
                <c:pt idx="1944">
                  <c:v>3.5410614141317964E-2</c:v>
                </c:pt>
                <c:pt idx="1945">
                  <c:v>3.5407157249665033E-2</c:v>
                </c:pt>
                <c:pt idx="1946">
                  <c:v>3.5403704655854185E-2</c:v>
                </c:pt>
                <c:pt idx="1947">
                  <c:v>3.5399682061756366E-2</c:v>
                </c:pt>
                <c:pt idx="1948">
                  <c:v>3.5395665317539127E-2</c:v>
                </c:pt>
                <c:pt idx="1949">
                  <c:v>3.5391654423202468E-2</c:v>
                </c:pt>
                <c:pt idx="1950">
                  <c:v>3.5387649378666453E-2</c:v>
                </c:pt>
                <c:pt idx="1951">
                  <c:v>3.5383650184011017E-2</c:v>
                </c:pt>
                <c:pt idx="1952">
                  <c:v>3.5379656839156226E-2</c:v>
                </c:pt>
                <c:pt idx="1953">
                  <c:v>3.5375669344261951E-2</c:v>
                </c:pt>
                <c:pt idx="1954">
                  <c:v>3.5371687699168319E-2</c:v>
                </c:pt>
                <c:pt idx="1955">
                  <c:v>3.5367711903955268E-2</c:v>
                </c:pt>
                <c:pt idx="1956">
                  <c:v>3.5363741958462924E-2</c:v>
                </c:pt>
                <c:pt idx="1957">
                  <c:v>3.5359777863090969E-2</c:v>
                </c:pt>
                <c:pt idx="1958">
                  <c:v>3.5355819617359785E-2</c:v>
                </c:pt>
                <c:pt idx="1959">
                  <c:v>3.5351867221509181E-2</c:v>
                </c:pt>
                <c:pt idx="1960">
                  <c:v>3.5346794165613815E-2</c:v>
                </c:pt>
                <c:pt idx="1961">
                  <c:v>3.5343979979529649E-2</c:v>
                </c:pt>
                <c:pt idx="1962">
                  <c:v>3.5339483489948975E-2</c:v>
                </c:pt>
                <c:pt idx="1963">
                  <c:v>3.5336116136992501E-2</c:v>
                </c:pt>
                <c:pt idx="1964">
                  <c:v>3.5332192990384925E-2</c:v>
                </c:pt>
                <c:pt idx="1965">
                  <c:v>3.5328275693897737E-2</c:v>
                </c:pt>
                <c:pt idx="1966">
                  <c:v>3.5323805946365638E-2</c:v>
                </c:pt>
                <c:pt idx="1967">
                  <c:v>3.5320458650085484E-2</c:v>
                </c:pt>
                <c:pt idx="1968">
                  <c:v>3.5316558902920292E-2</c:v>
                </c:pt>
                <c:pt idx="1969">
                  <c:v>3.5312665005715616E-2</c:v>
                </c:pt>
                <c:pt idx="1970">
                  <c:v>3.5308776909390716E-2</c:v>
                </c:pt>
                <c:pt idx="1971">
                  <c:v>3.5304886485247877E-2</c:v>
                </c:pt>
                <c:pt idx="1972">
                  <c:v>3.5300987514501614E-2</c:v>
                </c:pt>
                <c:pt idx="1973">
                  <c:v>3.529707999747167E-2</c:v>
                </c:pt>
                <c:pt idx="1974">
                  <c:v>3.5293163933678429E-2</c:v>
                </c:pt>
                <c:pt idx="1975">
                  <c:v>3.5289239323281762E-2</c:v>
                </c:pt>
                <c:pt idx="1976">
                  <c:v>3.528530616652148E-2</c:v>
                </c:pt>
                <c:pt idx="1977">
                  <c:v>3.52813644629979E-2</c:v>
                </c:pt>
                <c:pt idx="1978">
                  <c:v>3.5277414213030767E-2</c:v>
                </c:pt>
                <c:pt idx="1979">
                  <c:v>3.5272889176365396E-2</c:v>
                </c:pt>
                <c:pt idx="1980">
                  <c:v>3.526948807320629E-2</c:v>
                </c:pt>
                <c:pt idx="1981">
                  <c:v>3.5265512183508818E-2</c:v>
                </c:pt>
                <c:pt idx="1982">
                  <c:v>3.5261527747207921E-2</c:v>
                </c:pt>
                <c:pt idx="1983">
                  <c:v>3.5257534764383536E-2</c:v>
                </c:pt>
                <c:pt idx="1984">
                  <c:v>3.5253533234955725E-2</c:v>
                </c:pt>
                <c:pt idx="1985">
                  <c:v>3.5249523159004426E-2</c:v>
                </c:pt>
                <c:pt idx="1986">
                  <c:v>3.5245504536529637E-2</c:v>
                </c:pt>
                <c:pt idx="1987">
                  <c:v>3.5241477367451424E-2</c:v>
                </c:pt>
                <c:pt idx="1988">
                  <c:v>3.5237441651689849E-2</c:v>
                </c:pt>
                <c:pt idx="1989">
                  <c:v>3.5233397389484722E-2</c:v>
                </c:pt>
                <c:pt idx="1990">
                  <c:v>3.5229344580756106E-2</c:v>
                </c:pt>
                <c:pt idx="1991">
                  <c:v>3.5225283225424064E-2</c:v>
                </c:pt>
                <c:pt idx="1992">
                  <c:v>3.5221213323488598E-2</c:v>
                </c:pt>
                <c:pt idx="1993">
                  <c:v>3.5217134874949707E-2</c:v>
                </c:pt>
                <c:pt idx="1994">
                  <c:v>3.5213047879967263E-2</c:v>
                </c:pt>
                <c:pt idx="1995">
                  <c:v>3.5208952338301458E-2</c:v>
                </c:pt>
                <c:pt idx="1996">
                  <c:v>3.5203674083907899E-2</c:v>
                </c:pt>
                <c:pt idx="1997">
                  <c:v>3.5199559007388359E-2</c:v>
                </c:pt>
                <c:pt idx="1998">
                  <c:v>3.5196024996384523E-2</c:v>
                </c:pt>
                <c:pt idx="1999">
                  <c:v>3.5191894047681416E-2</c:v>
                </c:pt>
                <c:pt idx="2000">
                  <c:v>3.5187754552294948E-2</c:v>
                </c:pt>
                <c:pt idx="2001">
                  <c:v>3.5183606510544863E-2</c:v>
                </c:pt>
                <c:pt idx="2002">
                  <c:v>3.517944992203148E-2</c:v>
                </c:pt>
                <c:pt idx="2003">
                  <c:v>3.5175284787074546E-2</c:v>
                </c:pt>
                <c:pt idx="2004">
                  <c:v>3.517111110543425E-2</c:v>
                </c:pt>
                <c:pt idx="2005">
                  <c:v>3.5166928877350401E-2</c:v>
                </c:pt>
                <c:pt idx="2006">
                  <c:v>3.5162738102583191E-2</c:v>
                </c:pt>
                <c:pt idx="2007">
                  <c:v>3.5158538781372428E-2</c:v>
                </c:pt>
                <c:pt idx="2008">
                  <c:v>3.5154330913718113E-2</c:v>
                </c:pt>
                <c:pt idx="2009">
                  <c:v>3.51501144993005E-2</c:v>
                </c:pt>
                <c:pt idx="2010">
                  <c:v>3.514588953851927E-2</c:v>
                </c:pt>
                <c:pt idx="2011">
                  <c:v>3.5140444887709066E-2</c:v>
                </c:pt>
                <c:pt idx="2012">
                  <c:v>3.5137413976986664E-2</c:v>
                </c:pt>
                <c:pt idx="2013">
                  <c:v>3.513316337639516E-2</c:v>
                </c:pt>
                <c:pt idx="2014">
                  <c:v>3.5128295082067496E-2</c:v>
                </c:pt>
                <c:pt idx="2015">
                  <c:v>3.5124636535641685E-2</c:v>
                </c:pt>
                <c:pt idx="2016">
                  <c:v>3.5120360295479713E-2</c:v>
                </c:pt>
                <c:pt idx="2017">
                  <c:v>3.5116075508634381E-2</c:v>
                </c:pt>
                <c:pt idx="2018">
                  <c:v>3.5111168144359439E-2</c:v>
                </c:pt>
                <c:pt idx="2019">
                  <c:v>3.5107480295533122E-2</c:v>
                </c:pt>
                <c:pt idx="2020">
                  <c:v>3.5103169868957451E-2</c:v>
                </c:pt>
                <c:pt idx="2021">
                  <c:v>3.5098850896178035E-2</c:v>
                </c:pt>
                <c:pt idx="2022">
                  <c:v>3.5094523376475451E-2</c:v>
                </c:pt>
                <c:pt idx="2023">
                  <c:v>3.5090187310409249E-2</c:v>
                </c:pt>
                <c:pt idx="2024">
                  <c:v>3.5085842697739622E-2</c:v>
                </c:pt>
                <c:pt idx="2025">
                  <c:v>3.508148953846657E-2</c:v>
                </c:pt>
                <c:pt idx="2026">
                  <c:v>3.5077127832829902E-2</c:v>
                </c:pt>
                <c:pt idx="2027">
                  <c:v>3.5072757580509872E-2</c:v>
                </c:pt>
                <c:pt idx="2028">
                  <c:v>3.5068378781586418E-2</c:v>
                </c:pt>
                <c:pt idx="2029">
                  <c:v>3.5063991436299347E-2</c:v>
                </c:pt>
                <c:pt idx="2030">
                  <c:v>3.5059595544328914E-2</c:v>
                </c:pt>
                <c:pt idx="2031">
                  <c:v>3.5054561202665369E-2</c:v>
                </c:pt>
                <c:pt idx="2032">
                  <c:v>3.5050778120737647E-2</c:v>
                </c:pt>
                <c:pt idx="2033">
                  <c:v>3.5046356589196748E-2</c:v>
                </c:pt>
                <c:pt idx="2034">
                  <c:v>3.5041926511052424E-2</c:v>
                </c:pt>
                <c:pt idx="2035">
                  <c:v>3.5037487886384611E-2</c:v>
                </c:pt>
                <c:pt idx="2036">
                  <c:v>3.5033040715113373E-2</c:v>
                </c:pt>
                <c:pt idx="2037">
                  <c:v>3.5028584997398582E-2</c:v>
                </c:pt>
                <c:pt idx="2038">
                  <c:v>3.502412073300043E-2</c:v>
                </c:pt>
                <c:pt idx="2039">
                  <c:v>3.5019647922078789E-2</c:v>
                </c:pt>
                <c:pt idx="2040">
                  <c:v>3.501516656463366E-2</c:v>
                </c:pt>
                <c:pt idx="2041">
                  <c:v>3.5010676660665041E-2</c:v>
                </c:pt>
                <c:pt idx="2042">
                  <c:v>3.5006178210172934E-2</c:v>
                </c:pt>
                <c:pt idx="2043">
                  <c:v>3.5001671213077401E-2</c:v>
                </c:pt>
                <c:pt idx="2044">
                  <c:v>3.499715566945838E-2</c:v>
                </c:pt>
                <c:pt idx="2045">
                  <c:v>3.4992631579235933E-2</c:v>
                </c:pt>
                <c:pt idx="2046">
                  <c:v>3.4988098942809742E-2</c:v>
                </c:pt>
                <c:pt idx="2047">
                  <c:v>3.498355775930051E-2</c:v>
                </c:pt>
                <c:pt idx="2048">
                  <c:v>3.4977706537073772E-2</c:v>
                </c:pt>
                <c:pt idx="2049">
                  <c:v>3.4973797873201207E-2</c:v>
                </c:pt>
                <c:pt idx="2050">
                  <c:v>3.496988293043124E-2</c:v>
                </c:pt>
                <c:pt idx="2051">
                  <c:v>3.4965307560987924E-2</c:v>
                </c:pt>
                <c:pt idx="2052">
                  <c:v>3.4960723645021119E-2</c:v>
                </c:pt>
                <c:pt idx="2053">
                  <c:v>3.4956131182530825E-2</c:v>
                </c:pt>
                <c:pt idx="2054">
                  <c:v>3.4951530173437106E-2</c:v>
                </c:pt>
                <c:pt idx="2055">
                  <c:v>3.4946920617899835E-2</c:v>
                </c:pt>
                <c:pt idx="2056">
                  <c:v>3.4942302515759138E-2</c:v>
                </c:pt>
                <c:pt idx="2057">
                  <c:v>3.4937675867174889E-2</c:v>
                </c:pt>
                <c:pt idx="2058">
                  <c:v>3.4933040671907278E-2</c:v>
                </c:pt>
                <c:pt idx="2059">
                  <c:v>3.4928396930196115E-2</c:v>
                </c:pt>
                <c:pt idx="2060">
                  <c:v>3.4923744641881527E-2</c:v>
                </c:pt>
                <c:pt idx="2061">
                  <c:v>3.4917750570082617E-2</c:v>
                </c:pt>
                <c:pt idx="2062">
                  <c:v>3.4914414425601947E-2</c:v>
                </c:pt>
                <c:pt idx="2063">
                  <c:v>3.4909736497636956E-2</c:v>
                </c:pt>
                <c:pt idx="2064">
                  <c:v>3.4905050023308348E-2</c:v>
                </c:pt>
                <c:pt idx="2065">
                  <c:v>3.4900355002216443E-2</c:v>
                </c:pt>
                <c:pt idx="2066">
                  <c:v>3.4895651434920794E-2</c:v>
                </c:pt>
                <c:pt idx="2067">
                  <c:v>3.4890265463811687E-2</c:v>
                </c:pt>
                <c:pt idx="2068">
                  <c:v>3.4886218660199475E-2</c:v>
                </c:pt>
                <c:pt idx="2069">
                  <c:v>3.488148945309355E-2</c:v>
                </c:pt>
                <c:pt idx="2070">
                  <c:v>3.4876074179663874E-2</c:v>
                </c:pt>
                <c:pt idx="2071">
                  <c:v>3.4872005399151362E-2</c:v>
                </c:pt>
                <c:pt idx="2072">
                  <c:v>3.4867250552315099E-2</c:v>
                </c:pt>
                <c:pt idx="2073">
                  <c:v>3.4862487159035283E-2</c:v>
                </c:pt>
                <c:pt idx="2074">
                  <c:v>3.4857715219152041E-2</c:v>
                </c:pt>
                <c:pt idx="2075">
                  <c:v>3.4852934732985119E-2</c:v>
                </c:pt>
                <c:pt idx="2076">
                  <c:v>3.48481457000549E-2</c:v>
                </c:pt>
                <c:pt idx="2077">
                  <c:v>3.4843348120521256E-2</c:v>
                </c:pt>
                <c:pt idx="2078">
                  <c:v>3.4838541994703931E-2</c:v>
                </c:pt>
                <c:pt idx="2079">
                  <c:v>3.4833727322203245E-2</c:v>
                </c:pt>
                <c:pt idx="2080">
                  <c:v>3.4828904103099134E-2</c:v>
                </c:pt>
                <c:pt idx="2081">
                  <c:v>3.4824072337471534E-2</c:v>
                </c:pt>
                <c:pt idx="2082">
                  <c:v>3.4819232025560254E-2</c:v>
                </c:pt>
                <c:pt idx="2083">
                  <c:v>3.4813689775141654E-2</c:v>
                </c:pt>
                <c:pt idx="2084">
                  <c:v>3.480952576168761E-2</c:v>
                </c:pt>
                <c:pt idx="2085">
                  <c:v>3.4804659810205862E-2</c:v>
                </c:pt>
                <c:pt idx="2086">
                  <c:v>3.4799785311880882E-2</c:v>
                </c:pt>
                <c:pt idx="2087">
                  <c:v>3.4794902267112349E-2</c:v>
                </c:pt>
                <c:pt idx="2088">
                  <c:v>3.479001067574039E-2</c:v>
                </c:pt>
                <c:pt idx="2089">
                  <c:v>3.4785110538084751E-2</c:v>
                </c:pt>
                <c:pt idx="2090">
                  <c:v>3.4780201853745751E-2</c:v>
                </c:pt>
                <c:pt idx="2091">
                  <c:v>3.477528462272339E-2</c:v>
                </c:pt>
                <c:pt idx="2092">
                  <c:v>3.4770358845337412E-2</c:v>
                </c:pt>
                <c:pt idx="2093">
                  <c:v>3.4765424521507882E-2</c:v>
                </c:pt>
                <c:pt idx="2094">
                  <c:v>3.476048165099499E-2</c:v>
                </c:pt>
                <c:pt idx="2095">
                  <c:v>3.4755530234038545E-2</c:v>
                </c:pt>
                <c:pt idx="2096">
                  <c:v>3.4750570270558612E-2</c:v>
                </c:pt>
                <c:pt idx="2097">
                  <c:v>3.4745601760555189E-2</c:v>
                </c:pt>
                <c:pt idx="2098">
                  <c:v>3.4740624703868406E-2</c:v>
                </c:pt>
                <c:pt idx="2099">
                  <c:v>3.4735639100897941E-2</c:v>
                </c:pt>
                <c:pt idx="2100">
                  <c:v>3.472921648158156E-2</c:v>
                </c:pt>
                <c:pt idx="2101">
                  <c:v>3.4724211343517553E-2</c:v>
                </c:pt>
                <c:pt idx="2102">
                  <c:v>3.4719914423018139E-2</c:v>
                </c:pt>
                <c:pt idx="2103">
                  <c:v>3.47148934128505E-2</c:v>
                </c:pt>
                <c:pt idx="2104">
                  <c:v>3.4709863856159373E-2</c:v>
                </c:pt>
                <c:pt idx="2105">
                  <c:v>3.4704825753024693E-2</c:v>
                </c:pt>
                <c:pt idx="2106">
                  <c:v>3.4699779103366524E-2</c:v>
                </c:pt>
                <c:pt idx="2107">
                  <c:v>3.4694723906945057E-2</c:v>
                </c:pt>
                <c:pt idx="2108">
                  <c:v>3.4689660164399783E-2</c:v>
                </c:pt>
                <c:pt idx="2109">
                  <c:v>3.4684587875171147E-2</c:v>
                </c:pt>
                <c:pt idx="2110">
                  <c:v>3.4679507039339086E-2</c:v>
                </c:pt>
                <c:pt idx="2111">
                  <c:v>3.4674417656823664E-2</c:v>
                </c:pt>
                <c:pt idx="2112">
                  <c:v>3.4669319728104497E-2</c:v>
                </c:pt>
                <c:pt idx="2113">
                  <c:v>3.466421325270197E-2</c:v>
                </c:pt>
                <c:pt idx="2114">
                  <c:v>3.4659098230855889E-2</c:v>
                </c:pt>
                <c:pt idx="2115">
                  <c:v>3.4653974662406384E-2</c:v>
                </c:pt>
                <c:pt idx="2116">
                  <c:v>3.4649974918110615E-2</c:v>
                </c:pt>
                <c:pt idx="2117">
                  <c:v>3.4643701886176714E-2</c:v>
                </c:pt>
                <c:pt idx="2118">
                  <c:v>3.4638552678156742E-2</c:v>
                </c:pt>
                <c:pt idx="2119">
                  <c:v>3.463265740388799E-2</c:v>
                </c:pt>
                <c:pt idx="2120">
                  <c:v>3.4628228622706203E-2</c:v>
                </c:pt>
                <c:pt idx="2121">
                  <c:v>3.4623053775115764E-2</c:v>
                </c:pt>
                <c:pt idx="2122">
                  <c:v>3.4617129198606378E-2</c:v>
                </c:pt>
                <c:pt idx="2123">
                  <c:v>3.4612678440604228E-2</c:v>
                </c:pt>
                <c:pt idx="2124">
                  <c:v>3.4607477953443322E-2</c:v>
                </c:pt>
                <c:pt idx="2125">
                  <c:v>3.4602268919838863E-2</c:v>
                </c:pt>
                <c:pt idx="2126">
                  <c:v>3.4597051339710916E-2</c:v>
                </c:pt>
                <c:pt idx="2127">
                  <c:v>3.4591825213219352E-2</c:v>
                </c:pt>
                <c:pt idx="2128">
                  <c:v>3.4586590540044426E-2</c:v>
                </c:pt>
                <c:pt idx="2129">
                  <c:v>3.4581347320346012E-2</c:v>
                </c:pt>
                <c:pt idx="2130">
                  <c:v>3.4576095554283981E-2</c:v>
                </c:pt>
                <c:pt idx="2131">
                  <c:v>3.4570835241538589E-2</c:v>
                </c:pt>
                <c:pt idx="2132">
                  <c:v>3.4565566382349644E-2</c:v>
                </c:pt>
                <c:pt idx="2133">
                  <c:v>3.4560288976557274E-2</c:v>
                </c:pt>
                <c:pt idx="2134">
                  <c:v>3.4555003024481223E-2</c:v>
                </c:pt>
                <c:pt idx="2135">
                  <c:v>3.454895147106285E-2</c:v>
                </c:pt>
                <c:pt idx="2136">
                  <c:v>3.4544405480358975E-2</c:v>
                </c:pt>
                <c:pt idx="2137">
                  <c:v>3.4539093888712458E-2</c:v>
                </c:pt>
                <c:pt idx="2138">
                  <c:v>3.4533773750382579E-2</c:v>
                </c:pt>
                <c:pt idx="2139">
                  <c:v>3.4528445065529212E-2</c:v>
                </c:pt>
                <c:pt idx="2140">
                  <c:v>3.4523107834152356E-2</c:v>
                </c:pt>
                <c:pt idx="2141">
                  <c:v>3.4517762056491819E-2</c:v>
                </c:pt>
                <c:pt idx="2142">
                  <c:v>3.4512407732227857E-2</c:v>
                </c:pt>
                <c:pt idx="2143">
                  <c:v>3.4507044861280534E-2</c:v>
                </c:pt>
                <c:pt idx="2144">
                  <c:v>3.450167344404953E-2</c:v>
                </c:pt>
                <c:pt idx="2145">
                  <c:v>3.4496293480215101E-2</c:v>
                </c:pt>
                <c:pt idx="2146">
                  <c:v>3.4490904969777247E-2</c:v>
                </c:pt>
                <c:pt idx="2147">
                  <c:v>3.4485507912815905E-2</c:v>
                </c:pt>
                <c:pt idx="2148">
                  <c:v>3.4480102309570881E-2</c:v>
                </c:pt>
                <c:pt idx="2149">
                  <c:v>3.4474688159642497E-2</c:v>
                </c:pt>
                <c:pt idx="2150">
                  <c:v>3.446926546327056E-2</c:v>
                </c:pt>
                <c:pt idx="2151">
                  <c:v>3.4463834220295197E-2</c:v>
                </c:pt>
                <c:pt idx="2152">
                  <c:v>3.4459358357015191E-2</c:v>
                </c:pt>
                <c:pt idx="2153">
                  <c:v>3.4453905314677513E-2</c:v>
                </c:pt>
                <c:pt idx="2154">
                  <c:v>3.4446708960365058E-2</c:v>
                </c:pt>
                <c:pt idx="2155">
                  <c:v>3.4441242310352393E-2</c:v>
                </c:pt>
                <c:pt idx="2156">
                  <c:v>3.4435767113976112E-2</c:v>
                </c:pt>
                <c:pt idx="2157">
                  <c:v>3.4430283371236214E-2</c:v>
                </c:pt>
                <c:pt idx="2158">
                  <c:v>3.4424791081892891E-2</c:v>
                </c:pt>
                <c:pt idx="2159">
                  <c:v>3.4419290245866208E-2</c:v>
                </c:pt>
                <c:pt idx="2160">
                  <c:v>3.4413780863555843E-2</c:v>
                </c:pt>
                <c:pt idx="2161">
                  <c:v>3.4408262934721989E-2</c:v>
                </c:pt>
                <c:pt idx="2162">
                  <c:v>3.4402736459284711E-2</c:v>
                </c:pt>
                <c:pt idx="2163">
                  <c:v>3.4397201437323943E-2</c:v>
                </c:pt>
                <c:pt idx="2164">
                  <c:v>3.4391657868999559E-2</c:v>
                </c:pt>
                <c:pt idx="2165">
                  <c:v>3.438610575407175E-2</c:v>
                </c:pt>
                <c:pt idx="2166">
                  <c:v>3.4385521395845942E-2</c:v>
                </c:pt>
                <c:pt idx="2167">
                  <c:v>3.4371789643135031E-2</c:v>
                </c:pt>
                <c:pt idx="2168">
                  <c:v>3.4366207004943305E-2</c:v>
                </c:pt>
                <c:pt idx="2169">
                  <c:v>3.4360615820308027E-2</c:v>
                </c:pt>
                <c:pt idx="2170">
                  <c:v>3.4354215429930335E-2</c:v>
                </c:pt>
                <c:pt idx="2171">
                  <c:v>3.4349407811626875E-2</c:v>
                </c:pt>
                <c:pt idx="2172">
                  <c:v>3.4343790987501066E-2</c:v>
                </c:pt>
                <c:pt idx="2173">
                  <c:v>3.4337361294722868E-2</c:v>
                </c:pt>
                <c:pt idx="2174">
                  <c:v>3.4332531699838853E-2</c:v>
                </c:pt>
                <c:pt idx="2175">
                  <c:v>3.4326889236142577E-2</c:v>
                </c:pt>
                <c:pt idx="2176">
                  <c:v>3.4321238226082684E-2</c:v>
                </c:pt>
                <c:pt idx="2177">
                  <c:v>3.4315578669499303E-2</c:v>
                </c:pt>
                <c:pt idx="2178">
                  <c:v>3.4309910566392432E-2</c:v>
                </c:pt>
                <c:pt idx="2179">
                  <c:v>3.4304233916682136E-2</c:v>
                </c:pt>
                <c:pt idx="2180">
                  <c:v>3.4298548720768096E-2</c:v>
                </c:pt>
                <c:pt idx="2181">
                  <c:v>3.4292854978250631E-2</c:v>
                </c:pt>
                <c:pt idx="2182">
                  <c:v>3.4287152689129741E-2</c:v>
                </c:pt>
                <c:pt idx="2183">
                  <c:v>3.4281441853485362E-2</c:v>
                </c:pt>
                <c:pt idx="2184">
                  <c:v>3.4275722471477366E-2</c:v>
                </c:pt>
                <c:pt idx="2185">
                  <c:v>3.4269994542865945E-2</c:v>
                </c:pt>
                <c:pt idx="2186">
                  <c:v>3.4264258067731035E-2</c:v>
                </c:pt>
                <c:pt idx="2187">
                  <c:v>3.4257691631216503E-2</c:v>
                </c:pt>
                <c:pt idx="2188">
                  <c:v>3.4252759478210493E-2</c:v>
                </c:pt>
                <c:pt idx="2189">
                  <c:v>3.4246997363744924E-2</c:v>
                </c:pt>
                <c:pt idx="2190">
                  <c:v>3.4241226702516059E-2</c:v>
                </c:pt>
                <c:pt idx="2191">
                  <c:v>3.4235447495243321E-2</c:v>
                </c:pt>
                <c:pt idx="2192">
                  <c:v>3.4229659741287222E-2</c:v>
                </c:pt>
                <c:pt idx="2193">
                  <c:v>3.4223863440727698E-2</c:v>
                </c:pt>
                <c:pt idx="2194">
                  <c:v>3.4218058593564749E-2</c:v>
                </c:pt>
                <c:pt idx="2195">
                  <c:v>3.4212245200198055E-2</c:v>
                </c:pt>
                <c:pt idx="2196">
                  <c:v>3.4206423260307872E-2</c:v>
                </c:pt>
                <c:pt idx="2197">
                  <c:v>3.4200592773734328E-2</c:v>
                </c:pt>
                <c:pt idx="2198">
                  <c:v>3.4194753740877104E-2</c:v>
                </c:pt>
                <c:pt idx="2199">
                  <c:v>3.4188906161496391E-2</c:v>
                </c:pt>
                <c:pt idx="2200">
                  <c:v>3.4183050035592188E-2</c:v>
                </c:pt>
                <c:pt idx="2201">
                  <c:v>3.4177185363084561E-2</c:v>
                </c:pt>
                <c:pt idx="2202">
                  <c:v>3.4171312144293253E-2</c:v>
                </c:pt>
                <c:pt idx="2203">
                  <c:v>3.416543037889852E-2</c:v>
                </c:pt>
                <c:pt idx="2204">
                  <c:v>3.4157855550933647E-2</c:v>
                </c:pt>
                <c:pt idx="2205">
                  <c:v>3.4152797817021963E-2</c:v>
                </c:pt>
                <c:pt idx="2206">
                  <c:v>3.4147733803893132E-2</c:v>
                </c:pt>
                <c:pt idx="2207">
                  <c:v>3.4141817852644252E-2</c:v>
                </c:pt>
                <c:pt idx="2208">
                  <c:v>3.413589335471201E-2</c:v>
                </c:pt>
                <c:pt idx="2209">
                  <c:v>3.4129960310496088E-2</c:v>
                </c:pt>
                <c:pt idx="2210">
                  <c:v>3.4124018719676741E-2</c:v>
                </c:pt>
                <c:pt idx="2211">
                  <c:v>3.4118068582413841E-2</c:v>
                </c:pt>
                <c:pt idx="2212">
                  <c:v>3.4112109898707388E-2</c:v>
                </c:pt>
                <c:pt idx="2213">
                  <c:v>3.4106142668557382E-2</c:v>
                </c:pt>
                <c:pt idx="2214">
                  <c:v>3.4100166891883887E-2</c:v>
                </c:pt>
                <c:pt idx="2215">
                  <c:v>3.4094182568606968E-2</c:v>
                </c:pt>
                <c:pt idx="2216">
                  <c:v>3.4088189698886495E-2</c:v>
                </c:pt>
                <c:pt idx="2217">
                  <c:v>3.4082188282802406E-2</c:v>
                </c:pt>
                <c:pt idx="2218">
                  <c:v>3.4076178320274764E-2</c:v>
                </c:pt>
                <c:pt idx="2219">
                  <c:v>3.407015981106376E-2</c:v>
                </c:pt>
                <c:pt idx="2220">
                  <c:v>3.4062409169894892E-2</c:v>
                </c:pt>
                <c:pt idx="2221">
                  <c:v>3.4058097153550904E-2</c:v>
                </c:pt>
                <c:pt idx="2222">
                  <c:v>3.40511888576156E-2</c:v>
                </c:pt>
                <c:pt idx="2223">
                  <c:v>3.4046000309864155E-2</c:v>
                </c:pt>
                <c:pt idx="2224">
                  <c:v>3.4039939068515324E-2</c:v>
                </c:pt>
                <c:pt idx="2225">
                  <c:v>3.4033869280563067E-2</c:v>
                </c:pt>
                <c:pt idx="2226">
                  <c:v>3.4026921914840358E-2</c:v>
                </c:pt>
                <c:pt idx="2227">
                  <c:v>3.4021704065327896E-2</c:v>
                </c:pt>
                <c:pt idx="2228">
                  <c:v>3.4015608637725236E-2</c:v>
                </c:pt>
                <c:pt idx="2229">
                  <c:v>3.4009504663918833E-2</c:v>
                </c:pt>
                <c:pt idx="2230">
                  <c:v>3.400339214358894E-2</c:v>
                </c:pt>
                <c:pt idx="2231">
                  <c:v>3.3997271076735558E-2</c:v>
                </c:pt>
                <c:pt idx="2232">
                  <c:v>3.3991141463438623E-2</c:v>
                </c:pt>
                <c:pt idx="2233">
                  <c:v>3.39850033036182E-2</c:v>
                </c:pt>
                <c:pt idx="2234">
                  <c:v>3.3978856597514095E-2</c:v>
                </c:pt>
                <c:pt idx="2235">
                  <c:v>3.3972701344806566E-2</c:v>
                </c:pt>
                <c:pt idx="2236">
                  <c:v>3.3966537545655484E-2</c:v>
                </c:pt>
                <c:pt idx="2237">
                  <c:v>3.3960365199900977E-2</c:v>
                </c:pt>
                <c:pt idx="2238">
                  <c:v>3.3954184307942725E-2</c:v>
                </c:pt>
                <c:pt idx="2239">
                  <c:v>3.3947109966030453E-2</c:v>
                </c:pt>
                <c:pt idx="2240">
                  <c:v>3.3941796884215947E-2</c:v>
                </c:pt>
                <c:pt idx="2241">
                  <c:v>3.3935590352607292E-2</c:v>
                </c:pt>
                <c:pt idx="2242">
                  <c:v>3.3929375274635021E-2</c:v>
                </c:pt>
                <c:pt idx="2243">
                  <c:v>3.3923151650219197E-2</c:v>
                </c:pt>
                <c:pt idx="2244">
                  <c:v>3.3916919479120011E-2</c:v>
                </c:pt>
                <c:pt idx="2245">
                  <c:v>3.3910678761817081E-2</c:v>
                </c:pt>
                <c:pt idx="2246">
                  <c:v>3.3904429497910726E-2</c:v>
                </c:pt>
                <c:pt idx="2247">
                  <c:v>3.3898171687640755E-2</c:v>
                </c:pt>
                <c:pt idx="2248">
                  <c:v>3.3891905330767358E-2</c:v>
                </c:pt>
                <c:pt idx="2249">
                  <c:v>3.3885630427530344E-2</c:v>
                </c:pt>
                <c:pt idx="2250">
                  <c:v>3.3879346977849778E-2</c:v>
                </c:pt>
                <c:pt idx="2251">
                  <c:v>3.3873054981565787E-2</c:v>
                </c:pt>
                <c:pt idx="2252">
                  <c:v>3.3866754438838242E-2</c:v>
                </c:pt>
                <c:pt idx="2253">
                  <c:v>3.3860445349827017E-2</c:v>
                </c:pt>
                <c:pt idx="2254">
                  <c:v>3.3854127714292304E-2</c:v>
                </c:pt>
                <c:pt idx="2255">
                  <c:v>3.3847801531994293E-2</c:v>
                </c:pt>
                <c:pt idx="2256">
                  <c:v>3.3839655311496131E-2</c:v>
                </c:pt>
                <c:pt idx="2257">
                  <c:v>3.3833309594584193E-2</c:v>
                </c:pt>
                <c:pt idx="2258">
                  <c:v>3.3827863606523678E-2</c:v>
                </c:pt>
                <c:pt idx="2259">
                  <c:v>3.3821502017588045E-2</c:v>
                </c:pt>
                <c:pt idx="2260">
                  <c:v>3.381513188220886E-2</c:v>
                </c:pt>
                <c:pt idx="2261">
                  <c:v>3.3808753200545993E-2</c:v>
                </c:pt>
                <c:pt idx="2262">
                  <c:v>3.3802365972359638E-2</c:v>
                </c:pt>
                <c:pt idx="2263">
                  <c:v>3.3795970197649794E-2</c:v>
                </c:pt>
                <c:pt idx="2264">
                  <c:v>3.3789565876416461E-2</c:v>
                </c:pt>
                <c:pt idx="2265">
                  <c:v>3.3783153008979383E-2</c:v>
                </c:pt>
                <c:pt idx="2266">
                  <c:v>3.377673159493888E-2</c:v>
                </c:pt>
                <c:pt idx="2267">
                  <c:v>3.3770301634215016E-2</c:v>
                </c:pt>
                <c:pt idx="2268">
                  <c:v>3.3763863127367344E-2</c:v>
                </c:pt>
                <c:pt idx="2269">
                  <c:v>3.3757416073996183E-2</c:v>
                </c:pt>
                <c:pt idx="2270">
                  <c:v>3.3750960474101532E-2</c:v>
                </c:pt>
                <c:pt idx="2271">
                  <c:v>3.3742647859025254E-2</c:v>
                </c:pt>
                <c:pt idx="2272">
                  <c:v>3.3738023634981573E-2</c:v>
                </c:pt>
                <c:pt idx="2273">
                  <c:v>3.37315423958362E-2</c:v>
                </c:pt>
                <c:pt idx="2274">
                  <c:v>3.3724124800098565E-2</c:v>
                </c:pt>
                <c:pt idx="2275">
                  <c:v>3.3718554277815116E-2</c:v>
                </c:pt>
                <c:pt idx="2276">
                  <c:v>3.3712047399179212E-2</c:v>
                </c:pt>
                <c:pt idx="2277">
                  <c:v>3.3705531974179692E-2</c:v>
                </c:pt>
                <c:pt idx="2278">
                  <c:v>3.3698075309134268E-2</c:v>
                </c:pt>
                <c:pt idx="2279">
                  <c:v>3.3692475484690121E-2</c:v>
                </c:pt>
                <c:pt idx="2280">
                  <c:v>3.3685934420280006E-2</c:v>
                </c:pt>
                <c:pt idx="2281">
                  <c:v>3.3679384809346402E-2</c:v>
                </c:pt>
                <c:pt idx="2282">
                  <c:v>3.3672826651889309E-2</c:v>
                </c:pt>
                <c:pt idx="2283">
                  <c:v>3.3666259948228472E-2</c:v>
                </c:pt>
                <c:pt idx="2284">
                  <c:v>3.3659684698044146E-2</c:v>
                </c:pt>
                <c:pt idx="2285">
                  <c:v>3.365310090133633E-2</c:v>
                </c:pt>
                <c:pt idx="2286">
                  <c:v>3.3646508558184962E-2</c:v>
                </c:pt>
                <c:pt idx="2287">
                  <c:v>3.3639907668749913E-2</c:v>
                </c:pt>
                <c:pt idx="2288">
                  <c:v>3.3633298232631503E-2</c:v>
                </c:pt>
                <c:pt idx="2289">
                  <c:v>3.3626680250069541E-2</c:v>
                </c:pt>
                <c:pt idx="2290">
                  <c:v>3.3620053721223897E-2</c:v>
                </c:pt>
                <c:pt idx="2291">
                  <c:v>3.3612470080228718E-2</c:v>
                </c:pt>
                <c:pt idx="2292">
                  <c:v>3.3606775024122015E-2</c:v>
                </c:pt>
                <c:pt idx="2293">
                  <c:v>3.3600122855785841E-2</c:v>
                </c:pt>
                <c:pt idx="2294">
                  <c:v>3.3593462141165986E-2</c:v>
                </c:pt>
                <c:pt idx="2295">
                  <c:v>3.3586792880022642E-2</c:v>
                </c:pt>
                <c:pt idx="2296">
                  <c:v>3.3580115072275873E-2</c:v>
                </c:pt>
                <c:pt idx="2297">
                  <c:v>3.357342871832536E-2</c:v>
                </c:pt>
                <c:pt idx="2298">
                  <c:v>3.3566733817771421E-2</c:v>
                </c:pt>
                <c:pt idx="2299">
                  <c:v>3.3560030370853866E-2</c:v>
                </c:pt>
                <c:pt idx="2300">
                  <c:v>3.3553318377412822E-2</c:v>
                </c:pt>
                <c:pt idx="2301">
                  <c:v>3.3546597837768033E-2</c:v>
                </c:pt>
                <c:pt idx="2302">
                  <c:v>3.3539868751519819E-2</c:v>
                </c:pt>
                <c:pt idx="2303">
                  <c:v>3.3533131118588244E-2</c:v>
                </c:pt>
                <c:pt idx="2304">
                  <c:v>3.3526384939612797E-2</c:v>
                </c:pt>
                <c:pt idx="2305">
                  <c:v>3.3519630214033924E-2</c:v>
                </c:pt>
                <c:pt idx="2306">
                  <c:v>3.3512866942091435E-2</c:v>
                </c:pt>
                <c:pt idx="2307">
                  <c:v>3.3506095123545521E-2</c:v>
                </c:pt>
                <c:pt idx="2308">
                  <c:v>3.3497375941848873E-2</c:v>
                </c:pt>
                <c:pt idx="2309">
                  <c:v>3.349155530515624E-2</c:v>
                </c:pt>
                <c:pt idx="2310">
                  <c:v>3.3485728389566205E-2</c:v>
                </c:pt>
                <c:pt idx="2311">
                  <c:v>3.3478922385326015E-2</c:v>
                </c:pt>
                <c:pt idx="2312">
                  <c:v>3.3472107834722209E-2</c:v>
                </c:pt>
                <c:pt idx="2313">
                  <c:v>3.346528473767485E-2</c:v>
                </c:pt>
                <c:pt idx="2314">
                  <c:v>3.3458453094183938E-2</c:v>
                </c:pt>
                <c:pt idx="2315">
                  <c:v>3.3451612904169536E-2</c:v>
                </c:pt>
                <c:pt idx="2316">
                  <c:v>3.3444764167871455E-2</c:v>
                </c:pt>
                <c:pt idx="2317">
                  <c:v>3.3437906885049884E-2</c:v>
                </c:pt>
                <c:pt idx="2318">
                  <c:v>3.3431041055704824E-2</c:v>
                </c:pt>
                <c:pt idx="2319">
                  <c:v>3.342416668015602E-2</c:v>
                </c:pt>
                <c:pt idx="2320">
                  <c:v>3.3417283758083727E-2</c:v>
                </c:pt>
                <c:pt idx="2321">
                  <c:v>3.3410392289408009E-2</c:v>
                </c:pt>
                <c:pt idx="2322">
                  <c:v>3.3401519271807345E-2</c:v>
                </c:pt>
                <c:pt idx="2323">
                  <c:v>3.3396583713045658E-2</c:v>
                </c:pt>
                <c:pt idx="2324">
                  <c:v>3.3389666605199153E-2</c:v>
                </c:pt>
                <c:pt idx="2325">
                  <c:v>3.3382740950829159E-2</c:v>
                </c:pt>
                <c:pt idx="2326">
                  <c:v>3.3374815452331674E-2</c:v>
                </c:pt>
                <c:pt idx="2327">
                  <c:v>3.3368864003158194E-2</c:v>
                </c:pt>
                <c:pt idx="2328">
                  <c:v>3.3361912709537478E-2</c:v>
                </c:pt>
                <c:pt idx="2329">
                  <c:v>3.3354952869473209E-2</c:v>
                </c:pt>
                <c:pt idx="2330">
                  <c:v>3.3346988301667935E-2</c:v>
                </c:pt>
                <c:pt idx="2331">
                  <c:v>3.3341007550253821E-2</c:v>
                </c:pt>
                <c:pt idx="2332">
                  <c:v>3.3334022070858893E-2</c:v>
                </c:pt>
                <c:pt idx="2333">
                  <c:v>3.3327028045180285E-2</c:v>
                </c:pt>
                <c:pt idx="2334">
                  <c:v>3.332002547313806E-2</c:v>
                </c:pt>
                <c:pt idx="2335">
                  <c:v>3.3313014354652282E-2</c:v>
                </c:pt>
                <c:pt idx="2336">
                  <c:v>3.3305994689483143E-2</c:v>
                </c:pt>
                <c:pt idx="2337">
                  <c:v>3.3298966478190195E-2</c:v>
                </c:pt>
                <c:pt idx="2338">
                  <c:v>3.3291929720373759E-2</c:v>
                </c:pt>
                <c:pt idx="2339">
                  <c:v>3.3284884416113769E-2</c:v>
                </c:pt>
                <c:pt idx="2340">
                  <c:v>3.3277830565330291E-2</c:v>
                </c:pt>
                <c:pt idx="2341">
                  <c:v>3.3270768168423004E-2</c:v>
                </c:pt>
                <c:pt idx="2342">
                  <c:v>3.3263697224832356E-2</c:v>
                </c:pt>
                <c:pt idx="2343">
                  <c:v>3.3255605681556943E-2</c:v>
                </c:pt>
                <c:pt idx="2344">
                  <c:v>3.3249529698480274E-2</c:v>
                </c:pt>
                <c:pt idx="2345">
                  <c:v>3.3242433115798775E-2</c:v>
                </c:pt>
                <c:pt idx="2346">
                  <c:v>3.3235327986593788E-2</c:v>
                </c:pt>
                <c:pt idx="2347">
                  <c:v>3.3228214310785376E-2</c:v>
                </c:pt>
                <c:pt idx="2348">
                  <c:v>3.3221092088933091E-2</c:v>
                </c:pt>
                <c:pt idx="2349">
                  <c:v>3.3213961320477381E-2</c:v>
                </c:pt>
                <c:pt idx="2350">
                  <c:v>3.3206822005498182E-2</c:v>
                </c:pt>
                <c:pt idx="2351">
                  <c:v>3.3199674144235303E-2</c:v>
                </c:pt>
                <c:pt idx="2352">
                  <c:v>3.3192517736608806E-2</c:v>
                </c:pt>
                <c:pt idx="2353">
                  <c:v>3.3185352782538757E-2</c:v>
                </c:pt>
                <c:pt idx="2354">
                  <c:v>3.3178179281785347E-2</c:v>
                </c:pt>
                <c:pt idx="2355">
                  <c:v>3.3170997234908128E-2</c:v>
                </c:pt>
                <c:pt idx="2356">
                  <c:v>3.3163806641587357E-2</c:v>
                </c:pt>
                <c:pt idx="2357">
                  <c:v>3.315660750166316E-2</c:v>
                </c:pt>
                <c:pt idx="2358">
                  <c:v>3.3149399815535219E-2</c:v>
                </c:pt>
                <c:pt idx="2359">
                  <c:v>3.3142183582883789E-2</c:v>
                </c:pt>
                <c:pt idx="2360">
                  <c:v>3.313289301153155E-2</c:v>
                </c:pt>
                <c:pt idx="2361">
                  <c:v>3.3126691448668311E-2</c:v>
                </c:pt>
                <c:pt idx="2362">
                  <c:v>3.3120483606667861E-2</c:v>
                </c:pt>
                <c:pt idx="2363">
                  <c:v>3.3113233188402091E-2</c:v>
                </c:pt>
                <c:pt idx="2364">
                  <c:v>3.3105974223612833E-2</c:v>
                </c:pt>
                <c:pt idx="2365">
                  <c:v>3.3098706712539894E-2</c:v>
                </c:pt>
                <c:pt idx="2366">
                  <c:v>3.3091430655103338E-2</c:v>
                </c:pt>
                <c:pt idx="2367">
                  <c:v>3.3084146051223229E-2</c:v>
                </c:pt>
                <c:pt idx="2368">
                  <c:v>3.3076852900819631E-2</c:v>
                </c:pt>
                <c:pt idx="2369">
                  <c:v>3.3069551204132352E-2</c:v>
                </c:pt>
                <c:pt idx="2370">
                  <c:v>3.3062240961001521E-2</c:v>
                </c:pt>
                <c:pt idx="2371">
                  <c:v>3.3054922171587009E-2</c:v>
                </c:pt>
                <c:pt idx="2372">
                  <c:v>3.3047594835569072E-2</c:v>
                </c:pt>
                <c:pt idx="2373">
                  <c:v>3.3040258953187518E-2</c:v>
                </c:pt>
                <c:pt idx="2374">
                  <c:v>3.3032914524442347E-2</c:v>
                </c:pt>
                <c:pt idx="2375">
                  <c:v>3.3025561549253624E-2</c:v>
                </c:pt>
                <c:pt idx="2376">
                  <c:v>3.3018200027701283E-2</c:v>
                </c:pt>
                <c:pt idx="2377">
                  <c:v>3.3008722656333589E-2</c:v>
                </c:pt>
                <c:pt idx="2378">
                  <c:v>3.300345134534588E-2</c:v>
                </c:pt>
                <c:pt idx="2379">
                  <c:v>3.2995008178300367E-2</c:v>
                </c:pt>
                <c:pt idx="2380">
                  <c:v>3.2988668477376137E-2</c:v>
                </c:pt>
                <c:pt idx="2381">
                  <c:v>3.2981264223925777E-2</c:v>
                </c:pt>
                <c:pt idx="2382">
                  <c:v>3.2972791754799502E-2</c:v>
                </c:pt>
                <c:pt idx="2383">
                  <c:v>3.2966430077534525E-2</c:v>
                </c:pt>
                <c:pt idx="2384">
                  <c:v>3.295900018467357E-2</c:v>
                </c:pt>
                <c:pt idx="2385">
                  <c:v>3.2951561745528934E-2</c:v>
                </c:pt>
                <c:pt idx="2386">
                  <c:v>3.2944114760020682E-2</c:v>
                </c:pt>
                <c:pt idx="2387">
                  <c:v>3.2936659227909004E-2</c:v>
                </c:pt>
                <c:pt idx="2388">
                  <c:v>3.2929195149673518E-2</c:v>
                </c:pt>
                <c:pt idx="2389">
                  <c:v>3.2921722524914543E-2</c:v>
                </c:pt>
                <c:pt idx="2390">
                  <c:v>3.2914241353632079E-2</c:v>
                </c:pt>
                <c:pt idx="2391">
                  <c:v>3.2906751635985998E-2</c:v>
                </c:pt>
                <c:pt idx="2392">
                  <c:v>3.2899253372136172E-2</c:v>
                </c:pt>
                <c:pt idx="2393">
                  <c:v>3.2891746561682922E-2</c:v>
                </c:pt>
                <c:pt idx="2394">
                  <c:v>3.2884231204945991E-2</c:v>
                </c:pt>
                <c:pt idx="2395">
                  <c:v>3.2875631760829194E-2</c:v>
                </c:pt>
                <c:pt idx="2396">
                  <c:v>3.2869174852381278E-2</c:v>
                </c:pt>
                <c:pt idx="2397">
                  <c:v>3.2861633856313688E-2</c:v>
                </c:pt>
                <c:pt idx="2398">
                  <c:v>3.2854084313962417E-2</c:v>
                </c:pt>
                <c:pt idx="2399">
                  <c:v>3.2846526225327466E-2</c:v>
                </c:pt>
                <c:pt idx="2400">
                  <c:v>3.2838959590328898E-2</c:v>
                </c:pt>
                <c:pt idx="2401">
                  <c:v>3.2831384408567033E-2</c:v>
                </c:pt>
                <c:pt idx="2402">
                  <c:v>3.2823800680761295E-2</c:v>
                </c:pt>
                <c:pt idx="2403">
                  <c:v>3.2816208406512004E-2</c:v>
                </c:pt>
                <c:pt idx="2404">
                  <c:v>3.2808607585899097E-2</c:v>
                </c:pt>
                <c:pt idx="2405">
                  <c:v>3.28009982187627E-2</c:v>
                </c:pt>
                <c:pt idx="2406">
                  <c:v>3.2793380305342623E-2</c:v>
                </c:pt>
                <c:pt idx="2407">
                  <c:v>3.2785753845478993E-2</c:v>
                </c:pt>
                <c:pt idx="2408">
                  <c:v>3.2778118839091874E-2</c:v>
                </c:pt>
                <c:pt idx="2409">
                  <c:v>3.2770475286580947E-2</c:v>
                </c:pt>
                <c:pt idx="2410">
                  <c:v>3.2762823187626466E-2</c:v>
                </c:pt>
                <c:pt idx="2411">
                  <c:v>3.2755162542228433E-2</c:v>
                </c:pt>
                <c:pt idx="2412">
                  <c:v>3.2749375770899647E-2</c:v>
                </c:pt>
                <c:pt idx="2413">
                  <c:v>3.2738401217180524E-2</c:v>
                </c:pt>
                <c:pt idx="2414">
                  <c:v>3.2729931676751534E-2</c:v>
                </c:pt>
                <c:pt idx="2415">
                  <c:v>3.2722234403932404E-2</c:v>
                </c:pt>
                <c:pt idx="2416">
                  <c:v>3.2714528584829594E-2</c:v>
                </c:pt>
                <c:pt idx="2417">
                  <c:v>3.2706814219363167E-2</c:v>
                </c:pt>
                <c:pt idx="2418">
                  <c:v>3.2699091307293315E-2</c:v>
                </c:pt>
                <c:pt idx="2419">
                  <c:v>3.2691359849099655E-2</c:v>
                </c:pt>
                <c:pt idx="2420">
                  <c:v>3.2683619844462442E-2</c:v>
                </c:pt>
                <c:pt idx="2421">
                  <c:v>3.2675871293381675E-2</c:v>
                </c:pt>
                <c:pt idx="2422">
                  <c:v>3.2668114196017228E-2</c:v>
                </c:pt>
                <c:pt idx="2423">
                  <c:v>3.2660348552289165E-2</c:v>
                </c:pt>
                <c:pt idx="2424">
                  <c:v>3.2652574362037612E-2</c:v>
                </c:pt>
                <c:pt idx="2425">
                  <c:v>3.2644791625342506E-2</c:v>
                </c:pt>
                <c:pt idx="2426">
                  <c:v>3.2640689878240536E-2</c:v>
                </c:pt>
                <c:pt idx="2427">
                  <c:v>3.262473963071777E-2</c:v>
                </c:pt>
                <c:pt idx="2428">
                  <c:v>3.26169263713183E-2</c:v>
                </c:pt>
                <c:pt idx="2429">
                  <c:v>3.2609104565795022E-2</c:v>
                </c:pt>
                <c:pt idx="2430">
                  <c:v>3.2600154894391054E-2</c:v>
                </c:pt>
                <c:pt idx="2431">
                  <c:v>3.2593435315177999E-2</c:v>
                </c:pt>
                <c:pt idx="2432">
                  <c:v>3.2585587870324062E-2</c:v>
                </c:pt>
                <c:pt idx="2433">
                  <c:v>3.2576608896999204E-2</c:v>
                </c:pt>
                <c:pt idx="2434">
                  <c:v>3.2569867341605274E-2</c:v>
                </c:pt>
                <c:pt idx="2435">
                  <c:v>3.2561994257580551E-2</c:v>
                </c:pt>
                <c:pt idx="2436">
                  <c:v>3.2554112627432019E-2</c:v>
                </c:pt>
                <c:pt idx="2437">
                  <c:v>3.2546222450759998E-2</c:v>
                </c:pt>
                <c:pt idx="2438">
                  <c:v>3.2538323727484553E-2</c:v>
                </c:pt>
                <c:pt idx="2439">
                  <c:v>3.2530416458085298E-2</c:v>
                </c:pt>
                <c:pt idx="2440">
                  <c:v>3.2522500642322427E-2</c:v>
                </c:pt>
                <c:pt idx="2441">
                  <c:v>3.2514576280275875E-2</c:v>
                </c:pt>
                <c:pt idx="2442">
                  <c:v>3.2506643371625898E-2</c:v>
                </c:pt>
                <c:pt idx="2443">
                  <c:v>3.2498701916852113E-2</c:v>
                </c:pt>
                <c:pt idx="2444">
                  <c:v>3.2490751915394966E-2</c:v>
                </c:pt>
                <c:pt idx="2445">
                  <c:v>3.2482793367893947E-2</c:v>
                </c:pt>
                <c:pt idx="2446">
                  <c:v>3.2473687419818376E-2</c:v>
                </c:pt>
                <c:pt idx="2447">
                  <c:v>3.2466850633481315E-2</c:v>
                </c:pt>
                <c:pt idx="2448">
                  <c:v>3.2458866446729573E-2</c:v>
                </c:pt>
                <c:pt idx="2449">
                  <c:v>3.2450873713534278E-2</c:v>
                </c:pt>
                <c:pt idx="2450">
                  <c:v>3.2442872434135239E-2</c:v>
                </c:pt>
                <c:pt idx="2451">
                  <c:v>3.2434862608452519E-2</c:v>
                </c:pt>
                <c:pt idx="2452">
                  <c:v>3.2426844236166374E-2</c:v>
                </c:pt>
                <c:pt idx="2453">
                  <c:v>3.2418817317596549E-2</c:v>
                </c:pt>
                <c:pt idx="2454">
                  <c:v>3.2410781852663106E-2</c:v>
                </c:pt>
                <c:pt idx="2455">
                  <c:v>3.2402737841525919E-2</c:v>
                </c:pt>
                <c:pt idx="2456">
                  <c:v>3.2394685283785307E-2</c:v>
                </c:pt>
                <c:pt idx="2457">
                  <c:v>3.2386624179761014E-2</c:v>
                </c:pt>
                <c:pt idx="2458">
                  <c:v>3.2378554529532977E-2</c:v>
                </c:pt>
                <c:pt idx="2459">
                  <c:v>3.2370476332701514E-2</c:v>
                </c:pt>
                <c:pt idx="2460">
                  <c:v>3.2362389589666307E-2</c:v>
                </c:pt>
                <c:pt idx="2461">
                  <c:v>3.2354294300267483E-2</c:v>
                </c:pt>
                <c:pt idx="2462">
                  <c:v>3.2346190464505042E-2</c:v>
                </c:pt>
                <c:pt idx="2463">
                  <c:v>3.2338078082378985E-2</c:v>
                </c:pt>
                <c:pt idx="2464">
                  <c:v>3.2328506171594995E-2</c:v>
                </c:pt>
                <c:pt idx="2465">
                  <c:v>3.2320665627780798E-2</c:v>
                </c:pt>
                <c:pt idx="2466">
                  <c:v>3.2313689657819111E-2</c:v>
                </c:pt>
                <c:pt idx="2467">
                  <c:v>3.230554309015865E-2</c:v>
                </c:pt>
                <c:pt idx="2468">
                  <c:v>3.2297387976214509E-2</c:v>
                </c:pt>
                <c:pt idx="2469">
                  <c:v>3.2289224316226495E-2</c:v>
                </c:pt>
                <c:pt idx="2470">
                  <c:v>3.228105210955512E-2</c:v>
                </c:pt>
                <c:pt idx="2471">
                  <c:v>3.2272871356440191E-2</c:v>
                </c:pt>
                <c:pt idx="2472">
                  <c:v>3.2264682057201455E-2</c:v>
                </c:pt>
                <c:pt idx="2473">
                  <c:v>3.2256484211519165E-2</c:v>
                </c:pt>
                <c:pt idx="2474">
                  <c:v>3.2248277819473259E-2</c:v>
                </c:pt>
                <c:pt idx="2475">
                  <c:v>3.2240062881143672E-2</c:v>
                </c:pt>
                <c:pt idx="2476">
                  <c:v>3.2231839396530404E-2</c:v>
                </c:pt>
                <c:pt idx="2477">
                  <c:v>3.2221253786701709E-2</c:v>
                </c:pt>
                <c:pt idx="2478">
                  <c:v>3.2215366787893274E-2</c:v>
                </c:pt>
                <c:pt idx="2479">
                  <c:v>3.2207117664269092E-2</c:v>
                </c:pt>
                <c:pt idx="2480">
                  <c:v>3.2198859994201356E-2</c:v>
                </c:pt>
                <c:pt idx="2481">
                  <c:v>3.2190593777690069E-2</c:v>
                </c:pt>
                <c:pt idx="2482">
                  <c:v>3.2181136208242478E-2</c:v>
                </c:pt>
                <c:pt idx="2483">
                  <c:v>3.2174035705816451E-2</c:v>
                </c:pt>
                <c:pt idx="2484">
                  <c:v>3.2165743850214312E-2</c:v>
                </c:pt>
                <c:pt idx="2485">
                  <c:v>3.215625697908564E-2</c:v>
                </c:pt>
                <c:pt idx="2486">
                  <c:v>3.2149134500238929E-2</c:v>
                </c:pt>
                <c:pt idx="2487">
                  <c:v>3.2140817005705813E-2</c:v>
                </c:pt>
                <c:pt idx="2488">
                  <c:v>3.2132490964968952E-2</c:v>
                </c:pt>
                <c:pt idx="2489">
                  <c:v>3.2124156377708601E-2</c:v>
                </c:pt>
                <c:pt idx="2490">
                  <c:v>3.2115816331774738E-2</c:v>
                </c:pt>
                <c:pt idx="2491">
                  <c:v>3.2107489185841942E-2</c:v>
                </c:pt>
                <c:pt idx="2492">
                  <c:v>3.2099178027520381E-2</c:v>
                </c:pt>
                <c:pt idx="2493">
                  <c:v>3.2090882856730119E-2</c:v>
                </c:pt>
                <c:pt idx="2494">
                  <c:v>3.2082603673551091E-2</c:v>
                </c:pt>
                <c:pt idx="2495">
                  <c:v>3.2074340477823426E-2</c:v>
                </c:pt>
                <c:pt idx="2496">
                  <c:v>3.2066093269706997E-2</c:v>
                </c:pt>
                <c:pt idx="2497">
                  <c:v>3.2057862049281738E-2</c:v>
                </c:pt>
                <c:pt idx="2498">
                  <c:v>3.2049646816467714E-2</c:v>
                </c:pt>
                <c:pt idx="2499">
                  <c:v>3.2040277555420715E-2</c:v>
                </c:pt>
                <c:pt idx="2500">
                  <c:v>3.2033264313273691E-2</c:v>
                </c:pt>
                <c:pt idx="2501">
                  <c:v>3.2025097043213435E-2</c:v>
                </c:pt>
                <c:pt idx="2502">
                  <c:v>3.2016945760684479E-2</c:v>
                </c:pt>
                <c:pt idx="2503">
                  <c:v>3.2008810465367077E-2</c:v>
                </c:pt>
                <c:pt idx="2504">
                  <c:v>3.2000691157900718E-2</c:v>
                </c:pt>
                <c:pt idx="2505">
                  <c:v>3.199258783812553E-2</c:v>
                </c:pt>
                <c:pt idx="2506">
                  <c:v>3.1984500505721769E-2</c:v>
                </c:pt>
                <c:pt idx="2507">
                  <c:v>3.1976429160929243E-2</c:v>
                </c:pt>
                <c:pt idx="2508">
                  <c:v>3.1968373803747951E-2</c:v>
                </c:pt>
                <c:pt idx="2509">
                  <c:v>3.1960334434177895E-2</c:v>
                </c:pt>
                <c:pt idx="2510">
                  <c:v>3.1952311051979265E-2</c:v>
                </c:pt>
                <c:pt idx="2511">
                  <c:v>3.1944303657471806E-2</c:v>
                </c:pt>
                <c:pt idx="2512">
                  <c:v>3.1936312250495646E-2</c:v>
                </c:pt>
                <c:pt idx="2513">
                  <c:v>3.1928336831130721E-2</c:v>
                </c:pt>
                <c:pt idx="2514">
                  <c:v>3.1920377399217159E-2</c:v>
                </c:pt>
                <c:pt idx="2515">
                  <c:v>3.1912433954914832E-2</c:v>
                </c:pt>
                <c:pt idx="2516">
                  <c:v>3.1902244447117312E-2</c:v>
                </c:pt>
                <c:pt idx="2517">
                  <c:v>3.1895466124254312E-2</c:v>
                </c:pt>
                <c:pt idx="2518">
                  <c:v>3.1888699547355515E-2</c:v>
                </c:pt>
                <c:pt idx="2519">
                  <c:v>3.1880820053418191E-2</c:v>
                </c:pt>
                <c:pt idx="2520">
                  <c:v>3.1872956546852294E-2</c:v>
                </c:pt>
                <c:pt idx="2521">
                  <c:v>3.1865109027737759E-2</c:v>
                </c:pt>
                <c:pt idx="2522">
                  <c:v>3.185727749623446E-2</c:v>
                </c:pt>
                <c:pt idx="2523">
                  <c:v>3.1849461952502267E-2</c:v>
                </c:pt>
                <c:pt idx="2524">
                  <c:v>3.1841662396141501E-2</c:v>
                </c:pt>
                <c:pt idx="2525">
                  <c:v>3.1833878827312034E-2</c:v>
                </c:pt>
                <c:pt idx="2526">
                  <c:v>3.1826111246173738E-2</c:v>
                </c:pt>
                <c:pt idx="2527">
                  <c:v>3.1818359652406869E-2</c:v>
                </c:pt>
                <c:pt idx="2528">
                  <c:v>3.1810624046251235E-2</c:v>
                </c:pt>
                <c:pt idx="2529">
                  <c:v>3.1802904427546963E-2</c:v>
                </c:pt>
                <c:pt idx="2530">
                  <c:v>3.1795200796533862E-2</c:v>
                </c:pt>
                <c:pt idx="2531">
                  <c:v>3.178751315305206E-2</c:v>
                </c:pt>
                <c:pt idx="2532">
                  <c:v>3.177765253177256E-2</c:v>
                </c:pt>
                <c:pt idx="2533">
                  <c:v>3.1772185828522481E-2</c:v>
                </c:pt>
                <c:pt idx="2534">
                  <c:v>3.1763456069766605E-2</c:v>
                </c:pt>
                <c:pt idx="2535">
                  <c:v>3.1756922454357905E-2</c:v>
                </c:pt>
                <c:pt idx="2536">
                  <c:v>3.174931474829279E-2</c:v>
                </c:pt>
                <c:pt idx="2537">
                  <c:v>3.1741723030158653E-2</c:v>
                </c:pt>
                <c:pt idx="2538">
                  <c:v>3.173306635710027E-2</c:v>
                </c:pt>
                <c:pt idx="2539">
                  <c:v>3.1726587555924723E-2</c:v>
                </c:pt>
                <c:pt idx="2540">
                  <c:v>3.1719043800304547E-2</c:v>
                </c:pt>
                <c:pt idx="2541">
                  <c:v>3.1711516032135734E-2</c:v>
                </c:pt>
                <c:pt idx="2542">
                  <c:v>3.1704004251498219E-2</c:v>
                </c:pt>
                <c:pt idx="2543">
                  <c:v>3.1696508458312067E-2</c:v>
                </c:pt>
                <c:pt idx="2544">
                  <c:v>3.1689028652657214E-2</c:v>
                </c:pt>
                <c:pt idx="2545">
                  <c:v>3.1681564834613596E-2</c:v>
                </c:pt>
                <c:pt idx="2546">
                  <c:v>3.1674117004101277E-2</c:v>
                </c:pt>
                <c:pt idx="2547">
                  <c:v>3.1666685160960384E-2</c:v>
                </c:pt>
                <c:pt idx="2548">
                  <c:v>3.1659269305590598E-2</c:v>
                </c:pt>
                <c:pt idx="2549">
                  <c:v>3.1651869437592239E-2</c:v>
                </c:pt>
                <c:pt idx="2550">
                  <c:v>3.1644485556965307E-2</c:v>
                </c:pt>
                <c:pt idx="2551">
                  <c:v>3.1636066413103237E-2</c:v>
                </c:pt>
                <c:pt idx="2552">
                  <c:v>3.162976575870502E-2</c:v>
                </c:pt>
                <c:pt idx="2553">
                  <c:v>3.1622429840831856E-2</c:v>
                </c:pt>
                <c:pt idx="2554">
                  <c:v>3.1615109910330119E-2</c:v>
                </c:pt>
                <c:pt idx="2555">
                  <c:v>3.1607805967519553E-2</c:v>
                </c:pt>
                <c:pt idx="2556">
                  <c:v>3.1600518012240286E-2</c:v>
                </c:pt>
                <c:pt idx="2557">
                  <c:v>3.159324604425251E-2</c:v>
                </c:pt>
                <c:pt idx="2558">
                  <c:v>3.1585990063875968E-2</c:v>
                </c:pt>
                <c:pt idx="2559">
                  <c:v>3.1578750071190598E-2</c:v>
                </c:pt>
                <c:pt idx="2560">
                  <c:v>3.1571526065796718E-2</c:v>
                </c:pt>
                <c:pt idx="2561">
                  <c:v>3.1564318047934137E-2</c:v>
                </c:pt>
                <c:pt idx="2562">
                  <c:v>3.1557126017602855E-2</c:v>
                </c:pt>
                <c:pt idx="2563">
                  <c:v>3.1549949974882807E-2</c:v>
                </c:pt>
                <c:pt idx="2564">
                  <c:v>3.1542789919614123E-2</c:v>
                </c:pt>
                <c:pt idx="2565">
                  <c:v>3.1535645851716865E-2</c:v>
                </c:pt>
                <c:pt idx="2566">
                  <c:v>3.1528517771590714E-2</c:v>
                </c:pt>
                <c:pt idx="2567">
                  <c:v>3.152140567883599E-2</c:v>
                </c:pt>
                <c:pt idx="2568">
                  <c:v>3.1512285051302769E-2</c:v>
                </c:pt>
                <c:pt idx="2569">
                  <c:v>3.1505209501476727E-2</c:v>
                </c:pt>
                <c:pt idx="2570">
                  <c:v>3.1499157469081496E-2</c:v>
                </c:pt>
                <c:pt idx="2571">
                  <c:v>3.149211161038501E-2</c:v>
                </c:pt>
                <c:pt idx="2572">
                  <c:v>3.1485081738980014E-2</c:v>
                </c:pt>
                <c:pt idx="2573">
                  <c:v>3.1478067855106318E-2</c:v>
                </c:pt>
                <c:pt idx="2574">
                  <c:v>3.1471069958683984E-2</c:v>
                </c:pt>
                <c:pt idx="2575">
                  <c:v>3.1464088049952821E-2</c:v>
                </c:pt>
                <c:pt idx="2576">
                  <c:v>3.1457122128673021E-2</c:v>
                </c:pt>
                <c:pt idx="2577">
                  <c:v>3.1450172194684711E-2</c:v>
                </c:pt>
                <c:pt idx="2578">
                  <c:v>3.1443238248547445E-2</c:v>
                </c:pt>
                <c:pt idx="2579">
                  <c:v>3.1436320289541797E-2</c:v>
                </c:pt>
                <c:pt idx="2580">
                  <c:v>3.142941831822732E-2</c:v>
                </c:pt>
                <c:pt idx="2581">
                  <c:v>3.1422532334204334E-2</c:v>
                </c:pt>
                <c:pt idx="2582">
                  <c:v>3.1413702418285894E-2</c:v>
                </c:pt>
                <c:pt idx="2583">
                  <c:v>3.1408808328992066E-2</c:v>
                </c:pt>
                <c:pt idx="2584">
                  <c:v>3.1401970307562976E-2</c:v>
                </c:pt>
                <c:pt idx="2585">
                  <c:v>3.1395148273665185E-2</c:v>
                </c:pt>
                <c:pt idx="2586">
                  <c:v>3.1387371239928186E-2</c:v>
                </c:pt>
                <c:pt idx="2587">
                  <c:v>3.1381552168303628E-2</c:v>
                </c:pt>
                <c:pt idx="2588">
                  <c:v>3.1374778096759925E-2</c:v>
                </c:pt>
                <c:pt idx="2589">
                  <c:v>3.1368020012827458E-2</c:v>
                </c:pt>
                <c:pt idx="2590">
                  <c:v>3.1360316064708016E-2</c:v>
                </c:pt>
                <c:pt idx="2591">
                  <c:v>3.1354551807236675E-2</c:v>
                </c:pt>
                <c:pt idx="2592">
                  <c:v>3.1347841685738231E-2</c:v>
                </c:pt>
                <c:pt idx="2593">
                  <c:v>3.1341147551691151E-2</c:v>
                </c:pt>
                <c:pt idx="2594">
                  <c:v>3.1334469405175369E-2</c:v>
                </c:pt>
                <c:pt idx="2595">
                  <c:v>3.1327807246031014E-2</c:v>
                </c:pt>
                <c:pt idx="2596">
                  <c:v>3.1321161074338022E-2</c:v>
                </c:pt>
                <c:pt idx="2597">
                  <c:v>3.1314530890336201E-2</c:v>
                </c:pt>
                <c:pt idx="2598">
                  <c:v>3.130791669362587E-2</c:v>
                </c:pt>
                <c:pt idx="2599">
                  <c:v>3.1301318484366902E-2</c:v>
                </c:pt>
                <c:pt idx="2600">
                  <c:v>3.1294736262799105E-2</c:v>
                </c:pt>
                <c:pt idx="2601">
                  <c:v>3.1288170028442863E-2</c:v>
                </c:pt>
                <c:pt idx="2602">
                  <c:v>3.128161978161792E-2</c:v>
                </c:pt>
                <c:pt idx="2603">
                  <c:v>3.1274153361895429E-2</c:v>
                </c:pt>
                <c:pt idx="2604">
                  <c:v>3.1268567250641865E-2</c:v>
                </c:pt>
                <c:pt idx="2605">
                  <c:v>3.1262064966250946E-2</c:v>
                </c:pt>
                <c:pt idx="2606">
                  <c:v>3.125557866931139E-2</c:v>
                </c:pt>
                <c:pt idx="2607">
                  <c:v>3.1249108359903133E-2</c:v>
                </c:pt>
                <c:pt idx="2608">
                  <c:v>3.1242654037866302E-2</c:v>
                </c:pt>
                <c:pt idx="2609">
                  <c:v>3.1236215703440706E-2</c:v>
                </c:pt>
                <c:pt idx="2610">
                  <c:v>3.1229793356306601E-2</c:v>
                </c:pt>
                <c:pt idx="2611">
                  <c:v>3.1223386996863667E-2</c:v>
                </c:pt>
                <c:pt idx="2612">
                  <c:v>3.1216996624712223E-2</c:v>
                </c:pt>
                <c:pt idx="2613">
                  <c:v>3.1210622240012142E-2</c:v>
                </c:pt>
                <c:pt idx="2614">
                  <c:v>3.1204263842763424E-2</c:v>
                </c:pt>
                <c:pt idx="2615">
                  <c:v>3.1197921433205877E-2</c:v>
                </c:pt>
                <c:pt idx="2616">
                  <c:v>3.1191595011019757E-2</c:v>
                </c:pt>
                <c:pt idx="2617">
                  <c:v>3.1185284576045191E-2</c:v>
                </c:pt>
                <c:pt idx="2618">
                  <c:v>3.1178990128761797E-2</c:v>
                </c:pt>
                <c:pt idx="2619">
                  <c:v>3.1172711668929765E-2</c:v>
                </c:pt>
                <c:pt idx="2620">
                  <c:v>3.1164662855074354E-2</c:v>
                </c:pt>
                <c:pt idx="2621">
                  <c:v>3.1159311661665967E-2</c:v>
                </c:pt>
                <c:pt idx="2622">
                  <c:v>3.1153972214061909E-2</c:v>
                </c:pt>
                <c:pt idx="2623">
                  <c:v>3.1147757704035328E-2</c:v>
                </c:pt>
                <c:pt idx="2624">
                  <c:v>3.1141559181300238E-2</c:v>
                </c:pt>
                <c:pt idx="2625">
                  <c:v>3.1135376646256319E-2</c:v>
                </c:pt>
                <c:pt idx="2626">
                  <c:v>3.1129210098583826E-2</c:v>
                </c:pt>
                <c:pt idx="2627">
                  <c:v>3.112305953828276E-2</c:v>
                </c:pt>
                <c:pt idx="2628">
                  <c:v>3.1116924965433057E-2</c:v>
                </c:pt>
                <c:pt idx="2629">
                  <c:v>3.1110806380194589E-2</c:v>
                </c:pt>
                <c:pt idx="2630">
                  <c:v>3.1104703782247611E-2</c:v>
                </c:pt>
                <c:pt idx="2631">
                  <c:v>3.1098617171672061E-2</c:v>
                </c:pt>
                <c:pt idx="2632">
                  <c:v>3.1092546548707745E-2</c:v>
                </c:pt>
                <c:pt idx="2633">
                  <c:v>3.1086491913274727E-2</c:v>
                </c:pt>
                <c:pt idx="2634">
                  <c:v>3.1080453265053265E-2</c:v>
                </c:pt>
                <c:pt idx="2635">
                  <c:v>3.1074430604363101E-2</c:v>
                </c:pt>
                <c:pt idx="2636">
                  <c:v>3.1068423931204237E-2</c:v>
                </c:pt>
                <c:pt idx="2637">
                  <c:v>3.1060724557425701E-2</c:v>
                </c:pt>
                <c:pt idx="2638">
                  <c:v>3.1056458547000787E-2</c:v>
                </c:pt>
                <c:pt idx="2639">
                  <c:v>3.1049649896957021E-2</c:v>
                </c:pt>
                <c:pt idx="2640">
                  <c:v>3.1044557112762661E-2</c:v>
                </c:pt>
                <c:pt idx="2641">
                  <c:v>3.1038630376780674E-2</c:v>
                </c:pt>
                <c:pt idx="2642">
                  <c:v>3.1031876540650316E-2</c:v>
                </c:pt>
                <c:pt idx="2643">
                  <c:v>3.1026824867010916E-2</c:v>
                </c:pt>
                <c:pt idx="2644">
                  <c:v>3.1020946093383017E-2</c:v>
                </c:pt>
                <c:pt idx="2645">
                  <c:v>3.1015083307046609E-2</c:v>
                </c:pt>
                <c:pt idx="2646">
                  <c:v>3.10092365082415E-2</c:v>
                </c:pt>
                <c:pt idx="2647">
                  <c:v>3.1003405696807818E-2</c:v>
                </c:pt>
                <c:pt idx="2648">
                  <c:v>3.0997590872825498E-2</c:v>
                </c:pt>
                <c:pt idx="2649">
                  <c:v>3.0991792036294541E-2</c:v>
                </c:pt>
                <c:pt idx="2650">
                  <c:v>3.0986009187214947E-2</c:v>
                </c:pt>
                <c:pt idx="2651">
                  <c:v>3.0980242325586715E-2</c:v>
                </c:pt>
                <c:pt idx="2652">
                  <c:v>3.0974491451409847E-2</c:v>
                </c:pt>
                <c:pt idx="2653">
                  <c:v>3.0968756564524469E-2</c:v>
                </c:pt>
                <c:pt idx="2654">
                  <c:v>3.096303766517039E-2</c:v>
                </c:pt>
                <c:pt idx="2655">
                  <c:v>3.0956521356557687E-2</c:v>
                </c:pt>
                <c:pt idx="2656">
                  <c:v>3.0951647828736384E-2</c:v>
                </c:pt>
                <c:pt idx="2657">
                  <c:v>3.0945976891576521E-2</c:v>
                </c:pt>
                <c:pt idx="2658">
                  <c:v>3.0940321942027893E-2</c:v>
                </c:pt>
                <c:pt idx="2659">
                  <c:v>3.0934682979770756E-2</c:v>
                </c:pt>
                <c:pt idx="2660">
                  <c:v>3.0929060004885045E-2</c:v>
                </c:pt>
                <c:pt idx="2661">
                  <c:v>3.0923453017530633E-2</c:v>
                </c:pt>
                <c:pt idx="2662">
                  <c:v>3.091786201770752E-2</c:v>
                </c:pt>
                <c:pt idx="2663">
                  <c:v>3.0912287005095962E-2</c:v>
                </c:pt>
                <c:pt idx="2664">
                  <c:v>3.0906727979935766E-2</c:v>
                </c:pt>
                <c:pt idx="2665">
                  <c:v>3.0901184942386806E-2</c:v>
                </c:pt>
                <c:pt idx="2666">
                  <c:v>3.08956578920494E-2</c:v>
                </c:pt>
                <c:pt idx="2667">
                  <c:v>3.089014682908342E-2</c:v>
                </c:pt>
                <c:pt idx="2668">
                  <c:v>3.088465175364874E-2</c:v>
                </c:pt>
                <c:pt idx="2669">
                  <c:v>3.0879172665745358E-2</c:v>
                </c:pt>
                <c:pt idx="2670">
                  <c:v>3.0873709565133467E-2</c:v>
                </c:pt>
                <c:pt idx="2671">
                  <c:v>3.0868262451893003E-2</c:v>
                </c:pt>
                <c:pt idx="2672">
                  <c:v>3.0861282512466559E-2</c:v>
                </c:pt>
                <c:pt idx="2673">
                  <c:v>3.0855871941835034E-2</c:v>
                </c:pt>
                <c:pt idx="2674">
                  <c:v>3.0851247034737739E-2</c:v>
                </c:pt>
                <c:pt idx="2675">
                  <c:v>3.0845866155155832E-2</c:v>
                </c:pt>
                <c:pt idx="2676">
                  <c:v>3.0840501262865416E-2</c:v>
                </c:pt>
                <c:pt idx="2677">
                  <c:v>3.0835152358106299E-2</c:v>
                </c:pt>
                <c:pt idx="2678">
                  <c:v>3.0829819440718609E-2</c:v>
                </c:pt>
                <c:pt idx="2679">
                  <c:v>3.0824502510862217E-2</c:v>
                </c:pt>
                <c:pt idx="2680">
                  <c:v>3.0819201568137444E-2</c:v>
                </c:pt>
                <c:pt idx="2681">
                  <c:v>3.0813916613183778E-2</c:v>
                </c:pt>
                <c:pt idx="2682">
                  <c:v>3.0808647645441667E-2</c:v>
                </c:pt>
                <c:pt idx="2683">
                  <c:v>3.0803394665070982E-2</c:v>
                </c:pt>
                <c:pt idx="2684">
                  <c:v>3.079815767215166E-2</c:v>
                </c:pt>
                <c:pt idx="2685">
                  <c:v>3.0792936666683701E-2</c:v>
                </c:pt>
                <c:pt idx="2686">
                  <c:v>3.0787731648667105E-2</c:v>
                </c:pt>
                <c:pt idx="2687">
                  <c:v>3.0782542617862063E-2</c:v>
                </c:pt>
                <c:pt idx="2688">
                  <c:v>3.0777788495912617E-2</c:v>
                </c:pt>
                <c:pt idx="2689">
                  <c:v>3.077221251876594E-2</c:v>
                </c:pt>
                <c:pt idx="2690">
                  <c:v>3.0767071450235051E-2</c:v>
                </c:pt>
                <c:pt idx="2691">
                  <c:v>3.0761215519854446E-2</c:v>
                </c:pt>
                <c:pt idx="2692">
                  <c:v>3.075683727552736E-2</c:v>
                </c:pt>
                <c:pt idx="2693">
                  <c:v>3.0751744169270623E-2</c:v>
                </c:pt>
                <c:pt idx="2694">
                  <c:v>3.0745943052803426E-2</c:v>
                </c:pt>
                <c:pt idx="2695">
                  <c:v>3.0741605918951365E-2</c:v>
                </c:pt>
                <c:pt idx="2696">
                  <c:v>3.0736560774888844E-2</c:v>
                </c:pt>
                <c:pt idx="2697">
                  <c:v>3.0731531618197749E-2</c:v>
                </c:pt>
                <c:pt idx="2698">
                  <c:v>3.0726518448878082E-2</c:v>
                </c:pt>
                <c:pt idx="2699">
                  <c:v>3.0721521267089713E-2</c:v>
                </c:pt>
                <c:pt idx="2700">
                  <c:v>3.0716540072592835E-2</c:v>
                </c:pt>
                <c:pt idx="2701">
                  <c:v>3.0711574865387448E-2</c:v>
                </c:pt>
                <c:pt idx="2702">
                  <c:v>3.0706625645713359E-2</c:v>
                </c:pt>
                <c:pt idx="2703">
                  <c:v>3.0701692413490633E-2</c:v>
                </c:pt>
                <c:pt idx="2704">
                  <c:v>3.0696775168639334E-2</c:v>
                </c:pt>
                <c:pt idx="2705">
                  <c:v>3.069187391099959E-2</c:v>
                </c:pt>
                <c:pt idx="2706">
                  <c:v>3.0686988641051016E-2</c:v>
                </c:pt>
                <c:pt idx="2707">
                  <c:v>3.0681425051461986E-2</c:v>
                </c:pt>
                <c:pt idx="2708">
                  <c:v>3.0677266062948405E-2</c:v>
                </c:pt>
                <c:pt idx="2709">
                  <c:v>3.067242875495424E-2</c:v>
                </c:pt>
                <c:pt idx="2710">
                  <c:v>3.0667607434411437E-2</c:v>
                </c:pt>
                <c:pt idx="2711">
                  <c:v>3.0662802101319997E-2</c:v>
                </c:pt>
                <c:pt idx="2712">
                  <c:v>3.0658012755440112E-2</c:v>
                </c:pt>
                <c:pt idx="2713">
                  <c:v>3.0653239397091525E-2</c:v>
                </c:pt>
                <c:pt idx="2714">
                  <c:v>3.0648482026194301E-2</c:v>
                </c:pt>
                <c:pt idx="2715">
                  <c:v>3.0643740642588568E-2</c:v>
                </c:pt>
                <c:pt idx="2716">
                  <c:v>3.0639015246354262E-2</c:v>
                </c:pt>
                <c:pt idx="2717">
                  <c:v>3.0634305837491382E-2</c:v>
                </c:pt>
                <c:pt idx="2718">
                  <c:v>3.0629612416079866E-2</c:v>
                </c:pt>
                <c:pt idx="2719">
                  <c:v>3.0624934981879903E-2</c:v>
                </c:pt>
                <c:pt idx="2720">
                  <c:v>3.062027353521124E-2</c:v>
                </c:pt>
                <c:pt idx="2721">
                  <c:v>3.0615628075993939E-2</c:v>
                </c:pt>
                <c:pt idx="2722">
                  <c:v>3.0610998604228001E-2</c:v>
                </c:pt>
                <c:pt idx="2723">
                  <c:v>3.060638511943381E-2</c:v>
                </c:pt>
                <c:pt idx="2724">
                  <c:v>3.0602423312817706E-2</c:v>
                </c:pt>
                <c:pt idx="2725">
                  <c:v>3.0597847877107398E-2</c:v>
                </c:pt>
                <c:pt idx="2726">
                  <c:v>3.059198967787502E-2</c:v>
                </c:pt>
                <c:pt idx="2727">
                  <c:v>3.0587442426899258E-2</c:v>
                </c:pt>
                <c:pt idx="2728">
                  <c:v>3.0582911162975179E-2</c:v>
                </c:pt>
                <c:pt idx="2729">
                  <c:v>3.0578395886742271E-2</c:v>
                </c:pt>
                <c:pt idx="2730">
                  <c:v>3.0573896597720918E-2</c:v>
                </c:pt>
                <c:pt idx="2731">
                  <c:v>3.0569413296230863E-2</c:v>
                </c:pt>
                <c:pt idx="2732">
                  <c:v>3.0564945981872427E-2</c:v>
                </c:pt>
                <c:pt idx="2733">
                  <c:v>3.0560494655205162E-2</c:v>
                </c:pt>
                <c:pt idx="2734">
                  <c:v>3.0556059315669515E-2</c:v>
                </c:pt>
                <c:pt idx="2735">
                  <c:v>3.0551639963505295E-2</c:v>
                </c:pt>
                <c:pt idx="2736">
                  <c:v>3.0547236598792438E-2</c:v>
                </c:pt>
                <c:pt idx="2737">
                  <c:v>3.054678155013768E-2</c:v>
                </c:pt>
                <c:pt idx="2738">
                  <c:v>3.0535987072441984E-2</c:v>
                </c:pt>
                <c:pt idx="2739">
                  <c:v>3.0531640805575577E-2</c:v>
                </c:pt>
                <c:pt idx="2740">
                  <c:v>3.0527310525920726E-2</c:v>
                </c:pt>
                <c:pt idx="2741">
                  <c:v>3.0522996233637301E-2</c:v>
                </c:pt>
                <c:pt idx="2742">
                  <c:v>3.0518085190465172E-2</c:v>
                </c:pt>
                <c:pt idx="2743">
                  <c:v>3.0514415611424539E-2</c:v>
                </c:pt>
                <c:pt idx="2744">
                  <c:v>3.0510149281255394E-2</c:v>
                </c:pt>
                <c:pt idx="2745">
                  <c:v>3.0505293051916738E-2</c:v>
                </c:pt>
                <c:pt idx="2746">
                  <c:v>3.0501664583271193E-2</c:v>
                </c:pt>
                <c:pt idx="2747">
                  <c:v>3.0497446215296264E-2</c:v>
                </c:pt>
                <c:pt idx="2748">
                  <c:v>3.0493243834612827E-2</c:v>
                </c:pt>
                <c:pt idx="2749">
                  <c:v>3.0489057441380751E-2</c:v>
                </c:pt>
                <c:pt idx="2750">
                  <c:v>3.0484887035520103E-2</c:v>
                </c:pt>
                <c:pt idx="2751">
                  <c:v>3.0480732616950945E-2</c:v>
                </c:pt>
                <c:pt idx="2752">
                  <c:v>3.0476594185673278E-2</c:v>
                </c:pt>
                <c:pt idx="2753">
                  <c:v>3.047247174192691E-2</c:v>
                </c:pt>
                <c:pt idx="2754">
                  <c:v>3.0468365285551968E-2</c:v>
                </c:pt>
                <c:pt idx="2755">
                  <c:v>3.0464274816468517E-2</c:v>
                </c:pt>
                <c:pt idx="2756">
                  <c:v>3.0460200334676557E-2</c:v>
                </c:pt>
                <c:pt idx="2757">
                  <c:v>3.0456141840495832E-2</c:v>
                </c:pt>
                <c:pt idx="2758">
                  <c:v>3.0451523137555725E-2</c:v>
                </c:pt>
                <c:pt idx="2759">
                  <c:v>3.0448072813689109E-2</c:v>
                </c:pt>
                <c:pt idx="2760">
                  <c:v>3.0444062281462791E-2</c:v>
                </c:pt>
                <c:pt idx="2761">
                  <c:v>3.0440067736607901E-2</c:v>
                </c:pt>
                <c:pt idx="2762">
                  <c:v>3.0436089179124437E-2</c:v>
                </c:pt>
                <c:pt idx="2763">
                  <c:v>3.0432126608932464E-2</c:v>
                </c:pt>
                <c:pt idx="2764">
                  <c:v>3.0428180026111917E-2</c:v>
                </c:pt>
                <c:pt idx="2765">
                  <c:v>3.0424249430662798E-2</c:v>
                </c:pt>
                <c:pt idx="2766">
                  <c:v>3.0420334822425232E-2</c:v>
                </c:pt>
                <c:pt idx="2767">
                  <c:v>3.041643620163903E-2</c:v>
                </c:pt>
                <c:pt idx="2768">
                  <c:v>3.041255356830419E-2</c:v>
                </c:pt>
                <c:pt idx="2769">
                  <c:v>3.0408686922340777E-2</c:v>
                </c:pt>
                <c:pt idx="2770">
                  <c:v>3.0404836263508983E-2</c:v>
                </c:pt>
                <c:pt idx="2771">
                  <c:v>3.0401001592288424E-2</c:v>
                </c:pt>
                <c:pt idx="2772">
                  <c:v>3.0397182908279419E-2</c:v>
                </c:pt>
                <c:pt idx="2773">
                  <c:v>3.0393380211561905E-2</c:v>
                </c:pt>
                <c:pt idx="2774">
                  <c:v>3.0389593502295753E-2</c:v>
                </c:pt>
                <c:pt idx="2775">
                  <c:v>3.0385822780480964E-2</c:v>
                </c:pt>
                <c:pt idx="2776">
                  <c:v>3.0382012913379164E-2</c:v>
                </c:pt>
                <c:pt idx="2777">
                  <c:v>3.0377796497083054E-2</c:v>
                </c:pt>
                <c:pt idx="2778">
                  <c:v>3.0374606538865478E-2</c:v>
                </c:pt>
                <c:pt idx="2779">
                  <c:v>3.0370899766216652E-2</c:v>
                </c:pt>
                <c:pt idx="2780">
                  <c:v>3.0367208981179061E-2</c:v>
                </c:pt>
                <c:pt idx="2781">
                  <c:v>3.0363534183193153E-2</c:v>
                </c:pt>
                <c:pt idx="2782">
                  <c:v>3.0359875372738543E-2</c:v>
                </c:pt>
                <c:pt idx="2783">
                  <c:v>3.035623254965536E-2</c:v>
                </c:pt>
                <c:pt idx="2784">
                  <c:v>3.0352605713863667E-2</c:v>
                </c:pt>
                <c:pt idx="2785">
                  <c:v>3.0348994865443402E-2</c:v>
                </c:pt>
                <c:pt idx="2786">
                  <c:v>3.0345400004394563E-2</c:v>
                </c:pt>
                <c:pt idx="2787">
                  <c:v>3.0341821130797086E-2</c:v>
                </c:pt>
                <c:pt idx="2788">
                  <c:v>3.0338258244171357E-2</c:v>
                </c:pt>
                <c:pt idx="2789">
                  <c:v>3.0334711345156862E-2</c:v>
                </c:pt>
                <c:pt idx="2790">
                  <c:v>3.0331180433513794E-2</c:v>
                </c:pt>
                <c:pt idx="2791">
                  <c:v>3.0327665509162216E-2</c:v>
                </c:pt>
                <c:pt idx="2792">
                  <c:v>3.0323169812387363E-2</c:v>
                </c:pt>
                <c:pt idx="2793">
                  <c:v>3.0320683622493405E-2</c:v>
                </c:pt>
                <c:pt idx="2794">
                  <c:v>3.0316722684995412E-2</c:v>
                </c:pt>
                <c:pt idx="2795">
                  <c:v>3.0313765685150429E-2</c:v>
                </c:pt>
                <c:pt idx="2796">
                  <c:v>3.0310330697655985E-2</c:v>
                </c:pt>
                <c:pt idx="2797">
                  <c:v>3.0306911697373096E-2</c:v>
                </c:pt>
                <c:pt idx="2798">
                  <c:v>3.0303023844853172E-2</c:v>
                </c:pt>
                <c:pt idx="2799">
                  <c:v>3.0300121658761725E-2</c:v>
                </c:pt>
                <c:pt idx="2800">
                  <c:v>3.029675062051318E-2</c:v>
                </c:pt>
                <c:pt idx="2801">
                  <c:v>3.0293395569636061E-2</c:v>
                </c:pt>
                <c:pt idx="2802">
                  <c:v>3.0290056505970497E-2</c:v>
                </c:pt>
                <c:pt idx="2803">
                  <c:v>3.028673342967636E-2</c:v>
                </c:pt>
                <c:pt idx="2804">
                  <c:v>3.0283426340913522E-2</c:v>
                </c:pt>
                <c:pt idx="2805">
                  <c:v>3.0280135239202366E-2</c:v>
                </c:pt>
                <c:pt idx="2806">
                  <c:v>3.0276860125022509E-2</c:v>
                </c:pt>
                <c:pt idx="2807">
                  <c:v>3.0273600998134143E-2</c:v>
                </c:pt>
                <c:pt idx="2808">
                  <c:v>3.0270357858537267E-2</c:v>
                </c:pt>
                <c:pt idx="2809">
                  <c:v>3.0267130706311818E-2</c:v>
                </c:pt>
                <c:pt idx="2810">
                  <c:v>3.0263919541537732E-2</c:v>
                </c:pt>
                <c:pt idx="2811">
                  <c:v>3.0260269215016677E-2</c:v>
                </c:pt>
                <c:pt idx="2812">
                  <c:v>3.0257545173784095E-2</c:v>
                </c:pt>
                <c:pt idx="2813">
                  <c:v>3.0254381970724609E-2</c:v>
                </c:pt>
                <c:pt idx="2814">
                  <c:v>3.0251234755196421E-2</c:v>
                </c:pt>
                <c:pt idx="2815">
                  <c:v>3.0248103527119596E-2</c:v>
                </c:pt>
                <c:pt idx="2816">
                  <c:v>3.024498828617439E-2</c:v>
                </c:pt>
                <c:pt idx="2817">
                  <c:v>3.0241889032600611E-2</c:v>
                </c:pt>
                <c:pt idx="2818">
                  <c:v>3.0238805766478194E-2</c:v>
                </c:pt>
                <c:pt idx="2819">
                  <c:v>3.0235738487567332E-2</c:v>
                </c:pt>
                <c:pt idx="2820">
                  <c:v>3.023268719594796E-2</c:v>
                </c:pt>
                <c:pt idx="2821">
                  <c:v>3.0229651891859888E-2</c:v>
                </c:pt>
                <c:pt idx="2822">
                  <c:v>3.022663257498337E-2</c:v>
                </c:pt>
                <c:pt idx="2823">
                  <c:v>3.0223629245398342E-2</c:v>
                </c:pt>
                <c:pt idx="2824">
                  <c:v>3.022064190302487E-2</c:v>
                </c:pt>
                <c:pt idx="2825">
                  <c:v>3.0217670548262632E-2</c:v>
                </c:pt>
                <c:pt idx="2826">
                  <c:v>3.0214715180711949E-2</c:v>
                </c:pt>
                <c:pt idx="2827">
                  <c:v>3.0211775800452756E-2</c:v>
                </c:pt>
                <c:pt idx="2828">
                  <c:v>3.020802008895096E-2</c:v>
                </c:pt>
                <c:pt idx="2829">
                  <c:v>3.020511725122077E-2</c:v>
                </c:pt>
                <c:pt idx="2830">
                  <c:v>3.0202641829113475E-2</c:v>
                </c:pt>
                <c:pt idx="2831">
                  <c:v>3.0199768682113159E-2</c:v>
                </c:pt>
                <c:pt idx="2832">
                  <c:v>3.0196911522404335E-2</c:v>
                </c:pt>
                <c:pt idx="2833">
                  <c:v>3.0194070349907065E-2</c:v>
                </c:pt>
                <c:pt idx="2834">
                  <c:v>3.019124516502103E-2</c:v>
                </c:pt>
                <c:pt idx="2835">
                  <c:v>3.0188435967266614E-2</c:v>
                </c:pt>
                <c:pt idx="2836">
                  <c:v>3.0185642756883624E-2</c:v>
                </c:pt>
                <c:pt idx="2837">
                  <c:v>3.0182865533712189E-2</c:v>
                </c:pt>
                <c:pt idx="2838">
                  <c:v>3.0180104298072052E-2</c:v>
                </c:pt>
                <c:pt idx="2839">
                  <c:v>3.0177359049723407E-2</c:v>
                </c:pt>
                <c:pt idx="2840">
                  <c:v>3.0174629788586316E-2</c:v>
                </c:pt>
                <c:pt idx="2841">
                  <c:v>3.0171916514820651E-2</c:v>
                </c:pt>
                <c:pt idx="2842">
                  <c:v>3.0169219228426414E-2</c:v>
                </c:pt>
                <c:pt idx="2843">
                  <c:v>3.0165774780179788E-2</c:v>
                </c:pt>
                <c:pt idx="2844">
                  <c:v>3.0163872617432474E-2</c:v>
                </c:pt>
                <c:pt idx="2845">
                  <c:v>3.0161223293072581E-2</c:v>
                </c:pt>
                <c:pt idx="2846">
                  <c:v>3.0158215069961969E-2</c:v>
                </c:pt>
                <c:pt idx="2847">
                  <c:v>3.0155972605987458E-2</c:v>
                </c:pt>
                <c:pt idx="2848">
                  <c:v>3.0153371243581972E-2</c:v>
                </c:pt>
                <c:pt idx="2849">
                  <c:v>3.0150785868467977E-2</c:v>
                </c:pt>
                <c:pt idx="2850">
                  <c:v>3.0147850730175563E-2</c:v>
                </c:pt>
                <c:pt idx="2851">
                  <c:v>3.0145663079954588E-2</c:v>
                </c:pt>
                <c:pt idx="2852">
                  <c:v>3.0143125666795001E-2</c:v>
                </c:pt>
                <c:pt idx="2853">
                  <c:v>3.0140604240846969E-2</c:v>
                </c:pt>
                <c:pt idx="2854">
                  <c:v>3.0138098802190427E-2</c:v>
                </c:pt>
                <c:pt idx="2855">
                  <c:v>3.0135609350905312E-2</c:v>
                </c:pt>
                <c:pt idx="2856">
                  <c:v>3.013313588707156E-2</c:v>
                </c:pt>
                <c:pt idx="2857">
                  <c:v>3.0130678410449363E-2</c:v>
                </c:pt>
                <c:pt idx="2858">
                  <c:v>3.012823692103872E-2</c:v>
                </c:pt>
                <c:pt idx="2859">
                  <c:v>3.0125811419239312E-2</c:v>
                </c:pt>
                <c:pt idx="2860">
                  <c:v>3.0123401904491587E-2</c:v>
                </c:pt>
                <c:pt idx="2861">
                  <c:v>3.0121008377195224E-2</c:v>
                </c:pt>
                <c:pt idx="2862">
                  <c:v>3.011863083703048E-2</c:v>
                </c:pt>
                <c:pt idx="2863">
                  <c:v>3.0115933224736935E-2</c:v>
                </c:pt>
                <c:pt idx="2864">
                  <c:v>3.0113923718975144E-2</c:v>
                </c:pt>
                <c:pt idx="2865">
                  <c:v>3.0111594140844744E-2</c:v>
                </c:pt>
                <c:pt idx="2866">
                  <c:v>3.0109280550085771E-2</c:v>
                </c:pt>
                <c:pt idx="2867">
                  <c:v>3.0106982946618288E-2</c:v>
                </c:pt>
                <c:pt idx="2868">
                  <c:v>3.0104701330602168E-2</c:v>
                </c:pt>
                <c:pt idx="2869">
                  <c:v>3.0102435701637731E-2</c:v>
                </c:pt>
                <c:pt idx="2870">
                  <c:v>3.0100186060284528E-2</c:v>
                </c:pt>
                <c:pt idx="2871">
                  <c:v>3.0097952405983008E-2</c:v>
                </c:pt>
                <c:pt idx="2872">
                  <c:v>3.0095734738972979E-2</c:v>
                </c:pt>
                <c:pt idx="2873">
                  <c:v>3.0093533059494249E-2</c:v>
                </c:pt>
                <c:pt idx="2874">
                  <c:v>3.0091347367227073E-2</c:v>
                </c:pt>
                <c:pt idx="2875">
                  <c:v>3.0089177662331323E-2</c:v>
                </c:pt>
                <c:pt idx="2876">
                  <c:v>3.0087023944647129E-2</c:v>
                </c:pt>
                <c:pt idx="2877">
                  <c:v>3.0084886214414297E-2</c:v>
                </c:pt>
                <c:pt idx="2878">
                  <c:v>3.008276447139302E-2</c:v>
                </c:pt>
                <c:pt idx="2879">
                  <c:v>3.0080658715663233E-2</c:v>
                </c:pt>
                <c:pt idx="2880">
                  <c:v>3.0077974807127816E-2</c:v>
                </c:pt>
                <c:pt idx="2881">
                  <c:v>3.0076200216733184E-2</c:v>
                </c:pt>
                <c:pt idx="2882">
                  <c:v>3.0074437372462626E-2</c:v>
                </c:pt>
                <c:pt idx="2883">
                  <c:v>3.0072395565898802E-2</c:v>
                </c:pt>
                <c:pt idx="2884">
                  <c:v>3.0070369746706405E-2</c:v>
                </c:pt>
                <c:pt idx="2885">
                  <c:v>3.0068359915125242E-2</c:v>
                </c:pt>
                <c:pt idx="2886">
                  <c:v>3.006636607043589E-2</c:v>
                </c:pt>
                <c:pt idx="2887">
                  <c:v>3.0064388213197901E-2</c:v>
                </c:pt>
                <c:pt idx="2888">
                  <c:v>3.0062426343411275E-2</c:v>
                </c:pt>
                <c:pt idx="2889">
                  <c:v>3.0060480460756267E-2</c:v>
                </c:pt>
                <c:pt idx="2890">
                  <c:v>3.005855056539275E-2</c:v>
                </c:pt>
                <c:pt idx="2891">
                  <c:v>3.0056636657320723E-2</c:v>
                </c:pt>
                <c:pt idx="2892">
                  <c:v>3.0054738736779996E-2</c:v>
                </c:pt>
                <c:pt idx="2893">
                  <c:v>3.0052322044573643E-2</c:v>
                </c:pt>
                <c:pt idx="2894">
                  <c:v>3.005099085741314E-2</c:v>
                </c:pt>
                <c:pt idx="2895">
                  <c:v>3.0049140898666948E-2</c:v>
                </c:pt>
                <c:pt idx="2896">
                  <c:v>3.0047306927132311E-2</c:v>
                </c:pt>
                <c:pt idx="2897">
                  <c:v>3.0045488943049037E-2</c:v>
                </c:pt>
                <c:pt idx="2898">
                  <c:v>3.0043430823294415E-2</c:v>
                </c:pt>
                <c:pt idx="2899">
                  <c:v>3.0041900936677024E-2</c:v>
                </c:pt>
                <c:pt idx="2900">
                  <c:v>3.0040130914548158E-2</c:v>
                </c:pt>
                <c:pt idx="2901">
                  <c:v>3.0038376879470974E-2</c:v>
                </c:pt>
                <c:pt idx="2902">
                  <c:v>3.0036391844534549E-2</c:v>
                </c:pt>
                <c:pt idx="2903">
                  <c:v>3.003491677175063E-2</c:v>
                </c:pt>
                <c:pt idx="2904">
                  <c:v>3.0033210698707791E-2</c:v>
                </c:pt>
                <c:pt idx="2905">
                  <c:v>3.0031520612956442E-2</c:v>
                </c:pt>
                <c:pt idx="2906">
                  <c:v>3.0029846514576519E-2</c:v>
                </c:pt>
                <c:pt idx="2907">
                  <c:v>3.0028188403568024E-2</c:v>
                </c:pt>
                <c:pt idx="2908">
                  <c:v>3.0026546279691146E-2</c:v>
                </c:pt>
                <c:pt idx="2909">
                  <c:v>3.0024920143265632E-2</c:v>
                </c:pt>
                <c:pt idx="2910">
                  <c:v>3.0023309994211544E-2</c:v>
                </c:pt>
                <c:pt idx="2911">
                  <c:v>3.0021715832289075E-2</c:v>
                </c:pt>
                <c:pt idx="2912">
                  <c:v>3.0020137657658097E-2</c:v>
                </c:pt>
                <c:pt idx="2913">
                  <c:v>3.0018575470398545E-2</c:v>
                </c:pt>
                <c:pt idx="2914">
                  <c:v>3.0017029270430484E-2</c:v>
                </c:pt>
                <c:pt idx="2915">
                  <c:v>3.0015281761173185E-2</c:v>
                </c:pt>
                <c:pt idx="2916">
                  <c:v>3.001398483244877E-2</c:v>
                </c:pt>
                <c:pt idx="2917">
                  <c:v>3.0012486594435117E-2</c:v>
                </c:pt>
                <c:pt idx="2918">
                  <c:v>3.0011004343712955E-2</c:v>
                </c:pt>
                <c:pt idx="2919">
                  <c:v>3.0009538080202347E-2</c:v>
                </c:pt>
                <c:pt idx="2920">
                  <c:v>3.0008087804063166E-2</c:v>
                </c:pt>
                <c:pt idx="2921">
                  <c:v>3.0006653515375348E-2</c:v>
                </c:pt>
                <c:pt idx="2922">
                  <c:v>3.0005235213819148E-2</c:v>
                </c:pt>
                <c:pt idx="2923">
                  <c:v>3.0003832899554439E-2</c:v>
                </c:pt>
                <c:pt idx="2924">
                  <c:v>3.0002446572661157E-2</c:v>
                </c:pt>
                <c:pt idx="2925">
                  <c:v>3.0001076232899493E-2</c:v>
                </c:pt>
                <c:pt idx="2926">
                  <c:v>2.9999721880669128E-2</c:v>
                </c:pt>
                <c:pt idx="2927">
                  <c:v>2.9998383515570382E-2</c:v>
                </c:pt>
                <c:pt idx="2928">
                  <c:v>2.9997061137922998E-2</c:v>
                </c:pt>
                <c:pt idx="2929">
                  <c:v>2.9995754747487169E-2</c:v>
                </c:pt>
                <c:pt idx="2930">
                  <c:v>2.999446434434283E-2</c:v>
                </c:pt>
                <c:pt idx="2931">
                  <c:v>2.9993189928489983E-2</c:v>
                </c:pt>
                <c:pt idx="2932">
                  <c:v>2.9991574885430694E-2</c:v>
                </c:pt>
                <c:pt idx="2933">
                  <c:v>2.999051287223331E-2</c:v>
                </c:pt>
                <c:pt idx="2934">
                  <c:v>2.998946260476032E-2</c:v>
                </c:pt>
                <c:pt idx="2935">
                  <c:v>2.9988252138153371E-2</c:v>
                </c:pt>
                <c:pt idx="2936">
                  <c:v>2.9987057658837912E-2</c:v>
                </c:pt>
                <c:pt idx="2937">
                  <c:v>2.9985879166813945E-2</c:v>
                </c:pt>
                <c:pt idx="2938">
                  <c:v>2.9984716662001532E-2</c:v>
                </c:pt>
                <c:pt idx="2939">
                  <c:v>2.9983570144720417E-2</c:v>
                </c:pt>
                <c:pt idx="2940">
                  <c:v>2.9982439614570922E-2</c:v>
                </c:pt>
                <c:pt idx="2941">
                  <c:v>2.9981325071712916E-2</c:v>
                </c:pt>
                <c:pt idx="2942">
                  <c:v>2.9980226516306274E-2</c:v>
                </c:pt>
                <c:pt idx="2943">
                  <c:v>2.9979143947951314E-2</c:v>
                </c:pt>
                <c:pt idx="2944">
                  <c:v>2.9978077366967781E-2</c:v>
                </c:pt>
                <c:pt idx="2945">
                  <c:v>2.9977026773275739E-2</c:v>
                </c:pt>
                <c:pt idx="2946">
                  <c:v>2.9975992167035059E-2</c:v>
                </c:pt>
                <c:pt idx="2947">
                  <c:v>2.9974973548005934E-2</c:v>
                </c:pt>
                <c:pt idx="2948">
                  <c:v>2.9973687386428693E-2</c:v>
                </c:pt>
                <c:pt idx="2949">
                  <c:v>2.997298427174222E-2</c:v>
                </c:pt>
                <c:pt idx="2950">
                  <c:v>2.9972013614507631E-2</c:v>
                </c:pt>
                <c:pt idx="2951">
                  <c:v>2.99709238683743E-2</c:v>
                </c:pt>
                <c:pt idx="2952">
                  <c:v>2.9970120262072797E-2</c:v>
                </c:pt>
                <c:pt idx="2953">
                  <c:v>2.9969197566952488E-2</c:v>
                </c:pt>
                <c:pt idx="2954">
                  <c:v>2.9968162634252948E-2</c:v>
                </c:pt>
                <c:pt idx="2955">
                  <c:v>2.9967400138186662E-2</c:v>
                </c:pt>
                <c:pt idx="2956">
                  <c:v>2.9966525404780953E-2</c:v>
                </c:pt>
                <c:pt idx="2957">
                  <c:v>2.9965666658826606E-2</c:v>
                </c:pt>
                <c:pt idx="2958">
                  <c:v>2.9964823900003879E-2</c:v>
                </c:pt>
                <c:pt idx="2959">
                  <c:v>2.9963997128392705E-2</c:v>
                </c:pt>
                <c:pt idx="2960">
                  <c:v>2.9963186344152959E-2</c:v>
                </c:pt>
                <c:pt idx="2961">
                  <c:v>2.9962391547284639E-2</c:v>
                </c:pt>
                <c:pt idx="2962">
                  <c:v>2.9961612737787746E-2</c:v>
                </c:pt>
                <c:pt idx="2963">
                  <c:v>2.9960849915422472E-2</c:v>
                </c:pt>
                <c:pt idx="2964">
                  <c:v>2.996010308050856E-2</c:v>
                </c:pt>
                <c:pt idx="2965">
                  <c:v>2.9959372232806203E-2</c:v>
                </c:pt>
                <c:pt idx="2966">
                  <c:v>2.9958657372235464E-2</c:v>
                </c:pt>
                <c:pt idx="2967">
                  <c:v>2.9957859965294986E-2</c:v>
                </c:pt>
                <c:pt idx="2968">
                  <c:v>2.9957275613368139E-2</c:v>
                </c:pt>
                <c:pt idx="2969">
                  <c:v>2.9956608714911681E-2</c:v>
                </c:pt>
                <c:pt idx="2970">
                  <c:v>2.9955957803506905E-2</c:v>
                </c:pt>
                <c:pt idx="2971">
                  <c:v>2.9955322879633428E-2</c:v>
                </c:pt>
                <c:pt idx="2972">
                  <c:v>2.9954703942971506E-2</c:v>
                </c:pt>
                <c:pt idx="2973">
                  <c:v>2.995410099368101E-2</c:v>
                </c:pt>
                <c:pt idx="2974">
                  <c:v>2.9953514031522133E-2</c:v>
                </c:pt>
                <c:pt idx="2975">
                  <c:v>2.9952943056894554E-2</c:v>
                </c:pt>
                <c:pt idx="2976">
                  <c:v>2.9952388069318658E-2</c:v>
                </c:pt>
                <c:pt idx="2977">
                  <c:v>2.9951849069114189E-2</c:v>
                </c:pt>
                <c:pt idx="2978">
                  <c:v>2.9951326056201211E-2</c:v>
                </c:pt>
                <c:pt idx="2979">
                  <c:v>2.9950819030739595E-2</c:v>
                </c:pt>
                <c:pt idx="2980">
                  <c:v>2.9950327992409598E-2</c:v>
                </c:pt>
                <c:pt idx="2981">
                  <c:v>2.9949852941291155E-2</c:v>
                </c:pt>
                <c:pt idx="2982">
                  <c:v>2.9949393877704011E-2</c:v>
                </c:pt>
                <c:pt idx="2983">
                  <c:v>2.9948950801328422E-2</c:v>
                </c:pt>
                <c:pt idx="2984">
                  <c:v>2.9948404623105773E-2</c:v>
                </c:pt>
                <c:pt idx="2985">
                  <c:v>2.9947998089099315E-2</c:v>
                </c:pt>
                <c:pt idx="2986">
                  <c:v>2.9947662355898075E-2</c:v>
                </c:pt>
                <c:pt idx="2987">
                  <c:v>2.9947285512541555E-2</c:v>
                </c:pt>
                <c:pt idx="2988">
                  <c:v>2.9946924656636398E-2</c:v>
                </c:pt>
                <c:pt idx="2989">
                  <c:v>2.9946579787702987E-2</c:v>
                </c:pt>
                <c:pt idx="2990">
                  <c:v>2.9946250906220939E-2</c:v>
                </c:pt>
                <c:pt idx="2991">
                  <c:v>2.9945938012190254E-2</c:v>
                </c:pt>
                <c:pt idx="2992">
                  <c:v>2.9945641105291188E-2</c:v>
                </c:pt>
                <c:pt idx="2993">
                  <c:v>2.9945360185683612E-2</c:v>
                </c:pt>
                <c:pt idx="2994">
                  <c:v>2.9945095253447462E-2</c:v>
                </c:pt>
                <c:pt idx="2995">
                  <c:v>2.9944846308502804E-2</c:v>
                </c:pt>
                <c:pt idx="2996">
                  <c:v>2.99446133507697E-2</c:v>
                </c:pt>
                <c:pt idx="2997">
                  <c:v>2.9944396380328087E-2</c:v>
                </c:pt>
                <c:pt idx="2998">
                  <c:v>2.99441953972579E-2</c:v>
                </c:pt>
                <c:pt idx="2999">
                  <c:v>2.9946426854063901E-2</c:v>
                </c:pt>
                <c:pt idx="3000">
                  <c:v>2.9943841392752191E-2</c:v>
                </c:pt>
                <c:pt idx="3001">
                  <c:v>2.9943688371636412E-2</c:v>
                </c:pt>
                <c:pt idx="3002">
                  <c:v>2.9943551337652252E-2</c:v>
                </c:pt>
                <c:pt idx="3003">
                  <c:v>2.9943414303748028E-2</c:v>
                </c:pt>
                <c:pt idx="3004">
                  <c:v>2.9943325231558404E-2</c:v>
                </c:pt>
                <c:pt idx="3005">
                  <c:v>2.9943236159608588E-2</c:v>
                </c:pt>
                <c:pt idx="3006">
                  <c:v>2.9943153939138156E-2</c:v>
                </c:pt>
                <c:pt idx="3007">
                  <c:v>2.994310597734362E-2</c:v>
                </c:pt>
                <c:pt idx="3008">
                  <c:v>2.994306486718834E-2</c:v>
                </c:pt>
                <c:pt idx="3009">
                  <c:v>2.9943039744324551E-2</c:v>
                </c:pt>
                <c:pt idx="3010">
                  <c:v>2.9943030608672316E-2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0445696"/>
        <c:axId val="300447616"/>
      </c:lineChart>
      <c:dateAx>
        <c:axId val="300445696"/>
        <c:scaling>
          <c:orientation val="minMax"/>
          <c:max val="42547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447616"/>
        <c:crosses val="autoZero"/>
        <c:auto val="1"/>
        <c:lblOffset val="100"/>
        <c:baseTimeUnit val="days"/>
        <c:majorUnit val="3"/>
        <c:majorTimeUnit val="months"/>
      </c:dateAx>
      <c:valAx>
        <c:axId val="300447616"/>
        <c:scaling>
          <c:orientation val="minMax"/>
          <c:max val="1.4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0044569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66675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75" customWidth="1"/>
    <col min="3" max="3" width="18" style="75" bestFit="1" customWidth="1"/>
    <col min="4" max="4" width="23.85546875" style="75" bestFit="1" customWidth="1"/>
    <col min="5" max="5" width="22" style="75" bestFit="1" customWidth="1"/>
    <col min="6" max="7" width="2.7109375" style="75" customWidth="1"/>
    <col min="8" max="9" width="8" style="75" customWidth="1"/>
    <col min="10" max="11" width="2.7109375" style="75" customWidth="1"/>
    <col min="12" max="12" width="18.5703125" style="75" bestFit="1" customWidth="1"/>
    <col min="13" max="13" width="45.7109375" style="75" customWidth="1"/>
    <col min="14" max="14" width="2.7109375" style="75" customWidth="1"/>
    <col min="15" max="16384" width="8" style="75"/>
  </cols>
  <sheetData>
    <row r="1" spans="2:14" ht="12" thickBot="1" x14ac:dyDescent="0.25">
      <c r="B1" s="75" t="str">
        <f>_xll.qlxlVersion(TRUE,Trigger)</f>
        <v>QuantLibXL 1.4.0 - MS VC++ 9.0 - Multithreaded Dynamic Runtime library - Release Configuration - Apr 29 2014 14:47:17</v>
      </c>
    </row>
    <row r="2" spans="2:14" ht="19.5" customHeight="1" thickBot="1" x14ac:dyDescent="0.3">
      <c r="B2" s="91" t="s">
        <v>88</v>
      </c>
      <c r="C2" s="89"/>
      <c r="D2" s="89"/>
      <c r="E2" s="89"/>
      <c r="F2" s="89"/>
      <c r="G2" s="85"/>
      <c r="K2" s="91" t="s">
        <v>100</v>
      </c>
      <c r="L2" s="89"/>
      <c r="M2" s="89"/>
      <c r="N2" s="90"/>
    </row>
    <row r="3" spans="2:14" ht="12" thickBot="1" x14ac:dyDescent="0.25">
      <c r="B3" s="26"/>
      <c r="C3" s="55"/>
      <c r="D3" s="24"/>
      <c r="E3" s="24"/>
      <c r="F3" s="24"/>
      <c r="G3" s="85"/>
      <c r="K3" s="70"/>
      <c r="L3" s="73"/>
      <c r="M3" s="73"/>
      <c r="N3" s="72"/>
    </row>
    <row r="4" spans="2:14" x14ac:dyDescent="0.2">
      <c r="B4" s="26"/>
      <c r="C4" s="54" t="s">
        <v>87</v>
      </c>
      <c r="D4" s="41" t="s">
        <v>76</v>
      </c>
      <c r="E4" s="24"/>
      <c r="F4" s="24"/>
      <c r="G4" s="85"/>
      <c r="H4" s="77" t="s">
        <v>86</v>
      </c>
      <c r="I4" s="78"/>
      <c r="K4" s="70"/>
      <c r="L4" s="69" t="s">
        <v>99</v>
      </c>
      <c r="M4" s="63" t="b">
        <v>0</v>
      </c>
      <c r="N4" s="68"/>
    </row>
    <row r="5" spans="2:14" x14ac:dyDescent="0.2">
      <c r="B5" s="26"/>
      <c r="C5" s="53" t="s">
        <v>85</v>
      </c>
      <c r="D5" s="27">
        <v>1</v>
      </c>
      <c r="E5" s="24"/>
      <c r="F5" s="24"/>
      <c r="G5" s="85"/>
      <c r="H5" s="79" t="s">
        <v>84</v>
      </c>
      <c r="I5" s="80" t="s">
        <v>83</v>
      </c>
      <c r="K5" s="70"/>
      <c r="L5" s="69" t="s">
        <v>98</v>
      </c>
      <c r="M5" s="71"/>
      <c r="N5" s="68"/>
    </row>
    <row r="6" spans="2:14" x14ac:dyDescent="0.2">
      <c r="B6" s="26"/>
      <c r="C6" s="53" t="s">
        <v>82</v>
      </c>
      <c r="D6" s="27" t="str">
        <f>_xll.qlPeriodEquivalent(D5&amp;"M")</f>
        <v>1M</v>
      </c>
      <c r="E6" s="24"/>
      <c r="F6" s="23"/>
      <c r="H6" s="79" t="s">
        <v>81</v>
      </c>
      <c r="I6" s="80" t="s">
        <v>80</v>
      </c>
      <c r="K6" s="70"/>
      <c r="L6" s="69" t="s">
        <v>97</v>
      </c>
      <c r="M6" s="60" t="b">
        <v>1</v>
      </c>
      <c r="N6" s="68"/>
    </row>
    <row r="7" spans="2:14" ht="12" thickBot="1" x14ac:dyDescent="0.25">
      <c r="B7" s="26"/>
      <c r="C7" s="53" t="s">
        <v>79</v>
      </c>
      <c r="D7" s="27" t="str">
        <f>Months&amp;IF(UPPER(Currency)="EUR","E","L")</f>
        <v>1L</v>
      </c>
      <c r="E7" s="24"/>
      <c r="F7" s="23"/>
      <c r="H7" s="79" t="s">
        <v>78</v>
      </c>
      <c r="I7" s="80"/>
      <c r="K7" s="67"/>
      <c r="L7" s="66"/>
      <c r="M7" s="66"/>
      <c r="N7" s="65"/>
    </row>
    <row r="8" spans="2:14" ht="12" thickBot="1" x14ac:dyDescent="0.25">
      <c r="B8" s="26"/>
      <c r="C8" s="53" t="s">
        <v>77</v>
      </c>
      <c r="D8" s="27" t="str">
        <f>VLOOKUP(Currency,H4:I8,2)</f>
        <v>AM</v>
      </c>
      <c r="E8" s="24"/>
      <c r="F8" s="23"/>
      <c r="H8" s="81" t="s">
        <v>76</v>
      </c>
      <c r="I8" s="82" t="s">
        <v>75</v>
      </c>
      <c r="K8" s="76"/>
      <c r="L8" s="76"/>
      <c r="M8" s="76"/>
      <c r="N8" s="76"/>
    </row>
    <row r="9" spans="2:14" ht="19.5" customHeight="1" thickBot="1" x14ac:dyDescent="0.3">
      <c r="B9" s="26"/>
      <c r="C9" s="53" t="s">
        <v>74</v>
      </c>
      <c r="D9" s="27" t="str">
        <f>Currency&amp;"_YC"&amp;IndexTenor&amp;"RH"</f>
        <v>USD_YC1MRH</v>
      </c>
      <c r="E9" s="24"/>
      <c r="F9" s="23"/>
      <c r="K9" s="91" t="s">
        <v>96</v>
      </c>
      <c r="L9" s="89"/>
      <c r="M9" s="89"/>
      <c r="N9" s="90"/>
    </row>
    <row r="10" spans="2:14" ht="12.75" x14ac:dyDescent="0.2">
      <c r="B10" s="26"/>
      <c r="C10" s="52" t="s">
        <v>73</v>
      </c>
      <c r="D10" s="27" t="b">
        <v>1</v>
      </c>
      <c r="E10" s="24"/>
      <c r="F10" s="23"/>
      <c r="K10" s="62"/>
      <c r="L10" s="64"/>
      <c r="M10" s="64"/>
      <c r="N10" s="59"/>
    </row>
    <row r="11" spans="2:14" ht="12.75" x14ac:dyDescent="0.2">
      <c r="B11" s="26"/>
      <c r="C11" s="52" t="s">
        <v>72</v>
      </c>
      <c r="D11" s="51"/>
      <c r="E11" s="24"/>
      <c r="F11" s="23"/>
      <c r="K11" s="62"/>
      <c r="L11" s="61" t="s">
        <v>95</v>
      </c>
      <c r="M11" s="63" t="s">
        <v>94</v>
      </c>
      <c r="N11" s="59"/>
    </row>
    <row r="12" spans="2:14" ht="12.75" x14ac:dyDescent="0.2">
      <c r="B12" s="26"/>
      <c r="C12" s="50" t="s">
        <v>71</v>
      </c>
      <c r="D12" s="49" t="b">
        <v>1</v>
      </c>
      <c r="E12" s="24"/>
      <c r="F12" s="23"/>
      <c r="K12" s="62"/>
      <c r="L12" s="61" t="s">
        <v>93</v>
      </c>
      <c r="M12" s="60" t="s">
        <v>92</v>
      </c>
      <c r="N12" s="59"/>
    </row>
    <row r="13" spans="2:14" ht="12.75" x14ac:dyDescent="0.2">
      <c r="B13" s="26"/>
      <c r="C13" s="31"/>
      <c r="D13" s="31"/>
      <c r="E13" s="24"/>
      <c r="F13" s="23"/>
      <c r="K13" s="62"/>
      <c r="L13" s="61" t="s">
        <v>124</v>
      </c>
      <c r="M13" s="63" t="s">
        <v>123</v>
      </c>
      <c r="N13" s="59"/>
    </row>
    <row r="14" spans="2:14" ht="12.75" x14ac:dyDescent="0.2">
      <c r="B14" s="26"/>
      <c r="C14" s="46" t="s">
        <v>70</v>
      </c>
      <c r="D14" s="48" t="str">
        <f>_xll.qlPiecewiseYieldCurve(D16,NDays,Calendar,RateHelpersSelected,DayCounter,,,Accuracy,TraitsID,InterpolatorID,Permanent,,ObjectOverwrite)</f>
        <v>_USDYC1M#0008</v>
      </c>
      <c r="E14" s="24"/>
      <c r="F14" s="23"/>
      <c r="K14" s="62"/>
      <c r="L14" s="61" t="s">
        <v>122</v>
      </c>
      <c r="M14" s="63" t="str">
        <f>PROPER(Currency)&amp;"ON"</f>
        <v>UsdON</v>
      </c>
      <c r="N14" s="59"/>
    </row>
    <row r="15" spans="2:14" ht="12.75" x14ac:dyDescent="0.2">
      <c r="B15" s="26"/>
      <c r="C15" s="33" t="s">
        <v>48</v>
      </c>
      <c r="D15" s="47" t="str">
        <f>_xll.ohRangeRetrieveError(YieldCurve)</f>
        <v/>
      </c>
      <c r="E15" s="24"/>
      <c r="F15" s="23"/>
      <c r="K15" s="62"/>
      <c r="L15" s="61" t="s">
        <v>121</v>
      </c>
      <c r="M15" s="63" t="str">
        <f>PROPER(Currency)&amp;"STD"</f>
        <v>UsdSTD</v>
      </c>
      <c r="N15" s="59"/>
    </row>
    <row r="16" spans="2:14" ht="12.75" x14ac:dyDescent="0.2">
      <c r="B16" s="26"/>
      <c r="C16" s="46" t="s">
        <v>69</v>
      </c>
      <c r="D16" s="45" t="str">
        <f>"_"&amp;Currency&amp;"YC"&amp;IndexTenor</f>
        <v>_USDYC1M</v>
      </c>
      <c r="E16" s="24"/>
      <c r="F16" s="23"/>
      <c r="K16" s="62"/>
      <c r="L16" s="61" t="s">
        <v>126</v>
      </c>
      <c r="M16" s="63" t="s">
        <v>125</v>
      </c>
      <c r="N16" s="59"/>
    </row>
    <row r="17" spans="1:14" ht="13.5" thickBot="1" x14ac:dyDescent="0.25">
      <c r="B17" s="26"/>
      <c r="C17" s="35" t="s">
        <v>68</v>
      </c>
      <c r="D17" s="44">
        <v>2</v>
      </c>
      <c r="E17" s="24"/>
      <c r="F17" s="23"/>
      <c r="K17" s="58"/>
      <c r="L17" s="57"/>
      <c r="M17" s="57"/>
      <c r="N17" s="56"/>
    </row>
    <row r="18" spans="1:14" x14ac:dyDescent="0.2">
      <c r="B18" s="26"/>
      <c r="C18" s="35" t="s">
        <v>67</v>
      </c>
      <c r="D18" s="43" t="s">
        <v>66</v>
      </c>
      <c r="E18" s="24"/>
      <c r="F18" s="23"/>
    </row>
    <row r="19" spans="1:14" x14ac:dyDescent="0.2">
      <c r="B19" s="26"/>
      <c r="C19" s="35" t="s">
        <v>65</v>
      </c>
      <c r="D19" s="43"/>
      <c r="E19" s="24"/>
      <c r="F19" s="23"/>
    </row>
    <row r="20" spans="1:14" x14ac:dyDescent="0.2">
      <c r="B20" s="26"/>
      <c r="C20" s="35" t="s">
        <v>64</v>
      </c>
      <c r="D20" s="42" t="str">
        <f>Currency&amp;"TOY_SYNTH"&amp;IndexTenor&amp;"_Quote"</f>
        <v>USDTOY_SYNTH1M_Quote</v>
      </c>
      <c r="E20" s="41" t="str">
        <f>Currency&amp;"TOY2_SYNTH"&amp;IndexTenor&amp;"_Quote"</f>
        <v>USDTOY2_SYNTH1M_Quote</v>
      </c>
      <c r="F20" s="23"/>
    </row>
    <row r="21" spans="1:14" x14ac:dyDescent="0.2">
      <c r="B21" s="26"/>
      <c r="C21" s="35" t="s">
        <v>63</v>
      </c>
      <c r="D21" s="40">
        <f>DATE(YEAR(_xll.qlCalendarAdvance(Calendar,_xll.qlSettingsEvaluationDate(Trigger),NDays&amp;"D")),12,31)</f>
        <v>42004</v>
      </c>
      <c r="E21" s="39">
        <f>DATE(YEAR(D21+1),12,31)</f>
        <v>42369</v>
      </c>
      <c r="F21" s="23"/>
    </row>
    <row r="22" spans="1:14" x14ac:dyDescent="0.2">
      <c r="B22" s="26"/>
      <c r="C22" s="35" t="s">
        <v>62</v>
      </c>
      <c r="D22" s="38" t="e">
        <f>NA()</f>
        <v>#N/A</v>
      </c>
      <c r="E22" s="37" t="e">
        <f>NA()</f>
        <v>#N/A</v>
      </c>
      <c r="F22" s="23"/>
    </row>
    <row r="23" spans="1:14" x14ac:dyDescent="0.2">
      <c r="B23" s="26"/>
      <c r="C23" s="35" t="s">
        <v>61</v>
      </c>
      <c r="D23" s="36">
        <v>1E-4</v>
      </c>
      <c r="E23" s="24"/>
      <c r="F23" s="23"/>
    </row>
    <row r="24" spans="1:14" x14ac:dyDescent="0.2">
      <c r="B24" s="26"/>
      <c r="C24" s="35" t="s">
        <v>60</v>
      </c>
      <c r="D24" s="34" t="s">
        <v>59</v>
      </c>
      <c r="E24" s="24"/>
      <c r="F24" s="23"/>
    </row>
    <row r="25" spans="1:14" x14ac:dyDescent="0.2">
      <c r="B25" s="26"/>
      <c r="C25" s="33" t="s">
        <v>58</v>
      </c>
      <c r="D25" s="32" t="s">
        <v>57</v>
      </c>
      <c r="E25" s="24"/>
      <c r="F25" s="23"/>
    </row>
    <row r="26" spans="1:14" x14ac:dyDescent="0.2">
      <c r="B26" s="26"/>
      <c r="C26" s="31"/>
      <c r="D26" s="31"/>
      <c r="E26" s="24"/>
      <c r="F26" s="23"/>
    </row>
    <row r="27" spans="1:14" x14ac:dyDescent="0.2">
      <c r="B27" s="26"/>
      <c r="C27" s="30">
        <f>_xll.qlTermStructureReferenceDate(YieldCurve)</f>
        <v>41816</v>
      </c>
      <c r="D27" s="29">
        <f>MAX(_xll.ohPack(Selected!J1:J126))</f>
        <v>1</v>
      </c>
      <c r="E27" s="24"/>
      <c r="F27" s="23"/>
    </row>
    <row r="28" spans="1:14" x14ac:dyDescent="0.2">
      <c r="B28" s="26"/>
      <c r="C28" s="28">
        <f>MAX(_xll.ohPack(Selected!I2:I126))</f>
        <v>60079</v>
      </c>
      <c r="D28" s="27">
        <f>MIN(_xll.ohPack(Selected!J1:J126))</f>
        <v>0.18315725754062182</v>
      </c>
      <c r="E28" s="24"/>
      <c r="F28" s="23"/>
    </row>
    <row r="29" spans="1:14" x14ac:dyDescent="0.2">
      <c r="B29" s="26"/>
      <c r="C29" s="28" t="s">
        <v>48</v>
      </c>
      <c r="D29" s="83" t="str">
        <f>_xll.ohRangeRetrieveError(Selected!J1)</f>
        <v/>
      </c>
      <c r="E29" s="24"/>
      <c r="F29" s="23"/>
    </row>
    <row r="30" spans="1:14" ht="11.25" customHeight="1" x14ac:dyDescent="0.2">
      <c r="B30" s="26"/>
      <c r="C30" s="28" t="str">
        <f>Currency&amp;IndexTenor</f>
        <v>USD1M</v>
      </c>
      <c r="D30" s="27" t="b">
        <f>_xll.qlRelinkableHandleLinkTo(C30,YieldCurve)</f>
        <v>1</v>
      </c>
      <c r="E30" s="24"/>
      <c r="F30" s="23"/>
    </row>
    <row r="31" spans="1:14" x14ac:dyDescent="0.2">
      <c r="A31" s="84"/>
      <c r="B31" s="24"/>
      <c r="C31" s="25" t="s">
        <v>131</v>
      </c>
      <c r="D31" s="74" t="b">
        <v>0</v>
      </c>
      <c r="E31" s="24"/>
      <c r="F31" s="24"/>
      <c r="G31" s="85"/>
    </row>
    <row r="32" spans="1:14" ht="12" thickBot="1" x14ac:dyDescent="0.25">
      <c r="A32" s="84"/>
      <c r="B32" s="24"/>
      <c r="C32" s="86"/>
      <c r="D32" s="87"/>
      <c r="E32" s="24"/>
      <c r="F32" s="24"/>
      <c r="G32" s="85"/>
    </row>
    <row r="33" spans="2:6" x14ac:dyDescent="0.2">
      <c r="B33" s="88"/>
      <c r="C33" s="88"/>
      <c r="D33" s="88"/>
      <c r="E33" s="88"/>
      <c r="F33" s="88"/>
    </row>
  </sheetData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 M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L51"/>
  <sheetViews>
    <sheetView topLeftCell="C1" workbookViewId="0">
      <selection activeCell="C1" sqref="C1"/>
    </sheetView>
  </sheetViews>
  <sheetFormatPr defaultRowHeight="11.25" x14ac:dyDescent="0.2"/>
  <cols>
    <col min="1" max="1" width="6" style="1" hidden="1" customWidth="1"/>
    <col min="2" max="2" width="15.140625" style="2" hidden="1" customWidth="1"/>
    <col min="3" max="3" width="22.42578125" style="2" bestFit="1" customWidth="1"/>
    <col min="4" max="4" width="8" style="2" customWidth="1"/>
    <col min="5" max="5" width="10.5703125" style="2" customWidth="1"/>
    <col min="6" max="6" width="8.140625" style="2" customWidth="1"/>
    <col min="7" max="7" width="8.7109375" style="2" customWidth="1"/>
    <col min="8" max="8" width="9" style="2" customWidth="1"/>
    <col min="9" max="10" width="17.28515625" style="2" bestFit="1" customWidth="1"/>
    <col min="11" max="11" width="3" style="1" bestFit="1" customWidth="1"/>
    <col min="12" max="12" width="14.140625" style="1" bestFit="1" customWidth="1"/>
    <col min="13" max="13" width="28.140625" style="1" bestFit="1" customWidth="1"/>
    <col min="14" max="14" width="3.5703125" style="1" customWidth="1"/>
    <col min="15" max="16384" width="9.140625" style="1"/>
  </cols>
  <sheetData>
    <row r="1" spans="2:12" ht="33.75" customHeight="1" x14ac:dyDescent="0.2">
      <c r="B1" s="92" t="s">
        <v>47</v>
      </c>
      <c r="C1" s="92" t="s">
        <v>158</v>
      </c>
      <c r="D1" s="92" t="s">
        <v>46</v>
      </c>
      <c r="E1" s="92" t="s">
        <v>45</v>
      </c>
      <c r="F1" s="92" t="s">
        <v>44</v>
      </c>
      <c r="G1" s="92" t="s">
        <v>43</v>
      </c>
      <c r="H1" s="92" t="s">
        <v>42</v>
      </c>
      <c r="I1" s="92" t="s">
        <v>41</v>
      </c>
      <c r="J1" s="92" t="s">
        <v>40</v>
      </c>
    </row>
    <row r="2" spans="2:12" x14ac:dyDescent="0.2">
      <c r="B2" s="94" t="str">
        <f>Deposits!E3</f>
        <v>obj_00622#0001</v>
      </c>
      <c r="C2" s="94" t="str">
        <f>_xll.qlRateHelperQuoteName(B2)</f>
        <v>USDSWD_SYNTH1M_Quote</v>
      </c>
      <c r="D2" s="95">
        <f>_xll.qlRateHelperQuoteValue($B2,Trigger)</f>
        <v>9.6599999999999995E-4</v>
      </c>
      <c r="E2" s="95"/>
      <c r="F2" s="96" t="b">
        <v>1</v>
      </c>
      <c r="G2" s="96">
        <v>10</v>
      </c>
      <c r="H2" s="96">
        <v>1</v>
      </c>
      <c r="I2" s="97">
        <f>_xll.qlRateHelperEarliestDate($B2,Trigger)</f>
        <v>41816</v>
      </c>
      <c r="J2" s="98">
        <f>_xll.qlRateHelperLatestDate($B2,Trigger)</f>
        <v>41823</v>
      </c>
      <c r="K2" s="1">
        <v>40</v>
      </c>
      <c r="L2" s="1" t="s">
        <v>39</v>
      </c>
    </row>
    <row r="3" spans="2:12" x14ac:dyDescent="0.2">
      <c r="B3" s="94" t="str">
        <f>Deposits!E4</f>
        <v>obj_00623#0001</v>
      </c>
      <c r="C3" s="94" t="str">
        <f>_xll.qlRateHelperQuoteName(B3)</f>
        <v>USD1MD_SYNTH1M_Quote</v>
      </c>
      <c r="D3" s="95">
        <f>_xll.qlRateHelperQuoteValue($B3,Trigger)</f>
        <v>1.044E-3</v>
      </c>
      <c r="E3" s="95"/>
      <c r="F3" s="96" t="b">
        <v>1</v>
      </c>
      <c r="G3" s="96">
        <v>10</v>
      </c>
      <c r="H3" s="96">
        <v>1</v>
      </c>
      <c r="I3" s="97">
        <f>_xll.qlRateHelperEarliestDate($B3,Trigger)</f>
        <v>41816</v>
      </c>
      <c r="J3" s="98">
        <f>_xll.qlRateHelperLatestDate($B3,Trigger)</f>
        <v>41848</v>
      </c>
      <c r="K3" s="1">
        <v>70</v>
      </c>
      <c r="L3" s="1" t="s">
        <v>38</v>
      </c>
    </row>
    <row r="4" spans="2:12" ht="11.25" customHeight="1" x14ac:dyDescent="0.2">
      <c r="B4" s="104" t="str">
        <f>Swaps!K5</f>
        <v>obj_00621#0001</v>
      </c>
      <c r="C4" s="104" t="str">
        <f>_xll.qlRateHelperQuoteName(B4)</f>
        <v>USD2X1S_Quote</v>
      </c>
      <c r="D4" s="105">
        <f>_xll.qlRateHelperQuoteValue($B4,Trigger)</f>
        <v>1.5299999999999999E-3</v>
      </c>
      <c r="E4" s="105">
        <f>_xll.qlSwapRateHelperSpread($B4,Trigger)</f>
        <v>0</v>
      </c>
      <c r="F4" s="106" t="b">
        <v>0</v>
      </c>
      <c r="G4" s="106">
        <v>40</v>
      </c>
      <c r="H4" s="106">
        <v>1</v>
      </c>
      <c r="I4" s="107">
        <f>_xll.qlRateHelperEarliestDate($B4,Trigger)</f>
        <v>41816</v>
      </c>
      <c r="J4" s="108">
        <f>_xll.qlRateHelperLatestDate($B4,Trigger)</f>
        <v>41877</v>
      </c>
      <c r="K4" s="109"/>
    </row>
    <row r="5" spans="2:12" x14ac:dyDescent="0.2">
      <c r="B5" s="94" t="str">
        <f>Swaps!K6</f>
        <v>obj_00626#0001</v>
      </c>
      <c r="C5" s="94" t="str">
        <f>_xll.qlRateHelperQuoteName(B5)</f>
        <v>USD3X1S_Quote</v>
      </c>
      <c r="D5" s="95">
        <f>_xll.qlRateHelperQuoteValue($B5,Trigger)</f>
        <v>1.5399999999999999E-3</v>
      </c>
      <c r="E5" s="95">
        <f>_xll.qlSwapRateHelperSpread($B5,Trigger)</f>
        <v>0</v>
      </c>
      <c r="F5" s="96" t="b">
        <v>1</v>
      </c>
      <c r="G5" s="96">
        <v>40</v>
      </c>
      <c r="H5" s="96">
        <v>1</v>
      </c>
      <c r="I5" s="97">
        <f>_xll.qlRateHelperEarliestDate($B5,Trigger)</f>
        <v>41816</v>
      </c>
      <c r="J5" s="98">
        <f>_xll.qlRateHelperLatestDate($B5,Trigger)</f>
        <v>41908</v>
      </c>
      <c r="K5" s="110"/>
    </row>
    <row r="6" spans="2:12" x14ac:dyDescent="0.2">
      <c r="B6" s="94" t="str">
        <f>Swaps!K7</f>
        <v>obj_0062e#0001</v>
      </c>
      <c r="C6" s="94" t="str">
        <f>_xll.qlRateHelperQuoteName(B6)</f>
        <v>USD4X1S_Quote</v>
      </c>
      <c r="D6" s="95">
        <f>_xll.qlRateHelperQuoteValue($B6,Trigger)</f>
        <v>1.5499999999999999E-3</v>
      </c>
      <c r="E6" s="95">
        <f>_xll.qlSwapRateHelperSpread($B6,Trigger)</f>
        <v>0</v>
      </c>
      <c r="F6" s="96" t="b">
        <v>0</v>
      </c>
      <c r="G6" s="96">
        <v>40</v>
      </c>
      <c r="H6" s="96">
        <v>1</v>
      </c>
      <c r="I6" s="97">
        <f>_xll.qlRateHelperEarliestDate($B6,Trigger)</f>
        <v>41816</v>
      </c>
      <c r="J6" s="98">
        <f>_xll.qlRateHelperLatestDate($B6,Trigger)</f>
        <v>41939</v>
      </c>
    </row>
    <row r="7" spans="2:12" x14ac:dyDescent="0.2">
      <c r="B7" s="94" t="str">
        <f>Swaps!K8</f>
        <v>obj_00628#0001</v>
      </c>
      <c r="C7" s="94" t="str">
        <f>_xll.qlRateHelperQuoteName(B7)</f>
        <v>USD5X1S_Quote</v>
      </c>
      <c r="D7" s="95">
        <f>_xll.qlRateHelperQuoteValue($B7,Trigger)</f>
        <v>1.56E-3</v>
      </c>
      <c r="E7" s="95">
        <f>_xll.qlSwapRateHelperSpread($B7,Trigger)</f>
        <v>0</v>
      </c>
      <c r="F7" s="96" t="b">
        <v>0</v>
      </c>
      <c r="G7" s="96">
        <v>40</v>
      </c>
      <c r="H7" s="96">
        <v>1</v>
      </c>
      <c r="I7" s="97">
        <f>_xll.qlRateHelperEarliestDate($B7,Trigger)</f>
        <v>41816</v>
      </c>
      <c r="J7" s="98">
        <f>_xll.qlRateHelperLatestDate($B7,Trigger)</f>
        <v>41969</v>
      </c>
    </row>
    <row r="8" spans="2:12" ht="11.25" customHeight="1" x14ac:dyDescent="0.2">
      <c r="B8" s="94" t="str">
        <f>Swaps!K9</f>
        <v>obj_0062b#0001</v>
      </c>
      <c r="C8" s="94" t="str">
        <f>_xll.qlRateHelperQuoteName(B8)</f>
        <v>USD6X1S_Quote</v>
      </c>
      <c r="D8" s="95">
        <f>_xll.qlRateHelperQuoteValue($B8,Trigger)</f>
        <v>1.5900000000000001E-3</v>
      </c>
      <c r="E8" s="95">
        <f>_xll.qlSwapRateHelperSpread($B8,Trigger)</f>
        <v>0</v>
      </c>
      <c r="F8" s="96" t="b">
        <v>1</v>
      </c>
      <c r="G8" s="96">
        <v>40</v>
      </c>
      <c r="H8" s="96">
        <v>1</v>
      </c>
      <c r="I8" s="97">
        <f>_xll.qlRateHelperEarliestDate($B8,Trigger)</f>
        <v>41816</v>
      </c>
      <c r="J8" s="98">
        <f>_xll.qlRateHelperLatestDate($B8,Trigger)</f>
        <v>42002</v>
      </c>
    </row>
    <row r="9" spans="2:12" x14ac:dyDescent="0.2">
      <c r="B9" s="94" t="str">
        <f>Swaps!K10</f>
        <v>obj_00624#0001</v>
      </c>
      <c r="C9" s="94" t="str">
        <f>_xll.qlRateHelperQuoteName(B9)</f>
        <v>USD7X1S_Quote</v>
      </c>
      <c r="D9" s="95">
        <f>_xll.qlRateHelperQuoteValue($B9,Trigger)</f>
        <v>1.6300000000000002E-3</v>
      </c>
      <c r="E9" s="95">
        <f>_xll.qlSwapRateHelperSpread($B9,Trigger)</f>
        <v>0</v>
      </c>
      <c r="F9" s="96" t="b">
        <v>0</v>
      </c>
      <c r="G9" s="96">
        <v>40</v>
      </c>
      <c r="H9" s="96">
        <v>1</v>
      </c>
      <c r="I9" s="97">
        <f>_xll.qlRateHelperEarliestDate($B9,Trigger)</f>
        <v>41816</v>
      </c>
      <c r="J9" s="98">
        <f>_xll.qlRateHelperLatestDate($B9,Trigger)</f>
        <v>42030</v>
      </c>
    </row>
    <row r="10" spans="2:12" x14ac:dyDescent="0.2">
      <c r="B10" s="94" t="str">
        <f>Swaps!K11</f>
        <v>obj_00629#0001</v>
      </c>
      <c r="C10" s="94" t="str">
        <f>_xll.qlRateHelperQuoteName(B10)</f>
        <v>USD8X1S_Quote</v>
      </c>
      <c r="D10" s="95">
        <f>_xll.qlRateHelperQuoteValue($B10,Trigger)</f>
        <v>1.6799999999999999E-3</v>
      </c>
      <c r="E10" s="95">
        <f>_xll.qlSwapRateHelperSpread($B10,Trigger)</f>
        <v>0</v>
      </c>
      <c r="F10" s="96" t="b">
        <v>0</v>
      </c>
      <c r="G10" s="96">
        <v>40</v>
      </c>
      <c r="H10" s="96">
        <v>1</v>
      </c>
      <c r="I10" s="97">
        <f>_xll.qlRateHelperEarliestDate($B10,Trigger)</f>
        <v>41816</v>
      </c>
      <c r="J10" s="98">
        <f>_xll.qlRateHelperLatestDate($B10,Trigger)</f>
        <v>42061</v>
      </c>
    </row>
    <row r="11" spans="2:12" ht="11.25" customHeight="1" x14ac:dyDescent="0.2">
      <c r="B11" s="94" t="str">
        <f>Swaps!K12</f>
        <v>obj_0062d#0001</v>
      </c>
      <c r="C11" s="94" t="str">
        <f>_xll.qlRateHelperQuoteName(B11)</f>
        <v>USD9X1S_Quote</v>
      </c>
      <c r="D11" s="95">
        <f>_xll.qlRateHelperQuoteValue($B11,Trigger)</f>
        <v>1.7399999999999998E-3</v>
      </c>
      <c r="E11" s="95">
        <f>_xll.qlSwapRateHelperSpread($B11,Trigger)</f>
        <v>0</v>
      </c>
      <c r="F11" s="96" t="b">
        <v>1</v>
      </c>
      <c r="G11" s="96">
        <v>40</v>
      </c>
      <c r="H11" s="96">
        <v>1</v>
      </c>
      <c r="I11" s="97">
        <f>_xll.qlRateHelperEarliestDate($B11,Trigger)</f>
        <v>41816</v>
      </c>
      <c r="J11" s="98">
        <f>_xll.qlRateHelperLatestDate($B11,Trigger)</f>
        <v>42089</v>
      </c>
    </row>
    <row r="12" spans="2:12" x14ac:dyDescent="0.2">
      <c r="B12" s="94" t="str">
        <f>Swaps!K13</f>
        <v>obj_0062a#0001</v>
      </c>
      <c r="C12" s="94" t="str">
        <f>_xll.qlRateHelperQuoteName(B12)</f>
        <v>USD10X1S_Quote</v>
      </c>
      <c r="D12" s="95">
        <f>_xll.qlRateHelperQuoteValue($B12,Trigger)</f>
        <v>1.83E-3</v>
      </c>
      <c r="E12" s="95">
        <f>_xll.qlSwapRateHelperSpread($B12,Trigger)</f>
        <v>0</v>
      </c>
      <c r="F12" s="96" t="b">
        <v>0</v>
      </c>
      <c r="G12" s="96">
        <v>40</v>
      </c>
      <c r="H12" s="96">
        <v>1</v>
      </c>
      <c r="I12" s="97">
        <f>_xll.qlRateHelperEarliestDate($B12,Trigger)</f>
        <v>41816</v>
      </c>
      <c r="J12" s="98">
        <f>_xll.qlRateHelperLatestDate($B12,Trigger)</f>
        <v>42121</v>
      </c>
    </row>
    <row r="13" spans="2:12" x14ac:dyDescent="0.2">
      <c r="B13" s="94" t="str">
        <f>Swaps!K14</f>
        <v>obj_0062c#0001</v>
      </c>
      <c r="C13" s="94" t="str">
        <f>_xll.qlRateHelperQuoteName(B13)</f>
        <v>USD11X1S_Quote</v>
      </c>
      <c r="D13" s="95">
        <f>_xll.qlRateHelperQuoteValue($B13,Trigger)</f>
        <v>1.9300000000000001E-3</v>
      </c>
      <c r="E13" s="95">
        <f>_xll.qlSwapRateHelperSpread($B13,Trigger)</f>
        <v>0</v>
      </c>
      <c r="F13" s="96" t="b">
        <v>0</v>
      </c>
      <c r="G13" s="96">
        <v>40</v>
      </c>
      <c r="H13" s="96">
        <v>1</v>
      </c>
      <c r="I13" s="97">
        <f>_xll.qlRateHelperEarliestDate($B13,Trigger)</f>
        <v>41816</v>
      </c>
      <c r="J13" s="98">
        <f>_xll.qlRateHelperLatestDate($B13,Trigger)</f>
        <v>42150</v>
      </c>
    </row>
    <row r="14" spans="2:12" x14ac:dyDescent="0.2">
      <c r="B14" s="99" t="str">
        <f>Swaps!K15</f>
        <v>obj_00627#0001</v>
      </c>
      <c r="C14" s="99" t="str">
        <f>_xll.qlRateHelperQuoteName(B14)</f>
        <v>USD12X1S_Quote</v>
      </c>
      <c r="D14" s="100">
        <f>_xll.qlRateHelperQuoteValue($B14,Trigger)</f>
        <v>2.0700000000000002E-3</v>
      </c>
      <c r="E14" s="100">
        <f>_xll.qlSwapRateHelperSpread($B14,Trigger)</f>
        <v>0</v>
      </c>
      <c r="F14" s="101" t="b">
        <v>1</v>
      </c>
      <c r="G14" s="101">
        <v>40</v>
      </c>
      <c r="H14" s="96">
        <v>1</v>
      </c>
      <c r="I14" s="102">
        <f>_xll.qlRateHelperEarliestDate($B14,Trigger)</f>
        <v>41816</v>
      </c>
      <c r="J14" s="103">
        <f>_xll.qlRateHelperLatestDate($B14,Trigger)</f>
        <v>42181</v>
      </c>
    </row>
    <row r="15" spans="2:12" x14ac:dyDescent="0.2">
      <c r="B15" s="104" t="str">
        <f>SwapsFromBasis!K5</f>
        <v>obj_00625#0001</v>
      </c>
      <c r="C15" s="104" t="str">
        <f>SUBSTITUTE(_xll.qlRateHelperQuoteName(B15),"3L","1LBASIS")</f>
        <v>USDAM1LBASIS1Y_Quote</v>
      </c>
      <c r="D15" s="105">
        <f>_xll.qlRateHelperQuoteValue($B15,Trigger)</f>
        <v>2.8900000000000002E-3</v>
      </c>
      <c r="E15" s="105">
        <f>_xll.qlSwapRateHelperSpread($B15,Trigger)</f>
        <v>8.1999999999999998E-4</v>
      </c>
      <c r="F15" s="106" t="b">
        <v>0</v>
      </c>
      <c r="G15" s="106">
        <v>40</v>
      </c>
      <c r="H15" s="106">
        <v>1</v>
      </c>
      <c r="I15" s="107">
        <f>_xll.qlRateHelperEarliestDate($B15,Trigger)</f>
        <v>41816</v>
      </c>
      <c r="J15" s="108">
        <f>_xll.qlRateHelperLatestDate($B15,Trigger)</f>
        <v>42181</v>
      </c>
    </row>
    <row r="16" spans="2:12" x14ac:dyDescent="0.2">
      <c r="B16" s="94" t="str">
        <f>SwapsFromBasis!K6</f>
        <v>obj_0062f#0001</v>
      </c>
      <c r="C16" s="94" t="str">
        <f>SUBSTITUTE(_xll.qlRateHelperQuoteName(B16),"3L","1LBASIS")</f>
        <v>USDAM1LBASIS15M_Quote</v>
      </c>
      <c r="D16" s="95" t="e">
        <f>_xll.qlRateHelperQuoteValue($B16,Trigger)</f>
        <v>#NUM!</v>
      </c>
      <c r="E16" s="95">
        <f>_xll.qlSwapRateHelperSpread($B16,Trigger)</f>
        <v>8.2923401334427066E-4</v>
      </c>
      <c r="F16" s="96" t="b">
        <v>0</v>
      </c>
      <c r="G16" s="96">
        <v>40</v>
      </c>
      <c r="H16" s="96">
        <v>1</v>
      </c>
      <c r="I16" s="97">
        <f>_xll.qlRateHelperEarliestDate($B16,Trigger)</f>
        <v>41816</v>
      </c>
      <c r="J16" s="98">
        <f>_xll.qlRateHelperLatestDate($B16,Trigger)</f>
        <v>42275</v>
      </c>
    </row>
    <row r="17" spans="2:10" x14ac:dyDescent="0.2">
      <c r="B17" s="94" t="str">
        <f>SwapsFromBasis!K7</f>
        <v>obj_00630#0001</v>
      </c>
      <c r="C17" s="94" t="str">
        <f>SUBSTITUTE(_xll.qlRateHelperQuoteName(B17),"3L","1LBASIS")</f>
        <v>USDAM1LBASIS18M_Quote</v>
      </c>
      <c r="D17" s="95" t="e">
        <f>_xll.qlRateHelperQuoteValue($B17,Trigger)</f>
        <v>#NUM!</v>
      </c>
      <c r="E17" s="95">
        <f>_xll.qlSwapRateHelperSpread($B17,Trigger)</f>
        <v>8.3753052668854126E-4</v>
      </c>
      <c r="F17" s="96" t="b">
        <v>0</v>
      </c>
      <c r="G17" s="96">
        <v>40</v>
      </c>
      <c r="H17" s="96">
        <v>1</v>
      </c>
      <c r="I17" s="97">
        <f>_xll.qlRateHelperEarliestDate($B17,Trigger)</f>
        <v>41816</v>
      </c>
      <c r="J17" s="98">
        <f>_xll.qlRateHelperLatestDate($B17,Trigger)</f>
        <v>42367</v>
      </c>
    </row>
    <row r="18" spans="2:10" x14ac:dyDescent="0.2">
      <c r="B18" s="94" t="str">
        <f>SwapsFromBasis!K8</f>
        <v>obj_00631#0001</v>
      </c>
      <c r="C18" s="94" t="str">
        <f>SUBSTITUTE(_xll.qlRateHelperQuoteName(B18),"3L","1LBASIS")</f>
        <v>USDAM1LBASIS21M_Quote</v>
      </c>
      <c r="D18" s="95" t="e">
        <f>_xll.qlRateHelperQuoteValue($B18,Trigger)</f>
        <v>#NUM!</v>
      </c>
      <c r="E18" s="95">
        <f>_xll.qlSwapRateHelperSpread($B18,Trigger)</f>
        <v>8.4456177668854146E-4</v>
      </c>
      <c r="F18" s="96" t="b">
        <v>0</v>
      </c>
      <c r="G18" s="96">
        <v>40</v>
      </c>
      <c r="H18" s="96">
        <v>1</v>
      </c>
      <c r="I18" s="97">
        <f>_xll.qlRateHelperEarliestDate($B18,Trigger)</f>
        <v>41816</v>
      </c>
      <c r="J18" s="98">
        <f>_xll.qlRateHelperLatestDate($B18,Trigger)</f>
        <v>42458</v>
      </c>
    </row>
    <row r="19" spans="2:10" x14ac:dyDescent="0.2">
      <c r="B19" s="94" t="str">
        <f>SwapsFromBasis!K9</f>
        <v>obj_00632#0001</v>
      </c>
      <c r="C19" s="94" t="str">
        <f>SUBSTITUTE(_xll.qlRateHelperQuoteName(B19),"3L","1LBASIS")</f>
        <v>USDAM1LBASIS2Y_Quote</v>
      </c>
      <c r="D19" s="95">
        <f>_xll.qlRateHelperQuoteValue($B19,Trigger)</f>
        <v>6.0999999999999995E-3</v>
      </c>
      <c r="E19" s="95">
        <f>_xll.qlSwapRateHelperSpread($B19,Trigger)</f>
        <v>8.4999999999999995E-4</v>
      </c>
      <c r="F19" s="96" t="b">
        <v>1</v>
      </c>
      <c r="G19" s="96">
        <v>40</v>
      </c>
      <c r="H19" s="96">
        <v>1</v>
      </c>
      <c r="I19" s="97">
        <f>_xll.qlRateHelperEarliestDate($B19,Trigger)</f>
        <v>41816</v>
      </c>
      <c r="J19" s="98">
        <f>_xll.qlRateHelperLatestDate($B19,Trigger)</f>
        <v>42548</v>
      </c>
    </row>
    <row r="20" spans="2:10" x14ac:dyDescent="0.2">
      <c r="B20" s="94" t="str">
        <f>SwapsFromBasis!K10</f>
        <v>obj_00633#0001</v>
      </c>
      <c r="C20" s="94" t="str">
        <f>SUBSTITUTE(_xll.qlRateHelperQuoteName(B20),"3L","1LBASIS")</f>
        <v>USDAM1LBASIS3Y_Quote</v>
      </c>
      <c r="D20" s="95">
        <f>_xll.qlRateHelperQuoteValue($B20,Trigger)</f>
        <v>1.0499999999999999E-2</v>
      </c>
      <c r="E20" s="95">
        <f>_xll.qlSwapRateHelperSpread($B20,Trigger)</f>
        <v>8.5999999999999998E-4</v>
      </c>
      <c r="F20" s="96" t="b">
        <v>1</v>
      </c>
      <c r="G20" s="96">
        <v>40</v>
      </c>
      <c r="H20" s="96">
        <v>1</v>
      </c>
      <c r="I20" s="97">
        <f>_xll.qlRateHelperEarliestDate($B20,Trigger)</f>
        <v>41816</v>
      </c>
      <c r="J20" s="98">
        <f>_xll.qlRateHelperLatestDate($B20,Trigger)</f>
        <v>42912</v>
      </c>
    </row>
    <row r="21" spans="2:10" x14ac:dyDescent="0.2">
      <c r="B21" s="94" t="str">
        <f>SwapsFromBasis!K11</f>
        <v>obj_00634#0001</v>
      </c>
      <c r="C21" s="94" t="str">
        <f>SUBSTITUTE(_xll.qlRateHelperQuoteName(B21),"3L","1LBASIS")</f>
        <v>USDAM1LBASIS4Y_Quote</v>
      </c>
      <c r="D21" s="95">
        <f>_xll.qlRateHelperQuoteValue($B21,Trigger)</f>
        <v>1.452E-2</v>
      </c>
      <c r="E21" s="95">
        <f>_xll.qlSwapRateHelperSpread($B21,Trigger)</f>
        <v>8.699999999999999E-4</v>
      </c>
      <c r="F21" s="96" t="b">
        <v>1</v>
      </c>
      <c r="G21" s="96">
        <v>40</v>
      </c>
      <c r="H21" s="96">
        <v>1</v>
      </c>
      <c r="I21" s="97">
        <f>_xll.qlRateHelperEarliestDate($B21,Trigger)</f>
        <v>41816</v>
      </c>
      <c r="J21" s="98">
        <f>_xll.qlRateHelperLatestDate($B21,Trigger)</f>
        <v>43277</v>
      </c>
    </row>
    <row r="22" spans="2:10" x14ac:dyDescent="0.2">
      <c r="B22" s="94" t="str">
        <f>SwapsFromBasis!K12</f>
        <v>obj_00635#0001</v>
      </c>
      <c r="C22" s="94" t="str">
        <f>SUBSTITUTE(_xll.qlRateHelperQuoteName(B22),"3L","1LBASIS")</f>
        <v>USDAM1LBASIS5Y_Quote</v>
      </c>
      <c r="D22" s="95">
        <f>_xll.qlRateHelperQuoteValue($B22,Trigger)</f>
        <v>1.772E-2</v>
      </c>
      <c r="E22" s="95">
        <f>_xll.qlSwapRateHelperSpread($B22,Trigger)</f>
        <v>8.699999999999999E-4</v>
      </c>
      <c r="F22" s="96" t="b">
        <v>1</v>
      </c>
      <c r="G22" s="96">
        <v>40</v>
      </c>
      <c r="H22" s="96">
        <v>1</v>
      </c>
      <c r="I22" s="97">
        <f>_xll.qlRateHelperEarliestDate($B22,Trigger)</f>
        <v>41816</v>
      </c>
      <c r="J22" s="98">
        <f>_xll.qlRateHelperLatestDate($B22,Trigger)</f>
        <v>43642</v>
      </c>
    </row>
    <row r="23" spans="2:10" x14ac:dyDescent="0.2">
      <c r="B23" s="94" t="str">
        <f>SwapsFromBasis!K13</f>
        <v>obj_00636#0001</v>
      </c>
      <c r="C23" s="94" t="str">
        <f>SUBSTITUTE(_xll.qlRateHelperQuoteName(B23),"3L","1LBASIS")</f>
        <v>USDAM1LBASIS6Y_Quote</v>
      </c>
      <c r="D23" s="95">
        <f>_xll.qlRateHelperQuoteValue($B23,Trigger)</f>
        <v>2.0300000000000002E-2</v>
      </c>
      <c r="E23" s="95">
        <f>_xll.qlSwapRateHelperSpread($B23,Trigger)</f>
        <v>8.699999999999999E-4</v>
      </c>
      <c r="F23" s="96" t="b">
        <v>1</v>
      </c>
      <c r="G23" s="96">
        <v>40</v>
      </c>
      <c r="H23" s="96">
        <v>1</v>
      </c>
      <c r="I23" s="97">
        <f>_xll.qlRateHelperEarliestDate($B23,Trigger)</f>
        <v>41816</v>
      </c>
      <c r="J23" s="98">
        <f>_xll.qlRateHelperLatestDate($B23,Trigger)</f>
        <v>44008</v>
      </c>
    </row>
    <row r="24" spans="2:10" x14ac:dyDescent="0.2">
      <c r="B24" s="94" t="str">
        <f>SwapsFromBasis!K14</f>
        <v>obj_00637#0001</v>
      </c>
      <c r="C24" s="94" t="str">
        <f>SUBSTITUTE(_xll.qlRateHelperQuoteName(B24),"3L","1LBASIS")</f>
        <v>USDAM1LBASIS7Y_Quote</v>
      </c>
      <c r="D24" s="95">
        <f>_xll.qlRateHelperQuoteValue($B24,Trigger)</f>
        <v>2.2409999999999996E-2</v>
      </c>
      <c r="E24" s="95">
        <f>_xll.qlSwapRateHelperSpread($B24,Trigger)</f>
        <v>8.5999999999999998E-4</v>
      </c>
      <c r="F24" s="96" t="b">
        <v>1</v>
      </c>
      <c r="G24" s="96">
        <v>40</v>
      </c>
      <c r="H24" s="96">
        <v>1</v>
      </c>
      <c r="I24" s="97">
        <f>_xll.qlRateHelperEarliestDate($B24,Trigger)</f>
        <v>41816</v>
      </c>
      <c r="J24" s="98">
        <f>_xll.qlRateHelperLatestDate($B24,Trigger)</f>
        <v>44375</v>
      </c>
    </row>
    <row r="25" spans="2:10" x14ac:dyDescent="0.2">
      <c r="B25" s="94" t="str">
        <f>SwapsFromBasis!K15</f>
        <v>obj_00638#0001</v>
      </c>
      <c r="C25" s="94" t="str">
        <f>SUBSTITUTE(_xll.qlRateHelperQuoteName(B25),"3L","1LBASIS")</f>
        <v>USDAM1LBASIS8Y_Quote</v>
      </c>
      <c r="D25" s="95">
        <f>_xll.qlRateHelperQuoteValue($B25,Trigger)</f>
        <v>2.4119999999999999E-2</v>
      </c>
      <c r="E25" s="95">
        <f>_xll.qlSwapRateHelperSpread($B25,Trigger)</f>
        <v>8.3000000000000012E-4</v>
      </c>
      <c r="F25" s="96" t="b">
        <v>1</v>
      </c>
      <c r="G25" s="96">
        <v>40</v>
      </c>
      <c r="H25" s="96">
        <v>1</v>
      </c>
      <c r="I25" s="97">
        <f>_xll.qlRateHelperEarliestDate($B25,Trigger)</f>
        <v>41816</v>
      </c>
      <c r="J25" s="98">
        <f>_xll.qlRateHelperLatestDate($B25,Trigger)</f>
        <v>44739</v>
      </c>
    </row>
    <row r="26" spans="2:10" x14ac:dyDescent="0.2">
      <c r="B26" s="94" t="str">
        <f>SwapsFromBasis!K16</f>
        <v>obj_00639#0001</v>
      </c>
      <c r="C26" s="94" t="str">
        <f>SUBSTITUTE(_xll.qlRateHelperQuoteName(B26),"3L","1LBASIS")</f>
        <v>USDAM1LBASIS9Y_Quote</v>
      </c>
      <c r="D26" s="95">
        <f>_xll.qlRateHelperQuoteValue($B26,Trigger)</f>
        <v>2.5549999999999996E-2</v>
      </c>
      <c r="E26" s="95">
        <f>_xll.qlSwapRateHelperSpread($B26,Trigger)</f>
        <v>8.0000000000000004E-4</v>
      </c>
      <c r="F26" s="96" t="b">
        <v>1</v>
      </c>
      <c r="G26" s="96">
        <v>40</v>
      </c>
      <c r="H26" s="96">
        <v>1</v>
      </c>
      <c r="I26" s="97">
        <f>_xll.qlRateHelperEarliestDate($B26,Trigger)</f>
        <v>41816</v>
      </c>
      <c r="J26" s="98">
        <f>_xll.qlRateHelperLatestDate($B26,Trigger)</f>
        <v>45103</v>
      </c>
    </row>
    <row r="27" spans="2:10" x14ac:dyDescent="0.2">
      <c r="B27" s="94" t="str">
        <f>SwapsFromBasis!K17</f>
        <v>obj_0063a#0001</v>
      </c>
      <c r="C27" s="94" t="str">
        <f>SUBSTITUTE(_xll.qlRateHelperQuoteName(B27),"3L","1LBASIS")</f>
        <v>USDAM1LBASIS10Y_Quote</v>
      </c>
      <c r="D27" s="95">
        <f>_xll.qlRateHelperQuoteValue($B27,Trigger)</f>
        <v>2.6770000000000002E-2</v>
      </c>
      <c r="E27" s="95">
        <f>_xll.qlSwapRateHelperSpread($B27,Trigger)</f>
        <v>7.7000000000000007E-4</v>
      </c>
      <c r="F27" s="96" t="b">
        <v>1</v>
      </c>
      <c r="G27" s="96">
        <v>40</v>
      </c>
      <c r="H27" s="96">
        <v>1</v>
      </c>
      <c r="I27" s="97">
        <f>_xll.qlRateHelperEarliestDate($B27,Trigger)</f>
        <v>41816</v>
      </c>
      <c r="J27" s="98">
        <f>_xll.qlRateHelperLatestDate($B27,Trigger)</f>
        <v>45469</v>
      </c>
    </row>
    <row r="28" spans="2:10" x14ac:dyDescent="0.2">
      <c r="B28" s="94" t="str">
        <f>SwapsFromBasis!K18</f>
        <v>obj_0063b#0001</v>
      </c>
      <c r="C28" s="94" t="str">
        <f>SUBSTITUTE(_xll.qlRateHelperQuoteName(B28),"3L","1LBASIS")</f>
        <v>USDAM1LBASIS11Y_Quote</v>
      </c>
      <c r="D28" s="95" t="e">
        <f>_xll.qlRateHelperQuoteValue($B28,Trigger)</f>
        <v>#NUM!</v>
      </c>
      <c r="E28" s="95">
        <f>_xll.qlSwapRateHelperSpread($B28,Trigger)</f>
        <v>7.3892537692782682E-4</v>
      </c>
      <c r="F28" s="96" t="b">
        <v>0</v>
      </c>
      <c r="G28" s="96">
        <v>40</v>
      </c>
      <c r="H28" s="96">
        <v>1</v>
      </c>
      <c r="I28" s="97">
        <f>_xll.qlRateHelperEarliestDate($B28,Trigger)</f>
        <v>41816</v>
      </c>
      <c r="J28" s="98">
        <f>_xll.qlRateHelperLatestDate($B28,Trigger)</f>
        <v>45834</v>
      </c>
    </row>
    <row r="29" spans="2:10" x14ac:dyDescent="0.2">
      <c r="B29" s="94" t="str">
        <f>SwapsFromBasis!K19</f>
        <v>obj_0063c#0001</v>
      </c>
      <c r="C29" s="94" t="str">
        <f>SUBSTITUTE(_xll.qlRateHelperQuoteName(B29),"3L","1LBASIS")</f>
        <v>USDAM1LBASIS12Y_Quote</v>
      </c>
      <c r="D29" s="95">
        <f>_xll.qlRateHelperQuoteValue($B29,Trigger)</f>
        <v>2.8760000000000004E-2</v>
      </c>
      <c r="E29" s="95">
        <f>_xll.qlSwapRateHelperSpread($B29,Trigger)</f>
        <v>7.0999999999999991E-4</v>
      </c>
      <c r="F29" s="96" t="b">
        <v>1</v>
      </c>
      <c r="G29" s="96">
        <v>40</v>
      </c>
      <c r="H29" s="96">
        <v>1</v>
      </c>
      <c r="I29" s="97">
        <f>_xll.qlRateHelperEarliestDate($B29,Trigger)</f>
        <v>41816</v>
      </c>
      <c r="J29" s="98">
        <f>_xll.qlRateHelperLatestDate($B29,Trigger)</f>
        <v>46199</v>
      </c>
    </row>
    <row r="30" spans="2:10" x14ac:dyDescent="0.2">
      <c r="B30" s="94" t="str">
        <f>SwapsFromBasis!K20</f>
        <v>obj_0063d#0001</v>
      </c>
      <c r="C30" s="94" t="str">
        <f>SUBSTITUTE(_xll.qlRateHelperQuoteName(B30),"3L","1LBASIS")</f>
        <v>USDAM1LBASIS13Y_Quote</v>
      </c>
      <c r="D30" s="95" t="e">
        <f>_xll.qlRateHelperQuoteValue($B30,Trigger)</f>
        <v>#NUM!</v>
      </c>
      <c r="E30" s="95">
        <f>_xll.qlSwapRateHelperSpread($B30,Trigger)</f>
        <v>6.8620849407256021E-4</v>
      </c>
      <c r="F30" s="96" t="b">
        <v>0</v>
      </c>
      <c r="G30" s="96">
        <v>40</v>
      </c>
      <c r="H30" s="96">
        <v>1</v>
      </c>
      <c r="I30" s="97">
        <f>_xll.qlRateHelperEarliestDate($B30,Trigger)</f>
        <v>41816</v>
      </c>
      <c r="J30" s="98">
        <f>_xll.qlRateHelperLatestDate($B30,Trigger)</f>
        <v>46566</v>
      </c>
    </row>
    <row r="31" spans="2:10" x14ac:dyDescent="0.2">
      <c r="B31" s="94" t="str">
        <f>SwapsFromBasis!K21</f>
        <v>obj_0063e#0001</v>
      </c>
      <c r="C31" s="94" t="str">
        <f>SUBSTITUTE(_xll.qlRateHelperQuoteName(B31),"3L","1LBASIS")</f>
        <v>USDAM1LBASIS14Y_Quote</v>
      </c>
      <c r="D31" s="95" t="e">
        <f>_xll.qlRateHelperQuoteValue($B31,Trigger)</f>
        <v>#NUM!</v>
      </c>
      <c r="E31" s="95">
        <f>_xll.qlSwapRateHelperSpread($B31,Trigger)</f>
        <v>6.6677887349731195E-4</v>
      </c>
      <c r="F31" s="96" t="b">
        <v>0</v>
      </c>
      <c r="G31" s="96">
        <v>40</v>
      </c>
      <c r="H31" s="96">
        <v>1</v>
      </c>
      <c r="I31" s="97">
        <f>_xll.qlRateHelperEarliestDate($B31,Trigger)</f>
        <v>41816</v>
      </c>
      <c r="J31" s="98">
        <f>_xll.qlRateHelperLatestDate($B31,Trigger)</f>
        <v>46930</v>
      </c>
    </row>
    <row r="32" spans="2:10" x14ac:dyDescent="0.2">
      <c r="B32" s="94" t="str">
        <f>SwapsFromBasis!K22</f>
        <v>obj_0063f#0001</v>
      </c>
      <c r="C32" s="94" t="str">
        <f>SUBSTITUTE(_xll.qlRateHelperQuoteName(B32),"3L","1LBASIS")</f>
        <v>USDAM1LBASIS15Y_Quote</v>
      </c>
      <c r="D32" s="95">
        <f>_xll.qlRateHelperQuoteValue($B32,Trigger)</f>
        <v>3.0759999999999999E-2</v>
      </c>
      <c r="E32" s="95">
        <f>_xll.qlSwapRateHelperSpread($B32,Trigger)</f>
        <v>6.4999999999999997E-4</v>
      </c>
      <c r="F32" s="96" t="b">
        <v>1</v>
      </c>
      <c r="G32" s="96">
        <v>40</v>
      </c>
      <c r="H32" s="96">
        <v>1</v>
      </c>
      <c r="I32" s="97">
        <f>_xll.qlRateHelperEarliestDate($B32,Trigger)</f>
        <v>41816</v>
      </c>
      <c r="J32" s="98">
        <f>_xll.qlRateHelperLatestDate($B32,Trigger)</f>
        <v>47295</v>
      </c>
    </row>
    <row r="33" spans="2:10" x14ac:dyDescent="0.2">
      <c r="B33" s="94" t="str">
        <f>SwapsFromBasis!K23</f>
        <v>obj_00640#0001</v>
      </c>
      <c r="C33" s="94" t="str">
        <f>SUBSTITUTE(_xll.qlRateHelperQuoteName(B33),"3L","1LBASIS")</f>
        <v>USDAM1LBASIS16Y_Quote</v>
      </c>
      <c r="D33" s="95" t="e">
        <f>_xll.qlRateHelperQuoteValue($B33,Trigger)</f>
        <v>#NUM!</v>
      </c>
      <c r="E33" s="95">
        <f>_xll.qlSwapRateHelperSpread($B33,Trigger)</f>
        <v>6.34432919313701E-4</v>
      </c>
      <c r="F33" s="96" t="b">
        <v>0</v>
      </c>
      <c r="G33" s="96">
        <v>40</v>
      </c>
      <c r="H33" s="96">
        <v>1</v>
      </c>
      <c r="I33" s="97">
        <f>_xll.qlRateHelperEarliestDate($B33,Trigger)</f>
        <v>41816</v>
      </c>
      <c r="J33" s="98">
        <f>_xll.qlRateHelperLatestDate($B33,Trigger)</f>
        <v>47660</v>
      </c>
    </row>
    <row r="34" spans="2:10" x14ac:dyDescent="0.2">
      <c r="B34" s="94" t="str">
        <f>SwapsFromBasis!K24</f>
        <v>obj_00641#0001</v>
      </c>
      <c r="C34" s="94" t="str">
        <f>SUBSTITUTE(_xll.qlRateHelperQuoteName(B34),"3L","1LBASIS")</f>
        <v>USDAM1LBASIS17Y_Quote</v>
      </c>
      <c r="D34" s="95" t="e">
        <f>_xll.qlRateHelperQuoteValue($B34,Trigger)</f>
        <v>#NUM!</v>
      </c>
      <c r="E34" s="95">
        <f>_xll.qlSwapRateHelperSpread($B34,Trigger)</f>
        <v>6.1972741320081746E-4</v>
      </c>
      <c r="F34" s="96" t="b">
        <v>0</v>
      </c>
      <c r="G34" s="96">
        <v>40</v>
      </c>
      <c r="H34" s="96">
        <v>1</v>
      </c>
      <c r="I34" s="97">
        <f>_xll.qlRateHelperEarliestDate($B34,Trigger)</f>
        <v>41816</v>
      </c>
      <c r="J34" s="98">
        <f>_xll.qlRateHelperLatestDate($B34,Trigger)</f>
        <v>48025</v>
      </c>
    </row>
    <row r="35" spans="2:10" x14ac:dyDescent="0.2">
      <c r="B35" s="94" t="str">
        <f>SwapsFromBasis!K25</f>
        <v>obj_00642#0001</v>
      </c>
      <c r="C35" s="94" t="str">
        <f>SUBSTITUTE(_xll.qlRateHelperQuoteName(B35),"3L","1LBASIS")</f>
        <v>USDAM1LBASIS18Y_Quote</v>
      </c>
      <c r="D35" s="95" t="e">
        <f>_xll.qlRateHelperQuoteValue($B35,Trigger)</f>
        <v>#NUM!</v>
      </c>
      <c r="E35" s="95">
        <f>_xll.qlSwapRateHelperSpread($B35,Trigger)</f>
        <v>6.0580544743108345E-4</v>
      </c>
      <c r="F35" s="96" t="b">
        <v>0</v>
      </c>
      <c r="G35" s="96">
        <v>40</v>
      </c>
      <c r="H35" s="96">
        <v>1</v>
      </c>
      <c r="I35" s="97">
        <f>_xll.qlRateHelperEarliestDate($B35,Trigger)</f>
        <v>41816</v>
      </c>
      <c r="J35" s="98">
        <f>_xll.qlRateHelperLatestDate($B35,Trigger)</f>
        <v>48393</v>
      </c>
    </row>
    <row r="36" spans="2:10" x14ac:dyDescent="0.2">
      <c r="B36" s="94" t="str">
        <f>SwapsFromBasis!K26</f>
        <v>obj_00643#0001</v>
      </c>
      <c r="C36" s="94" t="str">
        <f>SUBSTITUTE(_xll.qlRateHelperQuoteName(B36),"3L","1LBASIS")</f>
        <v>USDAM1LBASIS19Y_Quote</v>
      </c>
      <c r="D36" s="95" t="e">
        <f>_xll.qlRateHelperQuoteValue($B36,Trigger)</f>
        <v>#NUM!</v>
      </c>
      <c r="E36" s="95">
        <f>_xll.qlSwapRateHelperSpread($B36,Trigger)</f>
        <v>5.9258898777423297E-4</v>
      </c>
      <c r="F36" s="96" t="b">
        <v>0</v>
      </c>
      <c r="G36" s="96">
        <v>40</v>
      </c>
      <c r="H36" s="96">
        <v>1</v>
      </c>
      <c r="I36" s="97">
        <f>_xll.qlRateHelperEarliestDate($B36,Trigger)</f>
        <v>41816</v>
      </c>
      <c r="J36" s="98">
        <f>_xll.qlRateHelperLatestDate($B36,Trigger)</f>
        <v>48757</v>
      </c>
    </row>
    <row r="37" spans="2:10" x14ac:dyDescent="0.2">
      <c r="B37" s="94" t="str">
        <f>SwapsFromBasis!K27</f>
        <v>obj_00644#0001</v>
      </c>
      <c r="C37" s="94" t="str">
        <f>SUBSTITUTE(_xll.qlRateHelperQuoteName(B37),"3L","1LBASIS")</f>
        <v>USDAM1LBASIS20Y_Quote</v>
      </c>
      <c r="D37" s="95">
        <f>_xll.qlRateHelperQuoteValue($B37,Trigger)</f>
        <v>3.252E-2</v>
      </c>
      <c r="E37" s="95">
        <f>_xll.qlSwapRateHelperSpread($B37,Trigger)</f>
        <v>5.8E-4</v>
      </c>
      <c r="F37" s="96" t="b">
        <v>1</v>
      </c>
      <c r="G37" s="96">
        <v>40</v>
      </c>
      <c r="H37" s="96">
        <v>1</v>
      </c>
      <c r="I37" s="97">
        <f>_xll.qlRateHelperEarliestDate($B37,Trigger)</f>
        <v>41816</v>
      </c>
      <c r="J37" s="98">
        <f>_xll.qlRateHelperLatestDate($B37,Trigger)</f>
        <v>49121</v>
      </c>
    </row>
    <row r="38" spans="2:10" x14ac:dyDescent="0.2">
      <c r="B38" s="94" t="str">
        <f>SwapsFromBasis!K28</f>
        <v>obj_00645#0001</v>
      </c>
      <c r="C38" s="94" t="str">
        <f>SUBSTITUTE(_xll.qlRateHelperQuoteName(B38),"3L","1LBASIS")</f>
        <v>USDAM1LBASIS21Y_Quote</v>
      </c>
      <c r="D38" s="95" t="e">
        <f>_xll.qlRateHelperQuoteValue($B38,Trigger)</f>
        <v>#NUM!</v>
      </c>
      <c r="E38" s="95">
        <f>_xll.qlSwapRateHelperSpread($B38,Trigger)</f>
        <v>5.6801056234764835E-4</v>
      </c>
      <c r="F38" s="96" t="b">
        <v>0</v>
      </c>
      <c r="G38" s="96">
        <v>40</v>
      </c>
      <c r="H38" s="96">
        <v>1</v>
      </c>
      <c r="I38" s="97">
        <f>_xll.qlRateHelperEarliestDate($B38,Trigger)</f>
        <v>41816</v>
      </c>
      <c r="J38" s="98">
        <f>_xll.qlRateHelperLatestDate($B38,Trigger)</f>
        <v>49486</v>
      </c>
    </row>
    <row r="39" spans="2:10" x14ac:dyDescent="0.2">
      <c r="B39" s="94" t="str">
        <f>SwapsFromBasis!K29</f>
        <v>obj_00646#0001</v>
      </c>
      <c r="C39" s="94" t="str">
        <f>SUBSTITUTE(_xll.qlRateHelperQuoteName(B39),"3L","1LBASIS")</f>
        <v>USDAM1LBASIS22Y_Quote</v>
      </c>
      <c r="D39" s="95" t="e">
        <f>_xll.qlRateHelperQuoteValue($B39,Trigger)</f>
        <v>#NUM!</v>
      </c>
      <c r="E39" s="95">
        <f>_xll.qlSwapRateHelperSpread($B39,Trigger)</f>
        <v>5.5679320293456041E-4</v>
      </c>
      <c r="F39" s="96" t="b">
        <v>0</v>
      </c>
      <c r="G39" s="96">
        <v>40</v>
      </c>
      <c r="H39" s="96">
        <v>1</v>
      </c>
      <c r="I39" s="97">
        <f>_xll.qlRateHelperEarliestDate($B39,Trigger)</f>
        <v>41816</v>
      </c>
      <c r="J39" s="98">
        <f>_xll.qlRateHelperLatestDate($B39,Trigger)</f>
        <v>49852</v>
      </c>
    </row>
    <row r="40" spans="2:10" x14ac:dyDescent="0.2">
      <c r="B40" s="94" t="str">
        <f>SwapsFromBasis!K30</f>
        <v>obj_00647#0001</v>
      </c>
      <c r="C40" s="94" t="str">
        <f>SUBSTITUTE(_xll.qlRateHelperQuoteName(B40),"3L","1LBASIS")</f>
        <v>USDAM1LBASIS23Y_Quote</v>
      </c>
      <c r="D40" s="95" t="e">
        <f>_xll.qlRateHelperQuoteValue($B40,Trigger)</f>
        <v>#NUM!</v>
      </c>
      <c r="E40" s="95">
        <f>_xll.qlSwapRateHelperSpread($B40,Trigger)</f>
        <v>5.4657056234764839E-4</v>
      </c>
      <c r="F40" s="96" t="b">
        <v>0</v>
      </c>
      <c r="G40" s="96">
        <v>40</v>
      </c>
      <c r="H40" s="96">
        <v>1</v>
      </c>
      <c r="I40" s="97">
        <f>_xll.qlRateHelperEarliestDate($B40,Trigger)</f>
        <v>41816</v>
      </c>
      <c r="J40" s="98">
        <f>_xll.qlRateHelperLatestDate($B40,Trigger)</f>
        <v>50217</v>
      </c>
    </row>
    <row r="41" spans="2:10" x14ac:dyDescent="0.2">
      <c r="B41" s="94" t="str">
        <f>SwapsFromBasis!K31</f>
        <v>obj_00648#0001</v>
      </c>
      <c r="C41" s="94" t="str">
        <f>SUBSTITUTE(_xll.qlRateHelperQuoteName(B41),"3L","1LBASIS")</f>
        <v>USDAM1LBASIS24Y_Quote</v>
      </c>
      <c r="D41" s="95" t="e">
        <f>_xll.qlRateHelperQuoteValue($B41,Trigger)</f>
        <v>#NUM!</v>
      </c>
      <c r="E41" s="95">
        <f>_xll.qlSwapRateHelperSpread($B41,Trigger)</f>
        <v>5.3756528117382418E-4</v>
      </c>
      <c r="F41" s="96" t="b">
        <v>0</v>
      </c>
      <c r="G41" s="96">
        <v>40</v>
      </c>
      <c r="H41" s="96">
        <v>1</v>
      </c>
      <c r="I41" s="97">
        <f>_xll.qlRateHelperEarliestDate($B41,Trigger)</f>
        <v>41816</v>
      </c>
      <c r="J41" s="98">
        <f>_xll.qlRateHelperLatestDate($B41,Trigger)</f>
        <v>50584</v>
      </c>
    </row>
    <row r="42" spans="2:10" x14ac:dyDescent="0.2">
      <c r="B42" s="94" t="str">
        <f>SwapsFromBasis!K32</f>
        <v>obj_00649#0001</v>
      </c>
      <c r="C42" s="94" t="str">
        <f>SUBSTITUTE(_xll.qlRateHelperQuoteName(B42),"3L","1LBASIS")</f>
        <v>USDAM1LBASIS25Y_Quote</v>
      </c>
      <c r="D42" s="95">
        <f>_xll.qlRateHelperQuoteValue($B42,Trigger)</f>
        <v>3.329E-2</v>
      </c>
      <c r="E42" s="95">
        <f>_xll.qlSwapRateHelperSpread($B42,Trigger)</f>
        <v>5.2999999999999998E-4</v>
      </c>
      <c r="F42" s="96" t="b">
        <v>1</v>
      </c>
      <c r="G42" s="96">
        <v>40</v>
      </c>
      <c r="H42" s="96">
        <v>1</v>
      </c>
      <c r="I42" s="97">
        <f>_xll.qlRateHelperEarliestDate($B42,Trigger)</f>
        <v>41816</v>
      </c>
      <c r="J42" s="98">
        <f>_xll.qlRateHelperLatestDate($B42,Trigger)</f>
        <v>50948</v>
      </c>
    </row>
    <row r="43" spans="2:10" x14ac:dyDescent="0.2">
      <c r="B43" s="94" t="str">
        <f>SwapsFromBasis!K33</f>
        <v>obj_0064a#0001</v>
      </c>
      <c r="C43" s="94" t="str">
        <f>SUBSTITUTE(_xll.qlRateHelperQuoteName(B43),"3L","1LBASIS")</f>
        <v>USDAM1LBASIS26Y_Quote</v>
      </c>
      <c r="D43" s="95" t="e">
        <f>_xll.qlRateHelperQuoteValue($B43,Trigger)</f>
        <v>#NUM!</v>
      </c>
      <c r="E43" s="95">
        <f>_xll.qlSwapRateHelperSpread($B43,Trigger)</f>
        <v>5.2400483129570546E-4</v>
      </c>
      <c r="F43" s="96" t="b">
        <v>0</v>
      </c>
      <c r="G43" s="96">
        <v>40</v>
      </c>
      <c r="H43" s="96">
        <v>1</v>
      </c>
      <c r="I43" s="97">
        <f>_xll.qlRateHelperEarliestDate($B43,Trigger)</f>
        <v>41816</v>
      </c>
      <c r="J43" s="98">
        <f>_xll.qlRateHelperLatestDate($B43,Trigger)</f>
        <v>51313</v>
      </c>
    </row>
    <row r="44" spans="2:10" x14ac:dyDescent="0.2">
      <c r="B44" s="94" t="str">
        <f>SwapsFromBasis!K34</f>
        <v>obj_0064b#0001</v>
      </c>
      <c r="C44" s="94" t="str">
        <f>SUBSTITUTE(_xll.qlRateHelperQuoteName(B44),"3L","1LBASIS")</f>
        <v>USDAM1LBASIS27Y_Quote</v>
      </c>
      <c r="D44" s="95" t="e">
        <f>_xll.qlRateHelperQuoteValue($B44,Trigger)</f>
        <v>#NUM!</v>
      </c>
      <c r="E44" s="95">
        <f>_xll.qlSwapRateHelperSpread($B44,Trigger)</f>
        <v>5.1933977506094062E-4</v>
      </c>
      <c r="F44" s="96" t="b">
        <v>0</v>
      </c>
      <c r="G44" s="96">
        <v>40</v>
      </c>
      <c r="H44" s="96">
        <v>1</v>
      </c>
      <c r="I44" s="97">
        <f>_xll.qlRateHelperEarliestDate($B44,Trigger)</f>
        <v>41816</v>
      </c>
      <c r="J44" s="98">
        <f>_xll.qlRateHelperLatestDate($B44,Trigger)</f>
        <v>51678</v>
      </c>
    </row>
    <row r="45" spans="2:10" x14ac:dyDescent="0.2">
      <c r="B45" s="94" t="str">
        <f>SwapsFromBasis!K35</f>
        <v>obj_0064c#0001</v>
      </c>
      <c r="C45" s="94" t="str">
        <f>SUBSTITUTE(_xll.qlRateHelperQuoteName(B45),"3L","1LBASIS")</f>
        <v>USDAM1LBASIS28Y_Quote</v>
      </c>
      <c r="D45" s="95" t="e">
        <f>_xll.qlRateHelperQuoteValue($B45,Trigger)</f>
        <v>#NUM!</v>
      </c>
      <c r="E45" s="95">
        <f>_xll.qlSwapRateHelperSpread($B45,Trigger)</f>
        <v>5.1567230317832306E-4</v>
      </c>
      <c r="F45" s="96" t="b">
        <v>0</v>
      </c>
      <c r="G45" s="96">
        <v>40</v>
      </c>
      <c r="H45" s="96">
        <v>1</v>
      </c>
      <c r="I45" s="97">
        <f>_xll.qlRateHelperEarliestDate($B45,Trigger)</f>
        <v>41816</v>
      </c>
      <c r="J45" s="98">
        <f>_xll.qlRateHelperLatestDate($B45,Trigger)</f>
        <v>52043</v>
      </c>
    </row>
    <row r="46" spans="2:10" x14ac:dyDescent="0.2">
      <c r="B46" s="94" t="str">
        <f>SwapsFromBasis!K36</f>
        <v>obj_0064d#0001</v>
      </c>
      <c r="C46" s="94" t="str">
        <f>SUBSTITUTE(_xll.qlRateHelperQuoteName(B46),"3L","1LBASIS")</f>
        <v>USDAM1LBASIS29Y_Quote</v>
      </c>
      <c r="D46" s="95" t="e">
        <f>_xll.qlRateHelperQuoteValue($B46,Trigger)</f>
        <v>#NUM!</v>
      </c>
      <c r="E46" s="95">
        <f>_xll.qlSwapRateHelperSpread($B46,Trigger)</f>
        <v>5.1266988753047023E-4</v>
      </c>
      <c r="F46" s="96" t="b">
        <v>0</v>
      </c>
      <c r="G46" s="96">
        <v>40</v>
      </c>
      <c r="H46" s="96">
        <v>1</v>
      </c>
      <c r="I46" s="97">
        <f>_xll.qlRateHelperEarliestDate($B46,Trigger)</f>
        <v>41816</v>
      </c>
      <c r="J46" s="98">
        <f>_xll.qlRateHelperLatestDate($B46,Trigger)</f>
        <v>52408</v>
      </c>
    </row>
    <row r="47" spans="2:10" x14ac:dyDescent="0.2">
      <c r="B47" s="94" t="str">
        <f>SwapsFromBasis!K37</f>
        <v>obj_0064e#0001</v>
      </c>
      <c r="C47" s="94" t="str">
        <f>SUBSTITUTE(_xll.qlRateHelperQuoteName(B47),"3L","1LBASIS")</f>
        <v>USDAM1LBASIS30Y_Quote</v>
      </c>
      <c r="D47" s="95">
        <f>_xll.qlRateHelperQuoteValue($B47,Trigger)</f>
        <v>3.3649999999999999E-2</v>
      </c>
      <c r="E47" s="95">
        <f>_xll.qlSwapRateHelperSpread($B47,Trigger)</f>
        <v>5.0999999999999993E-4</v>
      </c>
      <c r="F47" s="96" t="b">
        <v>1</v>
      </c>
      <c r="G47" s="96">
        <v>40</v>
      </c>
      <c r="H47" s="96">
        <v>1</v>
      </c>
      <c r="I47" s="97">
        <f>_xll.qlRateHelperEarliestDate($B47,Trigger)</f>
        <v>41816</v>
      </c>
      <c r="J47" s="98">
        <f>_xll.qlRateHelperLatestDate($B47,Trigger)</f>
        <v>52775</v>
      </c>
    </row>
    <row r="48" spans="2:10" x14ac:dyDescent="0.2">
      <c r="B48" s="94" t="str">
        <f>SwapsFromBasis!K38</f>
        <v>obj_0064f#0001</v>
      </c>
      <c r="C48" s="94" t="str">
        <f>SUBSTITUTE(_xll.qlRateHelperQuoteName(B48),"3L","1LBASIS")</f>
        <v>USDAM1LBASIS35Y_Quote</v>
      </c>
      <c r="D48" s="95" t="e">
        <f>_xll.qlRateHelperQuoteValue($B48,Trigger)</f>
        <v>#NUM!</v>
      </c>
      <c r="E48" s="95">
        <f>_xll.qlSwapRateHelperSpread($B48,Trigger)</f>
        <v>5.0999999999999993E-4</v>
      </c>
      <c r="F48" s="96" t="b">
        <v>0</v>
      </c>
      <c r="G48" s="96">
        <v>40</v>
      </c>
      <c r="H48" s="96">
        <v>1</v>
      </c>
      <c r="I48" s="97">
        <f>_xll.qlRateHelperEarliestDate($B48,Trigger)</f>
        <v>41816</v>
      </c>
      <c r="J48" s="98">
        <f>_xll.qlRateHelperLatestDate($B48,Trigger)</f>
        <v>54602</v>
      </c>
    </row>
    <row r="49" spans="2:10" x14ac:dyDescent="0.2">
      <c r="B49" s="94" t="str">
        <f>SwapsFromBasis!K39</f>
        <v>obj_00650#0001</v>
      </c>
      <c r="C49" s="94" t="str">
        <f>SUBSTITUTE(_xll.qlRateHelperQuoteName(B49),"3L","1LBASIS")</f>
        <v>USDAM1LBASIS40Y_Quote</v>
      </c>
      <c r="D49" s="95">
        <f>_xll.qlRateHelperQuoteValue($B49,Trigger)</f>
        <v>3.3840000000000002E-2</v>
      </c>
      <c r="E49" s="95">
        <f>_xll.qlSwapRateHelperSpread($B49,Trigger)</f>
        <v>5.0999999999999993E-4</v>
      </c>
      <c r="F49" s="96" t="b">
        <v>1</v>
      </c>
      <c r="G49" s="96">
        <v>40</v>
      </c>
      <c r="H49" s="96">
        <v>1</v>
      </c>
      <c r="I49" s="97">
        <f>_xll.qlRateHelperEarliestDate($B49,Trigger)</f>
        <v>41816</v>
      </c>
      <c r="J49" s="98">
        <f>_xll.qlRateHelperLatestDate($B49,Trigger)</f>
        <v>56426</v>
      </c>
    </row>
    <row r="50" spans="2:10" x14ac:dyDescent="0.2">
      <c r="B50" s="94" t="str">
        <f>SwapsFromBasis!K40</f>
        <v>obj_00651#0001</v>
      </c>
      <c r="C50" s="94" t="str">
        <f>SUBSTITUTE(_xll.qlRateHelperQuoteName(B50),"3L","1LBASIS")</f>
        <v>USDAM1LBASIS50Y_Quote</v>
      </c>
      <c r="D50" s="95">
        <f>_xll.qlRateHelperQuoteValue($B50,Trigger)</f>
        <v>3.3649999999999999E-2</v>
      </c>
      <c r="E50" s="95">
        <f>_xll.qlSwapRateHelperSpread($B50,Trigger)</f>
        <v>5.0999999999999993E-4</v>
      </c>
      <c r="F50" s="96" t="b">
        <v>1</v>
      </c>
      <c r="G50" s="96">
        <v>40</v>
      </c>
      <c r="H50" s="96">
        <v>1</v>
      </c>
      <c r="I50" s="97">
        <f>_xll.qlRateHelperEarliestDate($B50,Trigger)</f>
        <v>41816</v>
      </c>
      <c r="J50" s="98">
        <f>_xll.qlRateHelperLatestDate($B50,Trigger)</f>
        <v>60079</v>
      </c>
    </row>
    <row r="51" spans="2:10" x14ac:dyDescent="0.2">
      <c r="B51" s="99" t="str">
        <f>SwapsFromBasis!K41</f>
        <v>obj_00652#0001</v>
      </c>
      <c r="C51" s="99" t="str">
        <f>SUBSTITUTE(_xll.qlRateHelperQuoteName(B51),"3L","1LBASIS")</f>
        <v>USDAM1LBASIS60Y_Quote</v>
      </c>
      <c r="D51" s="100" t="e">
        <f>_xll.qlRateHelperQuoteValue($B51,Trigger)</f>
        <v>#NUM!</v>
      </c>
      <c r="E51" s="100">
        <f>_xll.qlSwapRateHelperSpread($B51,Trigger)</f>
        <v>5.0999999999999993E-4</v>
      </c>
      <c r="F51" s="101" t="b">
        <v>0</v>
      </c>
      <c r="G51" s="101">
        <v>40</v>
      </c>
      <c r="H51" s="101">
        <v>1</v>
      </c>
      <c r="I51" s="102">
        <f>_xll.qlRateHelperEarliestDate($B51,Trigger)</f>
        <v>41816</v>
      </c>
      <c r="J51" s="103">
        <f>_xll.qlRateHelperLatestDate($B51,Trigger)</f>
        <v>63731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7.140625" style="1" customWidth="1"/>
    <col min="2" max="2" width="9" style="1" customWidth="1"/>
    <col min="3" max="3" width="2.7109375" style="1" customWidth="1"/>
    <col min="4" max="4" width="25.7109375" style="2" hidden="1" customWidth="1"/>
    <col min="5" max="5" width="21.42578125" style="2" bestFit="1" customWidth="1"/>
    <col min="6" max="6" width="8.7109375" style="2" customWidth="1"/>
    <col min="7" max="7" width="8" style="2" bestFit="1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6" t="s">
        <v>56</v>
      </c>
      <c r="B1" s="227"/>
      <c r="D1" s="153" t="s">
        <v>55</v>
      </c>
      <c r="E1" s="22" t="s">
        <v>158</v>
      </c>
      <c r="F1" s="21" t="s">
        <v>54</v>
      </c>
      <c r="G1" s="21"/>
      <c r="H1" s="21" t="s">
        <v>41</v>
      </c>
      <c r="I1" s="20" t="s">
        <v>40</v>
      </c>
      <c r="J1" s="3">
        <f t="array" ref="J1:J126">_xll.qlPiecewiseYieldCurveData(YieldCurve)</f>
        <v>1</v>
      </c>
    </row>
    <row r="2" spans="1:10" x14ac:dyDescent="0.2">
      <c r="A2" s="19" t="s">
        <v>53</v>
      </c>
      <c r="B2" s="18">
        <v>8</v>
      </c>
      <c r="D2" s="11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obj_00622</v>
      </c>
      <c r="E2" s="11" t="str">
        <f>SUBSTITUTE(_xll.qlRateHelperQuoteName(D2),"3L","1LBASIS")</f>
        <v>USDSWD_SYNTH1M_Quote</v>
      </c>
      <c r="F2" s="10">
        <f>_xll.qlRateHelperRate($D2)</f>
        <v>9.6599999999999995E-4</v>
      </c>
      <c r="G2" s="10" t="str">
        <f>IF(ISERROR(_xll.qlSwapRateHelperSpread($D2)),IF(ISERROR(_xll.qlFuturesRateHelperConvexityAdjustment($D2)),"--",_xll.qlFuturesRateHelperConvexityAdjustment($D2)),_xll.qlSwapRateHelperSpread($D2))</f>
        <v>--</v>
      </c>
      <c r="H2" s="9">
        <f>_xll.qlRateHelperEarliestDate($D2)</f>
        <v>41816</v>
      </c>
      <c r="I2" s="8">
        <f>_xll.qlRateHelperLatestDate($D2)</f>
        <v>41823</v>
      </c>
      <c r="J2" s="3">
        <v>0.99999942093365424</v>
      </c>
    </row>
    <row r="3" spans="1:10" x14ac:dyDescent="0.2">
      <c r="A3" s="15" t="s">
        <v>52</v>
      </c>
      <c r="B3" s="17">
        <v>0</v>
      </c>
      <c r="D3" s="11" t="str">
        <v>obj_00623</v>
      </c>
      <c r="E3" s="11" t="str">
        <f>SUBSTITUTE(_xll.qlRateHelperQuoteName(D3),"3L","1LBASIS")</f>
        <v>USD1MD_SYNTH1M_Quote</v>
      </c>
      <c r="F3" s="10">
        <f>_xll.qlRateHelperRate($D3)</f>
        <v>1.044E-3</v>
      </c>
      <c r="G3" s="10" t="str">
        <f>IF(ISERROR(_xll.qlSwapRateHelperSpread($D3)),IF(ISERROR(_xll.qlFuturesRateHelperConvexityAdjustment($D3)),"--",_xll.qlFuturesRateHelperConvexityAdjustment($D3)),_xll.qlSwapRateHelperSpread($D3))</f>
        <v>--</v>
      </c>
      <c r="H3" s="9">
        <f>_xll.qlRateHelperEarliestDate($D3)</f>
        <v>41816</v>
      </c>
      <c r="I3" s="8">
        <f>_xll.qlRateHelperLatestDate($D3)</f>
        <v>41848</v>
      </c>
      <c r="J3" s="3">
        <v>0.9999131684092869</v>
      </c>
    </row>
    <row r="4" spans="1:10" x14ac:dyDescent="0.2">
      <c r="A4" s="15" t="s">
        <v>51</v>
      </c>
      <c r="B4" s="17">
        <v>1</v>
      </c>
      <c r="D4" s="11" t="str">
        <v>obj_00626</v>
      </c>
      <c r="E4" s="11" t="str">
        <f>SUBSTITUTE(_xll.qlRateHelperQuoteName(D4),"3L","1LBASIS")</f>
        <v>USD3X1S_Quote</v>
      </c>
      <c r="F4" s="10">
        <f>_xll.qlRateHelperRate($D4)</f>
        <v>1.5399999999999999E-3</v>
      </c>
      <c r="G4" s="10">
        <f>IF(ISERROR(_xll.qlSwapRateHelperSpread($D4)),IF(ISERROR(_xll.qlFuturesRateHelperConvexityAdjustment($D4)),"--",_xll.qlFuturesRateHelperConvexityAdjustment($D4)),_xll.qlSwapRateHelperSpread($D4))</f>
        <v>0</v>
      </c>
      <c r="H4" s="9">
        <f>_xll.qlRateHelperEarliestDate($D4)</f>
        <v>41816</v>
      </c>
      <c r="I4" s="8">
        <f>_xll.qlRateHelperLatestDate($D4)</f>
        <v>41908</v>
      </c>
      <c r="J4" s="3">
        <v>0.99962390599369255</v>
      </c>
    </row>
    <row r="5" spans="1:10" x14ac:dyDescent="0.2">
      <c r="A5" s="15" t="s">
        <v>50</v>
      </c>
      <c r="B5" s="16" t="s">
        <v>49</v>
      </c>
      <c r="D5" s="11" t="str">
        <v>obj_0062b</v>
      </c>
      <c r="E5" s="11" t="str">
        <f>SUBSTITUTE(_xll.qlRateHelperQuoteName(D5),"3L","1LBASIS")</f>
        <v>USD6X1S_Quote</v>
      </c>
      <c r="F5" s="10">
        <f>_xll.qlRateHelperRate($D5)</f>
        <v>1.5900000000000001E-3</v>
      </c>
      <c r="G5" s="10">
        <f>IF(ISERROR(_xll.qlSwapRateHelperSpread($D5)),IF(ISERROR(_xll.qlFuturesRateHelperConvexityAdjustment($D5)),"--",_xll.qlFuturesRateHelperConvexityAdjustment($D5)),_xll.qlSwapRateHelperSpread($D5))</f>
        <v>0</v>
      </c>
      <c r="H5" s="9">
        <f>_xll.qlRateHelperEarliestDate($D5)</f>
        <v>41816</v>
      </c>
      <c r="I5" s="8">
        <f>_xll.qlRateHelperLatestDate($D5)</f>
        <v>42002</v>
      </c>
      <c r="J5" s="3">
        <v>0.99918889020825252</v>
      </c>
    </row>
    <row r="6" spans="1:10" x14ac:dyDescent="0.2">
      <c r="A6" s="15" t="s">
        <v>48</v>
      </c>
      <c r="B6" s="14" t="str">
        <f>_xll.ohRangeRetrieveError(Selected!D2)</f>
        <v/>
      </c>
      <c r="D6" s="11" t="str">
        <v>obj_0062d</v>
      </c>
      <c r="E6" s="11" t="str">
        <f>SUBSTITUTE(_xll.qlRateHelperQuoteName(D6),"3L","1LBASIS")</f>
        <v>USD9X1S_Quote</v>
      </c>
      <c r="F6" s="10">
        <f>_xll.qlRateHelperRate($D6)</f>
        <v>1.7399999999999998E-3</v>
      </c>
      <c r="G6" s="10">
        <f>IF(ISERROR(_xll.qlSwapRateHelperSpread($D6)),IF(ISERROR(_xll.qlFuturesRateHelperConvexityAdjustment($D6)),"--",_xll.qlFuturesRateHelperConvexityAdjustment($D6)),_xll.qlSwapRateHelperSpread($D6))</f>
        <v>0</v>
      </c>
      <c r="H6" s="9">
        <f>_xll.qlRateHelperEarliestDate($D6)</f>
        <v>41816</v>
      </c>
      <c r="I6" s="8">
        <f>_xll.qlRateHelperLatestDate($D6)</f>
        <v>42089</v>
      </c>
      <c r="J6" s="3">
        <v>0.99870118217135562</v>
      </c>
    </row>
    <row r="7" spans="1:10" ht="12" thickBot="1" x14ac:dyDescent="0.25">
      <c r="A7" s="13" t="str">
        <f>_xll.ohGroup(RateHelperPrefix&amp;"_RateHelpersSelected",_xll.ohPack(Selected!D2:D126),TRUE,,ObjectOverwrite)</f>
        <v>USD_YC1MRH_RateHelpersSelected#0008</v>
      </c>
      <c r="B7" s="12" t="str">
        <f>_xll.ohRangeRetrieveError(RateHelpersSelected)</f>
        <v/>
      </c>
      <c r="D7" s="11" t="str">
        <v>obj_00627</v>
      </c>
      <c r="E7" s="11" t="str">
        <f>SUBSTITUTE(_xll.qlRateHelperQuoteName(D7),"3L","1LBASIS")</f>
        <v>USD12X1S_Quote</v>
      </c>
      <c r="F7" s="10">
        <f>_xll.qlRateHelperRate($D7)</f>
        <v>2.0700000000000002E-3</v>
      </c>
      <c r="G7" s="10">
        <f>IF(ISERROR(_xll.qlSwapRateHelperSpread($D7)),IF(ISERROR(_xll.qlFuturesRateHelperConvexityAdjustment($D7)),"--",_xll.qlFuturesRateHelperConvexityAdjustment($D7)),_xll.qlSwapRateHelperSpread($D7))</f>
        <v>0</v>
      </c>
      <c r="H7" s="9">
        <f>_xll.qlRateHelperEarliestDate($D7)</f>
        <v>41816</v>
      </c>
      <c r="I7" s="8">
        <f>_xll.qlRateHelperLatestDate($D7)</f>
        <v>42181</v>
      </c>
      <c r="J7" s="3">
        <v>0.99790526886367215</v>
      </c>
    </row>
    <row r="8" spans="1:10" x14ac:dyDescent="0.2">
      <c r="D8" s="11" t="str">
        <v>obj_00632</v>
      </c>
      <c r="E8" s="11" t="str">
        <f>SUBSTITUTE(_xll.qlRateHelperQuoteName(D8),"3L","1LBASIS")</f>
        <v>USDAM1LBASIS2Y_Quote</v>
      </c>
      <c r="F8" s="10">
        <f>_xll.qlRateHelperRate($D8)</f>
        <v>6.0999999999999995E-3</v>
      </c>
      <c r="G8" s="10">
        <f>IF(ISERROR(_xll.qlSwapRateHelperSpread($D8)),IF(ISERROR(_xll.qlFuturesRateHelperConvexityAdjustment($D8)),"--",_xll.qlFuturesRateHelperConvexityAdjustment($D8)),_xll.qlSwapRateHelperSpread($D8))</f>
        <v>8.4999999999999995E-4</v>
      </c>
      <c r="H8" s="9">
        <f>_xll.qlRateHelperEarliestDate($D8)</f>
        <v>41816</v>
      </c>
      <c r="I8" s="8">
        <f>_xll.qlRateHelperLatestDate($D8)</f>
        <v>42548</v>
      </c>
      <c r="J8" s="3">
        <v>0.98939681982156047</v>
      </c>
    </row>
    <row r="9" spans="1:10" x14ac:dyDescent="0.2">
      <c r="D9" s="11" t="str">
        <v>obj_00633</v>
      </c>
      <c r="E9" s="11" t="str">
        <f>SUBSTITUTE(_xll.qlRateHelperQuoteName(D9),"3L","1LBASIS")</f>
        <v>USDAM1LBASIS3Y_Quote</v>
      </c>
      <c r="F9" s="10">
        <f>_xll.qlRateHelperRate($D9)</f>
        <v>1.0499999999999999E-2</v>
      </c>
      <c r="G9" s="10">
        <f>IF(ISERROR(_xll.qlSwapRateHelperSpread($D9)),IF(ISERROR(_xll.qlFuturesRateHelperConvexityAdjustment($D9)),"--",_xll.qlFuturesRateHelperConvexityAdjustment($D9)),_xll.qlSwapRateHelperSpread($D9))</f>
        <v>8.5999999999999998E-4</v>
      </c>
      <c r="H9" s="9">
        <f>_xll.qlRateHelperEarliestDate($D9)</f>
        <v>41816</v>
      </c>
      <c r="I9" s="8">
        <f>_xll.qlRateHelperLatestDate($D9)</f>
        <v>42912</v>
      </c>
      <c r="J9" s="3">
        <v>0.97106566032323427</v>
      </c>
    </row>
    <row r="10" spans="1:10" x14ac:dyDescent="0.2">
      <c r="D10" s="11" t="str">
        <v>obj_00634</v>
      </c>
      <c r="E10" s="11" t="str">
        <f>SUBSTITUTE(_xll.qlRateHelperQuoteName(D10),"3L","1LBASIS")</f>
        <v>USDAM1LBASIS4Y_Quote</v>
      </c>
      <c r="F10" s="10">
        <f>_xll.qlRateHelperRate($D10)</f>
        <v>1.452E-2</v>
      </c>
      <c r="G10" s="10">
        <f>IF(ISERROR(_xll.qlSwapRateHelperSpread($D10)),IF(ISERROR(_xll.qlFuturesRateHelperConvexityAdjustment($D10)),"--",_xll.qlFuturesRateHelperConvexityAdjustment($D10)),_xll.qlSwapRateHelperSpread($D10))</f>
        <v>8.699999999999999E-4</v>
      </c>
      <c r="H10" s="9">
        <f>_xll.qlRateHelperEarliestDate($D10)</f>
        <v>41816</v>
      </c>
      <c r="I10" s="8">
        <f>_xll.qlRateHelperLatestDate($D10)</f>
        <v>43277</v>
      </c>
      <c r="J10" s="3">
        <v>0.94594891168254513</v>
      </c>
    </row>
    <row r="11" spans="1:10" x14ac:dyDescent="0.2">
      <c r="D11" s="11" t="str">
        <v>obj_00635</v>
      </c>
      <c r="E11" s="11" t="str">
        <f>SUBSTITUTE(_xll.qlRateHelperQuoteName(D11),"3L","1LBASIS")</f>
        <v>USDAM1LBASIS5Y_Quote</v>
      </c>
      <c r="F11" s="10">
        <f>_xll.qlRateHelperRate($D11)</f>
        <v>1.772E-2</v>
      </c>
      <c r="G11" s="10">
        <f>IF(ISERROR(_xll.qlSwapRateHelperSpread($D11)),IF(ISERROR(_xll.qlFuturesRateHelperConvexityAdjustment($D11)),"--",_xll.qlFuturesRateHelperConvexityAdjustment($D11)),_xll.qlSwapRateHelperSpread($D11))</f>
        <v>8.699999999999999E-4</v>
      </c>
      <c r="H11" s="9">
        <f>_xll.qlRateHelperEarliestDate($D11)</f>
        <v>41816</v>
      </c>
      <c r="I11" s="8">
        <f>_xll.qlRateHelperLatestDate($D11)</f>
        <v>43642</v>
      </c>
      <c r="J11" s="3">
        <v>0.91762470192915557</v>
      </c>
    </row>
    <row r="12" spans="1:10" x14ac:dyDescent="0.2">
      <c r="D12" s="11" t="str">
        <v>obj_00636</v>
      </c>
      <c r="E12" s="11" t="str">
        <f>SUBSTITUTE(_xll.qlRateHelperQuoteName(D12),"3L","1LBASIS")</f>
        <v>USDAM1LBASIS6Y_Quote</v>
      </c>
      <c r="F12" s="10">
        <f>_xll.qlRateHelperRate($D12)</f>
        <v>2.0300000000000002E-2</v>
      </c>
      <c r="G12" s="10">
        <f>IF(ISERROR(_xll.qlSwapRateHelperSpread($D12)),IF(ISERROR(_xll.qlFuturesRateHelperConvexityAdjustment($D12)),"--",_xll.qlFuturesRateHelperConvexityAdjustment($D12)),_xll.qlSwapRateHelperSpread($D12))</f>
        <v>8.699999999999999E-4</v>
      </c>
      <c r="H12" s="9">
        <f>_xll.qlRateHelperEarliestDate($D12)</f>
        <v>41816</v>
      </c>
      <c r="I12" s="8">
        <f>_xll.qlRateHelperLatestDate($D12)</f>
        <v>44008</v>
      </c>
      <c r="J12" s="3">
        <v>0.8875108155021546</v>
      </c>
    </row>
    <row r="13" spans="1:10" x14ac:dyDescent="0.2">
      <c r="D13" s="11" t="str">
        <v>obj_00637</v>
      </c>
      <c r="E13" s="11" t="str">
        <f>SUBSTITUTE(_xll.qlRateHelperQuoteName(D13),"3L","1LBASIS")</f>
        <v>USDAM1LBASIS7Y_Quote</v>
      </c>
      <c r="F13" s="10">
        <f>_xll.qlRateHelperRate($D13)</f>
        <v>2.2409999999999996E-2</v>
      </c>
      <c r="G13" s="10">
        <f>IF(ISERROR(_xll.qlSwapRateHelperSpread($D13)),IF(ISERROR(_xll.qlFuturesRateHelperConvexityAdjustment($D13)),"--",_xll.qlFuturesRateHelperConvexityAdjustment($D13)),_xll.qlSwapRateHelperSpread($D13))</f>
        <v>8.5999999999999998E-4</v>
      </c>
      <c r="H13" s="9">
        <f>_xll.qlRateHelperEarliestDate($D13)</f>
        <v>41816</v>
      </c>
      <c r="I13" s="8">
        <f>_xll.qlRateHelperLatestDate($D13)</f>
        <v>44375</v>
      </c>
      <c r="J13" s="3">
        <v>0.85645688794667174</v>
      </c>
    </row>
    <row r="14" spans="1:10" x14ac:dyDescent="0.2">
      <c r="D14" s="11" t="str">
        <v>obj_00638</v>
      </c>
      <c r="E14" s="11" t="str">
        <f>SUBSTITUTE(_xll.qlRateHelperQuoteName(D14),"3L","1LBASIS")</f>
        <v>USDAM1LBASIS8Y_Quote</v>
      </c>
      <c r="F14" s="10">
        <f>_xll.qlRateHelperRate($D14)</f>
        <v>2.4119999999999999E-2</v>
      </c>
      <c r="G14" s="10">
        <f>IF(ISERROR(_xll.qlSwapRateHelperSpread($D14)),IF(ISERROR(_xll.qlFuturesRateHelperConvexityAdjustment($D14)),"--",_xll.qlFuturesRateHelperConvexityAdjustment($D14)),_xll.qlSwapRateHelperSpread($D14))</f>
        <v>8.3000000000000012E-4</v>
      </c>
      <c r="H14" s="9">
        <f>_xll.qlRateHelperEarliestDate($D14)</f>
        <v>41816</v>
      </c>
      <c r="I14" s="8">
        <f>_xll.qlRateHelperLatestDate($D14)</f>
        <v>44739</v>
      </c>
      <c r="J14" s="3">
        <v>0.82546763938661194</v>
      </c>
    </row>
    <row r="15" spans="1:10" x14ac:dyDescent="0.2">
      <c r="D15" s="11" t="str">
        <v>obj_00639</v>
      </c>
      <c r="E15" s="11" t="str">
        <f>SUBSTITUTE(_xll.qlRateHelperQuoteName(D15),"3L","1LBASIS")</f>
        <v>USDAM1LBASIS9Y_Quote</v>
      </c>
      <c r="F15" s="10">
        <f>_xll.qlRateHelperRate($D15)</f>
        <v>2.5549999999999996E-2</v>
      </c>
      <c r="G15" s="10">
        <f>IF(ISERROR(_xll.qlSwapRateHelperSpread($D15)),IF(ISERROR(_xll.qlFuturesRateHelperConvexityAdjustment($D15)),"--",_xll.qlFuturesRateHelperConvexityAdjustment($D15)),_xll.qlSwapRateHelperSpread($D15))</f>
        <v>8.0000000000000004E-4</v>
      </c>
      <c r="H15" s="9">
        <f>_xll.qlRateHelperEarliestDate($D15)</f>
        <v>41816</v>
      </c>
      <c r="I15" s="8">
        <f>_xll.qlRateHelperLatestDate($D15)</f>
        <v>45103</v>
      </c>
      <c r="J15" s="3">
        <v>0.79468405077792037</v>
      </c>
    </row>
    <row r="16" spans="1:10" x14ac:dyDescent="0.2">
      <c r="D16" s="11" t="str">
        <v>obj_0063a</v>
      </c>
      <c r="E16" s="11" t="str">
        <f>SUBSTITUTE(_xll.qlRateHelperQuoteName(D16),"3L","1LBASIS")</f>
        <v>USDAM1LBASIS10Y_Quote</v>
      </c>
      <c r="F16" s="10">
        <f>_xll.qlRateHelperRate($D16)</f>
        <v>2.6770000000000002E-2</v>
      </c>
      <c r="G16" s="10">
        <f>IF(ISERROR(_xll.qlSwapRateHelperSpread($D16)),IF(ISERROR(_xll.qlFuturesRateHelperConvexityAdjustment($D16)),"--",_xll.qlFuturesRateHelperConvexityAdjustment($D16)),_xll.qlSwapRateHelperSpread($D16))</f>
        <v>7.7000000000000007E-4</v>
      </c>
      <c r="H16" s="9">
        <f>_xll.qlRateHelperEarliestDate($D16)</f>
        <v>41816</v>
      </c>
      <c r="I16" s="8">
        <f>_xll.qlRateHelperLatestDate($D16)</f>
        <v>45469</v>
      </c>
      <c r="J16" s="3">
        <v>0.76416610183130707</v>
      </c>
    </row>
    <row r="17" spans="1:10" x14ac:dyDescent="0.2">
      <c r="D17" s="11" t="str">
        <v>obj_0063c</v>
      </c>
      <c r="E17" s="11" t="str">
        <f>SUBSTITUTE(_xll.qlRateHelperQuoteName(D17),"3L","1LBASIS")</f>
        <v>USDAM1LBASIS12Y_Quote</v>
      </c>
      <c r="F17" s="10">
        <f>_xll.qlRateHelperRate($D17)</f>
        <v>2.8760000000000004E-2</v>
      </c>
      <c r="G17" s="10">
        <f>IF(ISERROR(_xll.qlSwapRateHelperSpread($D17)),IF(ISERROR(_xll.qlFuturesRateHelperConvexityAdjustment($D17)),"--",_xll.qlFuturesRateHelperConvexityAdjustment($D17)),_xll.qlSwapRateHelperSpread($D17))</f>
        <v>7.0999999999999991E-4</v>
      </c>
      <c r="H17" s="9">
        <f>_xll.qlRateHelperEarliestDate($D17)</f>
        <v>41816</v>
      </c>
      <c r="I17" s="8">
        <f>_xll.qlRateHelperLatestDate($D17)</f>
        <v>46199</v>
      </c>
      <c r="J17" s="3">
        <v>0.70477866760757379</v>
      </c>
    </row>
    <row r="18" spans="1:10" x14ac:dyDescent="0.2">
      <c r="D18" s="11" t="str">
        <v>obj_0063f</v>
      </c>
      <c r="E18" s="11" t="str">
        <f>SUBSTITUTE(_xll.qlRateHelperQuoteName(D18),"3L","1LBASIS")</f>
        <v>USDAM1LBASIS15Y_Quote</v>
      </c>
      <c r="F18" s="10">
        <f>_xll.qlRateHelperRate($D18)</f>
        <v>3.0759999999999999E-2</v>
      </c>
      <c r="G18" s="10">
        <f>IF(ISERROR(_xll.qlSwapRateHelperSpread($D18)),IF(ISERROR(_xll.qlFuturesRateHelperConvexityAdjustment($D18)),"--",_xll.qlFuturesRateHelperConvexityAdjustment($D18)),_xll.qlSwapRateHelperSpread($D18))</f>
        <v>6.4999999999999997E-4</v>
      </c>
      <c r="H18" s="9">
        <f>_xll.qlRateHelperEarliestDate($D18)</f>
        <v>41816</v>
      </c>
      <c r="I18" s="8">
        <f>_xll.qlRateHelperLatestDate($D18)</f>
        <v>47295</v>
      </c>
      <c r="J18" s="3">
        <v>0.62371477654305041</v>
      </c>
    </row>
    <row r="19" spans="1:10" x14ac:dyDescent="0.2">
      <c r="D19" s="11" t="str">
        <v>obj_00644</v>
      </c>
      <c r="E19" s="11" t="str">
        <f>SUBSTITUTE(_xll.qlRateHelperQuoteName(D19),"3L","1LBASIS")</f>
        <v>USDAM1LBASIS20Y_Quote</v>
      </c>
      <c r="F19" s="10">
        <f>_xll.qlRateHelperRate($D19)</f>
        <v>3.252E-2</v>
      </c>
      <c r="G19" s="10">
        <f>IF(ISERROR(_xll.qlSwapRateHelperSpread($D19)),IF(ISERROR(_xll.qlFuturesRateHelperConvexityAdjustment($D19)),"--",_xll.qlFuturesRateHelperConvexityAdjustment($D19)),_xll.qlSwapRateHelperSpread($D19))</f>
        <v>5.8E-4</v>
      </c>
      <c r="H19" s="9">
        <f>_xll.qlRateHelperEarliestDate($D19)</f>
        <v>41816</v>
      </c>
      <c r="I19" s="8">
        <f>_xll.qlRateHelperLatestDate($D19)</f>
        <v>49121</v>
      </c>
      <c r="J19" s="3">
        <v>0.51132967762213144</v>
      </c>
    </row>
    <row r="20" spans="1:10" x14ac:dyDescent="0.2">
      <c r="D20" s="11" t="str">
        <v>obj_00649</v>
      </c>
      <c r="E20" s="11" t="str">
        <f>SUBSTITUTE(_xll.qlRateHelperQuoteName(D20),"3L","1LBASIS")</f>
        <v>USDAM1LBASIS25Y_Quote</v>
      </c>
      <c r="F20" s="10">
        <f>_xll.qlRateHelperRate($D20)</f>
        <v>3.329E-2</v>
      </c>
      <c r="G20" s="10">
        <f>IF(ISERROR(_xll.qlSwapRateHelperSpread($D20)),IF(ISERROR(_xll.qlFuturesRateHelperConvexityAdjustment($D20)),"--",_xll.qlFuturesRateHelperConvexityAdjustment($D20)),_xll.qlSwapRateHelperSpread($D20))</f>
        <v>5.2999999999999998E-4</v>
      </c>
      <c r="H20" s="9">
        <f>_xll.qlRateHelperEarliestDate($D20)</f>
        <v>41816</v>
      </c>
      <c r="I20" s="8">
        <f>_xll.qlRateHelperLatestDate($D20)</f>
        <v>50948</v>
      </c>
      <c r="J20" s="3">
        <v>0.4230535183908542</v>
      </c>
    </row>
    <row r="21" spans="1:10" x14ac:dyDescent="0.2">
      <c r="D21" s="11" t="str">
        <v>obj_0064e</v>
      </c>
      <c r="E21" s="11" t="str">
        <f>SUBSTITUTE(_xll.qlRateHelperQuoteName(D21),"3L","1LBASIS")</f>
        <v>USDAM1LBASIS30Y_Quote</v>
      </c>
      <c r="F21" s="10">
        <f>_xll.qlRateHelperRate($D21)</f>
        <v>3.3649999999999999E-2</v>
      </c>
      <c r="G21" s="10">
        <f>IF(ISERROR(_xll.qlSwapRateHelperSpread($D21)),IF(ISERROR(_xll.qlFuturesRateHelperConvexityAdjustment($D21)),"--",_xll.qlFuturesRateHelperConvexityAdjustment($D21)),_xll.qlSwapRateHelperSpread($D21))</f>
        <v>5.0999999999999993E-4</v>
      </c>
      <c r="H21" s="9">
        <f>_xll.qlRateHelperEarliestDate($D21)</f>
        <v>41816</v>
      </c>
      <c r="I21" s="8">
        <f>_xll.qlRateHelperLatestDate($D21)</f>
        <v>52775</v>
      </c>
      <c r="J21" s="3">
        <v>0.35262455521080815</v>
      </c>
    </row>
    <row r="22" spans="1:10" ht="15" x14ac:dyDescent="0.25">
      <c r="A22"/>
      <c r="B22"/>
      <c r="D22" s="11" t="str">
        <v>obj_00650</v>
      </c>
      <c r="E22" s="11" t="str">
        <f>SUBSTITUTE(_xll.qlRateHelperQuoteName(D22),"3L","1LBASIS")</f>
        <v>USDAM1LBASIS40Y_Quote</v>
      </c>
      <c r="F22" s="10">
        <f>_xll.qlRateHelperRate($D22)</f>
        <v>3.3840000000000002E-2</v>
      </c>
      <c r="G22" s="10">
        <f>IF(ISERROR(_xll.qlSwapRateHelperSpread($D22)),IF(ISERROR(_xll.qlFuturesRateHelperConvexityAdjustment($D22)),"--",_xll.qlFuturesRateHelperConvexityAdjustment($D22)),_xll.qlSwapRateHelperSpread($D22))</f>
        <v>5.0999999999999993E-4</v>
      </c>
      <c r="H22" s="9">
        <f>_xll.qlRateHelperEarliestDate($D22)</f>
        <v>41816</v>
      </c>
      <c r="I22" s="8">
        <f>_xll.qlRateHelperLatestDate($D22)</f>
        <v>56426</v>
      </c>
      <c r="J22" s="3">
        <v>0.25001821611765324</v>
      </c>
    </row>
    <row r="23" spans="1:10" x14ac:dyDescent="0.2">
      <c r="D23" s="11" t="str">
        <v>obj_00651</v>
      </c>
      <c r="E23" s="11" t="str">
        <f>SUBSTITUTE(_xll.qlRateHelperQuoteName(D23),"3L","1LBASIS")</f>
        <v>USDAM1LBASIS50Y_Quote</v>
      </c>
      <c r="F23" s="10">
        <f>_xll.qlRateHelperRate($D23)</f>
        <v>3.3649999999999999E-2</v>
      </c>
      <c r="G23" s="10">
        <f>IF(ISERROR(_xll.qlSwapRateHelperSpread($D23)),IF(ISERROR(_xll.qlFuturesRateHelperConvexityAdjustment($D23)),"--",_xll.qlFuturesRateHelperConvexityAdjustment($D23)),_xll.qlSwapRateHelperSpread($D23))</f>
        <v>5.0999999999999993E-4</v>
      </c>
      <c r="H23" s="9">
        <f>_xll.qlRateHelperEarliestDate($D23)</f>
        <v>41816</v>
      </c>
      <c r="I23" s="8">
        <f>_xll.qlRateHelperLatestDate($D23)</f>
        <v>60079</v>
      </c>
      <c r="J23" s="3">
        <v>0.18315725754062182</v>
      </c>
    </row>
    <row r="24" spans="1:10" x14ac:dyDescent="0.2">
      <c r="D24" s="11" t="e">
        <v>#N/A</v>
      </c>
      <c r="E24" s="11" t="e">
        <f>SUBSTITUTE(_xll.qlRateHelperQuoteName(D24),"3L","1LBASIS")</f>
        <v>#VALUE!</v>
      </c>
      <c r="F24" s="10" t="e">
        <f>_xll.qlRateHelperRate($D24)</f>
        <v>#VALUE!</v>
      </c>
      <c r="G24" s="10" t="str">
        <f>IF(ISERROR(_xll.qlSwapRateHelperSpread($D24)),IF(ISERROR(_xll.qlFuturesRateHelperConvexityAdjustment($D24)),"--",_xll.qlFuturesRateHelperConvexityAdjustment($D24)),_xll.qlSwapRateHelperSpread($D24))</f>
        <v>--</v>
      </c>
      <c r="H24" s="9" t="e">
        <f>_xll.qlRateHelperEarliestDate($D24)</f>
        <v>#VALUE!</v>
      </c>
      <c r="I24" s="8" t="e">
        <f>_xll.qlRateHelperLatestDate($D24)</f>
        <v>#VALUE!</v>
      </c>
      <c r="J24" s="3" t="e">
        <v>#N/A</v>
      </c>
    </row>
    <row r="25" spans="1:10" x14ac:dyDescent="0.2">
      <c r="D25" s="11" t="e">
        <v>#N/A</v>
      </c>
      <c r="E25" s="11" t="e">
        <f>SUBSTITUTE(_xll.qlRateHelperQuoteName(D25),"3L","1LBASIS")</f>
        <v>#VALUE!</v>
      </c>
      <c r="F25" s="10" t="e">
        <f>_xll.qlRateHelperRate($D25)</f>
        <v>#VALUE!</v>
      </c>
      <c r="G25" s="10" t="str">
        <f>IF(ISERROR(_xll.qlSwapRateHelperSpread($D25)),IF(ISERROR(_xll.qlFuturesRateHelperConvexityAdjustment($D25)),"--",_xll.qlFuturesRateHelperConvexityAdjustment($D25)),_xll.qlSwapRateHelperSpread($D25))</f>
        <v>--</v>
      </c>
      <c r="H25" s="9" t="e">
        <f>_xll.qlRateHelperEarliestDate($D25)</f>
        <v>#VALUE!</v>
      </c>
      <c r="I25" s="8" t="e">
        <f>_xll.qlRateHelperLatestDate($D25)</f>
        <v>#VALUE!</v>
      </c>
      <c r="J25" s="3" t="e">
        <v>#N/A</v>
      </c>
    </row>
    <row r="26" spans="1:10" x14ac:dyDescent="0.2">
      <c r="D26" s="11" t="e">
        <v>#N/A</v>
      </c>
      <c r="E26" s="11" t="e">
        <f>SUBSTITUTE(_xll.qlRateHelperQuoteName(D26),"3L","1LBASIS")</f>
        <v>#VALUE!</v>
      </c>
      <c r="F26" s="10" t="e">
        <f>_xll.qlRateHelperRate($D26)</f>
        <v>#VALUE!</v>
      </c>
      <c r="G26" s="10" t="str">
        <f>IF(ISERROR(_xll.qlSwapRateHelperSpread($D26)),IF(ISERROR(_xll.qlFuturesRateHelperConvexityAdjustment($D26)),"--",_xll.qlFuturesRateHelperConvexityAdjustment($D26)),_xll.qlSwapRateHelperSpread($D26))</f>
        <v>--</v>
      </c>
      <c r="H26" s="9" t="e">
        <f>_xll.qlRateHelperEarliestDate($D26)</f>
        <v>#VALUE!</v>
      </c>
      <c r="I26" s="8" t="e">
        <f>_xll.qlRateHelperLatestDate($D26)</f>
        <v>#VALUE!</v>
      </c>
      <c r="J26" s="3" t="e">
        <v>#N/A</v>
      </c>
    </row>
    <row r="27" spans="1:10" x14ac:dyDescent="0.2">
      <c r="D27" s="11" t="e">
        <v>#N/A</v>
      </c>
      <c r="E27" s="11" t="e">
        <f>SUBSTITUTE(_xll.qlRateHelperQuoteName(D27),"3L","1LBASIS")</f>
        <v>#VALUE!</v>
      </c>
      <c r="F27" s="10" t="e">
        <f>_xll.qlRateHelperRate($D27)</f>
        <v>#VALUE!</v>
      </c>
      <c r="G27" s="10" t="str">
        <f>IF(ISERROR(_xll.qlSwapRateHelperSpread($D27)),IF(ISERROR(_xll.qlFuturesRateHelperConvexityAdjustment($D27)),"--",_xll.qlFuturesRateHelperConvexityAdjustment($D27)),_xll.qlSwapRateHelperSpread($D27))</f>
        <v>--</v>
      </c>
      <c r="H27" s="9" t="e">
        <f>_xll.qlRateHelperEarliestDate($D27)</f>
        <v>#VALUE!</v>
      </c>
      <c r="I27" s="8" t="e">
        <f>_xll.qlRateHelperLatestDate($D27)</f>
        <v>#VALUE!</v>
      </c>
      <c r="J27" s="3" t="e">
        <v>#N/A</v>
      </c>
    </row>
    <row r="28" spans="1:10" x14ac:dyDescent="0.2">
      <c r="D28" s="11" t="e">
        <v>#N/A</v>
      </c>
      <c r="E28" s="11" t="e">
        <f>SUBSTITUTE(_xll.qlRateHelperQuoteName(D28),"3L","1LBASIS")</f>
        <v>#VALUE!</v>
      </c>
      <c r="F28" s="10" t="e">
        <f>_xll.qlRateHelperRate($D28)</f>
        <v>#VALUE!</v>
      </c>
      <c r="G28" s="10" t="str">
        <f>IF(ISERROR(_xll.qlSwapRateHelperSpread($D28)),IF(ISERROR(_xll.qlFuturesRateHelperConvexityAdjustment($D28)),"--",_xll.qlFuturesRateHelperConvexityAdjustment($D28)),_xll.qlSwapRateHelperSpread($D28))</f>
        <v>--</v>
      </c>
      <c r="H28" s="9" t="e">
        <f>_xll.qlRateHelperEarliestDate($D28)</f>
        <v>#VALUE!</v>
      </c>
      <c r="I28" s="8" t="e">
        <f>_xll.qlRateHelperLatestDate($D28)</f>
        <v>#VALUE!</v>
      </c>
      <c r="J28" s="3" t="e">
        <v>#N/A</v>
      </c>
    </row>
    <row r="29" spans="1:10" x14ac:dyDescent="0.2">
      <c r="D29" s="11" t="e">
        <v>#N/A</v>
      </c>
      <c r="E29" s="11" t="e">
        <f>SUBSTITUTE(_xll.qlRateHelperQuoteName(D29),"3L","1LBASIS")</f>
        <v>#VALUE!</v>
      </c>
      <c r="F29" s="10" t="e">
        <f>_xll.qlRateHelperRate($D29)</f>
        <v>#VALUE!</v>
      </c>
      <c r="G29" s="10" t="str">
        <f>IF(ISERROR(_xll.qlSwapRateHelperSpread($D29)),IF(ISERROR(_xll.qlFuturesRateHelperConvexityAdjustment($D29)),"--",_xll.qlFuturesRateHelperConvexityAdjustment($D29)),_xll.qlSwapRateHelperSpread($D29))</f>
        <v>--</v>
      </c>
      <c r="H29" s="9" t="e">
        <f>_xll.qlRateHelperEarliestDate($D29)</f>
        <v>#VALUE!</v>
      </c>
      <c r="I29" s="8" t="e">
        <f>_xll.qlRateHelperLatestDate($D29)</f>
        <v>#VALUE!</v>
      </c>
      <c r="J29" s="3" t="e">
        <v>#N/A</v>
      </c>
    </row>
    <row r="30" spans="1:10" x14ac:dyDescent="0.2">
      <c r="D30" s="11" t="e">
        <v>#N/A</v>
      </c>
      <c r="E30" s="11" t="e">
        <f>SUBSTITUTE(_xll.qlRateHelperQuoteName(D30),"3L","1LBASIS")</f>
        <v>#VALUE!</v>
      </c>
      <c r="F30" s="10" t="e">
        <f>_xll.qlRateHelperRate($D30)</f>
        <v>#VALUE!</v>
      </c>
      <c r="G30" s="10" t="str">
        <f>IF(ISERROR(_xll.qlSwapRateHelperSpread($D30)),IF(ISERROR(_xll.qlFuturesRateHelperConvexityAdjustment($D30)),"--",_xll.qlFuturesRateHelperConvexityAdjustment($D30)),_xll.qlSwapRateHelperSpread($D30))</f>
        <v>--</v>
      </c>
      <c r="H30" s="9" t="e">
        <f>_xll.qlRateHelperEarliestDate($D30)</f>
        <v>#VALUE!</v>
      </c>
      <c r="I30" s="8" t="e">
        <f>_xll.qlRateHelperLatestDate($D30)</f>
        <v>#VALUE!</v>
      </c>
      <c r="J30" s="3" t="e">
        <v>#N/A</v>
      </c>
    </row>
    <row r="31" spans="1:10" x14ac:dyDescent="0.2">
      <c r="D31" s="11" t="e">
        <v>#N/A</v>
      </c>
      <c r="E31" s="11" t="e">
        <f>SUBSTITUTE(_xll.qlRateHelperQuoteName(D31),"3L","1LBASIS")</f>
        <v>#VALUE!</v>
      </c>
      <c r="F31" s="10" t="e">
        <f>_xll.qlRateHelperRate($D31)</f>
        <v>#VALUE!</v>
      </c>
      <c r="G31" s="10" t="str">
        <f>IF(ISERROR(_xll.qlSwapRateHelperSpread($D31)),IF(ISERROR(_xll.qlFuturesRateHelperConvexityAdjustment($D31)),"--",_xll.qlFuturesRateHelperConvexityAdjustment($D31)),_xll.qlSwapRateHelperSpread($D31))</f>
        <v>--</v>
      </c>
      <c r="H31" s="9" t="e">
        <f>_xll.qlRateHelperEarliestDate($D31)</f>
        <v>#VALUE!</v>
      </c>
      <c r="I31" s="8" t="e">
        <f>_xll.qlRateHelperLatestDate($D31)</f>
        <v>#VALUE!</v>
      </c>
      <c r="J31" s="3" t="e">
        <v>#N/A</v>
      </c>
    </row>
    <row r="32" spans="1:10" x14ac:dyDescent="0.2">
      <c r="D32" s="11" t="e">
        <v>#N/A</v>
      </c>
      <c r="E32" s="11" t="e">
        <f>SUBSTITUTE(_xll.qlRateHelperQuoteName(D32),"3L","1LBASIS")</f>
        <v>#VALUE!</v>
      </c>
      <c r="F32" s="10" t="e">
        <f>_xll.qlRateHelperRate($D32)</f>
        <v>#VALUE!</v>
      </c>
      <c r="G32" s="10" t="str">
        <f>IF(ISERROR(_xll.qlSwapRateHelperSpread($D32)),IF(ISERROR(_xll.qlFuturesRateHelperConvexityAdjustment($D32)),"--",_xll.qlFuturesRateHelperConvexityAdjustment($D32)),_xll.qlSwapRateHelperSpread($D32))</f>
        <v>--</v>
      </c>
      <c r="H32" s="9" t="e">
        <f>_xll.qlRateHelperEarliestDate($D32)</f>
        <v>#VALUE!</v>
      </c>
      <c r="I32" s="8" t="e">
        <f>_xll.qlRateHelperLatestDate($D32)</f>
        <v>#VALUE!</v>
      </c>
      <c r="J32" s="3" t="e">
        <v>#N/A</v>
      </c>
    </row>
    <row r="33" spans="4:10" x14ac:dyDescent="0.2">
      <c r="D33" s="11" t="e">
        <v>#N/A</v>
      </c>
      <c r="E33" s="11" t="e">
        <f>SUBSTITUTE(_xll.qlRateHelperQuoteName(D33),"3L","1LBASIS")</f>
        <v>#VALUE!</v>
      </c>
      <c r="F33" s="10" t="e">
        <f>_xll.qlRateHelperRate($D33)</f>
        <v>#VALUE!</v>
      </c>
      <c r="G33" s="10" t="str">
        <f>IF(ISERROR(_xll.qlSwapRateHelperSpread($D33)),IF(ISERROR(_xll.qlFuturesRateHelperConvexityAdjustment($D33)),"--",_xll.qlFuturesRateHelperConvexityAdjustment($D33)),_xll.qlSwapRateHelperSpread($D33))</f>
        <v>--</v>
      </c>
      <c r="H33" s="9" t="e">
        <f>_xll.qlRateHelperEarliestDate($D33)</f>
        <v>#VALUE!</v>
      </c>
      <c r="I33" s="8" t="e">
        <f>_xll.qlRateHelperLatestDate($D33)</f>
        <v>#VALUE!</v>
      </c>
      <c r="J33" s="3" t="e">
        <v>#N/A</v>
      </c>
    </row>
    <row r="34" spans="4:10" x14ac:dyDescent="0.2">
      <c r="D34" s="11" t="e">
        <v>#N/A</v>
      </c>
      <c r="E34" s="11" t="e">
        <f>SUBSTITUTE(_xll.qlRateHelperQuoteName(D34),"3L","1LBASIS")</f>
        <v>#VALUE!</v>
      </c>
      <c r="F34" s="10" t="e">
        <f>_xll.qlRateHelperRate($D34)</f>
        <v>#VALUE!</v>
      </c>
      <c r="G34" s="10" t="str">
        <f>IF(ISERROR(_xll.qlSwapRateHelperSpread($D34)),IF(ISERROR(_xll.qlFuturesRateHelperConvexityAdjustment($D34)),"--",_xll.qlFuturesRateHelperConvexityAdjustment($D34)),_xll.qlSwapRateHelperSpread($D34))</f>
        <v>--</v>
      </c>
      <c r="H34" s="9" t="e">
        <f>_xll.qlRateHelperEarliestDate($D34)</f>
        <v>#VALUE!</v>
      </c>
      <c r="I34" s="8" t="e">
        <f>_xll.qlRateHelperLatestDate($D34)</f>
        <v>#VALUE!</v>
      </c>
      <c r="J34" s="3" t="e">
        <v>#N/A</v>
      </c>
    </row>
    <row r="35" spans="4:10" x14ac:dyDescent="0.2">
      <c r="D35" s="11" t="e">
        <v>#N/A</v>
      </c>
      <c r="E35" s="11" t="e">
        <f>SUBSTITUTE(_xll.qlRateHelperQuoteName(D35),"3L","1LBASIS")</f>
        <v>#VALUE!</v>
      </c>
      <c r="F35" s="10" t="e">
        <f>_xll.qlRateHelperRate($D35)</f>
        <v>#VALUE!</v>
      </c>
      <c r="G35" s="10" t="str">
        <f>IF(ISERROR(_xll.qlSwapRateHelperSpread($D35)),IF(ISERROR(_xll.qlFuturesRateHelperConvexityAdjustment($D35)),"--",_xll.qlFuturesRateHelperConvexityAdjustment($D35)),_xll.qlSwapRateHelperSpread($D35))</f>
        <v>--</v>
      </c>
      <c r="H35" s="9" t="e">
        <f>_xll.qlRateHelperEarliestDate($D35)</f>
        <v>#VALUE!</v>
      </c>
      <c r="I35" s="8" t="e">
        <f>_xll.qlRateHelperLatestDate($D35)</f>
        <v>#VALUE!</v>
      </c>
      <c r="J35" s="3" t="e">
        <v>#N/A</v>
      </c>
    </row>
    <row r="36" spans="4:10" x14ac:dyDescent="0.2">
      <c r="D36" s="11" t="e">
        <v>#N/A</v>
      </c>
      <c r="E36" s="11" t="e">
        <f>SUBSTITUTE(_xll.qlRateHelperQuoteName(D36),"3L","1LBASIS")</f>
        <v>#VALUE!</v>
      </c>
      <c r="F36" s="10" t="e">
        <f>_xll.qlRateHelperRate($D36)</f>
        <v>#VALUE!</v>
      </c>
      <c r="G36" s="10" t="str">
        <f>IF(ISERROR(_xll.qlSwapRateHelperSpread($D36)),IF(ISERROR(_xll.qlFuturesRateHelperConvexityAdjustment($D36)),"--",_xll.qlFuturesRateHelperConvexityAdjustment($D36)),_xll.qlSwapRateHelperSpread($D36))</f>
        <v>--</v>
      </c>
      <c r="H36" s="9" t="e">
        <f>_xll.qlRateHelperEarliestDate($D36)</f>
        <v>#VALUE!</v>
      </c>
      <c r="I36" s="8" t="e">
        <f>_xll.qlRateHelperLatestDate($D36)</f>
        <v>#VALUE!</v>
      </c>
      <c r="J36" s="3" t="e">
        <v>#N/A</v>
      </c>
    </row>
    <row r="37" spans="4:10" x14ac:dyDescent="0.2">
      <c r="D37" s="11" t="e">
        <v>#N/A</v>
      </c>
      <c r="E37" s="11" t="e">
        <f>SUBSTITUTE(_xll.qlRateHelperQuoteName(D37),"3L","1LBASIS")</f>
        <v>#VALUE!</v>
      </c>
      <c r="F37" s="10" t="e">
        <f>_xll.qlRateHelperRate($D37)</f>
        <v>#VALUE!</v>
      </c>
      <c r="G37" s="10" t="str">
        <f>IF(ISERROR(_xll.qlSwapRateHelperSpread($D37)),IF(ISERROR(_xll.qlFuturesRateHelperConvexityAdjustment($D37)),"--",_xll.qlFuturesRateHelperConvexityAdjustment($D37)),_xll.qlSwapRateHelperSpread($D37))</f>
        <v>--</v>
      </c>
      <c r="H37" s="9" t="e">
        <f>_xll.qlRateHelperEarliestDate($D37)</f>
        <v>#VALUE!</v>
      </c>
      <c r="I37" s="8" t="e">
        <f>_xll.qlRateHelperLatestDate($D37)</f>
        <v>#VALUE!</v>
      </c>
      <c r="J37" s="3" t="e">
        <v>#N/A</v>
      </c>
    </row>
    <row r="38" spans="4:10" x14ac:dyDescent="0.2">
      <c r="D38" s="11" t="e">
        <v>#N/A</v>
      </c>
      <c r="E38" s="11" t="e">
        <f>SUBSTITUTE(_xll.qlRateHelperQuoteName(D38),"3L","1LBASIS")</f>
        <v>#VALUE!</v>
      </c>
      <c r="F38" s="10" t="e">
        <f>_xll.qlRateHelperRate($D38)</f>
        <v>#VALUE!</v>
      </c>
      <c r="G38" s="10" t="str">
        <f>IF(ISERROR(_xll.qlSwapRateHelperSpread($D38)),IF(ISERROR(_xll.qlFuturesRateHelperConvexityAdjustment($D38)),"--",_xll.qlFuturesRateHelperConvexityAdjustment($D38)),_xll.qlSwapRateHelperSpread($D38))</f>
        <v>--</v>
      </c>
      <c r="H38" s="9" t="e">
        <f>_xll.qlRateHelperEarliestDate($D38)</f>
        <v>#VALUE!</v>
      </c>
      <c r="I38" s="8" t="e">
        <f>_xll.qlRateHelperLatestDate($D38)</f>
        <v>#VALUE!</v>
      </c>
      <c r="J38" s="3" t="e">
        <v>#N/A</v>
      </c>
    </row>
    <row r="39" spans="4:10" x14ac:dyDescent="0.2">
      <c r="D39" s="11" t="e">
        <v>#N/A</v>
      </c>
      <c r="E39" s="11" t="e">
        <f>SUBSTITUTE(_xll.qlRateHelperQuoteName(D39),"3L","1LBASIS")</f>
        <v>#VALUE!</v>
      </c>
      <c r="F39" s="10" t="e">
        <f>_xll.qlRateHelperRate($D39)</f>
        <v>#VALUE!</v>
      </c>
      <c r="G39" s="10" t="str">
        <f>IF(ISERROR(_xll.qlSwapRateHelperSpread($D39)),IF(ISERROR(_xll.qlFuturesRateHelperConvexityAdjustment($D39)),"--",_xll.qlFuturesRateHelperConvexityAdjustment($D39)),_xll.qlSwapRateHelperSpread($D39))</f>
        <v>--</v>
      </c>
      <c r="H39" s="9" t="e">
        <f>_xll.qlRateHelperEarliestDate($D39)</f>
        <v>#VALUE!</v>
      </c>
      <c r="I39" s="8" t="e">
        <f>_xll.qlRateHelperLatestDate($D39)</f>
        <v>#VALUE!</v>
      </c>
      <c r="J39" s="3" t="e">
        <v>#N/A</v>
      </c>
    </row>
    <row r="40" spans="4:10" x14ac:dyDescent="0.2">
      <c r="D40" s="11" t="e">
        <v>#N/A</v>
      </c>
      <c r="E40" s="11" t="e">
        <f>SUBSTITUTE(_xll.qlRateHelperQuoteName(D40),"3L","1LBASIS")</f>
        <v>#VALUE!</v>
      </c>
      <c r="F40" s="10" t="e">
        <f>_xll.qlRateHelperRate($D40)</f>
        <v>#VALUE!</v>
      </c>
      <c r="G40" s="10" t="str">
        <f>IF(ISERROR(_xll.qlSwapRateHelperSpread($D40)),IF(ISERROR(_xll.qlFuturesRateHelperConvexityAdjustment($D40)),"--",_xll.qlFuturesRateHelperConvexityAdjustment($D40)),_xll.qlSwapRateHelperSpread($D40))</f>
        <v>--</v>
      </c>
      <c r="H40" s="9" t="e">
        <f>_xll.qlRateHelperEarliestDate($D40)</f>
        <v>#VALUE!</v>
      </c>
      <c r="I40" s="8" t="e">
        <f>_xll.qlRateHelperLatestDate($D40)</f>
        <v>#VALUE!</v>
      </c>
      <c r="J40" s="3" t="e">
        <v>#N/A</v>
      </c>
    </row>
    <row r="41" spans="4:10" x14ac:dyDescent="0.2">
      <c r="D41" s="11" t="e">
        <v>#N/A</v>
      </c>
      <c r="E41" s="11" t="e">
        <f>SUBSTITUTE(_xll.qlRateHelperQuoteName(D41),"3L","1LBASIS")</f>
        <v>#VALUE!</v>
      </c>
      <c r="F41" s="10" t="e">
        <f>_xll.qlRateHelperRate($D41)</f>
        <v>#VALUE!</v>
      </c>
      <c r="G41" s="10" t="str">
        <f>IF(ISERROR(_xll.qlSwapRateHelperSpread($D41)),IF(ISERROR(_xll.qlFuturesRateHelperConvexityAdjustment($D41)),"--",_xll.qlFuturesRateHelperConvexityAdjustment($D41)),_xll.qlSwapRateHelperSpread($D41))</f>
        <v>--</v>
      </c>
      <c r="H41" s="9" t="e">
        <f>_xll.qlRateHelperEarliestDate($D41)</f>
        <v>#VALUE!</v>
      </c>
      <c r="I41" s="8" t="e">
        <f>_xll.qlRateHelperLatestDate($D41)</f>
        <v>#VALUE!</v>
      </c>
      <c r="J41" s="3" t="e">
        <v>#N/A</v>
      </c>
    </row>
    <row r="42" spans="4:10" x14ac:dyDescent="0.2">
      <c r="D42" s="11" t="e">
        <v>#N/A</v>
      </c>
      <c r="E42" s="11" t="e">
        <f>SUBSTITUTE(_xll.qlRateHelperQuoteName(D42),"3L","1LBASIS")</f>
        <v>#VALUE!</v>
      </c>
      <c r="F42" s="10" t="e">
        <f>_xll.qlRateHelperRate($D42)</f>
        <v>#VALUE!</v>
      </c>
      <c r="G42" s="10" t="str">
        <f>IF(ISERROR(_xll.qlSwapRateHelperSpread($D42)),IF(ISERROR(_xll.qlFuturesRateHelperConvexityAdjustment($D42)),"--",_xll.qlFuturesRateHelperConvexityAdjustment($D42)),_xll.qlSwapRateHelperSpread($D42))</f>
        <v>--</v>
      </c>
      <c r="H42" s="9" t="e">
        <f>_xll.qlRateHelperEarliestDate($D42)</f>
        <v>#VALUE!</v>
      </c>
      <c r="I42" s="8" t="e">
        <f>_xll.qlRateHelperLatestDate($D42)</f>
        <v>#VALUE!</v>
      </c>
      <c r="J42" s="3" t="e">
        <v>#N/A</v>
      </c>
    </row>
    <row r="43" spans="4:10" x14ac:dyDescent="0.2">
      <c r="D43" s="11" t="e">
        <v>#N/A</v>
      </c>
      <c r="E43" s="11" t="e">
        <f>SUBSTITUTE(_xll.qlRateHelperQuoteName(D43),"3L","1LBASIS")</f>
        <v>#VALUE!</v>
      </c>
      <c r="F43" s="10" t="e">
        <f>_xll.qlRateHelperRate($D43)</f>
        <v>#VALUE!</v>
      </c>
      <c r="G43" s="10" t="str">
        <f>IF(ISERROR(_xll.qlSwapRateHelperSpread($D43)),IF(ISERROR(_xll.qlFuturesRateHelperConvexityAdjustment($D43)),"--",_xll.qlFuturesRateHelperConvexityAdjustment($D43)),_xll.qlSwapRateHelperSpread($D43))</f>
        <v>--</v>
      </c>
      <c r="H43" s="9" t="e">
        <f>_xll.qlRateHelperEarliestDate($D43)</f>
        <v>#VALUE!</v>
      </c>
      <c r="I43" s="8" t="e">
        <f>_xll.qlRateHelperLatestDate($D43)</f>
        <v>#VALUE!</v>
      </c>
      <c r="J43" s="3" t="e">
        <v>#N/A</v>
      </c>
    </row>
    <row r="44" spans="4:10" x14ac:dyDescent="0.2">
      <c r="D44" s="11" t="e">
        <v>#N/A</v>
      </c>
      <c r="E44" s="11" t="e">
        <f>SUBSTITUTE(_xll.qlRateHelperQuoteName(D44),"3L","1LBASIS")</f>
        <v>#VALUE!</v>
      </c>
      <c r="F44" s="10" t="e">
        <f>_xll.qlRateHelperRate($D44)</f>
        <v>#VALUE!</v>
      </c>
      <c r="G44" s="10" t="str">
        <f>IF(ISERROR(_xll.qlSwapRateHelperSpread($D44)),IF(ISERROR(_xll.qlFuturesRateHelperConvexityAdjustment($D44)),"--",_xll.qlFuturesRateHelperConvexityAdjustment($D44)),_xll.qlSwapRateHelperSpread($D44))</f>
        <v>--</v>
      </c>
      <c r="H44" s="9" t="e">
        <f>_xll.qlRateHelperEarliestDate($D44)</f>
        <v>#VALUE!</v>
      </c>
      <c r="I44" s="8" t="e">
        <f>_xll.qlRateHelperLatestDate($D44)</f>
        <v>#VALUE!</v>
      </c>
      <c r="J44" s="3" t="e">
        <v>#N/A</v>
      </c>
    </row>
    <row r="45" spans="4:10" x14ac:dyDescent="0.2">
      <c r="D45" s="11" t="e">
        <v>#N/A</v>
      </c>
      <c r="E45" s="11" t="e">
        <f>SUBSTITUTE(_xll.qlRateHelperQuoteName(D45),"3L","1LBASIS")</f>
        <v>#VALUE!</v>
      </c>
      <c r="F45" s="10" t="e">
        <f>_xll.qlRateHelperRate($D45)</f>
        <v>#VALUE!</v>
      </c>
      <c r="G45" s="10" t="str">
        <f>IF(ISERROR(_xll.qlSwapRateHelperSpread($D45)),IF(ISERROR(_xll.qlFuturesRateHelperConvexityAdjustment($D45)),"--",_xll.qlFuturesRateHelperConvexityAdjustment($D45)),_xll.qlSwapRateHelperSpread($D45))</f>
        <v>--</v>
      </c>
      <c r="H45" s="9" t="e">
        <f>_xll.qlRateHelperEarliestDate($D45)</f>
        <v>#VALUE!</v>
      </c>
      <c r="I45" s="8" t="e">
        <f>_xll.qlRateHelperLatestDate($D45)</f>
        <v>#VALUE!</v>
      </c>
      <c r="J45" s="3" t="e">
        <v>#N/A</v>
      </c>
    </row>
    <row r="46" spans="4:10" x14ac:dyDescent="0.2">
      <c r="D46" s="11" t="e">
        <v>#N/A</v>
      </c>
      <c r="E46" s="11" t="e">
        <f>SUBSTITUTE(_xll.qlRateHelperQuoteName(D46),"3L","1LBASIS")</f>
        <v>#VALUE!</v>
      </c>
      <c r="F46" s="10" t="e">
        <f>_xll.qlRateHelperRate($D46)</f>
        <v>#VALUE!</v>
      </c>
      <c r="G46" s="10" t="str">
        <f>IF(ISERROR(_xll.qlSwapRateHelperSpread($D46)),IF(ISERROR(_xll.qlFuturesRateHelperConvexityAdjustment($D46)),"--",_xll.qlFuturesRateHelperConvexityAdjustment($D46)),_xll.qlSwapRateHelperSpread($D46))</f>
        <v>--</v>
      </c>
      <c r="H46" s="9" t="e">
        <f>_xll.qlRateHelperEarliestDate($D46)</f>
        <v>#VALUE!</v>
      </c>
      <c r="I46" s="8" t="e">
        <f>_xll.qlRateHelperLatestDate($D46)</f>
        <v>#VALUE!</v>
      </c>
      <c r="J46" s="3" t="e">
        <v>#N/A</v>
      </c>
    </row>
    <row r="47" spans="4:10" x14ac:dyDescent="0.2">
      <c r="D47" s="11" t="e">
        <v>#N/A</v>
      </c>
      <c r="E47" s="11" t="e">
        <f>SUBSTITUTE(_xll.qlRateHelperQuoteName(D47),"3L","1LBASIS")</f>
        <v>#VALUE!</v>
      </c>
      <c r="F47" s="10" t="e">
        <f>_xll.qlRateHelperRate($D47)</f>
        <v>#VALUE!</v>
      </c>
      <c r="G47" s="10" t="str">
        <f>IF(ISERROR(_xll.qlSwapRateHelperSpread($D47)),IF(ISERROR(_xll.qlFuturesRateHelperConvexityAdjustment($D47)),"--",_xll.qlFuturesRateHelperConvexityAdjustment($D47)),_xll.qlSwapRateHelperSpread($D47))</f>
        <v>--</v>
      </c>
      <c r="H47" s="9" t="e">
        <f>_xll.qlRateHelperEarliestDate($D47)</f>
        <v>#VALUE!</v>
      </c>
      <c r="I47" s="8" t="e">
        <f>_xll.qlRateHelperLatestDate($D47)</f>
        <v>#VALUE!</v>
      </c>
      <c r="J47" s="3" t="e">
        <v>#N/A</v>
      </c>
    </row>
    <row r="48" spans="4:10" x14ac:dyDescent="0.2">
      <c r="D48" s="11" t="e">
        <v>#N/A</v>
      </c>
      <c r="E48" s="11" t="e">
        <f>SUBSTITUTE(_xll.qlRateHelperQuoteName(D48),"3L","1LBASIS")</f>
        <v>#VALUE!</v>
      </c>
      <c r="F48" s="10" t="e">
        <f>_xll.qlRateHelperRate($D48)</f>
        <v>#VALUE!</v>
      </c>
      <c r="G48" s="10" t="str">
        <f>IF(ISERROR(_xll.qlSwapRateHelperSpread($D48)),IF(ISERROR(_xll.qlFuturesRateHelperConvexityAdjustment($D48)),"--",_xll.qlFuturesRateHelperConvexityAdjustment($D48)),_xll.qlSwapRateHelperSpread($D48))</f>
        <v>--</v>
      </c>
      <c r="H48" s="9" t="e">
        <f>_xll.qlRateHelperEarliestDate($D48)</f>
        <v>#VALUE!</v>
      </c>
      <c r="I48" s="8" t="e">
        <f>_xll.qlRateHelperLatestDate($D48)</f>
        <v>#VALUE!</v>
      </c>
      <c r="J48" s="3" t="e">
        <v>#N/A</v>
      </c>
    </row>
    <row r="49" spans="4:10" x14ac:dyDescent="0.2">
      <c r="D49" s="11" t="e">
        <v>#N/A</v>
      </c>
      <c r="E49" s="11" t="e">
        <f>SUBSTITUTE(_xll.qlRateHelperQuoteName(D49),"3L","1LBASIS")</f>
        <v>#VALUE!</v>
      </c>
      <c r="F49" s="10" t="e">
        <f>_xll.qlRateHelperRate($D49)</f>
        <v>#VALUE!</v>
      </c>
      <c r="G49" s="10" t="str">
        <f>IF(ISERROR(_xll.qlSwapRateHelperSpread($D49)),IF(ISERROR(_xll.qlFuturesRateHelperConvexityAdjustment($D49)),"--",_xll.qlFuturesRateHelperConvexityAdjustment($D49)),_xll.qlSwapRateHelperSpread($D49))</f>
        <v>--</v>
      </c>
      <c r="H49" s="9" t="e">
        <f>_xll.qlRateHelperEarliestDate($D49)</f>
        <v>#VALUE!</v>
      </c>
      <c r="I49" s="8" t="e">
        <f>_xll.qlRateHelperLatestDate($D49)</f>
        <v>#VALUE!</v>
      </c>
      <c r="J49" s="3" t="e">
        <v>#N/A</v>
      </c>
    </row>
    <row r="50" spans="4:10" x14ac:dyDescent="0.2">
      <c r="D50" s="11" t="e">
        <v>#N/A</v>
      </c>
      <c r="E50" s="11" t="e">
        <f>SUBSTITUTE(_xll.qlRateHelperQuoteName(D50),"3L","1LBASIS")</f>
        <v>#VALUE!</v>
      </c>
      <c r="F50" s="10" t="e">
        <f>_xll.qlRateHelperRate($D50)</f>
        <v>#VALUE!</v>
      </c>
      <c r="G50" s="10" t="str">
        <f>IF(ISERROR(_xll.qlSwapRateHelperSpread($D50)),IF(ISERROR(_xll.qlFuturesRateHelperConvexityAdjustment($D50)),"--",_xll.qlFuturesRateHelperConvexityAdjustment($D50)),_xll.qlSwapRateHelperSpread($D50))</f>
        <v>--</v>
      </c>
      <c r="H50" s="9" t="e">
        <f>_xll.qlRateHelperEarliestDate($D50)</f>
        <v>#VALUE!</v>
      </c>
      <c r="I50" s="8" t="e">
        <f>_xll.qlRateHelperLatestDate($D50)</f>
        <v>#VALUE!</v>
      </c>
      <c r="J50" s="3" t="e">
        <v>#N/A</v>
      </c>
    </row>
    <row r="51" spans="4:10" x14ac:dyDescent="0.2">
      <c r="D51" s="11" t="e">
        <v>#N/A</v>
      </c>
      <c r="E51" s="11" t="e">
        <f>SUBSTITUTE(_xll.qlRateHelperQuoteName(D51),"3L","1LBASIS")</f>
        <v>#VALUE!</v>
      </c>
      <c r="F51" s="10" t="e">
        <f>_xll.qlRateHelperRate($D51)</f>
        <v>#VALUE!</v>
      </c>
      <c r="G51" s="10" t="str">
        <f>IF(ISERROR(_xll.qlSwapRateHelperSpread($D51)),IF(ISERROR(_xll.qlFuturesRateHelperConvexityAdjustment($D51)),"--",_xll.qlFuturesRateHelperConvexityAdjustment($D51)),_xll.qlSwapRateHelperSpread($D51))</f>
        <v>--</v>
      </c>
      <c r="H51" s="9" t="e">
        <f>_xll.qlRateHelperEarliestDate($D51)</f>
        <v>#VALUE!</v>
      </c>
      <c r="I51" s="8" t="e">
        <f>_xll.qlRateHelperLatestDate($D51)</f>
        <v>#VALUE!</v>
      </c>
      <c r="J51" s="3" t="e">
        <v>#N/A</v>
      </c>
    </row>
    <row r="52" spans="4:10" x14ac:dyDescent="0.2">
      <c r="D52" s="11" t="e">
        <v>#N/A</v>
      </c>
      <c r="E52" s="11" t="e">
        <f>SUBSTITUTE(_xll.qlRateHelperQuoteName(D52),"3L","1LBASIS")</f>
        <v>#VALUE!</v>
      </c>
      <c r="F52" s="10" t="e">
        <f>_xll.qlRateHelperRate($D52)</f>
        <v>#VALUE!</v>
      </c>
      <c r="G52" s="10" t="str">
        <f>IF(ISERROR(_xll.qlSwapRateHelperSpread($D52)),IF(ISERROR(_xll.qlFuturesRateHelperConvexityAdjustment($D52)),"--",_xll.qlFuturesRateHelperConvexityAdjustment($D52)),_xll.qlSwapRateHelperSpread($D52))</f>
        <v>--</v>
      </c>
      <c r="H52" s="9" t="e">
        <f>_xll.qlRateHelperEarliestDate($D52)</f>
        <v>#VALUE!</v>
      </c>
      <c r="I52" s="8" t="e">
        <f>_xll.qlRateHelperLatestDate($D52)</f>
        <v>#VALUE!</v>
      </c>
      <c r="J52" s="3" t="e">
        <v>#N/A</v>
      </c>
    </row>
    <row r="53" spans="4:10" x14ac:dyDescent="0.2">
      <c r="D53" s="11" t="e">
        <v>#N/A</v>
      </c>
      <c r="E53" s="11" t="e">
        <f>SUBSTITUTE(_xll.qlRateHelperQuoteName(D53),"3L","1LBASIS")</f>
        <v>#VALUE!</v>
      </c>
      <c r="F53" s="10" t="e">
        <f>_xll.qlRateHelperRate($D53)</f>
        <v>#VALUE!</v>
      </c>
      <c r="G53" s="10" t="str">
        <f>IF(ISERROR(_xll.qlSwapRateHelperSpread($D53)),IF(ISERROR(_xll.qlFuturesRateHelperConvexityAdjustment($D53)),"--",_xll.qlFuturesRateHelperConvexityAdjustment($D53)),_xll.qlSwapRateHelperSpread($D53))</f>
        <v>--</v>
      </c>
      <c r="H53" s="9" t="e">
        <f>_xll.qlRateHelperEarliestDate($D53)</f>
        <v>#VALUE!</v>
      </c>
      <c r="I53" s="8" t="e">
        <f>_xll.qlRateHelperLatestDate($D53)</f>
        <v>#VALUE!</v>
      </c>
      <c r="J53" s="3" t="e">
        <v>#N/A</v>
      </c>
    </row>
    <row r="54" spans="4:10" x14ac:dyDescent="0.2">
      <c r="D54" s="11" t="e">
        <v>#N/A</v>
      </c>
      <c r="E54" s="11" t="e">
        <f>SUBSTITUTE(_xll.qlRateHelperQuoteName(D54),"3L","1LBASIS")</f>
        <v>#VALUE!</v>
      </c>
      <c r="F54" s="10" t="e">
        <f>_xll.qlRateHelperRate($D54)</f>
        <v>#VALUE!</v>
      </c>
      <c r="G54" s="10" t="str">
        <f>IF(ISERROR(_xll.qlSwapRateHelperSpread($D54)),IF(ISERROR(_xll.qlFuturesRateHelperConvexityAdjustment($D54)),"--",_xll.qlFuturesRateHelperConvexityAdjustment($D54)),_xll.qlSwapRateHelperSpread($D54))</f>
        <v>--</v>
      </c>
      <c r="H54" s="9" t="e">
        <f>_xll.qlRateHelperEarliestDate($D54)</f>
        <v>#VALUE!</v>
      </c>
      <c r="I54" s="8" t="e">
        <f>_xll.qlRateHelperLatestDate($D54)</f>
        <v>#VALUE!</v>
      </c>
      <c r="J54" s="3" t="e">
        <v>#N/A</v>
      </c>
    </row>
    <row r="55" spans="4:10" x14ac:dyDescent="0.2">
      <c r="D55" s="11" t="e">
        <v>#N/A</v>
      </c>
      <c r="E55" s="11" t="e">
        <f>SUBSTITUTE(_xll.qlRateHelperQuoteName(D55),"3L","1LBASIS")</f>
        <v>#VALUE!</v>
      </c>
      <c r="F55" s="10" t="e">
        <f>_xll.qlRateHelperRate($D55)</f>
        <v>#VALUE!</v>
      </c>
      <c r="G55" s="10" t="str">
        <f>IF(ISERROR(_xll.qlSwapRateHelperSpread($D55)),IF(ISERROR(_xll.qlFuturesRateHelperConvexityAdjustment($D55)),"--",_xll.qlFuturesRateHelperConvexityAdjustment($D55)),_xll.qlSwapRateHelperSpread($D55))</f>
        <v>--</v>
      </c>
      <c r="H55" s="9" t="e">
        <f>_xll.qlRateHelperEarliestDate($D55)</f>
        <v>#VALUE!</v>
      </c>
      <c r="I55" s="8" t="e">
        <f>_xll.qlRateHelperLatestDate($D55)</f>
        <v>#VALUE!</v>
      </c>
      <c r="J55" s="3" t="e">
        <v>#N/A</v>
      </c>
    </row>
    <row r="56" spans="4:10" x14ac:dyDescent="0.2">
      <c r="D56" s="11" t="e">
        <v>#N/A</v>
      </c>
      <c r="E56" s="11" t="e">
        <f>SUBSTITUTE(_xll.qlRateHelperQuoteName(D56),"3L","1LBASIS")</f>
        <v>#VALUE!</v>
      </c>
      <c r="F56" s="10" t="e">
        <f>_xll.qlRateHelperRate($D56)</f>
        <v>#VALUE!</v>
      </c>
      <c r="G56" s="10" t="str">
        <f>IF(ISERROR(_xll.qlSwapRateHelperSpread($D56)),IF(ISERROR(_xll.qlFuturesRateHelperConvexityAdjustment($D56)),"--",_xll.qlFuturesRateHelperConvexityAdjustment($D56)),_xll.qlSwapRateHelperSpread($D56))</f>
        <v>--</v>
      </c>
      <c r="H56" s="9" t="e">
        <f>_xll.qlRateHelperEarliestDate($D56)</f>
        <v>#VALUE!</v>
      </c>
      <c r="I56" s="8" t="e">
        <f>_xll.qlRateHelperLatestDate($D56)</f>
        <v>#VALUE!</v>
      </c>
      <c r="J56" s="3" t="e">
        <v>#N/A</v>
      </c>
    </row>
    <row r="57" spans="4:10" x14ac:dyDescent="0.2">
      <c r="D57" s="11" t="e">
        <v>#N/A</v>
      </c>
      <c r="E57" s="11" t="e">
        <f>SUBSTITUTE(_xll.qlRateHelperQuoteName(D57),"3L","1LBASIS")</f>
        <v>#VALUE!</v>
      </c>
      <c r="F57" s="10" t="e">
        <f>_xll.qlRateHelperRate($D57)</f>
        <v>#VALUE!</v>
      </c>
      <c r="G57" s="10" t="str">
        <f>IF(ISERROR(_xll.qlSwapRateHelperSpread($D57)),IF(ISERROR(_xll.qlFuturesRateHelperConvexityAdjustment($D57)),"--",_xll.qlFuturesRateHelperConvexityAdjustment($D57)),_xll.qlSwapRateHelperSpread($D57))</f>
        <v>--</v>
      </c>
      <c r="H57" s="9" t="e">
        <f>_xll.qlRateHelperEarliestDate($D57)</f>
        <v>#VALUE!</v>
      </c>
      <c r="I57" s="8" t="e">
        <f>_xll.qlRateHelperLatestDate($D57)</f>
        <v>#VALUE!</v>
      </c>
      <c r="J57" s="3" t="e">
        <v>#N/A</v>
      </c>
    </row>
    <row r="58" spans="4:10" x14ac:dyDescent="0.2">
      <c r="D58" s="11" t="e">
        <v>#N/A</v>
      </c>
      <c r="E58" s="11" t="e">
        <f>SUBSTITUTE(_xll.qlRateHelperQuoteName(D58),"3L","1LBASIS")</f>
        <v>#VALUE!</v>
      </c>
      <c r="F58" s="10" t="e">
        <f>_xll.qlRateHelperRate($D58)</f>
        <v>#VALUE!</v>
      </c>
      <c r="G58" s="10" t="str">
        <f>IF(ISERROR(_xll.qlSwapRateHelperSpread($D58)),IF(ISERROR(_xll.qlFuturesRateHelperConvexityAdjustment($D58)),"--",_xll.qlFuturesRateHelperConvexityAdjustment($D58)),_xll.qlSwapRateHelperSpread($D58))</f>
        <v>--</v>
      </c>
      <c r="H58" s="9" t="e">
        <f>_xll.qlRateHelperEarliestDate($D58)</f>
        <v>#VALUE!</v>
      </c>
      <c r="I58" s="8" t="e">
        <f>_xll.qlRateHelperLatestDate($D58)</f>
        <v>#VALUE!</v>
      </c>
      <c r="J58" s="3" t="e">
        <v>#N/A</v>
      </c>
    </row>
    <row r="59" spans="4:10" x14ac:dyDescent="0.2">
      <c r="D59" s="11" t="e">
        <v>#N/A</v>
      </c>
      <c r="E59" s="11" t="e">
        <f>SUBSTITUTE(_xll.qlRateHelperQuoteName(D59),"3L","1LBASIS")</f>
        <v>#VALUE!</v>
      </c>
      <c r="F59" s="10" t="e">
        <f>_xll.qlRateHelperRate($D59)</f>
        <v>#VALUE!</v>
      </c>
      <c r="G59" s="10" t="str">
        <f>IF(ISERROR(_xll.qlSwapRateHelperSpread($D59)),IF(ISERROR(_xll.qlFuturesRateHelperConvexityAdjustment($D59)),"--",_xll.qlFuturesRateHelperConvexityAdjustment($D59)),_xll.qlSwapRateHelperSpread($D59))</f>
        <v>--</v>
      </c>
      <c r="H59" s="9" t="e">
        <f>_xll.qlRateHelperEarliestDate($D59)</f>
        <v>#VALUE!</v>
      </c>
      <c r="I59" s="8" t="e">
        <f>_xll.qlRateHelperLatestDate($D59)</f>
        <v>#VALUE!</v>
      </c>
      <c r="J59" s="3" t="e">
        <v>#N/A</v>
      </c>
    </row>
    <row r="60" spans="4:10" x14ac:dyDescent="0.2">
      <c r="D60" s="11" t="e">
        <v>#N/A</v>
      </c>
      <c r="E60" s="11" t="e">
        <f>SUBSTITUTE(_xll.qlRateHelperQuoteName(D60),"3L","1LBASIS")</f>
        <v>#VALUE!</v>
      </c>
      <c r="F60" s="10" t="e">
        <f>_xll.qlRateHelperRate($D60)</f>
        <v>#VALUE!</v>
      </c>
      <c r="G60" s="10" t="str">
        <f>IF(ISERROR(_xll.qlSwapRateHelperSpread($D60)),IF(ISERROR(_xll.qlFuturesRateHelperConvexityAdjustment($D60)),"--",_xll.qlFuturesRateHelperConvexityAdjustment($D60)),_xll.qlSwapRateHelperSpread($D60))</f>
        <v>--</v>
      </c>
      <c r="H60" s="9" t="e">
        <f>_xll.qlRateHelperEarliestDate($D60)</f>
        <v>#VALUE!</v>
      </c>
      <c r="I60" s="8" t="e">
        <f>_xll.qlRateHelperLatestDate($D60)</f>
        <v>#VALUE!</v>
      </c>
      <c r="J60" s="3" t="e">
        <v>#N/A</v>
      </c>
    </row>
    <row r="61" spans="4:10" x14ac:dyDescent="0.2">
      <c r="D61" s="11" t="e">
        <v>#N/A</v>
      </c>
      <c r="E61" s="11" t="e">
        <f>SUBSTITUTE(_xll.qlRateHelperQuoteName(D61),"3L","1LBASIS")</f>
        <v>#VALUE!</v>
      </c>
      <c r="F61" s="10" t="e">
        <f>_xll.qlRateHelperRate($D61)</f>
        <v>#VALUE!</v>
      </c>
      <c r="G61" s="10" t="str">
        <f>IF(ISERROR(_xll.qlSwapRateHelperSpread($D61)),IF(ISERROR(_xll.qlFuturesRateHelperConvexityAdjustment($D61)),"--",_xll.qlFuturesRateHelperConvexityAdjustment($D61)),_xll.qlSwapRateHelperSpread($D61))</f>
        <v>--</v>
      </c>
      <c r="H61" s="9" t="e">
        <f>_xll.qlRateHelperEarliestDate($D61)</f>
        <v>#VALUE!</v>
      </c>
      <c r="I61" s="8" t="e">
        <f>_xll.qlRateHelperLatestDate($D61)</f>
        <v>#VALUE!</v>
      </c>
      <c r="J61" s="3" t="e">
        <v>#N/A</v>
      </c>
    </row>
    <row r="62" spans="4:10" x14ac:dyDescent="0.2">
      <c r="D62" s="11" t="e">
        <v>#N/A</v>
      </c>
      <c r="E62" s="11" t="e">
        <f>SUBSTITUTE(_xll.qlRateHelperQuoteName(D62),"3L","1LBASIS")</f>
        <v>#VALUE!</v>
      </c>
      <c r="F62" s="10" t="e">
        <f>_xll.qlRateHelperRate($D62)</f>
        <v>#VALUE!</v>
      </c>
      <c r="G62" s="10" t="str">
        <f>IF(ISERROR(_xll.qlSwapRateHelperSpread($D62)),IF(ISERROR(_xll.qlFuturesRateHelperConvexityAdjustment($D62)),"--",_xll.qlFuturesRateHelperConvexityAdjustment($D62)),_xll.qlSwapRateHelperSpread($D62))</f>
        <v>--</v>
      </c>
      <c r="H62" s="9" t="e">
        <f>_xll.qlRateHelperEarliestDate($D62)</f>
        <v>#VALUE!</v>
      </c>
      <c r="I62" s="8" t="e">
        <f>_xll.qlRateHelperLatestDate($D62)</f>
        <v>#VALUE!</v>
      </c>
      <c r="J62" s="3" t="e">
        <v>#N/A</v>
      </c>
    </row>
    <row r="63" spans="4:10" x14ac:dyDescent="0.2">
      <c r="D63" s="11" t="e">
        <v>#N/A</v>
      </c>
      <c r="E63" s="11" t="e">
        <f>SUBSTITUTE(_xll.qlRateHelperQuoteName(D63),"3L","1LBASIS")</f>
        <v>#VALUE!</v>
      </c>
      <c r="F63" s="10" t="e">
        <f>_xll.qlRateHelperRate($D63)</f>
        <v>#VALUE!</v>
      </c>
      <c r="G63" s="10" t="str">
        <f>IF(ISERROR(_xll.qlSwapRateHelperSpread($D63)),IF(ISERROR(_xll.qlFuturesRateHelperConvexityAdjustment($D63)),"--",_xll.qlFuturesRateHelperConvexityAdjustment($D63)),_xll.qlSwapRateHelperSpread($D63))</f>
        <v>--</v>
      </c>
      <c r="H63" s="9" t="e">
        <f>_xll.qlRateHelperEarliestDate($D63)</f>
        <v>#VALUE!</v>
      </c>
      <c r="I63" s="8" t="e">
        <f>_xll.qlRateHelperLatestDate($D63)</f>
        <v>#VALUE!</v>
      </c>
      <c r="J63" s="3" t="e">
        <v>#N/A</v>
      </c>
    </row>
    <row r="64" spans="4:10" x14ac:dyDescent="0.2">
      <c r="D64" s="11" t="e">
        <v>#N/A</v>
      </c>
      <c r="E64" s="11" t="e">
        <f>SUBSTITUTE(_xll.qlRateHelperQuoteName(D64),"3L","1LBASIS")</f>
        <v>#VALUE!</v>
      </c>
      <c r="F64" s="10" t="e">
        <f>_xll.qlRateHelperRate($D64)</f>
        <v>#VALUE!</v>
      </c>
      <c r="G64" s="10" t="str">
        <f>IF(ISERROR(_xll.qlSwapRateHelperSpread($D64)),IF(ISERROR(_xll.qlFuturesRateHelperConvexityAdjustment($D64)),"--",_xll.qlFuturesRateHelperConvexityAdjustment($D64)),_xll.qlSwapRateHelperSpread($D64))</f>
        <v>--</v>
      </c>
      <c r="H64" s="9" t="e">
        <f>_xll.qlRateHelperEarliestDate($D64)</f>
        <v>#VALUE!</v>
      </c>
      <c r="I64" s="8" t="e">
        <f>_xll.qlRateHelperLatestDate($D64)</f>
        <v>#VALUE!</v>
      </c>
      <c r="J64" s="3" t="e">
        <v>#N/A</v>
      </c>
    </row>
    <row r="65" spans="4:10" x14ac:dyDescent="0.2">
      <c r="D65" s="11" t="e">
        <v>#N/A</v>
      </c>
      <c r="E65" s="11" t="e">
        <f>SUBSTITUTE(_xll.qlRateHelperQuoteName(D65),"3L","1LBASIS")</f>
        <v>#VALUE!</v>
      </c>
      <c r="F65" s="10" t="e">
        <f>_xll.qlRateHelperRate($D65)</f>
        <v>#VALUE!</v>
      </c>
      <c r="G65" s="10" t="str">
        <f>IF(ISERROR(_xll.qlSwapRateHelperSpread($D65)),IF(ISERROR(_xll.qlFuturesRateHelperConvexityAdjustment($D65)),"--",_xll.qlFuturesRateHelperConvexityAdjustment($D65)),_xll.qlSwapRateHelperSpread($D65))</f>
        <v>--</v>
      </c>
      <c r="H65" s="9" t="e">
        <f>_xll.qlRateHelperEarliestDate($D65)</f>
        <v>#VALUE!</v>
      </c>
      <c r="I65" s="8" t="e">
        <f>_xll.qlRateHelperLatestDate($D65)</f>
        <v>#VALUE!</v>
      </c>
      <c r="J65" s="3" t="e">
        <v>#N/A</v>
      </c>
    </row>
    <row r="66" spans="4:10" x14ac:dyDescent="0.2">
      <c r="D66" s="11" t="e">
        <v>#N/A</v>
      </c>
      <c r="E66" s="11" t="e">
        <f>SUBSTITUTE(_xll.qlRateHelperQuoteName(D66),"3L","1LBASIS")</f>
        <v>#VALUE!</v>
      </c>
      <c r="F66" s="10" t="e">
        <f>_xll.qlRateHelperRate($D66)</f>
        <v>#VALUE!</v>
      </c>
      <c r="G66" s="10" t="str">
        <f>IF(ISERROR(_xll.qlSwapRateHelperSpread($D66)),IF(ISERROR(_xll.qlFuturesRateHelperConvexityAdjustment($D66)),"--",_xll.qlFuturesRateHelperConvexityAdjustment($D66)),_xll.qlSwapRateHelperSpread($D66))</f>
        <v>--</v>
      </c>
      <c r="H66" s="9" t="e">
        <f>_xll.qlRateHelperEarliestDate($D66)</f>
        <v>#VALUE!</v>
      </c>
      <c r="I66" s="8" t="e">
        <f>_xll.qlRateHelperLatestDate($D66)</f>
        <v>#VALUE!</v>
      </c>
      <c r="J66" s="3" t="e">
        <v>#N/A</v>
      </c>
    </row>
    <row r="67" spans="4:10" x14ac:dyDescent="0.2">
      <c r="D67" s="11" t="e">
        <v>#N/A</v>
      </c>
      <c r="E67" s="11" t="e">
        <f>SUBSTITUTE(_xll.qlRateHelperQuoteName(D67),"3L","1LBASIS")</f>
        <v>#VALUE!</v>
      </c>
      <c r="F67" s="10" t="e">
        <f>_xll.qlRateHelperRate($D67)</f>
        <v>#VALUE!</v>
      </c>
      <c r="G67" s="10" t="str">
        <f>IF(ISERROR(_xll.qlSwapRateHelperSpread($D67)),IF(ISERROR(_xll.qlFuturesRateHelperConvexityAdjustment($D67)),"--",_xll.qlFuturesRateHelperConvexityAdjustment($D67)),_xll.qlSwapRateHelperSpread($D67))</f>
        <v>--</v>
      </c>
      <c r="H67" s="9" t="e">
        <f>_xll.qlRateHelperEarliestDate($D67)</f>
        <v>#VALUE!</v>
      </c>
      <c r="I67" s="8" t="e">
        <f>_xll.qlRateHelperLatestDate($D67)</f>
        <v>#VALUE!</v>
      </c>
      <c r="J67" s="3" t="e">
        <v>#N/A</v>
      </c>
    </row>
    <row r="68" spans="4:10" x14ac:dyDescent="0.2">
      <c r="D68" s="11" t="e">
        <v>#N/A</v>
      </c>
      <c r="E68" s="11" t="e">
        <f>SUBSTITUTE(_xll.qlRateHelperQuoteName(D68),"3L","1LBASIS")</f>
        <v>#VALUE!</v>
      </c>
      <c r="F68" s="10" t="e">
        <f>_xll.qlRateHelperRate($D68)</f>
        <v>#VALUE!</v>
      </c>
      <c r="G68" s="10" t="str">
        <f>IF(ISERROR(_xll.qlSwapRateHelperSpread($D68)),IF(ISERROR(_xll.qlFuturesRateHelperConvexityAdjustment($D68)),"--",_xll.qlFuturesRateHelperConvexityAdjustment($D68)),_xll.qlSwapRateHelperSpread($D68))</f>
        <v>--</v>
      </c>
      <c r="H68" s="9" t="e">
        <f>_xll.qlRateHelperEarliestDate($D68)</f>
        <v>#VALUE!</v>
      </c>
      <c r="I68" s="8" t="e">
        <f>_xll.qlRateHelperLatestDate($D68)</f>
        <v>#VALUE!</v>
      </c>
      <c r="J68" s="3" t="e">
        <v>#N/A</v>
      </c>
    </row>
    <row r="69" spans="4:10" x14ac:dyDescent="0.2">
      <c r="D69" s="11" t="e">
        <v>#N/A</v>
      </c>
      <c r="E69" s="11" t="e">
        <f>SUBSTITUTE(_xll.qlRateHelperQuoteName(D69),"3L","1LBASIS")</f>
        <v>#VALUE!</v>
      </c>
      <c r="F69" s="10" t="e">
        <f>_xll.qlRateHelperRate($D69)</f>
        <v>#VALUE!</v>
      </c>
      <c r="G69" s="10" t="str">
        <f>IF(ISERROR(_xll.qlSwapRateHelperSpread($D69)),IF(ISERROR(_xll.qlFuturesRateHelperConvexityAdjustment($D69)),"--",_xll.qlFuturesRateHelperConvexityAdjustment($D69)),_xll.qlSwapRateHelperSpread($D69))</f>
        <v>--</v>
      </c>
      <c r="H69" s="9" t="e">
        <f>_xll.qlRateHelperEarliestDate($D69)</f>
        <v>#VALUE!</v>
      </c>
      <c r="I69" s="8" t="e">
        <f>_xll.qlRateHelperLatestDate($D69)</f>
        <v>#VALUE!</v>
      </c>
      <c r="J69" s="3" t="e">
        <v>#N/A</v>
      </c>
    </row>
    <row r="70" spans="4:10" x14ac:dyDescent="0.2">
      <c r="D70" s="11" t="e">
        <v>#N/A</v>
      </c>
      <c r="E70" s="11" t="e">
        <f>SUBSTITUTE(_xll.qlRateHelperQuoteName(D70),"3L","1LBASIS")</f>
        <v>#VALUE!</v>
      </c>
      <c r="F70" s="10" t="e">
        <f>_xll.qlRateHelperRate($D70)</f>
        <v>#VALUE!</v>
      </c>
      <c r="G70" s="10" t="str">
        <f>IF(ISERROR(_xll.qlSwapRateHelperSpread($D70)),IF(ISERROR(_xll.qlFuturesRateHelperConvexityAdjustment($D70)),"--",_xll.qlFuturesRateHelperConvexityAdjustment($D70)),_xll.qlSwapRateHelperSpread($D70))</f>
        <v>--</v>
      </c>
      <c r="H70" s="9" t="e">
        <f>_xll.qlRateHelperEarliestDate($D70)</f>
        <v>#VALUE!</v>
      </c>
      <c r="I70" s="8" t="e">
        <f>_xll.qlRateHelperLatestDate($D70)</f>
        <v>#VALUE!</v>
      </c>
      <c r="J70" s="3" t="e">
        <v>#N/A</v>
      </c>
    </row>
    <row r="71" spans="4:10" x14ac:dyDescent="0.2">
      <c r="D71" s="11" t="e">
        <v>#N/A</v>
      </c>
      <c r="E71" s="11" t="e">
        <f>SUBSTITUTE(_xll.qlRateHelperQuoteName(D71),"3L","1LBASIS")</f>
        <v>#VALUE!</v>
      </c>
      <c r="F71" s="10" t="e">
        <f>_xll.qlRateHelperRate($D71)</f>
        <v>#VALUE!</v>
      </c>
      <c r="G71" s="10" t="str">
        <f>IF(ISERROR(_xll.qlSwapRateHelperSpread($D71)),IF(ISERROR(_xll.qlFuturesRateHelperConvexityAdjustment($D71)),"--",_xll.qlFuturesRateHelperConvexityAdjustment($D71)),_xll.qlSwapRateHelperSpread($D71))</f>
        <v>--</v>
      </c>
      <c r="H71" s="9" t="e">
        <f>_xll.qlRateHelperEarliestDate($D71)</f>
        <v>#VALUE!</v>
      </c>
      <c r="I71" s="8" t="e">
        <f>_xll.qlRateHelperLatestDate($D71)</f>
        <v>#VALUE!</v>
      </c>
      <c r="J71" s="3" t="e">
        <v>#N/A</v>
      </c>
    </row>
    <row r="72" spans="4:10" x14ac:dyDescent="0.2">
      <c r="D72" s="11" t="e">
        <v>#N/A</v>
      </c>
      <c r="E72" s="11" t="e">
        <f>SUBSTITUTE(_xll.qlRateHelperQuoteName(D72),"3L","1LBASIS")</f>
        <v>#VALUE!</v>
      </c>
      <c r="F72" s="10" t="e">
        <f>_xll.qlRateHelperRate($D72)</f>
        <v>#VALUE!</v>
      </c>
      <c r="G72" s="10" t="str">
        <f>IF(ISERROR(_xll.qlSwapRateHelperSpread($D72)),IF(ISERROR(_xll.qlFuturesRateHelperConvexityAdjustment($D72)),"--",_xll.qlFuturesRateHelperConvexityAdjustment($D72)),_xll.qlSwapRateHelperSpread($D72))</f>
        <v>--</v>
      </c>
      <c r="H72" s="9" t="e">
        <f>_xll.qlRateHelperEarliestDate($D72)</f>
        <v>#VALUE!</v>
      </c>
      <c r="I72" s="8" t="e">
        <f>_xll.qlRateHelperLatestDate($D72)</f>
        <v>#VALUE!</v>
      </c>
      <c r="J72" s="3" t="e">
        <v>#N/A</v>
      </c>
    </row>
    <row r="73" spans="4:10" x14ac:dyDescent="0.2">
      <c r="D73" s="11" t="e">
        <v>#N/A</v>
      </c>
      <c r="E73" s="11" t="e">
        <f>SUBSTITUTE(_xll.qlRateHelperQuoteName(D73),"3L","1LBASIS")</f>
        <v>#VALUE!</v>
      </c>
      <c r="F73" s="10" t="e">
        <f>_xll.qlRateHelperRate($D73)</f>
        <v>#VALUE!</v>
      </c>
      <c r="G73" s="10" t="str">
        <f>IF(ISERROR(_xll.qlSwapRateHelperSpread($D73)),IF(ISERROR(_xll.qlFuturesRateHelperConvexityAdjustment($D73)),"--",_xll.qlFuturesRateHelperConvexityAdjustment($D73)),_xll.qlSwapRateHelperSpread($D73))</f>
        <v>--</v>
      </c>
      <c r="H73" s="9" t="e">
        <f>_xll.qlRateHelperEarliestDate($D73)</f>
        <v>#VALUE!</v>
      </c>
      <c r="I73" s="8" t="e">
        <f>_xll.qlRateHelperLatestDate($D73)</f>
        <v>#VALUE!</v>
      </c>
      <c r="J73" s="3" t="e">
        <v>#N/A</v>
      </c>
    </row>
    <row r="74" spans="4:10" x14ac:dyDescent="0.2">
      <c r="D74" s="11" t="e">
        <v>#N/A</v>
      </c>
      <c r="E74" s="11" t="e">
        <f>SUBSTITUTE(_xll.qlRateHelperQuoteName(D74),"3L","1LBASIS")</f>
        <v>#VALUE!</v>
      </c>
      <c r="F74" s="10" t="e">
        <f>_xll.qlRateHelperRate($D74)</f>
        <v>#VALUE!</v>
      </c>
      <c r="G74" s="10" t="str">
        <f>IF(ISERROR(_xll.qlSwapRateHelperSpread($D74)),IF(ISERROR(_xll.qlFuturesRateHelperConvexityAdjustment($D74)),"--",_xll.qlFuturesRateHelperConvexityAdjustment($D74)),_xll.qlSwapRateHelperSpread($D74))</f>
        <v>--</v>
      </c>
      <c r="H74" s="9" t="e">
        <f>_xll.qlRateHelperEarliestDate($D74)</f>
        <v>#VALUE!</v>
      </c>
      <c r="I74" s="8" t="e">
        <f>_xll.qlRateHelperLatestDate($D74)</f>
        <v>#VALUE!</v>
      </c>
      <c r="J74" s="3" t="e">
        <v>#N/A</v>
      </c>
    </row>
    <row r="75" spans="4:10" x14ac:dyDescent="0.2">
      <c r="D75" s="11" t="e">
        <v>#N/A</v>
      </c>
      <c r="E75" s="11" t="e">
        <f>SUBSTITUTE(_xll.qlRateHelperQuoteName(D75),"3L","1LBASIS")</f>
        <v>#VALUE!</v>
      </c>
      <c r="F75" s="10" t="e">
        <f>_xll.qlRateHelperRate($D75)</f>
        <v>#VALUE!</v>
      </c>
      <c r="G75" s="10" t="str">
        <f>IF(ISERROR(_xll.qlSwapRateHelperSpread($D75)),IF(ISERROR(_xll.qlFuturesRateHelperConvexityAdjustment($D75)),"--",_xll.qlFuturesRateHelperConvexityAdjustment($D75)),_xll.qlSwapRateHelperSpread($D75))</f>
        <v>--</v>
      </c>
      <c r="H75" s="9" t="e">
        <f>_xll.qlRateHelperEarliestDate($D75)</f>
        <v>#VALUE!</v>
      </c>
      <c r="I75" s="8" t="e">
        <f>_xll.qlRateHelperLatestDate($D75)</f>
        <v>#VALUE!</v>
      </c>
      <c r="J75" s="3" t="e">
        <v>#N/A</v>
      </c>
    </row>
    <row r="76" spans="4:10" x14ac:dyDescent="0.2">
      <c r="D76" s="11" t="e">
        <v>#N/A</v>
      </c>
      <c r="E76" s="11" t="e">
        <f>SUBSTITUTE(_xll.qlRateHelperQuoteName(D76),"3L","1LBASIS")</f>
        <v>#VALUE!</v>
      </c>
      <c r="F76" s="10" t="e">
        <f>_xll.qlRateHelperRate($D76)</f>
        <v>#VALUE!</v>
      </c>
      <c r="G76" s="10" t="str">
        <f>IF(ISERROR(_xll.qlSwapRateHelperSpread($D76)),IF(ISERROR(_xll.qlFuturesRateHelperConvexityAdjustment($D76)),"--",_xll.qlFuturesRateHelperConvexityAdjustment($D76)),_xll.qlSwapRateHelperSpread($D76))</f>
        <v>--</v>
      </c>
      <c r="H76" s="9" t="e">
        <f>_xll.qlRateHelperEarliestDate($D76)</f>
        <v>#VALUE!</v>
      </c>
      <c r="I76" s="8" t="e">
        <f>_xll.qlRateHelperLatestDate($D76)</f>
        <v>#VALUE!</v>
      </c>
      <c r="J76" s="3" t="e">
        <v>#N/A</v>
      </c>
    </row>
    <row r="77" spans="4:10" x14ac:dyDescent="0.2">
      <c r="D77" s="11" t="e">
        <v>#N/A</v>
      </c>
      <c r="E77" s="11" t="e">
        <f>SUBSTITUTE(_xll.qlRateHelperQuoteName(D77),"3L","1LBASIS")</f>
        <v>#VALUE!</v>
      </c>
      <c r="F77" s="10" t="e">
        <f>_xll.qlRateHelperRate($D77)</f>
        <v>#VALUE!</v>
      </c>
      <c r="G77" s="10" t="str">
        <f>IF(ISERROR(_xll.qlSwapRateHelperSpread($D77)),IF(ISERROR(_xll.qlFuturesRateHelperConvexityAdjustment($D77)),"--",_xll.qlFuturesRateHelperConvexityAdjustment($D77)),_xll.qlSwapRateHelperSpread($D77))</f>
        <v>--</v>
      </c>
      <c r="H77" s="9" t="e">
        <f>_xll.qlRateHelperEarliestDate($D77)</f>
        <v>#VALUE!</v>
      </c>
      <c r="I77" s="8" t="e">
        <f>_xll.qlRateHelperLatestDate($D77)</f>
        <v>#VALUE!</v>
      </c>
      <c r="J77" s="3" t="e">
        <v>#N/A</v>
      </c>
    </row>
    <row r="78" spans="4:10" x14ac:dyDescent="0.2">
      <c r="D78" s="11" t="e">
        <v>#N/A</v>
      </c>
      <c r="E78" s="11" t="e">
        <f>SUBSTITUTE(_xll.qlRateHelperQuoteName(D78),"3L","1LBASIS")</f>
        <v>#VALUE!</v>
      </c>
      <c r="F78" s="10" t="e">
        <f>_xll.qlRateHelperRate($D78)</f>
        <v>#VALUE!</v>
      </c>
      <c r="G78" s="10" t="str">
        <f>IF(ISERROR(_xll.qlSwapRateHelperSpread($D78)),IF(ISERROR(_xll.qlFuturesRateHelperConvexityAdjustment($D78)),"--",_xll.qlFuturesRateHelperConvexityAdjustment($D78)),_xll.qlSwapRateHelperSpread($D78))</f>
        <v>--</v>
      </c>
      <c r="H78" s="9" t="e">
        <f>_xll.qlRateHelperEarliestDate($D78)</f>
        <v>#VALUE!</v>
      </c>
      <c r="I78" s="8" t="e">
        <f>_xll.qlRateHelperLatestDate($D78)</f>
        <v>#VALUE!</v>
      </c>
      <c r="J78" s="3" t="e">
        <v>#N/A</v>
      </c>
    </row>
    <row r="79" spans="4:10" x14ac:dyDescent="0.2">
      <c r="D79" s="11" t="e">
        <v>#N/A</v>
      </c>
      <c r="E79" s="11" t="e">
        <f>SUBSTITUTE(_xll.qlRateHelperQuoteName(D79),"3L","1LBASIS")</f>
        <v>#VALUE!</v>
      </c>
      <c r="F79" s="10" t="e">
        <f>_xll.qlRateHelperRate($D79)</f>
        <v>#VALUE!</v>
      </c>
      <c r="G79" s="10" t="str">
        <f>IF(ISERROR(_xll.qlSwapRateHelperSpread($D79)),IF(ISERROR(_xll.qlFuturesRateHelperConvexityAdjustment($D79)),"--",_xll.qlFuturesRateHelperConvexityAdjustment($D79)),_xll.qlSwapRateHelperSpread($D79))</f>
        <v>--</v>
      </c>
      <c r="H79" s="9" t="e">
        <f>_xll.qlRateHelperEarliestDate($D79)</f>
        <v>#VALUE!</v>
      </c>
      <c r="I79" s="8" t="e">
        <f>_xll.qlRateHelperLatestDate($D79)</f>
        <v>#VALUE!</v>
      </c>
      <c r="J79" s="3" t="e">
        <v>#N/A</v>
      </c>
    </row>
    <row r="80" spans="4:10" x14ac:dyDescent="0.2">
      <c r="D80" s="11" t="e">
        <v>#N/A</v>
      </c>
      <c r="E80" s="11" t="e">
        <f>SUBSTITUTE(_xll.qlRateHelperQuoteName(D80),"3L","1LBASIS")</f>
        <v>#VALUE!</v>
      </c>
      <c r="F80" s="10" t="e">
        <f>_xll.qlRateHelperRate($D80)</f>
        <v>#VALUE!</v>
      </c>
      <c r="G80" s="10" t="str">
        <f>IF(ISERROR(_xll.qlSwapRateHelperSpread($D80)),IF(ISERROR(_xll.qlFuturesRateHelperConvexityAdjustment($D80)),"--",_xll.qlFuturesRateHelperConvexityAdjustment($D80)),_xll.qlSwapRateHelperSpread($D80))</f>
        <v>--</v>
      </c>
      <c r="H80" s="9" t="e">
        <f>_xll.qlRateHelperEarliestDate($D80)</f>
        <v>#VALUE!</v>
      </c>
      <c r="I80" s="8" t="e">
        <f>_xll.qlRateHelperLatestDate($D80)</f>
        <v>#VALUE!</v>
      </c>
      <c r="J80" s="3" t="e">
        <v>#N/A</v>
      </c>
    </row>
    <row r="81" spans="4:10" x14ac:dyDescent="0.2">
      <c r="D81" s="11" t="e">
        <v>#N/A</v>
      </c>
      <c r="E81" s="11" t="e">
        <f>SUBSTITUTE(_xll.qlRateHelperQuoteName(D81),"3L","1LBASIS")</f>
        <v>#VALUE!</v>
      </c>
      <c r="F81" s="10" t="e">
        <f>_xll.qlRateHelperRate($D81)</f>
        <v>#VALUE!</v>
      </c>
      <c r="G81" s="10" t="str">
        <f>IF(ISERROR(_xll.qlSwapRateHelperSpread($D81)),IF(ISERROR(_xll.qlFuturesRateHelperConvexityAdjustment($D81)),"--",_xll.qlFuturesRateHelperConvexityAdjustment($D81)),_xll.qlSwapRateHelperSpread($D81))</f>
        <v>--</v>
      </c>
      <c r="H81" s="9" t="e">
        <f>_xll.qlRateHelperEarliestDate($D81)</f>
        <v>#VALUE!</v>
      </c>
      <c r="I81" s="8" t="e">
        <f>_xll.qlRateHelperLatestDate($D81)</f>
        <v>#VALUE!</v>
      </c>
      <c r="J81" s="3" t="e">
        <v>#N/A</v>
      </c>
    </row>
    <row r="82" spans="4:10" x14ac:dyDescent="0.2">
      <c r="D82" s="11" t="e">
        <v>#N/A</v>
      </c>
      <c r="E82" s="11" t="e">
        <f>SUBSTITUTE(_xll.qlRateHelperQuoteName(D82),"3L","1LBASIS")</f>
        <v>#VALUE!</v>
      </c>
      <c r="F82" s="10" t="e">
        <f>_xll.qlRateHelperRate($D82)</f>
        <v>#VALUE!</v>
      </c>
      <c r="G82" s="10" t="str">
        <f>IF(ISERROR(_xll.qlSwapRateHelperSpread($D82)),IF(ISERROR(_xll.qlFuturesRateHelperConvexityAdjustment($D82)),"--",_xll.qlFuturesRateHelperConvexityAdjustment($D82)),_xll.qlSwapRateHelperSpread($D82))</f>
        <v>--</v>
      </c>
      <c r="H82" s="9" t="e">
        <f>_xll.qlRateHelperEarliestDate($D82)</f>
        <v>#VALUE!</v>
      </c>
      <c r="I82" s="8" t="e">
        <f>_xll.qlRateHelperLatestDate($D82)</f>
        <v>#VALUE!</v>
      </c>
      <c r="J82" s="3" t="e">
        <v>#N/A</v>
      </c>
    </row>
    <row r="83" spans="4:10" x14ac:dyDescent="0.2">
      <c r="D83" s="11" t="e">
        <v>#N/A</v>
      </c>
      <c r="E83" s="11" t="e">
        <f>SUBSTITUTE(_xll.qlRateHelperQuoteName(D83),"3L","1LBASIS")</f>
        <v>#VALUE!</v>
      </c>
      <c r="F83" s="10" t="e">
        <f>_xll.qlRateHelperRate($D83)</f>
        <v>#VALUE!</v>
      </c>
      <c r="G83" s="10" t="str">
        <f>IF(ISERROR(_xll.qlSwapRateHelperSpread($D83)),IF(ISERROR(_xll.qlFuturesRateHelperConvexityAdjustment($D83)),"--",_xll.qlFuturesRateHelperConvexityAdjustment($D83)),_xll.qlSwapRateHelperSpread($D83))</f>
        <v>--</v>
      </c>
      <c r="H83" s="9" t="e">
        <f>_xll.qlRateHelperEarliestDate($D83)</f>
        <v>#VALUE!</v>
      </c>
      <c r="I83" s="8" t="e">
        <f>_xll.qlRateHelperLatestDate($D83)</f>
        <v>#VALUE!</v>
      </c>
      <c r="J83" s="3" t="e">
        <v>#N/A</v>
      </c>
    </row>
    <row r="84" spans="4:10" x14ac:dyDescent="0.2">
      <c r="D84" s="11" t="e">
        <v>#N/A</v>
      </c>
      <c r="E84" s="11" t="e">
        <f>SUBSTITUTE(_xll.qlRateHelperQuoteName(D84),"3L","1LBASIS")</f>
        <v>#VALUE!</v>
      </c>
      <c r="F84" s="10" t="e">
        <f>_xll.qlRateHelperRate($D84)</f>
        <v>#VALUE!</v>
      </c>
      <c r="G84" s="10" t="str">
        <f>IF(ISERROR(_xll.qlSwapRateHelperSpread($D84)),IF(ISERROR(_xll.qlFuturesRateHelperConvexityAdjustment($D84)),"--",_xll.qlFuturesRateHelperConvexityAdjustment($D84)),_xll.qlSwapRateHelperSpread($D84))</f>
        <v>--</v>
      </c>
      <c r="H84" s="9" t="e">
        <f>_xll.qlRateHelperEarliestDate($D84)</f>
        <v>#VALUE!</v>
      </c>
      <c r="I84" s="8" t="e">
        <f>_xll.qlRateHelperLatestDate($D84)</f>
        <v>#VALUE!</v>
      </c>
      <c r="J84" s="3" t="e">
        <v>#N/A</v>
      </c>
    </row>
    <row r="85" spans="4:10" x14ac:dyDescent="0.2">
      <c r="D85" s="11" t="e">
        <v>#N/A</v>
      </c>
      <c r="E85" s="11" t="e">
        <f>SUBSTITUTE(_xll.qlRateHelperQuoteName(D85),"3L","1LBASIS")</f>
        <v>#VALUE!</v>
      </c>
      <c r="F85" s="10" t="e">
        <f>_xll.qlRateHelperRate($D85)</f>
        <v>#VALUE!</v>
      </c>
      <c r="G85" s="10" t="str">
        <f>IF(ISERROR(_xll.qlSwapRateHelperSpread($D85)),IF(ISERROR(_xll.qlFuturesRateHelperConvexityAdjustment($D85)),"--",_xll.qlFuturesRateHelperConvexityAdjustment($D85)),_xll.qlSwapRateHelperSpread($D85))</f>
        <v>--</v>
      </c>
      <c r="H85" s="9" t="e">
        <f>_xll.qlRateHelperEarliestDate($D85)</f>
        <v>#VALUE!</v>
      </c>
      <c r="I85" s="8" t="e">
        <f>_xll.qlRateHelperLatestDate($D85)</f>
        <v>#VALUE!</v>
      </c>
      <c r="J85" s="3" t="e">
        <v>#N/A</v>
      </c>
    </row>
    <row r="86" spans="4:10" x14ac:dyDescent="0.2">
      <c r="D86" s="11" t="e">
        <v>#N/A</v>
      </c>
      <c r="E86" s="11" t="e">
        <f>SUBSTITUTE(_xll.qlRateHelperQuoteName(D86),"3L","1LBASIS")</f>
        <v>#VALUE!</v>
      </c>
      <c r="F86" s="10" t="e">
        <f>_xll.qlRateHelperRate($D86)</f>
        <v>#VALUE!</v>
      </c>
      <c r="G86" s="10" t="str">
        <f>IF(ISERROR(_xll.qlSwapRateHelperSpread($D86)),IF(ISERROR(_xll.qlFuturesRateHelperConvexityAdjustment($D86)),"--",_xll.qlFuturesRateHelperConvexityAdjustment($D86)),_xll.qlSwapRateHelperSpread($D86))</f>
        <v>--</v>
      </c>
      <c r="H86" s="9" t="e">
        <f>_xll.qlRateHelperEarliestDate($D86)</f>
        <v>#VALUE!</v>
      </c>
      <c r="I86" s="8" t="e">
        <f>_xll.qlRateHelperLatestDate($D86)</f>
        <v>#VALUE!</v>
      </c>
      <c r="J86" s="3" t="e">
        <v>#N/A</v>
      </c>
    </row>
    <row r="87" spans="4:10" x14ac:dyDescent="0.2">
      <c r="D87" s="11" t="e">
        <v>#N/A</v>
      </c>
      <c r="E87" s="11" t="e">
        <f>SUBSTITUTE(_xll.qlRateHelperQuoteName(D87),"3L","1LBASIS")</f>
        <v>#VALUE!</v>
      </c>
      <c r="F87" s="10" t="e">
        <f>_xll.qlRateHelperRate($D87)</f>
        <v>#VALUE!</v>
      </c>
      <c r="G87" s="10" t="str">
        <f>IF(ISERROR(_xll.qlSwapRateHelperSpread($D87)),IF(ISERROR(_xll.qlFuturesRateHelperConvexityAdjustment($D87)),"--",_xll.qlFuturesRateHelperConvexityAdjustment($D87)),_xll.qlSwapRateHelperSpread($D87))</f>
        <v>--</v>
      </c>
      <c r="H87" s="9" t="e">
        <f>_xll.qlRateHelperEarliestDate($D87)</f>
        <v>#VALUE!</v>
      </c>
      <c r="I87" s="8" t="e">
        <f>_xll.qlRateHelperLatestDate($D87)</f>
        <v>#VALUE!</v>
      </c>
      <c r="J87" s="3" t="e">
        <v>#N/A</v>
      </c>
    </row>
    <row r="88" spans="4:10" x14ac:dyDescent="0.2">
      <c r="D88" s="11" t="e">
        <v>#N/A</v>
      </c>
      <c r="E88" s="11" t="e">
        <f>SUBSTITUTE(_xll.qlRateHelperQuoteName(D88),"3L","1LBASIS")</f>
        <v>#VALUE!</v>
      </c>
      <c r="F88" s="10" t="e">
        <f>_xll.qlRateHelperRate($D88)</f>
        <v>#VALUE!</v>
      </c>
      <c r="G88" s="10" t="str">
        <f>IF(ISERROR(_xll.qlSwapRateHelperSpread($D88)),IF(ISERROR(_xll.qlFuturesRateHelperConvexityAdjustment($D88)),"--",_xll.qlFuturesRateHelperConvexityAdjustment($D88)),_xll.qlSwapRateHelperSpread($D88))</f>
        <v>--</v>
      </c>
      <c r="H88" s="9" t="e">
        <f>_xll.qlRateHelperEarliestDate($D88)</f>
        <v>#VALUE!</v>
      </c>
      <c r="I88" s="8" t="e">
        <f>_xll.qlRateHelperLatestDate($D88)</f>
        <v>#VALUE!</v>
      </c>
      <c r="J88" s="3" t="e">
        <v>#N/A</v>
      </c>
    </row>
    <row r="89" spans="4:10" x14ac:dyDescent="0.2">
      <c r="D89" s="11" t="e">
        <v>#N/A</v>
      </c>
      <c r="E89" s="11" t="e">
        <f>SUBSTITUTE(_xll.qlRateHelperQuoteName(D89),"3L","1LBASIS")</f>
        <v>#VALUE!</v>
      </c>
      <c r="F89" s="10" t="e">
        <f>_xll.qlRateHelperRate($D89)</f>
        <v>#VALUE!</v>
      </c>
      <c r="G89" s="10" t="str">
        <f>IF(ISERROR(_xll.qlSwapRateHelperSpread($D89)),IF(ISERROR(_xll.qlFuturesRateHelperConvexityAdjustment($D89)),"--",_xll.qlFuturesRateHelperConvexityAdjustment($D89)),_xll.qlSwapRateHelperSpread($D89))</f>
        <v>--</v>
      </c>
      <c r="H89" s="9" t="e">
        <f>_xll.qlRateHelperEarliestDate($D89)</f>
        <v>#VALUE!</v>
      </c>
      <c r="I89" s="8" t="e">
        <f>_xll.qlRateHelperLatestDate($D89)</f>
        <v>#VALUE!</v>
      </c>
      <c r="J89" s="3" t="e">
        <v>#N/A</v>
      </c>
    </row>
    <row r="90" spans="4:10" x14ac:dyDescent="0.2">
      <c r="D90" s="11" t="e">
        <v>#N/A</v>
      </c>
      <c r="E90" s="11" t="e">
        <f>SUBSTITUTE(_xll.qlRateHelperQuoteName(D90),"3L","1LBASIS")</f>
        <v>#VALUE!</v>
      </c>
      <c r="F90" s="10" t="e">
        <f>_xll.qlRateHelperRate($D90)</f>
        <v>#VALUE!</v>
      </c>
      <c r="G90" s="10" t="str">
        <f>IF(ISERROR(_xll.qlSwapRateHelperSpread($D90)),IF(ISERROR(_xll.qlFuturesRateHelperConvexityAdjustment($D90)),"--",_xll.qlFuturesRateHelperConvexityAdjustment($D90)),_xll.qlSwapRateHelperSpread($D90))</f>
        <v>--</v>
      </c>
      <c r="H90" s="9" t="e">
        <f>_xll.qlRateHelperEarliestDate($D90)</f>
        <v>#VALUE!</v>
      </c>
      <c r="I90" s="8" t="e">
        <f>_xll.qlRateHelperLatestDate($D90)</f>
        <v>#VALUE!</v>
      </c>
      <c r="J90" s="3" t="e">
        <v>#N/A</v>
      </c>
    </row>
    <row r="91" spans="4:10" x14ac:dyDescent="0.2">
      <c r="D91" s="11" t="e">
        <v>#N/A</v>
      </c>
      <c r="E91" s="11" t="e">
        <f>SUBSTITUTE(_xll.qlRateHelperQuoteName(D91),"3L","1LBASIS")</f>
        <v>#VALUE!</v>
      </c>
      <c r="F91" s="10" t="e">
        <f>_xll.qlRateHelperRate($D91)</f>
        <v>#VALUE!</v>
      </c>
      <c r="G91" s="10" t="str">
        <f>IF(ISERROR(_xll.qlSwapRateHelperSpread($D91)),IF(ISERROR(_xll.qlFuturesRateHelperConvexityAdjustment($D91)),"--",_xll.qlFuturesRateHelperConvexityAdjustment($D91)),_xll.qlSwapRateHelperSpread($D91))</f>
        <v>--</v>
      </c>
      <c r="H91" s="9" t="e">
        <f>_xll.qlRateHelperEarliestDate($D91)</f>
        <v>#VALUE!</v>
      </c>
      <c r="I91" s="8" t="e">
        <f>_xll.qlRateHelperLatestDate($D91)</f>
        <v>#VALUE!</v>
      </c>
      <c r="J91" s="3" t="e">
        <v>#N/A</v>
      </c>
    </row>
    <row r="92" spans="4:10" x14ac:dyDescent="0.2">
      <c r="D92" s="11" t="e">
        <v>#N/A</v>
      </c>
      <c r="E92" s="11" t="e">
        <f>SUBSTITUTE(_xll.qlRateHelperQuoteName(D92),"3L","1LBASIS")</f>
        <v>#VALUE!</v>
      </c>
      <c r="F92" s="10" t="e">
        <f>_xll.qlRateHelperRate($D92)</f>
        <v>#VALUE!</v>
      </c>
      <c r="G92" s="10" t="str">
        <f>IF(ISERROR(_xll.qlSwapRateHelperSpread($D92)),IF(ISERROR(_xll.qlFuturesRateHelperConvexityAdjustment($D92)),"--",_xll.qlFuturesRateHelperConvexityAdjustment($D92)),_xll.qlSwapRateHelperSpread($D92))</f>
        <v>--</v>
      </c>
      <c r="H92" s="9" t="e">
        <f>_xll.qlRateHelperEarliestDate($D92)</f>
        <v>#VALUE!</v>
      </c>
      <c r="I92" s="8" t="e">
        <f>_xll.qlRateHelperLatestDate($D92)</f>
        <v>#VALUE!</v>
      </c>
      <c r="J92" s="3" t="e">
        <v>#N/A</v>
      </c>
    </row>
    <row r="93" spans="4:10" x14ac:dyDescent="0.2">
      <c r="D93" s="11" t="e">
        <v>#N/A</v>
      </c>
      <c r="E93" s="11" t="e">
        <f>SUBSTITUTE(_xll.qlRateHelperQuoteName(D93),"3L","1LBASIS")</f>
        <v>#VALUE!</v>
      </c>
      <c r="F93" s="10" t="e">
        <f>_xll.qlRateHelperRate($D93)</f>
        <v>#VALUE!</v>
      </c>
      <c r="G93" s="10" t="str">
        <f>IF(ISERROR(_xll.qlSwapRateHelperSpread($D93)),IF(ISERROR(_xll.qlFuturesRateHelperConvexityAdjustment($D93)),"--",_xll.qlFuturesRateHelperConvexityAdjustment($D93)),_xll.qlSwapRateHelperSpread($D93))</f>
        <v>--</v>
      </c>
      <c r="H93" s="9" t="e">
        <f>_xll.qlRateHelperEarliestDate($D93)</f>
        <v>#VALUE!</v>
      </c>
      <c r="I93" s="8" t="e">
        <f>_xll.qlRateHelperLatestDate($D93)</f>
        <v>#VALUE!</v>
      </c>
      <c r="J93" s="3" t="e">
        <v>#N/A</v>
      </c>
    </row>
    <row r="94" spans="4:10" x14ac:dyDescent="0.2">
      <c r="D94" s="11" t="e">
        <v>#N/A</v>
      </c>
      <c r="E94" s="11" t="e">
        <f>SUBSTITUTE(_xll.qlRateHelperQuoteName(D94),"3L","1LBASIS")</f>
        <v>#VALUE!</v>
      </c>
      <c r="F94" s="10" t="e">
        <f>_xll.qlRateHelperRate($D94)</f>
        <v>#VALUE!</v>
      </c>
      <c r="G94" s="10" t="str">
        <f>IF(ISERROR(_xll.qlSwapRateHelperSpread($D94)),IF(ISERROR(_xll.qlFuturesRateHelperConvexityAdjustment($D94)),"--",_xll.qlFuturesRateHelperConvexityAdjustment($D94)),_xll.qlSwapRateHelperSpread($D94))</f>
        <v>--</v>
      </c>
      <c r="H94" s="9" t="e">
        <f>_xll.qlRateHelperEarliestDate($D94)</f>
        <v>#VALUE!</v>
      </c>
      <c r="I94" s="8" t="e">
        <f>_xll.qlRateHelperLatestDate($D94)</f>
        <v>#VALUE!</v>
      </c>
      <c r="J94" s="3" t="e">
        <v>#N/A</v>
      </c>
    </row>
    <row r="95" spans="4:10" x14ac:dyDescent="0.2">
      <c r="D95" s="11" t="e">
        <v>#N/A</v>
      </c>
      <c r="E95" s="11" t="e">
        <f>SUBSTITUTE(_xll.qlRateHelperQuoteName(D95),"3L","1LBASIS")</f>
        <v>#VALUE!</v>
      </c>
      <c r="F95" s="10" t="e">
        <f>_xll.qlRateHelperRate($D95)</f>
        <v>#VALUE!</v>
      </c>
      <c r="G95" s="10" t="str">
        <f>IF(ISERROR(_xll.qlSwapRateHelperSpread($D95)),IF(ISERROR(_xll.qlFuturesRateHelperConvexityAdjustment($D95)),"--",_xll.qlFuturesRateHelperConvexityAdjustment($D95)),_xll.qlSwapRateHelperSpread($D95))</f>
        <v>--</v>
      </c>
      <c r="H95" s="9" t="e">
        <f>_xll.qlRateHelperEarliestDate($D95)</f>
        <v>#VALUE!</v>
      </c>
      <c r="I95" s="8" t="e">
        <f>_xll.qlRateHelperLatestDate($D95)</f>
        <v>#VALUE!</v>
      </c>
      <c r="J95" s="3" t="e">
        <v>#N/A</v>
      </c>
    </row>
    <row r="96" spans="4:10" x14ac:dyDescent="0.2">
      <c r="D96" s="11" t="e">
        <v>#N/A</v>
      </c>
      <c r="E96" s="11" t="e">
        <f>SUBSTITUTE(_xll.qlRateHelperQuoteName(D96),"3L","1LBASIS")</f>
        <v>#VALUE!</v>
      </c>
      <c r="F96" s="10" t="e">
        <f>_xll.qlRateHelperRate($D96)</f>
        <v>#VALUE!</v>
      </c>
      <c r="G96" s="10" t="str">
        <f>IF(ISERROR(_xll.qlSwapRateHelperSpread($D96)),IF(ISERROR(_xll.qlFuturesRateHelperConvexityAdjustment($D96)),"--",_xll.qlFuturesRateHelperConvexityAdjustment($D96)),_xll.qlSwapRateHelperSpread($D96))</f>
        <v>--</v>
      </c>
      <c r="H96" s="9" t="e">
        <f>_xll.qlRateHelperEarliestDate($D96)</f>
        <v>#VALUE!</v>
      </c>
      <c r="I96" s="8" t="e">
        <f>_xll.qlRateHelperLatestDate($D96)</f>
        <v>#VALUE!</v>
      </c>
      <c r="J96" s="3" t="e">
        <v>#N/A</v>
      </c>
    </row>
    <row r="97" spans="4:10" x14ac:dyDescent="0.2">
      <c r="D97" s="11" t="e">
        <v>#N/A</v>
      </c>
      <c r="E97" s="11" t="e">
        <f>SUBSTITUTE(_xll.qlRateHelperQuoteName(D97),"3L","1LBASIS")</f>
        <v>#VALUE!</v>
      </c>
      <c r="F97" s="10" t="e">
        <f>_xll.qlRateHelperRate($D97)</f>
        <v>#VALUE!</v>
      </c>
      <c r="G97" s="10" t="str">
        <f>IF(ISERROR(_xll.qlSwapRateHelperSpread($D97)),IF(ISERROR(_xll.qlFuturesRateHelperConvexityAdjustment($D97)),"--",_xll.qlFuturesRateHelperConvexityAdjustment($D97)),_xll.qlSwapRateHelperSpread($D97))</f>
        <v>--</v>
      </c>
      <c r="H97" s="9" t="e">
        <f>_xll.qlRateHelperEarliestDate($D97)</f>
        <v>#VALUE!</v>
      </c>
      <c r="I97" s="8" t="e">
        <f>_xll.qlRateHelperLatestDate($D97)</f>
        <v>#VALUE!</v>
      </c>
      <c r="J97" s="3" t="e">
        <v>#N/A</v>
      </c>
    </row>
    <row r="98" spans="4:10" x14ac:dyDescent="0.2">
      <c r="D98" s="11" t="e">
        <v>#N/A</v>
      </c>
      <c r="E98" s="11" t="e">
        <f>SUBSTITUTE(_xll.qlRateHelperQuoteName(D98),"3L","1LBASIS")</f>
        <v>#VALUE!</v>
      </c>
      <c r="F98" s="10" t="e">
        <f>_xll.qlRateHelperRate($D98)</f>
        <v>#VALUE!</v>
      </c>
      <c r="G98" s="10" t="str">
        <f>IF(ISERROR(_xll.qlSwapRateHelperSpread($D98)),IF(ISERROR(_xll.qlFuturesRateHelperConvexityAdjustment($D98)),"--",_xll.qlFuturesRateHelperConvexityAdjustment($D98)),_xll.qlSwapRateHelperSpread($D98))</f>
        <v>--</v>
      </c>
      <c r="H98" s="9" t="e">
        <f>_xll.qlRateHelperEarliestDate($D98)</f>
        <v>#VALUE!</v>
      </c>
      <c r="I98" s="8" t="e">
        <f>_xll.qlRateHelperLatestDate($D98)</f>
        <v>#VALUE!</v>
      </c>
      <c r="J98" s="3" t="e">
        <v>#N/A</v>
      </c>
    </row>
    <row r="99" spans="4:10" x14ac:dyDescent="0.2">
      <c r="D99" s="11" t="e">
        <v>#N/A</v>
      </c>
      <c r="E99" s="11" t="e">
        <f>SUBSTITUTE(_xll.qlRateHelperQuoteName(D99),"3L","1LBASIS")</f>
        <v>#VALUE!</v>
      </c>
      <c r="F99" s="10" t="e">
        <f>_xll.qlRateHelperRate($D99)</f>
        <v>#VALUE!</v>
      </c>
      <c r="G99" s="10" t="str">
        <f>IF(ISERROR(_xll.qlSwapRateHelperSpread($D99)),IF(ISERROR(_xll.qlFuturesRateHelperConvexityAdjustment($D99)),"--",_xll.qlFuturesRateHelperConvexityAdjustment($D99)),_xll.qlSwapRateHelperSpread($D99))</f>
        <v>--</v>
      </c>
      <c r="H99" s="9" t="e">
        <f>_xll.qlRateHelperEarliestDate($D99)</f>
        <v>#VALUE!</v>
      </c>
      <c r="I99" s="8" t="e">
        <f>_xll.qlRateHelperLatestDate($D99)</f>
        <v>#VALUE!</v>
      </c>
      <c r="J99" s="3" t="e">
        <v>#N/A</v>
      </c>
    </row>
    <row r="100" spans="4:10" x14ac:dyDescent="0.2">
      <c r="D100" s="11" t="e">
        <v>#N/A</v>
      </c>
      <c r="E100" s="11" t="e">
        <f>SUBSTITUTE(_xll.qlRateHelperQuoteName(D100),"3L","1LBASIS")</f>
        <v>#VALUE!</v>
      </c>
      <c r="F100" s="10" t="e">
        <f>_xll.qlRateHelperRate($D100)</f>
        <v>#VALUE!</v>
      </c>
      <c r="G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" t="e">
        <f>_xll.qlRateHelperEarliestDate($D100)</f>
        <v>#VALUE!</v>
      </c>
      <c r="I100" s="8" t="e">
        <f>_xll.qlRateHelperLatestDate($D100)</f>
        <v>#VALUE!</v>
      </c>
      <c r="J100" s="3" t="e">
        <v>#N/A</v>
      </c>
    </row>
    <row r="101" spans="4:10" x14ac:dyDescent="0.2">
      <c r="D101" s="11" t="e">
        <v>#N/A</v>
      </c>
      <c r="E101" s="11" t="e">
        <f>SUBSTITUTE(_xll.qlRateHelperQuoteName(D101),"3L","1LBASIS")</f>
        <v>#VALUE!</v>
      </c>
      <c r="F101" s="10" t="e">
        <f>_xll.qlRateHelperRate($D101)</f>
        <v>#VALUE!</v>
      </c>
      <c r="G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" t="e">
        <f>_xll.qlRateHelperEarliestDate($D101)</f>
        <v>#VALUE!</v>
      </c>
      <c r="I101" s="8" t="e">
        <f>_xll.qlRateHelperLatestDate($D101)</f>
        <v>#VALUE!</v>
      </c>
      <c r="J101" s="3" t="e">
        <v>#N/A</v>
      </c>
    </row>
    <row r="102" spans="4:10" x14ac:dyDescent="0.2">
      <c r="D102" s="11" t="e">
        <v>#N/A</v>
      </c>
      <c r="E102" s="11" t="e">
        <f>SUBSTITUTE(_xll.qlRateHelperQuoteName(D102),"3L","1LBASIS")</f>
        <v>#VALUE!</v>
      </c>
      <c r="F102" s="10" t="e">
        <f>_xll.qlRateHelperRate($D102)</f>
        <v>#VALUE!</v>
      </c>
      <c r="G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" t="e">
        <f>_xll.qlRateHelperEarliestDate($D102)</f>
        <v>#VALUE!</v>
      </c>
      <c r="I102" s="8" t="e">
        <f>_xll.qlRateHelperLatestDate($D102)</f>
        <v>#VALUE!</v>
      </c>
      <c r="J102" s="3" t="e">
        <v>#N/A</v>
      </c>
    </row>
    <row r="103" spans="4:10" x14ac:dyDescent="0.2">
      <c r="D103" s="11" t="e">
        <v>#N/A</v>
      </c>
      <c r="E103" s="11" t="e">
        <f>SUBSTITUTE(_xll.qlRateHelperQuoteName(D103),"3L","1LBASIS")</f>
        <v>#VALUE!</v>
      </c>
      <c r="F103" s="10" t="e">
        <f>_xll.qlRateHelperRate($D103)</f>
        <v>#VALUE!</v>
      </c>
      <c r="G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" t="e">
        <f>_xll.qlRateHelperEarliestDate($D103)</f>
        <v>#VALUE!</v>
      </c>
      <c r="I103" s="8" t="e">
        <f>_xll.qlRateHelperLatestDate($D103)</f>
        <v>#VALUE!</v>
      </c>
      <c r="J103" s="3" t="e">
        <v>#N/A</v>
      </c>
    </row>
    <row r="104" spans="4:10" x14ac:dyDescent="0.2">
      <c r="D104" s="11" t="e">
        <v>#N/A</v>
      </c>
      <c r="E104" s="11" t="e">
        <f>SUBSTITUTE(_xll.qlRateHelperQuoteName(D104),"3L","1LBASIS")</f>
        <v>#VALUE!</v>
      </c>
      <c r="F104" s="10" t="e">
        <f>_xll.qlRateHelperRate($D104)</f>
        <v>#VALUE!</v>
      </c>
      <c r="G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" t="e">
        <f>_xll.qlRateHelperEarliestDate($D104)</f>
        <v>#VALUE!</v>
      </c>
      <c r="I104" s="8" t="e">
        <f>_xll.qlRateHelperLatestDate($D104)</f>
        <v>#VALUE!</v>
      </c>
      <c r="J104" s="3" t="e">
        <v>#N/A</v>
      </c>
    </row>
    <row r="105" spans="4:10" x14ac:dyDescent="0.2">
      <c r="D105" s="11" t="e">
        <v>#N/A</v>
      </c>
      <c r="E105" s="11" t="e">
        <f>SUBSTITUTE(_xll.qlRateHelperQuoteName(D105),"3L","1LBASIS")</f>
        <v>#VALUE!</v>
      </c>
      <c r="F105" s="10" t="e">
        <f>_xll.qlRateHelperRate($D105)</f>
        <v>#VALUE!</v>
      </c>
      <c r="G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" t="e">
        <f>_xll.qlRateHelperEarliestDate($D105)</f>
        <v>#VALUE!</v>
      </c>
      <c r="I105" s="8" t="e">
        <f>_xll.qlRateHelperLatestDate($D105)</f>
        <v>#VALUE!</v>
      </c>
      <c r="J105" s="3" t="e">
        <v>#N/A</v>
      </c>
    </row>
    <row r="106" spans="4:10" x14ac:dyDescent="0.2">
      <c r="D106" s="11" t="e">
        <v>#N/A</v>
      </c>
      <c r="E106" s="11" t="e">
        <f>SUBSTITUTE(_xll.qlRateHelperQuoteName(D106),"3L","1LBASIS")</f>
        <v>#VALUE!</v>
      </c>
      <c r="F106" s="10" t="e">
        <f>_xll.qlRateHelperRate($D106)</f>
        <v>#VALUE!</v>
      </c>
      <c r="G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" t="e">
        <f>_xll.qlRateHelperEarliestDate($D106)</f>
        <v>#VALUE!</v>
      </c>
      <c r="I106" s="8" t="e">
        <f>_xll.qlRateHelperLatestDate($D106)</f>
        <v>#VALUE!</v>
      </c>
      <c r="J106" s="3" t="e">
        <v>#N/A</v>
      </c>
    </row>
    <row r="107" spans="4:10" x14ac:dyDescent="0.2">
      <c r="D107" s="11" t="e">
        <v>#N/A</v>
      </c>
      <c r="E107" s="11" t="e">
        <f>SUBSTITUTE(_xll.qlRateHelperQuoteName(D107),"3L","1LBASIS")</f>
        <v>#VALUE!</v>
      </c>
      <c r="F107" s="10" t="e">
        <f>_xll.qlRateHelperRate($D107)</f>
        <v>#VALUE!</v>
      </c>
      <c r="G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" t="e">
        <f>_xll.qlRateHelperEarliestDate($D107)</f>
        <v>#VALUE!</v>
      </c>
      <c r="I107" s="8" t="e">
        <f>_xll.qlRateHelperLatestDate($D107)</f>
        <v>#VALUE!</v>
      </c>
      <c r="J107" s="3" t="e">
        <v>#N/A</v>
      </c>
    </row>
    <row r="108" spans="4:10" x14ac:dyDescent="0.2">
      <c r="D108" s="11" t="e">
        <v>#N/A</v>
      </c>
      <c r="E108" s="11" t="e">
        <f>SUBSTITUTE(_xll.qlRateHelperQuoteName(D108),"3L","1LBASIS")</f>
        <v>#VALUE!</v>
      </c>
      <c r="F108" s="10" t="e">
        <f>_xll.qlRateHelperRate($D108)</f>
        <v>#VALUE!</v>
      </c>
      <c r="G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" t="e">
        <f>_xll.qlRateHelperEarliestDate($D108)</f>
        <v>#VALUE!</v>
      </c>
      <c r="I108" s="8" t="e">
        <f>_xll.qlRateHelperLatestDate($D108)</f>
        <v>#VALUE!</v>
      </c>
      <c r="J108" s="3" t="e">
        <v>#N/A</v>
      </c>
    </row>
    <row r="109" spans="4:10" x14ac:dyDescent="0.2">
      <c r="D109" s="11" t="e">
        <v>#N/A</v>
      </c>
      <c r="E109" s="11" t="e">
        <f>SUBSTITUTE(_xll.qlRateHelperQuoteName(D109),"3L","1LBASIS")</f>
        <v>#VALUE!</v>
      </c>
      <c r="F109" s="10" t="e">
        <f>_xll.qlRateHelperRate($D109)</f>
        <v>#VALUE!</v>
      </c>
      <c r="G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" t="e">
        <f>_xll.qlRateHelperEarliestDate($D109)</f>
        <v>#VALUE!</v>
      </c>
      <c r="I109" s="8" t="e">
        <f>_xll.qlRateHelperLatestDate($D109)</f>
        <v>#VALUE!</v>
      </c>
      <c r="J109" s="3" t="e">
        <v>#N/A</v>
      </c>
    </row>
    <row r="110" spans="4:10" x14ac:dyDescent="0.2">
      <c r="D110" s="11" t="e">
        <v>#N/A</v>
      </c>
      <c r="E110" s="11" t="e">
        <f>SUBSTITUTE(_xll.qlRateHelperQuoteName(D110),"3L","1LBASIS")</f>
        <v>#VALUE!</v>
      </c>
      <c r="F110" s="10" t="e">
        <f>_xll.qlRateHelperRate($D110)</f>
        <v>#VALUE!</v>
      </c>
      <c r="G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" t="e">
        <f>_xll.qlRateHelperEarliestDate($D110)</f>
        <v>#VALUE!</v>
      </c>
      <c r="I110" s="8" t="e">
        <f>_xll.qlRateHelperLatestDate($D110)</f>
        <v>#VALUE!</v>
      </c>
      <c r="J110" s="3" t="e">
        <v>#N/A</v>
      </c>
    </row>
    <row r="111" spans="4:10" x14ac:dyDescent="0.2">
      <c r="D111" s="11" t="e">
        <v>#N/A</v>
      </c>
      <c r="E111" s="11" t="e">
        <f>SUBSTITUTE(_xll.qlRateHelperQuoteName(D111),"3L","1LBASIS")</f>
        <v>#VALUE!</v>
      </c>
      <c r="F111" s="10" t="e">
        <f>_xll.qlRateHelperRate($D111)</f>
        <v>#VALUE!</v>
      </c>
      <c r="G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" t="e">
        <f>_xll.qlRateHelperEarliestDate($D111)</f>
        <v>#VALUE!</v>
      </c>
      <c r="I111" s="8" t="e">
        <f>_xll.qlRateHelperLatestDate($D111)</f>
        <v>#VALUE!</v>
      </c>
      <c r="J111" s="3" t="e">
        <v>#N/A</v>
      </c>
    </row>
    <row r="112" spans="4:10" x14ac:dyDescent="0.2">
      <c r="D112" s="11" t="e">
        <v>#N/A</v>
      </c>
      <c r="E112" s="11" t="e">
        <f>SUBSTITUTE(_xll.qlRateHelperQuoteName(D112),"3L","1LBASIS")</f>
        <v>#VALUE!</v>
      </c>
      <c r="F112" s="10" t="e">
        <f>_xll.qlRateHelperRate($D112)</f>
        <v>#VALUE!</v>
      </c>
      <c r="G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" t="e">
        <f>_xll.qlRateHelperEarliestDate($D112)</f>
        <v>#VALUE!</v>
      </c>
      <c r="I112" s="8" t="e">
        <f>_xll.qlRateHelperLatestDate($D112)</f>
        <v>#VALUE!</v>
      </c>
      <c r="J112" s="3" t="e">
        <v>#N/A</v>
      </c>
    </row>
    <row r="113" spans="4:10" x14ac:dyDescent="0.2">
      <c r="D113" s="11" t="e">
        <v>#N/A</v>
      </c>
      <c r="E113" s="11" t="e">
        <f>SUBSTITUTE(_xll.qlRateHelperQuoteName(D113),"3L","1LBASIS")</f>
        <v>#VALUE!</v>
      </c>
      <c r="F113" s="10" t="e">
        <f>_xll.qlRateHelperRate($D113)</f>
        <v>#VALUE!</v>
      </c>
      <c r="G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" t="e">
        <f>_xll.qlRateHelperEarliestDate($D113)</f>
        <v>#VALUE!</v>
      </c>
      <c r="I113" s="8" t="e">
        <f>_xll.qlRateHelperLatestDate($D113)</f>
        <v>#VALUE!</v>
      </c>
      <c r="J113" s="3" t="e">
        <v>#N/A</v>
      </c>
    </row>
    <row r="114" spans="4:10" x14ac:dyDescent="0.2">
      <c r="D114" s="11" t="e">
        <v>#N/A</v>
      </c>
      <c r="E114" s="11" t="e">
        <f>SUBSTITUTE(_xll.qlRateHelperQuoteName(D114),"3L","1LBASIS")</f>
        <v>#VALUE!</v>
      </c>
      <c r="F114" s="10" t="e">
        <f>_xll.qlRateHelperRate($D114)</f>
        <v>#VALUE!</v>
      </c>
      <c r="G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" t="e">
        <f>_xll.qlRateHelperEarliestDate($D114)</f>
        <v>#VALUE!</v>
      </c>
      <c r="I114" s="8" t="e">
        <f>_xll.qlRateHelperLatestDate($D114)</f>
        <v>#VALUE!</v>
      </c>
      <c r="J114" s="3" t="e">
        <v>#N/A</v>
      </c>
    </row>
    <row r="115" spans="4:10" x14ac:dyDescent="0.2">
      <c r="D115" s="11" t="e">
        <v>#N/A</v>
      </c>
      <c r="E115" s="11" t="e">
        <f>SUBSTITUTE(_xll.qlRateHelperQuoteName(D115),"3L","1LBASIS")</f>
        <v>#VALUE!</v>
      </c>
      <c r="F115" s="10" t="e">
        <f>_xll.qlRateHelperRate($D115)</f>
        <v>#VALUE!</v>
      </c>
      <c r="G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" t="e">
        <f>_xll.qlRateHelperEarliestDate($D115)</f>
        <v>#VALUE!</v>
      </c>
      <c r="I115" s="8" t="e">
        <f>_xll.qlRateHelperLatestDate($D115)</f>
        <v>#VALUE!</v>
      </c>
      <c r="J115" s="3" t="e">
        <v>#N/A</v>
      </c>
    </row>
    <row r="116" spans="4:10" x14ac:dyDescent="0.2">
      <c r="D116" s="11" t="e">
        <v>#N/A</v>
      </c>
      <c r="E116" s="11" t="e">
        <f>SUBSTITUTE(_xll.qlRateHelperQuoteName(D116),"3L","1LBASIS")</f>
        <v>#VALUE!</v>
      </c>
      <c r="F116" s="10" t="e">
        <f>_xll.qlRateHelperRate($D116)</f>
        <v>#VALUE!</v>
      </c>
      <c r="G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" t="e">
        <f>_xll.qlRateHelperEarliestDate($D116)</f>
        <v>#VALUE!</v>
      </c>
      <c r="I116" s="8" t="e">
        <f>_xll.qlRateHelperLatestDate($D116)</f>
        <v>#VALUE!</v>
      </c>
      <c r="J116" s="3" t="e">
        <v>#N/A</v>
      </c>
    </row>
    <row r="117" spans="4:10" x14ac:dyDescent="0.2">
      <c r="D117" s="11" t="e">
        <v>#N/A</v>
      </c>
      <c r="E117" s="11" t="e">
        <f>SUBSTITUTE(_xll.qlRateHelperQuoteName(D117),"3L","1LBASIS")</f>
        <v>#VALUE!</v>
      </c>
      <c r="F117" s="10" t="e">
        <f>_xll.qlRateHelperRate($D117)</f>
        <v>#VALUE!</v>
      </c>
      <c r="G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" t="e">
        <f>_xll.qlRateHelperEarliestDate($D117)</f>
        <v>#VALUE!</v>
      </c>
      <c r="I117" s="8" t="e">
        <f>_xll.qlRateHelperLatestDate($D117)</f>
        <v>#VALUE!</v>
      </c>
      <c r="J117" s="3" t="e">
        <v>#N/A</v>
      </c>
    </row>
    <row r="118" spans="4:10" x14ac:dyDescent="0.2">
      <c r="D118" s="11" t="e">
        <v>#N/A</v>
      </c>
      <c r="E118" s="11" t="e">
        <f>SUBSTITUTE(_xll.qlRateHelperQuoteName(D118),"3L","1LBASIS")</f>
        <v>#VALUE!</v>
      </c>
      <c r="F118" s="10" t="e">
        <f>_xll.qlRateHelperRate($D118)</f>
        <v>#VALUE!</v>
      </c>
      <c r="G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" t="e">
        <f>_xll.qlRateHelperEarliestDate($D118)</f>
        <v>#VALUE!</v>
      </c>
      <c r="I118" s="8" t="e">
        <f>_xll.qlRateHelperLatestDate($D118)</f>
        <v>#VALUE!</v>
      </c>
      <c r="J118" s="3" t="e">
        <v>#N/A</v>
      </c>
    </row>
    <row r="119" spans="4:10" x14ac:dyDescent="0.2">
      <c r="D119" s="11" t="e">
        <v>#N/A</v>
      </c>
      <c r="E119" s="11" t="e">
        <f>SUBSTITUTE(_xll.qlRateHelperQuoteName(D119),"3L","1LBASIS")</f>
        <v>#VALUE!</v>
      </c>
      <c r="F119" s="10" t="e">
        <f>_xll.qlRateHelperRate($D119)</f>
        <v>#VALUE!</v>
      </c>
      <c r="G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" t="e">
        <f>_xll.qlRateHelperEarliestDate($D119)</f>
        <v>#VALUE!</v>
      </c>
      <c r="I119" s="8" t="e">
        <f>_xll.qlRateHelperLatestDate($D119)</f>
        <v>#VALUE!</v>
      </c>
      <c r="J119" s="3" t="e">
        <v>#N/A</v>
      </c>
    </row>
    <row r="120" spans="4:10" x14ac:dyDescent="0.2">
      <c r="D120" s="11" t="e">
        <v>#N/A</v>
      </c>
      <c r="E120" s="11" t="e">
        <f>SUBSTITUTE(_xll.qlRateHelperQuoteName(D120),"3L","1LBASIS")</f>
        <v>#VALUE!</v>
      </c>
      <c r="F120" s="10" t="e">
        <f>_xll.qlRateHelperRate($D120)</f>
        <v>#VALUE!</v>
      </c>
      <c r="G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" t="e">
        <f>_xll.qlRateHelperEarliestDate($D120)</f>
        <v>#VALUE!</v>
      </c>
      <c r="I120" s="8" t="e">
        <f>_xll.qlRateHelperLatestDate($D120)</f>
        <v>#VALUE!</v>
      </c>
      <c r="J120" s="3" t="e">
        <v>#N/A</v>
      </c>
    </row>
    <row r="121" spans="4:10" x14ac:dyDescent="0.2">
      <c r="D121" s="11" t="e">
        <v>#N/A</v>
      </c>
      <c r="E121" s="11" t="e">
        <f>SUBSTITUTE(_xll.qlRateHelperQuoteName(D121),"3L","1LBASIS")</f>
        <v>#VALUE!</v>
      </c>
      <c r="F121" s="10" t="e">
        <f>_xll.qlRateHelperRate($D121)</f>
        <v>#VALUE!</v>
      </c>
      <c r="G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" t="e">
        <f>_xll.qlRateHelperEarliestDate($D121)</f>
        <v>#VALUE!</v>
      </c>
      <c r="I121" s="8" t="e">
        <f>_xll.qlRateHelperLatestDate($D121)</f>
        <v>#VALUE!</v>
      </c>
      <c r="J121" s="3" t="e">
        <v>#N/A</v>
      </c>
    </row>
    <row r="122" spans="4:10" x14ac:dyDescent="0.2">
      <c r="D122" s="11" t="e">
        <v>#N/A</v>
      </c>
      <c r="E122" s="11" t="e">
        <f>SUBSTITUTE(_xll.qlRateHelperQuoteName(D122),"3L","1LBASIS")</f>
        <v>#VALUE!</v>
      </c>
      <c r="F122" s="10" t="e">
        <f>_xll.qlRateHelperRate($D122)</f>
        <v>#VALUE!</v>
      </c>
      <c r="G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" t="e">
        <f>_xll.qlRateHelperEarliestDate($D122)</f>
        <v>#VALUE!</v>
      </c>
      <c r="I122" s="8" t="e">
        <f>_xll.qlRateHelperLatestDate($D122)</f>
        <v>#VALUE!</v>
      </c>
      <c r="J122" s="3" t="e">
        <v>#N/A</v>
      </c>
    </row>
    <row r="123" spans="4:10" x14ac:dyDescent="0.2">
      <c r="D123" s="11" t="e">
        <v>#N/A</v>
      </c>
      <c r="E123" s="11" t="e">
        <f>SUBSTITUTE(_xll.qlRateHelperQuoteName(D123),"3L","1LBASIS")</f>
        <v>#VALUE!</v>
      </c>
      <c r="F123" s="10" t="e">
        <f>_xll.qlRateHelperRate($D123)</f>
        <v>#VALUE!</v>
      </c>
      <c r="G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" t="e">
        <f>_xll.qlRateHelperEarliestDate($D123)</f>
        <v>#VALUE!</v>
      </c>
      <c r="I123" s="8" t="e">
        <f>_xll.qlRateHelperLatestDate($D123)</f>
        <v>#VALUE!</v>
      </c>
      <c r="J123" s="3" t="e">
        <v>#N/A</v>
      </c>
    </row>
    <row r="124" spans="4:10" x14ac:dyDescent="0.2">
      <c r="D124" s="11" t="e">
        <v>#N/A</v>
      </c>
      <c r="E124" s="11" t="e">
        <f>SUBSTITUTE(_xll.qlRateHelperQuoteName(D124),"3L","1LBASIS")</f>
        <v>#VALUE!</v>
      </c>
      <c r="F124" s="10" t="e">
        <f>_xll.qlRateHelperRate($D124)</f>
        <v>#VALUE!</v>
      </c>
      <c r="G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" t="e">
        <f>_xll.qlRateHelperEarliestDate($D124)</f>
        <v>#VALUE!</v>
      </c>
      <c r="I124" s="8" t="e">
        <f>_xll.qlRateHelperLatestDate($D124)</f>
        <v>#VALUE!</v>
      </c>
      <c r="J124" s="3" t="e">
        <v>#N/A</v>
      </c>
    </row>
    <row r="125" spans="4:10" x14ac:dyDescent="0.2">
      <c r="D125" s="11" t="e">
        <v>#N/A</v>
      </c>
      <c r="E125" s="11" t="e">
        <f>SUBSTITUTE(_xll.qlRateHelperQuoteName(D125),"3L","1LBASIS")</f>
        <v>#VALUE!</v>
      </c>
      <c r="F125" s="10" t="e">
        <f>_xll.qlRateHelperRate($D125)</f>
        <v>#VALUE!</v>
      </c>
      <c r="G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" t="e">
        <f>_xll.qlRateHelperEarliestDate($D125)</f>
        <v>#VALUE!</v>
      </c>
      <c r="I125" s="8" t="e">
        <f>_xll.qlRateHelperLatestDate($D125)</f>
        <v>#VALUE!</v>
      </c>
      <c r="J125" s="3" t="e">
        <v>#N/A</v>
      </c>
    </row>
    <row r="126" spans="4:10" ht="12" thickBot="1" x14ac:dyDescent="0.25">
      <c r="D126" s="7" t="e">
        <v>#N/A</v>
      </c>
      <c r="E126" s="7" t="e">
        <f>SUBSTITUTE(_xll.qlRateHelperQuoteName(D126),"3L","1LBASIS")</f>
        <v>#VALUE!</v>
      </c>
      <c r="F126" s="6" t="e">
        <f>_xll.qlRateHelperRate($D126)</f>
        <v>#VALUE!</v>
      </c>
      <c r="G126" s="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" t="e">
        <f>_xll.qlRateHelperEarliestDate($D126)</f>
        <v>#VALUE!</v>
      </c>
      <c r="I126" s="4" t="e">
        <f>_xll.qlRateHelperLatestDate($D126)</f>
        <v>#VALUE!</v>
      </c>
      <c r="J126" s="3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5"/>
  <sheetViews>
    <sheetView workbookViewId="0">
      <selection activeCell="E4" sqref="E4"/>
    </sheetView>
  </sheetViews>
  <sheetFormatPr defaultRowHeight="11.25" x14ac:dyDescent="0.2"/>
  <cols>
    <col min="1" max="1" width="3" style="1" customWidth="1"/>
    <col min="2" max="2" width="3.42578125" style="1" bestFit="1" customWidth="1"/>
    <col min="3" max="3" width="15.140625" style="1" bestFit="1" customWidth="1"/>
    <col min="4" max="4" width="21.42578125" style="1" bestFit="1" customWidth="1"/>
    <col min="5" max="5" width="25" style="1" bestFit="1" customWidth="1"/>
    <col min="6" max="6" width="23.5703125" style="1" customWidth="1"/>
    <col min="7" max="7" width="4.7109375" style="1" customWidth="1"/>
    <col min="8" max="16384" width="9.140625" style="1"/>
  </cols>
  <sheetData>
    <row r="1" spans="1:7" ht="12" x14ac:dyDescent="0.2">
      <c r="A1" s="111"/>
      <c r="B1" s="112"/>
      <c r="C1" s="96" t="s">
        <v>89</v>
      </c>
      <c r="D1" s="113" t="str">
        <f>Currency&amp;"_YC"&amp;$C$1&amp;"RH"</f>
        <v>USD_YC1MRH</v>
      </c>
      <c r="E1" s="117" t="str">
        <f>$D$1&amp;"_Deposits.xml"</f>
        <v>USD_YC1MRH_Deposits.xml</v>
      </c>
      <c r="G1" s="114"/>
    </row>
    <row r="2" spans="1:7" ht="23.25" customHeight="1" x14ac:dyDescent="0.2">
      <c r="A2" s="115"/>
      <c r="B2" s="116"/>
      <c r="C2" s="116" t="s">
        <v>130</v>
      </c>
      <c r="D2" s="116" t="s">
        <v>91</v>
      </c>
      <c r="E2" s="118" t="str">
        <f>IF(Serialize,_xll.ohObjectSave(E3:E4,SerializationPath&amp;E1,FileOverwrite,Serialize),"---")</f>
        <v>---</v>
      </c>
      <c r="F2" s="119" t="str">
        <f>_xll.ohRangeRetrieveError(E2)</f>
        <v/>
      </c>
      <c r="G2" s="114"/>
    </row>
    <row r="3" spans="1:7" x14ac:dyDescent="0.2">
      <c r="A3" s="115"/>
      <c r="B3" s="120" t="s">
        <v>90</v>
      </c>
      <c r="C3" s="121" t="str">
        <f>_xll.qlLibor(,"USD",B3,,,Trigger,ObjectOverwrite)</f>
        <v>obj_0061e#0001</v>
      </c>
      <c r="D3" s="122" t="str">
        <f>Currency&amp;B3&amp;"D_SYNTH"&amp;$C$1&amp;QuoteSuffix</f>
        <v>USDSWD_SYNTH1M_Quote</v>
      </c>
      <c r="E3" s="123" t="str">
        <f>_xll.qlDepositRateHelper(,D3,C3,Permanent,Trigger,ObjectOverwrite)</f>
        <v>obj_00622#0001</v>
      </c>
      <c r="F3" s="124" t="str">
        <f>_xll.ohRangeRetrieveError(E3)</f>
        <v/>
      </c>
      <c r="G3" s="114"/>
    </row>
    <row r="4" spans="1:7" x14ac:dyDescent="0.2">
      <c r="A4" s="115"/>
      <c r="B4" s="120" t="s">
        <v>89</v>
      </c>
      <c r="C4" s="121" t="str">
        <f>_xll.qlLibor(,"USD",B4,,,Trigger,ObjectOverwrite)</f>
        <v>obj_0061d#0001</v>
      </c>
      <c r="D4" s="122" t="str">
        <f>Currency&amp;B4&amp;"D_SYNTH"&amp;$C$1&amp;QuoteSuffix</f>
        <v>USD1MD_SYNTH1M_Quote</v>
      </c>
      <c r="E4" s="123" t="str">
        <f>_xll.qlDepositRateHelper(,D4,C4,Permanent,Trigger,ObjectOverwrite)</f>
        <v>obj_00623#0001</v>
      </c>
      <c r="F4" s="124" t="str">
        <f>_xll.ohRangeRetrieveError(E4)</f>
        <v/>
      </c>
      <c r="G4" s="114"/>
    </row>
    <row r="5" spans="1:7" ht="12" thickBot="1" x14ac:dyDescent="0.25">
      <c r="A5" s="125"/>
      <c r="B5" s="126"/>
      <c r="C5" s="126"/>
      <c r="D5" s="126"/>
      <c r="E5" s="126"/>
      <c r="F5" s="126"/>
      <c r="G5" s="127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7"/>
  <sheetViews>
    <sheetView workbookViewId="0">
      <selection activeCell="K5" sqref="K5"/>
    </sheetView>
  </sheetViews>
  <sheetFormatPr defaultRowHeight="11.25" x14ac:dyDescent="0.2"/>
  <cols>
    <col min="1" max="1" width="1.7109375" style="1" customWidth="1"/>
    <col min="2" max="2" width="6" style="1" customWidth="1"/>
    <col min="3" max="3" width="7.140625" style="1" customWidth="1"/>
    <col min="4" max="4" width="3" style="1" bestFit="1" customWidth="1"/>
    <col min="5" max="5" width="4" style="1" bestFit="1" customWidth="1"/>
    <col min="6" max="6" width="7" style="1" bestFit="1" customWidth="1"/>
    <col min="7" max="7" width="19.28515625" style="1" bestFit="1" customWidth="1"/>
    <col min="8" max="9" width="11" style="1" bestFit="1" customWidth="1"/>
    <col min="10" max="10" width="22" style="1" bestFit="1" customWidth="1"/>
    <col min="11" max="11" width="29.7109375" style="2" bestFit="1" customWidth="1"/>
    <col min="12" max="12" width="21" style="1" customWidth="1"/>
    <col min="13" max="13" width="3.7109375" style="1" customWidth="1"/>
    <col min="14" max="16384" width="9.140625" style="1"/>
  </cols>
  <sheetData>
    <row r="1" spans="1:13" ht="12" x14ac:dyDescent="0.2">
      <c r="A1" s="115"/>
      <c r="B1" s="112"/>
      <c r="C1" s="112"/>
      <c r="D1" s="112"/>
      <c r="E1" s="112"/>
      <c r="F1" s="112"/>
      <c r="G1" s="112"/>
      <c r="H1" s="96" t="s">
        <v>89</v>
      </c>
      <c r="I1" s="96" t="str">
        <f>Currency&amp;"_YC"&amp;$H$1&amp;"RH"</f>
        <v>USD_YC1MRH</v>
      </c>
      <c r="J1" s="129" t="str">
        <f>I1&amp;"_Swaps.xml"</f>
        <v>USD_YC1MRH_Swaps.xml</v>
      </c>
      <c r="K1" s="96" t="str">
        <f>Discounting</f>
        <v>UsdON</v>
      </c>
      <c r="L1" s="112"/>
      <c r="M1" s="128"/>
    </row>
    <row r="2" spans="1:13" ht="36" customHeight="1" x14ac:dyDescent="0.2">
      <c r="A2" s="115"/>
      <c r="B2" s="116" t="s">
        <v>120</v>
      </c>
      <c r="C2" s="116" t="s">
        <v>119</v>
      </c>
      <c r="D2" s="116"/>
      <c r="E2" s="116"/>
      <c r="F2" s="116" t="s">
        <v>118</v>
      </c>
      <c r="G2" s="116" t="s">
        <v>117</v>
      </c>
      <c r="H2" s="116" t="s">
        <v>116</v>
      </c>
      <c r="I2" s="116" t="s">
        <v>115</v>
      </c>
      <c r="J2" s="116" t="s">
        <v>91</v>
      </c>
      <c r="K2" s="130" t="str">
        <f>IF(Serialize,_xll.ohObjectSave(K3:K15,SerializationPath&amp;J1,FileOverwrite,Serialize),"---")</f>
        <v>---</v>
      </c>
      <c r="L2" s="119" t="str">
        <f>_xll.ohRangeRetrieveError(K2)</f>
        <v/>
      </c>
      <c r="M2" s="128"/>
    </row>
    <row r="3" spans="1:13" x14ac:dyDescent="0.2">
      <c r="A3" s="111"/>
      <c r="B3" s="112"/>
      <c r="C3" s="112"/>
      <c r="D3" s="112"/>
      <c r="E3" s="112"/>
      <c r="F3" s="112"/>
      <c r="G3" s="112"/>
      <c r="H3" s="112"/>
      <c r="I3" s="112"/>
      <c r="J3" s="112"/>
      <c r="K3" s="131" t="str">
        <f>IF(UPPER(FamilyName)="IBOR",_xll.qlEuribor(,$H$1,,Permanent,Trigger,ObjectOverwrite),IF(UPPER(FamilyName)="LIBOR",_xll.qlLibor(,Currency,$H$1,,Permanent,Trigger,ObjectOverwrite),"--"))</f>
        <v>obj_00620#0001</v>
      </c>
      <c r="L3" s="132" t="str">
        <f>_xll.ohRangeRetrieveError(K3)</f>
        <v/>
      </c>
      <c r="M3" s="128"/>
    </row>
    <row r="4" spans="1:13" x14ac:dyDescent="0.2">
      <c r="A4" s="111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28"/>
    </row>
    <row r="5" spans="1:13" x14ac:dyDescent="0.2">
      <c r="A5" s="115"/>
      <c r="B5" s="133" t="s">
        <v>104</v>
      </c>
      <c r="C5" s="133" t="s">
        <v>114</v>
      </c>
      <c r="D5" s="133">
        <v>2</v>
      </c>
      <c r="E5" s="133" t="s">
        <v>37</v>
      </c>
      <c r="F5" s="134" t="s">
        <v>102</v>
      </c>
      <c r="G5" s="134" t="s">
        <v>101</v>
      </c>
      <c r="H5" s="134" t="str">
        <f t="shared" ref="H5:H15" si="0">MoneyMarketDayCounter</f>
        <v>Actual/360</v>
      </c>
      <c r="I5" s="135">
        <v>0</v>
      </c>
      <c r="J5" s="136" t="str">
        <f t="shared" ref="J5:J15" si="1">Currency&amp;$D5&amp;$E5&amp;QuoteSuffix</f>
        <v>USD2X1S_Quote</v>
      </c>
      <c r="K5" s="137" t="str">
        <f>_xll.qlSwapRateHelper2(,$J5,$C5,Calendar,$F5,$G5,$H5,$K$3,$I5,B5,DiscountingCurve,Permanent,,ObjectOverwrite)</f>
        <v>obj_00621#0001</v>
      </c>
      <c r="L5" s="119" t="str">
        <f>_xll.ohRangeRetrieveError(K5)</f>
        <v/>
      </c>
      <c r="M5" s="128"/>
    </row>
    <row r="6" spans="1:13" x14ac:dyDescent="0.2">
      <c r="A6" s="115"/>
      <c r="B6" s="133" t="s">
        <v>104</v>
      </c>
      <c r="C6" s="133" t="s">
        <v>113</v>
      </c>
      <c r="D6" s="133">
        <v>3</v>
      </c>
      <c r="E6" s="133" t="s">
        <v>37</v>
      </c>
      <c r="F6" s="134" t="s">
        <v>102</v>
      </c>
      <c r="G6" s="134" t="s">
        <v>101</v>
      </c>
      <c r="H6" s="138" t="str">
        <f t="shared" si="0"/>
        <v>Actual/360</v>
      </c>
      <c r="I6" s="135">
        <v>0</v>
      </c>
      <c r="J6" s="136" t="str">
        <f t="shared" si="1"/>
        <v>USD3X1S_Quote</v>
      </c>
      <c r="K6" s="137" t="str">
        <f>_xll.qlSwapRateHelper2(,$J6,$C6,Calendar,$F6,$G6,$H6,$K$3,$I6,B6,DiscountingCurve,Permanent,,ObjectOverwrite)</f>
        <v>obj_00626#0001</v>
      </c>
      <c r="L6" s="119" t="str">
        <f>_xll.ohRangeRetrieveError(K6)</f>
        <v/>
      </c>
      <c r="M6" s="128"/>
    </row>
    <row r="7" spans="1:13" x14ac:dyDescent="0.2">
      <c r="A7" s="115"/>
      <c r="B7" s="133" t="s">
        <v>104</v>
      </c>
      <c r="C7" s="133" t="s">
        <v>112</v>
      </c>
      <c r="D7" s="133">
        <v>4</v>
      </c>
      <c r="E7" s="133" t="s">
        <v>37</v>
      </c>
      <c r="F7" s="134" t="s">
        <v>102</v>
      </c>
      <c r="G7" s="134" t="s">
        <v>101</v>
      </c>
      <c r="H7" s="138" t="str">
        <f t="shared" si="0"/>
        <v>Actual/360</v>
      </c>
      <c r="I7" s="135">
        <v>0</v>
      </c>
      <c r="J7" s="136" t="str">
        <f t="shared" si="1"/>
        <v>USD4X1S_Quote</v>
      </c>
      <c r="K7" s="137" t="str">
        <f>_xll.qlSwapRateHelper2(,$J7,$C7,Calendar,$F7,$G7,$H7,$K$3,$I7,B7,DiscountingCurve,Permanent,,ObjectOverwrite)</f>
        <v>obj_0062e#0001</v>
      </c>
      <c r="L7" s="119" t="str">
        <f>_xll.ohRangeRetrieveError(K7)</f>
        <v/>
      </c>
      <c r="M7" s="128"/>
    </row>
    <row r="8" spans="1:13" x14ac:dyDescent="0.2">
      <c r="A8" s="115"/>
      <c r="B8" s="133" t="s">
        <v>104</v>
      </c>
      <c r="C8" s="133" t="s">
        <v>111</v>
      </c>
      <c r="D8" s="133">
        <v>5</v>
      </c>
      <c r="E8" s="133" t="s">
        <v>37</v>
      </c>
      <c r="F8" s="134" t="s">
        <v>102</v>
      </c>
      <c r="G8" s="134" t="s">
        <v>101</v>
      </c>
      <c r="H8" s="138" t="str">
        <f t="shared" si="0"/>
        <v>Actual/360</v>
      </c>
      <c r="I8" s="135">
        <v>0</v>
      </c>
      <c r="J8" s="136" t="str">
        <f t="shared" si="1"/>
        <v>USD5X1S_Quote</v>
      </c>
      <c r="K8" s="137" t="str">
        <f>_xll.qlSwapRateHelper2(,$J8,$C8,Calendar,$F8,$G8,$H8,$K$3,$I8,B8,DiscountingCurve,Permanent,,ObjectOverwrite)</f>
        <v>obj_00628#0001</v>
      </c>
      <c r="L8" s="119" t="str">
        <f>_xll.ohRangeRetrieveError(K8)</f>
        <v/>
      </c>
      <c r="M8" s="128"/>
    </row>
    <row r="9" spans="1:13" x14ac:dyDescent="0.2">
      <c r="A9" s="115"/>
      <c r="B9" s="133" t="s">
        <v>104</v>
      </c>
      <c r="C9" s="133" t="s">
        <v>110</v>
      </c>
      <c r="D9" s="133">
        <v>6</v>
      </c>
      <c r="E9" s="133" t="s">
        <v>37</v>
      </c>
      <c r="F9" s="134" t="s">
        <v>102</v>
      </c>
      <c r="G9" s="134" t="s">
        <v>101</v>
      </c>
      <c r="H9" s="138" t="str">
        <f t="shared" si="0"/>
        <v>Actual/360</v>
      </c>
      <c r="I9" s="135">
        <v>0</v>
      </c>
      <c r="J9" s="136" t="str">
        <f t="shared" si="1"/>
        <v>USD6X1S_Quote</v>
      </c>
      <c r="K9" s="137" t="str">
        <f>_xll.qlSwapRateHelper2(,$J9,$C9,Calendar,$F9,$G9,$H9,$K$3,$I9,B9,DiscountingCurve,Permanent,,ObjectOverwrite)</f>
        <v>obj_0062b#0001</v>
      </c>
      <c r="L9" s="119" t="str">
        <f>_xll.ohRangeRetrieveError(K9)</f>
        <v/>
      </c>
      <c r="M9" s="128"/>
    </row>
    <row r="10" spans="1:13" x14ac:dyDescent="0.2">
      <c r="A10" s="115"/>
      <c r="B10" s="133" t="s">
        <v>104</v>
      </c>
      <c r="C10" s="133" t="s">
        <v>109</v>
      </c>
      <c r="D10" s="133">
        <v>7</v>
      </c>
      <c r="E10" s="133" t="s">
        <v>37</v>
      </c>
      <c r="F10" s="134" t="s">
        <v>102</v>
      </c>
      <c r="G10" s="134" t="s">
        <v>101</v>
      </c>
      <c r="H10" s="138" t="str">
        <f t="shared" si="0"/>
        <v>Actual/360</v>
      </c>
      <c r="I10" s="135">
        <v>0</v>
      </c>
      <c r="J10" s="136" t="str">
        <f t="shared" si="1"/>
        <v>USD7X1S_Quote</v>
      </c>
      <c r="K10" s="137" t="str">
        <f>_xll.qlSwapRateHelper2(,$J10,$C10,Calendar,$F10,$G10,$H10,$K$3,$I10,B10,DiscountingCurve,Permanent,,ObjectOverwrite)</f>
        <v>obj_00624#0001</v>
      </c>
      <c r="L10" s="119" t="str">
        <f>_xll.ohRangeRetrieveError(K10)</f>
        <v/>
      </c>
      <c r="M10" s="128"/>
    </row>
    <row r="11" spans="1:13" x14ac:dyDescent="0.2">
      <c r="A11" s="115"/>
      <c r="B11" s="133" t="s">
        <v>104</v>
      </c>
      <c r="C11" s="133" t="s">
        <v>108</v>
      </c>
      <c r="D11" s="133">
        <v>8</v>
      </c>
      <c r="E11" s="133" t="s">
        <v>37</v>
      </c>
      <c r="F11" s="134" t="s">
        <v>102</v>
      </c>
      <c r="G11" s="134" t="s">
        <v>101</v>
      </c>
      <c r="H11" s="138" t="str">
        <f t="shared" si="0"/>
        <v>Actual/360</v>
      </c>
      <c r="I11" s="135">
        <v>0</v>
      </c>
      <c r="J11" s="136" t="str">
        <f t="shared" si="1"/>
        <v>USD8X1S_Quote</v>
      </c>
      <c r="K11" s="137" t="str">
        <f>_xll.qlSwapRateHelper2(,$J11,$C11,Calendar,$F11,$G11,$H11,$K$3,$I11,B11,DiscountingCurve,Permanent,,ObjectOverwrite)</f>
        <v>obj_00629#0001</v>
      </c>
      <c r="L11" s="119" t="str">
        <f>_xll.ohRangeRetrieveError(K11)</f>
        <v/>
      </c>
      <c r="M11" s="128"/>
    </row>
    <row r="12" spans="1:13" x14ac:dyDescent="0.2">
      <c r="A12" s="115"/>
      <c r="B12" s="133" t="s">
        <v>104</v>
      </c>
      <c r="C12" s="133" t="s">
        <v>107</v>
      </c>
      <c r="D12" s="133">
        <v>9</v>
      </c>
      <c r="E12" s="133" t="s">
        <v>37</v>
      </c>
      <c r="F12" s="134" t="s">
        <v>102</v>
      </c>
      <c r="G12" s="134" t="s">
        <v>101</v>
      </c>
      <c r="H12" s="138" t="str">
        <f t="shared" si="0"/>
        <v>Actual/360</v>
      </c>
      <c r="I12" s="135">
        <v>0</v>
      </c>
      <c r="J12" s="136" t="str">
        <f t="shared" si="1"/>
        <v>USD9X1S_Quote</v>
      </c>
      <c r="K12" s="137" t="str">
        <f>_xll.qlSwapRateHelper2(,$J12,$C12,Calendar,$F12,$G12,$H12,$K$3,$I12,B12,DiscountingCurve,Permanent,,ObjectOverwrite)</f>
        <v>obj_0062d#0001</v>
      </c>
      <c r="L12" s="119" t="str">
        <f>_xll.ohRangeRetrieveError(K12)</f>
        <v/>
      </c>
      <c r="M12" s="128"/>
    </row>
    <row r="13" spans="1:13" x14ac:dyDescent="0.2">
      <c r="A13" s="115"/>
      <c r="B13" s="133" t="s">
        <v>104</v>
      </c>
      <c r="C13" s="133" t="s">
        <v>106</v>
      </c>
      <c r="D13" s="133">
        <v>10</v>
      </c>
      <c r="E13" s="133" t="s">
        <v>37</v>
      </c>
      <c r="F13" s="134" t="s">
        <v>102</v>
      </c>
      <c r="G13" s="134" t="s">
        <v>101</v>
      </c>
      <c r="H13" s="138" t="str">
        <f t="shared" si="0"/>
        <v>Actual/360</v>
      </c>
      <c r="I13" s="135">
        <v>0</v>
      </c>
      <c r="J13" s="136" t="str">
        <f t="shared" si="1"/>
        <v>USD10X1S_Quote</v>
      </c>
      <c r="K13" s="137" t="str">
        <f>_xll.qlSwapRateHelper2(,$J13,$C13,Calendar,$F13,$G13,$H13,$K$3,$I13,B13,DiscountingCurve,Permanent,,ObjectOverwrite)</f>
        <v>obj_0062a#0001</v>
      </c>
      <c r="L13" s="119" t="str">
        <f>_xll.ohRangeRetrieveError(K13)</f>
        <v/>
      </c>
      <c r="M13" s="128"/>
    </row>
    <row r="14" spans="1:13" x14ac:dyDescent="0.2">
      <c r="A14" s="115"/>
      <c r="B14" s="133" t="s">
        <v>104</v>
      </c>
      <c r="C14" s="133" t="s">
        <v>105</v>
      </c>
      <c r="D14" s="133">
        <v>11</v>
      </c>
      <c r="E14" s="133" t="s">
        <v>37</v>
      </c>
      <c r="F14" s="134" t="s">
        <v>102</v>
      </c>
      <c r="G14" s="134" t="s">
        <v>101</v>
      </c>
      <c r="H14" s="138" t="str">
        <f t="shared" si="0"/>
        <v>Actual/360</v>
      </c>
      <c r="I14" s="135">
        <v>0</v>
      </c>
      <c r="J14" s="136" t="str">
        <f t="shared" si="1"/>
        <v>USD11X1S_Quote</v>
      </c>
      <c r="K14" s="137" t="str">
        <f>_xll.qlSwapRateHelper2(,$J14,$C14,Calendar,$F14,$G14,$H14,$K$3,$I14,B14,DiscountingCurve,Permanent,,ObjectOverwrite)</f>
        <v>obj_0062c#0001</v>
      </c>
      <c r="L14" s="119" t="str">
        <f>_xll.ohRangeRetrieveError(K14)</f>
        <v/>
      </c>
      <c r="M14" s="128"/>
    </row>
    <row r="15" spans="1:13" x14ac:dyDescent="0.2">
      <c r="A15" s="115"/>
      <c r="B15" s="133" t="s">
        <v>104</v>
      </c>
      <c r="C15" s="133" t="s">
        <v>103</v>
      </c>
      <c r="D15" s="133">
        <v>12</v>
      </c>
      <c r="E15" s="133" t="s">
        <v>37</v>
      </c>
      <c r="F15" s="134" t="s">
        <v>102</v>
      </c>
      <c r="G15" s="134" t="s">
        <v>101</v>
      </c>
      <c r="H15" s="138" t="str">
        <f t="shared" si="0"/>
        <v>Actual/360</v>
      </c>
      <c r="I15" s="135">
        <v>0</v>
      </c>
      <c r="J15" s="136" t="str">
        <f t="shared" si="1"/>
        <v>USD12X1S_Quote</v>
      </c>
      <c r="K15" s="137" t="str">
        <f>_xll.qlSwapRateHelper2(,$J15,$C15,Calendar,$F15,$G15,$H15,$K$3,$I15,B15,DiscountingCurve,Permanent,,ObjectOverwrite)</f>
        <v>obj_00627#0001</v>
      </c>
      <c r="L15" s="119" t="str">
        <f>_xll.ohRangeRetrieveError(K15)</f>
        <v/>
      </c>
      <c r="M15" s="128"/>
    </row>
    <row r="16" spans="1:13" x14ac:dyDescent="0.2">
      <c r="A16" s="115"/>
      <c r="B16" s="93"/>
      <c r="C16" s="93"/>
      <c r="D16" s="93"/>
      <c r="E16" s="93"/>
      <c r="F16" s="96"/>
      <c r="G16" s="96"/>
      <c r="H16" s="96"/>
      <c r="I16" s="10"/>
      <c r="J16" s="139"/>
      <c r="K16" s="139"/>
      <c r="L16" s="139"/>
      <c r="M16" s="128"/>
    </row>
    <row r="17" spans="1:13" ht="12" thickBot="1" x14ac:dyDescent="0.25">
      <c r="A17" s="125"/>
      <c r="B17" s="126"/>
      <c r="C17" s="126"/>
      <c r="D17" s="126"/>
      <c r="E17" s="126"/>
      <c r="F17" s="126"/>
      <c r="G17" s="126"/>
      <c r="H17" s="126"/>
      <c r="I17" s="126"/>
      <c r="J17" s="126"/>
      <c r="K17" s="140"/>
      <c r="L17" s="140"/>
      <c r="M17" s="141"/>
    </row>
  </sheetData>
  <dataValidations count="2">
    <dataValidation type="list" allowBlank="1" showInputMessage="1" showErrorMessage="1" sqref="G5:G16">
      <formula1>"Following,Modified Following,Preceding,Modified Preceding,Month End Reference,Unadjusted Month End,Unadjusted"</formula1>
    </dataValidation>
    <dataValidation type="list" allowBlank="1" showInputMessage="1" showErrorMessage="1" sqref="F5:F16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2"/>
  <sheetViews>
    <sheetView workbookViewId="0">
      <selection activeCell="K5" sqref="K5"/>
    </sheetView>
  </sheetViews>
  <sheetFormatPr defaultRowHeight="11.25" x14ac:dyDescent="0.2"/>
  <cols>
    <col min="1" max="1" width="1.7109375" style="1" customWidth="1"/>
    <col min="2" max="2" width="6.28515625" style="1" customWidth="1"/>
    <col min="3" max="3" width="4" style="1" bestFit="1" customWidth="1"/>
    <col min="4" max="5" width="3" style="1" bestFit="1" customWidth="1"/>
    <col min="6" max="6" width="7" style="1" bestFit="1" customWidth="1"/>
    <col min="7" max="7" width="19.28515625" style="1" bestFit="1" customWidth="1"/>
    <col min="8" max="8" width="11" style="1" bestFit="1" customWidth="1"/>
    <col min="9" max="9" width="17.28515625" style="1" bestFit="1" customWidth="1"/>
    <col min="10" max="10" width="31.28515625" style="1" bestFit="1" customWidth="1"/>
    <col min="11" max="11" width="34.85546875" style="2" bestFit="1" customWidth="1"/>
    <col min="12" max="12" width="16.5703125" style="1" customWidth="1"/>
    <col min="13" max="13" width="3.85546875" style="1" customWidth="1"/>
    <col min="14" max="14" width="2.5703125" style="1" customWidth="1"/>
    <col min="15" max="15" width="4" style="1" bestFit="1" customWidth="1"/>
    <col min="16" max="16" width="3.28515625" style="1" bestFit="1" customWidth="1"/>
    <col min="17" max="17" width="2.7109375" style="1" bestFit="1" customWidth="1"/>
    <col min="18" max="16384" width="9.140625" style="1"/>
  </cols>
  <sheetData>
    <row r="1" spans="1:17" x14ac:dyDescent="0.2">
      <c r="A1" s="115"/>
      <c r="B1" s="112"/>
      <c r="C1" s="112"/>
      <c r="D1" s="112"/>
      <c r="E1" s="112"/>
      <c r="F1" s="112"/>
      <c r="G1" s="96" t="s">
        <v>129</v>
      </c>
      <c r="H1" s="96" t="s">
        <v>89</v>
      </c>
      <c r="I1" s="96" t="str">
        <f>Currency&amp;"_YC"&amp;$H$1&amp;"RH"</f>
        <v>USD_YC1MRH</v>
      </c>
      <c r="J1" s="96" t="str">
        <f>I1&amp;"_SwapsFromBasis.xml"</f>
        <v>USD_YC1MRH_SwapsFromBasis.xml</v>
      </c>
      <c r="K1" s="96" t="str">
        <f>Discounting</f>
        <v>UsdON</v>
      </c>
      <c r="L1" s="112"/>
      <c r="M1" s="128"/>
    </row>
    <row r="2" spans="1:17" ht="22.5" x14ac:dyDescent="0.2">
      <c r="A2" s="115"/>
      <c r="B2" s="116" t="s">
        <v>120</v>
      </c>
      <c r="C2" s="116"/>
      <c r="D2" s="116"/>
      <c r="E2" s="116"/>
      <c r="F2" s="116" t="s">
        <v>118</v>
      </c>
      <c r="G2" s="116" t="s">
        <v>117</v>
      </c>
      <c r="H2" s="116" t="s">
        <v>116</v>
      </c>
      <c r="I2" s="116" t="s">
        <v>115</v>
      </c>
      <c r="J2" s="116" t="s">
        <v>91</v>
      </c>
      <c r="K2" s="130" t="str">
        <f>IF(Serialize,_xll.ohObjectSave(K3:K41,SerializationPath&amp;J1,FileOverwrite,Serialize),"---")</f>
        <v>---</v>
      </c>
      <c r="L2" s="142" t="str">
        <f>_xll.ohRangeRetrieveError(K2)</f>
        <v/>
      </c>
      <c r="M2" s="128"/>
    </row>
    <row r="3" spans="1:17" x14ac:dyDescent="0.2">
      <c r="A3" s="111"/>
      <c r="B3" s="112"/>
      <c r="C3" s="112"/>
      <c r="D3" s="112"/>
      <c r="E3" s="112"/>
      <c r="F3" s="112"/>
      <c r="G3" s="112"/>
      <c r="H3" s="112"/>
      <c r="I3" s="112"/>
      <c r="J3" s="112"/>
      <c r="K3" s="131" t="str">
        <f>IF(UPPER(FamilyName)="IBOR",_xll.qlEuribor(,$H$1,,Permanent,Trigger,ObjectOverwrite),IF(UPPER(FamilyName)="LIBOR",_xll.qlLibor(,Currency,$H$1,,Permanent,Trigger,ObjectOverwrite),"--"))</f>
        <v>obj_0061f#0001</v>
      </c>
      <c r="L3" s="132" t="str">
        <f>_xll.ohRangeRetrieveError(K3)</f>
        <v/>
      </c>
      <c r="M3" s="128"/>
    </row>
    <row r="4" spans="1:17" x14ac:dyDescent="0.2">
      <c r="A4" s="111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28"/>
    </row>
    <row r="5" spans="1:17" x14ac:dyDescent="0.2">
      <c r="A5" s="115"/>
      <c r="B5" s="143" t="s">
        <v>104</v>
      </c>
      <c r="C5" s="133" t="s">
        <v>36</v>
      </c>
      <c r="D5" s="143" t="str">
        <f>VLOOKUP(Currency,Swap1MConventions,2)</f>
        <v>AM</v>
      </c>
      <c r="E5" s="143" t="str">
        <f>VLOOKUP(Currency,Swap1MConventions,3)</f>
        <v>1L</v>
      </c>
      <c r="F5" s="134" t="s">
        <v>102</v>
      </c>
      <c r="G5" s="134" t="s">
        <v>101</v>
      </c>
      <c r="H5" s="134" t="str">
        <f t="shared" ref="H5:H41" si="0">IF(UPPER(RIGHT($D5))="B",BondBasisDayCounter,IF(UPPER(RIGHT($D5))="M",MoneyMarketDayCounter,"--"))</f>
        <v>Actual/360</v>
      </c>
      <c r="I5" s="135" t="str">
        <f t="shared" ref="I5:I41" si="1">Currency&amp;$G$1&amp;$E5&amp;$C5&amp;QuoteSuffix</f>
        <v>USD3L1L1Y_Quote</v>
      </c>
      <c r="J5" s="136" t="str">
        <f t="shared" ref="J5:J41" si="2">Currency&amp;$D5&amp;$G$1&amp;$C5&amp;"_Quote"</f>
        <v>USDAM3L1Y_Quote</v>
      </c>
      <c r="K5" s="137" t="str">
        <f>_xll.qlSwapRateHelper2(,$J5,$C5,Calendar,$F5,$G5,$H5,$K$3,$I5,B5,DiscountingCurve,Permanent,,ObjectOverwrite)</f>
        <v>obj_00625#0001</v>
      </c>
      <c r="L5" s="142" t="str">
        <f>_xll.ohRangeRetrieveError(K5)</f>
        <v/>
      </c>
      <c r="M5" s="128"/>
    </row>
    <row r="6" spans="1:17" x14ac:dyDescent="0.2">
      <c r="A6" s="115"/>
      <c r="B6" s="133" t="str">
        <f t="shared" ref="B6:B41" si="3">B5</f>
        <v>0D</v>
      </c>
      <c r="C6" s="133" t="s">
        <v>35</v>
      </c>
      <c r="D6" s="133" t="str">
        <f t="shared" ref="D6:D41" si="4">D5</f>
        <v>AM</v>
      </c>
      <c r="E6" s="133" t="str">
        <f t="shared" ref="E6:E41" si="5">E5</f>
        <v>1L</v>
      </c>
      <c r="F6" s="134" t="s">
        <v>102</v>
      </c>
      <c r="G6" s="138" t="s">
        <v>101</v>
      </c>
      <c r="H6" s="138" t="str">
        <f t="shared" si="0"/>
        <v>Actual/360</v>
      </c>
      <c r="I6" s="135" t="str">
        <f t="shared" si="1"/>
        <v>USD3L1L15M_Quote</v>
      </c>
      <c r="J6" s="136" t="str">
        <f t="shared" si="2"/>
        <v>USDAM3L15M_Quote</v>
      </c>
      <c r="K6" s="137" t="str">
        <f>_xll.qlSwapRateHelper2(,$J6,$C6,Calendar,$F6,$G6,$H6,$K$3,$I6,B6,DiscountingCurve,Permanent,,ObjectOverwrite)</f>
        <v>obj_0062f#0001</v>
      </c>
      <c r="L6" s="142" t="str">
        <f>_xll.ohRangeRetrieveError(K6)</f>
        <v/>
      </c>
      <c r="M6" s="128"/>
    </row>
    <row r="7" spans="1:17" x14ac:dyDescent="0.2">
      <c r="A7" s="115"/>
      <c r="B7" s="133" t="str">
        <f t="shared" si="3"/>
        <v>0D</v>
      </c>
      <c r="C7" s="133" t="s">
        <v>34</v>
      </c>
      <c r="D7" s="133" t="str">
        <f t="shared" si="4"/>
        <v>AM</v>
      </c>
      <c r="E7" s="133" t="str">
        <f t="shared" si="5"/>
        <v>1L</v>
      </c>
      <c r="F7" s="134" t="s">
        <v>102</v>
      </c>
      <c r="G7" s="138" t="s">
        <v>101</v>
      </c>
      <c r="H7" s="138" t="str">
        <f t="shared" si="0"/>
        <v>Actual/360</v>
      </c>
      <c r="I7" s="135" t="str">
        <f t="shared" si="1"/>
        <v>USD3L1L18M_Quote</v>
      </c>
      <c r="J7" s="136" t="str">
        <f t="shared" si="2"/>
        <v>USDAM3L18M_Quote</v>
      </c>
      <c r="K7" s="137" t="str">
        <f>_xll.qlSwapRateHelper2(,$J7,$C7,Calendar,$F7,$G7,$H7,$K$3,$I7,B7,DiscountingCurve,Permanent,,ObjectOverwrite)</f>
        <v>obj_00630#0001</v>
      </c>
      <c r="L7" s="142" t="str">
        <f>_xll.ohRangeRetrieveError(K7)</f>
        <v/>
      </c>
      <c r="M7" s="128"/>
    </row>
    <row r="8" spans="1:17" ht="12" thickBot="1" x14ac:dyDescent="0.25">
      <c r="A8" s="115"/>
      <c r="B8" s="133" t="str">
        <f t="shared" si="3"/>
        <v>0D</v>
      </c>
      <c r="C8" s="133" t="s">
        <v>33</v>
      </c>
      <c r="D8" s="133" t="str">
        <f t="shared" si="4"/>
        <v>AM</v>
      </c>
      <c r="E8" s="133" t="str">
        <f t="shared" si="5"/>
        <v>1L</v>
      </c>
      <c r="F8" s="134" t="s">
        <v>102</v>
      </c>
      <c r="G8" s="138" t="s">
        <v>101</v>
      </c>
      <c r="H8" s="138" t="str">
        <f t="shared" si="0"/>
        <v>Actual/360</v>
      </c>
      <c r="I8" s="135" t="str">
        <f t="shared" si="1"/>
        <v>USD3L1L21M_Quote</v>
      </c>
      <c r="J8" s="136" t="str">
        <f t="shared" si="2"/>
        <v>USDAM3L21M_Quote</v>
      </c>
      <c r="K8" s="137" t="str">
        <f>_xll.qlSwapRateHelper2(,$J8,$C8,Calendar,$F8,$G8,$H8,$K$3,$I8,B8,DiscountingCurve,Permanent,,ObjectOverwrite)</f>
        <v>obj_00631#0001</v>
      </c>
      <c r="L8" s="142" t="str">
        <f>_xll.ohRangeRetrieveError(K8)</f>
        <v/>
      </c>
      <c r="M8" s="128"/>
    </row>
    <row r="9" spans="1:17" x14ac:dyDescent="0.2">
      <c r="A9" s="115"/>
      <c r="B9" s="133" t="str">
        <f t="shared" si="3"/>
        <v>0D</v>
      </c>
      <c r="C9" s="133" t="s">
        <v>32</v>
      </c>
      <c r="D9" s="133" t="str">
        <f t="shared" si="4"/>
        <v>AM</v>
      </c>
      <c r="E9" s="133" t="str">
        <f t="shared" si="5"/>
        <v>1L</v>
      </c>
      <c r="F9" s="134" t="s">
        <v>102</v>
      </c>
      <c r="G9" s="138" t="s">
        <v>101</v>
      </c>
      <c r="H9" s="138" t="str">
        <f t="shared" si="0"/>
        <v>Actual/360</v>
      </c>
      <c r="I9" s="135" t="str">
        <f t="shared" si="1"/>
        <v>USD3L1L2Y_Quote</v>
      </c>
      <c r="J9" s="136" t="str">
        <f t="shared" si="2"/>
        <v>USDAM3L2Y_Quote</v>
      </c>
      <c r="K9" s="137" t="str">
        <f>_xll.qlSwapRateHelper2(,$J9,$C9,Calendar,$F9,$G9,$H9,$K$3,$I9,B9,DiscountingCurve,Permanent,,ObjectOverwrite)</f>
        <v>obj_00632#0001</v>
      </c>
      <c r="L9" s="142" t="str">
        <f>_xll.ohRangeRetrieveError(K9)</f>
        <v/>
      </c>
      <c r="M9" s="128"/>
      <c r="O9" s="144" t="s">
        <v>86</v>
      </c>
      <c r="P9" s="145" t="s">
        <v>83</v>
      </c>
      <c r="Q9" s="146" t="s">
        <v>127</v>
      </c>
    </row>
    <row r="10" spans="1:17" x14ac:dyDescent="0.2">
      <c r="A10" s="115"/>
      <c r="B10" s="133" t="str">
        <f t="shared" si="3"/>
        <v>0D</v>
      </c>
      <c r="C10" s="133" t="s">
        <v>31</v>
      </c>
      <c r="D10" s="133" t="str">
        <f t="shared" si="4"/>
        <v>AM</v>
      </c>
      <c r="E10" s="133" t="str">
        <f t="shared" si="5"/>
        <v>1L</v>
      </c>
      <c r="F10" s="134" t="s">
        <v>102</v>
      </c>
      <c r="G10" s="138" t="s">
        <v>101</v>
      </c>
      <c r="H10" s="138" t="str">
        <f t="shared" si="0"/>
        <v>Actual/360</v>
      </c>
      <c r="I10" s="135" t="str">
        <f t="shared" si="1"/>
        <v>USD3L1L3Y_Quote</v>
      </c>
      <c r="J10" s="136" t="str">
        <f t="shared" si="2"/>
        <v>USDAM3L3Y_Quote</v>
      </c>
      <c r="K10" s="137" t="str">
        <f>_xll.qlSwapRateHelper2(,$J10,$C10,Calendar,$F10,$G10,$H10,$K$3,$I10,B10,DiscountingCurve,Permanent,,ObjectOverwrite)</f>
        <v>obj_00633#0001</v>
      </c>
      <c r="L10" s="142" t="str">
        <f>_xll.ohRangeRetrieveError(K10)</f>
        <v/>
      </c>
      <c r="M10" s="128"/>
      <c r="O10" s="147" t="s">
        <v>84</v>
      </c>
      <c r="P10" s="148" t="s">
        <v>83</v>
      </c>
      <c r="Q10" s="149" t="s">
        <v>128</v>
      </c>
    </row>
    <row r="11" spans="1:17" x14ac:dyDescent="0.2">
      <c r="A11" s="115"/>
      <c r="B11" s="133" t="str">
        <f t="shared" si="3"/>
        <v>0D</v>
      </c>
      <c r="C11" s="133" t="s">
        <v>30</v>
      </c>
      <c r="D11" s="133" t="str">
        <f t="shared" si="4"/>
        <v>AM</v>
      </c>
      <c r="E11" s="133" t="str">
        <f t="shared" si="5"/>
        <v>1L</v>
      </c>
      <c r="F11" s="134" t="s">
        <v>102</v>
      </c>
      <c r="G11" s="138" t="s">
        <v>101</v>
      </c>
      <c r="H11" s="138" t="str">
        <f t="shared" si="0"/>
        <v>Actual/360</v>
      </c>
      <c r="I11" s="135" t="str">
        <f t="shared" si="1"/>
        <v>USD3L1L4Y_Quote</v>
      </c>
      <c r="J11" s="136" t="str">
        <f t="shared" si="2"/>
        <v>USDAM3L4Y_Quote</v>
      </c>
      <c r="K11" s="137" t="str">
        <f>_xll.qlSwapRateHelper2(,$J11,$C11,Calendar,$F11,$G11,$H11,$K$3,$I11,B11,DiscountingCurve,Permanent,,ObjectOverwrite)</f>
        <v>obj_00634#0001</v>
      </c>
      <c r="L11" s="142" t="str">
        <f>_xll.ohRangeRetrieveError(K11)</f>
        <v/>
      </c>
      <c r="M11" s="128"/>
      <c r="O11" s="147" t="s">
        <v>81</v>
      </c>
      <c r="P11" s="148" t="s">
        <v>75</v>
      </c>
      <c r="Q11" s="149" t="s">
        <v>127</v>
      </c>
    </row>
    <row r="12" spans="1:17" x14ac:dyDescent="0.2">
      <c r="A12" s="115"/>
      <c r="B12" s="133" t="str">
        <f t="shared" si="3"/>
        <v>0D</v>
      </c>
      <c r="C12" s="133" t="s">
        <v>29</v>
      </c>
      <c r="D12" s="133" t="str">
        <f t="shared" si="4"/>
        <v>AM</v>
      </c>
      <c r="E12" s="133" t="str">
        <f t="shared" si="5"/>
        <v>1L</v>
      </c>
      <c r="F12" s="134" t="s">
        <v>102</v>
      </c>
      <c r="G12" s="138" t="s">
        <v>101</v>
      </c>
      <c r="H12" s="138" t="str">
        <f t="shared" si="0"/>
        <v>Actual/360</v>
      </c>
      <c r="I12" s="135" t="str">
        <f t="shared" si="1"/>
        <v>USD3L1L5Y_Quote</v>
      </c>
      <c r="J12" s="136" t="str">
        <f t="shared" si="2"/>
        <v>USDAM3L5Y_Quote</v>
      </c>
      <c r="K12" s="137" t="str">
        <f>_xll.qlSwapRateHelper2(,$J12,$C12,Calendar,$F12,$G12,$H12,$K$3,$I12,B12,DiscountingCurve,Permanent,,ObjectOverwrite)</f>
        <v>obj_00635#0001</v>
      </c>
      <c r="L12" s="142" t="str">
        <f>_xll.ohRangeRetrieveError(K12)</f>
        <v/>
      </c>
      <c r="M12" s="128"/>
      <c r="O12" s="147" t="s">
        <v>78</v>
      </c>
      <c r="P12" s="148" t="s">
        <v>80</v>
      </c>
      <c r="Q12" s="149" t="s">
        <v>127</v>
      </c>
    </row>
    <row r="13" spans="1:17" ht="12" thickBot="1" x14ac:dyDescent="0.25">
      <c r="A13" s="115"/>
      <c r="B13" s="133" t="str">
        <f t="shared" si="3"/>
        <v>0D</v>
      </c>
      <c r="C13" s="133" t="s">
        <v>28</v>
      </c>
      <c r="D13" s="133" t="str">
        <f t="shared" si="4"/>
        <v>AM</v>
      </c>
      <c r="E13" s="133" t="str">
        <f t="shared" si="5"/>
        <v>1L</v>
      </c>
      <c r="F13" s="134" t="s">
        <v>102</v>
      </c>
      <c r="G13" s="138" t="s">
        <v>101</v>
      </c>
      <c r="H13" s="138" t="str">
        <f t="shared" si="0"/>
        <v>Actual/360</v>
      </c>
      <c r="I13" s="135" t="str">
        <f t="shared" si="1"/>
        <v>USD3L1L6Y_Quote</v>
      </c>
      <c r="J13" s="136" t="str">
        <f t="shared" si="2"/>
        <v>USDAM3L6Y_Quote</v>
      </c>
      <c r="K13" s="137" t="str">
        <f>_xll.qlSwapRateHelper2(,$J13,$C13,Calendar,$F13,$G13,$H13,$K$3,$I13,B13,DiscountingCurve,Permanent,,ObjectOverwrite)</f>
        <v>obj_00636#0001</v>
      </c>
      <c r="L13" s="142" t="str">
        <f>_xll.ohRangeRetrieveError(K13)</f>
        <v/>
      </c>
      <c r="M13" s="128"/>
      <c r="O13" s="150" t="s">
        <v>76</v>
      </c>
      <c r="P13" s="151" t="s">
        <v>75</v>
      </c>
      <c r="Q13" s="152" t="s">
        <v>127</v>
      </c>
    </row>
    <row r="14" spans="1:17" x14ac:dyDescent="0.2">
      <c r="A14" s="115"/>
      <c r="B14" s="133" t="str">
        <f t="shared" si="3"/>
        <v>0D</v>
      </c>
      <c r="C14" s="133" t="s">
        <v>27</v>
      </c>
      <c r="D14" s="133" t="str">
        <f t="shared" si="4"/>
        <v>AM</v>
      </c>
      <c r="E14" s="133" t="str">
        <f t="shared" si="5"/>
        <v>1L</v>
      </c>
      <c r="F14" s="134" t="s">
        <v>102</v>
      </c>
      <c r="G14" s="138" t="s">
        <v>101</v>
      </c>
      <c r="H14" s="138" t="str">
        <f t="shared" si="0"/>
        <v>Actual/360</v>
      </c>
      <c r="I14" s="135" t="str">
        <f t="shared" si="1"/>
        <v>USD3L1L7Y_Quote</v>
      </c>
      <c r="J14" s="136" t="str">
        <f t="shared" si="2"/>
        <v>USDAM3L7Y_Quote</v>
      </c>
      <c r="K14" s="137" t="str">
        <f>_xll.qlSwapRateHelper2(,$J14,$C14,Calendar,$F14,$G14,$H14,$K$3,$I14,B14,DiscountingCurve,Permanent,,ObjectOverwrite)</f>
        <v>obj_00637#0001</v>
      </c>
      <c r="L14" s="142" t="str">
        <f>_xll.ohRangeRetrieveError(K14)</f>
        <v/>
      </c>
      <c r="M14" s="128"/>
      <c r="O14" s="148"/>
      <c r="P14" s="148"/>
      <c r="Q14" s="148"/>
    </row>
    <row r="15" spans="1:17" x14ac:dyDescent="0.2">
      <c r="A15" s="115"/>
      <c r="B15" s="133" t="str">
        <f t="shared" si="3"/>
        <v>0D</v>
      </c>
      <c r="C15" s="133" t="s">
        <v>26</v>
      </c>
      <c r="D15" s="133" t="str">
        <f t="shared" si="4"/>
        <v>AM</v>
      </c>
      <c r="E15" s="133" t="str">
        <f t="shared" si="5"/>
        <v>1L</v>
      </c>
      <c r="F15" s="134" t="s">
        <v>102</v>
      </c>
      <c r="G15" s="138" t="s">
        <v>101</v>
      </c>
      <c r="H15" s="138" t="str">
        <f t="shared" si="0"/>
        <v>Actual/360</v>
      </c>
      <c r="I15" s="135" t="str">
        <f t="shared" si="1"/>
        <v>USD3L1L8Y_Quote</v>
      </c>
      <c r="J15" s="136" t="str">
        <f t="shared" si="2"/>
        <v>USDAM3L8Y_Quote</v>
      </c>
      <c r="K15" s="137" t="str">
        <f>_xll.qlSwapRateHelper2(,$J15,$C15,Calendar,$F15,$G15,$H15,$K$3,$I15,B15,DiscountingCurve,Permanent,,ObjectOverwrite)</f>
        <v>obj_00638#0001</v>
      </c>
      <c r="L15" s="142" t="str">
        <f>_xll.ohRangeRetrieveError(K15)</f>
        <v/>
      </c>
      <c r="M15" s="128"/>
    </row>
    <row r="16" spans="1:17" x14ac:dyDescent="0.2">
      <c r="A16" s="115"/>
      <c r="B16" s="133" t="str">
        <f t="shared" si="3"/>
        <v>0D</v>
      </c>
      <c r="C16" s="133" t="s">
        <v>25</v>
      </c>
      <c r="D16" s="133" t="str">
        <f t="shared" si="4"/>
        <v>AM</v>
      </c>
      <c r="E16" s="133" t="str">
        <f t="shared" si="5"/>
        <v>1L</v>
      </c>
      <c r="F16" s="134" t="s">
        <v>102</v>
      </c>
      <c r="G16" s="138" t="s">
        <v>101</v>
      </c>
      <c r="H16" s="138" t="str">
        <f t="shared" si="0"/>
        <v>Actual/360</v>
      </c>
      <c r="I16" s="135" t="str">
        <f t="shared" si="1"/>
        <v>USD3L1L9Y_Quote</v>
      </c>
      <c r="J16" s="136" t="str">
        <f t="shared" si="2"/>
        <v>USDAM3L9Y_Quote</v>
      </c>
      <c r="K16" s="137" t="str">
        <f>_xll.qlSwapRateHelper2(,$J16,$C16,Calendar,$F16,$G16,$H16,$K$3,$I16,B16,DiscountingCurve,Permanent,,ObjectOverwrite)</f>
        <v>obj_00639#0001</v>
      </c>
      <c r="L16" s="142" t="str">
        <f>_xll.ohRangeRetrieveError(K16)</f>
        <v/>
      </c>
      <c r="M16" s="128"/>
    </row>
    <row r="17" spans="1:13" x14ac:dyDescent="0.2">
      <c r="A17" s="115"/>
      <c r="B17" s="133" t="str">
        <f t="shared" si="3"/>
        <v>0D</v>
      </c>
      <c r="C17" s="133" t="s">
        <v>24</v>
      </c>
      <c r="D17" s="133" t="str">
        <f t="shared" si="4"/>
        <v>AM</v>
      </c>
      <c r="E17" s="133" t="str">
        <f t="shared" si="5"/>
        <v>1L</v>
      </c>
      <c r="F17" s="134" t="s">
        <v>102</v>
      </c>
      <c r="G17" s="138" t="s">
        <v>101</v>
      </c>
      <c r="H17" s="138" t="str">
        <f t="shared" si="0"/>
        <v>Actual/360</v>
      </c>
      <c r="I17" s="135" t="str">
        <f t="shared" si="1"/>
        <v>USD3L1L10Y_Quote</v>
      </c>
      <c r="J17" s="136" t="str">
        <f t="shared" si="2"/>
        <v>USDAM3L10Y_Quote</v>
      </c>
      <c r="K17" s="137" t="str">
        <f>_xll.qlSwapRateHelper2(,$J17,$C17,Calendar,$F17,$G17,$H17,$K$3,$I17,B17,DiscountingCurve,Permanent,,ObjectOverwrite)</f>
        <v>obj_0063a#0001</v>
      </c>
      <c r="L17" s="142" t="str">
        <f>_xll.ohRangeRetrieveError(K17)</f>
        <v/>
      </c>
      <c r="M17" s="128"/>
    </row>
    <row r="18" spans="1:13" x14ac:dyDescent="0.2">
      <c r="A18" s="115"/>
      <c r="B18" s="133" t="str">
        <f t="shared" si="3"/>
        <v>0D</v>
      </c>
      <c r="C18" s="133" t="s">
        <v>23</v>
      </c>
      <c r="D18" s="133" t="str">
        <f t="shared" si="4"/>
        <v>AM</v>
      </c>
      <c r="E18" s="133" t="str">
        <f t="shared" si="5"/>
        <v>1L</v>
      </c>
      <c r="F18" s="134" t="s">
        <v>102</v>
      </c>
      <c r="G18" s="138" t="s">
        <v>101</v>
      </c>
      <c r="H18" s="138" t="str">
        <f t="shared" si="0"/>
        <v>Actual/360</v>
      </c>
      <c r="I18" s="135" t="str">
        <f t="shared" si="1"/>
        <v>USD3L1L11Y_Quote</v>
      </c>
      <c r="J18" s="136" t="str">
        <f t="shared" si="2"/>
        <v>USDAM3L11Y_Quote</v>
      </c>
      <c r="K18" s="137" t="str">
        <f>_xll.qlSwapRateHelper2(,$J18,$C18,Calendar,$F18,$G18,$H18,$K$3,$I18,B18,DiscountingCurve,Permanent,,ObjectOverwrite)</f>
        <v>obj_0063b#0001</v>
      </c>
      <c r="L18" s="142" t="str">
        <f>_xll.ohRangeRetrieveError(K18)</f>
        <v/>
      </c>
      <c r="M18" s="128"/>
    </row>
    <row r="19" spans="1:13" x14ac:dyDescent="0.2">
      <c r="A19" s="115"/>
      <c r="B19" s="133" t="str">
        <f t="shared" si="3"/>
        <v>0D</v>
      </c>
      <c r="C19" s="133" t="s">
        <v>22</v>
      </c>
      <c r="D19" s="133" t="str">
        <f t="shared" si="4"/>
        <v>AM</v>
      </c>
      <c r="E19" s="133" t="str">
        <f t="shared" si="5"/>
        <v>1L</v>
      </c>
      <c r="F19" s="134" t="s">
        <v>102</v>
      </c>
      <c r="G19" s="138" t="s">
        <v>101</v>
      </c>
      <c r="H19" s="138" t="str">
        <f t="shared" si="0"/>
        <v>Actual/360</v>
      </c>
      <c r="I19" s="135" t="str">
        <f t="shared" si="1"/>
        <v>USD3L1L12Y_Quote</v>
      </c>
      <c r="J19" s="136" t="str">
        <f t="shared" si="2"/>
        <v>USDAM3L12Y_Quote</v>
      </c>
      <c r="K19" s="137" t="str">
        <f>_xll.qlSwapRateHelper2(,$J19,$C19,Calendar,$F19,$G19,$H19,$K$3,$I19,B19,DiscountingCurve,Permanent,,ObjectOverwrite)</f>
        <v>obj_0063c#0001</v>
      </c>
      <c r="L19" s="142" t="str">
        <f>_xll.ohRangeRetrieveError(K19)</f>
        <v/>
      </c>
      <c r="M19" s="128"/>
    </row>
    <row r="20" spans="1:13" x14ac:dyDescent="0.2">
      <c r="A20" s="115"/>
      <c r="B20" s="133" t="str">
        <f t="shared" si="3"/>
        <v>0D</v>
      </c>
      <c r="C20" s="133" t="s">
        <v>21</v>
      </c>
      <c r="D20" s="133" t="str">
        <f t="shared" si="4"/>
        <v>AM</v>
      </c>
      <c r="E20" s="133" t="str">
        <f t="shared" si="5"/>
        <v>1L</v>
      </c>
      <c r="F20" s="134" t="s">
        <v>102</v>
      </c>
      <c r="G20" s="138" t="s">
        <v>101</v>
      </c>
      <c r="H20" s="138" t="str">
        <f t="shared" si="0"/>
        <v>Actual/360</v>
      </c>
      <c r="I20" s="135" t="str">
        <f t="shared" si="1"/>
        <v>USD3L1L13Y_Quote</v>
      </c>
      <c r="J20" s="136" t="str">
        <f t="shared" si="2"/>
        <v>USDAM3L13Y_Quote</v>
      </c>
      <c r="K20" s="137" t="str">
        <f>_xll.qlSwapRateHelper2(,$J20,$C20,Calendar,$F20,$G20,$H20,$K$3,$I20,B20,DiscountingCurve,Permanent,,ObjectOverwrite)</f>
        <v>obj_0063d#0001</v>
      </c>
      <c r="L20" s="142" t="str">
        <f>_xll.ohRangeRetrieveError(K20)</f>
        <v/>
      </c>
      <c r="M20" s="128"/>
    </row>
    <row r="21" spans="1:13" x14ac:dyDescent="0.2">
      <c r="A21" s="115"/>
      <c r="B21" s="133" t="str">
        <f t="shared" si="3"/>
        <v>0D</v>
      </c>
      <c r="C21" s="133" t="s">
        <v>20</v>
      </c>
      <c r="D21" s="133" t="str">
        <f t="shared" si="4"/>
        <v>AM</v>
      </c>
      <c r="E21" s="133" t="str">
        <f t="shared" si="5"/>
        <v>1L</v>
      </c>
      <c r="F21" s="134" t="s">
        <v>102</v>
      </c>
      <c r="G21" s="138" t="s">
        <v>101</v>
      </c>
      <c r="H21" s="138" t="str">
        <f t="shared" si="0"/>
        <v>Actual/360</v>
      </c>
      <c r="I21" s="135" t="str">
        <f t="shared" si="1"/>
        <v>USD3L1L14Y_Quote</v>
      </c>
      <c r="J21" s="136" t="str">
        <f t="shared" si="2"/>
        <v>USDAM3L14Y_Quote</v>
      </c>
      <c r="K21" s="137" t="str">
        <f>_xll.qlSwapRateHelper2(,$J21,$C21,Calendar,$F21,$G21,$H21,$K$3,$I21,B21,DiscountingCurve,Permanent,,ObjectOverwrite)</f>
        <v>obj_0063e#0001</v>
      </c>
      <c r="L21" s="142" t="str">
        <f>_xll.ohRangeRetrieveError(K21)</f>
        <v/>
      </c>
      <c r="M21" s="128"/>
    </row>
    <row r="22" spans="1:13" x14ac:dyDescent="0.2">
      <c r="A22" s="115"/>
      <c r="B22" s="133" t="str">
        <f t="shared" si="3"/>
        <v>0D</v>
      </c>
      <c r="C22" s="133" t="s">
        <v>19</v>
      </c>
      <c r="D22" s="133" t="str">
        <f t="shared" si="4"/>
        <v>AM</v>
      </c>
      <c r="E22" s="133" t="str">
        <f t="shared" si="5"/>
        <v>1L</v>
      </c>
      <c r="F22" s="134" t="s">
        <v>102</v>
      </c>
      <c r="G22" s="138" t="s">
        <v>101</v>
      </c>
      <c r="H22" s="138" t="str">
        <f t="shared" si="0"/>
        <v>Actual/360</v>
      </c>
      <c r="I22" s="135" t="str">
        <f t="shared" si="1"/>
        <v>USD3L1L15Y_Quote</v>
      </c>
      <c r="J22" s="136" t="str">
        <f t="shared" si="2"/>
        <v>USDAM3L15Y_Quote</v>
      </c>
      <c r="K22" s="137" t="str">
        <f>_xll.qlSwapRateHelper2(,$J22,$C22,Calendar,$F22,$G22,$H22,$K$3,$I22,B22,DiscountingCurve,Permanent,,ObjectOverwrite)</f>
        <v>obj_0063f#0001</v>
      </c>
      <c r="L22" s="142" t="str">
        <f>_xll.ohRangeRetrieveError(K22)</f>
        <v/>
      </c>
      <c r="M22" s="128"/>
    </row>
    <row r="23" spans="1:13" x14ac:dyDescent="0.2">
      <c r="A23" s="115"/>
      <c r="B23" s="133" t="str">
        <f t="shared" si="3"/>
        <v>0D</v>
      </c>
      <c r="C23" s="133" t="s">
        <v>18</v>
      </c>
      <c r="D23" s="133" t="str">
        <f t="shared" si="4"/>
        <v>AM</v>
      </c>
      <c r="E23" s="133" t="str">
        <f t="shared" si="5"/>
        <v>1L</v>
      </c>
      <c r="F23" s="134" t="s">
        <v>102</v>
      </c>
      <c r="G23" s="138" t="s">
        <v>101</v>
      </c>
      <c r="H23" s="138" t="str">
        <f t="shared" si="0"/>
        <v>Actual/360</v>
      </c>
      <c r="I23" s="135" t="str">
        <f t="shared" si="1"/>
        <v>USD3L1L16Y_Quote</v>
      </c>
      <c r="J23" s="136" t="str">
        <f t="shared" si="2"/>
        <v>USDAM3L16Y_Quote</v>
      </c>
      <c r="K23" s="137" t="str">
        <f>_xll.qlSwapRateHelper2(,$J23,$C23,Calendar,$F23,$G23,$H23,$K$3,$I23,B23,DiscountingCurve,Permanent,,ObjectOverwrite)</f>
        <v>obj_00640#0001</v>
      </c>
      <c r="L23" s="142" t="str">
        <f>_xll.ohRangeRetrieveError(K23)</f>
        <v/>
      </c>
      <c r="M23" s="128"/>
    </row>
    <row r="24" spans="1:13" x14ac:dyDescent="0.2">
      <c r="A24" s="115"/>
      <c r="B24" s="133" t="str">
        <f t="shared" si="3"/>
        <v>0D</v>
      </c>
      <c r="C24" s="133" t="s">
        <v>17</v>
      </c>
      <c r="D24" s="133" t="str">
        <f t="shared" si="4"/>
        <v>AM</v>
      </c>
      <c r="E24" s="133" t="str">
        <f t="shared" si="5"/>
        <v>1L</v>
      </c>
      <c r="F24" s="134" t="s">
        <v>102</v>
      </c>
      <c r="G24" s="138" t="s">
        <v>101</v>
      </c>
      <c r="H24" s="138" t="str">
        <f t="shared" si="0"/>
        <v>Actual/360</v>
      </c>
      <c r="I24" s="135" t="str">
        <f t="shared" si="1"/>
        <v>USD3L1L17Y_Quote</v>
      </c>
      <c r="J24" s="136" t="str">
        <f t="shared" si="2"/>
        <v>USDAM3L17Y_Quote</v>
      </c>
      <c r="K24" s="137" t="str">
        <f>_xll.qlSwapRateHelper2(,$J24,$C24,Calendar,$F24,$G24,$H24,$K$3,$I24,B24,DiscountingCurve,Permanent,,ObjectOverwrite)</f>
        <v>obj_00641#0001</v>
      </c>
      <c r="L24" s="142" t="str">
        <f>_xll.ohRangeRetrieveError(K24)</f>
        <v/>
      </c>
      <c r="M24" s="128"/>
    </row>
    <row r="25" spans="1:13" x14ac:dyDescent="0.2">
      <c r="A25" s="115"/>
      <c r="B25" s="133" t="str">
        <f t="shared" si="3"/>
        <v>0D</v>
      </c>
      <c r="C25" s="133" t="s">
        <v>16</v>
      </c>
      <c r="D25" s="133" t="str">
        <f t="shared" si="4"/>
        <v>AM</v>
      </c>
      <c r="E25" s="133" t="str">
        <f t="shared" si="5"/>
        <v>1L</v>
      </c>
      <c r="F25" s="134" t="s">
        <v>102</v>
      </c>
      <c r="G25" s="138" t="s">
        <v>101</v>
      </c>
      <c r="H25" s="138" t="str">
        <f t="shared" si="0"/>
        <v>Actual/360</v>
      </c>
      <c r="I25" s="135" t="str">
        <f t="shared" si="1"/>
        <v>USD3L1L18Y_Quote</v>
      </c>
      <c r="J25" s="136" t="str">
        <f t="shared" si="2"/>
        <v>USDAM3L18Y_Quote</v>
      </c>
      <c r="K25" s="137" t="str">
        <f>_xll.qlSwapRateHelper2(,$J25,$C25,Calendar,$F25,$G25,$H25,$K$3,$I25,B25,DiscountingCurve,Permanent,,ObjectOverwrite)</f>
        <v>obj_00642#0001</v>
      </c>
      <c r="L25" s="142" t="str">
        <f>_xll.ohRangeRetrieveError(K25)</f>
        <v/>
      </c>
      <c r="M25" s="128"/>
    </row>
    <row r="26" spans="1:13" x14ac:dyDescent="0.2">
      <c r="A26" s="115"/>
      <c r="B26" s="133" t="str">
        <f t="shared" si="3"/>
        <v>0D</v>
      </c>
      <c r="C26" s="133" t="s">
        <v>15</v>
      </c>
      <c r="D26" s="133" t="str">
        <f t="shared" si="4"/>
        <v>AM</v>
      </c>
      <c r="E26" s="133" t="str">
        <f t="shared" si="5"/>
        <v>1L</v>
      </c>
      <c r="F26" s="134" t="s">
        <v>102</v>
      </c>
      <c r="G26" s="138" t="s">
        <v>101</v>
      </c>
      <c r="H26" s="138" t="str">
        <f t="shared" si="0"/>
        <v>Actual/360</v>
      </c>
      <c r="I26" s="135" t="str">
        <f t="shared" si="1"/>
        <v>USD3L1L19Y_Quote</v>
      </c>
      <c r="J26" s="136" t="str">
        <f t="shared" si="2"/>
        <v>USDAM3L19Y_Quote</v>
      </c>
      <c r="K26" s="137" t="str">
        <f>_xll.qlSwapRateHelper2(,$J26,$C26,Calendar,$F26,$G26,$H26,$K$3,$I26,B26,DiscountingCurve,Permanent,,ObjectOverwrite)</f>
        <v>obj_00643#0001</v>
      </c>
      <c r="L26" s="142" t="str">
        <f>_xll.ohRangeRetrieveError(K26)</f>
        <v/>
      </c>
      <c r="M26" s="128"/>
    </row>
    <row r="27" spans="1:13" x14ac:dyDescent="0.2">
      <c r="A27" s="115"/>
      <c r="B27" s="133" t="str">
        <f t="shared" si="3"/>
        <v>0D</v>
      </c>
      <c r="C27" s="133" t="s">
        <v>14</v>
      </c>
      <c r="D27" s="133" t="str">
        <f t="shared" si="4"/>
        <v>AM</v>
      </c>
      <c r="E27" s="133" t="str">
        <f t="shared" si="5"/>
        <v>1L</v>
      </c>
      <c r="F27" s="134" t="s">
        <v>102</v>
      </c>
      <c r="G27" s="138" t="s">
        <v>101</v>
      </c>
      <c r="H27" s="138" t="str">
        <f t="shared" si="0"/>
        <v>Actual/360</v>
      </c>
      <c r="I27" s="135" t="str">
        <f t="shared" si="1"/>
        <v>USD3L1L20Y_Quote</v>
      </c>
      <c r="J27" s="136" t="str">
        <f t="shared" si="2"/>
        <v>USDAM3L20Y_Quote</v>
      </c>
      <c r="K27" s="137" t="str">
        <f>_xll.qlSwapRateHelper2(,$J27,$C27,Calendar,$F27,$G27,$H27,$K$3,$I27,B27,DiscountingCurve,Permanent,,ObjectOverwrite)</f>
        <v>obj_00644#0001</v>
      </c>
      <c r="L27" s="142" t="str">
        <f>_xll.ohRangeRetrieveError(K27)</f>
        <v/>
      </c>
      <c r="M27" s="128"/>
    </row>
    <row r="28" spans="1:13" x14ac:dyDescent="0.2">
      <c r="A28" s="115"/>
      <c r="B28" s="133" t="str">
        <f t="shared" si="3"/>
        <v>0D</v>
      </c>
      <c r="C28" s="133" t="s">
        <v>13</v>
      </c>
      <c r="D28" s="133" t="str">
        <f t="shared" si="4"/>
        <v>AM</v>
      </c>
      <c r="E28" s="133" t="str">
        <f t="shared" si="5"/>
        <v>1L</v>
      </c>
      <c r="F28" s="134" t="s">
        <v>102</v>
      </c>
      <c r="G28" s="138" t="s">
        <v>101</v>
      </c>
      <c r="H28" s="138" t="str">
        <f t="shared" si="0"/>
        <v>Actual/360</v>
      </c>
      <c r="I28" s="135" t="str">
        <f t="shared" si="1"/>
        <v>USD3L1L21Y_Quote</v>
      </c>
      <c r="J28" s="136" t="str">
        <f t="shared" si="2"/>
        <v>USDAM3L21Y_Quote</v>
      </c>
      <c r="K28" s="137" t="str">
        <f>_xll.qlSwapRateHelper2(,$J28,$C28,Calendar,$F28,$G28,$H28,$K$3,$I28,B28,DiscountingCurve,Permanent,,ObjectOverwrite)</f>
        <v>obj_00645#0001</v>
      </c>
      <c r="L28" s="142" t="str">
        <f>_xll.ohRangeRetrieveError(K28)</f>
        <v/>
      </c>
      <c r="M28" s="128"/>
    </row>
    <row r="29" spans="1:13" x14ac:dyDescent="0.2">
      <c r="A29" s="115"/>
      <c r="B29" s="133" t="str">
        <f t="shared" si="3"/>
        <v>0D</v>
      </c>
      <c r="C29" s="133" t="s">
        <v>12</v>
      </c>
      <c r="D29" s="133" t="str">
        <f t="shared" si="4"/>
        <v>AM</v>
      </c>
      <c r="E29" s="133" t="str">
        <f t="shared" si="5"/>
        <v>1L</v>
      </c>
      <c r="F29" s="134" t="s">
        <v>102</v>
      </c>
      <c r="G29" s="138" t="s">
        <v>101</v>
      </c>
      <c r="H29" s="138" t="str">
        <f t="shared" si="0"/>
        <v>Actual/360</v>
      </c>
      <c r="I29" s="135" t="str">
        <f t="shared" si="1"/>
        <v>USD3L1L22Y_Quote</v>
      </c>
      <c r="J29" s="136" t="str">
        <f t="shared" si="2"/>
        <v>USDAM3L22Y_Quote</v>
      </c>
      <c r="K29" s="137" t="str">
        <f>_xll.qlSwapRateHelper2(,$J29,$C29,Calendar,$F29,$G29,$H29,$K$3,$I29,B29,DiscountingCurve,Permanent,,ObjectOverwrite)</f>
        <v>obj_00646#0001</v>
      </c>
      <c r="L29" s="142" t="str">
        <f>_xll.ohRangeRetrieveError(K29)</f>
        <v/>
      </c>
      <c r="M29" s="128"/>
    </row>
    <row r="30" spans="1:13" x14ac:dyDescent="0.2">
      <c r="A30" s="115"/>
      <c r="B30" s="133" t="str">
        <f t="shared" si="3"/>
        <v>0D</v>
      </c>
      <c r="C30" s="133" t="s">
        <v>11</v>
      </c>
      <c r="D30" s="133" t="str">
        <f t="shared" si="4"/>
        <v>AM</v>
      </c>
      <c r="E30" s="133" t="str">
        <f t="shared" si="5"/>
        <v>1L</v>
      </c>
      <c r="F30" s="134" t="s">
        <v>102</v>
      </c>
      <c r="G30" s="138" t="s">
        <v>101</v>
      </c>
      <c r="H30" s="138" t="str">
        <f t="shared" si="0"/>
        <v>Actual/360</v>
      </c>
      <c r="I30" s="135" t="str">
        <f t="shared" si="1"/>
        <v>USD3L1L23Y_Quote</v>
      </c>
      <c r="J30" s="136" t="str">
        <f t="shared" si="2"/>
        <v>USDAM3L23Y_Quote</v>
      </c>
      <c r="K30" s="137" t="str">
        <f>_xll.qlSwapRateHelper2(,$J30,$C30,Calendar,$F30,$G30,$H30,$K$3,$I30,B30,DiscountingCurve,Permanent,,ObjectOverwrite)</f>
        <v>obj_00647#0001</v>
      </c>
      <c r="L30" s="142" t="str">
        <f>_xll.ohRangeRetrieveError(K30)</f>
        <v/>
      </c>
      <c r="M30" s="128"/>
    </row>
    <row r="31" spans="1:13" x14ac:dyDescent="0.2">
      <c r="A31" s="115"/>
      <c r="B31" s="133" t="str">
        <f t="shared" si="3"/>
        <v>0D</v>
      </c>
      <c r="C31" s="133" t="s">
        <v>10</v>
      </c>
      <c r="D31" s="133" t="str">
        <f t="shared" si="4"/>
        <v>AM</v>
      </c>
      <c r="E31" s="133" t="str">
        <f t="shared" si="5"/>
        <v>1L</v>
      </c>
      <c r="F31" s="134" t="s">
        <v>102</v>
      </c>
      <c r="G31" s="138" t="s">
        <v>101</v>
      </c>
      <c r="H31" s="138" t="str">
        <f t="shared" si="0"/>
        <v>Actual/360</v>
      </c>
      <c r="I31" s="135" t="str">
        <f t="shared" si="1"/>
        <v>USD3L1L24Y_Quote</v>
      </c>
      <c r="J31" s="136" t="str">
        <f t="shared" si="2"/>
        <v>USDAM3L24Y_Quote</v>
      </c>
      <c r="K31" s="137" t="str">
        <f>_xll.qlSwapRateHelper2(,$J31,$C31,Calendar,$F31,$G31,$H31,$K$3,$I31,B31,DiscountingCurve,Permanent,,ObjectOverwrite)</f>
        <v>obj_00648#0001</v>
      </c>
      <c r="L31" s="142" t="str">
        <f>_xll.ohRangeRetrieveError(K31)</f>
        <v/>
      </c>
      <c r="M31" s="128"/>
    </row>
    <row r="32" spans="1:13" x14ac:dyDescent="0.2">
      <c r="A32" s="115"/>
      <c r="B32" s="133" t="str">
        <f t="shared" si="3"/>
        <v>0D</v>
      </c>
      <c r="C32" s="133" t="s">
        <v>9</v>
      </c>
      <c r="D32" s="133" t="str">
        <f t="shared" si="4"/>
        <v>AM</v>
      </c>
      <c r="E32" s="133" t="str">
        <f t="shared" si="5"/>
        <v>1L</v>
      </c>
      <c r="F32" s="134" t="s">
        <v>102</v>
      </c>
      <c r="G32" s="138" t="s">
        <v>101</v>
      </c>
      <c r="H32" s="138" t="str">
        <f t="shared" si="0"/>
        <v>Actual/360</v>
      </c>
      <c r="I32" s="135" t="str">
        <f t="shared" si="1"/>
        <v>USD3L1L25Y_Quote</v>
      </c>
      <c r="J32" s="136" t="str">
        <f t="shared" si="2"/>
        <v>USDAM3L25Y_Quote</v>
      </c>
      <c r="K32" s="137" t="str">
        <f>_xll.qlSwapRateHelper2(,$J32,$C32,Calendar,$F32,$G32,$H32,$K$3,$I32,B32,DiscountingCurve,Permanent,,ObjectOverwrite)</f>
        <v>obj_00649#0001</v>
      </c>
      <c r="L32" s="142" t="str">
        <f>_xll.ohRangeRetrieveError(K32)</f>
        <v/>
      </c>
      <c r="M32" s="128"/>
    </row>
    <row r="33" spans="1:13" x14ac:dyDescent="0.2">
      <c r="A33" s="115"/>
      <c r="B33" s="133" t="str">
        <f t="shared" si="3"/>
        <v>0D</v>
      </c>
      <c r="C33" s="133" t="s">
        <v>8</v>
      </c>
      <c r="D33" s="133" t="str">
        <f t="shared" si="4"/>
        <v>AM</v>
      </c>
      <c r="E33" s="133" t="str">
        <f t="shared" si="5"/>
        <v>1L</v>
      </c>
      <c r="F33" s="134" t="s">
        <v>102</v>
      </c>
      <c r="G33" s="138" t="s">
        <v>101</v>
      </c>
      <c r="H33" s="138" t="str">
        <f t="shared" si="0"/>
        <v>Actual/360</v>
      </c>
      <c r="I33" s="135" t="str">
        <f t="shared" si="1"/>
        <v>USD3L1L26Y_Quote</v>
      </c>
      <c r="J33" s="136" t="str">
        <f t="shared" si="2"/>
        <v>USDAM3L26Y_Quote</v>
      </c>
      <c r="K33" s="137" t="str">
        <f>_xll.qlSwapRateHelper2(,$J33,$C33,Calendar,$F33,$G33,$H33,$K$3,$I33,B33,DiscountingCurve,Permanent,,ObjectOverwrite)</f>
        <v>obj_0064a#0001</v>
      </c>
      <c r="L33" s="142" t="str">
        <f>_xll.ohRangeRetrieveError(K33)</f>
        <v/>
      </c>
      <c r="M33" s="128"/>
    </row>
    <row r="34" spans="1:13" x14ac:dyDescent="0.2">
      <c r="A34" s="115"/>
      <c r="B34" s="133" t="str">
        <f t="shared" si="3"/>
        <v>0D</v>
      </c>
      <c r="C34" s="133" t="s">
        <v>7</v>
      </c>
      <c r="D34" s="133" t="str">
        <f t="shared" si="4"/>
        <v>AM</v>
      </c>
      <c r="E34" s="133" t="str">
        <f t="shared" si="5"/>
        <v>1L</v>
      </c>
      <c r="F34" s="134" t="s">
        <v>102</v>
      </c>
      <c r="G34" s="138" t="s">
        <v>101</v>
      </c>
      <c r="H34" s="138" t="str">
        <f t="shared" si="0"/>
        <v>Actual/360</v>
      </c>
      <c r="I34" s="135" t="str">
        <f t="shared" si="1"/>
        <v>USD3L1L27Y_Quote</v>
      </c>
      <c r="J34" s="136" t="str">
        <f t="shared" si="2"/>
        <v>USDAM3L27Y_Quote</v>
      </c>
      <c r="K34" s="137" t="str">
        <f>_xll.qlSwapRateHelper2(,$J34,$C34,Calendar,$F34,$G34,$H34,$K$3,$I34,B34,DiscountingCurve,Permanent,,ObjectOverwrite)</f>
        <v>obj_0064b#0001</v>
      </c>
      <c r="L34" s="142" t="str">
        <f>_xll.ohRangeRetrieveError(K34)</f>
        <v/>
      </c>
      <c r="M34" s="128"/>
    </row>
    <row r="35" spans="1:13" x14ac:dyDescent="0.2">
      <c r="A35" s="115"/>
      <c r="B35" s="133" t="str">
        <f t="shared" si="3"/>
        <v>0D</v>
      </c>
      <c r="C35" s="133" t="s">
        <v>6</v>
      </c>
      <c r="D35" s="133" t="str">
        <f t="shared" si="4"/>
        <v>AM</v>
      </c>
      <c r="E35" s="133" t="str">
        <f t="shared" si="5"/>
        <v>1L</v>
      </c>
      <c r="F35" s="134" t="s">
        <v>102</v>
      </c>
      <c r="G35" s="138" t="s">
        <v>101</v>
      </c>
      <c r="H35" s="138" t="str">
        <f t="shared" si="0"/>
        <v>Actual/360</v>
      </c>
      <c r="I35" s="135" t="str">
        <f t="shared" si="1"/>
        <v>USD3L1L28Y_Quote</v>
      </c>
      <c r="J35" s="136" t="str">
        <f t="shared" si="2"/>
        <v>USDAM3L28Y_Quote</v>
      </c>
      <c r="K35" s="137" t="str">
        <f>_xll.qlSwapRateHelper2(,$J35,$C35,Calendar,$F35,$G35,$H35,$K$3,$I35,B35,DiscountingCurve,Permanent,,ObjectOverwrite)</f>
        <v>obj_0064c#0001</v>
      </c>
      <c r="L35" s="142" t="str">
        <f>_xll.ohRangeRetrieveError(K35)</f>
        <v/>
      </c>
      <c r="M35" s="128"/>
    </row>
    <row r="36" spans="1:13" x14ac:dyDescent="0.2">
      <c r="A36" s="115"/>
      <c r="B36" s="133" t="str">
        <f t="shared" si="3"/>
        <v>0D</v>
      </c>
      <c r="C36" s="133" t="s">
        <v>5</v>
      </c>
      <c r="D36" s="133" t="str">
        <f t="shared" si="4"/>
        <v>AM</v>
      </c>
      <c r="E36" s="133" t="str">
        <f t="shared" si="5"/>
        <v>1L</v>
      </c>
      <c r="F36" s="134" t="s">
        <v>102</v>
      </c>
      <c r="G36" s="138" t="s">
        <v>101</v>
      </c>
      <c r="H36" s="138" t="str">
        <f t="shared" si="0"/>
        <v>Actual/360</v>
      </c>
      <c r="I36" s="135" t="str">
        <f t="shared" si="1"/>
        <v>USD3L1L29Y_Quote</v>
      </c>
      <c r="J36" s="136" t="str">
        <f t="shared" si="2"/>
        <v>USDAM3L29Y_Quote</v>
      </c>
      <c r="K36" s="137" t="str">
        <f>_xll.qlSwapRateHelper2(,$J36,$C36,Calendar,$F36,$G36,$H36,$K$3,$I36,B36,DiscountingCurve,Permanent,,ObjectOverwrite)</f>
        <v>obj_0064d#0001</v>
      </c>
      <c r="L36" s="142" t="str">
        <f>_xll.ohRangeRetrieveError(K36)</f>
        <v/>
      </c>
      <c r="M36" s="128"/>
    </row>
    <row r="37" spans="1:13" x14ac:dyDescent="0.2">
      <c r="A37" s="115"/>
      <c r="B37" s="133" t="str">
        <f t="shared" si="3"/>
        <v>0D</v>
      </c>
      <c r="C37" s="133" t="s">
        <v>4</v>
      </c>
      <c r="D37" s="133" t="str">
        <f t="shared" si="4"/>
        <v>AM</v>
      </c>
      <c r="E37" s="133" t="str">
        <f t="shared" si="5"/>
        <v>1L</v>
      </c>
      <c r="F37" s="134" t="s">
        <v>102</v>
      </c>
      <c r="G37" s="138" t="s">
        <v>101</v>
      </c>
      <c r="H37" s="138" t="str">
        <f t="shared" si="0"/>
        <v>Actual/360</v>
      </c>
      <c r="I37" s="135" t="str">
        <f t="shared" si="1"/>
        <v>USD3L1L30Y_Quote</v>
      </c>
      <c r="J37" s="136" t="str">
        <f t="shared" si="2"/>
        <v>USDAM3L30Y_Quote</v>
      </c>
      <c r="K37" s="137" t="str">
        <f>_xll.qlSwapRateHelper2(,$J37,$C37,Calendar,$F37,$G37,$H37,$K$3,$I37,B37,DiscountingCurve,Permanent,,ObjectOverwrite)</f>
        <v>obj_0064e#0001</v>
      </c>
      <c r="L37" s="142" t="str">
        <f>_xll.ohRangeRetrieveError(K37)</f>
        <v/>
      </c>
      <c r="M37" s="128"/>
    </row>
    <row r="38" spans="1:13" x14ac:dyDescent="0.2">
      <c r="A38" s="115"/>
      <c r="B38" s="133" t="str">
        <f t="shared" si="3"/>
        <v>0D</v>
      </c>
      <c r="C38" s="133" t="s">
        <v>3</v>
      </c>
      <c r="D38" s="133" t="str">
        <f t="shared" si="4"/>
        <v>AM</v>
      </c>
      <c r="E38" s="133" t="str">
        <f t="shared" si="5"/>
        <v>1L</v>
      </c>
      <c r="F38" s="134" t="s">
        <v>102</v>
      </c>
      <c r="G38" s="138" t="s">
        <v>101</v>
      </c>
      <c r="H38" s="138" t="str">
        <f t="shared" si="0"/>
        <v>Actual/360</v>
      </c>
      <c r="I38" s="135" t="str">
        <f t="shared" si="1"/>
        <v>USD3L1L35Y_Quote</v>
      </c>
      <c r="J38" s="136" t="str">
        <f t="shared" si="2"/>
        <v>USDAM3L35Y_Quote</v>
      </c>
      <c r="K38" s="137" t="str">
        <f>_xll.qlSwapRateHelper2(,$J38,$C38,Calendar,$F38,$G38,$H38,$K$3,$I38,B38,DiscountingCurve,Permanent,,ObjectOverwrite)</f>
        <v>obj_0064f#0001</v>
      </c>
      <c r="L38" s="142" t="str">
        <f>_xll.ohRangeRetrieveError(K38)</f>
        <v/>
      </c>
      <c r="M38" s="128"/>
    </row>
    <row r="39" spans="1:13" x14ac:dyDescent="0.2">
      <c r="A39" s="115"/>
      <c r="B39" s="133" t="str">
        <f t="shared" si="3"/>
        <v>0D</v>
      </c>
      <c r="C39" s="133" t="s">
        <v>2</v>
      </c>
      <c r="D39" s="133" t="str">
        <f t="shared" si="4"/>
        <v>AM</v>
      </c>
      <c r="E39" s="133" t="str">
        <f t="shared" si="5"/>
        <v>1L</v>
      </c>
      <c r="F39" s="134" t="s">
        <v>102</v>
      </c>
      <c r="G39" s="138" t="s">
        <v>101</v>
      </c>
      <c r="H39" s="138" t="str">
        <f t="shared" si="0"/>
        <v>Actual/360</v>
      </c>
      <c r="I39" s="135" t="str">
        <f t="shared" si="1"/>
        <v>USD3L1L40Y_Quote</v>
      </c>
      <c r="J39" s="136" t="str">
        <f t="shared" si="2"/>
        <v>USDAM3L40Y_Quote</v>
      </c>
      <c r="K39" s="137" t="str">
        <f>_xll.qlSwapRateHelper2(,$J39,$C39,Calendar,$F39,$G39,$H39,$K$3,$I39,B39,DiscountingCurve,Permanent,,ObjectOverwrite)</f>
        <v>obj_00650#0001</v>
      </c>
      <c r="L39" s="142" t="str">
        <f>_xll.ohRangeRetrieveError(K39)</f>
        <v/>
      </c>
      <c r="M39" s="128"/>
    </row>
    <row r="40" spans="1:13" x14ac:dyDescent="0.2">
      <c r="A40" s="115"/>
      <c r="B40" s="133" t="str">
        <f t="shared" si="3"/>
        <v>0D</v>
      </c>
      <c r="C40" s="133" t="s">
        <v>1</v>
      </c>
      <c r="D40" s="133" t="str">
        <f t="shared" si="4"/>
        <v>AM</v>
      </c>
      <c r="E40" s="133" t="str">
        <f t="shared" si="5"/>
        <v>1L</v>
      </c>
      <c r="F40" s="134" t="s">
        <v>102</v>
      </c>
      <c r="G40" s="138" t="s">
        <v>101</v>
      </c>
      <c r="H40" s="138" t="str">
        <f t="shared" si="0"/>
        <v>Actual/360</v>
      </c>
      <c r="I40" s="135" t="str">
        <f t="shared" si="1"/>
        <v>USD3L1L50Y_Quote</v>
      </c>
      <c r="J40" s="136" t="str">
        <f t="shared" si="2"/>
        <v>USDAM3L50Y_Quote</v>
      </c>
      <c r="K40" s="137" t="str">
        <f>_xll.qlSwapRateHelper2(,$J40,$C40,Calendar,$F40,$G40,$H40,$K$3,$I40,B40,DiscountingCurve,Permanent,,ObjectOverwrite)</f>
        <v>obj_00651#0001</v>
      </c>
      <c r="L40" s="142" t="str">
        <f>_xll.ohRangeRetrieveError(K40)</f>
        <v/>
      </c>
      <c r="M40" s="128"/>
    </row>
    <row r="41" spans="1:13" x14ac:dyDescent="0.2">
      <c r="A41" s="115"/>
      <c r="B41" s="133" t="str">
        <f t="shared" si="3"/>
        <v>0D</v>
      </c>
      <c r="C41" s="133" t="s">
        <v>0</v>
      </c>
      <c r="D41" s="133" t="str">
        <f t="shared" si="4"/>
        <v>AM</v>
      </c>
      <c r="E41" s="133" t="str">
        <f t="shared" si="5"/>
        <v>1L</v>
      </c>
      <c r="F41" s="134" t="s">
        <v>102</v>
      </c>
      <c r="G41" s="138" t="s">
        <v>101</v>
      </c>
      <c r="H41" s="138" t="str">
        <f t="shared" si="0"/>
        <v>Actual/360</v>
      </c>
      <c r="I41" s="135" t="str">
        <f t="shared" si="1"/>
        <v>USD3L1L60Y_Quote</v>
      </c>
      <c r="J41" s="136" t="str">
        <f t="shared" si="2"/>
        <v>USDAM3L60Y_Quote</v>
      </c>
      <c r="K41" s="137" t="str">
        <f>_xll.qlSwapRateHelper2(,$J41,$C41,Calendar,$F41,$G41,$H41,$K$3,$I41,B41,DiscountingCurve,Permanent,,ObjectOverwrite)</f>
        <v>obj_00652#0001</v>
      </c>
      <c r="L41" s="142" t="str">
        <f>_xll.ohRangeRetrieveError(K41)</f>
        <v/>
      </c>
      <c r="M41" s="128"/>
    </row>
    <row r="42" spans="1:13" ht="12" thickBot="1" x14ac:dyDescent="0.25">
      <c r="A42" s="125"/>
      <c r="B42" s="126"/>
      <c r="C42" s="126"/>
      <c r="D42" s="126"/>
      <c r="E42" s="126"/>
      <c r="F42" s="126"/>
      <c r="G42" s="126"/>
      <c r="H42" s="126"/>
      <c r="I42" s="126"/>
      <c r="J42" s="126"/>
      <c r="K42" s="140"/>
      <c r="L42" s="140"/>
      <c r="M42" s="141"/>
    </row>
  </sheetData>
  <dataValidations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65" customWidth="1"/>
    <col min="2" max="2" width="6" style="160" bestFit="1" customWidth="1"/>
    <col min="3" max="3" width="17.28515625" style="160" bestFit="1" customWidth="1"/>
    <col min="4" max="4" width="7" style="165" bestFit="1" customWidth="1"/>
    <col min="5" max="5" width="17.28515625" style="165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65" bestFit="1" customWidth="1"/>
    <col min="12" max="12" width="5" style="165" customWidth="1"/>
    <col min="13" max="13" width="13.140625" style="165" hidden="1" customWidth="1"/>
    <col min="14" max="14" width="19.28515625" style="165" bestFit="1" customWidth="1"/>
    <col min="15" max="15" width="17.28515625" style="165" bestFit="1" customWidth="1"/>
    <col min="16" max="16" width="12" style="165" bestFit="1" customWidth="1"/>
    <col min="17" max="17" width="8" style="165" hidden="1" customWidth="1" outlineLevel="1"/>
    <col min="18" max="18" width="17.28515625" style="165" hidden="1" customWidth="1" outlineLevel="1"/>
    <col min="19" max="19" width="15.140625" style="166" hidden="1" customWidth="1" outlineLevel="1"/>
    <col min="20" max="20" width="16.140625" style="165" customWidth="1" collapsed="1"/>
    <col min="21" max="21" width="10" style="165" bestFit="1" customWidth="1"/>
    <col min="22" max="22" width="7.5703125" style="165" customWidth="1"/>
    <col min="23" max="23" width="19.28515625" style="165" bestFit="1" customWidth="1"/>
    <col min="24" max="25" width="17.28515625" style="165" bestFit="1" customWidth="1"/>
    <col min="26" max="27" width="15.140625" style="165" bestFit="1" customWidth="1"/>
    <col min="28" max="28" width="13.140625" style="165" bestFit="1" customWidth="1"/>
    <col min="29" max="16384" width="9.140625" style="165"/>
  </cols>
  <sheetData>
    <row r="1" spans="1:28" s="160" customFormat="1" ht="12" hidden="1" outlineLevel="1" thickBot="1" x14ac:dyDescent="0.25">
      <c r="A1" s="154"/>
      <c r="B1" s="155" t="s">
        <v>132</v>
      </c>
      <c r="C1" s="156"/>
      <c r="D1" s="155"/>
      <c r="E1" s="157"/>
      <c r="F1" s="158"/>
      <c r="G1" s="154" t="s">
        <v>133</v>
      </c>
      <c r="H1" s="159"/>
      <c r="I1" s="158"/>
      <c r="J1" s="159"/>
      <c r="K1" s="158"/>
    </row>
    <row r="2" spans="1:28" hidden="1" outlineLevel="1" x14ac:dyDescent="0.2">
      <c r="A2" s="161"/>
      <c r="B2" s="162" t="s">
        <v>134</v>
      </c>
      <c r="C2" s="163" t="s">
        <v>135</v>
      </c>
      <c r="D2" s="163" t="s">
        <v>85</v>
      </c>
      <c r="E2" s="163" t="s">
        <v>136</v>
      </c>
      <c r="F2" s="164" t="s">
        <v>137</v>
      </c>
      <c r="G2" s="162" t="s">
        <v>135</v>
      </c>
      <c r="H2" s="163" t="s">
        <v>136</v>
      </c>
      <c r="I2" s="164" t="s">
        <v>138</v>
      </c>
      <c r="J2" s="163" t="s">
        <v>139</v>
      </c>
      <c r="K2" s="164" t="s">
        <v>140</v>
      </c>
      <c r="L2" s="160"/>
      <c r="M2" s="160"/>
    </row>
    <row r="3" spans="1:28" hidden="1" outlineLevel="1" x14ac:dyDescent="0.2">
      <c r="A3" s="167"/>
      <c r="B3" s="168" t="str">
        <f>_xll.qlPeriodEquivalent(D3&amp;"M")</f>
        <v>1Y</v>
      </c>
      <c r="C3" s="169">
        <f>_xll.qlDateEndOfMonth(EDATE(_xll.qlSettingsEvaluationDate(Trigger),-1))</f>
        <v>41790</v>
      </c>
      <c r="D3" s="170">
        <v>12</v>
      </c>
      <c r="E3" s="169">
        <f t="shared" ref="E3:E16" si="0">EDATE($Y$19,$D3)</f>
        <v>42181</v>
      </c>
      <c r="F3" s="171">
        <f>IF(D3&lt;=12,1,IF(D3&lt;=24,3,IF(D3&lt;=120,6,IF(D3&lt;=240,12,IF(D3&lt;=360,36,60)))))</f>
        <v>1</v>
      </c>
      <c r="G3" s="172">
        <f>ROUNDDOWN(J3*10,2)/10</f>
        <v>0</v>
      </c>
      <c r="H3" s="173">
        <f>IF(K3-J3&gt;1%,(QUOTIENT(K3*10000,50)+1)*0.5%,(QUOTIENT(K3*10000,10)+1)*0.1%)</f>
        <v>5.0000000000000001E-3</v>
      </c>
      <c r="I3" s="174">
        <f>IF(H3-G3&lt;0.5%,0.05%,IF(H3-G3&lt;1%,0.1%,IF(H3-G3&lt;2%,0.25%,0.5%)))</f>
        <v>1E-3</v>
      </c>
      <c r="J3" s="173">
        <f>MIN(_xll.ohPack($Z$19:INDEX($Z$19:$Z$3552,MATCH(E3+1,$Y$19:$Y$3552,1),1)))</f>
        <v>9.7694022479721809E-4</v>
      </c>
      <c r="K3" s="174">
        <f>MAX(_xll.ohPack($Z$19:INDEX($Z$19:$Z$3552,MATCH(E3+1,$Y$19:$Y$3552,1),1)))</f>
        <v>4.2719159859938571E-3</v>
      </c>
      <c r="L3" s="160"/>
      <c r="M3" s="160"/>
      <c r="N3" s="175"/>
    </row>
    <row r="4" spans="1:28" ht="12" hidden="1" customHeight="1" outlineLevel="1" x14ac:dyDescent="0.25">
      <c r="A4" s="167"/>
      <c r="B4" s="168" t="str">
        <f>_xll.qlPeriodEquivalent(D4&amp;"M")</f>
        <v>2Y</v>
      </c>
      <c r="C4" s="169">
        <f>_xll.qlDateEndOfMonth(EDATE(_xll.qlIMMNextDate(_xll.qlSettingsEvaluationDate(Trigger)-1,TRUE),-3))</f>
        <v>41820</v>
      </c>
      <c r="D4" s="170">
        <v>24</v>
      </c>
      <c r="E4" s="169">
        <f t="shared" si="0"/>
        <v>42547</v>
      </c>
      <c r="F4" s="171">
        <f t="shared" ref="F4:F16" si="1">IF(D4&lt;=12,1,IF(D4&lt;=24,3,IF(D4&lt;=120,6,IF(D4&lt;=240,12,IF(D4&lt;=360,36,60)))))</f>
        <v>3</v>
      </c>
      <c r="G4" s="172">
        <f t="shared" ref="G4:G16" si="2">ROUNDDOWN(J4*10,2)/10</f>
        <v>0</v>
      </c>
      <c r="H4" s="173">
        <f t="shared" ref="H4:H16" si="3">IF(K4-J4&gt;1%,(QUOTIENT(K4*10000,50)+1)*0.5%,(QUOTIENT(K4*10000,10)+1)*0.1%)</f>
        <v>1.4999999999999999E-2</v>
      </c>
      <c r="I4" s="174">
        <f t="shared" ref="I4:I16" si="4">IF(H4-G4&lt;0.5%,0.05%,IF(H4-G4&lt;1%,0.1%,IF(H4-G4&lt;2%,0.25%,0.5%)))</f>
        <v>2.5000000000000001E-3</v>
      </c>
      <c r="J4" s="173">
        <f>MIN(_xll.ohPack($Z$19:INDEX($Z$19:$Z$3552,MATCH(E4+1,$Y$19:$Y$3552,1),1)))</f>
        <v>9.7694022479721809E-4</v>
      </c>
      <c r="K4" s="174">
        <f>MAX(_xll.ohPack($Z$19:INDEX($Z$19:$Z$3552,MATCH(E4+1,$Y$19:$Y$3552,1),1)))</f>
        <v>1.3967332466426896E-2</v>
      </c>
      <c r="L4" s="160"/>
      <c r="M4" s="160"/>
      <c r="X4"/>
      <c r="Y4"/>
      <c r="Z4"/>
      <c r="AA4"/>
      <c r="AB4"/>
    </row>
    <row r="5" spans="1:28" hidden="1" outlineLevel="1" x14ac:dyDescent="0.2">
      <c r="A5" s="167"/>
      <c r="B5" s="168" t="str">
        <f>_xll.qlPeriodEquivalent(D5&amp;"M")</f>
        <v>5Y</v>
      </c>
      <c r="C5" s="16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169">
        <f t="shared" si="0"/>
        <v>43642</v>
      </c>
      <c r="F5" s="171">
        <f t="shared" si="1"/>
        <v>6</v>
      </c>
      <c r="G5" s="172">
        <f t="shared" si="2"/>
        <v>0</v>
      </c>
      <c r="H5" s="173">
        <f t="shared" si="3"/>
        <v>3.5000000000000003E-2</v>
      </c>
      <c r="I5" s="174">
        <f t="shared" si="4"/>
        <v>5.0000000000000001E-3</v>
      </c>
      <c r="J5" s="173">
        <f>MIN(_xll.ohPack($Z$19:INDEX($Z$19:$Z$3552,MATCH(E5+1,$Y$19:$Y$3552,1),1)))</f>
        <v>9.7694022479721809E-4</v>
      </c>
      <c r="K5" s="174">
        <f>MAX(_xll.ohPack($Z$19:INDEX($Z$19:$Z$3552,MATCH(E5+1,$Y$19:$Y$3552,1),1)))</f>
        <v>3.1673758086973258E-2</v>
      </c>
      <c r="L5" s="160"/>
      <c r="M5" s="160"/>
    </row>
    <row r="6" spans="1:28" hidden="1" outlineLevel="1" x14ac:dyDescent="0.2">
      <c r="A6" s="167" t="s">
        <v>141</v>
      </c>
      <c r="B6" s="168" t="str">
        <f>_xll.qlPeriodEquivalent(D6&amp;"M")</f>
        <v>10Y</v>
      </c>
      <c r="C6" s="169">
        <f>C5</f>
        <v>41820</v>
      </c>
      <c r="D6" s="170">
        <v>120</v>
      </c>
      <c r="E6" s="169">
        <f t="shared" si="0"/>
        <v>45469</v>
      </c>
      <c r="F6" s="171">
        <f t="shared" si="1"/>
        <v>6</v>
      </c>
      <c r="G6" s="172">
        <f t="shared" si="2"/>
        <v>0</v>
      </c>
      <c r="H6" s="173">
        <f t="shared" si="3"/>
        <v>0.04</v>
      </c>
      <c r="I6" s="174">
        <f t="shared" si="4"/>
        <v>5.0000000000000001E-3</v>
      </c>
      <c r="J6" s="173">
        <f>MIN(_xll.ohPack($Z$19:INDEX($Z$19:$Z$3552,MATCH(E6+1,$Y$19:$Y$3552,1),1)))</f>
        <v>9.7694022479721809E-4</v>
      </c>
      <c r="K6" s="174">
        <f>MAX(_xll.ohPack($Z$19:INDEX($Z$19:$Z$3552,MATCH(E6+1,$Y$19:$Y$3552,1),1)))</f>
        <v>3.9172445961985124E-2</v>
      </c>
      <c r="L6" s="160"/>
      <c r="M6" s="160"/>
    </row>
    <row r="7" spans="1:28" hidden="1" outlineLevel="1" x14ac:dyDescent="0.2">
      <c r="A7" s="167"/>
      <c r="B7" s="168" t="str">
        <f>_xll.qlPeriodEquivalent(D7&amp;"M")</f>
        <v>20Y</v>
      </c>
      <c r="C7" s="169">
        <f>IF(AND(MONTH(C6)=12),C6,_xll.qlDateEndOfMonth(EDATE(C6,-6)))</f>
        <v>41639</v>
      </c>
      <c r="D7" s="170">
        <v>240</v>
      </c>
      <c r="E7" s="169">
        <f t="shared" si="0"/>
        <v>49121</v>
      </c>
      <c r="F7" s="171">
        <f t="shared" si="1"/>
        <v>12</v>
      </c>
      <c r="G7" s="172">
        <f t="shared" si="2"/>
        <v>0</v>
      </c>
      <c r="H7" s="173">
        <f t="shared" si="3"/>
        <v>4.4999999999999998E-2</v>
      </c>
      <c r="I7" s="174">
        <f t="shared" si="4"/>
        <v>5.0000000000000001E-3</v>
      </c>
      <c r="J7" s="173">
        <f>MIN(_xll.ohPack($Z$19:INDEX($Z$19:$Z$3552,MATCH(E7+1,$Y$19:$Y$3552,1),1)))</f>
        <v>9.7694022479721809E-4</v>
      </c>
      <c r="K7" s="174">
        <f>MAX(_xll.ohPack($Z$19:INDEX($Z$19:$Z$3552,MATCH(E7+1,$Y$19:$Y$3552,1),1)))</f>
        <v>4.0362806572135798E-2</v>
      </c>
      <c r="L7" s="160"/>
      <c r="M7" s="160"/>
    </row>
    <row r="8" spans="1:28" hidden="1" outlineLevel="1" x14ac:dyDescent="0.2">
      <c r="A8" s="167"/>
      <c r="B8" s="168" t="str">
        <f>_xll.qlPeriodEquivalent(D8&amp;"M")</f>
        <v>30Y</v>
      </c>
      <c r="C8" s="169">
        <f>C7</f>
        <v>41639</v>
      </c>
      <c r="D8" s="170">
        <v>360</v>
      </c>
      <c r="E8" s="169">
        <f t="shared" si="0"/>
        <v>52774</v>
      </c>
      <c r="F8" s="171">
        <f t="shared" si="1"/>
        <v>36</v>
      </c>
      <c r="G8" s="172">
        <f t="shared" si="2"/>
        <v>0</v>
      </c>
      <c r="H8" s="173">
        <f t="shared" si="3"/>
        <v>4.4999999999999998E-2</v>
      </c>
      <c r="I8" s="174">
        <f t="shared" si="4"/>
        <v>5.0000000000000001E-3</v>
      </c>
      <c r="J8" s="173">
        <f>MIN(_xll.ohPack($Z$19:INDEX($Z$19:$Z$3552,MATCH(E8+1,$Y$19:$Y$3552,1),1)))</f>
        <v>9.7694022479721809E-4</v>
      </c>
      <c r="K8" s="174">
        <f>MAX(_xll.ohPack($Z$19:INDEX($Z$19:$Z$3552,MATCH(E8+1,$Y$19:$Y$3552,1),1)))</f>
        <v>4.0362806572135798E-2</v>
      </c>
      <c r="L8" s="160"/>
      <c r="M8" s="160"/>
      <c r="AA8" s="176"/>
    </row>
    <row r="9" spans="1:28" ht="12" hidden="1" outlineLevel="1" thickBot="1" x14ac:dyDescent="0.25">
      <c r="A9" s="167"/>
      <c r="B9" s="168" t="str">
        <f>_xll.qlPeriodEquivalent(D9&amp;"M")</f>
        <v>60Y</v>
      </c>
      <c r="C9" s="169">
        <f>C8</f>
        <v>41639</v>
      </c>
      <c r="D9" s="170">
        <f>60*12</f>
        <v>720</v>
      </c>
      <c r="E9" s="169">
        <f t="shared" si="0"/>
        <v>63731</v>
      </c>
      <c r="F9" s="171">
        <f t="shared" si="1"/>
        <v>60</v>
      </c>
      <c r="G9" s="172">
        <f t="shared" si="2"/>
        <v>0</v>
      </c>
      <c r="H9" s="173">
        <f t="shared" si="3"/>
        <v>4.4999999999999998E-2</v>
      </c>
      <c r="I9" s="174">
        <f t="shared" si="4"/>
        <v>5.0000000000000001E-3</v>
      </c>
      <c r="J9" s="173">
        <f>MIN(_xll.ohPack($Z$19:INDEX($Z$19:$Z$3552,MATCH(E9+1,$Y$19:$Y$3552,1),1)))</f>
        <v>9.7694022479721809E-4</v>
      </c>
      <c r="K9" s="174">
        <f>MAX(_xll.ohPack($Z$19:INDEX($Z$19:$Z$3552,MATCH(E9+1,$Y$19:$Y$3552,1),1)))</f>
        <v>4.0362806572135798E-2</v>
      </c>
      <c r="L9" s="160"/>
      <c r="M9" s="160"/>
      <c r="AA9" s="176"/>
    </row>
    <row r="10" spans="1:28" hidden="1" outlineLevel="1" x14ac:dyDescent="0.2">
      <c r="A10" s="177"/>
      <c r="B10" s="178" t="str">
        <f>_xll.qlPeriodEquivalent(D10&amp;"M")</f>
        <v>1Y</v>
      </c>
      <c r="C10" s="179">
        <f>C3</f>
        <v>41790</v>
      </c>
      <c r="D10" s="180">
        <v>12</v>
      </c>
      <c r="E10" s="179">
        <f t="shared" si="0"/>
        <v>42181</v>
      </c>
      <c r="F10" s="181">
        <f t="shared" si="1"/>
        <v>1</v>
      </c>
      <c r="G10" s="182">
        <f t="shared" si="2"/>
        <v>0</v>
      </c>
      <c r="H10" s="183">
        <f t="shared" si="3"/>
        <v>5.0000000000000001E-3</v>
      </c>
      <c r="I10" s="184">
        <f t="shared" si="4"/>
        <v>1E-3</v>
      </c>
      <c r="J10" s="183">
        <f>MIN(_xll.ohPack($AA$19:INDEX($AA$19:$AA$3552,MATCH(E10+1,$Y$19:$Y$3552,1),1)))</f>
        <v>3.7073764698192235E-5</v>
      </c>
      <c r="K10" s="184">
        <f>MAX(_xll.ohPack($AA$19:INDEX($AA$19:$AA$3552,MATCH(E10+1,$Y$19:$Y$3552,1),1)))</f>
        <v>4.0381845890369306E-3</v>
      </c>
      <c r="L10" s="160"/>
      <c r="M10" s="160"/>
    </row>
    <row r="11" spans="1:28" hidden="1" outlineLevel="1" x14ac:dyDescent="0.2">
      <c r="A11" s="167"/>
      <c r="B11" s="168" t="str">
        <f>_xll.qlPeriodEquivalent(D11&amp;"M")</f>
        <v>2Y</v>
      </c>
      <c r="C11" s="169">
        <f t="shared" ref="C11:C16" si="5">C4</f>
        <v>41820</v>
      </c>
      <c r="D11" s="170">
        <v>24</v>
      </c>
      <c r="E11" s="169">
        <f t="shared" si="0"/>
        <v>42547</v>
      </c>
      <c r="F11" s="171">
        <f t="shared" si="1"/>
        <v>3</v>
      </c>
      <c r="G11" s="172">
        <f t="shared" si="2"/>
        <v>0</v>
      </c>
      <c r="H11" s="173">
        <f t="shared" si="3"/>
        <v>1.4999999999999999E-2</v>
      </c>
      <c r="I11" s="174">
        <f t="shared" si="4"/>
        <v>2.5000000000000001E-3</v>
      </c>
      <c r="J11" s="173">
        <f>MIN(_xll.ohPack($AA$19:INDEX($AA$19:$AA$3552,MATCH(E11+1,$Y$19:$Y$3552,1),1)))</f>
        <v>3.7073764698192235E-5</v>
      </c>
      <c r="K11" s="174">
        <f>MAX(_xll.ohPack($AA$19:INDEX($AA$19:$AA$3552,MATCH(E11+1,$Y$19:$Y$3552,1),1)))</f>
        <v>1.3573322943445376E-2</v>
      </c>
      <c r="L11" s="160"/>
      <c r="M11" s="160"/>
    </row>
    <row r="12" spans="1:28" hidden="1" outlineLevel="1" x14ac:dyDescent="0.2">
      <c r="A12" s="167"/>
      <c r="B12" s="168" t="str">
        <f>_xll.qlPeriodEquivalent(D12&amp;"M")</f>
        <v>5Y</v>
      </c>
      <c r="C12" s="169">
        <f t="shared" si="5"/>
        <v>41820</v>
      </c>
      <c r="D12" s="170">
        <v>60</v>
      </c>
      <c r="E12" s="169">
        <f t="shared" si="0"/>
        <v>43642</v>
      </c>
      <c r="F12" s="171">
        <f t="shared" si="1"/>
        <v>6</v>
      </c>
      <c r="G12" s="172">
        <f t="shared" si="2"/>
        <v>0</v>
      </c>
      <c r="H12" s="173">
        <f t="shared" si="3"/>
        <v>3.5000000000000003E-2</v>
      </c>
      <c r="I12" s="174">
        <f t="shared" si="4"/>
        <v>5.0000000000000001E-3</v>
      </c>
      <c r="J12" s="173">
        <f>MIN(_xll.ohPack($AA$19:INDEX($AA$19:$AA$3552,MATCH(E12+1,$Y$19:$Y$3552,1),1)))</f>
        <v>3.7073764698192235E-5</v>
      </c>
      <c r="K12" s="174">
        <f>MAX(_xll.ohPack($AA$19:INDEX($AA$19:$AA$3552,MATCH(E12+1,$Y$19:$Y$3552,1),1)))</f>
        <v>3.1538031016902224E-2</v>
      </c>
      <c r="L12" s="160"/>
      <c r="M12" s="160"/>
    </row>
    <row r="13" spans="1:28" hidden="1" outlineLevel="1" x14ac:dyDescent="0.2">
      <c r="A13" s="167" t="s">
        <v>142</v>
      </c>
      <c r="B13" s="168" t="str">
        <f>_xll.qlPeriodEquivalent(D13&amp;"M")</f>
        <v>10Y</v>
      </c>
      <c r="C13" s="169">
        <f t="shared" si="5"/>
        <v>41820</v>
      </c>
      <c r="D13" s="170">
        <v>120</v>
      </c>
      <c r="E13" s="169">
        <f t="shared" si="0"/>
        <v>45469</v>
      </c>
      <c r="F13" s="171">
        <f t="shared" si="1"/>
        <v>6</v>
      </c>
      <c r="G13" s="172">
        <f t="shared" si="2"/>
        <v>0</v>
      </c>
      <c r="H13" s="173">
        <f t="shared" si="3"/>
        <v>0.04</v>
      </c>
      <c r="I13" s="174">
        <f t="shared" si="4"/>
        <v>5.0000000000000001E-3</v>
      </c>
      <c r="J13" s="173">
        <f>MIN(_xll.ohPack($AA$19:INDEX($AA$19:$AA$3552,MATCH(E13+1,$Y$19:$Y$3552,1),1)))</f>
        <v>3.7073764698192235E-5</v>
      </c>
      <c r="K13" s="174">
        <f>MAX(_xll.ohPack($AA$19:INDEX($AA$19:$AA$3552,MATCH(E13+1,$Y$19:$Y$3552,1),1)))</f>
        <v>3.9071146399747292E-2</v>
      </c>
      <c r="L13" s="160"/>
      <c r="M13" s="160"/>
    </row>
    <row r="14" spans="1:28" hidden="1" outlineLevel="1" x14ac:dyDescent="0.2">
      <c r="A14" s="167"/>
      <c r="B14" s="168" t="str">
        <f>_xll.qlPeriodEquivalent(D14&amp;"M")</f>
        <v>20Y</v>
      </c>
      <c r="C14" s="169">
        <f t="shared" si="5"/>
        <v>41639</v>
      </c>
      <c r="D14" s="170">
        <v>240</v>
      </c>
      <c r="E14" s="169">
        <f t="shared" si="0"/>
        <v>49121</v>
      </c>
      <c r="F14" s="171">
        <f t="shared" si="1"/>
        <v>12</v>
      </c>
      <c r="G14" s="172">
        <f t="shared" si="2"/>
        <v>0</v>
      </c>
      <c r="H14" s="173">
        <f t="shared" si="3"/>
        <v>4.4999999999999998E-2</v>
      </c>
      <c r="I14" s="174">
        <f t="shared" si="4"/>
        <v>5.0000000000000001E-3</v>
      </c>
      <c r="J14" s="173">
        <f>MIN(_xll.ohPack($AA$19:INDEX($AA$19:$AA$3552,MATCH(E14+1,$Y$19:$Y$3552,1),1)))</f>
        <v>3.7073764698192235E-5</v>
      </c>
      <c r="K14" s="174">
        <f>MAX(_xll.ohPack($AA$19:INDEX($AA$19:$AA$3552,MATCH(E14+1,$Y$19:$Y$3552,1),1)))</f>
        <v>4.0292212981034581E-2</v>
      </c>
      <c r="L14" s="160"/>
      <c r="M14" s="160"/>
    </row>
    <row r="15" spans="1:28" hidden="1" outlineLevel="1" x14ac:dyDescent="0.2">
      <c r="A15" s="167"/>
      <c r="B15" s="168" t="str">
        <f>_xll.qlPeriodEquivalent(D15&amp;"M")</f>
        <v>30Y</v>
      </c>
      <c r="C15" s="169">
        <f t="shared" si="5"/>
        <v>41639</v>
      </c>
      <c r="D15" s="170">
        <v>360</v>
      </c>
      <c r="E15" s="169">
        <f t="shared" si="0"/>
        <v>52774</v>
      </c>
      <c r="F15" s="171">
        <f t="shared" si="1"/>
        <v>36</v>
      </c>
      <c r="G15" s="172">
        <f t="shared" si="2"/>
        <v>0</v>
      </c>
      <c r="H15" s="173">
        <f t="shared" si="3"/>
        <v>4.4999999999999998E-2</v>
      </c>
      <c r="I15" s="174">
        <f t="shared" si="4"/>
        <v>5.0000000000000001E-3</v>
      </c>
      <c r="J15" s="173">
        <f>MIN(_xll.ohPack($AA$19:INDEX($AA$19:$AA$3552,MATCH(E15+1,$Y$19:$Y$3552,1),1)))</f>
        <v>3.7073764698192235E-5</v>
      </c>
      <c r="K15" s="174">
        <f>MAX(_xll.ohPack($AA$19:INDEX($AA$19:$AA$3552,MATCH(E15+1,$Y$19:$Y$3552,1),1)))</f>
        <v>4.0292212981034581E-2</v>
      </c>
      <c r="L15" s="160"/>
      <c r="M15" s="160"/>
    </row>
    <row r="16" spans="1:28" ht="12" hidden="1" outlineLevel="1" thickBot="1" x14ac:dyDescent="0.25">
      <c r="A16" s="185"/>
      <c r="B16" s="168" t="str">
        <f>_xll.qlPeriodEquivalent(D16&amp;"M")</f>
        <v>60Y</v>
      </c>
      <c r="C16" s="169">
        <f t="shared" si="5"/>
        <v>41639</v>
      </c>
      <c r="D16" s="170">
        <v>720</v>
      </c>
      <c r="E16" s="169">
        <f t="shared" si="0"/>
        <v>63731</v>
      </c>
      <c r="F16" s="171">
        <f t="shared" si="1"/>
        <v>60</v>
      </c>
      <c r="G16" s="172">
        <f t="shared" si="2"/>
        <v>0</v>
      </c>
      <c r="H16" s="173">
        <f t="shared" si="3"/>
        <v>4.4999999999999998E-2</v>
      </c>
      <c r="I16" s="174">
        <f t="shared" si="4"/>
        <v>5.0000000000000001E-3</v>
      </c>
      <c r="J16" s="173">
        <f>MIN(_xll.ohPack($AA$19:INDEX($AA$19:$AA$3552,MATCH(E16+1,$Y$19:$Y$3552,1),1)))</f>
        <v>3.7073764698192235E-5</v>
      </c>
      <c r="K16" s="174">
        <f>MAX(_xll.ohPack($AA$19:INDEX($AA$19:$AA$3552,MATCH(E16+1,$Y$19:$Y$3552,1),1)))</f>
        <v>4.0292212981034581E-2</v>
      </c>
      <c r="L16" s="160"/>
      <c r="M16" s="160"/>
      <c r="Z16" s="186" t="s">
        <v>143</v>
      </c>
      <c r="AA16" s="186" t="s">
        <v>144</v>
      </c>
    </row>
    <row r="17" spans="1:27" ht="12" collapsed="1" thickBot="1" x14ac:dyDescent="0.25">
      <c r="A17" s="187"/>
      <c r="B17" s="188"/>
      <c r="C17" s="188"/>
      <c r="D17" s="187"/>
      <c r="E17" s="187"/>
      <c r="F17" s="188"/>
      <c r="G17" s="188"/>
      <c r="H17" s="188"/>
      <c r="I17" s="188"/>
      <c r="J17" s="188"/>
      <c r="K17" s="187"/>
      <c r="L17" s="189"/>
      <c r="M17" s="189"/>
      <c r="Z17" s="190" t="str">
        <f>_xll.qlLibor(,Currency,IndexTenor,YieldCurve,,YieldCurve)</f>
        <v>obj_00656#0008</v>
      </c>
      <c r="AA17" s="190" t="str">
        <f>_xll.qlOvernightIndex(,FamilyName,NDays,Currency,Calendar,MoneyMarketDayCounter,YieldCurve)</f>
        <v>obj_00655#0008</v>
      </c>
    </row>
    <row r="18" spans="1:27" ht="12" thickBot="1" x14ac:dyDescent="0.25">
      <c r="M18" s="225" t="s">
        <v>47</v>
      </c>
      <c r="N18" s="191" t="s">
        <v>154</v>
      </c>
      <c r="O18" s="192" t="s">
        <v>40</v>
      </c>
      <c r="P18" s="192" t="s">
        <v>46</v>
      </c>
      <c r="Q18" s="213" t="s">
        <v>155</v>
      </c>
      <c r="R18" s="192" t="s">
        <v>156</v>
      </c>
      <c r="S18" s="192" t="s">
        <v>147</v>
      </c>
      <c r="T18" s="193" t="s">
        <v>148</v>
      </c>
      <c r="V18" s="160"/>
      <c r="W18" s="194" t="s">
        <v>150</v>
      </c>
      <c r="X18" s="195" t="s">
        <v>146</v>
      </c>
      <c r="Y18" s="195" t="s">
        <v>145</v>
      </c>
      <c r="Z18" s="196" t="s">
        <v>151</v>
      </c>
      <c r="AA18" s="197" t="s">
        <v>142</v>
      </c>
    </row>
    <row r="19" spans="1:27" ht="12" thickBot="1" x14ac:dyDescent="0.25">
      <c r="J19" s="198" t="s">
        <v>152</v>
      </c>
      <c r="M19" s="210" t="str">
        <f t="array" ref="M19:M30">_xll.ohFilter(RateHelpers!B4:B14,IF(ISERROR(RateHelpers!D4:D14),FALSE,TRUE))</f>
        <v>obj_00621#0001</v>
      </c>
      <c r="N19" s="199" t="str">
        <f>_xll.qlRateHelperQuoteName(M19)</f>
        <v>USD2X1S_Quote</v>
      </c>
      <c r="O19" s="200">
        <f>_xll.qlRateHelperLatestDate(M19,Trigger)</f>
        <v>41877</v>
      </c>
      <c r="P19" s="216">
        <f>_xll.qlRateHelperQuoteValue(M19,_xll.ohTrigger(RecalcTrigger,YieldCurve))</f>
        <v>1.5299999999999999E-3</v>
      </c>
      <c r="Q19" s="217" t="str">
        <f>SUBSTITUTE(SUBSTITUTE(N19,"X1S_Quote","M"),"USD","")</f>
        <v>2M</v>
      </c>
      <c r="R19" s="189" t="str">
        <f>_xll.qlSwapIndex(,FamilyName,Q19,2,Currency,Calendar,"1Y","modified following",MoneyMarketDayCounter,IborIndex,Discounting,,_xll.ohTrigger(Trigger,RecalcTrigger))</f>
        <v>obj_00660#0008</v>
      </c>
      <c r="S19" s="218">
        <f>_xll.qlIndexFixing(R19,$X$19,TRUE,Trigger)</f>
        <v>1.3413806127396829E-3</v>
      </c>
      <c r="T19" s="201">
        <f t="shared" ref="T19:T23" si="6">S19-P19</f>
        <v>-1.8861938726031703E-4</v>
      </c>
      <c r="U19" s="186" t="s">
        <v>149</v>
      </c>
      <c r="V19" s="203"/>
      <c r="W19" s="199" t="s">
        <v>153</v>
      </c>
      <c r="X19" s="204">
        <f>_xll.qlSettingsEvaluationDate(Trigger)</f>
        <v>41814</v>
      </c>
      <c r="Y19" s="204">
        <f>_xll.qlCalendarAdvance(Calendar,X19,NDays&amp;"D")</f>
        <v>41816</v>
      </c>
      <c r="Z19" s="205">
        <f t="array" ref="Z19:Z3552">IFERROR(_xll.qlIndexFixing(IborIndex,X19:X3552,TRUE,RecalcTrigger),NA())</f>
        <v>9.7694022479721809E-4</v>
      </c>
      <c r="AA19" s="207">
        <f t="array" ref="AA19:AA3552">IFERROR(_xll.qlIndexFixing(OverNightIndex,Y19:Y3552,TRUE,RecalcTrigger),NA())</f>
        <v>3.7073764698192235E-5</v>
      </c>
    </row>
    <row r="20" spans="1:27" ht="12" thickBot="1" x14ac:dyDescent="0.25">
      <c r="J20" s="209"/>
      <c r="M20" s="210" t="str">
        <v>obj_00626#0001</v>
      </c>
      <c r="N20" s="199" t="str">
        <f>_xll.qlRateHelperQuoteName(M20)</f>
        <v>USD3X1S_Quote</v>
      </c>
      <c r="O20" s="200">
        <f>_xll.qlRateHelperLatestDate(M20,Trigger)</f>
        <v>41908</v>
      </c>
      <c r="P20" s="216">
        <f>_xll.qlRateHelperQuoteValue(M20,_xll.ohTrigger(RecalcTrigger,YieldCurve))</f>
        <v>1.5399999999999999E-3</v>
      </c>
      <c r="Q20" s="217" t="str">
        <f t="shared" ref="Q20:Q30" si="7">SUBSTITUTE(SUBSTITUTE(N20,"X1S_Quote","M"),"USD","")</f>
        <v>3M</v>
      </c>
      <c r="R20" s="189" t="str">
        <f>_xll.qlSwapIndex(,FamilyName,Q20,2,Currency,Calendar,"1Y","modified following",MoneyMarketDayCounter,IborIndex,Discounting,,_xll.ohTrigger(Trigger,RecalcTrigger))</f>
        <v>obj_00661#0008</v>
      </c>
      <c r="S20" s="218">
        <f>_xll.qlIndexFixing(R20,$X$19,TRUE,Trigger)</f>
        <v>1.4721560574047444E-3</v>
      </c>
      <c r="T20" s="201">
        <f t="shared" si="6"/>
        <v>-6.7843942595255478E-5</v>
      </c>
      <c r="U20" s="202">
        <f t="array" ref="U20">MAX(ABS(_xll.ohFilter(T20:T30,IF(ISERROR(T20:T30),FALSE,TRUE))))</f>
        <v>6.7843942595255478E-5</v>
      </c>
      <c r="W20" s="199" t="str">
        <f>W19</f>
        <v>1D</v>
      </c>
      <c r="X20" s="200">
        <f>_xll.qlCalendarAdvance(Calendar,X19,W20,"f",FALSE)</f>
        <v>41815</v>
      </c>
      <c r="Y20" s="204">
        <f>_xll.qlCalendarAdvance(Calendar,X20,NDays&amp;"D")</f>
        <v>41817</v>
      </c>
      <c r="Z20" s="205">
        <v>1.0084348185198763E-3</v>
      </c>
      <c r="AA20" s="207">
        <v>5.5306765087692611E-5</v>
      </c>
    </row>
    <row r="21" spans="1:27" x14ac:dyDescent="0.2">
      <c r="M21" s="210" t="str">
        <v>obj_0062e#0001</v>
      </c>
      <c r="N21" s="199" t="str">
        <f>_xll.qlRateHelperQuoteName(M21)</f>
        <v>USD4X1S_Quote</v>
      </c>
      <c r="O21" s="200">
        <f>_xll.qlRateHelperLatestDate(M21,Trigger)</f>
        <v>41939</v>
      </c>
      <c r="P21" s="216">
        <f>_xll.qlRateHelperQuoteValue(M21,_xll.ohTrigger(RecalcTrigger,YieldCurve))</f>
        <v>1.5499999999999999E-3</v>
      </c>
      <c r="Q21" s="217" t="str">
        <f t="shared" si="7"/>
        <v>4M</v>
      </c>
      <c r="R21" s="189" t="str">
        <f>_xll.qlSwapIndex(,FamilyName,Q21,2,Currency,Calendar,"1Y","modified following",MoneyMarketDayCounter,IborIndex,Discounting,,_xll.ohTrigger(Trigger,RecalcTrigger))</f>
        <v>obj_0065e#0008</v>
      </c>
      <c r="S21" s="218">
        <f>_xll.qlIndexFixing(R21,$X$19,TRUE,Trigger)</f>
        <v>1.5209787389480138E-3</v>
      </c>
      <c r="T21" s="201">
        <f t="shared" si="6"/>
        <v>-2.9021261051986186E-5</v>
      </c>
      <c r="W21" s="199" t="str">
        <f t="shared" ref="W21:W84" si="8">W20</f>
        <v>1D</v>
      </c>
      <c r="X21" s="200">
        <f>_xll.qlCalendarAdvance(Calendar,X20,W21,"f",FALSE)</f>
        <v>41816</v>
      </c>
      <c r="Y21" s="204">
        <f>_xll.qlCalendarAdvance(Calendar,X21,NDays&amp;"D")</f>
        <v>41820</v>
      </c>
      <c r="Z21" s="205">
        <v>1.1746752613894438E-3</v>
      </c>
      <c r="AA21" s="207">
        <v>7.7186366898018832E-5</v>
      </c>
    </row>
    <row r="22" spans="1:27" x14ac:dyDescent="0.2">
      <c r="M22" s="210" t="str">
        <v>obj_00628#0001</v>
      </c>
      <c r="N22" s="199" t="str">
        <f>_xll.qlRateHelperQuoteName(M22)</f>
        <v>USD5X1S_Quote</v>
      </c>
      <c r="O22" s="200">
        <f>_xll.qlRateHelperLatestDate(M22,Trigger)</f>
        <v>41969</v>
      </c>
      <c r="P22" s="216">
        <f>_xll.qlRateHelperQuoteValue(M22,_xll.ohTrigger(RecalcTrigger,YieldCurve))</f>
        <v>1.56E-3</v>
      </c>
      <c r="Q22" s="217" t="str">
        <f t="shared" si="7"/>
        <v>5M</v>
      </c>
      <c r="R22" s="189" t="str">
        <f>_xll.qlSwapIndex(,FamilyName,Q22,2,Currency,Calendar,"1Y","modified following",MoneyMarketDayCounter,IborIndex,Discounting,,_xll.ohTrigger(Trigger,RecalcTrigger))</f>
        <v>obj_00659#0008</v>
      </c>
      <c r="S22" s="218">
        <f>_xll.qlIndexFixing(R22,$X$19,TRUE,Trigger)</f>
        <v>1.5452221734241715E-3</v>
      </c>
      <c r="T22" s="201">
        <f t="shared" si="6"/>
        <v>-1.4777826575828506E-5</v>
      </c>
      <c r="U22" s="212"/>
      <c r="W22" s="199" t="str">
        <f t="shared" si="8"/>
        <v>1D</v>
      </c>
      <c r="X22" s="200">
        <f>_xll.qlCalendarAdvance(Calendar,X21,W22,"f",FALSE)</f>
        <v>41817</v>
      </c>
      <c r="Y22" s="204">
        <f>_xll.qlCalendarAdvance(Calendar,X22,NDays&amp;"D")</f>
        <v>41821</v>
      </c>
      <c r="Z22" s="205">
        <v>1.229410415898911E-3</v>
      </c>
      <c r="AA22" s="207">
        <v>1.6106546432581581E-4</v>
      </c>
    </row>
    <row r="23" spans="1:27" x14ac:dyDescent="0.2">
      <c r="M23" s="210" t="str">
        <v>obj_0062b#0001</v>
      </c>
      <c r="N23" s="199" t="str">
        <f>_xll.qlRateHelperQuoteName(M23)</f>
        <v>USD6X1S_Quote</v>
      </c>
      <c r="O23" s="200">
        <f>_xll.qlRateHelperLatestDate(M23,Trigger)</f>
        <v>42002</v>
      </c>
      <c r="P23" s="216">
        <f>_xll.qlRateHelperQuoteValue(M23,_xll.ohTrigger(RecalcTrigger,YieldCurve))</f>
        <v>1.5900000000000001E-3</v>
      </c>
      <c r="Q23" s="217" t="str">
        <f t="shared" si="7"/>
        <v>6M</v>
      </c>
      <c r="R23" s="189" t="str">
        <f>_xll.qlSwapIndex(,FamilyName,Q23,2,Currency,Calendar,"1Y","modified following",MoneyMarketDayCounter,IborIndex,Discounting,,_xll.ohTrigger(Trigger,RecalcTrigger))</f>
        <v>obj_0065f#0008</v>
      </c>
      <c r="S23" s="218">
        <f>_xll.qlIndexFixing(R23,$X$19,TRUE,Trigger)</f>
        <v>1.5710259156493181E-3</v>
      </c>
      <c r="T23" s="201">
        <f t="shared" si="6"/>
        <v>-1.8974084350681982E-5</v>
      </c>
      <c r="W23" s="199" t="str">
        <f t="shared" si="8"/>
        <v>1D</v>
      </c>
      <c r="X23" s="200">
        <f>_xll.qlCalendarAdvance(Calendar,X22,W23,"f",FALSE)</f>
        <v>41820</v>
      </c>
      <c r="Y23" s="204">
        <f>_xll.qlCalendarAdvance(Calendar,X23,NDays&amp;"D")</f>
        <v>41822</v>
      </c>
      <c r="Z23" s="205">
        <v>1.3111147958013512E-3</v>
      </c>
      <c r="AA23" s="207">
        <v>4.3088529920076724E-4</v>
      </c>
    </row>
    <row r="24" spans="1:27" x14ac:dyDescent="0.2">
      <c r="M24" s="210" t="str">
        <v>obj_00624#0001</v>
      </c>
      <c r="N24" s="199" t="str">
        <f>_xll.qlRateHelperQuoteName(M24)</f>
        <v>USD7X1S_Quote</v>
      </c>
      <c r="O24" s="200">
        <f>_xll.qlRateHelperLatestDate(M24,Trigger)</f>
        <v>42030</v>
      </c>
      <c r="P24" s="216">
        <f>_xll.qlRateHelperQuoteValue(M24,_xll.ohTrigger(RecalcTrigger,YieldCurve))</f>
        <v>1.6300000000000002E-3</v>
      </c>
      <c r="Q24" s="217" t="str">
        <f t="shared" si="7"/>
        <v>7M</v>
      </c>
      <c r="R24" s="189" t="str">
        <f>_xll.qlSwapIndex(,FamilyName,Q24,2,Currency,Calendar,"1Y","modified following",MoneyMarketDayCounter,IborIndex,Discounting,,_xll.ohTrigger(Trigger,RecalcTrigger))</f>
        <v>obj_00658#0008</v>
      </c>
      <c r="S24" s="218">
        <f>_xll.qlIndexFixing(R24,$X$19,TRUE,Trigger)</f>
        <v>1.601347475123423E-3</v>
      </c>
      <c r="T24" s="201">
        <f>S24-P24</f>
        <v>-2.8652524876577202E-5</v>
      </c>
      <c r="W24" s="199" t="str">
        <f t="shared" si="8"/>
        <v>1D</v>
      </c>
      <c r="X24" s="200">
        <f>_xll.qlCalendarAdvance(Calendar,X23,W24,"f",FALSE)</f>
        <v>41821</v>
      </c>
      <c r="Y24" s="204">
        <f>_xll.qlCalendarAdvance(Calendar,X24,NDays&amp;"D")</f>
        <v>41823</v>
      </c>
      <c r="Z24" s="205">
        <v>1.3496747698260592E-3</v>
      </c>
      <c r="AA24" s="207">
        <v>6.793594474974185E-4</v>
      </c>
    </row>
    <row r="25" spans="1:27" x14ac:dyDescent="0.2">
      <c r="M25" s="210" t="str">
        <v>obj_00629#0001</v>
      </c>
      <c r="N25" s="199" t="str">
        <f>_xll.qlRateHelperQuoteName(M25)</f>
        <v>USD8X1S_Quote</v>
      </c>
      <c r="O25" s="200">
        <f>_xll.qlRateHelperLatestDate(M25,Trigger)</f>
        <v>42061</v>
      </c>
      <c r="P25" s="216">
        <f>_xll.qlRateHelperQuoteValue(M25,_xll.ohTrigger(RecalcTrigger,YieldCurve))</f>
        <v>1.6799999999999999E-3</v>
      </c>
      <c r="Q25" s="217" t="str">
        <f t="shared" si="7"/>
        <v>8M</v>
      </c>
      <c r="R25" s="189" t="str">
        <f>_xll.qlSwapIndex(,FamilyName,Q25,2,Currency,Calendar,"1Y","modified following",MoneyMarketDayCounter,IborIndex,Discounting,,_xll.ohTrigger(Trigger,RecalcTrigger))</f>
        <v>obj_0065d#0008</v>
      </c>
      <c r="S25" s="218">
        <f>_xll.qlIndexFixing(R25,$X$19,TRUE,Trigger)</f>
        <v>1.6511502166947911E-3</v>
      </c>
      <c r="T25" s="201">
        <f t="shared" ref="T25:T30" si="9">S25-P25</f>
        <v>-2.8849783305208735E-5</v>
      </c>
      <c r="W25" s="199" t="str">
        <f t="shared" si="8"/>
        <v>1D</v>
      </c>
      <c r="X25" s="200">
        <f>_xll.qlCalendarAdvance(Calendar,X24,W25,"f",FALSE)</f>
        <v>41822</v>
      </c>
      <c r="Y25" s="204">
        <f>_xll.qlCalendarAdvance(Calendar,X25,NDays&amp;"D")</f>
        <v>41824</v>
      </c>
      <c r="Z25" s="205">
        <v>1.5147614308784428E-3</v>
      </c>
      <c r="AA25" s="207">
        <v>7.9292441196976426E-4</v>
      </c>
    </row>
    <row r="26" spans="1:27" x14ac:dyDescent="0.2">
      <c r="M26" s="210" t="str">
        <v>obj_0062d#0001</v>
      </c>
      <c r="N26" s="199" t="str">
        <f>_xll.qlRateHelperQuoteName(M26)</f>
        <v>USD9X1S_Quote</v>
      </c>
      <c r="O26" s="200">
        <f>_xll.qlRateHelperLatestDate(M26,Trigger)</f>
        <v>42089</v>
      </c>
      <c r="P26" s="216">
        <f>_xll.qlRateHelperQuoteValue(M26,_xll.ohTrigger(RecalcTrigger,YieldCurve))</f>
        <v>1.7399999999999998E-3</v>
      </c>
      <c r="Q26" s="217" t="str">
        <f t="shared" si="7"/>
        <v>9M</v>
      </c>
      <c r="R26" s="189" t="str">
        <f>_xll.qlSwapIndex(,FamilyName,Q26,2,Currency,Calendar,"1Y","modified following",MoneyMarketDayCounter,IborIndex,Discounting,,_xll.ohTrigger(Trigger,RecalcTrigger))</f>
        <v>obj_0065c#0008</v>
      </c>
      <c r="S26" s="218">
        <f>_xll.qlIndexFixing(R26,$X$19,TRUE,Trigger)</f>
        <v>1.7147393804184269E-3</v>
      </c>
      <c r="T26" s="201">
        <f t="shared" si="9"/>
        <v>-2.5260619581572935E-5</v>
      </c>
      <c r="W26" s="199" t="str">
        <f t="shared" si="8"/>
        <v>1D</v>
      </c>
      <c r="X26" s="200">
        <f>_xll.qlCalendarAdvance(Calendar,X25,W26,"f",FALSE)</f>
        <v>41823</v>
      </c>
      <c r="Y26" s="204">
        <f>_xll.qlCalendarAdvance(Calendar,X26,NDays&amp;"D")</f>
        <v>41827</v>
      </c>
      <c r="Z26" s="205">
        <v>1.5147614308784428E-3</v>
      </c>
      <c r="AA26" s="207">
        <v>9.0008595121204849E-4</v>
      </c>
    </row>
    <row r="27" spans="1:27" x14ac:dyDescent="0.2">
      <c r="M27" s="210" t="str">
        <v>obj_0062a#0001</v>
      </c>
      <c r="N27" s="199" t="str">
        <f>_xll.qlRateHelperQuoteName(M27)</f>
        <v>USD10X1S_Quote</v>
      </c>
      <c r="O27" s="200">
        <f>_xll.qlRateHelperLatestDate(M27,Trigger)</f>
        <v>42121</v>
      </c>
      <c r="P27" s="216">
        <f>_xll.qlRateHelperQuoteValue(M27,_xll.ohTrigger(RecalcTrigger,YieldCurve))</f>
        <v>1.83E-3</v>
      </c>
      <c r="Q27" s="217" t="str">
        <f t="shared" si="7"/>
        <v>10M</v>
      </c>
      <c r="R27" s="189" t="str">
        <f>_xll.qlSwapIndex(,FamilyName,Q27,2,Currency,Calendar,"1Y","modified following",MoneyMarketDayCounter,IborIndex,Discounting,,_xll.ohTrigger(Trigger,RecalcTrigger))</f>
        <v>obj_0065a#0008</v>
      </c>
      <c r="S27" s="218">
        <f>_xll.qlIndexFixing(R27,$X$19,TRUE,Trigger)</f>
        <v>1.8119206525873575E-3</v>
      </c>
      <c r="T27" s="201">
        <f t="shared" si="9"/>
        <v>-1.8079347412642546E-5</v>
      </c>
      <c r="W27" s="199" t="str">
        <f t="shared" si="8"/>
        <v>1D</v>
      </c>
      <c r="X27" s="200">
        <f>_xll.qlCalendarAdvance(Calendar,X26,W27,"f",FALSE)</f>
        <v>41824</v>
      </c>
      <c r="Y27" s="204">
        <f>_xll.qlCalendarAdvance(Calendar,X27,NDays&amp;"D")</f>
        <v>41828</v>
      </c>
      <c r="Z27" s="205">
        <v>1.5490643370636777E-3</v>
      </c>
      <c r="AA27" s="207">
        <v>1.0008440595488111E-3</v>
      </c>
    </row>
    <row r="28" spans="1:27" x14ac:dyDescent="0.2">
      <c r="M28" s="210" t="str">
        <v>obj_0062c#0001</v>
      </c>
      <c r="N28" s="199" t="str">
        <f>_xll.qlRateHelperQuoteName(M28)</f>
        <v>USD11X1S_Quote</v>
      </c>
      <c r="O28" s="200">
        <f>_xll.qlRateHelperLatestDate(M28,Trigger)</f>
        <v>42150</v>
      </c>
      <c r="P28" s="216">
        <f>_xll.qlRateHelperQuoteValue(M28,_xll.ohTrigger(RecalcTrigger,YieldCurve))</f>
        <v>1.9300000000000001E-3</v>
      </c>
      <c r="Q28" s="217" t="str">
        <f t="shared" si="7"/>
        <v>11M</v>
      </c>
      <c r="R28" s="189" t="str">
        <f>_xll.qlSwapIndex(,FamilyName,Q28,2,Currency,Calendar,"1Y","modified following",MoneyMarketDayCounter,IborIndex,Discounting,,_xll.ohTrigger(Trigger,RecalcTrigger))</f>
        <v>obj_00657#0008</v>
      </c>
      <c r="S28" s="218">
        <f>_xll.qlIndexFixing(R28,$X$19,TRUE,Trigger)</f>
        <v>1.9240160065525441E-3</v>
      </c>
      <c r="T28" s="201">
        <f t="shared" si="9"/>
        <v>-5.9839934474560132E-6</v>
      </c>
      <c r="W28" s="199" t="str">
        <f t="shared" si="8"/>
        <v>1D</v>
      </c>
      <c r="X28" s="200">
        <f>_xll.qlCalendarAdvance(Calendar,X27,W28,"f",FALSE)</f>
        <v>41827</v>
      </c>
      <c r="Y28" s="204">
        <f>_xll.qlCalendarAdvance(Calendar,X28,NDays&amp;"D")</f>
        <v>41829</v>
      </c>
      <c r="Z28" s="205">
        <v>1.5897576976369784E-3</v>
      </c>
      <c r="AA28" s="207">
        <v>1.1810193482109099E-3</v>
      </c>
    </row>
    <row r="29" spans="1:27" x14ac:dyDescent="0.2">
      <c r="M29" s="210" t="str">
        <v>obj_00627#0001</v>
      </c>
      <c r="N29" s="199" t="str">
        <f>_xll.qlRateHelperQuoteName(M29)</f>
        <v>USD12X1S_Quote</v>
      </c>
      <c r="O29" s="200">
        <f>_xll.qlRateHelperLatestDate(M29,Trigger)</f>
        <v>42181</v>
      </c>
      <c r="P29" s="216">
        <f>_xll.qlRateHelperQuoteValue(M29,_xll.ohTrigger(RecalcTrigger,YieldCurve))</f>
        <v>2.0700000000000002E-3</v>
      </c>
      <c r="Q29" s="217" t="str">
        <f t="shared" si="7"/>
        <v>12M</v>
      </c>
      <c r="R29" s="189" t="str">
        <f>_xll.qlSwapIndex(,FamilyName,Q29,2,Currency,Calendar,"1Y","modified following",MoneyMarketDayCounter,IborIndex,Discounting,,_xll.ohTrigger(Trigger,RecalcTrigger))</f>
        <v>obj_0065b#0008</v>
      </c>
      <c r="S29" s="218">
        <f>_xll.qlIndexFixing(R29,$X$19,TRUE,Trigger)</f>
        <v>2.0699943844767876E-3</v>
      </c>
      <c r="T29" s="201">
        <f t="shared" si="9"/>
        <v>-5.615523212664647E-9</v>
      </c>
      <c r="W29" s="199" t="str">
        <f t="shared" si="8"/>
        <v>1D</v>
      </c>
      <c r="X29" s="200">
        <f>_xll.qlCalendarAdvance(Calendar,X28,W29,"f",FALSE)</f>
        <v>41828</v>
      </c>
      <c r="Y29" s="204">
        <f>_xll.qlCalendarAdvance(Calendar,X29,NDays&amp;"D")</f>
        <v>41830</v>
      </c>
      <c r="Z29" s="205">
        <v>1.6113059110628436E-3</v>
      </c>
      <c r="AA29" s="207">
        <v>1.339842081602427E-3</v>
      </c>
    </row>
    <row r="30" spans="1:27" ht="12" thickBot="1" x14ac:dyDescent="0.25">
      <c r="M30" s="222" t="e">
        <v>#N/A</v>
      </c>
      <c r="N30" s="211" t="e">
        <f>_xll.qlRateHelperQuoteName(M30)</f>
        <v>#VALUE!</v>
      </c>
      <c r="O30" s="214" t="e">
        <f>_xll.qlRateHelperLatestDate(M30,Trigger)</f>
        <v>#VALUE!</v>
      </c>
      <c r="P30" s="219" t="e">
        <f>_xll.qlRateHelperQuoteValue(M30,_xll.ohTrigger(RecalcTrigger,YieldCurve))</f>
        <v>#VALUE!</v>
      </c>
      <c r="Q30" s="223" t="e">
        <f t="shared" si="7"/>
        <v>#VALUE!</v>
      </c>
      <c r="R30" s="215" t="e">
        <f>_xll.qlSwapIndex(,FamilyName,Q30,2,Currency,Calendar,"1Y","modified following",MoneyMarketDayCounter,IborIndex,Discounting,,_xll.ohTrigger(Trigger,RecalcTrigger))</f>
        <v>#VALUE!</v>
      </c>
      <c r="S30" s="220" t="e">
        <f>_xll.qlIndexFixing(R30,$X$19,TRUE,Trigger)</f>
        <v>#VALUE!</v>
      </c>
      <c r="T30" s="224" t="e">
        <f t="shared" si="9"/>
        <v>#VALUE!</v>
      </c>
      <c r="W30" s="199" t="str">
        <f t="shared" si="8"/>
        <v>1D</v>
      </c>
      <c r="X30" s="200">
        <f>_xll.qlCalendarAdvance(Calendar,X29,W30,"f",FALSE)</f>
        <v>41829</v>
      </c>
      <c r="Y30" s="204">
        <f>_xll.qlCalendarAdvance(Calendar,X30,NDays&amp;"D")</f>
        <v>41831</v>
      </c>
      <c r="Z30" s="205">
        <v>1.6309936944910561E-3</v>
      </c>
      <c r="AA30" s="207">
        <v>1.4085829617105361E-3</v>
      </c>
    </row>
    <row r="31" spans="1:27" x14ac:dyDescent="0.2">
      <c r="M31" s="166"/>
      <c r="N31" s="166"/>
      <c r="O31" s="166"/>
      <c r="P31" s="166"/>
      <c r="Q31" s="166"/>
      <c r="R31" s="166"/>
      <c r="T31" s="166"/>
      <c r="W31" s="199" t="str">
        <f t="shared" si="8"/>
        <v>1D</v>
      </c>
      <c r="X31" s="200">
        <f>_xll.qlCalendarAdvance(Calendar,X30,W31,"f",FALSE)</f>
        <v>41830</v>
      </c>
      <c r="Y31" s="204">
        <f>_xll.qlCalendarAdvance(Calendar,X31,NDays&amp;"D")</f>
        <v>41834</v>
      </c>
      <c r="Z31" s="205">
        <v>1.6857397346567706E-3</v>
      </c>
      <c r="AA31" s="207">
        <v>1.4709203837348639E-3</v>
      </c>
    </row>
    <row r="32" spans="1:27" x14ac:dyDescent="0.2">
      <c r="M32" s="166"/>
      <c r="N32" s="166"/>
      <c r="O32" s="166"/>
      <c r="P32" s="166"/>
      <c r="Q32" s="166"/>
      <c r="R32" s="166"/>
      <c r="T32" s="166"/>
      <c r="W32" s="199" t="str">
        <f t="shared" si="8"/>
        <v>1D</v>
      </c>
      <c r="X32" s="200">
        <f>_xll.qlCalendarAdvance(Calendar,X31,W32,"f",FALSE)</f>
        <v>41831</v>
      </c>
      <c r="Y32" s="204">
        <f>_xll.qlCalendarAdvance(Calendar,X32,NDays&amp;"D")</f>
        <v>41835</v>
      </c>
      <c r="Z32" s="205">
        <v>1.6989000977631467E-3</v>
      </c>
      <c r="AA32" s="207">
        <v>1.526854344398032E-3</v>
      </c>
    </row>
    <row r="33" spans="13:27" x14ac:dyDescent="0.2">
      <c r="M33" s="166"/>
      <c r="N33" s="166"/>
      <c r="O33" s="166"/>
      <c r="P33" s="166"/>
      <c r="Q33" s="166"/>
      <c r="R33" s="166"/>
      <c r="T33" s="166"/>
      <c r="W33" s="199" t="str">
        <f t="shared" si="8"/>
        <v>1D</v>
      </c>
      <c r="X33" s="200">
        <f>_xll.qlCalendarAdvance(Calendar,X32,W33,"f",FALSE)</f>
        <v>41834</v>
      </c>
      <c r="Y33" s="204">
        <f>_xll.qlCalendarAdvance(Calendar,X33,NDays&amp;"D")</f>
        <v>41836</v>
      </c>
      <c r="Z33" s="205">
        <v>1.7122244864512224E-3</v>
      </c>
      <c r="AA33" s="207">
        <v>1.6173846452272045E-3</v>
      </c>
    </row>
    <row r="34" spans="13:27" x14ac:dyDescent="0.2">
      <c r="M34" s="166"/>
      <c r="N34" s="166"/>
      <c r="O34" s="166"/>
      <c r="P34" s="166"/>
      <c r="Q34" s="166"/>
      <c r="R34" s="166"/>
      <c r="T34" s="166"/>
      <c r="W34" s="199" t="str">
        <f t="shared" si="8"/>
        <v>1D</v>
      </c>
      <c r="X34" s="200">
        <f>_xll.qlCalendarAdvance(Calendar,X33,W34,"f",FALSE)</f>
        <v>41835</v>
      </c>
      <c r="Y34" s="204">
        <f>_xll.qlCalendarAdvance(Calendar,X34,NDays&amp;"D")</f>
        <v>41837</v>
      </c>
      <c r="Z34" s="205">
        <v>1.71975821291942E-3</v>
      </c>
      <c r="AA34" s="207">
        <v>1.6865555189227166E-3</v>
      </c>
    </row>
    <row r="35" spans="13:27" x14ac:dyDescent="0.2">
      <c r="M35" s="166"/>
      <c r="N35" s="166"/>
      <c r="O35" s="166"/>
      <c r="P35" s="166"/>
      <c r="Q35" s="166"/>
      <c r="R35" s="166"/>
      <c r="T35" s="166"/>
      <c r="W35" s="199" t="str">
        <f t="shared" si="8"/>
        <v>1D</v>
      </c>
      <c r="X35" s="200">
        <f>_xll.qlCalendarAdvance(Calendar,X34,W35,"f",FALSE)</f>
        <v>41836</v>
      </c>
      <c r="Y35" s="204">
        <f>_xll.qlCalendarAdvance(Calendar,X35,NDays&amp;"D")</f>
        <v>41838</v>
      </c>
      <c r="Z35" s="205">
        <v>1.7259735980512312E-3</v>
      </c>
      <c r="AA35" s="207">
        <v>1.7104721348903951E-3</v>
      </c>
    </row>
    <row r="36" spans="13:27" x14ac:dyDescent="0.2">
      <c r="M36" s="166"/>
      <c r="N36" s="166"/>
      <c r="O36" s="166"/>
      <c r="P36" s="166"/>
      <c r="Q36" s="166"/>
      <c r="R36" s="166"/>
      <c r="T36" s="166"/>
      <c r="W36" s="199" t="str">
        <f t="shared" si="8"/>
        <v>1D</v>
      </c>
      <c r="X36" s="200">
        <f>_xll.qlCalendarAdvance(Calendar,X35,W36,"f",FALSE)</f>
        <v>41837</v>
      </c>
      <c r="Y36" s="204">
        <f>_xll.qlCalendarAdvance(Calendar,X36,NDays&amp;"D")</f>
        <v>41841</v>
      </c>
      <c r="Z36" s="205">
        <v>1.7387218539576291E-3</v>
      </c>
      <c r="AA36" s="207">
        <v>1.7279852766272086E-3</v>
      </c>
    </row>
    <row r="37" spans="13:27" x14ac:dyDescent="0.2">
      <c r="M37" s="166"/>
      <c r="N37" s="166"/>
      <c r="O37" s="166"/>
      <c r="P37" s="166"/>
      <c r="Q37" s="166"/>
      <c r="R37" s="166"/>
      <c r="T37" s="166"/>
      <c r="W37" s="199" t="str">
        <f t="shared" si="8"/>
        <v>1D</v>
      </c>
      <c r="X37" s="200">
        <f>_xll.qlCalendarAdvance(Calendar,X36,W37,"f",FALSE)</f>
        <v>41838</v>
      </c>
      <c r="Y37" s="204">
        <f>_xll.qlCalendarAdvance(Calendar,X37,NDays&amp;"D")</f>
        <v>41842</v>
      </c>
      <c r="Z37" s="205">
        <v>1.7407403708596409E-3</v>
      </c>
      <c r="AA37" s="207">
        <v>1.7390949434137326E-3</v>
      </c>
    </row>
    <row r="38" spans="13:27" x14ac:dyDescent="0.2">
      <c r="M38" s="166"/>
      <c r="N38" s="166"/>
      <c r="O38" s="166"/>
      <c r="P38" s="166"/>
      <c r="Q38" s="166"/>
      <c r="R38" s="166"/>
      <c r="T38" s="166"/>
      <c r="W38" s="199" t="str">
        <f t="shared" si="8"/>
        <v>1D</v>
      </c>
      <c r="X38" s="200">
        <f>_xll.qlCalendarAdvance(Calendar,X37,W38,"f",FALSE)</f>
        <v>41841</v>
      </c>
      <c r="Y38" s="204">
        <f>_xll.qlCalendarAdvance(Calendar,X38,NDays&amp;"D")</f>
        <v>41843</v>
      </c>
      <c r="Z38" s="205">
        <v>1.7425845252207767E-3</v>
      </c>
      <c r="AA38" s="207">
        <v>1.739977767307721E-3</v>
      </c>
    </row>
    <row r="39" spans="13:27" x14ac:dyDescent="0.2">
      <c r="M39" s="166"/>
      <c r="N39" s="166"/>
      <c r="O39" s="166"/>
      <c r="P39" s="166"/>
      <c r="Q39" s="166"/>
      <c r="R39" s="166"/>
      <c r="T39" s="166"/>
      <c r="W39" s="199" t="str">
        <f t="shared" si="8"/>
        <v>1D</v>
      </c>
      <c r="X39" s="200">
        <f>_xll.qlCalendarAdvance(Calendar,X38,W39,"f",FALSE)</f>
        <v>41842</v>
      </c>
      <c r="Y39" s="204">
        <f>_xll.qlCalendarAdvance(Calendar,X39,NDays&amp;"D")</f>
        <v>41844</v>
      </c>
      <c r="Z39" s="205">
        <v>1.7430185602754476E-3</v>
      </c>
      <c r="AA39" s="207">
        <v>1.7287124168952062E-3</v>
      </c>
    </row>
    <row r="40" spans="13:27" x14ac:dyDescent="0.2">
      <c r="M40" s="166"/>
      <c r="N40" s="166"/>
      <c r="O40" s="166"/>
      <c r="P40" s="166"/>
      <c r="Q40" s="166"/>
      <c r="R40" s="166"/>
      <c r="T40" s="166"/>
      <c r="W40" s="199" t="str">
        <f t="shared" si="8"/>
        <v>1D</v>
      </c>
      <c r="X40" s="200">
        <f>_xll.qlCalendarAdvance(Calendar,X39,W40,"f",FALSE)</f>
        <v>41843</v>
      </c>
      <c r="Y40" s="204">
        <f>_xll.qlCalendarAdvance(Calendar,X40,NDays&amp;"D")</f>
        <v>41845</v>
      </c>
      <c r="Z40" s="205">
        <v>1.743132752543286E-3</v>
      </c>
      <c r="AA40" s="207">
        <v>1.7304494163994377E-3</v>
      </c>
    </row>
    <row r="41" spans="13:27" x14ac:dyDescent="0.2">
      <c r="M41" s="166"/>
      <c r="N41" s="166"/>
      <c r="O41" s="166"/>
      <c r="P41" s="166"/>
      <c r="Q41" s="166"/>
      <c r="R41" s="166"/>
      <c r="T41" s="166"/>
      <c r="W41" s="199" t="str">
        <f t="shared" si="8"/>
        <v>1D</v>
      </c>
      <c r="X41" s="200">
        <f>_xll.qlCalendarAdvance(Calendar,X40,W41,"f",FALSE)</f>
        <v>41844</v>
      </c>
      <c r="Y41" s="204">
        <f>_xll.qlCalendarAdvance(Calendar,X41,NDays&amp;"D")</f>
        <v>41848</v>
      </c>
      <c r="Z41" s="205">
        <v>1.7437144095394832E-3</v>
      </c>
      <c r="AA41" s="207">
        <v>1.7321093147781852E-3</v>
      </c>
    </row>
    <row r="42" spans="13:27" x14ac:dyDescent="0.2">
      <c r="M42" s="166"/>
      <c r="N42" s="166"/>
      <c r="O42" s="166"/>
      <c r="P42" s="166"/>
      <c r="Q42" s="166"/>
      <c r="R42" s="166"/>
      <c r="T42" s="166"/>
      <c r="W42" s="199" t="str">
        <f t="shared" si="8"/>
        <v>1D</v>
      </c>
      <c r="X42" s="200">
        <f>_xll.qlCalendarAdvance(Calendar,X41,W42,"f",FALSE)</f>
        <v>41845</v>
      </c>
      <c r="Y42" s="204">
        <f>_xll.qlCalendarAdvance(Calendar,X42,NDays&amp;"D")</f>
        <v>41849</v>
      </c>
      <c r="Z42" s="205">
        <v>1.7442949751067169E-3</v>
      </c>
      <c r="AA42" s="207">
        <v>1.7336921118715765E-3</v>
      </c>
    </row>
    <row r="43" spans="13:27" x14ac:dyDescent="0.2">
      <c r="M43" s="166"/>
      <c r="N43" s="166"/>
      <c r="O43" s="166"/>
      <c r="P43" s="166"/>
      <c r="Q43" s="166"/>
      <c r="R43" s="166"/>
      <c r="T43" s="166"/>
      <c r="W43" s="199" t="str">
        <f t="shared" si="8"/>
        <v>1D</v>
      </c>
      <c r="X43" s="200">
        <f>_xll.qlCalendarAdvance(Calendar,X42,W43,"f",FALSE)</f>
        <v>41848</v>
      </c>
      <c r="Y43" s="204">
        <f>_xll.qlCalendarAdvance(Calendar,X43,NDays&amp;"D")</f>
        <v>41850</v>
      </c>
      <c r="Z43" s="205">
        <v>1.7447481070682613E-3</v>
      </c>
      <c r="AA43" s="207">
        <v>1.736609079232565E-3</v>
      </c>
    </row>
    <row r="44" spans="13:27" x14ac:dyDescent="0.2">
      <c r="M44" s="166"/>
      <c r="N44" s="166"/>
      <c r="O44" s="166"/>
      <c r="P44" s="166"/>
      <c r="Q44" s="166"/>
      <c r="R44" s="166"/>
      <c r="T44" s="166"/>
      <c r="W44" s="199" t="str">
        <f t="shared" si="8"/>
        <v>1D</v>
      </c>
      <c r="X44" s="200">
        <f>_xll.qlCalendarAdvance(Calendar,X43,W44,"f",FALSE)</f>
        <v>41849</v>
      </c>
      <c r="Y44" s="204">
        <f>_xll.qlCalendarAdvance(Calendar,X44,NDays&amp;"D")</f>
        <v>41851</v>
      </c>
      <c r="Z44" s="205">
        <v>1.7451755307301504E-3</v>
      </c>
      <c r="AA44" s="207">
        <v>1.73925228819094E-3</v>
      </c>
    </row>
    <row r="45" spans="13:27" x14ac:dyDescent="0.2">
      <c r="M45" s="166"/>
      <c r="N45" s="166"/>
      <c r="O45" s="166"/>
      <c r="P45" s="166"/>
      <c r="Q45" s="166"/>
      <c r="R45" s="166"/>
      <c r="T45" s="166"/>
      <c r="W45" s="199" t="str">
        <f t="shared" si="8"/>
        <v>1D</v>
      </c>
      <c r="X45" s="200">
        <f>_xll.qlCalendarAdvance(Calendar,X44,W45,"f",FALSE)</f>
        <v>41850</v>
      </c>
      <c r="Y45" s="204">
        <f>_xll.qlCalendarAdvance(Calendar,X45,NDays&amp;"D")</f>
        <v>41852</v>
      </c>
      <c r="Z45" s="205">
        <v>1.7455215056411122E-3</v>
      </c>
      <c r="AA45" s="207">
        <v>1.7404495791772945E-3</v>
      </c>
    </row>
    <row r="46" spans="13:27" x14ac:dyDescent="0.2">
      <c r="M46" s="166"/>
      <c r="N46" s="166"/>
      <c r="O46" s="166"/>
      <c r="P46" s="166"/>
      <c r="Q46" s="166"/>
      <c r="R46" s="166"/>
      <c r="T46" s="166"/>
      <c r="W46" s="199" t="str">
        <f t="shared" si="8"/>
        <v>1D</v>
      </c>
      <c r="X46" s="200">
        <f>_xll.qlCalendarAdvance(Calendar,X45,W46,"f",FALSE)</f>
        <v>41851</v>
      </c>
      <c r="Y46" s="204">
        <f>_xll.qlCalendarAdvance(Calendar,X46,NDays&amp;"D")</f>
        <v>41855</v>
      </c>
      <c r="Z46" s="205">
        <v>1.7461590076066839E-3</v>
      </c>
      <c r="AA46" s="207">
        <v>1.7415697689582288E-3</v>
      </c>
    </row>
    <row r="47" spans="13:27" x14ac:dyDescent="0.2">
      <c r="M47" s="166"/>
      <c r="N47" s="166"/>
      <c r="O47" s="166"/>
      <c r="P47" s="166"/>
      <c r="Q47" s="166"/>
      <c r="R47" s="166"/>
      <c r="T47" s="166"/>
      <c r="W47" s="199" t="str">
        <f t="shared" si="8"/>
        <v>1D</v>
      </c>
      <c r="X47" s="200">
        <f>_xll.qlCalendarAdvance(Calendar,X46,W47,"f",FALSE)</f>
        <v>41852</v>
      </c>
      <c r="Y47" s="204">
        <f>_xll.qlCalendarAdvance(Calendar,X47,NDays&amp;"D")</f>
        <v>41856</v>
      </c>
      <c r="Z47" s="205">
        <v>1.7461997861485175E-3</v>
      </c>
      <c r="AA47" s="207">
        <v>1.742612857533743E-3</v>
      </c>
    </row>
    <row r="48" spans="13:27" x14ac:dyDescent="0.2">
      <c r="M48" s="166"/>
      <c r="N48" s="166"/>
      <c r="O48" s="166"/>
      <c r="P48" s="166"/>
      <c r="Q48" s="166"/>
      <c r="R48" s="166"/>
      <c r="T48" s="166"/>
      <c r="W48" s="199" t="str">
        <f t="shared" si="8"/>
        <v>1D</v>
      </c>
      <c r="X48" s="200">
        <f>_xll.qlCalendarAdvance(Calendar,X47,W48,"f",FALSE)</f>
        <v>41855</v>
      </c>
      <c r="Y48" s="204">
        <f>_xll.qlCalendarAdvance(Calendar,X48,NDays&amp;"D")</f>
        <v>41857</v>
      </c>
      <c r="Z48" s="205">
        <v>1.7456472037117008E-3</v>
      </c>
      <c r="AA48" s="207">
        <v>1.7444504835850694E-3</v>
      </c>
    </row>
    <row r="49" spans="13:27" x14ac:dyDescent="0.2">
      <c r="M49" s="166"/>
      <c r="N49" s="166"/>
      <c r="O49" s="166"/>
      <c r="P49" s="166"/>
      <c r="Q49" s="166"/>
      <c r="R49" s="166"/>
      <c r="T49" s="166"/>
      <c r="W49" s="199" t="str">
        <f t="shared" si="8"/>
        <v>1D</v>
      </c>
      <c r="X49" s="200">
        <f>_xll.qlCalendarAdvance(Calendar,X48,W49,"f",FALSE)</f>
        <v>41856</v>
      </c>
      <c r="Y49" s="204">
        <f>_xll.qlCalendarAdvance(Calendar,X49,NDays&amp;"D")</f>
        <v>41858</v>
      </c>
      <c r="Z49" s="205">
        <v>1.7457661780634348E-3</v>
      </c>
      <c r="AA49" s="207">
        <v>1.7460141995417899E-3</v>
      </c>
    </row>
    <row r="50" spans="13:27" x14ac:dyDescent="0.2">
      <c r="M50" s="166"/>
      <c r="N50" s="166"/>
      <c r="O50" s="166"/>
      <c r="P50" s="166"/>
      <c r="Q50" s="166"/>
      <c r="R50" s="166"/>
      <c r="T50" s="166"/>
      <c r="W50" s="199" t="str">
        <f t="shared" si="8"/>
        <v>1D</v>
      </c>
      <c r="X50" s="200">
        <f>_xll.qlCalendarAdvance(Calendar,X49,W50,"f",FALSE)</f>
        <v>41857</v>
      </c>
      <c r="Y50" s="204">
        <f>_xll.qlCalendarAdvance(Calendar,X50,NDays&amp;"D")</f>
        <v>41859</v>
      </c>
      <c r="Z50" s="205">
        <v>1.7458594470909361E-3</v>
      </c>
      <c r="AA50" s="207">
        <v>1.7466717820102673E-3</v>
      </c>
    </row>
    <row r="51" spans="13:27" x14ac:dyDescent="0.2">
      <c r="M51" s="166"/>
      <c r="N51" s="166"/>
      <c r="O51" s="166"/>
      <c r="P51" s="166"/>
      <c r="Q51" s="166"/>
      <c r="R51" s="166"/>
      <c r="T51" s="166"/>
      <c r="W51" s="199" t="str">
        <f t="shared" si="8"/>
        <v>1D</v>
      </c>
      <c r="X51" s="200">
        <f>_xll.qlCalendarAdvance(Calendar,X50,W51,"f",FALSE)</f>
        <v>41858</v>
      </c>
      <c r="Y51" s="204">
        <f>_xll.qlCalendarAdvance(Calendar,X51,NDays&amp;"D")</f>
        <v>41862</v>
      </c>
      <c r="Z51" s="205">
        <v>1.7448250960757747E-3</v>
      </c>
      <c r="AA51" s="207">
        <v>1.7472522631933884E-3</v>
      </c>
    </row>
    <row r="52" spans="13:27" x14ac:dyDescent="0.2">
      <c r="M52" s="166"/>
      <c r="N52" s="166"/>
      <c r="O52" s="166"/>
      <c r="P52" s="166"/>
      <c r="Q52" s="166"/>
      <c r="R52" s="166"/>
      <c r="T52" s="166"/>
      <c r="W52" s="199" t="str">
        <f t="shared" si="8"/>
        <v>1D</v>
      </c>
      <c r="X52" s="200">
        <f>_xll.qlCalendarAdvance(Calendar,X51,W52,"f",FALSE)</f>
        <v>41859</v>
      </c>
      <c r="Y52" s="204">
        <f>_xll.qlCalendarAdvance(Calendar,X52,NDays&amp;"D")</f>
        <v>41863</v>
      </c>
      <c r="Z52" s="205">
        <v>1.7443260875509507E-3</v>
      </c>
      <c r="AA52" s="207">
        <v>1.7477556431710894E-3</v>
      </c>
    </row>
    <row r="53" spans="13:27" x14ac:dyDescent="0.2">
      <c r="M53" s="166"/>
      <c r="N53" s="166"/>
      <c r="O53" s="166"/>
      <c r="P53" s="166"/>
      <c r="Q53" s="166"/>
      <c r="R53" s="166"/>
      <c r="T53" s="166"/>
      <c r="W53" s="199" t="str">
        <f t="shared" si="8"/>
        <v>1D</v>
      </c>
      <c r="X53" s="200">
        <f>_xll.qlCalendarAdvance(Calendar,X52,W53,"f",FALSE)</f>
        <v>41862</v>
      </c>
      <c r="Y53" s="204">
        <f>_xll.qlCalendarAdvance(Calendar,X53,NDays&amp;"D")</f>
        <v>41864</v>
      </c>
      <c r="Z53" s="205">
        <v>1.7426939025977364E-3</v>
      </c>
      <c r="AA53" s="207">
        <v>1.7485138914619114E-3</v>
      </c>
    </row>
    <row r="54" spans="13:27" x14ac:dyDescent="0.2">
      <c r="M54" s="166"/>
      <c r="N54" s="166"/>
      <c r="O54" s="166"/>
      <c r="P54" s="166"/>
      <c r="Q54" s="166"/>
      <c r="R54" s="166"/>
      <c r="T54" s="166"/>
      <c r="W54" s="199" t="str">
        <f t="shared" si="8"/>
        <v>1D</v>
      </c>
      <c r="X54" s="200">
        <f>_xll.qlCalendarAdvance(Calendar,X53,W54,"f",FALSE)</f>
        <v>41863</v>
      </c>
      <c r="Y54" s="204">
        <f>_xll.qlCalendarAdvance(Calendar,X54,NDays&amp;"D")</f>
        <v>41865</v>
      </c>
      <c r="Z54" s="205">
        <v>1.7425429964343375E-3</v>
      </c>
      <c r="AA54" s="207">
        <v>1.7489981507878838E-3</v>
      </c>
    </row>
    <row r="55" spans="13:27" x14ac:dyDescent="0.2">
      <c r="M55" s="166"/>
      <c r="N55" s="166"/>
      <c r="O55" s="166"/>
      <c r="P55" s="166"/>
      <c r="Q55" s="166"/>
      <c r="R55" s="166"/>
      <c r="T55" s="166"/>
      <c r="W55" s="199" t="str">
        <f t="shared" si="8"/>
        <v>1D</v>
      </c>
      <c r="X55" s="200">
        <f>_xll.qlCalendarAdvance(Calendar,X54,W55,"f",FALSE)</f>
        <v>41864</v>
      </c>
      <c r="Y55" s="204">
        <f>_xll.qlCalendarAdvance(Calendar,X55,NDays&amp;"D")</f>
        <v>41866</v>
      </c>
      <c r="Z55" s="205">
        <v>1.7423663875641481E-3</v>
      </c>
      <c r="AA55" s="207">
        <v>1.749116024658548E-3</v>
      </c>
    </row>
    <row r="56" spans="13:27" x14ac:dyDescent="0.2">
      <c r="M56" s="166"/>
      <c r="N56" s="166"/>
      <c r="O56" s="166"/>
      <c r="P56" s="166"/>
      <c r="Q56" s="166"/>
      <c r="R56" s="166"/>
      <c r="T56" s="166"/>
      <c r="W56" s="199" t="str">
        <f t="shared" si="8"/>
        <v>1D</v>
      </c>
      <c r="X56" s="200">
        <f>_xll.qlCalendarAdvance(Calendar,X55,W56,"f",FALSE)</f>
        <v>41865</v>
      </c>
      <c r="Y56" s="204">
        <f>_xll.qlCalendarAdvance(Calendar,X56,NDays&amp;"D")</f>
        <v>41869</v>
      </c>
      <c r="Z56" s="205">
        <v>1.7397126762463608E-3</v>
      </c>
      <c r="AA56" s="207">
        <v>1.749156797243856E-3</v>
      </c>
    </row>
    <row r="57" spans="13:27" x14ac:dyDescent="0.2">
      <c r="M57" s="166"/>
      <c r="N57" s="166"/>
      <c r="O57" s="166"/>
      <c r="P57" s="166"/>
      <c r="Q57" s="166"/>
      <c r="R57" s="166"/>
      <c r="T57" s="166"/>
      <c r="W57" s="199" t="str">
        <f t="shared" si="8"/>
        <v>1D</v>
      </c>
      <c r="X57" s="200">
        <f>_xll.qlCalendarAdvance(Calendar,X56,W57,"f",FALSE)</f>
        <v>41866</v>
      </c>
      <c r="Y57" s="204">
        <f>_xll.qlCalendarAdvance(Calendar,X57,NDays&amp;"D")</f>
        <v>41870</v>
      </c>
      <c r="Z57" s="205">
        <v>1.7386738811448102E-3</v>
      </c>
      <c r="AA57" s="207">
        <v>1.7491204686237438E-3</v>
      </c>
    </row>
    <row r="58" spans="13:27" x14ac:dyDescent="0.2">
      <c r="M58" s="166"/>
      <c r="N58" s="166"/>
      <c r="O58" s="166"/>
      <c r="P58" s="166"/>
      <c r="Q58" s="166"/>
      <c r="R58" s="166"/>
      <c r="T58" s="166"/>
      <c r="W58" s="199" t="str">
        <f t="shared" si="8"/>
        <v>1D</v>
      </c>
      <c r="X58" s="200">
        <f>_xll.qlCalendarAdvance(Calendar,X57,W58,"f",FALSE)</f>
        <v>41869</v>
      </c>
      <c r="Y58" s="204">
        <f>_xll.qlCalendarAdvance(Calendar,X58,NDays&amp;"D")</f>
        <v>41871</v>
      </c>
      <c r="Z58" s="205">
        <v>1.73596205857733E-3</v>
      </c>
      <c r="AA58" s="207">
        <v>1.7486568816349468E-3</v>
      </c>
    </row>
    <row r="59" spans="13:27" x14ac:dyDescent="0.2">
      <c r="M59" s="166"/>
      <c r="N59" s="166"/>
      <c r="O59" s="166"/>
      <c r="P59" s="166"/>
      <c r="Q59" s="166"/>
      <c r="R59" s="166"/>
      <c r="T59" s="166"/>
      <c r="W59" s="199" t="str">
        <f t="shared" si="8"/>
        <v>1D</v>
      </c>
      <c r="X59" s="200">
        <f>_xll.qlCalendarAdvance(Calendar,X58,W59,"f",FALSE)</f>
        <v>41870</v>
      </c>
      <c r="Y59" s="204">
        <f>_xll.qlCalendarAdvance(Calendar,X59,NDays&amp;"D")</f>
        <v>41872</v>
      </c>
      <c r="Z59" s="205">
        <v>1.7355412903993783E-3</v>
      </c>
      <c r="AA59" s="207">
        <v>1.7477823071221366E-3</v>
      </c>
    </row>
    <row r="60" spans="13:27" x14ac:dyDescent="0.2">
      <c r="M60" s="166"/>
      <c r="N60" s="166"/>
      <c r="O60" s="166"/>
      <c r="P60" s="166"/>
      <c r="Q60" s="166"/>
      <c r="R60" s="166"/>
      <c r="T60" s="166"/>
      <c r="W60" s="199" t="str">
        <f t="shared" si="8"/>
        <v>1D</v>
      </c>
      <c r="X60" s="200">
        <f>_xll.qlCalendarAdvance(Calendar,X59,W60,"f",FALSE)</f>
        <v>41871</v>
      </c>
      <c r="Y60" s="204">
        <f>_xll.qlCalendarAdvance(Calendar,X60,NDays&amp;"D")</f>
        <v>41873</v>
      </c>
      <c r="Z60" s="205">
        <v>1.7350948221420944E-3</v>
      </c>
      <c r="AA60" s="207">
        <v>1.7472833711096314E-3</v>
      </c>
    </row>
    <row r="61" spans="13:27" x14ac:dyDescent="0.2">
      <c r="M61" s="166"/>
      <c r="N61" s="166"/>
      <c r="O61" s="166"/>
      <c r="P61" s="166"/>
      <c r="Q61" s="166"/>
      <c r="R61" s="166"/>
      <c r="T61" s="166"/>
      <c r="W61" s="199" t="str">
        <f t="shared" si="8"/>
        <v>1D</v>
      </c>
      <c r="X61" s="200">
        <f>_xll.qlCalendarAdvance(Calendar,X60,W61,"f",FALSE)</f>
        <v>41872</v>
      </c>
      <c r="Y61" s="204">
        <f>_xll.qlCalendarAdvance(Calendar,X61,NDays&amp;"D")</f>
        <v>41877</v>
      </c>
      <c r="Z61" s="205">
        <v>1.7292431724456835E-3</v>
      </c>
      <c r="AA61" s="207">
        <v>1.7467073338917061E-3</v>
      </c>
    </row>
    <row r="62" spans="13:27" x14ac:dyDescent="0.2">
      <c r="M62" s="166"/>
      <c r="N62" s="166"/>
      <c r="O62" s="166"/>
      <c r="P62" s="166"/>
      <c r="Q62" s="166"/>
      <c r="R62" s="166"/>
      <c r="T62" s="166"/>
      <c r="W62" s="199" t="str">
        <f t="shared" si="8"/>
        <v>1D</v>
      </c>
      <c r="X62" s="200">
        <f>_xll.qlCalendarAdvance(Calendar,X61,W62,"f",FALSE)</f>
        <v>41873</v>
      </c>
      <c r="Y62" s="204">
        <f>_xll.qlCalendarAdvance(Calendar,X62,NDays&amp;"D")</f>
        <v>41878</v>
      </c>
      <c r="Z62" s="205">
        <v>1.7254715747744792E-3</v>
      </c>
      <c r="AA62" s="207">
        <v>1.7453067166695035E-3</v>
      </c>
    </row>
    <row r="63" spans="13:27" x14ac:dyDescent="0.2">
      <c r="S63" s="165"/>
      <c r="T63" s="166"/>
      <c r="W63" s="199" t="str">
        <f t="shared" si="8"/>
        <v>1D</v>
      </c>
      <c r="X63" s="200">
        <f>_xll.qlCalendarAdvance(Calendar,X62,W63,"f",FALSE)</f>
        <v>41877</v>
      </c>
      <c r="Y63" s="204">
        <f>_xll.qlCalendarAdvance(Calendar,X63,NDays&amp;"D")</f>
        <v>41879</v>
      </c>
      <c r="Z63" s="205">
        <v>1.7247815847978853E-3</v>
      </c>
      <c r="AA63" s="207">
        <v>1.7436321727259951E-3</v>
      </c>
    </row>
    <row r="64" spans="13:27" x14ac:dyDescent="0.2">
      <c r="S64" s="165"/>
      <c r="T64" s="166"/>
      <c r="W64" s="199" t="str">
        <f t="shared" si="8"/>
        <v>1D</v>
      </c>
      <c r="X64" s="200">
        <f>_xll.qlCalendarAdvance(Calendar,X63,W64,"f",FALSE)</f>
        <v>41878</v>
      </c>
      <c r="Y64" s="204">
        <f>_xll.qlCalendarAdvance(Calendar,X64,NDays&amp;"D")</f>
        <v>41880</v>
      </c>
      <c r="Z64" s="205">
        <v>1.7229612200289623E-3</v>
      </c>
      <c r="AA64" s="207">
        <v>1.742670629401033E-3</v>
      </c>
    </row>
    <row r="65" spans="10:27" x14ac:dyDescent="0.2">
      <c r="S65" s="165"/>
      <c r="T65" s="166"/>
      <c r="W65" s="199" t="str">
        <f t="shared" si="8"/>
        <v>1D</v>
      </c>
      <c r="X65" s="200">
        <f>_xll.qlCalendarAdvance(Calendar,X64,W65,"f",FALSE)</f>
        <v>41879</v>
      </c>
      <c r="Y65" s="204">
        <f>_xll.qlCalendarAdvance(Calendar,X65,NDays&amp;"D")</f>
        <v>41883</v>
      </c>
      <c r="Z65" s="205">
        <v>1.717469773132585E-3</v>
      </c>
      <c r="AA65" s="207">
        <v>1.7416319847907147E-3</v>
      </c>
    </row>
    <row r="66" spans="10:27" x14ac:dyDescent="0.2">
      <c r="S66" s="165"/>
      <c r="T66" s="166"/>
      <c r="W66" s="199" t="str">
        <f t="shared" si="8"/>
        <v>1D</v>
      </c>
      <c r="X66" s="200">
        <f>_xll.qlCalendarAdvance(Calendar,X65,W66,"f",FALSE)</f>
        <v>41880</v>
      </c>
      <c r="Y66" s="204">
        <f>_xll.qlCalendarAdvance(Calendar,X66,NDays&amp;"D")</f>
        <v>41884</v>
      </c>
      <c r="Z66" s="205">
        <v>1.717469773132585E-3</v>
      </c>
      <c r="AA66" s="207">
        <v>1.7405162390549123E-3</v>
      </c>
    </row>
    <row r="67" spans="10:27" x14ac:dyDescent="0.2">
      <c r="S67" s="165"/>
      <c r="T67" s="166"/>
      <c r="W67" s="199" t="str">
        <f t="shared" si="8"/>
        <v>1D</v>
      </c>
      <c r="X67" s="200">
        <f>_xll.qlCalendarAdvance(Calendar,X66,W67,"f",FALSE)</f>
        <v>41883</v>
      </c>
      <c r="Y67" s="204">
        <f>_xll.qlCalendarAdvance(Calendar,X67,NDays&amp;"D")</f>
        <v>41885</v>
      </c>
      <c r="Z67" s="205">
        <v>1.7154158051981838E-3</v>
      </c>
      <c r="AA67" s="207">
        <v>1.7380361342667072E-3</v>
      </c>
    </row>
    <row r="68" spans="10:27" x14ac:dyDescent="0.2">
      <c r="S68" s="165"/>
      <c r="T68" s="166"/>
      <c r="W68" s="199" t="str">
        <f t="shared" si="8"/>
        <v>1D</v>
      </c>
      <c r="X68" s="200">
        <f>_xll.qlCalendarAdvance(Calendar,X67,W68,"f",FALSE)</f>
        <v>41884</v>
      </c>
      <c r="Y68" s="204">
        <f>_xll.qlCalendarAdvance(Calendar,X68,NDays&amp;"D")</f>
        <v>41886</v>
      </c>
      <c r="Z68" s="205">
        <v>1.7109622540256719E-3</v>
      </c>
      <c r="AA68" s="207">
        <v>1.7352822435778847E-3</v>
      </c>
    </row>
    <row r="69" spans="10:27" x14ac:dyDescent="0.2">
      <c r="S69" s="165"/>
      <c r="T69" s="166"/>
      <c r="W69" s="199" t="str">
        <f t="shared" si="8"/>
        <v>1D</v>
      </c>
      <c r="X69" s="200">
        <f>_xll.qlCalendarAdvance(Calendar,X68,W69,"f",FALSE)</f>
        <v>41885</v>
      </c>
      <c r="Y69" s="204">
        <f>_xll.qlCalendarAdvance(Calendar,X69,NDays&amp;"D")</f>
        <v>41887</v>
      </c>
      <c r="Z69" s="205">
        <v>1.7100006322160717E-3</v>
      </c>
      <c r="AA69" s="207">
        <v>1.7337809916551095E-3</v>
      </c>
    </row>
    <row r="70" spans="10:27" x14ac:dyDescent="0.2">
      <c r="S70" s="165"/>
      <c r="T70" s="166"/>
      <c r="W70" s="199" t="str">
        <f t="shared" si="8"/>
        <v>1D</v>
      </c>
      <c r="X70" s="200">
        <f>_xll.qlCalendarAdvance(Calendar,X69,W70,"f",FALSE)</f>
        <v>41886</v>
      </c>
      <c r="Y70" s="204">
        <f>_xll.qlCalendarAdvance(Calendar,X70,NDays&amp;"D")</f>
        <v>41890</v>
      </c>
      <c r="Z70" s="205">
        <v>1.7045972211082727E-3</v>
      </c>
      <c r="AA70" s="207">
        <v>1.732202638526914E-3</v>
      </c>
    </row>
    <row r="71" spans="10:27" x14ac:dyDescent="0.2">
      <c r="J71" s="165"/>
      <c r="S71" s="165"/>
      <c r="T71" s="166"/>
      <c r="W71" s="199" t="str">
        <f t="shared" si="8"/>
        <v>1D</v>
      </c>
      <c r="X71" s="200">
        <f>_xll.qlCalendarAdvance(Calendar,X70,W71,"f",FALSE)</f>
        <v>41887</v>
      </c>
      <c r="Y71" s="204">
        <f>_xll.qlCalendarAdvance(Calendar,X71,NDays&amp;"D")</f>
        <v>41891</v>
      </c>
      <c r="Z71" s="205">
        <v>1.7023577994761396E-3</v>
      </c>
      <c r="AA71" s="207">
        <v>1.7305471841932984E-3</v>
      </c>
    </row>
    <row r="72" spans="10:27" x14ac:dyDescent="0.2">
      <c r="S72" s="165"/>
      <c r="T72" s="166"/>
      <c r="W72" s="199" t="str">
        <f t="shared" si="8"/>
        <v>1D</v>
      </c>
      <c r="X72" s="200">
        <f>_xll.qlCalendarAdvance(Calendar,X71,W72,"f",FALSE)</f>
        <v>41890</v>
      </c>
      <c r="Y72" s="204">
        <f>_xll.qlCalendarAdvance(Calendar,X72,NDays&amp;"D")</f>
        <v>41892</v>
      </c>
      <c r="Z72" s="205">
        <v>1.7001044909097374E-3</v>
      </c>
      <c r="AA72" s="207">
        <v>1.7269875560543824E-3</v>
      </c>
    </row>
    <row r="73" spans="10:27" x14ac:dyDescent="0.2">
      <c r="S73" s="165"/>
      <c r="T73" s="166"/>
      <c r="W73" s="199" t="str">
        <f t="shared" si="8"/>
        <v>1D</v>
      </c>
      <c r="X73" s="200">
        <f>_xll.qlCalendarAdvance(Calendar,X72,W73,"f",FALSE)</f>
        <v>41891</v>
      </c>
      <c r="Y73" s="204">
        <f>_xll.qlCalendarAdvance(Calendar,X73,NDays&amp;"D")</f>
        <v>41893</v>
      </c>
      <c r="Z73" s="205">
        <v>1.6945034010375857E-3</v>
      </c>
      <c r="AA73" s="207">
        <v>1.7231543546447625E-3</v>
      </c>
    </row>
    <row r="74" spans="10:27" x14ac:dyDescent="0.2">
      <c r="S74" s="165"/>
      <c r="T74" s="166"/>
      <c r="W74" s="199" t="str">
        <f t="shared" si="8"/>
        <v>1D</v>
      </c>
      <c r="X74" s="200">
        <f>_xll.qlCalendarAdvance(Calendar,X73,W74,"f",FALSE)</f>
        <v>41892</v>
      </c>
      <c r="Y74" s="204">
        <f>_xll.qlCalendarAdvance(Calendar,X74,NDays&amp;"D")</f>
        <v>41894</v>
      </c>
      <c r="Z74" s="205">
        <v>1.6933688926629165E-3</v>
      </c>
      <c r="AA74" s="207">
        <v>1.7211133942041101E-3</v>
      </c>
    </row>
    <row r="75" spans="10:27" x14ac:dyDescent="0.2">
      <c r="S75" s="165"/>
      <c r="T75" s="166"/>
      <c r="W75" s="199" t="str">
        <f t="shared" si="8"/>
        <v>1D</v>
      </c>
      <c r="X75" s="200">
        <f>_xll.qlCalendarAdvance(Calendar,X74,W75,"f",FALSE)</f>
        <v>41893</v>
      </c>
      <c r="Y75" s="204">
        <f>_xll.qlCalendarAdvance(Calendar,X75,NDays&amp;"D")</f>
        <v>41897</v>
      </c>
      <c r="Z75" s="205">
        <v>1.6887998638432933E-3</v>
      </c>
      <c r="AA75" s="207">
        <v>1.7189953325580376E-3</v>
      </c>
    </row>
    <row r="76" spans="10:27" x14ac:dyDescent="0.2">
      <c r="S76" s="165"/>
      <c r="T76" s="166"/>
      <c r="W76" s="199" t="str">
        <f t="shared" si="8"/>
        <v>1D</v>
      </c>
      <c r="X76" s="200">
        <f>_xll.qlCalendarAdvance(Calendar,X75,W76,"f",FALSE)</f>
        <v>41894</v>
      </c>
      <c r="Y76" s="204">
        <f>_xll.qlCalendarAdvance(Calendar,X76,NDays&amp;"D")</f>
        <v>41898</v>
      </c>
      <c r="Z76" s="205">
        <v>1.686565365475623E-3</v>
      </c>
      <c r="AA76" s="207">
        <v>1.7168001697065449E-3</v>
      </c>
    </row>
    <row r="77" spans="10:27" x14ac:dyDescent="0.2">
      <c r="S77" s="165"/>
      <c r="T77" s="166"/>
      <c r="W77" s="199" t="str">
        <f t="shared" si="8"/>
        <v>1D</v>
      </c>
      <c r="X77" s="200">
        <f>_xll.qlCalendarAdvance(Calendar,X76,W77,"f",FALSE)</f>
        <v>41897</v>
      </c>
      <c r="Y77" s="204">
        <f>_xll.qlCalendarAdvance(Calendar,X77,NDays&amp;"D")</f>
        <v>41899</v>
      </c>
      <c r="Z77" s="205">
        <v>1.684351024074715E-3</v>
      </c>
      <c r="AA77" s="207">
        <v>1.7121609829917617E-3</v>
      </c>
    </row>
    <row r="78" spans="10:27" x14ac:dyDescent="0.2">
      <c r="S78" s="165"/>
      <c r="T78" s="166"/>
      <c r="W78" s="199" t="str">
        <f t="shared" si="8"/>
        <v>1D</v>
      </c>
      <c r="X78" s="200">
        <f>_xll.qlCalendarAdvance(Calendar,X77,W78,"f",FALSE)</f>
        <v>41898</v>
      </c>
      <c r="Y78" s="204">
        <f>_xll.qlCalendarAdvance(Calendar,X78,NDays&amp;"D")</f>
        <v>41900</v>
      </c>
      <c r="Z78" s="205">
        <v>1.6802544781385764E-3</v>
      </c>
      <c r="AA78" s="207">
        <v>1.7072485063263088E-3</v>
      </c>
    </row>
    <row r="79" spans="10:27" x14ac:dyDescent="0.2">
      <c r="S79" s="165"/>
      <c r="T79" s="166"/>
      <c r="W79" s="199" t="str">
        <f t="shared" si="8"/>
        <v>1D</v>
      </c>
      <c r="X79" s="200">
        <f>_xll.qlCalendarAdvance(Calendar,X78,W79,"f",FALSE)</f>
        <v>41899</v>
      </c>
      <c r="Y79" s="204">
        <f>_xll.qlCalendarAdvance(Calendar,X79,NDays&amp;"D")</f>
        <v>41901</v>
      </c>
      <c r="Z79" s="205">
        <v>1.6790675775744542E-3</v>
      </c>
      <c r="AA79" s="207">
        <v>1.7046678374477153E-3</v>
      </c>
    </row>
    <row r="80" spans="10:27" x14ac:dyDescent="0.2">
      <c r="S80" s="165"/>
      <c r="T80" s="166"/>
      <c r="W80" s="199" t="str">
        <f t="shared" si="8"/>
        <v>1D</v>
      </c>
      <c r="X80" s="200">
        <f>_xll.qlCalendarAdvance(Calendar,X79,W80,"f",FALSE)</f>
        <v>41900</v>
      </c>
      <c r="Y80" s="204">
        <f>_xll.qlCalendarAdvance(Calendar,X80,NDays&amp;"D")</f>
        <v>41904</v>
      </c>
      <c r="Z80" s="205">
        <v>1.6737518903573445E-3</v>
      </c>
      <c r="AA80" s="207">
        <v>1.7020100673637018E-3</v>
      </c>
    </row>
    <row r="81" spans="19:27" x14ac:dyDescent="0.2">
      <c r="S81" s="165"/>
      <c r="T81" s="166"/>
      <c r="W81" s="199" t="str">
        <f t="shared" si="8"/>
        <v>1D</v>
      </c>
      <c r="X81" s="200">
        <f>_xll.qlCalendarAdvance(Calendar,X80,W81,"f",FALSE)</f>
        <v>41901</v>
      </c>
      <c r="Y81" s="204">
        <f>_xll.qlCalendarAdvance(Calendar,X81,NDays&amp;"D")</f>
        <v>41905</v>
      </c>
      <c r="Z81" s="205">
        <v>1.671760621999141E-3</v>
      </c>
      <c r="AA81" s="207">
        <v>1.699275196074268E-3</v>
      </c>
    </row>
    <row r="82" spans="19:27" x14ac:dyDescent="0.2">
      <c r="S82" s="165"/>
      <c r="T82" s="166"/>
      <c r="W82" s="199" t="str">
        <f t="shared" si="8"/>
        <v>1D</v>
      </c>
      <c r="X82" s="200">
        <f>_xll.qlCalendarAdvance(Calendar,X81,W82,"f",FALSE)</f>
        <v>41904</v>
      </c>
      <c r="Y82" s="204">
        <f>_xll.qlCalendarAdvance(Calendar,X82,NDays&amp;"D")</f>
        <v>41906</v>
      </c>
      <c r="Z82" s="205">
        <v>1.6698235543302076E-3</v>
      </c>
      <c r="AA82" s="207">
        <v>1.6937752424084351E-3</v>
      </c>
    </row>
    <row r="83" spans="19:27" x14ac:dyDescent="0.2">
      <c r="S83" s="165"/>
      <c r="T83" s="166"/>
      <c r="W83" s="199" t="str">
        <f t="shared" si="8"/>
        <v>1D</v>
      </c>
      <c r="X83" s="200">
        <f>_xll.qlCalendarAdvance(Calendar,X82,W83,"f",FALSE)</f>
        <v>41905</v>
      </c>
      <c r="Y83" s="204">
        <f>_xll.qlCalendarAdvance(Calendar,X83,NDays&amp;"D")</f>
        <v>41907</v>
      </c>
      <c r="Z83" s="205">
        <v>1.6664938465868473E-3</v>
      </c>
      <c r="AA83" s="207">
        <v>1.6884643080494754E-3</v>
      </c>
    </row>
    <row r="84" spans="19:27" x14ac:dyDescent="0.2">
      <c r="S84" s="165"/>
      <c r="T84" s="166"/>
      <c r="W84" s="199" t="str">
        <f t="shared" si="8"/>
        <v>1D</v>
      </c>
      <c r="X84" s="200">
        <f>_xll.qlCalendarAdvance(Calendar,X83,W84,"f",FALSE)</f>
        <v>41906</v>
      </c>
      <c r="Y84" s="204">
        <f>_xll.qlCalendarAdvance(Calendar,X84,NDays&amp;"D")</f>
        <v>41908</v>
      </c>
      <c r="Z84" s="205">
        <v>1.6654285225303767E-3</v>
      </c>
      <c r="AA84" s="207">
        <v>1.6859274609970498E-3</v>
      </c>
    </row>
    <row r="85" spans="19:27" x14ac:dyDescent="0.2">
      <c r="S85" s="165"/>
      <c r="T85" s="166"/>
      <c r="W85" s="199" t="str">
        <f t="shared" ref="W85:W148" si="10">W84</f>
        <v>1D</v>
      </c>
      <c r="X85" s="200">
        <f>_xll.qlCalendarAdvance(Calendar,X84,W85,"f",FALSE)</f>
        <v>41907</v>
      </c>
      <c r="Y85" s="204">
        <f>_xll.qlCalendarAdvance(Calendar,X85,NDays&amp;"D")</f>
        <v>41911</v>
      </c>
      <c r="Z85" s="205">
        <v>1.6610995592092337E-3</v>
      </c>
      <c r="AA85" s="207">
        <v>1.6834593953252153E-3</v>
      </c>
    </row>
    <row r="86" spans="19:27" x14ac:dyDescent="0.2">
      <c r="S86" s="165"/>
      <c r="T86" s="166"/>
      <c r="W86" s="199" t="str">
        <f t="shared" si="10"/>
        <v>1D</v>
      </c>
      <c r="X86" s="200">
        <f>_xll.qlCalendarAdvance(Calendar,X85,W86,"f",FALSE)</f>
        <v>41908</v>
      </c>
      <c r="Y86" s="204">
        <f>_xll.qlCalendarAdvance(Calendar,X86,NDays&amp;"D")</f>
        <v>41912</v>
      </c>
      <c r="Z86" s="205">
        <v>1.6589944352467737E-3</v>
      </c>
      <c r="AA86" s="207">
        <v>1.6810601108740997E-3</v>
      </c>
    </row>
    <row r="87" spans="19:27" x14ac:dyDescent="0.2">
      <c r="S87" s="165"/>
      <c r="T87" s="166"/>
      <c r="W87" s="199" t="str">
        <f t="shared" si="10"/>
        <v>1D</v>
      </c>
      <c r="X87" s="200">
        <f>_xll.qlCalendarAdvance(Calendar,X86,W87,"f",FALSE)</f>
        <v>41911</v>
      </c>
      <c r="Y87" s="204">
        <f>_xll.qlCalendarAdvance(Calendar,X87,NDays&amp;"D")</f>
        <v>41913</v>
      </c>
      <c r="Z87" s="205">
        <v>1.6565646445545277E-3</v>
      </c>
      <c r="AA87" s="207">
        <v>1.6764986205419774E-3</v>
      </c>
    </row>
    <row r="88" spans="19:27" x14ac:dyDescent="0.2">
      <c r="S88" s="165"/>
      <c r="T88" s="166"/>
      <c r="W88" s="199" t="str">
        <f t="shared" si="10"/>
        <v>1D</v>
      </c>
      <c r="X88" s="200">
        <f>_xll.qlCalendarAdvance(Calendar,X87,W88,"f",FALSE)</f>
        <v>41912</v>
      </c>
      <c r="Y88" s="204">
        <f>_xll.qlCalendarAdvance(Calendar,X88,NDays&amp;"D")</f>
        <v>41914</v>
      </c>
      <c r="Z88" s="205">
        <v>1.6557164410063718E-3</v>
      </c>
      <c r="AA88" s="207">
        <v>1.672150786795612E-3</v>
      </c>
    </row>
    <row r="89" spans="19:27" x14ac:dyDescent="0.2">
      <c r="S89" s="165"/>
      <c r="T89" s="166"/>
      <c r="W89" s="199" t="str">
        <f t="shared" si="10"/>
        <v>1D</v>
      </c>
      <c r="X89" s="200">
        <f>_xll.qlCalendarAdvance(Calendar,X88,W89,"f",FALSE)</f>
        <v>41913</v>
      </c>
      <c r="Y89" s="204">
        <f>_xll.qlCalendarAdvance(Calendar,X89,NDays&amp;"D")</f>
        <v>41915</v>
      </c>
      <c r="Z89" s="205">
        <v>1.6548911755689328E-3</v>
      </c>
      <c r="AA89" s="207">
        <v>1.6700954090875797E-3</v>
      </c>
    </row>
    <row r="90" spans="19:27" x14ac:dyDescent="0.2">
      <c r="S90" s="165"/>
      <c r="T90" s="166"/>
      <c r="W90" s="199" t="str">
        <f t="shared" si="10"/>
        <v>1D</v>
      </c>
      <c r="X90" s="200">
        <f>_xll.qlCalendarAdvance(Calendar,X89,W90,"f",FALSE)</f>
        <v>41914</v>
      </c>
      <c r="Y90" s="204">
        <f>_xll.qlCalendarAdvance(Calendar,X90,NDays&amp;"D")</f>
        <v>41918</v>
      </c>
      <c r="Z90" s="205">
        <v>1.6514070343972313E-3</v>
      </c>
      <c r="AA90" s="207">
        <v>1.6681088127601384E-3</v>
      </c>
    </row>
    <row r="91" spans="19:27" x14ac:dyDescent="0.2">
      <c r="S91" s="165"/>
      <c r="T91" s="166"/>
      <c r="W91" s="199" t="str">
        <f t="shared" si="10"/>
        <v>1D</v>
      </c>
      <c r="X91" s="200">
        <f>_xll.qlCalendarAdvance(Calendar,X90,W91,"f",FALSE)</f>
        <v>41915</v>
      </c>
      <c r="Y91" s="204">
        <f>_xll.qlCalendarAdvance(Calendar,X91,NDays&amp;"D")</f>
        <v>41919</v>
      </c>
      <c r="Z91" s="205">
        <v>1.6503832357977852E-3</v>
      </c>
      <c r="AA91" s="207">
        <v>1.6661909976534162E-3</v>
      </c>
    </row>
    <row r="92" spans="19:27" x14ac:dyDescent="0.2">
      <c r="S92" s="165"/>
      <c r="T92" s="166"/>
      <c r="W92" s="199" t="str">
        <f t="shared" si="10"/>
        <v>1D</v>
      </c>
      <c r="X92" s="200">
        <f>_xll.qlCalendarAdvance(Calendar,X91,W92,"f",FALSE)</f>
        <v>41918</v>
      </c>
      <c r="Y92" s="204">
        <f>_xll.qlCalendarAdvance(Calendar,X92,NDays&amp;"D")</f>
        <v>41920</v>
      </c>
      <c r="Z92" s="205">
        <v>1.6489164474485887E-3</v>
      </c>
      <c r="AA92" s="207">
        <v>1.6625923170732193E-3</v>
      </c>
    </row>
    <row r="93" spans="19:27" x14ac:dyDescent="0.2">
      <c r="S93" s="165"/>
      <c r="T93" s="166"/>
      <c r="W93" s="199" t="str">
        <f t="shared" si="10"/>
        <v>1D</v>
      </c>
      <c r="X93" s="200">
        <f>_xll.qlCalendarAdvance(Calendar,X92,W93,"f",FALSE)</f>
        <v>41919</v>
      </c>
      <c r="Y93" s="204">
        <f>_xll.qlCalendarAdvance(Calendar,X93,NDays&amp;"D")</f>
        <v>41921</v>
      </c>
      <c r="Z93" s="205">
        <v>1.6483090483696006E-3</v>
      </c>
      <c r="AA93" s="207">
        <v>1.6592075509525017E-3</v>
      </c>
    </row>
    <row r="94" spans="19:27" x14ac:dyDescent="0.2">
      <c r="S94" s="165"/>
      <c r="T94" s="166"/>
      <c r="W94" s="199" t="str">
        <f t="shared" si="10"/>
        <v>1D</v>
      </c>
      <c r="X94" s="200">
        <f>_xll.qlCalendarAdvance(Calendar,X93,W94,"f",FALSE)</f>
        <v>41920</v>
      </c>
      <c r="Y94" s="204">
        <f>_xll.qlCalendarAdvance(Calendar,X94,NDays&amp;"D")</f>
        <v>41922</v>
      </c>
      <c r="Z94" s="205">
        <v>1.6477245851175307E-3</v>
      </c>
      <c r="AA94" s="207">
        <v>1.6576336425888627E-3</v>
      </c>
    </row>
    <row r="95" spans="19:27" x14ac:dyDescent="0.2">
      <c r="S95" s="165"/>
      <c r="T95" s="166"/>
      <c r="W95" s="199" t="str">
        <f t="shared" si="10"/>
        <v>1D</v>
      </c>
      <c r="X95" s="200">
        <f>_xll.qlCalendarAdvance(Calendar,X94,W95,"f",FALSE)</f>
        <v>41921</v>
      </c>
      <c r="Y95" s="204">
        <f>_xll.qlCalendarAdvance(Calendar,X95,NDays&amp;"D")</f>
        <v>41925</v>
      </c>
      <c r="Z95" s="205">
        <v>1.6451427889316575E-3</v>
      </c>
      <c r="AA95" s="207">
        <v>1.6561285155258787E-3</v>
      </c>
    </row>
    <row r="96" spans="19:27" x14ac:dyDescent="0.2">
      <c r="S96" s="165"/>
      <c r="T96" s="166"/>
      <c r="W96" s="199" t="str">
        <f t="shared" si="10"/>
        <v>1D</v>
      </c>
      <c r="X96" s="200">
        <f>_xll.qlCalendarAdvance(Calendar,X95,W96,"f",FALSE)</f>
        <v>41922</v>
      </c>
      <c r="Y96" s="204">
        <f>_xll.qlCalendarAdvance(Calendar,X96,NDays&amp;"D")</f>
        <v>41926</v>
      </c>
      <c r="Z96" s="205">
        <v>1.6451427889316575E-3</v>
      </c>
      <c r="AA96" s="207">
        <v>1.6546921698434858E-3</v>
      </c>
    </row>
    <row r="97" spans="19:27" x14ac:dyDescent="0.2">
      <c r="S97" s="165"/>
      <c r="T97" s="166"/>
      <c r="W97" s="199" t="str">
        <f t="shared" si="10"/>
        <v>1D</v>
      </c>
      <c r="X97" s="200">
        <f>_xll.qlCalendarAdvance(Calendar,X96,W97,"f",FALSE)</f>
        <v>41925</v>
      </c>
      <c r="Y97" s="204">
        <f>_xll.qlCalendarAdvance(Calendar,X97,NDays&amp;"D")</f>
        <v>41927</v>
      </c>
      <c r="Z97" s="205">
        <v>1.6446390325172448E-3</v>
      </c>
      <c r="AA97" s="207">
        <v>1.6520563307764746E-3</v>
      </c>
    </row>
    <row r="98" spans="19:27" x14ac:dyDescent="0.2">
      <c r="S98" s="165"/>
      <c r="T98" s="166"/>
      <c r="W98" s="199" t="str">
        <f t="shared" si="10"/>
        <v>1D</v>
      </c>
      <c r="X98" s="200">
        <f>_xll.qlCalendarAdvance(Calendar,X97,W98,"f",FALSE)</f>
        <v>41926</v>
      </c>
      <c r="Y98" s="204">
        <f>_xll.qlCalendarAdvance(Calendar,X98,NDays&amp;"D")</f>
        <v>41928</v>
      </c>
      <c r="Z98" s="205">
        <v>1.6442724219339899E-3</v>
      </c>
      <c r="AA98" s="207">
        <v>1.6496346002803364E-3</v>
      </c>
    </row>
    <row r="99" spans="19:27" x14ac:dyDescent="0.2">
      <c r="S99" s="165"/>
      <c r="T99" s="166"/>
      <c r="W99" s="199" t="str">
        <f t="shared" si="10"/>
        <v>1D</v>
      </c>
      <c r="X99" s="200">
        <f>_xll.qlCalendarAdvance(Calendar,X98,W99,"f",FALSE)</f>
        <v>41927</v>
      </c>
      <c r="Y99" s="204">
        <f>_xll.qlCalendarAdvance(Calendar,X99,NDays&amp;"D")</f>
        <v>41929</v>
      </c>
      <c r="Z99" s="205">
        <v>1.643928744933422E-3</v>
      </c>
      <c r="AA99" s="207">
        <v>1.6485421611811546E-3</v>
      </c>
    </row>
    <row r="100" spans="19:27" x14ac:dyDescent="0.2">
      <c r="S100" s="165"/>
      <c r="T100" s="166"/>
      <c r="W100" s="199" t="str">
        <f t="shared" si="10"/>
        <v>1D</v>
      </c>
      <c r="X100" s="200">
        <f>_xll.qlCalendarAdvance(Calendar,X99,W100,"f",FALSE)</f>
        <v>41928</v>
      </c>
      <c r="Y100" s="204">
        <f>_xll.qlCalendarAdvance(Calendar,X100,NDays&amp;"D")</f>
        <v>41932</v>
      </c>
      <c r="Z100" s="205">
        <v>1.6433338176853115E-3</v>
      </c>
      <c r="AA100" s="207">
        <v>1.6475185033826278E-3</v>
      </c>
    </row>
    <row r="101" spans="19:27" x14ac:dyDescent="0.2">
      <c r="S101" s="165"/>
      <c r="T101" s="166"/>
      <c r="W101" s="199" t="str">
        <f t="shared" si="10"/>
        <v>1D</v>
      </c>
      <c r="X101" s="200">
        <f>_xll.qlCalendarAdvance(Calendar,X100,W101,"f",FALSE)</f>
        <v>41929</v>
      </c>
      <c r="Y101" s="204">
        <f>_xll.qlCalendarAdvance(Calendar,X101,NDays&amp;"D")</f>
        <v>41933</v>
      </c>
      <c r="Z101" s="205">
        <v>1.6432730900842992E-3</v>
      </c>
      <c r="AA101" s="207">
        <v>1.6465636269646922E-3</v>
      </c>
    </row>
    <row r="102" spans="19:27" x14ac:dyDescent="0.2">
      <c r="S102" s="165"/>
      <c r="T102" s="166"/>
      <c r="W102" s="199" t="str">
        <f t="shared" si="10"/>
        <v>1D</v>
      </c>
      <c r="X102" s="200">
        <f>_xll.qlCalendarAdvance(Calendar,X101,W102,"f",FALSE)</f>
        <v>41932</v>
      </c>
      <c r="Y102" s="204">
        <f>_xll.qlCalendarAdvance(Calendar,X102,NDays&amp;"D")</f>
        <v>41934</v>
      </c>
      <c r="Z102" s="205">
        <v>1.6437323957951835E-3</v>
      </c>
      <c r="AA102" s="207">
        <v>1.6448906607990921E-3</v>
      </c>
    </row>
    <row r="103" spans="19:27" x14ac:dyDescent="0.2">
      <c r="S103" s="165"/>
      <c r="T103" s="166"/>
      <c r="W103" s="199" t="str">
        <f t="shared" si="10"/>
        <v>1D</v>
      </c>
      <c r="X103" s="200">
        <f>_xll.qlCalendarAdvance(Calendar,X102,W103,"f",FALSE)</f>
        <v>41933</v>
      </c>
      <c r="Y103" s="204">
        <f>_xll.qlCalendarAdvance(Calendar,X103,NDays&amp;"D")</f>
        <v>41935</v>
      </c>
      <c r="Z103" s="205">
        <v>1.6436065580649473E-3</v>
      </c>
      <c r="AA103" s="207">
        <v>1.6434319343794357E-3</v>
      </c>
    </row>
    <row r="104" spans="19:27" x14ac:dyDescent="0.2">
      <c r="S104" s="165"/>
      <c r="T104" s="166"/>
      <c r="W104" s="199" t="str">
        <f t="shared" si="10"/>
        <v>1D</v>
      </c>
      <c r="X104" s="200">
        <f>_xll.qlCalendarAdvance(Calendar,X103,W104,"f",FALSE)</f>
        <v>41934</v>
      </c>
      <c r="Y104" s="204">
        <f>_xll.qlCalendarAdvance(Calendar,X104,NDays&amp;"D")</f>
        <v>41936</v>
      </c>
      <c r="Z104" s="205">
        <v>1.643503651710864E-3</v>
      </c>
      <c r="AA104" s="207">
        <v>1.6428209645447112E-3</v>
      </c>
    </row>
    <row r="105" spans="19:27" x14ac:dyDescent="0.2">
      <c r="S105" s="165"/>
      <c r="T105" s="166"/>
      <c r="W105" s="199" t="str">
        <f t="shared" si="10"/>
        <v>1D</v>
      </c>
      <c r="X105" s="200">
        <f>_xll.qlCalendarAdvance(Calendar,X104,W105,"f",FALSE)</f>
        <v>41935</v>
      </c>
      <c r="Y105" s="204">
        <f>_xll.qlCalendarAdvance(Calendar,X105,NDays&amp;"D")</f>
        <v>41939</v>
      </c>
      <c r="Z105" s="205">
        <v>1.6447394676785687E-3</v>
      </c>
      <c r="AA105" s="207">
        <v>1.6422787760905777E-3</v>
      </c>
    </row>
    <row r="106" spans="19:27" x14ac:dyDescent="0.2">
      <c r="S106" s="165"/>
      <c r="T106" s="166"/>
      <c r="W106" s="199" t="str">
        <f t="shared" si="10"/>
        <v>1D</v>
      </c>
      <c r="X106" s="200">
        <f>_xll.qlCalendarAdvance(Calendar,X105,W106,"f",FALSE)</f>
        <v>41936</v>
      </c>
      <c r="Y106" s="204">
        <f>_xll.qlCalendarAdvance(Calendar,X106,NDays&amp;"D")</f>
        <v>41940</v>
      </c>
      <c r="Z106" s="205">
        <v>1.6447741376312034E-3</v>
      </c>
      <c r="AA106" s="207">
        <v>1.6418053687772272E-3</v>
      </c>
    </row>
    <row r="107" spans="19:27" x14ac:dyDescent="0.2">
      <c r="S107" s="165"/>
      <c r="T107" s="166"/>
      <c r="W107" s="199" t="str">
        <f t="shared" si="10"/>
        <v>1D</v>
      </c>
      <c r="X107" s="200">
        <f>_xll.qlCalendarAdvance(Calendar,X106,W107,"f",FALSE)</f>
        <v>41939</v>
      </c>
      <c r="Y107" s="204">
        <f>_xll.qlCalendarAdvance(Calendar,X107,NDays&amp;"D")</f>
        <v>41941</v>
      </c>
      <c r="Z107" s="205">
        <v>1.644831737388941E-3</v>
      </c>
      <c r="AA107" s="207">
        <v>1.6410953065548739E-3</v>
      </c>
    </row>
    <row r="108" spans="19:27" x14ac:dyDescent="0.2">
      <c r="S108" s="165"/>
      <c r="T108" s="166"/>
      <c r="W108" s="199" t="str">
        <f t="shared" si="10"/>
        <v>1D</v>
      </c>
      <c r="X108" s="200">
        <f>_xll.qlCalendarAdvance(Calendar,X107,W108,"f",FALSE)</f>
        <v>41940</v>
      </c>
      <c r="Y108" s="204">
        <f>_xll.qlCalendarAdvance(Calendar,X108,NDays&amp;"D")</f>
        <v>41942</v>
      </c>
      <c r="Z108" s="205">
        <v>1.6449122666362115E-3</v>
      </c>
      <c r="AA108" s="207">
        <v>1.6405995532497997E-3</v>
      </c>
    </row>
    <row r="109" spans="19:27" x14ac:dyDescent="0.2">
      <c r="S109" s="165"/>
      <c r="T109" s="166"/>
      <c r="W109" s="199" t="str">
        <f t="shared" si="10"/>
        <v>1D</v>
      </c>
      <c r="X109" s="200">
        <f>_xll.qlCalendarAdvance(Calendar,X108,W109,"f",FALSE)</f>
        <v>41941</v>
      </c>
      <c r="Y109" s="204">
        <f>_xll.qlCalendarAdvance(Calendar,X109,NDays&amp;"D")</f>
        <v>41943</v>
      </c>
      <c r="Z109" s="205">
        <v>1.6450157250637507E-3</v>
      </c>
      <c r="AA109" s="207">
        <v>1.6404700526795324E-3</v>
      </c>
    </row>
    <row r="110" spans="19:27" x14ac:dyDescent="0.2">
      <c r="S110" s="165"/>
      <c r="T110" s="166"/>
      <c r="W110" s="199" t="str">
        <f t="shared" si="10"/>
        <v>1D</v>
      </c>
      <c r="X110" s="200">
        <f>_xll.qlCalendarAdvance(Calendar,X109,W110,"f",FALSE)</f>
        <v>41942</v>
      </c>
      <c r="Y110" s="204">
        <f>_xll.qlCalendarAdvance(Calendar,X110,NDays&amp;"D")</f>
        <v>41946</v>
      </c>
      <c r="Z110" s="205">
        <v>1.6481395988989789E-3</v>
      </c>
      <c r="AA110" s="207">
        <v>1.6404093333299841E-3</v>
      </c>
    </row>
    <row r="111" spans="19:27" x14ac:dyDescent="0.2">
      <c r="S111" s="165"/>
      <c r="T111" s="166"/>
      <c r="W111" s="199" t="str">
        <f t="shared" si="10"/>
        <v>1D</v>
      </c>
      <c r="X111" s="200">
        <f>_xll.qlCalendarAdvance(Calendar,X110,W111,"f",FALSE)</f>
        <v>41943</v>
      </c>
      <c r="Y111" s="204">
        <f>_xll.qlCalendarAdvance(Calendar,X111,NDays&amp;"D")</f>
        <v>41947</v>
      </c>
      <c r="Z111" s="205">
        <v>1.6490075426771611E-3</v>
      </c>
      <c r="AA111" s="207">
        <v>1.6404173953610268E-3</v>
      </c>
    </row>
    <row r="112" spans="19:27" x14ac:dyDescent="0.2">
      <c r="S112" s="165"/>
      <c r="T112" s="166"/>
      <c r="W112" s="199" t="str">
        <f t="shared" si="10"/>
        <v>1D</v>
      </c>
      <c r="X112" s="200">
        <f>_xll.qlCalendarAdvance(Calendar,X111,W112,"f",FALSE)</f>
        <v>41946</v>
      </c>
      <c r="Y112" s="204">
        <f>_xll.qlCalendarAdvance(Calendar,X112,NDays&amp;"D")</f>
        <v>41948</v>
      </c>
      <c r="Z112" s="205">
        <v>1.6499442769806194E-3</v>
      </c>
      <c r="AA112" s="207">
        <v>1.6406702676707852E-3</v>
      </c>
    </row>
    <row r="113" spans="19:27" x14ac:dyDescent="0.2">
      <c r="S113" s="165"/>
      <c r="T113" s="166"/>
      <c r="W113" s="199" t="str">
        <f t="shared" si="10"/>
        <v>1D</v>
      </c>
      <c r="X113" s="200">
        <f>_xll.qlCalendarAdvance(Calendar,X112,W113,"f",FALSE)</f>
        <v>41947</v>
      </c>
      <c r="Y113" s="204">
        <f>_xll.qlCalendarAdvance(Calendar,X113,NDays&amp;"D")</f>
        <v>41949</v>
      </c>
      <c r="Z113" s="205">
        <v>1.6523871186860384E-3</v>
      </c>
      <c r="AA113" s="207">
        <v>1.6411374566516201E-3</v>
      </c>
    </row>
    <row r="114" spans="19:27" x14ac:dyDescent="0.2">
      <c r="S114" s="165"/>
      <c r="T114" s="166"/>
      <c r="W114" s="199" t="str">
        <f t="shared" si="10"/>
        <v>1D</v>
      </c>
      <c r="X114" s="200">
        <f>_xll.qlCalendarAdvance(Calendar,X113,W114,"f",FALSE)</f>
        <v>41948</v>
      </c>
      <c r="Y114" s="204">
        <f>_xll.qlCalendarAdvance(Calendar,X114,NDays&amp;"D")</f>
        <v>41950</v>
      </c>
      <c r="Z114" s="205">
        <v>1.6527657076098781E-3</v>
      </c>
      <c r="AA114" s="207">
        <v>1.641489425265874E-3</v>
      </c>
    </row>
    <row r="115" spans="19:27" x14ac:dyDescent="0.2">
      <c r="S115" s="165"/>
      <c r="T115" s="166"/>
      <c r="W115" s="199" t="str">
        <f t="shared" si="10"/>
        <v>1D</v>
      </c>
      <c r="X115" s="200">
        <f>_xll.qlCalendarAdvance(Calendar,X114,W115,"f",FALSE)</f>
        <v>41949</v>
      </c>
      <c r="Y115" s="204">
        <f>_xll.qlCalendarAdvance(Calendar,X115,NDays&amp;"D")</f>
        <v>41953</v>
      </c>
      <c r="Z115" s="205">
        <v>1.6556598069739081E-3</v>
      </c>
      <c r="AA115" s="207">
        <v>1.641910175260719E-3</v>
      </c>
    </row>
    <row r="116" spans="19:27" x14ac:dyDescent="0.2">
      <c r="S116" s="165"/>
      <c r="T116" s="166"/>
      <c r="W116" s="199" t="str">
        <f t="shared" si="10"/>
        <v>1D</v>
      </c>
      <c r="X116" s="200">
        <f>_xll.qlCalendarAdvance(Calendar,X115,W116,"f",FALSE)</f>
        <v>41950</v>
      </c>
      <c r="Y116" s="204">
        <f>_xll.qlCalendarAdvance(Calendar,X116,NDays&amp;"D")</f>
        <v>41954</v>
      </c>
      <c r="Z116" s="205">
        <v>1.6584275532967041E-3</v>
      </c>
      <c r="AA116" s="207">
        <v>1.642399706556219E-3</v>
      </c>
    </row>
    <row r="117" spans="19:27" x14ac:dyDescent="0.2">
      <c r="S117" s="165"/>
      <c r="T117" s="166"/>
      <c r="W117" s="199" t="str">
        <f t="shared" si="10"/>
        <v>1D</v>
      </c>
      <c r="X117" s="200">
        <f>_xll.qlCalendarAdvance(Calendar,X116,W117,"f",FALSE)</f>
        <v>41953</v>
      </c>
      <c r="Y117" s="204">
        <f>_xll.qlCalendarAdvance(Calendar,X117,NDays&amp;"D")</f>
        <v>41955</v>
      </c>
      <c r="Z117" s="205">
        <v>1.6584275532967041E-3</v>
      </c>
      <c r="AA117" s="207">
        <v>1.6436155441468259E-3</v>
      </c>
    </row>
    <row r="118" spans="19:27" x14ac:dyDescent="0.2">
      <c r="S118" s="165"/>
      <c r="T118" s="166"/>
      <c r="W118" s="199" t="str">
        <f t="shared" si="10"/>
        <v>1D</v>
      </c>
      <c r="X118" s="200">
        <f>_xll.qlCalendarAdvance(Calendar,X117,W118,"f",FALSE)</f>
        <v>41954</v>
      </c>
      <c r="Y118" s="204">
        <f>_xll.qlCalendarAdvance(Calendar,X118,NDays&amp;"D")</f>
        <v>41956</v>
      </c>
      <c r="Z118" s="205">
        <v>1.6618335510623639E-3</v>
      </c>
      <c r="AA118" s="207">
        <v>1.6450456447447692E-3</v>
      </c>
    </row>
    <row r="119" spans="19:27" x14ac:dyDescent="0.2">
      <c r="S119" s="165"/>
      <c r="T119" s="166"/>
      <c r="W119" s="199" t="str">
        <f t="shared" si="10"/>
        <v>1D</v>
      </c>
      <c r="X119" s="200">
        <f>_xll.qlCalendarAdvance(Calendar,X118,W119,"f",FALSE)</f>
        <v>41955</v>
      </c>
      <c r="Y119" s="204">
        <f>_xll.qlCalendarAdvance(Calendar,X119,NDays&amp;"D")</f>
        <v>41957</v>
      </c>
      <c r="Z119" s="205">
        <v>1.6624528647946773E-3</v>
      </c>
      <c r="AA119" s="207">
        <v>1.6458790826234804E-3</v>
      </c>
    </row>
    <row r="120" spans="19:27" x14ac:dyDescent="0.2">
      <c r="S120" s="165"/>
      <c r="T120" s="166"/>
      <c r="W120" s="199" t="str">
        <f t="shared" si="10"/>
        <v>1D</v>
      </c>
      <c r="X120" s="200">
        <f>_xll.qlCalendarAdvance(Calendar,X119,W120,"f",FALSE)</f>
        <v>41956</v>
      </c>
      <c r="Y120" s="204">
        <f>_xll.qlCalendarAdvance(Calendar,X120,NDays&amp;"D")</f>
        <v>41960</v>
      </c>
      <c r="Z120" s="205">
        <v>1.6665507565827298E-3</v>
      </c>
      <c r="AA120" s="207">
        <v>1.6467813018028465E-3</v>
      </c>
    </row>
    <row r="121" spans="19:27" x14ac:dyDescent="0.2">
      <c r="S121" s="165"/>
      <c r="T121" s="166"/>
      <c r="W121" s="199" t="str">
        <f t="shared" si="10"/>
        <v>1D</v>
      </c>
      <c r="X121" s="200">
        <f>_xll.qlCalendarAdvance(Calendar,X120,W121,"f",FALSE)</f>
        <v>41957</v>
      </c>
      <c r="Y121" s="204">
        <f>_xll.qlCalendarAdvance(Calendar,X121,NDays&amp;"D")</f>
        <v>41961</v>
      </c>
      <c r="Z121" s="205">
        <v>1.6683817696012682E-3</v>
      </c>
      <c r="AA121" s="207">
        <v>1.6477523023628038E-3</v>
      </c>
    </row>
    <row r="122" spans="19:27" x14ac:dyDescent="0.2">
      <c r="S122" s="165"/>
      <c r="T122" s="166"/>
      <c r="W122" s="199" t="str">
        <f t="shared" si="10"/>
        <v>1D</v>
      </c>
      <c r="X122" s="200">
        <f>_xll.qlCalendarAdvance(Calendar,X121,W122,"f",FALSE)</f>
        <v>41960</v>
      </c>
      <c r="Y122" s="204">
        <f>_xll.qlCalendarAdvance(Calendar,X122,NDays&amp;"D")</f>
        <v>41962</v>
      </c>
      <c r="Z122" s="205">
        <v>1.6702815734808141E-3</v>
      </c>
      <c r="AA122" s="207">
        <v>1.6499311362494495E-3</v>
      </c>
    </row>
    <row r="123" spans="19:27" x14ac:dyDescent="0.2">
      <c r="S123" s="165"/>
      <c r="T123" s="166"/>
      <c r="W123" s="199" t="str">
        <f t="shared" si="10"/>
        <v>1D</v>
      </c>
      <c r="X123" s="200">
        <f>_xll.qlCalendarAdvance(Calendar,X122,W123,"f",FALSE)</f>
        <v>41961</v>
      </c>
      <c r="Y123" s="204">
        <f>_xll.qlCalendarAdvance(Calendar,X123,NDays&amp;"D")</f>
        <v>41963</v>
      </c>
      <c r="Z123" s="205">
        <v>1.6746507617926287E-3</v>
      </c>
      <c r="AA123" s="207">
        <v>1.652324117609183E-3</v>
      </c>
    </row>
    <row r="124" spans="19:27" x14ac:dyDescent="0.2">
      <c r="S124" s="165"/>
      <c r="T124" s="166"/>
      <c r="W124" s="199" t="str">
        <f t="shared" si="10"/>
        <v>1D</v>
      </c>
      <c r="X124" s="200">
        <f>_xll.qlCalendarAdvance(Calendar,X123,W124,"f",FALSE)</f>
        <v>41962</v>
      </c>
      <c r="Y124" s="204">
        <f>_xll.qlCalendarAdvance(Calendar,X124,NDays&amp;"D")</f>
        <v>41964</v>
      </c>
      <c r="Z124" s="205">
        <v>1.6755107850700611E-3</v>
      </c>
      <c r="AA124" s="207">
        <v>1.6536390247523514E-3</v>
      </c>
    </row>
    <row r="125" spans="19:27" x14ac:dyDescent="0.2">
      <c r="S125" s="165"/>
      <c r="T125" s="166"/>
      <c r="W125" s="199" t="str">
        <f t="shared" si="10"/>
        <v>1D</v>
      </c>
      <c r="X125" s="200">
        <f>_xll.qlCalendarAdvance(Calendar,X124,W125,"f",FALSE)</f>
        <v>41963</v>
      </c>
      <c r="Y125" s="204">
        <f>_xll.qlCalendarAdvance(Calendar,X125,NDays&amp;"D")</f>
        <v>41967</v>
      </c>
      <c r="Z125" s="205">
        <v>1.6808124569100968E-3</v>
      </c>
      <c r="AA125" s="207">
        <v>1.6550227131961748E-3</v>
      </c>
    </row>
    <row r="126" spans="19:27" x14ac:dyDescent="0.2">
      <c r="S126" s="165"/>
      <c r="T126" s="166"/>
      <c r="W126" s="199" t="str">
        <f t="shared" si="10"/>
        <v>1D</v>
      </c>
      <c r="X126" s="200">
        <f>_xll.qlCalendarAdvance(Calendar,X125,W126,"f",FALSE)</f>
        <v>41964</v>
      </c>
      <c r="Y126" s="204">
        <f>_xll.qlCalendarAdvance(Calendar,X126,NDays&amp;"D")</f>
        <v>41968</v>
      </c>
      <c r="Z126" s="205">
        <v>1.68870608880019E-3</v>
      </c>
      <c r="AA126" s="207">
        <v>1.6564751829406532E-3</v>
      </c>
    </row>
    <row r="127" spans="19:27" x14ac:dyDescent="0.2">
      <c r="S127" s="165"/>
      <c r="T127" s="166"/>
      <c r="W127" s="199" t="str">
        <f t="shared" si="10"/>
        <v>1D</v>
      </c>
      <c r="X127" s="200">
        <f>_xll.qlCalendarAdvance(Calendar,X126,W127,"f",FALSE)</f>
        <v>41967</v>
      </c>
      <c r="Y127" s="204">
        <f>_xll.qlCalendarAdvance(Calendar,X127,NDays&amp;"D")</f>
        <v>41969</v>
      </c>
      <c r="Z127" s="205">
        <v>1.6897609652868149E-3</v>
      </c>
      <c r="AA127" s="207">
        <v>1.6596170444316272E-3</v>
      </c>
    </row>
    <row r="128" spans="19:27" x14ac:dyDescent="0.2">
      <c r="S128" s="165"/>
      <c r="T128" s="166"/>
      <c r="W128" s="199" t="str">
        <f t="shared" si="10"/>
        <v>1D</v>
      </c>
      <c r="X128" s="200">
        <f>_xll.qlCalendarAdvance(Calendar,X127,W128,"f",FALSE)</f>
        <v>41968</v>
      </c>
      <c r="Y128" s="204">
        <f>_xll.qlCalendarAdvance(Calendar,X128,NDays&amp;"D")</f>
        <v>41970</v>
      </c>
      <c r="Z128" s="205">
        <v>1.6949376562511924E-3</v>
      </c>
      <c r="AA128" s="207">
        <v>1.6629728753247974E-3</v>
      </c>
    </row>
    <row r="129" spans="19:27" x14ac:dyDescent="0.2">
      <c r="S129" s="165"/>
      <c r="T129" s="166"/>
      <c r="W129" s="199" t="str">
        <f t="shared" si="10"/>
        <v>1D</v>
      </c>
      <c r="X129" s="200">
        <f>_xll.qlCalendarAdvance(Calendar,X128,W129,"f",FALSE)</f>
        <v>41969</v>
      </c>
      <c r="Y129" s="204">
        <f>_xll.qlCalendarAdvance(Calendar,X129,NDays&amp;"D")</f>
        <v>41971</v>
      </c>
      <c r="Z129" s="205">
        <v>1.6949376562511924E-3</v>
      </c>
      <c r="AA129" s="207">
        <v>1.6647692518123591E-3</v>
      </c>
    </row>
    <row r="130" spans="19:27" x14ac:dyDescent="0.2">
      <c r="S130" s="165"/>
      <c r="T130" s="166"/>
      <c r="W130" s="199" t="str">
        <f t="shared" si="10"/>
        <v>1D</v>
      </c>
      <c r="X130" s="200">
        <f>_xll.qlCalendarAdvance(Calendar,X129,W130,"f",FALSE)</f>
        <v>41970</v>
      </c>
      <c r="Y130" s="204">
        <f>_xll.qlCalendarAdvance(Calendar,X130,NDays&amp;"D")</f>
        <v>41974</v>
      </c>
      <c r="Z130" s="205">
        <v>1.7016122777549492E-3</v>
      </c>
      <c r="AA130" s="207">
        <v>1.6666344095206398E-3</v>
      </c>
    </row>
    <row r="131" spans="19:27" x14ac:dyDescent="0.2">
      <c r="S131" s="165"/>
      <c r="T131" s="166"/>
      <c r="W131" s="199" t="str">
        <f t="shared" si="10"/>
        <v>1D</v>
      </c>
      <c r="X131" s="200">
        <f>_xll.qlCalendarAdvance(Calendar,X130,W131,"f",FALSE)</f>
        <v>41971</v>
      </c>
      <c r="Y131" s="204">
        <f>_xll.qlCalendarAdvance(Calendar,X131,NDays&amp;"D")</f>
        <v>41975</v>
      </c>
      <c r="Z131" s="205">
        <v>1.7028508439939549E-3</v>
      </c>
      <c r="AA131" s="207">
        <v>1.6685683486095115E-3</v>
      </c>
    </row>
    <row r="132" spans="19:27" x14ac:dyDescent="0.2">
      <c r="S132" s="165"/>
      <c r="T132" s="166"/>
      <c r="W132" s="199" t="str">
        <f t="shared" si="10"/>
        <v>1D</v>
      </c>
      <c r="X132" s="200">
        <f>_xll.qlCalendarAdvance(Calendar,X131,W132,"f",FALSE)</f>
        <v>41974</v>
      </c>
      <c r="Y132" s="204">
        <f>_xll.qlCalendarAdvance(Calendar,X132,NDays&amp;"D")</f>
        <v>41976</v>
      </c>
      <c r="Z132" s="205">
        <v>1.7091300614925265E-3</v>
      </c>
      <c r="AA132" s="207">
        <v>1.6726732696259461E-3</v>
      </c>
    </row>
    <row r="133" spans="19:27" x14ac:dyDescent="0.2">
      <c r="S133" s="165"/>
      <c r="T133" s="166"/>
      <c r="W133" s="199" t="str">
        <f t="shared" si="10"/>
        <v>1D</v>
      </c>
      <c r="X133" s="200">
        <f>_xll.qlCalendarAdvance(Calendar,X132,W133,"f",FALSE)</f>
        <v>41975</v>
      </c>
      <c r="Y133" s="204">
        <f>_xll.qlCalendarAdvance(Calendar,X133,NDays&amp;"D")</f>
        <v>41977</v>
      </c>
      <c r="Z133" s="205">
        <v>1.7104501320183707E-3</v>
      </c>
      <c r="AA133" s="207">
        <v>1.6769919182912929E-3</v>
      </c>
    </row>
    <row r="134" spans="19:27" x14ac:dyDescent="0.2">
      <c r="S134" s="165"/>
      <c r="T134" s="166"/>
      <c r="W134" s="199" t="str">
        <f t="shared" si="10"/>
        <v>1D</v>
      </c>
      <c r="X134" s="200">
        <f>_xll.qlCalendarAdvance(Calendar,X133,W134,"f",FALSE)</f>
        <v>41976</v>
      </c>
      <c r="Y134" s="204">
        <f>_xll.qlCalendarAdvance(Calendar,X134,NDays&amp;"D")</f>
        <v>41978</v>
      </c>
      <c r="Z134" s="205">
        <v>1.7117932232774673E-3</v>
      </c>
      <c r="AA134" s="207">
        <v>1.6792697641232479E-3</v>
      </c>
    </row>
    <row r="135" spans="19:27" x14ac:dyDescent="0.2">
      <c r="S135" s="165"/>
      <c r="T135" s="166"/>
      <c r="W135" s="199" t="str">
        <f t="shared" si="10"/>
        <v>1D</v>
      </c>
      <c r="X135" s="200">
        <f>_xll.qlCalendarAdvance(Calendar,X134,W135,"f",FALSE)</f>
        <v>41977</v>
      </c>
      <c r="Y135" s="204">
        <f>_xll.qlCalendarAdvance(Calendar,X135,NDays&amp;"D")</f>
        <v>41981</v>
      </c>
      <c r="Z135" s="205">
        <v>1.7214145269873354E-3</v>
      </c>
      <c r="AA135" s="207">
        <v>1.6816163911759219E-3</v>
      </c>
    </row>
    <row r="136" spans="19:27" x14ac:dyDescent="0.2">
      <c r="S136" s="165"/>
      <c r="T136" s="166"/>
      <c r="W136" s="199" t="str">
        <f t="shared" si="10"/>
        <v>1D</v>
      </c>
      <c r="X136" s="200">
        <f>_xll.qlCalendarAdvance(Calendar,X135,W136,"f",FALSE)</f>
        <v>41978</v>
      </c>
      <c r="Y136" s="204">
        <f>_xll.qlCalendarAdvance(Calendar,X136,NDays&amp;"D")</f>
        <v>41982</v>
      </c>
      <c r="Z136" s="205">
        <v>1.7247769299988391E-3</v>
      </c>
      <c r="AA136" s="207">
        <v>1.684031799689123E-3</v>
      </c>
    </row>
    <row r="137" spans="19:27" x14ac:dyDescent="0.2">
      <c r="S137" s="165"/>
      <c r="T137" s="166"/>
      <c r="W137" s="199" t="str">
        <f t="shared" si="10"/>
        <v>1D</v>
      </c>
      <c r="X137" s="200">
        <f>_xll.qlCalendarAdvance(Calendar,X136,W137,"f",FALSE)</f>
        <v>41981</v>
      </c>
      <c r="Y137" s="204">
        <f>_xll.qlCalendarAdvance(Calendar,X137,NDays&amp;"D")</f>
        <v>41983</v>
      </c>
      <c r="Z137" s="205">
        <v>1.7321758282686582E-3</v>
      </c>
      <c r="AA137" s="207">
        <v>1.6890998128449297E-3</v>
      </c>
    </row>
    <row r="138" spans="19:27" x14ac:dyDescent="0.2">
      <c r="S138" s="165"/>
      <c r="T138" s="166"/>
      <c r="W138" s="199" t="str">
        <f t="shared" si="10"/>
        <v>1D</v>
      </c>
      <c r="X138" s="200">
        <f>_xll.qlCalendarAdvance(Calendar,X137,W138,"f",FALSE)</f>
        <v>41982</v>
      </c>
      <c r="Y138" s="204">
        <f>_xll.qlCalendarAdvance(Calendar,X138,NDays&amp;"D")</f>
        <v>41984</v>
      </c>
      <c r="Z138" s="205">
        <v>1.733747712068523E-3</v>
      </c>
      <c r="AA138" s="207">
        <v>1.6943812469882857E-3</v>
      </c>
    </row>
    <row r="139" spans="19:27" x14ac:dyDescent="0.2">
      <c r="S139" s="165"/>
      <c r="T139" s="166"/>
      <c r="W139" s="199" t="str">
        <f t="shared" si="10"/>
        <v>1D</v>
      </c>
      <c r="X139" s="200">
        <f>_xll.qlCalendarAdvance(Calendar,X138,W139,"f",FALSE)</f>
        <v>41983</v>
      </c>
      <c r="Y139" s="204">
        <f>_xll.qlCalendarAdvance(Calendar,X139,NDays&amp;"D")</f>
        <v>41985</v>
      </c>
      <c r="Z139" s="205">
        <v>1.7353433334748967E-3</v>
      </c>
      <c r="AA139" s="207">
        <v>1.697140562084698E-3</v>
      </c>
    </row>
    <row r="140" spans="19:27" x14ac:dyDescent="0.2">
      <c r="S140" s="165"/>
      <c r="T140" s="166"/>
      <c r="W140" s="199" t="str">
        <f t="shared" si="10"/>
        <v>1D</v>
      </c>
      <c r="X140" s="200">
        <f>_xll.qlCalendarAdvance(Calendar,X139,W140,"f",FALSE)</f>
        <v>41984</v>
      </c>
      <c r="Y140" s="204">
        <f>_xll.qlCalendarAdvance(Calendar,X140,NDays&amp;"D")</f>
        <v>41988</v>
      </c>
      <c r="Z140" s="205">
        <v>1.746648462462684E-3</v>
      </c>
      <c r="AA140" s="207">
        <v>1.6999686587215734E-3</v>
      </c>
    </row>
    <row r="141" spans="19:27" x14ac:dyDescent="0.2">
      <c r="S141" s="165"/>
      <c r="T141" s="166"/>
      <c r="W141" s="199" t="str">
        <f t="shared" si="10"/>
        <v>1D</v>
      </c>
      <c r="X141" s="200">
        <f>_xll.qlCalendarAdvance(Calendar,X140,W141,"f",FALSE)</f>
        <v>41985</v>
      </c>
      <c r="Y141" s="204">
        <f>_xll.qlCalendarAdvance(Calendar,X141,NDays&amp;"D")</f>
        <v>41989</v>
      </c>
      <c r="Z141" s="205">
        <v>1.7505854297851554E-3</v>
      </c>
      <c r="AA141" s="207">
        <v>1.7028655365791678E-3</v>
      </c>
    </row>
    <row r="142" spans="19:27" x14ac:dyDescent="0.2">
      <c r="S142" s="165"/>
      <c r="T142" s="166"/>
      <c r="W142" s="199" t="str">
        <f t="shared" si="10"/>
        <v>1D</v>
      </c>
      <c r="X142" s="200">
        <f>_xll.qlCalendarAdvance(Calendar,X141,W142,"f",FALSE)</f>
        <v>41988</v>
      </c>
      <c r="Y142" s="204">
        <f>_xll.qlCalendarAdvance(Calendar,X142,NDays&amp;"D")</f>
        <v>41990</v>
      </c>
      <c r="Z142" s="205">
        <v>1.7615504576241811E-3</v>
      </c>
      <c r="AA142" s="207">
        <v>1.7088966754741364E-3</v>
      </c>
    </row>
    <row r="143" spans="19:27" x14ac:dyDescent="0.2">
      <c r="S143" s="165"/>
      <c r="T143" s="166"/>
      <c r="W143" s="199" t="str">
        <f t="shared" si="10"/>
        <v>1D</v>
      </c>
      <c r="X143" s="200">
        <f>_xll.qlCalendarAdvance(Calendar,X142,W143,"f",FALSE)</f>
        <v>41989</v>
      </c>
      <c r="Y143" s="204">
        <f>_xll.qlCalendarAdvance(Calendar,X143,NDays&amp;"D")</f>
        <v>41991</v>
      </c>
      <c r="Z143" s="205">
        <v>1.7634082456918778E-3</v>
      </c>
      <c r="AA143" s="207">
        <v>1.7151408617355202E-3</v>
      </c>
    </row>
    <row r="144" spans="19:27" x14ac:dyDescent="0.2">
      <c r="S144" s="165"/>
      <c r="T144" s="166"/>
      <c r="W144" s="199" t="str">
        <f t="shared" si="10"/>
        <v>1D</v>
      </c>
      <c r="X144" s="200">
        <f>_xll.qlCalendarAdvance(Calendar,X143,W144,"f",FALSE)</f>
        <v>41990</v>
      </c>
      <c r="Y144" s="204">
        <f>_xll.qlCalendarAdvance(Calendar,X144,NDays&amp;"D")</f>
        <v>41992</v>
      </c>
      <c r="Z144" s="205">
        <v>1.7652918552010788E-3</v>
      </c>
      <c r="AA144" s="207">
        <v>1.7183816463361978E-3</v>
      </c>
    </row>
    <row r="145" spans="19:27" x14ac:dyDescent="0.2">
      <c r="S145" s="165"/>
      <c r="T145" s="166"/>
      <c r="W145" s="199" t="str">
        <f t="shared" si="10"/>
        <v>1D</v>
      </c>
      <c r="X145" s="200">
        <f>_xll.qlCalendarAdvance(Calendar,X144,W145,"f",FALSE)</f>
        <v>41991</v>
      </c>
      <c r="Y145" s="204">
        <f>_xll.qlCalendarAdvance(Calendar,X145,NDays&amp;"D")</f>
        <v>41995</v>
      </c>
      <c r="Z145" s="205">
        <v>1.7760438864131414E-3</v>
      </c>
      <c r="AA145" s="207">
        <v>1.72860207004355E-3</v>
      </c>
    </row>
    <row r="146" spans="19:27" x14ac:dyDescent="0.2">
      <c r="S146" s="165"/>
      <c r="T146" s="166"/>
      <c r="W146" s="199" t="str">
        <f t="shared" si="10"/>
        <v>1D</v>
      </c>
      <c r="X146" s="200">
        <f>_xll.qlCalendarAdvance(Calendar,X145,W146,"f",FALSE)</f>
        <v>41992</v>
      </c>
      <c r="Y146" s="204">
        <f>_xll.qlCalendarAdvance(Calendar,X146,NDays&amp;"D")</f>
        <v>41996</v>
      </c>
      <c r="Z146" s="205">
        <v>1.7806019310181191E-3</v>
      </c>
      <c r="AA146" s="207">
        <v>1.7392756663703324E-3</v>
      </c>
    </row>
    <row r="147" spans="19:27" x14ac:dyDescent="0.2">
      <c r="S147" s="165"/>
      <c r="T147" s="166"/>
      <c r="W147" s="199" t="str">
        <f t="shared" si="10"/>
        <v>1D</v>
      </c>
      <c r="X147" s="200">
        <f>_xll.qlCalendarAdvance(Calendar,X146,W147,"f",FALSE)</f>
        <v>41995</v>
      </c>
      <c r="Y147" s="204">
        <f>_xll.qlCalendarAdvance(Calendar,X147,NDays&amp;"D")</f>
        <v>41997</v>
      </c>
      <c r="Z147" s="205">
        <v>1.7905208066251986E-3</v>
      </c>
      <c r="AA147" s="207">
        <v>1.7430273402219143E-3</v>
      </c>
    </row>
    <row r="148" spans="19:27" x14ac:dyDescent="0.2">
      <c r="S148" s="165"/>
      <c r="T148" s="166"/>
      <c r="W148" s="199" t="str">
        <f t="shared" si="10"/>
        <v>1D</v>
      </c>
      <c r="X148" s="200">
        <f>_xll.qlCalendarAdvance(Calendar,X147,W148,"f",FALSE)</f>
        <v>41996</v>
      </c>
      <c r="Y148" s="204">
        <f>_xll.qlCalendarAdvance(Calendar,X148,NDays&amp;"D")</f>
        <v>42002</v>
      </c>
      <c r="Z148" s="205">
        <v>1.809926393027737E-3</v>
      </c>
      <c r="AA148" s="207">
        <v>1.7488555007760809E-3</v>
      </c>
    </row>
    <row r="149" spans="19:27" x14ac:dyDescent="0.2">
      <c r="S149" s="165"/>
      <c r="T149" s="166"/>
      <c r="W149" s="199" t="str">
        <f t="shared" ref="W149:W212" si="11">W148</f>
        <v>1D</v>
      </c>
      <c r="X149" s="200">
        <f>_xll.qlCalendarAdvance(Calendar,X148,W149,"f",FALSE)</f>
        <v>41997</v>
      </c>
      <c r="Y149" s="204">
        <f>_xll.qlCalendarAdvance(Calendar,X149,NDays&amp;"D")</f>
        <v>42003</v>
      </c>
      <c r="Z149" s="205">
        <v>1.8151518708613996E-3</v>
      </c>
      <c r="AA149" s="207">
        <v>1.7590573740555726E-3</v>
      </c>
    </row>
    <row r="150" spans="19:27" x14ac:dyDescent="0.2">
      <c r="S150" s="165"/>
      <c r="T150" s="166"/>
      <c r="W150" s="199" t="str">
        <f t="shared" si="11"/>
        <v>1D</v>
      </c>
      <c r="X150" s="200">
        <f>_xll.qlCalendarAdvance(Calendar,X149,W150,"f",FALSE)</f>
        <v>42002</v>
      </c>
      <c r="Y150" s="204">
        <f>_xll.qlCalendarAdvance(Calendar,X150,NDays&amp;"D")</f>
        <v>42004</v>
      </c>
      <c r="Z150" s="205">
        <v>1.8175472217860644E-3</v>
      </c>
      <c r="AA150" s="207">
        <v>1.7675996035659836E-3</v>
      </c>
    </row>
    <row r="151" spans="19:27" x14ac:dyDescent="0.2">
      <c r="S151" s="165"/>
      <c r="T151" s="166"/>
      <c r="W151" s="199" t="str">
        <f t="shared" si="11"/>
        <v>1D</v>
      </c>
      <c r="X151" s="200">
        <f>_xll.qlCalendarAdvance(Calendar,X150,W151,"f",FALSE)</f>
        <v>42003</v>
      </c>
      <c r="Y151" s="204">
        <f>_xll.qlCalendarAdvance(Calendar,X151,NDays&amp;"D")</f>
        <v>42006</v>
      </c>
      <c r="Z151" s="205">
        <v>1.8314176140369952E-3</v>
      </c>
      <c r="AA151" s="207">
        <v>1.7720386841890701E-3</v>
      </c>
    </row>
    <row r="152" spans="19:27" x14ac:dyDescent="0.2">
      <c r="S152" s="165"/>
      <c r="T152" s="166"/>
      <c r="W152" s="199" t="str">
        <f t="shared" si="11"/>
        <v>1D</v>
      </c>
      <c r="X152" s="200">
        <f>_xll.qlCalendarAdvance(Calendar,X151,W152,"f",FALSE)</f>
        <v>42004</v>
      </c>
      <c r="Y152" s="204">
        <f>_xll.qlCalendarAdvance(Calendar,X152,NDays&amp;"D")</f>
        <v>42009</v>
      </c>
      <c r="Z152" s="205">
        <v>1.8485673246434573E-3</v>
      </c>
      <c r="AA152" s="207">
        <v>1.7765759657795144E-3</v>
      </c>
    </row>
    <row r="153" spans="19:27" x14ac:dyDescent="0.2">
      <c r="S153" s="165"/>
      <c r="T153" s="166"/>
      <c r="W153" s="199" t="str">
        <f t="shared" si="11"/>
        <v>1D</v>
      </c>
      <c r="X153" s="200">
        <f>_xll.qlCalendarAdvance(Calendar,X152,W153,"f",FALSE)</f>
        <v>42006</v>
      </c>
      <c r="Y153" s="204">
        <f>_xll.qlCalendarAdvance(Calendar,X153,NDays&amp;"D")</f>
        <v>42010</v>
      </c>
      <c r="Z153" s="205">
        <v>1.8544803327266266E-3</v>
      </c>
      <c r="AA153" s="207">
        <v>1.7812114484172525E-3</v>
      </c>
    </row>
    <row r="154" spans="19:27" x14ac:dyDescent="0.2">
      <c r="S154" s="165"/>
      <c r="T154" s="166"/>
      <c r="W154" s="199" t="str">
        <f t="shared" si="11"/>
        <v>1D</v>
      </c>
      <c r="X154" s="200">
        <f>_xll.qlCalendarAdvance(Calendar,X153,W154,"f",FALSE)</f>
        <v>42009</v>
      </c>
      <c r="Y154" s="204">
        <f>_xll.qlCalendarAdvance(Calendar,X154,NDays&amp;"D")</f>
        <v>42011</v>
      </c>
      <c r="Z154" s="205">
        <v>1.8671345097789139E-3</v>
      </c>
      <c r="AA154" s="207">
        <v>1.7908186585913199E-3</v>
      </c>
    </row>
    <row r="155" spans="19:27" x14ac:dyDescent="0.2">
      <c r="S155" s="165"/>
      <c r="T155" s="166"/>
      <c r="W155" s="199" t="str">
        <f t="shared" si="11"/>
        <v>1D</v>
      </c>
      <c r="X155" s="200">
        <f>_xll.qlCalendarAdvance(Calendar,X154,W155,"f",FALSE)</f>
        <v>42010</v>
      </c>
      <c r="Y155" s="204">
        <f>_xll.qlCalendarAdvance(Calendar,X155,NDays&amp;"D")</f>
        <v>42012</v>
      </c>
      <c r="Z155" s="205">
        <v>1.8699552361731153E-3</v>
      </c>
      <c r="AA155" s="207">
        <v>1.8007353888016553E-3</v>
      </c>
    </row>
    <row r="156" spans="19:27" x14ac:dyDescent="0.2">
      <c r="S156" s="165"/>
      <c r="T156" s="166"/>
      <c r="W156" s="199" t="str">
        <f t="shared" si="11"/>
        <v>1D</v>
      </c>
      <c r="X156" s="200">
        <f>_xll.qlCalendarAdvance(Calendar,X155,W156,"f",FALSE)</f>
        <v>42011</v>
      </c>
      <c r="Y156" s="204">
        <f>_xll.qlCalendarAdvance(Calendar,X156,NDays&amp;"D")</f>
        <v>42013</v>
      </c>
      <c r="Z156" s="205">
        <v>1.8728086727026749E-3</v>
      </c>
      <c r="AA156" s="207">
        <v>1.8058618764360546E-3</v>
      </c>
    </row>
    <row r="157" spans="19:27" x14ac:dyDescent="0.2">
      <c r="S157" s="165"/>
      <c r="T157" s="166"/>
      <c r="W157" s="199" t="str">
        <f t="shared" si="11"/>
        <v>1D</v>
      </c>
      <c r="X157" s="200">
        <f>_xll.qlCalendarAdvance(Calendar,X156,W157,"f",FALSE)</f>
        <v>42012</v>
      </c>
      <c r="Y157" s="204">
        <f>_xll.qlCalendarAdvance(Calendar,X157,NDays&amp;"D")</f>
        <v>42016</v>
      </c>
      <c r="Z157" s="205">
        <v>1.8920209895652519E-3</v>
      </c>
      <c r="AA157" s="207">
        <v>1.8110865650378116E-3</v>
      </c>
    </row>
    <row r="158" spans="19:27" x14ac:dyDescent="0.2">
      <c r="S158" s="165"/>
      <c r="T158" s="166"/>
      <c r="W158" s="199" t="str">
        <f t="shared" si="11"/>
        <v>1D</v>
      </c>
      <c r="X158" s="200">
        <f>_xll.qlCalendarAdvance(Calendar,X157,W158,"f",FALSE)</f>
        <v>42013</v>
      </c>
      <c r="Y158" s="204">
        <f>_xll.qlCalendarAdvance(Calendar,X158,NDays&amp;"D")</f>
        <v>42017</v>
      </c>
      <c r="Z158" s="205">
        <v>1.8986215352468881E-3</v>
      </c>
      <c r="AA158" s="207">
        <v>1.8164094546069265E-3</v>
      </c>
    </row>
    <row r="159" spans="19:27" x14ac:dyDescent="0.2">
      <c r="S159" s="165"/>
      <c r="T159" s="166"/>
      <c r="W159" s="199" t="str">
        <f t="shared" si="11"/>
        <v>1D</v>
      </c>
      <c r="X159" s="200">
        <f>_xll.qlCalendarAdvance(Calendar,X158,W159,"f",FALSE)</f>
        <v>42016</v>
      </c>
      <c r="Y159" s="204">
        <f>_xll.qlCalendarAdvance(Calendar,X159,NDays&amp;"D")</f>
        <v>42018</v>
      </c>
      <c r="Z159" s="205">
        <v>1.9163659248183967E-3</v>
      </c>
      <c r="AA159" s="207">
        <v>1.8273918465361305E-3</v>
      </c>
    </row>
    <row r="160" spans="19:27" x14ac:dyDescent="0.2">
      <c r="S160" s="165"/>
      <c r="T160" s="166"/>
      <c r="W160" s="199" t="str">
        <f t="shared" si="11"/>
        <v>1D</v>
      </c>
      <c r="X160" s="200">
        <f>_xll.qlCalendarAdvance(Calendar,X159,W160,"f",FALSE)</f>
        <v>42017</v>
      </c>
      <c r="Y160" s="204">
        <f>_xll.qlCalendarAdvance(Calendar,X160,NDays&amp;"D")</f>
        <v>42019</v>
      </c>
      <c r="Z160" s="205">
        <v>1.9195465516006686E-3</v>
      </c>
      <c r="AA160" s="207">
        <v>1.8386830234362606E-3</v>
      </c>
    </row>
    <row r="161" spans="19:27" x14ac:dyDescent="0.2">
      <c r="S161" s="165"/>
      <c r="T161" s="166"/>
      <c r="W161" s="199" t="str">
        <f t="shared" si="11"/>
        <v>1D</v>
      </c>
      <c r="X161" s="200">
        <f>_xll.qlCalendarAdvance(Calendar,X160,W161,"f",FALSE)</f>
        <v>42018</v>
      </c>
      <c r="Y161" s="204">
        <f>_xll.qlCalendarAdvance(Calendar,X161,NDays&amp;"D")</f>
        <v>42020</v>
      </c>
      <c r="Z161" s="205">
        <v>1.9227598844395732E-3</v>
      </c>
      <c r="AA161" s="207">
        <v>1.8444969181619086E-3</v>
      </c>
    </row>
    <row r="162" spans="19:27" x14ac:dyDescent="0.2">
      <c r="S162" s="165"/>
      <c r="T162" s="166"/>
      <c r="W162" s="199" t="str">
        <f t="shared" si="11"/>
        <v>1D</v>
      </c>
      <c r="X162" s="200">
        <f>_xll.qlCalendarAdvance(Calendar,X161,W162,"f",FALSE)</f>
        <v>42019</v>
      </c>
      <c r="Y162" s="204">
        <f>_xll.qlCalendarAdvance(Calendar,X162,NDays&amp;"D")</f>
        <v>42023</v>
      </c>
      <c r="Z162" s="205">
        <v>1.9475755332969986E-3</v>
      </c>
      <c r="AA162" s="207">
        <v>1.8504090140147866E-3</v>
      </c>
    </row>
    <row r="163" spans="19:27" x14ac:dyDescent="0.2">
      <c r="S163" s="165"/>
      <c r="T163" s="166"/>
      <c r="W163" s="199" t="str">
        <f t="shared" si="11"/>
        <v>1D</v>
      </c>
      <c r="X163" s="200">
        <f>_xll.qlCalendarAdvance(Calendar,X162,W163,"f",FALSE)</f>
        <v>42020</v>
      </c>
      <c r="Y163" s="204">
        <f>_xll.qlCalendarAdvance(Calendar,X163,NDays&amp;"D")</f>
        <v>42024</v>
      </c>
      <c r="Z163" s="205">
        <v>1.9475755332969986E-3</v>
      </c>
      <c r="AA163" s="207">
        <v>1.8564193109149585E-3</v>
      </c>
    </row>
    <row r="164" spans="19:27" x14ac:dyDescent="0.2">
      <c r="S164" s="165"/>
      <c r="T164" s="166"/>
      <c r="W164" s="199" t="str">
        <f t="shared" si="11"/>
        <v>1D</v>
      </c>
      <c r="X164" s="200">
        <f>_xll.qlCalendarAdvance(Calendar,X163,W164,"f",FALSE)</f>
        <v>42023</v>
      </c>
      <c r="Y164" s="204">
        <f>_xll.qlCalendarAdvance(Calendar,X164,NDays&amp;"D")</f>
        <v>42025</v>
      </c>
      <c r="Z164" s="205">
        <v>1.9629809082356464E-3</v>
      </c>
      <c r="AA164" s="207">
        <v>1.8687769422598421E-3</v>
      </c>
    </row>
    <row r="165" spans="19:27" x14ac:dyDescent="0.2">
      <c r="S165" s="165"/>
      <c r="T165" s="166"/>
      <c r="W165" s="199" t="str">
        <f t="shared" si="11"/>
        <v>1D</v>
      </c>
      <c r="X165" s="200">
        <f>_xll.qlCalendarAdvance(Calendar,X164,W165,"f",FALSE)</f>
        <v>42024</v>
      </c>
      <c r="Y165" s="204">
        <f>_xll.qlCalendarAdvance(Calendar,X165,NDays&amp;"D")</f>
        <v>42026</v>
      </c>
      <c r="Z165" s="205">
        <v>1.9664886721304509E-3</v>
      </c>
      <c r="AA165" s="207">
        <v>1.8814425089086484E-3</v>
      </c>
    </row>
    <row r="166" spans="19:27" x14ac:dyDescent="0.2">
      <c r="S166" s="165"/>
      <c r="T166" s="166"/>
      <c r="W166" s="199" t="str">
        <f t="shared" si="11"/>
        <v>1D</v>
      </c>
      <c r="X166" s="200">
        <f>_xll.qlCalendarAdvance(Calendar,X165,W166,"f",FALSE)</f>
        <v>42025</v>
      </c>
      <c r="Y166" s="204">
        <f>_xll.qlCalendarAdvance(Calendar,X166,NDays&amp;"D")</f>
        <v>42027</v>
      </c>
      <c r="Z166" s="205">
        <v>1.9700291377952863E-3</v>
      </c>
      <c r="AA166" s="207">
        <v>1.8879438111252256E-3</v>
      </c>
    </row>
    <row r="167" spans="19:27" x14ac:dyDescent="0.2">
      <c r="S167" s="165"/>
      <c r="T167" s="166"/>
      <c r="W167" s="199" t="str">
        <f t="shared" si="11"/>
        <v>1D</v>
      </c>
      <c r="X167" s="200">
        <f>_xll.qlCalendarAdvance(Calendar,X166,W167,"f",FALSE)</f>
        <v>42026</v>
      </c>
      <c r="Y167" s="204">
        <f>_xll.qlCalendarAdvance(Calendar,X167,NDays&amp;"D")</f>
        <v>42030</v>
      </c>
      <c r="Z167" s="205">
        <v>1.9933667413791194E-3</v>
      </c>
      <c r="AA167" s="207">
        <v>1.8945433143890966E-3</v>
      </c>
    </row>
    <row r="168" spans="19:27" x14ac:dyDescent="0.2">
      <c r="S168" s="165"/>
      <c r="T168" s="166"/>
      <c r="W168" s="199" t="str">
        <f t="shared" si="11"/>
        <v>1D</v>
      </c>
      <c r="X168" s="200">
        <f>_xll.qlCalendarAdvance(Calendar,X167,W168,"f",FALSE)</f>
        <v>42027</v>
      </c>
      <c r="Y168" s="204">
        <f>_xll.qlCalendarAdvance(Calendar,X168,NDays&amp;"D")</f>
        <v>42031</v>
      </c>
      <c r="Z168" s="205">
        <v>2.0013423877289268E-3</v>
      </c>
      <c r="AA168" s="207">
        <v>1.9012410187002615E-3</v>
      </c>
    </row>
    <row r="169" spans="19:27" x14ac:dyDescent="0.2">
      <c r="S169" s="165"/>
      <c r="T169" s="166"/>
      <c r="W169" s="199" t="str">
        <f t="shared" si="11"/>
        <v>1D</v>
      </c>
      <c r="X169" s="200">
        <f>_xll.qlCalendarAdvance(Calendar,X168,W169,"f",FALSE)</f>
        <v>42030</v>
      </c>
      <c r="Y169" s="204">
        <f>_xll.qlCalendarAdvance(Calendar,X169,NDays&amp;"D")</f>
        <v>42032</v>
      </c>
      <c r="Z169" s="205">
        <v>2.0051118248964883E-3</v>
      </c>
      <c r="AA169" s="207">
        <v>1.9149739507184904E-3</v>
      </c>
    </row>
    <row r="170" spans="19:27" x14ac:dyDescent="0.2">
      <c r="S170" s="165"/>
      <c r="T170" s="166"/>
      <c r="W170" s="199" t="str">
        <f t="shared" si="11"/>
        <v>1D</v>
      </c>
      <c r="X170" s="200">
        <f>_xll.qlCalendarAdvance(Calendar,X169,W170,"f",FALSE)</f>
        <v>42031</v>
      </c>
      <c r="Y170" s="204">
        <f>_xll.qlCalendarAdvance(Calendar,X170,NDays&amp;"D")</f>
        <v>42033</v>
      </c>
      <c r="Z170" s="205">
        <v>2.008913960005312E-3</v>
      </c>
      <c r="AA170" s="207">
        <v>1.9290138470573481E-3</v>
      </c>
    </row>
    <row r="171" spans="19:27" x14ac:dyDescent="0.2">
      <c r="S171" s="165"/>
      <c r="T171" s="166"/>
      <c r="W171" s="199" t="str">
        <f t="shared" si="11"/>
        <v>1D</v>
      </c>
      <c r="X171" s="200">
        <f>_xll.qlCalendarAdvance(Calendar,X170,W171,"f",FALSE)</f>
        <v>42032</v>
      </c>
      <c r="Y171" s="204">
        <f>_xll.qlCalendarAdvance(Calendar,X171,NDays&amp;"D")</f>
        <v>42034</v>
      </c>
      <c r="Z171" s="205">
        <v>2.0127487924120097E-3</v>
      </c>
      <c r="AA171" s="207">
        <v>1.9362025569247265E-3</v>
      </c>
    </row>
    <row r="172" spans="19:27" x14ac:dyDescent="0.2">
      <c r="S172" s="165"/>
      <c r="T172" s="166"/>
      <c r="W172" s="199" t="str">
        <f t="shared" si="11"/>
        <v>1D</v>
      </c>
      <c r="X172" s="200">
        <f>_xll.qlCalendarAdvance(Calendar,X171,W172,"f",FALSE)</f>
        <v>42033</v>
      </c>
      <c r="Y172" s="204">
        <f>_xll.qlCalendarAdvance(Calendar,X172,NDays&amp;"D")</f>
        <v>42037</v>
      </c>
      <c r="Z172" s="205">
        <v>2.0377066522222643E-3</v>
      </c>
      <c r="AA172" s="207">
        <v>1.9434894679193349E-3</v>
      </c>
    </row>
    <row r="173" spans="19:27" x14ac:dyDescent="0.2">
      <c r="S173" s="165"/>
      <c r="T173" s="166"/>
      <c r="W173" s="199" t="str">
        <f t="shared" si="11"/>
        <v>1D</v>
      </c>
      <c r="X173" s="200">
        <f>_xll.qlCalendarAdvance(Calendar,X172,W173,"f",FALSE)</f>
        <v>42034</v>
      </c>
      <c r="Y173" s="204">
        <f>_xll.qlCalendarAdvance(Calendar,X173,NDays&amp;"D")</f>
        <v>42038</v>
      </c>
      <c r="Z173" s="205">
        <v>2.046222381735241E-3</v>
      </c>
      <c r="AA173" s="207">
        <v>1.9508745800411731E-3</v>
      </c>
    </row>
    <row r="174" spans="19:27" x14ac:dyDescent="0.2">
      <c r="S174" s="165"/>
      <c r="T174" s="166"/>
      <c r="W174" s="199" t="str">
        <f t="shared" si="11"/>
        <v>1D</v>
      </c>
      <c r="X174" s="200">
        <f>_xll.qlCalendarAdvance(Calendar,X173,W174,"f",FALSE)</f>
        <v>42037</v>
      </c>
      <c r="Y174" s="204">
        <f>_xll.qlCalendarAdvance(Calendar,X174,NDays&amp;"D")</f>
        <v>42039</v>
      </c>
      <c r="Z174" s="205">
        <v>2.0548363330274988E-3</v>
      </c>
      <c r="AA174" s="207">
        <v>1.965982877480954E-3</v>
      </c>
    </row>
    <row r="175" spans="19:27" x14ac:dyDescent="0.2">
      <c r="S175" s="165"/>
      <c r="T175" s="166"/>
      <c r="W175" s="199" t="str">
        <f t="shared" si="11"/>
        <v>1D</v>
      </c>
      <c r="X175" s="200">
        <f>_xll.qlCalendarAdvance(Calendar,X174,W175,"f",FALSE)</f>
        <v>42038</v>
      </c>
      <c r="Y175" s="204">
        <f>_xll.qlCalendarAdvance(Calendar,X175,NDays&amp;"D")</f>
        <v>42040</v>
      </c>
      <c r="Z175" s="205">
        <v>2.0635485062931685E-3</v>
      </c>
      <c r="AA175" s="207">
        <v>1.9813970397208891E-3</v>
      </c>
    </row>
    <row r="176" spans="19:27" x14ac:dyDescent="0.2">
      <c r="S176" s="165"/>
      <c r="T176" s="166"/>
      <c r="W176" s="199" t="str">
        <f t="shared" si="11"/>
        <v>1D</v>
      </c>
      <c r="X176" s="200">
        <f>_xll.qlCalendarAdvance(Calendar,X175,W176,"f",FALSE)</f>
        <v>42039</v>
      </c>
      <c r="Y176" s="204">
        <f>_xll.qlCalendarAdvance(Calendar,X176,NDays&amp;"D")</f>
        <v>42041</v>
      </c>
      <c r="Z176" s="205">
        <v>2.0723589017349448E-3</v>
      </c>
      <c r="AA176" s="207">
        <v>1.989273157558813E-3</v>
      </c>
    </row>
    <row r="177" spans="19:27" x14ac:dyDescent="0.2">
      <c r="S177" s="165"/>
      <c r="T177" s="166"/>
      <c r="W177" s="199" t="str">
        <f t="shared" si="11"/>
        <v>1D</v>
      </c>
      <c r="X177" s="200">
        <f>_xll.qlCalendarAdvance(Calendar,X176,W177,"f",FALSE)</f>
        <v>42040</v>
      </c>
      <c r="Y177" s="204">
        <f>_xll.qlCalendarAdvance(Calendar,X177,NDays&amp;"D")</f>
        <v>42044</v>
      </c>
      <c r="Z177" s="205">
        <v>2.0993794231410107E-3</v>
      </c>
      <c r="AA177" s="207">
        <v>1.9972474765239667E-3</v>
      </c>
    </row>
    <row r="178" spans="19:27" x14ac:dyDescent="0.2">
      <c r="S178" s="165"/>
      <c r="T178" s="166"/>
      <c r="W178" s="199" t="str">
        <f t="shared" si="11"/>
        <v>1D</v>
      </c>
      <c r="X178" s="200">
        <f>_xll.qlCalendarAdvance(Calendar,X177,W178,"f",FALSE)</f>
        <v>42041</v>
      </c>
      <c r="Y178" s="204">
        <f>_xll.qlCalendarAdvance(Calendar,X178,NDays&amp;"D")</f>
        <v>42045</v>
      </c>
      <c r="Z178" s="205">
        <v>2.1085827093255839E-3</v>
      </c>
      <c r="AA178" s="207">
        <v>2.0053199966163504E-3</v>
      </c>
    </row>
    <row r="179" spans="19:27" x14ac:dyDescent="0.2">
      <c r="S179" s="165"/>
      <c r="T179" s="166"/>
      <c r="W179" s="199" t="str">
        <f t="shared" si="11"/>
        <v>1D</v>
      </c>
      <c r="X179" s="200">
        <f>_xll.qlCalendarAdvance(Calendar,X178,W179,"f",FALSE)</f>
        <v>42044</v>
      </c>
      <c r="Y179" s="204">
        <f>_xll.qlCalendarAdvance(Calendar,X179,NDays&amp;"D")</f>
        <v>42046</v>
      </c>
      <c r="Z179" s="205">
        <v>2.1178842187168684E-3</v>
      </c>
      <c r="AA179" s="207">
        <v>2.0218037287023094E-3</v>
      </c>
    </row>
    <row r="180" spans="19:27" x14ac:dyDescent="0.2">
      <c r="S180" s="165"/>
      <c r="T180" s="166"/>
      <c r="W180" s="199" t="str">
        <f t="shared" si="11"/>
        <v>1D</v>
      </c>
      <c r="X180" s="200">
        <f>_xll.qlCalendarAdvance(Calendar,X179,W180,"f",FALSE)</f>
        <v>42045</v>
      </c>
      <c r="Y180" s="204">
        <f>_xll.qlCalendarAdvance(Calendar,X180,NDays&amp;"D")</f>
        <v>42047</v>
      </c>
      <c r="Z180" s="205">
        <v>2.1272839515261233E-3</v>
      </c>
      <c r="AA180" s="207">
        <v>2.0385920890575449E-3</v>
      </c>
    </row>
    <row r="181" spans="19:27" x14ac:dyDescent="0.2">
      <c r="S181" s="165"/>
      <c r="T181" s="166"/>
      <c r="W181" s="199" t="str">
        <f t="shared" si="11"/>
        <v>1D</v>
      </c>
      <c r="X181" s="200">
        <f>_xll.qlCalendarAdvance(Calendar,X180,W181,"f",FALSE)</f>
        <v>42046</v>
      </c>
      <c r="Y181" s="204">
        <f>_xll.qlCalendarAdvance(Calendar,X181,NDays&amp;"D")</f>
        <v>42048</v>
      </c>
      <c r="Z181" s="205">
        <v>2.1367819079731731E-3</v>
      </c>
      <c r="AA181" s="207">
        <v>2.0471556151058223E-3</v>
      </c>
    </row>
    <row r="182" spans="19:27" x14ac:dyDescent="0.2">
      <c r="S182" s="165"/>
      <c r="T182" s="166"/>
      <c r="W182" s="199" t="str">
        <f t="shared" si="11"/>
        <v>1D</v>
      </c>
      <c r="X182" s="200">
        <f>_xll.qlCalendarAdvance(Calendar,X181,W182,"f",FALSE)</f>
        <v>42047</v>
      </c>
      <c r="Y182" s="204">
        <f>_xll.qlCalendarAdvance(Calendar,X182,NDays&amp;"D")</f>
        <v>42051</v>
      </c>
      <c r="Z182" s="205">
        <v>2.1757559745015443E-3</v>
      </c>
      <c r="AA182" s="207">
        <v>2.0558173423612658E-3</v>
      </c>
    </row>
    <row r="183" spans="19:27" x14ac:dyDescent="0.2">
      <c r="S183" s="165"/>
      <c r="T183" s="166"/>
      <c r="W183" s="199" t="str">
        <f t="shared" si="11"/>
        <v>1D</v>
      </c>
      <c r="X183" s="200">
        <f>_xll.qlCalendarAdvance(Calendar,X182,W183,"f",FALSE)</f>
        <v>42048</v>
      </c>
      <c r="Y183" s="204">
        <f>_xll.qlCalendarAdvance(Calendar,X183,NDays&amp;"D")</f>
        <v>42052</v>
      </c>
      <c r="Z183" s="205">
        <v>2.1757559745015443E-3</v>
      </c>
      <c r="AA183" s="207">
        <v>2.0645772709038113E-3</v>
      </c>
    </row>
    <row r="184" spans="19:27" x14ac:dyDescent="0.2">
      <c r="S184" s="165"/>
      <c r="T184" s="166"/>
      <c r="W184" s="199" t="str">
        <f t="shared" si="11"/>
        <v>1D</v>
      </c>
      <c r="X184" s="200">
        <f>_xll.qlCalendarAdvance(Calendar,X183,W184,"f",FALSE)</f>
        <v>42051</v>
      </c>
      <c r="Y184" s="204">
        <f>_xll.qlCalendarAdvance(Calendar,X184,NDays&amp;"D")</f>
        <v>42053</v>
      </c>
      <c r="Z184" s="205">
        <v>2.1857450524349303E-3</v>
      </c>
      <c r="AA184" s="207">
        <v>2.0824365110971854E-3</v>
      </c>
    </row>
    <row r="185" spans="19:27" x14ac:dyDescent="0.2">
      <c r="S185" s="165"/>
      <c r="T185" s="166"/>
      <c r="W185" s="199" t="str">
        <f t="shared" si="11"/>
        <v>1D</v>
      </c>
      <c r="X185" s="200">
        <f>_xll.qlCalendarAdvance(Calendar,X184,W185,"f",FALSE)</f>
        <v>42052</v>
      </c>
      <c r="Y185" s="204">
        <f>_xll.qlCalendarAdvance(Calendar,X185,NDays&amp;"D")</f>
        <v>42054</v>
      </c>
      <c r="Z185" s="205">
        <v>2.1958323553421849E-3</v>
      </c>
      <c r="AA185" s="207">
        <v>2.100598997225589E-3</v>
      </c>
    </row>
    <row r="186" spans="19:27" x14ac:dyDescent="0.2">
      <c r="S186" s="165"/>
      <c r="T186" s="166"/>
      <c r="W186" s="199" t="str">
        <f t="shared" si="11"/>
        <v>1D</v>
      </c>
      <c r="X186" s="200">
        <f>_xll.qlCalendarAdvance(Calendar,X185,W186,"f",FALSE)</f>
        <v>42053</v>
      </c>
      <c r="Y186" s="204">
        <f>_xll.qlCalendarAdvance(Calendar,X186,NDays&amp;"D")</f>
        <v>42055</v>
      </c>
      <c r="Z186" s="205">
        <v>2.2060178834602618E-3</v>
      </c>
      <c r="AA186" s="207">
        <v>2.1098499318839004E-3</v>
      </c>
    </row>
    <row r="187" spans="19:27" x14ac:dyDescent="0.2">
      <c r="S187" s="165"/>
      <c r="T187" s="166"/>
      <c r="W187" s="199" t="str">
        <f t="shared" si="11"/>
        <v>1D</v>
      </c>
      <c r="X187" s="200">
        <f>_xll.qlCalendarAdvance(Calendar,X186,W187,"f",FALSE)</f>
        <v>42054</v>
      </c>
      <c r="Y187" s="204">
        <f>_xll.qlCalendarAdvance(Calendar,X187,NDays&amp;"D")</f>
        <v>42058</v>
      </c>
      <c r="Z187" s="205">
        <v>2.2371638213861517E-3</v>
      </c>
      <c r="AA187" s="207">
        <v>2.1191990679092498E-3</v>
      </c>
    </row>
    <row r="188" spans="19:27" x14ac:dyDescent="0.2">
      <c r="S188" s="165"/>
      <c r="T188" s="166"/>
      <c r="W188" s="199" t="str">
        <f t="shared" si="11"/>
        <v>1D</v>
      </c>
      <c r="X188" s="200">
        <f>_xll.qlCalendarAdvance(Calendar,X187,W188,"f",FALSE)</f>
        <v>42055</v>
      </c>
      <c r="Y188" s="204">
        <f>_xll.qlCalendarAdvance(Calendar,X188,NDays&amp;"D")</f>
        <v>42059</v>
      </c>
      <c r="Z188" s="205">
        <v>2.2477422526827923E-3</v>
      </c>
      <c r="AA188" s="207">
        <v>2.1286464051417653E-3</v>
      </c>
    </row>
    <row r="189" spans="19:27" x14ac:dyDescent="0.2">
      <c r="S189" s="165"/>
      <c r="T189" s="166"/>
      <c r="W189" s="199" t="str">
        <f t="shared" si="11"/>
        <v>1D</v>
      </c>
      <c r="X189" s="200">
        <f>_xll.qlCalendarAdvance(Calendar,X188,W189,"f",FALSE)</f>
        <v>42058</v>
      </c>
      <c r="Y189" s="204">
        <f>_xll.qlCalendarAdvance(Calendar,X189,NDays&amp;"D")</f>
        <v>42060</v>
      </c>
      <c r="Z189" s="205">
        <v>2.2584189103750213E-3</v>
      </c>
      <c r="AA189" s="207">
        <v>2.1478812319397633E-3</v>
      </c>
    </row>
    <row r="190" spans="19:27" x14ac:dyDescent="0.2">
      <c r="S190" s="165"/>
      <c r="T190" s="166"/>
      <c r="W190" s="199" t="str">
        <f t="shared" si="11"/>
        <v>1D</v>
      </c>
      <c r="X190" s="200">
        <f>_xll.qlCalendarAdvance(Calendar,X189,W190,"f",FALSE)</f>
        <v>42059</v>
      </c>
      <c r="Y190" s="204">
        <f>_xll.qlCalendarAdvance(Calendar,X190,NDays&amp;"D")</f>
        <v>42061</v>
      </c>
      <c r="Z190" s="205">
        <v>2.2691937947083574E-3</v>
      </c>
      <c r="AA190" s="207">
        <v>2.1674177668629113E-3</v>
      </c>
    </row>
    <row r="191" spans="19:27" x14ac:dyDescent="0.2">
      <c r="S191" s="165"/>
      <c r="T191" s="166"/>
      <c r="W191" s="199" t="str">
        <f t="shared" si="11"/>
        <v>1D</v>
      </c>
      <c r="X191" s="200">
        <f>_xll.qlCalendarAdvance(Calendar,X190,W191,"f",FALSE)</f>
        <v>42060</v>
      </c>
      <c r="Y191" s="204">
        <f>_xll.qlCalendarAdvance(Calendar,X191,NDays&amp;"D")</f>
        <v>42062</v>
      </c>
      <c r="Z191" s="205">
        <v>2.3031163331616034E-3</v>
      </c>
      <c r="AA191" s="207">
        <v>2.1773561105309369E-3</v>
      </c>
    </row>
    <row r="192" spans="19:27" x14ac:dyDescent="0.2">
      <c r="S192" s="165"/>
      <c r="T192" s="166"/>
      <c r="W192" s="199" t="str">
        <f t="shared" si="11"/>
        <v>1D</v>
      </c>
      <c r="X192" s="200">
        <f>_xll.qlCalendarAdvance(Calendar,X191,W192,"f",FALSE)</f>
        <v>42061</v>
      </c>
      <c r="Y192" s="204">
        <f>_xll.qlCalendarAdvance(Calendar,X192,NDays&amp;"D")</f>
        <v>42065</v>
      </c>
      <c r="Z192" s="205">
        <v>2.3309496202455859E-3</v>
      </c>
      <c r="AA192" s="207">
        <v>2.1873926555660006E-3</v>
      </c>
    </row>
    <row r="193" spans="19:27" x14ac:dyDescent="0.2">
      <c r="S193" s="165"/>
      <c r="T193" s="166"/>
      <c r="W193" s="199" t="str">
        <f t="shared" si="11"/>
        <v>1D</v>
      </c>
      <c r="X193" s="200">
        <f>_xll.qlCalendarAdvance(Calendar,X192,W193,"f",FALSE)</f>
        <v>42062</v>
      </c>
      <c r="Y193" s="204">
        <f>_xll.qlCalendarAdvance(Calendar,X193,NDays&amp;"D")</f>
        <v>42066</v>
      </c>
      <c r="Z193" s="205">
        <v>2.3665659800014638E-3</v>
      </c>
      <c r="AA193" s="207">
        <v>2.1975274018881663E-3</v>
      </c>
    </row>
    <row r="194" spans="19:27" x14ac:dyDescent="0.2">
      <c r="S194" s="165"/>
      <c r="T194" s="166"/>
      <c r="W194" s="199" t="str">
        <f t="shared" si="11"/>
        <v>1D</v>
      </c>
      <c r="X194" s="200">
        <f>_xll.qlCalendarAdvance(Calendar,X193,W194,"f",FALSE)</f>
        <v>42065</v>
      </c>
      <c r="Y194" s="204">
        <f>_xll.qlCalendarAdvance(Calendar,X194,NDays&amp;"D")</f>
        <v>42067</v>
      </c>
      <c r="Z194" s="205">
        <v>2.372116629097649E-3</v>
      </c>
      <c r="AA194" s="207">
        <v>2.2181378990904221E-3</v>
      </c>
    </row>
    <row r="195" spans="19:27" x14ac:dyDescent="0.2">
      <c r="S195" s="165"/>
      <c r="T195" s="166"/>
      <c r="W195" s="199" t="str">
        <f t="shared" si="11"/>
        <v>1D</v>
      </c>
      <c r="X195" s="200">
        <f>_xll.qlCalendarAdvance(Calendar,X194,W195,"f",FALSE)</f>
        <v>42066</v>
      </c>
      <c r="Y195" s="204">
        <f>_xll.qlCalendarAdvance(Calendar,X195,NDays&amp;"D")</f>
        <v>42068</v>
      </c>
      <c r="Z195" s="205">
        <v>2.3776998781478331E-3</v>
      </c>
      <c r="AA195" s="207">
        <v>2.2390484005274658E-3</v>
      </c>
    </row>
    <row r="196" spans="19:27" x14ac:dyDescent="0.2">
      <c r="S196" s="165"/>
      <c r="T196" s="166"/>
      <c r="W196" s="199" t="str">
        <f t="shared" si="11"/>
        <v>1D</v>
      </c>
      <c r="X196" s="200">
        <f>_xll.qlCalendarAdvance(Calendar,X195,W196,"f",FALSE)</f>
        <v>42067</v>
      </c>
      <c r="Y196" s="204">
        <f>_xll.qlCalendarAdvance(Calendar,X196,NDays&amp;"D")</f>
        <v>42069</v>
      </c>
      <c r="Z196" s="205">
        <v>2.3833157196909149E-3</v>
      </c>
      <c r="AA196" s="207">
        <v>2.2496741536848219E-3</v>
      </c>
    </row>
    <row r="197" spans="19:27" x14ac:dyDescent="0.2">
      <c r="S197" s="165"/>
      <c r="T197" s="166"/>
      <c r="W197" s="199" t="str">
        <f t="shared" si="11"/>
        <v>1D</v>
      </c>
      <c r="X197" s="200">
        <f>_xll.qlCalendarAdvance(Calendar,X196,W197,"f",FALSE)</f>
        <v>42068</v>
      </c>
      <c r="Y197" s="204">
        <f>_xll.qlCalendarAdvance(Calendar,X197,NDays&amp;"D")</f>
        <v>42072</v>
      </c>
      <c r="Z197" s="205">
        <v>2.4128456653420057E-3</v>
      </c>
      <c r="AA197" s="207">
        <v>2.260398108049344E-3</v>
      </c>
    </row>
    <row r="198" spans="19:27" x14ac:dyDescent="0.2">
      <c r="S198" s="165"/>
      <c r="T198" s="166"/>
      <c r="W198" s="199" t="str">
        <f t="shared" si="11"/>
        <v>1D</v>
      </c>
      <c r="X198" s="200">
        <f>_xll.qlCalendarAdvance(Calendar,X197,W198,"f",FALSE)</f>
        <v>42069</v>
      </c>
      <c r="Y198" s="204">
        <f>_xll.qlCalendarAdvance(Calendar,X198,NDays&amp;"D")</f>
        <v>42073</v>
      </c>
      <c r="Z198" s="205">
        <v>2.4249306023698698E-3</v>
      </c>
      <c r="AA198" s="207">
        <v>2.2712202639407764E-3</v>
      </c>
    </row>
    <row r="199" spans="19:27" x14ac:dyDescent="0.2">
      <c r="S199" s="165"/>
      <c r="T199" s="166"/>
      <c r="W199" s="199" t="str">
        <f t="shared" si="11"/>
        <v>1D</v>
      </c>
      <c r="X199" s="200">
        <f>_xll.qlCalendarAdvance(Calendar,X198,W199,"f",FALSE)</f>
        <v>42072</v>
      </c>
      <c r="Y199" s="204">
        <f>_xll.qlCalendarAdvance(Calendar,X199,NDays&amp;"D")</f>
        <v>42074</v>
      </c>
      <c r="Z199" s="205">
        <v>2.4499139873324083E-3</v>
      </c>
      <c r="AA199" s="207">
        <v>2.2932065210490293E-3</v>
      </c>
    </row>
    <row r="200" spans="19:27" x14ac:dyDescent="0.2">
      <c r="S200" s="165"/>
      <c r="T200" s="166"/>
      <c r="W200" s="199" t="str">
        <f t="shared" si="11"/>
        <v>1D</v>
      </c>
      <c r="X200" s="200">
        <f>_xll.qlCalendarAdvance(Calendar,X199,W200,"f",FALSE)</f>
        <v>42073</v>
      </c>
      <c r="Y200" s="204">
        <f>_xll.qlCalendarAdvance(Calendar,X200,NDays&amp;"D")</f>
        <v>42075</v>
      </c>
      <c r="Z200" s="205">
        <v>2.4558209387445795E-3</v>
      </c>
      <c r="AA200" s="207">
        <v>2.3154909011768865E-3</v>
      </c>
    </row>
    <row r="201" spans="19:27" x14ac:dyDescent="0.2">
      <c r="S201" s="165"/>
      <c r="T201" s="166"/>
      <c r="W201" s="199" t="str">
        <f t="shared" si="11"/>
        <v>1D</v>
      </c>
      <c r="X201" s="200">
        <f>_xll.qlCalendarAdvance(Calendar,X200,W201,"f",FALSE)</f>
        <v>42074</v>
      </c>
      <c r="Y201" s="204">
        <f>_xll.qlCalendarAdvance(Calendar,X201,NDays&amp;"D")</f>
        <v>42076</v>
      </c>
      <c r="Z201" s="205">
        <v>2.4617602681128196E-3</v>
      </c>
      <c r="AA201" s="207">
        <v>2.3268040640633814E-3</v>
      </c>
    </row>
    <row r="202" spans="19:27" x14ac:dyDescent="0.2">
      <c r="S202" s="165"/>
      <c r="T202" s="166"/>
      <c r="W202" s="199" t="str">
        <f t="shared" si="11"/>
        <v>1D</v>
      </c>
      <c r="X202" s="200">
        <f>_xll.qlCalendarAdvance(Calendar,X201,W202,"f",FALSE)</f>
        <v>42075</v>
      </c>
      <c r="Y202" s="204">
        <f>_xll.qlCalendarAdvance(Calendar,X202,NDays&amp;"D")</f>
        <v>42079</v>
      </c>
      <c r="Z202" s="205">
        <v>2.4994489720718146E-3</v>
      </c>
      <c r="AA202" s="207">
        <v>2.3382154283968504E-3</v>
      </c>
    </row>
    <row r="203" spans="19:27" x14ac:dyDescent="0.2">
      <c r="S203" s="165"/>
      <c r="T203" s="166"/>
      <c r="W203" s="199" t="str">
        <f t="shared" si="11"/>
        <v>1D</v>
      </c>
      <c r="X203" s="200">
        <f>_xll.qlCalendarAdvance(Calendar,X202,W203,"f",FALSE)</f>
        <v>42076</v>
      </c>
      <c r="Y203" s="204">
        <f>_xll.qlCalendarAdvance(Calendar,X203,NDays&amp;"D")</f>
        <v>42080</v>
      </c>
      <c r="Z203" s="205">
        <v>2.5122020499507114E-3</v>
      </c>
      <c r="AA203" s="207">
        <v>2.3497249942572296E-3</v>
      </c>
    </row>
    <row r="204" spans="19:27" x14ac:dyDescent="0.2">
      <c r="S204" s="165"/>
      <c r="T204" s="166"/>
      <c r="W204" s="199" t="str">
        <f t="shared" si="11"/>
        <v>1D</v>
      </c>
      <c r="X204" s="200">
        <f>_xll.qlCalendarAdvance(Calendar,X203,W204,"f",FALSE)</f>
        <v>42079</v>
      </c>
      <c r="Y204" s="204">
        <f>_xll.qlCalendarAdvance(Calendar,X204,NDays&amp;"D")</f>
        <v>42081</v>
      </c>
      <c r="Z204" s="205">
        <v>2.5385122628364021E-3</v>
      </c>
      <c r="AA204" s="207">
        <v>2.3730871067950687E-3</v>
      </c>
    </row>
    <row r="205" spans="19:27" x14ac:dyDescent="0.2">
      <c r="S205" s="165"/>
      <c r="T205" s="166"/>
      <c r="W205" s="199" t="str">
        <f t="shared" si="11"/>
        <v>1D</v>
      </c>
      <c r="X205" s="200">
        <f>_xll.qlCalendarAdvance(Calendar,X204,W205,"f",FALSE)</f>
        <v>42080</v>
      </c>
      <c r="Y205" s="204">
        <f>_xll.qlCalendarAdvance(Calendar,X205,NDays&amp;"D")</f>
        <v>42082</v>
      </c>
      <c r="Z205" s="205">
        <v>2.5447550106189043E-3</v>
      </c>
      <c r="AA205" s="207">
        <v>2.3967452719286797E-3</v>
      </c>
    </row>
    <row r="206" spans="19:27" x14ac:dyDescent="0.2">
      <c r="S206" s="165"/>
      <c r="T206" s="166"/>
      <c r="W206" s="199" t="str">
        <f t="shared" si="11"/>
        <v>1D</v>
      </c>
      <c r="X206" s="200">
        <f>_xll.qlCalendarAdvance(Calendar,X205,W206,"f",FALSE)</f>
        <v>42081</v>
      </c>
      <c r="Y206" s="204">
        <f>_xll.qlCalendarAdvance(Calendar,X206,NDays&amp;"D")</f>
        <v>42083</v>
      </c>
      <c r="Z206" s="205">
        <v>2.5510296508658042E-3</v>
      </c>
      <c r="AA206" s="207">
        <v>2.4087458451038657E-3</v>
      </c>
    </row>
    <row r="207" spans="19:27" x14ac:dyDescent="0.2">
      <c r="S207" s="165"/>
      <c r="T207" s="166"/>
      <c r="W207" s="199" t="str">
        <f t="shared" si="11"/>
        <v>1D</v>
      </c>
      <c r="X207" s="200">
        <f>_xll.qlCalendarAdvance(Calendar,X206,W207,"f",FALSE)</f>
        <v>42082</v>
      </c>
      <c r="Y207" s="204">
        <f>_xll.qlCalendarAdvance(Calendar,X207,NDays&amp;"D")</f>
        <v>42086</v>
      </c>
      <c r="Z207" s="205">
        <v>2.5907065591666075E-3</v>
      </c>
      <c r="AA207" s="207">
        <v>2.4208446197260258E-3</v>
      </c>
    </row>
    <row r="208" spans="19:27" x14ac:dyDescent="0.2">
      <c r="S208" s="165"/>
      <c r="T208" s="166"/>
      <c r="W208" s="199" t="str">
        <f t="shared" si="11"/>
        <v>1D</v>
      </c>
      <c r="X208" s="200">
        <f>_xll.qlCalendarAdvance(Calendar,X207,W208,"f",FALSE)</f>
        <v>42083</v>
      </c>
      <c r="Y208" s="204">
        <f>_xll.qlCalendarAdvance(Calendar,X208,NDays&amp;"D")</f>
        <v>42087</v>
      </c>
      <c r="Z208" s="205">
        <v>2.6041202094732293E-3</v>
      </c>
      <c r="AA208" s="207">
        <v>2.4330407964345824E-3</v>
      </c>
    </row>
    <row r="209" spans="19:27" x14ac:dyDescent="0.2">
      <c r="S209" s="165"/>
      <c r="T209" s="166"/>
      <c r="W209" s="199" t="str">
        <f t="shared" si="11"/>
        <v>1D</v>
      </c>
      <c r="X209" s="200">
        <f>_xll.qlCalendarAdvance(Calendar,X208,W209,"f",FALSE)</f>
        <v>42086</v>
      </c>
      <c r="Y209" s="204">
        <f>_xll.qlCalendarAdvance(Calendar,X209,NDays&amp;"D")</f>
        <v>42088</v>
      </c>
      <c r="Z209" s="205">
        <v>2.6317461318785137E-3</v>
      </c>
      <c r="AA209" s="207">
        <v>2.4577628766841997E-3</v>
      </c>
    </row>
    <row r="210" spans="19:27" x14ac:dyDescent="0.2">
      <c r="S210" s="165"/>
      <c r="T210" s="166"/>
      <c r="W210" s="199" t="str">
        <f t="shared" si="11"/>
        <v>1D</v>
      </c>
      <c r="X210" s="200">
        <f>_xll.qlCalendarAdvance(Calendar,X209,W210,"f",FALSE)</f>
        <v>42087</v>
      </c>
      <c r="Y210" s="204">
        <f>_xll.qlCalendarAdvance(Calendar,X210,NDays&amp;"D")</f>
        <v>42089</v>
      </c>
      <c r="Z210" s="205">
        <v>2.6383190625775543E-3</v>
      </c>
      <c r="AA210" s="207">
        <v>2.4827627477108649E-3</v>
      </c>
    </row>
    <row r="211" spans="19:27" x14ac:dyDescent="0.2">
      <c r="S211" s="165"/>
      <c r="T211" s="166"/>
      <c r="W211" s="199" t="str">
        <f t="shared" si="11"/>
        <v>1D</v>
      </c>
      <c r="X211" s="200">
        <f>_xll.qlCalendarAdvance(Calendar,X210,W211,"f",FALSE)</f>
        <v>42088</v>
      </c>
      <c r="Y211" s="204">
        <f>_xll.qlCalendarAdvance(Calendar,X211,NDays&amp;"D")</f>
        <v>42090</v>
      </c>
      <c r="Z211" s="205">
        <v>2.6449230665585629E-3</v>
      </c>
      <c r="AA211" s="207">
        <v>2.4954267471599678E-3</v>
      </c>
    </row>
    <row r="212" spans="19:27" x14ac:dyDescent="0.2">
      <c r="S212" s="165"/>
      <c r="T212" s="166"/>
      <c r="W212" s="199" t="str">
        <f t="shared" si="11"/>
        <v>1D</v>
      </c>
      <c r="X212" s="200">
        <f>_xll.qlCalendarAdvance(Calendar,X211,W212,"f",FALSE)</f>
        <v>42089</v>
      </c>
      <c r="Y212" s="204">
        <f>_xll.qlCalendarAdvance(Calendar,X212,NDays&amp;"D")</f>
        <v>42093</v>
      </c>
      <c r="Z212" s="205">
        <v>2.6865671002277687E-3</v>
      </c>
      <c r="AA212" s="207">
        <v>2.5081841514129621E-3</v>
      </c>
    </row>
    <row r="213" spans="19:27" x14ac:dyDescent="0.2">
      <c r="S213" s="165"/>
      <c r="T213" s="166"/>
      <c r="W213" s="199" t="str">
        <f t="shared" ref="W213:W276" si="12">W212</f>
        <v>1D</v>
      </c>
      <c r="X213" s="200">
        <f>_xll.qlCalendarAdvance(Calendar,X212,W213,"f",FALSE)</f>
        <v>42090</v>
      </c>
      <c r="Y213" s="204">
        <f>_xll.qlCalendarAdvance(Calendar,X213,NDays&amp;"D")</f>
        <v>42094</v>
      </c>
      <c r="Z213" s="205">
        <v>2.6933420038419698E-3</v>
      </c>
      <c r="AA213" s="207">
        <v>2.5471462400883382E-3</v>
      </c>
    </row>
    <row r="214" spans="19:27" x14ac:dyDescent="0.2">
      <c r="S214" s="165"/>
      <c r="T214" s="166"/>
      <c r="W214" s="199" t="str">
        <f t="shared" si="12"/>
        <v>1D</v>
      </c>
      <c r="X214" s="200">
        <f>_xll.qlCalendarAdvance(Calendar,X213,W214,"f",FALSE)</f>
        <v>42093</v>
      </c>
      <c r="Y214" s="204">
        <f>_xll.qlCalendarAdvance(Calendar,X214,NDays&amp;"D")</f>
        <v>42095</v>
      </c>
      <c r="Z214" s="205">
        <v>2.7074568472693628E-3</v>
      </c>
      <c r="AA214" s="207">
        <v>2.5866900760540545E-3</v>
      </c>
    </row>
    <row r="215" spans="19:27" x14ac:dyDescent="0.2">
      <c r="S215" s="165"/>
      <c r="T215" s="166"/>
      <c r="W215" s="199" t="str">
        <f t="shared" si="12"/>
        <v>1D</v>
      </c>
      <c r="X215" s="200">
        <f>_xll.qlCalendarAdvance(Calendar,X214,W215,"f",FALSE)</f>
        <v>42094</v>
      </c>
      <c r="Y215" s="204">
        <f>_xll.qlCalendarAdvance(Calendar,X215,NDays&amp;"D")</f>
        <v>42096</v>
      </c>
      <c r="Z215" s="205">
        <v>2.7439198525494846E-3</v>
      </c>
      <c r="AA215" s="207">
        <v>2.6001013134546724E-3</v>
      </c>
    </row>
    <row r="216" spans="19:27" x14ac:dyDescent="0.2">
      <c r="S216" s="165"/>
      <c r="T216" s="166"/>
      <c r="W216" s="199" t="str">
        <f t="shared" si="12"/>
        <v>1D</v>
      </c>
      <c r="X216" s="200">
        <f>_xll.qlCalendarAdvance(Calendar,X215,W216,"f",FALSE)</f>
        <v>42095</v>
      </c>
      <c r="Y216" s="204">
        <f>_xll.qlCalendarAdvance(Calendar,X216,NDays&amp;"D")</f>
        <v>42101</v>
      </c>
      <c r="Z216" s="205">
        <v>2.7941081886515562E-3</v>
      </c>
      <c r="AA216" s="207">
        <v>2.6136059555792457E-3</v>
      </c>
    </row>
    <row r="217" spans="19:27" x14ac:dyDescent="0.2">
      <c r="S217" s="165"/>
      <c r="T217" s="166"/>
      <c r="W217" s="199" t="str">
        <f t="shared" si="12"/>
        <v>1D</v>
      </c>
      <c r="X217" s="200">
        <f>_xll.qlCalendarAdvance(Calendar,X216,W217,"f",FALSE)</f>
        <v>42096</v>
      </c>
      <c r="Y217" s="204">
        <f>_xll.qlCalendarAdvance(Calendar,X217,NDays&amp;"D")</f>
        <v>42102</v>
      </c>
      <c r="Z217" s="205">
        <v>2.808877128834375E-3</v>
      </c>
      <c r="AA217" s="207">
        <v>2.6409459628240484E-3</v>
      </c>
    </row>
    <row r="218" spans="19:27" x14ac:dyDescent="0.2">
      <c r="S218" s="165"/>
      <c r="T218" s="166"/>
      <c r="W218" s="199" t="str">
        <f t="shared" si="12"/>
        <v>1D</v>
      </c>
      <c r="X218" s="200">
        <f>_xll.qlCalendarAdvance(Calendar,X217,W218,"f",FALSE)</f>
        <v>42101</v>
      </c>
      <c r="Y218" s="204">
        <f>_xll.qlCalendarAdvance(Calendar,X218,NDays&amp;"D")</f>
        <v>42103</v>
      </c>
      <c r="Z218" s="205">
        <v>2.8392004301003304E-3</v>
      </c>
      <c r="AA218" s="207">
        <v>2.6685585724361971E-3</v>
      </c>
    </row>
    <row r="219" spans="19:27" x14ac:dyDescent="0.2">
      <c r="S219" s="165"/>
      <c r="T219" s="166"/>
      <c r="W219" s="199" t="str">
        <f t="shared" si="12"/>
        <v>1D</v>
      </c>
      <c r="X219" s="200">
        <f>_xll.qlCalendarAdvance(Calendar,X218,W219,"f",FALSE)</f>
        <v>42102</v>
      </c>
      <c r="Y219" s="204">
        <f>_xll.qlCalendarAdvance(Calendar,X219,NDays&amp;"D")</f>
        <v>42104</v>
      </c>
      <c r="Z219" s="205">
        <v>2.8464570058889787E-3</v>
      </c>
      <c r="AA219" s="207">
        <v>2.6825302386601635E-3</v>
      </c>
    </row>
    <row r="220" spans="19:27" x14ac:dyDescent="0.2">
      <c r="S220" s="165"/>
      <c r="T220" s="166"/>
      <c r="W220" s="199" t="str">
        <f t="shared" si="12"/>
        <v>1D</v>
      </c>
      <c r="X220" s="200">
        <f>_xll.qlCalendarAdvance(Calendar,X219,W220,"f",FALSE)</f>
        <v>42103</v>
      </c>
      <c r="Y220" s="204">
        <f>_xll.qlCalendarAdvance(Calendar,X220,NDays&amp;"D")</f>
        <v>42107</v>
      </c>
      <c r="Z220" s="205">
        <v>2.8841234930538917E-3</v>
      </c>
      <c r="AA220" s="207">
        <v>2.6965953097679574E-3</v>
      </c>
    </row>
    <row r="221" spans="19:27" x14ac:dyDescent="0.2">
      <c r="S221" s="165"/>
      <c r="T221" s="166"/>
      <c r="W221" s="199" t="str">
        <f t="shared" si="12"/>
        <v>1D</v>
      </c>
      <c r="X221" s="200">
        <f>_xll.qlCalendarAdvance(Calendar,X220,W221,"f",FALSE)</f>
        <v>42104</v>
      </c>
      <c r="Y221" s="204">
        <f>_xll.qlCalendarAdvance(Calendar,X221,NDays&amp;"D")</f>
        <v>42108</v>
      </c>
      <c r="Z221" s="205">
        <v>2.8994531010182456E-3</v>
      </c>
      <c r="AA221" s="207">
        <v>2.7107537857595787E-3</v>
      </c>
    </row>
    <row r="222" spans="19:27" x14ac:dyDescent="0.2">
      <c r="S222" s="165"/>
      <c r="T222" s="166"/>
      <c r="W222" s="199" t="str">
        <f t="shared" si="12"/>
        <v>1D</v>
      </c>
      <c r="X222" s="200">
        <f>_xll.qlCalendarAdvance(Calendar,X221,W222,"f",FALSE)</f>
        <v>42107</v>
      </c>
      <c r="Y222" s="204">
        <f>_xll.qlCalendarAdvance(Calendar,X222,NDays&amp;"D")</f>
        <v>42109</v>
      </c>
      <c r="Z222" s="205">
        <v>2.9148761548549729E-3</v>
      </c>
      <c r="AA222" s="207">
        <v>2.7394029321747837E-3</v>
      </c>
    </row>
    <row r="223" spans="19:27" x14ac:dyDescent="0.2">
      <c r="S223" s="165"/>
      <c r="T223" s="166"/>
      <c r="W223" s="199" t="str">
        <f t="shared" si="12"/>
        <v>1D</v>
      </c>
      <c r="X223" s="200">
        <f>_xll.qlCalendarAdvance(Calendar,X222,W223,"f",FALSE)</f>
        <v>42108</v>
      </c>
      <c r="Y223" s="204">
        <f>_xll.qlCalendarAdvance(Calendar,X223,NDays&amp;"D")</f>
        <v>42110</v>
      </c>
      <c r="Z223" s="205">
        <v>2.9465094195596508E-3</v>
      </c>
      <c r="AA223" s="207">
        <v>2.7683217384044667E-3</v>
      </c>
    </row>
    <row r="224" spans="19:27" x14ac:dyDescent="0.2">
      <c r="S224" s="165"/>
      <c r="T224" s="166"/>
      <c r="W224" s="199" t="str">
        <f t="shared" si="12"/>
        <v>1D</v>
      </c>
      <c r="X224" s="200">
        <f>_xll.qlCalendarAdvance(Calendar,X223,W224,"f",FALSE)</f>
        <v>42109</v>
      </c>
      <c r="Y224" s="204">
        <f>_xll.qlCalendarAdvance(Calendar,X224,NDays&amp;"D")</f>
        <v>42111</v>
      </c>
      <c r="Z224" s="205">
        <v>2.9540921960690887E-3</v>
      </c>
      <c r="AA224" s="207">
        <v>2.7829472388152254E-3</v>
      </c>
    </row>
    <row r="225" spans="19:27" x14ac:dyDescent="0.2">
      <c r="S225" s="165"/>
      <c r="T225" s="166"/>
      <c r="W225" s="199" t="str">
        <f t="shared" si="12"/>
        <v>1D</v>
      </c>
      <c r="X225" s="200">
        <f>_xll.qlCalendarAdvance(Calendar,X224,W225,"f",FALSE)</f>
        <v>42110</v>
      </c>
      <c r="Y225" s="204">
        <f>_xll.qlCalendarAdvance(Calendar,X225,NDays&amp;"D")</f>
        <v>42114</v>
      </c>
      <c r="Z225" s="205">
        <v>2.9933931247834167E-3</v>
      </c>
      <c r="AA225" s="207">
        <v>2.7976661441897477E-3</v>
      </c>
    </row>
    <row r="226" spans="19:27" x14ac:dyDescent="0.2">
      <c r="S226" s="165"/>
      <c r="T226" s="166"/>
      <c r="W226" s="199" t="str">
        <f t="shared" si="12"/>
        <v>1D</v>
      </c>
      <c r="X226" s="200">
        <f>_xll.qlCalendarAdvance(Calendar,X225,W226,"f",FALSE)</f>
        <v>42111</v>
      </c>
      <c r="Y226" s="204">
        <f>_xll.qlCalendarAdvance(Calendar,X226,NDays&amp;"D")</f>
        <v>42115</v>
      </c>
      <c r="Z226" s="205">
        <v>3.0093768614856131E-3</v>
      </c>
      <c r="AA226" s="207">
        <v>2.8124784544480974E-3</v>
      </c>
    </row>
    <row r="227" spans="19:27" x14ac:dyDescent="0.2">
      <c r="S227" s="165"/>
      <c r="T227" s="166"/>
      <c r="W227" s="199" t="str">
        <f t="shared" si="12"/>
        <v>1D</v>
      </c>
      <c r="X227" s="200">
        <f>_xll.qlCalendarAdvance(Calendar,X226,W227,"f",FALSE)</f>
        <v>42114</v>
      </c>
      <c r="Y227" s="204">
        <f>_xll.qlCalendarAdvance(Calendar,X227,NDays&amp;"D")</f>
        <v>42116</v>
      </c>
      <c r="Z227" s="205">
        <v>3.0254540466234658E-3</v>
      </c>
      <c r="AA227" s="207">
        <v>2.8424368672919087E-3</v>
      </c>
    </row>
    <row r="228" spans="19:27" x14ac:dyDescent="0.2">
      <c r="S228" s="165"/>
      <c r="T228" s="166"/>
      <c r="W228" s="199" t="str">
        <f t="shared" si="12"/>
        <v>1D</v>
      </c>
      <c r="X228" s="200">
        <f>_xll.qlCalendarAdvance(Calendar,X227,W228,"f",FALSE)</f>
        <v>42115</v>
      </c>
      <c r="Y228" s="204">
        <f>_xll.qlCalendarAdvance(Calendar,X228,NDays&amp;"D")</f>
        <v>42117</v>
      </c>
      <c r="Z228" s="205">
        <v>3.0668307755780818E-3</v>
      </c>
      <c r="AA228" s="207">
        <v>2.8726617451990677E-3</v>
      </c>
    </row>
    <row r="229" spans="19:27" x14ac:dyDescent="0.2">
      <c r="S229" s="165"/>
      <c r="T229" s="166"/>
      <c r="W229" s="199" t="str">
        <f t="shared" si="12"/>
        <v>1D</v>
      </c>
      <c r="X229" s="200">
        <f>_xll.qlCalendarAdvance(Calendar,X228,W229,"f",FALSE)</f>
        <v>42116</v>
      </c>
      <c r="Y229" s="204">
        <f>_xll.qlCalendarAdvance(Calendar,X229,NDays&amp;"D")</f>
        <v>42118</v>
      </c>
      <c r="Z229" s="205">
        <v>3.0747552642709786E-3</v>
      </c>
      <c r="AA229" s="207">
        <v>2.8879410802762351E-3</v>
      </c>
    </row>
    <row r="230" spans="19:27" x14ac:dyDescent="0.2">
      <c r="S230" s="165"/>
      <c r="T230" s="166"/>
      <c r="W230" s="199" t="str">
        <f t="shared" si="12"/>
        <v>1D</v>
      </c>
      <c r="X230" s="200">
        <f>_xll.qlCalendarAdvance(Calendar,X229,W230,"f",FALSE)</f>
        <v>42117</v>
      </c>
      <c r="Y230" s="204">
        <f>_xll.qlCalendarAdvance(Calendar,X230,NDays&amp;"D")</f>
        <v>42121</v>
      </c>
      <c r="Z230" s="205">
        <v>3.1072417121063012E-3</v>
      </c>
      <c r="AA230" s="207">
        <v>2.9033138204770381E-3</v>
      </c>
    </row>
    <row r="231" spans="19:27" x14ac:dyDescent="0.2">
      <c r="S231" s="165"/>
      <c r="T231" s="166"/>
      <c r="W231" s="199" t="str">
        <f t="shared" si="12"/>
        <v>1D</v>
      </c>
      <c r="X231" s="200">
        <f>_xll.qlCalendarAdvance(Calendar,X230,W231,"f",FALSE)</f>
        <v>42118</v>
      </c>
      <c r="Y231" s="204">
        <f>_xll.qlCalendarAdvance(Calendar,X231,NDays&amp;"D")</f>
        <v>42122</v>
      </c>
      <c r="Z231" s="205">
        <v>3.1238795958330456E-3</v>
      </c>
      <c r="AA231" s="207">
        <v>2.9187799656416047E-3</v>
      </c>
    </row>
    <row r="232" spans="19:27" x14ac:dyDescent="0.2">
      <c r="S232" s="165"/>
      <c r="T232" s="166"/>
      <c r="W232" s="199" t="str">
        <f t="shared" si="12"/>
        <v>1D</v>
      </c>
      <c r="X232" s="200">
        <f>_xll.qlCalendarAdvance(Calendar,X231,W232,"f",FALSE)</f>
        <v>42121</v>
      </c>
      <c r="Y232" s="204">
        <f>_xll.qlCalendarAdvance(Calendar,X232,NDays&amp;"D")</f>
        <v>42123</v>
      </c>
      <c r="Z232" s="205">
        <v>3.1406109306733043E-3</v>
      </c>
      <c r="AA232" s="207">
        <v>2.9579488086906025E-3</v>
      </c>
    </row>
    <row r="233" spans="19:27" x14ac:dyDescent="0.2">
      <c r="S233" s="165"/>
      <c r="T233" s="166"/>
      <c r="W233" s="199" t="str">
        <f t="shared" si="12"/>
        <v>1D</v>
      </c>
      <c r="X233" s="200">
        <f>_xll.qlCalendarAdvance(Calendar,X232,W233,"f",FALSE)</f>
        <v>42122</v>
      </c>
      <c r="Y233" s="204">
        <f>_xll.qlCalendarAdvance(Calendar,X233,NDays&amp;"D")</f>
        <v>42124</v>
      </c>
      <c r="Z233" s="205">
        <v>3.1487681955835634E-3</v>
      </c>
      <c r="AA233" s="207">
        <v>2.9975117671199314E-3</v>
      </c>
    </row>
    <row r="234" spans="19:27" x14ac:dyDescent="0.2">
      <c r="S234" s="165"/>
      <c r="T234" s="166"/>
      <c r="W234" s="199" t="str">
        <f t="shared" si="12"/>
        <v>1D</v>
      </c>
      <c r="X234" s="200">
        <f>_xll.qlCalendarAdvance(Calendar,X233,W234,"f",FALSE)</f>
        <v>42123</v>
      </c>
      <c r="Y234" s="204">
        <f>_xll.qlCalendarAdvance(Calendar,X234,NDays&amp;"D")</f>
        <v>42125</v>
      </c>
      <c r="Z234" s="205">
        <v>3.1830996538197557E-3</v>
      </c>
      <c r="AA234" s="207">
        <v>3.0135383426266316E-3</v>
      </c>
    </row>
    <row r="235" spans="19:27" x14ac:dyDescent="0.2">
      <c r="S235" s="165"/>
      <c r="T235" s="166"/>
      <c r="W235" s="199" t="str">
        <f t="shared" si="12"/>
        <v>1D</v>
      </c>
      <c r="X235" s="200">
        <f>_xll.qlCalendarAdvance(Calendar,X234,W235,"f",FALSE)</f>
        <v>42124</v>
      </c>
      <c r="Y235" s="204">
        <f>_xll.qlCalendarAdvance(Calendar,X235,NDays&amp;"D")</f>
        <v>42129</v>
      </c>
      <c r="Z235" s="205">
        <v>3.2518946561623007E-3</v>
      </c>
      <c r="AA235" s="207">
        <v>3.0296583232569674E-3</v>
      </c>
    </row>
    <row r="236" spans="19:27" x14ac:dyDescent="0.2">
      <c r="S236" s="165"/>
      <c r="T236" s="166"/>
      <c r="W236" s="199" t="str">
        <f t="shared" si="12"/>
        <v>1D</v>
      </c>
      <c r="X236" s="200">
        <f>_xll.qlCalendarAdvance(Calendar,X235,W236,"f",FALSE)</f>
        <v>42125</v>
      </c>
      <c r="Y236" s="204">
        <f>_xll.qlCalendarAdvance(Calendar,X236,NDays&amp;"D")</f>
        <v>42130</v>
      </c>
      <c r="Z236" s="205">
        <v>3.2873811998144413E-3</v>
      </c>
      <c r="AA236" s="207">
        <v>3.0622356823339913E-3</v>
      </c>
    </row>
    <row r="237" spans="19:27" x14ac:dyDescent="0.2">
      <c r="S237" s="165"/>
      <c r="T237" s="166"/>
      <c r="W237" s="199" t="str">
        <f t="shared" si="12"/>
        <v>1D</v>
      </c>
      <c r="X237" s="200">
        <f>_xll.qlCalendarAdvance(Calendar,X236,W237,"f",FALSE)</f>
        <v>42129</v>
      </c>
      <c r="Y237" s="204">
        <f>_xll.qlCalendarAdvance(Calendar,X237,NDays&amp;"D")</f>
        <v>42131</v>
      </c>
      <c r="Z237" s="205">
        <v>3.2959111992261758E-3</v>
      </c>
      <c r="AA237" s="207">
        <v>3.0950722970946032E-3</v>
      </c>
    </row>
    <row r="238" spans="19:27" x14ac:dyDescent="0.2">
      <c r="S238" s="165"/>
      <c r="T238" s="166"/>
      <c r="W238" s="199" t="str">
        <f t="shared" si="12"/>
        <v>1D</v>
      </c>
      <c r="X238" s="200">
        <f>_xll.qlCalendarAdvance(Calendar,X237,W238,"f",FALSE)</f>
        <v>42130</v>
      </c>
      <c r="Y238" s="204">
        <f>_xll.qlCalendarAdvance(Calendar,X238,NDays&amp;"D")</f>
        <v>42132</v>
      </c>
      <c r="Z238" s="205">
        <v>3.3044721921698401E-3</v>
      </c>
      <c r="AA238" s="207">
        <v>3.1116593034230533E-3</v>
      </c>
    </row>
    <row r="239" spans="19:27" x14ac:dyDescent="0.2">
      <c r="S239" s="165"/>
      <c r="T239" s="166"/>
      <c r="W239" s="199" t="str">
        <f t="shared" si="12"/>
        <v>1D</v>
      </c>
      <c r="X239" s="200">
        <f>_xll.qlCalendarAdvance(Calendar,X238,W239,"f",FALSE)</f>
        <v>42131</v>
      </c>
      <c r="Y239" s="204">
        <f>_xll.qlCalendarAdvance(Calendar,X239,NDays&amp;"D")</f>
        <v>42135</v>
      </c>
      <c r="Z239" s="205">
        <v>3.3578908416427087E-3</v>
      </c>
      <c r="AA239" s="207">
        <v>3.1283397149550751E-3</v>
      </c>
    </row>
    <row r="240" spans="19:27" x14ac:dyDescent="0.2">
      <c r="S240" s="165"/>
      <c r="T240" s="166"/>
      <c r="W240" s="199" t="str">
        <f t="shared" si="12"/>
        <v>1D</v>
      </c>
      <c r="X240" s="200">
        <f>_xll.qlCalendarAdvance(Calendar,X239,W240,"f",FALSE)</f>
        <v>42132</v>
      </c>
      <c r="Y240" s="204">
        <f>_xll.qlCalendarAdvance(Calendar,X240,NDays&amp;"D")</f>
        <v>42136</v>
      </c>
      <c r="Z240" s="205">
        <v>3.3758839742317479E-3</v>
      </c>
      <c r="AA240" s="207">
        <v>3.1451135316107326E-3</v>
      </c>
    </row>
    <row r="241" spans="19:27" x14ac:dyDescent="0.2">
      <c r="S241" s="165"/>
      <c r="T241" s="166"/>
      <c r="W241" s="199" t="str">
        <f t="shared" si="12"/>
        <v>1D</v>
      </c>
      <c r="X241" s="200">
        <f>_xll.qlCalendarAdvance(Calendar,X240,W241,"f",FALSE)</f>
        <v>42135</v>
      </c>
      <c r="Y241" s="204">
        <f>_xll.qlCalendarAdvance(Calendar,X241,NDays&amp;"D")</f>
        <v>42137</v>
      </c>
      <c r="Z241" s="205">
        <v>3.4126812626247083E-3</v>
      </c>
      <c r="AA241" s="207">
        <v>3.1790005874388072E-3</v>
      </c>
    </row>
    <row r="242" spans="19:27" x14ac:dyDescent="0.2">
      <c r="S242" s="165"/>
      <c r="T242" s="166"/>
      <c r="W242" s="199" t="str">
        <f t="shared" si="12"/>
        <v>1D</v>
      </c>
      <c r="X242" s="200">
        <f>_xll.qlCalendarAdvance(Calendar,X241,W242,"f",FALSE)</f>
        <v>42136</v>
      </c>
      <c r="Y242" s="204">
        <f>_xll.qlCalendarAdvance(Calendar,X242,NDays&amp;"D")</f>
        <v>42138</v>
      </c>
      <c r="Z242" s="205">
        <v>3.4215372034054892E-3</v>
      </c>
      <c r="AA242" s="207">
        <v>3.2131428506687598E-3</v>
      </c>
    </row>
    <row r="243" spans="19:27" x14ac:dyDescent="0.2">
      <c r="S243" s="165"/>
      <c r="T243" s="166"/>
      <c r="W243" s="199" t="str">
        <f t="shared" si="12"/>
        <v>1D</v>
      </c>
      <c r="X243" s="200">
        <f>_xll.qlCalendarAdvance(Calendar,X242,W243,"f",FALSE)</f>
        <v>42137</v>
      </c>
      <c r="Y243" s="204">
        <f>_xll.qlCalendarAdvance(Calendar,X243,NDays&amp;"D")</f>
        <v>42139</v>
      </c>
      <c r="Z243" s="205">
        <v>3.4304241263940424E-3</v>
      </c>
      <c r="AA243" s="207">
        <v>3.230383693582084E-3</v>
      </c>
    </row>
    <row r="244" spans="19:27" x14ac:dyDescent="0.2">
      <c r="S244" s="165"/>
      <c r="T244" s="166"/>
      <c r="W244" s="199" t="str">
        <f t="shared" si="12"/>
        <v>1D</v>
      </c>
      <c r="X244" s="200">
        <f>_xll.qlCalendarAdvance(Calendar,X243,W244,"f",FALSE)</f>
        <v>42138</v>
      </c>
      <c r="Y244" s="204">
        <f>_xll.qlCalendarAdvance(Calendar,X244,NDays&amp;"D")</f>
        <v>42142</v>
      </c>
      <c r="Z244" s="205">
        <v>3.4858054193675331E-3</v>
      </c>
      <c r="AA244" s="207">
        <v>3.2477179417789159E-3</v>
      </c>
    </row>
    <row r="245" spans="19:27" x14ac:dyDescent="0.2">
      <c r="S245" s="165"/>
      <c r="T245" s="166"/>
      <c r="W245" s="199" t="str">
        <f t="shared" si="12"/>
        <v>1D</v>
      </c>
      <c r="X245" s="200">
        <f>_xll.qlCalendarAdvance(Calendar,X244,W245,"f",FALSE)</f>
        <v>42139</v>
      </c>
      <c r="Y245" s="204">
        <f>_xll.qlCalendarAdvance(Calendar,X245,NDays&amp;"D")</f>
        <v>42143</v>
      </c>
      <c r="Z245" s="205">
        <v>3.5044527726161541E-3</v>
      </c>
      <c r="AA245" s="207">
        <v>3.2651455950993835E-3</v>
      </c>
    </row>
    <row r="246" spans="19:27" x14ac:dyDescent="0.2">
      <c r="S246" s="165"/>
      <c r="T246" s="166"/>
      <c r="W246" s="199" t="str">
        <f t="shared" si="12"/>
        <v>1D</v>
      </c>
      <c r="X246" s="200">
        <f>_xll.qlCalendarAdvance(Calendar,X245,W246,"f",FALSE)</f>
        <v>42142</v>
      </c>
      <c r="Y246" s="204">
        <f>_xll.qlCalendarAdvance(Calendar,X246,NDays&amp;"D")</f>
        <v>42144</v>
      </c>
      <c r="Z246" s="205">
        <v>3.5425610260779324E-3</v>
      </c>
      <c r="AA246" s="207">
        <v>3.3092273828794205E-3</v>
      </c>
    </row>
    <row r="247" spans="19:27" x14ac:dyDescent="0.2">
      <c r="S247" s="165"/>
      <c r="T247" s="166"/>
      <c r="W247" s="199" t="str">
        <f t="shared" si="12"/>
        <v>1D</v>
      </c>
      <c r="X247" s="200">
        <f>_xll.qlCalendarAdvance(Calendar,X246,W247,"f",FALSE)</f>
        <v>42143</v>
      </c>
      <c r="Y247" s="204">
        <f>_xll.qlCalendarAdvance(Calendar,X247,NDays&amp;"D")</f>
        <v>42145</v>
      </c>
      <c r="Z247" s="205">
        <v>3.5517428306330867E-3</v>
      </c>
      <c r="AA247" s="207">
        <v>3.3536849420734427E-3</v>
      </c>
    </row>
    <row r="248" spans="19:27" x14ac:dyDescent="0.2">
      <c r="S248" s="165"/>
      <c r="T248" s="166"/>
      <c r="W248" s="199" t="str">
        <f t="shared" si="12"/>
        <v>1D</v>
      </c>
      <c r="X248" s="200">
        <f>_xll.qlCalendarAdvance(Calendar,X247,W248,"f",FALSE)</f>
        <v>42144</v>
      </c>
      <c r="Y248" s="204">
        <f>_xll.qlCalendarAdvance(Calendar,X248,NDays&amp;"D")</f>
        <v>42146</v>
      </c>
      <c r="Z248" s="205">
        <v>3.5609556054158162E-3</v>
      </c>
      <c r="AA248" s="207">
        <v>3.3716730274946372E-3</v>
      </c>
    </row>
    <row r="249" spans="19:27" x14ac:dyDescent="0.2">
      <c r="S249" s="165"/>
      <c r="T249" s="166"/>
      <c r="W249" s="199" t="str">
        <f t="shared" si="12"/>
        <v>1D</v>
      </c>
      <c r="X249" s="200">
        <f>_xll.qlCalendarAdvance(Calendar,X248,W249,"f",FALSE)</f>
        <v>42145</v>
      </c>
      <c r="Y249" s="204">
        <f>_xll.qlCalendarAdvance(Calendar,X249,NDays&amp;"D")</f>
        <v>42150</v>
      </c>
      <c r="Z249" s="205">
        <v>3.6376012033332724E-3</v>
      </c>
      <c r="AA249" s="207">
        <v>3.3897545183592115E-3</v>
      </c>
    </row>
    <row r="250" spans="19:27" x14ac:dyDescent="0.2">
      <c r="S250" s="165"/>
      <c r="T250" s="166"/>
      <c r="W250" s="199" t="str">
        <f t="shared" si="12"/>
        <v>1D</v>
      </c>
      <c r="X250" s="200">
        <f>_xll.qlCalendarAdvance(Calendar,X249,W250,"f",FALSE)</f>
        <v>42146</v>
      </c>
      <c r="Y250" s="204">
        <f>_xll.qlCalendarAdvance(Calendar,X250,NDays&amp;"D")</f>
        <v>42151</v>
      </c>
      <c r="Z250" s="205">
        <v>3.6770118031157688E-3</v>
      </c>
      <c r="AA250" s="207">
        <v>3.4262614596158869E-3</v>
      </c>
    </row>
    <row r="251" spans="19:27" x14ac:dyDescent="0.2">
      <c r="S251" s="165"/>
      <c r="T251" s="166"/>
      <c r="W251" s="199" t="str">
        <f t="shared" si="12"/>
        <v>1D</v>
      </c>
      <c r="X251" s="200">
        <f>_xll.qlCalendarAdvance(Calendar,X250,W251,"f",FALSE)</f>
        <v>42150</v>
      </c>
      <c r="Y251" s="204">
        <f>_xll.qlCalendarAdvance(Calendar,X251,NDays&amp;"D")</f>
        <v>42152</v>
      </c>
      <c r="Z251" s="205">
        <v>3.6865191128052088E-3</v>
      </c>
      <c r="AA251" s="207">
        <v>3.4630145357716913E-3</v>
      </c>
    </row>
    <row r="252" spans="19:27" x14ac:dyDescent="0.2">
      <c r="S252" s="165"/>
      <c r="T252" s="166"/>
      <c r="W252" s="199" t="str">
        <f t="shared" si="12"/>
        <v>1D</v>
      </c>
      <c r="X252" s="200">
        <f>_xll.qlCalendarAdvance(Calendar,X251,W252,"f",FALSE)</f>
        <v>42151</v>
      </c>
      <c r="Y252" s="204">
        <f>_xll.qlCalendarAdvance(Calendar,X252,NDays&amp;"D")</f>
        <v>42153</v>
      </c>
      <c r="Z252" s="205">
        <v>3.7061355330833545E-3</v>
      </c>
      <c r="AA252" s="207">
        <v>3.4815630536932929E-3</v>
      </c>
    </row>
    <row r="253" spans="19:27" x14ac:dyDescent="0.2">
      <c r="S253" s="165"/>
      <c r="T253" s="166"/>
      <c r="W253" s="199" t="str">
        <f t="shared" si="12"/>
        <v>1D</v>
      </c>
      <c r="X253" s="200">
        <f>_xll.qlCalendarAdvance(Calendar,X252,W253,"f",FALSE)</f>
        <v>42152</v>
      </c>
      <c r="Y253" s="204">
        <f>_xll.qlCalendarAdvance(Calendar,X253,NDays&amp;"D")</f>
        <v>42156</v>
      </c>
      <c r="Z253" s="205">
        <v>3.7451286545922002E-3</v>
      </c>
      <c r="AA253" s="207">
        <v>3.5002049771382104E-3</v>
      </c>
    </row>
    <row r="254" spans="19:27" x14ac:dyDescent="0.2">
      <c r="S254" s="165"/>
      <c r="T254" s="166"/>
      <c r="W254" s="199" t="str">
        <f t="shared" si="12"/>
        <v>1D</v>
      </c>
      <c r="X254" s="200">
        <f>_xll.qlCalendarAdvance(Calendar,X253,W254,"f",FALSE)</f>
        <v>42153</v>
      </c>
      <c r="Y254" s="204">
        <f>_xll.qlCalendarAdvance(Calendar,X254,NDays&amp;"D")</f>
        <v>42157</v>
      </c>
      <c r="Z254" s="205">
        <v>3.765004762125379E-3</v>
      </c>
      <c r="AA254" s="207">
        <v>3.5189403060265079E-3</v>
      </c>
    </row>
    <row r="255" spans="19:27" x14ac:dyDescent="0.2">
      <c r="S255" s="165"/>
      <c r="T255" s="166"/>
      <c r="W255" s="199" t="str">
        <f t="shared" si="12"/>
        <v>1D</v>
      </c>
      <c r="X255" s="200">
        <f>_xll.qlCalendarAdvance(Calendar,X254,W255,"f",FALSE)</f>
        <v>42156</v>
      </c>
      <c r="Y255" s="204">
        <f>_xll.qlCalendarAdvance(Calendar,X255,NDays&amp;"D")</f>
        <v>42158</v>
      </c>
      <c r="Z255" s="205">
        <v>3.8157325125903249E-3</v>
      </c>
      <c r="AA255" s="207">
        <v>3.5567574549588699E-3</v>
      </c>
    </row>
    <row r="256" spans="19:27" x14ac:dyDescent="0.2">
      <c r="S256" s="165"/>
      <c r="T256" s="166"/>
      <c r="W256" s="199" t="str">
        <f t="shared" si="12"/>
        <v>1D</v>
      </c>
      <c r="X256" s="200">
        <f>_xll.qlCalendarAdvance(Calendar,X255,W256,"f",FALSE)</f>
        <v>42157</v>
      </c>
      <c r="Y256" s="204">
        <f>_xll.qlCalendarAdvance(Calendar,X256,NDays&amp;"D")</f>
        <v>42159</v>
      </c>
      <c r="Z256" s="205">
        <v>3.8255555529936869E-3</v>
      </c>
      <c r="AA256" s="207">
        <v>3.5948156767329209E-3</v>
      </c>
    </row>
    <row r="257" spans="19:27" x14ac:dyDescent="0.2">
      <c r="S257" s="165"/>
      <c r="T257" s="166"/>
      <c r="W257" s="199" t="str">
        <f t="shared" si="12"/>
        <v>1D</v>
      </c>
      <c r="X257" s="200">
        <f>_xll.qlCalendarAdvance(Calendar,X256,W257,"f",FALSE)</f>
        <v>42158</v>
      </c>
      <c r="Y257" s="204">
        <f>_xll.qlCalendarAdvance(Calendar,X257,NDays&amp;"D")</f>
        <v>42160</v>
      </c>
      <c r="Z257" s="205">
        <v>3.8354088769238497E-3</v>
      </c>
      <c r="AA257" s="207">
        <v>3.6140180333177341E-3</v>
      </c>
    </row>
    <row r="258" spans="19:27" x14ac:dyDescent="0.2">
      <c r="S258" s="165"/>
      <c r="T258" s="166"/>
      <c r="W258" s="199" t="str">
        <f t="shared" si="12"/>
        <v>1D</v>
      </c>
      <c r="X258" s="200">
        <f>_xll.qlCalendarAdvance(Calendar,X257,W258,"f",FALSE)</f>
        <v>42159</v>
      </c>
      <c r="Y258" s="204">
        <f>_xll.qlCalendarAdvance(Calendar,X258,NDays&amp;"D")</f>
        <v>42163</v>
      </c>
      <c r="Z258" s="205">
        <v>3.8858758958193462E-3</v>
      </c>
      <c r="AA258" s="207">
        <v>3.6333137954258632E-3</v>
      </c>
    </row>
    <row r="259" spans="19:27" x14ac:dyDescent="0.2">
      <c r="S259" s="165"/>
      <c r="T259" s="166"/>
      <c r="W259" s="199" t="str">
        <f t="shared" si="12"/>
        <v>1D</v>
      </c>
      <c r="X259" s="200">
        <f>_xll.qlCalendarAdvance(Calendar,X258,W259,"f",FALSE)</f>
        <v>42160</v>
      </c>
      <c r="Y259" s="204">
        <f>_xll.qlCalendarAdvance(Calendar,X259,NDays&amp;"D")</f>
        <v>42164</v>
      </c>
      <c r="Z259" s="205">
        <v>3.9062699776799548E-3</v>
      </c>
      <c r="AA259" s="207">
        <v>3.6527029631372443E-3</v>
      </c>
    </row>
    <row r="260" spans="19:27" x14ac:dyDescent="0.2">
      <c r="S260" s="165"/>
      <c r="T260" s="166"/>
      <c r="W260" s="199" t="str">
        <f t="shared" si="12"/>
        <v>1D</v>
      </c>
      <c r="X260" s="200">
        <f>_xll.qlCalendarAdvance(Calendar,X259,W260,"f",FALSE)</f>
        <v>42163</v>
      </c>
      <c r="Y260" s="204">
        <f>_xll.qlCalendarAdvance(Calendar,X260,NDays&amp;"D")</f>
        <v>42165</v>
      </c>
      <c r="Z260" s="205">
        <v>3.9267294035774114E-3</v>
      </c>
      <c r="AA260" s="207">
        <v>3.6918305095401394E-3</v>
      </c>
    </row>
    <row r="261" spans="19:27" x14ac:dyDescent="0.2">
      <c r="S261" s="165"/>
      <c r="T261" s="166"/>
      <c r="W261" s="199" t="str">
        <f t="shared" si="12"/>
        <v>1D</v>
      </c>
      <c r="X261" s="200">
        <f>_xll.qlCalendarAdvance(Calendar,X260,W261,"f",FALSE)</f>
        <v>42164</v>
      </c>
      <c r="Y261" s="204">
        <f>_xll.qlCalendarAdvance(Calendar,X261,NDays&amp;"D")</f>
        <v>42166</v>
      </c>
      <c r="Z261" s="205">
        <v>3.9681782436337687E-3</v>
      </c>
      <c r="AA261" s="207">
        <v>3.7311936900152887E-3</v>
      </c>
    </row>
    <row r="262" spans="19:27" x14ac:dyDescent="0.2">
      <c r="S262" s="165"/>
      <c r="T262" s="166"/>
      <c r="W262" s="199" t="str">
        <f t="shared" si="12"/>
        <v>1D</v>
      </c>
      <c r="X262" s="200">
        <f>_xll.qlCalendarAdvance(Calendar,X261,W262,"f",FALSE)</f>
        <v>42165</v>
      </c>
      <c r="Y262" s="204">
        <f>_xll.qlCalendarAdvance(Calendar,X262,NDays&amp;"D")</f>
        <v>42167</v>
      </c>
      <c r="Z262" s="205">
        <v>3.9783145000266322E-3</v>
      </c>
      <c r="AA262" s="207">
        <v>3.7510498859028019E-3</v>
      </c>
    </row>
    <row r="263" spans="19:27" x14ac:dyDescent="0.2">
      <c r="S263" s="165"/>
      <c r="T263" s="166"/>
      <c r="W263" s="199" t="str">
        <f t="shared" si="12"/>
        <v>1D</v>
      </c>
      <c r="X263" s="200">
        <f>_xll.qlCalendarAdvance(Calendar,X262,W263,"f",FALSE)</f>
        <v>42166</v>
      </c>
      <c r="Y263" s="204">
        <f>_xll.qlCalendarAdvance(Calendar,X263,NDays&amp;"D")</f>
        <v>42170</v>
      </c>
      <c r="Z263" s="205">
        <v>4.0299309841387299E-3</v>
      </c>
      <c r="AA263" s="207">
        <v>3.7709994873935671E-3</v>
      </c>
    </row>
    <row r="264" spans="19:27" x14ac:dyDescent="0.2">
      <c r="S264" s="165"/>
      <c r="T264" s="166"/>
      <c r="W264" s="199" t="str">
        <f t="shared" si="12"/>
        <v>1D</v>
      </c>
      <c r="X264" s="200">
        <f>_xll.qlCalendarAdvance(Calendar,X263,W264,"f",FALSE)</f>
        <v>42167</v>
      </c>
      <c r="Y264" s="204">
        <f>_xll.qlCalendarAdvance(Calendar,X264,NDays&amp;"D")</f>
        <v>42171</v>
      </c>
      <c r="Z264" s="205">
        <v>4.0507370483755523E-3</v>
      </c>
      <c r="AA264" s="207">
        <v>3.7910424946474564E-3</v>
      </c>
    </row>
    <row r="265" spans="19:27" x14ac:dyDescent="0.2">
      <c r="S265" s="165"/>
      <c r="T265" s="166"/>
      <c r="W265" s="199" t="str">
        <f t="shared" si="12"/>
        <v>1D</v>
      </c>
      <c r="X265" s="200">
        <f>_xll.qlCalendarAdvance(Calendar,X264,W265,"f",FALSE)</f>
        <v>42170</v>
      </c>
      <c r="Y265" s="204">
        <f>_xll.qlCalendarAdvance(Calendar,X265,NDays&amp;"D")</f>
        <v>42172</v>
      </c>
      <c r="Z265" s="205">
        <v>4.0715933145509808E-3</v>
      </c>
      <c r="AA265" s="207">
        <v>3.8314806388406453E-3</v>
      </c>
    </row>
    <row r="266" spans="19:27" x14ac:dyDescent="0.2">
      <c r="S266" s="165"/>
      <c r="T266" s="166"/>
      <c r="W266" s="199" t="str">
        <f t="shared" si="12"/>
        <v>1D</v>
      </c>
      <c r="X266" s="200">
        <f>_xll.qlCalendarAdvance(Calendar,X265,W266,"f",FALSE)</f>
        <v>42171</v>
      </c>
      <c r="Y266" s="204">
        <f>_xll.qlCalendarAdvance(Calendar,X266,NDays&amp;"D")</f>
        <v>42173</v>
      </c>
      <c r="Z266" s="205">
        <v>4.1136916116188416E-3</v>
      </c>
      <c r="AA266" s="207">
        <v>3.8721485808146383E-3</v>
      </c>
    </row>
    <row r="267" spans="19:27" x14ac:dyDescent="0.2">
      <c r="S267" s="165"/>
      <c r="T267" s="166"/>
      <c r="W267" s="199" t="str">
        <f t="shared" si="12"/>
        <v>1D</v>
      </c>
      <c r="X267" s="200">
        <f>_xll.qlCalendarAdvance(Calendar,X266,W267,"f",FALSE)</f>
        <v>42172</v>
      </c>
      <c r="Y267" s="204">
        <f>_xll.qlCalendarAdvance(Calendar,X267,NDays&amp;"D")</f>
        <v>42174</v>
      </c>
      <c r="Z267" s="205">
        <v>4.1240562185601752E-3</v>
      </c>
      <c r="AA267" s="207">
        <v>3.892658616724276E-3</v>
      </c>
    </row>
    <row r="268" spans="19:27" x14ac:dyDescent="0.2">
      <c r="S268" s="165"/>
      <c r="T268" s="166"/>
      <c r="W268" s="199" t="str">
        <f t="shared" si="12"/>
        <v>1D</v>
      </c>
      <c r="X268" s="200">
        <f>_xll.qlCalendarAdvance(Calendar,X267,W268,"f",FALSE)</f>
        <v>42173</v>
      </c>
      <c r="Y268" s="204">
        <f>_xll.qlCalendarAdvance(Calendar,X268,NDays&amp;"D")</f>
        <v>42177</v>
      </c>
      <c r="Z268" s="205">
        <v>4.1765519616365765E-3</v>
      </c>
      <c r="AA268" s="207">
        <v>3.9132620584769739E-3</v>
      </c>
    </row>
    <row r="269" spans="19:27" x14ac:dyDescent="0.2">
      <c r="S269" s="165"/>
      <c r="T269" s="166"/>
      <c r="W269" s="199" t="str">
        <f t="shared" si="12"/>
        <v>1D</v>
      </c>
      <c r="X269" s="200">
        <f>_xll.qlCalendarAdvance(Calendar,X268,W269,"f",FALSE)</f>
        <v>42174</v>
      </c>
      <c r="Y269" s="204">
        <f>_xll.qlCalendarAdvance(Calendar,X269,NDays&amp;"D")</f>
        <v>42178</v>
      </c>
      <c r="Z269" s="205">
        <v>4.1976640114969044E-3</v>
      </c>
      <c r="AA269" s="207">
        <v>3.9339589059128599E-3</v>
      </c>
    </row>
    <row r="270" spans="19:27" x14ac:dyDescent="0.2">
      <c r="S270" s="165"/>
      <c r="T270" s="166"/>
      <c r="W270" s="199" t="str">
        <f t="shared" si="12"/>
        <v>1D</v>
      </c>
      <c r="X270" s="200">
        <f>_xll.qlCalendarAdvance(Calendar,X269,W270,"f",FALSE)</f>
        <v>42177</v>
      </c>
      <c r="Y270" s="204">
        <f>_xll.qlCalendarAdvance(Calendar,X270,NDays&amp;"D")</f>
        <v>42179</v>
      </c>
      <c r="Z270" s="205">
        <v>4.2188111204994883E-3</v>
      </c>
      <c r="AA270" s="207">
        <v>3.9756105324340041E-3</v>
      </c>
    </row>
    <row r="271" spans="19:27" x14ac:dyDescent="0.2">
      <c r="S271" s="165"/>
      <c r="T271" s="166"/>
      <c r="W271" s="199" t="str">
        <f t="shared" si="12"/>
        <v>1D</v>
      </c>
      <c r="X271" s="200">
        <f>_xll.qlCalendarAdvance(Calendar,X270,W271,"f",FALSE)</f>
        <v>42178</v>
      </c>
      <c r="Y271" s="204">
        <f>_xll.qlCalendarAdvance(Calendar,X271,NDays&amp;"D")</f>
        <v>42180</v>
      </c>
      <c r="Z271" s="205">
        <v>4.2614000504889726E-3</v>
      </c>
      <c r="AA271" s="207">
        <v>4.0172802435822774E-3</v>
      </c>
    </row>
    <row r="272" spans="19:27" x14ac:dyDescent="0.2">
      <c r="S272" s="165"/>
      <c r="T272" s="166"/>
      <c r="W272" s="199" t="str">
        <f t="shared" si="12"/>
        <v>1D</v>
      </c>
      <c r="X272" s="200">
        <f>_xll.qlCalendarAdvance(Calendar,X271,W272,"f",FALSE)</f>
        <v>42179</v>
      </c>
      <c r="Y272" s="204">
        <f>_xll.qlCalendarAdvance(Calendar,X272,NDays&amp;"D")</f>
        <v>42181</v>
      </c>
      <c r="Z272" s="205">
        <v>4.2719159859938571E-3</v>
      </c>
      <c r="AA272" s="207">
        <v>4.0381845890369306E-3</v>
      </c>
    </row>
    <row r="273" spans="19:27" x14ac:dyDescent="0.2">
      <c r="S273" s="165"/>
      <c r="T273" s="166"/>
      <c r="W273" s="199" t="str">
        <f t="shared" si="12"/>
        <v>1D</v>
      </c>
      <c r="X273" s="200">
        <f>_xll.qlCalendarAdvance(Calendar,X272,W273,"f",FALSE)</f>
        <v>42180</v>
      </c>
      <c r="Y273" s="204">
        <f>_xll.qlCalendarAdvance(Calendar,X273,NDays&amp;"D")</f>
        <v>42184</v>
      </c>
      <c r="Z273" s="205">
        <v>4.3250065719613318E-3</v>
      </c>
      <c r="AA273" s="207">
        <v>4.0591174575155264E-3</v>
      </c>
    </row>
    <row r="274" spans="19:27" x14ac:dyDescent="0.2">
      <c r="S274" s="165"/>
      <c r="T274" s="166"/>
      <c r="W274" s="199" t="str">
        <f t="shared" si="12"/>
        <v>1D</v>
      </c>
      <c r="X274" s="200">
        <f>_xll.qlCalendarAdvance(Calendar,X273,W274,"f",FALSE)</f>
        <v>42181</v>
      </c>
      <c r="Y274" s="204">
        <f>_xll.qlCalendarAdvance(Calendar,X274,NDays&amp;"D")</f>
        <v>42185</v>
      </c>
      <c r="Z274" s="205">
        <v>4.3571042310016732E-3</v>
      </c>
      <c r="AA274" s="207">
        <v>4.0800788490180651E-3</v>
      </c>
    </row>
    <row r="275" spans="19:27" x14ac:dyDescent="0.2">
      <c r="S275" s="165"/>
      <c r="T275" s="166"/>
      <c r="W275" s="199" t="str">
        <f t="shared" si="12"/>
        <v>1D</v>
      </c>
      <c r="X275" s="200">
        <f>_xll.qlCalendarAdvance(Calendar,X274,W275,"f",FALSE)</f>
        <v>42184</v>
      </c>
      <c r="Y275" s="204">
        <f>_xll.qlCalendarAdvance(Calendar,X275,NDays&amp;"D")</f>
        <v>42186</v>
      </c>
      <c r="Z275" s="205">
        <v>4.4000757258253684E-3</v>
      </c>
      <c r="AA275" s="207">
        <v>4.122143907681064E-3</v>
      </c>
    </row>
    <row r="276" spans="19:27" x14ac:dyDescent="0.2">
      <c r="S276" s="165"/>
      <c r="T276" s="166"/>
      <c r="W276" s="199" t="str">
        <f t="shared" si="12"/>
        <v>1D</v>
      </c>
      <c r="X276" s="200">
        <f>_xll.qlCalendarAdvance(Calendar,X275,W276,"f",FALSE)</f>
        <v>42185</v>
      </c>
      <c r="Y276" s="204">
        <f>_xll.qlCalendarAdvance(Calendar,X276,NDays&amp;"D")</f>
        <v>42187</v>
      </c>
      <c r="Z276" s="205">
        <v>4.4106809398439251E-3</v>
      </c>
      <c r="AA276" s="207">
        <v>4.164209645427519E-3</v>
      </c>
    </row>
    <row r="277" spans="19:27" x14ac:dyDescent="0.2">
      <c r="S277" s="165"/>
      <c r="T277" s="166"/>
      <c r="W277" s="199" t="str">
        <f t="shared" ref="W277:W340" si="13">W276</f>
        <v>1D</v>
      </c>
      <c r="X277" s="200">
        <f>_xll.qlCalendarAdvance(Calendar,X276,W277,"f",FALSE)</f>
        <v>42186</v>
      </c>
      <c r="Y277" s="204">
        <f>_xll.qlCalendarAdvance(Calendar,X277,NDays&amp;"D")</f>
        <v>42188</v>
      </c>
      <c r="Z277" s="205">
        <v>4.4857437451805903E-3</v>
      </c>
      <c r="AA277" s="207">
        <v>4.1853136522096435E-3</v>
      </c>
    </row>
    <row r="278" spans="19:27" x14ac:dyDescent="0.2">
      <c r="S278" s="165"/>
      <c r="T278" s="166"/>
      <c r="W278" s="199" t="str">
        <f t="shared" si="13"/>
        <v>1D</v>
      </c>
      <c r="X278" s="200">
        <f>_xll.qlCalendarAdvance(Calendar,X277,W278,"f",FALSE)</f>
        <v>42187</v>
      </c>
      <c r="Y278" s="204">
        <f>_xll.qlCalendarAdvance(Calendar,X278,NDays&amp;"D")</f>
        <v>42191</v>
      </c>
      <c r="Z278" s="205">
        <v>4.4857437451805903E-3</v>
      </c>
      <c r="AA278" s="207">
        <v>4.2064461820157106E-3</v>
      </c>
    </row>
    <row r="279" spans="19:27" x14ac:dyDescent="0.2">
      <c r="S279" s="165"/>
      <c r="T279" s="166"/>
      <c r="W279" s="199" t="str">
        <f t="shared" si="13"/>
        <v>1D</v>
      </c>
      <c r="X279" s="200">
        <f>_xll.qlCalendarAdvance(Calendar,X278,W279,"f",FALSE)</f>
        <v>42188</v>
      </c>
      <c r="Y279" s="204">
        <f>_xll.qlCalendarAdvance(Calendar,X279,NDays&amp;"D")</f>
        <v>42192</v>
      </c>
      <c r="Z279" s="205">
        <v>4.5072836666812301E-3</v>
      </c>
      <c r="AA279" s="207">
        <v>4.2276072348457205E-3</v>
      </c>
    </row>
    <row r="280" spans="19:27" x14ac:dyDescent="0.2">
      <c r="S280" s="165"/>
      <c r="T280" s="166"/>
      <c r="W280" s="199" t="str">
        <f t="shared" si="13"/>
        <v>1D</v>
      </c>
      <c r="X280" s="200">
        <f>_xll.qlCalendarAdvance(Calendar,X279,W280,"f",FALSE)</f>
        <v>42191</v>
      </c>
      <c r="Y280" s="204">
        <f>_xll.qlCalendarAdvance(Calendar,X280,NDays&amp;"D")</f>
        <v>42193</v>
      </c>
      <c r="Z280" s="205">
        <v>4.5506589168933043E-3</v>
      </c>
      <c r="AA280" s="207">
        <v>4.2700750648982932E-3</v>
      </c>
    </row>
    <row r="281" spans="19:27" x14ac:dyDescent="0.2">
      <c r="S281" s="165"/>
      <c r="T281" s="166"/>
      <c r="W281" s="199" t="str">
        <f t="shared" si="13"/>
        <v>1D</v>
      </c>
      <c r="X281" s="200">
        <f>_xll.qlCalendarAdvance(Calendar,X280,W281,"f",FALSE)</f>
        <v>42192</v>
      </c>
      <c r="Y281" s="204">
        <f>_xll.qlCalendarAdvance(Calendar,X281,NDays&amp;"D")</f>
        <v>42194</v>
      </c>
      <c r="Z281" s="205">
        <v>4.5613622672893706E-3</v>
      </c>
      <c r="AA281" s="207">
        <v>4.3125366772844842E-3</v>
      </c>
    </row>
    <row r="282" spans="19:27" x14ac:dyDescent="0.2">
      <c r="S282" s="165"/>
      <c r="T282" s="166"/>
      <c r="W282" s="199" t="str">
        <f t="shared" si="13"/>
        <v>1D</v>
      </c>
      <c r="X282" s="200">
        <f>_xll.qlCalendarAdvance(Calendar,X281,W282,"f",FALSE)</f>
        <v>42193</v>
      </c>
      <c r="Y282" s="204">
        <f>_xll.qlCalendarAdvance(Calendar,X282,NDays&amp;"D")</f>
        <v>42195</v>
      </c>
      <c r="Z282" s="205">
        <v>4.5720748671659785E-3</v>
      </c>
      <c r="AA282" s="207">
        <v>4.3338403456338881E-3</v>
      </c>
    </row>
    <row r="283" spans="19:27" x14ac:dyDescent="0.2">
      <c r="S283" s="165"/>
      <c r="T283" s="166"/>
      <c r="W283" s="199" t="str">
        <f t="shared" si="13"/>
        <v>1D</v>
      </c>
      <c r="X283" s="200">
        <f>_xll.qlCalendarAdvance(Calendar,X282,W283,"f",FALSE)</f>
        <v>42194</v>
      </c>
      <c r="Y283" s="204">
        <f>_xll.qlCalendarAdvance(Calendar,X283,NDays&amp;"D")</f>
        <v>42198</v>
      </c>
      <c r="Z283" s="205">
        <v>4.6371232249629458E-3</v>
      </c>
      <c r="AA283" s="207">
        <v>4.3551725370871708E-3</v>
      </c>
    </row>
    <row r="284" spans="19:27" x14ac:dyDescent="0.2">
      <c r="S284" s="165"/>
      <c r="T284" s="166"/>
      <c r="W284" s="199" t="str">
        <f t="shared" si="13"/>
        <v>1D</v>
      </c>
      <c r="X284" s="200">
        <f>_xll.qlCalendarAdvance(Calendar,X283,W284,"f",FALSE)</f>
        <v>42195</v>
      </c>
      <c r="Y284" s="204">
        <f>_xll.qlCalendarAdvance(Calendar,X284,NDays&amp;"D")</f>
        <v>42199</v>
      </c>
      <c r="Z284" s="205">
        <v>4.65886315770986E-3</v>
      </c>
      <c r="AA284" s="207">
        <v>4.3765332515643962E-3</v>
      </c>
    </row>
    <row r="285" spans="19:27" x14ac:dyDescent="0.2">
      <c r="S285" s="165"/>
      <c r="T285" s="166"/>
      <c r="W285" s="199" t="str">
        <f t="shared" si="13"/>
        <v>1D</v>
      </c>
      <c r="X285" s="200">
        <f>_xll.qlCalendarAdvance(Calendar,X284,W285,"f",FALSE)</f>
        <v>42198</v>
      </c>
      <c r="Y285" s="204">
        <f>_xll.qlCalendarAdvance(Calendar,X285,NDays&amp;"D")</f>
        <v>42200</v>
      </c>
      <c r="Z285" s="205">
        <v>4.7026423414055852E-3</v>
      </c>
      <c r="AA285" s="207">
        <v>4.419404009308181E-3</v>
      </c>
    </row>
    <row r="286" spans="19:27" x14ac:dyDescent="0.2">
      <c r="S286" s="165"/>
      <c r="T286" s="166"/>
      <c r="W286" s="199" t="str">
        <f t="shared" si="13"/>
        <v>1D</v>
      </c>
      <c r="X286" s="200">
        <f>_xll.qlCalendarAdvance(Calendar,X285,W286,"f",FALSE)</f>
        <v>42199</v>
      </c>
      <c r="Y286" s="204">
        <f>_xll.qlCalendarAdvance(Calendar,X286,NDays&amp;"D")</f>
        <v>42201</v>
      </c>
      <c r="Z286" s="205">
        <v>4.7134437509557814E-3</v>
      </c>
      <c r="AA286" s="207">
        <v>4.4622613409117662E-3</v>
      </c>
    </row>
    <row r="287" spans="19:27" x14ac:dyDescent="0.2">
      <c r="S287" s="165"/>
      <c r="T287" s="166"/>
      <c r="W287" s="199" t="str">
        <f t="shared" si="13"/>
        <v>1D</v>
      </c>
      <c r="X287" s="200">
        <f>_xll.qlCalendarAdvance(Calendar,X286,W287,"f",FALSE)</f>
        <v>42200</v>
      </c>
      <c r="Y287" s="204">
        <f>_xll.qlCalendarAdvance(Calendar,X287,NDays&amp;"D")</f>
        <v>42202</v>
      </c>
      <c r="Z287" s="205">
        <v>4.7242543986454836E-3</v>
      </c>
      <c r="AA287" s="207">
        <v>4.4837646710682577E-3</v>
      </c>
    </row>
    <row r="288" spans="19:27" x14ac:dyDescent="0.2">
      <c r="S288" s="165"/>
      <c r="T288" s="166"/>
      <c r="W288" s="199" t="str">
        <f t="shared" si="13"/>
        <v>1D</v>
      </c>
      <c r="X288" s="200">
        <f>_xll.qlCalendarAdvance(Calendar,X287,W288,"f",FALSE)</f>
        <v>42201</v>
      </c>
      <c r="Y288" s="204">
        <f>_xll.qlCalendarAdvance(Calendar,X288,NDays&amp;"D")</f>
        <v>42205</v>
      </c>
      <c r="Z288" s="205">
        <v>4.7899028069910542E-3</v>
      </c>
      <c r="AA288" s="207">
        <v>4.5052965244085641E-3</v>
      </c>
    </row>
    <row r="289" spans="19:27" x14ac:dyDescent="0.2">
      <c r="S289" s="165"/>
      <c r="T289" s="166"/>
      <c r="W289" s="199" t="str">
        <f t="shared" si="13"/>
        <v>1D</v>
      </c>
      <c r="X289" s="200">
        <f>_xll.qlCalendarAdvance(Calendar,X288,W289,"f",FALSE)</f>
        <v>42202</v>
      </c>
      <c r="Y289" s="204">
        <f>_xll.qlCalendarAdvance(Calendar,X289,NDays&amp;"D")</f>
        <v>42206</v>
      </c>
      <c r="Z289" s="205">
        <v>4.8118427588360281E-3</v>
      </c>
      <c r="AA289" s="207">
        <v>4.5268569007728132E-3</v>
      </c>
    </row>
    <row r="290" spans="19:27" x14ac:dyDescent="0.2">
      <c r="S290" s="165"/>
      <c r="T290" s="166"/>
      <c r="W290" s="199" t="str">
        <f t="shared" si="13"/>
        <v>1D</v>
      </c>
      <c r="X290" s="200">
        <f>_xll.qlCalendarAdvance(Calendar,X289,W290,"f",FALSE)</f>
        <v>42205</v>
      </c>
      <c r="Y290" s="204">
        <f>_xll.qlCalendarAdvance(Calendar,X290,NDays&amp;"D")</f>
        <v>42207</v>
      </c>
      <c r="Z290" s="205">
        <v>4.8560260578003134E-3</v>
      </c>
      <c r="AA290" s="207">
        <v>4.5701307461332163E-3</v>
      </c>
    </row>
    <row r="291" spans="19:27" x14ac:dyDescent="0.2">
      <c r="S291" s="165"/>
      <c r="T291" s="166"/>
      <c r="W291" s="199" t="str">
        <f t="shared" si="13"/>
        <v>1D</v>
      </c>
      <c r="X291" s="200">
        <f>_xll.qlCalendarAdvance(Calendar,X290,W291,"f",FALSE)</f>
        <v>42206</v>
      </c>
      <c r="Y291" s="204">
        <f>_xll.qlCalendarAdvance(Calendar,X291,NDays&amp;"D")</f>
        <v>42208</v>
      </c>
      <c r="Z291" s="205">
        <v>4.8669254475453005E-3</v>
      </c>
      <c r="AA291" s="207">
        <v>4.6133836381478943E-3</v>
      </c>
    </row>
    <row r="292" spans="19:27" x14ac:dyDescent="0.2">
      <c r="S292" s="165"/>
      <c r="T292" s="166"/>
      <c r="W292" s="199" t="str">
        <f t="shared" si="13"/>
        <v>1D</v>
      </c>
      <c r="X292" s="200">
        <f>_xll.qlCalendarAdvance(Calendar,X291,W292,"f",FALSE)</f>
        <v>42207</v>
      </c>
      <c r="Y292" s="204">
        <f>_xll.qlCalendarAdvance(Calendar,X292,NDays&amp;"D")</f>
        <v>42209</v>
      </c>
      <c r="Z292" s="205">
        <v>4.8778340638423422E-3</v>
      </c>
      <c r="AA292" s="207">
        <v>4.6350866303512817E-3</v>
      </c>
    </row>
    <row r="293" spans="19:27" x14ac:dyDescent="0.2">
      <c r="S293" s="165"/>
      <c r="T293" s="166"/>
      <c r="W293" s="199" t="str">
        <f t="shared" si="13"/>
        <v>1D</v>
      </c>
      <c r="X293" s="200">
        <f>_xll.qlCalendarAdvance(Calendar,X292,W293,"f",FALSE)</f>
        <v>42208</v>
      </c>
      <c r="Y293" s="204">
        <f>_xll.qlCalendarAdvance(Calendar,X293,NDays&amp;"D")</f>
        <v>42212</v>
      </c>
      <c r="Z293" s="205">
        <v>4.9440825464491618E-3</v>
      </c>
      <c r="AA293" s="207">
        <v>4.6568181457384838E-3</v>
      </c>
    </row>
    <row r="294" spans="19:27" x14ac:dyDescent="0.2">
      <c r="S294" s="165"/>
      <c r="T294" s="166"/>
      <c r="W294" s="199" t="str">
        <f t="shared" si="13"/>
        <v>1D</v>
      </c>
      <c r="X294" s="200">
        <f>_xll.qlCalendarAdvance(Calendar,X293,W294,"f",FALSE)</f>
        <v>42209</v>
      </c>
      <c r="Y294" s="204">
        <f>_xll.qlCalendarAdvance(Calendar,X294,NDays&amp;"D")</f>
        <v>42213</v>
      </c>
      <c r="Z294" s="205">
        <v>4.9662225253187565E-3</v>
      </c>
      <c r="AA294" s="207">
        <v>4.6785781843095009E-3</v>
      </c>
    </row>
    <row r="295" spans="19:27" x14ac:dyDescent="0.2">
      <c r="S295" s="165"/>
      <c r="T295" s="166"/>
      <c r="W295" s="199" t="str">
        <f t="shared" si="13"/>
        <v>1D</v>
      </c>
      <c r="X295" s="200">
        <f>_xll.qlCalendarAdvance(Calendar,X294,W295,"f",FALSE)</f>
        <v>42212</v>
      </c>
      <c r="Y295" s="204">
        <f>_xll.qlCalendarAdvance(Calendar,X295,NDays&amp;"D")</f>
        <v>42214</v>
      </c>
      <c r="Z295" s="205">
        <v>4.9771963058864443E-3</v>
      </c>
      <c r="AA295" s="207">
        <v>4.7222552805958884E-3</v>
      </c>
    </row>
    <row r="296" spans="19:27" x14ac:dyDescent="0.2">
      <c r="S296" s="165"/>
      <c r="T296" s="166"/>
      <c r="W296" s="199" t="str">
        <f t="shared" si="13"/>
        <v>1D</v>
      </c>
      <c r="X296" s="200">
        <f>_xll.qlCalendarAdvance(Calendar,X295,W296,"f",FALSE)</f>
        <v>42213</v>
      </c>
      <c r="Y296" s="204">
        <f>_xll.qlCalendarAdvance(Calendar,X296,NDays&amp;"D")</f>
        <v>42215</v>
      </c>
      <c r="Z296" s="205">
        <v>4.9881793035283697E-3</v>
      </c>
      <c r="AA296" s="207">
        <v>4.7659035705116537E-3</v>
      </c>
    </row>
    <row r="297" spans="19:27" x14ac:dyDescent="0.2">
      <c r="S297" s="165"/>
      <c r="T297" s="166"/>
      <c r="W297" s="199" t="str">
        <f t="shared" si="13"/>
        <v>1D</v>
      </c>
      <c r="X297" s="200">
        <f>_xll.qlCalendarAdvance(Calendar,X296,W297,"f",FALSE)</f>
        <v>42214</v>
      </c>
      <c r="Y297" s="204">
        <f>_xll.qlCalendarAdvance(Calendar,X297,NDays&amp;"D")</f>
        <v>42216</v>
      </c>
      <c r="Z297" s="205">
        <v>4.9991715168706818E-3</v>
      </c>
      <c r="AA297" s="207">
        <v>4.7878062250816811E-3</v>
      </c>
    </row>
    <row r="298" spans="19:27" x14ac:dyDescent="0.2">
      <c r="S298" s="165"/>
      <c r="T298" s="166"/>
      <c r="W298" s="199" t="str">
        <f t="shared" si="13"/>
        <v>1D</v>
      </c>
      <c r="X298" s="200">
        <f>_xll.qlCalendarAdvance(Calendar,X297,W298,"f",FALSE)</f>
        <v>42215</v>
      </c>
      <c r="Y298" s="204">
        <f>_xll.qlCalendarAdvance(Calendar,X298,NDays&amp;"D")</f>
        <v>42219</v>
      </c>
      <c r="Z298" s="205">
        <v>5.099662499026914E-3</v>
      </c>
      <c r="AA298" s="207">
        <v>4.8097374029154594E-3</v>
      </c>
    </row>
    <row r="299" spans="19:27" x14ac:dyDescent="0.2">
      <c r="S299" s="165"/>
      <c r="T299" s="166"/>
      <c r="W299" s="199" t="str">
        <f t="shared" si="13"/>
        <v>1D</v>
      </c>
      <c r="X299" s="200">
        <f>_xll.qlCalendarAdvance(Calendar,X298,W299,"f",FALSE)</f>
        <v>42216</v>
      </c>
      <c r="Y299" s="204">
        <f>_xll.qlCalendarAdvance(Calendar,X299,NDays&amp;"D")</f>
        <v>42220</v>
      </c>
      <c r="Z299" s="205">
        <v>5.1220025129198928E-3</v>
      </c>
      <c r="AA299" s="207">
        <v>4.8316971038531165E-3</v>
      </c>
    </row>
    <row r="300" spans="19:27" x14ac:dyDescent="0.2">
      <c r="S300" s="165"/>
      <c r="T300" s="166"/>
      <c r="W300" s="199" t="str">
        <f t="shared" si="13"/>
        <v>1D</v>
      </c>
      <c r="X300" s="200">
        <f>_xll.qlCalendarAdvance(Calendar,X299,W300,"f",FALSE)</f>
        <v>42219</v>
      </c>
      <c r="Y300" s="204">
        <f>_xll.qlCalendarAdvance(Calendar,X300,NDays&amp;"D")</f>
        <v>42221</v>
      </c>
      <c r="Z300" s="205">
        <v>5.1783211226631631E-3</v>
      </c>
      <c r="AA300" s="207">
        <v>4.8757776180252677E-3</v>
      </c>
    </row>
    <row r="301" spans="19:27" x14ac:dyDescent="0.2">
      <c r="S301" s="165"/>
      <c r="T301" s="166"/>
      <c r="W301" s="199" t="str">
        <f t="shared" si="13"/>
        <v>1D</v>
      </c>
      <c r="X301" s="200">
        <f>_xll.qlCalendarAdvance(Calendar,X300,W301,"f",FALSE)</f>
        <v>42220</v>
      </c>
      <c r="Y301" s="204">
        <f>_xll.qlCalendarAdvance(Calendar,X301,NDays&amp;"D")</f>
        <v>42222</v>
      </c>
      <c r="Z301" s="205">
        <v>5.1894209936455904E-3</v>
      </c>
      <c r="AA301" s="207">
        <v>4.9198211400813818E-3</v>
      </c>
    </row>
    <row r="302" spans="19:27" x14ac:dyDescent="0.2">
      <c r="S302" s="165"/>
      <c r="T302" s="166"/>
      <c r="W302" s="199" t="str">
        <f t="shared" si="13"/>
        <v>1D</v>
      </c>
      <c r="X302" s="200">
        <f>_xll.qlCalendarAdvance(Calendar,X301,W302,"f",FALSE)</f>
        <v>42221</v>
      </c>
      <c r="Y302" s="204">
        <f>_xll.qlCalendarAdvance(Calendar,X302,NDays&amp;"D")</f>
        <v>42223</v>
      </c>
      <c r="Z302" s="205">
        <v>5.200530066906961E-3</v>
      </c>
      <c r="AA302" s="207">
        <v>4.9419234572578574E-3</v>
      </c>
    </row>
    <row r="303" spans="19:27" x14ac:dyDescent="0.2">
      <c r="S303" s="165"/>
      <c r="T303" s="166"/>
      <c r="W303" s="199" t="str">
        <f t="shared" si="13"/>
        <v>1D</v>
      </c>
      <c r="X303" s="200">
        <f>_xll.qlCalendarAdvance(Calendar,X302,W303,"f",FALSE)</f>
        <v>42222</v>
      </c>
      <c r="Y303" s="204">
        <f>_xll.qlCalendarAdvance(Calendar,X303,NDays&amp;"D")</f>
        <v>42226</v>
      </c>
      <c r="Z303" s="205">
        <v>5.2566427209245169E-3</v>
      </c>
      <c r="AA303" s="207">
        <v>4.9640542976181479E-3</v>
      </c>
    </row>
    <row r="304" spans="19:27" x14ac:dyDescent="0.2">
      <c r="S304" s="165"/>
      <c r="T304" s="166"/>
      <c r="W304" s="199" t="str">
        <f t="shared" si="13"/>
        <v>1D</v>
      </c>
      <c r="X304" s="200">
        <f>_xll.qlCalendarAdvance(Calendar,X303,W304,"f",FALSE)</f>
        <v>42223</v>
      </c>
      <c r="Y304" s="204">
        <f>_xll.qlCalendarAdvance(Calendar,X304,NDays&amp;"D")</f>
        <v>42227</v>
      </c>
      <c r="Z304" s="205">
        <v>5.2791827779118429E-3</v>
      </c>
      <c r="AA304" s="207">
        <v>4.9862136612421892E-3</v>
      </c>
    </row>
    <row r="305" spans="19:27" x14ac:dyDescent="0.2">
      <c r="S305" s="165"/>
      <c r="T305" s="166"/>
      <c r="W305" s="199" t="str">
        <f t="shared" si="13"/>
        <v>1D</v>
      </c>
      <c r="X305" s="200">
        <f>_xll.qlCalendarAdvance(Calendar,X304,W305,"f",FALSE)</f>
        <v>42226</v>
      </c>
      <c r="Y305" s="204">
        <f>_xll.qlCalendarAdvance(Calendar,X305,NDays&amp;"D")</f>
        <v>42228</v>
      </c>
      <c r="Z305" s="205">
        <v>5.3245795507846213E-3</v>
      </c>
      <c r="AA305" s="207">
        <v>5.03069776377707E-3</v>
      </c>
    </row>
    <row r="306" spans="19:27" x14ac:dyDescent="0.2">
      <c r="S306" s="165"/>
      <c r="T306" s="166"/>
      <c r="W306" s="199" t="str">
        <f t="shared" si="13"/>
        <v>1D</v>
      </c>
      <c r="X306" s="200">
        <f>_xll.qlCalendarAdvance(Calendar,X305,W306,"f",FALSE)</f>
        <v>42227</v>
      </c>
      <c r="Y306" s="204">
        <f>_xll.qlCalendarAdvance(Calendar,X306,NDays&amp;"D")</f>
        <v>42229</v>
      </c>
      <c r="Z306" s="205">
        <v>5.3357723897701215E-3</v>
      </c>
      <c r="AA306" s="207">
        <v>5.0751363484557999E-3</v>
      </c>
    </row>
    <row r="307" spans="19:27" x14ac:dyDescent="0.2">
      <c r="S307" s="165"/>
      <c r="T307" s="166"/>
      <c r="W307" s="199" t="str">
        <f t="shared" si="13"/>
        <v>1D</v>
      </c>
      <c r="X307" s="200">
        <f>_xll.qlCalendarAdvance(Calendar,X306,W307,"f",FALSE)</f>
        <v>42228</v>
      </c>
      <c r="Y307" s="204">
        <f>_xll.qlCalendarAdvance(Calendar,X307,NDays&amp;"D")</f>
        <v>42230</v>
      </c>
      <c r="Z307" s="205">
        <v>5.346974419017712E-3</v>
      </c>
      <c r="AA307" s="207">
        <v>5.0974383283985958E-3</v>
      </c>
    </row>
    <row r="308" spans="19:27" x14ac:dyDescent="0.2">
      <c r="S308" s="165"/>
      <c r="T308" s="166"/>
      <c r="W308" s="199" t="str">
        <f t="shared" si="13"/>
        <v>1D</v>
      </c>
      <c r="X308" s="200">
        <f>_xll.qlCalendarAdvance(Calendar,X307,W308,"f",FALSE)</f>
        <v>42229</v>
      </c>
      <c r="Y308" s="204">
        <f>_xll.qlCalendarAdvance(Calendar,X308,NDays&amp;"D")</f>
        <v>42233</v>
      </c>
      <c r="Z308" s="205">
        <v>5.4150232688501563E-3</v>
      </c>
      <c r="AA308" s="207">
        <v>5.1197688316850787E-3</v>
      </c>
    </row>
    <row r="309" spans="19:27" x14ac:dyDescent="0.2">
      <c r="S309" s="165"/>
      <c r="T309" s="166"/>
      <c r="W309" s="199" t="str">
        <f t="shared" si="13"/>
        <v>1D</v>
      </c>
      <c r="X309" s="200">
        <f>_xll.qlCalendarAdvance(Calendar,X308,W309,"f",FALSE)</f>
        <v>42230</v>
      </c>
      <c r="Y309" s="204">
        <f>_xll.qlCalendarAdvance(Calendar,X309,NDays&amp;"D")</f>
        <v>42234</v>
      </c>
      <c r="Z309" s="205">
        <v>5.4377633770672576E-3</v>
      </c>
      <c r="AA309" s="207">
        <v>5.1421278582353125E-3</v>
      </c>
    </row>
    <row r="310" spans="19:27" x14ac:dyDescent="0.2">
      <c r="S310" s="165"/>
      <c r="T310" s="166"/>
      <c r="W310" s="199" t="str">
        <f t="shared" si="13"/>
        <v>1D</v>
      </c>
      <c r="X310" s="200">
        <f>_xll.qlCalendarAdvance(Calendar,X309,W310,"f",FALSE)</f>
        <v>42233</v>
      </c>
      <c r="Y310" s="204">
        <f>_xll.qlCalendarAdvance(Calendar,X310,NDays&amp;"D")</f>
        <v>42235</v>
      </c>
      <c r="Z310" s="205">
        <v>5.4835650299081811E-3</v>
      </c>
      <c r="AA310" s="207">
        <v>5.187015723260302E-3</v>
      </c>
    </row>
    <row r="311" spans="19:27" x14ac:dyDescent="0.2">
      <c r="S311" s="165"/>
      <c r="T311" s="166"/>
      <c r="W311" s="199" t="str">
        <f t="shared" si="13"/>
        <v>1D</v>
      </c>
      <c r="X311" s="200">
        <f>_xll.qlCalendarAdvance(Calendar,X310,W311,"f",FALSE)</f>
        <v>42234</v>
      </c>
      <c r="Y311" s="204">
        <f>_xll.qlCalendarAdvance(Calendar,X311,NDays&amp;"D")</f>
        <v>42236</v>
      </c>
      <c r="Z311" s="205">
        <v>5.4948555155751033E-3</v>
      </c>
      <c r="AA311" s="207">
        <v>5.2318491974734371E-3</v>
      </c>
    </row>
    <row r="312" spans="19:27" x14ac:dyDescent="0.2">
      <c r="S312" s="165"/>
      <c r="T312" s="166"/>
      <c r="W312" s="199" t="str">
        <f t="shared" si="13"/>
        <v>1D</v>
      </c>
      <c r="X312" s="200">
        <f>_xll.qlCalendarAdvance(Calendar,X311,W312,"f",FALSE)</f>
        <v>42235</v>
      </c>
      <c r="Y312" s="204">
        <f>_xll.qlCalendarAdvance(Calendar,X312,NDays&amp;"D")</f>
        <v>42237</v>
      </c>
      <c r="Z312" s="205">
        <v>5.5061551788942471E-3</v>
      </c>
      <c r="AA312" s="207">
        <v>5.2543508405822337E-3</v>
      </c>
    </row>
    <row r="313" spans="19:27" x14ac:dyDescent="0.2">
      <c r="S313" s="165"/>
      <c r="T313" s="166"/>
      <c r="W313" s="199" t="str">
        <f t="shared" si="13"/>
        <v>1D</v>
      </c>
      <c r="X313" s="200">
        <f>_xll.qlCalendarAdvance(Calendar,X312,W313,"f",FALSE)</f>
        <v>42236</v>
      </c>
      <c r="Y313" s="204">
        <f>_xll.qlCalendarAdvance(Calendar,X313,NDays&amp;"D")</f>
        <v>42240</v>
      </c>
      <c r="Z313" s="205">
        <v>5.5748042000071073E-3</v>
      </c>
      <c r="AA313" s="207">
        <v>5.2768810070347172E-3</v>
      </c>
    </row>
    <row r="314" spans="19:27" x14ac:dyDescent="0.2">
      <c r="S314" s="165"/>
      <c r="T314" s="166"/>
      <c r="W314" s="199" t="str">
        <f t="shared" si="13"/>
        <v>1D</v>
      </c>
      <c r="X314" s="200">
        <f>_xll.qlCalendarAdvance(Calendar,X313,W314,"f",FALSE)</f>
        <v>42237</v>
      </c>
      <c r="Y314" s="204">
        <f>_xll.qlCalendarAdvance(Calendar,X314,NDays&amp;"D")</f>
        <v>42241</v>
      </c>
      <c r="Z314" s="205">
        <v>5.5977443676719267E-3</v>
      </c>
      <c r="AA314" s="207">
        <v>5.2994396967509516E-3</v>
      </c>
    </row>
    <row r="315" spans="19:27" x14ac:dyDescent="0.2">
      <c r="S315" s="165"/>
      <c r="T315" s="166"/>
      <c r="W315" s="199" t="str">
        <f t="shared" si="13"/>
        <v>1D</v>
      </c>
      <c r="X315" s="200">
        <f>_xll.qlCalendarAdvance(Calendar,X314,W315,"f",FALSE)</f>
        <v>42240</v>
      </c>
      <c r="Y315" s="204">
        <f>_xll.qlCalendarAdvance(Calendar,X315,NDays&amp;"D")</f>
        <v>42242</v>
      </c>
      <c r="Z315" s="205">
        <v>5.6439511012024669E-3</v>
      </c>
      <c r="AA315" s="207">
        <v>5.3560985651679438E-3</v>
      </c>
    </row>
    <row r="316" spans="19:27" x14ac:dyDescent="0.2">
      <c r="S316" s="165"/>
      <c r="T316" s="166"/>
      <c r="W316" s="199" t="str">
        <f t="shared" si="13"/>
        <v>1D</v>
      </c>
      <c r="X316" s="200">
        <f>_xll.qlCalendarAdvance(Calendar,X315,W316,"f",FALSE)</f>
        <v>42241</v>
      </c>
      <c r="Y316" s="204">
        <f>_xll.qlCalendarAdvance(Calendar,X316,NDays&amp;"D")</f>
        <v>42243</v>
      </c>
      <c r="Z316" s="205">
        <v>5.6553391456701241E-3</v>
      </c>
      <c r="AA316" s="207">
        <v>5.4126609954874283E-3</v>
      </c>
    </row>
    <row r="317" spans="19:27" x14ac:dyDescent="0.2">
      <c r="S317" s="165"/>
      <c r="T317" s="166"/>
      <c r="W317" s="199" t="str">
        <f t="shared" si="13"/>
        <v>1D</v>
      </c>
      <c r="X317" s="200">
        <f>_xll.qlCalendarAdvance(Calendar,X316,W317,"f",FALSE)</f>
        <v>42242</v>
      </c>
      <c r="Y317" s="204">
        <f>_xll.qlCalendarAdvance(Calendar,X317,NDays&amp;"D")</f>
        <v>42244</v>
      </c>
      <c r="Z317" s="205">
        <v>5.6900329532433803E-3</v>
      </c>
      <c r="AA317" s="207">
        <v>5.4353908252657845E-3</v>
      </c>
    </row>
    <row r="318" spans="19:27" x14ac:dyDescent="0.2">
      <c r="S318" s="165"/>
      <c r="T318" s="166"/>
      <c r="W318" s="199" t="str">
        <f t="shared" si="13"/>
        <v>1D</v>
      </c>
      <c r="X318" s="200">
        <f>_xll.qlCalendarAdvance(Calendar,X317,W318,"f",FALSE)</f>
        <v>42243</v>
      </c>
      <c r="Y318" s="204">
        <f>_xll.qlCalendarAdvance(Calendar,X318,NDays&amp;"D")</f>
        <v>42248</v>
      </c>
      <c r="Z318" s="205">
        <v>5.7474337170049239E-3</v>
      </c>
      <c r="AA318" s="207">
        <v>5.4581491784677638E-3</v>
      </c>
    </row>
    <row r="319" spans="19:27" x14ac:dyDescent="0.2">
      <c r="S319" s="165"/>
      <c r="T319" s="166"/>
      <c r="W319" s="199" t="str">
        <f t="shared" si="13"/>
        <v>1D</v>
      </c>
      <c r="X319" s="200">
        <f>_xll.qlCalendarAdvance(Calendar,X318,W319,"f",FALSE)</f>
        <v>42244</v>
      </c>
      <c r="Y319" s="204">
        <f>_xll.qlCalendarAdvance(Calendar,X319,NDays&amp;"D")</f>
        <v>42249</v>
      </c>
      <c r="Z319" s="205">
        <v>5.7705878728162574E-3</v>
      </c>
      <c r="AA319" s="207">
        <v>5.5038451054034709E-3</v>
      </c>
    </row>
    <row r="320" spans="19:27" x14ac:dyDescent="0.2">
      <c r="S320" s="165"/>
      <c r="T320" s="166"/>
      <c r="W320" s="199" t="str">
        <f t="shared" si="13"/>
        <v>1D</v>
      </c>
      <c r="X320" s="200">
        <f>_xll.qlCalendarAdvance(Calendar,X319,W320,"f",FALSE)</f>
        <v>42248</v>
      </c>
      <c r="Y320" s="204">
        <f>_xll.qlCalendarAdvance(Calendar,X320,NDays&amp;"D")</f>
        <v>42250</v>
      </c>
      <c r="Z320" s="205">
        <v>5.817223339902311E-3</v>
      </c>
      <c r="AA320" s="207">
        <v>5.5494678248724227E-3</v>
      </c>
    </row>
    <row r="321" spans="19:27" x14ac:dyDescent="0.2">
      <c r="S321" s="165"/>
      <c r="T321" s="166"/>
      <c r="W321" s="199" t="str">
        <f t="shared" si="13"/>
        <v>1D</v>
      </c>
      <c r="X321" s="200">
        <f>_xll.qlCalendarAdvance(Calendar,X320,W321,"f",FALSE)</f>
        <v>42249</v>
      </c>
      <c r="Y321" s="204">
        <f>_xll.qlCalendarAdvance(Calendar,X321,NDays&amp;"D")</f>
        <v>42251</v>
      </c>
      <c r="Z321" s="205">
        <v>5.8287180051113325E-3</v>
      </c>
      <c r="AA321" s="207">
        <v>5.572368795032645E-3</v>
      </c>
    </row>
    <row r="322" spans="19:27" x14ac:dyDescent="0.2">
      <c r="S322" s="165"/>
      <c r="T322" s="166"/>
      <c r="W322" s="199" t="str">
        <f t="shared" si="13"/>
        <v>1D</v>
      </c>
      <c r="X322" s="200">
        <f>_xll.qlCalendarAdvance(Calendar,X321,W322,"f",FALSE)</f>
        <v>42250</v>
      </c>
      <c r="Y322" s="204">
        <f>_xll.qlCalendarAdvance(Calendar,X322,NDays&amp;"D")</f>
        <v>42254</v>
      </c>
      <c r="Z322" s="205">
        <v>5.9101129918399664E-3</v>
      </c>
      <c r="AA322" s="207">
        <v>5.5952982884566183E-3</v>
      </c>
    </row>
    <row r="323" spans="19:27" x14ac:dyDescent="0.2">
      <c r="S323" s="165"/>
      <c r="T323" s="166"/>
      <c r="W323" s="199" t="str">
        <f t="shared" si="13"/>
        <v>1D</v>
      </c>
      <c r="X323" s="200">
        <f>_xll.qlCalendarAdvance(Calendar,X322,W323,"f",FALSE)</f>
        <v>42251</v>
      </c>
      <c r="Y323" s="204">
        <f>_xll.qlCalendarAdvance(Calendar,X323,NDays&amp;"D")</f>
        <v>42255</v>
      </c>
      <c r="Z323" s="205">
        <v>5.9101129918399664E-3</v>
      </c>
      <c r="AA323" s="207">
        <v>5.6182563053841506E-3</v>
      </c>
    </row>
    <row r="324" spans="19:27" x14ac:dyDescent="0.2">
      <c r="S324" s="165"/>
      <c r="T324" s="166"/>
      <c r="W324" s="199" t="str">
        <f t="shared" si="13"/>
        <v>1D</v>
      </c>
      <c r="X324" s="200">
        <f>_xll.qlCalendarAdvance(Calendar,X323,W324,"f",FALSE)</f>
        <v>42254</v>
      </c>
      <c r="Y324" s="204">
        <f>_xll.qlCalendarAdvance(Calendar,X324,NDays&amp;"D")</f>
        <v>42256</v>
      </c>
      <c r="Z324" s="205">
        <v>5.9334672105855191E-3</v>
      </c>
      <c r="AA324" s="207">
        <v>5.6643565391212292E-3</v>
      </c>
    </row>
    <row r="325" spans="19:27" x14ac:dyDescent="0.2">
      <c r="S325" s="165"/>
      <c r="T325" s="166"/>
      <c r="W325" s="199" t="str">
        <f t="shared" si="13"/>
        <v>1D</v>
      </c>
      <c r="X325" s="200">
        <f>_xll.qlCalendarAdvance(Calendar,X324,W325,"f",FALSE)</f>
        <v>42255</v>
      </c>
      <c r="Y325" s="204">
        <f>_xll.qlCalendarAdvance(Calendar,X325,NDays&amp;"D")</f>
        <v>42257</v>
      </c>
      <c r="Z325" s="205">
        <v>5.9923521069810649E-3</v>
      </c>
      <c r="AA325" s="207">
        <v>5.7103736070107658E-3</v>
      </c>
    </row>
    <row r="326" spans="19:27" x14ac:dyDescent="0.2">
      <c r="S326" s="165"/>
      <c r="T326" s="166"/>
      <c r="W326" s="199" t="str">
        <f t="shared" si="13"/>
        <v>1D</v>
      </c>
      <c r="X326" s="200">
        <f>_xll.qlCalendarAdvance(Calendar,X325,W326,"f",FALSE)</f>
        <v>42256</v>
      </c>
      <c r="Y326" s="204">
        <f>_xll.qlCalendarAdvance(Calendar,X326,NDays&amp;"D")</f>
        <v>42258</v>
      </c>
      <c r="Z326" s="205">
        <v>6.0039489015475955E-3</v>
      </c>
      <c r="AA326" s="207">
        <v>5.7334742408965411E-3</v>
      </c>
    </row>
    <row r="327" spans="19:27" x14ac:dyDescent="0.2">
      <c r="S327" s="165"/>
      <c r="T327" s="166"/>
      <c r="W327" s="199" t="str">
        <f t="shared" si="13"/>
        <v>1D</v>
      </c>
      <c r="X327" s="200">
        <f>_xll.qlCalendarAdvance(Calendar,X326,W327,"f",FALSE)</f>
        <v>42257</v>
      </c>
      <c r="Y327" s="204">
        <f>_xll.qlCalendarAdvance(Calendar,X327,NDays&amp;"D")</f>
        <v>42261</v>
      </c>
      <c r="Z327" s="205">
        <v>6.0506670239277582E-3</v>
      </c>
      <c r="AA327" s="207">
        <v>5.7566033983658116E-3</v>
      </c>
    </row>
    <row r="328" spans="19:27" x14ac:dyDescent="0.2">
      <c r="S328" s="165"/>
      <c r="T328" s="166"/>
      <c r="W328" s="199" t="str">
        <f t="shared" si="13"/>
        <v>1D</v>
      </c>
      <c r="X328" s="200">
        <f>_xll.qlCalendarAdvance(Calendar,X327,W328,"f",FALSE)</f>
        <v>42258</v>
      </c>
      <c r="Y328" s="204">
        <f>_xll.qlCalendarAdvance(Calendar,X328,NDays&amp;"D")</f>
        <v>42262</v>
      </c>
      <c r="Z328" s="205">
        <v>6.0741927316856348E-3</v>
      </c>
      <c r="AA328" s="207">
        <v>5.779761079178769E-3</v>
      </c>
    </row>
    <row r="329" spans="19:27" x14ac:dyDescent="0.2">
      <c r="S329" s="165"/>
      <c r="T329" s="166"/>
      <c r="W329" s="199" t="str">
        <f t="shared" si="13"/>
        <v>1D</v>
      </c>
      <c r="X329" s="200">
        <f>_xll.qlCalendarAdvance(Calendar,X328,W329,"f",FALSE)</f>
        <v>42261</v>
      </c>
      <c r="Y329" s="204">
        <f>_xll.qlCalendarAdvance(Calendar,X329,NDays&amp;"D")</f>
        <v>42263</v>
      </c>
      <c r="Z329" s="205">
        <v>6.0977470215348717E-3</v>
      </c>
      <c r="AA329" s="207">
        <v>5.8262658087127051E-3</v>
      </c>
    </row>
    <row r="330" spans="19:27" x14ac:dyDescent="0.2">
      <c r="S330" s="165"/>
      <c r="T330" s="166"/>
      <c r="W330" s="199" t="str">
        <f t="shared" si="13"/>
        <v>1D</v>
      </c>
      <c r="X330" s="200">
        <f>_xll.qlCalendarAdvance(Calendar,X329,W330,"f",FALSE)</f>
        <v>42262</v>
      </c>
      <c r="Y330" s="204">
        <f>_xll.qlCalendarAdvance(Calendar,X330,NDays&amp;"D")</f>
        <v>42264</v>
      </c>
      <c r="Z330" s="205">
        <v>6.1451936627546222E-3</v>
      </c>
      <c r="AA330" s="207">
        <v>5.8726770370665093E-3</v>
      </c>
    </row>
    <row r="331" spans="19:27" x14ac:dyDescent="0.2">
      <c r="S331" s="165"/>
      <c r="T331" s="166"/>
      <c r="W331" s="199" t="str">
        <f t="shared" si="13"/>
        <v>1D</v>
      </c>
      <c r="X331" s="200">
        <f>_xll.qlCalendarAdvance(Calendar,X330,W331,"f",FALSE)</f>
        <v>42263</v>
      </c>
      <c r="Y331" s="204">
        <f>_xll.qlCalendarAdvance(Calendar,X331,NDays&amp;"D")</f>
        <v>42265</v>
      </c>
      <c r="Z331" s="205">
        <v>6.1568829625209048E-3</v>
      </c>
      <c r="AA331" s="207">
        <v>5.8959773352373901E-3</v>
      </c>
    </row>
    <row r="332" spans="19:27" x14ac:dyDescent="0.2">
      <c r="S332" s="165"/>
      <c r="T332" s="166"/>
      <c r="W332" s="199" t="str">
        <f t="shared" si="13"/>
        <v>1D</v>
      </c>
      <c r="X332" s="200">
        <f>_xll.qlCalendarAdvance(Calendar,X331,W332,"f",FALSE)</f>
        <v>42264</v>
      </c>
      <c r="Y332" s="204">
        <f>_xll.qlCalendarAdvance(Calendar,X332,NDays&amp;"D")</f>
        <v>42268</v>
      </c>
      <c r="Z332" s="205">
        <v>6.2159472079841294E-3</v>
      </c>
      <c r="AA332" s="207">
        <v>5.9193061568318939E-3</v>
      </c>
    </row>
    <row r="333" spans="19:27" x14ac:dyDescent="0.2">
      <c r="S333" s="165"/>
      <c r="T333" s="166"/>
      <c r="W333" s="199" t="str">
        <f t="shared" si="13"/>
        <v>1D</v>
      </c>
      <c r="X333" s="200">
        <f>_xll.qlCalendarAdvance(Calendar,X332,W333,"f",FALSE)</f>
        <v>42265</v>
      </c>
      <c r="Y333" s="204">
        <f>_xll.qlCalendarAdvance(Calendar,X333,NDays&amp;"D")</f>
        <v>42269</v>
      </c>
      <c r="Z333" s="205">
        <v>6.239672993898715E-3</v>
      </c>
      <c r="AA333" s="207">
        <v>5.9426635019299567E-3</v>
      </c>
    </row>
    <row r="334" spans="19:27" x14ac:dyDescent="0.2">
      <c r="S334" s="165"/>
      <c r="T334" s="166"/>
      <c r="W334" s="199" t="str">
        <f t="shared" si="13"/>
        <v>1D</v>
      </c>
      <c r="X334" s="200">
        <f>_xll.qlCalendarAdvance(Calendar,X333,W334,"f",FALSE)</f>
        <v>42268</v>
      </c>
      <c r="Y334" s="204">
        <f>_xll.qlCalendarAdvance(Calendar,X334,NDays&amp;"D")</f>
        <v>42270</v>
      </c>
      <c r="Z334" s="205">
        <v>6.2634273630823856E-3</v>
      </c>
      <c r="AA334" s="207">
        <v>5.9895729198533587E-3</v>
      </c>
    </row>
    <row r="335" spans="19:27" x14ac:dyDescent="0.2">
      <c r="S335" s="165"/>
      <c r="T335" s="166"/>
      <c r="W335" s="199" t="str">
        <f t="shared" si="13"/>
        <v>1D</v>
      </c>
      <c r="X335" s="200">
        <f>_xll.qlCalendarAdvance(Calendar,X334,W335,"f",FALSE)</f>
        <v>42269</v>
      </c>
      <c r="Y335" s="204">
        <f>_xll.qlCalendarAdvance(Calendar,X335,NDays&amp;"D")</f>
        <v>42271</v>
      </c>
      <c r="Z335" s="205">
        <v>6.3112799136744169E-3</v>
      </c>
      <c r="AA335" s="207">
        <v>6.0363781171979269E-3</v>
      </c>
    </row>
    <row r="336" spans="19:27" x14ac:dyDescent="0.2">
      <c r="S336" s="165"/>
      <c r="T336" s="166"/>
      <c r="W336" s="199" t="str">
        <f t="shared" si="13"/>
        <v>1D</v>
      </c>
      <c r="X336" s="200">
        <f>_xll.qlCalendarAdvance(Calendar,X335,W336,"f",FALSE)</f>
        <v>42270</v>
      </c>
      <c r="Y336" s="204">
        <f>_xll.qlCalendarAdvance(Calendar,X336,NDays&amp;"D")</f>
        <v>42272</v>
      </c>
      <c r="Z336" s="205">
        <v>6.3230663882871754E-3</v>
      </c>
      <c r="AA336" s="207">
        <v>6.0598780797338492E-3</v>
      </c>
    </row>
    <row r="337" spans="19:27" x14ac:dyDescent="0.2">
      <c r="S337" s="165"/>
      <c r="T337" s="166"/>
      <c r="W337" s="199" t="str">
        <f t="shared" si="13"/>
        <v>1D</v>
      </c>
      <c r="X337" s="200">
        <f>_xll.qlCalendarAdvance(Calendar,X336,W337,"f",FALSE)</f>
        <v>42271</v>
      </c>
      <c r="Y337" s="204">
        <f>_xll.qlCalendarAdvance(Calendar,X337,NDays&amp;"D")</f>
        <v>42275</v>
      </c>
      <c r="Z337" s="205">
        <v>6.3826279639656036E-3</v>
      </c>
      <c r="AA337" s="207">
        <v>6.0834065657733305E-3</v>
      </c>
    </row>
    <row r="338" spans="19:27" x14ac:dyDescent="0.2">
      <c r="S338" s="165"/>
      <c r="T338" s="166"/>
      <c r="W338" s="199" t="str">
        <f t="shared" si="13"/>
        <v>1D</v>
      </c>
      <c r="X338" s="200">
        <f>_xll.qlCalendarAdvance(Calendar,X337,W338,"f",FALSE)</f>
        <v>42272</v>
      </c>
      <c r="Y338" s="204">
        <f>_xll.qlCalendarAdvance(Calendar,X338,NDays&amp;"D")</f>
        <v>42276</v>
      </c>
      <c r="Z338" s="205">
        <v>6.4065538363289321E-3</v>
      </c>
      <c r="AA338" s="207">
        <v>6.106963575476243E-3</v>
      </c>
    </row>
    <row r="339" spans="19:27" x14ac:dyDescent="0.2">
      <c r="S339" s="165"/>
      <c r="T339" s="166"/>
      <c r="W339" s="199" t="str">
        <f t="shared" si="13"/>
        <v>1D</v>
      </c>
      <c r="X339" s="200">
        <f>_xll.qlCalendarAdvance(Calendar,X338,W339,"f",FALSE)</f>
        <v>42275</v>
      </c>
      <c r="Y339" s="204">
        <f>_xll.qlCalendarAdvance(Calendar,X339,NDays&amp;"D")</f>
        <v>42277</v>
      </c>
      <c r="Z339" s="205">
        <v>6.4305082931497282E-3</v>
      </c>
      <c r="AA339" s="207">
        <v>6.1542778782452956E-3</v>
      </c>
    </row>
    <row r="340" spans="19:27" x14ac:dyDescent="0.2">
      <c r="S340" s="165"/>
      <c r="T340" s="166"/>
      <c r="W340" s="199" t="str">
        <f t="shared" si="13"/>
        <v>1D</v>
      </c>
      <c r="X340" s="200">
        <f>_xll.qlCalendarAdvance(Calendar,X339,W340,"f",FALSE)</f>
        <v>42276</v>
      </c>
      <c r="Y340" s="204">
        <f>_xll.qlCalendarAdvance(Calendar,X340,NDays&amp;"D")</f>
        <v>42278</v>
      </c>
      <c r="Z340" s="205">
        <v>6.4787669733232245E-3</v>
      </c>
      <c r="AA340" s="207">
        <v>6.2014768490836758E-3</v>
      </c>
    </row>
    <row r="341" spans="19:27" x14ac:dyDescent="0.2">
      <c r="S341" s="165"/>
      <c r="T341" s="166"/>
      <c r="W341" s="199" t="str">
        <f t="shared" ref="W341:W404" si="14">W340</f>
        <v>1D</v>
      </c>
      <c r="X341" s="200">
        <f>_xll.qlCalendarAdvance(Calendar,X340,W341,"f",FALSE)</f>
        <v>42277</v>
      </c>
      <c r="Y341" s="204">
        <f>_xll.qlCalendarAdvance(Calendar,X341,NDays&amp;"D")</f>
        <v>42279</v>
      </c>
      <c r="Z341" s="205">
        <v>6.4906505253010819E-3</v>
      </c>
      <c r="AA341" s="207">
        <v>6.2251764763843198E-3</v>
      </c>
    </row>
    <row r="342" spans="19:27" x14ac:dyDescent="0.2">
      <c r="S342" s="165"/>
      <c r="T342" s="166"/>
      <c r="W342" s="199" t="str">
        <f t="shared" si="14"/>
        <v>1D</v>
      </c>
      <c r="X342" s="200">
        <f>_xll.qlCalendarAdvance(Calendar,X341,W342,"f",FALSE)</f>
        <v>42278</v>
      </c>
      <c r="Y342" s="204">
        <f>_xll.qlCalendarAdvance(Calendar,X342,NDays&amp;"D")</f>
        <v>42282</v>
      </c>
      <c r="Z342" s="205">
        <v>6.5629011024479923E-3</v>
      </c>
      <c r="AA342" s="207">
        <v>6.2489046271885229E-3</v>
      </c>
    </row>
    <row r="343" spans="19:27" x14ac:dyDescent="0.2">
      <c r="S343" s="165"/>
      <c r="T343" s="166"/>
      <c r="W343" s="199" t="str">
        <f t="shared" si="14"/>
        <v>1D</v>
      </c>
      <c r="X343" s="200">
        <f>_xll.qlCalendarAdvance(Calendar,X342,W343,"f",FALSE)</f>
        <v>42279</v>
      </c>
      <c r="Y343" s="204">
        <f>_xll.qlCalendarAdvance(Calendar,X343,NDays&amp;"D")</f>
        <v>42283</v>
      </c>
      <c r="Z343" s="205">
        <v>6.5870418033495051E-3</v>
      </c>
      <c r="AA343" s="207">
        <v>6.2726613015762211E-3</v>
      </c>
    </row>
    <row r="344" spans="19:27" x14ac:dyDescent="0.2">
      <c r="S344" s="165"/>
      <c r="T344" s="166"/>
      <c r="W344" s="199" t="str">
        <f t="shared" si="14"/>
        <v>1D</v>
      </c>
      <c r="X344" s="200">
        <f>_xll.qlCalendarAdvance(Calendar,X343,W344,"f",FALSE)</f>
        <v>42282</v>
      </c>
      <c r="Y344" s="204">
        <f>_xll.qlCalendarAdvance(Calendar,X344,NDays&amp;"D")</f>
        <v>42284</v>
      </c>
      <c r="Z344" s="205">
        <v>6.6356834562016206E-3</v>
      </c>
      <c r="AA344" s="207">
        <v>6.3203806896172665E-3</v>
      </c>
    </row>
    <row r="345" spans="19:27" x14ac:dyDescent="0.2">
      <c r="S345" s="165"/>
      <c r="T345" s="166"/>
      <c r="W345" s="199" t="str">
        <f t="shared" si="14"/>
        <v>1D</v>
      </c>
      <c r="X345" s="200">
        <f>_xll.qlCalendarAdvance(Calendar,X344,W345,"f",FALSE)</f>
        <v>42283</v>
      </c>
      <c r="Y345" s="204">
        <f>_xll.qlCalendarAdvance(Calendar,X345,NDays&amp;"D")</f>
        <v>42285</v>
      </c>
      <c r="Z345" s="205">
        <v>6.6476549041585842E-3</v>
      </c>
      <c r="AA345" s="207">
        <v>6.3679732348020934E-3</v>
      </c>
    </row>
    <row r="346" spans="19:27" x14ac:dyDescent="0.2">
      <c r="S346" s="165"/>
      <c r="T346" s="166"/>
      <c r="W346" s="199" t="str">
        <f t="shared" si="14"/>
        <v>1D</v>
      </c>
      <c r="X346" s="200">
        <f>_xll.qlCalendarAdvance(Calendar,X345,W346,"f",FALSE)</f>
        <v>42284</v>
      </c>
      <c r="Y346" s="204">
        <f>_xll.qlCalendarAdvance(Calendar,X346,NDays&amp;"D")</f>
        <v>42286</v>
      </c>
      <c r="Z346" s="205">
        <v>6.6596354341025826E-3</v>
      </c>
      <c r="AA346" s="207">
        <v>6.3918725271072674E-3</v>
      </c>
    </row>
    <row r="347" spans="19:27" x14ac:dyDescent="0.2">
      <c r="S347" s="165"/>
      <c r="T347" s="166"/>
      <c r="W347" s="199" t="str">
        <f t="shared" si="14"/>
        <v>1D</v>
      </c>
      <c r="X347" s="200">
        <f>_xll.qlCalendarAdvance(Calendar,X346,W347,"f",FALSE)</f>
        <v>42285</v>
      </c>
      <c r="Y347" s="204">
        <f>_xll.qlCalendarAdvance(Calendar,X347,NDays&amp;"D")</f>
        <v>42289</v>
      </c>
      <c r="Z347" s="205">
        <v>6.7568271805470894E-3</v>
      </c>
      <c r="AA347" s="207">
        <v>6.4158003429160004E-3</v>
      </c>
    </row>
    <row r="348" spans="19:27" x14ac:dyDescent="0.2">
      <c r="S348" s="165"/>
      <c r="T348" s="166"/>
      <c r="W348" s="199" t="str">
        <f t="shared" si="14"/>
        <v>1D</v>
      </c>
      <c r="X348" s="200">
        <f>_xll.qlCalendarAdvance(Calendar,X347,W348,"f",FALSE)</f>
        <v>42286</v>
      </c>
      <c r="Y348" s="204">
        <f>_xll.qlCalendarAdvance(Calendar,X348,NDays&amp;"D")</f>
        <v>42290</v>
      </c>
      <c r="Z348" s="205">
        <v>6.7568271805470894E-3</v>
      </c>
      <c r="AA348" s="207">
        <v>6.4397566823881647E-3</v>
      </c>
    </row>
    <row r="349" spans="19:27" x14ac:dyDescent="0.2">
      <c r="S349" s="165"/>
      <c r="T349" s="166"/>
      <c r="W349" s="199" t="str">
        <f t="shared" si="14"/>
        <v>1D</v>
      </c>
      <c r="X349" s="200">
        <f>_xll.qlCalendarAdvance(Calendar,X348,W349,"f",FALSE)</f>
        <v>42289</v>
      </c>
      <c r="Y349" s="204">
        <f>_xll.qlCalendarAdvance(Calendar,X349,NDays&amp;"D")</f>
        <v>42291</v>
      </c>
      <c r="Z349" s="205">
        <v>6.8058754298236128E-3</v>
      </c>
      <c r="AA349" s="207">
        <v>6.487881359831249E-3</v>
      </c>
    </row>
    <row r="350" spans="19:27" x14ac:dyDescent="0.2">
      <c r="S350" s="165"/>
      <c r="T350" s="166"/>
      <c r="W350" s="199" t="str">
        <f t="shared" si="14"/>
        <v>1D</v>
      </c>
      <c r="X350" s="200">
        <f>_xll.qlCalendarAdvance(Calendar,X349,W350,"f",FALSE)</f>
        <v>42290</v>
      </c>
      <c r="Y350" s="204">
        <f>_xll.qlCalendarAdvance(Calendar,X350,NDays&amp;"D")</f>
        <v>42292</v>
      </c>
      <c r="Z350" s="205">
        <v>6.8179437691626155E-3</v>
      </c>
      <c r="AA350" s="207">
        <v>6.5358672762716452E-3</v>
      </c>
    </row>
    <row r="351" spans="19:27" x14ac:dyDescent="0.2">
      <c r="S351" s="165"/>
      <c r="T351" s="166"/>
      <c r="W351" s="199" t="str">
        <f t="shared" si="14"/>
        <v>1D</v>
      </c>
      <c r="X351" s="200">
        <f>_xll.qlCalendarAdvance(Calendar,X350,W351,"f",FALSE)</f>
        <v>42291</v>
      </c>
      <c r="Y351" s="204">
        <f>_xll.qlCalendarAdvance(Calendar,X351,NDays&amp;"D")</f>
        <v>42293</v>
      </c>
      <c r="Z351" s="205">
        <v>6.8300211757318843E-3</v>
      </c>
      <c r="AA351" s="207">
        <v>6.5599662338211573E-3</v>
      </c>
    </row>
    <row r="352" spans="19:27" x14ac:dyDescent="0.2">
      <c r="S352" s="165"/>
      <c r="T352" s="166"/>
      <c r="W352" s="199" t="str">
        <f t="shared" si="14"/>
        <v>1D</v>
      </c>
      <c r="X352" s="200">
        <f>_xll.qlCalendarAdvance(Calendar,X351,W352,"f",FALSE)</f>
        <v>42292</v>
      </c>
      <c r="Y352" s="204">
        <f>_xll.qlCalendarAdvance(Calendar,X352,NDays&amp;"D")</f>
        <v>42296</v>
      </c>
      <c r="Z352" s="205">
        <v>6.90347247804712E-3</v>
      </c>
      <c r="AA352" s="207">
        <v>6.5840937149541645E-3</v>
      </c>
    </row>
    <row r="353" spans="19:27" x14ac:dyDescent="0.2">
      <c r="S353" s="165"/>
      <c r="T353" s="166"/>
      <c r="W353" s="199" t="str">
        <f t="shared" si="14"/>
        <v>1D</v>
      </c>
      <c r="X353" s="200">
        <f>_xll.qlCalendarAdvance(Calendar,X352,W353,"f",FALSE)</f>
        <v>42293</v>
      </c>
      <c r="Y353" s="204">
        <f>_xll.qlCalendarAdvance(Calendar,X353,NDays&amp;"D")</f>
        <v>42297</v>
      </c>
      <c r="Z353" s="205">
        <v>6.9280134256850317E-3</v>
      </c>
      <c r="AA353" s="207">
        <v>6.6082497197506029E-3</v>
      </c>
    </row>
    <row r="354" spans="19:27" x14ac:dyDescent="0.2">
      <c r="S354" s="165"/>
      <c r="T354" s="166"/>
      <c r="W354" s="199" t="str">
        <f t="shared" si="14"/>
        <v>1D</v>
      </c>
      <c r="X354" s="200">
        <f>_xll.qlCalendarAdvance(Calendar,X353,W354,"f",FALSE)</f>
        <v>42296</v>
      </c>
      <c r="Y354" s="204">
        <f>_xll.qlCalendarAdvance(Calendar,X354,NDays&amp;"D")</f>
        <v>42298</v>
      </c>
      <c r="Z354" s="205">
        <v>6.9774685041259299E-3</v>
      </c>
      <c r="AA354" s="207">
        <v>6.65677989469593E-3</v>
      </c>
    </row>
    <row r="355" spans="19:27" x14ac:dyDescent="0.2">
      <c r="S355" s="165"/>
      <c r="T355" s="166"/>
      <c r="W355" s="199" t="str">
        <f t="shared" si="14"/>
        <v>1D</v>
      </c>
      <c r="X355" s="200">
        <f>_xll.qlCalendarAdvance(Calendar,X354,W355,"f",FALSE)</f>
        <v>42297</v>
      </c>
      <c r="Y355" s="204">
        <f>_xll.qlCalendarAdvance(Calendar,X355,NDays&amp;"D")</f>
        <v>42299</v>
      </c>
      <c r="Z355" s="205">
        <v>6.9896336318370222E-3</v>
      </c>
      <c r="AA355" s="207">
        <v>6.7051589753308605E-3</v>
      </c>
    </row>
    <row r="356" spans="19:27" x14ac:dyDescent="0.2">
      <c r="S356" s="165"/>
      <c r="T356" s="166"/>
      <c r="W356" s="199" t="str">
        <f t="shared" si="14"/>
        <v>1D</v>
      </c>
      <c r="X356" s="200">
        <f>_xll.qlCalendarAdvance(Calendar,X355,W356,"f",FALSE)</f>
        <v>42298</v>
      </c>
      <c r="Y356" s="204">
        <f>_xll.qlCalendarAdvance(Calendar,X356,NDays&amp;"D")</f>
        <v>42300</v>
      </c>
      <c r="Z356" s="205">
        <v>7.0018078117500644E-3</v>
      </c>
      <c r="AA356" s="207">
        <v>6.7294575984444549E-3</v>
      </c>
    </row>
    <row r="357" spans="19:27" x14ac:dyDescent="0.2">
      <c r="S357" s="165"/>
      <c r="T357" s="166"/>
      <c r="W357" s="199" t="str">
        <f t="shared" si="14"/>
        <v>1D</v>
      </c>
      <c r="X357" s="200">
        <f>_xll.qlCalendarAdvance(Calendar,X356,W357,"f",FALSE)</f>
        <v>42299</v>
      </c>
      <c r="Y357" s="204">
        <f>_xll.qlCalendarAdvance(Calendar,X357,NDays&amp;"D")</f>
        <v>42303</v>
      </c>
      <c r="Z357" s="205">
        <v>7.0883711687710904E-3</v>
      </c>
      <c r="AA357" s="207">
        <v>6.7537847452214805E-3</v>
      </c>
    </row>
    <row r="358" spans="19:27" x14ac:dyDescent="0.2">
      <c r="S358" s="165"/>
      <c r="T358" s="166"/>
      <c r="W358" s="199" t="str">
        <f t="shared" si="14"/>
        <v>1D</v>
      </c>
      <c r="X358" s="200">
        <f>_xll.qlCalendarAdvance(Calendar,X357,W358,"f",FALSE)</f>
        <v>42300</v>
      </c>
      <c r="Y358" s="204">
        <f>_xll.qlCalendarAdvance(Calendar,X358,NDays&amp;"D")</f>
        <v>42304</v>
      </c>
      <c r="Z358" s="205">
        <v>7.1006006006080558E-3</v>
      </c>
      <c r="AA358" s="207">
        <v>6.7781404155820013E-3</v>
      </c>
    </row>
    <row r="359" spans="19:27" x14ac:dyDescent="0.2">
      <c r="S359" s="165"/>
      <c r="T359" s="166"/>
      <c r="W359" s="199" t="str">
        <f t="shared" si="14"/>
        <v>1D</v>
      </c>
      <c r="X359" s="200">
        <f>_xll.qlCalendarAdvance(Calendar,X358,W359,"f",FALSE)</f>
        <v>42303</v>
      </c>
      <c r="Y359" s="204">
        <f>_xll.qlCalendarAdvance(Calendar,X359,NDays&amp;"D")</f>
        <v>42305</v>
      </c>
      <c r="Z359" s="205">
        <v>7.1504627450969986E-3</v>
      </c>
      <c r="AA359" s="207">
        <v>6.8270763001265777E-3</v>
      </c>
    </row>
    <row r="360" spans="19:27" x14ac:dyDescent="0.2">
      <c r="S360" s="165"/>
      <c r="T360" s="166"/>
      <c r="W360" s="199" t="str">
        <f t="shared" si="14"/>
        <v>1D</v>
      </c>
      <c r="X360" s="200">
        <f>_xll.qlCalendarAdvance(Calendar,X359,W360,"f",FALSE)</f>
        <v>42304</v>
      </c>
      <c r="Y360" s="204">
        <f>_xll.qlCalendarAdvance(Calendar,X360,NDays&amp;"D")</f>
        <v>42306</v>
      </c>
      <c r="Z360" s="205">
        <v>7.1627245562055908E-3</v>
      </c>
      <c r="AA360" s="207">
        <v>6.8758483341380128E-3</v>
      </c>
    </row>
    <row r="361" spans="19:27" x14ac:dyDescent="0.2">
      <c r="S361" s="165"/>
      <c r="T361" s="166"/>
      <c r="W361" s="199" t="str">
        <f t="shared" si="14"/>
        <v>1D</v>
      </c>
      <c r="X361" s="200">
        <f>_xll.qlCalendarAdvance(Calendar,X360,W361,"f",FALSE)</f>
        <v>42305</v>
      </c>
      <c r="Y361" s="204">
        <f>_xll.qlCalendarAdvance(Calendar,X361,NDays&amp;"D")</f>
        <v>42307</v>
      </c>
      <c r="Z361" s="205">
        <v>7.1749954042055553E-3</v>
      </c>
      <c r="AA361" s="207">
        <v>6.9003466230554977E-3</v>
      </c>
    </row>
    <row r="362" spans="19:27" x14ac:dyDescent="0.2">
      <c r="S362" s="165"/>
      <c r="T362" s="166"/>
      <c r="W362" s="199" t="str">
        <f t="shared" si="14"/>
        <v>1D</v>
      </c>
      <c r="X362" s="200">
        <f>_xll.qlCalendarAdvance(Calendar,X361,W362,"f",FALSE)</f>
        <v>42306</v>
      </c>
      <c r="Y362" s="204">
        <f>_xll.qlCalendarAdvance(Calendar,X362,NDays&amp;"D")</f>
        <v>42310</v>
      </c>
      <c r="Z362" s="205">
        <v>7.23704237926448E-3</v>
      </c>
      <c r="AA362" s="207">
        <v>6.9248734356364139E-3</v>
      </c>
    </row>
    <row r="363" spans="19:27" x14ac:dyDescent="0.2">
      <c r="S363" s="165"/>
      <c r="T363" s="166"/>
      <c r="W363" s="199" t="str">
        <f t="shared" si="14"/>
        <v>1D</v>
      </c>
      <c r="X363" s="200">
        <f>_xll.qlCalendarAdvance(Calendar,X362,W363,"f",FALSE)</f>
        <v>42307</v>
      </c>
      <c r="Y363" s="204">
        <f>_xll.qlCalendarAdvance(Calendar,X363,NDays&amp;"D")</f>
        <v>42311</v>
      </c>
      <c r="Z363" s="205">
        <v>7.2619688107300462E-3</v>
      </c>
      <c r="AA363" s="207">
        <v>6.9494287719606973E-3</v>
      </c>
    </row>
    <row r="364" spans="19:27" x14ac:dyDescent="0.2">
      <c r="S364" s="165"/>
      <c r="T364" s="166"/>
      <c r="W364" s="199" t="str">
        <f t="shared" si="14"/>
        <v>1D</v>
      </c>
      <c r="X364" s="200">
        <f>_xll.qlCalendarAdvance(Calendar,X363,W364,"f",FALSE)</f>
        <v>42310</v>
      </c>
      <c r="Y364" s="204">
        <f>_xll.qlCalendarAdvance(Calendar,X364,NDays&amp;"D")</f>
        <v>42312</v>
      </c>
      <c r="Z364" s="205">
        <v>7.2869238327575303E-3</v>
      </c>
      <c r="AA364" s="207">
        <v>6.9987705820651058E-3</v>
      </c>
    </row>
    <row r="365" spans="19:27" x14ac:dyDescent="0.2">
      <c r="S365" s="165"/>
      <c r="T365" s="166"/>
      <c r="W365" s="199" t="str">
        <f t="shared" si="14"/>
        <v>1D</v>
      </c>
      <c r="X365" s="200">
        <f>_xll.qlCalendarAdvance(Calendar,X364,W365,"f",FALSE)</f>
        <v>42311</v>
      </c>
      <c r="Y365" s="204">
        <f>_xll.qlCalendarAdvance(Calendar,X365,NDays&amp;"D")</f>
        <v>42313</v>
      </c>
      <c r="Z365" s="205">
        <v>7.3372166068166877E-3</v>
      </c>
      <c r="AA365" s="207">
        <v>7.0479353546115675E-3</v>
      </c>
    </row>
    <row r="366" spans="19:27" x14ac:dyDescent="0.2">
      <c r="S366" s="165"/>
      <c r="T366" s="166"/>
      <c r="W366" s="199" t="str">
        <f t="shared" si="14"/>
        <v>1D</v>
      </c>
      <c r="X366" s="200">
        <f>_xll.qlCalendarAdvance(Calendar,X365,W366,"f",FALSE)</f>
        <v>42312</v>
      </c>
      <c r="Y366" s="204">
        <f>_xll.qlCalendarAdvance(Calendar,X366,NDays&amp;"D")</f>
        <v>42314</v>
      </c>
      <c r="Z366" s="205">
        <v>7.3495840156702396E-3</v>
      </c>
      <c r="AA366" s="207">
        <v>7.0726333095727512E-3</v>
      </c>
    </row>
    <row r="367" spans="19:27" x14ac:dyDescent="0.2">
      <c r="S367" s="165"/>
      <c r="T367" s="166"/>
      <c r="W367" s="199" t="str">
        <f t="shared" si="14"/>
        <v>1D</v>
      </c>
      <c r="X367" s="200">
        <f>_xll.qlCalendarAdvance(Calendar,X366,W367,"f",FALSE)</f>
        <v>42313</v>
      </c>
      <c r="Y367" s="204">
        <f>_xll.qlCalendarAdvance(Calendar,X367,NDays&amp;"D")</f>
        <v>42317</v>
      </c>
      <c r="Z367" s="205">
        <v>7.4121278075747199E-3</v>
      </c>
      <c r="AA367" s="207">
        <v>7.0973597883572381E-3</v>
      </c>
    </row>
    <row r="368" spans="19:27" x14ac:dyDescent="0.2">
      <c r="S368" s="165"/>
      <c r="T368" s="166"/>
      <c r="W368" s="199" t="str">
        <f t="shared" si="14"/>
        <v>1D</v>
      </c>
      <c r="X368" s="200">
        <f>_xll.qlCalendarAdvance(Calendar,X367,W368,"f",FALSE)</f>
        <v>42314</v>
      </c>
      <c r="Y368" s="204">
        <f>_xll.qlCalendarAdvance(Calendar,X368,NDays&amp;"D")</f>
        <v>42318</v>
      </c>
      <c r="Z368" s="205">
        <v>7.4372543767227128E-3</v>
      </c>
      <c r="AA368" s="207">
        <v>7.1221147908051563E-3</v>
      </c>
    </row>
    <row r="369" spans="19:27" x14ac:dyDescent="0.2">
      <c r="S369" s="165"/>
      <c r="T369" s="166"/>
      <c r="W369" s="199" t="str">
        <f t="shared" si="14"/>
        <v>1D</v>
      </c>
      <c r="X369" s="200">
        <f>_xll.qlCalendarAdvance(Calendar,X368,W369,"f",FALSE)</f>
        <v>42317</v>
      </c>
      <c r="Y369" s="204">
        <f>_xll.qlCalendarAdvance(Calendar,X369,NDays&amp;"D")</f>
        <v>42319</v>
      </c>
      <c r="Z369" s="205">
        <v>7.5131098487432602E-3</v>
      </c>
      <c r="AA369" s="207">
        <v>7.1718627465067186E-3</v>
      </c>
    </row>
    <row r="370" spans="19:27" x14ac:dyDescent="0.2">
      <c r="S370" s="165"/>
      <c r="T370" s="166"/>
      <c r="W370" s="199" t="str">
        <f t="shared" si="14"/>
        <v>1D</v>
      </c>
      <c r="X370" s="200">
        <f>_xll.qlCalendarAdvance(Calendar,X369,W370,"f",FALSE)</f>
        <v>42318</v>
      </c>
      <c r="Y370" s="204">
        <f>_xll.qlCalendarAdvance(Calendar,X370,NDays&amp;"D")</f>
        <v>42320</v>
      </c>
      <c r="Z370" s="205">
        <v>7.5131098487432602E-3</v>
      </c>
      <c r="AA370" s="207">
        <v>7.22142003866999E-3</v>
      </c>
    </row>
    <row r="371" spans="19:27" x14ac:dyDescent="0.2">
      <c r="S371" s="165"/>
      <c r="T371" s="166"/>
      <c r="W371" s="199" t="str">
        <f t="shared" si="14"/>
        <v>1D</v>
      </c>
      <c r="X371" s="200">
        <f>_xll.qlCalendarAdvance(Calendar,X370,W371,"f",FALSE)</f>
        <v>42319</v>
      </c>
      <c r="Y371" s="204">
        <f>_xll.qlCalendarAdvance(Calendar,X371,NDays&amp;"D")</f>
        <v>42321</v>
      </c>
      <c r="Z371" s="205">
        <v>7.5255737092136668E-3</v>
      </c>
      <c r="AA371" s="207">
        <v>7.2463176600745527E-3</v>
      </c>
    </row>
    <row r="372" spans="19:27" x14ac:dyDescent="0.2">
      <c r="S372" s="165"/>
      <c r="T372" s="166"/>
      <c r="W372" s="199" t="str">
        <f t="shared" si="14"/>
        <v>1D</v>
      </c>
      <c r="X372" s="200">
        <f>_xll.qlCalendarAdvance(Calendar,X371,W372,"f",FALSE)</f>
        <v>42320</v>
      </c>
      <c r="Y372" s="204">
        <f>_xll.qlCalendarAdvance(Calendar,X372,NDays&amp;"D")</f>
        <v>42324</v>
      </c>
      <c r="Z372" s="205">
        <v>7.5886142259822265E-3</v>
      </c>
      <c r="AA372" s="207">
        <v>7.2712438052224826E-3</v>
      </c>
    </row>
    <row r="373" spans="19:27" x14ac:dyDescent="0.2">
      <c r="S373" s="165"/>
      <c r="T373" s="166"/>
      <c r="W373" s="199" t="str">
        <f t="shared" si="14"/>
        <v>1D</v>
      </c>
      <c r="X373" s="200">
        <f>_xll.qlCalendarAdvance(Calendar,X372,W373,"f",FALSE)</f>
        <v>42321</v>
      </c>
      <c r="Y373" s="204">
        <f>_xll.qlCalendarAdvance(Calendar,X373,NDays&amp;"D")</f>
        <v>42325</v>
      </c>
      <c r="Z373" s="205">
        <v>7.6139409415976189E-3</v>
      </c>
      <c r="AA373" s="207">
        <v>7.2961984741937158E-3</v>
      </c>
    </row>
    <row r="374" spans="19:27" x14ac:dyDescent="0.2">
      <c r="S374" s="165"/>
      <c r="T374" s="166"/>
      <c r="W374" s="199" t="str">
        <f t="shared" si="14"/>
        <v>1D</v>
      </c>
      <c r="X374" s="200">
        <f>_xll.qlCalendarAdvance(Calendar,X373,W374,"f",FALSE)</f>
        <v>42324</v>
      </c>
      <c r="Y374" s="204">
        <f>_xll.qlCalendarAdvance(Calendar,X374,NDays&amp;"D")</f>
        <v>42326</v>
      </c>
      <c r="Z374" s="205">
        <v>7.6392962502902506E-3</v>
      </c>
      <c r="AA374" s="207">
        <v>7.3463527995265565E-3</v>
      </c>
    </row>
    <row r="375" spans="19:27" x14ac:dyDescent="0.2">
      <c r="S375" s="165"/>
      <c r="T375" s="166"/>
      <c r="W375" s="199" t="str">
        <f t="shared" si="14"/>
        <v>1D</v>
      </c>
      <c r="X375" s="200">
        <f>_xll.qlCalendarAdvance(Calendar,X374,W375,"f",FALSE)</f>
        <v>42325</v>
      </c>
      <c r="Y375" s="204">
        <f>_xll.qlCalendarAdvance(Calendar,X375,NDays&amp;"D")</f>
        <v>42327</v>
      </c>
      <c r="Z375" s="205">
        <v>7.6904043475778394E-3</v>
      </c>
      <c r="AA375" s="207">
        <v>7.3963023883916179E-3</v>
      </c>
    </row>
    <row r="376" spans="19:27" x14ac:dyDescent="0.2">
      <c r="S376" s="165"/>
      <c r="T376" s="166"/>
      <c r="W376" s="199" t="str">
        <f t="shared" si="14"/>
        <v>1D</v>
      </c>
      <c r="X376" s="200">
        <f>_xll.qlCalendarAdvance(Calendar,X375,W376,"f",FALSE)</f>
        <v>42326</v>
      </c>
      <c r="Y376" s="204">
        <f>_xll.qlCalendarAdvance(Calendar,X376,NDays&amp;"D")</f>
        <v>42328</v>
      </c>
      <c r="Z376" s="205">
        <v>7.7029645484133673E-3</v>
      </c>
      <c r="AA376" s="207">
        <v>7.4213996764793677E-3</v>
      </c>
    </row>
    <row r="377" spans="19:27" x14ac:dyDescent="0.2">
      <c r="S377" s="165"/>
      <c r="T377" s="166"/>
      <c r="W377" s="199" t="str">
        <f t="shared" si="14"/>
        <v>1D</v>
      </c>
      <c r="X377" s="200">
        <f>_xll.qlCalendarAdvance(Calendar,X376,W377,"f",FALSE)</f>
        <v>42327</v>
      </c>
      <c r="Y377" s="204">
        <f>_xll.qlCalendarAdvance(Calendar,X377,NDays&amp;"D")</f>
        <v>42331</v>
      </c>
      <c r="Z377" s="205">
        <v>7.7665016961869782E-3</v>
      </c>
      <c r="AA377" s="207">
        <v>7.4465254883104848E-3</v>
      </c>
    </row>
    <row r="378" spans="19:27" x14ac:dyDescent="0.2">
      <c r="S378" s="165"/>
      <c r="T378" s="166"/>
      <c r="W378" s="199" t="str">
        <f t="shared" si="14"/>
        <v>1D</v>
      </c>
      <c r="X378" s="200">
        <f>_xll.qlCalendarAdvance(Calendar,X377,W378,"f",FALSE)</f>
        <v>42328</v>
      </c>
      <c r="Y378" s="204">
        <f>_xll.qlCalendarAdvance(Calendar,X378,NDays&amp;"D")</f>
        <v>42332</v>
      </c>
      <c r="Z378" s="205">
        <v>7.7920285671266853E-3</v>
      </c>
      <c r="AA378" s="207">
        <v>7.4716798241247773E-3</v>
      </c>
    </row>
    <row r="379" spans="19:27" x14ac:dyDescent="0.2">
      <c r="S379" s="165"/>
      <c r="T379" s="166"/>
      <c r="W379" s="199" t="str">
        <f t="shared" si="14"/>
        <v>1D</v>
      </c>
      <c r="X379" s="200">
        <f>_xll.qlCalendarAdvance(Calendar,X378,W379,"f",FALSE)</f>
        <v>42331</v>
      </c>
      <c r="Y379" s="204">
        <f>_xll.qlCalendarAdvance(Calendar,X379,NDays&amp;"D")</f>
        <v>42333</v>
      </c>
      <c r="Z379" s="205">
        <v>7.8694291242820784E-3</v>
      </c>
      <c r="AA379" s="207">
        <v>7.5222407471731145E-3</v>
      </c>
    </row>
    <row r="380" spans="19:27" x14ac:dyDescent="0.2">
      <c r="S380" s="165"/>
      <c r="T380" s="166"/>
      <c r="W380" s="199" t="str">
        <f t="shared" si="14"/>
        <v>1D</v>
      </c>
      <c r="X380" s="200">
        <f>_xll.qlCalendarAdvance(Calendar,X379,W380,"f",FALSE)</f>
        <v>42332</v>
      </c>
      <c r="Y380" s="204">
        <f>_xll.qlCalendarAdvance(Calendar,X380,NDays&amp;"D")</f>
        <v>42334</v>
      </c>
      <c r="Z380" s="205">
        <v>7.8947425415906713E-3</v>
      </c>
      <c r="AA380" s="207">
        <v>7.5725824056949165E-3</v>
      </c>
    </row>
    <row r="381" spans="19:27" x14ac:dyDescent="0.2">
      <c r="S381" s="165"/>
      <c r="T381" s="166"/>
      <c r="W381" s="199" t="str">
        <f t="shared" si="14"/>
        <v>1D</v>
      </c>
      <c r="X381" s="200">
        <f>_xll.qlCalendarAdvance(Calendar,X380,W381,"f",FALSE)</f>
        <v>42333</v>
      </c>
      <c r="Y381" s="204">
        <f>_xll.qlCalendarAdvance(Calendar,X381,NDays&amp;"D")</f>
        <v>42335</v>
      </c>
      <c r="Z381" s="205">
        <v>7.8947425415906713E-3</v>
      </c>
      <c r="AA381" s="207">
        <v>7.5978793608655337E-3</v>
      </c>
    </row>
    <row r="382" spans="19:27" x14ac:dyDescent="0.2">
      <c r="S382" s="165"/>
      <c r="T382" s="166"/>
      <c r="W382" s="199" t="str">
        <f t="shared" si="14"/>
        <v>1D</v>
      </c>
      <c r="X382" s="200">
        <f>_xll.qlCalendarAdvance(Calendar,X381,W382,"f",FALSE)</f>
        <v>42334</v>
      </c>
      <c r="Y382" s="204">
        <f>_xll.qlCalendarAdvance(Calendar,X382,NDays&amp;"D")</f>
        <v>42338</v>
      </c>
      <c r="Z382" s="205">
        <v>7.9588107189362371E-3</v>
      </c>
      <c r="AA382" s="207">
        <v>7.6232048397795182E-3</v>
      </c>
    </row>
    <row r="383" spans="19:27" x14ac:dyDescent="0.2">
      <c r="S383" s="165"/>
      <c r="T383" s="166"/>
      <c r="W383" s="199" t="str">
        <f t="shared" si="14"/>
        <v>1D</v>
      </c>
      <c r="X383" s="200">
        <f>_xll.qlCalendarAdvance(Calendar,X382,W383,"f",FALSE)</f>
        <v>42335</v>
      </c>
      <c r="Y383" s="204">
        <f>_xll.qlCalendarAdvance(Calendar,X383,NDays&amp;"D")</f>
        <v>42339</v>
      </c>
      <c r="Z383" s="205">
        <v>8.0237191718226259E-3</v>
      </c>
      <c r="AA383" s="207">
        <v>7.6485588425967421E-3</v>
      </c>
    </row>
    <row r="384" spans="19:27" x14ac:dyDescent="0.2">
      <c r="S384" s="165"/>
      <c r="T384" s="166"/>
      <c r="W384" s="199" t="str">
        <f t="shared" si="14"/>
        <v>1D</v>
      </c>
      <c r="X384" s="200">
        <f>_xll.qlCalendarAdvance(Calendar,X383,W384,"f",FALSE)</f>
        <v>42338</v>
      </c>
      <c r="Y384" s="204">
        <f>_xll.qlCalendarAdvance(Calendar,X384,NDays&amp;"D")</f>
        <v>42340</v>
      </c>
      <c r="Z384" s="205">
        <v>8.0364537973883071E-3</v>
      </c>
      <c r="AA384" s="207">
        <v>7.6995265956547598E-3</v>
      </c>
    </row>
    <row r="385" spans="19:27" x14ac:dyDescent="0.2">
      <c r="S385" s="165"/>
      <c r="T385" s="166"/>
      <c r="W385" s="199" t="str">
        <f t="shared" si="14"/>
        <v>1D</v>
      </c>
      <c r="X385" s="200">
        <f>_xll.qlCalendarAdvance(Calendar,X384,W385,"f",FALSE)</f>
        <v>42339</v>
      </c>
      <c r="Y385" s="204">
        <f>_xll.qlCalendarAdvance(Calendar,X385,NDays&amp;"D")</f>
        <v>42341</v>
      </c>
      <c r="Z385" s="205">
        <v>8.049197380981532E-3</v>
      </c>
      <c r="AA385" s="207">
        <v>7.7502600928980314E-3</v>
      </c>
    </row>
    <row r="386" spans="19:27" x14ac:dyDescent="0.2">
      <c r="S386" s="165"/>
      <c r="T386" s="166"/>
      <c r="W386" s="199" t="str">
        <f t="shared" si="14"/>
        <v>1D</v>
      </c>
      <c r="X386" s="200">
        <f>_xll.qlCalendarAdvance(Calendar,X385,W386,"f",FALSE)</f>
        <v>42340</v>
      </c>
      <c r="Y386" s="204">
        <f>_xll.qlCalendarAdvance(Calendar,X386,NDays&amp;"D")</f>
        <v>42342</v>
      </c>
      <c r="Z386" s="205">
        <v>8.0619499206367688E-3</v>
      </c>
      <c r="AA386" s="207">
        <v>7.7757567153113882E-3</v>
      </c>
    </row>
    <row r="387" spans="19:27" x14ac:dyDescent="0.2">
      <c r="S387" s="165"/>
      <c r="T387" s="166"/>
      <c r="W387" s="199" t="str">
        <f t="shared" si="14"/>
        <v>1D</v>
      </c>
      <c r="X387" s="200">
        <f>_xll.qlCalendarAdvance(Calendar,X386,W387,"f",FALSE)</f>
        <v>42341</v>
      </c>
      <c r="Y387" s="204">
        <f>_xll.qlCalendarAdvance(Calendar,X387,NDays&amp;"D")</f>
        <v>42345</v>
      </c>
      <c r="Z387" s="205">
        <v>8.1396046082589241E-3</v>
      </c>
      <c r="AA387" s="207">
        <v>7.8012818615480484E-3</v>
      </c>
    </row>
    <row r="388" spans="19:27" x14ac:dyDescent="0.2">
      <c r="S388" s="165"/>
      <c r="T388" s="166"/>
      <c r="W388" s="199" t="str">
        <f t="shared" si="14"/>
        <v>1D</v>
      </c>
      <c r="X388" s="200">
        <f>_xll.qlCalendarAdvance(Calendar,X387,W388,"f",FALSE)</f>
        <v>42342</v>
      </c>
      <c r="Y388" s="204">
        <f>_xll.qlCalendarAdvance(Calendar,X388,NDays&amp;"D")</f>
        <v>42346</v>
      </c>
      <c r="Z388" s="205">
        <v>8.1655467025510218E-3</v>
      </c>
      <c r="AA388" s="207">
        <v>7.8268355317678839E-3</v>
      </c>
    </row>
    <row r="389" spans="19:27" x14ac:dyDescent="0.2">
      <c r="S389" s="165"/>
      <c r="T389" s="166"/>
      <c r="W389" s="199" t="str">
        <f t="shared" si="14"/>
        <v>1D</v>
      </c>
      <c r="X389" s="200">
        <f>_xll.qlCalendarAdvance(Calendar,X388,W389,"f",FALSE)</f>
        <v>42345</v>
      </c>
      <c r="Y389" s="204">
        <f>_xll.qlCalendarAdvance(Calendar,X389,NDays&amp;"D")</f>
        <v>42347</v>
      </c>
      <c r="Z389" s="205">
        <v>8.2178564543785894E-3</v>
      </c>
      <c r="AA389" s="207">
        <v>7.8782103511265689E-3</v>
      </c>
    </row>
    <row r="390" spans="19:27" x14ac:dyDescent="0.2">
      <c r="S390" s="165"/>
      <c r="T390" s="166"/>
      <c r="W390" s="199" t="str">
        <f t="shared" si="14"/>
        <v>1D</v>
      </c>
      <c r="X390" s="200">
        <f>_xll.qlCalendarAdvance(Calendar,X389,W390,"f",FALSE)</f>
        <v>42346</v>
      </c>
      <c r="Y390" s="204">
        <f>_xll.qlCalendarAdvance(Calendar,X390,NDays&amp;"D")</f>
        <v>42348</v>
      </c>
      <c r="Z390" s="205">
        <v>8.2306960493511161E-3</v>
      </c>
      <c r="AA390" s="207">
        <v>7.9293354519194281E-3</v>
      </c>
    </row>
    <row r="391" spans="19:27" x14ac:dyDescent="0.2">
      <c r="S391" s="165"/>
      <c r="T391" s="166"/>
      <c r="W391" s="199" t="str">
        <f t="shared" si="14"/>
        <v>1D</v>
      </c>
      <c r="X391" s="200">
        <f>_xll.qlCalendarAdvance(Calendar,X390,W391,"f",FALSE)</f>
        <v>42347</v>
      </c>
      <c r="Y391" s="204">
        <f>_xll.qlCalendarAdvance(Calendar,X391,NDays&amp;"D")</f>
        <v>42349</v>
      </c>
      <c r="Z391" s="205">
        <v>8.2435445833502798E-3</v>
      </c>
      <c r="AA391" s="207">
        <v>7.9550317418153327E-3</v>
      </c>
    </row>
    <row r="392" spans="19:27" x14ac:dyDescent="0.2">
      <c r="S392" s="165"/>
      <c r="T392" s="166"/>
      <c r="W392" s="199" t="str">
        <f t="shared" si="14"/>
        <v>1D</v>
      </c>
      <c r="X392" s="200">
        <f>_xll.qlCalendarAdvance(Calendar,X391,W392,"f",FALSE)</f>
        <v>42348</v>
      </c>
      <c r="Y392" s="204">
        <f>_xll.qlCalendarAdvance(Calendar,X392,NDays&amp;"D")</f>
        <v>42352</v>
      </c>
      <c r="Z392" s="205">
        <v>8.3217998650707593E-3</v>
      </c>
      <c r="AA392" s="207">
        <v>7.9807565556944127E-3</v>
      </c>
    </row>
    <row r="393" spans="19:27" x14ac:dyDescent="0.2">
      <c r="S393" s="165"/>
      <c r="T393" s="166"/>
      <c r="W393" s="199" t="str">
        <f t="shared" si="14"/>
        <v>1D</v>
      </c>
      <c r="X393" s="200">
        <f>_xll.qlCalendarAdvance(Calendar,X392,W393,"f",FALSE)</f>
        <v>42349</v>
      </c>
      <c r="Y393" s="204">
        <f>_xll.qlCalendarAdvance(Calendar,X393,NDays&amp;"D")</f>
        <v>42353</v>
      </c>
      <c r="Z393" s="205">
        <v>8.3479421600782169E-3</v>
      </c>
      <c r="AA393" s="207">
        <v>8.0065098935566681E-3</v>
      </c>
    </row>
    <row r="394" spans="19:27" x14ac:dyDescent="0.2">
      <c r="S394" s="165"/>
      <c r="T394" s="166"/>
      <c r="W394" s="199" t="str">
        <f t="shared" si="14"/>
        <v>1D</v>
      </c>
      <c r="X394" s="200">
        <f>_xll.qlCalendarAdvance(Calendar,X393,W394,"f",FALSE)</f>
        <v>42352</v>
      </c>
      <c r="Y394" s="204">
        <f>_xll.qlCalendarAdvance(Calendar,X394,NDays&amp;"D")</f>
        <v>42354</v>
      </c>
      <c r="Z394" s="205">
        <v>8.4139498241979117E-3</v>
      </c>
      <c r="AA394" s="207">
        <v>8.0582920198235541E-3</v>
      </c>
    </row>
    <row r="395" spans="19:27" x14ac:dyDescent="0.2">
      <c r="S395" s="165"/>
      <c r="T395" s="166"/>
      <c r="W395" s="199" t="str">
        <f t="shared" si="14"/>
        <v>1D</v>
      </c>
      <c r="X395" s="200">
        <f>_xll.qlCalendarAdvance(Calendar,X394,W395,"f",FALSE)</f>
        <v>42353</v>
      </c>
      <c r="Y395" s="204">
        <f>_xll.qlCalendarAdvance(Calendar,X395,NDays&amp;"D")</f>
        <v>42355</v>
      </c>
      <c r="Z395" s="205">
        <v>8.4268900791662962E-3</v>
      </c>
      <c r="AA395" s="207">
        <v>8.1098084848374441E-3</v>
      </c>
    </row>
    <row r="396" spans="19:27" x14ac:dyDescent="0.2">
      <c r="S396" s="165"/>
      <c r="T396" s="166"/>
      <c r="W396" s="199" t="str">
        <f t="shared" si="14"/>
        <v>1D</v>
      </c>
      <c r="X396" s="200">
        <f>_xll.qlCalendarAdvance(Calendar,X395,W396,"f",FALSE)</f>
        <v>42354</v>
      </c>
      <c r="Y396" s="204">
        <f>_xll.qlCalendarAdvance(Calendar,X396,NDays&amp;"D")</f>
        <v>42356</v>
      </c>
      <c r="Z396" s="205">
        <v>8.4398392553647339E-3</v>
      </c>
      <c r="AA396" s="207">
        <v>8.1357044425356406E-3</v>
      </c>
    </row>
    <row r="397" spans="19:27" x14ac:dyDescent="0.2">
      <c r="S397" s="165"/>
      <c r="T397" s="166"/>
      <c r="W397" s="199" t="str">
        <f t="shared" si="14"/>
        <v>1D</v>
      </c>
      <c r="X397" s="200">
        <f>_xll.qlCalendarAdvance(Calendar,X396,W397,"f",FALSE)</f>
        <v>42355</v>
      </c>
      <c r="Y397" s="204">
        <f>_xll.qlCalendarAdvance(Calendar,X397,NDays&amp;"D")</f>
        <v>42359</v>
      </c>
      <c r="Z397" s="205">
        <v>8.5053965551977959E-3</v>
      </c>
      <c r="AA397" s="207">
        <v>8.1616289243768847E-3</v>
      </c>
    </row>
    <row r="398" spans="19:27" x14ac:dyDescent="0.2">
      <c r="S398" s="165"/>
      <c r="T398" s="166"/>
      <c r="W398" s="199" t="str">
        <f t="shared" si="14"/>
        <v>1D</v>
      </c>
      <c r="X398" s="200">
        <f>_xll.qlCalendarAdvance(Calendar,X397,W398,"f",FALSE)</f>
        <v>42356</v>
      </c>
      <c r="Y398" s="204">
        <f>_xll.qlCalendarAdvance(Calendar,X398,NDays&amp;"D")</f>
        <v>42360</v>
      </c>
      <c r="Z398" s="205">
        <v>8.5317390603659622E-3</v>
      </c>
      <c r="AA398" s="207">
        <v>8.2399792171266029E-3</v>
      </c>
    </row>
    <row r="399" spans="19:27" x14ac:dyDescent="0.2">
      <c r="S399" s="165"/>
      <c r="T399" s="166"/>
      <c r="W399" s="199" t="str">
        <f t="shared" si="14"/>
        <v>1D</v>
      </c>
      <c r="X399" s="200">
        <f>_xll.qlCalendarAdvance(Calendar,X398,W399,"f",FALSE)</f>
        <v>42359</v>
      </c>
      <c r="Y399" s="204">
        <f>_xll.qlCalendarAdvance(Calendar,X399,NDays&amp;"D")</f>
        <v>42361</v>
      </c>
      <c r="Z399" s="205">
        <v>8.5848667697946916E-3</v>
      </c>
      <c r="AA399" s="207">
        <v>8.3177748196305856E-3</v>
      </c>
    </row>
    <row r="400" spans="19:27" x14ac:dyDescent="0.2">
      <c r="S400" s="165"/>
      <c r="T400" s="166"/>
      <c r="W400" s="199" t="str">
        <f t="shared" si="14"/>
        <v>1D</v>
      </c>
      <c r="X400" s="200">
        <f>_xll.qlCalendarAdvance(Calendar,X399,W400,"f",FALSE)</f>
        <v>42360</v>
      </c>
      <c r="Y400" s="204">
        <f>_xll.qlCalendarAdvance(Calendar,X400,NDays&amp;"D")</f>
        <v>42362</v>
      </c>
      <c r="Z400" s="205">
        <v>8.5978980278725303E-3</v>
      </c>
      <c r="AA400" s="207">
        <v>8.343898969753738E-3</v>
      </c>
    </row>
    <row r="401" spans="19:27" x14ac:dyDescent="0.2">
      <c r="S401" s="165"/>
      <c r="T401" s="166"/>
      <c r="W401" s="199" t="str">
        <f t="shared" si="14"/>
        <v>1D</v>
      </c>
      <c r="X401" s="200">
        <f>_xll.qlCalendarAdvance(Calendar,X400,W401,"f",FALSE)</f>
        <v>42361</v>
      </c>
      <c r="Y401" s="204">
        <f>_xll.qlCalendarAdvance(Calendar,X401,NDays&amp;"D")</f>
        <v>42367</v>
      </c>
      <c r="Z401" s="205">
        <v>8.7169374698153352E-3</v>
      </c>
      <c r="AA401" s="207">
        <v>8.4096466234351297E-3</v>
      </c>
    </row>
    <row r="402" spans="19:27" x14ac:dyDescent="0.2">
      <c r="S402" s="165"/>
      <c r="T402" s="166"/>
      <c r="W402" s="199" t="str">
        <f t="shared" si="14"/>
        <v>1D</v>
      </c>
      <c r="X402" s="200">
        <f>_xll.qlCalendarAdvance(Calendar,X401,W402,"f",FALSE)</f>
        <v>42362</v>
      </c>
      <c r="Y402" s="204">
        <f>_xll.qlCalendarAdvance(Calendar,X402,NDays&amp;"D")</f>
        <v>42368</v>
      </c>
      <c r="Z402" s="205">
        <v>8.7300411844957182E-3</v>
      </c>
      <c r="AA402" s="207">
        <v>8.4749475807566199E-3</v>
      </c>
    </row>
    <row r="403" spans="19:27" x14ac:dyDescent="0.2">
      <c r="S403" s="165"/>
      <c r="T403" s="166"/>
      <c r="W403" s="199" t="str">
        <f t="shared" si="14"/>
        <v>1D</v>
      </c>
      <c r="X403" s="200">
        <f>_xll.qlCalendarAdvance(Calendar,X402,W403,"f",FALSE)</f>
        <v>42367</v>
      </c>
      <c r="Y403" s="204">
        <f>_xll.qlCalendarAdvance(Calendar,X403,NDays&amp;"D")</f>
        <v>42369</v>
      </c>
      <c r="Z403" s="205">
        <v>8.7431537888600589E-3</v>
      </c>
      <c r="AA403" s="207">
        <v>8.5012428751785052E-3</v>
      </c>
    </row>
    <row r="404" spans="19:27" x14ac:dyDescent="0.2">
      <c r="S404" s="165"/>
      <c r="T404" s="166"/>
      <c r="W404" s="199" t="str">
        <f t="shared" si="14"/>
        <v>1D</v>
      </c>
      <c r="X404" s="200">
        <f>_xll.qlCalendarAdvance(Calendar,X403,W404,"f",FALSE)</f>
        <v>42368</v>
      </c>
      <c r="Y404" s="204">
        <f>_xll.qlCalendarAdvance(Calendar,X404,NDays&amp;"D")</f>
        <v>42373</v>
      </c>
      <c r="Z404" s="205">
        <v>8.8767945012183901E-3</v>
      </c>
      <c r="AA404" s="207">
        <v>8.527566693743438E-3</v>
      </c>
    </row>
    <row r="405" spans="19:27" x14ac:dyDescent="0.2">
      <c r="S405" s="165"/>
      <c r="T405" s="166"/>
      <c r="W405" s="199" t="str">
        <f t="shared" ref="W405:W468" si="15">W404</f>
        <v>1D</v>
      </c>
      <c r="X405" s="200">
        <f>_xll.qlCalendarAdvance(Calendar,X404,W405,"f",FALSE)</f>
        <v>42369</v>
      </c>
      <c r="Y405" s="204">
        <f>_xll.qlCalendarAdvance(Calendar,X405,NDays&amp;"D")</f>
        <v>42374</v>
      </c>
      <c r="Z405" s="205">
        <v>8.9035374553379735E-3</v>
      </c>
      <c r="AA405" s="207">
        <v>8.5539190363714823E-3</v>
      </c>
    </row>
    <row r="406" spans="19:27" x14ac:dyDescent="0.2">
      <c r="S406" s="165"/>
      <c r="T406" s="166"/>
      <c r="W406" s="199" t="str">
        <f t="shared" si="15"/>
        <v>1D</v>
      </c>
      <c r="X406" s="200">
        <f>_xll.qlCalendarAdvance(Calendar,X405,W406,"f",FALSE)</f>
        <v>42373</v>
      </c>
      <c r="Y406" s="204">
        <f>_xll.qlCalendarAdvance(Calendar,X406,NDays&amp;"D")</f>
        <v>42375</v>
      </c>
      <c r="Z406" s="205">
        <v>8.9574842252115872E-3</v>
      </c>
      <c r="AA406" s="207">
        <v>8.6069245685749252E-3</v>
      </c>
    </row>
    <row r="407" spans="19:27" x14ac:dyDescent="0.2">
      <c r="S407" s="165"/>
      <c r="T407" s="166"/>
      <c r="W407" s="199" t="str">
        <f t="shared" si="15"/>
        <v>1D</v>
      </c>
      <c r="X407" s="200">
        <f>_xll.qlCalendarAdvance(Calendar,X406,W407,"f",FALSE)</f>
        <v>42374</v>
      </c>
      <c r="Y407" s="204">
        <f>_xll.qlCalendarAdvance(Calendar,X407,NDays&amp;"D")</f>
        <v>42376</v>
      </c>
      <c r="Z407" s="205">
        <v>8.9707066527960899E-3</v>
      </c>
      <c r="AA407" s="207">
        <v>8.6596136480743269E-3</v>
      </c>
    </row>
    <row r="408" spans="19:27" x14ac:dyDescent="0.2">
      <c r="S408" s="165"/>
      <c r="T408" s="166"/>
      <c r="W408" s="199" t="str">
        <f t="shared" si="15"/>
        <v>1D</v>
      </c>
      <c r="X408" s="200">
        <f>_xll.qlCalendarAdvance(Calendar,X407,W408,"f",FALSE)</f>
        <v>42375</v>
      </c>
      <c r="Y408" s="204">
        <f>_xll.qlCalendarAdvance(Calendar,X408,NDays&amp;"D")</f>
        <v>42377</v>
      </c>
      <c r="Z408" s="205">
        <v>8.9839379482903325E-3</v>
      </c>
      <c r="AA408" s="207">
        <v>8.6861086112577368E-3</v>
      </c>
    </row>
    <row r="409" spans="19:27" x14ac:dyDescent="0.2">
      <c r="S409" s="165"/>
      <c r="T409" s="166"/>
      <c r="W409" s="199" t="str">
        <f t="shared" si="15"/>
        <v>1D</v>
      </c>
      <c r="X409" s="200">
        <f>_xll.qlCalendarAdvance(Calendar,X408,W409,"f",FALSE)</f>
        <v>42376</v>
      </c>
      <c r="Y409" s="204">
        <f>_xll.qlCalendarAdvance(Calendar,X409,NDays&amp;"D")</f>
        <v>42380</v>
      </c>
      <c r="Z409" s="205">
        <v>9.0645958912962243E-3</v>
      </c>
      <c r="AA409" s="207">
        <v>8.7126320986641304E-3</v>
      </c>
    </row>
    <row r="410" spans="19:27" x14ac:dyDescent="0.2">
      <c r="S410" s="165"/>
      <c r="T410" s="166"/>
      <c r="W410" s="199" t="str">
        <f t="shared" si="15"/>
        <v>1D</v>
      </c>
      <c r="X410" s="200">
        <f>_xll.qlCalendarAdvance(Calendar,X409,W410,"f",FALSE)</f>
        <v>42377</v>
      </c>
      <c r="Y410" s="204">
        <f>_xll.qlCalendarAdvance(Calendar,X410,NDays&amp;"D")</f>
        <v>42381</v>
      </c>
      <c r="Z410" s="205">
        <v>9.0915390843457622E-3</v>
      </c>
      <c r="AA410" s="207">
        <v>8.7391841101336354E-3</v>
      </c>
    </row>
    <row r="411" spans="19:27" x14ac:dyDescent="0.2">
      <c r="S411" s="165"/>
      <c r="T411" s="166"/>
      <c r="W411" s="199" t="str">
        <f t="shared" si="15"/>
        <v>1D</v>
      </c>
      <c r="X411" s="200">
        <f>_xll.qlCalendarAdvance(Calendar,X410,W411,"f",FALSE)</f>
        <v>42380</v>
      </c>
      <c r="Y411" s="204">
        <f>_xll.qlCalendarAdvance(Calendar,X411,NDays&amp;"D")</f>
        <v>42382</v>
      </c>
      <c r="Z411" s="205">
        <v>9.1596036068979508E-3</v>
      </c>
      <c r="AA411" s="207">
        <v>8.7925979536418453E-3</v>
      </c>
    </row>
    <row r="412" spans="19:27" x14ac:dyDescent="0.2">
      <c r="S412" s="165"/>
      <c r="T412" s="166"/>
      <c r="W412" s="199" t="str">
        <f t="shared" si="15"/>
        <v>1D</v>
      </c>
      <c r="X412" s="200">
        <f>_xll.qlCalendarAdvance(Calendar,X411,W412,"f",FALSE)</f>
        <v>42381</v>
      </c>
      <c r="Y412" s="204">
        <f>_xll.qlCalendarAdvance(Calendar,X412,NDays&amp;"D")</f>
        <v>42383</v>
      </c>
      <c r="Z412" s="205">
        <v>9.1729261971395075E-3</v>
      </c>
      <c r="AA412" s="207">
        <v>8.8456773977618752E-3</v>
      </c>
    </row>
    <row r="413" spans="19:27" x14ac:dyDescent="0.2">
      <c r="S413" s="165"/>
      <c r="T413" s="166"/>
      <c r="W413" s="199" t="str">
        <f t="shared" si="15"/>
        <v>1D</v>
      </c>
      <c r="X413" s="200">
        <f>_xll.qlCalendarAdvance(Calendar,X412,W413,"f",FALSE)</f>
        <v>42382</v>
      </c>
      <c r="Y413" s="204">
        <f>_xll.qlCalendarAdvance(Calendar,X413,NDays&amp;"D")</f>
        <v>42384</v>
      </c>
      <c r="Z413" s="205">
        <v>9.1862576362558568E-3</v>
      </c>
      <c r="AA413" s="207">
        <v>8.8723720300265541E-3</v>
      </c>
    </row>
    <row r="414" spans="19:27" x14ac:dyDescent="0.2">
      <c r="S414" s="165"/>
      <c r="T414" s="166"/>
      <c r="W414" s="199" t="str">
        <f t="shared" si="15"/>
        <v>1D</v>
      </c>
      <c r="X414" s="200">
        <f>_xll.qlCalendarAdvance(Calendar,X413,W414,"f",FALSE)</f>
        <v>42383</v>
      </c>
      <c r="Y414" s="204">
        <f>_xll.qlCalendarAdvance(Calendar,X414,NDays&amp;"D")</f>
        <v>42387</v>
      </c>
      <c r="Z414" s="205">
        <v>9.2809424247662954E-3</v>
      </c>
      <c r="AA414" s="207">
        <v>8.8990951865941526E-3</v>
      </c>
    </row>
    <row r="415" spans="19:27" x14ac:dyDescent="0.2">
      <c r="S415" s="165"/>
      <c r="T415" s="166"/>
      <c r="W415" s="199" t="str">
        <f t="shared" si="15"/>
        <v>1D</v>
      </c>
      <c r="X415" s="200">
        <f>_xll.qlCalendarAdvance(Calendar,X414,W415,"f",FALSE)</f>
        <v>42384</v>
      </c>
      <c r="Y415" s="204">
        <f>_xll.qlCalendarAdvance(Calendar,X415,NDays&amp;"D")</f>
        <v>42388</v>
      </c>
      <c r="Z415" s="205">
        <v>9.2809424247662954E-3</v>
      </c>
      <c r="AA415" s="207">
        <v>8.9258468672248625E-3</v>
      </c>
    </row>
    <row r="416" spans="19:27" x14ac:dyDescent="0.2">
      <c r="S416" s="165"/>
      <c r="T416" s="166"/>
      <c r="W416" s="199" t="str">
        <f t="shared" si="15"/>
        <v>1D</v>
      </c>
      <c r="X416" s="200">
        <f>_xll.qlCalendarAdvance(Calendar,X415,W416,"f",FALSE)</f>
        <v>42387</v>
      </c>
      <c r="Y416" s="204">
        <f>_xll.qlCalendarAdvance(Calendar,X416,NDays&amp;"D")</f>
        <v>42389</v>
      </c>
      <c r="Z416" s="205">
        <v>9.335709393894347E-3</v>
      </c>
      <c r="AA416" s="207">
        <v>8.9796692839083647E-3</v>
      </c>
    </row>
    <row r="417" spans="19:27" x14ac:dyDescent="0.2">
      <c r="S417" s="165"/>
      <c r="T417" s="166"/>
      <c r="W417" s="199" t="str">
        <f t="shared" si="15"/>
        <v>1D</v>
      </c>
      <c r="X417" s="200">
        <f>_xll.qlCalendarAdvance(Calendar,X416,W417,"f",FALSE)</f>
        <v>42388</v>
      </c>
      <c r="Y417" s="204">
        <f>_xll.qlCalendarAdvance(Calendar,X417,NDays&amp;"D")</f>
        <v>42390</v>
      </c>
      <c r="Z417" s="205">
        <v>9.3491224802869088E-3</v>
      </c>
      <c r="AA417" s="207">
        <v>9.0331388319775385E-3</v>
      </c>
    </row>
    <row r="418" spans="19:27" x14ac:dyDescent="0.2">
      <c r="S418" s="165"/>
      <c r="T418" s="166"/>
      <c r="W418" s="199" t="str">
        <f t="shared" si="15"/>
        <v>1D</v>
      </c>
      <c r="X418" s="200">
        <f>_xll.qlCalendarAdvance(Calendar,X417,W418,"f",FALSE)</f>
        <v>42389</v>
      </c>
      <c r="Y418" s="204">
        <f>_xll.qlCalendarAdvance(Calendar,X418,NDays&amp;"D")</f>
        <v>42391</v>
      </c>
      <c r="Z418" s="205">
        <v>9.3625443972177712E-3</v>
      </c>
      <c r="AA418" s="207">
        <v>9.0600331337231665E-3</v>
      </c>
    </row>
    <row r="419" spans="19:27" x14ac:dyDescent="0.2">
      <c r="S419" s="165"/>
      <c r="T419" s="166"/>
      <c r="W419" s="199" t="str">
        <f t="shared" si="15"/>
        <v>1D</v>
      </c>
      <c r="X419" s="200">
        <f>_xll.qlCalendarAdvance(Calendar,X418,W419,"f",FALSE)</f>
        <v>42390</v>
      </c>
      <c r="Y419" s="204">
        <f>_xll.qlCalendarAdvance(Calendar,X419,NDays&amp;"D")</f>
        <v>42394</v>
      </c>
      <c r="Z419" s="205">
        <v>9.444403844845909E-3</v>
      </c>
      <c r="AA419" s="207">
        <v>9.0869559596917782E-3</v>
      </c>
    </row>
    <row r="420" spans="19:27" x14ac:dyDescent="0.2">
      <c r="S420" s="165"/>
      <c r="T420" s="166"/>
      <c r="W420" s="199" t="str">
        <f t="shared" si="15"/>
        <v>1D</v>
      </c>
      <c r="X420" s="200">
        <f>_xll.qlCalendarAdvance(Calendar,X419,W420,"f",FALSE)</f>
        <v>42391</v>
      </c>
      <c r="Y420" s="204">
        <f>_xll.qlCalendarAdvance(Calendar,X420,NDays&amp;"D")</f>
        <v>42395</v>
      </c>
      <c r="Z420" s="205">
        <v>9.4717475450325789E-3</v>
      </c>
      <c r="AA420" s="207">
        <v>9.1139073098833734E-3</v>
      </c>
    </row>
    <row r="421" spans="19:27" x14ac:dyDescent="0.2">
      <c r="S421" s="165"/>
      <c r="T421" s="166"/>
      <c r="W421" s="199" t="str">
        <f t="shared" si="15"/>
        <v>1D</v>
      </c>
      <c r="X421" s="200">
        <f>_xll.qlCalendarAdvance(Calendar,X420,W421,"f",FALSE)</f>
        <v>42394</v>
      </c>
      <c r="Y421" s="204">
        <f>_xll.qlCalendarAdvance(Calendar,X421,NDays&amp;"D")</f>
        <v>42396</v>
      </c>
      <c r="Z421" s="205">
        <v>9.5269250522173558E-3</v>
      </c>
      <c r="AA421" s="207">
        <v>9.1681385659292403E-3</v>
      </c>
    </row>
    <row r="422" spans="19:27" x14ac:dyDescent="0.2">
      <c r="S422" s="165"/>
      <c r="T422" s="166"/>
      <c r="W422" s="199" t="str">
        <f t="shared" si="15"/>
        <v>1D</v>
      </c>
      <c r="X422" s="200">
        <f>_xll.qlCalendarAdvance(Calendar,X421,W422,"f",FALSE)</f>
        <v>42395</v>
      </c>
      <c r="Y422" s="204">
        <f>_xll.qlCalendarAdvance(Calendar,X422,NDays&amp;"D")</f>
        <v>42397</v>
      </c>
      <c r="Z422" s="205">
        <v>9.5404332710885553E-3</v>
      </c>
      <c r="AA422" s="207">
        <v>9.2219979530394625E-3</v>
      </c>
    </row>
    <row r="423" spans="19:27" x14ac:dyDescent="0.2">
      <c r="S423" s="165"/>
      <c r="T423" s="166"/>
      <c r="W423" s="199" t="str">
        <f t="shared" si="15"/>
        <v>1D</v>
      </c>
      <c r="X423" s="200">
        <f>_xll.qlCalendarAdvance(Calendar,X422,W423,"f",FALSE)</f>
        <v>42396</v>
      </c>
      <c r="Y423" s="204">
        <f>_xll.qlCalendarAdvance(Calendar,X423,NDays&amp;"D")</f>
        <v>42398</v>
      </c>
      <c r="Z423" s="205">
        <v>9.5539503013480007E-3</v>
      </c>
      <c r="AA423" s="207">
        <v>9.2490919245058478E-3</v>
      </c>
    </row>
    <row r="424" spans="19:27" x14ac:dyDescent="0.2">
      <c r="S424" s="165"/>
      <c r="T424" s="166"/>
      <c r="W424" s="199" t="str">
        <f t="shared" si="15"/>
        <v>1D</v>
      </c>
      <c r="X424" s="200">
        <f>_xll.qlCalendarAdvance(Calendar,X423,W424,"f",FALSE)</f>
        <v>42397</v>
      </c>
      <c r="Y424" s="204">
        <f>_xll.qlCalendarAdvance(Calendar,X424,NDays&amp;"D")</f>
        <v>42401</v>
      </c>
      <c r="Z424" s="205">
        <v>9.6084960701503519E-3</v>
      </c>
      <c r="AA424" s="207">
        <v>9.2762144201952168E-3</v>
      </c>
    </row>
    <row r="425" spans="19:27" x14ac:dyDescent="0.2">
      <c r="S425" s="165"/>
      <c r="T425" s="166"/>
      <c r="W425" s="199" t="str">
        <f t="shared" si="15"/>
        <v>1D</v>
      </c>
      <c r="X425" s="200">
        <f>_xll.qlCalendarAdvance(Calendar,X424,W425,"f",FALSE)</f>
        <v>42398</v>
      </c>
      <c r="Y425" s="204">
        <f>_xll.qlCalendarAdvance(Calendar,X425,NDays&amp;"D")</f>
        <v>42402</v>
      </c>
      <c r="Z425" s="205">
        <v>9.6360099577020887E-3</v>
      </c>
      <c r="AA425" s="207">
        <v>9.3033654401875054E-3</v>
      </c>
    </row>
    <row r="426" spans="19:27" x14ac:dyDescent="0.2">
      <c r="S426" s="165"/>
      <c r="T426" s="166"/>
      <c r="W426" s="199" t="str">
        <f t="shared" si="15"/>
        <v>1D</v>
      </c>
      <c r="X426" s="200">
        <f>_xll.qlCalendarAdvance(Calendar,X425,W426,"f",FALSE)</f>
        <v>42401</v>
      </c>
      <c r="Y426" s="204">
        <f>_xll.qlCalendarAdvance(Calendar,X426,NDays&amp;"D")</f>
        <v>42403</v>
      </c>
      <c r="Z426" s="205">
        <v>9.6635524498842138E-3</v>
      </c>
      <c r="AA426" s="207">
        <v>9.3580058062325833E-3</v>
      </c>
    </row>
    <row r="427" spans="19:27" x14ac:dyDescent="0.2">
      <c r="S427" s="165"/>
      <c r="T427" s="166"/>
      <c r="W427" s="199" t="str">
        <f t="shared" si="15"/>
        <v>1D</v>
      </c>
      <c r="X427" s="200">
        <f>_xll.qlCalendarAdvance(Calendar,X426,W427,"f",FALSE)</f>
        <v>42402</v>
      </c>
      <c r="Y427" s="204">
        <f>_xll.qlCalendarAdvance(Calendar,X427,NDays&amp;"D")</f>
        <v>42404</v>
      </c>
      <c r="Z427" s="205">
        <v>9.6911235468924335E-3</v>
      </c>
      <c r="AA427" s="207">
        <v>9.4122547631059206E-3</v>
      </c>
    </row>
    <row r="428" spans="19:27" x14ac:dyDescent="0.2">
      <c r="S428" s="165"/>
      <c r="T428" s="166"/>
      <c r="W428" s="199" t="str">
        <f t="shared" si="15"/>
        <v>1D</v>
      </c>
      <c r="X428" s="200">
        <f>_xll.qlCalendarAdvance(Calendar,X427,W428,"f",FALSE)</f>
        <v>42403</v>
      </c>
      <c r="Y428" s="204">
        <f>_xll.qlCalendarAdvance(Calendar,X428,NDays&amp;"D")</f>
        <v>42405</v>
      </c>
      <c r="Z428" s="205">
        <v>9.7467580839624979E-3</v>
      </c>
      <c r="AA428" s="207">
        <v>9.4395484045328715E-3</v>
      </c>
    </row>
    <row r="429" spans="19:27" x14ac:dyDescent="0.2">
      <c r="S429" s="165"/>
      <c r="T429" s="166"/>
      <c r="W429" s="199" t="str">
        <f t="shared" si="15"/>
        <v>1D</v>
      </c>
      <c r="X429" s="200">
        <f>_xll.qlCalendarAdvance(Calendar,X428,W429,"f",FALSE)</f>
        <v>42404</v>
      </c>
      <c r="Y429" s="204">
        <f>_xll.qlCalendarAdvance(Calendar,X429,NDays&amp;"D")</f>
        <v>42408</v>
      </c>
      <c r="Z429" s="205">
        <v>9.8016939869735673E-3</v>
      </c>
      <c r="AA429" s="207">
        <v>9.4668705703426781E-3</v>
      </c>
    </row>
    <row r="430" spans="19:27" x14ac:dyDescent="0.2">
      <c r="S430" s="165"/>
      <c r="T430" s="166"/>
      <c r="W430" s="199" t="str">
        <f t="shared" si="15"/>
        <v>1D</v>
      </c>
      <c r="X430" s="200">
        <f>_xll.qlCalendarAdvance(Calendar,X429,W430,"f",FALSE)</f>
        <v>42405</v>
      </c>
      <c r="Y430" s="204">
        <f>_xll.qlCalendarAdvance(Calendar,X430,NDays&amp;"D")</f>
        <v>42409</v>
      </c>
      <c r="Z430" s="205">
        <v>9.8294081109568786E-3</v>
      </c>
      <c r="AA430" s="207">
        <v>9.4942212604554044E-3</v>
      </c>
    </row>
    <row r="431" spans="19:27" x14ac:dyDescent="0.2">
      <c r="S431" s="165"/>
      <c r="T431" s="166"/>
      <c r="W431" s="199" t="str">
        <f t="shared" si="15"/>
        <v>1D</v>
      </c>
      <c r="X431" s="200">
        <f>_xll.qlCalendarAdvance(Calendar,X430,W431,"f",FALSE)</f>
        <v>42408</v>
      </c>
      <c r="Y431" s="204">
        <f>_xll.qlCalendarAdvance(Calendar,X431,NDays&amp;"D")</f>
        <v>42410</v>
      </c>
      <c r="Z431" s="205">
        <v>9.8571508409129524E-3</v>
      </c>
      <c r="AA431" s="207">
        <v>9.5492710114797319E-3</v>
      </c>
    </row>
    <row r="432" spans="19:27" x14ac:dyDescent="0.2">
      <c r="S432" s="165"/>
      <c r="T432" s="166"/>
      <c r="W432" s="199" t="str">
        <f t="shared" si="15"/>
        <v>1D</v>
      </c>
      <c r="X432" s="200">
        <f>_xll.qlCalendarAdvance(Calendar,X431,W432,"f",FALSE)</f>
        <v>42409</v>
      </c>
      <c r="Y432" s="204">
        <f>_xll.qlCalendarAdvance(Calendar,X432,NDays&amp;"D")</f>
        <v>42411</v>
      </c>
      <c r="Z432" s="205">
        <v>9.8849221770237125E-3</v>
      </c>
      <c r="AA432" s="207">
        <v>9.6039092642552504E-3</v>
      </c>
    </row>
    <row r="433" spans="19:27" x14ac:dyDescent="0.2">
      <c r="S433" s="165"/>
      <c r="T433" s="166"/>
      <c r="W433" s="199" t="str">
        <f t="shared" si="15"/>
        <v>1D</v>
      </c>
      <c r="X433" s="200">
        <f>_xll.qlCalendarAdvance(Calendar,X432,W433,"f",FALSE)</f>
        <v>42410</v>
      </c>
      <c r="Y433" s="204">
        <f>_xll.qlCalendarAdvance(Calendar,X433,NDays&amp;"D")</f>
        <v>42412</v>
      </c>
      <c r="Z433" s="205">
        <v>9.9409678147216636E-3</v>
      </c>
      <c r="AA433" s="207">
        <v>9.6314025760424471E-3</v>
      </c>
    </row>
    <row r="434" spans="19:27" x14ac:dyDescent="0.2">
      <c r="S434" s="165"/>
      <c r="T434" s="166"/>
      <c r="W434" s="199" t="str">
        <f t="shared" si="15"/>
        <v>1D</v>
      </c>
      <c r="X434" s="200">
        <f>_xll.qlCalendarAdvance(Calendar,X433,W434,"f",FALSE)</f>
        <v>42411</v>
      </c>
      <c r="Y434" s="204">
        <f>_xll.qlCalendarAdvance(Calendar,X434,NDays&amp;"D")</f>
        <v>42415</v>
      </c>
      <c r="Z434" s="205">
        <v>1.0024207956692373E-2</v>
      </c>
      <c r="AA434" s="207">
        <v>9.6589244122924356E-3</v>
      </c>
    </row>
    <row r="435" spans="19:27" x14ac:dyDescent="0.2">
      <c r="S435" s="165"/>
      <c r="T435" s="166"/>
      <c r="W435" s="199" t="str">
        <f t="shared" si="15"/>
        <v>1D</v>
      </c>
      <c r="X435" s="200">
        <f>_xll.qlCalendarAdvance(Calendar,X434,W435,"f",FALSE)</f>
        <v>42412</v>
      </c>
      <c r="Y435" s="204">
        <f>_xll.qlCalendarAdvance(Calendar,X435,NDays&amp;"D")</f>
        <v>42416</v>
      </c>
      <c r="Z435" s="205">
        <v>1.0024207956692373E-2</v>
      </c>
      <c r="AA435" s="207">
        <v>9.6864747728453438E-3</v>
      </c>
    </row>
    <row r="436" spans="19:27" x14ac:dyDescent="0.2">
      <c r="S436" s="165"/>
      <c r="T436" s="166"/>
      <c r="W436" s="199" t="str">
        <f t="shared" si="15"/>
        <v>1D</v>
      </c>
      <c r="X436" s="200">
        <f>_xll.qlCalendarAdvance(Calendar,X435,W436,"f",FALSE)</f>
        <v>42415</v>
      </c>
      <c r="Y436" s="204">
        <f>_xll.qlCalendarAdvance(Calendar,X436,NDays&amp;"D")</f>
        <v>42417</v>
      </c>
      <c r="Z436" s="205">
        <v>1.0052150933791453E-2</v>
      </c>
      <c r="AA436" s="207">
        <v>9.741934188385315E-3</v>
      </c>
    </row>
    <row r="437" spans="19:27" x14ac:dyDescent="0.2">
      <c r="S437" s="165"/>
      <c r="T437" s="166"/>
      <c r="W437" s="199" t="str">
        <f t="shared" si="15"/>
        <v>1D</v>
      </c>
      <c r="X437" s="200">
        <f>_xll.qlCalendarAdvance(Calendar,X436,W437,"f",FALSE)</f>
        <v>42416</v>
      </c>
      <c r="Y437" s="204">
        <f>_xll.qlCalendarAdvance(Calendar,X437,NDays&amp;"D")</f>
        <v>42418</v>
      </c>
      <c r="Z437" s="205">
        <v>1.0080122518393105E-2</v>
      </c>
      <c r="AA437" s="207">
        <v>9.7969614588855336E-3</v>
      </c>
    </row>
    <row r="438" spans="19:27" x14ac:dyDescent="0.2">
      <c r="S438" s="165"/>
      <c r="T438" s="166"/>
      <c r="W438" s="199" t="str">
        <f t="shared" si="15"/>
        <v>1D</v>
      </c>
      <c r="X438" s="200">
        <f>_xll.qlCalendarAdvance(Calendar,X437,W438,"f",FALSE)</f>
        <v>42417</v>
      </c>
      <c r="Y438" s="204">
        <f>_xll.qlCalendarAdvance(Calendar,X438,NDays&amp;"D")</f>
        <v>42419</v>
      </c>
      <c r="Z438" s="205">
        <v>1.0136579563801627E-2</v>
      </c>
      <c r="AA438" s="207">
        <v>9.8246544413527204E-3</v>
      </c>
    </row>
    <row r="439" spans="19:27" x14ac:dyDescent="0.2">
      <c r="S439" s="165"/>
      <c r="T439" s="166"/>
      <c r="W439" s="199" t="str">
        <f t="shared" si="15"/>
        <v>1D</v>
      </c>
      <c r="X439" s="200">
        <f>_xll.qlCalendarAdvance(Calendar,X438,W439,"f",FALSE)</f>
        <v>42418</v>
      </c>
      <c r="Y439" s="204">
        <f>_xll.qlCalendarAdvance(Calendar,X439,NDays&amp;"D")</f>
        <v>42422</v>
      </c>
      <c r="Z439" s="205">
        <v>1.0192294935714757E-2</v>
      </c>
      <c r="AA439" s="207">
        <v>9.8523759482027629E-3</v>
      </c>
    </row>
    <row r="440" spans="19:27" x14ac:dyDescent="0.2">
      <c r="S440" s="165"/>
      <c r="T440" s="166"/>
      <c r="W440" s="199" t="str">
        <f t="shared" si="15"/>
        <v>1D</v>
      </c>
      <c r="X440" s="200">
        <f>_xll.qlCalendarAdvance(Calendar,X439,W440,"f",FALSE)</f>
        <v>42419</v>
      </c>
      <c r="Y440" s="204">
        <f>_xll.qlCalendarAdvance(Calendar,X440,NDays&amp;"D")</f>
        <v>42423</v>
      </c>
      <c r="Z440" s="205">
        <v>1.0220409560740053E-2</v>
      </c>
      <c r="AA440" s="207">
        <v>9.8801259795955332E-3</v>
      </c>
    </row>
    <row r="441" spans="19:27" x14ac:dyDescent="0.2">
      <c r="S441" s="165"/>
      <c r="T441" s="166"/>
      <c r="W441" s="199" t="str">
        <f t="shared" si="15"/>
        <v>1D</v>
      </c>
      <c r="X441" s="200">
        <f>_xll.qlCalendarAdvance(Calendar,X440,W441,"f",FALSE)</f>
        <v>42422</v>
      </c>
      <c r="Y441" s="204">
        <f>_xll.qlCalendarAdvance(Calendar,X441,NDays&amp;"D")</f>
        <v>42424</v>
      </c>
      <c r="Z441" s="205">
        <v>1.0248552794428373E-2</v>
      </c>
      <c r="AA441" s="207">
        <v>9.9359953436106707E-3</v>
      </c>
    </row>
    <row r="442" spans="19:27" x14ac:dyDescent="0.2">
      <c r="S442" s="165"/>
      <c r="T442" s="166"/>
      <c r="W442" s="199" t="str">
        <f t="shared" si="15"/>
        <v>1D</v>
      </c>
      <c r="X442" s="200">
        <f>_xll.qlCalendarAdvance(Calendar,X441,W442,"f",FALSE)</f>
        <v>42423</v>
      </c>
      <c r="Y442" s="204">
        <f>_xll.qlCalendarAdvance(Calendar,X442,NDays&amp;"D")</f>
        <v>42425</v>
      </c>
      <c r="Z442" s="205">
        <v>1.0334042198219994E-2</v>
      </c>
      <c r="AA442" s="207">
        <v>9.9914113491550438E-3</v>
      </c>
    </row>
    <row r="443" spans="19:27" x14ac:dyDescent="0.2">
      <c r="S443" s="165"/>
      <c r="T443" s="166"/>
      <c r="W443" s="199" t="str">
        <f t="shared" si="15"/>
        <v>1D</v>
      </c>
      <c r="X443" s="200">
        <f>_xll.qlCalendarAdvance(Calendar,X442,W443,"f",FALSE)</f>
        <v>42424</v>
      </c>
      <c r="Y443" s="204">
        <f>_xll.qlCalendarAdvance(Calendar,X443,NDays&amp;"D")</f>
        <v>42426</v>
      </c>
      <c r="Z443" s="205">
        <v>1.0347943082881228E-2</v>
      </c>
      <c r="AA443" s="207">
        <v>1.0019304002621965E-2</v>
      </c>
    </row>
    <row r="444" spans="19:27" x14ac:dyDescent="0.2">
      <c r="S444" s="165"/>
      <c r="T444" s="166"/>
      <c r="W444" s="199" t="str">
        <f t="shared" si="15"/>
        <v>1D</v>
      </c>
      <c r="X444" s="200">
        <f>_xll.qlCalendarAdvance(Calendar,X443,W444,"f",FALSE)</f>
        <v>42425</v>
      </c>
      <c r="Y444" s="204">
        <f>_xll.qlCalendarAdvance(Calendar,X444,NDays&amp;"D")</f>
        <v>42429</v>
      </c>
      <c r="Z444" s="205">
        <v>1.0418457132445441E-2</v>
      </c>
      <c r="AA444" s="207">
        <v>1.0047225180551678E-2</v>
      </c>
    </row>
    <row r="445" spans="19:27" x14ac:dyDescent="0.2">
      <c r="S445" s="165"/>
      <c r="T445" s="166"/>
      <c r="W445" s="199" t="str">
        <f t="shared" si="15"/>
        <v>1D</v>
      </c>
      <c r="X445" s="200">
        <f>_xll.qlCalendarAdvance(Calendar,X444,W445,"f",FALSE)</f>
        <v>42426</v>
      </c>
      <c r="Y445" s="204">
        <f>_xll.qlCalendarAdvance(Calendar,X445,NDays&amp;"D")</f>
        <v>42430</v>
      </c>
      <c r="Z445" s="205">
        <v>1.0446802274634981E-2</v>
      </c>
      <c r="AA445" s="207">
        <v>1.0075174882944182E-2</v>
      </c>
    </row>
    <row r="446" spans="19:27" x14ac:dyDescent="0.2">
      <c r="S446" s="165"/>
      <c r="T446" s="166"/>
      <c r="W446" s="199" t="str">
        <f t="shared" si="15"/>
        <v>1D</v>
      </c>
      <c r="X446" s="200">
        <f>_xll.qlCalendarAdvance(Calendar,X445,W446,"f",FALSE)</f>
        <v>42429</v>
      </c>
      <c r="Y446" s="204">
        <f>_xll.qlCalendarAdvance(Calendar,X446,NDays&amp;"D")</f>
        <v>42431</v>
      </c>
      <c r="Z446" s="205">
        <v>1.0504037041762454E-2</v>
      </c>
      <c r="AA446" s="207">
        <v>1.0131454484003655E-2</v>
      </c>
    </row>
    <row r="447" spans="19:27" x14ac:dyDescent="0.2">
      <c r="S447" s="165"/>
      <c r="T447" s="166"/>
      <c r="W447" s="199" t="str">
        <f t="shared" si="15"/>
        <v>1D</v>
      </c>
      <c r="X447" s="200">
        <f>_xll.qlCalendarAdvance(Calendar,X446,W447,"f",FALSE)</f>
        <v>42430</v>
      </c>
      <c r="Y447" s="204">
        <f>_xll.qlCalendarAdvance(Calendar,X447,NDays&amp;"D")</f>
        <v>42432</v>
      </c>
      <c r="Z447" s="205">
        <v>1.0518018865471046E-2</v>
      </c>
      <c r="AA447" s="207">
        <v>1.0187258937301991E-2</v>
      </c>
    </row>
    <row r="448" spans="19:27" x14ac:dyDescent="0.2">
      <c r="S448" s="165"/>
      <c r="T448" s="166"/>
      <c r="W448" s="199" t="str">
        <f t="shared" si="15"/>
        <v>1D</v>
      </c>
      <c r="X448" s="200">
        <f>_xll.qlCalendarAdvance(Calendar,X447,W448,"f",FALSE)</f>
        <v>42431</v>
      </c>
      <c r="Y448" s="204">
        <f>_xll.qlCalendarAdvance(Calendar,X448,NDays&amp;"D")</f>
        <v>42433</v>
      </c>
      <c r="Z448" s="205">
        <v>1.0532009400127071E-2</v>
      </c>
      <c r="AA448" s="207">
        <v>1.021535126208839E-2</v>
      </c>
    </row>
    <row r="449" spans="19:27" x14ac:dyDescent="0.2">
      <c r="S449" s="165"/>
      <c r="T449" s="166"/>
      <c r="W449" s="199" t="str">
        <f t="shared" si="15"/>
        <v>1D</v>
      </c>
      <c r="X449" s="200">
        <f>_xll.qlCalendarAdvance(Calendar,X448,W449,"f",FALSE)</f>
        <v>42432</v>
      </c>
      <c r="Y449" s="204">
        <f>_xll.qlCalendarAdvance(Calendar,X449,NDays&amp;"D")</f>
        <v>42436</v>
      </c>
      <c r="Z449" s="205">
        <v>1.0617474078408578E-2</v>
      </c>
      <c r="AA449" s="207">
        <v>1.0243472111417518E-2</v>
      </c>
    </row>
    <row r="450" spans="19:27" x14ac:dyDescent="0.2">
      <c r="S450" s="165"/>
      <c r="T450" s="166"/>
      <c r="W450" s="199" t="str">
        <f t="shared" si="15"/>
        <v>1D</v>
      </c>
      <c r="X450" s="200">
        <f>_xll.qlCalendarAdvance(Calendar,X449,W450,"f",FALSE)</f>
        <v>42433</v>
      </c>
      <c r="Y450" s="204">
        <f>_xll.qlCalendarAdvance(Calendar,X450,NDays&amp;"D")</f>
        <v>42437</v>
      </c>
      <c r="Z450" s="205">
        <v>1.0646019539435767E-2</v>
      </c>
      <c r="AA450" s="207">
        <v>1.0271621485209437E-2</v>
      </c>
    </row>
    <row r="451" spans="19:27" x14ac:dyDescent="0.2">
      <c r="S451" s="165"/>
      <c r="T451" s="166"/>
      <c r="W451" s="199" t="str">
        <f t="shared" si="15"/>
        <v>1D</v>
      </c>
      <c r="X451" s="200">
        <f>_xll.qlCalendarAdvance(Calendar,X450,W451,"f",FALSE)</f>
        <v>42436</v>
      </c>
      <c r="Y451" s="204">
        <f>_xll.qlCalendarAdvance(Calendar,X451,NDays&amp;"D")</f>
        <v>42438</v>
      </c>
      <c r="Z451" s="205">
        <v>1.0703666705442155E-2</v>
      </c>
      <c r="AA451" s="207">
        <v>1.0328311616385477E-2</v>
      </c>
    </row>
    <row r="452" spans="19:27" x14ac:dyDescent="0.2">
      <c r="S452" s="165"/>
      <c r="T452" s="166"/>
      <c r="W452" s="199" t="str">
        <f t="shared" si="15"/>
        <v>1D</v>
      </c>
      <c r="X452" s="200">
        <f>_xll.qlCalendarAdvance(Calendar,X451,W452,"f",FALSE)</f>
        <v>42437</v>
      </c>
      <c r="Y452" s="204">
        <f>_xll.qlCalendarAdvance(Calendar,X452,NDays&amp;"D")</f>
        <v>42439</v>
      </c>
      <c r="Z452" s="205">
        <v>1.0717742822896059E-2</v>
      </c>
      <c r="AA452" s="207">
        <v>1.038450422564452E-2</v>
      </c>
    </row>
    <row r="453" spans="19:27" x14ac:dyDescent="0.2">
      <c r="S453" s="165"/>
      <c r="T453" s="166"/>
      <c r="W453" s="199" t="str">
        <f t="shared" si="15"/>
        <v>1D</v>
      </c>
      <c r="X453" s="200">
        <f>_xll.qlCalendarAdvance(Calendar,X452,W453,"f",FALSE)</f>
        <v>42438</v>
      </c>
      <c r="Y453" s="204">
        <f>_xll.qlCalendarAdvance(Calendar,X453,NDays&amp;"D")</f>
        <v>42440</v>
      </c>
      <c r="Z453" s="205">
        <v>1.0731827630256969E-2</v>
      </c>
      <c r="AA453" s="207">
        <v>1.0412796222150078E-2</v>
      </c>
    </row>
    <row r="454" spans="19:27" x14ac:dyDescent="0.2">
      <c r="S454" s="165"/>
      <c r="T454" s="166"/>
      <c r="W454" s="199" t="str">
        <f t="shared" si="15"/>
        <v>1D</v>
      </c>
      <c r="X454" s="200">
        <f>_xll.qlCalendarAdvance(Calendar,X453,W454,"f",FALSE)</f>
        <v>42439</v>
      </c>
      <c r="Y454" s="204">
        <f>_xll.qlCalendarAdvance(Calendar,X454,NDays&amp;"D")</f>
        <v>42443</v>
      </c>
      <c r="Z454" s="205">
        <v>1.0817893287126661E-2</v>
      </c>
      <c r="AA454" s="207">
        <v>1.0441116743118428E-2</v>
      </c>
    </row>
    <row r="455" spans="19:27" x14ac:dyDescent="0.2">
      <c r="S455" s="165"/>
      <c r="T455" s="166"/>
      <c r="W455" s="199" t="str">
        <f t="shared" si="15"/>
        <v>1D</v>
      </c>
      <c r="X455" s="200">
        <f>_xll.qlCalendarAdvance(Calendar,X454,W455,"f",FALSE)</f>
        <v>42440</v>
      </c>
      <c r="Y455" s="204">
        <f>_xll.qlCalendarAdvance(Calendar,X455,NDays&amp;"D")</f>
        <v>42444</v>
      </c>
      <c r="Z455" s="205">
        <v>1.0846639077303247E-2</v>
      </c>
      <c r="AA455" s="207">
        <v>1.0469465788709442E-2</v>
      </c>
    </row>
    <row r="456" spans="19:27" x14ac:dyDescent="0.2">
      <c r="S456" s="165"/>
      <c r="T456" s="166"/>
      <c r="W456" s="199" t="str">
        <f t="shared" si="15"/>
        <v>1D</v>
      </c>
      <c r="X456" s="200">
        <f>_xll.qlCalendarAdvance(Calendar,X455,W456,"f",FALSE)</f>
        <v>42443</v>
      </c>
      <c r="Y456" s="204">
        <f>_xll.qlCalendarAdvance(Calendar,X456,NDays&amp;"D")</f>
        <v>42445</v>
      </c>
      <c r="Z456" s="205">
        <v>1.0904698968956921E-2</v>
      </c>
      <c r="AA456" s="207">
        <v>1.0526566747603994E-2</v>
      </c>
    </row>
    <row r="457" spans="19:27" x14ac:dyDescent="0.2">
      <c r="S457" s="165"/>
      <c r="T457" s="166"/>
      <c r="W457" s="199" t="str">
        <f t="shared" si="15"/>
        <v>1D</v>
      </c>
      <c r="X457" s="200">
        <f>_xll.qlCalendarAdvance(Calendar,X456,W457,"f",FALSE)</f>
        <v>42444</v>
      </c>
      <c r="Y457" s="204">
        <f>_xll.qlCalendarAdvance(Calendar,X457,NDays&amp;"D")</f>
        <v>42446</v>
      </c>
      <c r="Z457" s="205">
        <v>1.0918869232438011E-2</v>
      </c>
      <c r="AA457" s="207">
        <v>1.0583147216500777E-2</v>
      </c>
    </row>
    <row r="458" spans="19:27" x14ac:dyDescent="0.2">
      <c r="S458" s="165"/>
      <c r="T458" s="166"/>
      <c r="W458" s="199" t="str">
        <f t="shared" si="15"/>
        <v>1D</v>
      </c>
      <c r="X458" s="200">
        <f>_xll.qlCalendarAdvance(Calendar,X457,W458,"f",FALSE)</f>
        <v>42445</v>
      </c>
      <c r="Y458" s="204">
        <f>_xll.qlCalendarAdvance(Calendar,X458,NDays&amp;"D")</f>
        <v>42447</v>
      </c>
      <c r="Z458" s="205">
        <v>1.0933048164458439E-2</v>
      </c>
      <c r="AA458" s="207">
        <v>1.0611638885045238E-2</v>
      </c>
    </row>
    <row r="459" spans="19:27" x14ac:dyDescent="0.2">
      <c r="S459" s="165"/>
      <c r="T459" s="166"/>
      <c r="W459" s="199" t="str">
        <f t="shared" si="15"/>
        <v>1D</v>
      </c>
      <c r="X459" s="200">
        <f>_xll.qlCalendarAdvance(Calendar,X458,W459,"f",FALSE)</f>
        <v>42446</v>
      </c>
      <c r="Y459" s="204">
        <f>_xll.qlCalendarAdvance(Calendar,X459,NDays&amp;"D")</f>
        <v>42450</v>
      </c>
      <c r="Z459" s="205">
        <v>1.1019714831016599E-2</v>
      </c>
      <c r="AA459" s="207">
        <v>1.0640159077972555E-2</v>
      </c>
    </row>
    <row r="460" spans="19:27" x14ac:dyDescent="0.2">
      <c r="S460" s="165"/>
      <c r="T460" s="166"/>
      <c r="W460" s="199" t="str">
        <f t="shared" si="15"/>
        <v>1D</v>
      </c>
      <c r="X460" s="200">
        <f>_xll.qlCalendarAdvance(Calendar,X459,W460,"f",FALSE)</f>
        <v>42447</v>
      </c>
      <c r="Y460" s="204">
        <f>_xll.qlCalendarAdvance(Calendar,X460,NDays&amp;"D")</f>
        <v>42451</v>
      </c>
      <c r="Z460" s="205">
        <v>1.1048660960731692E-2</v>
      </c>
      <c r="AA460" s="207">
        <v>1.0726558486895854E-2</v>
      </c>
    </row>
    <row r="461" spans="19:27" x14ac:dyDescent="0.2">
      <c r="S461" s="165"/>
      <c r="T461" s="166"/>
      <c r="W461" s="199" t="str">
        <f t="shared" si="15"/>
        <v>1D</v>
      </c>
      <c r="X461" s="200">
        <f>_xll.qlCalendarAdvance(Calendar,X460,W461,"f",FALSE)</f>
        <v>42450</v>
      </c>
      <c r="Y461" s="204">
        <f>_xll.qlCalendarAdvance(Calendar,X461,NDays&amp;"D")</f>
        <v>42452</v>
      </c>
      <c r="Z461" s="205">
        <v>1.1107133909643676E-2</v>
      </c>
      <c r="AA461" s="207">
        <v>1.081187925301208E-2</v>
      </c>
    </row>
    <row r="462" spans="19:27" x14ac:dyDescent="0.2">
      <c r="S462" s="165"/>
      <c r="T462" s="166"/>
      <c r="W462" s="199" t="str">
        <f t="shared" si="15"/>
        <v>1D</v>
      </c>
      <c r="X462" s="200">
        <f>_xll.qlCalendarAdvance(Calendar,X461,W462,"f",FALSE)</f>
        <v>42451</v>
      </c>
      <c r="Y462" s="204">
        <f>_xll.qlCalendarAdvance(Calendar,X462,NDays&amp;"D")</f>
        <v>42453</v>
      </c>
      <c r="Z462" s="205">
        <v>1.1121398169116892E-2</v>
      </c>
      <c r="AA462" s="207">
        <v>1.084059911837798E-2</v>
      </c>
    </row>
    <row r="463" spans="19:27" x14ac:dyDescent="0.2">
      <c r="S463" s="165"/>
      <c r="T463" s="166"/>
      <c r="W463" s="199" t="str">
        <f t="shared" si="15"/>
        <v>1D</v>
      </c>
      <c r="X463" s="200">
        <f>_xll.qlCalendarAdvance(Calendar,X462,W463,"f",FALSE)</f>
        <v>42452</v>
      </c>
      <c r="Y463" s="204">
        <f>_xll.qlCalendarAdvance(Calendar,X463,NDays&amp;"D")</f>
        <v>42458</v>
      </c>
      <c r="Z463" s="205">
        <v>1.1252085262715615E-2</v>
      </c>
      <c r="AA463" s="207">
        <v>1.0869347508366545E-2</v>
      </c>
    </row>
    <row r="464" spans="19:27" x14ac:dyDescent="0.2">
      <c r="S464" s="165"/>
      <c r="T464" s="166"/>
      <c r="W464" s="199" t="str">
        <f t="shared" si="15"/>
        <v>1D</v>
      </c>
      <c r="X464" s="200">
        <f>_xll.qlCalendarAdvance(Calendar,X463,W464,"f",FALSE)</f>
        <v>42453</v>
      </c>
      <c r="Y464" s="204">
        <f>_xll.qlCalendarAdvance(Calendar,X464,NDays&amp;"D")</f>
        <v>42459</v>
      </c>
      <c r="Z464" s="205">
        <v>1.1266420431993218E-2</v>
      </c>
      <c r="AA464" s="207">
        <v>1.0927271034315567E-2</v>
      </c>
    </row>
    <row r="465" spans="19:27" x14ac:dyDescent="0.2">
      <c r="S465" s="165"/>
      <c r="T465" s="166"/>
      <c r="W465" s="199" t="str">
        <f t="shared" si="15"/>
        <v>1D</v>
      </c>
      <c r="X465" s="200">
        <f>_xll.qlCalendarAdvance(Calendar,X464,W465,"f",FALSE)</f>
        <v>42458</v>
      </c>
      <c r="Y465" s="204">
        <f>_xll.qlCalendarAdvance(Calendar,X465,NDays&amp;"D")</f>
        <v>42460</v>
      </c>
      <c r="Z465" s="205">
        <v>1.1280764230447226E-2</v>
      </c>
      <c r="AA465" s="207">
        <v>1.0984626315106993E-2</v>
      </c>
    </row>
    <row r="466" spans="19:27" x14ac:dyDescent="0.2">
      <c r="S466" s="165"/>
      <c r="T466" s="166"/>
      <c r="W466" s="199" t="str">
        <f t="shared" si="15"/>
        <v>1D</v>
      </c>
      <c r="X466" s="200">
        <f>_xll.qlCalendarAdvance(Calendar,X465,W466,"f",FALSE)</f>
        <v>42459</v>
      </c>
      <c r="Y466" s="204">
        <f>_xll.qlCalendarAdvance(Calendar,X466,NDays&amp;"D")</f>
        <v>42461</v>
      </c>
      <c r="Z466" s="205">
        <v>1.1354577288135437E-2</v>
      </c>
      <c r="AA466" s="207">
        <v>1.1013517328448685E-2</v>
      </c>
    </row>
    <row r="467" spans="19:27" x14ac:dyDescent="0.2">
      <c r="S467" s="165"/>
      <c r="T467" s="166"/>
      <c r="W467" s="199" t="str">
        <f t="shared" si="15"/>
        <v>1D</v>
      </c>
      <c r="X467" s="200">
        <f>_xll.qlCalendarAdvance(Calendar,X466,W467,"f",FALSE)</f>
        <v>42460</v>
      </c>
      <c r="Y467" s="204">
        <f>_xll.qlCalendarAdvance(Calendar,X467,NDays&amp;"D")</f>
        <v>42464</v>
      </c>
      <c r="Z467" s="205">
        <v>1.1412649121515628E-2</v>
      </c>
      <c r="AA467" s="207">
        <v>1.1042436866492977E-2</v>
      </c>
    </row>
    <row r="468" spans="19:27" x14ac:dyDescent="0.2">
      <c r="S468" s="165"/>
      <c r="T468" s="166"/>
      <c r="W468" s="199" t="str">
        <f t="shared" si="15"/>
        <v>1D</v>
      </c>
      <c r="X468" s="200">
        <f>_xll.qlCalendarAdvance(Calendar,X467,W468,"f",FALSE)</f>
        <v>42461</v>
      </c>
      <c r="Y468" s="204">
        <f>_xll.qlCalendarAdvance(Calendar,X468,NDays&amp;"D")</f>
        <v>42465</v>
      </c>
      <c r="Z468" s="205">
        <v>1.1441980719122391E-2</v>
      </c>
      <c r="AA468" s="207">
        <v>1.1071384929319805E-2</v>
      </c>
    </row>
    <row r="469" spans="19:27" x14ac:dyDescent="0.2">
      <c r="S469" s="165"/>
      <c r="T469" s="166"/>
      <c r="W469" s="199" t="str">
        <f t="shared" ref="W469:W532" si="16">W468</f>
        <v>1D</v>
      </c>
      <c r="X469" s="200">
        <f>_xll.qlCalendarAdvance(Calendar,X468,W469,"f",FALSE)</f>
        <v>42464</v>
      </c>
      <c r="Y469" s="204">
        <f>_xll.qlCalendarAdvance(Calendar,X469,NDays&amp;"D")</f>
        <v>42466</v>
      </c>
      <c r="Z469" s="205">
        <v>1.147134093711788E-2</v>
      </c>
      <c r="AA469" s="207">
        <v>1.1129720203850724E-2</v>
      </c>
    </row>
    <row r="470" spans="19:27" x14ac:dyDescent="0.2">
      <c r="S470" s="165"/>
      <c r="T470" s="166"/>
      <c r="W470" s="199" t="str">
        <f t="shared" si="16"/>
        <v>1D</v>
      </c>
      <c r="X470" s="200">
        <f>_xll.qlCalendarAdvance(Calendar,X469,W470,"f",FALSE)</f>
        <v>42465</v>
      </c>
      <c r="Y470" s="204">
        <f>_xll.qlCalendarAdvance(Calendar,X470,NDays&amp;"D")</f>
        <v>42467</v>
      </c>
      <c r="Z470" s="205">
        <v>1.1530663926590801E-2</v>
      </c>
      <c r="AA470" s="207">
        <v>1.1187462427493244E-2</v>
      </c>
    </row>
    <row r="471" spans="19:27" x14ac:dyDescent="0.2">
      <c r="S471" s="165"/>
      <c r="T471" s="166"/>
      <c r="W471" s="199" t="str">
        <f t="shared" si="16"/>
        <v>1D</v>
      </c>
      <c r="X471" s="200">
        <f>_xll.qlCalendarAdvance(Calendar,X470,W471,"f",FALSE)</f>
        <v>42466</v>
      </c>
      <c r="Y471" s="204">
        <f>_xll.qlCalendarAdvance(Calendar,X471,NDays&amp;"D")</f>
        <v>42468</v>
      </c>
      <c r="Z471" s="205">
        <v>1.1545124321127989E-2</v>
      </c>
      <c r="AA471" s="207">
        <v>1.1216553113753136E-2</v>
      </c>
    </row>
    <row r="472" spans="19:27" x14ac:dyDescent="0.2">
      <c r="S472" s="165"/>
      <c r="T472" s="166"/>
      <c r="W472" s="199" t="str">
        <f t="shared" si="16"/>
        <v>1D</v>
      </c>
      <c r="X472" s="200">
        <f>_xll.qlCalendarAdvance(Calendar,X471,W472,"f",FALSE)</f>
        <v>42467</v>
      </c>
      <c r="Y472" s="204">
        <f>_xll.qlCalendarAdvance(Calendar,X472,NDays&amp;"D")</f>
        <v>42471</v>
      </c>
      <c r="Z472" s="205">
        <v>1.1618571340277661E-2</v>
      </c>
      <c r="AA472" s="207">
        <v>1.12456723248755E-2</v>
      </c>
    </row>
    <row r="473" spans="19:27" x14ac:dyDescent="0.2">
      <c r="S473" s="165"/>
      <c r="T473" s="166"/>
      <c r="W473" s="199" t="str">
        <f t="shared" si="16"/>
        <v>1D</v>
      </c>
      <c r="X473" s="200">
        <f>_xll.qlCalendarAdvance(Calendar,X472,W473,"f",FALSE)</f>
        <v>42468</v>
      </c>
      <c r="Y473" s="204">
        <f>_xll.qlCalendarAdvance(Calendar,X473,NDays&amp;"D")</f>
        <v>42472</v>
      </c>
      <c r="Z473" s="205">
        <v>1.164810328501531E-2</v>
      </c>
      <c r="AA473" s="207">
        <v>1.1274820060700463E-2</v>
      </c>
    </row>
    <row r="474" spans="19:27" x14ac:dyDescent="0.2">
      <c r="S474" s="165"/>
      <c r="T474" s="166"/>
      <c r="W474" s="199" t="str">
        <f t="shared" si="16"/>
        <v>1D</v>
      </c>
      <c r="X474" s="200">
        <f>_xll.qlCalendarAdvance(Calendar,X473,W474,"f",FALSE)</f>
        <v>42471</v>
      </c>
      <c r="Y474" s="204">
        <f>_xll.qlCalendarAdvance(Calendar,X474,NDays&amp;"D")</f>
        <v>42473</v>
      </c>
      <c r="Z474" s="205">
        <v>1.1677663851612508E-2</v>
      </c>
      <c r="AA474" s="207">
        <v>1.1333567400226841E-2</v>
      </c>
    </row>
    <row r="475" spans="19:27" x14ac:dyDescent="0.2">
      <c r="S475" s="165"/>
      <c r="T475" s="166"/>
      <c r="W475" s="199" t="str">
        <f t="shared" si="16"/>
        <v>1D</v>
      </c>
      <c r="X475" s="200">
        <f>_xll.qlCalendarAdvance(Calendar,X474,W475,"f",FALSE)</f>
        <v>42472</v>
      </c>
      <c r="Y475" s="204">
        <f>_xll.qlCalendarAdvance(Calendar,X475,NDays&amp;"D")</f>
        <v>42474</v>
      </c>
      <c r="Z475" s="205">
        <v>1.1737400900043715E-2</v>
      </c>
      <c r="AA475" s="207">
        <v>1.1391696251665806E-2</v>
      </c>
    </row>
    <row r="476" spans="19:27" x14ac:dyDescent="0.2">
      <c r="S476" s="165"/>
      <c r="T476" s="166"/>
      <c r="W476" s="199" t="str">
        <f t="shared" si="16"/>
        <v>1D</v>
      </c>
      <c r="X476" s="200">
        <f>_xll.qlCalendarAdvance(Calendar,X475,W476,"f",FALSE)</f>
        <v>42473</v>
      </c>
      <c r="Y476" s="204">
        <f>_xll.qlCalendarAdvance(Calendar,X476,NDays&amp;"D")</f>
        <v>42475</v>
      </c>
      <c r="Z476" s="205">
        <v>1.1751954803781045E-2</v>
      </c>
      <c r="AA476" s="207">
        <v>1.1420986611243578E-2</v>
      </c>
    </row>
    <row r="477" spans="19:27" x14ac:dyDescent="0.2">
      <c r="S477" s="165"/>
      <c r="T477" s="166"/>
      <c r="W477" s="199" t="str">
        <f t="shared" si="16"/>
        <v>1D</v>
      </c>
      <c r="X477" s="200">
        <f>_xll.qlCalendarAdvance(Calendar,X476,W477,"f",FALSE)</f>
        <v>42474</v>
      </c>
      <c r="Y477" s="204">
        <f>_xll.qlCalendarAdvance(Calendar,X477,NDays&amp;"D")</f>
        <v>42478</v>
      </c>
      <c r="Z477" s="205">
        <v>1.1825896019891147E-2</v>
      </c>
      <c r="AA477" s="207">
        <v>1.1450305495763757E-2</v>
      </c>
    </row>
    <row r="478" spans="19:27" x14ac:dyDescent="0.2">
      <c r="S478" s="165"/>
      <c r="T478" s="166"/>
      <c r="W478" s="199" t="str">
        <f t="shared" si="16"/>
        <v>1D</v>
      </c>
      <c r="X478" s="200">
        <f>_xll.qlCalendarAdvance(Calendar,X477,W478,"f",FALSE)</f>
        <v>42475</v>
      </c>
      <c r="Y478" s="204">
        <f>_xll.qlCalendarAdvance(Calendar,X478,NDays&amp;"D")</f>
        <v>42479</v>
      </c>
      <c r="Z478" s="205">
        <v>1.1855628322084755E-2</v>
      </c>
      <c r="AA478" s="207">
        <v>1.1479652904986537E-2</v>
      </c>
    </row>
    <row r="479" spans="19:27" x14ac:dyDescent="0.2">
      <c r="S479" s="165"/>
      <c r="T479" s="166"/>
      <c r="W479" s="199" t="str">
        <f t="shared" si="16"/>
        <v>1D</v>
      </c>
      <c r="X479" s="200">
        <f>_xll.qlCalendarAdvance(Calendar,X478,W479,"f",FALSE)</f>
        <v>42478</v>
      </c>
      <c r="Y479" s="204">
        <f>_xll.qlCalendarAdvance(Calendar,X479,NDays&amp;"D")</f>
        <v>42480</v>
      </c>
      <c r="Z479" s="205">
        <v>1.1885389247622058E-2</v>
      </c>
      <c r="AA479" s="207">
        <v>1.1538812630584871E-2</v>
      </c>
    </row>
    <row r="480" spans="19:27" x14ac:dyDescent="0.2">
      <c r="S480" s="165"/>
      <c r="T480" s="166"/>
      <c r="W480" s="199" t="str">
        <f t="shared" si="16"/>
        <v>1D</v>
      </c>
      <c r="X480" s="200">
        <f>_xll.qlCalendarAdvance(Calendar,X479,W480,"f",FALSE)</f>
        <v>42479</v>
      </c>
      <c r="Y480" s="204">
        <f>_xll.qlCalendarAdvance(Calendar,X480,NDays&amp;"D")</f>
        <v>42481</v>
      </c>
      <c r="Z480" s="205">
        <v>1.1945540705956825E-2</v>
      </c>
      <c r="AA480" s="207">
        <v>1.159732779002276E-2</v>
      </c>
    </row>
    <row r="481" spans="19:27" x14ac:dyDescent="0.2">
      <c r="S481" s="165"/>
      <c r="T481" s="166"/>
      <c r="W481" s="199" t="str">
        <f t="shared" si="16"/>
        <v>1D</v>
      </c>
      <c r="X481" s="200">
        <f>_xll.qlCalendarAdvance(Calendar,X480,W481,"f",FALSE)</f>
        <v>42480</v>
      </c>
      <c r="Y481" s="204">
        <f>_xll.qlCalendarAdvance(Calendar,X481,NDays&amp;"D")</f>
        <v>42482</v>
      </c>
      <c r="Z481" s="205">
        <v>1.1960187959124357E-2</v>
      </c>
      <c r="AA481" s="207">
        <v>1.1626817823398028E-2</v>
      </c>
    </row>
    <row r="482" spans="19:27" x14ac:dyDescent="0.2">
      <c r="S482" s="165"/>
      <c r="T482" s="166"/>
      <c r="W482" s="199" t="str">
        <f t="shared" si="16"/>
        <v>1D</v>
      </c>
      <c r="X482" s="200">
        <f>_xll.qlCalendarAdvance(Calendar,X481,W482,"f",FALSE)</f>
        <v>42481</v>
      </c>
      <c r="Y482" s="204">
        <f>_xll.qlCalendarAdvance(Calendar,X482,NDays&amp;"D")</f>
        <v>42485</v>
      </c>
      <c r="Z482" s="205">
        <v>1.2034623232855424E-2</v>
      </c>
      <c r="AA482" s="207">
        <v>1.1656336381555832E-2</v>
      </c>
    </row>
    <row r="483" spans="19:27" x14ac:dyDescent="0.2">
      <c r="S483" s="165"/>
      <c r="T483" s="166"/>
      <c r="W483" s="199" t="str">
        <f t="shared" si="16"/>
        <v>1D</v>
      </c>
      <c r="X483" s="200">
        <f>_xll.qlCalendarAdvance(Calendar,X482,W483,"f",FALSE)</f>
        <v>42482</v>
      </c>
      <c r="Y483" s="204">
        <f>_xll.qlCalendarAdvance(Calendar,X483,NDays&amp;"D")</f>
        <v>42486</v>
      </c>
      <c r="Z483" s="205">
        <v>1.2064555902904672E-2</v>
      </c>
      <c r="AA483" s="207">
        <v>1.1685883464496172E-2</v>
      </c>
    </row>
    <row r="484" spans="19:27" x14ac:dyDescent="0.2">
      <c r="S484" s="165"/>
      <c r="T484" s="166"/>
      <c r="W484" s="199" t="str">
        <f t="shared" si="16"/>
        <v>1D</v>
      </c>
      <c r="X484" s="200">
        <f>_xll.qlCalendarAdvance(Calendar,X483,W484,"f",FALSE)</f>
        <v>42485</v>
      </c>
      <c r="Y484" s="204">
        <f>_xll.qlCalendarAdvance(Calendar,X484,NDays&amp;"D")</f>
        <v>42487</v>
      </c>
      <c r="Z484" s="205">
        <v>1.2094517197784427E-2</v>
      </c>
      <c r="AA484" s="207">
        <v>1.1760470036914494E-2</v>
      </c>
    </row>
    <row r="485" spans="19:27" x14ac:dyDescent="0.2">
      <c r="S485" s="165"/>
      <c r="T485" s="166"/>
      <c r="W485" s="199" t="str">
        <f t="shared" si="16"/>
        <v>1D</v>
      </c>
      <c r="X485" s="200">
        <f>_xll.qlCalendarAdvance(Calendar,X484,W485,"f",FALSE)</f>
        <v>42486</v>
      </c>
      <c r="Y485" s="204">
        <f>_xll.qlCalendarAdvance(Calendar,X485,NDays&amp;"D")</f>
        <v>42488</v>
      </c>
      <c r="Z485" s="205">
        <v>1.2170387414086907E-2</v>
      </c>
      <c r="AA485" s="207">
        <v>1.1834046752374761E-2</v>
      </c>
    </row>
    <row r="486" spans="19:27" x14ac:dyDescent="0.2">
      <c r="S486" s="165"/>
      <c r="T486" s="166"/>
      <c r="W486" s="199" t="str">
        <f t="shared" si="16"/>
        <v>1D</v>
      </c>
      <c r="X486" s="200">
        <f>_xll.qlCalendarAdvance(Calendar,X485,W486,"f",FALSE)</f>
        <v>42487</v>
      </c>
      <c r="Y486" s="204">
        <f>_xll.qlCalendarAdvance(Calendar,X486,NDays&amp;"D")</f>
        <v>42489</v>
      </c>
      <c r="Z486" s="205">
        <v>1.2185132623512562E-2</v>
      </c>
      <c r="AA486" s="207">
        <v>1.1863764984649805E-2</v>
      </c>
    </row>
    <row r="487" spans="19:27" x14ac:dyDescent="0.2">
      <c r="S487" s="165"/>
      <c r="T487" s="166"/>
      <c r="W487" s="199" t="str">
        <f t="shared" si="16"/>
        <v>1D</v>
      </c>
      <c r="X487" s="200">
        <f>_xll.qlCalendarAdvance(Calendar,X486,W487,"f",FALSE)</f>
        <v>42488</v>
      </c>
      <c r="Y487" s="204">
        <f>_xll.qlCalendarAdvance(Calendar,X487,NDays&amp;"D")</f>
        <v>42493</v>
      </c>
      <c r="Z487" s="205">
        <v>1.2290245641462975E-2</v>
      </c>
      <c r="AA487" s="207">
        <v>1.1893511741707385E-2</v>
      </c>
    </row>
    <row r="488" spans="19:27" x14ac:dyDescent="0.2">
      <c r="S488" s="165"/>
      <c r="T488" s="166"/>
      <c r="W488" s="199" t="str">
        <f t="shared" si="16"/>
        <v>1D</v>
      </c>
      <c r="X488" s="200">
        <f>_xll.qlCalendarAdvance(Calendar,X487,W488,"f",FALSE)</f>
        <v>42489</v>
      </c>
      <c r="Y488" s="204">
        <f>_xll.qlCalendarAdvance(Calendar,X488,NDays&amp;"D")</f>
        <v>42494</v>
      </c>
      <c r="Z488" s="205">
        <v>1.2351204172901153E-2</v>
      </c>
      <c r="AA488" s="207">
        <v>1.1953497221970366E-2</v>
      </c>
    </row>
    <row r="489" spans="19:27" x14ac:dyDescent="0.2">
      <c r="S489" s="165"/>
      <c r="T489" s="166"/>
      <c r="W489" s="199" t="str">
        <f t="shared" si="16"/>
        <v>1D</v>
      </c>
      <c r="X489" s="200">
        <f>_xll.qlCalendarAdvance(Calendar,X488,W489,"f",FALSE)</f>
        <v>42493</v>
      </c>
      <c r="Y489" s="204">
        <f>_xll.qlCalendarAdvance(Calendar,X489,NDays&amp;"D")</f>
        <v>42495</v>
      </c>
      <c r="Z489" s="205">
        <v>1.2366029126247291E-2</v>
      </c>
      <c r="AA489" s="207">
        <v>1.201278401912198E-2</v>
      </c>
    </row>
    <row r="490" spans="19:27" x14ac:dyDescent="0.2">
      <c r="S490" s="165"/>
      <c r="T490" s="166"/>
      <c r="W490" s="199" t="str">
        <f t="shared" si="16"/>
        <v>1D</v>
      </c>
      <c r="X490" s="200">
        <f>_xll.qlCalendarAdvance(Calendar,X489,W490,"f",FALSE)</f>
        <v>42494</v>
      </c>
      <c r="Y490" s="204">
        <f>_xll.qlCalendarAdvance(Calendar,X490,NDays&amp;"D")</f>
        <v>42496</v>
      </c>
      <c r="Z490" s="205">
        <v>1.2380862589372196E-2</v>
      </c>
      <c r="AA490" s="207">
        <v>1.2042673400891601E-2</v>
      </c>
    </row>
    <row r="491" spans="19:27" x14ac:dyDescent="0.2">
      <c r="S491" s="165"/>
      <c r="T491" s="166"/>
      <c r="W491" s="199" t="str">
        <f t="shared" si="16"/>
        <v>1D</v>
      </c>
      <c r="X491" s="200">
        <f>_xll.qlCalendarAdvance(Calendar,X490,W491,"f",FALSE)</f>
        <v>42495</v>
      </c>
      <c r="Y491" s="204">
        <f>_xll.qlCalendarAdvance(Calendar,X491,NDays&amp;"D")</f>
        <v>42499</v>
      </c>
      <c r="Z491" s="205">
        <v>1.2471737212777841E-2</v>
      </c>
      <c r="AA491" s="207">
        <v>1.2072591307443759E-2</v>
      </c>
    </row>
    <row r="492" spans="19:27" x14ac:dyDescent="0.2">
      <c r="S492" s="165"/>
      <c r="T492" s="166"/>
      <c r="W492" s="199" t="str">
        <f t="shared" si="16"/>
        <v>1D</v>
      </c>
      <c r="X492" s="200">
        <f>_xll.qlCalendarAdvance(Calendar,X491,W492,"f",FALSE)</f>
        <v>42496</v>
      </c>
      <c r="Y492" s="204">
        <f>_xll.qlCalendarAdvance(Calendar,X492,NDays&amp;"D")</f>
        <v>42500</v>
      </c>
      <c r="Z492" s="205">
        <v>1.2502086016175945E-2</v>
      </c>
      <c r="AA492" s="207">
        <v>1.2102537738938324E-2</v>
      </c>
    </row>
    <row r="493" spans="19:27" x14ac:dyDescent="0.2">
      <c r="S493" s="165"/>
      <c r="T493" s="166"/>
      <c r="W493" s="199" t="str">
        <f t="shared" si="16"/>
        <v>1D</v>
      </c>
      <c r="X493" s="200">
        <f>_xll.qlCalendarAdvance(Calendar,X492,W493,"f",FALSE)</f>
        <v>42499</v>
      </c>
      <c r="Y493" s="204">
        <f>_xll.qlCalendarAdvance(Calendar,X493,NDays&amp;"D")</f>
        <v>42501</v>
      </c>
      <c r="Z493" s="205">
        <v>1.2563460064425932E-2</v>
      </c>
      <c r="AA493" s="207">
        <v>1.2162936597466256E-2</v>
      </c>
    </row>
    <row r="494" spans="19:27" x14ac:dyDescent="0.2">
      <c r="S494" s="165"/>
      <c r="T494" s="166"/>
      <c r="W494" s="199" t="str">
        <f t="shared" si="16"/>
        <v>1D</v>
      </c>
      <c r="X494" s="200">
        <f>_xll.qlCalendarAdvance(Calendar,X493,W494,"f",FALSE)</f>
        <v>42500</v>
      </c>
      <c r="Y494" s="204">
        <f>_xll.qlCalendarAdvance(Calendar,X494,NDays&amp;"D")</f>
        <v>42502</v>
      </c>
      <c r="Z494" s="205">
        <v>1.2578377897481674E-2</v>
      </c>
      <c r="AA494" s="207">
        <v>1.2222608714740346E-2</v>
      </c>
    </row>
    <row r="495" spans="19:27" x14ac:dyDescent="0.2">
      <c r="S495" s="165"/>
      <c r="T495" s="166"/>
      <c r="W495" s="199" t="str">
        <f t="shared" si="16"/>
        <v>1D</v>
      </c>
      <c r="X495" s="200">
        <f>_xll.qlCalendarAdvance(Calendar,X494,W495,"f",FALSE)</f>
        <v>42501</v>
      </c>
      <c r="Y495" s="204">
        <f>_xll.qlCalendarAdvance(Calendar,X495,NDays&amp;"D")</f>
        <v>42503</v>
      </c>
      <c r="Z495" s="205">
        <v>1.2593304216294475E-2</v>
      </c>
      <c r="AA495" s="207">
        <v>1.2252697771106824E-2</v>
      </c>
    </row>
    <row r="496" spans="19:27" x14ac:dyDescent="0.2">
      <c r="S496" s="165"/>
      <c r="T496" s="166"/>
      <c r="W496" s="199" t="str">
        <f t="shared" si="16"/>
        <v>1D</v>
      </c>
      <c r="X496" s="200">
        <f>_xll.qlCalendarAdvance(Calendar,X495,W496,"f",FALSE)</f>
        <v>42502</v>
      </c>
      <c r="Y496" s="204">
        <f>_xll.qlCalendarAdvance(Calendar,X496,NDays&amp;"D")</f>
        <v>42506</v>
      </c>
      <c r="Z496" s="205">
        <v>1.2684780106006542E-2</v>
      </c>
      <c r="AA496" s="207">
        <v>1.228281535241571E-2</v>
      </c>
    </row>
    <row r="497" spans="19:27" x14ac:dyDescent="0.2">
      <c r="S497" s="165"/>
      <c r="T497" s="166"/>
      <c r="W497" s="199" t="str">
        <f t="shared" si="16"/>
        <v>1D</v>
      </c>
      <c r="X497" s="200">
        <f>_xll.qlCalendarAdvance(Calendar,X496,W497,"f",FALSE)</f>
        <v>42503</v>
      </c>
      <c r="Y497" s="204">
        <f>_xll.qlCalendarAdvance(Calendar,X497,NDays&amp;"D")</f>
        <v>42507</v>
      </c>
      <c r="Z497" s="205">
        <v>1.27153293346475E-2</v>
      </c>
      <c r="AA497" s="207">
        <v>1.231296145874694E-2</v>
      </c>
    </row>
    <row r="498" spans="19:27" x14ac:dyDescent="0.2">
      <c r="S498" s="165"/>
      <c r="T498" s="166"/>
      <c r="W498" s="199" t="str">
        <f t="shared" si="16"/>
        <v>1D</v>
      </c>
      <c r="X498" s="200">
        <f>_xll.qlCalendarAdvance(Calendar,X497,W498,"f",FALSE)</f>
        <v>42506</v>
      </c>
      <c r="Y498" s="204">
        <f>_xll.qlCalendarAdvance(Calendar,X498,NDays&amp;"D")</f>
        <v>42508</v>
      </c>
      <c r="Z498" s="205">
        <v>1.2777119271223179E-2</v>
      </c>
      <c r="AA498" s="207">
        <v>1.2373774035934204E-2</v>
      </c>
    </row>
    <row r="499" spans="19:27" x14ac:dyDescent="0.2">
      <c r="S499" s="165"/>
      <c r="T499" s="166"/>
      <c r="W499" s="199" t="str">
        <f t="shared" si="16"/>
        <v>1D</v>
      </c>
      <c r="X499" s="200">
        <f>_xll.qlCalendarAdvance(Calendar,X498,W499,"f",FALSE)</f>
        <v>42507</v>
      </c>
      <c r="Y499" s="204">
        <f>_xll.qlCalendarAdvance(Calendar,X499,NDays&amp;"D")</f>
        <v>42509</v>
      </c>
      <c r="Z499" s="205">
        <v>1.2792129814882813E-2</v>
      </c>
      <c r="AA499" s="207">
        <v>1.2433831134135431E-2</v>
      </c>
    </row>
    <row r="500" spans="19:27" x14ac:dyDescent="0.2">
      <c r="S500" s="165"/>
      <c r="T500" s="166"/>
      <c r="W500" s="199" t="str">
        <f t="shared" si="16"/>
        <v>1D</v>
      </c>
      <c r="X500" s="200">
        <f>_xll.qlCalendarAdvance(Calendar,X499,W500,"f",FALSE)</f>
        <v>42508</v>
      </c>
      <c r="Y500" s="204">
        <f>_xll.qlCalendarAdvance(Calendar,X500,NDays&amp;"D")</f>
        <v>42510</v>
      </c>
      <c r="Z500" s="205">
        <v>1.2807148819934782E-2</v>
      </c>
      <c r="AA500" s="207">
        <v>1.2464119865578382E-2</v>
      </c>
    </row>
    <row r="501" spans="19:27" x14ac:dyDescent="0.2">
      <c r="S501" s="165"/>
      <c r="T501" s="166"/>
      <c r="W501" s="199" t="str">
        <f t="shared" si="16"/>
        <v>1D</v>
      </c>
      <c r="X501" s="200">
        <f>_xll.qlCalendarAdvance(Calendar,X500,W501,"f",FALSE)</f>
        <v>42509</v>
      </c>
      <c r="Y501" s="204">
        <f>_xll.qlCalendarAdvance(Calendar,X501,NDays&amp;"D")</f>
        <v>42513</v>
      </c>
      <c r="Z501" s="205">
        <v>1.2899226009013276E-2</v>
      </c>
      <c r="AA501" s="207">
        <v>1.2494437122043678E-2</v>
      </c>
    </row>
    <row r="502" spans="19:27" x14ac:dyDescent="0.2">
      <c r="S502" s="165"/>
      <c r="T502" s="166"/>
      <c r="W502" s="199" t="str">
        <f t="shared" si="16"/>
        <v>1D</v>
      </c>
      <c r="X502" s="200">
        <f>_xll.qlCalendarAdvance(Calendar,X501,W502,"f",FALSE)</f>
        <v>42510</v>
      </c>
      <c r="Y502" s="204">
        <f>_xll.qlCalendarAdvance(Calendar,X502,NDays&amp;"D")</f>
        <v>42514</v>
      </c>
      <c r="Z502" s="205">
        <v>1.2929975673935999E-2</v>
      </c>
      <c r="AA502" s="207">
        <v>1.2524782903531317E-2</v>
      </c>
    </row>
    <row r="503" spans="19:27" x14ac:dyDescent="0.2">
      <c r="S503" s="165"/>
      <c r="T503" s="166"/>
      <c r="W503" s="199" t="str">
        <f t="shared" si="16"/>
        <v>1D</v>
      </c>
      <c r="X503" s="200">
        <f>_xll.qlCalendarAdvance(Calendar,X502,W503,"f",FALSE)</f>
        <v>42513</v>
      </c>
      <c r="Y503" s="204">
        <f>_xll.qlCalendarAdvance(Calendar,X503,NDays&amp;"D")</f>
        <v>42515</v>
      </c>
      <c r="Z503" s="205">
        <v>1.299218187549139E-2</v>
      </c>
      <c r="AA503" s="207">
        <v>1.2601451579259404E-2</v>
      </c>
    </row>
    <row r="504" spans="19:27" x14ac:dyDescent="0.2">
      <c r="S504" s="165"/>
      <c r="T504" s="166"/>
      <c r="W504" s="199" t="str">
        <f t="shared" si="16"/>
        <v>1D</v>
      </c>
      <c r="X504" s="200">
        <f>_xll.qlCalendarAdvance(Calendar,X503,W504,"f",FALSE)</f>
        <v>42514</v>
      </c>
      <c r="Y504" s="204">
        <f>_xll.qlCalendarAdvance(Calendar,X504,NDays&amp;"D")</f>
        <v>42516</v>
      </c>
      <c r="Z504" s="205">
        <v>1.3007284958191923E-2</v>
      </c>
      <c r="AA504" s="207">
        <v>1.2676939686784294E-2</v>
      </c>
    </row>
    <row r="505" spans="19:27" x14ac:dyDescent="0.2">
      <c r="S505" s="165"/>
      <c r="T505" s="166"/>
      <c r="W505" s="199" t="str">
        <f t="shared" si="16"/>
        <v>1D</v>
      </c>
      <c r="X505" s="200">
        <f>_xll.qlCalendarAdvance(Calendar,X504,W505,"f",FALSE)</f>
        <v>42515</v>
      </c>
      <c r="Y505" s="204">
        <f>_xll.qlCalendarAdvance(Calendar,X505,NDays&amp;"D")</f>
        <v>42517</v>
      </c>
      <c r="Z505" s="205">
        <v>1.3022396477578392E-2</v>
      </c>
      <c r="AA505" s="207">
        <v>1.2707456618725743E-2</v>
      </c>
    </row>
    <row r="506" spans="19:27" x14ac:dyDescent="0.2">
      <c r="S506" s="165"/>
      <c r="T506" s="166"/>
      <c r="W506" s="199" t="str">
        <f t="shared" si="16"/>
        <v>1D</v>
      </c>
      <c r="X506" s="200">
        <f>_xll.qlCalendarAdvance(Calendar,X505,W506,"f",FALSE)</f>
        <v>42516</v>
      </c>
      <c r="Y506" s="204">
        <f>_xll.qlCalendarAdvance(Calendar,X506,NDays&amp;"D")</f>
        <v>42521</v>
      </c>
      <c r="Z506" s="205">
        <v>1.3130225576255761E-2</v>
      </c>
      <c r="AA506" s="207">
        <v>1.2738002075689536E-2</v>
      </c>
    </row>
    <row r="507" spans="19:27" x14ac:dyDescent="0.2">
      <c r="S507" s="165"/>
      <c r="T507" s="166"/>
      <c r="W507" s="199" t="str">
        <f t="shared" si="16"/>
        <v>1D</v>
      </c>
      <c r="X507" s="200">
        <f>_xll.qlCalendarAdvance(Calendar,X506,W507,"f",FALSE)</f>
        <v>42517</v>
      </c>
      <c r="Y507" s="204">
        <f>_xll.qlCalendarAdvance(Calendar,X507,NDays&amp;"D")</f>
        <v>42522</v>
      </c>
      <c r="Z507" s="205">
        <v>1.3161176596122814E-2</v>
      </c>
      <c r="AA507" s="207">
        <v>1.2799643131202743E-2</v>
      </c>
    </row>
    <row r="508" spans="19:27" x14ac:dyDescent="0.2">
      <c r="S508" s="165"/>
      <c r="T508" s="166"/>
      <c r="W508" s="199" t="str">
        <f t="shared" si="16"/>
        <v>1D</v>
      </c>
      <c r="X508" s="200">
        <f>_xll.qlCalendarAdvance(Calendar,X507,W508,"f",FALSE)</f>
        <v>42521</v>
      </c>
      <c r="Y508" s="204">
        <f>_xll.qlCalendarAdvance(Calendar,X508,NDays&amp;"D")</f>
        <v>42523</v>
      </c>
      <c r="Z508" s="205">
        <v>1.3239531758849924E-2</v>
      </c>
      <c r="AA508" s="207">
        <v>1.2860469154727383E-2</v>
      </c>
    </row>
    <row r="509" spans="19:27" x14ac:dyDescent="0.2">
      <c r="S509" s="165"/>
      <c r="T509" s="166"/>
      <c r="W509" s="199" t="str">
        <f t="shared" si="16"/>
        <v>1D</v>
      </c>
      <c r="X509" s="200">
        <f>_xll.qlCalendarAdvance(Calendar,X508,W509,"f",FALSE)</f>
        <v>42522</v>
      </c>
      <c r="Y509" s="204">
        <f>_xll.qlCalendarAdvance(Calendar,X509,NDays&amp;"D")</f>
        <v>42524</v>
      </c>
      <c r="Z509" s="205">
        <v>1.3254735564644793E-2</v>
      </c>
      <c r="AA509" s="207">
        <v>1.2891157237282513E-2</v>
      </c>
    </row>
    <row r="510" spans="19:27" x14ac:dyDescent="0.2">
      <c r="S510" s="165"/>
      <c r="T510" s="166"/>
      <c r="W510" s="199" t="str">
        <f t="shared" si="16"/>
        <v>1D</v>
      </c>
      <c r="X510" s="200">
        <f>_xll.qlCalendarAdvance(Calendar,X509,W510,"f",FALSE)</f>
        <v>42523</v>
      </c>
      <c r="Y510" s="204">
        <f>_xll.qlCalendarAdvance(Calendar,X510,NDays&amp;"D")</f>
        <v>42527</v>
      </c>
      <c r="Z510" s="205">
        <v>1.3316201875027467E-2</v>
      </c>
      <c r="AA510" s="207">
        <v>1.2921873844859988E-2</v>
      </c>
    </row>
    <row r="511" spans="19:27" x14ac:dyDescent="0.2">
      <c r="S511" s="165"/>
      <c r="T511" s="166"/>
      <c r="W511" s="199" t="str">
        <f t="shared" si="16"/>
        <v>1D</v>
      </c>
      <c r="X511" s="200">
        <f>_xll.qlCalendarAdvance(Calendar,X510,W511,"f",FALSE)</f>
        <v>42524</v>
      </c>
      <c r="Y511" s="204">
        <f>_xll.qlCalendarAdvance(Calendar,X511,NDays&amp;"D")</f>
        <v>42528</v>
      </c>
      <c r="Z511" s="205">
        <v>1.3347247027702736E-2</v>
      </c>
      <c r="AA511" s="207">
        <v>1.2952618977779551E-2</v>
      </c>
    </row>
    <row r="512" spans="19:27" x14ac:dyDescent="0.2">
      <c r="S512" s="165"/>
      <c r="T512" s="166"/>
      <c r="W512" s="199" t="str">
        <f t="shared" si="16"/>
        <v>1D</v>
      </c>
      <c r="X512" s="200">
        <f>_xll.qlCalendarAdvance(Calendar,X511,W512,"f",FALSE)</f>
        <v>42527</v>
      </c>
      <c r="Y512" s="204">
        <f>_xll.qlCalendarAdvance(Calendar,X512,NDays&amp;"D")</f>
        <v>42529</v>
      </c>
      <c r="Z512" s="205">
        <v>1.3378300899574036E-2</v>
      </c>
      <c r="AA512" s="207">
        <v>1.3014674802951376E-2</v>
      </c>
    </row>
    <row r="513" spans="19:27" x14ac:dyDescent="0.2">
      <c r="S513" s="165"/>
      <c r="T513" s="166"/>
      <c r="W513" s="199" t="str">
        <f t="shared" si="16"/>
        <v>1D</v>
      </c>
      <c r="X513" s="200">
        <f>_xll.qlCalendarAdvance(Calendar,X512,W513,"f",FALSE)</f>
        <v>42528</v>
      </c>
      <c r="Y513" s="204">
        <f>_xll.qlCalendarAdvance(Calendar,X513,NDays&amp;"D")</f>
        <v>42530</v>
      </c>
      <c r="Z513" s="205">
        <v>1.3440951349212027E-2</v>
      </c>
      <c r="AA513" s="207">
        <v>1.3075884760720413E-2</v>
      </c>
    </row>
    <row r="514" spans="19:27" x14ac:dyDescent="0.2">
      <c r="S514" s="165"/>
      <c r="T514" s="166"/>
      <c r="W514" s="199" t="str">
        <f t="shared" si="16"/>
        <v>1D</v>
      </c>
      <c r="X514" s="200">
        <f>_xll.qlCalendarAdvance(Calendar,X513,W514,"f",FALSE)</f>
        <v>42529</v>
      </c>
      <c r="Y514" s="204">
        <f>_xll.qlCalendarAdvance(Calendar,X514,NDays&amp;"D")</f>
        <v>42531</v>
      </c>
      <c r="Z514" s="205">
        <v>1.3456219858330114E-2</v>
      </c>
      <c r="AA514" s="207">
        <v>1.3106772519391185E-2</v>
      </c>
    </row>
    <row r="515" spans="19:27" x14ac:dyDescent="0.2">
      <c r="S515" s="165"/>
      <c r="T515" s="166"/>
      <c r="W515" s="199" t="str">
        <f t="shared" si="16"/>
        <v>1D</v>
      </c>
      <c r="X515" s="200">
        <f>_xll.qlCalendarAdvance(Calendar,X514,W515,"f",FALSE)</f>
        <v>42530</v>
      </c>
      <c r="Y515" s="204">
        <f>_xll.qlCalendarAdvance(Calendar,X515,NDays&amp;"D")</f>
        <v>42534</v>
      </c>
      <c r="Z515" s="205">
        <v>1.3533631348192188E-2</v>
      </c>
      <c r="AA515" s="207">
        <v>1.3137688803244174E-2</v>
      </c>
    </row>
    <row r="516" spans="19:27" x14ac:dyDescent="0.2">
      <c r="S516" s="165"/>
      <c r="T516" s="166"/>
      <c r="W516" s="199" t="str">
        <f t="shared" si="16"/>
        <v>1D</v>
      </c>
      <c r="X516" s="200">
        <f>_xll.qlCalendarAdvance(Calendar,X515,W516,"f",FALSE)</f>
        <v>42531</v>
      </c>
      <c r="Y516" s="204">
        <f>_xll.qlCalendarAdvance(Calendar,X516,NDays&amp;"D")</f>
        <v>42535</v>
      </c>
      <c r="Z516" s="205">
        <v>1.3564695715737152E-2</v>
      </c>
      <c r="AA516" s="207">
        <v>1.3168633612199443E-2</v>
      </c>
    </row>
    <row r="517" spans="19:27" x14ac:dyDescent="0.2">
      <c r="S517" s="165"/>
      <c r="T517" s="166"/>
      <c r="W517" s="199" t="str">
        <f t="shared" si="16"/>
        <v>1D</v>
      </c>
      <c r="X517" s="200">
        <f>_xll.qlCalendarAdvance(Calendar,X516,W517,"f",FALSE)</f>
        <v>42534</v>
      </c>
      <c r="Y517" s="204">
        <f>_xll.qlCalendarAdvance(Calendar,X517,NDays&amp;"D")</f>
        <v>42536</v>
      </c>
      <c r="Z517" s="205">
        <v>1.3595754862455678E-2</v>
      </c>
      <c r="AA517" s="207">
        <v>1.3231104567381635E-2</v>
      </c>
    </row>
    <row r="518" spans="19:27" x14ac:dyDescent="0.2">
      <c r="S518" s="165"/>
      <c r="T518" s="166"/>
      <c r="W518" s="199" t="str">
        <f t="shared" si="16"/>
        <v>1D</v>
      </c>
      <c r="X518" s="200">
        <f>_xll.qlCalendarAdvance(Calendar,X517,W518,"f",FALSE)</f>
        <v>42535</v>
      </c>
      <c r="Y518" s="204">
        <f>_xll.qlCalendarAdvance(Calendar,X518,NDays&amp;"D")</f>
        <v>42537</v>
      </c>
      <c r="Z518" s="205">
        <v>1.3658288597672708E-2</v>
      </c>
      <c r="AA518" s="207">
        <v>1.3292698100562106E-2</v>
      </c>
    </row>
    <row r="519" spans="19:27" x14ac:dyDescent="0.2">
      <c r="S519" s="165"/>
      <c r="T519" s="166"/>
      <c r="W519" s="199" t="str">
        <f t="shared" si="16"/>
        <v>1D</v>
      </c>
      <c r="X519" s="200">
        <f>_xll.qlCalendarAdvance(Calendar,X518,W519,"f",FALSE)</f>
        <v>42536</v>
      </c>
      <c r="Y519" s="204">
        <f>_xll.qlCalendarAdvance(Calendar,X519,NDays&amp;"D")</f>
        <v>42538</v>
      </c>
      <c r="Z519" s="205">
        <v>1.3673583746411063E-2</v>
      </c>
      <c r="AA519" s="207">
        <v>1.33237855357482E-2</v>
      </c>
    </row>
    <row r="520" spans="19:27" x14ac:dyDescent="0.2">
      <c r="S520" s="165"/>
      <c r="T520" s="166"/>
      <c r="W520" s="199" t="str">
        <f t="shared" si="16"/>
        <v>1D</v>
      </c>
      <c r="X520" s="200">
        <f>_xll.qlCalendarAdvance(Calendar,X519,W520,"f",FALSE)</f>
        <v>42537</v>
      </c>
      <c r="Y520" s="204">
        <f>_xll.qlCalendarAdvance(Calendar,X520,NDays&amp;"D")</f>
        <v>42541</v>
      </c>
      <c r="Z520" s="205">
        <v>1.3750902579862334E-2</v>
      </c>
      <c r="AA520" s="207">
        <v>1.3354901496036575E-2</v>
      </c>
    </row>
    <row r="521" spans="19:27" x14ac:dyDescent="0.2">
      <c r="S521" s="165"/>
      <c r="T521" s="166"/>
      <c r="W521" s="199" t="str">
        <f t="shared" si="16"/>
        <v>1D</v>
      </c>
      <c r="X521" s="200">
        <f>_xll.qlCalendarAdvance(Calendar,X520,W521,"f",FALSE)</f>
        <v>42538</v>
      </c>
      <c r="Y521" s="204">
        <f>_xll.qlCalendarAdvance(Calendar,X521,NDays&amp;"D")</f>
        <v>42542</v>
      </c>
      <c r="Z521" s="205">
        <v>1.3781888579074142E-2</v>
      </c>
      <c r="AA521" s="207">
        <v>1.3386045981667039E-2</v>
      </c>
    </row>
    <row r="522" spans="19:27" x14ac:dyDescent="0.2">
      <c r="S522" s="165"/>
      <c r="T522" s="166"/>
      <c r="W522" s="199" t="str">
        <f t="shared" si="16"/>
        <v>1D</v>
      </c>
      <c r="X522" s="200">
        <f>_xll.qlCalendarAdvance(Calendar,X521,W522,"f",FALSE)</f>
        <v>42541</v>
      </c>
      <c r="Y522" s="204">
        <f>_xll.qlCalendarAdvance(Calendar,X522,NDays&amp;"D")</f>
        <v>42543</v>
      </c>
      <c r="Z522" s="205">
        <v>1.381285541641919E-2</v>
      </c>
      <c r="AA522" s="207">
        <v>1.3448932432114091E-2</v>
      </c>
    </row>
    <row r="523" spans="19:27" x14ac:dyDescent="0.2">
      <c r="S523" s="165"/>
      <c r="T523" s="166"/>
      <c r="W523" s="199" t="str">
        <f t="shared" si="16"/>
        <v>1D</v>
      </c>
      <c r="X523" s="200">
        <f>_xll.qlCalendarAdvance(Calendar,X522,W523,"f",FALSE)</f>
        <v>42542</v>
      </c>
      <c r="Y523" s="204">
        <f>_xll.qlCalendarAdvance(Calendar,X523,NDays&amp;"D")</f>
        <v>42544</v>
      </c>
      <c r="Z523" s="205">
        <v>1.3875107979341439E-2</v>
      </c>
      <c r="AA523" s="207">
        <v>1.351089923028681E-2</v>
      </c>
    </row>
    <row r="524" spans="19:27" x14ac:dyDescent="0.2">
      <c r="S524" s="165"/>
      <c r="T524" s="166"/>
      <c r="W524" s="199" t="str">
        <f t="shared" si="16"/>
        <v>1D</v>
      </c>
      <c r="X524" s="200">
        <f>_xll.qlCalendarAdvance(Calendar,X523,W524,"f",FALSE)</f>
        <v>42543</v>
      </c>
      <c r="Y524" s="204">
        <f>_xll.qlCalendarAdvance(Calendar,X524,NDays&amp;"D")</f>
        <v>42545</v>
      </c>
      <c r="Z524" s="205">
        <v>1.389036768086882E-2</v>
      </c>
      <c r="AA524" s="207">
        <v>1.3542126663566023E-2</v>
      </c>
    </row>
    <row r="525" spans="19:27" x14ac:dyDescent="0.2">
      <c r="S525" s="165"/>
      <c r="T525" s="166"/>
      <c r="W525" s="199" t="str">
        <f t="shared" si="16"/>
        <v>1D</v>
      </c>
      <c r="X525" s="200">
        <f>_xll.qlCalendarAdvance(Calendar,X524,W525,"f",FALSE)</f>
        <v>42544</v>
      </c>
      <c r="Y525" s="204">
        <f>_xll.qlCalendarAdvance(Calendar,X525,NDays&amp;"D")</f>
        <v>42548</v>
      </c>
      <c r="Z525" s="205">
        <v>1.3967332466426896E-2</v>
      </c>
      <c r="AA525" s="207">
        <v>1.3573322943445376E-2</v>
      </c>
    </row>
    <row r="526" spans="19:27" x14ac:dyDescent="0.2">
      <c r="S526" s="165"/>
      <c r="T526" s="166"/>
      <c r="W526" s="199" t="str">
        <f t="shared" si="16"/>
        <v>1D</v>
      </c>
      <c r="X526" s="200">
        <f>_xll.qlCalendarAdvance(Calendar,X525,W526,"f",FALSE)</f>
        <v>42545</v>
      </c>
      <c r="Y526" s="204">
        <f>_xll.qlCalendarAdvance(Calendar,X526,NDays&amp;"D")</f>
        <v>42549</v>
      </c>
      <c r="Z526" s="205">
        <v>1.3998142838970828E-2</v>
      </c>
      <c r="AA526" s="207">
        <v>1.3604488069844933E-2</v>
      </c>
    </row>
    <row r="527" spans="19:27" x14ac:dyDescent="0.2">
      <c r="S527" s="165"/>
      <c r="T527" s="166"/>
      <c r="W527" s="199" t="str">
        <f t="shared" si="16"/>
        <v>1D</v>
      </c>
      <c r="X527" s="200">
        <f>_xll.qlCalendarAdvance(Calendar,X526,W527,"f",FALSE)</f>
        <v>42548</v>
      </c>
      <c r="Y527" s="204">
        <f>_xll.qlCalendarAdvance(Calendar,X527,NDays&amp;"D")</f>
        <v>42550</v>
      </c>
      <c r="Z527" s="205">
        <v>1.4028922099156738E-2</v>
      </c>
      <c r="AA527" s="207">
        <v>1.3667233314444971E-2</v>
      </c>
    </row>
    <row r="528" spans="19:27" x14ac:dyDescent="0.2">
      <c r="S528" s="165"/>
      <c r="T528" s="166"/>
      <c r="W528" s="199" t="str">
        <f t="shared" si="16"/>
        <v>1D</v>
      </c>
      <c r="X528" s="200">
        <f>_xll.qlCalendarAdvance(Calendar,X527,W528,"f",FALSE)</f>
        <v>42549</v>
      </c>
      <c r="Y528" s="204">
        <f>_xll.qlCalendarAdvance(Calendar,X528,NDays&amp;"D")</f>
        <v>42551</v>
      </c>
      <c r="Z528" s="205">
        <v>1.4044102900579197E-2</v>
      </c>
      <c r="AA528" s="207">
        <v>1.3728837041204756E-2</v>
      </c>
    </row>
    <row r="529" spans="19:27" x14ac:dyDescent="0.2">
      <c r="S529" s="165"/>
      <c r="T529" s="166"/>
      <c r="W529" s="199" t="str">
        <f t="shared" si="16"/>
        <v>1D</v>
      </c>
      <c r="X529" s="200">
        <f>_xll.qlCalendarAdvance(Calendar,X528,W529,"f",FALSE)</f>
        <v>42550</v>
      </c>
      <c r="Y529" s="204">
        <f>_xll.qlCalendarAdvance(Calendar,X529,NDays&amp;"D")</f>
        <v>42552</v>
      </c>
      <c r="Z529" s="205">
        <v>1.4105931094823849E-2</v>
      </c>
      <c r="AA529" s="207">
        <v>1.3759846400445142E-2</v>
      </c>
    </row>
    <row r="530" spans="19:27" x14ac:dyDescent="0.2">
      <c r="S530" s="165"/>
      <c r="T530" s="166"/>
      <c r="W530" s="199" t="str">
        <f t="shared" si="16"/>
        <v>1D</v>
      </c>
      <c r="X530" s="200">
        <f>_xll.qlCalendarAdvance(Calendar,X529,W530,"f",FALSE)</f>
        <v>42551</v>
      </c>
      <c r="Y530" s="204">
        <f>_xll.qlCalendarAdvance(Calendar,X530,NDays&amp;"D")</f>
        <v>42555</v>
      </c>
      <c r="Z530" s="205">
        <v>1.4228430690380206E-2</v>
      </c>
      <c r="AA530" s="207">
        <v>1.3790824606125796E-2</v>
      </c>
    </row>
    <row r="531" spans="19:27" x14ac:dyDescent="0.2">
      <c r="S531" s="165"/>
      <c r="T531" s="166"/>
      <c r="W531" s="199" t="str">
        <f t="shared" si="16"/>
        <v>1D</v>
      </c>
      <c r="X531" s="200">
        <f>_xll.qlCalendarAdvance(Calendar,X530,W531,"f",FALSE)</f>
        <v>42552</v>
      </c>
      <c r="Y531" s="204">
        <f>_xll.qlCalendarAdvance(Calendar,X531,NDays&amp;"D")</f>
        <v>42556</v>
      </c>
      <c r="Z531" s="205">
        <v>1.4228430690380206E-2</v>
      </c>
      <c r="AA531" s="207">
        <v>1.382177165840659E-2</v>
      </c>
    </row>
    <row r="532" spans="19:27" x14ac:dyDescent="0.2">
      <c r="S532" s="165"/>
      <c r="T532" s="166"/>
      <c r="W532" s="199" t="str">
        <f t="shared" si="16"/>
        <v>1D</v>
      </c>
      <c r="X532" s="200">
        <f>_xll.qlCalendarAdvance(Calendar,X531,W532,"f",FALSE)</f>
        <v>42555</v>
      </c>
      <c r="Y532" s="204">
        <f>_xll.qlCalendarAdvance(Calendar,X532,NDays&amp;"D")</f>
        <v>42557</v>
      </c>
      <c r="Z532" s="205">
        <v>1.4289894410965752E-2</v>
      </c>
      <c r="AA532" s="207">
        <v>1.3884097349681213E-2</v>
      </c>
    </row>
    <row r="533" spans="19:27" x14ac:dyDescent="0.2">
      <c r="S533" s="165"/>
      <c r="T533" s="166"/>
      <c r="W533" s="199" t="str">
        <f t="shared" ref="W533:W596" si="17">W532</f>
        <v>1D</v>
      </c>
      <c r="X533" s="200">
        <f>_xll.qlCalendarAdvance(Calendar,X532,W533,"f",FALSE)</f>
        <v>42556</v>
      </c>
      <c r="Y533" s="204">
        <f>_xll.qlCalendarAdvance(Calendar,X533,NDays&amp;"D")</f>
        <v>42558</v>
      </c>
      <c r="Z533" s="205">
        <v>1.4304942350834848E-2</v>
      </c>
      <c r="AA533" s="207">
        <v>1.3945248332332127E-2</v>
      </c>
    </row>
    <row r="534" spans="19:27" x14ac:dyDescent="0.2">
      <c r="S534" s="165"/>
      <c r="T534" s="166"/>
      <c r="W534" s="199" t="str">
        <f t="shared" si="17"/>
        <v>1D</v>
      </c>
      <c r="X534" s="200">
        <f>_xll.qlCalendarAdvance(Calendar,X533,W534,"f",FALSE)</f>
        <v>42557</v>
      </c>
      <c r="Y534" s="204">
        <f>_xll.qlCalendarAdvance(Calendar,X534,NDays&amp;"D")</f>
        <v>42559</v>
      </c>
      <c r="Z534" s="205">
        <v>1.4319978703661324E-2</v>
      </c>
      <c r="AA534" s="207">
        <v>1.3976039617134006E-2</v>
      </c>
    </row>
    <row r="535" spans="19:27" x14ac:dyDescent="0.2">
      <c r="S535" s="165"/>
      <c r="T535" s="166"/>
      <c r="W535" s="199" t="str">
        <f t="shared" si="17"/>
        <v>1D</v>
      </c>
      <c r="X535" s="200">
        <f>_xll.qlCalendarAdvance(Calendar,X534,W535,"f",FALSE)</f>
        <v>42558</v>
      </c>
      <c r="Y535" s="204">
        <f>_xll.qlCalendarAdvance(Calendar,X535,NDays&amp;"D")</f>
        <v>42562</v>
      </c>
      <c r="Z535" s="205">
        <v>1.4411246695243712E-2</v>
      </c>
      <c r="AA535" s="207">
        <v>1.4006799748216281E-2</v>
      </c>
    </row>
    <row r="536" spans="19:27" x14ac:dyDescent="0.2">
      <c r="S536" s="165"/>
      <c r="T536" s="166"/>
      <c r="W536" s="199" t="str">
        <f t="shared" si="17"/>
        <v>1D</v>
      </c>
      <c r="X536" s="200">
        <f>_xll.qlCalendarAdvance(Calendar,X535,W536,"f",FALSE)</f>
        <v>42559</v>
      </c>
      <c r="Y536" s="204">
        <f>_xll.qlCalendarAdvance(Calendar,X536,NDays&amp;"D")</f>
        <v>42563</v>
      </c>
      <c r="Z536" s="205">
        <v>1.444160713092147E-2</v>
      </c>
      <c r="AA536" s="207">
        <v>1.4037528725978632E-2</v>
      </c>
    </row>
    <row r="537" spans="19:27" x14ac:dyDescent="0.2">
      <c r="S537" s="165"/>
      <c r="T537" s="166"/>
      <c r="W537" s="199" t="s">
        <v>157</v>
      </c>
      <c r="X537" s="200">
        <f>_xll.qlCalendarAdvance(Calendar,X536,W537,"f",FALSE)</f>
        <v>42566</v>
      </c>
      <c r="Y537" s="204">
        <f>_xll.qlCalendarAdvance(Calendar,X537,NDays&amp;"D")</f>
        <v>42570</v>
      </c>
      <c r="Z537" s="205">
        <v>1.4653258961009366E-2</v>
      </c>
      <c r="AA537" s="207">
        <v>1.4251759269763298E-2</v>
      </c>
    </row>
    <row r="538" spans="19:27" x14ac:dyDescent="0.2">
      <c r="S538" s="165"/>
      <c r="T538" s="166"/>
      <c r="W538" s="199" t="str">
        <f t="shared" si="17"/>
        <v>1w</v>
      </c>
      <c r="X538" s="200">
        <f>_xll.qlCalendarAdvance(Calendar,X537,W538,"f",FALSE)</f>
        <v>42573</v>
      </c>
      <c r="Y538" s="204">
        <f>_xll.qlCalendarAdvance(Calendar,X538,NDays&amp;"D")</f>
        <v>42577</v>
      </c>
      <c r="Z538" s="205">
        <v>1.4863386097247376E-2</v>
      </c>
      <c r="AA538" s="207">
        <v>1.446446328728257E-2</v>
      </c>
    </row>
    <row r="539" spans="19:27" x14ac:dyDescent="0.2">
      <c r="S539" s="165"/>
      <c r="T539" s="166"/>
      <c r="W539" s="199" t="str">
        <f t="shared" si="17"/>
        <v>1w</v>
      </c>
      <c r="X539" s="200">
        <f>_xll.qlCalendarAdvance(Calendar,X538,W539,"f",FALSE)</f>
        <v>42580</v>
      </c>
      <c r="Y539" s="204">
        <f>_xll.qlCalendarAdvance(Calendar,X539,NDays&amp;"D")</f>
        <v>42584</v>
      </c>
      <c r="Z539" s="205">
        <v>1.5071988456829484E-2</v>
      </c>
      <c r="AA539" s="207">
        <v>1.4675640775578813E-2</v>
      </c>
    </row>
    <row r="540" spans="19:27" x14ac:dyDescent="0.2">
      <c r="S540" s="165"/>
      <c r="T540" s="166"/>
      <c r="W540" s="199" t="str">
        <f t="shared" si="17"/>
        <v>1w</v>
      </c>
      <c r="X540" s="200">
        <f>_xll.qlCalendarAdvance(Calendar,X539,W540,"f",FALSE)</f>
        <v>42587</v>
      </c>
      <c r="Y540" s="204">
        <f>_xll.qlCalendarAdvance(Calendar,X540,NDays&amp;"D")</f>
        <v>42591</v>
      </c>
      <c r="Z540" s="205">
        <v>1.5279065957565946E-2</v>
      </c>
      <c r="AA540" s="207">
        <v>1.4885291732174011E-2</v>
      </c>
    </row>
    <row r="541" spans="19:27" x14ac:dyDescent="0.2">
      <c r="S541" s="165"/>
      <c r="T541" s="166"/>
      <c r="W541" s="199" t="str">
        <f t="shared" si="17"/>
        <v>1w</v>
      </c>
      <c r="X541" s="200">
        <f>_xll.qlCalendarAdvance(Calendar,X540,W541,"f",FALSE)</f>
        <v>42594</v>
      </c>
      <c r="Y541" s="204">
        <f>_xll.qlCalendarAdvance(Calendar,X541,NDays&amp;"D")</f>
        <v>42598</v>
      </c>
      <c r="Z541" s="205">
        <v>1.5484618517849786E-2</v>
      </c>
      <c r="AA541" s="207">
        <v>1.5093416154190464E-2</v>
      </c>
    </row>
    <row r="542" spans="19:27" x14ac:dyDescent="0.2">
      <c r="S542" s="165"/>
      <c r="T542" s="166"/>
      <c r="W542" s="199" t="str">
        <f t="shared" si="17"/>
        <v>1w</v>
      </c>
      <c r="X542" s="200">
        <f>_xll.qlCalendarAdvance(Calendar,X541,W542,"f",FALSE)</f>
        <v>42601</v>
      </c>
      <c r="Y542" s="204">
        <f>_xll.qlCalendarAdvance(Calendar,X542,NDays&amp;"D")</f>
        <v>42605</v>
      </c>
      <c r="Z542" s="205">
        <v>1.568864605668515E-2</v>
      </c>
      <c r="AA542" s="207">
        <v>1.5300014039230092E-2</v>
      </c>
    </row>
    <row r="543" spans="19:27" x14ac:dyDescent="0.2">
      <c r="S543" s="165"/>
      <c r="T543" s="166"/>
      <c r="W543" s="199" t="str">
        <f t="shared" si="17"/>
        <v>1w</v>
      </c>
      <c r="X543" s="200">
        <f>_xll.qlCalendarAdvance(Calendar,X542,W543,"f",FALSE)</f>
        <v>42608</v>
      </c>
      <c r="Y543" s="204">
        <f>_xll.qlCalendarAdvance(Calendar,X543,NDays&amp;"D")</f>
        <v>42613</v>
      </c>
      <c r="Z543" s="205">
        <v>1.5905282678414956E-2</v>
      </c>
      <c r="AA543" s="207">
        <v>1.5564059266965913E-2</v>
      </c>
    </row>
    <row r="544" spans="19:27" x14ac:dyDescent="0.2">
      <c r="S544" s="165"/>
      <c r="T544" s="166"/>
      <c r="W544" s="199" t="str">
        <f t="shared" si="17"/>
        <v>1w</v>
      </c>
      <c r="X544" s="200">
        <f>_xll.qlCalendarAdvance(Calendar,X543,W544,"f",FALSE)</f>
        <v>42615</v>
      </c>
      <c r="Y544" s="204">
        <f>_xll.qlCalendarAdvance(Calendar,X544,NDays&amp;"D")</f>
        <v>42619</v>
      </c>
      <c r="Z544" s="205">
        <v>1.6077541252299987E-2</v>
      </c>
      <c r="AA544" s="207">
        <v>1.5708630187267758E-2</v>
      </c>
    </row>
    <row r="545" spans="19:27" x14ac:dyDescent="0.2">
      <c r="S545" s="165"/>
      <c r="T545" s="166"/>
      <c r="W545" s="199" t="str">
        <f t="shared" si="17"/>
        <v>1w</v>
      </c>
      <c r="X545" s="200">
        <f>_xll.qlCalendarAdvance(Calendar,X544,W545,"f",FALSE)</f>
        <v>42622</v>
      </c>
      <c r="Y545" s="204">
        <f>_xll.qlCalendarAdvance(Calendar,X545,NDays&amp;"D")</f>
        <v>42626</v>
      </c>
      <c r="Z545" s="205">
        <v>1.6277093236543472E-2</v>
      </c>
      <c r="AA545" s="207">
        <v>1.5910648445229825E-2</v>
      </c>
    </row>
    <row r="546" spans="19:27" x14ac:dyDescent="0.2">
      <c r="S546" s="165"/>
      <c r="T546" s="166"/>
      <c r="W546" s="199" t="str">
        <f t="shared" si="17"/>
        <v>1w</v>
      </c>
      <c r="X546" s="200">
        <f>_xll.qlCalendarAdvance(Calendar,X545,W546,"f",FALSE)</f>
        <v>42629</v>
      </c>
      <c r="Y546" s="204">
        <f>_xll.qlCalendarAdvance(Calendar,X546,NDays&amp;"D")</f>
        <v>42633</v>
      </c>
      <c r="Z546" s="205">
        <v>1.6475119846216302E-2</v>
      </c>
      <c r="AA546" s="207">
        <v>1.6111140155663506E-2</v>
      </c>
    </row>
    <row r="547" spans="19:27" x14ac:dyDescent="0.2">
      <c r="S547" s="165"/>
      <c r="T547" s="166"/>
      <c r="W547" s="199" t="str">
        <f t="shared" si="17"/>
        <v>1w</v>
      </c>
      <c r="X547" s="200">
        <f>_xll.qlCalendarAdvance(Calendar,X546,W547,"f",FALSE)</f>
        <v>42636</v>
      </c>
      <c r="Y547" s="204">
        <f>_xll.qlCalendarAdvance(Calendar,X547,NDays&amp;"D")</f>
        <v>42640</v>
      </c>
      <c r="Z547" s="205">
        <v>1.6671621005800219E-2</v>
      </c>
      <c r="AA547" s="207">
        <v>1.6310105316010848E-2</v>
      </c>
    </row>
    <row r="548" spans="19:27" x14ac:dyDescent="0.2">
      <c r="S548" s="165"/>
      <c r="T548" s="166"/>
      <c r="W548" s="199" t="str">
        <f t="shared" si="17"/>
        <v>1w</v>
      </c>
      <c r="X548" s="200">
        <f>_xll.qlCalendarAdvance(Calendar,X547,W548,"f",FALSE)</f>
        <v>42643</v>
      </c>
      <c r="Y548" s="204">
        <f>_xll.qlCalendarAdvance(Calendar,X548,NDays&amp;"D")</f>
        <v>42647</v>
      </c>
      <c r="Z548" s="205">
        <v>1.6880781378903996E-2</v>
      </c>
      <c r="AA548" s="207">
        <v>1.6507543923873769E-2</v>
      </c>
    </row>
    <row r="549" spans="19:27" x14ac:dyDescent="0.2">
      <c r="S549" s="165"/>
      <c r="T549" s="166"/>
      <c r="W549" s="199" t="str">
        <f t="shared" si="17"/>
        <v>1w</v>
      </c>
      <c r="X549" s="200">
        <f>_xll.qlCalendarAdvance(Calendar,X548,W549,"f",FALSE)</f>
        <v>42650</v>
      </c>
      <c r="Y549" s="204">
        <f>_xll.qlCalendarAdvance(Calendar,X549,NDays&amp;"D")</f>
        <v>42654</v>
      </c>
      <c r="Z549" s="205">
        <v>1.7116331723361095E-2</v>
      </c>
      <c r="AA549" s="207">
        <v>1.6703455976534443E-2</v>
      </c>
    </row>
    <row r="550" spans="19:27" x14ac:dyDescent="0.2">
      <c r="S550" s="165"/>
      <c r="T550" s="166"/>
      <c r="W550" s="199" t="str">
        <f t="shared" si="17"/>
        <v>1w</v>
      </c>
      <c r="X550" s="200">
        <f>_xll.qlCalendarAdvance(Calendar,X549,W550,"f",FALSE)</f>
        <v>42657</v>
      </c>
      <c r="Y550" s="204">
        <f>_xll.qlCalendarAdvance(Calendar,X550,NDays&amp;"D")</f>
        <v>42661</v>
      </c>
      <c r="Z550" s="205">
        <v>1.7265956073288638E-2</v>
      </c>
      <c r="AA550" s="207">
        <v>1.6897841471594788E-2</v>
      </c>
    </row>
    <row r="551" spans="19:27" x14ac:dyDescent="0.2">
      <c r="S551" s="165"/>
      <c r="T551" s="166"/>
      <c r="W551" s="199" t="str">
        <f t="shared" si="17"/>
        <v>1w</v>
      </c>
      <c r="X551" s="200">
        <f>_xll.qlCalendarAdvance(Calendar,X550,W551,"f",FALSE)</f>
        <v>42664</v>
      </c>
      <c r="Y551" s="204">
        <f>_xll.qlCalendarAdvance(Calendar,X551,NDays&amp;"D")</f>
        <v>42668</v>
      </c>
      <c r="Z551" s="205">
        <v>1.74562548731216E-2</v>
      </c>
      <c r="AA551" s="207">
        <v>1.7090700406656723E-2</v>
      </c>
    </row>
    <row r="552" spans="19:27" x14ac:dyDescent="0.2">
      <c r="S552" s="165"/>
      <c r="T552" s="166"/>
      <c r="W552" s="199" t="str">
        <f t="shared" si="17"/>
        <v>1w</v>
      </c>
      <c r="X552" s="200">
        <f>_xll.qlCalendarAdvance(Calendar,X551,W552,"f",FALSE)</f>
        <v>42671</v>
      </c>
      <c r="Y552" s="204">
        <f>_xll.qlCalendarAdvance(Calendar,X552,NDays&amp;"D")</f>
        <v>42675</v>
      </c>
      <c r="Z552" s="205">
        <v>1.7631242449748008E-2</v>
      </c>
      <c r="AA552" s="207">
        <v>1.7282032779082357E-2</v>
      </c>
    </row>
    <row r="553" spans="19:27" x14ac:dyDescent="0.2">
      <c r="S553" s="165"/>
      <c r="T553" s="166"/>
      <c r="W553" s="199" t="str">
        <f t="shared" si="17"/>
        <v>1w</v>
      </c>
      <c r="X553" s="200">
        <f>_xll.qlCalendarAdvance(Calendar,X552,W553,"f",FALSE)</f>
        <v>42678</v>
      </c>
      <c r="Y553" s="204">
        <f>_xll.qlCalendarAdvance(Calendar,X553,NDays&amp;"D")</f>
        <v>42682</v>
      </c>
      <c r="Z553" s="205">
        <v>1.7818589355353076E-2</v>
      </c>
      <c r="AA553" s="207">
        <v>1.7471838586553545E-2</v>
      </c>
    </row>
    <row r="554" spans="19:27" x14ac:dyDescent="0.2">
      <c r="S554" s="165"/>
      <c r="T554" s="166"/>
      <c r="W554" s="199" t="str">
        <f t="shared" si="17"/>
        <v>1w</v>
      </c>
      <c r="X554" s="200">
        <f>_xll.qlCalendarAdvance(Calendar,X553,W554,"f",FALSE)</f>
        <v>42685</v>
      </c>
      <c r="Y554" s="204">
        <f>_xll.qlCalendarAdvance(Calendar,X554,NDays&amp;"D")</f>
        <v>42689</v>
      </c>
      <c r="Z554" s="205">
        <v>1.8004410298479101E-2</v>
      </c>
      <c r="AA554" s="207">
        <v>1.7660117826752142E-2</v>
      </c>
    </row>
    <row r="555" spans="19:27" x14ac:dyDescent="0.2">
      <c r="S555" s="165"/>
      <c r="T555" s="166"/>
      <c r="W555" s="199" t="str">
        <f t="shared" si="17"/>
        <v>1w</v>
      </c>
      <c r="X555" s="200">
        <f>_xll.qlCalendarAdvance(Calendar,X554,W555,"f",FALSE)</f>
        <v>42692</v>
      </c>
      <c r="Y555" s="204">
        <f>_xll.qlCalendarAdvance(Calendar,X555,NDays&amp;"D")</f>
        <v>42696</v>
      </c>
      <c r="Z555" s="205">
        <v>1.8188705208252109E-2</v>
      </c>
      <c r="AA555" s="207">
        <v>1.7846870497200129E-2</v>
      </c>
    </row>
    <row r="556" spans="19:27" x14ac:dyDescent="0.2">
      <c r="S556" s="165"/>
      <c r="T556" s="166"/>
      <c r="W556" s="199" t="str">
        <f t="shared" si="17"/>
        <v>1w</v>
      </c>
      <c r="X556" s="200">
        <f>_xll.qlCalendarAdvance(Calendar,X555,W556,"f",FALSE)</f>
        <v>42699</v>
      </c>
      <c r="Y556" s="204">
        <f>_xll.qlCalendarAdvance(Calendar,X556,NDays&amp;"D")</f>
        <v>42703</v>
      </c>
      <c r="Z556" s="205">
        <v>1.8371474014378997E-2</v>
      </c>
      <c r="AA556" s="207">
        <v>1.8032096595419489E-2</v>
      </c>
    </row>
    <row r="557" spans="19:27" x14ac:dyDescent="0.2">
      <c r="S557" s="165"/>
      <c r="T557" s="166"/>
      <c r="W557" s="199" t="str">
        <f t="shared" si="17"/>
        <v>1w</v>
      </c>
      <c r="X557" s="200">
        <f>_xll.qlCalendarAdvance(Calendar,X556,W557,"f",FALSE)</f>
        <v>42706</v>
      </c>
      <c r="Y557" s="204">
        <f>_xll.qlCalendarAdvance(Calendar,X557,NDays&amp;"D")</f>
        <v>42710</v>
      </c>
      <c r="Z557" s="205">
        <v>1.856600332212523E-2</v>
      </c>
      <c r="AA557" s="207">
        <v>1.8215796119172012E-2</v>
      </c>
    </row>
    <row r="558" spans="19:27" x14ac:dyDescent="0.2">
      <c r="S558" s="165"/>
      <c r="T558" s="166"/>
      <c r="W558" s="199" t="str">
        <f t="shared" si="17"/>
        <v>1w</v>
      </c>
      <c r="X558" s="200">
        <f>_xll.qlCalendarAdvance(Calendar,X557,W558,"f",FALSE)</f>
        <v>42713</v>
      </c>
      <c r="Y558" s="204">
        <f>_xll.qlCalendarAdvance(Calendar,X558,NDays&amp;"D")</f>
        <v>42717</v>
      </c>
      <c r="Z558" s="205">
        <v>1.8745619991601153E-2</v>
      </c>
      <c r="AA558" s="207">
        <v>1.8397969066139552E-2</v>
      </c>
    </row>
    <row r="559" spans="19:27" x14ac:dyDescent="0.2">
      <c r="S559" s="165"/>
      <c r="T559" s="166"/>
      <c r="W559" s="199" t="str">
        <f t="shared" si="17"/>
        <v>1w</v>
      </c>
      <c r="X559" s="200">
        <f>_xll.qlCalendarAdvance(Calendar,X558,W559,"f",FALSE)</f>
        <v>42720</v>
      </c>
      <c r="Y559" s="204">
        <f>_xll.qlCalendarAdvance(Calendar,X559,NDays&amp;"D")</f>
        <v>42724</v>
      </c>
      <c r="Z559" s="205">
        <v>1.8923710354483703E-2</v>
      </c>
      <c r="AA559" s="207">
        <v>1.8578615433924028E-2</v>
      </c>
    </row>
    <row r="560" spans="19:27" x14ac:dyDescent="0.2">
      <c r="S560" s="165"/>
      <c r="T560" s="166"/>
      <c r="W560" s="199" t="str">
        <f t="shared" si="17"/>
        <v>1w</v>
      </c>
      <c r="X560" s="200">
        <f>_xll.qlCalendarAdvance(Calendar,X559,W560,"f",FALSE)</f>
        <v>42727</v>
      </c>
      <c r="Y560" s="204">
        <f>_xll.qlCalendarAdvance(Calendar,X560,NDays&amp;"D")</f>
        <v>42733</v>
      </c>
      <c r="Z560" s="205">
        <v>1.9163390815299663E-2</v>
      </c>
      <c r="AA560" s="207">
        <v>1.8884743281795124E-2</v>
      </c>
    </row>
    <row r="561" spans="19:27" x14ac:dyDescent="0.2">
      <c r="S561" s="165"/>
      <c r="T561" s="166"/>
      <c r="W561" s="199" t="str">
        <f t="shared" si="17"/>
        <v>1w</v>
      </c>
      <c r="X561" s="200">
        <f>_xll.qlCalendarAdvance(Calendar,X560,W561,"f",FALSE)</f>
        <v>42734</v>
      </c>
      <c r="Y561" s="204">
        <f>_xll.qlCalendarAdvance(Calendar,X561,NDays&amp;"D")</f>
        <v>42739</v>
      </c>
      <c r="Z561" s="205">
        <v>1.9325912617842243E-2</v>
      </c>
      <c r="AA561" s="207">
        <v>1.898677985389341E-2</v>
      </c>
    </row>
    <row r="562" spans="19:27" x14ac:dyDescent="0.2">
      <c r="S562" s="165"/>
      <c r="T562" s="166"/>
      <c r="W562" s="199" t="str">
        <f t="shared" si="17"/>
        <v>1w</v>
      </c>
      <c r="X562" s="200">
        <f>_xll.qlCalendarAdvance(Calendar,X561,W562,"f",FALSE)</f>
        <v>42741</v>
      </c>
      <c r="Y562" s="204">
        <f>_xll.qlCalendarAdvance(Calendar,X562,NDays&amp;"D")</f>
        <v>42745</v>
      </c>
      <c r="Z562" s="205">
        <v>1.9448822904623127E-2</v>
      </c>
      <c r="AA562" s="207">
        <v>1.911139503947723E-2</v>
      </c>
    </row>
    <row r="563" spans="19:27" x14ac:dyDescent="0.2">
      <c r="S563" s="165"/>
      <c r="T563" s="166"/>
      <c r="W563" s="199" t="str">
        <f t="shared" si="17"/>
        <v>1w</v>
      </c>
      <c r="X563" s="200">
        <f>_xll.qlCalendarAdvance(Calendar,X562,W563,"f",FALSE)</f>
        <v>42748</v>
      </c>
      <c r="Y563" s="204">
        <f>_xll.qlCalendarAdvance(Calendar,X563,NDays&amp;"D")</f>
        <v>42752</v>
      </c>
      <c r="Z563" s="205">
        <v>1.9620807345201136E-2</v>
      </c>
      <c r="AA563" s="207">
        <v>1.9285935067827609E-2</v>
      </c>
    </row>
    <row r="564" spans="19:27" x14ac:dyDescent="0.2">
      <c r="S564" s="165"/>
      <c r="T564" s="166"/>
      <c r="W564" s="199" t="str">
        <f t="shared" si="17"/>
        <v>1w</v>
      </c>
      <c r="X564" s="200">
        <f>_xll.qlCalendarAdvance(Calendar,X563,W564,"f",FALSE)</f>
        <v>42755</v>
      </c>
      <c r="Y564" s="204">
        <f>_xll.qlCalendarAdvance(Calendar,X564,NDays&amp;"D")</f>
        <v>42759</v>
      </c>
      <c r="Z564" s="205">
        <v>1.9791265134235899E-2</v>
      </c>
      <c r="AA564" s="207">
        <v>1.9458948505803875E-2</v>
      </c>
    </row>
    <row r="565" spans="19:27" x14ac:dyDescent="0.2">
      <c r="S565" s="165"/>
      <c r="T565" s="166"/>
      <c r="W565" s="199" t="str">
        <f t="shared" si="17"/>
        <v>1w</v>
      </c>
      <c r="X565" s="200">
        <f>_xll.qlCalendarAdvance(Calendar,X564,W565,"f",FALSE)</f>
        <v>42762</v>
      </c>
      <c r="Y565" s="204">
        <f>_xll.qlCalendarAdvance(Calendar,X565,NDays&amp;"D")</f>
        <v>42766</v>
      </c>
      <c r="Z565" s="205">
        <v>1.9922702333092471E-2</v>
      </c>
      <c r="AA565" s="207">
        <v>1.9630435351007947E-2</v>
      </c>
    </row>
    <row r="566" spans="19:27" x14ac:dyDescent="0.2">
      <c r="S566" s="165"/>
      <c r="T566" s="166"/>
      <c r="W566" s="199" t="str">
        <f t="shared" si="17"/>
        <v>1w</v>
      </c>
      <c r="X566" s="200">
        <f>_xll.qlCalendarAdvance(Calendar,X565,W566,"f",FALSE)</f>
        <v>42769</v>
      </c>
      <c r="Y566" s="204">
        <f>_xll.qlCalendarAdvance(Calendar,X566,NDays&amp;"D")</f>
        <v>42773</v>
      </c>
      <c r="Z566" s="205">
        <v>2.0090405854901974E-2</v>
      </c>
      <c r="AA566" s="207">
        <v>1.9800395601521359E-2</v>
      </c>
    </row>
    <row r="567" spans="19:27" x14ac:dyDescent="0.2">
      <c r="S567" s="165"/>
      <c r="T567" s="166"/>
      <c r="W567" s="199" t="str">
        <f t="shared" si="17"/>
        <v>1w</v>
      </c>
      <c r="X567" s="200">
        <f>_xll.qlCalendarAdvance(Calendar,X566,W567,"f",FALSE)</f>
        <v>42776</v>
      </c>
      <c r="Y567" s="204">
        <f>_xll.qlCalendarAdvance(Calendar,X567,NDays&amp;"D")</f>
        <v>42780</v>
      </c>
      <c r="Z567" s="205">
        <v>2.0256582562987457E-2</v>
      </c>
      <c r="AA567" s="207">
        <v>1.996882925494603E-2</v>
      </c>
    </row>
    <row r="568" spans="19:27" x14ac:dyDescent="0.2">
      <c r="S568" s="165"/>
      <c r="T568" s="166"/>
      <c r="W568" s="199" t="str">
        <f t="shared" si="17"/>
        <v>1w</v>
      </c>
      <c r="X568" s="200">
        <f>_xll.qlCalendarAdvance(Calendar,X567,W568,"f",FALSE)</f>
        <v>42783</v>
      </c>
      <c r="Y568" s="204">
        <f>_xll.qlCalendarAdvance(Calendar,X568,NDays&amp;"D")</f>
        <v>42787</v>
      </c>
      <c r="Z568" s="205">
        <v>2.0421232398181957E-2</v>
      </c>
      <c r="AA568" s="207">
        <v>2.0135736309283558E-2</v>
      </c>
    </row>
    <row r="569" spans="19:27" x14ac:dyDescent="0.2">
      <c r="S569" s="165"/>
      <c r="T569" s="166"/>
      <c r="W569" s="199" t="str">
        <f t="shared" si="17"/>
        <v>1w</v>
      </c>
      <c r="X569" s="200">
        <f>_xll.qlCalendarAdvance(Calendar,X568,W569,"f",FALSE)</f>
        <v>42790</v>
      </c>
      <c r="Y569" s="204">
        <f>_xll.qlCalendarAdvance(Calendar,X569,NDays&amp;"D")</f>
        <v>42794</v>
      </c>
      <c r="Z569" s="205">
        <v>2.0620651975689148E-2</v>
      </c>
      <c r="AA569" s="207">
        <v>2.0301116762375671E-2</v>
      </c>
    </row>
    <row r="570" spans="19:27" x14ac:dyDescent="0.2">
      <c r="S570" s="165"/>
      <c r="T570" s="166"/>
      <c r="W570" s="199" t="str">
        <f t="shared" si="17"/>
        <v>1w</v>
      </c>
      <c r="X570" s="200">
        <f>_xll.qlCalendarAdvance(Calendar,X569,W570,"f",FALSE)</f>
        <v>42797</v>
      </c>
      <c r="Y570" s="204">
        <f>_xll.qlCalendarAdvance(Calendar,X570,NDays&amp;"D")</f>
        <v>42801</v>
      </c>
      <c r="Z570" s="205">
        <v>2.0781948465556886E-2</v>
      </c>
      <c r="AA570" s="207">
        <v>2.0464970612064093E-2</v>
      </c>
    </row>
    <row r="571" spans="19:27" x14ac:dyDescent="0.2">
      <c r="S571" s="165"/>
      <c r="T571" s="166"/>
      <c r="W571" s="199" t="str">
        <f t="shared" si="17"/>
        <v>1w</v>
      </c>
      <c r="X571" s="200">
        <f>_xll.qlCalendarAdvance(Calendar,X570,W571,"f",FALSE)</f>
        <v>42804</v>
      </c>
      <c r="Y571" s="204">
        <f>_xll.qlCalendarAdvance(Calendar,X571,NDays&amp;"D")</f>
        <v>42808</v>
      </c>
      <c r="Z571" s="205">
        <v>2.098918804340423E-2</v>
      </c>
      <c r="AA571" s="207">
        <v>2.0627297856350424E-2</v>
      </c>
    </row>
    <row r="572" spans="19:27" x14ac:dyDescent="0.2">
      <c r="S572" s="165"/>
      <c r="T572" s="166"/>
      <c r="W572" s="199" t="str">
        <f t="shared" si="17"/>
        <v>1w</v>
      </c>
      <c r="X572" s="200">
        <f>_xll.qlCalendarAdvance(Calendar,X571,W572,"f",FALSE)</f>
        <v>42811</v>
      </c>
      <c r="Y572" s="204">
        <f>_xll.qlCalendarAdvance(Calendar,X572,NDays&amp;"D")</f>
        <v>42815</v>
      </c>
      <c r="Z572" s="205">
        <v>2.1099960054619081E-2</v>
      </c>
      <c r="AA572" s="207">
        <v>2.0788098493156326E-2</v>
      </c>
    </row>
    <row r="573" spans="19:27" x14ac:dyDescent="0.2">
      <c r="S573" s="165"/>
      <c r="T573" s="166"/>
      <c r="W573" s="199" t="str">
        <f t="shared" si="17"/>
        <v>1w</v>
      </c>
      <c r="X573" s="200">
        <f>_xll.qlCalendarAdvance(Calendar,X572,W573,"f",FALSE)</f>
        <v>42818</v>
      </c>
      <c r="Y573" s="204">
        <f>_xll.qlCalendarAdvance(Calendar,X573,NDays&amp;"D")</f>
        <v>42822</v>
      </c>
      <c r="Z573" s="205">
        <v>2.1256675028463484E-2</v>
      </c>
      <c r="AA573" s="207">
        <v>2.0947372520323526E-2</v>
      </c>
    </row>
    <row r="574" spans="19:27" x14ac:dyDescent="0.2">
      <c r="S574" s="165"/>
      <c r="T574" s="166"/>
      <c r="W574" s="199" t="str">
        <f t="shared" si="17"/>
        <v>1w</v>
      </c>
      <c r="X574" s="200">
        <f>_xll.qlCalendarAdvance(Calendar,X573,W574,"f",FALSE)</f>
        <v>42825</v>
      </c>
      <c r="Y574" s="204">
        <f>_xll.qlCalendarAdvance(Calendar,X574,NDays&amp;"D")</f>
        <v>42829</v>
      </c>
      <c r="Z574" s="205">
        <v>2.1400272148164312E-2</v>
      </c>
      <c r="AA574" s="207">
        <v>2.1105119935933558E-2</v>
      </c>
    </row>
    <row r="575" spans="19:27" x14ac:dyDescent="0.2">
      <c r="S575" s="165"/>
      <c r="T575" s="166"/>
      <c r="W575" s="199" t="str">
        <f t="shared" si="17"/>
        <v>1w</v>
      </c>
      <c r="X575" s="200">
        <f>_xll.qlCalendarAdvance(Calendar,X574,W575,"f",FALSE)</f>
        <v>42832</v>
      </c>
      <c r="Y575" s="204">
        <f>_xll.qlCalendarAdvance(Calendar,X575,NDays&amp;"D")</f>
        <v>42836</v>
      </c>
      <c r="Z575" s="205">
        <v>2.1554032402927525E-2</v>
      </c>
      <c r="AA575" s="207">
        <v>2.1308185687139769E-2</v>
      </c>
    </row>
    <row r="576" spans="19:27" x14ac:dyDescent="0.2">
      <c r="S576" s="165"/>
      <c r="T576" s="166"/>
      <c r="W576" s="199" t="str">
        <f t="shared" si="17"/>
        <v>1w</v>
      </c>
      <c r="X576" s="200">
        <f>_xll.qlCalendarAdvance(Calendar,X575,W576,"f",FALSE)</f>
        <v>42843</v>
      </c>
      <c r="Y576" s="204">
        <f>_xll.qlCalendarAdvance(Calendar,X576,NDays&amp;"D")</f>
        <v>42845</v>
      </c>
      <c r="Z576" s="205">
        <v>2.1772194930683442E-2</v>
      </c>
      <c r="AA576" s="207">
        <v>2.1503746182345296E-2</v>
      </c>
    </row>
    <row r="577" spans="19:27" x14ac:dyDescent="0.2">
      <c r="S577" s="165"/>
      <c r="T577" s="166"/>
      <c r="W577" s="199" t="str">
        <f t="shared" si="17"/>
        <v>1w</v>
      </c>
      <c r="X577" s="200">
        <f>_xll.qlCalendarAdvance(Calendar,X576,W577,"f",FALSE)</f>
        <v>42850</v>
      </c>
      <c r="Y577" s="204">
        <f>_xll.qlCalendarAdvance(Calendar,X577,NDays&amp;"D")</f>
        <v>42852</v>
      </c>
      <c r="Z577" s="205">
        <v>2.1933507830531405E-2</v>
      </c>
      <c r="AA577" s="207">
        <v>2.1677673234785644E-2</v>
      </c>
    </row>
    <row r="578" spans="19:27" x14ac:dyDescent="0.2">
      <c r="S578" s="165"/>
      <c r="T578" s="166"/>
      <c r="W578" s="199" t="str">
        <f t="shared" si="17"/>
        <v>1w</v>
      </c>
      <c r="X578" s="200">
        <f>_xll.qlCalendarAdvance(Calendar,X577,W578,"f",FALSE)</f>
        <v>42857</v>
      </c>
      <c r="Y578" s="204">
        <f>_xll.qlCalendarAdvance(Calendar,X578,NDays&amp;"D")</f>
        <v>42859</v>
      </c>
      <c r="Z578" s="205">
        <v>2.2070805298058938E-2</v>
      </c>
      <c r="AA578" s="207">
        <v>2.1806809991993248E-2</v>
      </c>
    </row>
    <row r="579" spans="19:27" x14ac:dyDescent="0.2">
      <c r="S579" s="165"/>
      <c r="T579" s="166"/>
      <c r="W579" s="199" t="str">
        <f t="shared" si="17"/>
        <v>1w</v>
      </c>
      <c r="X579" s="200">
        <f>_xll.qlCalendarAdvance(Calendar,X578,W579,"f",FALSE)</f>
        <v>42864</v>
      </c>
      <c r="Y579" s="204">
        <f>_xll.qlCalendarAdvance(Calendar,X579,NDays&amp;"D")</f>
        <v>42866</v>
      </c>
      <c r="Z579" s="205">
        <v>2.2217819036871589E-2</v>
      </c>
      <c r="AA579" s="207">
        <v>2.1956051964053813E-2</v>
      </c>
    </row>
    <row r="580" spans="19:27" x14ac:dyDescent="0.2">
      <c r="S580" s="165"/>
      <c r="T580" s="166"/>
      <c r="W580" s="199" t="str">
        <f t="shared" si="17"/>
        <v>1w</v>
      </c>
      <c r="X580" s="200">
        <f>_xll.qlCalendarAdvance(Calendar,X579,W580,"f",FALSE)</f>
        <v>42871</v>
      </c>
      <c r="Y580" s="204">
        <f>_xll.qlCalendarAdvance(Calendar,X580,NDays&amp;"D")</f>
        <v>42873</v>
      </c>
      <c r="Z580" s="205">
        <v>2.2363305065793149E-2</v>
      </c>
      <c r="AA580" s="207">
        <v>2.2103767311687506E-2</v>
      </c>
    </row>
    <row r="581" spans="19:27" x14ac:dyDescent="0.2">
      <c r="S581" s="165"/>
      <c r="T581" s="166"/>
      <c r="W581" s="199" t="str">
        <f t="shared" si="17"/>
        <v>1w</v>
      </c>
      <c r="X581" s="200">
        <f>_xll.qlCalendarAdvance(Calendar,X580,W581,"f",FALSE)</f>
        <v>42878</v>
      </c>
      <c r="Y581" s="204">
        <f>_xll.qlCalendarAdvance(Calendar,X581,NDays&amp;"D")</f>
        <v>42880</v>
      </c>
      <c r="Z581" s="205">
        <v>2.250726332562597E-2</v>
      </c>
      <c r="AA581" s="207">
        <v>2.2270715513350581E-2</v>
      </c>
    </row>
    <row r="582" spans="19:27" x14ac:dyDescent="0.2">
      <c r="S582" s="165"/>
      <c r="T582" s="166"/>
      <c r="W582" s="199" t="str">
        <f t="shared" si="17"/>
        <v>1w</v>
      </c>
      <c r="X582" s="200">
        <f>_xll.qlCalendarAdvance(Calendar,X581,W582,"f",FALSE)</f>
        <v>42885</v>
      </c>
      <c r="Y582" s="204">
        <f>_xll.qlCalendarAdvance(Calendar,X582,NDays&amp;"D")</f>
        <v>42887</v>
      </c>
      <c r="Z582" s="205">
        <v>2.2649701391600496E-2</v>
      </c>
      <c r="AA582" s="207">
        <v>2.2394618126080346E-2</v>
      </c>
    </row>
    <row r="583" spans="19:27" x14ac:dyDescent="0.2">
      <c r="S583" s="165"/>
      <c r="T583" s="166"/>
      <c r="W583" s="199" t="str">
        <f t="shared" si="17"/>
        <v>1w</v>
      </c>
      <c r="X583" s="200">
        <f>_xll.qlCalendarAdvance(Calendar,X582,W583,"f",FALSE)</f>
        <v>42892</v>
      </c>
      <c r="Y583" s="204">
        <f>_xll.qlCalendarAdvance(Calendar,X583,NDays&amp;"D")</f>
        <v>42894</v>
      </c>
      <c r="Z583" s="205">
        <v>2.2790657375600376E-2</v>
      </c>
      <c r="AA583" s="207">
        <v>2.2537753589242371E-2</v>
      </c>
    </row>
    <row r="584" spans="19:27" x14ac:dyDescent="0.2">
      <c r="S584" s="165"/>
      <c r="T584" s="166"/>
      <c r="W584" s="199" t="str">
        <f t="shared" si="17"/>
        <v>1w</v>
      </c>
      <c r="X584" s="200">
        <f>_xll.qlCalendarAdvance(Calendar,X583,W584,"f",FALSE)</f>
        <v>42899</v>
      </c>
      <c r="Y584" s="204">
        <f>_xll.qlCalendarAdvance(Calendar,X584,NDays&amp;"D")</f>
        <v>42901</v>
      </c>
      <c r="Z584" s="205">
        <v>2.2930177026015686E-2</v>
      </c>
      <c r="AA584" s="207">
        <v>2.2679362420623406E-2</v>
      </c>
    </row>
    <row r="585" spans="19:27" x14ac:dyDescent="0.2">
      <c r="S585" s="165"/>
      <c r="T585" s="166"/>
      <c r="W585" s="199" t="str">
        <f t="shared" si="17"/>
        <v>1w</v>
      </c>
      <c r="X585" s="200">
        <f>_xll.qlCalendarAdvance(Calendar,X584,W585,"f",FALSE)</f>
        <v>42906</v>
      </c>
      <c r="Y585" s="204">
        <f>_xll.qlCalendarAdvance(Calendar,X585,NDays&amp;"D")</f>
        <v>42908</v>
      </c>
      <c r="Z585" s="205">
        <v>2.3068306094061741E-2</v>
      </c>
      <c r="AA585" s="207">
        <v>2.2819445329176347E-2</v>
      </c>
    </row>
    <row r="586" spans="19:27" x14ac:dyDescent="0.2">
      <c r="S586" s="165"/>
      <c r="T586" s="166"/>
      <c r="W586" s="199" t="str">
        <f t="shared" si="17"/>
        <v>1w</v>
      </c>
      <c r="X586" s="200">
        <f>_xll.qlCalendarAdvance(Calendar,X585,W586,"f",FALSE)</f>
        <v>42913</v>
      </c>
      <c r="Y586" s="204">
        <f>_xll.qlCalendarAdvance(Calendar,X586,NDays&amp;"D")</f>
        <v>42915</v>
      </c>
      <c r="Z586" s="205">
        <v>2.3205089732787343E-2</v>
      </c>
      <c r="AA586" s="207">
        <v>2.2958120307077223E-2</v>
      </c>
    </row>
    <row r="587" spans="19:27" x14ac:dyDescent="0.2">
      <c r="S587" s="165"/>
      <c r="T587" s="166"/>
      <c r="W587" s="199" t="str">
        <f t="shared" si="17"/>
        <v>1w</v>
      </c>
      <c r="X587" s="200">
        <f>_xll.qlCalendarAdvance(Calendar,X586,W587,"f",FALSE)</f>
        <v>42920</v>
      </c>
      <c r="Y587" s="204">
        <f>_xll.qlCalendarAdvance(Calendar,X587,NDays&amp;"D")</f>
        <v>42922</v>
      </c>
      <c r="Z587" s="205">
        <v>2.3340553244340367E-2</v>
      </c>
      <c r="AA587" s="207">
        <v>2.3095477625236782E-2</v>
      </c>
    </row>
    <row r="588" spans="19:27" x14ac:dyDescent="0.2">
      <c r="S588" s="165"/>
      <c r="T588" s="166"/>
      <c r="W588" s="199" t="str">
        <f t="shared" si="17"/>
        <v>1w</v>
      </c>
      <c r="X588" s="200">
        <f>_xll.qlCalendarAdvance(Calendar,X587,W588,"f",FALSE)</f>
        <v>42927</v>
      </c>
      <c r="Y588" s="204">
        <f>_xll.qlCalendarAdvance(Calendar,X588,NDays&amp;"D")</f>
        <v>42929</v>
      </c>
      <c r="Z588" s="205">
        <v>2.3474698005576944E-2</v>
      </c>
      <c r="AA588" s="207">
        <v>2.3231517282216174E-2</v>
      </c>
    </row>
    <row r="589" spans="19:27" x14ac:dyDescent="0.2">
      <c r="S589" s="165"/>
      <c r="T589" s="166"/>
      <c r="W589" s="199" t="str">
        <f t="shared" si="17"/>
        <v>1w</v>
      </c>
      <c r="X589" s="200">
        <f>_xll.qlCalendarAdvance(Calendar,X588,W589,"f",FALSE)</f>
        <v>42934</v>
      </c>
      <c r="Y589" s="204">
        <f>_xll.qlCalendarAdvance(Calendar,X589,NDays&amp;"D")</f>
        <v>42936</v>
      </c>
      <c r="Z589" s="205">
        <v>2.3607523969387256E-2</v>
      </c>
      <c r="AA589" s="207">
        <v>2.3366239276496614E-2</v>
      </c>
    </row>
    <row r="590" spans="19:27" x14ac:dyDescent="0.2">
      <c r="S590" s="165"/>
      <c r="T590" s="166"/>
      <c r="W590" s="199" t="str">
        <f t="shared" si="17"/>
        <v>1w</v>
      </c>
      <c r="X590" s="200">
        <f>_xll.qlCalendarAdvance(Calendar,X589,W590,"f",FALSE)</f>
        <v>42941</v>
      </c>
      <c r="Y590" s="204">
        <f>_xll.qlCalendarAdvance(Calendar,X590,NDays&amp;"D")</f>
        <v>42943</v>
      </c>
      <c r="Z590" s="205">
        <v>2.3749083780418543E-2</v>
      </c>
      <c r="AA590" s="207">
        <v>2.3499643606479381E-2</v>
      </c>
    </row>
    <row r="591" spans="19:27" x14ac:dyDescent="0.2">
      <c r="S591" s="165"/>
      <c r="T591" s="166"/>
      <c r="W591" s="199" t="str">
        <f t="shared" si="17"/>
        <v>1w</v>
      </c>
      <c r="X591" s="200">
        <f>_xll.qlCalendarAdvance(Calendar,X590,W591,"f",FALSE)</f>
        <v>42948</v>
      </c>
      <c r="Y591" s="204">
        <f>_xll.qlCalendarAdvance(Calendar,X591,NDays&amp;"D")</f>
        <v>42950</v>
      </c>
      <c r="Z591" s="205">
        <v>2.3879186397503076E-2</v>
      </c>
      <c r="AA591" s="207">
        <v>2.3631730270885498E-2</v>
      </c>
    </row>
    <row r="592" spans="19:27" x14ac:dyDescent="0.2">
      <c r="S592" s="165"/>
      <c r="T592" s="166"/>
      <c r="W592" s="199" t="str">
        <f t="shared" si="17"/>
        <v>1w</v>
      </c>
      <c r="X592" s="200">
        <f>_xll.qlCalendarAdvance(Calendar,X591,W592,"f",FALSE)</f>
        <v>42955</v>
      </c>
      <c r="Y592" s="204">
        <f>_xll.qlCalendarAdvance(Calendar,X592,NDays&amp;"D")</f>
        <v>42957</v>
      </c>
      <c r="Z592" s="205">
        <v>2.3998088612026958E-2</v>
      </c>
      <c r="AA592" s="207">
        <v>2.3762499268036308E-2</v>
      </c>
    </row>
    <row r="593" spans="19:27" x14ac:dyDescent="0.2">
      <c r="S593" s="165"/>
      <c r="T593" s="166"/>
      <c r="W593" s="199" t="str">
        <f t="shared" si="17"/>
        <v>1w</v>
      </c>
      <c r="X593" s="200">
        <f>_xll.qlCalendarAdvance(Calendar,X592,W593,"f",FALSE)</f>
        <v>42962</v>
      </c>
      <c r="Y593" s="204">
        <f>_xll.qlCalendarAdvance(Calendar,X593,NDays&amp;"D")</f>
        <v>42964</v>
      </c>
      <c r="Z593" s="205">
        <v>2.4125638924224202E-2</v>
      </c>
      <c r="AA593" s="207">
        <v>2.3891950596732769E-2</v>
      </c>
    </row>
    <row r="594" spans="19:27" x14ac:dyDescent="0.2">
      <c r="S594" s="165"/>
      <c r="T594" s="166"/>
      <c r="W594" s="199" t="str">
        <f t="shared" si="17"/>
        <v>1w</v>
      </c>
      <c r="X594" s="200">
        <f>_xll.qlCalendarAdvance(Calendar,X593,W594,"f",FALSE)</f>
        <v>42969</v>
      </c>
      <c r="Y594" s="204">
        <f>_xll.qlCalendarAdvance(Calendar,X594,NDays&amp;"D")</f>
        <v>42971</v>
      </c>
      <c r="Z594" s="205">
        <v>2.4251870210358073E-2</v>
      </c>
      <c r="AA594" s="207">
        <v>2.4038281498848235E-2</v>
      </c>
    </row>
    <row r="595" spans="19:27" x14ac:dyDescent="0.2">
      <c r="S595" s="165"/>
      <c r="T595" s="166"/>
      <c r="W595" s="199" t="str">
        <f t="shared" si="17"/>
        <v>1w</v>
      </c>
      <c r="X595" s="200">
        <f>_xll.qlCalendarAdvance(Calendar,X594,W595,"f",FALSE)</f>
        <v>42976</v>
      </c>
      <c r="Y595" s="204">
        <f>_xll.qlCalendarAdvance(Calendar,X595,NDays&amp;"D")</f>
        <v>42978</v>
      </c>
      <c r="Z595" s="205">
        <v>2.4347863421673662E-2</v>
      </c>
      <c r="AA595" s="207">
        <v>2.4146900242687508E-2</v>
      </c>
    </row>
    <row r="596" spans="19:27" x14ac:dyDescent="0.2">
      <c r="S596" s="165"/>
      <c r="T596" s="166"/>
      <c r="W596" s="199" t="str">
        <f t="shared" si="17"/>
        <v>1w</v>
      </c>
      <c r="X596" s="200">
        <f>_xll.qlCalendarAdvance(Calendar,X595,W596,"f",FALSE)</f>
        <v>42983</v>
      </c>
      <c r="Y596" s="204">
        <f>_xll.qlCalendarAdvance(Calendar,X596,NDays&amp;"D")</f>
        <v>42985</v>
      </c>
      <c r="Z596" s="205">
        <v>2.4509913854316296E-2</v>
      </c>
      <c r="AA596" s="207">
        <v>2.4272398557227959E-2</v>
      </c>
    </row>
    <row r="597" spans="19:27" x14ac:dyDescent="0.2">
      <c r="S597" s="165"/>
      <c r="T597" s="166"/>
      <c r="W597" s="199" t="str">
        <f t="shared" ref="W597:W660" si="18">W596</f>
        <v>1w</v>
      </c>
      <c r="X597" s="200">
        <f>_xll.qlCalendarAdvance(Calendar,X596,W597,"f",FALSE)</f>
        <v>42990</v>
      </c>
      <c r="Y597" s="204">
        <f>_xll.qlCalendarAdvance(Calendar,X597,NDays&amp;"D")</f>
        <v>42992</v>
      </c>
      <c r="Z597" s="205">
        <v>2.4622649471329749E-2</v>
      </c>
      <c r="AA597" s="207">
        <v>2.4396579197638601E-2</v>
      </c>
    </row>
    <row r="598" spans="19:27" x14ac:dyDescent="0.2">
      <c r="S598" s="165"/>
      <c r="T598" s="166"/>
      <c r="W598" s="199" t="str">
        <f t="shared" si="18"/>
        <v>1w</v>
      </c>
      <c r="X598" s="200">
        <f>_xll.qlCalendarAdvance(Calendar,X597,W598,"f",FALSE)</f>
        <v>42997</v>
      </c>
      <c r="Y598" s="204">
        <f>_xll.qlCalendarAdvance(Calendar,X598,NDays&amp;"D")</f>
        <v>42999</v>
      </c>
      <c r="Z598" s="205">
        <v>2.4743604214466086E-2</v>
      </c>
      <c r="AA598" s="207">
        <v>2.4519442162480587E-2</v>
      </c>
    </row>
    <row r="599" spans="19:27" x14ac:dyDescent="0.2">
      <c r="S599" s="165"/>
      <c r="T599" s="166"/>
      <c r="W599" s="199" t="str">
        <f t="shared" si="18"/>
        <v>1w</v>
      </c>
      <c r="X599" s="200">
        <f>_xll.qlCalendarAdvance(Calendar,X598,W599,"f",FALSE)</f>
        <v>43004</v>
      </c>
      <c r="Y599" s="204">
        <f>_xll.qlCalendarAdvance(Calendar,X599,NDays&amp;"D")</f>
        <v>43006</v>
      </c>
      <c r="Z599" s="205">
        <v>2.4863239714485175E-2</v>
      </c>
      <c r="AA599" s="207">
        <v>2.4640987450474938E-2</v>
      </c>
    </row>
    <row r="600" spans="19:27" x14ac:dyDescent="0.2">
      <c r="S600" s="165"/>
      <c r="T600" s="166"/>
      <c r="W600" s="199" t="str">
        <f t="shared" si="18"/>
        <v>1w</v>
      </c>
      <c r="X600" s="200">
        <f>_xll.qlCalendarAdvance(Calendar,X599,W600,"f",FALSE)</f>
        <v>43011</v>
      </c>
      <c r="Y600" s="204">
        <f>_xll.qlCalendarAdvance(Calendar,X600,NDays&amp;"D")</f>
        <v>43013</v>
      </c>
      <c r="Z600" s="205">
        <v>2.4981555929360633E-2</v>
      </c>
      <c r="AA600" s="207">
        <v>2.4761215060262742E-2</v>
      </c>
    </row>
    <row r="601" spans="19:27" x14ac:dyDescent="0.2">
      <c r="S601" s="165"/>
      <c r="T601" s="166"/>
      <c r="W601" s="199" t="str">
        <f t="shared" si="18"/>
        <v>1w</v>
      </c>
      <c r="X601" s="200">
        <f>_xll.qlCalendarAdvance(Calendar,X600,W601,"f",FALSE)</f>
        <v>43018</v>
      </c>
      <c r="Y601" s="204">
        <f>_xll.qlCalendarAdvance(Calendar,X601,NDays&amp;"D")</f>
        <v>43020</v>
      </c>
      <c r="Z601" s="205">
        <v>2.5098552817533204E-2</v>
      </c>
      <c r="AA601" s="207">
        <v>2.4880124990565022E-2</v>
      </c>
    </row>
    <row r="602" spans="19:27" x14ac:dyDescent="0.2">
      <c r="S602" s="165"/>
      <c r="T602" s="166"/>
      <c r="W602" s="199" t="str">
        <f t="shared" si="18"/>
        <v>1w</v>
      </c>
      <c r="X602" s="200">
        <f>_xll.qlCalendarAdvance(Calendar,X601,W602,"f",FALSE)</f>
        <v>43025</v>
      </c>
      <c r="Y602" s="204">
        <f>_xll.qlCalendarAdvance(Calendar,X602,NDays&amp;"D")</f>
        <v>43027</v>
      </c>
      <c r="Z602" s="205">
        <v>2.5214230337908261E-2</v>
      </c>
      <c r="AA602" s="207">
        <v>2.4997717240022865E-2</v>
      </c>
    </row>
    <row r="603" spans="19:27" x14ac:dyDescent="0.2">
      <c r="S603" s="165"/>
      <c r="T603" s="166"/>
      <c r="W603" s="199" t="str">
        <f t="shared" si="18"/>
        <v>1w</v>
      </c>
      <c r="X603" s="200">
        <f>_xll.qlCalendarAdvance(Calendar,X602,W603,"f",FALSE)</f>
        <v>43032</v>
      </c>
      <c r="Y603" s="204">
        <f>_xll.qlCalendarAdvance(Calendar,X603,NDays&amp;"D")</f>
        <v>43034</v>
      </c>
      <c r="Z603" s="205">
        <v>2.532858844984831E-2</v>
      </c>
      <c r="AA603" s="207">
        <v>2.5113991807277358E-2</v>
      </c>
    </row>
    <row r="604" spans="19:27" x14ac:dyDescent="0.2">
      <c r="S604" s="165"/>
      <c r="T604" s="166"/>
      <c r="W604" s="199" t="str">
        <f t="shared" si="18"/>
        <v>1w</v>
      </c>
      <c r="X604" s="200">
        <f>_xll.qlCalendarAdvance(Calendar,X603,W604,"f",FALSE)</f>
        <v>43039</v>
      </c>
      <c r="Y604" s="204">
        <f>_xll.qlCalendarAdvance(Calendar,X604,NDays&amp;"D")</f>
        <v>43041</v>
      </c>
      <c r="Z604" s="205">
        <v>2.5441627113187981E-2</v>
      </c>
      <c r="AA604" s="207">
        <v>2.5228948691209396E-2</v>
      </c>
    </row>
    <row r="605" spans="19:27" x14ac:dyDescent="0.2">
      <c r="S605" s="165"/>
      <c r="T605" s="166"/>
      <c r="W605" s="199" t="str">
        <f t="shared" si="18"/>
        <v>1w</v>
      </c>
      <c r="X605" s="200">
        <f>_xll.qlCalendarAdvance(Calendar,X604,W605,"f",FALSE)</f>
        <v>43046</v>
      </c>
      <c r="Y605" s="204">
        <f>_xll.qlCalendarAdvance(Calendar,X605,NDays&amp;"D")</f>
        <v>43048</v>
      </c>
      <c r="Z605" s="205">
        <v>2.5553346288219037E-2</v>
      </c>
      <c r="AA605" s="207">
        <v>2.5342587890540003E-2</v>
      </c>
    </row>
    <row r="606" spans="19:27" x14ac:dyDescent="0.2">
      <c r="S606" s="165"/>
      <c r="T606" s="166"/>
      <c r="W606" s="199" t="str">
        <f t="shared" si="18"/>
        <v>1w</v>
      </c>
      <c r="X606" s="200">
        <f>_xll.qlCalendarAdvance(Calendar,X605,W606,"f",FALSE)</f>
        <v>43053</v>
      </c>
      <c r="Y606" s="204">
        <f>_xll.qlCalendarAdvance(Calendar,X606,NDays&amp;"D")</f>
        <v>43055</v>
      </c>
      <c r="Z606" s="205">
        <v>2.566374593569537E-2</v>
      </c>
      <c r="AA606" s="207">
        <v>2.5454909403830328E-2</v>
      </c>
    </row>
    <row r="607" spans="19:27" x14ac:dyDescent="0.2">
      <c r="S607" s="165"/>
      <c r="T607" s="166"/>
      <c r="W607" s="199" t="str">
        <f t="shared" si="18"/>
        <v>1w</v>
      </c>
      <c r="X607" s="200">
        <f>_xll.qlCalendarAdvance(Calendar,X606,W607,"f",FALSE)</f>
        <v>43060</v>
      </c>
      <c r="Y607" s="204">
        <f>_xll.qlCalendarAdvance(Calendar,X607,NDays&amp;"D")</f>
        <v>43062</v>
      </c>
      <c r="Z607" s="205">
        <v>2.5796879169503614E-2</v>
      </c>
      <c r="AA607" s="207">
        <v>2.5565913230041204E-2</v>
      </c>
    </row>
    <row r="608" spans="19:27" x14ac:dyDescent="0.2">
      <c r="S608" s="165"/>
      <c r="T608" s="166"/>
      <c r="W608" s="199" t="str">
        <f t="shared" si="18"/>
        <v>1w</v>
      </c>
      <c r="X608" s="200">
        <f>_xll.qlCalendarAdvance(Calendar,X607,W608,"f",FALSE)</f>
        <v>43067</v>
      </c>
      <c r="Y608" s="204">
        <f>_xll.qlCalendarAdvance(Calendar,X608,NDays&amp;"D")</f>
        <v>43069</v>
      </c>
      <c r="Z608" s="205">
        <v>2.5855027952510028E-2</v>
      </c>
      <c r="AA608" s="207">
        <v>2.5675599367893653E-2</v>
      </c>
    </row>
    <row r="609" spans="19:27" x14ac:dyDescent="0.2">
      <c r="S609" s="165"/>
      <c r="T609" s="166"/>
      <c r="W609" s="199" t="str">
        <f t="shared" si="18"/>
        <v>1w</v>
      </c>
      <c r="X609" s="200">
        <f>_xll.qlCalendarAdvance(Calendar,X608,W609,"f",FALSE)</f>
        <v>43074</v>
      </c>
      <c r="Y609" s="204">
        <f>_xll.qlCalendarAdvance(Calendar,X609,NDays&amp;"D")</f>
        <v>43076</v>
      </c>
      <c r="Z609" s="205">
        <v>2.5987027327329382E-2</v>
      </c>
      <c r="AA609" s="207">
        <v>2.5783967816188635E-2</v>
      </c>
    </row>
    <row r="610" spans="19:27" x14ac:dyDescent="0.2">
      <c r="S610" s="165"/>
      <c r="T610" s="166"/>
      <c r="W610" s="199" t="str">
        <f t="shared" si="18"/>
        <v>1w</v>
      </c>
      <c r="X610" s="200">
        <f>_xll.qlCalendarAdvance(Calendar,X609,W610,"f",FALSE)</f>
        <v>43081</v>
      </c>
      <c r="Y610" s="204">
        <f>_xll.qlCalendarAdvance(Calendar,X610,NDays&amp;"D")</f>
        <v>43083</v>
      </c>
      <c r="Z610" s="205">
        <v>2.6100479022518837E-2</v>
      </c>
      <c r="AA610" s="207">
        <v>2.5891018573727109E-2</v>
      </c>
    </row>
    <row r="611" spans="19:27" x14ac:dyDescent="0.2">
      <c r="S611" s="165"/>
      <c r="T611" s="166"/>
      <c r="W611" s="199" t="str">
        <f t="shared" si="18"/>
        <v>1w</v>
      </c>
      <c r="X611" s="200">
        <f>_xll.qlCalendarAdvance(Calendar,X610,W611,"f",FALSE)</f>
        <v>43088</v>
      </c>
      <c r="Y611" s="204">
        <f>_xll.qlCalendarAdvance(Calendar,X611,NDays&amp;"D")</f>
        <v>43090</v>
      </c>
      <c r="Z611" s="205">
        <v>2.6195949918703942E-2</v>
      </c>
      <c r="AA611" s="207">
        <v>2.6026719061453818E-2</v>
      </c>
    </row>
    <row r="612" spans="19:27" x14ac:dyDescent="0.2">
      <c r="S612" s="165"/>
      <c r="T612" s="166"/>
      <c r="W612" s="199" t="str">
        <f t="shared" si="18"/>
        <v>1w</v>
      </c>
      <c r="X612" s="200">
        <f>_xll.qlCalendarAdvance(Calendar,X611,W612,"f",FALSE)</f>
        <v>43096</v>
      </c>
      <c r="Y612" s="204">
        <f>_xll.qlCalendarAdvance(Calendar,X612,NDays&amp;"D")</f>
        <v>43098</v>
      </c>
      <c r="Z612" s="205">
        <v>2.6321108685925573E-2</v>
      </c>
      <c r="AA612" s="207">
        <v>2.6130757949998085E-2</v>
      </c>
    </row>
    <row r="613" spans="19:27" x14ac:dyDescent="0.2">
      <c r="S613" s="165"/>
      <c r="T613" s="166"/>
      <c r="W613" s="199" t="str">
        <f t="shared" si="18"/>
        <v>1w</v>
      </c>
      <c r="X613" s="200">
        <f>_xll.qlCalendarAdvance(Calendar,X612,W613,"f",FALSE)</f>
        <v>43103</v>
      </c>
      <c r="Y613" s="204">
        <f>_xll.qlCalendarAdvance(Calendar,X613,NDays&amp;"D")</f>
        <v>43105</v>
      </c>
      <c r="Z613" s="205">
        <v>2.6405871875775474E-2</v>
      </c>
      <c r="AA613" s="207">
        <v>2.6218885362965239E-2</v>
      </c>
    </row>
    <row r="614" spans="19:27" x14ac:dyDescent="0.2">
      <c r="S614" s="165"/>
      <c r="T614" s="166"/>
      <c r="W614" s="199" t="str">
        <f t="shared" si="18"/>
        <v>1w</v>
      </c>
      <c r="X614" s="200">
        <f>_xll.qlCalendarAdvance(Calendar,X613,W614,"f",FALSE)</f>
        <v>43110</v>
      </c>
      <c r="Y614" s="204">
        <f>_xll.qlCalendarAdvance(Calendar,X614,NDays&amp;"D")</f>
        <v>43112</v>
      </c>
      <c r="Z614" s="205">
        <v>2.6505612350057793E-2</v>
      </c>
      <c r="AA614" s="207">
        <v>2.6320477103585205E-2</v>
      </c>
    </row>
    <row r="615" spans="19:27" x14ac:dyDescent="0.2">
      <c r="S615" s="165"/>
      <c r="T615" s="166"/>
      <c r="W615" s="199" t="str">
        <f t="shared" si="18"/>
        <v>1w</v>
      </c>
      <c r="X615" s="200">
        <f>_xll.qlCalendarAdvance(Calendar,X614,W615,"f",FALSE)</f>
        <v>43117</v>
      </c>
      <c r="Y615" s="204">
        <f>_xll.qlCalendarAdvance(Calendar,X615,NDays&amp;"D")</f>
        <v>43119</v>
      </c>
      <c r="Z615" s="205">
        <v>2.6611924633020423E-2</v>
      </c>
      <c r="AA615" s="207">
        <v>2.6420751147613331E-2</v>
      </c>
    </row>
    <row r="616" spans="19:27" x14ac:dyDescent="0.2">
      <c r="S616" s="165"/>
      <c r="T616" s="166"/>
      <c r="W616" s="199" t="str">
        <f t="shared" si="18"/>
        <v>1w</v>
      </c>
      <c r="X616" s="200">
        <f>_xll.qlCalendarAdvance(Calendar,X615,W616,"f",FALSE)</f>
        <v>43124</v>
      </c>
      <c r="Y616" s="204">
        <f>_xll.qlCalendarAdvance(Calendar,X616,NDays&amp;"D")</f>
        <v>43126</v>
      </c>
      <c r="Z616" s="205">
        <v>2.6701133887526672E-2</v>
      </c>
      <c r="AA616" s="207">
        <v>2.6519707493850575E-2</v>
      </c>
    </row>
    <row r="617" spans="19:27" x14ac:dyDescent="0.2">
      <c r="S617" s="165"/>
      <c r="T617" s="166"/>
      <c r="W617" s="199" t="str">
        <f t="shared" si="18"/>
        <v>1w</v>
      </c>
      <c r="X617" s="200">
        <f>_xll.qlCalendarAdvance(Calendar,X616,W617,"f",FALSE)</f>
        <v>43131</v>
      </c>
      <c r="Y617" s="204">
        <f>_xll.qlCalendarAdvance(Calendar,X617,NDays&amp;"D")</f>
        <v>43133</v>
      </c>
      <c r="Z617" s="205">
        <v>2.6773715320919576E-2</v>
      </c>
      <c r="AA617" s="207">
        <v>2.6617346141257769E-2</v>
      </c>
    </row>
    <row r="618" spans="19:27" x14ac:dyDescent="0.2">
      <c r="S618" s="165"/>
      <c r="T618" s="166"/>
      <c r="W618" s="199" t="str">
        <f t="shared" si="18"/>
        <v>1w</v>
      </c>
      <c r="X618" s="200">
        <f>_xll.qlCalendarAdvance(Calendar,X617,W618,"f",FALSE)</f>
        <v>43138</v>
      </c>
      <c r="Y618" s="204">
        <f>_xll.qlCalendarAdvance(Calendar,X618,NDays&amp;"D")</f>
        <v>43140</v>
      </c>
      <c r="Z618" s="205">
        <v>2.686843811245573E-2</v>
      </c>
      <c r="AA618" s="207">
        <v>2.6713667088795745E-2</v>
      </c>
    </row>
    <row r="619" spans="19:27" x14ac:dyDescent="0.2">
      <c r="S619" s="165"/>
      <c r="T619" s="166"/>
      <c r="W619" s="199" t="str">
        <f t="shared" si="18"/>
        <v>1w</v>
      </c>
      <c r="X619" s="200">
        <f>_xll.qlCalendarAdvance(Calendar,X618,W619,"f",FALSE)</f>
        <v>43145</v>
      </c>
      <c r="Y619" s="204">
        <f>_xll.qlCalendarAdvance(Calendar,X619,NDays&amp;"D")</f>
        <v>43147</v>
      </c>
      <c r="Z619" s="205">
        <v>2.6961841208613193E-2</v>
      </c>
      <c r="AA619" s="207">
        <v>2.6808670335345397E-2</v>
      </c>
    </row>
    <row r="620" spans="19:27" x14ac:dyDescent="0.2">
      <c r="S620" s="165"/>
      <c r="T620" s="166"/>
      <c r="W620" s="199" t="str">
        <f t="shared" si="18"/>
        <v>1w</v>
      </c>
      <c r="X620" s="200">
        <f>_xll.qlCalendarAdvance(Calendar,X619,W620,"f",FALSE)</f>
        <v>43152</v>
      </c>
      <c r="Y620" s="204">
        <f>_xll.qlCalendarAdvance(Calendar,X620,NDays&amp;"D")</f>
        <v>43154</v>
      </c>
      <c r="Z620" s="205">
        <v>2.7053924580677791E-2</v>
      </c>
      <c r="AA620" s="207">
        <v>2.6902355879867557E-2</v>
      </c>
    </row>
    <row r="621" spans="19:27" x14ac:dyDescent="0.2">
      <c r="S621" s="165"/>
      <c r="T621" s="166"/>
      <c r="W621" s="199" t="str">
        <f t="shared" si="18"/>
        <v>1w</v>
      </c>
      <c r="X621" s="200">
        <f>_xll.qlCalendarAdvance(Calendar,X620,W621,"f",FALSE)</f>
        <v>43159</v>
      </c>
      <c r="Y621" s="204">
        <f>_xll.qlCalendarAdvance(Calendar,X621,NDays&amp;"D")</f>
        <v>43161</v>
      </c>
      <c r="Z621" s="205">
        <v>2.7174207503242453E-2</v>
      </c>
      <c r="AA621" s="207">
        <v>2.6994723721402991E-2</v>
      </c>
    </row>
    <row r="622" spans="19:27" x14ac:dyDescent="0.2">
      <c r="S622" s="165"/>
      <c r="T622" s="166"/>
      <c r="W622" s="199" t="str">
        <f t="shared" si="18"/>
        <v>1w</v>
      </c>
      <c r="X622" s="200">
        <f>_xll.qlCalendarAdvance(Calendar,X621,W622,"f",FALSE)</f>
        <v>43166</v>
      </c>
      <c r="Y622" s="204">
        <f>_xll.qlCalendarAdvance(Calendar,X622,NDays&amp;"D")</f>
        <v>43168</v>
      </c>
      <c r="Z622" s="205">
        <v>2.7256020856098802E-2</v>
      </c>
      <c r="AA622" s="207">
        <v>2.7085773858832596E-2</v>
      </c>
    </row>
    <row r="623" spans="19:27" x14ac:dyDescent="0.2">
      <c r="S623" s="165"/>
      <c r="T623" s="166"/>
      <c r="W623" s="199" t="str">
        <f t="shared" si="18"/>
        <v>1w</v>
      </c>
      <c r="X623" s="200">
        <f>_xll.qlCalendarAdvance(Calendar,X622,W623,"f",FALSE)</f>
        <v>43173</v>
      </c>
      <c r="Y623" s="204">
        <f>_xll.qlCalendarAdvance(Calendar,X623,NDays&amp;"D")</f>
        <v>43175</v>
      </c>
      <c r="Z623" s="205">
        <v>2.7343882029483318E-2</v>
      </c>
      <c r="AA623" s="207">
        <v>2.7175506291277074E-2</v>
      </c>
    </row>
    <row r="624" spans="19:27" x14ac:dyDescent="0.2">
      <c r="S624" s="165"/>
      <c r="T624" s="166"/>
      <c r="W624" s="199" t="str">
        <f t="shared" si="18"/>
        <v>1w</v>
      </c>
      <c r="X624" s="200">
        <f>_xll.qlCalendarAdvance(Calendar,X623,W624,"f",FALSE)</f>
        <v>43180</v>
      </c>
      <c r="Y624" s="204">
        <f>_xll.qlCalendarAdvance(Calendar,X624,NDays&amp;"D")</f>
        <v>43182</v>
      </c>
      <c r="Z624" s="205">
        <v>2.7430423125047874E-2</v>
      </c>
      <c r="AA624" s="207">
        <v>2.7263921017697257E-2</v>
      </c>
    </row>
    <row r="625" spans="19:27" x14ac:dyDescent="0.2">
      <c r="S625" s="165"/>
      <c r="T625" s="166"/>
      <c r="W625" s="199" t="str">
        <f t="shared" si="18"/>
        <v>1w</v>
      </c>
      <c r="X625" s="200">
        <f>_xll.qlCalendarAdvance(Calendar,X624,W625,"f",FALSE)</f>
        <v>43187</v>
      </c>
      <c r="Y625" s="204">
        <f>_xll.qlCalendarAdvance(Calendar,X625,NDays&amp;"D")</f>
        <v>43193</v>
      </c>
      <c r="Z625" s="205">
        <v>2.7556774157675434E-2</v>
      </c>
      <c r="AA625" s="207">
        <v>2.7375660871786778E-2</v>
      </c>
    </row>
    <row r="626" spans="19:27" x14ac:dyDescent="0.2">
      <c r="S626" s="165"/>
      <c r="T626" s="166"/>
      <c r="W626" s="199" t="str">
        <f t="shared" si="18"/>
        <v>1w</v>
      </c>
      <c r="X626" s="200">
        <f>_xll.qlCalendarAdvance(Calendar,X625,W626,"f",FALSE)</f>
        <v>43194</v>
      </c>
      <c r="Y626" s="204">
        <f>_xll.qlCalendarAdvance(Calendar,X626,NDays&amp;"D")</f>
        <v>43196</v>
      </c>
      <c r="Z626" s="205">
        <v>2.7606474216796129E-2</v>
      </c>
      <c r="AA626" s="207">
        <v>2.7436797348467934E-2</v>
      </c>
    </row>
    <row r="627" spans="19:27" x14ac:dyDescent="0.2">
      <c r="S627" s="165"/>
      <c r="T627" s="166"/>
      <c r="W627" s="199" t="str">
        <f t="shared" si="18"/>
        <v>1w</v>
      </c>
      <c r="X627" s="200">
        <f>_xll.qlCalendarAdvance(Calendar,X626,W627,"f",FALSE)</f>
        <v>43201</v>
      </c>
      <c r="Y627" s="204">
        <f>_xll.qlCalendarAdvance(Calendar,X627,NDays&amp;"D")</f>
        <v>43203</v>
      </c>
      <c r="Z627" s="205">
        <v>2.7682125652549783E-2</v>
      </c>
      <c r="AA627" s="207">
        <v>2.7521258950979899E-2</v>
      </c>
    </row>
    <row r="628" spans="19:27" x14ac:dyDescent="0.2">
      <c r="S628" s="165"/>
      <c r="T628" s="166"/>
      <c r="W628" s="199" t="str">
        <f t="shared" si="18"/>
        <v>1w</v>
      </c>
      <c r="X628" s="200">
        <f>_xll.qlCalendarAdvance(Calendar,X627,W628,"f",FALSE)</f>
        <v>43208</v>
      </c>
      <c r="Y628" s="204">
        <f>_xll.qlCalendarAdvance(Calendar,X628,NDays&amp;"D")</f>
        <v>43210</v>
      </c>
      <c r="Z628" s="205">
        <v>2.7763386146803282E-2</v>
      </c>
      <c r="AA628" s="207">
        <v>2.7604402843710574E-2</v>
      </c>
    </row>
    <row r="629" spans="19:27" x14ac:dyDescent="0.2">
      <c r="S629" s="165"/>
      <c r="T629" s="166"/>
      <c r="W629" s="199" t="str">
        <f t="shared" si="18"/>
        <v>1w</v>
      </c>
      <c r="X629" s="200">
        <f>_xll.qlCalendarAdvance(Calendar,X628,W629,"f",FALSE)</f>
        <v>43215</v>
      </c>
      <c r="Y629" s="204">
        <f>_xll.qlCalendarAdvance(Calendar,X629,NDays&amp;"D")</f>
        <v>43217</v>
      </c>
      <c r="Z629" s="205">
        <v>2.7849991501378291E-2</v>
      </c>
      <c r="AA629" s="207">
        <v>2.768622902562079E-2</v>
      </c>
    </row>
    <row r="630" spans="19:27" x14ac:dyDescent="0.2">
      <c r="S630" s="165"/>
      <c r="T630" s="166"/>
      <c r="W630" s="199" t="str">
        <f t="shared" si="18"/>
        <v>1w</v>
      </c>
      <c r="X630" s="200">
        <f>_xll.qlCalendarAdvance(Calendar,X629,W630,"f",FALSE)</f>
        <v>43222</v>
      </c>
      <c r="Y630" s="204">
        <f>_xll.qlCalendarAdvance(Calendar,X630,NDays&amp;"D")</f>
        <v>43224</v>
      </c>
      <c r="Z630" s="205">
        <v>2.7921946446330913E-2</v>
      </c>
      <c r="AA630" s="207">
        <v>2.7778131137621287E-2</v>
      </c>
    </row>
    <row r="631" spans="19:27" x14ac:dyDescent="0.2">
      <c r="S631" s="165"/>
      <c r="T631" s="166"/>
      <c r="W631" s="199" t="str">
        <f t="shared" si="18"/>
        <v>1w</v>
      </c>
      <c r="X631" s="200">
        <f>_xll.qlCalendarAdvance(Calendar,X630,W631,"f",FALSE)</f>
        <v>43229</v>
      </c>
      <c r="Y631" s="204">
        <f>_xll.qlCalendarAdvance(Calendar,X631,NDays&amp;"D")</f>
        <v>43231</v>
      </c>
      <c r="Z631" s="205">
        <v>2.7999246197640468E-2</v>
      </c>
      <c r="AA631" s="207">
        <v>2.7845928253782404E-2</v>
      </c>
    </row>
    <row r="632" spans="19:27" x14ac:dyDescent="0.2">
      <c r="S632" s="165"/>
      <c r="T632" s="166"/>
      <c r="W632" s="199" t="str">
        <f t="shared" si="18"/>
        <v>1w</v>
      </c>
      <c r="X632" s="200">
        <f>_xll.qlCalendarAdvance(Calendar,X631,W632,"f",FALSE)</f>
        <v>43236</v>
      </c>
      <c r="Y632" s="204">
        <f>_xll.qlCalendarAdvance(Calendar,X632,NDays&amp;"D")</f>
        <v>43238</v>
      </c>
      <c r="Z632" s="205">
        <v>2.8075225648087836E-2</v>
      </c>
      <c r="AA632" s="207">
        <v>2.7923801298115336E-2</v>
      </c>
    </row>
    <row r="633" spans="19:27" x14ac:dyDescent="0.2">
      <c r="S633" s="165"/>
      <c r="T633" s="166"/>
      <c r="W633" s="199" t="str">
        <f t="shared" si="18"/>
        <v>1w</v>
      </c>
      <c r="X633" s="200">
        <f>_xll.qlCalendarAdvance(Calendar,X632,W633,"f",FALSE)</f>
        <v>43243</v>
      </c>
      <c r="Y633" s="204">
        <f>_xll.qlCalendarAdvance(Calendar,X633,NDays&amp;"D")</f>
        <v>43245</v>
      </c>
      <c r="Z633" s="205">
        <v>2.8149884771807254E-2</v>
      </c>
      <c r="AA633" s="207">
        <v>2.8011185535401495E-2</v>
      </c>
    </row>
    <row r="634" spans="19:27" x14ac:dyDescent="0.2">
      <c r="S634" s="165"/>
      <c r="T634" s="166"/>
      <c r="W634" s="199" t="str">
        <f t="shared" si="18"/>
        <v>1w</v>
      </c>
      <c r="X634" s="200">
        <f>_xll.qlCalendarAdvance(Calendar,X633,W634,"f",FALSE)</f>
        <v>43250</v>
      </c>
      <c r="Y634" s="204">
        <f>_xll.qlCalendarAdvance(Calendar,X634,NDays&amp;"D")</f>
        <v>43252</v>
      </c>
      <c r="Z634" s="205">
        <v>2.8223247128218946E-2</v>
      </c>
      <c r="AA634" s="207">
        <v>2.8075594243368585E-2</v>
      </c>
    </row>
    <row r="635" spans="19:27" x14ac:dyDescent="0.2">
      <c r="S635" s="165"/>
      <c r="T635" s="166"/>
      <c r="W635" s="199" t="str">
        <f t="shared" si="18"/>
        <v>1w</v>
      </c>
      <c r="X635" s="200">
        <f>_xll.qlCalendarAdvance(Calendar,X634,W635,"f",FALSE)</f>
        <v>43257</v>
      </c>
      <c r="Y635" s="204">
        <f>_xll.qlCalendarAdvance(Calendar,X635,NDays&amp;"D")</f>
        <v>43259</v>
      </c>
      <c r="Z635" s="205">
        <v>2.8295481827591919E-2</v>
      </c>
      <c r="AA635" s="207">
        <v>2.8149514142530307E-2</v>
      </c>
    </row>
    <row r="636" spans="19:27" x14ac:dyDescent="0.2">
      <c r="S636" s="165"/>
      <c r="T636" s="166"/>
      <c r="W636" s="199" t="str">
        <f t="shared" si="18"/>
        <v>1w</v>
      </c>
      <c r="X636" s="200">
        <f>_xll.qlCalendarAdvance(Calendar,X635,W636,"f",FALSE)</f>
        <v>43264</v>
      </c>
      <c r="Y636" s="204">
        <f>_xll.qlCalendarAdvance(Calendar,X636,NDays&amp;"D")</f>
        <v>43266</v>
      </c>
      <c r="Z636" s="205">
        <v>2.8366813453457308E-2</v>
      </c>
      <c r="AA636" s="207">
        <v>2.8222116324876367E-2</v>
      </c>
    </row>
    <row r="637" spans="19:27" x14ac:dyDescent="0.2">
      <c r="S637" s="165"/>
      <c r="T637" s="166"/>
      <c r="W637" s="199" t="str">
        <f t="shared" si="18"/>
        <v>1w</v>
      </c>
      <c r="X637" s="200">
        <f>_xll.qlCalendarAdvance(Calendar,X636,W637,"f",FALSE)</f>
        <v>43271</v>
      </c>
      <c r="Y637" s="204">
        <f>_xll.qlCalendarAdvance(Calendar,X637,NDays&amp;"D")</f>
        <v>43273</v>
      </c>
      <c r="Z637" s="205">
        <v>2.8437466704286554E-2</v>
      </c>
      <c r="AA637" s="207">
        <v>2.8293404166745972E-2</v>
      </c>
    </row>
    <row r="638" spans="19:27" x14ac:dyDescent="0.2">
      <c r="S638" s="165"/>
      <c r="T638" s="166"/>
      <c r="W638" s="199" t="str">
        <f t="shared" si="18"/>
        <v>1w</v>
      </c>
      <c r="X638" s="200">
        <f>_xll.qlCalendarAdvance(Calendar,X637,W638,"f",FALSE)</f>
        <v>43278</v>
      </c>
      <c r="Y638" s="204">
        <f>_xll.qlCalendarAdvance(Calendar,X638,NDays&amp;"D")</f>
        <v>43280</v>
      </c>
      <c r="Z638" s="205">
        <v>2.8513775221018223E-2</v>
      </c>
      <c r="AA638" s="207">
        <v>2.8363938235571595E-2</v>
      </c>
    </row>
    <row r="639" spans="19:27" x14ac:dyDescent="0.2">
      <c r="S639" s="165"/>
      <c r="T639" s="166"/>
      <c r="W639" s="199" t="str">
        <f t="shared" si="18"/>
        <v>1w</v>
      </c>
      <c r="X639" s="200">
        <f>_xll.qlCalendarAdvance(Calendar,X638,W639,"f",FALSE)</f>
        <v>43285</v>
      </c>
      <c r="Y639" s="204">
        <f>_xll.qlCalendarAdvance(Calendar,X639,NDays&amp;"D")</f>
        <v>43287</v>
      </c>
      <c r="Z639" s="205">
        <v>2.8577527710323566E-2</v>
      </c>
      <c r="AA639" s="207">
        <v>2.843414739981398E-2</v>
      </c>
    </row>
    <row r="640" spans="19:27" x14ac:dyDescent="0.2">
      <c r="S640" s="165"/>
      <c r="T640" s="166"/>
      <c r="W640" s="199" t="str">
        <f t="shared" si="18"/>
        <v>1w</v>
      </c>
      <c r="X640" s="200">
        <f>_xll.qlCalendarAdvance(Calendar,X639,W640,"f",FALSE)</f>
        <v>43292</v>
      </c>
      <c r="Y640" s="204">
        <f>_xll.qlCalendarAdvance(Calendar,X640,NDays&amp;"D")</f>
        <v>43294</v>
      </c>
      <c r="Z640" s="205">
        <v>2.8647066809674635E-2</v>
      </c>
      <c r="AA640" s="207">
        <v>2.8504031659153384E-2</v>
      </c>
    </row>
    <row r="641" spans="19:27" x14ac:dyDescent="0.2">
      <c r="S641" s="165"/>
      <c r="T641" s="166"/>
      <c r="W641" s="199" t="str">
        <f t="shared" si="18"/>
        <v>1w</v>
      </c>
      <c r="X641" s="200">
        <f>_xll.qlCalendarAdvance(Calendar,X640,W641,"f",FALSE)</f>
        <v>43299</v>
      </c>
      <c r="Y641" s="204">
        <f>_xll.qlCalendarAdvance(Calendar,X641,NDays&amp;"D")</f>
        <v>43301</v>
      </c>
      <c r="Z641" s="205">
        <v>2.8716280628204072E-2</v>
      </c>
      <c r="AA641" s="207">
        <v>2.8573591013509869E-2</v>
      </c>
    </row>
    <row r="642" spans="19:27" x14ac:dyDescent="0.2">
      <c r="S642" s="165"/>
      <c r="T642" s="166"/>
      <c r="W642" s="199" t="str">
        <f t="shared" si="18"/>
        <v>1w</v>
      </c>
      <c r="X642" s="200">
        <f>_xll.qlCalendarAdvance(Calendar,X641,W642,"f",FALSE)</f>
        <v>43306</v>
      </c>
      <c r="Y642" s="204">
        <f>_xll.qlCalendarAdvance(Calendar,X642,NDays&amp;"D")</f>
        <v>43308</v>
      </c>
      <c r="Z642" s="205">
        <v>2.8791210159458402E-2</v>
      </c>
      <c r="AA642" s="207">
        <v>2.8642825462643628E-2</v>
      </c>
    </row>
    <row r="643" spans="19:27" x14ac:dyDescent="0.2">
      <c r="S643" s="165"/>
      <c r="T643" s="166"/>
      <c r="W643" s="199" t="str">
        <f t="shared" si="18"/>
        <v>1w</v>
      </c>
      <c r="X643" s="200">
        <f>_xll.qlCalendarAdvance(Calendar,X642,W643,"f",FALSE)</f>
        <v>43313</v>
      </c>
      <c r="Y643" s="204">
        <f>_xll.qlCalendarAdvance(Calendar,X643,NDays&amp;"D")</f>
        <v>43315</v>
      </c>
      <c r="Z643" s="205">
        <v>2.8859755644703722E-2</v>
      </c>
      <c r="AA643" s="207">
        <v>2.871173500639479E-2</v>
      </c>
    </row>
    <row r="644" spans="19:27" x14ac:dyDescent="0.2">
      <c r="S644" s="165"/>
      <c r="T644" s="166"/>
      <c r="W644" s="199" t="str">
        <f t="shared" si="18"/>
        <v>1w</v>
      </c>
      <c r="X644" s="200">
        <f>_xll.qlCalendarAdvance(Calendar,X643,W644,"f",FALSE)</f>
        <v>43320</v>
      </c>
      <c r="Y644" s="204">
        <f>_xll.qlCalendarAdvance(Calendar,X644,NDays&amp;"D")</f>
        <v>43322</v>
      </c>
      <c r="Z644" s="205">
        <v>2.8921970340916682E-2</v>
      </c>
      <c r="AA644" s="207">
        <v>2.8780319644523544E-2</v>
      </c>
    </row>
    <row r="645" spans="19:27" x14ac:dyDescent="0.2">
      <c r="S645" s="165"/>
      <c r="T645" s="166"/>
      <c r="W645" s="199" t="str">
        <f t="shared" si="18"/>
        <v>1w</v>
      </c>
      <c r="X645" s="200">
        <f>_xll.qlCalendarAdvance(Calendar,X644,W645,"f",FALSE)</f>
        <v>43327</v>
      </c>
      <c r="Y645" s="204">
        <f>_xll.qlCalendarAdvance(Calendar,X645,NDays&amp;"D")</f>
        <v>43329</v>
      </c>
      <c r="Z645" s="205">
        <v>2.8989882978355502E-2</v>
      </c>
      <c r="AA645" s="207">
        <v>2.884857937687002E-2</v>
      </c>
    </row>
    <row r="646" spans="19:27" x14ac:dyDescent="0.2">
      <c r="S646" s="165"/>
      <c r="T646" s="166"/>
      <c r="W646" s="199" t="str">
        <f t="shared" si="18"/>
        <v>1w</v>
      </c>
      <c r="X646" s="200">
        <f>_xll.qlCalendarAdvance(Calendar,X645,W646,"f",FALSE)</f>
        <v>43334</v>
      </c>
      <c r="Y646" s="204">
        <f>_xll.qlCalendarAdvance(Calendar,X646,NDays&amp;"D")</f>
        <v>43336</v>
      </c>
      <c r="Z646" s="205">
        <v>2.9057470306208606E-2</v>
      </c>
      <c r="AA646" s="207">
        <v>2.8926192655474026E-2</v>
      </c>
    </row>
    <row r="647" spans="19:27" x14ac:dyDescent="0.2">
      <c r="S647" s="165"/>
      <c r="T647" s="166"/>
      <c r="W647" s="199" t="str">
        <f t="shared" si="18"/>
        <v>1w</v>
      </c>
      <c r="X647" s="200">
        <f>_xll.qlCalendarAdvance(Calendar,X646,W647,"f",FALSE)</f>
        <v>43341</v>
      </c>
      <c r="Y647" s="204">
        <f>_xll.qlCalendarAdvance(Calendar,X647,NDays&amp;"D")</f>
        <v>43343</v>
      </c>
      <c r="Z647" s="205">
        <v>2.9106867774428516E-2</v>
      </c>
      <c r="AA647" s="207">
        <v>2.8984124123416777E-2</v>
      </c>
    </row>
    <row r="648" spans="19:27" x14ac:dyDescent="0.2">
      <c r="S648" s="165"/>
      <c r="T648" s="166"/>
      <c r="W648" s="199" t="str">
        <f t="shared" si="18"/>
        <v>1w</v>
      </c>
      <c r="X648" s="200">
        <f>_xll.qlCalendarAdvance(Calendar,X647,W648,"f",FALSE)</f>
        <v>43348</v>
      </c>
      <c r="Y648" s="204">
        <f>_xll.qlCalendarAdvance(Calendar,X648,NDays&amp;"D")</f>
        <v>43350</v>
      </c>
      <c r="Z648" s="205">
        <v>2.919760327828036E-2</v>
      </c>
      <c r="AA648" s="207">
        <v>2.9051409137297313E-2</v>
      </c>
    </row>
    <row r="649" spans="19:27" x14ac:dyDescent="0.2">
      <c r="S649" s="165"/>
      <c r="T649" s="166"/>
      <c r="W649" s="199" t="str">
        <f t="shared" si="18"/>
        <v>1w</v>
      </c>
      <c r="X649" s="200">
        <f>_xll.qlCalendarAdvance(Calendar,X648,W649,"f",FALSE)</f>
        <v>43355</v>
      </c>
      <c r="Y649" s="204">
        <f>_xll.qlCalendarAdvance(Calendar,X649,NDays&amp;"D")</f>
        <v>43357</v>
      </c>
      <c r="Z649" s="205">
        <v>2.9258280375694955E-2</v>
      </c>
      <c r="AA649" s="207">
        <v>2.9118369244676146E-2</v>
      </c>
    </row>
    <row r="650" spans="19:27" x14ac:dyDescent="0.2">
      <c r="S650" s="165"/>
      <c r="T650" s="166"/>
      <c r="W650" s="199" t="str">
        <f t="shared" si="18"/>
        <v>1w</v>
      </c>
      <c r="X650" s="200">
        <f>_xll.qlCalendarAdvance(Calendar,X649,W650,"f",FALSE)</f>
        <v>43362</v>
      </c>
      <c r="Y650" s="204">
        <f>_xll.qlCalendarAdvance(Calendar,X650,NDays&amp;"D")</f>
        <v>43364</v>
      </c>
      <c r="Z650" s="205">
        <v>2.9324566408778049E-2</v>
      </c>
      <c r="AA650" s="207">
        <v>2.9185004445393403E-2</v>
      </c>
    </row>
    <row r="651" spans="19:27" x14ac:dyDescent="0.2">
      <c r="S651" s="165"/>
      <c r="T651" s="166"/>
      <c r="W651" s="199" t="str">
        <f t="shared" si="18"/>
        <v>1w</v>
      </c>
      <c r="X651" s="200">
        <f>_xll.qlCalendarAdvance(Calendar,X650,W651,"f",FALSE)</f>
        <v>43369</v>
      </c>
      <c r="Y651" s="204">
        <f>_xll.qlCalendarAdvance(Calendar,X651,NDays&amp;"D")</f>
        <v>43371</v>
      </c>
      <c r="Z651" s="205">
        <v>2.9402287138777797E-2</v>
      </c>
      <c r="AA651" s="207">
        <v>2.9251314739129342E-2</v>
      </c>
    </row>
    <row r="652" spans="19:27" x14ac:dyDescent="0.2">
      <c r="S652" s="165"/>
      <c r="T652" s="166"/>
      <c r="W652" s="199" t="str">
        <f t="shared" si="18"/>
        <v>1w</v>
      </c>
      <c r="X652" s="200">
        <f>_xll.qlCalendarAdvance(Calendar,X651,W652,"f",FALSE)</f>
        <v>43376</v>
      </c>
      <c r="Y652" s="204">
        <f>_xll.qlCalendarAdvance(Calendar,X652,NDays&amp;"D")</f>
        <v>43378</v>
      </c>
      <c r="Z652" s="205">
        <v>2.9456162456421468E-2</v>
      </c>
      <c r="AA652" s="207">
        <v>2.9317300125883961E-2</v>
      </c>
    </row>
    <row r="653" spans="19:27" x14ac:dyDescent="0.2">
      <c r="S653" s="165"/>
      <c r="T653" s="166"/>
      <c r="W653" s="199" t="str">
        <f t="shared" si="18"/>
        <v>1w</v>
      </c>
      <c r="X653" s="200">
        <f>_xll.qlCalendarAdvance(Calendar,X652,W653,"f",FALSE)</f>
        <v>43383</v>
      </c>
      <c r="Y653" s="204">
        <f>_xll.qlCalendarAdvance(Calendar,X653,NDays&amp;"D")</f>
        <v>43385</v>
      </c>
      <c r="Z653" s="205">
        <v>2.9527317390285746E-2</v>
      </c>
      <c r="AA653" s="207">
        <v>2.9382960605417452E-2</v>
      </c>
    </row>
    <row r="654" spans="19:27" x14ac:dyDescent="0.2">
      <c r="S654" s="165"/>
      <c r="T654" s="166"/>
      <c r="W654" s="199" t="str">
        <f t="shared" si="18"/>
        <v>1w</v>
      </c>
      <c r="X654" s="200">
        <f>_xll.qlCalendarAdvance(Calendar,X653,W654,"f",FALSE)</f>
        <v>43390</v>
      </c>
      <c r="Y654" s="204">
        <f>_xll.qlCalendarAdvance(Calendar,X654,NDays&amp;"D")</f>
        <v>43392</v>
      </c>
      <c r="Z654" s="205">
        <v>2.9586457109271665E-2</v>
      </c>
      <c r="AA654" s="207">
        <v>2.9448296177490008E-2</v>
      </c>
    </row>
    <row r="655" spans="19:27" x14ac:dyDescent="0.2">
      <c r="S655" s="165"/>
      <c r="T655" s="166"/>
      <c r="W655" s="199" t="str">
        <f t="shared" si="18"/>
        <v>1w</v>
      </c>
      <c r="X655" s="200">
        <f>_xll.qlCalendarAdvance(Calendar,X654,W655,"f",FALSE)</f>
        <v>43397</v>
      </c>
      <c r="Y655" s="204">
        <f>_xll.qlCalendarAdvance(Calendar,X655,NDays&amp;"D")</f>
        <v>43399</v>
      </c>
      <c r="Z655" s="205">
        <v>2.9651116398969602E-2</v>
      </c>
      <c r="AA655" s="207">
        <v>2.9513306841941755E-2</v>
      </c>
    </row>
    <row r="656" spans="19:27" x14ac:dyDescent="0.2">
      <c r="S656" s="165"/>
      <c r="T656" s="166"/>
      <c r="W656" s="199" t="str">
        <f t="shared" si="18"/>
        <v>1w</v>
      </c>
      <c r="X656" s="200">
        <f>_xll.qlCalendarAdvance(Calendar,X655,W656,"f",FALSE)</f>
        <v>43404</v>
      </c>
      <c r="Y656" s="204">
        <f>_xll.qlCalendarAdvance(Calendar,X656,NDays&amp;"D")</f>
        <v>43406</v>
      </c>
      <c r="Z656" s="205">
        <v>2.971545032360362E-2</v>
      </c>
      <c r="AA656" s="207">
        <v>2.9577992598692759E-2</v>
      </c>
    </row>
    <row r="657" spans="19:27" x14ac:dyDescent="0.2">
      <c r="S657" s="165"/>
      <c r="T657" s="166"/>
      <c r="W657" s="199" t="str">
        <f t="shared" si="18"/>
        <v>1w</v>
      </c>
      <c r="X657" s="200">
        <f>_xll.qlCalendarAdvance(Calendar,X656,W657,"f",FALSE)</f>
        <v>43411</v>
      </c>
      <c r="Y657" s="204">
        <f>_xll.qlCalendarAdvance(Calendar,X657,NDays&amp;"D")</f>
        <v>43413</v>
      </c>
      <c r="Z657" s="205">
        <v>2.9779458877781894E-2</v>
      </c>
      <c r="AA657" s="207">
        <v>2.9642353447503211E-2</v>
      </c>
    </row>
    <row r="658" spans="19:27" x14ac:dyDescent="0.2">
      <c r="S658" s="165"/>
      <c r="T658" s="166"/>
      <c r="W658" s="199" t="str">
        <f t="shared" si="18"/>
        <v>1w</v>
      </c>
      <c r="X658" s="200">
        <f>_xll.qlCalendarAdvance(Calendar,X657,W658,"f",FALSE)</f>
        <v>43418</v>
      </c>
      <c r="Y658" s="204">
        <f>_xll.qlCalendarAdvance(Calendar,X658,NDays&amp;"D")</f>
        <v>43420</v>
      </c>
      <c r="Z658" s="205">
        <v>2.9843142056130666E-2</v>
      </c>
      <c r="AA658" s="207">
        <v>2.9706389388213239E-2</v>
      </c>
    </row>
    <row r="659" spans="19:27" x14ac:dyDescent="0.2">
      <c r="S659" s="165"/>
      <c r="T659" s="166"/>
      <c r="W659" s="199" t="str">
        <f t="shared" si="18"/>
        <v>1w</v>
      </c>
      <c r="X659" s="200">
        <f>_xll.qlCalendarAdvance(Calendar,X658,W659,"f",FALSE)</f>
        <v>43425</v>
      </c>
      <c r="Y659" s="204">
        <f>_xll.qlCalendarAdvance(Calendar,X659,NDays&amp;"D")</f>
        <v>43427</v>
      </c>
      <c r="Z659" s="205">
        <v>2.9906499853307105E-2</v>
      </c>
      <c r="AA659" s="207">
        <v>2.9770100420583034E-2</v>
      </c>
    </row>
    <row r="660" spans="19:27" x14ac:dyDescent="0.2">
      <c r="S660" s="165"/>
      <c r="T660" s="166"/>
      <c r="W660" s="199" t="str">
        <f t="shared" si="18"/>
        <v>1w</v>
      </c>
      <c r="X660" s="200">
        <f>_xll.qlCalendarAdvance(Calendar,X659,W660,"f",FALSE)</f>
        <v>43432</v>
      </c>
      <c r="Y660" s="204">
        <f>_xll.qlCalendarAdvance(Calendar,X660,NDays&amp;"D")</f>
        <v>43434</v>
      </c>
      <c r="Z660" s="205">
        <v>2.9969532263994184E-2</v>
      </c>
      <c r="AA660" s="207">
        <v>2.9833486544532661E-2</v>
      </c>
    </row>
    <row r="661" spans="19:27" x14ac:dyDescent="0.2">
      <c r="S661" s="165"/>
      <c r="T661" s="166"/>
      <c r="W661" s="199" t="str">
        <f t="shared" ref="W661:W724" si="19">W660</f>
        <v>1w</v>
      </c>
      <c r="X661" s="200">
        <f>_xll.qlCalendarAdvance(Calendar,X660,W661,"f",FALSE)</f>
        <v>43439</v>
      </c>
      <c r="Y661" s="204">
        <f>_xll.qlCalendarAdvance(Calendar,X661,NDays&amp;"D")</f>
        <v>43441</v>
      </c>
      <c r="Z661" s="205">
        <v>3.0032239282905798E-2</v>
      </c>
      <c r="AA661" s="207">
        <v>2.9896547759822312E-2</v>
      </c>
    </row>
    <row r="662" spans="19:27" x14ac:dyDescent="0.2">
      <c r="S662" s="165"/>
      <c r="T662" s="166"/>
      <c r="W662" s="199" t="str">
        <f t="shared" si="19"/>
        <v>1w</v>
      </c>
      <c r="X662" s="200">
        <f>_xll.qlCalendarAdvance(Calendar,X661,W662,"f",FALSE)</f>
        <v>43446</v>
      </c>
      <c r="Y662" s="204">
        <f>_xll.qlCalendarAdvance(Calendar,X662,NDays&amp;"D")</f>
        <v>43448</v>
      </c>
      <c r="Z662" s="205">
        <v>3.009462090477907E-2</v>
      </c>
      <c r="AA662" s="207">
        <v>2.9959284066292113E-2</v>
      </c>
    </row>
    <row r="663" spans="19:27" x14ac:dyDescent="0.2">
      <c r="S663" s="165"/>
      <c r="T663" s="166"/>
      <c r="W663" s="199" t="str">
        <f t="shared" si="19"/>
        <v>1w</v>
      </c>
      <c r="X663" s="200">
        <f>_xll.qlCalendarAdvance(Calendar,X662,W663,"f",FALSE)</f>
        <v>43453</v>
      </c>
      <c r="Y663" s="204">
        <f>_xll.qlCalendarAdvance(Calendar,X663,NDays&amp;"D")</f>
        <v>43455</v>
      </c>
      <c r="Z663" s="205">
        <v>3.0162342211732807E-2</v>
      </c>
      <c r="AA663" s="207">
        <v>3.0039467614493276E-2</v>
      </c>
    </row>
    <row r="664" spans="19:27" x14ac:dyDescent="0.2">
      <c r="S664" s="165"/>
      <c r="T664" s="166"/>
      <c r="W664" s="199" t="str">
        <f t="shared" si="19"/>
        <v>1w</v>
      </c>
      <c r="X664" s="200">
        <f>_xll.qlCalendarAdvance(Calendar,X663,W664,"f",FALSE)</f>
        <v>43461</v>
      </c>
      <c r="Y664" s="204">
        <f>_xll.qlCalendarAdvance(Calendar,X664,NDays&amp;"D")</f>
        <v>43465</v>
      </c>
      <c r="Z664" s="205">
        <v>3.0244764383025466E-2</v>
      </c>
      <c r="AA664" s="207">
        <v>3.0101461271661023E-2</v>
      </c>
    </row>
    <row r="665" spans="19:27" x14ac:dyDescent="0.2">
      <c r="S665" s="165"/>
      <c r="T665" s="166"/>
      <c r="W665" s="199" t="str">
        <f t="shared" si="19"/>
        <v>1w</v>
      </c>
      <c r="X665" s="200">
        <f>_xll.qlCalendarAdvance(Calendar,X664,W665,"f",FALSE)</f>
        <v>43468</v>
      </c>
      <c r="Y665" s="204">
        <f>_xll.qlCalendarAdvance(Calendar,X665,NDays&amp;"D")</f>
        <v>43472</v>
      </c>
      <c r="Z665" s="205">
        <v>3.0306030318346559E-2</v>
      </c>
      <c r="AA665" s="207">
        <v>3.0154340090744469E-2</v>
      </c>
    </row>
    <row r="666" spans="19:27" x14ac:dyDescent="0.2">
      <c r="S666" s="165"/>
      <c r="T666" s="166"/>
      <c r="W666" s="199" t="str">
        <f t="shared" si="19"/>
        <v>1w</v>
      </c>
      <c r="X666" s="200">
        <f>_xll.qlCalendarAdvance(Calendar,X665,W666,"f",FALSE)</f>
        <v>43475</v>
      </c>
      <c r="Y666" s="204">
        <f>_xll.qlCalendarAdvance(Calendar,X666,NDays&amp;"D")</f>
        <v>43479</v>
      </c>
      <c r="Z666" s="205">
        <v>3.0366970833656713E-2</v>
      </c>
      <c r="AA666" s="207">
        <v>3.0215730344744784E-2</v>
      </c>
    </row>
    <row r="667" spans="19:27" x14ac:dyDescent="0.2">
      <c r="S667" s="165"/>
      <c r="T667" s="166"/>
      <c r="W667" s="199" t="str">
        <f t="shared" si="19"/>
        <v>1w</v>
      </c>
      <c r="X667" s="200">
        <f>_xll.qlCalendarAdvance(Calendar,X666,W667,"f",FALSE)</f>
        <v>43482</v>
      </c>
      <c r="Y667" s="204">
        <f>_xll.qlCalendarAdvance(Calendar,X667,NDays&amp;"D")</f>
        <v>43486</v>
      </c>
      <c r="Z667" s="205">
        <v>3.0436218656830414E-2</v>
      </c>
      <c r="AA667" s="207">
        <v>3.0276795688966018E-2</v>
      </c>
    </row>
    <row r="668" spans="19:27" x14ac:dyDescent="0.2">
      <c r="S668" s="165"/>
      <c r="T668" s="166"/>
      <c r="W668" s="199" t="str">
        <f t="shared" si="19"/>
        <v>1w</v>
      </c>
      <c r="X668" s="200">
        <f>_xll.qlCalendarAdvance(Calendar,X667,W668,"f",FALSE)</f>
        <v>43489</v>
      </c>
      <c r="Y668" s="204">
        <f>_xll.qlCalendarAdvance(Calendar,X668,NDays&amp;"D")</f>
        <v>43493</v>
      </c>
      <c r="Z668" s="205">
        <v>3.0487875583824414E-2</v>
      </c>
      <c r="AA668" s="207">
        <v>3.0337536123328235E-2</v>
      </c>
    </row>
    <row r="669" spans="19:27" x14ac:dyDescent="0.2">
      <c r="S669" s="165"/>
      <c r="T669" s="166"/>
      <c r="W669" s="199" t="str">
        <f t="shared" si="19"/>
        <v>1w</v>
      </c>
      <c r="X669" s="200">
        <f>_xll.qlCalendarAdvance(Calendar,X668,W669,"f",FALSE)</f>
        <v>43496</v>
      </c>
      <c r="Y669" s="204">
        <f>_xll.qlCalendarAdvance(Calendar,X669,NDays&amp;"D")</f>
        <v>43500</v>
      </c>
      <c r="Z669" s="205">
        <v>3.0531185526501137E-2</v>
      </c>
      <c r="AA669" s="207">
        <v>3.0397951647831434E-2</v>
      </c>
    </row>
    <row r="670" spans="19:27" x14ac:dyDescent="0.2">
      <c r="S670" s="165"/>
      <c r="T670" s="166"/>
      <c r="W670" s="199" t="str">
        <f t="shared" si="19"/>
        <v>1w</v>
      </c>
      <c r="X670" s="200">
        <f>_xll.qlCalendarAdvance(Calendar,X669,W670,"f",FALSE)</f>
        <v>43503</v>
      </c>
      <c r="Y670" s="204">
        <f>_xll.qlCalendarAdvance(Calendar,X670,NDays&amp;"D")</f>
        <v>43507</v>
      </c>
      <c r="Z670" s="205">
        <v>3.0590878862486775E-2</v>
      </c>
      <c r="AA670" s="207">
        <v>3.0458042262075935E-2</v>
      </c>
    </row>
    <row r="671" spans="19:27" x14ac:dyDescent="0.2">
      <c r="S671" s="165"/>
      <c r="T671" s="166"/>
      <c r="W671" s="199" t="str">
        <f t="shared" si="19"/>
        <v>1w</v>
      </c>
      <c r="X671" s="200">
        <f>_xll.qlCalendarAdvance(Calendar,X670,W671,"f",FALSE)</f>
        <v>43510</v>
      </c>
      <c r="Y671" s="204">
        <f>_xll.qlCalendarAdvance(Calendar,X671,NDays&amp;"D")</f>
        <v>43514</v>
      </c>
      <c r="Z671" s="205">
        <v>3.0658701379871874E-2</v>
      </c>
      <c r="AA671" s="207">
        <v>3.0517807965981802E-2</v>
      </c>
    </row>
    <row r="672" spans="19:27" x14ac:dyDescent="0.2">
      <c r="S672" s="165"/>
      <c r="T672" s="166"/>
      <c r="W672" s="199" t="str">
        <f t="shared" si="19"/>
        <v>1w</v>
      </c>
      <c r="X672" s="200">
        <f>_xll.qlCalendarAdvance(Calendar,X671,W672,"f",FALSE)</f>
        <v>43517</v>
      </c>
      <c r="Y672" s="204">
        <f>_xll.qlCalendarAdvance(Calendar,X672,NDays&amp;"D")</f>
        <v>43521</v>
      </c>
      <c r="Z672" s="205">
        <v>3.0709289357435981E-2</v>
      </c>
      <c r="AA672" s="207">
        <v>3.05772487594691E-2</v>
      </c>
    </row>
    <row r="673" spans="19:27" x14ac:dyDescent="0.2">
      <c r="S673" s="165"/>
      <c r="T673" s="166"/>
      <c r="W673" s="199" t="str">
        <f t="shared" si="19"/>
        <v>1w</v>
      </c>
      <c r="X673" s="200">
        <f>_xll.qlCalendarAdvance(Calendar,X672,W673,"f",FALSE)</f>
        <v>43524</v>
      </c>
      <c r="Y673" s="204">
        <f>_xll.qlCalendarAdvance(Calendar,X673,NDays&amp;"D")</f>
        <v>43528</v>
      </c>
      <c r="Z673" s="205">
        <v>3.0784442254503601E-2</v>
      </c>
      <c r="AA673" s="207">
        <v>3.063636464229802E-2</v>
      </c>
    </row>
    <row r="674" spans="19:27" x14ac:dyDescent="0.2">
      <c r="S674" s="165"/>
      <c r="T674" s="166"/>
      <c r="W674" s="199" t="str">
        <f t="shared" si="19"/>
        <v>1w</v>
      </c>
      <c r="X674" s="200">
        <f>_xll.qlCalendarAdvance(Calendar,X673,W674,"f",FALSE)</f>
        <v>43531</v>
      </c>
      <c r="Y674" s="204">
        <f>_xll.qlCalendarAdvance(Calendar,X674,NDays&amp;"D")</f>
        <v>43535</v>
      </c>
      <c r="Z674" s="205">
        <v>3.0842779227959392E-2</v>
      </c>
      <c r="AA674" s="207">
        <v>3.0695155614308689E-2</v>
      </c>
    </row>
    <row r="675" spans="19:27" x14ac:dyDescent="0.2">
      <c r="S675" s="165"/>
      <c r="T675" s="166"/>
      <c r="W675" s="199" t="str">
        <f t="shared" si="19"/>
        <v>1w</v>
      </c>
      <c r="X675" s="200">
        <f>_xll.qlCalendarAdvance(Calendar,X674,W675,"f",FALSE)</f>
        <v>43538</v>
      </c>
      <c r="Y675" s="204">
        <f>_xll.qlCalendarAdvance(Calendar,X675,NDays&amp;"D")</f>
        <v>43542</v>
      </c>
      <c r="Z675" s="205">
        <v>3.09007907363693E-2</v>
      </c>
      <c r="AA675" s="207">
        <v>3.0753621675341236E-2</v>
      </c>
    </row>
    <row r="676" spans="19:27" x14ac:dyDescent="0.2">
      <c r="S676" s="165"/>
      <c r="T676" s="166"/>
      <c r="W676" s="199" t="str">
        <f t="shared" si="19"/>
        <v>1w</v>
      </c>
      <c r="X676" s="200">
        <f>_xll.qlCalendarAdvance(Calendar,X675,W676,"f",FALSE)</f>
        <v>43545</v>
      </c>
      <c r="Y676" s="204">
        <f>_xll.qlCalendarAdvance(Calendar,X676,NDays&amp;"D")</f>
        <v>43549</v>
      </c>
      <c r="Z676" s="205">
        <v>3.095847677486754E-2</v>
      </c>
      <c r="AA676" s="207">
        <v>3.0811762825235789E-2</v>
      </c>
    </row>
    <row r="677" spans="19:27" x14ac:dyDescent="0.2">
      <c r="S677" s="165"/>
      <c r="T677" s="166"/>
      <c r="W677" s="199" t="str">
        <f t="shared" si="19"/>
        <v>1w</v>
      </c>
      <c r="X677" s="200">
        <f>_xll.qlCalendarAdvance(Calendar,X676,W677,"f",FALSE)</f>
        <v>43552</v>
      </c>
      <c r="Y677" s="204">
        <f>_xll.qlCalendarAdvance(Calendar,X677,NDays&amp;"D")</f>
        <v>43556</v>
      </c>
      <c r="Z677" s="205">
        <v>3.1010433336776444E-2</v>
      </c>
      <c r="AA677" s="207">
        <v>3.0869579063912411E-2</v>
      </c>
    </row>
    <row r="678" spans="19:27" x14ac:dyDescent="0.2">
      <c r="S678" s="165"/>
      <c r="T678" s="166"/>
      <c r="W678" s="199" t="str">
        <f t="shared" si="19"/>
        <v>1w</v>
      </c>
      <c r="X678" s="200">
        <f>_xll.qlCalendarAdvance(Calendar,X677,W678,"f",FALSE)</f>
        <v>43559</v>
      </c>
      <c r="Y678" s="204">
        <f>_xll.qlCalendarAdvance(Calendar,X678,NDays&amp;"D")</f>
        <v>43563</v>
      </c>
      <c r="Z678" s="205">
        <v>3.106748675677018E-2</v>
      </c>
      <c r="AA678" s="207">
        <v>3.0927070391131295E-2</v>
      </c>
    </row>
    <row r="679" spans="19:27" x14ac:dyDescent="0.2">
      <c r="S679" s="165"/>
      <c r="T679" s="166"/>
      <c r="W679" s="199" t="str">
        <f t="shared" si="19"/>
        <v>1w</v>
      </c>
      <c r="X679" s="200">
        <f>_xll.qlCalendarAdvance(Calendar,X678,W679,"f",FALSE)</f>
        <v>43566</v>
      </c>
      <c r="Y679" s="204">
        <f>_xll.qlCalendarAdvance(Calendar,X679,NDays&amp;"D")</f>
        <v>43570</v>
      </c>
      <c r="Z679" s="205">
        <v>3.1124214711836906E-2</v>
      </c>
      <c r="AA679" s="207">
        <v>3.0984236806732568E-2</v>
      </c>
    </row>
    <row r="680" spans="19:27" x14ac:dyDescent="0.2">
      <c r="S680" s="165"/>
      <c r="T680" s="166"/>
      <c r="W680" s="199" t="str">
        <f t="shared" si="19"/>
        <v>1w</v>
      </c>
      <c r="X680" s="200">
        <f>_xll.qlCalendarAdvance(Calendar,X679,W680,"f",FALSE)</f>
        <v>43573</v>
      </c>
      <c r="Y680" s="204">
        <f>_xll.qlCalendarAdvance(Calendar,X680,NDays&amp;"D")</f>
        <v>43579</v>
      </c>
      <c r="Z680" s="205">
        <v>3.1196672412476367E-2</v>
      </c>
      <c r="AA680" s="207">
        <v>3.1068018067861303E-2</v>
      </c>
    </row>
    <row r="681" spans="19:27" x14ac:dyDescent="0.2">
      <c r="S681" s="165"/>
      <c r="T681" s="166"/>
      <c r="W681" s="199" t="str">
        <f t="shared" si="19"/>
        <v>1w</v>
      </c>
      <c r="X681" s="200">
        <f>_xll.qlCalendarAdvance(Calendar,X680,W681,"f",FALSE)</f>
        <v>43580</v>
      </c>
      <c r="Y681" s="204">
        <f>_xll.qlCalendarAdvance(Calendar,X681,NDays&amp;"D")</f>
        <v>43584</v>
      </c>
      <c r="Z681" s="205">
        <v>3.1236694208790716E-2</v>
      </c>
      <c r="AA681" s="207">
        <v>3.1097594902522729E-2</v>
      </c>
    </row>
    <row r="682" spans="19:27" x14ac:dyDescent="0.2">
      <c r="S682" s="165"/>
      <c r="T682" s="166"/>
      <c r="W682" s="199" t="str">
        <f t="shared" si="19"/>
        <v>1w</v>
      </c>
      <c r="X682" s="200">
        <f>_xll.qlCalendarAdvance(Calendar,X681,W682,"f",FALSE)</f>
        <v>43587</v>
      </c>
      <c r="Y682" s="204">
        <f>_xll.qlCalendarAdvance(Calendar,X682,NDays&amp;"D")</f>
        <v>43592</v>
      </c>
      <c r="Z682" s="205">
        <v>3.1305693171013386E-2</v>
      </c>
      <c r="AA682" s="207">
        <v>3.1161787441806865E-2</v>
      </c>
    </row>
    <row r="683" spans="19:27" x14ac:dyDescent="0.2">
      <c r="S683" s="165"/>
      <c r="T683" s="166"/>
      <c r="W683" s="199" t="str">
        <f t="shared" si="19"/>
        <v>1w</v>
      </c>
      <c r="X683" s="200">
        <f>_xll.qlCalendarAdvance(Calendar,X682,W683,"f",FALSE)</f>
        <v>43594</v>
      </c>
      <c r="Y683" s="204">
        <f>_xll.qlCalendarAdvance(Calendar,X683,NDays&amp;"D")</f>
        <v>43598</v>
      </c>
      <c r="Z683" s="205">
        <v>3.1353165483662029E-2</v>
      </c>
      <c r="AA683" s="207">
        <v>3.1209653350083855E-2</v>
      </c>
    </row>
    <row r="684" spans="19:27" x14ac:dyDescent="0.2">
      <c r="S684" s="165"/>
      <c r="T684" s="166"/>
      <c r="W684" s="199" t="str">
        <f t="shared" si="19"/>
        <v>1w</v>
      </c>
      <c r="X684" s="200">
        <f>_xll.qlCalendarAdvance(Calendar,X683,W684,"f",FALSE)</f>
        <v>43601</v>
      </c>
      <c r="Y684" s="204">
        <f>_xll.qlCalendarAdvance(Calendar,X684,NDays&amp;"D")</f>
        <v>43605</v>
      </c>
      <c r="Z684" s="205">
        <v>3.1408247590906421E-2</v>
      </c>
      <c r="AA684" s="207">
        <v>3.12651952054388E-2</v>
      </c>
    </row>
    <row r="685" spans="19:27" x14ac:dyDescent="0.2">
      <c r="S685" s="165"/>
      <c r="T685" s="166"/>
      <c r="W685" s="199" t="str">
        <f t="shared" si="19"/>
        <v>1w</v>
      </c>
      <c r="X685" s="200">
        <f>_xll.qlCalendarAdvance(Calendar,X684,W685,"f",FALSE)</f>
        <v>43608</v>
      </c>
      <c r="Y685" s="204">
        <f>_xll.qlCalendarAdvance(Calendar,X685,NDays&amp;"D")</f>
        <v>43613</v>
      </c>
      <c r="Z685" s="205">
        <v>3.1470800041955016E-2</v>
      </c>
      <c r="AA685" s="207">
        <v>3.132827375949887E-2</v>
      </c>
    </row>
    <row r="686" spans="19:27" x14ac:dyDescent="0.2">
      <c r="S686" s="165"/>
      <c r="T686" s="166"/>
      <c r="W686" s="199" t="str">
        <f t="shared" si="19"/>
        <v>1w</v>
      </c>
      <c r="X686" s="200">
        <f>_xll.qlCalendarAdvance(Calendar,X685,W686,"f",FALSE)</f>
        <v>43615</v>
      </c>
      <c r="Y686" s="204">
        <f>_xll.qlCalendarAdvance(Calendar,X686,NDays&amp;"D")</f>
        <v>43619</v>
      </c>
      <c r="Z686" s="205">
        <v>3.1512199580019384E-2</v>
      </c>
      <c r="AA686" s="207">
        <v>3.1375304178418162E-2</v>
      </c>
    </row>
    <row r="687" spans="19:27" x14ac:dyDescent="0.2">
      <c r="S687" s="165"/>
      <c r="T687" s="166"/>
      <c r="W687" s="199" t="str">
        <f t="shared" si="19"/>
        <v>1w</v>
      </c>
      <c r="X687" s="200">
        <f>_xll.qlCalendarAdvance(Calendar,X686,W687,"f",FALSE)</f>
        <v>43622</v>
      </c>
      <c r="Y687" s="204">
        <f>_xll.qlCalendarAdvance(Calendar,X687,NDays&amp;"D")</f>
        <v>43626</v>
      </c>
      <c r="Z687" s="205">
        <v>3.15663417420744E-2</v>
      </c>
      <c r="AA687" s="207">
        <v>3.1429871295802769E-2</v>
      </c>
    </row>
    <row r="688" spans="19:27" x14ac:dyDescent="0.2">
      <c r="S688" s="165"/>
      <c r="T688" s="166"/>
      <c r="W688" s="199" t="str">
        <f t="shared" si="19"/>
        <v>1w</v>
      </c>
      <c r="X688" s="200">
        <f>_xll.qlCalendarAdvance(Calendar,X687,W688,"f",FALSE)</f>
        <v>43629</v>
      </c>
      <c r="Y688" s="204">
        <f>_xll.qlCalendarAdvance(Calendar,X688,NDays&amp;"D")</f>
        <v>43633</v>
      </c>
      <c r="Z688" s="205">
        <v>3.1620189410425326E-2</v>
      </c>
      <c r="AA688" s="207">
        <v>3.1484113500210853E-2</v>
      </c>
    </row>
    <row r="689" spans="19:27" x14ac:dyDescent="0.2">
      <c r="S689" s="165"/>
      <c r="T689" s="166"/>
      <c r="W689" s="199" t="str">
        <f t="shared" si="19"/>
        <v>1w</v>
      </c>
      <c r="X689" s="200">
        <f>_xll.qlCalendarAdvance(Calendar,X688,W689,"f",FALSE)</f>
        <v>43636</v>
      </c>
      <c r="Y689" s="204">
        <f>_xll.qlCalendarAdvance(Calendar,X689,NDays&amp;"D")</f>
        <v>43640</v>
      </c>
      <c r="Z689" s="205">
        <v>3.1673758086973258E-2</v>
      </c>
      <c r="AA689" s="207">
        <v>3.1538031016902224E-2</v>
      </c>
    </row>
    <row r="690" spans="19:27" x14ac:dyDescent="0.2">
      <c r="S690" s="165"/>
      <c r="T690" s="166"/>
      <c r="W690" s="199" t="str">
        <f t="shared" si="19"/>
        <v>1w</v>
      </c>
      <c r="X690" s="200">
        <f>_xll.qlCalendarAdvance(Calendar,X689,W690,"f",FALSE)</f>
        <v>43643</v>
      </c>
      <c r="Y690" s="204">
        <f>_xll.qlCalendarAdvance(Calendar,X690,NDays&amp;"D")</f>
        <v>43647</v>
      </c>
      <c r="Z690" s="205">
        <v>3.1732243618959433E-2</v>
      </c>
      <c r="AA690" s="207">
        <v>3.1591661271859195E-2</v>
      </c>
    </row>
    <row r="691" spans="19:27" x14ac:dyDescent="0.2">
      <c r="S691" s="165"/>
      <c r="T691" s="166"/>
      <c r="W691" s="199" t="str">
        <f t="shared" si="19"/>
        <v>1w</v>
      </c>
      <c r="X691" s="200">
        <f>_xll.qlCalendarAdvance(Calendar,X690,W691,"f",FALSE)</f>
        <v>43650</v>
      </c>
      <c r="Y691" s="204">
        <f>_xll.qlCalendarAdvance(Calendar,X691,NDays&amp;"D")</f>
        <v>43654</v>
      </c>
      <c r="Z691" s="205">
        <v>3.1785274908053683E-2</v>
      </c>
      <c r="AA691" s="207">
        <v>3.1645032897937853E-2</v>
      </c>
    </row>
    <row r="692" spans="19:27" x14ac:dyDescent="0.2">
      <c r="S692" s="165"/>
      <c r="T692" s="166"/>
      <c r="W692" s="199" t="str">
        <f t="shared" si="19"/>
        <v>1w</v>
      </c>
      <c r="X692" s="200">
        <f>_xll.qlCalendarAdvance(Calendar,X691,W692,"f",FALSE)</f>
        <v>43657</v>
      </c>
      <c r="Y692" s="204">
        <f>_xll.qlCalendarAdvance(Calendar,X692,NDays&amp;"D")</f>
        <v>43661</v>
      </c>
      <c r="Z692" s="205">
        <v>3.1838047115545318E-2</v>
      </c>
      <c r="AA692" s="207">
        <v>3.1698145895138197E-2</v>
      </c>
    </row>
    <row r="693" spans="19:27" x14ac:dyDescent="0.2">
      <c r="S693" s="165"/>
      <c r="T693" s="166"/>
      <c r="W693" s="199" t="str">
        <f t="shared" si="19"/>
        <v>1w</v>
      </c>
      <c r="X693" s="200">
        <f>_xll.qlCalendarAdvance(Calendar,X692,W693,"f",FALSE)</f>
        <v>43664</v>
      </c>
      <c r="Y693" s="204">
        <f>_xll.qlCalendarAdvance(Calendar,X693,NDays&amp;"D")</f>
        <v>43668</v>
      </c>
      <c r="Z693" s="205">
        <v>3.1890560237906831E-2</v>
      </c>
      <c r="AA693" s="207">
        <v>3.1751000263220419E-2</v>
      </c>
    </row>
    <row r="694" spans="19:27" x14ac:dyDescent="0.2">
      <c r="S694" s="165"/>
      <c r="T694" s="166"/>
      <c r="W694" s="199" t="str">
        <f t="shared" si="19"/>
        <v>1w</v>
      </c>
      <c r="X694" s="200">
        <f>_xll.qlCalendarAdvance(Calendar,X693,W694,"f",FALSE)</f>
        <v>43671</v>
      </c>
      <c r="Y694" s="204">
        <f>_xll.qlCalendarAdvance(Calendar,X694,NDays&amp;"D")</f>
        <v>43675</v>
      </c>
      <c r="Z694" s="205">
        <v>3.1942814271631342E-2</v>
      </c>
      <c r="AA694" s="207">
        <v>3.1803596002024648E-2</v>
      </c>
    </row>
    <row r="695" spans="19:27" x14ac:dyDescent="0.2">
      <c r="S695" s="165"/>
      <c r="T695" s="166"/>
      <c r="W695" s="199" t="str">
        <f t="shared" si="19"/>
        <v>1w</v>
      </c>
      <c r="X695" s="200">
        <f>_xll.qlCalendarAdvance(Calendar,X694,W695,"f",FALSE)</f>
        <v>43678</v>
      </c>
      <c r="Y695" s="204">
        <f>_xll.qlCalendarAdvance(Calendar,X695,NDays&amp;"D")</f>
        <v>43682</v>
      </c>
      <c r="Z695" s="205">
        <v>3.1994809213227456E-2</v>
      </c>
      <c r="AA695" s="207">
        <v>3.1855933111630819E-2</v>
      </c>
    </row>
    <row r="696" spans="19:27" x14ac:dyDescent="0.2">
      <c r="S696" s="165"/>
      <c r="T696" s="166"/>
      <c r="W696" s="199" t="str">
        <f t="shared" si="19"/>
        <v>1w</v>
      </c>
      <c r="X696" s="200">
        <f>_xll.qlCalendarAdvance(Calendar,X695,W696,"f",FALSE)</f>
        <v>43685</v>
      </c>
      <c r="Y696" s="204">
        <f>_xll.qlCalendarAdvance(Calendar,X696,NDays&amp;"D")</f>
        <v>43689</v>
      </c>
      <c r="Z696" s="205">
        <v>3.204654505922698E-2</v>
      </c>
      <c r="AA696" s="207">
        <v>3.1908011591799124E-2</v>
      </c>
    </row>
    <row r="697" spans="19:27" x14ac:dyDescent="0.2">
      <c r="S697" s="165"/>
      <c r="T697" s="166"/>
      <c r="W697" s="199" t="str">
        <f t="shared" si="19"/>
        <v>1w</v>
      </c>
      <c r="X697" s="200">
        <f>_xll.qlCalendarAdvance(Calendar,X696,W697,"f",FALSE)</f>
        <v>43692</v>
      </c>
      <c r="Y697" s="204">
        <f>_xll.qlCalendarAdvance(Calendar,X697,NDays&amp;"D")</f>
        <v>43696</v>
      </c>
      <c r="Z697" s="205">
        <v>3.2098021806169462E-2</v>
      </c>
      <c r="AA697" s="207">
        <v>3.1959831442449627E-2</v>
      </c>
    </row>
    <row r="698" spans="19:27" x14ac:dyDescent="0.2">
      <c r="S698" s="165"/>
      <c r="T698" s="166"/>
      <c r="W698" s="199" t="str">
        <f t="shared" si="19"/>
        <v>1w</v>
      </c>
      <c r="X698" s="200">
        <f>_xll.qlCalendarAdvance(Calendar,X697,W698,"f",FALSE)</f>
        <v>43699</v>
      </c>
      <c r="Y698" s="204">
        <f>_xll.qlCalendarAdvance(Calendar,X698,NDays&amp;"D")</f>
        <v>43704</v>
      </c>
      <c r="Z698" s="205">
        <v>3.2156535105549437E-2</v>
      </c>
      <c r="AA698" s="207">
        <v>3.2018737439569733E-2</v>
      </c>
    </row>
    <row r="699" spans="19:27" x14ac:dyDescent="0.2">
      <c r="S699" s="165"/>
      <c r="T699" s="166"/>
      <c r="W699" s="199" t="str">
        <f t="shared" si="19"/>
        <v>1w</v>
      </c>
      <c r="X699" s="200">
        <f>_xll.qlCalendarAdvance(Calendar,X698,W699,"f",FALSE)</f>
        <v>43706</v>
      </c>
      <c r="Y699" s="204">
        <f>_xll.qlCalendarAdvance(Calendar,X699,NDays&amp;"D")</f>
        <v>43710</v>
      </c>
      <c r="Z699" s="205">
        <v>3.2202402394928775E-2</v>
      </c>
      <c r="AA699" s="207">
        <v>3.2062695254797546E-2</v>
      </c>
    </row>
    <row r="700" spans="19:27" x14ac:dyDescent="0.2">
      <c r="S700" s="165"/>
      <c r="T700" s="166"/>
      <c r="W700" s="199" t="str">
        <f t="shared" si="19"/>
        <v>1w</v>
      </c>
      <c r="X700" s="200">
        <f>_xll.qlCalendarAdvance(Calendar,X699,W700,"f",FALSE)</f>
        <v>43713</v>
      </c>
      <c r="Y700" s="204">
        <f>_xll.qlCalendarAdvance(Calendar,X700,NDays&amp;"D")</f>
        <v>43717</v>
      </c>
      <c r="Z700" s="205">
        <v>3.2245855164146242E-2</v>
      </c>
      <c r="AA700" s="207">
        <v>3.2113739216175219E-2</v>
      </c>
    </row>
    <row r="701" spans="19:27" x14ac:dyDescent="0.2">
      <c r="S701" s="165"/>
      <c r="T701" s="166"/>
      <c r="W701" s="199" t="str">
        <f t="shared" si="19"/>
        <v>1w</v>
      </c>
      <c r="X701" s="200">
        <f>_xll.qlCalendarAdvance(Calendar,X700,W701,"f",FALSE)</f>
        <v>43720</v>
      </c>
      <c r="Y701" s="204">
        <f>_xll.qlCalendarAdvance(Calendar,X701,NDays&amp;"D")</f>
        <v>43724</v>
      </c>
      <c r="Z701" s="205">
        <v>3.2296309471933959E-2</v>
      </c>
      <c r="AA701" s="207">
        <v>3.2164524547715345E-2</v>
      </c>
    </row>
    <row r="702" spans="19:27" x14ac:dyDescent="0.2">
      <c r="S702" s="165"/>
      <c r="T702" s="166"/>
      <c r="W702" s="199" t="str">
        <f t="shared" si="19"/>
        <v>1w</v>
      </c>
      <c r="X702" s="200">
        <f>_xll.qlCalendarAdvance(Calendar,X701,W702,"f",FALSE)</f>
        <v>43727</v>
      </c>
      <c r="Y702" s="204">
        <f>_xll.qlCalendarAdvance(Calendar,X702,NDays&amp;"D")</f>
        <v>43731</v>
      </c>
      <c r="Z702" s="205">
        <v>3.2346504680083932E-2</v>
      </c>
      <c r="AA702" s="207">
        <v>3.2215051249098181E-2</v>
      </c>
    </row>
    <row r="703" spans="19:27" x14ac:dyDescent="0.2">
      <c r="S703" s="165"/>
      <c r="T703" s="166"/>
      <c r="W703" s="199" t="str">
        <f t="shared" si="19"/>
        <v>1w</v>
      </c>
      <c r="X703" s="200">
        <f>_xll.qlCalendarAdvance(Calendar,X702,W703,"f",FALSE)</f>
        <v>43734</v>
      </c>
      <c r="Y703" s="204">
        <f>_xll.qlCalendarAdvance(Calendar,X703,NDays&amp;"D")</f>
        <v>43738</v>
      </c>
      <c r="Z703" s="205">
        <v>3.2401441016365114E-2</v>
      </c>
      <c r="AA703" s="207">
        <v>3.226531932024379E-2</v>
      </c>
    </row>
    <row r="704" spans="19:27" x14ac:dyDescent="0.2">
      <c r="S704" s="165"/>
      <c r="T704" s="166"/>
      <c r="W704" s="199" t="str">
        <f t="shared" si="19"/>
        <v>1w</v>
      </c>
      <c r="X704" s="200">
        <f>_xll.qlCalendarAdvance(Calendar,X703,W704,"f",FALSE)</f>
        <v>43741</v>
      </c>
      <c r="Y704" s="204">
        <f>_xll.qlCalendarAdvance(Calendar,X704,NDays&amp;"D")</f>
        <v>43745</v>
      </c>
      <c r="Z704" s="205">
        <v>3.2451103974629629E-2</v>
      </c>
      <c r="AA704" s="207">
        <v>3.2315328761152173E-2</v>
      </c>
    </row>
    <row r="705" spans="19:27" x14ac:dyDescent="0.2">
      <c r="S705" s="165"/>
      <c r="T705" s="166"/>
      <c r="W705" s="199" t="str">
        <f t="shared" si="19"/>
        <v>1w</v>
      </c>
      <c r="X705" s="200">
        <f>_xll.qlCalendarAdvance(Calendar,X704,W705,"f",FALSE)</f>
        <v>43748</v>
      </c>
      <c r="Y705" s="204">
        <f>_xll.qlCalendarAdvance(Calendar,X705,NDays&amp;"D")</f>
        <v>43752</v>
      </c>
      <c r="Z705" s="205">
        <v>3.2507544343789871E-2</v>
      </c>
      <c r="AA705" s="207">
        <v>3.2365079571743394E-2</v>
      </c>
    </row>
    <row r="706" spans="19:27" x14ac:dyDescent="0.2">
      <c r="S706" s="165"/>
      <c r="T706" s="166"/>
      <c r="W706" s="199" t="str">
        <f t="shared" si="19"/>
        <v>1w</v>
      </c>
      <c r="X706" s="200">
        <f>_xll.qlCalendarAdvance(Calendar,X705,W706,"f",FALSE)</f>
        <v>43755</v>
      </c>
      <c r="Y706" s="204">
        <f>_xll.qlCalendarAdvance(Calendar,X706,NDays&amp;"D")</f>
        <v>43759</v>
      </c>
      <c r="Z706" s="205">
        <v>3.2549652509631773E-2</v>
      </c>
      <c r="AA706" s="207">
        <v>3.2414571751697707E-2</v>
      </c>
    </row>
    <row r="707" spans="19:27" x14ac:dyDescent="0.2">
      <c r="S707" s="165"/>
      <c r="T707" s="166"/>
      <c r="W707" s="199" t="str">
        <f t="shared" si="19"/>
        <v>1w</v>
      </c>
      <c r="X707" s="200">
        <f>_xll.qlCalendarAdvance(Calendar,X706,W707,"f",FALSE)</f>
        <v>43762</v>
      </c>
      <c r="Y707" s="204">
        <f>_xll.qlCalendarAdvance(Calendar,X707,NDays&amp;"D")</f>
        <v>43766</v>
      </c>
      <c r="Z707" s="205">
        <v>3.260348099930005E-2</v>
      </c>
      <c r="AA707" s="207">
        <v>3.246380530109505E-2</v>
      </c>
    </row>
    <row r="708" spans="19:27" x14ac:dyDescent="0.2">
      <c r="S708" s="165"/>
      <c r="T708" s="166"/>
      <c r="W708" s="199" t="str">
        <f t="shared" si="19"/>
        <v>1w</v>
      </c>
      <c r="X708" s="200">
        <f>_xll.qlCalendarAdvance(Calendar,X707,W708,"f",FALSE)</f>
        <v>43769</v>
      </c>
      <c r="Y708" s="204">
        <f>_xll.qlCalendarAdvance(Calendar,X708,NDays&amp;"D")</f>
        <v>43773</v>
      </c>
      <c r="Z708" s="205">
        <v>3.2642234656143465E-2</v>
      </c>
      <c r="AA708" s="207">
        <v>3.251278021977555E-2</v>
      </c>
    </row>
    <row r="709" spans="19:27" x14ac:dyDescent="0.2">
      <c r="S709" s="165"/>
      <c r="T709" s="166"/>
      <c r="W709" s="199" t="str">
        <f t="shared" si="19"/>
        <v>1w</v>
      </c>
      <c r="X709" s="200">
        <f>_xll.qlCalendarAdvance(Calendar,X708,W709,"f",FALSE)</f>
        <v>43776</v>
      </c>
      <c r="Y709" s="204">
        <f>_xll.qlCalendarAdvance(Calendar,X709,NDays&amp;"D")</f>
        <v>43780</v>
      </c>
      <c r="Z709" s="205">
        <v>3.2697506555488864E-2</v>
      </c>
      <c r="AA709" s="207">
        <v>3.2561496507659271E-2</v>
      </c>
    </row>
    <row r="710" spans="19:27" x14ac:dyDescent="0.2">
      <c r="S710" s="165"/>
      <c r="T710" s="166"/>
      <c r="W710" s="199" t="str">
        <f t="shared" si="19"/>
        <v>1w</v>
      </c>
      <c r="X710" s="200">
        <f>_xll.qlCalendarAdvance(Calendar,X709,W710,"f",FALSE)</f>
        <v>43783</v>
      </c>
      <c r="Y710" s="204">
        <f>_xll.qlCalendarAdvance(Calendar,X710,NDays&amp;"D")</f>
        <v>43787</v>
      </c>
      <c r="Z710" s="205">
        <v>3.2738738372622755E-2</v>
      </c>
      <c r="AA710" s="207">
        <v>3.2609954164586341E-2</v>
      </c>
    </row>
    <row r="711" spans="19:27" x14ac:dyDescent="0.2">
      <c r="S711" s="165"/>
      <c r="T711" s="166"/>
      <c r="W711" s="199" t="str">
        <f t="shared" si="19"/>
        <v>1w</v>
      </c>
      <c r="X711" s="200">
        <f>_xll.qlCalendarAdvance(Calendar,X710,W711,"f",FALSE)</f>
        <v>43790</v>
      </c>
      <c r="Y711" s="204">
        <f>_xll.qlCalendarAdvance(Calendar,X711,NDays&amp;"D")</f>
        <v>43794</v>
      </c>
      <c r="Z711" s="205">
        <v>3.2796375342356021E-2</v>
      </c>
      <c r="AA711" s="207">
        <v>3.2658153190476824E-2</v>
      </c>
    </row>
    <row r="712" spans="19:27" x14ac:dyDescent="0.2">
      <c r="S712" s="165"/>
      <c r="T712" s="166"/>
      <c r="W712" s="199" t="str">
        <f t="shared" si="19"/>
        <v>1w</v>
      </c>
      <c r="X712" s="200">
        <f>_xll.qlCalendarAdvance(Calendar,X711,W712,"f",FALSE)</f>
        <v>43797</v>
      </c>
      <c r="Y712" s="204">
        <f>_xll.qlCalendarAdvance(Calendar,X712,NDays&amp;"D")</f>
        <v>43801</v>
      </c>
      <c r="Z712" s="205">
        <v>3.2839078827042303E-2</v>
      </c>
      <c r="AA712" s="207">
        <v>3.2706093585250784E-2</v>
      </c>
    </row>
    <row r="713" spans="19:27" x14ac:dyDescent="0.2">
      <c r="S713" s="165"/>
      <c r="T713" s="166"/>
      <c r="W713" s="199" t="str">
        <f t="shared" si="19"/>
        <v>1w</v>
      </c>
      <c r="X713" s="200">
        <f>_xll.qlCalendarAdvance(Calendar,X712,W713,"f",FALSE)</f>
        <v>43804</v>
      </c>
      <c r="Y713" s="204">
        <f>_xll.qlCalendarAdvance(Calendar,X713,NDays&amp;"D")</f>
        <v>43808</v>
      </c>
      <c r="Z713" s="205">
        <v>3.2886409533292082E-2</v>
      </c>
      <c r="AA713" s="207">
        <v>3.2753775348748349E-2</v>
      </c>
    </row>
    <row r="714" spans="19:27" x14ac:dyDescent="0.2">
      <c r="S714" s="165"/>
      <c r="T714" s="166"/>
      <c r="W714" s="199" t="str">
        <f t="shared" si="19"/>
        <v>1w</v>
      </c>
      <c r="X714" s="200">
        <f>_xll.qlCalendarAdvance(Calendar,X713,W714,"f",FALSE)</f>
        <v>43811</v>
      </c>
      <c r="Y714" s="204">
        <f>_xll.qlCalendarAdvance(Calendar,X714,NDays&amp;"D")</f>
        <v>43815</v>
      </c>
      <c r="Z714" s="205">
        <v>3.2933481084395484E-2</v>
      </c>
      <c r="AA714" s="207">
        <v>3.2801198480889582E-2</v>
      </c>
    </row>
    <row r="715" spans="19:27" x14ac:dyDescent="0.2">
      <c r="S715" s="165"/>
      <c r="T715" s="166"/>
      <c r="W715" s="199" t="str">
        <f t="shared" si="19"/>
        <v>1w</v>
      </c>
      <c r="X715" s="200">
        <f>_xll.qlCalendarAdvance(Calendar,X714,W715,"f",FALSE)</f>
        <v>43818</v>
      </c>
      <c r="Y715" s="204">
        <f>_xll.qlCalendarAdvance(Calendar,X715,NDays&amp;"D")</f>
        <v>43822</v>
      </c>
      <c r="Z715" s="205">
        <v>3.2980293477204062E-2</v>
      </c>
      <c r="AA715" s="207">
        <v>3.2871496436932546E-2</v>
      </c>
    </row>
    <row r="716" spans="19:27" x14ac:dyDescent="0.2">
      <c r="S716" s="165"/>
      <c r="T716" s="166"/>
      <c r="W716" s="199" t="str">
        <f t="shared" si="19"/>
        <v>1w</v>
      </c>
      <c r="X716" s="200">
        <f>_xll.qlCalendarAdvance(Calendar,X715,W716,"f",FALSE)</f>
        <v>43826</v>
      </c>
      <c r="Y716" s="204">
        <f>_xll.qlCalendarAdvance(Calendar,X716,NDays&amp;"D")</f>
        <v>43830</v>
      </c>
      <c r="Z716" s="205">
        <v>3.3033476014001709E-2</v>
      </c>
      <c r="AA716" s="207">
        <v>3.2918300015358781E-2</v>
      </c>
    </row>
    <row r="717" spans="19:27" x14ac:dyDescent="0.2">
      <c r="S717" s="165"/>
      <c r="T717" s="166"/>
      <c r="W717" s="199" t="str">
        <f t="shared" si="19"/>
        <v>1w</v>
      </c>
      <c r="X717" s="200">
        <f>_xll.qlCalendarAdvance(Calendar,X716,W717,"f",FALSE)</f>
        <v>43833</v>
      </c>
      <c r="Y717" s="204">
        <f>_xll.qlCalendarAdvance(Calendar,X717,NDays&amp;"D")</f>
        <v>43837</v>
      </c>
      <c r="Z717" s="205">
        <v>3.3079733057103419E-2</v>
      </c>
      <c r="AA717" s="207">
        <v>3.2948558866623401E-2</v>
      </c>
    </row>
    <row r="718" spans="19:27" x14ac:dyDescent="0.2">
      <c r="S718" s="165"/>
      <c r="T718" s="166"/>
      <c r="W718" s="199" t="str">
        <f t="shared" si="19"/>
        <v>1w</v>
      </c>
      <c r="X718" s="200">
        <f>_xll.qlCalendarAdvance(Calendar,X717,W718,"f",FALSE)</f>
        <v>43840</v>
      </c>
      <c r="Y718" s="204">
        <f>_xll.qlCalendarAdvance(Calendar,X718,NDays&amp;"D")</f>
        <v>43844</v>
      </c>
      <c r="Z718" s="205">
        <v>3.312573093214264E-2</v>
      </c>
      <c r="AA718" s="207">
        <v>3.2994910525054877E-2</v>
      </c>
    </row>
    <row r="719" spans="19:27" x14ac:dyDescent="0.2">
      <c r="S719" s="165"/>
      <c r="T719" s="166"/>
      <c r="W719" s="199" t="str">
        <f t="shared" si="19"/>
        <v>1w</v>
      </c>
      <c r="X719" s="200">
        <f>_xll.qlCalendarAdvance(Calendar,X718,W719,"f",FALSE)</f>
        <v>43847</v>
      </c>
      <c r="Y719" s="204">
        <f>_xll.qlCalendarAdvance(Calendar,X719,NDays&amp;"D")</f>
        <v>43851</v>
      </c>
      <c r="Z719" s="205">
        <v>3.317146963604569E-2</v>
      </c>
      <c r="AA719" s="207">
        <v>3.3041003551490533E-2</v>
      </c>
    </row>
    <row r="720" spans="19:27" x14ac:dyDescent="0.2">
      <c r="S720" s="165"/>
      <c r="T720" s="166"/>
      <c r="W720" s="199" t="str">
        <f t="shared" si="19"/>
        <v>1w</v>
      </c>
      <c r="X720" s="200">
        <f>_xll.qlCalendarAdvance(Calendar,X719,W720,"f",FALSE)</f>
        <v>43854</v>
      </c>
      <c r="Y720" s="204">
        <f>_xll.qlCalendarAdvance(Calendar,X720,NDays&amp;"D")</f>
        <v>43858</v>
      </c>
      <c r="Z720" s="205">
        <v>3.3216949165759534E-2</v>
      </c>
      <c r="AA720" s="207">
        <v>3.3086837946090242E-2</v>
      </c>
    </row>
    <row r="721" spans="19:27" x14ac:dyDescent="0.2">
      <c r="S721" s="165"/>
      <c r="T721" s="166"/>
      <c r="W721" s="199" t="str">
        <f t="shared" si="19"/>
        <v>1w</v>
      </c>
      <c r="X721" s="200">
        <f>_xll.qlCalendarAdvance(Calendar,X720,W721,"f",FALSE)</f>
        <v>43861</v>
      </c>
      <c r="Y721" s="204">
        <f>_xll.qlCalendarAdvance(Calendar,X721,NDays&amp;"D")</f>
        <v>43865</v>
      </c>
      <c r="Z721" s="205">
        <v>3.3252682848315299E-2</v>
      </c>
      <c r="AA721" s="207">
        <v>3.3132413708534258E-2</v>
      </c>
    </row>
    <row r="722" spans="19:27" x14ac:dyDescent="0.2">
      <c r="S722" s="165"/>
      <c r="T722" s="166"/>
      <c r="W722" s="199" t="str">
        <f t="shared" si="19"/>
        <v>1w</v>
      </c>
      <c r="X722" s="200">
        <f>_xll.qlCalendarAdvance(Calendar,X721,W722,"f",FALSE)</f>
        <v>43868</v>
      </c>
      <c r="Y722" s="204">
        <f>_xll.qlCalendarAdvance(Calendar,X722,NDays&amp;"D")</f>
        <v>43872</v>
      </c>
      <c r="Z722" s="205">
        <v>3.3297672740025319E-2</v>
      </c>
      <c r="AA722" s="207">
        <v>3.3177730838902519E-2</v>
      </c>
    </row>
    <row r="723" spans="19:27" x14ac:dyDescent="0.2">
      <c r="S723" s="165"/>
      <c r="T723" s="166"/>
      <c r="W723" s="199" t="str">
        <f t="shared" si="19"/>
        <v>1w</v>
      </c>
      <c r="X723" s="200">
        <f>_xll.qlCalendarAdvance(Calendar,X722,W723,"f",FALSE)</f>
        <v>43875</v>
      </c>
      <c r="Y723" s="204">
        <f>_xll.qlCalendarAdvance(Calendar,X723,NDays&amp;"D")</f>
        <v>43879</v>
      </c>
      <c r="Z723" s="205">
        <v>3.3342403485637655E-2</v>
      </c>
      <c r="AA723" s="207">
        <v>3.3222789336955216E-2</v>
      </c>
    </row>
    <row r="724" spans="19:27" x14ac:dyDescent="0.2">
      <c r="S724" s="165"/>
      <c r="T724" s="166"/>
      <c r="W724" s="199" t="str">
        <f t="shared" si="19"/>
        <v>1w</v>
      </c>
      <c r="X724" s="200">
        <f>_xll.qlCalendarAdvance(Calendar,X723,W724,"f",FALSE)</f>
        <v>43882</v>
      </c>
      <c r="Y724" s="204">
        <f>_xll.qlCalendarAdvance(Calendar,X724,NDays&amp;"D")</f>
        <v>43886</v>
      </c>
      <c r="Z724" s="205">
        <v>3.3386875082357305E-2</v>
      </c>
      <c r="AA724" s="207">
        <v>3.3267589202692349E-2</v>
      </c>
    </row>
    <row r="725" spans="19:27" x14ac:dyDescent="0.2">
      <c r="S725" s="165"/>
      <c r="T725" s="166"/>
      <c r="W725" s="199" t="str">
        <f t="shared" ref="W725:W788" si="20">W724</f>
        <v>1w</v>
      </c>
      <c r="X725" s="200">
        <f>_xll.qlCalendarAdvance(Calendar,X724,W725,"f",FALSE)</f>
        <v>43889</v>
      </c>
      <c r="Y725" s="204">
        <f>_xll.qlCalendarAdvance(Calendar,X725,NDays&amp;"D")</f>
        <v>43893</v>
      </c>
      <c r="Z725" s="205">
        <v>3.344045909577651E-2</v>
      </c>
      <c r="AA725" s="207">
        <v>3.3312130435954046E-2</v>
      </c>
    </row>
    <row r="726" spans="19:27" x14ac:dyDescent="0.2">
      <c r="S726" s="165"/>
      <c r="T726" s="166"/>
      <c r="W726" s="199" t="str">
        <f t="shared" si="20"/>
        <v>1w</v>
      </c>
      <c r="X726" s="200">
        <f>_xll.qlCalendarAdvance(Calendar,X725,W726,"f",FALSE)</f>
        <v>43896</v>
      </c>
      <c r="Y726" s="204">
        <f>_xll.qlCalendarAdvance(Calendar,X726,NDays&amp;"D")</f>
        <v>43900</v>
      </c>
      <c r="Z726" s="205">
        <v>3.3503055849373756E-2</v>
      </c>
      <c r="AA726" s="207">
        <v>3.3356413036740307E-2</v>
      </c>
    </row>
    <row r="727" spans="19:27" x14ac:dyDescent="0.2">
      <c r="S727" s="165"/>
      <c r="T727" s="166"/>
      <c r="W727" s="199" t="str">
        <f t="shared" si="20"/>
        <v>1w</v>
      </c>
      <c r="X727" s="200">
        <f>_xll.qlCalendarAdvance(Calendar,X726,W727,"f",FALSE)</f>
        <v>43903</v>
      </c>
      <c r="Y727" s="204">
        <f>_xll.qlCalendarAdvance(Calendar,X727,NDays&amp;"D")</f>
        <v>43907</v>
      </c>
      <c r="Z727" s="205">
        <v>3.3528048743463622E-2</v>
      </c>
      <c r="AA727" s="207">
        <v>3.3400437004731387E-2</v>
      </c>
    </row>
    <row r="728" spans="19:27" x14ac:dyDescent="0.2">
      <c r="S728" s="165"/>
      <c r="T728" s="166"/>
      <c r="W728" s="199" t="str">
        <f t="shared" si="20"/>
        <v>1w</v>
      </c>
      <c r="X728" s="200">
        <f>_xll.qlCalendarAdvance(Calendar,X727,W728,"f",FALSE)</f>
        <v>43910</v>
      </c>
      <c r="Y728" s="204">
        <f>_xll.qlCalendarAdvance(Calendar,X728,NDays&amp;"D")</f>
        <v>43914</v>
      </c>
      <c r="Z728" s="205">
        <v>3.3571454771757867E-2</v>
      </c>
      <c r="AA728" s="207">
        <v>3.3444202340087159E-2</v>
      </c>
    </row>
    <row r="729" spans="19:27" x14ac:dyDescent="0.2">
      <c r="S729" s="165"/>
      <c r="T729" s="166"/>
      <c r="W729" s="199" t="str">
        <f t="shared" si="20"/>
        <v>1w</v>
      </c>
      <c r="X729" s="200">
        <f>_xll.qlCalendarAdvance(Calendar,X728,W729,"f",FALSE)</f>
        <v>43917</v>
      </c>
      <c r="Y729" s="204">
        <f>_xll.qlCalendarAdvance(Calendar,X729,NDays&amp;"D")</f>
        <v>43921</v>
      </c>
      <c r="Z729" s="205">
        <v>3.3609974215178084E-2</v>
      </c>
      <c r="AA729" s="207">
        <v>3.3487709042647751E-2</v>
      </c>
    </row>
    <row r="730" spans="19:27" x14ac:dyDescent="0.2">
      <c r="S730" s="165"/>
      <c r="T730" s="166"/>
      <c r="W730" s="199" t="str">
        <f t="shared" si="20"/>
        <v>1w</v>
      </c>
      <c r="X730" s="200">
        <f>_xll.qlCalendarAdvance(Calendar,X729,W730,"f",FALSE)</f>
        <v>43924</v>
      </c>
      <c r="Y730" s="204">
        <f>_xll.qlCalendarAdvance(Calendar,X730,NDays&amp;"D")</f>
        <v>43928</v>
      </c>
      <c r="Z730" s="205">
        <v>3.3652876350950045E-2</v>
      </c>
      <c r="AA730" s="207">
        <v>3.3549512338920451E-2</v>
      </c>
    </row>
    <row r="731" spans="19:27" x14ac:dyDescent="0.2">
      <c r="S731" s="165"/>
      <c r="T731" s="166"/>
      <c r="W731" s="199" t="str">
        <f t="shared" si="20"/>
        <v>1w</v>
      </c>
      <c r="X731" s="200">
        <f>_xll.qlCalendarAdvance(Calendar,X730,W731,"f",FALSE)</f>
        <v>43935</v>
      </c>
      <c r="Y731" s="204">
        <f>_xll.qlCalendarAdvance(Calendar,X731,NDays&amp;"D")</f>
        <v>43937</v>
      </c>
      <c r="Z731" s="205">
        <v>3.3716842661359048E-2</v>
      </c>
      <c r="AA731" s="207">
        <v>3.3598395820151339E-2</v>
      </c>
    </row>
    <row r="732" spans="19:27" x14ac:dyDescent="0.2">
      <c r="S732" s="165"/>
      <c r="T732" s="166"/>
      <c r="W732" s="199" t="str">
        <f t="shared" si="20"/>
        <v>1w</v>
      </c>
      <c r="X732" s="200">
        <f>_xll.qlCalendarAdvance(Calendar,X731,W732,"f",FALSE)</f>
        <v>43942</v>
      </c>
      <c r="Y732" s="204">
        <f>_xll.qlCalendarAdvance(Calendar,X732,NDays&amp;"D")</f>
        <v>43944</v>
      </c>
      <c r="Z732" s="205">
        <v>3.3763700670541172E-2</v>
      </c>
      <c r="AA732" s="207">
        <v>3.3640978833187063E-2</v>
      </c>
    </row>
    <row r="733" spans="19:27" x14ac:dyDescent="0.2">
      <c r="S733" s="165"/>
      <c r="T733" s="166"/>
      <c r="W733" s="199" t="str">
        <f t="shared" si="20"/>
        <v>1w</v>
      </c>
      <c r="X733" s="200">
        <f>_xll.qlCalendarAdvance(Calendar,X732,W733,"f",FALSE)</f>
        <v>43949</v>
      </c>
      <c r="Y733" s="204">
        <f>_xll.qlCalendarAdvance(Calendar,X733,NDays&amp;"D")</f>
        <v>43951</v>
      </c>
      <c r="Z733" s="205">
        <v>3.3787449448351929E-2</v>
      </c>
      <c r="AA733" s="207">
        <v>3.3689328440065225E-2</v>
      </c>
    </row>
    <row r="734" spans="19:27" x14ac:dyDescent="0.2">
      <c r="S734" s="165"/>
      <c r="T734" s="166"/>
      <c r="W734" s="199" t="str">
        <f t="shared" si="20"/>
        <v>1w</v>
      </c>
      <c r="X734" s="200">
        <f>_xll.qlCalendarAdvance(Calendar,X733,W734,"f",FALSE)</f>
        <v>43956</v>
      </c>
      <c r="Y734" s="204">
        <f>_xll.qlCalendarAdvance(Calendar,X734,NDays&amp;"D")</f>
        <v>43958</v>
      </c>
      <c r="Z734" s="205">
        <v>3.384290672489465E-2</v>
      </c>
      <c r="AA734" s="207">
        <v>3.3725368959514057E-2</v>
      </c>
    </row>
    <row r="735" spans="19:27" x14ac:dyDescent="0.2">
      <c r="S735" s="165"/>
      <c r="T735" s="166"/>
      <c r="W735" s="199" t="str">
        <f t="shared" si="20"/>
        <v>1w</v>
      </c>
      <c r="X735" s="200">
        <f>_xll.qlCalendarAdvance(Calendar,X734,W735,"f",FALSE)</f>
        <v>43963</v>
      </c>
      <c r="Y735" s="204">
        <f>_xll.qlCalendarAdvance(Calendar,X735,NDays&amp;"D")</f>
        <v>43965</v>
      </c>
      <c r="Z735" s="205">
        <v>3.3884409606318722E-2</v>
      </c>
      <c r="AA735" s="207">
        <v>3.3767176072485583E-2</v>
      </c>
    </row>
    <row r="736" spans="19:27" x14ac:dyDescent="0.2">
      <c r="S736" s="165"/>
      <c r="T736" s="166"/>
      <c r="W736" s="199" t="str">
        <f t="shared" si="20"/>
        <v>1w</v>
      </c>
      <c r="X736" s="200">
        <f>_xll.qlCalendarAdvance(Calendar,X735,W736,"f",FALSE)</f>
        <v>43970</v>
      </c>
      <c r="Y736" s="204">
        <f>_xll.qlCalendarAdvance(Calendar,X736,NDays&amp;"D")</f>
        <v>43972</v>
      </c>
      <c r="Z736" s="205">
        <v>3.3925653246416887E-2</v>
      </c>
      <c r="AA736" s="207">
        <v>3.3814638936124908E-2</v>
      </c>
    </row>
    <row r="737" spans="19:27" x14ac:dyDescent="0.2">
      <c r="S737" s="165"/>
      <c r="T737" s="166"/>
      <c r="W737" s="199" t="str">
        <f t="shared" si="20"/>
        <v>1w</v>
      </c>
      <c r="X737" s="200">
        <f>_xll.qlCalendarAdvance(Calendar,X736,W737,"f",FALSE)</f>
        <v>43977</v>
      </c>
      <c r="Y737" s="204">
        <f>_xll.qlCalendarAdvance(Calendar,X737,NDays&amp;"D")</f>
        <v>43979</v>
      </c>
      <c r="Z737" s="205">
        <v>3.3966637704007097E-2</v>
      </c>
      <c r="AA737" s="207">
        <v>3.385001439788482E-2</v>
      </c>
    </row>
    <row r="738" spans="19:27" x14ac:dyDescent="0.2">
      <c r="S738" s="165"/>
      <c r="T738" s="166"/>
      <c r="W738" s="199" t="str">
        <f t="shared" si="20"/>
        <v>1w</v>
      </c>
      <c r="X738" s="200">
        <f>_xll.qlCalendarAdvance(Calendar,X737,W738,"f",FALSE)</f>
        <v>43984</v>
      </c>
      <c r="Y738" s="204">
        <f>_xll.qlCalendarAdvance(Calendar,X738,NDays&amp;"D")</f>
        <v>43986</v>
      </c>
      <c r="Z738" s="205">
        <v>3.4007365075145179E-2</v>
      </c>
      <c r="AA738" s="207">
        <v>3.3891045610072723E-2</v>
      </c>
    </row>
    <row r="739" spans="19:27" x14ac:dyDescent="0.2">
      <c r="S739" s="165"/>
      <c r="T739" s="166"/>
      <c r="W739" s="199" t="str">
        <f t="shared" si="20"/>
        <v>1w</v>
      </c>
      <c r="X739" s="200">
        <f>_xll.qlCalendarAdvance(Calendar,X738,W739,"f",FALSE)</f>
        <v>43991</v>
      </c>
      <c r="Y739" s="204">
        <f>_xll.qlCalendarAdvance(Calendar,X739,NDays&amp;"D")</f>
        <v>43993</v>
      </c>
      <c r="Z739" s="205">
        <v>3.4047839911102995E-2</v>
      </c>
      <c r="AA739" s="207">
        <v>3.3931818188426277E-2</v>
      </c>
    </row>
    <row r="740" spans="19:27" x14ac:dyDescent="0.2">
      <c r="S740" s="165"/>
      <c r="T740" s="166"/>
      <c r="W740" s="199" t="str">
        <f t="shared" si="20"/>
        <v>1w</v>
      </c>
      <c r="X740" s="200">
        <f>_xll.qlCalendarAdvance(Calendar,X739,W740,"f",FALSE)</f>
        <v>43998</v>
      </c>
      <c r="Y740" s="204">
        <f>_xll.qlCalendarAdvance(Calendar,X740,NDays&amp;"D")</f>
        <v>44000</v>
      </c>
      <c r="Z740" s="205">
        <v>3.4088066909400416E-2</v>
      </c>
      <c r="AA740" s="207">
        <v>3.3972332132945482E-2</v>
      </c>
    </row>
    <row r="741" spans="19:27" x14ac:dyDescent="0.2">
      <c r="S741" s="165"/>
      <c r="T741" s="166"/>
      <c r="W741" s="199" t="str">
        <f t="shared" si="20"/>
        <v>1w</v>
      </c>
      <c r="X741" s="200">
        <f>_xll.qlCalendarAdvance(Calendar,X740,W741,"f",FALSE)</f>
        <v>44005</v>
      </c>
      <c r="Y741" s="204">
        <f>_xll.qlCalendarAdvance(Calendar,X741,NDays&amp;"D")</f>
        <v>44007</v>
      </c>
      <c r="Z741" s="205">
        <v>3.4128050767649742E-2</v>
      </c>
      <c r="AA741" s="207">
        <v>3.4012590139713694E-2</v>
      </c>
    </row>
    <row r="742" spans="19:27" x14ac:dyDescent="0.2">
      <c r="S742" s="165"/>
      <c r="T742" s="166"/>
      <c r="W742" s="199" t="str">
        <f t="shared" si="20"/>
        <v>1w</v>
      </c>
      <c r="X742" s="200">
        <f>_xll.qlCalendarAdvance(Calendar,X741,W742,"f",FALSE)</f>
        <v>44012</v>
      </c>
      <c r="Y742" s="204">
        <f>_xll.qlCalendarAdvance(Calendar,X742,NDays&amp;"D")</f>
        <v>44014</v>
      </c>
      <c r="Z742" s="205">
        <v>3.4167795690212832E-2</v>
      </c>
      <c r="AA742" s="207">
        <v>3.4052608240067173E-2</v>
      </c>
    </row>
    <row r="743" spans="19:27" x14ac:dyDescent="0.2">
      <c r="S743" s="165"/>
      <c r="T743" s="166"/>
      <c r="W743" s="199" t="str">
        <f t="shared" si="20"/>
        <v>1w</v>
      </c>
      <c r="X743" s="200">
        <f>_xll.qlCalendarAdvance(Calendar,X742,W743,"f",FALSE)</f>
        <v>44019</v>
      </c>
      <c r="Y743" s="204">
        <f>_xll.qlCalendarAdvance(Calendar,X743,NDays&amp;"D")</f>
        <v>44021</v>
      </c>
      <c r="Z743" s="205">
        <v>3.420730283707929E-2</v>
      </c>
      <c r="AA743" s="207">
        <v>3.4092389130249146E-2</v>
      </c>
    </row>
    <row r="744" spans="19:27" x14ac:dyDescent="0.2">
      <c r="S744" s="165"/>
      <c r="T744" s="166"/>
      <c r="W744" s="199" t="str">
        <f t="shared" si="20"/>
        <v>1w</v>
      </c>
      <c r="X744" s="200">
        <f>_xll.qlCalendarAdvance(Calendar,X743,W744,"f",FALSE)</f>
        <v>44026</v>
      </c>
      <c r="Y744" s="204">
        <f>_xll.qlCalendarAdvance(Calendar,X744,NDays&amp;"D")</f>
        <v>44028</v>
      </c>
      <c r="Z744" s="205">
        <v>3.4246572208029291E-2</v>
      </c>
      <c r="AA744" s="207">
        <v>3.4131932810259613E-2</v>
      </c>
    </row>
    <row r="745" spans="19:27" x14ac:dyDescent="0.2">
      <c r="S745" s="165"/>
      <c r="T745" s="166"/>
      <c r="W745" s="199" t="str">
        <f t="shared" si="20"/>
        <v>1w</v>
      </c>
      <c r="X745" s="200">
        <f>_xll.qlCalendarAdvance(Calendar,X744,W745,"f",FALSE)</f>
        <v>44033</v>
      </c>
      <c r="Y745" s="204">
        <f>_xll.qlCalendarAdvance(Calendar,X745,NDays&amp;"D")</f>
        <v>44035</v>
      </c>
      <c r="Z745" s="205">
        <v>3.428560380058232E-2</v>
      </c>
      <c r="AA745" s="207">
        <v>3.4171239279858767E-2</v>
      </c>
    </row>
    <row r="746" spans="19:27" x14ac:dyDescent="0.2">
      <c r="S746" s="165"/>
      <c r="T746" s="166"/>
      <c r="W746" s="199" t="str">
        <f t="shared" si="20"/>
        <v>1w</v>
      </c>
      <c r="X746" s="200">
        <f>_xll.qlCalendarAdvance(Calendar,X745,W746,"f",FALSE)</f>
        <v>44040</v>
      </c>
      <c r="Y746" s="204">
        <f>_xll.qlCalendarAdvance(Calendar,X746,NDays&amp;"D")</f>
        <v>44042</v>
      </c>
      <c r="Z746" s="205">
        <v>3.4311240484005703E-2</v>
      </c>
      <c r="AA746" s="207">
        <v>3.4210308538966672E-2</v>
      </c>
    </row>
    <row r="747" spans="19:27" x14ac:dyDescent="0.2">
      <c r="S747" s="165"/>
      <c r="T747" s="166"/>
      <c r="W747" s="199" t="str">
        <f t="shared" si="20"/>
        <v>1w</v>
      </c>
      <c r="X747" s="200">
        <f>_xll.qlCalendarAdvance(Calendar,X746,W747,"f",FALSE)</f>
        <v>44047</v>
      </c>
      <c r="Y747" s="204">
        <f>_xll.qlCalendarAdvance(Calendar,X747,NDays&amp;"D")</f>
        <v>44049</v>
      </c>
      <c r="Z747" s="205">
        <v>3.4367324056255366E-2</v>
      </c>
      <c r="AA747" s="207">
        <v>3.4249140587583327E-2</v>
      </c>
    </row>
    <row r="748" spans="19:27" x14ac:dyDescent="0.2">
      <c r="S748" s="165"/>
      <c r="T748" s="166"/>
      <c r="W748" s="199" t="str">
        <f t="shared" si="20"/>
        <v>1w</v>
      </c>
      <c r="X748" s="200">
        <f>_xll.qlCalendarAdvance(Calendar,X747,W748,"f",FALSE)</f>
        <v>44054</v>
      </c>
      <c r="Y748" s="204">
        <f>_xll.qlCalendarAdvance(Calendar,X748,NDays&amp;"D")</f>
        <v>44056</v>
      </c>
      <c r="Z748" s="205">
        <v>3.4401271883259255E-2</v>
      </c>
      <c r="AA748" s="207">
        <v>3.4287735425628796E-2</v>
      </c>
    </row>
    <row r="749" spans="19:27" x14ac:dyDescent="0.2">
      <c r="S749" s="165"/>
      <c r="T749" s="166"/>
      <c r="W749" s="199" t="str">
        <f t="shared" si="20"/>
        <v>1w</v>
      </c>
      <c r="X749" s="200">
        <f>_xll.qlCalendarAdvance(Calendar,X748,W749,"f",FALSE)</f>
        <v>44061</v>
      </c>
      <c r="Y749" s="204">
        <f>_xll.qlCalendarAdvance(Calendar,X749,NDays&amp;"D")</f>
        <v>44063</v>
      </c>
      <c r="Z749" s="205">
        <v>3.4439352337694018E-2</v>
      </c>
      <c r="AA749" s="207">
        <v>3.4326093053023143E-2</v>
      </c>
    </row>
    <row r="750" spans="19:27" x14ac:dyDescent="0.2">
      <c r="S750" s="165"/>
      <c r="T750" s="166"/>
      <c r="W750" s="199" t="str">
        <f t="shared" si="20"/>
        <v>1w</v>
      </c>
      <c r="X750" s="200">
        <f>_xll.qlCalendarAdvance(Calendar,X749,W750,"f",FALSE)</f>
        <v>44068</v>
      </c>
      <c r="Y750" s="204">
        <f>_xll.qlCalendarAdvance(Calendar,X750,NDays&amp;"D")</f>
        <v>44070</v>
      </c>
      <c r="Z750" s="205">
        <v>3.4477195001539063E-2</v>
      </c>
      <c r="AA750" s="207">
        <v>3.4369639879407998E-2</v>
      </c>
    </row>
    <row r="751" spans="19:27" x14ac:dyDescent="0.2">
      <c r="S751" s="165"/>
      <c r="T751" s="166"/>
      <c r="W751" s="199" t="str">
        <f t="shared" si="20"/>
        <v>1w</v>
      </c>
      <c r="X751" s="200">
        <f>_xll.qlCalendarAdvance(Calendar,X750,W751,"f",FALSE)</f>
        <v>44075</v>
      </c>
      <c r="Y751" s="204">
        <f>_xll.qlCalendarAdvance(Calendar,X751,NDays&amp;"D")</f>
        <v>44077</v>
      </c>
      <c r="Z751" s="205">
        <v>3.4514799872403801E-2</v>
      </c>
      <c r="AA751" s="207">
        <v>3.4402096675538729E-2</v>
      </c>
    </row>
    <row r="752" spans="19:27" x14ac:dyDescent="0.2">
      <c r="S752" s="165"/>
      <c r="T752" s="166"/>
      <c r="W752" s="199" t="str">
        <f t="shared" si="20"/>
        <v>1w</v>
      </c>
      <c r="X752" s="200">
        <f>_xll.qlCalendarAdvance(Calendar,X751,W752,"f",FALSE)</f>
        <v>44082</v>
      </c>
      <c r="Y752" s="204">
        <f>_xll.qlCalendarAdvance(Calendar,X752,NDays&amp;"D")</f>
        <v>44084</v>
      </c>
      <c r="Z752" s="205">
        <v>3.4556470514751136E-2</v>
      </c>
      <c r="AA752" s="207">
        <v>3.4439742670420159E-2</v>
      </c>
    </row>
    <row r="753" spans="19:27" x14ac:dyDescent="0.2">
      <c r="S753" s="165"/>
      <c r="T753" s="166"/>
      <c r="W753" s="199" t="str">
        <f t="shared" si="20"/>
        <v>1w</v>
      </c>
      <c r="X753" s="200">
        <f>_xll.qlCalendarAdvance(Calendar,X752,W753,"f",FALSE)</f>
        <v>44089</v>
      </c>
      <c r="Y753" s="204">
        <f>_xll.qlCalendarAdvance(Calendar,X753,NDays&amp;"D")</f>
        <v>44091</v>
      </c>
      <c r="Z753" s="205">
        <v>3.4589296225692456E-2</v>
      </c>
      <c r="AA753" s="207">
        <v>3.4477151454490595E-2</v>
      </c>
    </row>
    <row r="754" spans="19:27" x14ac:dyDescent="0.2">
      <c r="S754" s="165"/>
      <c r="T754" s="166"/>
      <c r="W754" s="199" t="str">
        <f t="shared" si="20"/>
        <v>1w</v>
      </c>
      <c r="X754" s="200">
        <f>_xll.qlCalendarAdvance(Calendar,X753,W754,"f",FALSE)</f>
        <v>44096</v>
      </c>
      <c r="Y754" s="204">
        <f>_xll.qlCalendarAdvance(Calendar,X754,NDays&amp;"D")</f>
        <v>44098</v>
      </c>
      <c r="Z754" s="205">
        <v>3.462618770340764E-2</v>
      </c>
      <c r="AA754" s="207">
        <v>3.4514323027430294E-2</v>
      </c>
    </row>
    <row r="755" spans="19:27" x14ac:dyDescent="0.2">
      <c r="S755" s="165"/>
      <c r="T755" s="166"/>
      <c r="W755" s="199" t="str">
        <f t="shared" si="20"/>
        <v>1w</v>
      </c>
      <c r="X755" s="200">
        <f>_xll.qlCalendarAdvance(Calendar,X754,W755,"f",FALSE)</f>
        <v>44103</v>
      </c>
      <c r="Y755" s="204">
        <f>_xll.qlCalendarAdvance(Calendar,X755,NDays&amp;"D")</f>
        <v>44105</v>
      </c>
      <c r="Z755" s="205">
        <v>3.4662841378717557E-2</v>
      </c>
      <c r="AA755" s="207">
        <v>3.4551257389239254E-2</v>
      </c>
    </row>
    <row r="756" spans="19:27" x14ac:dyDescent="0.2">
      <c r="S756" s="165"/>
      <c r="T756" s="166"/>
      <c r="W756" s="199" t="str">
        <f t="shared" si="20"/>
        <v>1w</v>
      </c>
      <c r="X756" s="200">
        <f>_xll.qlCalendarAdvance(Calendar,X755,W756,"f",FALSE)</f>
        <v>44110</v>
      </c>
      <c r="Y756" s="204">
        <f>_xll.qlCalendarAdvance(Calendar,X756,NDays&amp;"D")</f>
        <v>44112</v>
      </c>
      <c r="Z756" s="205">
        <v>3.4699257249304061E-2</v>
      </c>
      <c r="AA756" s="207">
        <v>3.4587954539917476E-2</v>
      </c>
    </row>
    <row r="757" spans="19:27" x14ac:dyDescent="0.2">
      <c r="S757" s="165"/>
      <c r="T757" s="166"/>
      <c r="W757" s="199" t="str">
        <f t="shared" si="20"/>
        <v>1w</v>
      </c>
      <c r="X757" s="200">
        <f>_xll.qlCalendarAdvance(Calendar,X756,W757,"f",FALSE)</f>
        <v>44117</v>
      </c>
      <c r="Y757" s="204">
        <f>_xll.qlCalendarAdvance(Calendar,X757,NDays&amp;"D")</f>
        <v>44119</v>
      </c>
      <c r="Z757" s="205">
        <v>3.4735435312866492E-2</v>
      </c>
      <c r="AA757" s="207">
        <v>3.4624414479305088E-2</v>
      </c>
    </row>
    <row r="758" spans="19:27" x14ac:dyDescent="0.2">
      <c r="S758" s="165"/>
      <c r="T758" s="166"/>
      <c r="W758" s="199" t="str">
        <f t="shared" si="20"/>
        <v>1w</v>
      </c>
      <c r="X758" s="200">
        <f>_xll.qlCalendarAdvance(Calendar,X757,W758,"f",FALSE)</f>
        <v>44124</v>
      </c>
      <c r="Y758" s="204">
        <f>_xll.qlCalendarAdvance(Calendar,X758,NDays&amp;"D")</f>
        <v>44126</v>
      </c>
      <c r="Z758" s="205">
        <v>3.477137556711668E-2</v>
      </c>
      <c r="AA758" s="207">
        <v>3.4660637207322154E-2</v>
      </c>
    </row>
    <row r="759" spans="19:27" x14ac:dyDescent="0.2">
      <c r="S759" s="165"/>
      <c r="T759" s="166"/>
      <c r="W759" s="199" t="str">
        <f t="shared" si="20"/>
        <v>1w</v>
      </c>
      <c r="X759" s="200">
        <f>_xll.qlCalendarAdvance(Calendar,X758,W759,"f",FALSE)</f>
        <v>44131</v>
      </c>
      <c r="Y759" s="204">
        <f>_xll.qlCalendarAdvance(Calendar,X759,NDays&amp;"D")</f>
        <v>44133</v>
      </c>
      <c r="Z759" s="205">
        <v>3.4807078009781445E-2</v>
      </c>
      <c r="AA759" s="207">
        <v>3.4696622724048609E-2</v>
      </c>
    </row>
    <row r="760" spans="19:27" x14ac:dyDescent="0.2">
      <c r="S760" s="165"/>
      <c r="T760" s="166"/>
      <c r="W760" s="199" t="str">
        <f t="shared" si="20"/>
        <v>1w</v>
      </c>
      <c r="X760" s="200">
        <f>_xll.qlCalendarAdvance(Calendar,X759,W760,"f",FALSE)</f>
        <v>44138</v>
      </c>
      <c r="Y760" s="204">
        <f>_xll.qlCalendarAdvance(Calendar,X760,NDays&amp;"D")</f>
        <v>44140</v>
      </c>
      <c r="Z760" s="205">
        <v>3.484254263860509E-2</v>
      </c>
      <c r="AA760" s="207">
        <v>3.4732371029244646E-2</v>
      </c>
    </row>
    <row r="761" spans="19:27" x14ac:dyDescent="0.2">
      <c r="S761" s="165"/>
      <c r="T761" s="166"/>
      <c r="W761" s="199" t="str">
        <f t="shared" si="20"/>
        <v>1w</v>
      </c>
      <c r="X761" s="200">
        <f>_xll.qlCalendarAdvance(Calendar,X760,W761,"f",FALSE)</f>
        <v>44145</v>
      </c>
      <c r="Y761" s="204">
        <f>_xll.qlCalendarAdvance(Calendar,X761,NDays&amp;"D")</f>
        <v>44147</v>
      </c>
      <c r="Z761" s="205">
        <v>3.4877769451341911E-2</v>
      </c>
      <c r="AA761" s="207">
        <v>3.4767882122910265E-2</v>
      </c>
    </row>
    <row r="762" spans="19:27" x14ac:dyDescent="0.2">
      <c r="S762" s="165"/>
      <c r="T762" s="166"/>
      <c r="W762" s="199" t="str">
        <f t="shared" si="20"/>
        <v>1w</v>
      </c>
      <c r="X762" s="200">
        <f>_xll.qlCalendarAdvance(Calendar,X761,W762,"f",FALSE)</f>
        <v>44152</v>
      </c>
      <c r="Y762" s="204">
        <f>_xll.qlCalendarAdvance(Calendar,X762,NDays&amp;"D")</f>
        <v>44154</v>
      </c>
      <c r="Z762" s="205">
        <v>3.4912758445763692E-2</v>
      </c>
      <c r="AA762" s="207">
        <v>3.480315600496553E-2</v>
      </c>
    </row>
    <row r="763" spans="19:27" x14ac:dyDescent="0.2">
      <c r="S763" s="165"/>
      <c r="T763" s="166"/>
      <c r="W763" s="199" t="str">
        <f t="shared" si="20"/>
        <v>1w</v>
      </c>
      <c r="X763" s="200">
        <f>_xll.qlCalendarAdvance(Calendar,X762,W763,"f",FALSE)</f>
        <v>44159</v>
      </c>
      <c r="Y763" s="204">
        <f>_xll.qlCalendarAdvance(Calendar,X763,NDays&amp;"D")</f>
        <v>44161</v>
      </c>
      <c r="Z763" s="205">
        <v>3.4952454659022691E-2</v>
      </c>
      <c r="AA763" s="207">
        <v>3.4838192675330504E-2</v>
      </c>
    </row>
    <row r="764" spans="19:27" x14ac:dyDescent="0.2">
      <c r="S764" s="165"/>
      <c r="T764" s="166"/>
      <c r="W764" s="199" t="str">
        <f t="shared" si="20"/>
        <v>1w</v>
      </c>
      <c r="X764" s="200">
        <f>_xll.qlCalendarAdvance(Calendar,X763,W764,"f",FALSE)</f>
        <v>44166</v>
      </c>
      <c r="Y764" s="204">
        <f>_xll.qlCalendarAdvance(Calendar,X764,NDays&amp;"D")</f>
        <v>44168</v>
      </c>
      <c r="Z764" s="205">
        <v>3.4982022970829196E-2</v>
      </c>
      <c r="AA764" s="207">
        <v>3.4872992133845315E-2</v>
      </c>
    </row>
    <row r="765" spans="19:27" x14ac:dyDescent="0.2">
      <c r="S765" s="165"/>
      <c r="T765" s="166"/>
      <c r="W765" s="199" t="str">
        <f t="shared" si="20"/>
        <v>1w</v>
      </c>
      <c r="X765" s="200">
        <f>_xll.qlCalendarAdvance(Calendar,X764,W765,"f",FALSE)</f>
        <v>44173</v>
      </c>
      <c r="Y765" s="204">
        <f>_xll.qlCalendarAdvance(Calendar,X765,NDays&amp;"D")</f>
        <v>44175</v>
      </c>
      <c r="Z765" s="205">
        <v>3.5016298497091425E-2</v>
      </c>
      <c r="AA765" s="207">
        <v>3.4907554380669836E-2</v>
      </c>
    </row>
    <row r="766" spans="19:27" x14ac:dyDescent="0.2">
      <c r="S766" s="165"/>
      <c r="T766" s="166"/>
      <c r="W766" s="199" t="str">
        <f t="shared" si="20"/>
        <v>1w</v>
      </c>
      <c r="X766" s="200">
        <f>_xll.qlCalendarAdvance(Calendar,X765,W766,"f",FALSE)</f>
        <v>44180</v>
      </c>
      <c r="Y766" s="204">
        <f>_xll.qlCalendarAdvance(Calendar,X766,NDays&amp;"D")</f>
        <v>44182</v>
      </c>
      <c r="Z766" s="205">
        <v>3.5054450015349049E-2</v>
      </c>
      <c r="AA766" s="207">
        <v>3.4941879415644195E-2</v>
      </c>
    </row>
    <row r="767" spans="19:27" x14ac:dyDescent="0.2">
      <c r="S767" s="165"/>
      <c r="T767" s="166"/>
      <c r="W767" s="199" t="str">
        <f t="shared" si="20"/>
        <v>1w</v>
      </c>
      <c r="X767" s="200">
        <f>_xll.qlCalendarAdvance(Calendar,X766,W767,"f",FALSE)</f>
        <v>44187</v>
      </c>
      <c r="Y767" s="204">
        <f>_xll.qlCalendarAdvance(Calendar,X767,NDays&amp;"D")</f>
        <v>44189</v>
      </c>
      <c r="Z767" s="205">
        <v>3.5084136066243499E-2</v>
      </c>
      <c r="AA767" s="207">
        <v>3.4985663046924742E-2</v>
      </c>
    </row>
    <row r="768" spans="19:27" x14ac:dyDescent="0.2">
      <c r="S768" s="165"/>
      <c r="T768" s="166"/>
      <c r="W768" s="199" t="str">
        <f t="shared" si="20"/>
        <v>1w</v>
      </c>
      <c r="X768" s="200">
        <f>_xll.qlCalendarAdvance(Calendar,X767,W768,"f",FALSE)</f>
        <v>44194</v>
      </c>
      <c r="Y768" s="204">
        <f>_xll.qlCalendarAdvance(Calendar,X768,NDays&amp;"D")</f>
        <v>44196</v>
      </c>
      <c r="Z768" s="205">
        <v>3.5105432655985543E-2</v>
      </c>
      <c r="AA768" s="207">
        <v>3.5014634286811841E-2</v>
      </c>
    </row>
    <row r="769" spans="19:27" x14ac:dyDescent="0.2">
      <c r="S769" s="165"/>
      <c r="T769" s="166"/>
      <c r="W769" s="199" t="str">
        <f t="shared" si="20"/>
        <v>1w</v>
      </c>
      <c r="X769" s="200">
        <f>_xll.qlCalendarAdvance(Calendar,X768,W769,"f",FALSE)</f>
        <v>44201</v>
      </c>
      <c r="Y769" s="204">
        <f>_xll.qlCalendarAdvance(Calendar,X769,NDays&amp;"D")</f>
        <v>44203</v>
      </c>
      <c r="Z769" s="205">
        <v>3.5151022309949653E-2</v>
      </c>
      <c r="AA769" s="207">
        <v>3.504343124834719E-2</v>
      </c>
    </row>
    <row r="770" spans="19:27" x14ac:dyDescent="0.2">
      <c r="S770" s="165"/>
      <c r="T770" s="166"/>
      <c r="W770" s="199" t="str">
        <f t="shared" si="20"/>
        <v>1w</v>
      </c>
      <c r="X770" s="200">
        <f>_xll.qlCalendarAdvance(Calendar,X769,W770,"f",FALSE)</f>
        <v>44208</v>
      </c>
      <c r="Y770" s="204">
        <f>_xll.qlCalendarAdvance(Calendar,X770,NDays&amp;"D")</f>
        <v>44210</v>
      </c>
      <c r="Z770" s="205">
        <v>3.5188167569718848E-2</v>
      </c>
      <c r="AA770" s="207">
        <v>3.5076807434961665E-2</v>
      </c>
    </row>
    <row r="771" spans="19:27" x14ac:dyDescent="0.2">
      <c r="S771" s="165"/>
      <c r="T771" s="166"/>
      <c r="W771" s="199" t="str">
        <f t="shared" si="20"/>
        <v>1w</v>
      </c>
      <c r="X771" s="200">
        <f>_xll.qlCalendarAdvance(Calendar,X770,W771,"f",FALSE)</f>
        <v>44215</v>
      </c>
      <c r="Y771" s="204">
        <f>_xll.qlCalendarAdvance(Calendar,X771,NDays&amp;"D")</f>
        <v>44217</v>
      </c>
      <c r="Z771" s="205">
        <v>3.5216957211290922E-2</v>
      </c>
      <c r="AA771" s="207">
        <v>3.5109946409406234E-2</v>
      </c>
    </row>
    <row r="772" spans="19:27" x14ac:dyDescent="0.2">
      <c r="S772" s="165"/>
      <c r="T772" s="166"/>
      <c r="W772" s="199" t="str">
        <f t="shared" si="20"/>
        <v>1w</v>
      </c>
      <c r="X772" s="200">
        <f>_xll.qlCalendarAdvance(Calendar,X771,W772,"f",FALSE)</f>
        <v>44222</v>
      </c>
      <c r="Y772" s="204">
        <f>_xll.qlCalendarAdvance(Calendar,X772,NDays&amp;"D")</f>
        <v>44224</v>
      </c>
      <c r="Z772" s="205">
        <v>3.5237467665813114E-2</v>
      </c>
      <c r="AA772" s="207">
        <v>3.514284817160096E-2</v>
      </c>
    </row>
    <row r="773" spans="19:27" x14ac:dyDescent="0.2">
      <c r="S773" s="165"/>
      <c r="T773" s="166"/>
      <c r="W773" s="199" t="str">
        <f t="shared" si="20"/>
        <v>1w</v>
      </c>
      <c r="X773" s="200">
        <f>_xll.qlCalendarAdvance(Calendar,X772,W773,"f",FALSE)</f>
        <v>44229</v>
      </c>
      <c r="Y773" s="204">
        <f>_xll.qlCalendarAdvance(Calendar,X773,NDays&amp;"D")</f>
        <v>44231</v>
      </c>
      <c r="Z773" s="205">
        <v>3.5265860265372151E-2</v>
      </c>
      <c r="AA773" s="207">
        <v>3.5175512721385971E-2</v>
      </c>
    </row>
    <row r="774" spans="19:27" x14ac:dyDescent="0.2">
      <c r="S774" s="165"/>
      <c r="T774" s="166"/>
      <c r="W774" s="199" t="str">
        <f t="shared" si="20"/>
        <v>1w</v>
      </c>
      <c r="X774" s="200">
        <f>_xll.qlCalendarAdvance(Calendar,X773,W774,"f",FALSE)</f>
        <v>44236</v>
      </c>
      <c r="Y774" s="204">
        <f>_xll.qlCalendarAdvance(Calendar,X774,NDays&amp;"D")</f>
        <v>44238</v>
      </c>
      <c r="Z774" s="205">
        <v>3.5298050622968785E-2</v>
      </c>
      <c r="AA774" s="207">
        <v>3.5207940058841203E-2</v>
      </c>
    </row>
    <row r="775" spans="19:27" x14ac:dyDescent="0.2">
      <c r="S775" s="165"/>
      <c r="T775" s="166"/>
      <c r="W775" s="199" t="str">
        <f t="shared" si="20"/>
        <v>1w</v>
      </c>
      <c r="X775" s="200">
        <f>_xll.qlCalendarAdvance(Calendar,X774,W775,"f",FALSE)</f>
        <v>44243</v>
      </c>
      <c r="Y775" s="204">
        <f>_xll.qlCalendarAdvance(Calendar,X775,NDays&amp;"D")</f>
        <v>44245</v>
      </c>
      <c r="Z775" s="205">
        <v>3.5330003216973757E-2</v>
      </c>
      <c r="AA775" s="207">
        <v>3.5240130183726848E-2</v>
      </c>
    </row>
    <row r="776" spans="19:27" x14ac:dyDescent="0.2">
      <c r="S776" s="165"/>
      <c r="T776" s="166"/>
      <c r="W776" s="199" t="str">
        <f t="shared" si="20"/>
        <v>1w</v>
      </c>
      <c r="X776" s="200">
        <f>_xll.qlCalendarAdvance(Calendar,X775,W776,"f",FALSE)</f>
        <v>44250</v>
      </c>
      <c r="Y776" s="204">
        <f>_xll.qlCalendarAdvance(Calendar,X776,NDays&amp;"D")</f>
        <v>44252</v>
      </c>
      <c r="Z776" s="205">
        <v>3.5361718045622742E-2</v>
      </c>
      <c r="AA776" s="207">
        <v>3.5272083096042905E-2</v>
      </c>
    </row>
    <row r="777" spans="19:27" x14ac:dyDescent="0.2">
      <c r="S777" s="165"/>
      <c r="T777" s="166"/>
      <c r="W777" s="199" t="str">
        <f t="shared" si="20"/>
        <v>1w</v>
      </c>
      <c r="X777" s="200">
        <f>_xll.qlCalendarAdvance(Calendar,X776,W777,"f",FALSE)</f>
        <v>44257</v>
      </c>
      <c r="Y777" s="204">
        <f>_xll.qlCalendarAdvance(Calendar,X777,NDays&amp;"D")</f>
        <v>44259</v>
      </c>
      <c r="Z777" s="205">
        <v>3.5413015674360698E-2</v>
      </c>
      <c r="AA777" s="207">
        <v>3.5303798795869312E-2</v>
      </c>
    </row>
    <row r="778" spans="19:27" x14ac:dyDescent="0.2">
      <c r="S778" s="165"/>
      <c r="T778" s="166"/>
      <c r="W778" s="199" t="str">
        <f t="shared" si="20"/>
        <v>1w</v>
      </c>
      <c r="X778" s="200">
        <f>_xll.qlCalendarAdvance(Calendar,X777,W778,"f",FALSE)</f>
        <v>44264</v>
      </c>
      <c r="Y778" s="204">
        <f>_xll.qlCalendarAdvance(Calendar,X778,NDays&amp;"D")</f>
        <v>44266</v>
      </c>
      <c r="Z778" s="205">
        <v>3.5440237306221534E-2</v>
      </c>
      <c r="AA778" s="207">
        <v>3.5335277282886324E-2</v>
      </c>
    </row>
    <row r="779" spans="19:27" x14ac:dyDescent="0.2">
      <c r="S779" s="165"/>
      <c r="T779" s="166"/>
      <c r="W779" s="199" t="str">
        <f t="shared" si="20"/>
        <v>1w</v>
      </c>
      <c r="X779" s="200">
        <f>_xll.qlCalendarAdvance(Calendar,X778,W779,"f",FALSE)</f>
        <v>44271</v>
      </c>
      <c r="Y779" s="204">
        <f>_xll.qlCalendarAdvance(Calendar,X779,NDays&amp;"D")</f>
        <v>44273</v>
      </c>
      <c r="Z779" s="205">
        <v>3.5471183063026102E-2</v>
      </c>
      <c r="AA779" s="207">
        <v>3.5366518557333748E-2</v>
      </c>
    </row>
    <row r="780" spans="19:27" x14ac:dyDescent="0.2">
      <c r="S780" s="165"/>
      <c r="T780" s="166"/>
      <c r="W780" s="199" t="str">
        <f t="shared" si="20"/>
        <v>1w</v>
      </c>
      <c r="X780" s="200">
        <f>_xll.qlCalendarAdvance(Calendar,X779,W780,"f",FALSE)</f>
        <v>44278</v>
      </c>
      <c r="Y780" s="204">
        <f>_xll.qlCalendarAdvance(Calendar,X780,NDays&amp;"D")</f>
        <v>44280</v>
      </c>
      <c r="Z780" s="205">
        <v>3.5501890963985649E-2</v>
      </c>
      <c r="AA780" s="207">
        <v>3.5397522618891841E-2</v>
      </c>
    </row>
    <row r="781" spans="19:27" x14ac:dyDescent="0.2">
      <c r="S781" s="165"/>
      <c r="T781" s="166"/>
      <c r="W781" s="199" t="str">
        <f t="shared" si="20"/>
        <v>1w</v>
      </c>
      <c r="X781" s="200">
        <f>_xll.qlCalendarAdvance(Calendar,X780,W781,"f",FALSE)</f>
        <v>44285</v>
      </c>
      <c r="Y781" s="204">
        <f>_xll.qlCalendarAdvance(Calendar,X781,NDays&amp;"D")</f>
        <v>44287</v>
      </c>
      <c r="Z781" s="205">
        <v>3.5536267151995531E-2</v>
      </c>
      <c r="AA781" s="207">
        <v>3.5437036426078095E-2</v>
      </c>
    </row>
    <row r="782" spans="19:27" x14ac:dyDescent="0.2">
      <c r="S782" s="165"/>
      <c r="T782" s="166"/>
      <c r="W782" s="199" t="str">
        <f t="shared" si="20"/>
        <v>1w</v>
      </c>
      <c r="X782" s="200">
        <f>_xll.qlCalendarAdvance(Calendar,X781,W782,"f",FALSE)</f>
        <v>44292</v>
      </c>
      <c r="Y782" s="204">
        <f>_xll.qlCalendarAdvance(Calendar,X782,NDays&amp;"D")</f>
        <v>44294</v>
      </c>
      <c r="Z782" s="205">
        <v>3.5562593190623382E-2</v>
      </c>
      <c r="AA782" s="207">
        <v>3.5458819103340034E-2</v>
      </c>
    </row>
    <row r="783" spans="19:27" x14ac:dyDescent="0.2">
      <c r="S783" s="165"/>
      <c r="T783" s="166"/>
      <c r="W783" s="199" t="str">
        <f t="shared" si="20"/>
        <v>1w</v>
      </c>
      <c r="X783" s="200">
        <f>_xll.qlCalendarAdvance(Calendar,X782,W783,"f",FALSE)</f>
        <v>44299</v>
      </c>
      <c r="Y783" s="204">
        <f>_xll.qlCalendarAdvance(Calendar,X783,NDays&amp;"D")</f>
        <v>44301</v>
      </c>
      <c r="Z783" s="205">
        <v>3.5592587512462137E-2</v>
      </c>
      <c r="AA783" s="207">
        <v>3.5489111526150197E-2</v>
      </c>
    </row>
    <row r="784" spans="19:27" x14ac:dyDescent="0.2">
      <c r="S784" s="165"/>
      <c r="T784" s="166"/>
      <c r="W784" s="199" t="str">
        <f t="shared" si="20"/>
        <v>1w</v>
      </c>
      <c r="X784" s="200">
        <f>_xll.qlCalendarAdvance(Calendar,X783,W784,"f",FALSE)</f>
        <v>44306</v>
      </c>
      <c r="Y784" s="204">
        <f>_xll.qlCalendarAdvance(Calendar,X784,NDays&amp;"D")</f>
        <v>44308</v>
      </c>
      <c r="Z784" s="205">
        <v>3.5622343970779513E-2</v>
      </c>
      <c r="AA784" s="207">
        <v>3.5519166735991092E-2</v>
      </c>
    </row>
    <row r="785" spans="19:27" x14ac:dyDescent="0.2">
      <c r="S785" s="165"/>
      <c r="T785" s="166"/>
      <c r="W785" s="199" t="str">
        <f t="shared" si="20"/>
        <v>1w</v>
      </c>
      <c r="X785" s="200">
        <f>_xll.qlCalendarAdvance(Calendar,X784,W785,"f",FALSE)</f>
        <v>44313</v>
      </c>
      <c r="Y785" s="204">
        <f>_xll.qlCalendarAdvance(Calendar,X785,NDays&amp;"D")</f>
        <v>44315</v>
      </c>
      <c r="Z785" s="205">
        <v>3.5640306106393488E-2</v>
      </c>
      <c r="AA785" s="207">
        <v>3.5553225082134432E-2</v>
      </c>
    </row>
    <row r="786" spans="19:27" x14ac:dyDescent="0.2">
      <c r="S786" s="165"/>
      <c r="T786" s="166"/>
      <c r="W786" s="199" t="str">
        <f t="shared" si="20"/>
        <v>1w</v>
      </c>
      <c r="X786" s="200">
        <f>_xll.qlCalendarAdvance(Calendar,X785,W786,"f",FALSE)</f>
        <v>44320</v>
      </c>
      <c r="Y786" s="204">
        <f>_xll.qlCalendarAdvance(Calendar,X786,NDays&amp;"D")</f>
        <v>44322</v>
      </c>
      <c r="Z786" s="205">
        <v>3.5681143289338635E-2</v>
      </c>
      <c r="AA786" s="207">
        <v>3.5578565516125593E-2</v>
      </c>
    </row>
    <row r="787" spans="19:27" x14ac:dyDescent="0.2">
      <c r="S787" s="165"/>
      <c r="T787" s="166"/>
      <c r="W787" s="199" t="str">
        <f t="shared" si="20"/>
        <v>1w</v>
      </c>
      <c r="X787" s="200">
        <f>_xll.qlCalendarAdvance(Calendar,X786,W787,"f",FALSE)</f>
        <v>44327</v>
      </c>
      <c r="Y787" s="204">
        <f>_xll.qlCalendarAdvance(Calendar,X787,NDays&amp;"D")</f>
        <v>44329</v>
      </c>
      <c r="Z787" s="205">
        <v>3.5710186145863354E-2</v>
      </c>
      <c r="AA787" s="207">
        <v>3.5607909086419198E-2</v>
      </c>
    </row>
    <row r="788" spans="19:27" x14ac:dyDescent="0.2">
      <c r="S788" s="165"/>
      <c r="T788" s="166"/>
      <c r="W788" s="199" t="str">
        <f t="shared" si="20"/>
        <v>1w</v>
      </c>
      <c r="X788" s="200">
        <f>_xll.qlCalendarAdvance(Calendar,X787,W788,"f",FALSE)</f>
        <v>44334</v>
      </c>
      <c r="Y788" s="204">
        <f>_xll.qlCalendarAdvance(Calendar,X788,NDays&amp;"D")</f>
        <v>44336</v>
      </c>
      <c r="Z788" s="205">
        <v>3.5738991131427644E-2</v>
      </c>
      <c r="AA788" s="207">
        <v>3.5637015443503728E-2</v>
      </c>
    </row>
    <row r="789" spans="19:27" x14ac:dyDescent="0.2">
      <c r="S789" s="165"/>
      <c r="T789" s="166"/>
      <c r="W789" s="199" t="str">
        <f t="shared" ref="W789:W852" si="21">W788</f>
        <v>1w</v>
      </c>
      <c r="X789" s="200">
        <f>_xll.qlCalendarAdvance(Calendar,X788,W789,"f",FALSE)</f>
        <v>44341</v>
      </c>
      <c r="Y789" s="204">
        <f>_xll.qlCalendarAdvance(Calendar,X789,NDays&amp;"D")</f>
        <v>44343</v>
      </c>
      <c r="Z789" s="205">
        <v>3.576755824421296E-2</v>
      </c>
      <c r="AA789" s="207">
        <v>3.5669989386200029E-2</v>
      </c>
    </row>
    <row r="790" spans="19:27" x14ac:dyDescent="0.2">
      <c r="S790" s="165"/>
      <c r="T790" s="166"/>
      <c r="W790" s="199" t="str">
        <f t="shared" si="21"/>
        <v>1w</v>
      </c>
      <c r="X790" s="200">
        <f>_xll.qlCalendarAdvance(Calendar,X789,W790,"f",FALSE)</f>
        <v>44348</v>
      </c>
      <c r="Y790" s="204">
        <f>_xll.qlCalendarAdvance(Calendar,X790,NDays&amp;"D")</f>
        <v>44350</v>
      </c>
      <c r="Z790" s="205">
        <v>3.5799673507060224E-2</v>
      </c>
      <c r="AA790" s="207">
        <v>3.5694516517486008E-2</v>
      </c>
    </row>
    <row r="791" spans="19:27" x14ac:dyDescent="0.2">
      <c r="S791" s="165"/>
      <c r="T791" s="166"/>
      <c r="W791" s="199" t="str">
        <f t="shared" si="21"/>
        <v>1w</v>
      </c>
      <c r="X791" s="200">
        <f>_xll.qlCalendarAdvance(Calendar,X790,W791,"f",FALSE)</f>
        <v>44355</v>
      </c>
      <c r="Y791" s="204">
        <f>_xll.qlCalendarAdvance(Calendar,X791,NDays&amp;"D")</f>
        <v>44357</v>
      </c>
      <c r="Z791" s="205">
        <v>3.5824016103985223E-2</v>
      </c>
      <c r="AA791" s="207">
        <v>3.5722911234383758E-2</v>
      </c>
    </row>
    <row r="792" spans="19:27" x14ac:dyDescent="0.2">
      <c r="S792" s="165"/>
      <c r="T792" s="166"/>
      <c r="W792" s="199" t="str">
        <f t="shared" si="21"/>
        <v>1w</v>
      </c>
      <c r="X792" s="200">
        <f>_xll.qlCalendarAdvance(Calendar,X791,W792,"f",FALSE)</f>
        <v>44362</v>
      </c>
      <c r="Y792" s="204">
        <f>_xll.qlCalendarAdvance(Calendar,X792,NDays&amp;"D")</f>
        <v>44364</v>
      </c>
      <c r="Z792" s="205">
        <v>3.5851958079885782E-2</v>
      </c>
      <c r="AA792" s="207">
        <v>3.5751068737752689E-2</v>
      </c>
    </row>
    <row r="793" spans="19:27" x14ac:dyDescent="0.2">
      <c r="S793" s="165"/>
      <c r="T793" s="166"/>
      <c r="W793" s="199" t="str">
        <f t="shared" si="21"/>
        <v>1w</v>
      </c>
      <c r="X793" s="200">
        <f>_xll.qlCalendarAdvance(Calendar,X792,W793,"f",FALSE)</f>
        <v>44369</v>
      </c>
      <c r="Y793" s="204">
        <f>_xll.qlCalendarAdvance(Calendar,X793,NDays&amp;"D")</f>
        <v>44371</v>
      </c>
      <c r="Z793" s="205">
        <v>3.5879746011169278E-2</v>
      </c>
      <c r="AA793" s="207">
        <v>3.5778989460766297E-2</v>
      </c>
    </row>
    <row r="794" spans="19:27" x14ac:dyDescent="0.2">
      <c r="S794" s="165"/>
      <c r="T794" s="166"/>
      <c r="W794" s="199" t="str">
        <f t="shared" si="21"/>
        <v>1w</v>
      </c>
      <c r="X794" s="200">
        <f>_xll.qlCalendarAdvance(Calendar,X793,W794,"f",FALSE)</f>
        <v>44376</v>
      </c>
      <c r="Y794" s="204">
        <f>_xll.qlCalendarAdvance(Calendar,X794,NDays&amp;"D")</f>
        <v>44378</v>
      </c>
      <c r="Z794" s="205">
        <v>3.5907407475103681E-2</v>
      </c>
      <c r="AA794" s="207">
        <v>3.5806745311184329E-2</v>
      </c>
    </row>
    <row r="795" spans="19:27" x14ac:dyDescent="0.2">
      <c r="S795" s="165"/>
      <c r="T795" s="166"/>
      <c r="W795" s="199" t="str">
        <f t="shared" si="21"/>
        <v>1w</v>
      </c>
      <c r="X795" s="200">
        <f>_xll.qlCalendarAdvance(Calendar,X794,W795,"f",FALSE)</f>
        <v>44383</v>
      </c>
      <c r="Y795" s="204">
        <f>_xll.qlCalendarAdvance(Calendar,X795,NDays&amp;"D")</f>
        <v>44385</v>
      </c>
      <c r="Z795" s="205">
        <v>3.5934957936960554E-2</v>
      </c>
      <c r="AA795" s="207">
        <v>3.583439130292021E-2</v>
      </c>
    </row>
    <row r="796" spans="19:27" x14ac:dyDescent="0.2">
      <c r="S796" s="165"/>
      <c r="T796" s="166"/>
      <c r="W796" s="199" t="str">
        <f t="shared" si="21"/>
        <v>1w</v>
      </c>
      <c r="X796" s="200">
        <f>_xll.qlCalendarAdvance(Calendar,X795,W796,"f",FALSE)</f>
        <v>44390</v>
      </c>
      <c r="Y796" s="204">
        <f>_xll.qlCalendarAdvance(Calendar,X796,NDays&amp;"D")</f>
        <v>44392</v>
      </c>
      <c r="Z796" s="205">
        <v>3.5962398264975382E-2</v>
      </c>
      <c r="AA796" s="207">
        <v>3.5861927435814067E-2</v>
      </c>
    </row>
    <row r="797" spans="19:27" x14ac:dyDescent="0.2">
      <c r="S797" s="165"/>
      <c r="T797" s="166"/>
      <c r="W797" s="199" t="str">
        <f t="shared" si="21"/>
        <v>1w</v>
      </c>
      <c r="X797" s="200">
        <f>_xll.qlCalendarAdvance(Calendar,X796,W797,"f",FALSE)</f>
        <v>44397</v>
      </c>
      <c r="Y797" s="204">
        <f>_xll.qlCalendarAdvance(Calendar,X797,NDays&amp;"D")</f>
        <v>44399</v>
      </c>
      <c r="Z797" s="205">
        <v>3.5989728458341308E-2</v>
      </c>
      <c r="AA797" s="207">
        <v>3.5889353709945837E-2</v>
      </c>
    </row>
    <row r="798" spans="19:27" x14ac:dyDescent="0.2">
      <c r="S798" s="165"/>
      <c r="T798" s="166"/>
      <c r="W798" s="199" t="str">
        <f t="shared" si="21"/>
        <v>1w</v>
      </c>
      <c r="X798" s="200">
        <f>_xll.qlCalendarAdvance(Calendar,X797,W798,"f",FALSE)</f>
        <v>44404</v>
      </c>
      <c r="Y798" s="204">
        <f>_xll.qlCalendarAdvance(Calendar,X798,NDays&amp;"D")</f>
        <v>44406</v>
      </c>
      <c r="Z798" s="205">
        <v>3.6020682529396685E-2</v>
      </c>
      <c r="AA798" s="207">
        <v>3.591667012531552E-2</v>
      </c>
    </row>
    <row r="799" spans="19:27" x14ac:dyDescent="0.2">
      <c r="S799" s="165"/>
      <c r="T799" s="166"/>
      <c r="W799" s="199" t="str">
        <f t="shared" si="21"/>
        <v>1w</v>
      </c>
      <c r="X799" s="200">
        <f>_xll.qlCalendarAdvance(Calendar,X798,W799,"f",FALSE)</f>
        <v>44411</v>
      </c>
      <c r="Y799" s="204">
        <f>_xll.qlCalendarAdvance(Calendar,X799,NDays&amp;"D")</f>
        <v>44413</v>
      </c>
      <c r="Z799" s="205">
        <v>3.6047787292599054E-2</v>
      </c>
      <c r="AA799" s="207">
        <v>3.5943876681763243E-2</v>
      </c>
    </row>
    <row r="800" spans="19:27" x14ac:dyDescent="0.2">
      <c r="S800" s="165"/>
      <c r="T800" s="166"/>
      <c r="W800" s="199" t="str">
        <f t="shared" si="21"/>
        <v>1w</v>
      </c>
      <c r="X800" s="200">
        <f>_xll.qlCalendarAdvance(Calendar,X799,W800,"f",FALSE)</f>
        <v>44418</v>
      </c>
      <c r="Y800" s="204">
        <f>_xll.qlCalendarAdvance(Calendar,X800,NDays&amp;"D")</f>
        <v>44420</v>
      </c>
      <c r="Z800" s="205">
        <v>3.6071058222577057E-2</v>
      </c>
      <c r="AA800" s="207">
        <v>3.5970973379368942E-2</v>
      </c>
    </row>
    <row r="801" spans="19:27" x14ac:dyDescent="0.2">
      <c r="S801" s="165"/>
      <c r="T801" s="166"/>
      <c r="W801" s="199" t="str">
        <f t="shared" si="21"/>
        <v>1w</v>
      </c>
      <c r="X801" s="200">
        <f>_xll.qlCalendarAdvance(Calendar,X800,W801,"f",FALSE)</f>
        <v>44425</v>
      </c>
      <c r="Y801" s="204">
        <f>_xll.qlCalendarAdvance(Calendar,X801,NDays&amp;"D")</f>
        <v>44427</v>
      </c>
      <c r="Z801" s="205">
        <v>3.6097947869381253E-2</v>
      </c>
      <c r="AA801" s="207">
        <v>3.5997960218132619E-2</v>
      </c>
    </row>
    <row r="802" spans="19:27" x14ac:dyDescent="0.2">
      <c r="S802" s="165"/>
      <c r="T802" s="166"/>
      <c r="W802" s="199" t="str">
        <f t="shared" si="21"/>
        <v>1w</v>
      </c>
      <c r="X802" s="200">
        <f>_xll.qlCalendarAdvance(Calendar,X801,W802,"f",FALSE)</f>
        <v>44432</v>
      </c>
      <c r="Y802" s="204">
        <f>_xll.qlCalendarAdvance(Calendar,X802,NDays&amp;"D")</f>
        <v>44434</v>
      </c>
      <c r="Z802" s="205">
        <v>3.6124727377572219E-2</v>
      </c>
      <c r="AA802" s="207">
        <v>3.6028667798451153E-2</v>
      </c>
    </row>
    <row r="803" spans="19:27" x14ac:dyDescent="0.2">
      <c r="S803" s="165"/>
      <c r="T803" s="166"/>
      <c r="W803" s="199" t="str">
        <f t="shared" si="21"/>
        <v>1w</v>
      </c>
      <c r="X803" s="200">
        <f>_xll.qlCalendarAdvance(Calendar,X802,W803,"f",FALSE)</f>
        <v>44439</v>
      </c>
      <c r="Y803" s="204">
        <f>_xll.qlCalendarAdvance(Calendar,X803,NDays&amp;"D")</f>
        <v>44441</v>
      </c>
      <c r="Z803" s="205">
        <v>3.6151396746360587E-2</v>
      </c>
      <c r="AA803" s="207">
        <v>3.6051604318814157E-2</v>
      </c>
    </row>
    <row r="804" spans="19:27" x14ac:dyDescent="0.2">
      <c r="S804" s="165"/>
      <c r="T804" s="166"/>
      <c r="W804" s="199" t="str">
        <f t="shared" si="21"/>
        <v>1w</v>
      </c>
      <c r="X804" s="200">
        <f>_xll.qlCalendarAdvance(Calendar,X803,W804,"f",FALSE)</f>
        <v>44446</v>
      </c>
      <c r="Y804" s="204">
        <f>_xll.qlCalendarAdvance(Calendar,X804,NDays&amp;"D")</f>
        <v>44448</v>
      </c>
      <c r="Z804" s="205">
        <v>3.6181658901156447E-2</v>
      </c>
      <c r="AA804" s="207">
        <v>3.6078261580732018E-2</v>
      </c>
    </row>
    <row r="805" spans="19:27" x14ac:dyDescent="0.2">
      <c r="S805" s="165"/>
      <c r="T805" s="166"/>
      <c r="W805" s="199" t="str">
        <f t="shared" si="21"/>
        <v>1w</v>
      </c>
      <c r="X805" s="200">
        <f>_xll.qlCalendarAdvance(Calendar,X804,W805,"f",FALSE)</f>
        <v>44453</v>
      </c>
      <c r="Y805" s="204">
        <f>_xll.qlCalendarAdvance(Calendar,X805,NDays&amp;"D")</f>
        <v>44455</v>
      </c>
      <c r="Z805" s="205">
        <v>3.6204405062612022E-2</v>
      </c>
      <c r="AA805" s="207">
        <v>3.6104808983727921E-2</v>
      </c>
    </row>
    <row r="806" spans="19:27" x14ac:dyDescent="0.2">
      <c r="S806" s="165"/>
      <c r="T806" s="166"/>
      <c r="W806" s="199" t="str">
        <f t="shared" si="21"/>
        <v>1w</v>
      </c>
      <c r="X806" s="200">
        <f>_xll.qlCalendarAdvance(Calendar,X805,W806,"f",FALSE)</f>
        <v>44460</v>
      </c>
      <c r="Y806" s="204">
        <f>_xll.qlCalendarAdvance(Calendar,X806,NDays&amp;"D")</f>
        <v>44462</v>
      </c>
      <c r="Z806" s="205">
        <v>3.623074400852383E-2</v>
      </c>
      <c r="AA806" s="207">
        <v>3.6131246527562055E-2</v>
      </c>
    </row>
    <row r="807" spans="19:27" x14ac:dyDescent="0.2">
      <c r="S807" s="165"/>
      <c r="T807" s="166"/>
      <c r="W807" s="199" t="str">
        <f t="shared" si="21"/>
        <v>1w</v>
      </c>
      <c r="X807" s="200">
        <f>_xll.qlCalendarAdvance(Calendar,X806,W807,"f",FALSE)</f>
        <v>44467</v>
      </c>
      <c r="Y807" s="204">
        <f>_xll.qlCalendarAdvance(Calendar,X807,NDays&amp;"D")</f>
        <v>44469</v>
      </c>
      <c r="Z807" s="205">
        <v>3.6245909520516331E-2</v>
      </c>
      <c r="AA807" s="207">
        <v>3.6157574212474231E-2</v>
      </c>
    </row>
    <row r="808" spans="19:27" x14ac:dyDescent="0.2">
      <c r="S808" s="165"/>
      <c r="T808" s="166"/>
      <c r="W808" s="199" t="str">
        <f t="shared" si="21"/>
        <v>1w</v>
      </c>
      <c r="X808" s="200">
        <f>_xll.qlCalendarAdvance(Calendar,X807,W808,"f",FALSE)</f>
        <v>44474</v>
      </c>
      <c r="Y808" s="204">
        <f>_xll.qlCalendarAdvance(Calendar,X808,NDays&amp;"D")</f>
        <v>44476</v>
      </c>
      <c r="Z808" s="205">
        <v>3.6283091472057716E-2</v>
      </c>
      <c r="AA808" s="207">
        <v>3.6183792038304574E-2</v>
      </c>
    </row>
    <row r="809" spans="19:27" x14ac:dyDescent="0.2">
      <c r="S809" s="165"/>
      <c r="T809" s="166"/>
      <c r="W809" s="199" t="str">
        <f t="shared" si="21"/>
        <v>1w</v>
      </c>
      <c r="X809" s="200">
        <f>_xll.qlCalendarAdvance(Calendar,X808,W809,"f",FALSE)</f>
        <v>44481</v>
      </c>
      <c r="Y809" s="204">
        <f>_xll.qlCalendarAdvance(Calendar,X809,NDays&amp;"D")</f>
        <v>44483</v>
      </c>
      <c r="Z809" s="205">
        <v>3.6309099988151017E-2</v>
      </c>
      <c r="AA809" s="207">
        <v>3.6209900005053086E-2</v>
      </c>
    </row>
    <row r="810" spans="19:27" x14ac:dyDescent="0.2">
      <c r="S810" s="165"/>
      <c r="T810" s="166"/>
      <c r="W810" s="199" t="str">
        <f t="shared" si="21"/>
        <v>1w</v>
      </c>
      <c r="X810" s="200">
        <f>_xll.qlCalendarAdvance(Calendar,X809,W810,"f",FALSE)</f>
        <v>44488</v>
      </c>
      <c r="Y810" s="204">
        <f>_xll.qlCalendarAdvance(Calendar,X810,NDays&amp;"D")</f>
        <v>44490</v>
      </c>
      <c r="Z810" s="205">
        <v>3.6334998359438542E-2</v>
      </c>
      <c r="AA810" s="207">
        <v>3.6235898112639831E-2</v>
      </c>
    </row>
    <row r="811" spans="19:27" x14ac:dyDescent="0.2">
      <c r="S811" s="165"/>
      <c r="T811" s="166"/>
      <c r="W811" s="199" t="str">
        <f t="shared" si="21"/>
        <v>1w</v>
      </c>
      <c r="X811" s="200">
        <f>_xll.qlCalendarAdvance(Calendar,X810,W811,"f",FALSE)</f>
        <v>44495</v>
      </c>
      <c r="Y811" s="204">
        <f>_xll.qlCalendarAdvance(Calendar,X811,NDays&amp;"D")</f>
        <v>44497</v>
      </c>
      <c r="Z811" s="205">
        <v>3.6360786585168392E-2</v>
      </c>
      <c r="AA811" s="207">
        <v>3.6261786361144743E-2</v>
      </c>
    </row>
    <row r="812" spans="19:27" x14ac:dyDescent="0.2">
      <c r="S812" s="165"/>
      <c r="T812" s="166"/>
      <c r="W812" s="199" t="str">
        <f t="shared" si="21"/>
        <v>1w</v>
      </c>
      <c r="X812" s="200">
        <f>_xll.qlCalendarAdvance(Calendar,X811,W812,"f",FALSE)</f>
        <v>44502</v>
      </c>
      <c r="Y812" s="204">
        <f>_xll.qlCalendarAdvance(Calendar,X812,NDays&amp;"D")</f>
        <v>44504</v>
      </c>
      <c r="Z812" s="205">
        <v>3.6386464664583673E-2</v>
      </c>
      <c r="AA812" s="207">
        <v>3.6287564750487888E-2</v>
      </c>
    </row>
    <row r="813" spans="19:27" x14ac:dyDescent="0.2">
      <c r="S813" s="165"/>
      <c r="T813" s="166"/>
      <c r="W813" s="199" t="str">
        <f t="shared" si="21"/>
        <v>1w</v>
      </c>
      <c r="X813" s="200">
        <f>_xll.qlCalendarAdvance(Calendar,X812,W813,"f",FALSE)</f>
        <v>44509</v>
      </c>
      <c r="Y813" s="204">
        <f>_xll.qlCalendarAdvance(Calendar,X813,NDays&amp;"D")</f>
        <v>44511</v>
      </c>
      <c r="Z813" s="205">
        <v>3.6412020988616081E-2</v>
      </c>
      <c r="AA813" s="207">
        <v>3.6313233280669266E-2</v>
      </c>
    </row>
    <row r="814" spans="19:27" x14ac:dyDescent="0.2">
      <c r="S814" s="165"/>
      <c r="T814" s="166"/>
      <c r="W814" s="199" t="str">
        <f t="shared" si="21"/>
        <v>1w</v>
      </c>
      <c r="X814" s="200">
        <f>_xll.qlCalendarAdvance(Calendar,X813,W814,"f",FALSE)</f>
        <v>44516</v>
      </c>
      <c r="Y814" s="204">
        <f>_xll.qlCalendarAdvance(Calendar,X814,NDays&amp;"D")</f>
        <v>44518</v>
      </c>
      <c r="Z814" s="205">
        <v>3.6437490381465432E-2</v>
      </c>
      <c r="AA814" s="207">
        <v>3.633879195160894E-2</v>
      </c>
    </row>
    <row r="815" spans="19:27" x14ac:dyDescent="0.2">
      <c r="S815" s="165"/>
      <c r="T815" s="166"/>
      <c r="W815" s="199" t="str">
        <f t="shared" si="21"/>
        <v>1w</v>
      </c>
      <c r="X815" s="200">
        <f>_xll.qlCalendarAdvance(Calendar,X814,W815,"f",FALSE)</f>
        <v>44523</v>
      </c>
      <c r="Y815" s="204">
        <f>_xll.qlCalendarAdvance(Calendar,X815,NDays&amp;"D")</f>
        <v>44525</v>
      </c>
      <c r="Z815" s="205">
        <v>3.6470094430767409E-2</v>
      </c>
      <c r="AA815" s="207">
        <v>3.6364240763386846E-2</v>
      </c>
    </row>
    <row r="816" spans="19:27" x14ac:dyDescent="0.2">
      <c r="S816" s="165"/>
      <c r="T816" s="166"/>
      <c r="W816" s="199" t="str">
        <f t="shared" si="21"/>
        <v>1w</v>
      </c>
      <c r="X816" s="200">
        <f>_xll.qlCalendarAdvance(Calendar,X815,W816,"f",FALSE)</f>
        <v>44530</v>
      </c>
      <c r="Y816" s="204">
        <f>_xll.qlCalendarAdvance(Calendar,X816,NDays&amp;"D")</f>
        <v>44532</v>
      </c>
      <c r="Z816" s="205">
        <v>3.6491715261667584E-2</v>
      </c>
      <c r="AA816" s="207">
        <v>3.6389579715843112E-2</v>
      </c>
    </row>
    <row r="817" spans="19:27" x14ac:dyDescent="0.2">
      <c r="S817" s="165"/>
      <c r="T817" s="166"/>
      <c r="W817" s="199" t="str">
        <f t="shared" si="21"/>
        <v>1w</v>
      </c>
      <c r="X817" s="200">
        <f>_xll.qlCalendarAdvance(Calendar,X816,W817,"f",FALSE)</f>
        <v>44537</v>
      </c>
      <c r="Y817" s="204">
        <f>_xll.qlCalendarAdvance(Calendar,X817,NDays&amp;"D")</f>
        <v>44539</v>
      </c>
      <c r="Z817" s="205">
        <v>3.6513202840722514E-2</v>
      </c>
      <c r="AA817" s="207">
        <v>3.6414808808977739E-2</v>
      </c>
    </row>
    <row r="818" spans="19:27" x14ac:dyDescent="0.2">
      <c r="S818" s="165"/>
      <c r="T818" s="166"/>
      <c r="W818" s="199" t="str">
        <f t="shared" si="21"/>
        <v>1w</v>
      </c>
      <c r="X818" s="200">
        <f>_xll.qlCalendarAdvance(Calendar,X817,W818,"f",FALSE)</f>
        <v>44544</v>
      </c>
      <c r="Y818" s="204">
        <f>_xll.qlCalendarAdvance(Calendar,X818,NDays&amp;"D")</f>
        <v>44546</v>
      </c>
      <c r="Z818" s="205">
        <v>3.6541849124885999E-2</v>
      </c>
      <c r="AA818" s="207">
        <v>3.6439928042950598E-2</v>
      </c>
    </row>
    <row r="819" spans="19:27" x14ac:dyDescent="0.2">
      <c r="S819" s="165"/>
      <c r="T819" s="166"/>
      <c r="W819" s="199" t="str">
        <f t="shared" si="21"/>
        <v>1w</v>
      </c>
      <c r="X819" s="200">
        <f>_xll.qlCalendarAdvance(Calendar,X818,W819,"f",FALSE)</f>
        <v>44551</v>
      </c>
      <c r="Y819" s="204">
        <f>_xll.qlCalendarAdvance(Calendar,X819,NDays&amp;"D")</f>
        <v>44553</v>
      </c>
      <c r="Z819" s="205">
        <v>3.6563127060897926E-2</v>
      </c>
      <c r="AA819" s="207">
        <v>3.6472062774866032E-2</v>
      </c>
    </row>
    <row r="820" spans="19:27" x14ac:dyDescent="0.2">
      <c r="S820" s="165"/>
      <c r="T820" s="166"/>
      <c r="W820" s="199" t="str">
        <f t="shared" si="21"/>
        <v>1w</v>
      </c>
      <c r="X820" s="200">
        <f>_xll.qlCalendarAdvance(Calendar,X819,W820,"f",FALSE)</f>
        <v>44559</v>
      </c>
      <c r="Y820" s="204">
        <f>_xll.qlCalendarAdvance(Calendar,X820,NDays&amp;"D")</f>
        <v>44561</v>
      </c>
      <c r="Z820" s="205">
        <v>3.6601953722512771E-2</v>
      </c>
      <c r="AA820" s="207">
        <v>3.6496930901783742E-2</v>
      </c>
    </row>
    <row r="821" spans="19:27" x14ac:dyDescent="0.2">
      <c r="S821" s="165"/>
      <c r="T821" s="166"/>
      <c r="W821" s="199" t="str">
        <f t="shared" si="21"/>
        <v>1w</v>
      </c>
      <c r="X821" s="200">
        <f>_xll.qlCalendarAdvance(Calendar,X820,W821,"f",FALSE)</f>
        <v>44566</v>
      </c>
      <c r="Y821" s="204">
        <f>_xll.qlCalendarAdvance(Calendar,X821,NDays&amp;"D")</f>
        <v>44568</v>
      </c>
      <c r="Z821" s="205">
        <v>3.6612515816682366E-2</v>
      </c>
      <c r="AA821" s="207">
        <v>3.651815899994304E-2</v>
      </c>
    </row>
    <row r="822" spans="19:27" x14ac:dyDescent="0.2">
      <c r="S822" s="165"/>
      <c r="T822" s="166"/>
      <c r="W822" s="199" t="str">
        <f t="shared" si="21"/>
        <v>1w</v>
      </c>
      <c r="X822" s="200">
        <f>_xll.qlCalendarAdvance(Calendar,X821,W822,"f",FALSE)</f>
        <v>44573</v>
      </c>
      <c r="Y822" s="204">
        <f>_xll.qlCalendarAdvance(Calendar,X822,NDays&amp;"D")</f>
        <v>44575</v>
      </c>
      <c r="Z822" s="205">
        <v>3.6637082028529069E-2</v>
      </c>
      <c r="AA822" s="207">
        <v>3.6542823102223565E-2</v>
      </c>
    </row>
    <row r="823" spans="19:27" x14ac:dyDescent="0.2">
      <c r="S823" s="165"/>
      <c r="T823" s="166"/>
      <c r="W823" s="199" t="str">
        <f t="shared" si="21"/>
        <v>1w</v>
      </c>
      <c r="X823" s="200">
        <f>_xll.qlCalendarAdvance(Calendar,X822,W823,"f",FALSE)</f>
        <v>44580</v>
      </c>
      <c r="Y823" s="204">
        <f>_xll.qlCalendarAdvance(Calendar,X823,NDays&amp;"D")</f>
        <v>44582</v>
      </c>
      <c r="Z823" s="205">
        <v>3.6665139879333009E-2</v>
      </c>
      <c r="AA823" s="207">
        <v>3.656737734518245E-2</v>
      </c>
    </row>
    <row r="824" spans="19:27" x14ac:dyDescent="0.2">
      <c r="S824" s="165"/>
      <c r="T824" s="166"/>
      <c r="W824" s="199" t="str">
        <f t="shared" si="21"/>
        <v>1w</v>
      </c>
      <c r="X824" s="200">
        <f>_xll.qlCalendarAdvance(Calendar,X823,W824,"f",FALSE)</f>
        <v>44587</v>
      </c>
      <c r="Y824" s="204">
        <f>_xll.qlCalendarAdvance(Calendar,X824,NDays&amp;"D")</f>
        <v>44589</v>
      </c>
      <c r="Z824" s="205">
        <v>3.6685884016726733E-2</v>
      </c>
      <c r="AA824" s="207">
        <v>3.6591821728579887E-2</v>
      </c>
    </row>
    <row r="825" spans="19:27" x14ac:dyDescent="0.2">
      <c r="S825" s="165"/>
      <c r="T825" s="166"/>
      <c r="W825" s="199" t="str">
        <f t="shared" si="21"/>
        <v>1w</v>
      </c>
      <c r="X825" s="200">
        <f>_xll.qlCalendarAdvance(Calendar,X824,W825,"f",FALSE)</f>
        <v>44594</v>
      </c>
      <c r="Y825" s="204">
        <f>_xll.qlCalendarAdvance(Calendar,X825,NDays&amp;"D")</f>
        <v>44596</v>
      </c>
      <c r="Z825" s="205">
        <v>3.6699345189243573E-2</v>
      </c>
      <c r="AA825" s="207">
        <v>3.6616156252575749E-2</v>
      </c>
    </row>
    <row r="826" spans="19:27" x14ac:dyDescent="0.2">
      <c r="S826" s="165"/>
      <c r="T826" s="166"/>
      <c r="W826" s="199" t="str">
        <f t="shared" si="21"/>
        <v>1w</v>
      </c>
      <c r="X826" s="200">
        <f>_xll.qlCalendarAdvance(Calendar,X825,W826,"f",FALSE)</f>
        <v>44601</v>
      </c>
      <c r="Y826" s="204">
        <f>_xll.qlCalendarAdvance(Calendar,X826,NDays&amp;"D")</f>
        <v>44603</v>
      </c>
      <c r="Z826" s="205">
        <v>3.6723487043944632E-2</v>
      </c>
      <c r="AA826" s="207">
        <v>3.6640380917090098E-2</v>
      </c>
    </row>
    <row r="827" spans="19:27" x14ac:dyDescent="0.2">
      <c r="S827" s="165"/>
      <c r="T827" s="166"/>
      <c r="W827" s="199" t="str">
        <f t="shared" si="21"/>
        <v>1w</v>
      </c>
      <c r="X827" s="200">
        <f>_xll.qlCalendarAdvance(Calendar,X826,W827,"f",FALSE)</f>
        <v>44608</v>
      </c>
      <c r="Y827" s="204">
        <f>_xll.qlCalendarAdvance(Calendar,X827,NDays&amp;"D")</f>
        <v>44610</v>
      </c>
      <c r="Z827" s="205">
        <v>3.6747518779937254E-2</v>
      </c>
      <c r="AA827" s="207">
        <v>3.6664495722043E-2</v>
      </c>
    </row>
    <row r="828" spans="19:27" x14ac:dyDescent="0.2">
      <c r="S828" s="165"/>
      <c r="T828" s="166"/>
      <c r="W828" s="199" t="str">
        <f t="shared" si="21"/>
        <v>1w</v>
      </c>
      <c r="X828" s="200">
        <f>_xll.qlCalendarAdvance(Calendar,X827,W828,"f",FALSE)</f>
        <v>44615</v>
      </c>
      <c r="Y828" s="204">
        <f>_xll.qlCalendarAdvance(Calendar,X828,NDays&amp;"D")</f>
        <v>44617</v>
      </c>
      <c r="Z828" s="205">
        <v>3.6771440396601927E-2</v>
      </c>
      <c r="AA828" s="207">
        <v>3.6688500667594326E-2</v>
      </c>
    </row>
    <row r="829" spans="19:27" x14ac:dyDescent="0.2">
      <c r="S829" s="165"/>
      <c r="T829" s="166"/>
      <c r="W829" s="199" t="str">
        <f t="shared" si="21"/>
        <v>1w</v>
      </c>
      <c r="X829" s="200">
        <f>_xll.qlCalendarAdvance(Calendar,X828,W829,"f",FALSE)</f>
        <v>44622</v>
      </c>
      <c r="Y829" s="204">
        <f>_xll.qlCalendarAdvance(Calendar,X829,NDays&amp;"D")</f>
        <v>44624</v>
      </c>
      <c r="Z829" s="205">
        <v>3.6805961414681884E-2</v>
      </c>
      <c r="AA829" s="207">
        <v>3.6712395753504268E-2</v>
      </c>
    </row>
    <row r="830" spans="19:27" x14ac:dyDescent="0.2">
      <c r="S830" s="165"/>
      <c r="T830" s="166"/>
      <c r="W830" s="199" t="str">
        <f t="shared" si="21"/>
        <v>1w</v>
      </c>
      <c r="X830" s="200">
        <f>_xll.qlCalendarAdvance(Calendar,X829,W830,"f",FALSE)</f>
        <v>44629</v>
      </c>
      <c r="Y830" s="204">
        <f>_xll.qlCalendarAdvance(Calendar,X830,NDays&amp;"D")</f>
        <v>44631</v>
      </c>
      <c r="Z830" s="205">
        <v>3.6829646447808916E-2</v>
      </c>
      <c r="AA830" s="207">
        <v>3.6736180979852762E-2</v>
      </c>
    </row>
    <row r="831" spans="19:27" x14ac:dyDescent="0.2">
      <c r="S831" s="165"/>
      <c r="T831" s="166"/>
      <c r="W831" s="199" t="str">
        <f t="shared" si="21"/>
        <v>1w</v>
      </c>
      <c r="X831" s="200">
        <f>_xll.qlCalendarAdvance(Calendar,X830,W831,"f",FALSE)</f>
        <v>44636</v>
      </c>
      <c r="Y831" s="204">
        <f>_xll.qlCalendarAdvance(Calendar,X831,NDays&amp;"D")</f>
        <v>44638</v>
      </c>
      <c r="Z831" s="205">
        <v>3.6856779708566156E-2</v>
      </c>
      <c r="AA831" s="207">
        <v>3.6759856346639808E-2</v>
      </c>
    </row>
    <row r="832" spans="19:27" x14ac:dyDescent="0.2">
      <c r="S832" s="165"/>
      <c r="T832" s="166"/>
      <c r="W832" s="199" t="str">
        <f t="shared" si="21"/>
        <v>1w</v>
      </c>
      <c r="X832" s="200">
        <f>_xll.qlCalendarAdvance(Calendar,X831,W832,"f",FALSE)</f>
        <v>44643</v>
      </c>
      <c r="Y832" s="204">
        <f>_xll.qlCalendarAdvance(Calendar,X832,NDays&amp;"D")</f>
        <v>44645</v>
      </c>
      <c r="Z832" s="205">
        <v>3.6876686062203561E-2</v>
      </c>
      <c r="AA832" s="207">
        <v>3.678342185378547E-2</v>
      </c>
    </row>
    <row r="833" spans="19:27" x14ac:dyDescent="0.2">
      <c r="S833" s="165"/>
      <c r="T833" s="166"/>
      <c r="W833" s="199" t="str">
        <f t="shared" si="21"/>
        <v>1w</v>
      </c>
      <c r="X833" s="200">
        <f>_xll.qlCalendarAdvance(Calendar,X832,W833,"f",FALSE)</f>
        <v>44650</v>
      </c>
      <c r="Y833" s="204">
        <f>_xll.qlCalendarAdvance(Calendar,X833,NDays&amp;"D")</f>
        <v>44652</v>
      </c>
      <c r="Z833" s="205">
        <v>3.6903588071364457E-2</v>
      </c>
      <c r="AA833" s="207">
        <v>3.6806877501289748E-2</v>
      </c>
    </row>
    <row r="834" spans="19:27" x14ac:dyDescent="0.2">
      <c r="S834" s="165"/>
      <c r="T834" s="166"/>
      <c r="W834" s="199" t="str">
        <f t="shared" si="21"/>
        <v>1w</v>
      </c>
      <c r="X834" s="200">
        <f>_xll.qlCalendarAdvance(Calendar,X833,W834,"f",FALSE)</f>
        <v>44657</v>
      </c>
      <c r="Y834" s="204">
        <f>_xll.qlCalendarAdvance(Calendar,X834,NDays&amp;"D")</f>
        <v>44659</v>
      </c>
      <c r="Z834" s="205">
        <v>3.6923285069671768E-2</v>
      </c>
      <c r="AA834" s="207">
        <v>3.6830223289232578E-2</v>
      </c>
    </row>
    <row r="835" spans="19:27" x14ac:dyDescent="0.2">
      <c r="S835" s="165"/>
      <c r="T835" s="166"/>
      <c r="W835" s="199" t="str">
        <f t="shared" si="21"/>
        <v>1w</v>
      </c>
      <c r="X835" s="200">
        <f>_xll.qlCalendarAdvance(Calendar,X834,W835,"f",FALSE)</f>
        <v>44664</v>
      </c>
      <c r="Y835" s="204">
        <f>_xll.qlCalendarAdvance(Calendar,X835,NDays&amp;"D")</f>
        <v>44670</v>
      </c>
      <c r="Z835" s="205">
        <v>3.6956055894333595E-2</v>
      </c>
      <c r="AA835" s="207">
        <v>3.6860077875795483E-2</v>
      </c>
    </row>
    <row r="836" spans="19:27" x14ac:dyDescent="0.2">
      <c r="S836" s="165"/>
      <c r="T836" s="166"/>
      <c r="W836" s="199" t="str">
        <f t="shared" si="21"/>
        <v>1w</v>
      </c>
      <c r="X836" s="200">
        <f>_xll.qlCalendarAdvance(Calendar,X835,W836,"f",FALSE)</f>
        <v>44671</v>
      </c>
      <c r="Y836" s="204">
        <f>_xll.qlCalendarAdvance(Calendar,X836,NDays&amp;"D")</f>
        <v>44673</v>
      </c>
      <c r="Z836" s="205">
        <v>3.6969443464930044E-2</v>
      </c>
      <c r="AA836" s="207">
        <v>3.6876585285874341E-2</v>
      </c>
    </row>
    <row r="837" spans="19:27" x14ac:dyDescent="0.2">
      <c r="S837" s="165"/>
      <c r="T837" s="166"/>
      <c r="W837" s="199" t="str">
        <f t="shared" si="21"/>
        <v>1w</v>
      </c>
      <c r="X837" s="200">
        <f>_xll.qlCalendarAdvance(Calendar,X836,W837,"f",FALSE)</f>
        <v>44678</v>
      </c>
      <c r="Y837" s="204">
        <f>_xll.qlCalendarAdvance(Calendar,X837,NDays&amp;"D")</f>
        <v>44680</v>
      </c>
      <c r="Z837" s="205">
        <v>3.699588284498817E-2</v>
      </c>
      <c r="AA837" s="207">
        <v>3.6902880556395345E-2</v>
      </c>
    </row>
    <row r="838" spans="19:27" x14ac:dyDescent="0.2">
      <c r="S838" s="165"/>
      <c r="T838" s="166"/>
      <c r="W838" s="199" t="str">
        <f t="shared" si="21"/>
        <v>1w</v>
      </c>
      <c r="X838" s="200">
        <f>_xll.qlCalendarAdvance(Calendar,X837,W838,"f",FALSE)</f>
        <v>44685</v>
      </c>
      <c r="Y838" s="204">
        <f>_xll.qlCalendarAdvance(Calendar,X838,NDays&amp;"D")</f>
        <v>44687</v>
      </c>
      <c r="Z838" s="205">
        <v>3.7015161242736107E-2</v>
      </c>
      <c r="AA838" s="207">
        <v>3.6922507843710761E-2</v>
      </c>
    </row>
    <row r="839" spans="19:27" x14ac:dyDescent="0.2">
      <c r="S839" s="165"/>
      <c r="T839" s="166"/>
      <c r="W839" s="199" t="str">
        <f t="shared" si="21"/>
        <v>1w</v>
      </c>
      <c r="X839" s="200">
        <f>_xll.qlCalendarAdvance(Calendar,X838,W839,"f",FALSE)</f>
        <v>44692</v>
      </c>
      <c r="Y839" s="204">
        <f>_xll.qlCalendarAdvance(Calendar,X839,NDays&amp;"D")</f>
        <v>44694</v>
      </c>
      <c r="Z839" s="205">
        <v>3.7037854898472639E-2</v>
      </c>
      <c r="AA839" s="207">
        <v>3.6945304332967055E-2</v>
      </c>
    </row>
    <row r="840" spans="19:27" x14ac:dyDescent="0.2">
      <c r="S840" s="165"/>
      <c r="T840" s="166"/>
      <c r="W840" s="199" t="str">
        <f t="shared" si="21"/>
        <v>1w</v>
      </c>
      <c r="X840" s="200">
        <f>_xll.qlCalendarAdvance(Calendar,X839,W840,"f",FALSE)</f>
        <v>44699</v>
      </c>
      <c r="Y840" s="204">
        <f>_xll.qlCalendarAdvance(Calendar,X840,NDays&amp;"D")</f>
        <v>44701</v>
      </c>
      <c r="Z840" s="205">
        <v>3.7060438397904447E-2</v>
      </c>
      <c r="AA840" s="207">
        <v>3.6967990962502029E-2</v>
      </c>
    </row>
    <row r="841" spans="19:27" x14ac:dyDescent="0.2">
      <c r="S841" s="165"/>
      <c r="T841" s="166"/>
      <c r="W841" s="199" t="str">
        <f t="shared" si="21"/>
        <v>1w</v>
      </c>
      <c r="X841" s="200">
        <f>_xll.qlCalendarAdvance(Calendar,X840,W841,"f",FALSE)</f>
        <v>44706</v>
      </c>
      <c r="Y841" s="204">
        <f>_xll.qlCalendarAdvance(Calendar,X841,NDays&amp;"D")</f>
        <v>44708</v>
      </c>
      <c r="Z841" s="205">
        <v>3.7082911740389461E-2</v>
      </c>
      <c r="AA841" s="207">
        <v>3.6993784016834397E-2</v>
      </c>
    </row>
    <row r="842" spans="19:27" x14ac:dyDescent="0.2">
      <c r="S842" s="165"/>
      <c r="T842" s="166"/>
      <c r="W842" s="199" t="str">
        <f t="shared" si="21"/>
        <v>1w</v>
      </c>
      <c r="X842" s="200">
        <f>_xll.qlCalendarAdvance(Calendar,X841,W842,"f",FALSE)</f>
        <v>44713</v>
      </c>
      <c r="Y842" s="204">
        <f>_xll.qlCalendarAdvance(Calendar,X842,NDays&amp;"D")</f>
        <v>44715</v>
      </c>
      <c r="Z842" s="205">
        <v>3.7108771322101886E-2</v>
      </c>
      <c r="AA842" s="207">
        <v>3.7013034642088272E-2</v>
      </c>
    </row>
    <row r="843" spans="19:27" x14ac:dyDescent="0.2">
      <c r="S843" s="165"/>
      <c r="T843" s="166"/>
      <c r="W843" s="199" t="str">
        <f t="shared" si="21"/>
        <v>1w</v>
      </c>
      <c r="X843" s="200">
        <f>_xll.qlCalendarAdvance(Calendar,X842,W843,"f",FALSE)</f>
        <v>44720</v>
      </c>
      <c r="Y843" s="204">
        <f>_xll.qlCalendarAdvance(Calendar,X843,NDays&amp;"D")</f>
        <v>44722</v>
      </c>
      <c r="Z843" s="205">
        <v>3.7127520902377031E-2</v>
      </c>
      <c r="AA843" s="207">
        <v>3.7035391692139541E-2</v>
      </c>
    </row>
    <row r="844" spans="19:27" x14ac:dyDescent="0.2">
      <c r="S844" s="165"/>
      <c r="T844" s="166"/>
      <c r="W844" s="199" t="str">
        <f t="shared" si="21"/>
        <v>1w</v>
      </c>
      <c r="X844" s="200">
        <f>_xll.qlCalendarAdvance(Calendar,X843,W844,"f",FALSE)</f>
        <v>44727</v>
      </c>
      <c r="Y844" s="204">
        <f>_xll.qlCalendarAdvance(Calendar,X844,NDays&amp;"D")</f>
        <v>44729</v>
      </c>
      <c r="Z844" s="205">
        <v>3.714964702737631E-2</v>
      </c>
      <c r="AA844" s="207">
        <v>3.7057638882309618E-2</v>
      </c>
    </row>
    <row r="845" spans="19:27" x14ac:dyDescent="0.2">
      <c r="S845" s="165"/>
      <c r="T845" s="166"/>
      <c r="W845" s="199" t="str">
        <f t="shared" si="21"/>
        <v>1w</v>
      </c>
      <c r="X845" s="200">
        <f>_xll.qlCalendarAdvance(Calendar,X844,W845,"f",FALSE)</f>
        <v>44734</v>
      </c>
      <c r="Y845" s="204">
        <f>_xll.qlCalendarAdvance(Calendar,X845,NDays&amp;"D")</f>
        <v>44736</v>
      </c>
      <c r="Z845" s="205">
        <v>3.7171647131179542E-2</v>
      </c>
      <c r="AA845" s="207">
        <v>3.7079775656803093E-2</v>
      </c>
    </row>
    <row r="846" spans="19:27" x14ac:dyDescent="0.2">
      <c r="S846" s="165"/>
      <c r="T846" s="166"/>
      <c r="W846" s="199" t="str">
        <f t="shared" si="21"/>
        <v>1w</v>
      </c>
      <c r="X846" s="200">
        <f>_xll.qlCalendarAdvance(Calendar,X845,W846,"f",FALSE)</f>
        <v>44741</v>
      </c>
      <c r="Y846" s="204">
        <f>_xll.qlCalendarAdvance(Calendar,X846,NDays&amp;"D")</f>
        <v>44743</v>
      </c>
      <c r="Z846" s="205">
        <v>3.7193516090269614E-2</v>
      </c>
      <c r="AA846" s="207">
        <v>3.7101786453908048E-2</v>
      </c>
    </row>
    <row r="847" spans="19:27" x14ac:dyDescent="0.2">
      <c r="S847" s="165"/>
      <c r="T847" s="166"/>
      <c r="W847" s="199" t="str">
        <f t="shared" si="21"/>
        <v>1w</v>
      </c>
      <c r="X847" s="200">
        <f>_xll.qlCalendarAdvance(Calendar,X846,W847,"f",FALSE)</f>
        <v>44748</v>
      </c>
      <c r="Y847" s="204">
        <f>_xll.qlCalendarAdvance(Calendar,X847,NDays&amp;"D")</f>
        <v>44750</v>
      </c>
      <c r="Z847" s="205">
        <v>3.7215251542889294E-2</v>
      </c>
      <c r="AA847" s="207">
        <v>3.7123664048603899E-2</v>
      </c>
    </row>
    <row r="848" spans="19:27" x14ac:dyDescent="0.2">
      <c r="S848" s="165"/>
      <c r="T848" s="166"/>
      <c r="W848" s="199" t="str">
        <f t="shared" si="21"/>
        <v>1w</v>
      </c>
      <c r="X848" s="200">
        <f>_xll.qlCalendarAdvance(Calendar,X847,W848,"f",FALSE)</f>
        <v>44755</v>
      </c>
      <c r="Y848" s="204">
        <f>_xll.qlCalendarAdvance(Calendar,X848,NDays&amp;"D")</f>
        <v>44757</v>
      </c>
      <c r="Z848" s="205">
        <v>3.7236853418926914E-2</v>
      </c>
      <c r="AA848" s="207">
        <v>3.7145408440890648E-2</v>
      </c>
    </row>
    <row r="849" spans="19:27" x14ac:dyDescent="0.2">
      <c r="S849" s="165"/>
      <c r="T849" s="166"/>
      <c r="W849" s="199" t="str">
        <f t="shared" si="21"/>
        <v>1w</v>
      </c>
      <c r="X849" s="200">
        <f>_xll.qlCalendarAdvance(Calendar,X848,W849,"f",FALSE)</f>
        <v>44762</v>
      </c>
      <c r="Y849" s="204">
        <f>_xll.qlCalendarAdvance(Calendar,X849,NDays&amp;"D")</f>
        <v>44764</v>
      </c>
      <c r="Z849" s="205">
        <v>3.7258321717639854E-2</v>
      </c>
      <c r="AA849" s="207">
        <v>3.7167019630608422E-2</v>
      </c>
    </row>
    <row r="850" spans="19:27" x14ac:dyDescent="0.2">
      <c r="S850" s="165"/>
      <c r="T850" s="166"/>
      <c r="W850" s="199" t="str">
        <f t="shared" si="21"/>
        <v>1w</v>
      </c>
      <c r="X850" s="200">
        <f>_xll.qlCalendarAdvance(Calendar,X849,W850,"f",FALSE)</f>
        <v>44769</v>
      </c>
      <c r="Y850" s="204">
        <f>_xll.qlCalendarAdvance(Calendar,X850,NDays&amp;"D")</f>
        <v>44771</v>
      </c>
      <c r="Z850" s="205">
        <v>3.7286536054277751E-2</v>
      </c>
      <c r="AA850" s="207">
        <v>3.7188497617837157E-2</v>
      </c>
    </row>
    <row r="851" spans="19:27" x14ac:dyDescent="0.2">
      <c r="S851" s="165"/>
      <c r="T851" s="166"/>
      <c r="W851" s="199" t="str">
        <f t="shared" si="21"/>
        <v>1w</v>
      </c>
      <c r="X851" s="200">
        <f>_xll.qlCalendarAdvance(Calendar,X850,W851,"f",FALSE)</f>
        <v>44776</v>
      </c>
      <c r="Y851" s="204">
        <f>_xll.qlCalendarAdvance(Calendar,X851,NDays&amp;"D")</f>
        <v>44778</v>
      </c>
      <c r="Z851" s="205">
        <v>3.7304290270228635E-2</v>
      </c>
      <c r="AA851" s="207">
        <v>3.7209842402496918E-2</v>
      </c>
    </row>
    <row r="852" spans="19:27" x14ac:dyDescent="0.2">
      <c r="S852" s="165"/>
      <c r="T852" s="166"/>
      <c r="W852" s="199" t="str">
        <f t="shared" si="21"/>
        <v>1w</v>
      </c>
      <c r="X852" s="200">
        <f>_xll.qlCalendarAdvance(Calendar,X851,W852,"f",FALSE)</f>
        <v>44783</v>
      </c>
      <c r="Y852" s="204">
        <f>_xll.qlCalendarAdvance(Calendar,X852,NDays&amp;"D")</f>
        <v>44785</v>
      </c>
      <c r="Z852" s="205">
        <v>3.7321925142463547E-2</v>
      </c>
      <c r="AA852" s="207">
        <v>3.7231053984587703E-2</v>
      </c>
    </row>
    <row r="853" spans="19:27" x14ac:dyDescent="0.2">
      <c r="S853" s="165"/>
      <c r="T853" s="166"/>
      <c r="W853" s="199" t="str">
        <f t="shared" ref="W853:W916" si="22">W852</f>
        <v>1w</v>
      </c>
      <c r="X853" s="200">
        <f>_xll.qlCalendarAdvance(Calendar,X852,W853,"f",FALSE)</f>
        <v>44790</v>
      </c>
      <c r="Y853" s="204">
        <f>_xll.qlCalendarAdvance(Calendar,X853,NDays&amp;"D")</f>
        <v>44792</v>
      </c>
      <c r="Z853" s="205">
        <v>3.7342859124533945E-2</v>
      </c>
      <c r="AA853" s="207">
        <v>3.7252132364109514E-2</v>
      </c>
    </row>
    <row r="854" spans="19:27" x14ac:dyDescent="0.2">
      <c r="S854" s="165"/>
      <c r="T854" s="166"/>
      <c r="W854" s="199" t="str">
        <f t="shared" si="22"/>
        <v>1w</v>
      </c>
      <c r="X854" s="200">
        <f>_xll.qlCalendarAdvance(Calendar,X853,W854,"f",FALSE)</f>
        <v>44797</v>
      </c>
      <c r="Y854" s="204">
        <f>_xll.qlCalendarAdvance(Calendar,X854,NDays&amp;"D")</f>
        <v>44799</v>
      </c>
      <c r="Z854" s="205">
        <v>3.7363659525630963E-2</v>
      </c>
      <c r="AA854" s="207">
        <v>3.7276058835473691E-2</v>
      </c>
    </row>
    <row r="855" spans="19:27" x14ac:dyDescent="0.2">
      <c r="S855" s="165"/>
      <c r="T855" s="166"/>
      <c r="W855" s="199" t="str">
        <f t="shared" si="22"/>
        <v>1w</v>
      </c>
      <c r="X855" s="200">
        <f>_xll.qlCalendarAdvance(Calendar,X854,W855,"f",FALSE)</f>
        <v>44804</v>
      </c>
      <c r="Y855" s="204">
        <f>_xll.qlCalendarAdvance(Calendar,X855,NDays&amp;"D")</f>
        <v>44806</v>
      </c>
      <c r="Z855" s="205">
        <v>3.7384326345042906E-2</v>
      </c>
      <c r="AA855" s="207">
        <v>3.7293889515286338E-2</v>
      </c>
    </row>
    <row r="856" spans="19:27" x14ac:dyDescent="0.2">
      <c r="S856" s="165"/>
      <c r="T856" s="166"/>
      <c r="W856" s="199" t="str">
        <f t="shared" si="22"/>
        <v>1w</v>
      </c>
      <c r="X856" s="200">
        <f>_xll.qlCalendarAdvance(Calendar,X855,W856,"f",FALSE)</f>
        <v>44811</v>
      </c>
      <c r="Y856" s="204">
        <f>_xll.qlCalendarAdvance(Calendar,X856,NDays&amp;"D")</f>
        <v>44813</v>
      </c>
      <c r="Z856" s="205">
        <v>3.7408255334211438E-2</v>
      </c>
      <c r="AA856" s="207">
        <v>3.7314568286941352E-2</v>
      </c>
    </row>
    <row r="857" spans="19:27" x14ac:dyDescent="0.2">
      <c r="S857" s="165"/>
      <c r="T857" s="166"/>
      <c r="W857" s="199" t="str">
        <f t="shared" si="22"/>
        <v>1w</v>
      </c>
      <c r="X857" s="200">
        <f>_xll.qlCalendarAdvance(Calendar,X856,W857,"f",FALSE)</f>
        <v>44818</v>
      </c>
      <c r="Y857" s="204">
        <f>_xll.qlCalendarAdvance(Calendar,X857,NDays&amp;"D")</f>
        <v>44820</v>
      </c>
      <c r="Z857" s="205">
        <v>3.7425259235962266E-2</v>
      </c>
      <c r="AA857" s="207">
        <v>3.7335113855787583E-2</v>
      </c>
    </row>
    <row r="858" spans="19:27" x14ac:dyDescent="0.2">
      <c r="S858" s="165"/>
      <c r="T858" s="166"/>
      <c r="W858" s="199" t="str">
        <f t="shared" si="22"/>
        <v>1w</v>
      </c>
      <c r="X858" s="200">
        <f>_xll.qlCalendarAdvance(Calendar,X857,W858,"f",FALSE)</f>
        <v>44825</v>
      </c>
      <c r="Y858" s="204">
        <f>_xll.qlCalendarAdvance(Calendar,X858,NDays&amp;"D")</f>
        <v>44827</v>
      </c>
      <c r="Z858" s="205">
        <v>3.7445525306059192E-2</v>
      </c>
      <c r="AA858" s="207">
        <v>3.7355526221984903E-2</v>
      </c>
    </row>
    <row r="859" spans="19:27" x14ac:dyDescent="0.2">
      <c r="S859" s="165"/>
      <c r="T859" s="166"/>
      <c r="W859" s="199" t="str">
        <f t="shared" si="22"/>
        <v>1w</v>
      </c>
      <c r="X859" s="200">
        <f>_xll.qlCalendarAdvance(Calendar,X858,W859,"f",FALSE)</f>
        <v>44832</v>
      </c>
      <c r="Y859" s="204">
        <f>_xll.qlCalendarAdvance(Calendar,X859,NDays&amp;"D")</f>
        <v>44834</v>
      </c>
      <c r="Z859" s="205">
        <v>3.7465657791652653E-2</v>
      </c>
      <c r="AA859" s="207">
        <v>3.7375805385533312E-2</v>
      </c>
    </row>
    <row r="860" spans="19:27" x14ac:dyDescent="0.2">
      <c r="S860" s="165"/>
      <c r="T860" s="166"/>
      <c r="W860" s="199" t="str">
        <f t="shared" si="22"/>
        <v>1w</v>
      </c>
      <c r="X860" s="200">
        <f>_xll.qlCalendarAdvance(Calendar,X859,W860,"f",FALSE)</f>
        <v>44839</v>
      </c>
      <c r="Y860" s="204">
        <f>_xll.qlCalendarAdvance(Calendar,X860,NDays&amp;"D")</f>
        <v>44841</v>
      </c>
      <c r="Z860" s="205">
        <v>3.7485656692049021E-2</v>
      </c>
      <c r="AA860" s="207">
        <v>3.7395951346272938E-2</v>
      </c>
    </row>
    <row r="861" spans="19:27" x14ac:dyDescent="0.2">
      <c r="S861" s="165"/>
      <c r="T861" s="166"/>
      <c r="W861" s="199" t="str">
        <f t="shared" si="22"/>
        <v>1w</v>
      </c>
      <c r="X861" s="200">
        <f>_xll.qlCalendarAdvance(Calendar,X860,W861,"f",FALSE)</f>
        <v>44846</v>
      </c>
      <c r="Y861" s="204">
        <f>_xll.qlCalendarAdvance(Calendar,X861,NDays&amp;"D")</f>
        <v>44848</v>
      </c>
      <c r="Z861" s="205">
        <v>3.7505522006559815E-2</v>
      </c>
      <c r="AA861" s="207">
        <v>3.741596410420378E-2</v>
      </c>
    </row>
    <row r="862" spans="19:27" x14ac:dyDescent="0.2">
      <c r="S862" s="165"/>
      <c r="T862" s="166"/>
      <c r="W862" s="199" t="str">
        <f t="shared" si="22"/>
        <v>1w</v>
      </c>
      <c r="X862" s="200">
        <f>_xll.qlCalendarAdvance(Calendar,X861,W862,"f",FALSE)</f>
        <v>44853</v>
      </c>
      <c r="Y862" s="204">
        <f>_xll.qlCalendarAdvance(Calendar,X862,NDays&amp;"D")</f>
        <v>44855</v>
      </c>
      <c r="Z862" s="205">
        <v>3.7525253734504278E-2</v>
      </c>
      <c r="AA862" s="207">
        <v>3.743584365932584E-2</v>
      </c>
    </row>
    <row r="863" spans="19:27" x14ac:dyDescent="0.2">
      <c r="S863" s="165"/>
      <c r="T863" s="166"/>
      <c r="W863" s="199" t="str">
        <f t="shared" si="22"/>
        <v>1w</v>
      </c>
      <c r="X863" s="200">
        <f>_xll.qlCalendarAdvance(Calendar,X862,W863,"f",FALSE)</f>
        <v>44860</v>
      </c>
      <c r="Y863" s="204">
        <f>_xll.qlCalendarAdvance(Calendar,X863,NDays&amp;"D")</f>
        <v>44862</v>
      </c>
      <c r="Z863" s="205">
        <v>3.7544851875199091E-2</v>
      </c>
      <c r="AA863" s="207">
        <v>3.7455590011719053E-2</v>
      </c>
    </row>
    <row r="864" spans="19:27" x14ac:dyDescent="0.2">
      <c r="S864" s="165"/>
      <c r="T864" s="166"/>
      <c r="W864" s="199" t="str">
        <f t="shared" si="22"/>
        <v>1w</v>
      </c>
      <c r="X864" s="200">
        <f>_xll.qlCalendarAdvance(Calendar,X863,W864,"f",FALSE)</f>
        <v>44867</v>
      </c>
      <c r="Y864" s="204">
        <f>_xll.qlCalendarAdvance(Calendar,X864,NDays&amp;"D")</f>
        <v>44869</v>
      </c>
      <c r="Z864" s="205">
        <v>3.7564316427971249E-2</v>
      </c>
      <c r="AA864" s="207">
        <v>3.7475203161143611E-2</v>
      </c>
    </row>
    <row r="865" spans="19:27" x14ac:dyDescent="0.2">
      <c r="S865" s="165"/>
      <c r="T865" s="166"/>
      <c r="W865" s="199" t="str">
        <f t="shared" si="22"/>
        <v>1w</v>
      </c>
      <c r="X865" s="200">
        <f>_xll.qlCalendarAdvance(Calendar,X864,W865,"f",FALSE)</f>
        <v>44874</v>
      </c>
      <c r="Y865" s="204">
        <f>_xll.qlCalendarAdvance(Calendar,X865,NDays&amp;"D")</f>
        <v>44876</v>
      </c>
      <c r="Z865" s="205">
        <v>3.7588565480198177E-2</v>
      </c>
      <c r="AA865" s="207">
        <v>3.7494683107839322E-2</v>
      </c>
    </row>
    <row r="866" spans="19:27" x14ac:dyDescent="0.2">
      <c r="S866" s="165"/>
      <c r="T866" s="166"/>
      <c r="W866" s="199" t="str">
        <f t="shared" si="22"/>
        <v>1w</v>
      </c>
      <c r="X866" s="200">
        <f>_xll.qlCalendarAdvance(Calendar,X865,W866,"f",FALSE)</f>
        <v>44881</v>
      </c>
      <c r="Y866" s="204">
        <f>_xll.qlCalendarAdvance(Calendar,X866,NDays&amp;"D")</f>
        <v>44883</v>
      </c>
      <c r="Z866" s="205">
        <v>3.7602844767078744E-2</v>
      </c>
      <c r="AA866" s="207">
        <v>3.7514029851566377E-2</v>
      </c>
    </row>
    <row r="867" spans="19:27" x14ac:dyDescent="0.2">
      <c r="S867" s="165"/>
      <c r="T867" s="166"/>
      <c r="W867" s="199" t="str">
        <f t="shared" si="22"/>
        <v>1w</v>
      </c>
      <c r="X867" s="200">
        <f>_xll.qlCalendarAdvance(Calendar,X866,W867,"f",FALSE)</f>
        <v>44888</v>
      </c>
      <c r="Y867" s="204">
        <f>_xll.qlCalendarAdvance(Calendar,X867,NDays&amp;"D")</f>
        <v>44890</v>
      </c>
      <c r="Z867" s="205">
        <v>3.7628534787080337E-2</v>
      </c>
      <c r="AA867" s="207">
        <v>3.7533243392404714E-2</v>
      </c>
    </row>
    <row r="868" spans="19:27" x14ac:dyDescent="0.2">
      <c r="S868" s="165"/>
      <c r="T868" s="166"/>
      <c r="W868" s="199" t="str">
        <f t="shared" si="22"/>
        <v>1w</v>
      </c>
      <c r="X868" s="200">
        <f>_xll.qlCalendarAdvance(Calendar,X867,W868,"f",FALSE)</f>
        <v>44895</v>
      </c>
      <c r="Y868" s="204">
        <f>_xll.qlCalendarAdvance(Calendar,X868,NDays&amp;"D")</f>
        <v>44897</v>
      </c>
      <c r="Z868" s="205">
        <v>3.7644144541948421E-2</v>
      </c>
      <c r="AA868" s="207">
        <v>3.7552323730354331E-2</v>
      </c>
    </row>
    <row r="869" spans="19:27" x14ac:dyDescent="0.2">
      <c r="S869" s="165"/>
      <c r="T869" s="166"/>
      <c r="W869" s="199" t="str">
        <f t="shared" si="22"/>
        <v>1w</v>
      </c>
      <c r="X869" s="200">
        <f>_xll.qlCalendarAdvance(Calendar,X868,W869,"f",FALSE)</f>
        <v>44902</v>
      </c>
      <c r="Y869" s="204">
        <f>_xll.qlCalendarAdvance(Calendar,X869,NDays&amp;"D")</f>
        <v>44904</v>
      </c>
      <c r="Z869" s="205">
        <v>3.7659635349730741E-2</v>
      </c>
      <c r="AA869" s="207">
        <v>3.7571270865335293E-2</v>
      </c>
    </row>
    <row r="870" spans="19:27" x14ac:dyDescent="0.2">
      <c r="S870" s="165"/>
      <c r="T870" s="166"/>
      <c r="W870" s="199" t="str">
        <f t="shared" si="22"/>
        <v>1w</v>
      </c>
      <c r="X870" s="200">
        <f>_xll.qlCalendarAdvance(Calendar,X869,W870,"f",FALSE)</f>
        <v>44909</v>
      </c>
      <c r="Y870" s="204">
        <f>_xll.qlCalendarAdvance(Calendar,X870,NDays&amp;"D")</f>
        <v>44911</v>
      </c>
      <c r="Z870" s="205">
        <v>3.7681588982574066E-2</v>
      </c>
      <c r="AA870" s="207">
        <v>3.75900847973476E-2</v>
      </c>
    </row>
    <row r="871" spans="19:27" x14ac:dyDescent="0.2">
      <c r="S871" s="165"/>
      <c r="T871" s="166"/>
      <c r="W871" s="199" t="str">
        <f t="shared" si="22"/>
        <v>1w</v>
      </c>
      <c r="X871" s="200">
        <f>_xll.qlCalendarAdvance(Calendar,X870,W871,"f",FALSE)</f>
        <v>44916</v>
      </c>
      <c r="Y871" s="204">
        <f>_xll.qlCalendarAdvance(Calendar,X871,NDays&amp;"D")</f>
        <v>44918</v>
      </c>
      <c r="Z871" s="205">
        <v>3.7696827779898641E-2</v>
      </c>
      <c r="AA871" s="207">
        <v>3.7614078411722929E-2</v>
      </c>
    </row>
    <row r="872" spans="19:27" x14ac:dyDescent="0.2">
      <c r="S872" s="165"/>
      <c r="T872" s="166"/>
      <c r="W872" s="199" t="str">
        <f t="shared" si="22"/>
        <v>1w</v>
      </c>
      <c r="X872" s="200">
        <f>_xll.qlCalendarAdvance(Calendar,X871,W872,"f",FALSE)</f>
        <v>44923</v>
      </c>
      <c r="Y872" s="204">
        <f>_xll.qlCalendarAdvance(Calendar,X872,NDays&amp;"D")</f>
        <v>44925</v>
      </c>
      <c r="Z872" s="205">
        <v>3.7718499000953254E-2</v>
      </c>
      <c r="AA872" s="207">
        <v>3.7629951825266517E-2</v>
      </c>
    </row>
    <row r="873" spans="19:27" x14ac:dyDescent="0.2">
      <c r="S873" s="165"/>
      <c r="T873" s="166"/>
      <c r="W873" s="199" t="str">
        <f t="shared" si="22"/>
        <v>1w</v>
      </c>
      <c r="X873" s="200">
        <f>_xll.qlCalendarAdvance(Calendar,X872,W873,"f",FALSE)</f>
        <v>44930</v>
      </c>
      <c r="Y873" s="204">
        <f>_xll.qlCalendarAdvance(Calendar,X873,NDays&amp;"D")</f>
        <v>44932</v>
      </c>
      <c r="Z873" s="205">
        <v>3.7733485837468758E-2</v>
      </c>
      <c r="AA873" s="207">
        <v>3.7645727375412719E-2</v>
      </c>
    </row>
    <row r="874" spans="19:27" x14ac:dyDescent="0.2">
      <c r="S874" s="165"/>
      <c r="T874" s="166"/>
      <c r="W874" s="199" t="str">
        <f t="shared" si="22"/>
        <v>1w</v>
      </c>
      <c r="X874" s="200">
        <f>_xll.qlCalendarAdvance(Calendar,X873,W874,"f",FALSE)</f>
        <v>44937</v>
      </c>
      <c r="Y874" s="204">
        <f>_xll.qlCalendarAdvance(Calendar,X874,NDays&amp;"D")</f>
        <v>44939</v>
      </c>
      <c r="Z874" s="205">
        <v>3.7751614474947688E-2</v>
      </c>
      <c r="AA874" s="207">
        <v>3.7664008495310597E-2</v>
      </c>
    </row>
    <row r="875" spans="19:27" x14ac:dyDescent="0.2">
      <c r="S875" s="165"/>
      <c r="T875" s="166"/>
      <c r="W875" s="199" t="str">
        <f t="shared" si="22"/>
        <v>1w</v>
      </c>
      <c r="X875" s="200">
        <f>_xll.qlCalendarAdvance(Calendar,X874,W875,"f",FALSE)</f>
        <v>44944</v>
      </c>
      <c r="Y875" s="204">
        <f>_xll.qlCalendarAdvance(Calendar,X875,NDays&amp;"D")</f>
        <v>44946</v>
      </c>
      <c r="Z875" s="205">
        <v>3.7772861975367833E-2</v>
      </c>
      <c r="AA875" s="207">
        <v>3.7682156412159884E-2</v>
      </c>
    </row>
    <row r="876" spans="19:27" x14ac:dyDescent="0.2">
      <c r="S876" s="165"/>
      <c r="T876" s="166"/>
      <c r="W876" s="199" t="str">
        <f t="shared" si="22"/>
        <v>1w</v>
      </c>
      <c r="X876" s="200">
        <f>_xll.qlCalendarAdvance(Calendar,X875,W876,"f",FALSE)</f>
        <v>44951</v>
      </c>
      <c r="Y876" s="204">
        <f>_xll.qlCalendarAdvance(Calendar,X876,NDays&amp;"D")</f>
        <v>44953</v>
      </c>
      <c r="Z876" s="205">
        <v>3.7787470964183514E-2</v>
      </c>
      <c r="AA876" s="207">
        <v>3.770017112596058E-2</v>
      </c>
    </row>
    <row r="877" spans="19:27" x14ac:dyDescent="0.2">
      <c r="S877" s="165"/>
      <c r="T877" s="166"/>
      <c r="W877" s="199" t="str">
        <f t="shared" si="22"/>
        <v>1w</v>
      </c>
      <c r="X877" s="200">
        <f>_xll.qlCalendarAdvance(Calendar,X876,W877,"f",FALSE)</f>
        <v>44958</v>
      </c>
      <c r="Y877" s="204">
        <f>_xll.qlCalendarAdvance(Calendar,X877,NDays&amp;"D")</f>
        <v>44960</v>
      </c>
      <c r="Z877" s="205">
        <v>3.7795484470486099E-2</v>
      </c>
      <c r="AA877" s="207">
        <v>3.7718052636552812E-2</v>
      </c>
    </row>
    <row r="878" spans="19:27" x14ac:dyDescent="0.2">
      <c r="S878" s="165"/>
      <c r="T878" s="166"/>
      <c r="W878" s="199" t="str">
        <f t="shared" si="22"/>
        <v>1w</v>
      </c>
      <c r="X878" s="200">
        <f>_xll.qlCalendarAdvance(Calendar,X877,W878,"f",FALSE)</f>
        <v>44965</v>
      </c>
      <c r="Y878" s="204">
        <f>_xll.qlCalendarAdvance(Calendar,X878,NDays&amp;"D")</f>
        <v>44967</v>
      </c>
      <c r="Z878" s="205">
        <v>3.7813101809291032E-2</v>
      </c>
      <c r="AA878" s="207">
        <v>3.7735800944096454E-2</v>
      </c>
    </row>
    <row r="879" spans="19:27" x14ac:dyDescent="0.2">
      <c r="S879" s="165"/>
      <c r="T879" s="166"/>
      <c r="W879" s="199" t="str">
        <f t="shared" si="22"/>
        <v>1w</v>
      </c>
      <c r="X879" s="200">
        <f>_xll.qlCalendarAdvance(Calendar,X878,W879,"f",FALSE)</f>
        <v>44972</v>
      </c>
      <c r="Y879" s="204">
        <f>_xll.qlCalendarAdvance(Calendar,X879,NDays&amp;"D")</f>
        <v>44974</v>
      </c>
      <c r="Z879" s="205">
        <v>3.7830585590211206E-2</v>
      </c>
      <c r="AA879" s="207">
        <v>3.7753416048511568E-2</v>
      </c>
    </row>
    <row r="880" spans="19:27" x14ac:dyDescent="0.2">
      <c r="S880" s="165"/>
      <c r="T880" s="166"/>
      <c r="W880" s="199" t="str">
        <f t="shared" si="22"/>
        <v>1w</v>
      </c>
      <c r="X880" s="200">
        <f>_xll.qlCalendarAdvance(Calendar,X879,W880,"f",FALSE)</f>
        <v>44979</v>
      </c>
      <c r="Y880" s="204">
        <f>_xll.qlCalendarAdvance(Calendar,X880,NDays&amp;"D")</f>
        <v>44981</v>
      </c>
      <c r="Z880" s="205">
        <v>3.7847935812707068E-2</v>
      </c>
      <c r="AA880" s="207">
        <v>3.7770897949718218E-2</v>
      </c>
    </row>
    <row r="881" spans="19:27" x14ac:dyDescent="0.2">
      <c r="S881" s="165"/>
      <c r="T881" s="166"/>
      <c r="W881" s="199" t="str">
        <f t="shared" si="22"/>
        <v>1w</v>
      </c>
      <c r="X881" s="200">
        <f>_xll.qlCalendarAdvance(Calendar,X880,W881,"f",FALSE)</f>
        <v>44986</v>
      </c>
      <c r="Y881" s="204">
        <f>_xll.qlCalendarAdvance(Calendar,X881,NDays&amp;"D")</f>
        <v>44988</v>
      </c>
      <c r="Z881" s="205">
        <v>3.7874774241969923E-2</v>
      </c>
      <c r="AA881" s="207">
        <v>3.778824664763647E-2</v>
      </c>
    </row>
    <row r="882" spans="19:27" x14ac:dyDescent="0.2">
      <c r="S882" s="165"/>
      <c r="T882" s="166"/>
      <c r="W882" s="199" t="str">
        <f t="shared" si="22"/>
        <v>1w</v>
      </c>
      <c r="X882" s="200">
        <f>_xll.qlCalendarAdvance(Calendar,X881,W882,"f",FALSE)</f>
        <v>44993</v>
      </c>
      <c r="Y882" s="204">
        <f>_xll.qlCalendarAdvance(Calendar,X882,NDays&amp;"D")</f>
        <v>44995</v>
      </c>
      <c r="Z882" s="205">
        <v>3.7895032578307009E-2</v>
      </c>
      <c r="AA882" s="207">
        <v>3.780546214250613E-2</v>
      </c>
    </row>
    <row r="883" spans="19:27" x14ac:dyDescent="0.2">
      <c r="S883" s="165"/>
      <c r="T883" s="166"/>
      <c r="W883" s="199" t="str">
        <f t="shared" si="22"/>
        <v>1w</v>
      </c>
      <c r="X883" s="200">
        <f>_xll.qlCalendarAdvance(Calendar,X882,W883,"f",FALSE)</f>
        <v>45000</v>
      </c>
      <c r="Y883" s="204">
        <f>_xll.qlCalendarAdvance(Calendar,X883,NDays&amp;"D")</f>
        <v>45002</v>
      </c>
      <c r="Z883" s="205">
        <v>3.7908760362347256E-2</v>
      </c>
      <c r="AA883" s="207">
        <v>3.7822544434087391E-2</v>
      </c>
    </row>
    <row r="884" spans="19:27" x14ac:dyDescent="0.2">
      <c r="S884" s="165"/>
      <c r="T884" s="166"/>
      <c r="W884" s="199" t="str">
        <f t="shared" si="22"/>
        <v>1w</v>
      </c>
      <c r="X884" s="200">
        <f>_xll.qlCalendarAdvance(Calendar,X883,W884,"f",FALSE)</f>
        <v>45007</v>
      </c>
      <c r="Y884" s="204">
        <f>_xll.qlCalendarAdvance(Calendar,X884,NDays&amp;"D")</f>
        <v>45009</v>
      </c>
      <c r="Z884" s="205">
        <v>3.7925553022164778E-2</v>
      </c>
      <c r="AA884" s="207">
        <v>3.7839493522380252E-2</v>
      </c>
    </row>
    <row r="885" spans="19:27" x14ac:dyDescent="0.2">
      <c r="S885" s="165"/>
      <c r="T885" s="166"/>
      <c r="W885" s="199" t="str">
        <f t="shared" si="22"/>
        <v>1w</v>
      </c>
      <c r="X885" s="200">
        <f>_xll.qlCalendarAdvance(Calendar,X884,W885,"f",FALSE)</f>
        <v>45014</v>
      </c>
      <c r="Y885" s="204">
        <f>_xll.qlCalendarAdvance(Calendar,X885,NDays&amp;"D")</f>
        <v>45016</v>
      </c>
      <c r="Z885" s="205">
        <v>3.7932683530013743E-2</v>
      </c>
      <c r="AA885" s="207">
        <v>3.785630940746465E-2</v>
      </c>
    </row>
    <row r="886" spans="19:27" x14ac:dyDescent="0.2">
      <c r="S886" s="165"/>
      <c r="T886" s="166"/>
      <c r="W886" s="199" t="str">
        <f t="shared" si="22"/>
        <v>1w</v>
      </c>
      <c r="X886" s="200">
        <f>_xll.qlCalendarAdvance(Calendar,X885,W886,"f",FALSE)</f>
        <v>45021</v>
      </c>
      <c r="Y886" s="204">
        <f>_xll.qlCalendarAdvance(Calendar,X886,NDays&amp;"D")</f>
        <v>45027</v>
      </c>
      <c r="Z886" s="205">
        <v>3.7964957276523492E-2</v>
      </c>
      <c r="AA886" s="207">
        <v>3.7877734103801686E-2</v>
      </c>
    </row>
    <row r="887" spans="19:27" x14ac:dyDescent="0.2">
      <c r="S887" s="165"/>
      <c r="T887" s="166"/>
      <c r="W887" s="199" t="str">
        <f t="shared" si="22"/>
        <v>1w</v>
      </c>
      <c r="X887" s="200">
        <f>_xll.qlCalendarAdvance(Calendar,X886,W887,"f",FALSE)</f>
        <v>45028</v>
      </c>
      <c r="Y887" s="204">
        <f>_xll.qlCalendarAdvance(Calendar,X887,NDays&amp;"D")</f>
        <v>45030</v>
      </c>
      <c r="Z887" s="205">
        <v>3.7975129393206741E-2</v>
      </c>
      <c r="AA887" s="207">
        <v>3.7889541567688312E-2</v>
      </c>
    </row>
    <row r="888" spans="19:27" x14ac:dyDescent="0.2">
      <c r="S888" s="165"/>
      <c r="T888" s="166"/>
      <c r="W888" s="199" t="str">
        <f t="shared" si="22"/>
        <v>1w</v>
      </c>
      <c r="X888" s="200">
        <f>_xll.qlCalendarAdvance(Calendar,X887,W888,"f",FALSE)</f>
        <v>45035</v>
      </c>
      <c r="Y888" s="204">
        <f>_xll.qlCalendarAdvance(Calendar,X888,NDays&amp;"D")</f>
        <v>45037</v>
      </c>
      <c r="Z888" s="205">
        <v>3.7991387645522796E-2</v>
      </c>
      <c r="AA888" s="207">
        <v>3.7905957842827576E-2</v>
      </c>
    </row>
    <row r="889" spans="19:27" x14ac:dyDescent="0.2">
      <c r="S889" s="165"/>
      <c r="T889" s="166"/>
      <c r="W889" s="199" t="str">
        <f t="shared" si="22"/>
        <v>1w</v>
      </c>
      <c r="X889" s="200">
        <f>_xll.qlCalendarAdvance(Calendar,X888,W889,"f",FALSE)</f>
        <v>45042</v>
      </c>
      <c r="Y889" s="204">
        <f>_xll.qlCalendarAdvance(Calendar,X889,NDays&amp;"D")</f>
        <v>45044</v>
      </c>
      <c r="Z889" s="205">
        <v>3.801379945381908E-2</v>
      </c>
      <c r="AA889" s="207">
        <v>3.7924556194086634E-2</v>
      </c>
    </row>
    <row r="890" spans="19:27" x14ac:dyDescent="0.2">
      <c r="S890" s="165"/>
      <c r="T890" s="166"/>
      <c r="W890" s="199" t="str">
        <f t="shared" si="22"/>
        <v>1w</v>
      </c>
      <c r="X890" s="200">
        <f>_xll.qlCalendarAdvance(Calendar,X889,W890,"f",FALSE)</f>
        <v>45049</v>
      </c>
      <c r="Y890" s="204">
        <f>_xll.qlCalendarAdvance(Calendar,X890,NDays&amp;"D")</f>
        <v>45051</v>
      </c>
      <c r="Z890" s="205">
        <v>3.8023503339745517E-2</v>
      </c>
      <c r="AA890" s="207">
        <v>3.7938390783081033E-2</v>
      </c>
    </row>
    <row r="891" spans="19:27" x14ac:dyDescent="0.2">
      <c r="S891" s="165"/>
      <c r="T891" s="166"/>
      <c r="W891" s="199" t="str">
        <f t="shared" si="22"/>
        <v>1w</v>
      </c>
      <c r="X891" s="200">
        <f>_xll.qlCalendarAdvance(Calendar,X890,W891,"f",FALSE)</f>
        <v>45056</v>
      </c>
      <c r="Y891" s="204">
        <f>_xll.qlCalendarAdvance(Calendar,X891,NDays&amp;"D")</f>
        <v>45058</v>
      </c>
      <c r="Z891" s="205">
        <v>3.8039360780548551E-2</v>
      </c>
      <c r="AA891" s="207">
        <v>3.7954407448195226E-2</v>
      </c>
    </row>
    <row r="892" spans="19:27" x14ac:dyDescent="0.2">
      <c r="S892" s="165"/>
      <c r="T892" s="166"/>
      <c r="W892" s="199" t="str">
        <f t="shared" si="22"/>
        <v>1w</v>
      </c>
      <c r="X892" s="200">
        <f>_xll.qlCalendarAdvance(Calendar,X891,W892,"f",FALSE)</f>
        <v>45063</v>
      </c>
      <c r="Y892" s="204">
        <f>_xll.qlCalendarAdvance(Calendar,X892,NDays&amp;"D")</f>
        <v>45065</v>
      </c>
      <c r="Z892" s="205">
        <v>3.8055084616415442E-2</v>
      </c>
      <c r="AA892" s="207">
        <v>3.7970290909861149E-2</v>
      </c>
    </row>
    <row r="893" spans="19:27" x14ac:dyDescent="0.2">
      <c r="S893" s="165"/>
      <c r="T893" s="166"/>
      <c r="W893" s="199" t="str">
        <f t="shared" si="22"/>
        <v>1w</v>
      </c>
      <c r="X893" s="200">
        <f>_xll.qlCalendarAdvance(Calendar,X892,W893,"f",FALSE)</f>
        <v>45070</v>
      </c>
      <c r="Y893" s="204">
        <f>_xll.qlCalendarAdvance(Calendar,X893,NDays&amp;"D")</f>
        <v>45072</v>
      </c>
      <c r="Z893" s="205">
        <v>3.8070674846804688E-2</v>
      </c>
      <c r="AA893" s="207">
        <v>3.7988280331333613E-2</v>
      </c>
    </row>
    <row r="894" spans="19:27" x14ac:dyDescent="0.2">
      <c r="S894" s="165"/>
      <c r="T894" s="166"/>
      <c r="W894" s="199" t="str">
        <f t="shared" si="22"/>
        <v>1w</v>
      </c>
      <c r="X894" s="200">
        <f>_xll.qlCalendarAdvance(Calendar,X893,W894,"f",FALSE)</f>
        <v>45077</v>
      </c>
      <c r="Y894" s="204">
        <f>_xll.qlCalendarAdvance(Calendar,X894,NDays&amp;"D")</f>
        <v>45079</v>
      </c>
      <c r="Z894" s="205">
        <v>3.8086142983810786E-2</v>
      </c>
      <c r="AA894" s="207">
        <v>3.800165822300805E-2</v>
      </c>
    </row>
    <row r="895" spans="19:27" x14ac:dyDescent="0.2">
      <c r="S895" s="165"/>
      <c r="T895" s="166"/>
      <c r="W895" s="199" t="str">
        <f t="shared" si="22"/>
        <v>1w</v>
      </c>
      <c r="X895" s="200">
        <f>_xll.qlCalendarAdvance(Calendar,X894,W895,"f",FALSE)</f>
        <v>45084</v>
      </c>
      <c r="Y895" s="204">
        <f>_xll.qlCalendarAdvance(Calendar,X895,NDays&amp;"D")</f>
        <v>45086</v>
      </c>
      <c r="Z895" s="205">
        <v>3.8101546590157354E-2</v>
      </c>
      <c r="AA895" s="207">
        <v>3.8017142074409094E-2</v>
      </c>
    </row>
    <row r="896" spans="19:27" x14ac:dyDescent="0.2">
      <c r="S896" s="165"/>
      <c r="T896" s="166"/>
      <c r="W896" s="199" t="str">
        <f t="shared" si="22"/>
        <v>1w</v>
      </c>
      <c r="X896" s="200">
        <f>_xll.qlCalendarAdvance(Calendar,X895,W896,"f",FALSE)</f>
        <v>45091</v>
      </c>
      <c r="Y896" s="204">
        <f>_xll.qlCalendarAdvance(Calendar,X896,NDays&amp;"D")</f>
        <v>45093</v>
      </c>
      <c r="Z896" s="205">
        <v>3.8116954741531504E-2</v>
      </c>
      <c r="AA896" s="207">
        <v>3.8032492722361866E-2</v>
      </c>
    </row>
    <row r="897" spans="19:27" x14ac:dyDescent="0.2">
      <c r="S897" s="165"/>
      <c r="T897" s="166"/>
      <c r="W897" s="199" t="str">
        <f t="shared" si="22"/>
        <v>1w</v>
      </c>
      <c r="X897" s="200">
        <f>_xll.qlCalendarAdvance(Calendar,X896,W897,"f",FALSE)</f>
        <v>45098</v>
      </c>
      <c r="Y897" s="204">
        <f>_xll.qlCalendarAdvance(Calendar,X897,NDays&amp;"D")</f>
        <v>45100</v>
      </c>
      <c r="Z897" s="205">
        <v>3.8132436513996816E-2</v>
      </c>
      <c r="AA897" s="207">
        <v>3.8047717427218686E-2</v>
      </c>
    </row>
    <row r="898" spans="19:27" x14ac:dyDescent="0.2">
      <c r="S898" s="165"/>
      <c r="T898" s="166"/>
      <c r="W898" s="199" t="str">
        <f t="shared" si="22"/>
        <v>1w</v>
      </c>
      <c r="X898" s="200">
        <f>_xll.qlCalendarAdvance(Calendar,X897,W898,"f",FALSE)</f>
        <v>45105</v>
      </c>
      <c r="Y898" s="204">
        <f>_xll.qlCalendarAdvance(Calendar,X898,NDays&amp;"D")</f>
        <v>45107</v>
      </c>
      <c r="Z898" s="205">
        <v>3.8148058835835559E-2</v>
      </c>
      <c r="AA898" s="207">
        <v>3.8063019481882066E-2</v>
      </c>
    </row>
    <row r="899" spans="19:27" x14ac:dyDescent="0.2">
      <c r="S899" s="165"/>
      <c r="T899" s="166"/>
      <c r="W899" s="199" t="str">
        <f t="shared" si="22"/>
        <v>1w</v>
      </c>
      <c r="X899" s="200">
        <f>_xll.qlCalendarAdvance(Calendar,X898,W899,"f",FALSE)</f>
        <v>45112</v>
      </c>
      <c r="Y899" s="204">
        <f>_xll.qlCalendarAdvance(Calendar,X899,NDays&amp;"D")</f>
        <v>45114</v>
      </c>
      <c r="Z899" s="205">
        <v>3.8163852553606582E-2</v>
      </c>
      <c r="AA899" s="207">
        <v>3.807849327229107E-2</v>
      </c>
    </row>
    <row r="900" spans="19:27" x14ac:dyDescent="0.2">
      <c r="S900" s="165"/>
      <c r="T900" s="166"/>
      <c r="W900" s="199" t="str">
        <f t="shared" si="22"/>
        <v>1w</v>
      </c>
      <c r="X900" s="200">
        <f>_xll.qlCalendarAdvance(Calendar,X899,W900,"f",FALSE)</f>
        <v>45119</v>
      </c>
      <c r="Y900" s="204">
        <f>_xll.qlCalendarAdvance(Calendar,X900,NDays&amp;"D")</f>
        <v>45121</v>
      </c>
      <c r="Z900" s="205">
        <v>3.8179818574251512E-2</v>
      </c>
      <c r="AA900" s="207">
        <v>3.8094138798445698E-2</v>
      </c>
    </row>
    <row r="901" spans="19:27" x14ac:dyDescent="0.2">
      <c r="S901" s="165"/>
      <c r="T901" s="166"/>
      <c r="W901" s="199" t="str">
        <f t="shared" si="22"/>
        <v>1w</v>
      </c>
      <c r="X901" s="200">
        <f>_xll.qlCalendarAdvance(Calendar,X900,W901,"f",FALSE)</f>
        <v>45126</v>
      </c>
      <c r="Y901" s="204">
        <f>_xll.qlCalendarAdvance(Calendar,X901,NDays&amp;"D")</f>
        <v>45128</v>
      </c>
      <c r="Z901" s="205">
        <v>3.8195956898479461E-2</v>
      </c>
      <c r="AA901" s="207">
        <v>3.8109956060425887E-2</v>
      </c>
    </row>
    <row r="902" spans="19:27" x14ac:dyDescent="0.2">
      <c r="S902" s="165"/>
      <c r="T902" s="166"/>
      <c r="W902" s="199" t="str">
        <f t="shared" si="22"/>
        <v>1w</v>
      </c>
      <c r="X902" s="200">
        <f>_xll.qlCalendarAdvance(Calendar,X901,W902,"f",FALSE)</f>
        <v>45133</v>
      </c>
      <c r="Y902" s="204">
        <f>_xll.qlCalendarAdvance(Calendar,X902,NDays&amp;"D")</f>
        <v>45135</v>
      </c>
      <c r="Z902" s="205">
        <v>3.8215474394716065E-2</v>
      </c>
      <c r="AA902" s="207">
        <v>3.81259450581517E-2</v>
      </c>
    </row>
    <row r="903" spans="19:27" x14ac:dyDescent="0.2">
      <c r="S903" s="165"/>
      <c r="T903" s="166"/>
      <c r="W903" s="199" t="str">
        <f t="shared" si="22"/>
        <v>1w</v>
      </c>
      <c r="X903" s="200">
        <f>_xll.qlCalendarAdvance(Calendar,X902,W903,"f",FALSE)</f>
        <v>45140</v>
      </c>
      <c r="Y903" s="204">
        <f>_xll.qlCalendarAdvance(Calendar,X903,NDays&amp;"D")</f>
        <v>45142</v>
      </c>
      <c r="Z903" s="205">
        <v>3.8231971384350416E-2</v>
      </c>
      <c r="AA903" s="207">
        <v>3.8142105791623138E-2</v>
      </c>
    </row>
    <row r="904" spans="19:27" x14ac:dyDescent="0.2">
      <c r="S904" s="165"/>
      <c r="T904" s="166"/>
      <c r="W904" s="199" t="str">
        <f t="shared" si="22"/>
        <v>1w</v>
      </c>
      <c r="X904" s="200">
        <f>_xll.qlCalendarAdvance(Calendar,X903,W904,"f",FALSE)</f>
        <v>45147</v>
      </c>
      <c r="Y904" s="204">
        <f>_xll.qlCalendarAdvance(Calendar,X904,NDays&amp;"D")</f>
        <v>45149</v>
      </c>
      <c r="Z904" s="205">
        <v>3.8245405699868514E-2</v>
      </c>
      <c r="AA904" s="207">
        <v>3.8158438261080008E-2</v>
      </c>
    </row>
    <row r="905" spans="19:27" x14ac:dyDescent="0.2">
      <c r="S905" s="165"/>
      <c r="T905" s="166"/>
      <c r="W905" s="199" t="str">
        <f t="shared" si="22"/>
        <v>1w</v>
      </c>
      <c r="X905" s="200">
        <f>_xll.qlCalendarAdvance(Calendar,X904,W905,"f",FALSE)</f>
        <v>45154</v>
      </c>
      <c r="Y905" s="204">
        <f>_xll.qlCalendarAdvance(Calendar,X905,NDays&amp;"D")</f>
        <v>45156</v>
      </c>
      <c r="Z905" s="205">
        <v>3.8262233245671753E-2</v>
      </c>
      <c r="AA905" s="207">
        <v>3.8174942466362438E-2</v>
      </c>
    </row>
    <row r="906" spans="19:27" x14ac:dyDescent="0.2">
      <c r="S906" s="165"/>
      <c r="T906" s="166"/>
      <c r="W906" s="199" t="str">
        <f t="shared" si="22"/>
        <v>1w</v>
      </c>
      <c r="X906" s="200">
        <f>_xll.qlCalendarAdvance(Calendar,X905,W906,"f",FALSE)</f>
        <v>45161</v>
      </c>
      <c r="Y906" s="204">
        <f>_xll.qlCalendarAdvance(Calendar,X906,NDays&amp;"D")</f>
        <v>45163</v>
      </c>
      <c r="Z906" s="205">
        <v>3.8279233098711861E-2</v>
      </c>
      <c r="AA906" s="207">
        <v>3.8194014703991641E-2</v>
      </c>
    </row>
    <row r="907" spans="19:27" x14ac:dyDescent="0.2">
      <c r="S907" s="165"/>
      <c r="T907" s="166"/>
      <c r="W907" s="199" t="str">
        <f t="shared" si="22"/>
        <v>1w</v>
      </c>
      <c r="X907" s="200">
        <f>_xll.qlCalendarAdvance(Calendar,X906,W907,"f",FALSE)</f>
        <v>45168</v>
      </c>
      <c r="Y907" s="204">
        <f>_xll.qlCalendarAdvance(Calendar,X907,NDays&amp;"D")</f>
        <v>45170</v>
      </c>
      <c r="Z907" s="205">
        <v>3.8296405259749512E-2</v>
      </c>
      <c r="AA907" s="207">
        <v>3.8208466084483916E-2</v>
      </c>
    </row>
    <row r="908" spans="19:27" x14ac:dyDescent="0.2">
      <c r="S908" s="165"/>
      <c r="T908" s="166"/>
      <c r="W908" s="199" t="str">
        <f t="shared" si="22"/>
        <v>1w</v>
      </c>
      <c r="X908" s="200">
        <f>_xll.qlCalendarAdvance(Calendar,X907,W908,"f",FALSE)</f>
        <v>45175</v>
      </c>
      <c r="Y908" s="204">
        <f>_xll.qlCalendarAdvance(Calendar,X908,NDays&amp;"D")</f>
        <v>45177</v>
      </c>
      <c r="Z908" s="205">
        <v>3.8317041220475856E-2</v>
      </c>
      <c r="AA908" s="207">
        <v>3.82254854974029E-2</v>
      </c>
    </row>
    <row r="909" spans="19:27" x14ac:dyDescent="0.2">
      <c r="S909" s="165"/>
      <c r="T909" s="166"/>
      <c r="W909" s="199" t="str">
        <f t="shared" si="22"/>
        <v>1w</v>
      </c>
      <c r="X909" s="200">
        <f>_xll.qlCalendarAdvance(Calendar,X908,W909,"f",FALSE)</f>
        <v>45182</v>
      </c>
      <c r="Y909" s="204">
        <f>_xll.qlCalendarAdvance(Calendar,X909,NDays&amp;"D")</f>
        <v>45184</v>
      </c>
      <c r="Z909" s="205">
        <v>3.8331266508862774E-2</v>
      </c>
      <c r="AA909" s="207">
        <v>3.8242676646307316E-2</v>
      </c>
    </row>
    <row r="910" spans="19:27" x14ac:dyDescent="0.2">
      <c r="S910" s="165"/>
      <c r="T910" s="166"/>
      <c r="W910" s="199" t="str">
        <f t="shared" si="22"/>
        <v>1w</v>
      </c>
      <c r="X910" s="200">
        <f>_xll.qlCalendarAdvance(Calendar,X909,W910,"f",FALSE)</f>
        <v>45189</v>
      </c>
      <c r="Y910" s="204">
        <f>_xll.qlCalendarAdvance(Calendar,X910,NDays&amp;"D")</f>
        <v>45191</v>
      </c>
      <c r="Z910" s="205">
        <v>3.8348955598482948E-2</v>
      </c>
      <c r="AA910" s="207">
        <v>3.8260039531277101E-2</v>
      </c>
    </row>
    <row r="911" spans="19:27" x14ac:dyDescent="0.2">
      <c r="S911" s="165"/>
      <c r="T911" s="166"/>
      <c r="W911" s="199" t="str">
        <f t="shared" si="22"/>
        <v>1w</v>
      </c>
      <c r="X911" s="200">
        <f>_xll.qlCalendarAdvance(Calendar,X910,W911,"f",FALSE)</f>
        <v>45196</v>
      </c>
      <c r="Y911" s="204">
        <f>_xll.qlCalendarAdvance(Calendar,X911,NDays&amp;"D")</f>
        <v>45198</v>
      </c>
      <c r="Z911" s="205">
        <v>3.8370151060704016E-2</v>
      </c>
      <c r="AA911" s="207">
        <v>3.8277574152152383E-2</v>
      </c>
    </row>
    <row r="912" spans="19:27" x14ac:dyDescent="0.2">
      <c r="S912" s="165"/>
      <c r="T912" s="166"/>
      <c r="W912" s="199" t="str">
        <f t="shared" si="22"/>
        <v>1w</v>
      </c>
      <c r="X912" s="200">
        <f>_xll.qlCalendarAdvance(Calendar,X911,W912,"f",FALSE)</f>
        <v>45203</v>
      </c>
      <c r="Y912" s="204">
        <f>_xll.qlCalendarAdvance(Calendar,X912,NDays&amp;"D")</f>
        <v>45205</v>
      </c>
      <c r="Z912" s="205">
        <v>3.838485071178014E-2</v>
      </c>
      <c r="AA912" s="207">
        <v>3.8295280509093033E-2</v>
      </c>
    </row>
    <row r="913" spans="19:27" x14ac:dyDescent="0.2">
      <c r="S913" s="165"/>
      <c r="T913" s="166"/>
      <c r="W913" s="199" t="str">
        <f t="shared" si="22"/>
        <v>1w</v>
      </c>
      <c r="X913" s="200">
        <f>_xll.qlCalendarAdvance(Calendar,X912,W913,"f",FALSE)</f>
        <v>45210</v>
      </c>
      <c r="Y913" s="204">
        <f>_xll.qlCalendarAdvance(Calendar,X913,NDays&amp;"D")</f>
        <v>45212</v>
      </c>
      <c r="Z913" s="205">
        <v>3.8403056737050731E-2</v>
      </c>
      <c r="AA913" s="207">
        <v>3.8313158602099051E-2</v>
      </c>
    </row>
    <row r="914" spans="19:27" x14ac:dyDescent="0.2">
      <c r="S914" s="165"/>
      <c r="T914" s="166"/>
      <c r="W914" s="199" t="str">
        <f t="shared" si="22"/>
        <v>1w</v>
      </c>
      <c r="X914" s="200">
        <f>_xll.qlCalendarAdvance(Calendar,X913,W914,"f",FALSE)</f>
        <v>45217</v>
      </c>
      <c r="Y914" s="204">
        <f>_xll.qlCalendarAdvance(Calendar,X914,NDays&amp;"D")</f>
        <v>45219</v>
      </c>
      <c r="Z914" s="205">
        <v>3.8421435075806087E-2</v>
      </c>
      <c r="AA914" s="207">
        <v>3.8331208431250374E-2</v>
      </c>
    </row>
    <row r="915" spans="19:27" x14ac:dyDescent="0.2">
      <c r="S915" s="165"/>
      <c r="T915" s="166"/>
      <c r="W915" s="199" t="str">
        <f t="shared" si="22"/>
        <v>1w</v>
      </c>
      <c r="X915" s="200">
        <f>_xll.qlCalendarAdvance(Calendar,X914,W915,"f",FALSE)</f>
        <v>45224</v>
      </c>
      <c r="Y915" s="204">
        <f>_xll.qlCalendarAdvance(Calendar,X915,NDays&amp;"D")</f>
        <v>45226</v>
      </c>
      <c r="Z915" s="205">
        <v>3.8439985728866206E-2</v>
      </c>
      <c r="AA915" s="207">
        <v>3.8349429996467066E-2</v>
      </c>
    </row>
    <row r="916" spans="19:27" x14ac:dyDescent="0.2">
      <c r="S916" s="165"/>
      <c r="T916" s="166"/>
      <c r="W916" s="199" t="str">
        <f t="shared" si="22"/>
        <v>1w</v>
      </c>
      <c r="X916" s="200">
        <f>_xll.qlCalendarAdvance(Calendar,X915,W916,"f",FALSE)</f>
        <v>45231</v>
      </c>
      <c r="Y916" s="204">
        <f>_xll.qlCalendarAdvance(Calendar,X916,NDays&amp;"D")</f>
        <v>45233</v>
      </c>
      <c r="Z916" s="205">
        <v>3.8458708697051078E-2</v>
      </c>
      <c r="AA916" s="207">
        <v>3.8367823297749126E-2</v>
      </c>
    </row>
    <row r="917" spans="19:27" x14ac:dyDescent="0.2">
      <c r="S917" s="165"/>
      <c r="T917" s="166"/>
      <c r="W917" s="199" t="str">
        <f t="shared" ref="W917:W980" si="23">W916</f>
        <v>1w</v>
      </c>
      <c r="X917" s="200">
        <f>_xll.qlCalendarAdvance(Calendar,X916,W917,"f",FALSE)</f>
        <v>45238</v>
      </c>
      <c r="Y917" s="204">
        <f>_xll.qlCalendarAdvance(Calendar,X917,NDays&amp;"D")</f>
        <v>45240</v>
      </c>
      <c r="Z917" s="205">
        <v>3.8482330451412139E-2</v>
      </c>
      <c r="AA917" s="207">
        <v>3.8386388335336363E-2</v>
      </c>
    </row>
    <row r="918" spans="19:27" x14ac:dyDescent="0.2">
      <c r="S918" s="165"/>
      <c r="T918" s="166"/>
      <c r="W918" s="199" t="str">
        <f t="shared" si="23"/>
        <v>1w</v>
      </c>
      <c r="X918" s="200">
        <f>_xll.qlCalendarAdvance(Calendar,X917,W918,"f",FALSE)</f>
        <v>45245</v>
      </c>
      <c r="Y918" s="204">
        <f>_xll.qlCalendarAdvance(Calendar,X918,NDays&amp;"D")</f>
        <v>45247</v>
      </c>
      <c r="Z918" s="205">
        <v>3.8496671582129167E-2</v>
      </c>
      <c r="AA918" s="207">
        <v>3.8405125108909033E-2</v>
      </c>
    </row>
    <row r="919" spans="19:27" x14ac:dyDescent="0.2">
      <c r="S919" s="165"/>
      <c r="T919" s="166"/>
      <c r="W919" s="199" t="str">
        <f t="shared" si="23"/>
        <v>1w</v>
      </c>
      <c r="X919" s="200">
        <f>_xll.qlCalendarAdvance(Calendar,X918,W919,"f",FALSE)</f>
        <v>45252</v>
      </c>
      <c r="Y919" s="204">
        <f>_xll.qlCalendarAdvance(Calendar,X919,NDays&amp;"D")</f>
        <v>45254</v>
      </c>
      <c r="Z919" s="205">
        <v>3.852280998396377E-2</v>
      </c>
      <c r="AA919" s="207">
        <v>3.8424033618946751E-2</v>
      </c>
    </row>
    <row r="920" spans="19:27" x14ac:dyDescent="0.2">
      <c r="S920" s="165"/>
      <c r="T920" s="166"/>
      <c r="W920" s="199" t="str">
        <f t="shared" si="23"/>
        <v>1w</v>
      </c>
      <c r="X920" s="200">
        <f>_xll.qlCalendarAdvance(Calendar,X919,W920,"f",FALSE)</f>
        <v>45259</v>
      </c>
      <c r="Y920" s="204">
        <f>_xll.qlCalendarAdvance(Calendar,X920,NDays&amp;"D")</f>
        <v>45261</v>
      </c>
      <c r="Z920" s="205">
        <v>3.8538786555364912E-2</v>
      </c>
      <c r="AA920" s="207">
        <v>3.8443113864969902E-2</v>
      </c>
    </row>
    <row r="921" spans="19:27" x14ac:dyDescent="0.2">
      <c r="S921" s="165"/>
      <c r="T921" s="166"/>
      <c r="W921" s="199" t="str">
        <f t="shared" si="23"/>
        <v>1w</v>
      </c>
      <c r="X921" s="200">
        <f>_xll.qlCalendarAdvance(Calendar,X920,W921,"f",FALSE)</f>
        <v>45266</v>
      </c>
      <c r="Y921" s="204">
        <f>_xll.qlCalendarAdvance(Calendar,X921,NDays&amp;"D")</f>
        <v>45268</v>
      </c>
      <c r="Z921" s="205">
        <v>3.8554908294206408E-2</v>
      </c>
      <c r="AA921" s="207">
        <v>3.8462365847378166E-2</v>
      </c>
    </row>
    <row r="922" spans="19:27" x14ac:dyDescent="0.2">
      <c r="S922" s="165"/>
      <c r="T922" s="166"/>
      <c r="W922" s="199" t="str">
        <f t="shared" si="23"/>
        <v>1w</v>
      </c>
      <c r="X922" s="200">
        <f>_xll.qlCalendarAdvance(Calendar,X921,W922,"f",FALSE)</f>
        <v>45273</v>
      </c>
      <c r="Y922" s="204">
        <f>_xll.qlCalendarAdvance(Calendar,X922,NDays&amp;"D")</f>
        <v>45275</v>
      </c>
      <c r="Z922" s="205">
        <v>3.8578156815044784E-2</v>
      </c>
      <c r="AA922" s="207">
        <v>3.8481789566251479E-2</v>
      </c>
    </row>
    <row r="923" spans="19:27" x14ac:dyDescent="0.2">
      <c r="S923" s="165"/>
      <c r="T923" s="166"/>
      <c r="W923" s="199" t="str">
        <f t="shared" si="23"/>
        <v>1w</v>
      </c>
      <c r="X923" s="200">
        <f>_xll.qlCalendarAdvance(Calendar,X922,W923,"f",FALSE)</f>
        <v>45280</v>
      </c>
      <c r="Y923" s="204">
        <f>_xll.qlCalendarAdvance(Calendar,X923,NDays&amp;"D")</f>
        <v>45282</v>
      </c>
      <c r="Z923" s="205">
        <v>3.8594594368609923E-2</v>
      </c>
      <c r="AA923" s="207">
        <v>3.8507015266100453E-2</v>
      </c>
    </row>
    <row r="924" spans="19:27" x14ac:dyDescent="0.2">
      <c r="S924" s="165"/>
      <c r="T924" s="166"/>
      <c r="W924" s="199" t="str">
        <f t="shared" si="23"/>
        <v>1w</v>
      </c>
      <c r="X924" s="200">
        <f>_xll.qlCalendarAdvance(Calendar,X923,W924,"f",FALSE)</f>
        <v>45287</v>
      </c>
      <c r="Y924" s="204">
        <f>_xll.qlCalendarAdvance(Calendar,X924,NDays&amp;"D")</f>
        <v>45289</v>
      </c>
      <c r="Z924" s="205">
        <v>3.862173861780379E-2</v>
      </c>
      <c r="AA924" s="207">
        <v>3.8523990116425821E-2</v>
      </c>
    </row>
    <row r="925" spans="19:27" x14ac:dyDescent="0.2">
      <c r="S925" s="165"/>
      <c r="T925" s="166"/>
      <c r="W925" s="199" t="str">
        <f t="shared" si="23"/>
        <v>1w</v>
      </c>
      <c r="X925" s="200">
        <f>_xll.qlCalendarAdvance(Calendar,X924,W925,"f",FALSE)</f>
        <v>45294</v>
      </c>
      <c r="Y925" s="204">
        <f>_xll.qlCalendarAdvance(Calendar,X925,NDays&amp;"D")</f>
        <v>45296</v>
      </c>
      <c r="Z925" s="205">
        <v>3.8634969730958875E-2</v>
      </c>
      <c r="AA925" s="207">
        <v>3.8541091140462669E-2</v>
      </c>
    </row>
    <row r="926" spans="19:27" x14ac:dyDescent="0.2">
      <c r="S926" s="165"/>
      <c r="T926" s="166"/>
      <c r="W926" s="199" t="str">
        <f t="shared" si="23"/>
        <v>1w</v>
      </c>
      <c r="X926" s="200">
        <f>_xll.qlCalendarAdvance(Calendar,X925,W926,"f",FALSE)</f>
        <v>45301</v>
      </c>
      <c r="Y926" s="204">
        <f>_xll.qlCalendarAdvance(Calendar,X926,NDays&amp;"D")</f>
        <v>45303</v>
      </c>
      <c r="Z926" s="205">
        <v>3.8655415897349804E-2</v>
      </c>
      <c r="AA926" s="207">
        <v>3.8561201804636625E-2</v>
      </c>
    </row>
    <row r="927" spans="19:27" x14ac:dyDescent="0.2">
      <c r="S927" s="165"/>
      <c r="T927" s="166"/>
      <c r="W927" s="199" t="str">
        <f t="shared" si="23"/>
        <v>1w</v>
      </c>
      <c r="X927" s="200">
        <f>_xll.qlCalendarAdvance(Calendar,X926,W927,"f",FALSE)</f>
        <v>45308</v>
      </c>
      <c r="Y927" s="204">
        <f>_xll.qlCalendarAdvance(Calendar,X927,NDays&amp;"D")</f>
        <v>45310</v>
      </c>
      <c r="Z927" s="205">
        <v>3.8679598442452889E-2</v>
      </c>
      <c r="AA927" s="207">
        <v>3.8581484205275629E-2</v>
      </c>
    </row>
    <row r="928" spans="19:27" x14ac:dyDescent="0.2">
      <c r="S928" s="165"/>
      <c r="T928" s="166"/>
      <c r="W928" s="199" t="str">
        <f t="shared" si="23"/>
        <v>1w</v>
      </c>
      <c r="X928" s="200">
        <f>_xll.qlCalendarAdvance(Calendar,X927,W928,"f",FALSE)</f>
        <v>45315</v>
      </c>
      <c r="Y928" s="204">
        <f>_xll.qlCalendarAdvance(Calendar,X928,NDays&amp;"D")</f>
        <v>45317</v>
      </c>
      <c r="Z928" s="205">
        <v>3.8696825205092572E-2</v>
      </c>
      <c r="AA928" s="207">
        <v>3.8601938342379682E-2</v>
      </c>
    </row>
    <row r="929" spans="19:27" x14ac:dyDescent="0.2">
      <c r="S929" s="165"/>
      <c r="T929" s="166"/>
      <c r="W929" s="199" t="str">
        <f t="shared" si="23"/>
        <v>1w</v>
      </c>
      <c r="X929" s="200">
        <f>_xll.qlCalendarAdvance(Calendar,X928,W929,"f",FALSE)</f>
        <v>45322</v>
      </c>
      <c r="Y929" s="204">
        <f>_xll.qlCalendarAdvance(Calendar,X929,NDays&amp;"D")</f>
        <v>45324</v>
      </c>
      <c r="Z929" s="205">
        <v>3.8717788348285515E-2</v>
      </c>
      <c r="AA929" s="207">
        <v>3.8622564215948785E-2</v>
      </c>
    </row>
    <row r="930" spans="19:27" x14ac:dyDescent="0.2">
      <c r="S930" s="165"/>
      <c r="T930" s="166"/>
      <c r="W930" s="199" t="str">
        <f t="shared" si="23"/>
        <v>1w</v>
      </c>
      <c r="X930" s="200">
        <f>_xll.qlCalendarAdvance(Calendar,X929,W930,"f",FALSE)</f>
        <v>45329</v>
      </c>
      <c r="Y930" s="204">
        <f>_xll.qlCalendarAdvance(Calendar,X930,NDays&amp;"D")</f>
        <v>45331</v>
      </c>
      <c r="Z930" s="205">
        <v>3.873892381892368E-2</v>
      </c>
      <c r="AA930" s="207">
        <v>3.8643361826062872E-2</v>
      </c>
    </row>
    <row r="931" spans="19:27" x14ac:dyDescent="0.2">
      <c r="S931" s="165"/>
      <c r="T931" s="166"/>
      <c r="W931" s="199" t="str">
        <f t="shared" si="23"/>
        <v>1w</v>
      </c>
      <c r="X931" s="200">
        <f>_xll.qlCalendarAdvance(Calendar,X930,W931,"f",FALSE)</f>
        <v>45336</v>
      </c>
      <c r="Y931" s="204">
        <f>_xll.qlCalendarAdvance(Calendar,X931,NDays&amp;"D")</f>
        <v>45338</v>
      </c>
      <c r="Z931" s="205">
        <v>3.8760231617953396E-2</v>
      </c>
      <c r="AA931" s="207">
        <v>3.866433117280188E-2</v>
      </c>
    </row>
    <row r="932" spans="19:27" x14ac:dyDescent="0.2">
      <c r="S932" s="165"/>
      <c r="T932" s="166"/>
      <c r="W932" s="199" t="str">
        <f t="shared" si="23"/>
        <v>1w</v>
      </c>
      <c r="X932" s="200">
        <f>_xll.qlCalendarAdvance(Calendar,X931,W932,"f",FALSE)</f>
        <v>45343</v>
      </c>
      <c r="Y932" s="204">
        <f>_xll.qlCalendarAdvance(Calendar,X932,NDays&amp;"D")</f>
        <v>45345</v>
      </c>
      <c r="Z932" s="205">
        <v>3.8781711746313272E-2</v>
      </c>
      <c r="AA932" s="207">
        <v>3.8685472256005937E-2</v>
      </c>
    </row>
    <row r="933" spans="19:27" x14ac:dyDescent="0.2">
      <c r="S933" s="165"/>
      <c r="T933" s="166"/>
      <c r="W933" s="199" t="str">
        <f t="shared" si="23"/>
        <v>1w</v>
      </c>
      <c r="X933" s="200">
        <f>_xll.qlCalendarAdvance(Calendar,X932,W933,"f",FALSE)</f>
        <v>45350</v>
      </c>
      <c r="Y933" s="204">
        <f>_xll.qlCalendarAdvance(Calendar,X933,NDays&amp;"D")</f>
        <v>45352</v>
      </c>
      <c r="Z933" s="205">
        <v>3.8807015802535816E-2</v>
      </c>
      <c r="AA933" s="207">
        <v>3.8706785075914851E-2</v>
      </c>
    </row>
    <row r="934" spans="19:27" x14ac:dyDescent="0.2">
      <c r="S934" s="165"/>
      <c r="T934" s="166"/>
      <c r="W934" s="199" t="str">
        <f t="shared" si="23"/>
        <v>1w</v>
      </c>
      <c r="X934" s="200">
        <f>_xll.qlCalendarAdvance(Calendar,X933,W934,"f",FALSE)</f>
        <v>45357</v>
      </c>
      <c r="Y934" s="204">
        <f>_xll.qlCalendarAdvance(Calendar,X934,NDays&amp;"D")</f>
        <v>45359</v>
      </c>
      <c r="Z934" s="205">
        <v>3.8825188994852711E-2</v>
      </c>
      <c r="AA934" s="207">
        <v>3.8728269632448686E-2</v>
      </c>
    </row>
    <row r="935" spans="19:27" x14ac:dyDescent="0.2">
      <c r="S935" s="165"/>
      <c r="T935" s="166"/>
      <c r="W935" s="199" t="str">
        <f t="shared" si="23"/>
        <v>1w</v>
      </c>
      <c r="X935" s="200">
        <f>_xll.qlCalendarAdvance(Calendar,X934,W935,"f",FALSE)</f>
        <v>45364</v>
      </c>
      <c r="Y935" s="204">
        <f>_xll.qlCalendarAdvance(Calendar,X935,NDays&amp;"D")</f>
        <v>45366</v>
      </c>
      <c r="Z935" s="205">
        <v>3.8847186116961044E-2</v>
      </c>
      <c r="AA935" s="207">
        <v>3.8749925925687378E-2</v>
      </c>
    </row>
    <row r="936" spans="19:27" x14ac:dyDescent="0.2">
      <c r="S936" s="165"/>
      <c r="T936" s="166"/>
      <c r="W936" s="199" t="str">
        <f t="shared" si="23"/>
        <v>1w</v>
      </c>
      <c r="X936" s="200">
        <f>_xll.qlCalendarAdvance(Calendar,X935,W936,"f",FALSE)</f>
        <v>45371</v>
      </c>
      <c r="Y936" s="204">
        <f>_xll.qlCalendarAdvance(Calendar,X936,NDays&amp;"D")</f>
        <v>45373</v>
      </c>
      <c r="Z936" s="205">
        <v>3.886935557226226E-2</v>
      </c>
      <c r="AA936" s="207">
        <v>3.8771753955630928E-2</v>
      </c>
    </row>
    <row r="937" spans="19:27" x14ac:dyDescent="0.2">
      <c r="S937" s="165"/>
      <c r="T937" s="166"/>
      <c r="W937" s="199" t="str">
        <f t="shared" si="23"/>
        <v>1w</v>
      </c>
      <c r="X937" s="200">
        <f>_xll.qlCalendarAdvance(Calendar,X936,W937,"f",FALSE)</f>
        <v>45378</v>
      </c>
      <c r="Y937" s="204">
        <f>_xll.qlCalendarAdvance(Calendar,X937,NDays&amp;"D")</f>
        <v>45384</v>
      </c>
      <c r="Z937" s="205">
        <v>3.8900824367469333E-2</v>
      </c>
      <c r="AA937" s="207">
        <v>3.8800070913449503E-2</v>
      </c>
    </row>
    <row r="938" spans="19:27" x14ac:dyDescent="0.2">
      <c r="S938" s="165"/>
      <c r="T938" s="166"/>
      <c r="W938" s="199" t="str">
        <f t="shared" si="23"/>
        <v>1w</v>
      </c>
      <c r="X938" s="200">
        <f>_xll.qlCalendarAdvance(Calendar,X937,W938,"f",FALSE)</f>
        <v>45385</v>
      </c>
      <c r="Y938" s="204">
        <f>_xll.qlCalendarAdvance(Calendar,X938,NDays&amp;"D")</f>
        <v>45387</v>
      </c>
      <c r="Z938" s="205">
        <v>3.8917936584560164E-2</v>
      </c>
      <c r="AA938" s="207">
        <v>3.8815925225712533E-2</v>
      </c>
    </row>
    <row r="939" spans="19:27" x14ac:dyDescent="0.2">
      <c r="S939" s="165"/>
      <c r="T939" s="166"/>
      <c r="W939" s="199" t="str">
        <f t="shared" si="23"/>
        <v>1w</v>
      </c>
      <c r="X939" s="200">
        <f>_xll.qlCalendarAdvance(Calendar,X938,W939,"f",FALSE)</f>
        <v>45392</v>
      </c>
      <c r="Y939" s="204">
        <f>_xll.qlCalendarAdvance(Calendar,X939,NDays&amp;"D")</f>
        <v>45394</v>
      </c>
      <c r="Z939" s="205">
        <v>3.8936897947175926E-2</v>
      </c>
      <c r="AA939" s="207">
        <v>3.8838268465930526E-2</v>
      </c>
    </row>
    <row r="940" spans="19:27" x14ac:dyDescent="0.2">
      <c r="S940" s="165"/>
      <c r="T940" s="166"/>
      <c r="W940" s="199" t="str">
        <f t="shared" si="23"/>
        <v>1w</v>
      </c>
      <c r="X940" s="200">
        <f>_xll.qlCalendarAdvance(Calendar,X939,W940,"f",FALSE)</f>
        <v>45399</v>
      </c>
      <c r="Y940" s="204">
        <f>_xll.qlCalendarAdvance(Calendar,X940,NDays&amp;"D")</f>
        <v>45401</v>
      </c>
      <c r="Z940" s="205">
        <v>3.8959756745150405E-2</v>
      </c>
      <c r="AA940" s="207">
        <v>3.8860783443013247E-2</v>
      </c>
    </row>
    <row r="941" spans="19:27" x14ac:dyDescent="0.2">
      <c r="S941" s="165"/>
      <c r="T941" s="166"/>
      <c r="W941" s="199" t="str">
        <f t="shared" si="23"/>
        <v>1w</v>
      </c>
      <c r="X941" s="200">
        <f>_xll.qlCalendarAdvance(Calendar,X940,W941,"f",FALSE)</f>
        <v>45406</v>
      </c>
      <c r="Y941" s="204">
        <f>_xll.qlCalendarAdvance(Calendar,X941,NDays&amp;"D")</f>
        <v>45408</v>
      </c>
      <c r="Z941" s="205">
        <v>3.8986557320648541E-2</v>
      </c>
      <c r="AA941" s="207">
        <v>3.8883470156960698E-2</v>
      </c>
    </row>
    <row r="942" spans="19:27" x14ac:dyDescent="0.2">
      <c r="S942" s="165"/>
      <c r="T942" s="166"/>
      <c r="W942" s="199" t="str">
        <f t="shared" si="23"/>
        <v>1w</v>
      </c>
      <c r="X942" s="200">
        <f>_xll.qlCalendarAdvance(Calendar,X941,W942,"f",FALSE)</f>
        <v>45413</v>
      </c>
      <c r="Y942" s="204">
        <f>_xll.qlCalendarAdvance(Calendar,X942,NDays&amp;"D")</f>
        <v>45415</v>
      </c>
      <c r="Z942" s="205">
        <v>3.9005991356672938E-2</v>
      </c>
      <c r="AA942" s="207">
        <v>3.8909608120114569E-2</v>
      </c>
    </row>
    <row r="943" spans="19:27" x14ac:dyDescent="0.2">
      <c r="S943" s="165"/>
      <c r="T943" s="166"/>
      <c r="W943" s="199" t="str">
        <f t="shared" si="23"/>
        <v>1w</v>
      </c>
      <c r="X943" s="200">
        <f>_xll.qlCalendarAdvance(Calendar,X942,W943,"f",FALSE)</f>
        <v>45420</v>
      </c>
      <c r="Y943" s="204">
        <f>_xll.qlCalendarAdvance(Calendar,X943,NDays&amp;"D")</f>
        <v>45422</v>
      </c>
      <c r="Z943" s="205">
        <v>3.9029367172273545E-2</v>
      </c>
      <c r="AA943" s="207">
        <v>3.8929358795609659E-2</v>
      </c>
    </row>
    <row r="944" spans="19:27" x14ac:dyDescent="0.2">
      <c r="S944" s="165"/>
      <c r="T944" s="166"/>
      <c r="W944" s="199" t="str">
        <f t="shared" si="23"/>
        <v>1w</v>
      </c>
      <c r="X944" s="200">
        <f>_xll.qlCalendarAdvance(Calendar,X943,W944,"f",FALSE)</f>
        <v>45427</v>
      </c>
      <c r="Y944" s="204">
        <f>_xll.qlCalendarAdvance(Calendar,X944,NDays&amp;"D")</f>
        <v>45429</v>
      </c>
      <c r="Z944" s="205">
        <v>3.9052915329145732E-2</v>
      </c>
      <c r="AA944" s="207">
        <v>3.8952560720311169E-2</v>
      </c>
    </row>
    <row r="945" spans="19:27" x14ac:dyDescent="0.2">
      <c r="S945" s="165"/>
      <c r="T945" s="166"/>
      <c r="W945" s="199" t="str">
        <f t="shared" si="23"/>
        <v>1w</v>
      </c>
      <c r="X945" s="200">
        <f>_xll.qlCalendarAdvance(Calendar,X944,W945,"f",FALSE)</f>
        <v>45434</v>
      </c>
      <c r="Y945" s="204">
        <f>_xll.qlCalendarAdvance(Calendar,X945,NDays&amp;"D")</f>
        <v>45436</v>
      </c>
      <c r="Z945" s="205">
        <v>3.9076635828336398E-2</v>
      </c>
      <c r="AA945" s="207">
        <v>3.8979287495983783E-2</v>
      </c>
    </row>
    <row r="946" spans="19:27" x14ac:dyDescent="0.2">
      <c r="S946" s="165"/>
      <c r="T946" s="166"/>
      <c r="W946" s="199" t="str">
        <f t="shared" si="23"/>
        <v>1w</v>
      </c>
      <c r="X946" s="200">
        <f>_xll.qlCalendarAdvance(Calendar,X945,W946,"f",FALSE)</f>
        <v>45441</v>
      </c>
      <c r="Y946" s="204">
        <f>_xll.qlCalendarAdvance(Calendar,X946,NDays&amp;"D")</f>
        <v>45443</v>
      </c>
      <c r="Z946" s="205">
        <v>3.9089007226564831E-2</v>
      </c>
      <c r="AA946" s="207">
        <v>3.8999479780867929E-2</v>
      </c>
    </row>
    <row r="947" spans="19:27" x14ac:dyDescent="0.2">
      <c r="S947" s="165"/>
      <c r="T947" s="166"/>
      <c r="W947" s="199" t="str">
        <f t="shared" si="23"/>
        <v>1w</v>
      </c>
      <c r="X947" s="200">
        <f>_xll.qlCalendarAdvance(Calendar,X946,W947,"f",FALSE)</f>
        <v>45448</v>
      </c>
      <c r="Y947" s="204">
        <f>_xll.qlCalendarAdvance(Calendar,X947,NDays&amp;"D")</f>
        <v>45450</v>
      </c>
      <c r="Z947" s="205">
        <v>3.9124515666856159E-2</v>
      </c>
      <c r="AA947" s="207">
        <v>3.902319691672318E-2</v>
      </c>
    </row>
    <row r="948" spans="19:27" x14ac:dyDescent="0.2">
      <c r="S948" s="165"/>
      <c r="T948" s="166"/>
      <c r="W948" s="199" t="str">
        <f t="shared" si="23"/>
        <v>1w</v>
      </c>
      <c r="X948" s="200">
        <f>_xll.qlCalendarAdvance(Calendar,X947,W948,"f",FALSE)</f>
        <v>45455</v>
      </c>
      <c r="Y948" s="204">
        <f>_xll.qlCalendarAdvance(Calendar,X948,NDays&amp;"D")</f>
        <v>45457</v>
      </c>
      <c r="Z948" s="205">
        <v>3.9148521023825475E-2</v>
      </c>
      <c r="AA948" s="207">
        <v>3.9047085789682967E-2</v>
      </c>
    </row>
    <row r="949" spans="19:27" x14ac:dyDescent="0.2">
      <c r="S949" s="165"/>
      <c r="T949" s="166"/>
      <c r="W949" s="199" t="str">
        <f t="shared" si="23"/>
        <v>1w</v>
      </c>
      <c r="X949" s="200">
        <f>_xll.qlCalendarAdvance(Calendar,X948,W949,"f",FALSE)</f>
        <v>45462</v>
      </c>
      <c r="Y949" s="204">
        <f>_xll.qlCalendarAdvance(Calendar,X949,NDays&amp;"D")</f>
        <v>45464</v>
      </c>
      <c r="Z949" s="205">
        <v>3.9172445961985124E-2</v>
      </c>
      <c r="AA949" s="207">
        <v>3.9071146399747292E-2</v>
      </c>
    </row>
    <row r="950" spans="19:27" x14ac:dyDescent="0.2">
      <c r="S950" s="165"/>
      <c r="T950" s="166"/>
      <c r="W950" s="199" t="str">
        <f t="shared" si="23"/>
        <v>1w</v>
      </c>
      <c r="X950" s="200">
        <f>_xll.qlCalendarAdvance(Calendar,X949,W950,"f",FALSE)</f>
        <v>45469</v>
      </c>
      <c r="Y950" s="204">
        <f>_xll.qlCalendarAdvance(Calendar,X950,NDays&amp;"D")</f>
        <v>45471</v>
      </c>
      <c r="Z950" s="205">
        <v>3.9203809763983119E-2</v>
      </c>
      <c r="AA950" s="207">
        <v>3.9095201178795946E-2</v>
      </c>
    </row>
    <row r="951" spans="19:27" x14ac:dyDescent="0.2">
      <c r="S951" s="165"/>
      <c r="T951" s="166"/>
      <c r="W951" s="199" t="str">
        <f t="shared" si="23"/>
        <v>1w</v>
      </c>
      <c r="X951" s="200">
        <f>_xll.qlCalendarAdvance(Calendar,X950,W951,"f",FALSE)</f>
        <v>45476</v>
      </c>
      <c r="Y951" s="204">
        <f>_xll.qlCalendarAdvance(Calendar,X951,NDays&amp;"D")</f>
        <v>45478</v>
      </c>
      <c r="Z951" s="205">
        <v>3.9219715070558263E-2</v>
      </c>
      <c r="AA951" s="207">
        <v>3.9119018030007169E-2</v>
      </c>
    </row>
    <row r="952" spans="19:27" x14ac:dyDescent="0.2">
      <c r="S952" s="165"/>
      <c r="T952" s="166"/>
      <c r="W952" s="199" t="str">
        <f t="shared" si="23"/>
        <v>1w</v>
      </c>
      <c r="X952" s="200">
        <f>_xll.qlCalendarAdvance(Calendar,X951,W952,"f",FALSE)</f>
        <v>45483</v>
      </c>
      <c r="Y952" s="204">
        <f>_xll.qlCalendarAdvance(Calendar,X952,NDays&amp;"D")</f>
        <v>45485</v>
      </c>
      <c r="Z952" s="205">
        <v>3.9242992359269001E-2</v>
      </c>
      <c r="AA952" s="207">
        <v>3.9142595554899628E-2</v>
      </c>
    </row>
    <row r="953" spans="19:27" x14ac:dyDescent="0.2">
      <c r="S953" s="165"/>
      <c r="T953" s="166"/>
      <c r="W953" s="199" t="str">
        <f t="shared" si="23"/>
        <v>1w</v>
      </c>
      <c r="X953" s="200">
        <f>_xll.qlCalendarAdvance(Calendar,X952,W953,"f",FALSE)</f>
        <v>45490</v>
      </c>
      <c r="Y953" s="204">
        <f>_xll.qlCalendarAdvance(Calendar,X953,NDays&amp;"D")</f>
        <v>45492</v>
      </c>
      <c r="Z953" s="205">
        <v>3.9266029583595881E-2</v>
      </c>
      <c r="AA953" s="207">
        <v>3.9165933753633198E-2</v>
      </c>
    </row>
    <row r="954" spans="19:27" x14ac:dyDescent="0.2">
      <c r="S954" s="165"/>
      <c r="T954" s="166"/>
      <c r="W954" s="199" t="str">
        <f t="shared" si="23"/>
        <v>1w</v>
      </c>
      <c r="X954" s="200">
        <f>_xll.qlCalendarAdvance(Calendar,X953,W954,"f",FALSE)</f>
        <v>45497</v>
      </c>
      <c r="Y954" s="204">
        <f>_xll.qlCalendarAdvance(Calendar,X954,NDays&amp;"D")</f>
        <v>45499</v>
      </c>
      <c r="Z954" s="205">
        <v>3.9292574805828151E-2</v>
      </c>
      <c r="AA954" s="207">
        <v>3.918903262612794E-2</v>
      </c>
    </row>
    <row r="955" spans="19:27" x14ac:dyDescent="0.2">
      <c r="S955" s="165"/>
      <c r="T955" s="166"/>
      <c r="W955" s="199" t="str">
        <f t="shared" si="23"/>
        <v>1w</v>
      </c>
      <c r="X955" s="200">
        <f>_xll.qlCalendarAdvance(Calendar,X954,W955,"f",FALSE)</f>
        <v>45504</v>
      </c>
      <c r="Y955" s="204">
        <f>_xll.qlCalendarAdvance(Calendar,X955,NDays&amp;"D")</f>
        <v>45506</v>
      </c>
      <c r="Z955" s="205">
        <v>3.9315117206104588E-2</v>
      </c>
      <c r="AA955" s="207">
        <v>3.9211892172144047E-2</v>
      </c>
    </row>
    <row r="956" spans="19:27" x14ac:dyDescent="0.2">
      <c r="S956" s="165"/>
      <c r="T956" s="166"/>
      <c r="W956" s="199" t="str">
        <f t="shared" si="23"/>
        <v>1w</v>
      </c>
      <c r="X956" s="200">
        <f>_xll.qlCalendarAdvance(Calendar,X955,W956,"f",FALSE)</f>
        <v>45511</v>
      </c>
      <c r="Y956" s="204">
        <f>_xll.qlCalendarAdvance(Calendar,X956,NDays&amp;"D")</f>
        <v>45513</v>
      </c>
      <c r="Z956" s="205">
        <v>3.9333700856160808E-2</v>
      </c>
      <c r="AA956" s="207">
        <v>3.9234512391921328E-2</v>
      </c>
    </row>
    <row r="957" spans="19:27" x14ac:dyDescent="0.2">
      <c r="S957" s="165"/>
      <c r="T957" s="166"/>
      <c r="W957" s="199" t="str">
        <f t="shared" si="23"/>
        <v>1w</v>
      </c>
      <c r="X957" s="200">
        <f>_xll.qlCalendarAdvance(Calendar,X956,W957,"f",FALSE)</f>
        <v>45518</v>
      </c>
      <c r="Y957" s="204">
        <f>_xll.qlCalendarAdvance(Calendar,X957,NDays&amp;"D")</f>
        <v>45520</v>
      </c>
      <c r="Z957" s="205">
        <v>3.935577780888868E-2</v>
      </c>
      <c r="AA957" s="207">
        <v>3.925689328529991E-2</v>
      </c>
    </row>
    <row r="958" spans="19:27" x14ac:dyDescent="0.2">
      <c r="S958" s="165"/>
      <c r="T958" s="166"/>
      <c r="W958" s="199" t="str">
        <f t="shared" si="23"/>
        <v>1w</v>
      </c>
      <c r="X958" s="200">
        <f>_xll.qlCalendarAdvance(Calendar,X957,W958,"f",FALSE)</f>
        <v>45525</v>
      </c>
      <c r="Y958" s="204">
        <f>_xll.qlCalendarAdvance(Calendar,X958,NDays&amp;"D")</f>
        <v>45527</v>
      </c>
      <c r="Z958" s="205">
        <v>3.9377614690267945E-2</v>
      </c>
      <c r="AA958" s="207">
        <v>3.9282178396264911E-2</v>
      </c>
    </row>
    <row r="959" spans="19:27" x14ac:dyDescent="0.2">
      <c r="S959" s="165"/>
      <c r="T959" s="166"/>
      <c r="W959" s="199" t="str">
        <f t="shared" si="23"/>
        <v>1w</v>
      </c>
      <c r="X959" s="200">
        <f>_xll.qlCalendarAdvance(Calendar,X958,W959,"f",FALSE)</f>
        <v>45532</v>
      </c>
      <c r="Y959" s="204">
        <f>_xll.qlCalendarAdvance(Calendar,X959,NDays&amp;"D")</f>
        <v>45534</v>
      </c>
      <c r="Z959" s="205">
        <v>3.9399211498947422E-2</v>
      </c>
      <c r="AA959" s="207">
        <v>3.9300937092541233E-2</v>
      </c>
    </row>
    <row r="960" spans="19:27" x14ac:dyDescent="0.2">
      <c r="S960" s="165"/>
      <c r="T960" s="166"/>
      <c r="W960" s="199" t="str">
        <f t="shared" si="23"/>
        <v>1w</v>
      </c>
      <c r="X960" s="200">
        <f>_xll.qlCalendarAdvance(Calendar,X959,W960,"f",FALSE)</f>
        <v>45539</v>
      </c>
      <c r="Y960" s="204">
        <f>_xll.qlCalendarAdvance(Calendar,X960,NDays&amp;"D")</f>
        <v>45541</v>
      </c>
      <c r="Z960" s="205">
        <v>3.9420568233593987E-2</v>
      </c>
      <c r="AA960" s="207">
        <v>3.9322600006403974E-2</v>
      </c>
    </row>
    <row r="961" spans="19:27" x14ac:dyDescent="0.2">
      <c r="S961" s="165"/>
      <c r="T961" s="166"/>
      <c r="W961" s="199" t="str">
        <f t="shared" si="23"/>
        <v>1w</v>
      </c>
      <c r="X961" s="200">
        <f>_xll.qlCalendarAdvance(Calendar,X960,W961,"f",FALSE)</f>
        <v>45546</v>
      </c>
      <c r="Y961" s="204">
        <f>_xll.qlCalendarAdvance(Calendar,X961,NDays&amp;"D")</f>
        <v>45548</v>
      </c>
      <c r="Z961" s="205">
        <v>3.9445329595313161E-2</v>
      </c>
      <c r="AA961" s="207">
        <v>3.9344023593708144E-2</v>
      </c>
    </row>
    <row r="962" spans="19:27" x14ac:dyDescent="0.2">
      <c r="S962" s="165"/>
      <c r="T962" s="166"/>
      <c r="W962" s="199" t="str">
        <f t="shared" si="23"/>
        <v>1w</v>
      </c>
      <c r="X962" s="200">
        <f>_xll.qlCalendarAdvance(Calendar,X961,W962,"f",FALSE)</f>
        <v>45553</v>
      </c>
      <c r="Y962" s="204">
        <f>_xll.qlCalendarAdvance(Calendar,X962,NDays&amp;"D")</f>
        <v>45555</v>
      </c>
      <c r="Z962" s="205">
        <v>3.9462561475517764E-2</v>
      </c>
      <c r="AA962" s="207">
        <v>3.9365207854293871E-2</v>
      </c>
    </row>
    <row r="963" spans="19:27" x14ac:dyDescent="0.2">
      <c r="S963" s="165"/>
      <c r="T963" s="166"/>
      <c r="W963" s="199" t="str">
        <f t="shared" si="23"/>
        <v>1w</v>
      </c>
      <c r="X963" s="200">
        <f>_xll.qlCalendarAdvance(Calendar,X962,W963,"f",FALSE)</f>
        <v>45560</v>
      </c>
      <c r="Y963" s="204">
        <f>_xll.qlCalendarAdvance(Calendar,X963,NDays&amp;"D")</f>
        <v>45562</v>
      </c>
      <c r="Z963" s="205">
        <v>3.9483197980198344E-2</v>
      </c>
      <c r="AA963" s="207">
        <v>3.9386152788161155E-2</v>
      </c>
    </row>
    <row r="964" spans="19:27" x14ac:dyDescent="0.2">
      <c r="S964" s="165"/>
      <c r="T964" s="166"/>
      <c r="W964" s="199" t="str">
        <f t="shared" si="23"/>
        <v>1w</v>
      </c>
      <c r="X964" s="200">
        <f>_xll.qlCalendarAdvance(Calendar,X963,W964,"f",FALSE)</f>
        <v>45567</v>
      </c>
      <c r="Y964" s="204">
        <f>_xll.qlCalendarAdvance(Calendar,X964,NDays&amp;"D")</f>
        <v>45569</v>
      </c>
      <c r="Z964" s="205">
        <v>3.9503594405655325E-2</v>
      </c>
      <c r="AA964" s="207">
        <v>3.9406858395469868E-2</v>
      </c>
    </row>
    <row r="965" spans="19:27" x14ac:dyDescent="0.2">
      <c r="S965" s="165"/>
      <c r="T965" s="166"/>
      <c r="W965" s="199" t="str">
        <f t="shared" si="23"/>
        <v>1w</v>
      </c>
      <c r="X965" s="200">
        <f>_xll.qlCalendarAdvance(Calendar,X964,W965,"f",FALSE)</f>
        <v>45574</v>
      </c>
      <c r="Y965" s="204">
        <f>_xll.qlCalendarAdvance(Calendar,X965,NDays&amp;"D")</f>
        <v>45576</v>
      </c>
      <c r="Z965" s="205">
        <v>3.9527335837437616E-2</v>
      </c>
      <c r="AA965" s="207">
        <v>3.9427324675900266E-2</v>
      </c>
    </row>
    <row r="966" spans="19:27" x14ac:dyDescent="0.2">
      <c r="S966" s="165"/>
      <c r="T966" s="166"/>
      <c r="W966" s="199" t="str">
        <f t="shared" si="23"/>
        <v>1w</v>
      </c>
      <c r="X966" s="200">
        <f>_xll.qlCalendarAdvance(Calendar,X965,W966,"f",FALSE)</f>
        <v>45581</v>
      </c>
      <c r="Y966" s="204">
        <f>_xll.qlCalendarAdvance(Calendar,X966,NDays&amp;"D")</f>
        <v>45583</v>
      </c>
      <c r="Z966" s="205">
        <v>3.9543667013857357E-2</v>
      </c>
      <c r="AA966" s="207">
        <v>3.9447551629612221E-2</v>
      </c>
    </row>
    <row r="967" spans="19:27" x14ac:dyDescent="0.2">
      <c r="S967" s="165"/>
      <c r="T967" s="166"/>
      <c r="W967" s="199" t="str">
        <f t="shared" si="23"/>
        <v>1w</v>
      </c>
      <c r="X967" s="200">
        <f>_xll.qlCalendarAdvance(Calendar,X966,W967,"f",FALSE)</f>
        <v>45588</v>
      </c>
      <c r="Y967" s="204">
        <f>_xll.qlCalendarAdvance(Calendar,X967,NDays&amp;"D")</f>
        <v>45590</v>
      </c>
      <c r="Z967" s="205">
        <v>3.9563343194129554E-2</v>
      </c>
      <c r="AA967" s="207">
        <v>3.946753925644586E-2</v>
      </c>
    </row>
    <row r="968" spans="19:27" x14ac:dyDescent="0.2">
      <c r="S968" s="165"/>
      <c r="T968" s="166"/>
      <c r="W968" s="199" t="str">
        <f t="shared" si="23"/>
        <v>1w</v>
      </c>
      <c r="X968" s="200">
        <f>_xll.qlCalendarAdvance(Calendar,X967,W968,"f",FALSE)</f>
        <v>45595</v>
      </c>
      <c r="Y968" s="204">
        <f>_xll.qlCalendarAdvance(Calendar,X968,NDays&amp;"D")</f>
        <v>45597</v>
      </c>
      <c r="Z968" s="205">
        <v>3.9582779290219534E-2</v>
      </c>
      <c r="AA968" s="207">
        <v>3.9487287556401185E-2</v>
      </c>
    </row>
    <row r="969" spans="19:27" x14ac:dyDescent="0.2">
      <c r="S969" s="165"/>
      <c r="T969" s="166"/>
      <c r="W969" s="199" t="str">
        <f t="shared" si="23"/>
        <v>1w</v>
      </c>
      <c r="X969" s="200">
        <f>_xll.qlCalendarAdvance(Calendar,X968,W969,"f",FALSE)</f>
        <v>45602</v>
      </c>
      <c r="Y969" s="204">
        <f>_xll.qlCalendarAdvance(Calendar,X969,NDays&amp;"D")</f>
        <v>45604</v>
      </c>
      <c r="Z969" s="205">
        <v>3.9601975300933422E-2</v>
      </c>
      <c r="AA969" s="207">
        <v>3.9506796529478194E-2</v>
      </c>
    </row>
    <row r="970" spans="19:27" x14ac:dyDescent="0.2">
      <c r="S970" s="165"/>
      <c r="T970" s="166"/>
      <c r="W970" s="199" t="str">
        <f t="shared" si="23"/>
        <v>1w</v>
      </c>
      <c r="X970" s="200">
        <f>_xll.qlCalendarAdvance(Calendar,X969,W970,"f",FALSE)</f>
        <v>45609</v>
      </c>
      <c r="Y970" s="204">
        <f>_xll.qlCalendarAdvance(Calendar,X970,NDays&amp;"D")</f>
        <v>45611</v>
      </c>
      <c r="Z970" s="205">
        <v>3.9620931225072174E-2</v>
      </c>
      <c r="AA970" s="207">
        <v>3.9526066175517016E-2</v>
      </c>
    </row>
    <row r="971" spans="19:27" x14ac:dyDescent="0.2">
      <c r="S971" s="165"/>
      <c r="T971" s="166"/>
      <c r="W971" s="199" t="str">
        <f t="shared" si="23"/>
        <v>1w</v>
      </c>
      <c r="X971" s="200">
        <f>_xll.qlCalendarAdvance(Calendar,X970,W971,"f",FALSE)</f>
        <v>45616</v>
      </c>
      <c r="Y971" s="204">
        <f>_xll.qlCalendarAdvance(Calendar,X971,NDays&amp;"D")</f>
        <v>45618</v>
      </c>
      <c r="Z971" s="205">
        <v>3.9639647061475429E-2</v>
      </c>
      <c r="AA971" s="207">
        <v>3.9545096494677523E-2</v>
      </c>
    </row>
    <row r="972" spans="19:27" x14ac:dyDescent="0.2">
      <c r="S972" s="165"/>
      <c r="T972" s="166"/>
      <c r="W972" s="199" t="str">
        <f t="shared" si="23"/>
        <v>1w</v>
      </c>
      <c r="X972" s="200">
        <f>_xll.qlCalendarAdvance(Calendar,X971,W972,"f",FALSE)</f>
        <v>45623</v>
      </c>
      <c r="Y972" s="204">
        <f>_xll.qlCalendarAdvance(Calendar,X972,NDays&amp;"D")</f>
        <v>45625</v>
      </c>
      <c r="Z972" s="205">
        <v>3.9661602593193679E-2</v>
      </c>
      <c r="AA972" s="207">
        <v>3.9563887486719906E-2</v>
      </c>
    </row>
    <row r="973" spans="19:27" x14ac:dyDescent="0.2">
      <c r="S973" s="165"/>
      <c r="T973" s="166"/>
      <c r="W973" s="199" t="str">
        <f t="shared" si="23"/>
        <v>1w</v>
      </c>
      <c r="X973" s="200">
        <f>_xll.qlCalendarAdvance(Calendar,X972,W973,"f",FALSE)</f>
        <v>45630</v>
      </c>
      <c r="Y973" s="204">
        <f>_xll.qlCalendarAdvance(Calendar,X973,NDays&amp;"D")</f>
        <v>45632</v>
      </c>
      <c r="Z973" s="205">
        <v>3.967635846644172E-2</v>
      </c>
      <c r="AA973" s="207">
        <v>3.9582439151724103E-2</v>
      </c>
    </row>
    <row r="974" spans="19:27" x14ac:dyDescent="0.2">
      <c r="S974" s="165"/>
      <c r="T974" s="166"/>
      <c r="W974" s="199" t="str">
        <f t="shared" si="23"/>
        <v>1w</v>
      </c>
      <c r="X974" s="200">
        <f>_xll.qlCalendarAdvance(Calendar,X973,W974,"f",FALSE)</f>
        <v>45637</v>
      </c>
      <c r="Y974" s="204">
        <f>_xll.qlCalendarAdvance(Calendar,X974,NDays&amp;"D")</f>
        <v>45639</v>
      </c>
      <c r="Z974" s="205">
        <v>3.969435403274077E-2</v>
      </c>
      <c r="AA974" s="207">
        <v>3.9600751489530239E-2</v>
      </c>
    </row>
    <row r="975" spans="19:27" x14ac:dyDescent="0.2">
      <c r="S975" s="165"/>
      <c r="T975" s="166"/>
      <c r="W975" s="199" t="str">
        <f t="shared" si="23"/>
        <v>1w</v>
      </c>
      <c r="X975" s="200">
        <f>_xll.qlCalendarAdvance(Calendar,X974,W975,"f",FALSE)</f>
        <v>45644</v>
      </c>
      <c r="Y975" s="204">
        <f>_xll.qlCalendarAdvance(Calendar,X975,NDays&amp;"D")</f>
        <v>45646</v>
      </c>
      <c r="Z975" s="205">
        <v>3.9715543778691964E-2</v>
      </c>
      <c r="AA975" s="207">
        <v>3.9625746059996914E-2</v>
      </c>
    </row>
    <row r="976" spans="19:27" x14ac:dyDescent="0.2">
      <c r="S976" s="165"/>
      <c r="T976" s="166"/>
      <c r="W976" s="199" t="str">
        <f t="shared" si="23"/>
        <v>1w</v>
      </c>
      <c r="X976" s="200">
        <f>_xll.qlCalendarAdvance(Calendar,X975,W976,"f",FALSE)</f>
        <v>45653</v>
      </c>
      <c r="Y976" s="204">
        <f>_xll.qlCalendarAdvance(Calendar,X976,NDays&amp;"D")</f>
        <v>45657</v>
      </c>
      <c r="Z976" s="205">
        <v>3.9739525878898563E-2</v>
      </c>
      <c r="AA976" s="207">
        <v>3.9651106228175692E-2</v>
      </c>
    </row>
    <row r="977" spans="19:27" x14ac:dyDescent="0.2">
      <c r="S977" s="165"/>
      <c r="T977" s="166"/>
      <c r="W977" s="199" t="str">
        <f t="shared" si="23"/>
        <v>1w</v>
      </c>
      <c r="X977" s="200">
        <f>_xll.qlCalendarAdvance(Calendar,X976,W977,"f",FALSE)</f>
        <v>45660</v>
      </c>
      <c r="Y977" s="204">
        <f>_xll.qlCalendarAdvance(Calendar,X977,NDays&amp;"D")</f>
        <v>45664</v>
      </c>
      <c r="Z977" s="205">
        <v>3.9756663967766614E-2</v>
      </c>
      <c r="AA977" s="207">
        <v>3.9659235541131821E-2</v>
      </c>
    </row>
    <row r="978" spans="19:27" x14ac:dyDescent="0.2">
      <c r="S978" s="165"/>
      <c r="T978" s="166"/>
      <c r="W978" s="199" t="str">
        <f t="shared" si="23"/>
        <v>1w</v>
      </c>
      <c r="X978" s="200">
        <f>_xll.qlCalendarAdvance(Calendar,X977,W978,"f",FALSE)</f>
        <v>45667</v>
      </c>
      <c r="Y978" s="204">
        <f>_xll.qlCalendarAdvance(Calendar,X978,NDays&amp;"D")</f>
        <v>45671</v>
      </c>
      <c r="Z978" s="205">
        <v>3.9773561960503301E-2</v>
      </c>
      <c r="AA978" s="207">
        <v>3.9676522191003372E-2</v>
      </c>
    </row>
    <row r="979" spans="19:27" x14ac:dyDescent="0.2">
      <c r="S979" s="165"/>
      <c r="T979" s="166"/>
      <c r="W979" s="199" t="str">
        <f t="shared" si="23"/>
        <v>1w</v>
      </c>
      <c r="X979" s="200">
        <f>_xll.qlCalendarAdvance(Calendar,X978,W979,"f",FALSE)</f>
        <v>45674</v>
      </c>
      <c r="Y979" s="204">
        <f>_xll.qlCalendarAdvance(Calendar,X979,NDays&amp;"D")</f>
        <v>45678</v>
      </c>
      <c r="Z979" s="205">
        <v>3.9790219856066879E-2</v>
      </c>
      <c r="AA979" s="207">
        <v>3.9693569513596927E-2</v>
      </c>
    </row>
    <row r="980" spans="19:27" x14ac:dyDescent="0.2">
      <c r="S980" s="165"/>
      <c r="T980" s="166"/>
      <c r="W980" s="199" t="str">
        <f t="shared" si="23"/>
        <v>1w</v>
      </c>
      <c r="X980" s="200">
        <f>_xll.qlCalendarAdvance(Calendar,X979,W980,"f",FALSE)</f>
        <v>45681</v>
      </c>
      <c r="Y980" s="204">
        <f>_xll.qlCalendarAdvance(Calendar,X980,NDays&amp;"D")</f>
        <v>45685</v>
      </c>
      <c r="Z980" s="205">
        <v>3.9806637653423335E-2</v>
      </c>
      <c r="AA980" s="207">
        <v>3.9710377508832551E-2</v>
      </c>
    </row>
    <row r="981" spans="19:27" x14ac:dyDescent="0.2">
      <c r="S981" s="165"/>
      <c r="T981" s="166"/>
      <c r="W981" s="199" t="str">
        <f t="shared" ref="W981:W1044" si="24">W980</f>
        <v>1w</v>
      </c>
      <c r="X981" s="200">
        <f>_xll.qlCalendarAdvance(Calendar,X980,W981,"f",FALSE)</f>
        <v>45688</v>
      </c>
      <c r="Y981" s="204">
        <f>_xll.qlCalendarAdvance(Calendar,X981,NDays&amp;"D")</f>
        <v>45692</v>
      </c>
      <c r="Z981" s="205">
        <v>3.9812806718066973E-2</v>
      </c>
      <c r="AA981" s="207">
        <v>3.9726946176790179E-2</v>
      </c>
    </row>
    <row r="982" spans="19:27" x14ac:dyDescent="0.2">
      <c r="S982" s="165"/>
      <c r="T982" s="166"/>
      <c r="W982" s="199" t="str">
        <f t="shared" si="24"/>
        <v>1w</v>
      </c>
      <c r="X982" s="200">
        <f>_xll.qlCalendarAdvance(Calendar,X981,W982,"f",FALSE)</f>
        <v>45695</v>
      </c>
      <c r="Y982" s="204">
        <f>_xll.qlCalendarAdvance(Calendar,X982,NDays&amp;"D")</f>
        <v>45699</v>
      </c>
      <c r="Z982" s="205">
        <v>3.9828790469432294E-2</v>
      </c>
      <c r="AA982" s="207">
        <v>3.9743275517230003E-2</v>
      </c>
    </row>
    <row r="983" spans="19:27" x14ac:dyDescent="0.2">
      <c r="S983" s="165"/>
      <c r="T983" s="166"/>
      <c r="W983" s="199" t="str">
        <f t="shared" si="24"/>
        <v>1w</v>
      </c>
      <c r="X983" s="200">
        <f>_xll.qlCalendarAdvance(Calendar,X982,W983,"f",FALSE)</f>
        <v>45702</v>
      </c>
      <c r="Y983" s="204">
        <f>_xll.qlCalendarAdvance(Calendar,X983,NDays&amp;"D")</f>
        <v>45706</v>
      </c>
      <c r="Z983" s="205">
        <v>3.9844534197267995E-2</v>
      </c>
      <c r="AA983" s="207">
        <v>3.9759365530311896E-2</v>
      </c>
    </row>
    <row r="984" spans="19:27" x14ac:dyDescent="0.2">
      <c r="S984" s="165"/>
      <c r="T984" s="166"/>
      <c r="W984" s="199" t="str">
        <f t="shared" si="24"/>
        <v>1w</v>
      </c>
      <c r="X984" s="200">
        <f>_xll.qlCalendarAdvance(Calendar,X983,W984,"f",FALSE)</f>
        <v>45709</v>
      </c>
      <c r="Y984" s="204">
        <f>_xll.qlCalendarAdvance(Calendar,X984,NDays&amp;"D")</f>
        <v>45713</v>
      </c>
      <c r="Z984" s="205">
        <v>3.9860037900694777E-2</v>
      </c>
      <c r="AA984" s="207">
        <v>3.9775216215875986E-2</v>
      </c>
    </row>
    <row r="985" spans="19:27" x14ac:dyDescent="0.2">
      <c r="S985" s="165"/>
      <c r="T985" s="166"/>
      <c r="W985" s="199" t="str">
        <f t="shared" si="24"/>
        <v>1w</v>
      </c>
      <c r="X985" s="200">
        <f>_xll.qlCalendarAdvance(Calendar,X984,W985,"f",FALSE)</f>
        <v>45716</v>
      </c>
      <c r="Y985" s="204">
        <f>_xll.qlCalendarAdvance(Calendar,X985,NDays&amp;"D")</f>
        <v>45720</v>
      </c>
      <c r="Z985" s="205">
        <v>3.9885125132128031E-2</v>
      </c>
      <c r="AA985" s="207">
        <v>3.9790827574002208E-2</v>
      </c>
    </row>
    <row r="986" spans="19:27" x14ac:dyDescent="0.2">
      <c r="S986" s="165"/>
      <c r="T986" s="166"/>
      <c r="W986" s="199" t="str">
        <f t="shared" si="24"/>
        <v>1w</v>
      </c>
      <c r="X986" s="200">
        <f>_xll.qlCalendarAdvance(Calendar,X985,W986,"f",FALSE)</f>
        <v>45723</v>
      </c>
      <c r="Y986" s="204">
        <f>_xll.qlCalendarAdvance(Calendar,X986,NDays&amp;"D")</f>
        <v>45727</v>
      </c>
      <c r="Z986" s="205">
        <v>3.9900102319463539E-2</v>
      </c>
      <c r="AA986" s="207">
        <v>3.9806199604690562E-2</v>
      </c>
    </row>
    <row r="987" spans="19:27" x14ac:dyDescent="0.2">
      <c r="S987" s="165"/>
      <c r="T987" s="166"/>
      <c r="W987" s="199" t="str">
        <f t="shared" si="24"/>
        <v>1w</v>
      </c>
      <c r="X987" s="200">
        <f>_xll.qlCalendarAdvance(Calendar,X986,W987,"f",FALSE)</f>
        <v>45730</v>
      </c>
      <c r="Y987" s="204">
        <f>_xll.qlCalendarAdvance(Calendar,X987,NDays&amp;"D")</f>
        <v>45734</v>
      </c>
      <c r="Z987" s="205">
        <v>3.9927796073495357E-2</v>
      </c>
      <c r="AA987" s="207">
        <v>3.982133230770124E-2</v>
      </c>
    </row>
    <row r="988" spans="19:27" x14ac:dyDescent="0.2">
      <c r="S988" s="165"/>
      <c r="T988" s="166"/>
      <c r="W988" s="199" t="str">
        <f t="shared" si="24"/>
        <v>1w</v>
      </c>
      <c r="X988" s="200">
        <f>_xll.qlCalendarAdvance(Calendar,X987,W988,"f",FALSE)</f>
        <v>45737</v>
      </c>
      <c r="Y988" s="204">
        <f>_xll.qlCalendarAdvance(Calendar,X988,NDays&amp;"D")</f>
        <v>45741</v>
      </c>
      <c r="Z988" s="205">
        <v>3.9929336378221818E-2</v>
      </c>
      <c r="AA988" s="207">
        <v>3.9836225683114179E-2</v>
      </c>
    </row>
    <row r="989" spans="19:27" x14ac:dyDescent="0.2">
      <c r="S989" s="165"/>
      <c r="T989" s="166"/>
      <c r="W989" s="199" t="str">
        <f t="shared" si="24"/>
        <v>1w</v>
      </c>
      <c r="X989" s="200">
        <f>_xll.qlCalendarAdvance(Calendar,X988,W989,"f",FALSE)</f>
        <v>45744</v>
      </c>
      <c r="Y989" s="204">
        <f>_xll.qlCalendarAdvance(Calendar,X989,NDays&amp;"D")</f>
        <v>45748</v>
      </c>
      <c r="Z989" s="205">
        <v>3.9940382087559456E-2</v>
      </c>
      <c r="AA989" s="207">
        <v>3.9850879730929378E-2</v>
      </c>
    </row>
    <row r="990" spans="19:27" x14ac:dyDescent="0.2">
      <c r="S990" s="165"/>
      <c r="T990" s="166"/>
      <c r="W990" s="199" t="str">
        <f t="shared" si="24"/>
        <v>1w</v>
      </c>
      <c r="X990" s="200">
        <f>_xll.qlCalendarAdvance(Calendar,X989,W990,"f",FALSE)</f>
        <v>45751</v>
      </c>
      <c r="Y990" s="204">
        <f>_xll.qlCalendarAdvance(Calendar,X990,NDays&amp;"D")</f>
        <v>45755</v>
      </c>
      <c r="Z990" s="205">
        <v>3.9954414445485753E-2</v>
      </c>
      <c r="AA990" s="207">
        <v>3.986529445130671E-2</v>
      </c>
    </row>
    <row r="991" spans="19:27" x14ac:dyDescent="0.2">
      <c r="S991" s="165"/>
      <c r="T991" s="166"/>
      <c r="W991" s="199" t="str">
        <f t="shared" si="24"/>
        <v>1w</v>
      </c>
      <c r="X991" s="200">
        <f>_xll.qlCalendarAdvance(Calendar,X990,W991,"f",FALSE)</f>
        <v>45758</v>
      </c>
      <c r="Y991" s="204">
        <f>_xll.qlCalendarAdvance(Calendar,X991,NDays&amp;"D")</f>
        <v>45762</v>
      </c>
      <c r="Z991" s="205">
        <v>3.9968206720988775E-2</v>
      </c>
      <c r="AA991" s="207">
        <v>3.9892309266331694E-2</v>
      </c>
    </row>
    <row r="992" spans="19:27" x14ac:dyDescent="0.2">
      <c r="S992" s="165"/>
      <c r="T992" s="166"/>
      <c r="W992" s="199" t="str">
        <f t="shared" si="24"/>
        <v>1w</v>
      </c>
      <c r="X992" s="200">
        <f>_xll.qlCalendarAdvance(Calendar,X991,W992,"f",FALSE)</f>
        <v>45769</v>
      </c>
      <c r="Y992" s="204">
        <f>_xll.qlCalendarAdvance(Calendar,X992,NDays&amp;"D")</f>
        <v>45771</v>
      </c>
      <c r="Z992" s="205">
        <v>3.9995062542866389E-2</v>
      </c>
      <c r="AA992" s="207">
        <v>3.9901261921029274E-2</v>
      </c>
    </row>
    <row r="993" spans="19:27" x14ac:dyDescent="0.2">
      <c r="S993" s="165"/>
      <c r="T993" s="166"/>
      <c r="W993" s="199" t="str">
        <f t="shared" si="24"/>
        <v>1w</v>
      </c>
      <c r="X993" s="200">
        <f>_xll.qlCalendarAdvance(Calendar,X992,W993,"f",FALSE)</f>
        <v>45776</v>
      </c>
      <c r="Y993" s="204">
        <f>_xll.qlCalendarAdvance(Calendar,X993,NDays&amp;"D")</f>
        <v>45778</v>
      </c>
      <c r="Z993" s="205">
        <v>4.0005117391832545E-2</v>
      </c>
      <c r="AA993" s="207">
        <v>3.991673950216601E-2</v>
      </c>
    </row>
    <row r="994" spans="19:27" x14ac:dyDescent="0.2">
      <c r="S994" s="165"/>
      <c r="T994" s="166"/>
      <c r="W994" s="199" t="str">
        <f t="shared" si="24"/>
        <v>1w</v>
      </c>
      <c r="X994" s="200">
        <f>_xll.qlCalendarAdvance(Calendar,X993,W994,"f",FALSE)</f>
        <v>45783</v>
      </c>
      <c r="Y994" s="204">
        <f>_xll.qlCalendarAdvance(Calendar,X994,NDays&amp;"D")</f>
        <v>45785</v>
      </c>
      <c r="Z994" s="205">
        <v>4.0018089399458112E-2</v>
      </c>
      <c r="AA994" s="207">
        <v>3.9928142550031964E-2</v>
      </c>
    </row>
    <row r="995" spans="19:27" x14ac:dyDescent="0.2">
      <c r="S995" s="165"/>
      <c r="T995" s="166"/>
      <c r="W995" s="199" t="str">
        <f t="shared" si="24"/>
        <v>1w</v>
      </c>
      <c r="X995" s="200">
        <f>_xll.qlCalendarAdvance(Calendar,X994,W995,"f",FALSE)</f>
        <v>45790</v>
      </c>
      <c r="Y995" s="204">
        <f>_xll.qlCalendarAdvance(Calendar,X995,NDays&amp;"D")</f>
        <v>45792</v>
      </c>
      <c r="Z995" s="205">
        <v>4.0030821268739469E-2</v>
      </c>
      <c r="AA995" s="207">
        <v>3.9941223872856924E-2</v>
      </c>
    </row>
    <row r="996" spans="19:27" x14ac:dyDescent="0.2">
      <c r="S996" s="165"/>
      <c r="T996" s="166"/>
      <c r="W996" s="199" t="str">
        <f t="shared" si="24"/>
        <v>1w</v>
      </c>
      <c r="X996" s="200">
        <f>_xll.qlCalendarAdvance(Calendar,X995,W996,"f",FALSE)</f>
        <v>45797</v>
      </c>
      <c r="Y996" s="204">
        <f>_xll.qlCalendarAdvance(Calendar,X996,NDays&amp;"D")</f>
        <v>45799</v>
      </c>
      <c r="Z996" s="205">
        <v>4.0043312998867264E-2</v>
      </c>
      <c r="AA996" s="207">
        <v>3.9955880901567653E-2</v>
      </c>
    </row>
    <row r="997" spans="19:27" x14ac:dyDescent="0.2">
      <c r="S997" s="165"/>
      <c r="T997" s="166"/>
      <c r="W997" s="199" t="str">
        <f t="shared" si="24"/>
        <v>1w</v>
      </c>
      <c r="X997" s="200">
        <f>_xll.qlCalendarAdvance(Calendar,X996,W997,"f",FALSE)</f>
        <v>45804</v>
      </c>
      <c r="Y997" s="204">
        <f>_xll.qlCalendarAdvance(Calendar,X997,NDays&amp;"D")</f>
        <v>45806</v>
      </c>
      <c r="Z997" s="205">
        <v>4.0055564589039638E-2</v>
      </c>
      <c r="AA997" s="207">
        <v>3.9966668534994199E-2</v>
      </c>
    </row>
    <row r="998" spans="19:27" x14ac:dyDescent="0.2">
      <c r="S998" s="165"/>
      <c r="T998" s="166"/>
      <c r="W998" s="199" t="str">
        <f t="shared" si="24"/>
        <v>1w</v>
      </c>
      <c r="X998" s="200">
        <f>_xll.qlCalendarAdvance(Calendar,X997,W998,"f",FALSE)</f>
        <v>45811</v>
      </c>
      <c r="Y998" s="204">
        <f>_xll.qlCalendarAdvance(Calendar,X998,NDays&amp;"D")</f>
        <v>45813</v>
      </c>
      <c r="Z998" s="205">
        <v>4.0067576038479713E-2</v>
      </c>
      <c r="AA998" s="207">
        <v>3.9979031874306514E-2</v>
      </c>
    </row>
    <row r="999" spans="19:27" x14ac:dyDescent="0.2">
      <c r="S999" s="165"/>
      <c r="T999" s="166"/>
      <c r="W999" s="199" t="str">
        <f t="shared" si="24"/>
        <v>1w</v>
      </c>
      <c r="X999" s="200">
        <f>_xll.qlCalendarAdvance(Calendar,X998,W999,"f",FALSE)</f>
        <v>45818</v>
      </c>
      <c r="Y999" s="204">
        <f>_xll.qlCalendarAdvance(Calendar,X999,NDays&amp;"D")</f>
        <v>45820</v>
      </c>
      <c r="Z999" s="205">
        <v>4.0079347346420602E-2</v>
      </c>
      <c r="AA999" s="207">
        <v>3.9991155885701346E-2</v>
      </c>
    </row>
    <row r="1000" spans="19:27" x14ac:dyDescent="0.2">
      <c r="S1000" s="165"/>
      <c r="T1000" s="166"/>
      <c r="W1000" s="199" t="str">
        <f t="shared" si="24"/>
        <v>1w</v>
      </c>
      <c r="X1000" s="200">
        <f>_xll.qlCalendarAdvance(Calendar,X999,W1000,"f",FALSE)</f>
        <v>45825</v>
      </c>
      <c r="Y1000" s="204">
        <f>_xll.qlCalendarAdvance(Calendar,X1000,NDays&amp;"D")</f>
        <v>45827</v>
      </c>
      <c r="Z1000" s="205">
        <v>4.0090878512107908E-2</v>
      </c>
      <c r="AA1000" s="207">
        <v>4.0003040569178694E-2</v>
      </c>
    </row>
    <row r="1001" spans="19:27" x14ac:dyDescent="0.2">
      <c r="S1001" s="165"/>
      <c r="T1001" s="166"/>
      <c r="W1001" s="199" t="str">
        <f t="shared" si="24"/>
        <v>1w</v>
      </c>
      <c r="X1001" s="200">
        <f>_xll.qlCalendarAdvance(Calendar,X1000,W1001,"f",FALSE)</f>
        <v>45832</v>
      </c>
      <c r="Y1001" s="204">
        <f>_xll.qlCalendarAdvance(Calendar,X1001,NDays&amp;"D")</f>
        <v>45834</v>
      </c>
      <c r="Z1001" s="205">
        <v>4.0102169534807219E-2</v>
      </c>
      <c r="AA1001" s="207">
        <v>4.0014685924738558E-2</v>
      </c>
    </row>
    <row r="1002" spans="19:27" x14ac:dyDescent="0.2">
      <c r="S1002" s="165"/>
      <c r="T1002" s="166"/>
      <c r="W1002" s="199" t="str">
        <f t="shared" si="24"/>
        <v>1w</v>
      </c>
      <c r="X1002" s="200">
        <f>_xll.qlCalendarAdvance(Calendar,X1001,W1002,"f",FALSE)</f>
        <v>45839</v>
      </c>
      <c r="Y1002" s="204">
        <f>_xll.qlCalendarAdvance(Calendar,X1002,NDays&amp;"D")</f>
        <v>45841</v>
      </c>
      <c r="Z1002" s="205">
        <v>4.0113220413796613E-2</v>
      </c>
      <c r="AA1002" s="207">
        <v>4.0026091952301002E-2</v>
      </c>
    </row>
    <row r="1003" spans="19:27" x14ac:dyDescent="0.2">
      <c r="S1003" s="165"/>
      <c r="T1003" s="166"/>
      <c r="W1003" s="199" t="str">
        <f t="shared" si="24"/>
        <v>1w</v>
      </c>
      <c r="X1003" s="200">
        <f>_xll.qlCalendarAdvance(Calendar,X1002,W1003,"f",FALSE)</f>
        <v>45846</v>
      </c>
      <c r="Y1003" s="204">
        <f>_xll.qlCalendarAdvance(Calendar,X1003,NDays&amp;"D")</f>
        <v>45848</v>
      </c>
      <c r="Z1003" s="205">
        <v>4.0124031148374151E-2</v>
      </c>
      <c r="AA1003" s="207">
        <v>4.003725865178609E-2</v>
      </c>
    </row>
    <row r="1004" spans="19:27" x14ac:dyDescent="0.2">
      <c r="S1004" s="165"/>
      <c r="T1004" s="166"/>
      <c r="W1004" s="199" t="str">
        <f t="shared" si="24"/>
        <v>1w</v>
      </c>
      <c r="X1004" s="200">
        <f>_xll.qlCalendarAdvance(Calendar,X1003,W1004,"f",FALSE)</f>
        <v>45853</v>
      </c>
      <c r="Y1004" s="204">
        <f>_xll.qlCalendarAdvance(Calendar,X1004,NDays&amp;"D")</f>
        <v>45855</v>
      </c>
      <c r="Z1004" s="205">
        <v>4.0134601737850384E-2</v>
      </c>
      <c r="AA1004" s="207">
        <v>4.004818602343363E-2</v>
      </c>
    </row>
    <row r="1005" spans="19:27" x14ac:dyDescent="0.2">
      <c r="S1005" s="165"/>
      <c r="T1005" s="166"/>
      <c r="W1005" s="199" t="str">
        <f t="shared" si="24"/>
        <v>1w</v>
      </c>
      <c r="X1005" s="200">
        <f>_xll.qlCalendarAdvance(Calendar,X1004,W1005,"f",FALSE)</f>
        <v>45860</v>
      </c>
      <c r="Y1005" s="204">
        <f>_xll.qlCalendarAdvance(Calendar,X1005,NDays&amp;"D")</f>
        <v>45862</v>
      </c>
      <c r="Z1005" s="205">
        <v>4.0147883467060393E-2</v>
      </c>
      <c r="AA1005" s="207">
        <v>4.0058874066843941E-2</v>
      </c>
    </row>
    <row r="1006" spans="19:27" x14ac:dyDescent="0.2">
      <c r="S1006" s="165"/>
      <c r="T1006" s="166"/>
      <c r="W1006" s="199" t="str">
        <f t="shared" si="24"/>
        <v>1w</v>
      </c>
      <c r="X1006" s="200">
        <f>_xll.qlCalendarAdvance(Calendar,X1005,W1006,"f",FALSE)</f>
        <v>45867</v>
      </c>
      <c r="Y1006" s="204">
        <f>_xll.qlCalendarAdvance(Calendar,X1006,NDays&amp;"D")</f>
        <v>45869</v>
      </c>
      <c r="Z1006" s="205">
        <v>4.0146208848333399E-2</v>
      </c>
      <c r="AA1006" s="207">
        <v>4.0069322782336769E-2</v>
      </c>
    </row>
    <row r="1007" spans="19:27" x14ac:dyDescent="0.2">
      <c r="S1007" s="165"/>
      <c r="T1007" s="166"/>
      <c r="W1007" s="199" t="str">
        <f t="shared" si="24"/>
        <v>1w</v>
      </c>
      <c r="X1007" s="200">
        <f>_xll.qlCalendarAdvance(Calendar,X1006,W1007,"f",FALSE)</f>
        <v>45874</v>
      </c>
      <c r="Y1007" s="204">
        <f>_xll.qlCalendarAdvance(Calendar,X1007,NDays&amp;"D")</f>
        <v>45876</v>
      </c>
      <c r="Z1007" s="205">
        <v>4.0164872628981607E-2</v>
      </c>
      <c r="AA1007" s="207">
        <v>4.0079532169752241E-2</v>
      </c>
    </row>
    <row r="1008" spans="19:27" x14ac:dyDescent="0.2">
      <c r="S1008" s="165"/>
      <c r="T1008" s="166"/>
      <c r="W1008" s="199" t="str">
        <f t="shared" si="24"/>
        <v>1w</v>
      </c>
      <c r="X1008" s="200">
        <f>_xll.qlCalendarAdvance(Calendar,X1007,W1008,"f",FALSE)</f>
        <v>45881</v>
      </c>
      <c r="Y1008" s="204">
        <f>_xll.qlCalendarAdvance(Calendar,X1008,NDays&amp;"D")</f>
        <v>45883</v>
      </c>
      <c r="Z1008" s="205">
        <v>4.0174482631450403E-2</v>
      </c>
      <c r="AA1008" s="207">
        <v>4.0089502229010421E-2</v>
      </c>
    </row>
    <row r="1009" spans="19:27" x14ac:dyDescent="0.2">
      <c r="S1009" s="165"/>
      <c r="T1009" s="166"/>
      <c r="W1009" s="199" t="str">
        <f t="shared" si="24"/>
        <v>1w</v>
      </c>
      <c r="X1009" s="200">
        <f>_xll.qlCalendarAdvance(Calendar,X1008,W1009,"f",FALSE)</f>
        <v>45888</v>
      </c>
      <c r="Y1009" s="204">
        <f>_xll.qlCalendarAdvance(Calendar,X1009,NDays&amp;"D")</f>
        <v>45890</v>
      </c>
      <c r="Z1009" s="205">
        <v>4.0183852485597971E-2</v>
      </c>
      <c r="AA1009" s="207">
        <v>4.0100603527690737E-2</v>
      </c>
    </row>
    <row r="1010" spans="19:27" x14ac:dyDescent="0.2">
      <c r="S1010" s="165"/>
      <c r="T1010" s="166"/>
      <c r="W1010" s="199" t="str">
        <f t="shared" si="24"/>
        <v>1w</v>
      </c>
      <c r="X1010" s="200">
        <f>_xll.qlCalendarAdvance(Calendar,X1009,W1010,"f",FALSE)</f>
        <v>45895</v>
      </c>
      <c r="Y1010" s="204">
        <f>_xll.qlCalendarAdvance(Calendar,X1010,NDays&amp;"D")</f>
        <v>45897</v>
      </c>
      <c r="Z1010" s="205">
        <v>4.0192982190822291E-2</v>
      </c>
      <c r="AA1010" s="207">
        <v>4.0108724363294712E-2</v>
      </c>
    </row>
    <row r="1011" spans="19:27" x14ac:dyDescent="0.2">
      <c r="S1011" s="165"/>
      <c r="T1011" s="166"/>
      <c r="W1011" s="199" t="str">
        <f t="shared" si="24"/>
        <v>1w</v>
      </c>
      <c r="X1011" s="200">
        <f>_xll.qlCalendarAdvance(Calendar,X1010,W1011,"f",FALSE)</f>
        <v>45902</v>
      </c>
      <c r="Y1011" s="204">
        <f>_xll.qlCalendarAdvance(Calendar,X1011,NDays&amp;"D")</f>
        <v>45904</v>
      </c>
      <c r="Z1011" s="205">
        <v>4.0201871746543827E-2</v>
      </c>
      <c r="AA1011" s="207">
        <v>4.0117976438081016E-2</v>
      </c>
    </row>
    <row r="1012" spans="19:27" x14ac:dyDescent="0.2">
      <c r="S1012" s="165"/>
      <c r="T1012" s="166"/>
      <c r="W1012" s="199" t="str">
        <f t="shared" si="24"/>
        <v>1w</v>
      </c>
      <c r="X1012" s="200">
        <f>_xll.qlCalendarAdvance(Calendar,X1011,W1012,"f",FALSE)</f>
        <v>45909</v>
      </c>
      <c r="Y1012" s="204">
        <f>_xll.qlCalendarAdvance(Calendar,X1012,NDays&amp;"D")</f>
        <v>45911</v>
      </c>
      <c r="Z1012" s="205">
        <v>4.0213359657479006E-2</v>
      </c>
      <c r="AA1012" s="207">
        <v>4.0126989184789963E-2</v>
      </c>
    </row>
    <row r="1013" spans="19:27" x14ac:dyDescent="0.2">
      <c r="S1013" s="165"/>
      <c r="T1013" s="166"/>
      <c r="W1013" s="199" t="str">
        <f t="shared" si="24"/>
        <v>1w</v>
      </c>
      <c r="X1013" s="200">
        <f>_xll.qlCalendarAdvance(Calendar,X1012,W1013,"f",FALSE)</f>
        <v>45916</v>
      </c>
      <c r="Y1013" s="204">
        <f>_xll.qlCalendarAdvance(Calendar,X1013,NDays&amp;"D")</f>
        <v>45918</v>
      </c>
      <c r="Z1013" s="205">
        <v>4.0218930407225351E-2</v>
      </c>
      <c r="AA1013" s="207">
        <v>4.0135762603341618E-2</v>
      </c>
    </row>
    <row r="1014" spans="19:27" x14ac:dyDescent="0.2">
      <c r="S1014" s="165"/>
      <c r="T1014" s="166"/>
      <c r="W1014" s="199" t="str">
        <f t="shared" si="24"/>
        <v>1w</v>
      </c>
      <c r="X1014" s="200">
        <f>_xll.qlCalendarAdvance(Calendar,X1013,W1014,"f",FALSE)</f>
        <v>45923</v>
      </c>
      <c r="Y1014" s="204">
        <f>_xll.qlCalendarAdvance(Calendar,X1014,NDays&amp;"D")</f>
        <v>45925</v>
      </c>
      <c r="Z1014" s="205">
        <v>4.0227099511096209E-2</v>
      </c>
      <c r="AA1014" s="207">
        <v>4.0144296693656045E-2</v>
      </c>
    </row>
    <row r="1015" spans="19:27" x14ac:dyDescent="0.2">
      <c r="S1015" s="165"/>
      <c r="T1015" s="166"/>
      <c r="W1015" s="199" t="str">
        <f t="shared" si="24"/>
        <v>1w</v>
      </c>
      <c r="X1015" s="200">
        <f>_xll.qlCalendarAdvance(Calendar,X1014,W1015,"f",FALSE)</f>
        <v>45930</v>
      </c>
      <c r="Y1015" s="204">
        <f>_xll.qlCalendarAdvance(Calendar,X1015,NDays&amp;"D")</f>
        <v>45932</v>
      </c>
      <c r="Z1015" s="205">
        <v>4.0235028463283529E-2</v>
      </c>
      <c r="AA1015" s="207">
        <v>4.0152591455733244E-2</v>
      </c>
    </row>
    <row r="1016" spans="19:27" x14ac:dyDescent="0.2">
      <c r="S1016" s="165"/>
      <c r="T1016" s="166"/>
      <c r="W1016" s="199" t="str">
        <f t="shared" si="24"/>
        <v>1w</v>
      </c>
      <c r="X1016" s="200">
        <f>_xll.qlCalendarAdvance(Calendar,X1015,W1016,"f",FALSE)</f>
        <v>45937</v>
      </c>
      <c r="Y1016" s="204">
        <f>_xll.qlCalendarAdvance(Calendar,X1016,NDays&amp;"D")</f>
        <v>45939</v>
      </c>
      <c r="Z1016" s="205">
        <v>4.024271726328521E-2</v>
      </c>
      <c r="AA1016" s="207">
        <v>4.0160646889493279E-2</v>
      </c>
    </row>
    <row r="1017" spans="19:27" x14ac:dyDescent="0.2">
      <c r="S1017" s="165"/>
      <c r="T1017" s="166"/>
      <c r="W1017" s="199" t="str">
        <f t="shared" si="24"/>
        <v>1w</v>
      </c>
      <c r="X1017" s="200">
        <f>_xll.qlCalendarAdvance(Calendar,X1016,W1017,"f",FALSE)</f>
        <v>45944</v>
      </c>
      <c r="Y1017" s="204">
        <f>_xll.qlCalendarAdvance(Calendar,X1017,NDays&amp;"D")</f>
        <v>45946</v>
      </c>
      <c r="Z1017" s="205">
        <v>4.0250165910614144E-2</v>
      </c>
      <c r="AA1017" s="207">
        <v>4.0168462995096021E-2</v>
      </c>
    </row>
    <row r="1018" spans="19:27" x14ac:dyDescent="0.2">
      <c r="S1018" s="165"/>
      <c r="T1018" s="166"/>
      <c r="W1018" s="199" t="str">
        <f t="shared" si="24"/>
        <v>1w</v>
      </c>
      <c r="X1018" s="200">
        <f>_xll.qlCalendarAdvance(Calendar,X1017,W1018,"f",FALSE)</f>
        <v>45951</v>
      </c>
      <c r="Y1018" s="204">
        <f>_xll.qlCalendarAdvance(Calendar,X1018,NDays&amp;"D")</f>
        <v>45953</v>
      </c>
      <c r="Z1018" s="205">
        <v>4.0257374404785717E-2</v>
      </c>
      <c r="AA1018" s="207">
        <v>4.01760397723816E-2</v>
      </c>
    </row>
    <row r="1019" spans="19:27" x14ac:dyDescent="0.2">
      <c r="S1019" s="165"/>
      <c r="T1019" s="166"/>
      <c r="W1019" s="199" t="str">
        <f t="shared" si="24"/>
        <v>1w</v>
      </c>
      <c r="X1019" s="200">
        <f>_xll.qlCalendarAdvance(Calendar,X1018,W1019,"f",FALSE)</f>
        <v>45958</v>
      </c>
      <c r="Y1019" s="204">
        <f>_xll.qlCalendarAdvance(Calendar,X1019,NDays&amp;"D")</f>
        <v>45960</v>
      </c>
      <c r="Z1019" s="205">
        <v>4.0256161324756359E-2</v>
      </c>
      <c r="AA1019" s="207">
        <v>4.0183377221350014E-2</v>
      </c>
    </row>
    <row r="1020" spans="19:27" x14ac:dyDescent="0.2">
      <c r="S1020" s="165"/>
      <c r="T1020" s="166"/>
      <c r="W1020" s="199" t="str">
        <f t="shared" si="24"/>
        <v>1w</v>
      </c>
      <c r="X1020" s="200">
        <f>_xll.qlCalendarAdvance(Calendar,X1019,W1020,"f",FALSE)</f>
        <v>45965</v>
      </c>
      <c r="Y1020" s="204">
        <f>_xll.qlCalendarAdvance(Calendar,X1020,NDays&amp;"D")</f>
        <v>45967</v>
      </c>
      <c r="Z1020" s="205">
        <v>4.0271070931853226E-2</v>
      </c>
      <c r="AA1020" s="207">
        <v>4.01904753420812E-2</v>
      </c>
    </row>
    <row r="1021" spans="19:27" x14ac:dyDescent="0.2">
      <c r="S1021" s="165"/>
      <c r="T1021" s="166"/>
      <c r="W1021" s="199" t="str">
        <f t="shared" si="24"/>
        <v>1w</v>
      </c>
      <c r="X1021" s="200">
        <f>_xll.qlCalendarAdvance(Calendar,X1020,W1021,"f",FALSE)</f>
        <v>45972</v>
      </c>
      <c r="Y1021" s="204">
        <f>_xll.qlCalendarAdvance(Calendar,X1021,NDays&amp;"D")</f>
        <v>45974</v>
      </c>
      <c r="Z1021" s="205">
        <v>4.0277558963867366E-2</v>
      </c>
      <c r="AA1021" s="207">
        <v>4.0197334134495222E-2</v>
      </c>
    </row>
    <row r="1022" spans="19:27" x14ac:dyDescent="0.2">
      <c r="S1022" s="165"/>
      <c r="T1022" s="166"/>
      <c r="W1022" s="199" t="str">
        <f t="shared" si="24"/>
        <v>1w</v>
      </c>
      <c r="X1022" s="200">
        <f>_xll.qlCalendarAdvance(Calendar,X1021,W1022,"f",FALSE)</f>
        <v>45979</v>
      </c>
      <c r="Y1022" s="204">
        <f>_xll.qlCalendarAdvance(Calendar,X1022,NDays&amp;"D")</f>
        <v>45981</v>
      </c>
      <c r="Z1022" s="205">
        <v>4.0283806840985537E-2</v>
      </c>
      <c r="AA1022" s="207">
        <v>4.0203953598592079E-2</v>
      </c>
    </row>
    <row r="1023" spans="19:27" x14ac:dyDescent="0.2">
      <c r="S1023" s="165"/>
      <c r="T1023" s="166"/>
      <c r="W1023" s="199" t="str">
        <f t="shared" si="24"/>
        <v>1w</v>
      </c>
      <c r="X1023" s="200">
        <f>_xll.qlCalendarAdvance(Calendar,X1022,W1023,"f",FALSE)</f>
        <v>45986</v>
      </c>
      <c r="Y1023" s="204">
        <f>_xll.qlCalendarAdvance(Calendar,X1023,NDays&amp;"D")</f>
        <v>45988</v>
      </c>
      <c r="Z1023" s="205">
        <v>4.0293309489588841E-2</v>
      </c>
      <c r="AA1023" s="207">
        <v>4.02103337342119E-2</v>
      </c>
    </row>
    <row r="1024" spans="19:27" x14ac:dyDescent="0.2">
      <c r="S1024" s="165"/>
      <c r="T1024" s="166"/>
      <c r="W1024" s="199" t="str">
        <f t="shared" si="24"/>
        <v>1w</v>
      </c>
      <c r="X1024" s="200">
        <f>_xll.qlCalendarAdvance(Calendar,X1023,W1024,"f",FALSE)</f>
        <v>45993</v>
      </c>
      <c r="Y1024" s="204">
        <f>_xll.qlCalendarAdvance(Calendar,X1024,NDays&amp;"D")</f>
        <v>45995</v>
      </c>
      <c r="Z1024" s="205">
        <v>4.0295582128937746E-2</v>
      </c>
      <c r="AA1024" s="207">
        <v>4.0216474541514557E-2</v>
      </c>
    </row>
    <row r="1025" spans="19:27" x14ac:dyDescent="0.2">
      <c r="S1025" s="165"/>
      <c r="T1025" s="166"/>
      <c r="W1025" s="199" t="str">
        <f t="shared" si="24"/>
        <v>1w</v>
      </c>
      <c r="X1025" s="200">
        <f>_xll.qlCalendarAdvance(Calendar,X1024,W1025,"f",FALSE)</f>
        <v>46000</v>
      </c>
      <c r="Y1025" s="204">
        <f>_xll.qlCalendarAdvance(Calendar,X1025,NDays&amp;"D")</f>
        <v>46002</v>
      </c>
      <c r="Z1025" s="205">
        <v>4.0301109539024882E-2</v>
      </c>
      <c r="AA1025" s="207">
        <v>4.0222376020579986E-2</v>
      </c>
    </row>
    <row r="1026" spans="19:27" x14ac:dyDescent="0.2">
      <c r="S1026" s="165"/>
      <c r="T1026" s="166"/>
      <c r="W1026" s="199" t="str">
        <f t="shared" si="24"/>
        <v>1w</v>
      </c>
      <c r="X1026" s="200">
        <f>_xll.qlCalendarAdvance(Calendar,X1025,W1026,"f",FALSE)</f>
        <v>46007</v>
      </c>
      <c r="Y1026" s="204">
        <f>_xll.qlCalendarAdvance(Calendar,X1026,NDays&amp;"D")</f>
        <v>46009</v>
      </c>
      <c r="Z1026" s="205">
        <v>4.0309005820383964E-2</v>
      </c>
      <c r="AA1026" s="207">
        <v>4.0228038171088443E-2</v>
      </c>
    </row>
    <row r="1027" spans="19:27" x14ac:dyDescent="0.2">
      <c r="S1027" s="165"/>
      <c r="T1027" s="166"/>
      <c r="W1027" s="199" t="str">
        <f t="shared" si="24"/>
        <v>1w</v>
      </c>
      <c r="X1027" s="200">
        <f>_xll.qlCalendarAdvance(Calendar,X1026,W1027,"f",FALSE)</f>
        <v>46014</v>
      </c>
      <c r="Y1027" s="204">
        <f>_xll.qlCalendarAdvance(Calendar,X1027,NDays&amp;"D")</f>
        <v>46020</v>
      </c>
      <c r="Z1027" s="205">
        <v>4.0311635784596199E-2</v>
      </c>
      <c r="AA1027" s="207">
        <v>4.0237587552414134E-2</v>
      </c>
    </row>
    <row r="1028" spans="19:27" x14ac:dyDescent="0.2">
      <c r="S1028" s="165"/>
      <c r="T1028" s="166"/>
      <c r="W1028" s="199" t="str">
        <f t="shared" si="24"/>
        <v>1w</v>
      </c>
      <c r="X1028" s="200">
        <f>_xll.qlCalendarAdvance(Calendar,X1027,W1028,"f",FALSE)</f>
        <v>46021</v>
      </c>
      <c r="Y1028" s="204">
        <f>_xll.qlCalendarAdvance(Calendar,X1028,NDays&amp;"D")</f>
        <v>46024</v>
      </c>
      <c r="Z1028" s="205">
        <v>4.0314343095387228E-2</v>
      </c>
      <c r="AA1028" s="207">
        <v>4.0239365449243891E-2</v>
      </c>
    </row>
    <row r="1029" spans="19:27" x14ac:dyDescent="0.2">
      <c r="S1029" s="165"/>
      <c r="T1029" s="166"/>
      <c r="W1029" s="199" t="str">
        <f t="shared" si="24"/>
        <v>1w</v>
      </c>
      <c r="X1029" s="200">
        <f>_xll.qlCalendarAdvance(Calendar,X1028,W1029,"f",FALSE)</f>
        <v>46028</v>
      </c>
      <c r="Y1029" s="204">
        <f>_xll.qlCalendarAdvance(Calendar,X1029,NDays&amp;"D")</f>
        <v>46030</v>
      </c>
      <c r="Z1029" s="205">
        <v>4.0320817612033433E-2</v>
      </c>
      <c r="AA1029" s="207">
        <v>4.0243588652550955E-2</v>
      </c>
    </row>
    <row r="1030" spans="19:27" x14ac:dyDescent="0.2">
      <c r="S1030" s="165"/>
      <c r="T1030" s="166"/>
      <c r="W1030" s="199" t="str">
        <f t="shared" si="24"/>
        <v>1w</v>
      </c>
      <c r="X1030" s="200">
        <f>_xll.qlCalendarAdvance(Calendar,X1029,W1030,"f",FALSE)</f>
        <v>46035</v>
      </c>
      <c r="Y1030" s="204">
        <f>_xll.qlCalendarAdvance(Calendar,X1030,NDays&amp;"D")</f>
        <v>46037</v>
      </c>
      <c r="Z1030" s="205">
        <v>4.0327686736349608E-2</v>
      </c>
      <c r="AA1030" s="207">
        <v>4.024829348947101E-2</v>
      </c>
    </row>
    <row r="1031" spans="19:27" x14ac:dyDescent="0.2">
      <c r="S1031" s="165"/>
      <c r="T1031" s="166"/>
      <c r="W1031" s="199" t="str">
        <f t="shared" si="24"/>
        <v>1w</v>
      </c>
      <c r="X1031" s="200">
        <f>_xll.qlCalendarAdvance(Calendar,X1030,W1031,"f",FALSE)</f>
        <v>46042</v>
      </c>
      <c r="Y1031" s="204">
        <f>_xll.qlCalendarAdvance(Calendar,X1031,NDays&amp;"D")</f>
        <v>46044</v>
      </c>
      <c r="Z1031" s="205">
        <v>4.0329230703791685E-2</v>
      </c>
      <c r="AA1031" s="207">
        <v>4.0252758997914029E-2</v>
      </c>
    </row>
    <row r="1032" spans="19:27" x14ac:dyDescent="0.2">
      <c r="S1032" s="165"/>
      <c r="T1032" s="166"/>
      <c r="W1032" s="199" t="str">
        <f t="shared" si="24"/>
        <v>1w</v>
      </c>
      <c r="X1032" s="200">
        <f>_xll.qlCalendarAdvance(Calendar,X1031,W1032,"f",FALSE)</f>
        <v>46049</v>
      </c>
      <c r="Y1032" s="204">
        <f>_xll.qlCalendarAdvance(Calendar,X1032,NDays&amp;"D")</f>
        <v>46051</v>
      </c>
      <c r="Z1032" s="205">
        <v>4.0325541338336129E-2</v>
      </c>
      <c r="AA1032" s="207">
        <v>4.0256985178039884E-2</v>
      </c>
    </row>
    <row r="1033" spans="19:27" x14ac:dyDescent="0.2">
      <c r="S1033" s="165"/>
      <c r="T1033" s="166"/>
      <c r="W1033" s="199" t="str">
        <f t="shared" si="24"/>
        <v>1w</v>
      </c>
      <c r="X1033" s="200">
        <f>_xll.qlCalendarAdvance(Calendar,X1032,W1033,"f",FALSE)</f>
        <v>46056</v>
      </c>
      <c r="Y1033" s="204">
        <f>_xll.qlCalendarAdvance(Calendar,X1033,NDays&amp;"D")</f>
        <v>46058</v>
      </c>
      <c r="Z1033" s="205">
        <v>4.032669975520526E-2</v>
      </c>
      <c r="AA1033" s="207">
        <v>4.0260972029608766E-2</v>
      </c>
    </row>
    <row r="1034" spans="19:27" x14ac:dyDescent="0.2">
      <c r="S1034" s="165"/>
      <c r="T1034" s="166"/>
      <c r="W1034" s="199" t="str">
        <f t="shared" si="24"/>
        <v>1w</v>
      </c>
      <c r="X1034" s="200">
        <f>_xll.qlCalendarAdvance(Calendar,X1033,W1034,"f",FALSE)</f>
        <v>46063</v>
      </c>
      <c r="Y1034" s="204">
        <f>_xll.qlCalendarAdvance(Calendar,X1034,NDays&amp;"D")</f>
        <v>46065</v>
      </c>
      <c r="Z1034" s="205">
        <v>4.0330132827326129E-2</v>
      </c>
      <c r="AA1034" s="207">
        <v>4.0264719552780548E-2</v>
      </c>
    </row>
    <row r="1035" spans="19:27" x14ac:dyDescent="0.2">
      <c r="S1035" s="165"/>
      <c r="T1035" s="166"/>
      <c r="W1035" s="199" t="str">
        <f t="shared" si="24"/>
        <v>1w</v>
      </c>
      <c r="X1035" s="200">
        <f>_xll.qlCalendarAdvance(Calendar,X1034,W1035,"f",FALSE)</f>
        <v>46070</v>
      </c>
      <c r="Y1035" s="204">
        <f>_xll.qlCalendarAdvance(Calendar,X1035,NDays&amp;"D")</f>
        <v>46072</v>
      </c>
      <c r="Z1035" s="205">
        <v>4.0333325847922624E-2</v>
      </c>
      <c r="AA1035" s="207">
        <v>4.0268227747475294E-2</v>
      </c>
    </row>
    <row r="1036" spans="19:27" x14ac:dyDescent="0.2">
      <c r="S1036" s="165"/>
      <c r="T1036" s="166"/>
      <c r="W1036" s="199" t="str">
        <f t="shared" si="24"/>
        <v>1w</v>
      </c>
      <c r="X1036" s="200">
        <f>_xll.qlCalendarAdvance(Calendar,X1035,W1036,"f",FALSE)</f>
        <v>46077</v>
      </c>
      <c r="Y1036" s="204">
        <f>_xll.qlCalendarAdvance(Calendar,X1036,NDays&amp;"D")</f>
        <v>46079</v>
      </c>
      <c r="Z1036" s="205">
        <v>4.0336278816820607E-2</v>
      </c>
      <c r="AA1036" s="207">
        <v>4.0271496613693003E-2</v>
      </c>
    </row>
    <row r="1037" spans="19:27" x14ac:dyDescent="0.2">
      <c r="S1037" s="165"/>
      <c r="T1037" s="166"/>
      <c r="W1037" s="199" t="str">
        <f t="shared" si="24"/>
        <v>1w</v>
      </c>
      <c r="X1037" s="200">
        <f>_xll.qlCalendarAdvance(Calendar,X1036,W1037,"f",FALSE)</f>
        <v>46084</v>
      </c>
      <c r="Y1037" s="204">
        <f>_xll.qlCalendarAdvance(Calendar,X1037,NDays&amp;"D")</f>
        <v>46086</v>
      </c>
      <c r="Z1037" s="205">
        <v>4.0351131217162071E-2</v>
      </c>
      <c r="AA1037" s="207">
        <v>4.0274526151433676E-2</v>
      </c>
    </row>
    <row r="1038" spans="19:27" x14ac:dyDescent="0.2">
      <c r="S1038" s="165"/>
      <c r="T1038" s="166"/>
      <c r="W1038" s="199" t="str">
        <f t="shared" si="24"/>
        <v>1w</v>
      </c>
      <c r="X1038" s="200">
        <f>_xll.qlCalendarAdvance(Calendar,X1037,W1038,"f",FALSE)</f>
        <v>46091</v>
      </c>
      <c r="Y1038" s="204">
        <f>_xll.qlCalendarAdvance(Calendar,X1038,NDays&amp;"D")</f>
        <v>46093</v>
      </c>
      <c r="Z1038" s="205">
        <v>4.035111152995513E-2</v>
      </c>
      <c r="AA1038" s="207">
        <v>4.0277316360697313E-2</v>
      </c>
    </row>
    <row r="1039" spans="19:27" x14ac:dyDescent="0.2">
      <c r="S1039" s="165"/>
      <c r="T1039" s="166"/>
      <c r="W1039" s="199" t="str">
        <f t="shared" si="24"/>
        <v>1w</v>
      </c>
      <c r="X1039" s="200">
        <f>_xll.qlCalendarAdvance(Calendar,X1038,W1039,"f",FALSE)</f>
        <v>46098</v>
      </c>
      <c r="Y1039" s="204">
        <f>_xll.qlCalendarAdvance(Calendar,X1039,NDays&amp;"D")</f>
        <v>46100</v>
      </c>
      <c r="Z1039" s="205">
        <v>4.035327672527067E-2</v>
      </c>
      <c r="AA1039" s="207">
        <v>4.0279867241483913E-2</v>
      </c>
    </row>
    <row r="1040" spans="19:27" x14ac:dyDescent="0.2">
      <c r="S1040" s="165"/>
      <c r="T1040" s="166"/>
      <c r="W1040" s="199" t="str">
        <f t="shared" si="24"/>
        <v>1w</v>
      </c>
      <c r="X1040" s="200">
        <f>_xll.qlCalendarAdvance(Calendar,X1039,W1040,"f",FALSE)</f>
        <v>46105</v>
      </c>
      <c r="Y1040" s="204">
        <f>_xll.qlCalendarAdvance(Calendar,X1040,NDays&amp;"D")</f>
        <v>46107</v>
      </c>
      <c r="Z1040" s="205">
        <v>4.0355201760851611E-2</v>
      </c>
      <c r="AA1040" s="207">
        <v>4.0282178793713541E-2</v>
      </c>
    </row>
    <row r="1041" spans="19:27" x14ac:dyDescent="0.2">
      <c r="S1041" s="165"/>
      <c r="T1041" s="166"/>
      <c r="W1041" s="199" t="str">
        <f t="shared" si="24"/>
        <v>1w</v>
      </c>
      <c r="X1041" s="200">
        <f>_xll.qlCalendarAdvance(Calendar,X1040,W1041,"f",FALSE)</f>
        <v>46112</v>
      </c>
      <c r="Y1041" s="204">
        <f>_xll.qlCalendarAdvance(Calendar,X1041,NDays&amp;"D")</f>
        <v>46114</v>
      </c>
      <c r="Z1041" s="205">
        <v>4.0359243969309719E-2</v>
      </c>
      <c r="AA1041" s="207">
        <v>4.0284799123107007E-2</v>
      </c>
    </row>
    <row r="1042" spans="19:27" x14ac:dyDescent="0.2">
      <c r="S1042" s="165"/>
      <c r="T1042" s="166"/>
      <c r="W1042" s="199" t="str">
        <f t="shared" si="24"/>
        <v>1w</v>
      </c>
      <c r="X1042" s="200">
        <f>_xll.qlCalendarAdvance(Calendar,X1041,W1042,"f",FALSE)</f>
        <v>46119</v>
      </c>
      <c r="Y1042" s="204">
        <f>_xll.qlCalendarAdvance(Calendar,X1042,NDays&amp;"D")</f>
        <v>46121</v>
      </c>
      <c r="Z1042" s="205">
        <v>4.0358331352342569E-2</v>
      </c>
      <c r="AA1042" s="207">
        <v>4.0286083912741688E-2</v>
      </c>
    </row>
    <row r="1043" spans="19:27" x14ac:dyDescent="0.2">
      <c r="S1043" s="165"/>
      <c r="T1043" s="166"/>
      <c r="W1043" s="199" t="str">
        <f t="shared" si="24"/>
        <v>1w</v>
      </c>
      <c r="X1043" s="200">
        <f>_xll.qlCalendarAdvance(Calendar,X1042,W1043,"f",FALSE)</f>
        <v>46126</v>
      </c>
      <c r="Y1043" s="204">
        <f>_xll.qlCalendarAdvance(Calendar,X1043,NDays&amp;"D")</f>
        <v>46128</v>
      </c>
      <c r="Z1043" s="205">
        <v>4.0359535908050248E-2</v>
      </c>
      <c r="AA1043" s="207">
        <v>4.0287677479380335E-2</v>
      </c>
    </row>
    <row r="1044" spans="19:27" x14ac:dyDescent="0.2">
      <c r="S1044" s="165"/>
      <c r="T1044" s="166"/>
      <c r="W1044" s="199" t="str">
        <f t="shared" si="24"/>
        <v>1w</v>
      </c>
      <c r="X1044" s="200">
        <f>_xll.qlCalendarAdvance(Calendar,X1043,W1044,"f",FALSE)</f>
        <v>46133</v>
      </c>
      <c r="Y1044" s="204">
        <f>_xll.qlCalendarAdvance(Calendar,X1044,NDays&amp;"D")</f>
        <v>46135</v>
      </c>
      <c r="Z1044" s="205">
        <v>4.0362806572135798E-2</v>
      </c>
      <c r="AA1044" s="207">
        <v>4.0289031717621882E-2</v>
      </c>
    </row>
    <row r="1045" spans="19:27" x14ac:dyDescent="0.2">
      <c r="S1045" s="165"/>
      <c r="T1045" s="166"/>
      <c r="W1045" s="199" t="str">
        <f t="shared" ref="W1045:W1108" si="25">W1044</f>
        <v>1w</v>
      </c>
      <c r="X1045" s="200">
        <f>_xll.qlCalendarAdvance(Calendar,X1044,W1045,"f",FALSE)</f>
        <v>46140</v>
      </c>
      <c r="Y1045" s="204">
        <f>_xll.qlCalendarAdvance(Calendar,X1045,NDays&amp;"D")</f>
        <v>46142</v>
      </c>
      <c r="Z1045" s="205">
        <v>4.0354348210988926E-2</v>
      </c>
      <c r="AA1045" s="207">
        <v>4.0290286363209304E-2</v>
      </c>
    </row>
    <row r="1046" spans="19:27" x14ac:dyDescent="0.2">
      <c r="S1046" s="165"/>
      <c r="T1046" s="166"/>
      <c r="W1046" s="199" t="str">
        <f t="shared" si="25"/>
        <v>1w</v>
      </c>
      <c r="X1046" s="200">
        <f>_xll.qlCalendarAdvance(Calendar,X1045,W1046,"f",FALSE)</f>
        <v>46147</v>
      </c>
      <c r="Y1046" s="204">
        <f>_xll.qlCalendarAdvance(Calendar,X1046,NDays&amp;"D")</f>
        <v>46149</v>
      </c>
      <c r="Z1046" s="205">
        <v>4.0361708614157776E-2</v>
      </c>
      <c r="AA1046" s="207">
        <v>4.029102220859393E-2</v>
      </c>
    </row>
    <row r="1047" spans="19:27" x14ac:dyDescent="0.2">
      <c r="S1047" s="165"/>
      <c r="T1047" s="166"/>
      <c r="W1047" s="199" t="str">
        <f t="shared" si="25"/>
        <v>1w</v>
      </c>
      <c r="X1047" s="200">
        <f>_xll.qlCalendarAdvance(Calendar,X1046,W1047,"f",FALSE)</f>
        <v>46154</v>
      </c>
      <c r="Y1047" s="204">
        <f>_xll.qlCalendarAdvance(Calendar,X1047,NDays&amp;"D")</f>
        <v>46156</v>
      </c>
      <c r="Z1047" s="205">
        <v>4.0361952529031075E-2</v>
      </c>
      <c r="AA1047" s="207">
        <v>4.0291658461244495E-2</v>
      </c>
    </row>
    <row r="1048" spans="19:27" x14ac:dyDescent="0.2">
      <c r="S1048" s="165"/>
      <c r="T1048" s="166"/>
      <c r="W1048" s="199" t="str">
        <f t="shared" si="25"/>
        <v>1w</v>
      </c>
      <c r="X1048" s="200">
        <f>_xll.qlCalendarAdvance(Calendar,X1047,W1048,"f",FALSE)</f>
        <v>46161</v>
      </c>
      <c r="Y1048" s="204">
        <f>_xll.qlCalendarAdvance(Calendar,X1048,NDays&amp;"D")</f>
        <v>46163</v>
      </c>
      <c r="Z1048" s="205">
        <v>4.0361956283622713E-2</v>
      </c>
      <c r="AA1048" s="207">
        <v>4.0292092551847958E-2</v>
      </c>
    </row>
    <row r="1049" spans="19:27" x14ac:dyDescent="0.2">
      <c r="S1049" s="165"/>
      <c r="T1049" s="166"/>
      <c r="W1049" s="199" t="str">
        <f t="shared" si="25"/>
        <v>1w</v>
      </c>
      <c r="X1049" s="200">
        <f>_xll.qlCalendarAdvance(Calendar,X1048,W1049,"f",FALSE)</f>
        <v>46168</v>
      </c>
      <c r="Y1049" s="204">
        <f>_xll.qlCalendarAdvance(Calendar,X1049,NDays&amp;"D")</f>
        <v>46170</v>
      </c>
      <c r="Z1049" s="205">
        <v>4.0361720503422349E-2</v>
      </c>
      <c r="AA1049" s="207">
        <v>4.0292212981034581E-2</v>
      </c>
    </row>
    <row r="1050" spans="19:27" x14ac:dyDescent="0.2">
      <c r="S1050" s="165"/>
      <c r="T1050" s="166"/>
      <c r="W1050" s="199" t="str">
        <f t="shared" si="25"/>
        <v>1w</v>
      </c>
      <c r="X1050" s="200">
        <f>_xll.qlCalendarAdvance(Calendar,X1049,W1050,"f",FALSE)</f>
        <v>46175</v>
      </c>
      <c r="Y1050" s="204">
        <f>_xll.qlCalendarAdvance(Calendar,X1050,NDays&amp;"D")</f>
        <v>46177</v>
      </c>
      <c r="Z1050" s="205">
        <v>4.0361266478527169E-2</v>
      </c>
      <c r="AA1050" s="207">
        <v>4.0292131248174101E-2</v>
      </c>
    </row>
    <row r="1051" spans="19:27" x14ac:dyDescent="0.2">
      <c r="S1051" s="165"/>
      <c r="T1051" s="166"/>
      <c r="W1051" s="199" t="str">
        <f t="shared" si="25"/>
        <v>1w</v>
      </c>
      <c r="X1051" s="200">
        <f>_xll.qlCalendarAdvance(Calendar,X1050,W1051,"f",FALSE)</f>
        <v>46182</v>
      </c>
      <c r="Y1051" s="204">
        <f>_xll.qlCalendarAdvance(Calendar,X1051,NDays&amp;"D")</f>
        <v>46184</v>
      </c>
      <c r="Z1051" s="205">
        <v>4.0360640403118153E-2</v>
      </c>
      <c r="AA1051" s="207">
        <v>4.0291810186836585E-2</v>
      </c>
    </row>
    <row r="1052" spans="19:27" x14ac:dyDescent="0.2">
      <c r="S1052" s="165"/>
      <c r="T1052" s="166"/>
      <c r="W1052" s="199" t="str">
        <f t="shared" si="25"/>
        <v>1w</v>
      </c>
      <c r="X1052" s="200">
        <f>_xll.qlCalendarAdvance(Calendar,X1051,W1052,"f",FALSE)</f>
        <v>46189</v>
      </c>
      <c r="Y1052" s="204">
        <f>_xll.qlCalendarAdvance(Calendar,X1052,NDays&amp;"D")</f>
        <v>46191</v>
      </c>
      <c r="Z1052" s="205">
        <v>4.0359889954020289E-2</v>
      </c>
      <c r="AA1052" s="207">
        <v>4.0291249796862161E-2</v>
      </c>
    </row>
    <row r="1053" spans="19:27" x14ac:dyDescent="0.2">
      <c r="S1053" s="165"/>
      <c r="T1053" s="166"/>
      <c r="W1053" s="199" t="str">
        <f t="shared" si="25"/>
        <v>1w</v>
      </c>
      <c r="X1053" s="200">
        <f>_xll.qlCalendarAdvance(Calendar,X1052,W1053,"f",FALSE)</f>
        <v>46196</v>
      </c>
      <c r="Y1053" s="204">
        <f>_xll.qlCalendarAdvance(Calendar,X1053,NDays&amp;"D")</f>
        <v>46198</v>
      </c>
      <c r="Z1053" s="205">
        <v>4.0359062808061064E-2</v>
      </c>
      <c r="AA1053" s="207">
        <v>4.0290477412625592E-2</v>
      </c>
    </row>
    <row r="1054" spans="19:27" x14ac:dyDescent="0.2">
      <c r="S1054" s="165"/>
      <c r="T1054" s="166"/>
      <c r="W1054" s="199" t="str">
        <f t="shared" si="25"/>
        <v>1w</v>
      </c>
      <c r="X1054" s="200">
        <f>_xll.qlCalendarAdvance(Calendar,X1053,W1054,"f",FALSE)</f>
        <v>46203</v>
      </c>
      <c r="Y1054" s="204">
        <f>_xll.qlCalendarAdvance(Calendar,X1054,NDays&amp;"D")</f>
        <v>46205</v>
      </c>
      <c r="Z1054" s="205">
        <v>4.0358201638078239E-2</v>
      </c>
      <c r="AA1054" s="207">
        <v>4.0289655561958071E-2</v>
      </c>
    </row>
    <row r="1055" spans="19:27" x14ac:dyDescent="0.2">
      <c r="S1055" s="165"/>
      <c r="T1055" s="166"/>
      <c r="W1055" s="199" t="str">
        <f t="shared" si="25"/>
        <v>1w</v>
      </c>
      <c r="X1055" s="200">
        <f>_xll.qlCalendarAdvance(Calendar,X1054,W1055,"f",FALSE)</f>
        <v>46210</v>
      </c>
      <c r="Y1055" s="204">
        <f>_xll.qlCalendarAdvance(Calendar,X1055,NDays&amp;"D")</f>
        <v>46212</v>
      </c>
      <c r="Z1055" s="205">
        <v>4.0357318235856865E-2</v>
      </c>
      <c r="AA1055" s="207">
        <v>4.0288811578994554E-2</v>
      </c>
    </row>
    <row r="1056" spans="19:27" x14ac:dyDescent="0.2">
      <c r="S1056" s="165"/>
      <c r="T1056" s="166"/>
      <c r="W1056" s="199" t="str">
        <f t="shared" si="25"/>
        <v>1w</v>
      </c>
      <c r="X1056" s="200">
        <f>_xll.qlCalendarAdvance(Calendar,X1055,W1056,"f",FALSE)</f>
        <v>46217</v>
      </c>
      <c r="Y1056" s="204">
        <f>_xll.qlCalendarAdvance(Calendar,X1056,NDays&amp;"D")</f>
        <v>46219</v>
      </c>
      <c r="Z1056" s="205">
        <v>4.0356412624573401E-2</v>
      </c>
      <c r="AA1056" s="207">
        <v>4.0287945463894914E-2</v>
      </c>
    </row>
    <row r="1057" spans="19:27" x14ac:dyDescent="0.2">
      <c r="S1057" s="165"/>
      <c r="T1057" s="166"/>
      <c r="W1057" s="199" t="str">
        <f t="shared" si="25"/>
        <v>1w</v>
      </c>
      <c r="X1057" s="200">
        <f>_xll.qlCalendarAdvance(Calendar,X1056,W1057,"f",FALSE)</f>
        <v>46224</v>
      </c>
      <c r="Y1057" s="204">
        <f>_xll.qlCalendarAdvance(Calendar,X1057,NDays&amp;"D")</f>
        <v>46226</v>
      </c>
      <c r="Z1057" s="205">
        <v>4.0355484804230346E-2</v>
      </c>
      <c r="AA1057" s="207">
        <v>4.0287057216579214E-2</v>
      </c>
    </row>
    <row r="1058" spans="19:27" x14ac:dyDescent="0.2">
      <c r="S1058" s="165"/>
      <c r="T1058" s="166"/>
      <c r="W1058" s="199" t="str">
        <f t="shared" si="25"/>
        <v>1w</v>
      </c>
      <c r="X1058" s="200">
        <f>_xll.qlCalendarAdvance(Calendar,X1057,W1058,"f",FALSE)</f>
        <v>46231</v>
      </c>
      <c r="Y1058" s="204">
        <f>_xll.qlCalendarAdvance(Calendar,X1058,NDays&amp;"D")</f>
        <v>46233</v>
      </c>
      <c r="Z1058" s="205">
        <v>4.0347967096629252E-2</v>
      </c>
      <c r="AA1058" s="207">
        <v>4.0286146837047454E-2</v>
      </c>
    </row>
    <row r="1059" spans="19:27" x14ac:dyDescent="0.2">
      <c r="S1059" s="165"/>
      <c r="T1059" s="166"/>
      <c r="W1059" s="199" t="str">
        <f t="shared" si="25"/>
        <v>1w</v>
      </c>
      <c r="X1059" s="200">
        <f>_xll.qlCalendarAdvance(Calendar,X1058,W1059,"f",FALSE)</f>
        <v>46238</v>
      </c>
      <c r="Y1059" s="204">
        <f>_xll.qlCalendarAdvance(Calendar,X1059,NDays&amp;"D")</f>
        <v>46240</v>
      </c>
      <c r="Z1059" s="205">
        <v>4.0355750070885807E-2</v>
      </c>
      <c r="AA1059" s="207">
        <v>4.0285214325219698E-2</v>
      </c>
    </row>
    <row r="1060" spans="19:27" x14ac:dyDescent="0.2">
      <c r="S1060" s="165"/>
      <c r="T1060" s="166"/>
      <c r="W1060" s="199" t="str">
        <f t="shared" si="25"/>
        <v>1w</v>
      </c>
      <c r="X1060" s="200">
        <f>_xll.qlCalendarAdvance(Calendar,X1059,W1060,"f",FALSE)</f>
        <v>46245</v>
      </c>
      <c r="Y1060" s="204">
        <f>_xll.qlCalendarAdvance(Calendar,X1060,NDays&amp;"D")</f>
        <v>46247</v>
      </c>
      <c r="Z1060" s="205">
        <v>4.0352568088901086E-2</v>
      </c>
      <c r="AA1060" s="207">
        <v>4.0284259681255818E-2</v>
      </c>
    </row>
    <row r="1061" spans="19:27" x14ac:dyDescent="0.2">
      <c r="S1061" s="165"/>
      <c r="T1061" s="166"/>
      <c r="W1061" s="199" t="str">
        <f t="shared" si="25"/>
        <v>1w</v>
      </c>
      <c r="X1061" s="200">
        <f>_xll.qlCalendarAdvance(Calendar,X1060,W1061,"f",FALSE)</f>
        <v>46252</v>
      </c>
      <c r="Y1061" s="204">
        <f>_xll.qlCalendarAdvance(Calendar,X1061,NDays&amp;"D")</f>
        <v>46254</v>
      </c>
      <c r="Z1061" s="205">
        <v>4.035155143237712E-2</v>
      </c>
      <c r="AA1061" s="207">
        <v>4.0283282904995943E-2</v>
      </c>
    </row>
    <row r="1062" spans="19:27" x14ac:dyDescent="0.2">
      <c r="S1062" s="165"/>
      <c r="T1062" s="166"/>
      <c r="W1062" s="199" t="str">
        <f t="shared" si="25"/>
        <v>1w</v>
      </c>
      <c r="X1062" s="200">
        <f>_xll.qlCalendarAdvance(Calendar,X1061,W1062,"f",FALSE)</f>
        <v>46259</v>
      </c>
      <c r="Y1062" s="204">
        <f>_xll.qlCalendarAdvance(Calendar,X1062,NDays&amp;"D")</f>
        <v>46261</v>
      </c>
      <c r="Z1062" s="205">
        <v>4.0350512566826036E-2</v>
      </c>
      <c r="AA1062" s="207">
        <v>4.0282139488674318E-2</v>
      </c>
    </row>
    <row r="1063" spans="19:27" x14ac:dyDescent="0.2">
      <c r="S1063" s="165"/>
      <c r="T1063" s="166"/>
      <c r="W1063" s="199" t="str">
        <f t="shared" si="25"/>
        <v>1w</v>
      </c>
      <c r="X1063" s="200">
        <f>_xll.qlCalendarAdvance(Calendar,X1062,W1063,"f",FALSE)</f>
        <v>46266</v>
      </c>
      <c r="Y1063" s="204">
        <f>_xll.qlCalendarAdvance(Calendar,X1063,NDays&amp;"D")</f>
        <v>46268</v>
      </c>
      <c r="Z1063" s="205">
        <v>4.0349451492247834E-2</v>
      </c>
      <c r="AA1063" s="207">
        <v>4.0281262955828012E-2</v>
      </c>
    </row>
    <row r="1064" spans="19:27" x14ac:dyDescent="0.2">
      <c r="S1064" s="165"/>
      <c r="T1064" s="166"/>
      <c r="W1064" s="199" t="str">
        <f t="shared" si="25"/>
        <v>1w</v>
      </c>
      <c r="X1064" s="200">
        <f>_xll.qlCalendarAdvance(Calendar,X1063,W1064,"f",FALSE)</f>
        <v>46273</v>
      </c>
      <c r="Y1064" s="204">
        <f>_xll.qlCalendarAdvance(Calendar,X1064,NDays&amp;"D")</f>
        <v>46275</v>
      </c>
      <c r="Z1064" s="205">
        <v>4.0350547229268882E-2</v>
      </c>
      <c r="AA1064" s="207">
        <v>4.0280219782919957E-2</v>
      </c>
    </row>
    <row r="1065" spans="19:27" x14ac:dyDescent="0.2">
      <c r="S1065" s="165"/>
      <c r="T1065" s="166"/>
      <c r="W1065" s="199" t="str">
        <f t="shared" si="25"/>
        <v>1w</v>
      </c>
      <c r="X1065" s="200">
        <f>_xll.qlCalendarAdvance(Calendar,X1064,W1065,"f",FALSE)</f>
        <v>46280</v>
      </c>
      <c r="Y1065" s="204">
        <f>_xll.qlCalendarAdvance(Calendar,X1065,NDays&amp;"D")</f>
        <v>46282</v>
      </c>
      <c r="Z1065" s="205">
        <v>4.0347262716045051E-2</v>
      </c>
      <c r="AA1065" s="207">
        <v>4.0279154477795842E-2</v>
      </c>
    </row>
    <row r="1066" spans="19:27" x14ac:dyDescent="0.2">
      <c r="S1066" s="165"/>
      <c r="T1066" s="166"/>
      <c r="W1066" s="199" t="str">
        <f t="shared" si="25"/>
        <v>1w</v>
      </c>
      <c r="X1066" s="200">
        <f>_xll.qlCalendarAdvance(Calendar,X1065,W1066,"f",FALSE)</f>
        <v>46287</v>
      </c>
      <c r="Y1066" s="204">
        <f>_xll.qlCalendarAdvance(Calendar,X1066,NDays&amp;"D")</f>
        <v>46289</v>
      </c>
      <c r="Z1066" s="205">
        <v>4.034613501443296E-2</v>
      </c>
      <c r="AA1066" s="207">
        <v>4.0278067040455667E-2</v>
      </c>
    </row>
    <row r="1067" spans="19:27" x14ac:dyDescent="0.2">
      <c r="S1067" s="165"/>
      <c r="T1067" s="166"/>
      <c r="W1067" s="199" t="str">
        <f t="shared" si="25"/>
        <v>1w</v>
      </c>
      <c r="X1067" s="200">
        <f>_xll.qlCalendarAdvance(Calendar,X1066,W1067,"f",FALSE)</f>
        <v>46294</v>
      </c>
      <c r="Y1067" s="204">
        <f>_xll.qlCalendarAdvance(Calendar,X1067,NDays&amp;"D")</f>
        <v>46296</v>
      </c>
      <c r="Z1067" s="205">
        <v>4.0344985103826225E-2</v>
      </c>
      <c r="AA1067" s="207">
        <v>4.0276957470979369E-2</v>
      </c>
    </row>
    <row r="1068" spans="19:27" x14ac:dyDescent="0.2">
      <c r="S1068" s="165"/>
      <c r="T1068" s="166"/>
      <c r="W1068" s="199" t="str">
        <f t="shared" si="25"/>
        <v>1w</v>
      </c>
      <c r="X1068" s="200">
        <f>_xll.qlCalendarAdvance(Calendar,X1067,W1068,"f",FALSE)</f>
        <v>46301</v>
      </c>
      <c r="Y1068" s="204">
        <f>_xll.qlCalendarAdvance(Calendar,X1068,NDays&amp;"D")</f>
        <v>46303</v>
      </c>
      <c r="Z1068" s="205">
        <v>4.0343812984224847E-2</v>
      </c>
      <c r="AA1068" s="207">
        <v>4.0275825769127138E-2</v>
      </c>
    </row>
    <row r="1069" spans="19:27" x14ac:dyDescent="0.2">
      <c r="S1069" s="165"/>
      <c r="T1069" s="166"/>
      <c r="W1069" s="199" t="str">
        <f t="shared" si="25"/>
        <v>1w</v>
      </c>
      <c r="X1069" s="200">
        <f>_xll.qlCalendarAdvance(Calendar,X1068,W1069,"f",FALSE)</f>
        <v>46308</v>
      </c>
      <c r="Y1069" s="204">
        <f>_xll.qlCalendarAdvance(Calendar,X1069,NDays&amp;"D")</f>
        <v>46310</v>
      </c>
      <c r="Z1069" s="205">
        <v>4.0342618655638818E-2</v>
      </c>
      <c r="AA1069" s="207">
        <v>4.0274671935138784E-2</v>
      </c>
    </row>
    <row r="1070" spans="19:27" x14ac:dyDescent="0.2">
      <c r="S1070" s="165"/>
      <c r="T1070" s="166"/>
      <c r="W1070" s="199" t="str">
        <f t="shared" si="25"/>
        <v>1w</v>
      </c>
      <c r="X1070" s="200">
        <f>_xll.qlCalendarAdvance(Calendar,X1069,W1070,"f",FALSE)</f>
        <v>46315</v>
      </c>
      <c r="Y1070" s="204">
        <f>_xll.qlCalendarAdvance(Calendar,X1070,NDays&amp;"D")</f>
        <v>46317</v>
      </c>
      <c r="Z1070" s="205">
        <v>4.0341402118075631E-2</v>
      </c>
      <c r="AA1070" s="207">
        <v>4.027349596893437E-2</v>
      </c>
    </row>
    <row r="1071" spans="19:27" x14ac:dyDescent="0.2">
      <c r="S1071" s="165"/>
      <c r="T1071" s="166"/>
      <c r="W1071" s="199" t="str">
        <f t="shared" si="25"/>
        <v>1w</v>
      </c>
      <c r="X1071" s="200">
        <f>_xll.qlCalendarAdvance(Calendar,X1070,W1071,"f",FALSE)</f>
        <v>46322</v>
      </c>
      <c r="Y1071" s="204">
        <f>_xll.qlCalendarAdvance(Calendar,X1071,NDays&amp;"D")</f>
        <v>46324</v>
      </c>
      <c r="Z1071" s="205">
        <v>4.0340163371542781E-2</v>
      </c>
      <c r="AA1071" s="207">
        <v>4.027229787043396E-2</v>
      </c>
    </row>
    <row r="1072" spans="19:27" x14ac:dyDescent="0.2">
      <c r="S1072" s="165"/>
      <c r="T1072" s="166"/>
      <c r="W1072" s="199" t="str">
        <f t="shared" si="25"/>
        <v>1w</v>
      </c>
      <c r="X1072" s="200">
        <f>_xll.qlCalendarAdvance(Calendar,X1071,W1072,"f",FALSE)</f>
        <v>46329</v>
      </c>
      <c r="Y1072" s="204">
        <f>_xll.qlCalendarAdvance(Calendar,X1072,NDays&amp;"D")</f>
        <v>46331</v>
      </c>
      <c r="Z1072" s="205">
        <v>4.0338902416045264E-2</v>
      </c>
      <c r="AA1072" s="207">
        <v>4.027107763971749E-2</v>
      </c>
    </row>
    <row r="1073" spans="19:27" x14ac:dyDescent="0.2">
      <c r="S1073" s="165"/>
      <c r="T1073" s="166"/>
      <c r="W1073" s="199" t="str">
        <f t="shared" si="25"/>
        <v>1w</v>
      </c>
      <c r="X1073" s="200">
        <f>_xll.qlCalendarAdvance(Calendar,X1072,W1073,"f",FALSE)</f>
        <v>46336</v>
      </c>
      <c r="Y1073" s="204">
        <f>_xll.qlCalendarAdvance(Calendar,X1073,NDays&amp;"D")</f>
        <v>46338</v>
      </c>
      <c r="Z1073" s="205">
        <v>4.0337619251593071E-2</v>
      </c>
      <c r="AA1073" s="207">
        <v>4.0269835276864896E-2</v>
      </c>
    </row>
    <row r="1074" spans="19:27" x14ac:dyDescent="0.2">
      <c r="S1074" s="165"/>
      <c r="T1074" s="166"/>
      <c r="W1074" s="199" t="str">
        <f t="shared" si="25"/>
        <v>1w</v>
      </c>
      <c r="X1074" s="200">
        <f>_xll.qlCalendarAdvance(Calendar,X1073,W1074,"f",FALSE)</f>
        <v>46343</v>
      </c>
      <c r="Y1074" s="204">
        <f>_xll.qlCalendarAdvance(Calendar,X1074,NDays&amp;"D")</f>
        <v>46345</v>
      </c>
      <c r="Z1074" s="205">
        <v>4.0336313878193697E-2</v>
      </c>
      <c r="AA1074" s="207">
        <v>4.0268570781796242E-2</v>
      </c>
    </row>
    <row r="1075" spans="19:27" x14ac:dyDescent="0.2">
      <c r="S1075" s="165"/>
      <c r="T1075" s="166"/>
      <c r="W1075" s="199" t="str">
        <f t="shared" si="25"/>
        <v>1w</v>
      </c>
      <c r="X1075" s="200">
        <f>_xll.qlCalendarAdvance(Calendar,X1074,W1075,"f",FALSE)</f>
        <v>46350</v>
      </c>
      <c r="Y1075" s="204">
        <f>_xll.qlCalendarAdvance(Calendar,X1075,NDays&amp;"D")</f>
        <v>46352</v>
      </c>
      <c r="Z1075" s="205">
        <v>4.0334794828260356E-2</v>
      </c>
      <c r="AA1075" s="207">
        <v>4.0267284154431593E-2</v>
      </c>
    </row>
    <row r="1076" spans="19:27" x14ac:dyDescent="0.2">
      <c r="S1076" s="165"/>
      <c r="T1076" s="166"/>
      <c r="W1076" s="199" t="str">
        <f t="shared" si="25"/>
        <v>1w</v>
      </c>
      <c r="X1076" s="200">
        <f>_xll.qlCalendarAdvance(Calendar,X1075,W1076,"f",FALSE)</f>
        <v>46357</v>
      </c>
      <c r="Y1076" s="204">
        <f>_xll.qlCalendarAdvance(Calendar,X1076,NDays&amp;"D")</f>
        <v>46359</v>
      </c>
      <c r="Z1076" s="205">
        <v>4.0333636504580883E-2</v>
      </c>
      <c r="AA1076" s="207">
        <v>4.026597539493082E-2</v>
      </c>
    </row>
    <row r="1077" spans="19:27" x14ac:dyDescent="0.2">
      <c r="S1077" s="165"/>
      <c r="T1077" s="166"/>
      <c r="W1077" s="199" t="str">
        <f t="shared" si="25"/>
        <v>1w</v>
      </c>
      <c r="X1077" s="200">
        <f>_xll.qlCalendarAdvance(Calendar,X1076,W1077,"f",FALSE)</f>
        <v>46364</v>
      </c>
      <c r="Y1077" s="204">
        <f>_xll.qlCalendarAdvance(Calendar,X1077,NDays&amp;"D")</f>
        <v>46366</v>
      </c>
      <c r="Z1077" s="205">
        <v>4.0332264504384929E-2</v>
      </c>
      <c r="AA1077" s="207">
        <v>4.0264644503134051E-2</v>
      </c>
    </row>
    <row r="1078" spans="19:27" x14ac:dyDescent="0.2">
      <c r="S1078" s="165"/>
      <c r="T1078" s="166"/>
      <c r="W1078" s="199" t="str">
        <f t="shared" si="25"/>
        <v>1w</v>
      </c>
      <c r="X1078" s="200">
        <f>_xll.qlCalendarAdvance(Calendar,X1077,W1078,"f",FALSE)</f>
        <v>46371</v>
      </c>
      <c r="Y1078" s="204">
        <f>_xll.qlCalendarAdvance(Calendar,X1078,NDays&amp;"D")</f>
        <v>46373</v>
      </c>
      <c r="Z1078" s="205">
        <v>4.0333025147124862E-2</v>
      </c>
      <c r="AA1078" s="207">
        <v>4.0263291479121222E-2</v>
      </c>
    </row>
    <row r="1079" spans="19:27" x14ac:dyDescent="0.2">
      <c r="S1079" s="165"/>
      <c r="T1079" s="166"/>
      <c r="W1079" s="199" t="str">
        <f t="shared" si="25"/>
        <v>1w</v>
      </c>
      <c r="X1079" s="200">
        <f>_xll.qlCalendarAdvance(Calendar,X1078,W1079,"f",FALSE)</f>
        <v>46378</v>
      </c>
      <c r="Y1079" s="204">
        <f>_xll.qlCalendarAdvance(Calendar,X1079,NDays&amp;"D")</f>
        <v>46380</v>
      </c>
      <c r="Z1079" s="205">
        <v>4.0329453877251398E-2</v>
      </c>
      <c r="AA1079" s="207">
        <v>4.0261519356112885E-2</v>
      </c>
    </row>
    <row r="1080" spans="19:27" x14ac:dyDescent="0.2">
      <c r="S1080" s="165"/>
      <c r="T1080" s="166"/>
      <c r="W1080" s="199" t="str">
        <f t="shared" si="25"/>
        <v>1w</v>
      </c>
      <c r="X1080" s="200">
        <f>_xll.qlCalendarAdvance(Calendar,X1079,W1080,"f",FALSE)</f>
        <v>46385</v>
      </c>
      <c r="Y1080" s="204">
        <f>_xll.qlCalendarAdvance(Calendar,X1080,NDays&amp;"D")</f>
        <v>46387</v>
      </c>
      <c r="Z1080" s="205">
        <v>4.0321561134324238E-2</v>
      </c>
      <c r="AA1080" s="207">
        <v>4.026031761516613E-2</v>
      </c>
    </row>
    <row r="1081" spans="19:27" x14ac:dyDescent="0.2">
      <c r="S1081" s="165"/>
      <c r="T1081" s="166"/>
      <c r="W1081" s="199" t="str">
        <f t="shared" si="25"/>
        <v>1w</v>
      </c>
      <c r="X1081" s="200">
        <f>_xll.qlCalendarAdvance(Calendar,X1080,W1081,"f",FALSE)</f>
        <v>46392</v>
      </c>
      <c r="Y1081" s="204">
        <f>_xll.qlCalendarAdvance(Calendar,X1081,NDays&amp;"D")</f>
        <v>46394</v>
      </c>
      <c r="Z1081" s="205">
        <v>4.0326554414513993E-2</v>
      </c>
      <c r="AA1081" s="207">
        <v>4.0259099613946248E-2</v>
      </c>
    </row>
    <row r="1082" spans="19:27" x14ac:dyDescent="0.2">
      <c r="S1082" s="165"/>
      <c r="T1082" s="166"/>
      <c r="W1082" s="199" t="str">
        <f t="shared" si="25"/>
        <v>1w</v>
      </c>
      <c r="X1082" s="200">
        <f>_xll.qlCalendarAdvance(Calendar,X1081,W1082,"f",FALSE)</f>
        <v>46399</v>
      </c>
      <c r="Y1082" s="204">
        <f>_xll.qlCalendarAdvance(Calendar,X1082,NDays&amp;"D")</f>
        <v>46401</v>
      </c>
      <c r="Z1082" s="205">
        <v>4.0327219227086791E-2</v>
      </c>
      <c r="AA1082" s="207">
        <v>4.0257658061069179E-2</v>
      </c>
    </row>
    <row r="1083" spans="19:27" x14ac:dyDescent="0.2">
      <c r="S1083" s="165"/>
      <c r="T1083" s="166"/>
      <c r="W1083" s="199" t="str">
        <f t="shared" si="25"/>
        <v>1w</v>
      </c>
      <c r="X1083" s="200">
        <f>_xll.qlCalendarAdvance(Calendar,X1082,W1083,"f",FALSE)</f>
        <v>46406</v>
      </c>
      <c r="Y1083" s="204">
        <f>_xll.qlCalendarAdvance(Calendar,X1083,NDays&amp;"D")</f>
        <v>46408</v>
      </c>
      <c r="Z1083" s="205">
        <v>4.0323566116252652E-2</v>
      </c>
      <c r="AA1083" s="207">
        <v>4.0256194375896115E-2</v>
      </c>
    </row>
    <row r="1084" spans="19:27" x14ac:dyDescent="0.2">
      <c r="S1084" s="165"/>
      <c r="T1084" s="166"/>
      <c r="W1084" s="199" t="str">
        <f t="shared" si="25"/>
        <v>1w</v>
      </c>
      <c r="X1084" s="200">
        <f>_xll.qlCalendarAdvance(Calendar,X1083,W1084,"f",FALSE)</f>
        <v>46413</v>
      </c>
      <c r="Y1084" s="204">
        <f>_xll.qlCalendarAdvance(Calendar,X1084,NDays&amp;"D")</f>
        <v>46415</v>
      </c>
      <c r="Z1084" s="205">
        <v>4.0315605572082247E-2</v>
      </c>
      <c r="AA1084" s="207">
        <v>4.0254708558666863E-2</v>
      </c>
    </row>
    <row r="1085" spans="19:27" x14ac:dyDescent="0.2">
      <c r="S1085" s="165"/>
      <c r="T1085" s="166"/>
      <c r="W1085" s="199" t="str">
        <f t="shared" si="25"/>
        <v>1w</v>
      </c>
      <c r="X1085" s="200">
        <f>_xll.qlCalendarAdvance(Calendar,X1084,W1085,"f",FALSE)</f>
        <v>46420</v>
      </c>
      <c r="Y1085" s="204">
        <f>_xll.qlCalendarAdvance(Calendar,X1085,NDays&amp;"D")</f>
        <v>46422</v>
      </c>
      <c r="Z1085" s="205">
        <v>4.0311918560314339E-2</v>
      </c>
      <c r="AA1085" s="207">
        <v>4.0253200609221551E-2</v>
      </c>
    </row>
    <row r="1086" spans="19:27" x14ac:dyDescent="0.2">
      <c r="S1086" s="165"/>
      <c r="T1086" s="166"/>
      <c r="W1086" s="199" t="str">
        <f t="shared" si="25"/>
        <v>1w</v>
      </c>
      <c r="X1086" s="200">
        <f>_xll.qlCalendarAdvance(Calendar,X1085,W1086,"f",FALSE)</f>
        <v>46427</v>
      </c>
      <c r="Y1086" s="204">
        <f>_xll.qlCalendarAdvance(Calendar,X1086,NDays&amp;"D")</f>
        <v>46429</v>
      </c>
      <c r="Z1086" s="205">
        <v>4.0310353725512602E-2</v>
      </c>
      <c r="AA1086" s="207">
        <v>4.0251670527480243E-2</v>
      </c>
    </row>
    <row r="1087" spans="19:27" x14ac:dyDescent="0.2">
      <c r="S1087" s="165"/>
      <c r="T1087" s="166"/>
      <c r="W1087" s="199" t="str">
        <f t="shared" si="25"/>
        <v>1w</v>
      </c>
      <c r="X1087" s="200">
        <f>_xll.qlCalendarAdvance(Calendar,X1086,W1087,"f",FALSE)</f>
        <v>46434</v>
      </c>
      <c r="Y1087" s="204">
        <f>_xll.qlCalendarAdvance(Calendar,X1087,NDays&amp;"D")</f>
        <v>46436</v>
      </c>
      <c r="Z1087" s="205">
        <v>4.0308766691771032E-2</v>
      </c>
      <c r="AA1087" s="207">
        <v>4.0250118313522876E-2</v>
      </c>
    </row>
    <row r="1088" spans="19:27" x14ac:dyDescent="0.2">
      <c r="S1088" s="165"/>
      <c r="T1088" s="166"/>
      <c r="W1088" s="199" t="str">
        <f t="shared" si="25"/>
        <v>1w</v>
      </c>
      <c r="X1088" s="200">
        <f>_xll.qlCalendarAdvance(Calendar,X1087,W1088,"f",FALSE)</f>
        <v>46441</v>
      </c>
      <c r="Y1088" s="204">
        <f>_xll.qlCalendarAdvance(Calendar,X1088,NDays&amp;"D")</f>
        <v>46443</v>
      </c>
      <c r="Z1088" s="205">
        <v>4.0307157459101059E-2</v>
      </c>
      <c r="AA1088" s="207">
        <v>4.0248543967349448E-2</v>
      </c>
    </row>
    <row r="1089" spans="19:27" x14ac:dyDescent="0.2">
      <c r="S1089" s="165"/>
      <c r="T1089" s="166"/>
      <c r="W1089" s="199" t="str">
        <f t="shared" si="25"/>
        <v>1w</v>
      </c>
      <c r="X1089" s="200">
        <f>_xll.qlCalendarAdvance(Calendar,X1088,W1089,"f",FALSE)</f>
        <v>46448</v>
      </c>
      <c r="Y1089" s="204">
        <f>_xll.qlCalendarAdvance(Calendar,X1089,NDays&amp;"D")</f>
        <v>46450</v>
      </c>
      <c r="Z1089" s="205">
        <v>4.0314068208989473E-2</v>
      </c>
      <c r="AA1089" s="207">
        <v>4.0246947488959961E-2</v>
      </c>
    </row>
    <row r="1090" spans="19:27" x14ac:dyDescent="0.2">
      <c r="S1090" s="165"/>
      <c r="T1090" s="166"/>
      <c r="W1090" s="199" t="str">
        <f t="shared" si="25"/>
        <v>1w</v>
      </c>
      <c r="X1090" s="200">
        <f>_xll.qlCalendarAdvance(Calendar,X1089,W1090,"f",FALSE)</f>
        <v>46455</v>
      </c>
      <c r="Y1090" s="204">
        <f>_xll.qlCalendarAdvance(Calendar,X1090,NDays&amp;"D")</f>
        <v>46457</v>
      </c>
      <c r="Z1090" s="205">
        <v>4.0312407493559299E-2</v>
      </c>
      <c r="AA1090" s="207">
        <v>4.0245328878354414E-2</v>
      </c>
    </row>
    <row r="1091" spans="19:27" x14ac:dyDescent="0.2">
      <c r="S1091" s="165"/>
      <c r="T1091" s="166"/>
      <c r="W1091" s="199" t="str">
        <f t="shared" si="25"/>
        <v>1w</v>
      </c>
      <c r="X1091" s="200">
        <f>_xll.qlCalendarAdvance(Calendar,X1090,W1091,"f",FALSE)</f>
        <v>46462</v>
      </c>
      <c r="Y1091" s="204">
        <f>_xll.qlCalendarAdvance(Calendar,X1091,NDays&amp;"D")</f>
        <v>46464</v>
      </c>
      <c r="Z1091" s="205">
        <v>4.0310724569326828E-2</v>
      </c>
      <c r="AA1091" s="207">
        <v>4.0243688135532807E-2</v>
      </c>
    </row>
    <row r="1092" spans="19:27" x14ac:dyDescent="0.2">
      <c r="S1092" s="165"/>
      <c r="T1092" s="166"/>
      <c r="W1092" s="199" t="str">
        <f t="shared" si="25"/>
        <v>1w</v>
      </c>
      <c r="X1092" s="200">
        <f>_xll.qlCalendarAdvance(Calendar,X1091,W1092,"f",FALSE)</f>
        <v>46469</v>
      </c>
      <c r="Y1092" s="204">
        <f>_xll.qlCalendarAdvance(Calendar,X1092,NDays&amp;"D")</f>
        <v>46471</v>
      </c>
      <c r="Z1092" s="205">
        <v>4.0309019436309546E-2</v>
      </c>
      <c r="AA1092" s="207">
        <v>4.0241546088273239E-2</v>
      </c>
    </row>
    <row r="1093" spans="19:27" x14ac:dyDescent="0.2">
      <c r="S1093" s="165"/>
      <c r="T1093" s="166"/>
      <c r="W1093" s="199" t="str">
        <f t="shared" si="25"/>
        <v>1w</v>
      </c>
      <c r="X1093" s="200">
        <f>_xll.qlCalendarAdvance(Calendar,X1092,W1093,"f",FALSE)</f>
        <v>46476</v>
      </c>
      <c r="Y1093" s="204">
        <f>_xll.qlCalendarAdvance(Calendar,X1093,NDays&amp;"D")</f>
        <v>46478</v>
      </c>
      <c r="Z1093" s="205">
        <v>4.0309420512402869E-2</v>
      </c>
      <c r="AA1093" s="207">
        <v>4.0240340253241413E-2</v>
      </c>
    </row>
    <row r="1094" spans="19:27" x14ac:dyDescent="0.2">
      <c r="S1094" s="165"/>
      <c r="T1094" s="166"/>
      <c r="W1094" s="199" t="str">
        <f t="shared" si="25"/>
        <v>1w</v>
      </c>
      <c r="X1094" s="200">
        <f>_xll.qlCalendarAdvance(Calendar,X1093,W1094,"f",FALSE)</f>
        <v>46483</v>
      </c>
      <c r="Y1094" s="204">
        <f>_xll.qlCalendarAdvance(Calendar,X1094,NDays&amp;"D")</f>
        <v>46485</v>
      </c>
      <c r="Z1094" s="205">
        <v>4.0305542543943029E-2</v>
      </c>
      <c r="AA1094" s="207">
        <v>4.0238633113851563E-2</v>
      </c>
    </row>
    <row r="1095" spans="19:27" x14ac:dyDescent="0.2">
      <c r="S1095" s="165"/>
      <c r="T1095" s="166"/>
      <c r="W1095" s="199" t="str">
        <f t="shared" si="25"/>
        <v>1w</v>
      </c>
      <c r="X1095" s="200">
        <f>_xll.qlCalendarAdvance(Calendar,X1094,W1095,"f",FALSE)</f>
        <v>46490</v>
      </c>
      <c r="Y1095" s="204">
        <f>_xll.qlCalendarAdvance(Calendar,X1095,NDays&amp;"D")</f>
        <v>46492</v>
      </c>
      <c r="Z1095" s="205">
        <v>4.0303770784616277E-2</v>
      </c>
      <c r="AA1095" s="207">
        <v>4.0236903842245653E-2</v>
      </c>
    </row>
    <row r="1096" spans="19:27" x14ac:dyDescent="0.2">
      <c r="S1096" s="165"/>
      <c r="T1096" s="166"/>
      <c r="W1096" s="199" t="str">
        <f t="shared" si="25"/>
        <v>1w</v>
      </c>
      <c r="X1096" s="200">
        <f>_xll.qlCalendarAdvance(Calendar,X1095,W1096,"f",FALSE)</f>
        <v>46497</v>
      </c>
      <c r="Y1096" s="204">
        <f>_xll.qlCalendarAdvance(Calendar,X1096,NDays&amp;"D")</f>
        <v>46499</v>
      </c>
      <c r="Z1096" s="205">
        <v>4.0301976816544682E-2</v>
      </c>
      <c r="AA1096" s="207">
        <v>4.0235152438343746E-2</v>
      </c>
    </row>
    <row r="1097" spans="19:27" x14ac:dyDescent="0.2">
      <c r="S1097" s="165"/>
      <c r="T1097" s="166"/>
      <c r="W1097" s="199" t="str">
        <f t="shared" si="25"/>
        <v>1w</v>
      </c>
      <c r="X1097" s="200">
        <f>_xll.qlCalendarAdvance(Calendar,X1096,W1097,"f",FALSE)</f>
        <v>46504</v>
      </c>
      <c r="Y1097" s="204">
        <f>_xll.qlCalendarAdvance(Calendar,X1097,NDays&amp;"D")</f>
        <v>46506</v>
      </c>
      <c r="Z1097" s="205">
        <v>4.0293796739689837E-2</v>
      </c>
      <c r="AA1097" s="207">
        <v>4.0233123733219855E-2</v>
      </c>
    </row>
    <row r="1098" spans="19:27" x14ac:dyDescent="0.2">
      <c r="S1098" s="165"/>
      <c r="T1098" s="166"/>
      <c r="W1098" s="199" t="str">
        <f t="shared" si="25"/>
        <v>1w</v>
      </c>
      <c r="X1098" s="200">
        <f>_xll.qlCalendarAdvance(Calendar,X1097,W1098,"f",FALSE)</f>
        <v>46511</v>
      </c>
      <c r="Y1098" s="204">
        <f>_xll.qlCalendarAdvance(Calendar,X1098,NDays&amp;"D")</f>
        <v>46513</v>
      </c>
      <c r="Z1098" s="205">
        <v>4.0298322254191943E-2</v>
      </c>
      <c r="AA1098" s="207">
        <v>4.0231583233971691E-2</v>
      </c>
    </row>
    <row r="1099" spans="19:27" x14ac:dyDescent="0.2">
      <c r="S1099" s="165"/>
      <c r="T1099" s="166"/>
      <c r="W1099" s="199" t="str">
        <f t="shared" si="25"/>
        <v>1w</v>
      </c>
      <c r="X1099" s="200">
        <f>_xll.qlCalendarAdvance(Calendar,X1098,W1099,"f",FALSE)</f>
        <v>46518</v>
      </c>
      <c r="Y1099" s="204">
        <f>_xll.qlCalendarAdvance(Calendar,X1099,NDays&amp;"D")</f>
        <v>46520</v>
      </c>
      <c r="Z1099" s="205">
        <v>4.0296461659935778E-2</v>
      </c>
      <c r="AA1099" s="207">
        <v>4.0229765433341669E-2</v>
      </c>
    </row>
    <row r="1100" spans="19:27" x14ac:dyDescent="0.2">
      <c r="S1100" s="165"/>
      <c r="T1100" s="166"/>
      <c r="W1100" s="199" t="str">
        <f t="shared" si="25"/>
        <v>1w</v>
      </c>
      <c r="X1100" s="200">
        <f>_xll.qlCalendarAdvance(Calendar,X1099,W1100,"f",FALSE)</f>
        <v>46525</v>
      </c>
      <c r="Y1100" s="204">
        <f>_xll.qlCalendarAdvance(Calendar,X1100,NDays&amp;"D")</f>
        <v>46527</v>
      </c>
      <c r="Z1100" s="205">
        <v>4.0294578856977237E-2</v>
      </c>
      <c r="AA1100" s="207">
        <v>4.0227925500655459E-2</v>
      </c>
    </row>
    <row r="1101" spans="19:27" x14ac:dyDescent="0.2">
      <c r="S1101" s="165"/>
      <c r="T1101" s="166"/>
      <c r="W1101" s="199" t="str">
        <f t="shared" si="25"/>
        <v>1w</v>
      </c>
      <c r="X1101" s="200">
        <f>_xll.qlCalendarAdvance(Calendar,X1100,W1101,"f",FALSE)</f>
        <v>46532</v>
      </c>
      <c r="Y1101" s="204">
        <f>_xll.qlCalendarAdvance(Calendar,X1101,NDays&amp;"D")</f>
        <v>46534</v>
      </c>
      <c r="Z1101" s="205">
        <v>4.0292673845321314E-2</v>
      </c>
      <c r="AA1101" s="207">
        <v>4.022579561974382E-2</v>
      </c>
    </row>
    <row r="1102" spans="19:27" x14ac:dyDescent="0.2">
      <c r="S1102" s="165"/>
      <c r="T1102" s="166"/>
      <c r="W1102" s="199" t="str">
        <f t="shared" si="25"/>
        <v>1w</v>
      </c>
      <c r="X1102" s="200">
        <f>_xll.qlCalendarAdvance(Calendar,X1101,W1102,"f",FALSE)</f>
        <v>46539</v>
      </c>
      <c r="Y1102" s="204">
        <f>_xll.qlCalendarAdvance(Calendar,X1102,NDays&amp;"D")</f>
        <v>46541</v>
      </c>
      <c r="Z1102" s="205">
        <v>4.0292858915332151E-2</v>
      </c>
      <c r="AA1102" s="207">
        <v>4.0224179238554925E-2</v>
      </c>
    </row>
    <row r="1103" spans="19:27" x14ac:dyDescent="0.2">
      <c r="S1103" s="165"/>
      <c r="T1103" s="166"/>
      <c r="W1103" s="199" t="str">
        <f t="shared" si="25"/>
        <v>1w</v>
      </c>
      <c r="X1103" s="200">
        <f>_xll.qlCalendarAdvance(Calendar,X1102,W1103,"f",FALSE)</f>
        <v>46546</v>
      </c>
      <c r="Y1103" s="204">
        <f>_xll.qlCalendarAdvance(Calendar,X1103,NDays&amp;"D")</f>
        <v>46548</v>
      </c>
      <c r="Z1103" s="205">
        <v>4.0288797195974779E-2</v>
      </c>
      <c r="AA1103" s="207">
        <v>4.0222272909220536E-2</v>
      </c>
    </row>
    <row r="1104" spans="19:27" x14ac:dyDescent="0.2">
      <c r="S1104" s="165"/>
      <c r="T1104" s="166"/>
      <c r="W1104" s="199" t="str">
        <f t="shared" si="25"/>
        <v>1w</v>
      </c>
      <c r="X1104" s="200">
        <f>_xll.qlCalendarAdvance(Calendar,X1103,W1104,"f",FALSE)</f>
        <v>46553</v>
      </c>
      <c r="Y1104" s="204">
        <f>_xll.qlCalendarAdvance(Calendar,X1104,NDays&amp;"D")</f>
        <v>46555</v>
      </c>
      <c r="Z1104" s="205">
        <v>4.0286825558309147E-2</v>
      </c>
      <c r="AA1104" s="207">
        <v>4.0220344447670087E-2</v>
      </c>
    </row>
    <row r="1105" spans="19:27" x14ac:dyDescent="0.2">
      <c r="S1105" s="165"/>
      <c r="T1105" s="166"/>
      <c r="W1105" s="199" t="str">
        <f t="shared" si="25"/>
        <v>1w</v>
      </c>
      <c r="X1105" s="200">
        <f>_xll.qlCalendarAdvance(Calendar,X1104,W1105,"f",FALSE)</f>
        <v>46560</v>
      </c>
      <c r="Y1105" s="204">
        <f>_xll.qlCalendarAdvance(Calendar,X1105,NDays&amp;"D")</f>
        <v>46562</v>
      </c>
      <c r="Z1105" s="205">
        <v>4.0284831711991098E-2</v>
      </c>
      <c r="AA1105" s="207">
        <v>4.0218393853903578E-2</v>
      </c>
    </row>
    <row r="1106" spans="19:27" x14ac:dyDescent="0.2">
      <c r="S1106" s="165"/>
      <c r="T1106" s="166"/>
      <c r="W1106" s="199" t="str">
        <f t="shared" si="25"/>
        <v>1w</v>
      </c>
      <c r="X1106" s="200">
        <f>_xll.qlCalendarAdvance(Calendar,X1105,W1106,"f",FALSE)</f>
        <v>46567</v>
      </c>
      <c r="Y1106" s="204">
        <f>_xll.qlCalendarAdvance(Calendar,X1106,NDays&amp;"D")</f>
        <v>46569</v>
      </c>
      <c r="Z1106" s="205">
        <v>4.0282815657040616E-2</v>
      </c>
      <c r="AA1106" s="207">
        <v>4.0216421127921009E-2</v>
      </c>
    </row>
    <row r="1107" spans="19:27" x14ac:dyDescent="0.2">
      <c r="S1107" s="165"/>
      <c r="T1107" s="166"/>
      <c r="W1107" s="199" t="str">
        <f t="shared" si="25"/>
        <v>1w</v>
      </c>
      <c r="X1107" s="200">
        <f>_xll.qlCalendarAdvance(Calendar,X1106,W1107,"f",FALSE)</f>
        <v>46574</v>
      </c>
      <c r="Y1107" s="204">
        <f>_xll.qlCalendarAdvance(Calendar,X1107,NDays&amp;"D")</f>
        <v>46576</v>
      </c>
      <c r="Z1107" s="205">
        <v>4.0280777393462697E-2</v>
      </c>
      <c r="AA1107" s="207">
        <v>4.0214426269722381E-2</v>
      </c>
    </row>
    <row r="1108" spans="19:27" x14ac:dyDescent="0.2">
      <c r="S1108" s="165"/>
      <c r="T1108" s="166"/>
      <c r="W1108" s="199" t="str">
        <f t="shared" si="25"/>
        <v>1w</v>
      </c>
      <c r="X1108" s="200">
        <f>_xll.qlCalendarAdvance(Calendar,X1107,W1108,"f",FALSE)</f>
        <v>46581</v>
      </c>
      <c r="Y1108" s="204">
        <f>_xll.qlCalendarAdvance(Calendar,X1108,NDays&amp;"D")</f>
        <v>46583</v>
      </c>
      <c r="Z1108" s="205">
        <v>4.0278716921272328E-2</v>
      </c>
      <c r="AA1108" s="207">
        <v>4.0212409279227757E-2</v>
      </c>
    </row>
    <row r="1109" spans="19:27" x14ac:dyDescent="0.2">
      <c r="S1109" s="165"/>
      <c r="T1109" s="166"/>
      <c r="W1109" s="199" t="str">
        <f t="shared" ref="W1109:W1172" si="26">W1108</f>
        <v>1w</v>
      </c>
      <c r="X1109" s="200">
        <f>_xll.qlCalendarAdvance(Calendar,X1108,W1109,"f",FALSE)</f>
        <v>46588</v>
      </c>
      <c r="Y1109" s="204">
        <f>_xll.qlCalendarAdvance(Calendar,X1109,NDays&amp;"D")</f>
        <v>46590</v>
      </c>
      <c r="Z1109" s="205">
        <v>4.0276634240482001E-2</v>
      </c>
      <c r="AA1109" s="207">
        <v>4.0210370156597008E-2</v>
      </c>
    </row>
    <row r="1110" spans="19:27" x14ac:dyDescent="0.2">
      <c r="S1110" s="165"/>
      <c r="T1110" s="166"/>
      <c r="W1110" s="199" t="str">
        <f t="shared" si="26"/>
        <v>1w</v>
      </c>
      <c r="X1110" s="200">
        <f>_xll.qlCalendarAdvance(Calendar,X1109,W1110,"f",FALSE)</f>
        <v>46595</v>
      </c>
      <c r="Y1110" s="204">
        <f>_xll.qlCalendarAdvance(Calendar,X1110,NDays&amp;"D")</f>
        <v>46597</v>
      </c>
      <c r="Z1110" s="205">
        <v>4.0276627137887586E-2</v>
      </c>
      <c r="AA1110" s="207">
        <v>4.02083089017502E-2</v>
      </c>
    </row>
    <row r="1111" spans="19:27" x14ac:dyDescent="0.2">
      <c r="S1111" s="165"/>
      <c r="T1111" s="166"/>
      <c r="W1111" s="199" t="str">
        <f t="shared" si="26"/>
        <v>1w</v>
      </c>
      <c r="X1111" s="200">
        <f>_xll.qlCalendarAdvance(Calendar,X1110,W1111,"f",FALSE)</f>
        <v>46602</v>
      </c>
      <c r="Y1111" s="204">
        <f>_xll.qlCalendarAdvance(Calendar,X1111,NDays&amp;"D")</f>
        <v>46604</v>
      </c>
      <c r="Z1111" s="205">
        <v>4.0274498215881624E-2</v>
      </c>
      <c r="AA1111" s="207">
        <v>4.0206225514687333E-2</v>
      </c>
    </row>
    <row r="1112" spans="19:27" x14ac:dyDescent="0.2">
      <c r="S1112" s="165"/>
      <c r="T1112" s="166"/>
      <c r="W1112" s="199" t="str">
        <f t="shared" si="26"/>
        <v>1w</v>
      </c>
      <c r="X1112" s="200">
        <f>_xll.qlCalendarAdvance(Calendar,X1111,W1112,"f",FALSE)</f>
        <v>46609</v>
      </c>
      <c r="Y1112" s="204">
        <f>_xll.qlCalendarAdvance(Calendar,X1112,NDays&amp;"D")</f>
        <v>46611</v>
      </c>
      <c r="Z1112" s="205">
        <v>4.0270252946631169E-2</v>
      </c>
      <c r="AA1112" s="207">
        <v>4.0204119995488341E-2</v>
      </c>
    </row>
    <row r="1113" spans="19:27" x14ac:dyDescent="0.2">
      <c r="S1113" s="165"/>
      <c r="T1113" s="166"/>
      <c r="W1113" s="199" t="str">
        <f t="shared" si="26"/>
        <v>1w</v>
      </c>
      <c r="X1113" s="200">
        <f>_xll.qlCalendarAdvance(Calendar,X1112,W1113,"f",FALSE)</f>
        <v>46616</v>
      </c>
      <c r="Y1113" s="204">
        <f>_xll.qlCalendarAdvance(Calendar,X1113,NDays&amp;"D")</f>
        <v>46618</v>
      </c>
      <c r="Z1113" s="205">
        <v>4.0268081431563407E-2</v>
      </c>
      <c r="AA1113" s="207">
        <v>4.020199234407329E-2</v>
      </c>
    </row>
    <row r="1114" spans="19:27" x14ac:dyDescent="0.2">
      <c r="S1114" s="165"/>
      <c r="T1114" s="166"/>
      <c r="W1114" s="199" t="str">
        <f t="shared" si="26"/>
        <v>1w</v>
      </c>
      <c r="X1114" s="200">
        <f>_xll.qlCalendarAdvance(Calendar,X1113,W1114,"f",FALSE)</f>
        <v>46623</v>
      </c>
      <c r="Y1114" s="204">
        <f>_xll.qlCalendarAdvance(Calendar,X1114,NDays&amp;"D")</f>
        <v>46625</v>
      </c>
      <c r="Z1114" s="205">
        <v>4.0265887707960635E-2</v>
      </c>
      <c r="AA1114" s="207">
        <v>4.0199533641711582E-2</v>
      </c>
    </row>
    <row r="1115" spans="19:27" x14ac:dyDescent="0.2">
      <c r="S1115" s="165"/>
      <c r="T1115" s="166"/>
      <c r="W1115" s="199" t="str">
        <f t="shared" si="26"/>
        <v>1w</v>
      </c>
      <c r="X1115" s="200">
        <f>_xll.qlCalendarAdvance(Calendar,X1114,W1115,"f",FALSE)</f>
        <v>46630</v>
      </c>
      <c r="Y1115" s="204">
        <f>_xll.qlCalendarAdvance(Calendar,X1115,NDays&amp;"D")</f>
        <v>46632</v>
      </c>
      <c r="Z1115" s="205">
        <v>4.0263671775827847E-2</v>
      </c>
      <c r="AA1115" s="207">
        <v>4.0197670644515071E-2</v>
      </c>
    </row>
    <row r="1116" spans="19:27" x14ac:dyDescent="0.2">
      <c r="S1116" s="165"/>
      <c r="T1116" s="166"/>
      <c r="W1116" s="199" t="str">
        <f t="shared" si="26"/>
        <v>1w</v>
      </c>
      <c r="X1116" s="200">
        <f>_xll.qlCalendarAdvance(Calendar,X1115,W1116,"f",FALSE)</f>
        <v>46637</v>
      </c>
      <c r="Y1116" s="204">
        <f>_xll.qlCalendarAdvance(Calendar,X1116,NDays&amp;"D")</f>
        <v>46639</v>
      </c>
      <c r="Z1116" s="205">
        <v>4.0263520440676395E-2</v>
      </c>
      <c r="AA1116" s="207">
        <v>4.019547659645184E-2</v>
      </c>
    </row>
    <row r="1117" spans="19:27" x14ac:dyDescent="0.2">
      <c r="S1117" s="165"/>
      <c r="T1117" s="166"/>
      <c r="W1117" s="199" t="str">
        <f t="shared" si="26"/>
        <v>1w</v>
      </c>
      <c r="X1117" s="200">
        <f>_xll.qlCalendarAdvance(Calendar,X1116,W1117,"f",FALSE)</f>
        <v>46644</v>
      </c>
      <c r="Y1117" s="204">
        <f>_xll.qlCalendarAdvance(Calendar,X1117,NDays&amp;"D")</f>
        <v>46646</v>
      </c>
      <c r="Z1117" s="205">
        <v>4.0259173286047167E-2</v>
      </c>
      <c r="AA1117" s="207">
        <v>4.0193260416172549E-2</v>
      </c>
    </row>
    <row r="1118" spans="19:27" x14ac:dyDescent="0.2">
      <c r="S1118" s="165"/>
      <c r="T1118" s="166"/>
      <c r="W1118" s="199" t="str">
        <f t="shared" si="26"/>
        <v>1w</v>
      </c>
      <c r="X1118" s="200">
        <f>_xll.qlCalendarAdvance(Calendar,X1117,W1118,"f",FALSE)</f>
        <v>46651</v>
      </c>
      <c r="Y1118" s="204">
        <f>_xll.qlCalendarAdvance(Calendar,X1118,NDays&amp;"D")</f>
        <v>46653</v>
      </c>
      <c r="Z1118" s="205">
        <v>4.0256890728421757E-2</v>
      </c>
      <c r="AA1118" s="207">
        <v>4.0191022103597263E-2</v>
      </c>
    </row>
    <row r="1119" spans="19:27" x14ac:dyDescent="0.2">
      <c r="S1119" s="165"/>
      <c r="T1119" s="166"/>
      <c r="W1119" s="199" t="str">
        <f t="shared" si="26"/>
        <v>1w</v>
      </c>
      <c r="X1119" s="200">
        <f>_xll.qlCalendarAdvance(Calendar,X1118,W1119,"f",FALSE)</f>
        <v>46658</v>
      </c>
      <c r="Y1119" s="204">
        <f>_xll.qlCalendarAdvance(Calendar,X1119,NDays&amp;"D")</f>
        <v>46660</v>
      </c>
      <c r="Z1119" s="205">
        <v>4.0248341992077073E-2</v>
      </c>
      <c r="AA1119" s="207">
        <v>4.0188761658965788E-2</v>
      </c>
    </row>
    <row r="1120" spans="19:27" x14ac:dyDescent="0.2">
      <c r="S1120" s="165"/>
      <c r="T1120" s="166"/>
      <c r="W1120" s="199" t="str">
        <f t="shared" si="26"/>
        <v>1w</v>
      </c>
      <c r="X1120" s="200">
        <f>_xll.qlCalendarAdvance(Calendar,X1119,W1120,"f",FALSE)</f>
        <v>46665</v>
      </c>
      <c r="Y1120" s="204">
        <f>_xll.qlCalendarAdvance(Calendar,X1120,NDays&amp;"D")</f>
        <v>46667</v>
      </c>
      <c r="Z1120" s="205">
        <v>4.0252258987770739E-2</v>
      </c>
      <c r="AA1120" s="207">
        <v>4.0186479082038318E-2</v>
      </c>
    </row>
    <row r="1121" spans="19:27" x14ac:dyDescent="0.2">
      <c r="S1121" s="165"/>
      <c r="T1121" s="166"/>
      <c r="W1121" s="199" t="str">
        <f t="shared" si="26"/>
        <v>1w</v>
      </c>
      <c r="X1121" s="200">
        <f>_xll.qlCalendarAdvance(Calendar,X1120,W1121,"f",FALSE)</f>
        <v>46672</v>
      </c>
      <c r="Y1121" s="204">
        <f>_xll.qlCalendarAdvance(Calendar,X1121,NDays&amp;"D")</f>
        <v>46674</v>
      </c>
      <c r="Z1121" s="205">
        <v>4.024990980477261E-2</v>
      </c>
      <c r="AA1121" s="207">
        <v>4.0184174372894788E-2</v>
      </c>
    </row>
    <row r="1122" spans="19:27" x14ac:dyDescent="0.2">
      <c r="S1122" s="165"/>
      <c r="T1122" s="166"/>
      <c r="W1122" s="199" t="str">
        <f t="shared" si="26"/>
        <v>1w</v>
      </c>
      <c r="X1122" s="200">
        <f>_xll.qlCalendarAdvance(Calendar,X1121,W1122,"f",FALSE)</f>
        <v>46679</v>
      </c>
      <c r="Y1122" s="204">
        <f>_xll.qlCalendarAdvance(Calendar,X1122,NDays&amp;"D")</f>
        <v>46681</v>
      </c>
      <c r="Z1122" s="205">
        <v>4.0247538413341888E-2</v>
      </c>
      <c r="AA1122" s="207">
        <v>4.0181847531615134E-2</v>
      </c>
    </row>
    <row r="1123" spans="19:27" x14ac:dyDescent="0.2">
      <c r="S1123" s="165"/>
      <c r="T1123" s="166"/>
      <c r="W1123" s="199" t="str">
        <f t="shared" si="26"/>
        <v>1w</v>
      </c>
      <c r="X1123" s="200">
        <f>_xll.qlCalendarAdvance(Calendar,X1122,W1123,"f",FALSE)</f>
        <v>46686</v>
      </c>
      <c r="Y1123" s="204">
        <f>_xll.qlCalendarAdvance(Calendar,X1123,NDays&amp;"D")</f>
        <v>46688</v>
      </c>
      <c r="Z1123" s="205">
        <v>4.0245144813496059E-2</v>
      </c>
      <c r="AA1123" s="207">
        <v>4.0179498558199356E-2</v>
      </c>
    </row>
    <row r="1124" spans="19:27" x14ac:dyDescent="0.2">
      <c r="S1124" s="165"/>
      <c r="T1124" s="166"/>
      <c r="W1124" s="199" t="str">
        <f t="shared" si="26"/>
        <v>1w</v>
      </c>
      <c r="X1124" s="200">
        <f>_xll.qlCalendarAdvance(Calendar,X1123,W1124,"f",FALSE)</f>
        <v>46693</v>
      </c>
      <c r="Y1124" s="204">
        <f>_xll.qlCalendarAdvance(Calendar,X1124,NDays&amp;"D")</f>
        <v>46695</v>
      </c>
      <c r="Z1124" s="205">
        <v>4.0242729005250111E-2</v>
      </c>
      <c r="AA1124" s="207">
        <v>4.0177127452487582E-2</v>
      </c>
    </row>
    <row r="1125" spans="19:27" x14ac:dyDescent="0.2">
      <c r="S1125" s="165"/>
      <c r="T1125" s="166"/>
      <c r="W1125" s="199" t="str">
        <f t="shared" si="26"/>
        <v>1w</v>
      </c>
      <c r="X1125" s="200">
        <f>_xll.qlCalendarAdvance(Calendar,X1124,W1125,"f",FALSE)</f>
        <v>46700</v>
      </c>
      <c r="Y1125" s="204">
        <f>_xll.qlCalendarAdvance(Calendar,X1125,NDays&amp;"D")</f>
        <v>46702</v>
      </c>
      <c r="Z1125" s="205">
        <v>4.023787096277899E-2</v>
      </c>
      <c r="AA1125" s="207">
        <v>4.0174734214479813E-2</v>
      </c>
    </row>
    <row r="1126" spans="19:27" x14ac:dyDescent="0.2">
      <c r="S1126" s="165"/>
      <c r="T1126" s="166"/>
      <c r="W1126" s="199" t="str">
        <f t="shared" si="26"/>
        <v>1w</v>
      </c>
      <c r="X1126" s="200">
        <f>_xll.qlCalendarAdvance(Calendar,X1125,W1126,"f",FALSE)</f>
        <v>46707</v>
      </c>
      <c r="Y1126" s="204">
        <f>_xll.qlCalendarAdvance(Calendar,X1126,NDays&amp;"D")</f>
        <v>46709</v>
      </c>
      <c r="Z1126" s="205">
        <v>4.0237830763602822E-2</v>
      </c>
      <c r="AA1126" s="207">
        <v>4.0172318844415855E-2</v>
      </c>
    </row>
    <row r="1127" spans="19:27" x14ac:dyDescent="0.2">
      <c r="S1127" s="165"/>
      <c r="T1127" s="166"/>
      <c r="W1127" s="199" t="str">
        <f t="shared" si="26"/>
        <v>1w</v>
      </c>
      <c r="X1127" s="200">
        <f>_xll.qlCalendarAdvance(Calendar,X1126,W1127,"f",FALSE)</f>
        <v>46714</v>
      </c>
      <c r="Y1127" s="204">
        <f>_xll.qlCalendarAdvance(Calendar,X1127,NDays&amp;"D")</f>
        <v>46716</v>
      </c>
      <c r="Z1127" s="205">
        <v>4.0237058060319117E-2</v>
      </c>
      <c r="AA1127" s="207">
        <v>4.0169881342055902E-2</v>
      </c>
    </row>
    <row r="1128" spans="19:27" x14ac:dyDescent="0.2">
      <c r="S1128" s="165"/>
      <c r="T1128" s="166"/>
      <c r="W1128" s="199" t="str">
        <f t="shared" si="26"/>
        <v>1w</v>
      </c>
      <c r="X1128" s="200">
        <f>_xll.qlCalendarAdvance(Calendar,X1127,W1128,"f",FALSE)</f>
        <v>46721</v>
      </c>
      <c r="Y1128" s="204">
        <f>_xll.qlCalendarAdvance(Calendar,X1128,NDays&amp;"D")</f>
        <v>46723</v>
      </c>
      <c r="Z1128" s="205">
        <v>4.0234908265358887E-2</v>
      </c>
      <c r="AA1128" s="207">
        <v>4.0167421707559825E-2</v>
      </c>
    </row>
    <row r="1129" spans="19:27" x14ac:dyDescent="0.2">
      <c r="S1129" s="165"/>
      <c r="T1129" s="166"/>
      <c r="W1129" s="199" t="str">
        <f t="shared" si="26"/>
        <v>1w</v>
      </c>
      <c r="X1129" s="200">
        <f>_xll.qlCalendarAdvance(Calendar,X1128,W1129,"f",FALSE)</f>
        <v>46728</v>
      </c>
      <c r="Y1129" s="204">
        <f>_xll.qlCalendarAdvance(Calendar,X1129,NDays&amp;"D")</f>
        <v>46730</v>
      </c>
      <c r="Z1129" s="205">
        <v>4.0230316838478219E-2</v>
      </c>
      <c r="AA1129" s="207">
        <v>4.0164939940767752E-2</v>
      </c>
    </row>
    <row r="1130" spans="19:27" x14ac:dyDescent="0.2">
      <c r="S1130" s="165"/>
      <c r="T1130" s="166"/>
      <c r="W1130" s="199" t="str">
        <f t="shared" si="26"/>
        <v>1w</v>
      </c>
      <c r="X1130" s="200">
        <f>_xll.qlCalendarAdvance(Calendar,X1129,W1130,"f",FALSE)</f>
        <v>46735</v>
      </c>
      <c r="Y1130" s="204">
        <f>_xll.qlCalendarAdvance(Calendar,X1130,NDays&amp;"D")</f>
        <v>46737</v>
      </c>
      <c r="Z1130" s="205">
        <v>4.02298286177303E-2</v>
      </c>
      <c r="AA1130" s="207">
        <v>4.0162436041839555E-2</v>
      </c>
    </row>
    <row r="1131" spans="19:27" x14ac:dyDescent="0.2">
      <c r="S1131" s="165"/>
      <c r="T1131" s="166"/>
      <c r="W1131" s="199" t="str">
        <f t="shared" si="26"/>
        <v>1w</v>
      </c>
      <c r="X1131" s="200">
        <f>_xll.qlCalendarAdvance(Calendar,X1130,W1131,"f",FALSE)</f>
        <v>46742</v>
      </c>
      <c r="Y1131" s="204">
        <f>_xll.qlCalendarAdvance(Calendar,X1131,NDays&amp;"D")</f>
        <v>46744</v>
      </c>
      <c r="Z1131" s="205">
        <v>4.0225196513461736E-2</v>
      </c>
      <c r="AA1131" s="207">
        <v>4.0159184222465782E-2</v>
      </c>
    </row>
    <row r="1132" spans="19:27" x14ac:dyDescent="0.2">
      <c r="S1132" s="165"/>
      <c r="T1132" s="166"/>
      <c r="W1132" s="199" t="str">
        <f t="shared" si="26"/>
        <v>1w</v>
      </c>
      <c r="X1132" s="200">
        <f>_xll.qlCalendarAdvance(Calendar,X1131,W1132,"f",FALSE)</f>
        <v>46750</v>
      </c>
      <c r="Y1132" s="204">
        <f>_xll.qlCalendarAdvance(Calendar,X1132,NDays&amp;"D")</f>
        <v>46752</v>
      </c>
      <c r="Z1132" s="205">
        <v>4.0218681186100322E-2</v>
      </c>
      <c r="AA1132" s="207">
        <v>4.015662973568368E-2</v>
      </c>
    </row>
    <row r="1133" spans="19:27" x14ac:dyDescent="0.2">
      <c r="S1133" s="165"/>
      <c r="T1133" s="166"/>
      <c r="W1133" s="199" t="str">
        <f t="shared" si="26"/>
        <v>1w</v>
      </c>
      <c r="X1133" s="200">
        <f>_xll.qlCalendarAdvance(Calendar,X1132,W1133,"f",FALSE)</f>
        <v>46757</v>
      </c>
      <c r="Y1133" s="204">
        <f>_xll.qlCalendarAdvance(Calendar,X1133,NDays&amp;"D")</f>
        <v>46759</v>
      </c>
      <c r="Z1133" s="205">
        <v>4.0217556905179058E-2</v>
      </c>
      <c r="AA1133" s="207">
        <v>4.0154422560121361E-2</v>
      </c>
    </row>
    <row r="1134" spans="19:27" x14ac:dyDescent="0.2">
      <c r="S1134" s="165"/>
      <c r="T1134" s="166"/>
      <c r="W1134" s="199" t="str">
        <f t="shared" si="26"/>
        <v>1w</v>
      </c>
      <c r="X1134" s="200">
        <f>_xll.qlCalendarAdvance(Calendar,X1133,W1134,"f",FALSE)</f>
        <v>46764</v>
      </c>
      <c r="Y1134" s="204">
        <f>_xll.qlCalendarAdvance(Calendar,X1134,NDays&amp;"D")</f>
        <v>46766</v>
      </c>
      <c r="Z1134" s="205">
        <v>4.0214917721744688E-2</v>
      </c>
      <c r="AA1134" s="207">
        <v>4.0151826970697968E-2</v>
      </c>
    </row>
    <row r="1135" spans="19:27" x14ac:dyDescent="0.2">
      <c r="S1135" s="165"/>
      <c r="T1135" s="166"/>
      <c r="W1135" s="199" t="str">
        <f t="shared" si="26"/>
        <v>1w</v>
      </c>
      <c r="X1135" s="200">
        <f>_xll.qlCalendarAdvance(Calendar,X1134,W1135,"f",FALSE)</f>
        <v>46771</v>
      </c>
      <c r="Y1135" s="204">
        <f>_xll.qlCalendarAdvance(Calendar,X1135,NDays&amp;"D")</f>
        <v>46773</v>
      </c>
      <c r="Z1135" s="205">
        <v>4.0214307536981242E-2</v>
      </c>
      <c r="AA1135" s="207">
        <v>4.0149209249058515E-2</v>
      </c>
    </row>
    <row r="1136" spans="19:27" x14ac:dyDescent="0.2">
      <c r="S1136" s="165"/>
      <c r="T1136" s="166"/>
      <c r="W1136" s="199" t="str">
        <f t="shared" si="26"/>
        <v>1w</v>
      </c>
      <c r="X1136" s="200">
        <f>_xll.qlCalendarAdvance(Calendar,X1135,W1136,"f",FALSE)</f>
        <v>46778</v>
      </c>
      <c r="Y1136" s="204">
        <f>_xll.qlCalendarAdvance(Calendar,X1136,NDays&amp;"D")</f>
        <v>46780</v>
      </c>
      <c r="Z1136" s="205">
        <v>4.0209572737552664E-2</v>
      </c>
      <c r="AA1136" s="207">
        <v>4.0146569395203002E-2</v>
      </c>
    </row>
    <row r="1137" spans="19:27" x14ac:dyDescent="0.2">
      <c r="S1137" s="165"/>
      <c r="T1137" s="166"/>
      <c r="W1137" s="199" t="str">
        <f t="shared" si="26"/>
        <v>1w</v>
      </c>
      <c r="X1137" s="200">
        <f>_xll.qlCalendarAdvance(Calendar,X1136,W1137,"f",FALSE)</f>
        <v>46785</v>
      </c>
      <c r="Y1137" s="204">
        <f>_xll.qlCalendarAdvance(Calendar,X1137,NDays&amp;"D")</f>
        <v>46787</v>
      </c>
      <c r="Z1137" s="205">
        <v>4.0206866936823384E-2</v>
      </c>
      <c r="AA1137" s="207">
        <v>4.014390740913143E-2</v>
      </c>
    </row>
    <row r="1138" spans="19:27" x14ac:dyDescent="0.2">
      <c r="S1138" s="165"/>
      <c r="T1138" s="166"/>
      <c r="W1138" s="199" t="str">
        <f t="shared" si="26"/>
        <v>1w</v>
      </c>
      <c r="X1138" s="200">
        <f>_xll.qlCalendarAdvance(Calendar,X1137,W1138,"f",FALSE)</f>
        <v>46792</v>
      </c>
      <c r="Y1138" s="204">
        <f>_xll.qlCalendarAdvance(Calendar,X1138,NDays&amp;"D")</f>
        <v>46794</v>
      </c>
      <c r="Z1138" s="205">
        <v>4.0204138930360074E-2</v>
      </c>
      <c r="AA1138" s="207">
        <v>4.0141223290843797E-2</v>
      </c>
    </row>
    <row r="1139" spans="19:27" x14ac:dyDescent="0.2">
      <c r="S1139" s="165"/>
      <c r="T1139" s="166"/>
      <c r="W1139" s="199" t="str">
        <f t="shared" si="26"/>
        <v>1w</v>
      </c>
      <c r="X1139" s="200">
        <f>_xll.qlCalendarAdvance(Calendar,X1138,W1139,"f",FALSE)</f>
        <v>46799</v>
      </c>
      <c r="Y1139" s="204">
        <f>_xll.qlCalendarAdvance(Calendar,X1139,NDays&amp;"D")</f>
        <v>46801</v>
      </c>
      <c r="Z1139" s="205">
        <v>4.0201388718180797E-2</v>
      </c>
      <c r="AA1139" s="207">
        <v>4.0138517040420041E-2</v>
      </c>
    </row>
    <row r="1140" spans="19:27" x14ac:dyDescent="0.2">
      <c r="S1140" s="165"/>
      <c r="T1140" s="166"/>
      <c r="W1140" s="199" t="str">
        <f t="shared" si="26"/>
        <v>1w</v>
      </c>
      <c r="X1140" s="200">
        <f>_xll.qlCalendarAdvance(Calendar,X1139,W1140,"f",FALSE)</f>
        <v>46806</v>
      </c>
      <c r="Y1140" s="204">
        <f>_xll.qlCalendarAdvance(Calendar,X1140,NDays&amp;"D")</f>
        <v>46808</v>
      </c>
      <c r="Z1140" s="205">
        <v>4.019861630029585E-2</v>
      </c>
      <c r="AA1140" s="207">
        <v>4.0135788657700289E-2</v>
      </c>
    </row>
    <row r="1141" spans="19:27" x14ac:dyDescent="0.2">
      <c r="S1141" s="165"/>
      <c r="T1141" s="166"/>
      <c r="W1141" s="199" t="str">
        <f t="shared" si="26"/>
        <v>1w</v>
      </c>
      <c r="X1141" s="200">
        <f>_xll.qlCalendarAdvance(Calendar,X1140,W1141,"f",FALSE)</f>
        <v>46813</v>
      </c>
      <c r="Y1141" s="204">
        <f>_xll.qlCalendarAdvance(Calendar,X1141,NDays&amp;"D")</f>
        <v>46815</v>
      </c>
      <c r="Z1141" s="205">
        <v>4.0195821676725876E-2</v>
      </c>
      <c r="AA1141" s="207">
        <v>4.0133038142924349E-2</v>
      </c>
    </row>
    <row r="1142" spans="19:27" x14ac:dyDescent="0.2">
      <c r="S1142" s="165"/>
      <c r="T1142" s="166"/>
      <c r="W1142" s="199" t="str">
        <f t="shared" si="26"/>
        <v>1w</v>
      </c>
      <c r="X1142" s="200">
        <f>_xll.qlCalendarAdvance(Calendar,X1141,W1142,"f",FALSE)</f>
        <v>46820</v>
      </c>
      <c r="Y1142" s="204">
        <f>_xll.qlCalendarAdvance(Calendar,X1142,NDays&amp;"D")</f>
        <v>46822</v>
      </c>
      <c r="Z1142" s="205">
        <v>4.0193004847486336E-2</v>
      </c>
      <c r="AA1142" s="207">
        <v>4.0130265495852413E-2</v>
      </c>
    </row>
    <row r="1143" spans="19:27" x14ac:dyDescent="0.2">
      <c r="S1143" s="165"/>
      <c r="T1143" s="166"/>
      <c r="W1143" s="199" t="str">
        <f t="shared" si="26"/>
        <v>1w</v>
      </c>
      <c r="X1143" s="200">
        <f>_xll.qlCalendarAdvance(Calendar,X1142,W1143,"f",FALSE)</f>
        <v>46827</v>
      </c>
      <c r="Y1143" s="204">
        <f>_xll.qlCalendarAdvance(Calendar,X1143,NDays&amp;"D")</f>
        <v>46829</v>
      </c>
      <c r="Z1143" s="205">
        <v>4.0192201863941679E-2</v>
      </c>
      <c r="AA1143" s="207">
        <v>4.0127470716644353E-2</v>
      </c>
    </row>
    <row r="1144" spans="19:27" x14ac:dyDescent="0.2">
      <c r="S1144" s="165"/>
      <c r="T1144" s="166"/>
      <c r="W1144" s="199" t="str">
        <f t="shared" si="26"/>
        <v>1w</v>
      </c>
      <c r="X1144" s="200">
        <f>_xll.qlCalendarAdvance(Calendar,X1143,W1144,"f",FALSE)</f>
        <v>46834</v>
      </c>
      <c r="Y1144" s="204">
        <f>_xll.qlCalendarAdvance(Calendar,X1144,NDays&amp;"D")</f>
        <v>46836</v>
      </c>
      <c r="Z1144" s="205">
        <v>4.0187304572052725E-2</v>
      </c>
      <c r="AA1144" s="207">
        <v>4.0124653805220234E-2</v>
      </c>
    </row>
    <row r="1145" spans="19:27" x14ac:dyDescent="0.2">
      <c r="S1145" s="165"/>
      <c r="T1145" s="166"/>
      <c r="W1145" s="199" t="str">
        <f t="shared" si="26"/>
        <v>1w</v>
      </c>
      <c r="X1145" s="200">
        <f>_xll.qlCalendarAdvance(Calendar,X1144,W1145,"f",FALSE)</f>
        <v>46841</v>
      </c>
      <c r="Y1145" s="204">
        <f>_xll.qlCalendarAdvance(Calendar,X1145,NDays&amp;"D")</f>
        <v>46843</v>
      </c>
      <c r="Z1145" s="205">
        <v>4.0178324224803115E-2</v>
      </c>
      <c r="AA1145" s="207">
        <v>4.0121814761580055E-2</v>
      </c>
    </row>
    <row r="1146" spans="19:27" x14ac:dyDescent="0.2">
      <c r="S1146" s="165"/>
      <c r="T1146" s="166"/>
      <c r="W1146" s="199" t="str">
        <f t="shared" si="26"/>
        <v>1w</v>
      </c>
      <c r="X1146" s="200">
        <f>_xll.qlCalendarAdvance(Calendar,X1145,W1146,"f",FALSE)</f>
        <v>46848</v>
      </c>
      <c r="Y1146" s="204">
        <f>_xll.qlCalendarAdvance(Calendar,X1146,NDays&amp;"D")</f>
        <v>46850</v>
      </c>
      <c r="Z1146" s="205">
        <v>4.0181515474131686E-2</v>
      </c>
      <c r="AA1146" s="207">
        <v>4.0118953585803752E-2</v>
      </c>
    </row>
    <row r="1147" spans="19:27" x14ac:dyDescent="0.2">
      <c r="S1147" s="165"/>
      <c r="T1147" s="166"/>
      <c r="W1147" s="199" t="str">
        <f t="shared" si="26"/>
        <v>1w</v>
      </c>
      <c r="X1147" s="200">
        <f>_xll.qlCalendarAdvance(Calendar,X1146,W1147,"f",FALSE)</f>
        <v>46855</v>
      </c>
      <c r="Y1147" s="204">
        <f>_xll.qlCalendarAdvance(Calendar,X1147,NDays&amp;"D")</f>
        <v>46861</v>
      </c>
      <c r="Z1147" s="205">
        <v>4.0174877231669903E-2</v>
      </c>
      <c r="AA1147" s="207">
        <v>4.0115242410436736E-2</v>
      </c>
    </row>
    <row r="1148" spans="19:27" x14ac:dyDescent="0.2">
      <c r="S1148" s="165"/>
      <c r="T1148" s="166"/>
      <c r="W1148" s="199" t="str">
        <f t="shared" si="26"/>
        <v>1w</v>
      </c>
      <c r="X1148" s="200">
        <f>_xll.qlCalendarAdvance(Calendar,X1147,W1148,"f",FALSE)</f>
        <v>46862</v>
      </c>
      <c r="Y1148" s="204">
        <f>_xll.qlCalendarAdvance(Calendar,X1148,NDays&amp;"D")</f>
        <v>46864</v>
      </c>
      <c r="Z1148" s="205">
        <v>4.0175637553854726E-2</v>
      </c>
      <c r="AA1148" s="207">
        <v>4.0113164837682902E-2</v>
      </c>
    </row>
    <row r="1149" spans="19:27" x14ac:dyDescent="0.2">
      <c r="S1149" s="165"/>
      <c r="T1149" s="166"/>
      <c r="W1149" s="199" t="str">
        <f t="shared" si="26"/>
        <v>1w</v>
      </c>
      <c r="X1149" s="200">
        <f>_xll.qlCalendarAdvance(Calendar,X1148,W1149,"f",FALSE)</f>
        <v>46869</v>
      </c>
      <c r="Y1149" s="204">
        <f>_xll.qlCalendarAdvance(Calendar,X1149,NDays&amp;"D")</f>
        <v>46871</v>
      </c>
      <c r="Z1149" s="205">
        <v>4.0176714419979997E-2</v>
      </c>
      <c r="AA1149" s="207">
        <v>4.010981723396867E-2</v>
      </c>
    </row>
    <row r="1150" spans="19:27" x14ac:dyDescent="0.2">
      <c r="S1150" s="165"/>
      <c r="T1150" s="166"/>
      <c r="W1150" s="199" t="str">
        <f t="shared" si="26"/>
        <v>1w</v>
      </c>
      <c r="X1150" s="200">
        <f>_xll.qlCalendarAdvance(Calendar,X1149,W1150,"f",FALSE)</f>
        <v>46876</v>
      </c>
      <c r="Y1150" s="204">
        <f>_xll.qlCalendarAdvance(Calendar,X1150,NDays&amp;"D")</f>
        <v>46878</v>
      </c>
      <c r="Z1150" s="205">
        <v>4.0169670811355931E-2</v>
      </c>
      <c r="AA1150" s="207">
        <v>4.0107287560697813E-2</v>
      </c>
    </row>
    <row r="1151" spans="19:27" x14ac:dyDescent="0.2">
      <c r="S1151" s="165"/>
      <c r="T1151" s="166"/>
      <c r="W1151" s="199" t="str">
        <f t="shared" si="26"/>
        <v>1w</v>
      </c>
      <c r="X1151" s="200">
        <f>_xll.qlCalendarAdvance(Calendar,X1150,W1151,"f",FALSE)</f>
        <v>46883</v>
      </c>
      <c r="Y1151" s="204">
        <f>_xll.qlCalendarAdvance(Calendar,X1151,NDays&amp;"D")</f>
        <v>46885</v>
      </c>
      <c r="Z1151" s="205">
        <v>4.0166654131814923E-2</v>
      </c>
      <c r="AA1151" s="207">
        <v>4.0104315723921147E-2</v>
      </c>
    </row>
    <row r="1152" spans="19:27" x14ac:dyDescent="0.2">
      <c r="S1152" s="165"/>
      <c r="T1152" s="166"/>
      <c r="W1152" s="199" t="str">
        <f t="shared" si="26"/>
        <v>1w</v>
      </c>
      <c r="X1152" s="200">
        <f>_xll.qlCalendarAdvance(Calendar,X1151,W1152,"f",FALSE)</f>
        <v>46890</v>
      </c>
      <c r="Y1152" s="204">
        <f>_xll.qlCalendarAdvance(Calendar,X1152,NDays&amp;"D")</f>
        <v>46892</v>
      </c>
      <c r="Z1152" s="205">
        <v>4.0163615246771964E-2</v>
      </c>
      <c r="AA1152" s="207">
        <v>4.0101321754928421E-2</v>
      </c>
    </row>
    <row r="1153" spans="19:27" x14ac:dyDescent="0.2">
      <c r="S1153" s="165"/>
      <c r="T1153" s="166"/>
      <c r="W1153" s="199" t="str">
        <f t="shared" si="26"/>
        <v>1w</v>
      </c>
      <c r="X1153" s="200">
        <f>_xll.qlCalendarAdvance(Calendar,X1152,W1153,"f",FALSE)</f>
        <v>46897</v>
      </c>
      <c r="Y1153" s="204">
        <f>_xll.qlCalendarAdvance(Calendar,X1153,NDays&amp;"D")</f>
        <v>46899</v>
      </c>
      <c r="Z1153" s="205">
        <v>4.0160554156237364E-2</v>
      </c>
      <c r="AA1153" s="207">
        <v>4.0097872975586313E-2</v>
      </c>
    </row>
    <row r="1154" spans="19:27" x14ac:dyDescent="0.2">
      <c r="S1154" s="165"/>
      <c r="T1154" s="166"/>
      <c r="W1154" s="199" t="str">
        <f t="shared" si="26"/>
        <v>1w</v>
      </c>
      <c r="X1154" s="200">
        <f>_xll.qlCalendarAdvance(Calendar,X1153,W1154,"f",FALSE)</f>
        <v>46904</v>
      </c>
      <c r="Y1154" s="204">
        <f>_xll.qlCalendarAdvance(Calendar,X1154,NDays&amp;"D")</f>
        <v>46906</v>
      </c>
      <c r="Z1154" s="205">
        <v>4.0157470860236917E-2</v>
      </c>
      <c r="AA1154" s="207">
        <v>4.0095267420534597E-2</v>
      </c>
    </row>
    <row r="1155" spans="19:27" x14ac:dyDescent="0.2">
      <c r="S1155" s="165"/>
      <c r="T1155" s="166"/>
      <c r="W1155" s="199" t="str">
        <f t="shared" si="26"/>
        <v>1w</v>
      </c>
      <c r="X1155" s="200">
        <f>_xll.qlCalendarAdvance(Calendar,X1154,W1155,"f",FALSE)</f>
        <v>46911</v>
      </c>
      <c r="Y1155" s="204">
        <f>_xll.qlCalendarAdvance(Calendar,X1155,NDays&amp;"D")</f>
        <v>46913</v>
      </c>
      <c r="Z1155" s="205">
        <v>4.01543653587835E-2</v>
      </c>
      <c r="AA1155" s="207">
        <v>4.0092207054973628E-2</v>
      </c>
    </row>
    <row r="1156" spans="19:27" x14ac:dyDescent="0.2">
      <c r="S1156" s="165"/>
      <c r="T1156" s="166"/>
      <c r="W1156" s="199" t="str">
        <f t="shared" si="26"/>
        <v>1w</v>
      </c>
      <c r="X1156" s="200">
        <f>_xll.qlCalendarAdvance(Calendar,X1155,W1156,"f",FALSE)</f>
        <v>46918</v>
      </c>
      <c r="Y1156" s="204">
        <f>_xll.qlCalendarAdvance(Calendar,X1156,NDays&amp;"D")</f>
        <v>46920</v>
      </c>
      <c r="Z1156" s="205">
        <v>4.0151237651897757E-2</v>
      </c>
      <c r="AA1156" s="207">
        <v>4.0089124557276534E-2</v>
      </c>
    </row>
    <row r="1157" spans="19:27" x14ac:dyDescent="0.2">
      <c r="S1157" s="165"/>
      <c r="T1157" s="166"/>
      <c r="W1157" s="199" t="str">
        <f t="shared" si="26"/>
        <v>1w</v>
      </c>
      <c r="X1157" s="200">
        <f>_xll.qlCalendarAdvance(Calendar,X1156,W1157,"f",FALSE)</f>
        <v>46925</v>
      </c>
      <c r="Y1157" s="204">
        <f>_xll.qlCalendarAdvance(Calendar,X1157,NDays&amp;"D")</f>
        <v>46927</v>
      </c>
      <c r="Z1157" s="205">
        <v>4.0148087739595155E-2</v>
      </c>
      <c r="AA1157" s="207">
        <v>4.0086019927363381E-2</v>
      </c>
    </row>
    <row r="1158" spans="19:27" x14ac:dyDescent="0.2">
      <c r="S1158" s="165"/>
      <c r="T1158" s="166"/>
      <c r="W1158" s="199" t="str">
        <f t="shared" si="26"/>
        <v>1w</v>
      </c>
      <c r="X1158" s="200">
        <f>_xll.qlCalendarAdvance(Calendar,X1157,W1158,"f",FALSE)</f>
        <v>46932</v>
      </c>
      <c r="Y1158" s="204">
        <f>_xll.qlCalendarAdvance(Calendar,X1158,NDays&amp;"D")</f>
        <v>46934</v>
      </c>
      <c r="Z1158" s="205">
        <v>4.014491562189116E-2</v>
      </c>
      <c r="AA1158" s="207">
        <v>4.0082893165314104E-2</v>
      </c>
    </row>
    <row r="1159" spans="19:27" x14ac:dyDescent="0.2">
      <c r="S1159" s="165"/>
      <c r="T1159" s="166"/>
      <c r="W1159" s="199" t="str">
        <f t="shared" si="26"/>
        <v>1w</v>
      </c>
      <c r="X1159" s="200">
        <f>_xll.qlCalendarAdvance(Calendar,X1158,W1159,"f",FALSE)</f>
        <v>46939</v>
      </c>
      <c r="Y1159" s="204">
        <f>_xll.qlCalendarAdvance(Calendar,X1159,NDays&amp;"D")</f>
        <v>46941</v>
      </c>
      <c r="Z1159" s="205">
        <v>4.0141721298811564E-2</v>
      </c>
      <c r="AA1159" s="207">
        <v>4.0079744271048767E-2</v>
      </c>
    </row>
    <row r="1160" spans="19:27" x14ac:dyDescent="0.2">
      <c r="S1160" s="165"/>
      <c r="T1160" s="166"/>
      <c r="W1160" s="199" t="str">
        <f t="shared" si="26"/>
        <v>1w</v>
      </c>
      <c r="X1160" s="200">
        <f>_xll.qlCalendarAdvance(Calendar,X1159,W1160,"f",FALSE)</f>
        <v>46946</v>
      </c>
      <c r="Y1160" s="204">
        <f>_xll.qlCalendarAdvance(Calendar,X1160,NDays&amp;"D")</f>
        <v>46948</v>
      </c>
      <c r="Z1160" s="205">
        <v>4.013850477036926E-2</v>
      </c>
      <c r="AA1160" s="207">
        <v>4.0076573244647307E-2</v>
      </c>
    </row>
    <row r="1161" spans="19:27" x14ac:dyDescent="0.2">
      <c r="S1161" s="165"/>
      <c r="T1161" s="166"/>
      <c r="W1161" s="199" t="str">
        <f t="shared" si="26"/>
        <v>1w</v>
      </c>
      <c r="X1161" s="200">
        <f>_xll.qlCalendarAdvance(Calendar,X1160,W1161,"f",FALSE)</f>
        <v>46953</v>
      </c>
      <c r="Y1161" s="204">
        <f>_xll.qlCalendarAdvance(Calendar,X1161,NDays&amp;"D")</f>
        <v>46955</v>
      </c>
      <c r="Z1161" s="205">
        <v>4.013526603658487E-2</v>
      </c>
      <c r="AA1161" s="207">
        <v>4.007338008594985E-2</v>
      </c>
    </row>
    <row r="1162" spans="19:27" x14ac:dyDescent="0.2">
      <c r="S1162" s="165"/>
      <c r="T1162" s="166"/>
      <c r="W1162" s="199" t="str">
        <f t="shared" si="26"/>
        <v>1w</v>
      </c>
      <c r="X1162" s="200">
        <f>_xll.qlCalendarAdvance(Calendar,X1161,W1162,"f",FALSE)</f>
        <v>46960</v>
      </c>
      <c r="Y1162" s="204">
        <f>_xll.qlCalendarAdvance(Calendar,X1162,NDays&amp;"D")</f>
        <v>46962</v>
      </c>
      <c r="Z1162" s="205">
        <v>4.0134004532015599E-2</v>
      </c>
      <c r="AA1162" s="207">
        <v>4.007016479511627E-2</v>
      </c>
    </row>
    <row r="1163" spans="19:27" x14ac:dyDescent="0.2">
      <c r="S1163" s="165"/>
      <c r="T1163" s="166"/>
      <c r="W1163" s="199" t="str">
        <f t="shared" si="26"/>
        <v>1w</v>
      </c>
      <c r="X1163" s="200">
        <f>_xll.qlCalendarAdvance(Calendar,X1162,W1163,"f",FALSE)</f>
        <v>46967</v>
      </c>
      <c r="Y1163" s="204">
        <f>_xll.qlCalendarAdvance(Calendar,X1163,NDays&amp;"D")</f>
        <v>46969</v>
      </c>
      <c r="Z1163" s="205">
        <v>4.0130719435960416E-2</v>
      </c>
      <c r="AA1163" s="207">
        <v>4.0066927372146566E-2</v>
      </c>
    </row>
    <row r="1164" spans="19:27" x14ac:dyDescent="0.2">
      <c r="S1164" s="165"/>
      <c r="T1164" s="166"/>
      <c r="W1164" s="199" t="str">
        <f t="shared" si="26"/>
        <v>1w</v>
      </c>
      <c r="X1164" s="200">
        <f>_xll.qlCalendarAdvance(Calendar,X1163,W1164,"f",FALSE)</f>
        <v>46974</v>
      </c>
      <c r="Y1164" s="204">
        <f>_xll.qlCalendarAdvance(Calendar,X1164,NDays&amp;"D")</f>
        <v>46976</v>
      </c>
      <c r="Z1164" s="205">
        <v>4.012541660335199E-2</v>
      </c>
      <c r="AA1164" s="207">
        <v>4.0063667817040738E-2</v>
      </c>
    </row>
    <row r="1165" spans="19:27" x14ac:dyDescent="0.2">
      <c r="S1165" s="165"/>
      <c r="T1165" s="166"/>
      <c r="W1165" s="199" t="str">
        <f t="shared" si="26"/>
        <v>1w</v>
      </c>
      <c r="X1165" s="200">
        <f>_xll.qlCalendarAdvance(Calendar,X1164,W1165,"f",FALSE)</f>
        <v>46981</v>
      </c>
      <c r="Y1165" s="204">
        <f>_xll.qlCalendarAdvance(Calendar,X1165,NDays&amp;"D")</f>
        <v>46983</v>
      </c>
      <c r="Z1165" s="205">
        <v>4.0122089048377198E-2</v>
      </c>
      <c r="AA1165" s="207">
        <v>4.0060386129638914E-2</v>
      </c>
    </row>
    <row r="1166" spans="19:27" x14ac:dyDescent="0.2">
      <c r="S1166" s="165"/>
      <c r="T1166" s="166"/>
      <c r="W1166" s="199" t="str">
        <f t="shared" si="26"/>
        <v>1w</v>
      </c>
      <c r="X1166" s="200">
        <f>_xll.qlCalendarAdvance(Calendar,X1165,W1166,"f",FALSE)</f>
        <v>46988</v>
      </c>
      <c r="Y1166" s="204">
        <f>_xll.qlCalendarAdvance(Calendar,X1166,NDays&amp;"D")</f>
        <v>46990</v>
      </c>
      <c r="Z1166" s="205">
        <v>4.0118739288155736E-2</v>
      </c>
      <c r="AA1166" s="207">
        <v>4.0056608529246418E-2</v>
      </c>
    </row>
    <row r="1167" spans="19:27" x14ac:dyDescent="0.2">
      <c r="S1167" s="165"/>
      <c r="T1167" s="166"/>
      <c r="W1167" s="199" t="str">
        <f t="shared" si="26"/>
        <v>1w</v>
      </c>
      <c r="X1167" s="200">
        <f>_xll.qlCalendarAdvance(Calendar,X1166,W1167,"f",FALSE)</f>
        <v>46995</v>
      </c>
      <c r="Y1167" s="204">
        <f>_xll.qlCalendarAdvance(Calendar,X1167,NDays&amp;"D")</f>
        <v>46997</v>
      </c>
      <c r="Z1167" s="205">
        <v>4.0115367322700497E-2</v>
      </c>
      <c r="AA1167" s="207">
        <v>4.0053756358426895E-2</v>
      </c>
    </row>
    <row r="1168" spans="19:27" x14ac:dyDescent="0.2">
      <c r="S1168" s="165"/>
      <c r="T1168" s="166"/>
      <c r="W1168" s="199" t="str">
        <f t="shared" si="26"/>
        <v>1w</v>
      </c>
      <c r="X1168" s="200">
        <f>_xll.qlCalendarAdvance(Calendar,X1167,W1168,"f",FALSE)</f>
        <v>47002</v>
      </c>
      <c r="Y1168" s="204">
        <f>_xll.qlCalendarAdvance(Calendar,X1168,NDays&amp;"D")</f>
        <v>47004</v>
      </c>
      <c r="Z1168" s="205">
        <v>4.0113960840166829E-2</v>
      </c>
      <c r="AA1168" s="207">
        <v>4.0050408274536764E-2</v>
      </c>
    </row>
    <row r="1169" spans="19:27" x14ac:dyDescent="0.2">
      <c r="S1169" s="165"/>
      <c r="T1169" s="166"/>
      <c r="W1169" s="199" t="str">
        <f t="shared" si="26"/>
        <v>1w</v>
      </c>
      <c r="X1169" s="200">
        <f>_xll.qlCalendarAdvance(Calendar,X1168,W1169,"f",FALSE)</f>
        <v>47009</v>
      </c>
      <c r="Y1169" s="204">
        <f>_xll.qlCalendarAdvance(Calendar,X1169,NDays&amp;"D")</f>
        <v>47011</v>
      </c>
      <c r="Z1169" s="205">
        <v>4.0108556776181491E-2</v>
      </c>
      <c r="AA1169" s="207">
        <v>4.0047038058430573E-2</v>
      </c>
    </row>
    <row r="1170" spans="19:27" x14ac:dyDescent="0.2">
      <c r="S1170" s="165"/>
      <c r="T1170" s="166"/>
      <c r="W1170" s="199" t="str">
        <f t="shared" si="26"/>
        <v>1w</v>
      </c>
      <c r="X1170" s="200">
        <f>_xll.qlCalendarAdvance(Calendar,X1169,W1170,"f",FALSE)</f>
        <v>47016</v>
      </c>
      <c r="Y1170" s="204">
        <f>_xll.qlCalendarAdvance(Calendar,X1170,NDays&amp;"D")</f>
        <v>47018</v>
      </c>
      <c r="Z1170" s="205">
        <v>4.0105118195156414E-2</v>
      </c>
      <c r="AA1170" s="207">
        <v>4.0043645710108322E-2</v>
      </c>
    </row>
    <row r="1171" spans="19:27" x14ac:dyDescent="0.2">
      <c r="S1171" s="165"/>
      <c r="T1171" s="166"/>
      <c r="W1171" s="199" t="str">
        <f t="shared" si="26"/>
        <v>1w</v>
      </c>
      <c r="X1171" s="200">
        <f>_xll.qlCalendarAdvance(Calendar,X1170,W1171,"f",FALSE)</f>
        <v>47023</v>
      </c>
      <c r="Y1171" s="204">
        <f>_xll.qlCalendarAdvance(Calendar,X1171,NDays&amp;"D")</f>
        <v>47025</v>
      </c>
      <c r="Z1171" s="205">
        <v>4.0103639190993967E-2</v>
      </c>
      <c r="AA1171" s="207">
        <v>4.0040231229729883E-2</v>
      </c>
    </row>
    <row r="1172" spans="19:27" x14ac:dyDescent="0.2">
      <c r="S1172" s="165"/>
      <c r="T1172" s="166"/>
      <c r="W1172" s="199" t="str">
        <f t="shared" si="26"/>
        <v>1w</v>
      </c>
      <c r="X1172" s="200">
        <f>_xll.qlCalendarAdvance(Calendar,X1171,W1172,"f",FALSE)</f>
        <v>47030</v>
      </c>
      <c r="Y1172" s="204">
        <f>_xll.qlCalendarAdvance(Calendar,X1172,NDays&amp;"D")</f>
        <v>47032</v>
      </c>
      <c r="Z1172" s="205">
        <v>4.0098174417665354E-2</v>
      </c>
      <c r="AA1172" s="207">
        <v>4.0036794617135385E-2</v>
      </c>
    </row>
    <row r="1173" spans="19:27" x14ac:dyDescent="0.2">
      <c r="S1173" s="165"/>
      <c r="T1173" s="166"/>
      <c r="W1173" s="199" t="str">
        <f t="shared" ref="W1173:W1236" si="27">W1172</f>
        <v>1w</v>
      </c>
      <c r="X1173" s="200">
        <f>_xll.qlCalendarAdvance(Calendar,X1172,W1173,"f",FALSE)</f>
        <v>47037</v>
      </c>
      <c r="Y1173" s="204">
        <f>_xll.qlCalendarAdvance(Calendar,X1173,NDays&amp;"D")</f>
        <v>47039</v>
      </c>
      <c r="Z1173" s="205">
        <v>4.0094669221238048E-2</v>
      </c>
      <c r="AA1173" s="207">
        <v>4.0033335872324827E-2</v>
      </c>
    </row>
    <row r="1174" spans="19:27" x14ac:dyDescent="0.2">
      <c r="S1174" s="165"/>
      <c r="T1174" s="166"/>
      <c r="W1174" s="199" t="str">
        <f t="shared" si="27"/>
        <v>1w</v>
      </c>
      <c r="X1174" s="200">
        <f>_xll.qlCalendarAdvance(Calendar,X1173,W1174,"f",FALSE)</f>
        <v>47044</v>
      </c>
      <c r="Y1174" s="204">
        <f>_xll.qlCalendarAdvance(Calendar,X1174,NDays&amp;"D")</f>
        <v>47046</v>
      </c>
      <c r="Z1174" s="205">
        <v>4.0091141819721364E-2</v>
      </c>
      <c r="AA1174" s="207">
        <v>4.0029854995298209E-2</v>
      </c>
    </row>
    <row r="1175" spans="19:27" x14ac:dyDescent="0.2">
      <c r="S1175" s="165"/>
      <c r="T1175" s="166"/>
      <c r="W1175" s="199" t="str">
        <f t="shared" si="27"/>
        <v>1w</v>
      </c>
      <c r="X1175" s="200">
        <f>_xll.qlCalendarAdvance(Calendar,X1174,W1175,"f",FALSE)</f>
        <v>47051</v>
      </c>
      <c r="Y1175" s="204">
        <f>_xll.qlCalendarAdvance(Calendar,X1175,NDays&amp;"D")</f>
        <v>47053</v>
      </c>
      <c r="Z1175" s="205">
        <v>4.0087592213130768E-2</v>
      </c>
      <c r="AA1175" s="207">
        <v>4.0026351986215403E-2</v>
      </c>
    </row>
    <row r="1176" spans="19:27" x14ac:dyDescent="0.2">
      <c r="S1176" s="165"/>
      <c r="T1176" s="166"/>
      <c r="W1176" s="199" t="str">
        <f t="shared" si="27"/>
        <v>1w</v>
      </c>
      <c r="X1176" s="200">
        <f>_xll.qlCalendarAdvance(Calendar,X1175,W1176,"f",FALSE)</f>
        <v>47058</v>
      </c>
      <c r="Y1176" s="204">
        <f>_xll.qlCalendarAdvance(Calendar,X1176,NDays&amp;"D")</f>
        <v>47060</v>
      </c>
      <c r="Z1176" s="205">
        <v>4.0084020401486897E-2</v>
      </c>
      <c r="AA1176" s="207">
        <v>4.0022826844916537E-2</v>
      </c>
    </row>
    <row r="1177" spans="19:27" x14ac:dyDescent="0.2">
      <c r="S1177" s="165"/>
      <c r="T1177" s="166"/>
      <c r="W1177" s="199" t="str">
        <f t="shared" si="27"/>
        <v>1w</v>
      </c>
      <c r="X1177" s="200">
        <f>_xll.qlCalendarAdvance(Calendar,X1176,W1177,"f",FALSE)</f>
        <v>47065</v>
      </c>
      <c r="Y1177" s="204">
        <f>_xll.qlCalendarAdvance(Calendar,X1177,NDays&amp;"D")</f>
        <v>47067</v>
      </c>
      <c r="Z1177" s="205">
        <v>4.0076910198634685E-2</v>
      </c>
      <c r="AA1177" s="207">
        <v>4.0019279571481547E-2</v>
      </c>
    </row>
    <row r="1178" spans="19:27" x14ac:dyDescent="0.2">
      <c r="S1178" s="165"/>
      <c r="T1178" s="166"/>
      <c r="W1178" s="199" t="str">
        <f t="shared" si="27"/>
        <v>1w</v>
      </c>
      <c r="X1178" s="200">
        <f>_xll.qlCalendarAdvance(Calendar,X1177,W1178,"f",FALSE)</f>
        <v>47072</v>
      </c>
      <c r="Y1178" s="204">
        <f>_xll.qlCalendarAdvance(Calendar,X1178,NDays&amp;"D")</f>
        <v>47074</v>
      </c>
      <c r="Z1178" s="205">
        <v>4.00768101631244E-2</v>
      </c>
      <c r="AA1178" s="207">
        <v>4.0015710165750562E-2</v>
      </c>
    </row>
    <row r="1179" spans="19:27" x14ac:dyDescent="0.2">
      <c r="S1179" s="165"/>
      <c r="T1179" s="166"/>
      <c r="W1179" s="199" t="str">
        <f t="shared" si="27"/>
        <v>1w</v>
      </c>
      <c r="X1179" s="200">
        <f>_xll.qlCalendarAdvance(Calendar,X1178,W1179,"f",FALSE)</f>
        <v>47079</v>
      </c>
      <c r="Y1179" s="204">
        <f>_xll.qlCalendarAdvance(Calendar,X1179,NDays&amp;"D")</f>
        <v>47081</v>
      </c>
      <c r="Z1179" s="205">
        <v>4.0077103542888994E-2</v>
      </c>
      <c r="AA1179" s="207">
        <v>4.0012118627883453E-2</v>
      </c>
    </row>
    <row r="1180" spans="19:27" x14ac:dyDescent="0.2">
      <c r="S1180" s="165"/>
      <c r="T1180" s="166"/>
      <c r="W1180" s="199" t="str">
        <f t="shared" si="27"/>
        <v>1w</v>
      </c>
      <c r="X1180" s="200">
        <f>_xll.qlCalendarAdvance(Calendar,X1179,W1180,"f",FALSE)</f>
        <v>47086</v>
      </c>
      <c r="Y1180" s="204">
        <f>_xll.qlCalendarAdvance(Calendar,X1180,NDays&amp;"D")</f>
        <v>47088</v>
      </c>
      <c r="Z1180" s="205">
        <v>4.0071475037103677E-2</v>
      </c>
      <c r="AA1180" s="207">
        <v>4.000850495788022E-2</v>
      </c>
    </row>
    <row r="1181" spans="19:27" x14ac:dyDescent="0.2">
      <c r="S1181" s="165"/>
      <c r="T1181" s="166"/>
      <c r="W1181" s="199" t="str">
        <f t="shared" si="27"/>
        <v>1w</v>
      </c>
      <c r="X1181" s="200">
        <f>_xll.qlCalendarAdvance(Calendar,X1180,W1181,"f",FALSE)</f>
        <v>47093</v>
      </c>
      <c r="Y1181" s="204">
        <f>_xll.qlCalendarAdvance(Calendar,X1181,NDays&amp;"D")</f>
        <v>47095</v>
      </c>
      <c r="Z1181" s="205">
        <v>4.0065828268208384E-2</v>
      </c>
      <c r="AA1181" s="207">
        <v>4.0004869155660927E-2</v>
      </c>
    </row>
    <row r="1182" spans="19:27" x14ac:dyDescent="0.2">
      <c r="S1182" s="165"/>
      <c r="T1182" s="166"/>
      <c r="W1182" s="199" t="str">
        <f t="shared" si="27"/>
        <v>1w</v>
      </c>
      <c r="X1182" s="200">
        <f>_xll.qlCalendarAdvance(Calendar,X1181,W1182,"f",FALSE)</f>
        <v>47100</v>
      </c>
      <c r="Y1182" s="204">
        <f>_xll.qlCalendarAdvance(Calendar,X1182,NDays&amp;"D")</f>
        <v>47102</v>
      </c>
      <c r="Z1182" s="205">
        <v>4.0064083165646247E-2</v>
      </c>
      <c r="AA1182" s="207">
        <v>4.0001211221385446E-2</v>
      </c>
    </row>
    <row r="1183" spans="19:27" x14ac:dyDescent="0.2">
      <c r="S1183" s="165"/>
      <c r="T1183" s="166"/>
      <c r="W1183" s="199" t="str">
        <f t="shared" si="27"/>
        <v>1w</v>
      </c>
      <c r="X1183" s="200">
        <f>_xll.qlCalendarAdvance(Calendar,X1182,W1183,"f",FALSE)</f>
        <v>47107</v>
      </c>
      <c r="Y1183" s="204">
        <f>_xll.qlCalendarAdvance(Calendar,X1183,NDays&amp;"D")</f>
        <v>47109</v>
      </c>
      <c r="Z1183" s="205">
        <v>4.005839598025427E-2</v>
      </c>
      <c r="AA1183" s="207">
        <v>3.9996475642176677E-2</v>
      </c>
    </row>
    <row r="1184" spans="19:27" x14ac:dyDescent="0.2">
      <c r="S1184" s="165"/>
      <c r="T1184" s="166"/>
      <c r="W1184" s="199" t="str">
        <f t="shared" si="27"/>
        <v>1w</v>
      </c>
      <c r="X1184" s="200">
        <f>_xll.qlCalendarAdvance(Calendar,X1183,W1184,"f",FALSE)</f>
        <v>47114</v>
      </c>
      <c r="Y1184" s="204">
        <f>_xll.qlCalendarAdvance(Calendar,X1184,NDays&amp;"D")</f>
        <v>47116</v>
      </c>
      <c r="Z1184" s="205">
        <v>4.0058558354606984E-2</v>
      </c>
      <c r="AA1184" s="207">
        <v>3.9993298263896193E-2</v>
      </c>
    </row>
    <row r="1185" spans="19:27" x14ac:dyDescent="0.2">
      <c r="S1185" s="165"/>
      <c r="T1185" s="166"/>
      <c r="W1185" s="199" t="str">
        <f t="shared" si="27"/>
        <v>1w</v>
      </c>
      <c r="X1185" s="200">
        <f>_xll.qlCalendarAdvance(Calendar,X1184,W1185,"f",FALSE)</f>
        <v>47121</v>
      </c>
      <c r="Y1185" s="204">
        <f>_xll.qlCalendarAdvance(Calendar,X1185,NDays&amp;"D")</f>
        <v>47123</v>
      </c>
      <c r="Z1185" s="205">
        <v>4.0050874872757471E-2</v>
      </c>
      <c r="AA1185" s="207">
        <v>3.9990104625262646E-2</v>
      </c>
    </row>
    <row r="1186" spans="19:27" x14ac:dyDescent="0.2">
      <c r="S1186" s="165"/>
      <c r="T1186" s="166"/>
      <c r="W1186" s="199" t="str">
        <f t="shared" si="27"/>
        <v>1w</v>
      </c>
      <c r="X1186" s="200">
        <f>_xll.qlCalendarAdvance(Calendar,X1185,W1186,"f",FALSE)</f>
        <v>47128</v>
      </c>
      <c r="Y1186" s="204">
        <f>_xll.qlCalendarAdvance(Calendar,X1186,NDays&amp;"D")</f>
        <v>47130</v>
      </c>
      <c r="Z1186" s="205">
        <v>4.0047081011735999E-2</v>
      </c>
      <c r="AA1186" s="207">
        <v>3.9986358162282798E-2</v>
      </c>
    </row>
    <row r="1187" spans="19:27" x14ac:dyDescent="0.2">
      <c r="S1187" s="165"/>
      <c r="T1187" s="166"/>
      <c r="W1187" s="199" t="str">
        <f t="shared" si="27"/>
        <v>1w</v>
      </c>
      <c r="X1187" s="200">
        <f>_xll.qlCalendarAdvance(Calendar,X1186,W1187,"f",FALSE)</f>
        <v>47135</v>
      </c>
      <c r="Y1187" s="204">
        <f>_xll.qlCalendarAdvance(Calendar,X1187,NDays&amp;"D")</f>
        <v>47137</v>
      </c>
      <c r="Z1187" s="205">
        <v>4.0045214859059097E-2</v>
      </c>
      <c r="AA1187" s="207">
        <v>3.998258956708689E-2</v>
      </c>
    </row>
    <row r="1188" spans="19:27" x14ac:dyDescent="0.2">
      <c r="S1188" s="165"/>
      <c r="T1188" s="166"/>
      <c r="W1188" s="199" t="str">
        <f t="shared" si="27"/>
        <v>1w</v>
      </c>
      <c r="X1188" s="200">
        <f>_xll.qlCalendarAdvance(Calendar,X1187,W1188,"f",FALSE)</f>
        <v>47142</v>
      </c>
      <c r="Y1188" s="204">
        <f>_xll.qlCalendarAdvance(Calendar,X1188,NDays&amp;"D")</f>
        <v>47144</v>
      </c>
      <c r="Z1188" s="205">
        <v>4.003942667525523E-2</v>
      </c>
      <c r="AA1188" s="207">
        <v>3.9978798839674923E-2</v>
      </c>
    </row>
    <row r="1189" spans="19:27" x14ac:dyDescent="0.2">
      <c r="S1189" s="165"/>
      <c r="T1189" s="166"/>
      <c r="W1189" s="199" t="str">
        <f t="shared" si="27"/>
        <v>1w</v>
      </c>
      <c r="X1189" s="200">
        <f>_xll.qlCalendarAdvance(Calendar,X1188,W1189,"f",FALSE)</f>
        <v>47149</v>
      </c>
      <c r="Y1189" s="204">
        <f>_xll.qlCalendarAdvance(Calendar,X1189,NDays&amp;"D")</f>
        <v>47151</v>
      </c>
      <c r="Z1189" s="205">
        <v>4.0029728253829458E-2</v>
      </c>
      <c r="AA1189" s="207">
        <v>3.9974985980206768E-2</v>
      </c>
    </row>
    <row r="1190" spans="19:27" x14ac:dyDescent="0.2">
      <c r="S1190" s="165"/>
      <c r="T1190" s="166"/>
      <c r="W1190" s="199" t="str">
        <f t="shared" si="27"/>
        <v>1w</v>
      </c>
      <c r="X1190" s="200">
        <f>_xll.qlCalendarAdvance(Calendar,X1189,W1190,"f",FALSE)</f>
        <v>47156</v>
      </c>
      <c r="Y1190" s="204">
        <f>_xll.qlCalendarAdvance(Calendar,X1190,NDays&amp;"D")</f>
        <v>47158</v>
      </c>
      <c r="Z1190" s="205">
        <v>4.0025851623130153E-2</v>
      </c>
      <c r="AA1190" s="207">
        <v>3.9971150988442616E-2</v>
      </c>
    </row>
    <row r="1191" spans="19:27" x14ac:dyDescent="0.2">
      <c r="S1191" s="165"/>
      <c r="T1191" s="166"/>
      <c r="W1191" s="199" t="str">
        <f t="shared" si="27"/>
        <v>1w</v>
      </c>
      <c r="X1191" s="200">
        <f>_xll.qlCalendarAdvance(Calendar,X1190,W1191,"f",FALSE)</f>
        <v>47163</v>
      </c>
      <c r="Y1191" s="204">
        <f>_xll.qlCalendarAdvance(Calendar,X1191,NDays&amp;"D")</f>
        <v>47165</v>
      </c>
      <c r="Z1191" s="205">
        <v>4.0021952794961263E-2</v>
      </c>
      <c r="AA1191" s="207">
        <v>3.9967293864622278E-2</v>
      </c>
    </row>
    <row r="1192" spans="19:27" x14ac:dyDescent="0.2">
      <c r="S1192" s="165"/>
      <c r="T1192" s="166"/>
      <c r="W1192" s="199" t="str">
        <f t="shared" si="27"/>
        <v>1w</v>
      </c>
      <c r="X1192" s="200">
        <f>_xll.qlCalendarAdvance(Calendar,X1191,W1192,"f",FALSE)</f>
        <v>47170</v>
      </c>
      <c r="Y1192" s="204">
        <f>_xll.qlCalendarAdvance(Calendar,X1192,NDays&amp;"D")</f>
        <v>47172</v>
      </c>
      <c r="Z1192" s="205">
        <v>4.0018031769342786E-2</v>
      </c>
      <c r="AA1192" s="207">
        <v>3.9963414608585879E-2</v>
      </c>
    </row>
    <row r="1193" spans="19:27" x14ac:dyDescent="0.2">
      <c r="S1193" s="165"/>
      <c r="T1193" s="166"/>
      <c r="W1193" s="199" t="str">
        <f t="shared" si="27"/>
        <v>1w</v>
      </c>
      <c r="X1193" s="200">
        <f>_xll.qlCalendarAdvance(Calendar,X1192,W1193,"f",FALSE)</f>
        <v>47177</v>
      </c>
      <c r="Y1193" s="204">
        <f>_xll.qlCalendarAdvance(Calendar,X1193,NDays&amp;"D")</f>
        <v>47179</v>
      </c>
      <c r="Z1193" s="205">
        <v>4.0021840053073299E-2</v>
      </c>
      <c r="AA1193" s="207">
        <v>3.9959513220413356E-2</v>
      </c>
    </row>
    <row r="1194" spans="19:27" x14ac:dyDescent="0.2">
      <c r="S1194" s="165"/>
      <c r="T1194" s="166"/>
      <c r="W1194" s="199" t="str">
        <f t="shared" si="27"/>
        <v>1w</v>
      </c>
      <c r="X1194" s="200">
        <f>_xll.qlCalendarAdvance(Calendar,X1193,W1194,"f",FALSE)</f>
        <v>47184</v>
      </c>
      <c r="Y1194" s="204">
        <f>_xll.qlCalendarAdvance(Calendar,X1194,NDays&amp;"D")</f>
        <v>47186</v>
      </c>
      <c r="Z1194" s="205">
        <v>4.0015930751867677E-2</v>
      </c>
      <c r="AA1194" s="207">
        <v>3.9955589700024774E-2</v>
      </c>
    </row>
    <row r="1195" spans="19:27" x14ac:dyDescent="0.2">
      <c r="S1195" s="165"/>
      <c r="T1195" s="166"/>
      <c r="W1195" s="199" t="str">
        <f t="shared" si="27"/>
        <v>1w</v>
      </c>
      <c r="X1195" s="200">
        <f>_xll.qlCalendarAdvance(Calendar,X1194,W1195,"f",FALSE)</f>
        <v>47191</v>
      </c>
      <c r="Y1195" s="204">
        <f>_xll.qlCalendarAdvance(Calendar,X1195,NDays&amp;"D")</f>
        <v>47193</v>
      </c>
      <c r="Z1195" s="205">
        <v>4.0011937048257278E-2</v>
      </c>
      <c r="AA1195" s="207">
        <v>3.9951644047580004E-2</v>
      </c>
    </row>
    <row r="1196" spans="19:27" x14ac:dyDescent="0.2">
      <c r="S1196" s="165"/>
      <c r="T1196" s="166"/>
      <c r="W1196" s="199" t="str">
        <f t="shared" si="27"/>
        <v>1w</v>
      </c>
      <c r="X1196" s="200">
        <f>_xll.qlCalendarAdvance(Calendar,X1195,W1196,"f",FALSE)</f>
        <v>47198</v>
      </c>
      <c r="Y1196" s="204">
        <f>_xll.qlCalendarAdvance(Calendar,X1196,NDays&amp;"D")</f>
        <v>47200</v>
      </c>
      <c r="Z1196" s="205">
        <v>4.0007921140024223E-2</v>
      </c>
      <c r="AA1196" s="207">
        <v>3.9947676262839238E-2</v>
      </c>
    </row>
    <row r="1197" spans="19:27" x14ac:dyDescent="0.2">
      <c r="S1197" s="165"/>
      <c r="T1197" s="166"/>
      <c r="W1197" s="199" t="str">
        <f t="shared" si="27"/>
        <v>1w</v>
      </c>
      <c r="X1197" s="200">
        <f>_xll.qlCalendarAdvance(Calendar,X1196,W1197,"f",FALSE)</f>
        <v>47205</v>
      </c>
      <c r="Y1197" s="204">
        <f>_xll.qlCalendarAdvance(Calendar,X1197,NDays&amp;"D")</f>
        <v>47211</v>
      </c>
      <c r="Z1197" s="205">
        <v>3.9999636996880028E-2</v>
      </c>
      <c r="AA1197" s="207">
        <v>3.9942542304700623E-2</v>
      </c>
    </row>
    <row r="1198" spans="19:27" x14ac:dyDescent="0.2">
      <c r="S1198" s="165"/>
      <c r="T1198" s="166"/>
      <c r="W1198" s="199" t="str">
        <f t="shared" si="27"/>
        <v>1w</v>
      </c>
      <c r="X1198" s="200">
        <f>_xll.qlCalendarAdvance(Calendar,X1197,W1198,"f",FALSE)</f>
        <v>47212</v>
      </c>
      <c r="Y1198" s="204">
        <f>_xll.qlCalendarAdvance(Calendar,X1198,NDays&amp;"D")</f>
        <v>47214</v>
      </c>
      <c r="Z1198" s="205">
        <v>4.0001750353052257E-2</v>
      </c>
      <c r="AA1198" s="207">
        <v>3.9939674297029271E-2</v>
      </c>
    </row>
    <row r="1199" spans="19:27" x14ac:dyDescent="0.2">
      <c r="S1199" s="165"/>
      <c r="T1199" s="166"/>
      <c r="W1199" s="199" t="str">
        <f t="shared" si="27"/>
        <v>1w</v>
      </c>
      <c r="X1199" s="200">
        <f>_xll.qlCalendarAdvance(Calendar,X1198,W1199,"f",FALSE)</f>
        <v>47219</v>
      </c>
      <c r="Y1199" s="204">
        <f>_xll.qlCalendarAdvance(Calendar,X1199,NDays&amp;"D")</f>
        <v>47221</v>
      </c>
      <c r="Z1199" s="205">
        <v>3.9995740187844402E-2</v>
      </c>
      <c r="AA1199" s="207">
        <v>3.9935640115880133E-2</v>
      </c>
    </row>
    <row r="1200" spans="19:27" x14ac:dyDescent="0.2">
      <c r="S1200" s="165"/>
      <c r="T1200" s="166"/>
      <c r="W1200" s="199" t="str">
        <f t="shared" si="27"/>
        <v>1w</v>
      </c>
      <c r="X1200" s="200">
        <f>_xll.qlCalendarAdvance(Calendar,X1199,W1200,"f",FALSE)</f>
        <v>47226</v>
      </c>
      <c r="Y1200" s="204">
        <f>_xll.qlCalendarAdvance(Calendar,X1200,NDays&amp;"D")</f>
        <v>47228</v>
      </c>
      <c r="Z1200" s="205">
        <v>3.9991635461363112E-2</v>
      </c>
      <c r="AA1200" s="207">
        <v>3.9931583802514936E-2</v>
      </c>
    </row>
    <row r="1201" spans="19:27" x14ac:dyDescent="0.2">
      <c r="S1201" s="165"/>
      <c r="T1201" s="166"/>
      <c r="W1201" s="199" t="str">
        <f t="shared" si="27"/>
        <v>1w</v>
      </c>
      <c r="X1201" s="200">
        <f>_xll.qlCalendarAdvance(Calendar,X1200,W1201,"f",FALSE)</f>
        <v>47233</v>
      </c>
      <c r="Y1201" s="204">
        <f>_xll.qlCalendarAdvance(Calendar,X1201,NDays&amp;"D")</f>
        <v>47235</v>
      </c>
      <c r="Z1201" s="205">
        <v>3.9989430049260088E-2</v>
      </c>
      <c r="AA1201" s="207">
        <v>3.9927505357093551E-2</v>
      </c>
    </row>
    <row r="1202" spans="19:27" x14ac:dyDescent="0.2">
      <c r="S1202" s="165"/>
      <c r="T1202" s="166"/>
      <c r="W1202" s="199" t="str">
        <f t="shared" si="27"/>
        <v>1w</v>
      </c>
      <c r="X1202" s="200">
        <f>_xll.qlCalendarAdvance(Calendar,X1201,W1202,"f",FALSE)</f>
        <v>47240</v>
      </c>
      <c r="Y1202" s="204">
        <f>_xll.qlCalendarAdvance(Calendar,X1202,NDays&amp;"D")</f>
        <v>47242</v>
      </c>
      <c r="Z1202" s="205">
        <v>3.9983359394916762E-2</v>
      </c>
      <c r="AA1202" s="207">
        <v>3.9922817175970238E-2</v>
      </c>
    </row>
    <row r="1203" spans="19:27" x14ac:dyDescent="0.2">
      <c r="S1203" s="165"/>
      <c r="T1203" s="166"/>
      <c r="W1203" s="199" t="str">
        <f t="shared" si="27"/>
        <v>1w</v>
      </c>
      <c r="X1203" s="200">
        <f>_xll.qlCalendarAdvance(Calendar,X1202,W1203,"f",FALSE)</f>
        <v>47247</v>
      </c>
      <c r="Y1203" s="204">
        <f>_xll.qlCalendarAdvance(Calendar,X1203,NDays&amp;"D")</f>
        <v>47249</v>
      </c>
      <c r="Z1203" s="205">
        <v>3.9979188054998123E-2</v>
      </c>
      <c r="AA1203" s="207">
        <v>3.9919282069682538E-2</v>
      </c>
    </row>
    <row r="1204" spans="19:27" x14ac:dyDescent="0.2">
      <c r="S1204" s="165"/>
      <c r="T1204" s="166"/>
      <c r="W1204" s="199" t="str">
        <f t="shared" si="27"/>
        <v>1w</v>
      </c>
      <c r="X1204" s="200">
        <f>_xll.qlCalendarAdvance(Calendar,X1203,W1204,"f",FALSE)</f>
        <v>47254</v>
      </c>
      <c r="Y1204" s="204">
        <f>_xll.qlCalendarAdvance(Calendar,X1204,NDays&amp;"D")</f>
        <v>47256</v>
      </c>
      <c r="Z1204" s="205">
        <v>3.9974994510645061E-2</v>
      </c>
      <c r="AA1204" s="207">
        <v>3.9915137227772846E-2</v>
      </c>
    </row>
    <row r="1205" spans="19:27" x14ac:dyDescent="0.2">
      <c r="S1205" s="165"/>
      <c r="T1205" s="166"/>
      <c r="W1205" s="199" t="str">
        <f t="shared" si="27"/>
        <v>1w</v>
      </c>
      <c r="X1205" s="200">
        <f>_xll.qlCalendarAdvance(Calendar,X1204,W1205,"f",FALSE)</f>
        <v>47261</v>
      </c>
      <c r="Y1205" s="204">
        <f>_xll.qlCalendarAdvance(Calendar,X1205,NDays&amp;"D")</f>
        <v>47263</v>
      </c>
      <c r="Z1205" s="205">
        <v>3.997077876188336E-2</v>
      </c>
      <c r="AA1205" s="207">
        <v>3.9910373164948609E-2</v>
      </c>
    </row>
    <row r="1206" spans="19:27" x14ac:dyDescent="0.2">
      <c r="S1206" s="165"/>
      <c r="T1206" s="166"/>
      <c r="W1206" s="199" t="str">
        <f t="shared" si="27"/>
        <v>1w</v>
      </c>
      <c r="X1206" s="200">
        <f>_xll.qlCalendarAdvance(Calendar,X1205,W1206,"f",FALSE)</f>
        <v>47268</v>
      </c>
      <c r="Y1206" s="204">
        <f>_xll.qlCalendarAdvance(Calendar,X1206,NDays&amp;"D")</f>
        <v>47270</v>
      </c>
      <c r="Z1206" s="205">
        <v>3.9966540986877616E-2</v>
      </c>
      <c r="AA1206" s="207">
        <v>3.9906781147465153E-2</v>
      </c>
    </row>
    <row r="1207" spans="19:27" x14ac:dyDescent="0.2">
      <c r="S1207" s="165"/>
      <c r="T1207" s="166"/>
      <c r="W1207" s="199" t="str">
        <f t="shared" si="27"/>
        <v>1w</v>
      </c>
      <c r="X1207" s="200">
        <f>_xll.qlCalendarAdvance(Calendar,X1206,W1207,"f",FALSE)</f>
        <v>47275</v>
      </c>
      <c r="Y1207" s="204">
        <f>_xll.qlCalendarAdvance(Calendar,X1207,NDays&amp;"D")</f>
        <v>47277</v>
      </c>
      <c r="Z1207" s="205">
        <v>3.9962282463137523E-2</v>
      </c>
      <c r="AA1207" s="207">
        <v>3.9902569908987218E-2</v>
      </c>
    </row>
    <row r="1208" spans="19:27" x14ac:dyDescent="0.2">
      <c r="S1208" s="165"/>
      <c r="T1208" s="166"/>
      <c r="W1208" s="199" t="str">
        <f t="shared" si="27"/>
        <v>1w</v>
      </c>
      <c r="X1208" s="200">
        <f>_xll.qlCalendarAdvance(Calendar,X1207,W1208,"f",FALSE)</f>
        <v>47282</v>
      </c>
      <c r="Y1208" s="204">
        <f>_xll.qlCalendarAdvance(Calendar,X1208,NDays&amp;"D")</f>
        <v>47284</v>
      </c>
      <c r="Z1208" s="205">
        <v>3.9958004887130569E-2</v>
      </c>
      <c r="AA1208" s="207">
        <v>3.9898336538453094E-2</v>
      </c>
    </row>
    <row r="1209" spans="19:27" x14ac:dyDescent="0.2">
      <c r="S1209" s="165"/>
      <c r="T1209" s="166"/>
      <c r="W1209" s="199" t="str">
        <f t="shared" si="27"/>
        <v>1w</v>
      </c>
      <c r="X1209" s="200">
        <f>_xll.qlCalendarAdvance(Calendar,X1208,W1209,"f",FALSE)</f>
        <v>47289</v>
      </c>
      <c r="Y1209" s="204">
        <f>_xll.qlCalendarAdvance(Calendar,X1209,NDays&amp;"D")</f>
        <v>47291</v>
      </c>
      <c r="Z1209" s="205">
        <v>3.9953709956144223E-2</v>
      </c>
      <c r="AA1209" s="207">
        <v>3.9894081061282449E-2</v>
      </c>
    </row>
    <row r="1210" spans="19:27" x14ac:dyDescent="0.2">
      <c r="S1210" s="165"/>
      <c r="T1210" s="166"/>
      <c r="W1210" s="199" t="str">
        <f t="shared" si="27"/>
        <v>1w</v>
      </c>
      <c r="X1210" s="200">
        <f>_xll.qlCalendarAdvance(Calendar,X1209,W1210,"f",FALSE)</f>
        <v>47296</v>
      </c>
      <c r="Y1210" s="204">
        <f>_xll.qlCalendarAdvance(Calendar,X1210,NDays&amp;"D")</f>
        <v>47298</v>
      </c>
      <c r="Z1210" s="205">
        <v>3.99513042052832E-2</v>
      </c>
      <c r="AA1210" s="207">
        <v>3.988980770729178E-2</v>
      </c>
    </row>
    <row r="1211" spans="19:27" x14ac:dyDescent="0.2">
      <c r="S1211" s="165"/>
      <c r="T1211" s="166"/>
      <c r="W1211" s="199" t="str">
        <f t="shared" si="27"/>
        <v>1w</v>
      </c>
      <c r="X1211" s="200">
        <f>_xll.qlCalendarAdvance(Calendar,X1210,W1211,"f",FALSE)</f>
        <v>47303</v>
      </c>
      <c r="Y1211" s="204">
        <f>_xll.qlCalendarAdvance(Calendar,X1211,NDays&amp;"D")</f>
        <v>47305</v>
      </c>
      <c r="Z1211" s="205">
        <v>3.9945073993664898E-2</v>
      </c>
      <c r="AA1211" s="207">
        <v>3.9885519712692385E-2</v>
      </c>
    </row>
    <row r="1212" spans="19:27" x14ac:dyDescent="0.2">
      <c r="S1212" s="165"/>
      <c r="T1212" s="166"/>
      <c r="W1212" s="199" t="str">
        <f t="shared" si="27"/>
        <v>1w</v>
      </c>
      <c r="X1212" s="200">
        <f>_xll.qlCalendarAdvance(Calendar,X1211,W1212,"f",FALSE)</f>
        <v>47310</v>
      </c>
      <c r="Y1212" s="204">
        <f>_xll.qlCalendarAdvance(Calendar,X1212,NDays&amp;"D")</f>
        <v>47312</v>
      </c>
      <c r="Z1212" s="205">
        <v>3.9940733954340848E-2</v>
      </c>
      <c r="AA1212" s="207">
        <v>3.9881217077564202E-2</v>
      </c>
    </row>
    <row r="1213" spans="19:27" x14ac:dyDescent="0.2">
      <c r="S1213" s="165"/>
      <c r="T1213" s="166"/>
      <c r="W1213" s="199" t="str">
        <f t="shared" si="27"/>
        <v>1w</v>
      </c>
      <c r="X1213" s="200">
        <f>_xll.qlCalendarAdvance(Calendar,X1212,W1213,"f",FALSE)</f>
        <v>47317</v>
      </c>
      <c r="Y1213" s="204">
        <f>_xll.qlCalendarAdvance(Calendar,X1213,NDays&amp;"D")</f>
        <v>47319</v>
      </c>
      <c r="Z1213" s="205">
        <v>3.9936379227240637E-2</v>
      </c>
      <c r="AA1213" s="207">
        <v>3.9876899801747356E-2</v>
      </c>
    </row>
    <row r="1214" spans="19:27" x14ac:dyDescent="0.2">
      <c r="S1214" s="165"/>
      <c r="T1214" s="166"/>
      <c r="W1214" s="199" t="str">
        <f t="shared" si="27"/>
        <v>1w</v>
      </c>
      <c r="X1214" s="200">
        <f>_xll.qlCalendarAdvance(Calendar,X1213,W1214,"f",FALSE)</f>
        <v>47324</v>
      </c>
      <c r="Y1214" s="204">
        <f>_xll.qlCalendarAdvance(Calendar,X1214,NDays&amp;"D")</f>
        <v>47326</v>
      </c>
      <c r="Z1214" s="205">
        <v>3.9933908549404928E-2</v>
      </c>
      <c r="AA1214" s="207">
        <v>3.987256788524185E-2</v>
      </c>
    </row>
    <row r="1215" spans="19:27" x14ac:dyDescent="0.2">
      <c r="S1215" s="165"/>
      <c r="T1215" s="166"/>
      <c r="W1215" s="199" t="str">
        <f t="shared" si="27"/>
        <v>1w</v>
      </c>
      <c r="X1215" s="200">
        <f>_xll.qlCalendarAdvance(Calendar,X1214,W1215,"f",FALSE)</f>
        <v>47331</v>
      </c>
      <c r="Y1215" s="204">
        <f>_xll.qlCalendarAdvance(Calendar,X1215,NDays&amp;"D")</f>
        <v>47333</v>
      </c>
      <c r="Z1215" s="205">
        <v>3.9929522912106608E-2</v>
      </c>
      <c r="AA1215" s="207">
        <v>3.9868221328207554E-2</v>
      </c>
    </row>
    <row r="1216" spans="19:27" x14ac:dyDescent="0.2">
      <c r="S1216" s="165"/>
      <c r="T1216" s="166"/>
      <c r="W1216" s="199" t="str">
        <f t="shared" si="27"/>
        <v>1w</v>
      </c>
      <c r="X1216" s="200">
        <f>_xll.qlCalendarAdvance(Calendar,X1215,W1216,"f",FALSE)</f>
        <v>47338</v>
      </c>
      <c r="Y1216" s="204">
        <f>_xll.qlCalendarAdvance(Calendar,X1216,NDays&amp;"D")</f>
        <v>47340</v>
      </c>
      <c r="Z1216" s="205">
        <v>3.9923226919453249E-2</v>
      </c>
      <c r="AA1216" s="207">
        <v>3.986386013040466E-2</v>
      </c>
    </row>
    <row r="1217" spans="19:27" x14ac:dyDescent="0.2">
      <c r="S1217" s="165"/>
      <c r="T1217" s="166"/>
      <c r="W1217" s="199" t="str">
        <f t="shared" si="27"/>
        <v>1w</v>
      </c>
      <c r="X1217" s="200">
        <f>_xll.qlCalendarAdvance(Calendar,X1216,W1217,"f",FALSE)</f>
        <v>47345</v>
      </c>
      <c r="Y1217" s="204">
        <f>_xll.qlCalendarAdvance(Calendar,X1217,NDays&amp;"D")</f>
        <v>47347</v>
      </c>
      <c r="Z1217" s="205">
        <v>3.99188134414186E-2</v>
      </c>
      <c r="AA1217" s="207">
        <v>3.9859484292152914E-2</v>
      </c>
    </row>
    <row r="1218" spans="19:27" x14ac:dyDescent="0.2">
      <c r="S1218" s="165"/>
      <c r="T1218" s="166"/>
      <c r="W1218" s="199" t="str">
        <f t="shared" si="27"/>
        <v>1w</v>
      </c>
      <c r="X1218" s="200">
        <f>_xll.qlCalendarAdvance(Calendar,X1217,W1218,"f",FALSE)</f>
        <v>47352</v>
      </c>
      <c r="Y1218" s="204">
        <f>_xll.qlCalendarAdvance(Calendar,X1218,NDays&amp;"D")</f>
        <v>47354</v>
      </c>
      <c r="Z1218" s="205">
        <v>3.9914385275690308E-2</v>
      </c>
      <c r="AA1218" s="207">
        <v>3.9854465406845563E-2</v>
      </c>
    </row>
    <row r="1219" spans="19:27" x14ac:dyDescent="0.2">
      <c r="S1219" s="165"/>
      <c r="T1219" s="166"/>
      <c r="W1219" s="199" t="str">
        <f t="shared" si="27"/>
        <v>1w</v>
      </c>
      <c r="X1219" s="200">
        <f>_xll.qlCalendarAdvance(Calendar,X1218,W1219,"f",FALSE)</f>
        <v>47359</v>
      </c>
      <c r="Y1219" s="204">
        <f>_xll.qlCalendarAdvance(Calendar,X1219,NDays&amp;"D")</f>
        <v>47361</v>
      </c>
      <c r="Z1219" s="205">
        <v>3.9904269234704498E-2</v>
      </c>
      <c r="AA1219" s="207">
        <v>3.9850688693743308E-2</v>
      </c>
    </row>
    <row r="1220" spans="19:27" x14ac:dyDescent="0.2">
      <c r="S1220" s="165"/>
      <c r="T1220" s="166"/>
      <c r="W1220" s="199" t="str">
        <f t="shared" si="27"/>
        <v>1w</v>
      </c>
      <c r="X1220" s="200">
        <f>_xll.qlCalendarAdvance(Calendar,X1219,W1220,"f",FALSE)</f>
        <v>47366</v>
      </c>
      <c r="Y1220" s="204">
        <f>_xll.qlCalendarAdvance(Calendar,X1220,NDays&amp;"D")</f>
        <v>47368</v>
      </c>
      <c r="Z1220" s="205">
        <v>3.9907374386503047E-2</v>
      </c>
      <c r="AA1220" s="207">
        <v>3.9846268933505513E-2</v>
      </c>
    </row>
    <row r="1221" spans="19:27" x14ac:dyDescent="0.2">
      <c r="S1221" s="165"/>
      <c r="T1221" s="166"/>
      <c r="W1221" s="199" t="str">
        <f t="shared" si="27"/>
        <v>1w</v>
      </c>
      <c r="X1221" s="200">
        <f>_xll.qlCalendarAdvance(Calendar,X1220,W1221,"f",FALSE)</f>
        <v>47373</v>
      </c>
      <c r="Y1221" s="204">
        <f>_xll.qlCalendarAdvance(Calendar,X1221,NDays&amp;"D")</f>
        <v>47375</v>
      </c>
      <c r="Z1221" s="205">
        <v>3.9901012652521502E-2</v>
      </c>
      <c r="AA1221" s="207">
        <v>3.9841834532818865E-2</v>
      </c>
    </row>
    <row r="1222" spans="19:27" x14ac:dyDescent="0.2">
      <c r="S1222" s="165"/>
      <c r="T1222" s="166"/>
      <c r="W1222" s="199" t="str">
        <f t="shared" si="27"/>
        <v>1w</v>
      </c>
      <c r="X1222" s="200">
        <f>_xll.qlCalendarAdvance(Calendar,X1221,W1222,"f",FALSE)</f>
        <v>47380</v>
      </c>
      <c r="Y1222" s="204">
        <f>_xll.qlCalendarAdvance(Calendar,X1222,NDays&amp;"D")</f>
        <v>47382</v>
      </c>
      <c r="Z1222" s="205">
        <v>3.9896525736191409E-2</v>
      </c>
      <c r="AA1222" s="207">
        <v>3.9837385491523492E-2</v>
      </c>
    </row>
    <row r="1223" spans="19:27" x14ac:dyDescent="0.2">
      <c r="S1223" s="165"/>
      <c r="T1223" s="166"/>
      <c r="W1223" s="199" t="str">
        <f t="shared" si="27"/>
        <v>1w</v>
      </c>
      <c r="X1223" s="200">
        <f>_xll.qlCalendarAdvance(Calendar,X1222,W1223,"f",FALSE)</f>
        <v>47387</v>
      </c>
      <c r="Y1223" s="204">
        <f>_xll.qlCalendarAdvance(Calendar,X1223,NDays&amp;"D")</f>
        <v>47389</v>
      </c>
      <c r="Z1223" s="205">
        <v>3.9895793860181529E-2</v>
      </c>
      <c r="AA1223" s="207">
        <v>3.9832921809459521E-2</v>
      </c>
    </row>
    <row r="1224" spans="19:27" x14ac:dyDescent="0.2">
      <c r="S1224" s="165"/>
      <c r="T1224" s="166"/>
      <c r="W1224" s="199" t="str">
        <f t="shared" si="27"/>
        <v>1w</v>
      </c>
      <c r="X1224" s="200">
        <f>_xll.qlCalendarAdvance(Calendar,X1223,W1224,"f",FALSE)</f>
        <v>47394</v>
      </c>
      <c r="Y1224" s="204">
        <f>_xll.qlCalendarAdvance(Calendar,X1224,NDays&amp;"D")</f>
        <v>47396</v>
      </c>
      <c r="Z1224" s="205">
        <v>3.9887507840728781E-2</v>
      </c>
      <c r="AA1224" s="207">
        <v>3.9828443486946696E-2</v>
      </c>
    </row>
    <row r="1225" spans="19:27" x14ac:dyDescent="0.2">
      <c r="S1225" s="165"/>
      <c r="T1225" s="166"/>
      <c r="W1225" s="199" t="str">
        <f t="shared" si="27"/>
        <v>1w</v>
      </c>
      <c r="X1225" s="200">
        <f>_xll.qlCalendarAdvance(Calendar,X1224,W1225,"f",FALSE)</f>
        <v>47401</v>
      </c>
      <c r="Y1225" s="204">
        <f>_xll.qlCalendarAdvance(Calendar,X1225,NDays&amp;"D")</f>
        <v>47403</v>
      </c>
      <c r="Z1225" s="205">
        <v>3.9884858630635789E-2</v>
      </c>
      <c r="AA1225" s="207">
        <v>3.9823950523665275E-2</v>
      </c>
    </row>
    <row r="1226" spans="19:27" x14ac:dyDescent="0.2">
      <c r="S1226" s="165"/>
      <c r="T1226" s="166"/>
      <c r="W1226" s="199" t="str">
        <f t="shared" si="27"/>
        <v>1w</v>
      </c>
      <c r="X1226" s="200">
        <f>_xll.qlCalendarAdvance(Calendar,X1225,W1226,"f",FALSE)</f>
        <v>47408</v>
      </c>
      <c r="Y1226" s="204">
        <f>_xll.qlCalendarAdvance(Calendar,X1226,NDays&amp;"D")</f>
        <v>47410</v>
      </c>
      <c r="Z1226" s="205">
        <v>3.9878431194971198E-2</v>
      </c>
      <c r="AA1226" s="207">
        <v>3.9819442919855064E-2</v>
      </c>
    </row>
    <row r="1227" spans="19:27" x14ac:dyDescent="0.2">
      <c r="S1227" s="165"/>
      <c r="T1227" s="166"/>
      <c r="W1227" s="199" t="str">
        <f t="shared" si="27"/>
        <v>1w</v>
      </c>
      <c r="X1227" s="200">
        <f>_xll.qlCalendarAdvance(Calendar,X1226,W1227,"f",FALSE)</f>
        <v>47415</v>
      </c>
      <c r="Y1227" s="204">
        <f>_xll.qlCalendarAdvance(Calendar,X1227,NDays&amp;"D")</f>
        <v>47417</v>
      </c>
      <c r="Z1227" s="205">
        <v>3.9873870840773706E-2</v>
      </c>
      <c r="AA1227" s="207">
        <v>3.9814920675356191E-2</v>
      </c>
    </row>
    <row r="1228" spans="19:27" x14ac:dyDescent="0.2">
      <c r="S1228" s="165"/>
      <c r="T1228" s="166"/>
      <c r="W1228" s="199" t="str">
        <f t="shared" si="27"/>
        <v>1w</v>
      </c>
      <c r="X1228" s="200">
        <f>_xll.qlCalendarAdvance(Calendar,X1227,W1228,"f",FALSE)</f>
        <v>47422</v>
      </c>
      <c r="Y1228" s="204">
        <f>_xll.qlCalendarAdvance(Calendar,X1228,NDays&amp;"D")</f>
        <v>47424</v>
      </c>
      <c r="Z1228" s="205">
        <v>3.9869295799055335E-2</v>
      </c>
      <c r="AA1228" s="207">
        <v>3.981038379032853E-2</v>
      </c>
    </row>
    <row r="1229" spans="19:27" x14ac:dyDescent="0.2">
      <c r="S1229" s="165"/>
      <c r="T1229" s="166"/>
      <c r="W1229" s="199" t="str">
        <f t="shared" si="27"/>
        <v>1w</v>
      </c>
      <c r="X1229" s="200">
        <f>_xll.qlCalendarAdvance(Calendar,X1228,W1229,"f",FALSE)</f>
        <v>47429</v>
      </c>
      <c r="Y1229" s="204">
        <f>_xll.qlCalendarAdvance(Calendar,X1229,NDays&amp;"D")</f>
        <v>47431</v>
      </c>
      <c r="Z1229" s="205">
        <v>3.9864706069831557E-2</v>
      </c>
      <c r="AA1229" s="207">
        <v>3.9805832264692143E-2</v>
      </c>
    </row>
    <row r="1230" spans="19:27" x14ac:dyDescent="0.2">
      <c r="S1230" s="165"/>
      <c r="T1230" s="166"/>
      <c r="W1230" s="199" t="str">
        <f t="shared" si="27"/>
        <v>1w</v>
      </c>
      <c r="X1230" s="200">
        <f>_xll.qlCalendarAdvance(Calendar,X1229,W1230,"f",FALSE)</f>
        <v>47436</v>
      </c>
      <c r="Y1230" s="204">
        <f>_xll.qlCalendarAdvance(Calendar,X1230,NDays&amp;"D")</f>
        <v>47438</v>
      </c>
      <c r="Z1230" s="205">
        <v>3.9860101653123002E-2</v>
      </c>
      <c r="AA1230" s="207">
        <v>3.980126609844703E-2</v>
      </c>
    </row>
    <row r="1231" spans="19:27" x14ac:dyDescent="0.2">
      <c r="S1231" s="165"/>
      <c r="T1231" s="166"/>
      <c r="W1231" s="199" t="str">
        <f t="shared" si="27"/>
        <v>1w</v>
      </c>
      <c r="X1231" s="200">
        <f>_xll.qlCalendarAdvance(Calendar,X1230,W1231,"f",FALSE)</f>
        <v>47443</v>
      </c>
      <c r="Y1231" s="204">
        <f>_xll.qlCalendarAdvance(Calendar,X1231,NDays&amp;"D")</f>
        <v>47445</v>
      </c>
      <c r="Z1231" s="205">
        <v>3.9855482548937407E-2</v>
      </c>
      <c r="AA1231" s="207">
        <v>3.9796685291593192E-2</v>
      </c>
    </row>
    <row r="1232" spans="19:27" x14ac:dyDescent="0.2">
      <c r="S1232" s="165"/>
      <c r="T1232" s="166"/>
      <c r="W1232" s="199" t="str">
        <f t="shared" si="27"/>
        <v>1w</v>
      </c>
      <c r="X1232" s="200">
        <f>_xll.qlCalendarAdvance(Calendar,X1231,W1232,"f",FALSE)</f>
        <v>47450</v>
      </c>
      <c r="Y1232" s="204">
        <f>_xll.qlCalendarAdvance(Calendar,X1232,NDays&amp;"D")</f>
        <v>47452</v>
      </c>
      <c r="Z1232" s="205">
        <v>3.9850848757303131E-2</v>
      </c>
      <c r="AA1232" s="207">
        <v>3.9792089844130629E-2</v>
      </c>
    </row>
    <row r="1233" spans="19:27" x14ac:dyDescent="0.2">
      <c r="S1233" s="165"/>
      <c r="T1233" s="166"/>
      <c r="W1233" s="199" t="str">
        <f t="shared" si="27"/>
        <v>1w</v>
      </c>
      <c r="X1233" s="200">
        <f>_xll.qlCalendarAdvance(Calendar,X1232,W1233,"f",FALSE)</f>
        <v>47457</v>
      </c>
      <c r="Y1233" s="204">
        <f>_xll.qlCalendarAdvance(Calendar,X1233,NDays&amp;"D")</f>
        <v>47459</v>
      </c>
      <c r="Z1233" s="205">
        <v>3.9846200278235655E-2</v>
      </c>
      <c r="AA1233" s="207">
        <v>3.9787479756059341E-2</v>
      </c>
    </row>
    <row r="1234" spans="19:27" x14ac:dyDescent="0.2">
      <c r="S1234" s="165"/>
      <c r="T1234" s="166"/>
      <c r="W1234" s="199" t="str">
        <f t="shared" si="27"/>
        <v>1w</v>
      </c>
      <c r="X1234" s="200">
        <f>_xll.qlCalendarAdvance(Calendar,X1233,W1234,"f",FALSE)</f>
        <v>47464</v>
      </c>
      <c r="Y1234" s="204">
        <f>_xll.qlCalendarAdvance(Calendar,X1234,NDays&amp;"D")</f>
        <v>47466</v>
      </c>
      <c r="Z1234" s="205">
        <v>3.9841537111747871E-2</v>
      </c>
      <c r="AA1234" s="207">
        <v>3.9782855027299391E-2</v>
      </c>
    </row>
    <row r="1235" spans="19:27" x14ac:dyDescent="0.2">
      <c r="S1235" s="165"/>
      <c r="T1235" s="166"/>
      <c r="W1235" s="199" t="str">
        <f t="shared" si="27"/>
        <v>1w</v>
      </c>
      <c r="X1235" s="200">
        <f>_xll.qlCalendarAdvance(Calendar,X1234,W1235,"f",FALSE)</f>
        <v>47471</v>
      </c>
      <c r="Y1235" s="204">
        <f>_xll.qlCalendarAdvance(Calendar,X1235,NDays&amp;"D")</f>
        <v>47473</v>
      </c>
      <c r="Z1235" s="205">
        <v>3.9838725436935618E-2</v>
      </c>
      <c r="AA1235" s="207">
        <v>3.9776887434879171E-2</v>
      </c>
    </row>
    <row r="1236" spans="19:27" x14ac:dyDescent="0.2">
      <c r="S1236" s="165"/>
      <c r="T1236" s="166"/>
      <c r="W1236" s="199" t="str">
        <f t="shared" si="27"/>
        <v>1w</v>
      </c>
      <c r="X1236" s="200">
        <f>_xll.qlCalendarAdvance(Calendar,X1235,W1236,"f",FALSE)</f>
        <v>47479</v>
      </c>
      <c r="Y1236" s="204">
        <f>_xll.qlCalendarAdvance(Calendar,X1236,NDays&amp;"D")</f>
        <v>47483</v>
      </c>
      <c r="Z1236" s="205">
        <v>3.9830151131344194E-2</v>
      </c>
      <c r="AA1236" s="207">
        <v>3.9772229241927803E-2</v>
      </c>
    </row>
    <row r="1237" spans="19:27" x14ac:dyDescent="0.2">
      <c r="S1237" s="165"/>
      <c r="T1237" s="166"/>
      <c r="W1237" s="199" t="str">
        <f t="shared" ref="W1237:W1300" si="28">W1236</f>
        <v>1w</v>
      </c>
      <c r="X1237" s="200">
        <f>_xll.qlCalendarAdvance(Calendar,X1236,W1237,"f",FALSE)</f>
        <v>47486</v>
      </c>
      <c r="Y1237" s="204">
        <f>_xll.qlCalendarAdvance(Calendar,X1237,NDays&amp;"D")</f>
        <v>47490</v>
      </c>
      <c r="Z1237" s="205">
        <v>3.9825437608133743E-2</v>
      </c>
      <c r="AA1237" s="207">
        <v>3.9768224852387846E-2</v>
      </c>
    </row>
    <row r="1238" spans="19:27" x14ac:dyDescent="0.2">
      <c r="S1238" s="165"/>
      <c r="T1238" s="166"/>
      <c r="W1238" s="199" t="str">
        <f t="shared" si="28"/>
        <v>1w</v>
      </c>
      <c r="X1238" s="200">
        <f>_xll.qlCalendarAdvance(Calendar,X1237,W1238,"f",FALSE)</f>
        <v>47493</v>
      </c>
      <c r="Y1238" s="204">
        <f>_xll.qlCalendarAdvance(Calendar,X1238,NDays&amp;"D")</f>
        <v>47497</v>
      </c>
      <c r="Z1238" s="205">
        <v>3.9820709397580339E-2</v>
      </c>
      <c r="AA1238" s="207">
        <v>3.9763539469745979E-2</v>
      </c>
    </row>
    <row r="1239" spans="19:27" x14ac:dyDescent="0.2">
      <c r="S1239" s="165"/>
      <c r="T1239" s="166"/>
      <c r="W1239" s="199" t="str">
        <f t="shared" si="28"/>
        <v>1w</v>
      </c>
      <c r="X1239" s="200">
        <f>_xll.qlCalendarAdvance(Calendar,X1238,W1239,"f",FALSE)</f>
        <v>47500</v>
      </c>
      <c r="Y1239" s="204">
        <f>_xll.qlCalendarAdvance(Calendar,X1239,NDays&amp;"D")</f>
        <v>47504</v>
      </c>
      <c r="Z1239" s="205">
        <v>3.9815287743904651E-2</v>
      </c>
      <c r="AA1239" s="207">
        <v>3.9758839446495386E-2</v>
      </c>
    </row>
    <row r="1240" spans="19:27" x14ac:dyDescent="0.2">
      <c r="S1240" s="165"/>
      <c r="T1240" s="166"/>
      <c r="W1240" s="199" t="str">
        <f t="shared" si="28"/>
        <v>1w</v>
      </c>
      <c r="X1240" s="200">
        <f>_xll.qlCalendarAdvance(Calendar,X1239,W1240,"f",FALSE)</f>
        <v>47507</v>
      </c>
      <c r="Y1240" s="204">
        <f>_xll.qlCalendarAdvance(Calendar,X1240,NDays&amp;"D")</f>
        <v>47511</v>
      </c>
      <c r="Z1240" s="205">
        <v>3.9811208914529751E-2</v>
      </c>
      <c r="AA1240" s="207">
        <v>3.9754124782636069E-2</v>
      </c>
    </row>
    <row r="1241" spans="19:27" x14ac:dyDescent="0.2">
      <c r="S1241" s="165"/>
      <c r="T1241" s="166"/>
      <c r="W1241" s="199" t="str">
        <f t="shared" si="28"/>
        <v>1w</v>
      </c>
      <c r="X1241" s="200">
        <f>_xll.qlCalendarAdvance(Calendar,X1240,W1241,"f",FALSE)</f>
        <v>47514</v>
      </c>
      <c r="Y1241" s="204">
        <f>_xll.qlCalendarAdvance(Calendar,X1241,NDays&amp;"D")</f>
        <v>47518</v>
      </c>
      <c r="Z1241" s="205">
        <v>3.9800868336737745E-2</v>
      </c>
      <c r="AA1241" s="207">
        <v>3.9749395478247962E-2</v>
      </c>
    </row>
    <row r="1242" spans="19:27" x14ac:dyDescent="0.2">
      <c r="S1242" s="165"/>
      <c r="T1242" s="166"/>
      <c r="W1242" s="199" t="str">
        <f t="shared" si="28"/>
        <v>1w</v>
      </c>
      <c r="X1242" s="200">
        <f>_xll.qlCalendarAdvance(Calendar,X1241,W1242,"f",FALSE)</f>
        <v>47521</v>
      </c>
      <c r="Y1242" s="204">
        <f>_xll.qlCalendarAdvance(Calendar,X1242,NDays&amp;"D")</f>
        <v>47525</v>
      </c>
      <c r="Z1242" s="205">
        <v>3.9796086108133198E-2</v>
      </c>
      <c r="AA1242" s="207">
        <v>3.9744651533171194E-2</v>
      </c>
    </row>
    <row r="1243" spans="19:27" x14ac:dyDescent="0.2">
      <c r="S1243" s="165"/>
      <c r="T1243" s="166"/>
      <c r="W1243" s="199" t="str">
        <f t="shared" si="28"/>
        <v>1w</v>
      </c>
      <c r="X1243" s="200">
        <f>_xll.qlCalendarAdvance(Calendar,X1242,W1243,"f",FALSE)</f>
        <v>47528</v>
      </c>
      <c r="Y1243" s="204">
        <f>_xll.qlCalendarAdvance(Calendar,X1243,NDays&amp;"D")</f>
        <v>47532</v>
      </c>
      <c r="Z1243" s="205">
        <v>3.9790602725348227E-2</v>
      </c>
      <c r="AA1243" s="207">
        <v>3.9739892947565636E-2</v>
      </c>
    </row>
    <row r="1244" spans="19:27" x14ac:dyDescent="0.2">
      <c r="S1244" s="165"/>
      <c r="T1244" s="166"/>
      <c r="W1244" s="199" t="str">
        <f t="shared" si="28"/>
        <v>1w</v>
      </c>
      <c r="X1244" s="200">
        <f>_xll.qlCalendarAdvance(Calendar,X1243,W1244,"f",FALSE)</f>
        <v>47535</v>
      </c>
      <c r="Y1244" s="204">
        <f>_xll.qlCalendarAdvance(Calendar,X1244,NDays&amp;"D")</f>
        <v>47539</v>
      </c>
      <c r="Z1244" s="205">
        <v>3.9786477603201496E-2</v>
      </c>
      <c r="AA1244" s="207">
        <v>3.9735119721271417E-2</v>
      </c>
    </row>
    <row r="1245" spans="19:27" x14ac:dyDescent="0.2">
      <c r="S1245" s="165"/>
      <c r="T1245" s="166"/>
      <c r="W1245" s="199" t="str">
        <f t="shared" si="28"/>
        <v>1w</v>
      </c>
      <c r="X1245" s="200">
        <f>_xll.qlCalendarAdvance(Calendar,X1244,W1245,"f",FALSE)</f>
        <v>47542</v>
      </c>
      <c r="Y1245" s="204">
        <f>_xll.qlCalendarAdvance(Calendar,X1245,NDays&amp;"D")</f>
        <v>47546</v>
      </c>
      <c r="Z1245" s="205">
        <v>3.9787200679733424E-2</v>
      </c>
      <c r="AA1245" s="207">
        <v>3.9730331854448409E-2</v>
      </c>
    </row>
    <row r="1246" spans="19:27" x14ac:dyDescent="0.2">
      <c r="S1246" s="165"/>
      <c r="T1246" s="166"/>
      <c r="W1246" s="199" t="str">
        <f t="shared" si="28"/>
        <v>1w</v>
      </c>
      <c r="X1246" s="200">
        <f>_xll.qlCalendarAdvance(Calendar,X1245,W1246,"f",FALSE)</f>
        <v>47549</v>
      </c>
      <c r="Y1246" s="204">
        <f>_xll.qlCalendarAdvance(Calendar,X1246,NDays&amp;"D")</f>
        <v>47553</v>
      </c>
      <c r="Z1246" s="205">
        <v>3.9782354971117123E-2</v>
      </c>
      <c r="AA1246" s="207">
        <v>3.9725529346936739E-2</v>
      </c>
    </row>
    <row r="1247" spans="19:27" x14ac:dyDescent="0.2">
      <c r="S1247" s="165"/>
      <c r="T1247" s="166"/>
      <c r="W1247" s="199" t="str">
        <f t="shared" si="28"/>
        <v>1w</v>
      </c>
      <c r="X1247" s="200">
        <f>_xll.qlCalendarAdvance(Calendar,X1246,W1247,"f",FALSE)</f>
        <v>47556</v>
      </c>
      <c r="Y1247" s="204">
        <f>_xll.qlCalendarAdvance(Calendar,X1247,NDays&amp;"D")</f>
        <v>47560</v>
      </c>
      <c r="Z1247" s="205">
        <v>3.9777494575322897E-2</v>
      </c>
      <c r="AA1247" s="207">
        <v>3.972071219889628E-2</v>
      </c>
    </row>
    <row r="1248" spans="19:27" x14ac:dyDescent="0.2">
      <c r="S1248" s="165"/>
      <c r="T1248" s="166"/>
      <c r="W1248" s="199" t="str">
        <f t="shared" si="28"/>
        <v>1w</v>
      </c>
      <c r="X1248" s="200">
        <f>_xll.qlCalendarAdvance(Calendar,X1247,W1248,"f",FALSE)</f>
        <v>47563</v>
      </c>
      <c r="Y1248" s="204">
        <f>_xll.qlCalendarAdvance(Calendar,X1248,NDays&amp;"D")</f>
        <v>47567</v>
      </c>
      <c r="Z1248" s="205">
        <v>3.9772619492376537E-2</v>
      </c>
      <c r="AA1248" s="207">
        <v>3.9715880410327031E-2</v>
      </c>
    </row>
    <row r="1249" spans="19:27" x14ac:dyDescent="0.2">
      <c r="S1249" s="165"/>
      <c r="T1249" s="166"/>
      <c r="W1249" s="199" t="str">
        <f t="shared" si="28"/>
        <v>1w</v>
      </c>
      <c r="X1249" s="200">
        <f>_xll.qlCalendarAdvance(Calendar,X1248,W1249,"f",FALSE)</f>
        <v>47570</v>
      </c>
      <c r="Y1249" s="204">
        <f>_xll.qlCalendarAdvance(Calendar,X1249,NDays&amp;"D")</f>
        <v>47574</v>
      </c>
      <c r="Z1249" s="205">
        <v>3.9765886296231123E-2</v>
      </c>
      <c r="AA1249" s="207">
        <v>3.9711033981069122E-2</v>
      </c>
    </row>
    <row r="1250" spans="19:27" x14ac:dyDescent="0.2">
      <c r="S1250" s="165"/>
      <c r="T1250" s="166"/>
      <c r="W1250" s="199" t="str">
        <f t="shared" si="28"/>
        <v>1w</v>
      </c>
      <c r="X1250" s="200">
        <f>_xll.qlCalendarAdvance(Calendar,X1249,W1250,"f",FALSE)</f>
        <v>47577</v>
      </c>
      <c r="Y1250" s="204">
        <f>_xll.qlCalendarAdvance(Calendar,X1250,NDays&amp;"D")</f>
        <v>47581</v>
      </c>
      <c r="Z1250" s="205">
        <v>3.9760983428775099E-2</v>
      </c>
      <c r="AA1250" s="207">
        <v>3.9706172911202486E-2</v>
      </c>
    </row>
    <row r="1251" spans="19:27" x14ac:dyDescent="0.2">
      <c r="S1251" s="165"/>
      <c r="T1251" s="166"/>
      <c r="W1251" s="199" t="str">
        <f t="shared" si="28"/>
        <v>1w</v>
      </c>
      <c r="X1251" s="200">
        <f>_xll.qlCalendarAdvance(Calendar,X1250,W1251,"f",FALSE)</f>
        <v>47584</v>
      </c>
      <c r="Y1251" s="204">
        <f>_xll.qlCalendarAdvance(Calendar,X1251,NDays&amp;"D")</f>
        <v>47588</v>
      </c>
      <c r="Z1251" s="205">
        <v>3.9756065875770297E-2</v>
      </c>
      <c r="AA1251" s="207">
        <v>3.9701297200727126E-2</v>
      </c>
    </row>
    <row r="1252" spans="19:27" x14ac:dyDescent="0.2">
      <c r="S1252" s="165"/>
      <c r="T1252" s="166"/>
      <c r="W1252" s="199" t="str">
        <f t="shared" si="28"/>
        <v>1w</v>
      </c>
      <c r="X1252" s="200">
        <f>_xll.qlCalendarAdvance(Calendar,X1251,W1252,"f",FALSE)</f>
        <v>47591</v>
      </c>
      <c r="Y1252" s="204">
        <f>_xll.qlCalendarAdvance(Calendar,X1252,NDays&amp;"D")</f>
        <v>47597</v>
      </c>
      <c r="Z1252" s="205">
        <v>3.9749721728879805E-2</v>
      </c>
      <c r="AA1252" s="207">
        <v>3.9698683336588658E-2</v>
      </c>
    </row>
    <row r="1253" spans="19:27" x14ac:dyDescent="0.2">
      <c r="S1253" s="165"/>
      <c r="T1253" s="166"/>
      <c r="W1253" s="199" t="str">
        <f t="shared" si="28"/>
        <v>1w</v>
      </c>
      <c r="X1253" s="200">
        <f>_xll.qlCalendarAdvance(Calendar,X1252,W1253,"f",FALSE)</f>
        <v>47598</v>
      </c>
      <c r="Y1253" s="204">
        <f>_xll.qlCalendarAdvance(Calendar,X1253,NDays&amp;"D")</f>
        <v>47602</v>
      </c>
      <c r="Z1253" s="205">
        <v>3.9746186713178311E-2</v>
      </c>
      <c r="AA1253" s="207">
        <v>3.9691501858110101E-2</v>
      </c>
    </row>
    <row r="1254" spans="19:27" x14ac:dyDescent="0.2">
      <c r="S1254" s="165"/>
      <c r="T1254" s="166"/>
      <c r="W1254" s="199" t="str">
        <f t="shared" si="28"/>
        <v>1w</v>
      </c>
      <c r="X1254" s="200">
        <f>_xll.qlCalendarAdvance(Calendar,X1253,W1254,"f",FALSE)</f>
        <v>47605</v>
      </c>
      <c r="Y1254" s="204">
        <f>_xll.qlCalendarAdvance(Calendar,X1254,NDays&amp;"D")</f>
        <v>47610</v>
      </c>
      <c r="Z1254" s="205">
        <v>3.9742350337101363E-2</v>
      </c>
      <c r="AA1254" s="207">
        <v>3.9685878226149995E-2</v>
      </c>
    </row>
    <row r="1255" spans="19:27" x14ac:dyDescent="0.2">
      <c r="S1255" s="165"/>
      <c r="T1255" s="166"/>
      <c r="W1255" s="199" t="str">
        <f t="shared" si="28"/>
        <v>1w</v>
      </c>
      <c r="X1255" s="200">
        <f>_xll.qlCalendarAdvance(Calendar,X1254,W1255,"f",FALSE)</f>
        <v>47612</v>
      </c>
      <c r="Y1255" s="204">
        <f>_xll.qlCalendarAdvance(Calendar,X1255,NDays&amp;"D")</f>
        <v>47616</v>
      </c>
      <c r="Z1255" s="205">
        <v>3.9738082672866458E-2</v>
      </c>
      <c r="AA1255" s="207">
        <v>3.9681647953058174E-2</v>
      </c>
    </row>
    <row r="1256" spans="19:27" x14ac:dyDescent="0.2">
      <c r="S1256" s="165"/>
      <c r="T1256" s="166"/>
      <c r="W1256" s="199" t="str">
        <f t="shared" si="28"/>
        <v>1w</v>
      </c>
      <c r="X1256" s="200">
        <f>_xll.qlCalendarAdvance(Calendar,X1255,W1256,"f",FALSE)</f>
        <v>47619</v>
      </c>
      <c r="Y1256" s="204">
        <f>_xll.qlCalendarAdvance(Calendar,X1256,NDays&amp;"D")</f>
        <v>47623</v>
      </c>
      <c r="Z1256" s="205">
        <v>3.9733090093324416E-2</v>
      </c>
      <c r="AA1256" s="207">
        <v>3.9676699039778995E-2</v>
      </c>
    </row>
    <row r="1257" spans="19:27" x14ac:dyDescent="0.2">
      <c r="S1257" s="165"/>
      <c r="T1257" s="166"/>
      <c r="W1257" s="199" t="str">
        <f t="shared" si="28"/>
        <v>1w</v>
      </c>
      <c r="X1257" s="200">
        <f>_xll.qlCalendarAdvance(Calendar,X1256,W1257,"f",FALSE)</f>
        <v>47626</v>
      </c>
      <c r="Y1257" s="204">
        <f>_xll.qlCalendarAdvance(Calendar,X1257,NDays&amp;"D")</f>
        <v>47631</v>
      </c>
      <c r="Z1257" s="205">
        <v>3.972736630405993E-2</v>
      </c>
      <c r="AA1257" s="207">
        <v>3.9671025211331923E-2</v>
      </c>
    </row>
    <row r="1258" spans="19:27" x14ac:dyDescent="0.2">
      <c r="S1258" s="165"/>
      <c r="T1258" s="166"/>
      <c r="W1258" s="199" t="str">
        <f t="shared" si="28"/>
        <v>1w</v>
      </c>
      <c r="X1258" s="200">
        <f>_xll.qlCalendarAdvance(Calendar,X1257,W1258,"f",FALSE)</f>
        <v>47633</v>
      </c>
      <c r="Y1258" s="204">
        <f>_xll.qlCalendarAdvance(Calendar,X1258,NDays&amp;"D")</f>
        <v>47637</v>
      </c>
      <c r="Z1258" s="205">
        <v>3.9721231810820434E-2</v>
      </c>
      <c r="AA1258" s="207">
        <v>3.9666757291074717E-2</v>
      </c>
    </row>
    <row r="1259" spans="19:27" x14ac:dyDescent="0.2">
      <c r="S1259" s="165"/>
      <c r="T1259" s="166"/>
      <c r="W1259" s="199" t="str">
        <f t="shared" si="28"/>
        <v>1w</v>
      </c>
      <c r="X1259" s="200">
        <f>_xll.qlCalendarAdvance(Calendar,X1258,W1259,"f",FALSE)</f>
        <v>47640</v>
      </c>
      <c r="Y1259" s="204">
        <f>_xll.qlCalendarAdvance(Calendar,X1259,NDays&amp;"D")</f>
        <v>47644</v>
      </c>
      <c r="Z1259" s="205">
        <v>3.9716196774059576E-2</v>
      </c>
      <c r="AA1259" s="207">
        <v>3.9661764455889426E-2</v>
      </c>
    </row>
    <row r="1260" spans="19:27" x14ac:dyDescent="0.2">
      <c r="S1260" s="165"/>
      <c r="T1260" s="166"/>
      <c r="W1260" s="199" t="str">
        <f t="shared" si="28"/>
        <v>1w</v>
      </c>
      <c r="X1260" s="200">
        <f>_xll.qlCalendarAdvance(Calendar,X1259,W1260,"f",FALSE)</f>
        <v>47647</v>
      </c>
      <c r="Y1260" s="204">
        <f>_xll.qlCalendarAdvance(Calendar,X1260,NDays&amp;"D")</f>
        <v>47651</v>
      </c>
      <c r="Z1260" s="205">
        <v>3.9711147051915141E-2</v>
      </c>
      <c r="AA1260" s="207">
        <v>3.9656756980015473E-2</v>
      </c>
    </row>
    <row r="1261" spans="19:27" x14ac:dyDescent="0.2">
      <c r="S1261" s="165"/>
      <c r="T1261" s="166"/>
      <c r="W1261" s="199" t="str">
        <f t="shared" si="28"/>
        <v>1w</v>
      </c>
      <c r="X1261" s="200">
        <f>_xll.qlCalendarAdvance(Calendar,X1260,W1261,"f",FALSE)</f>
        <v>47654</v>
      </c>
      <c r="Y1261" s="204">
        <f>_xll.qlCalendarAdvance(Calendar,X1261,NDays&amp;"D")</f>
        <v>47658</v>
      </c>
      <c r="Z1261" s="205">
        <v>3.9706082644395124E-2</v>
      </c>
      <c r="AA1261" s="207">
        <v>3.9651734863692667E-2</v>
      </c>
    </row>
    <row r="1262" spans="19:27" x14ac:dyDescent="0.2">
      <c r="S1262" s="165"/>
      <c r="T1262" s="166"/>
      <c r="W1262" s="199" t="str">
        <f t="shared" si="28"/>
        <v>1w</v>
      </c>
      <c r="X1262" s="200">
        <f>_xll.qlCalendarAdvance(Calendar,X1261,W1262,"f",FALSE)</f>
        <v>47661</v>
      </c>
      <c r="Y1262" s="204">
        <f>_xll.qlCalendarAdvance(Calendar,X1262,NDays&amp;"D")</f>
        <v>47665</v>
      </c>
      <c r="Z1262" s="205">
        <v>3.9702826189943655E-2</v>
      </c>
      <c r="AA1262" s="207">
        <v>3.9646698106841072E-2</v>
      </c>
    </row>
    <row r="1263" spans="19:27" x14ac:dyDescent="0.2">
      <c r="S1263" s="165"/>
      <c r="T1263" s="166"/>
      <c r="W1263" s="199" t="str">
        <f t="shared" si="28"/>
        <v>1w</v>
      </c>
      <c r="X1263" s="200">
        <f>_xll.qlCalendarAdvance(Calendar,X1262,W1263,"f",FALSE)</f>
        <v>47668</v>
      </c>
      <c r="Y1263" s="204">
        <f>_xll.qlCalendarAdvance(Calendar,X1263,NDays&amp;"D")</f>
        <v>47672</v>
      </c>
      <c r="Z1263" s="205">
        <v>3.9697730801868308E-2</v>
      </c>
      <c r="AA1263" s="207">
        <v>3.9641646709140943E-2</v>
      </c>
    </row>
    <row r="1264" spans="19:27" x14ac:dyDescent="0.2">
      <c r="S1264" s="165"/>
      <c r="T1264" s="166"/>
      <c r="W1264" s="199" t="str">
        <f t="shared" si="28"/>
        <v>1w</v>
      </c>
      <c r="X1264" s="200">
        <f>_xll.qlCalendarAdvance(Calendar,X1263,W1264,"f",FALSE)</f>
        <v>47675</v>
      </c>
      <c r="Y1264" s="204">
        <f>_xll.qlCalendarAdvance(Calendar,X1264,NDays&amp;"D")</f>
        <v>47679</v>
      </c>
      <c r="Z1264" s="205">
        <v>3.9692620726939944E-2</v>
      </c>
      <c r="AA1264" s="207">
        <v>3.9636580670991961E-2</v>
      </c>
    </row>
    <row r="1265" spans="19:27" x14ac:dyDescent="0.2">
      <c r="S1265" s="165"/>
      <c r="T1265" s="166"/>
      <c r="W1265" s="199" t="str">
        <f t="shared" si="28"/>
        <v>1w</v>
      </c>
      <c r="X1265" s="200">
        <f>_xll.qlCalendarAdvance(Calendar,X1264,W1265,"f",FALSE)</f>
        <v>47682</v>
      </c>
      <c r="Y1265" s="204">
        <f>_xll.qlCalendarAdvance(Calendar,X1265,NDays&amp;"D")</f>
        <v>47686</v>
      </c>
      <c r="Z1265" s="205">
        <v>3.9687495965179183E-2</v>
      </c>
      <c r="AA1265" s="207">
        <v>3.963149999231419E-2</v>
      </c>
    </row>
    <row r="1266" spans="19:27" x14ac:dyDescent="0.2">
      <c r="S1266" s="165"/>
      <c r="T1266" s="166"/>
      <c r="W1266" s="199" t="str">
        <f t="shared" si="28"/>
        <v>1w</v>
      </c>
      <c r="X1266" s="200">
        <f>_xll.qlCalendarAdvance(Calendar,X1265,W1266,"f",FALSE)</f>
        <v>47689</v>
      </c>
      <c r="Y1266" s="204">
        <f>_xll.qlCalendarAdvance(Calendar,X1266,NDays&amp;"D")</f>
        <v>47693</v>
      </c>
      <c r="Z1266" s="205">
        <v>3.9682356516596337E-2</v>
      </c>
      <c r="AA1266" s="207">
        <v>3.9626404672947757E-2</v>
      </c>
    </row>
    <row r="1267" spans="19:27" x14ac:dyDescent="0.2">
      <c r="S1267" s="165"/>
      <c r="T1267" s="166"/>
      <c r="W1267" s="199" t="str">
        <f t="shared" si="28"/>
        <v>1w</v>
      </c>
      <c r="X1267" s="200">
        <f>_xll.qlCalendarAdvance(Calendar,X1266,W1267,"f",FALSE)</f>
        <v>47696</v>
      </c>
      <c r="Y1267" s="204">
        <f>_xll.qlCalendarAdvance(Calendar,X1267,NDays&amp;"D")</f>
        <v>47700</v>
      </c>
      <c r="Z1267" s="205">
        <v>3.9677202381214624E-2</v>
      </c>
      <c r="AA1267" s="207">
        <v>3.9621294713052535E-2</v>
      </c>
    </row>
    <row r="1268" spans="19:27" x14ac:dyDescent="0.2">
      <c r="S1268" s="165"/>
      <c r="T1268" s="166"/>
      <c r="W1268" s="199" t="str">
        <f t="shared" si="28"/>
        <v>1w</v>
      </c>
      <c r="X1268" s="200">
        <f>_xll.qlCalendarAdvance(Calendar,X1267,W1268,"f",FALSE)</f>
        <v>47703</v>
      </c>
      <c r="Y1268" s="204">
        <f>_xll.qlCalendarAdvance(Calendar,X1268,NDays&amp;"D")</f>
        <v>47707</v>
      </c>
      <c r="Z1268" s="205">
        <v>3.9672033559054659E-2</v>
      </c>
      <c r="AA1268" s="207">
        <v>3.9616170112548588E-2</v>
      </c>
    </row>
    <row r="1269" spans="19:27" x14ac:dyDescent="0.2">
      <c r="S1269" s="165"/>
      <c r="T1269" s="166"/>
      <c r="W1269" s="199" t="str">
        <f t="shared" si="28"/>
        <v>1w</v>
      </c>
      <c r="X1269" s="200">
        <f>_xll.qlCalendarAdvance(Calendar,X1268,W1269,"f",FALSE)</f>
        <v>47710</v>
      </c>
      <c r="Y1269" s="204">
        <f>_xll.qlCalendarAdvance(Calendar,X1269,NDays&amp;"D")</f>
        <v>47714</v>
      </c>
      <c r="Z1269" s="205">
        <v>3.9666850050137085E-2</v>
      </c>
      <c r="AA1269" s="207">
        <v>3.9611030871595787E-2</v>
      </c>
    </row>
    <row r="1270" spans="19:27" x14ac:dyDescent="0.2">
      <c r="S1270" s="165"/>
      <c r="T1270" s="166"/>
      <c r="W1270" s="199" t="str">
        <f t="shared" si="28"/>
        <v>1w</v>
      </c>
      <c r="X1270" s="200">
        <f>_xll.qlCalendarAdvance(Calendar,X1269,W1270,"f",FALSE)</f>
        <v>47717</v>
      </c>
      <c r="Y1270" s="204">
        <f>_xll.qlCalendarAdvance(Calendar,X1270,NDays&amp;"D")</f>
        <v>47722</v>
      </c>
      <c r="Z1270" s="205">
        <v>3.9660908056184725E-2</v>
      </c>
      <c r="AA1270" s="207">
        <v>3.960513952586453E-2</v>
      </c>
    </row>
    <row r="1271" spans="19:27" x14ac:dyDescent="0.2">
      <c r="S1271" s="165"/>
      <c r="T1271" s="166"/>
      <c r="W1271" s="199" t="str">
        <f t="shared" si="28"/>
        <v>1w</v>
      </c>
      <c r="X1271" s="200">
        <f>_xll.qlCalendarAdvance(Calendar,X1270,W1271,"f",FALSE)</f>
        <v>47724</v>
      </c>
      <c r="Y1271" s="204">
        <f>_xll.qlCalendarAdvance(Calendar,X1271,NDays&amp;"D")</f>
        <v>47728</v>
      </c>
      <c r="Z1271" s="205">
        <v>3.9653885213532192E-2</v>
      </c>
      <c r="AA1271" s="207">
        <v>3.9600708467624202E-2</v>
      </c>
    </row>
    <row r="1272" spans="19:27" x14ac:dyDescent="0.2">
      <c r="S1272" s="165"/>
      <c r="T1272" s="166"/>
      <c r="W1272" s="199" t="str">
        <f t="shared" si="28"/>
        <v>1w</v>
      </c>
      <c r="X1272" s="200">
        <f>_xll.qlCalendarAdvance(Calendar,X1271,W1272,"f",FALSE)</f>
        <v>47731</v>
      </c>
      <c r="Y1272" s="204">
        <f>_xll.qlCalendarAdvance(Calendar,X1272,NDays&amp;"D")</f>
        <v>47735</v>
      </c>
      <c r="Z1272" s="205">
        <v>3.9649404932721843E-2</v>
      </c>
      <c r="AA1272" s="207">
        <v>3.9595525304765289E-2</v>
      </c>
    </row>
    <row r="1273" spans="19:27" x14ac:dyDescent="0.2">
      <c r="S1273" s="165"/>
      <c r="T1273" s="166"/>
      <c r="W1273" s="199" t="str">
        <f t="shared" si="28"/>
        <v>1w</v>
      </c>
      <c r="X1273" s="200">
        <f>_xll.qlCalendarAdvance(Calendar,X1272,W1273,"f",FALSE)</f>
        <v>47738</v>
      </c>
      <c r="Y1273" s="204">
        <f>_xll.qlCalendarAdvance(Calendar,X1273,NDays&amp;"D")</f>
        <v>47742</v>
      </c>
      <c r="Z1273" s="205">
        <v>3.9644164302245599E-2</v>
      </c>
      <c r="AA1273" s="207">
        <v>3.9590327501297651E-2</v>
      </c>
    </row>
    <row r="1274" spans="19:27" x14ac:dyDescent="0.2">
      <c r="S1274" s="165"/>
      <c r="T1274" s="166"/>
      <c r="W1274" s="199" t="str">
        <f t="shared" si="28"/>
        <v>1w</v>
      </c>
      <c r="X1274" s="200">
        <f>_xll.qlCalendarAdvance(Calendar,X1273,W1274,"f",FALSE)</f>
        <v>47745</v>
      </c>
      <c r="Y1274" s="204">
        <f>_xll.qlCalendarAdvance(Calendar,X1274,NDays&amp;"D")</f>
        <v>47749</v>
      </c>
      <c r="Z1274" s="205">
        <v>3.9638908986641574E-2</v>
      </c>
      <c r="AA1274" s="207">
        <v>3.9585115057301223E-2</v>
      </c>
    </row>
    <row r="1275" spans="19:27" x14ac:dyDescent="0.2">
      <c r="S1275" s="165"/>
      <c r="T1275" s="166"/>
      <c r="W1275" s="199" t="str">
        <f t="shared" si="28"/>
        <v>1w</v>
      </c>
      <c r="X1275" s="200">
        <f>_xll.qlCalendarAdvance(Calendar,X1274,W1275,"f",FALSE)</f>
        <v>47752</v>
      </c>
      <c r="Y1275" s="204">
        <f>_xll.qlCalendarAdvance(Calendar,X1275,NDays&amp;"D")</f>
        <v>47756</v>
      </c>
      <c r="Z1275" s="205">
        <v>3.9635440575794358E-2</v>
      </c>
      <c r="AA1275" s="207">
        <v>3.9579887972696071E-2</v>
      </c>
    </row>
    <row r="1276" spans="19:27" x14ac:dyDescent="0.2">
      <c r="S1276" s="165"/>
      <c r="T1276" s="166"/>
      <c r="W1276" s="199" t="str">
        <f t="shared" si="28"/>
        <v>1w</v>
      </c>
      <c r="X1276" s="200">
        <f>_xll.qlCalendarAdvance(Calendar,X1275,W1276,"f",FALSE)</f>
        <v>47759</v>
      </c>
      <c r="Y1276" s="204">
        <f>_xll.qlCalendarAdvance(Calendar,X1276,NDays&amp;"D")</f>
        <v>47763</v>
      </c>
      <c r="Z1276" s="205">
        <v>3.9630154260112384E-2</v>
      </c>
      <c r="AA1276" s="207">
        <v>3.9574646247562129E-2</v>
      </c>
    </row>
    <row r="1277" spans="19:27" x14ac:dyDescent="0.2">
      <c r="S1277" s="165"/>
      <c r="T1277" s="166"/>
      <c r="W1277" s="199" t="str">
        <f t="shared" si="28"/>
        <v>1w</v>
      </c>
      <c r="X1277" s="200">
        <f>_xll.qlCalendarAdvance(Calendar,X1276,W1277,"f",FALSE)</f>
        <v>47766</v>
      </c>
      <c r="Y1277" s="204">
        <f>_xll.qlCalendarAdvance(Calendar,X1277,NDays&amp;"D")</f>
        <v>47770</v>
      </c>
      <c r="Z1277" s="205">
        <v>3.9624094772890722E-2</v>
      </c>
      <c r="AA1277" s="207">
        <v>3.9569389881739525E-2</v>
      </c>
    </row>
    <row r="1278" spans="19:27" x14ac:dyDescent="0.2">
      <c r="S1278" s="165"/>
      <c r="T1278" s="166"/>
      <c r="W1278" s="199" t="str">
        <f t="shared" si="28"/>
        <v>1w</v>
      </c>
      <c r="X1278" s="200">
        <f>_xll.qlCalendarAdvance(Calendar,X1277,W1278,"f",FALSE)</f>
        <v>47773</v>
      </c>
      <c r="Y1278" s="204">
        <f>_xll.qlCalendarAdvance(Calendar,X1278,NDays&amp;"D")</f>
        <v>47777</v>
      </c>
      <c r="Z1278" s="205">
        <v>3.9619537568978423E-2</v>
      </c>
      <c r="AA1278" s="207">
        <v>3.9564118875548004E-2</v>
      </c>
    </row>
    <row r="1279" spans="19:27" x14ac:dyDescent="0.2">
      <c r="S1279" s="165"/>
      <c r="T1279" s="166"/>
      <c r="W1279" s="199" t="str">
        <f t="shared" si="28"/>
        <v>1w</v>
      </c>
      <c r="X1279" s="200">
        <f>_xll.qlCalendarAdvance(Calendar,X1278,W1279,"f",FALSE)</f>
        <v>47780</v>
      </c>
      <c r="Y1279" s="204">
        <f>_xll.qlCalendarAdvance(Calendar,X1279,NDays&amp;"D")</f>
        <v>47784</v>
      </c>
      <c r="Z1279" s="205">
        <v>3.961600223029299E-2</v>
      </c>
      <c r="AA1279" s="207">
        <v>3.9558833228587886E-2</v>
      </c>
    </row>
    <row r="1280" spans="19:27" x14ac:dyDescent="0.2">
      <c r="S1280" s="165"/>
      <c r="T1280" s="166"/>
      <c r="W1280" s="199" t="str">
        <f t="shared" si="28"/>
        <v>1w</v>
      </c>
      <c r="X1280" s="200">
        <f>_xll.qlCalendarAdvance(Calendar,X1279,W1280,"f",FALSE)</f>
        <v>47787</v>
      </c>
      <c r="Y1280" s="204">
        <f>_xll.qlCalendarAdvance(Calendar,X1280,NDays&amp;"D")</f>
        <v>47791</v>
      </c>
      <c r="Z1280" s="205">
        <v>3.9607068706522419E-2</v>
      </c>
      <c r="AA1280" s="207">
        <v>3.9553532941178915E-2</v>
      </c>
    </row>
    <row r="1281" spans="19:27" x14ac:dyDescent="0.2">
      <c r="S1281" s="165"/>
      <c r="T1281" s="166"/>
      <c r="W1281" s="199" t="str">
        <f t="shared" si="28"/>
        <v>1w</v>
      </c>
      <c r="X1281" s="200">
        <f>_xll.qlCalendarAdvance(Calendar,X1280,W1281,"f",FALSE)</f>
        <v>47794</v>
      </c>
      <c r="Y1281" s="204">
        <f>_xll.qlCalendarAdvance(Calendar,X1281,NDays&amp;"D")</f>
        <v>47798</v>
      </c>
      <c r="Z1281" s="205">
        <v>3.9600943952399881E-2</v>
      </c>
      <c r="AA1281" s="207">
        <v>3.9548218013001346E-2</v>
      </c>
    </row>
    <row r="1282" spans="19:27" x14ac:dyDescent="0.2">
      <c r="S1282" s="165"/>
      <c r="T1282" s="166"/>
      <c r="W1282" s="199" t="str">
        <f t="shared" si="28"/>
        <v>1w</v>
      </c>
      <c r="X1282" s="200">
        <f>_xll.qlCalendarAdvance(Calendar,X1281,W1282,"f",FALSE)</f>
        <v>47801</v>
      </c>
      <c r="Y1282" s="204">
        <f>_xll.qlCalendarAdvance(Calendar,X1282,NDays&amp;"D")</f>
        <v>47805</v>
      </c>
      <c r="Z1282" s="205">
        <v>3.9596337799700621E-2</v>
      </c>
      <c r="AA1282" s="207">
        <v>3.9542888444374924E-2</v>
      </c>
    </row>
    <row r="1283" spans="19:27" x14ac:dyDescent="0.2">
      <c r="S1283" s="165"/>
      <c r="T1283" s="166"/>
      <c r="W1283" s="199" t="str">
        <f t="shared" si="28"/>
        <v>1w</v>
      </c>
      <c r="X1283" s="200">
        <f>_xll.qlCalendarAdvance(Calendar,X1282,W1283,"f",FALSE)</f>
        <v>47808</v>
      </c>
      <c r="Y1283" s="204">
        <f>_xll.qlCalendarAdvance(Calendar,X1283,NDays&amp;"D")</f>
        <v>47812</v>
      </c>
      <c r="Z1283" s="205">
        <v>3.9594527308994265E-2</v>
      </c>
      <c r="AA1283" s="207">
        <v>3.9537544235139777E-2</v>
      </c>
    </row>
    <row r="1284" spans="19:27" x14ac:dyDescent="0.2">
      <c r="S1284" s="165"/>
      <c r="T1284" s="166"/>
      <c r="W1284" s="199" t="str">
        <f t="shared" si="28"/>
        <v>1w</v>
      </c>
      <c r="X1284" s="200">
        <f>_xll.qlCalendarAdvance(Calendar,X1283,W1284,"f",FALSE)</f>
        <v>47815</v>
      </c>
      <c r="Y1284" s="204">
        <f>_xll.qlCalendarAdvance(Calendar,X1284,NDays&amp;"D")</f>
        <v>47819</v>
      </c>
      <c r="Z1284" s="205">
        <v>3.9587335018759752E-2</v>
      </c>
      <c r="AA1284" s="207">
        <v>3.953218538537584E-2</v>
      </c>
    </row>
    <row r="1285" spans="19:27" x14ac:dyDescent="0.2">
      <c r="S1285" s="165"/>
      <c r="T1285" s="166"/>
      <c r="W1285" s="199" t="str">
        <f t="shared" si="28"/>
        <v>1w</v>
      </c>
      <c r="X1285" s="200">
        <f>_xll.qlCalendarAdvance(Calendar,X1284,W1285,"f",FALSE)</f>
        <v>47822</v>
      </c>
      <c r="Y1285" s="204">
        <f>_xll.qlCalendarAdvance(Calendar,X1285,NDays&amp;"D")</f>
        <v>47826</v>
      </c>
      <c r="Z1285" s="205">
        <v>3.9581916524402037E-2</v>
      </c>
      <c r="AA1285" s="207">
        <v>3.9526811895003178E-2</v>
      </c>
    </row>
    <row r="1286" spans="19:27" x14ac:dyDescent="0.2">
      <c r="S1286" s="165"/>
      <c r="T1286" s="166"/>
      <c r="W1286" s="199" t="str">
        <f t="shared" si="28"/>
        <v>1w</v>
      </c>
      <c r="X1286" s="200">
        <f>_xll.qlCalendarAdvance(Calendar,X1285,W1286,"f",FALSE)</f>
        <v>47829</v>
      </c>
      <c r="Y1286" s="204">
        <f>_xll.qlCalendarAdvance(Calendar,X1286,NDays&amp;"D")</f>
        <v>47833</v>
      </c>
      <c r="Z1286" s="205">
        <v>3.9576483343624499E-2</v>
      </c>
      <c r="AA1286" s="207">
        <v>3.952142376402179E-2</v>
      </c>
    </row>
    <row r="1287" spans="19:27" x14ac:dyDescent="0.2">
      <c r="S1287" s="165"/>
      <c r="T1287" s="166"/>
      <c r="W1287" s="199" t="str">
        <f t="shared" si="28"/>
        <v>1w</v>
      </c>
      <c r="X1287" s="200">
        <f>_xll.qlCalendarAdvance(Calendar,X1286,W1287,"f",FALSE)</f>
        <v>47836</v>
      </c>
      <c r="Y1287" s="204">
        <f>_xll.qlCalendarAdvance(Calendar,X1287,NDays&amp;"D")</f>
        <v>47840</v>
      </c>
      <c r="Z1287" s="205">
        <v>3.9571035476455504E-2</v>
      </c>
      <c r="AA1287" s="207">
        <v>3.9518038131207689E-2</v>
      </c>
    </row>
    <row r="1288" spans="19:27" x14ac:dyDescent="0.2">
      <c r="S1288" s="165"/>
      <c r="T1288" s="166"/>
      <c r="W1288" s="199" t="str">
        <f t="shared" si="28"/>
        <v>1w</v>
      </c>
      <c r="X1288" s="200">
        <f>_xll.qlCalendarAdvance(Calendar,X1287,W1288,"f",FALSE)</f>
        <v>47844</v>
      </c>
      <c r="Y1288" s="204">
        <f>_xll.qlCalendarAdvance(Calendar,X1288,NDays&amp;"D")</f>
        <v>47848</v>
      </c>
      <c r="Z1288" s="205">
        <v>3.9564791359219337E-2</v>
      </c>
      <c r="AA1288" s="207">
        <v>3.9512613253993578E-2</v>
      </c>
    </row>
    <row r="1289" spans="19:27" x14ac:dyDescent="0.2">
      <c r="S1289" s="165"/>
      <c r="T1289" s="166"/>
      <c r="W1289" s="199" t="str">
        <f t="shared" si="28"/>
        <v>1w</v>
      </c>
      <c r="X1289" s="200">
        <f>_xll.qlCalendarAdvance(Calendar,X1288,W1289,"f",FALSE)</f>
        <v>47851</v>
      </c>
      <c r="Y1289" s="204">
        <f>_xll.qlCalendarAdvance(Calendar,X1289,NDays&amp;"D")</f>
        <v>47855</v>
      </c>
      <c r="Z1289" s="205">
        <v>3.9559312021265648E-2</v>
      </c>
      <c r="AA1289" s="207">
        <v>3.950439432512276E-2</v>
      </c>
    </row>
    <row r="1290" spans="19:27" x14ac:dyDescent="0.2">
      <c r="S1290" s="165"/>
      <c r="T1290" s="166"/>
      <c r="W1290" s="199" t="str">
        <f t="shared" si="28"/>
        <v>1w</v>
      </c>
      <c r="X1290" s="200">
        <f>_xll.qlCalendarAdvance(Calendar,X1289,W1290,"f",FALSE)</f>
        <v>47858</v>
      </c>
      <c r="Y1290" s="204">
        <f>_xll.qlCalendarAdvance(Calendar,X1290,NDays&amp;"D")</f>
        <v>47862</v>
      </c>
      <c r="Z1290" s="205">
        <v>3.9553817996977235E-2</v>
      </c>
      <c r="AA1290" s="207">
        <v>3.9498945540339392E-2</v>
      </c>
    </row>
    <row r="1291" spans="19:27" x14ac:dyDescent="0.2">
      <c r="S1291" s="165"/>
      <c r="T1291" s="166"/>
      <c r="W1291" s="199" t="str">
        <f t="shared" si="28"/>
        <v>1w</v>
      </c>
      <c r="X1291" s="200">
        <f>_xll.qlCalendarAdvance(Calendar,X1290,W1291,"f",FALSE)</f>
        <v>47865</v>
      </c>
      <c r="Y1291" s="204">
        <f>_xll.qlCalendarAdvance(Calendar,X1291,NDays&amp;"D")</f>
        <v>47869</v>
      </c>
      <c r="Z1291" s="205">
        <v>3.9548309286379882E-2</v>
      </c>
      <c r="AA1291" s="207">
        <v>3.9493482115027234E-2</v>
      </c>
    </row>
    <row r="1292" spans="19:27" x14ac:dyDescent="0.2">
      <c r="S1292" s="165"/>
      <c r="T1292" s="166"/>
      <c r="W1292" s="199" t="str">
        <f t="shared" si="28"/>
        <v>1w</v>
      </c>
      <c r="X1292" s="200">
        <f>_xll.qlCalendarAdvance(Calendar,X1291,W1292,"f",FALSE)</f>
        <v>47872</v>
      </c>
      <c r="Y1292" s="204">
        <f>_xll.qlCalendarAdvance(Calendar,X1292,NDays&amp;"D")</f>
        <v>47876</v>
      </c>
      <c r="Z1292" s="205">
        <v>3.9542785889489049E-2</v>
      </c>
      <c r="AA1292" s="207">
        <v>3.9488004049026415E-2</v>
      </c>
    </row>
    <row r="1293" spans="19:27" x14ac:dyDescent="0.2">
      <c r="S1293" s="165"/>
      <c r="T1293" s="166"/>
      <c r="W1293" s="199" t="str">
        <f t="shared" si="28"/>
        <v>1w</v>
      </c>
      <c r="X1293" s="200">
        <f>_xll.qlCalendarAdvance(Calendar,X1292,W1293,"f",FALSE)</f>
        <v>47879</v>
      </c>
      <c r="Y1293" s="204">
        <f>_xll.qlCalendarAdvance(Calendar,X1293,NDays&amp;"D")</f>
        <v>47883</v>
      </c>
      <c r="Z1293" s="205">
        <v>3.9531932378628856E-2</v>
      </c>
      <c r="AA1293" s="207">
        <v>3.9482511342656679E-2</v>
      </c>
    </row>
    <row r="1294" spans="19:27" x14ac:dyDescent="0.2">
      <c r="S1294" s="165"/>
      <c r="T1294" s="166"/>
      <c r="W1294" s="199" t="str">
        <f t="shared" si="28"/>
        <v>1w</v>
      </c>
      <c r="X1294" s="200">
        <f>_xll.qlCalendarAdvance(Calendar,X1293,W1294,"f",FALSE)</f>
        <v>47886</v>
      </c>
      <c r="Y1294" s="204">
        <f>_xll.qlCalendarAdvance(Calendar,X1294,NDays&amp;"D")</f>
        <v>47890</v>
      </c>
      <c r="Z1294" s="205">
        <v>3.9526384581261641E-2</v>
      </c>
      <c r="AA1294" s="207">
        <v>3.9477003995678217E-2</v>
      </c>
    </row>
    <row r="1295" spans="19:27" x14ac:dyDescent="0.2">
      <c r="S1295" s="165"/>
      <c r="T1295" s="166"/>
      <c r="W1295" s="199" t="str">
        <f t="shared" si="28"/>
        <v>1w</v>
      </c>
      <c r="X1295" s="200">
        <f>_xll.qlCalendarAdvance(Calendar,X1294,W1295,"f",FALSE)</f>
        <v>47893</v>
      </c>
      <c r="Y1295" s="204">
        <f>_xll.qlCalendarAdvance(Calendar,X1295,NDays&amp;"D")</f>
        <v>47897</v>
      </c>
      <c r="Z1295" s="205">
        <v>3.9520822102238534E-2</v>
      </c>
      <c r="AA1295" s="207">
        <v>3.9471482008011094E-2</v>
      </c>
    </row>
    <row r="1296" spans="19:27" x14ac:dyDescent="0.2">
      <c r="S1296" s="165"/>
      <c r="T1296" s="166"/>
      <c r="W1296" s="199" t="str">
        <f t="shared" si="28"/>
        <v>1w</v>
      </c>
      <c r="X1296" s="200">
        <f>_xll.qlCalendarAdvance(Calendar,X1295,W1296,"f",FALSE)</f>
        <v>47900</v>
      </c>
      <c r="Y1296" s="204">
        <f>_xll.qlCalendarAdvance(Calendar,X1296,NDays&amp;"D")</f>
        <v>47904</v>
      </c>
      <c r="Z1296" s="205">
        <v>3.9515244941568106E-2</v>
      </c>
      <c r="AA1296" s="207">
        <v>3.9465945379895118E-2</v>
      </c>
    </row>
    <row r="1297" spans="19:27" x14ac:dyDescent="0.2">
      <c r="S1297" s="165"/>
      <c r="T1297" s="166"/>
      <c r="W1297" s="199" t="str">
        <f t="shared" si="28"/>
        <v>1w</v>
      </c>
      <c r="X1297" s="200">
        <f>_xll.qlCalendarAdvance(Calendar,X1296,W1297,"f",FALSE)</f>
        <v>47907</v>
      </c>
      <c r="Y1297" s="204">
        <f>_xll.qlCalendarAdvance(Calendar,X1297,NDays&amp;"D")</f>
        <v>47911</v>
      </c>
      <c r="Z1297" s="205">
        <v>3.9514948611396095E-2</v>
      </c>
      <c r="AA1297" s="207">
        <v>3.946039411109048E-2</v>
      </c>
    </row>
    <row r="1298" spans="19:27" x14ac:dyDescent="0.2">
      <c r="S1298" s="165"/>
      <c r="T1298" s="166"/>
      <c r="W1298" s="199" t="str">
        <f t="shared" si="28"/>
        <v>1w</v>
      </c>
      <c r="X1298" s="200">
        <f>_xll.qlCalendarAdvance(Calendar,X1297,W1298,"f",FALSE)</f>
        <v>47914</v>
      </c>
      <c r="Y1298" s="204">
        <f>_xll.qlCalendarAdvance(Calendar,X1298,NDays&amp;"D")</f>
        <v>47918</v>
      </c>
      <c r="Z1298" s="205">
        <v>3.9516390708890264E-2</v>
      </c>
      <c r="AA1298" s="207">
        <v>3.9454828201757053E-2</v>
      </c>
    </row>
    <row r="1299" spans="19:27" x14ac:dyDescent="0.2">
      <c r="S1299" s="165"/>
      <c r="T1299" s="166"/>
      <c r="W1299" s="199" t="str">
        <f t="shared" si="28"/>
        <v>1w</v>
      </c>
      <c r="X1299" s="200">
        <f>_xll.qlCalendarAdvance(Calendar,X1298,W1299,"f",FALSE)</f>
        <v>47921</v>
      </c>
      <c r="Y1299" s="204">
        <f>_xll.qlCalendarAdvance(Calendar,X1299,NDays&amp;"D")</f>
        <v>47925</v>
      </c>
      <c r="Z1299" s="205">
        <v>3.9503710896864261E-2</v>
      </c>
      <c r="AA1299" s="207">
        <v>3.9449247651974773E-2</v>
      </c>
    </row>
    <row r="1300" spans="19:27" x14ac:dyDescent="0.2">
      <c r="S1300" s="165"/>
      <c r="T1300" s="166"/>
      <c r="W1300" s="199" t="str">
        <f t="shared" si="28"/>
        <v>1w</v>
      </c>
      <c r="X1300" s="200">
        <f>_xll.qlCalendarAdvance(Calendar,X1299,W1300,"f",FALSE)</f>
        <v>47928</v>
      </c>
      <c r="Y1300" s="204">
        <f>_xll.qlCalendarAdvance(Calendar,X1300,NDays&amp;"D")</f>
        <v>47932</v>
      </c>
      <c r="Z1300" s="205">
        <v>3.9498070010399233E-2</v>
      </c>
      <c r="AA1300" s="207">
        <v>3.9443652461423895E-2</v>
      </c>
    </row>
    <row r="1301" spans="19:27" x14ac:dyDescent="0.2">
      <c r="S1301" s="165"/>
      <c r="T1301" s="166"/>
      <c r="W1301" s="199" t="str">
        <f t="shared" ref="W1301:W1364" si="29">W1300</f>
        <v>1w</v>
      </c>
      <c r="X1301" s="200">
        <f>_xll.qlCalendarAdvance(Calendar,X1300,W1301,"f",FALSE)</f>
        <v>47935</v>
      </c>
      <c r="Y1301" s="204">
        <f>_xll.qlCalendarAdvance(Calendar,X1301,NDays&amp;"D")</f>
        <v>47939</v>
      </c>
      <c r="Z1301" s="205">
        <v>3.9490655960596754E-2</v>
      </c>
      <c r="AA1301" s="207">
        <v>3.9438042630424164E-2</v>
      </c>
    </row>
    <row r="1302" spans="19:27" x14ac:dyDescent="0.2">
      <c r="S1302" s="165"/>
      <c r="T1302" s="166"/>
      <c r="W1302" s="199" t="str">
        <f t="shared" si="29"/>
        <v>1w</v>
      </c>
      <c r="X1302" s="200">
        <f>_xll.qlCalendarAdvance(Calendar,X1301,W1302,"f",FALSE)</f>
        <v>47942</v>
      </c>
      <c r="Y1302" s="204">
        <f>_xll.qlCalendarAdvance(Calendar,X1302,NDays&amp;"D")</f>
        <v>47946</v>
      </c>
      <c r="Z1302" s="205">
        <v>3.9484987371755764E-2</v>
      </c>
      <c r="AA1302" s="207">
        <v>3.9439446839940828E-2</v>
      </c>
    </row>
    <row r="1303" spans="19:27" x14ac:dyDescent="0.2">
      <c r="S1303" s="165"/>
      <c r="T1303" s="166"/>
      <c r="W1303" s="199" t="str">
        <f t="shared" si="29"/>
        <v>1w</v>
      </c>
      <c r="X1303" s="200">
        <f>_xll.qlCalendarAdvance(Calendar,X1302,W1303,"f",FALSE)</f>
        <v>47953</v>
      </c>
      <c r="Y1303" s="204">
        <f>_xll.qlCalendarAdvance(Calendar,X1303,NDays&amp;"D")</f>
        <v>47955</v>
      </c>
      <c r="Z1303" s="205">
        <v>3.9481186894158304E-2</v>
      </c>
      <c r="AA1303" s="207">
        <v>3.9423550123629525E-2</v>
      </c>
    </row>
    <row r="1304" spans="19:27" x14ac:dyDescent="0.2">
      <c r="S1304" s="165"/>
      <c r="T1304" s="166"/>
      <c r="W1304" s="199" t="str">
        <f t="shared" si="29"/>
        <v>1w</v>
      </c>
      <c r="X1304" s="200">
        <f>_xll.qlCalendarAdvance(Calendar,X1303,W1304,"f",FALSE)</f>
        <v>47960</v>
      </c>
      <c r="Y1304" s="204">
        <f>_xll.qlCalendarAdvance(Calendar,X1304,NDays&amp;"D")</f>
        <v>47962</v>
      </c>
      <c r="Z1304" s="205">
        <v>3.9477234315710354E-2</v>
      </c>
      <c r="AA1304" s="207">
        <v>3.941788800493562E-2</v>
      </c>
    </row>
    <row r="1305" spans="19:27" x14ac:dyDescent="0.2">
      <c r="S1305" s="165"/>
      <c r="T1305" s="166"/>
      <c r="W1305" s="199" t="str">
        <f t="shared" si="29"/>
        <v>1w</v>
      </c>
      <c r="X1305" s="200">
        <f>_xll.qlCalendarAdvance(Calendar,X1304,W1305,"f",FALSE)</f>
        <v>47967</v>
      </c>
      <c r="Y1305" s="204">
        <f>_xll.qlCalendarAdvance(Calendar,X1305,NDays&amp;"D")</f>
        <v>47969</v>
      </c>
      <c r="Z1305" s="205">
        <v>3.9469761206050169E-2</v>
      </c>
      <c r="AA1305" s="207">
        <v>3.9411399084894327E-2</v>
      </c>
    </row>
    <row r="1306" spans="19:27" x14ac:dyDescent="0.2">
      <c r="S1306" s="165"/>
      <c r="T1306" s="166"/>
      <c r="W1306" s="199" t="str">
        <f t="shared" si="29"/>
        <v>1w</v>
      </c>
      <c r="X1306" s="200">
        <f>_xll.qlCalendarAdvance(Calendar,X1305,W1306,"f",FALSE)</f>
        <v>47974</v>
      </c>
      <c r="Y1306" s="204">
        <f>_xll.qlCalendarAdvance(Calendar,X1306,NDays&amp;"D")</f>
        <v>47976</v>
      </c>
      <c r="Z1306" s="205">
        <v>3.9464026330725543E-2</v>
      </c>
      <c r="AA1306" s="207">
        <v>3.9406519845801569E-2</v>
      </c>
    </row>
    <row r="1307" spans="19:27" x14ac:dyDescent="0.2">
      <c r="S1307" s="165"/>
      <c r="T1307" s="166"/>
      <c r="W1307" s="199" t="str">
        <f t="shared" si="29"/>
        <v>1w</v>
      </c>
      <c r="X1307" s="200">
        <f>_xll.qlCalendarAdvance(Calendar,X1306,W1307,"f",FALSE)</f>
        <v>47981</v>
      </c>
      <c r="Y1307" s="204">
        <f>_xll.qlCalendarAdvance(Calendar,X1307,NDays&amp;"D")</f>
        <v>47983</v>
      </c>
      <c r="Z1307" s="205">
        <v>3.9458276767924683E-2</v>
      </c>
      <c r="AA1307" s="207">
        <v>3.9400813805441359E-2</v>
      </c>
    </row>
    <row r="1308" spans="19:27" x14ac:dyDescent="0.2">
      <c r="S1308" s="165"/>
      <c r="T1308" s="166"/>
      <c r="W1308" s="199" t="str">
        <f t="shared" si="29"/>
        <v>1w</v>
      </c>
      <c r="X1308" s="200">
        <f>_xll.qlCalendarAdvance(Calendar,X1307,W1308,"f",FALSE)</f>
        <v>47988</v>
      </c>
      <c r="Y1308" s="204">
        <f>_xll.qlCalendarAdvance(Calendar,X1308,NDays&amp;"D")</f>
        <v>47990</v>
      </c>
      <c r="Z1308" s="205">
        <v>3.9452512517665073E-2</v>
      </c>
      <c r="AA1308" s="207">
        <v>3.9394274689072972E-2</v>
      </c>
    </row>
    <row r="1309" spans="19:27" x14ac:dyDescent="0.2">
      <c r="S1309" s="165"/>
      <c r="T1309" s="166"/>
      <c r="W1309" s="199" t="str">
        <f t="shared" si="29"/>
        <v>1w</v>
      </c>
      <c r="X1309" s="200">
        <f>_xll.qlCalendarAdvance(Calendar,X1308,W1309,"f",FALSE)</f>
        <v>47995</v>
      </c>
      <c r="Y1309" s="204">
        <f>_xll.qlCalendarAdvance(Calendar,X1309,NDays&amp;"D")</f>
        <v>47997</v>
      </c>
      <c r="Z1309" s="205">
        <v>3.9446733579971693E-2</v>
      </c>
      <c r="AA1309" s="207">
        <v>3.9389357802894764E-2</v>
      </c>
    </row>
    <row r="1310" spans="19:27" x14ac:dyDescent="0.2">
      <c r="S1310" s="165"/>
      <c r="T1310" s="166"/>
      <c r="W1310" s="199" t="str">
        <f t="shared" si="29"/>
        <v>1w</v>
      </c>
      <c r="X1310" s="200">
        <f>_xll.qlCalendarAdvance(Calendar,X1309,W1310,"f",FALSE)</f>
        <v>48002</v>
      </c>
      <c r="Y1310" s="204">
        <f>_xll.qlCalendarAdvance(Calendar,X1310,NDays&amp;"D")</f>
        <v>48004</v>
      </c>
      <c r="Z1310" s="205">
        <v>3.9440939954864529E-2</v>
      </c>
      <c r="AA1310" s="207">
        <v>3.9383607840788315E-2</v>
      </c>
    </row>
    <row r="1311" spans="19:27" x14ac:dyDescent="0.2">
      <c r="S1311" s="165"/>
      <c r="T1311" s="166"/>
      <c r="W1311" s="199" t="str">
        <f t="shared" si="29"/>
        <v>1w</v>
      </c>
      <c r="X1311" s="200">
        <f>_xll.qlCalendarAdvance(Calendar,X1310,W1311,"f",FALSE)</f>
        <v>48009</v>
      </c>
      <c r="Y1311" s="204">
        <f>_xll.qlCalendarAdvance(Calendar,X1311,NDays&amp;"D")</f>
        <v>48011</v>
      </c>
      <c r="Z1311" s="205">
        <v>3.9435131642368559E-2</v>
      </c>
      <c r="AA1311" s="207">
        <v>3.9377843238153076E-2</v>
      </c>
    </row>
    <row r="1312" spans="19:27" x14ac:dyDescent="0.2">
      <c r="S1312" s="165"/>
      <c r="T1312" s="166"/>
      <c r="W1312" s="199" t="str">
        <f t="shared" si="29"/>
        <v>1w</v>
      </c>
      <c r="X1312" s="200">
        <f>_xll.qlCalendarAdvance(Calendar,X1311,W1312,"f",FALSE)</f>
        <v>48016</v>
      </c>
      <c r="Y1312" s="204">
        <f>_xll.qlCalendarAdvance(Calendar,X1312,NDays&amp;"D")</f>
        <v>48018</v>
      </c>
      <c r="Z1312" s="205">
        <v>3.9429308642506267E-2</v>
      </c>
      <c r="AA1312" s="207">
        <v>3.9372063994989048E-2</v>
      </c>
    </row>
    <row r="1313" spans="19:27" x14ac:dyDescent="0.2">
      <c r="S1313" s="165"/>
      <c r="T1313" s="166"/>
      <c r="W1313" s="199" t="str">
        <f t="shared" si="29"/>
        <v>1w</v>
      </c>
      <c r="X1313" s="200">
        <f>_xll.qlCalendarAdvance(Calendar,X1312,W1313,"f",FALSE)</f>
        <v>48023</v>
      </c>
      <c r="Y1313" s="204">
        <f>_xll.qlCalendarAdvance(Calendar,X1313,NDays&amp;"D")</f>
        <v>48025</v>
      </c>
      <c r="Z1313" s="205">
        <v>3.9423470955297635E-2</v>
      </c>
      <c r="AA1313" s="207">
        <v>3.9366270111136359E-2</v>
      </c>
    </row>
    <row r="1314" spans="19:27" x14ac:dyDescent="0.2">
      <c r="S1314" s="165"/>
      <c r="T1314" s="166"/>
      <c r="W1314" s="199" t="str">
        <f t="shared" si="29"/>
        <v>1w</v>
      </c>
      <c r="X1314" s="200">
        <f>_xll.qlCalendarAdvance(Calendar,X1313,W1314,"f",FALSE)</f>
        <v>48030</v>
      </c>
      <c r="Y1314" s="204">
        <f>_xll.qlCalendarAdvance(Calendar,X1314,NDays&amp;"D")</f>
        <v>48032</v>
      </c>
      <c r="Z1314" s="205">
        <v>3.9417618580770142E-2</v>
      </c>
      <c r="AA1314" s="207">
        <v>3.9360461586834816E-2</v>
      </c>
    </row>
    <row r="1315" spans="19:27" x14ac:dyDescent="0.2">
      <c r="S1315" s="165"/>
      <c r="T1315" s="166"/>
      <c r="W1315" s="199" t="str">
        <f t="shared" si="29"/>
        <v>1w</v>
      </c>
      <c r="X1315" s="200">
        <f>_xll.qlCalendarAdvance(Calendar,X1314,W1315,"f",FALSE)</f>
        <v>48037</v>
      </c>
      <c r="Y1315" s="204">
        <f>_xll.qlCalendarAdvance(Calendar,X1315,NDays&amp;"D")</f>
        <v>48039</v>
      </c>
      <c r="Z1315" s="205">
        <v>3.9411751518938776E-2</v>
      </c>
      <c r="AA1315" s="207">
        <v>3.9354638421924548E-2</v>
      </c>
    </row>
    <row r="1316" spans="19:27" x14ac:dyDescent="0.2">
      <c r="S1316" s="165"/>
      <c r="T1316" s="166"/>
      <c r="W1316" s="199" t="str">
        <f t="shared" si="29"/>
        <v>1w</v>
      </c>
      <c r="X1316" s="200">
        <f>_xll.qlCalendarAdvance(Calendar,X1315,W1316,"f",FALSE)</f>
        <v>48044</v>
      </c>
      <c r="Y1316" s="204">
        <f>_xll.qlCalendarAdvance(Calendar,X1316,NDays&amp;"D")</f>
        <v>48046</v>
      </c>
      <c r="Z1316" s="205">
        <v>3.9405869769836011E-2</v>
      </c>
      <c r="AA1316" s="207">
        <v>3.9348800616565427E-2</v>
      </c>
    </row>
    <row r="1317" spans="19:27" x14ac:dyDescent="0.2">
      <c r="S1317" s="165"/>
      <c r="T1317" s="166"/>
      <c r="W1317" s="199" t="str">
        <f t="shared" si="29"/>
        <v>1w</v>
      </c>
      <c r="X1317" s="200">
        <f>_xll.qlCalendarAdvance(Calendar,X1316,W1317,"f",FALSE)</f>
        <v>48051</v>
      </c>
      <c r="Y1317" s="204">
        <f>_xll.qlCalendarAdvance(Calendar,X1317,NDays&amp;"D")</f>
        <v>48053</v>
      </c>
      <c r="Z1317" s="205">
        <v>3.9401704357805337E-2</v>
      </c>
      <c r="AA1317" s="207">
        <v>3.934294817059758E-2</v>
      </c>
    </row>
    <row r="1318" spans="19:27" x14ac:dyDescent="0.2">
      <c r="S1318" s="165"/>
      <c r="T1318" s="166"/>
      <c r="W1318" s="199" t="str">
        <f t="shared" si="29"/>
        <v>1w</v>
      </c>
      <c r="X1318" s="200">
        <f>_xll.qlCalendarAdvance(Calendar,X1317,W1318,"f",FALSE)</f>
        <v>48058</v>
      </c>
      <c r="Y1318" s="204">
        <f>_xll.qlCalendarAdvance(Calendar,X1318,NDays&amp;"D")</f>
        <v>48060</v>
      </c>
      <c r="Z1318" s="205">
        <v>3.9388874008268335E-2</v>
      </c>
      <c r="AA1318" s="207">
        <v>3.9337081084021008E-2</v>
      </c>
    </row>
    <row r="1319" spans="19:27" x14ac:dyDescent="0.2">
      <c r="S1319" s="165"/>
      <c r="T1319" s="166"/>
      <c r="W1319" s="199" t="str">
        <f t="shared" si="29"/>
        <v>1w</v>
      </c>
      <c r="X1319" s="200">
        <f>_xll.qlCalendarAdvance(Calendar,X1318,W1319,"f",FALSE)</f>
        <v>48065</v>
      </c>
      <c r="Y1319" s="204">
        <f>_xll.qlCalendarAdvance(Calendar,X1319,NDays&amp;"D")</f>
        <v>48067</v>
      </c>
      <c r="Z1319" s="205">
        <v>3.9388136399091667E-2</v>
      </c>
      <c r="AA1319" s="207">
        <v>3.9331199356995583E-2</v>
      </c>
    </row>
    <row r="1320" spans="19:27" x14ac:dyDescent="0.2">
      <c r="S1320" s="165"/>
      <c r="T1320" s="166"/>
      <c r="W1320" s="199" t="str">
        <f t="shared" si="29"/>
        <v>1w</v>
      </c>
      <c r="X1320" s="200">
        <f>_xll.qlCalendarAdvance(Calendar,X1319,W1320,"f",FALSE)</f>
        <v>48072</v>
      </c>
      <c r="Y1320" s="204">
        <f>_xll.qlCalendarAdvance(Calendar,X1320,NDays&amp;"D")</f>
        <v>48074</v>
      </c>
      <c r="Z1320" s="205">
        <v>3.9382195901113137E-2</v>
      </c>
      <c r="AA1320" s="207">
        <v>3.9325302989281496E-2</v>
      </c>
    </row>
    <row r="1321" spans="19:27" x14ac:dyDescent="0.2">
      <c r="S1321" s="165"/>
      <c r="T1321" s="166"/>
      <c r="W1321" s="199" t="str">
        <f t="shared" si="29"/>
        <v>1w</v>
      </c>
      <c r="X1321" s="200">
        <f>_xll.qlCalendarAdvance(Calendar,X1320,W1321,"f",FALSE)</f>
        <v>48079</v>
      </c>
      <c r="Y1321" s="204">
        <f>_xll.qlCalendarAdvance(Calendar,X1321,NDays&amp;"D")</f>
        <v>48081</v>
      </c>
      <c r="Z1321" s="205">
        <v>3.9376240715975619E-2</v>
      </c>
      <c r="AA1321" s="207">
        <v>3.9318546356268413E-2</v>
      </c>
    </row>
    <row r="1322" spans="19:27" x14ac:dyDescent="0.2">
      <c r="S1322" s="165"/>
      <c r="T1322" s="166"/>
      <c r="W1322" s="199" t="str">
        <f t="shared" si="29"/>
        <v>1w</v>
      </c>
      <c r="X1322" s="200">
        <f>_xll.qlCalendarAdvance(Calendar,X1321,W1322,"f",FALSE)</f>
        <v>48086</v>
      </c>
      <c r="Y1322" s="204">
        <f>_xll.qlCalendarAdvance(Calendar,X1322,NDays&amp;"D")</f>
        <v>48088</v>
      </c>
      <c r="Z1322" s="205">
        <v>3.9370270843699096E-2</v>
      </c>
      <c r="AA1322" s="207">
        <v>3.9313466332426827E-2</v>
      </c>
    </row>
    <row r="1323" spans="19:27" x14ac:dyDescent="0.2">
      <c r="S1323" s="165"/>
      <c r="T1323" s="166"/>
      <c r="W1323" s="199" t="str">
        <f t="shared" si="29"/>
        <v>1w</v>
      </c>
      <c r="X1323" s="200">
        <f>_xll.qlCalendarAdvance(Calendar,X1322,W1323,"f",FALSE)</f>
        <v>48093</v>
      </c>
      <c r="Y1323" s="204">
        <f>_xll.qlCalendarAdvance(Calendar,X1323,NDays&amp;"D")</f>
        <v>48095</v>
      </c>
      <c r="Z1323" s="205">
        <v>3.9364286284311045E-2</v>
      </c>
      <c r="AA1323" s="207">
        <v>3.9307526043126373E-2</v>
      </c>
    </row>
    <row r="1324" spans="19:27" x14ac:dyDescent="0.2">
      <c r="S1324" s="165"/>
      <c r="T1324" s="166"/>
      <c r="W1324" s="199" t="str">
        <f t="shared" si="29"/>
        <v>1w</v>
      </c>
      <c r="X1324" s="200">
        <f>_xll.qlCalendarAdvance(Calendar,X1323,W1324,"f",FALSE)</f>
        <v>48100</v>
      </c>
      <c r="Y1324" s="204">
        <f>_xll.qlCalendarAdvance(Calendar,X1324,NDays&amp;"D")</f>
        <v>48102</v>
      </c>
      <c r="Z1324" s="205">
        <v>3.9360006165626196E-2</v>
      </c>
      <c r="AA1324" s="207">
        <v>3.9301571113297129E-2</v>
      </c>
    </row>
    <row r="1325" spans="19:27" x14ac:dyDescent="0.2">
      <c r="S1325" s="165"/>
      <c r="T1325" s="166"/>
      <c r="W1325" s="199" t="str">
        <f t="shared" si="29"/>
        <v>1w</v>
      </c>
      <c r="X1325" s="200">
        <f>_xll.qlCalendarAdvance(Calendar,X1324,W1325,"f",FALSE)</f>
        <v>48107</v>
      </c>
      <c r="Y1325" s="204">
        <f>_xll.qlCalendarAdvance(Calendar,X1325,NDays&amp;"D")</f>
        <v>48109</v>
      </c>
      <c r="Z1325" s="205">
        <v>3.9352273104275304E-2</v>
      </c>
      <c r="AA1325" s="207">
        <v>3.9295601542939096E-2</v>
      </c>
    </row>
    <row r="1326" spans="19:27" x14ac:dyDescent="0.2">
      <c r="S1326" s="165"/>
      <c r="T1326" s="166"/>
      <c r="W1326" s="199" t="str">
        <f t="shared" si="29"/>
        <v>1w</v>
      </c>
      <c r="X1326" s="200">
        <f>_xll.qlCalendarAdvance(Calendar,X1325,W1326,"f",FALSE)</f>
        <v>48114</v>
      </c>
      <c r="Y1326" s="204">
        <f>_xll.qlCalendarAdvance(Calendar,X1326,NDays&amp;"D")</f>
        <v>48116</v>
      </c>
      <c r="Z1326" s="205">
        <v>3.9346244483685067E-2</v>
      </c>
      <c r="AA1326" s="207">
        <v>3.9289617331972337E-2</v>
      </c>
    </row>
    <row r="1327" spans="19:27" x14ac:dyDescent="0.2">
      <c r="S1327" s="165"/>
      <c r="T1327" s="166"/>
      <c r="W1327" s="199" t="str">
        <f t="shared" si="29"/>
        <v>1w</v>
      </c>
      <c r="X1327" s="200">
        <f>_xll.qlCalendarAdvance(Calendar,X1326,W1327,"f",FALSE)</f>
        <v>48121</v>
      </c>
      <c r="Y1327" s="204">
        <f>_xll.qlCalendarAdvance(Calendar,X1327,NDays&amp;"D")</f>
        <v>48123</v>
      </c>
      <c r="Z1327" s="205">
        <v>3.9340201176068235E-2</v>
      </c>
      <c r="AA1327" s="207">
        <v>3.928361848047679E-2</v>
      </c>
    </row>
    <row r="1328" spans="19:27" x14ac:dyDescent="0.2">
      <c r="S1328" s="165"/>
      <c r="T1328" s="166"/>
      <c r="W1328" s="199" t="str">
        <f t="shared" si="29"/>
        <v>1w</v>
      </c>
      <c r="X1328" s="200">
        <f>_xll.qlCalendarAdvance(Calendar,X1327,W1328,"f",FALSE)</f>
        <v>48128</v>
      </c>
      <c r="Y1328" s="204">
        <f>_xll.qlCalendarAdvance(Calendar,X1328,NDays&amp;"D")</f>
        <v>48130</v>
      </c>
      <c r="Z1328" s="205">
        <v>3.9334143181462278E-2</v>
      </c>
      <c r="AA1328" s="207">
        <v>3.9277604988452453E-2</v>
      </c>
    </row>
    <row r="1329" spans="19:27" x14ac:dyDescent="0.2">
      <c r="S1329" s="165"/>
      <c r="T1329" s="166"/>
      <c r="W1329" s="199" t="str">
        <f t="shared" si="29"/>
        <v>1w</v>
      </c>
      <c r="X1329" s="200">
        <f>_xll.qlCalendarAdvance(Calendar,X1328,W1329,"f",FALSE)</f>
        <v>48135</v>
      </c>
      <c r="Y1329" s="204">
        <f>_xll.qlCalendarAdvance(Calendar,X1329,NDays&amp;"D")</f>
        <v>48137</v>
      </c>
      <c r="Z1329" s="205">
        <v>3.9328070499877188E-2</v>
      </c>
      <c r="AA1329" s="207">
        <v>3.9271576855899326E-2</v>
      </c>
    </row>
    <row r="1330" spans="19:27" x14ac:dyDescent="0.2">
      <c r="S1330" s="165"/>
      <c r="T1330" s="166"/>
      <c r="W1330" s="199" t="str">
        <f t="shared" si="29"/>
        <v>1w</v>
      </c>
      <c r="X1330" s="200">
        <f>_xll.qlCalendarAdvance(Calendar,X1329,W1330,"f",FALSE)</f>
        <v>48142</v>
      </c>
      <c r="Y1330" s="204">
        <f>_xll.qlCalendarAdvance(Calendar,X1330,NDays&amp;"D")</f>
        <v>48144</v>
      </c>
      <c r="Z1330" s="205">
        <v>3.9321983131342941E-2</v>
      </c>
      <c r="AA1330" s="207">
        <v>3.926553408281741E-2</v>
      </c>
    </row>
    <row r="1331" spans="19:27" x14ac:dyDescent="0.2">
      <c r="S1331" s="165"/>
      <c r="T1331" s="166"/>
      <c r="W1331" s="199" t="str">
        <f t="shared" si="29"/>
        <v>1w</v>
      </c>
      <c r="X1331" s="200">
        <f>_xll.qlCalendarAdvance(Calendar,X1330,W1331,"f",FALSE)</f>
        <v>48149</v>
      </c>
      <c r="Y1331" s="204">
        <f>_xll.qlCalendarAdvance(Calendar,X1331,NDays&amp;"D")</f>
        <v>48151</v>
      </c>
      <c r="Z1331" s="205">
        <v>3.931075936684824E-2</v>
      </c>
      <c r="AA1331" s="207">
        <v>3.9259476669206705E-2</v>
      </c>
    </row>
    <row r="1332" spans="19:27" x14ac:dyDescent="0.2">
      <c r="S1332" s="165"/>
      <c r="T1332" s="166"/>
      <c r="W1332" s="199" t="str">
        <f t="shared" si="29"/>
        <v>1w</v>
      </c>
      <c r="X1332" s="200">
        <f>_xll.qlCalendarAdvance(Calendar,X1331,W1332,"f",FALSE)</f>
        <v>48156</v>
      </c>
      <c r="Y1332" s="204">
        <f>_xll.qlCalendarAdvance(Calendar,X1332,NDays&amp;"D")</f>
        <v>48158</v>
      </c>
      <c r="Z1332" s="205">
        <v>3.9309764333531894E-2</v>
      </c>
      <c r="AA1332" s="207">
        <v>3.9253404614987275E-2</v>
      </c>
    </row>
    <row r="1333" spans="19:27" x14ac:dyDescent="0.2">
      <c r="S1333" s="165"/>
      <c r="T1333" s="166"/>
      <c r="W1333" s="199" t="str">
        <f t="shared" si="29"/>
        <v>1w</v>
      </c>
      <c r="X1333" s="200">
        <f>_xll.qlCalendarAdvance(Calendar,X1332,W1333,"f",FALSE)</f>
        <v>48163</v>
      </c>
      <c r="Y1333" s="204">
        <f>_xll.qlCalendarAdvance(Calendar,X1333,NDays&amp;"D")</f>
        <v>48165</v>
      </c>
      <c r="Z1333" s="205">
        <v>3.9303632904290065E-2</v>
      </c>
      <c r="AA1333" s="207">
        <v>3.9247317920159119E-2</v>
      </c>
    </row>
    <row r="1334" spans="19:27" x14ac:dyDescent="0.2">
      <c r="S1334" s="165"/>
      <c r="T1334" s="166"/>
      <c r="W1334" s="199" t="str">
        <f t="shared" si="29"/>
        <v>1w</v>
      </c>
      <c r="X1334" s="200">
        <f>_xll.qlCalendarAdvance(Calendar,X1333,W1334,"f",FALSE)</f>
        <v>48170</v>
      </c>
      <c r="Y1334" s="204">
        <f>_xll.qlCalendarAdvance(Calendar,X1334,NDays&amp;"D")</f>
        <v>48172</v>
      </c>
      <c r="Z1334" s="205">
        <v>3.9297486788198999E-2</v>
      </c>
      <c r="AA1334" s="207">
        <v>3.9241216585041983E-2</v>
      </c>
    </row>
    <row r="1335" spans="19:27" x14ac:dyDescent="0.2">
      <c r="S1335" s="165"/>
      <c r="T1335" s="166"/>
      <c r="W1335" s="199" t="str">
        <f t="shared" si="29"/>
        <v>1w</v>
      </c>
      <c r="X1335" s="200">
        <f>_xll.qlCalendarAdvance(Calendar,X1334,W1335,"f",FALSE)</f>
        <v>48177</v>
      </c>
      <c r="Y1335" s="204">
        <f>_xll.qlCalendarAdvance(Calendar,X1335,NDays&amp;"D")</f>
        <v>48179</v>
      </c>
      <c r="Z1335" s="205">
        <v>3.9292144710465493E-2</v>
      </c>
      <c r="AA1335" s="207">
        <v>3.9235100609076312E-2</v>
      </c>
    </row>
    <row r="1336" spans="19:27" x14ac:dyDescent="0.2">
      <c r="S1336" s="165"/>
      <c r="T1336" s="166"/>
      <c r="W1336" s="199" t="str">
        <f t="shared" si="29"/>
        <v>1w</v>
      </c>
      <c r="X1336" s="200">
        <f>_xll.qlCalendarAdvance(Calendar,X1335,W1336,"f",FALSE)</f>
        <v>48184</v>
      </c>
      <c r="Y1336" s="204">
        <f>_xll.qlCalendarAdvance(Calendar,X1336,NDays&amp;"D")</f>
        <v>48186</v>
      </c>
      <c r="Z1336" s="205">
        <v>3.9285150495549093E-2</v>
      </c>
      <c r="AA1336" s="207">
        <v>3.9228969992741725E-2</v>
      </c>
    </row>
    <row r="1337" spans="19:27" x14ac:dyDescent="0.2">
      <c r="S1337" s="165"/>
      <c r="T1337" s="166"/>
      <c r="W1337" s="199" t="str">
        <f t="shared" si="29"/>
        <v>1w</v>
      </c>
      <c r="X1337" s="200">
        <f>_xll.qlCalendarAdvance(Calendar,X1336,W1337,"f",FALSE)</f>
        <v>48191</v>
      </c>
      <c r="Y1337" s="204">
        <f>_xll.qlCalendarAdvance(Calendar,X1337,NDays&amp;"D")</f>
        <v>48193</v>
      </c>
      <c r="Z1337" s="205">
        <v>3.9278960319040213E-2</v>
      </c>
      <c r="AA1337" s="207">
        <v>3.9222824735878348E-2</v>
      </c>
    </row>
    <row r="1338" spans="19:27" x14ac:dyDescent="0.2">
      <c r="S1338" s="165"/>
      <c r="T1338" s="166"/>
      <c r="W1338" s="199" t="str">
        <f t="shared" si="29"/>
        <v>1w</v>
      </c>
      <c r="X1338" s="200">
        <f>_xll.qlCalendarAdvance(Calendar,X1337,W1338,"f",FALSE)</f>
        <v>48198</v>
      </c>
      <c r="Y1338" s="204">
        <f>_xll.qlCalendarAdvance(Calendar,X1338,NDays&amp;"D")</f>
        <v>48200</v>
      </c>
      <c r="Z1338" s="205">
        <v>3.9274450570070195E-2</v>
      </c>
      <c r="AA1338" s="207">
        <v>3.9216664838406246E-2</v>
      </c>
    </row>
    <row r="1339" spans="19:27" x14ac:dyDescent="0.2">
      <c r="S1339" s="165"/>
      <c r="T1339" s="166"/>
      <c r="W1339" s="199" t="str">
        <f t="shared" si="29"/>
        <v>1w</v>
      </c>
      <c r="X1339" s="200">
        <f>_xll.qlCalendarAdvance(Calendar,X1338,W1339,"f",FALSE)</f>
        <v>48205</v>
      </c>
      <c r="Y1339" s="204">
        <f>_xll.qlCalendarAdvance(Calendar,X1339,NDays&amp;"D")</f>
        <v>48211</v>
      </c>
      <c r="Z1339" s="205">
        <v>3.9261282840739042E-2</v>
      </c>
      <c r="AA1339" s="207">
        <v>3.921041664696201E-2</v>
      </c>
    </row>
    <row r="1340" spans="19:27" x14ac:dyDescent="0.2">
      <c r="S1340" s="165"/>
      <c r="T1340" s="166"/>
      <c r="W1340" s="199" t="str">
        <f t="shared" si="29"/>
        <v>1w</v>
      </c>
      <c r="X1340" s="200">
        <f>_xll.qlCalendarAdvance(Calendar,X1339,W1340,"f",FALSE)</f>
        <v>48212</v>
      </c>
      <c r="Y1340" s="204">
        <f>_xll.qlCalendarAdvance(Calendar,X1340,NDays&amp;"D")</f>
        <v>48215</v>
      </c>
      <c r="Z1340" s="205">
        <v>3.9257718410016851E-2</v>
      </c>
      <c r="AA1340" s="207">
        <v>3.9203415758413129E-2</v>
      </c>
    </row>
    <row r="1341" spans="19:27" x14ac:dyDescent="0.2">
      <c r="S1341" s="165"/>
      <c r="T1341" s="166"/>
      <c r="W1341" s="199" t="str">
        <f t="shared" si="29"/>
        <v>1w</v>
      </c>
      <c r="X1341" s="200">
        <f>_xll.qlCalendarAdvance(Calendar,X1340,W1341,"f",FALSE)</f>
        <v>48219</v>
      </c>
      <c r="Y1341" s="204">
        <f>_xll.qlCalendarAdvance(Calendar,X1341,NDays&amp;"D")</f>
        <v>48221</v>
      </c>
      <c r="Z1341" s="205">
        <v>3.9254052745666401E-2</v>
      </c>
      <c r="AA1341" s="207">
        <v>3.9198097302897139E-2</v>
      </c>
    </row>
    <row r="1342" spans="19:27" x14ac:dyDescent="0.2">
      <c r="S1342" s="165"/>
      <c r="T1342" s="166"/>
      <c r="W1342" s="199" t="str">
        <f t="shared" si="29"/>
        <v>1w</v>
      </c>
      <c r="X1342" s="200">
        <f>_xll.qlCalendarAdvance(Calendar,X1341,W1342,"f",FALSE)</f>
        <v>48226</v>
      </c>
      <c r="Y1342" s="204">
        <f>_xll.qlCalendarAdvance(Calendar,X1342,NDays&amp;"D")</f>
        <v>48228</v>
      </c>
      <c r="Z1342" s="205">
        <v>3.9249477335147762E-2</v>
      </c>
      <c r="AA1342" s="207">
        <v>3.919187884330988E-2</v>
      </c>
    </row>
    <row r="1343" spans="19:27" x14ac:dyDescent="0.2">
      <c r="S1343" s="165"/>
      <c r="T1343" s="166"/>
      <c r="W1343" s="199" t="str">
        <f t="shared" si="29"/>
        <v>1w</v>
      </c>
      <c r="X1343" s="200">
        <f>_xll.qlCalendarAdvance(Calendar,X1342,W1343,"f",FALSE)</f>
        <v>48233</v>
      </c>
      <c r="Y1343" s="204">
        <f>_xll.qlCalendarAdvance(Calendar,X1343,NDays&amp;"D")</f>
        <v>48235</v>
      </c>
      <c r="Z1343" s="205">
        <v>3.9241510838920746E-2</v>
      </c>
      <c r="AA1343" s="207">
        <v>3.9185645743193831E-2</v>
      </c>
    </row>
    <row r="1344" spans="19:27" x14ac:dyDescent="0.2">
      <c r="S1344" s="165"/>
      <c r="T1344" s="166"/>
      <c r="W1344" s="199" t="str">
        <f t="shared" si="29"/>
        <v>1w</v>
      </c>
      <c r="X1344" s="200">
        <f>_xll.qlCalendarAdvance(Calendar,X1343,W1344,"f",FALSE)</f>
        <v>48240</v>
      </c>
      <c r="Y1344" s="204">
        <f>_xll.qlCalendarAdvance(Calendar,X1344,NDays&amp;"D")</f>
        <v>48242</v>
      </c>
      <c r="Z1344" s="205">
        <v>3.9230163397658682E-2</v>
      </c>
      <c r="AA1344" s="207">
        <v>3.9179398002548993E-2</v>
      </c>
    </row>
    <row r="1345" spans="19:27" x14ac:dyDescent="0.2">
      <c r="S1345" s="165"/>
      <c r="T1345" s="166"/>
      <c r="W1345" s="199" t="str">
        <f t="shared" si="29"/>
        <v>1w</v>
      </c>
      <c r="X1345" s="200">
        <f>_xll.qlCalendarAdvance(Calendar,X1344,W1345,"f",FALSE)</f>
        <v>48247</v>
      </c>
      <c r="Y1345" s="204">
        <f>_xll.qlCalendarAdvance(Calendar,X1345,NDays&amp;"D")</f>
        <v>48249</v>
      </c>
      <c r="Z1345" s="205">
        <v>3.9223860932201572E-2</v>
      </c>
      <c r="AA1345" s="207">
        <v>3.9173135621375366E-2</v>
      </c>
    </row>
    <row r="1346" spans="19:27" x14ac:dyDescent="0.2">
      <c r="S1346" s="165"/>
      <c r="T1346" s="166"/>
      <c r="W1346" s="199" t="str">
        <f t="shared" si="29"/>
        <v>1w</v>
      </c>
      <c r="X1346" s="200">
        <f>_xll.qlCalendarAdvance(Calendar,X1345,W1346,"f",FALSE)</f>
        <v>48254</v>
      </c>
      <c r="Y1346" s="204">
        <f>_xll.qlCalendarAdvance(Calendar,X1346,NDays&amp;"D")</f>
        <v>48256</v>
      </c>
      <c r="Z1346" s="205">
        <v>3.9217543784640659E-2</v>
      </c>
      <c r="AA1346" s="207">
        <v>3.9166858599672949E-2</v>
      </c>
    </row>
    <row r="1347" spans="19:27" x14ac:dyDescent="0.2">
      <c r="S1347" s="165"/>
      <c r="T1347" s="166"/>
      <c r="W1347" s="199" t="str">
        <f t="shared" si="29"/>
        <v>1w</v>
      </c>
      <c r="X1347" s="200">
        <f>_xll.qlCalendarAdvance(Calendar,X1346,W1347,"f",FALSE)</f>
        <v>48261</v>
      </c>
      <c r="Y1347" s="204">
        <f>_xll.qlCalendarAdvance(Calendar,X1347,NDays&amp;"D")</f>
        <v>48263</v>
      </c>
      <c r="Z1347" s="205">
        <v>3.9211211954997986E-2</v>
      </c>
      <c r="AA1347" s="207">
        <v>3.9160566937441743E-2</v>
      </c>
    </row>
    <row r="1348" spans="19:27" x14ac:dyDescent="0.2">
      <c r="S1348" s="165"/>
      <c r="T1348" s="166"/>
      <c r="W1348" s="199" t="str">
        <f t="shared" si="29"/>
        <v>1w</v>
      </c>
      <c r="X1348" s="200">
        <f>_xll.qlCalendarAdvance(Calendar,X1347,W1348,"f",FALSE)</f>
        <v>48268</v>
      </c>
      <c r="Y1348" s="204">
        <f>_xll.qlCalendarAdvance(Calendar,X1348,NDays&amp;"D")</f>
        <v>48270</v>
      </c>
      <c r="Z1348" s="205">
        <v>3.9211576839562189E-2</v>
      </c>
      <c r="AA1348" s="207">
        <v>3.9154260634681748E-2</v>
      </c>
    </row>
    <row r="1349" spans="19:27" x14ac:dyDescent="0.2">
      <c r="S1349" s="165"/>
      <c r="T1349" s="166"/>
      <c r="W1349" s="199" t="str">
        <f t="shared" si="29"/>
        <v>1w</v>
      </c>
      <c r="X1349" s="200">
        <f>_xll.qlCalendarAdvance(Calendar,X1348,W1349,"f",FALSE)</f>
        <v>48275</v>
      </c>
      <c r="Y1349" s="204">
        <f>_xll.qlCalendarAdvance(Calendar,X1349,NDays&amp;"D")</f>
        <v>48277</v>
      </c>
      <c r="Z1349" s="205">
        <v>3.9203532640794403E-2</v>
      </c>
      <c r="AA1349" s="207">
        <v>3.9147939691313027E-2</v>
      </c>
    </row>
    <row r="1350" spans="19:27" x14ac:dyDescent="0.2">
      <c r="S1350" s="165"/>
      <c r="T1350" s="166"/>
      <c r="W1350" s="199" t="str">
        <f t="shared" si="29"/>
        <v>1w</v>
      </c>
      <c r="X1350" s="200">
        <f>_xll.qlCalendarAdvance(Calendar,X1349,W1350,"f",FALSE)</f>
        <v>48282</v>
      </c>
      <c r="Y1350" s="204">
        <f>_xll.qlCalendarAdvance(Calendar,X1350,NDays&amp;"D")</f>
        <v>48284</v>
      </c>
      <c r="Z1350" s="205">
        <v>3.9197151538340469E-2</v>
      </c>
      <c r="AA1350" s="207">
        <v>3.9141604107495453E-2</v>
      </c>
    </row>
    <row r="1351" spans="19:27" x14ac:dyDescent="0.2">
      <c r="S1351" s="165"/>
      <c r="T1351" s="166"/>
      <c r="W1351" s="199" t="str">
        <f t="shared" si="29"/>
        <v>1w</v>
      </c>
      <c r="X1351" s="200">
        <f>_xll.qlCalendarAdvance(Calendar,X1350,W1351,"f",FALSE)</f>
        <v>48289</v>
      </c>
      <c r="Y1351" s="204">
        <f>_xll.qlCalendarAdvance(Calendar,X1351,NDays&amp;"D")</f>
        <v>48291</v>
      </c>
      <c r="Z1351" s="205">
        <v>3.9190755749449468E-2</v>
      </c>
      <c r="AA1351" s="207">
        <v>3.913525388314909E-2</v>
      </c>
    </row>
    <row r="1352" spans="19:27" x14ac:dyDescent="0.2">
      <c r="S1352" s="165"/>
      <c r="T1352" s="166"/>
      <c r="W1352" s="199" t="str">
        <f t="shared" si="29"/>
        <v>1w</v>
      </c>
      <c r="X1352" s="200">
        <f>_xll.qlCalendarAdvance(Calendar,X1351,W1352,"f",FALSE)</f>
        <v>48296</v>
      </c>
      <c r="Y1352" s="204">
        <f>_xll.qlCalendarAdvance(Calendar,X1352,NDays&amp;"D")</f>
        <v>48298</v>
      </c>
      <c r="Z1352" s="205">
        <v>3.9184345274143884E-2</v>
      </c>
      <c r="AA1352" s="207">
        <v>3.9127067796300707E-2</v>
      </c>
    </row>
    <row r="1353" spans="19:27" x14ac:dyDescent="0.2">
      <c r="S1353" s="165"/>
      <c r="T1353" s="166"/>
      <c r="W1353" s="199" t="str">
        <f t="shared" si="29"/>
        <v>1w</v>
      </c>
      <c r="X1353" s="200">
        <f>_xll.qlCalendarAdvance(Calendar,X1352,W1353,"f",FALSE)</f>
        <v>48303</v>
      </c>
      <c r="Y1353" s="204">
        <f>_xll.qlCalendarAdvance(Calendar,X1353,NDays&amp;"D")</f>
        <v>48305</v>
      </c>
      <c r="Z1353" s="205">
        <v>3.9179589173797526E-2</v>
      </c>
      <c r="AA1353" s="207">
        <v>3.912250951279006E-2</v>
      </c>
    </row>
    <row r="1354" spans="19:27" x14ac:dyDescent="0.2">
      <c r="S1354" s="165"/>
      <c r="T1354" s="166"/>
      <c r="W1354" s="199" t="str">
        <f t="shared" si="29"/>
        <v>1w</v>
      </c>
      <c r="X1354" s="200">
        <f>_xll.qlCalendarAdvance(Calendar,X1353,W1354,"f",FALSE)</f>
        <v>48310</v>
      </c>
      <c r="Y1354" s="204">
        <f>_xll.qlCalendarAdvance(Calendar,X1354,NDays&amp;"D")</f>
        <v>48312</v>
      </c>
      <c r="Z1354" s="205">
        <v>3.9171480264391378E-2</v>
      </c>
      <c r="AA1354" s="207">
        <v>3.9116115366937265E-2</v>
      </c>
    </row>
    <row r="1355" spans="19:27" x14ac:dyDescent="0.2">
      <c r="S1355" s="165"/>
      <c r="T1355" s="166"/>
      <c r="W1355" s="199" t="str">
        <f t="shared" si="29"/>
        <v>1w</v>
      </c>
      <c r="X1355" s="200">
        <f>_xll.qlCalendarAdvance(Calendar,X1354,W1355,"f",FALSE)</f>
        <v>48317</v>
      </c>
      <c r="Y1355" s="204">
        <f>_xll.qlCalendarAdvance(Calendar,X1355,NDays&amp;"D")</f>
        <v>48319</v>
      </c>
      <c r="Z1355" s="205">
        <v>3.9165025729996916E-2</v>
      </c>
      <c r="AA1355" s="207">
        <v>3.9109706580475745E-2</v>
      </c>
    </row>
    <row r="1356" spans="19:27" x14ac:dyDescent="0.2">
      <c r="S1356" s="165"/>
      <c r="T1356" s="166"/>
      <c r="W1356" s="199" t="str">
        <f t="shared" si="29"/>
        <v>1w</v>
      </c>
      <c r="X1356" s="200">
        <f>_xll.qlCalendarAdvance(Calendar,X1355,W1356,"f",FALSE)</f>
        <v>48324</v>
      </c>
      <c r="Y1356" s="204">
        <f>_xll.qlCalendarAdvance(Calendar,X1356,NDays&amp;"D")</f>
        <v>48326</v>
      </c>
      <c r="Z1356" s="205">
        <v>3.9158556509290288E-2</v>
      </c>
      <c r="AA1356" s="207">
        <v>3.9103283153405499E-2</v>
      </c>
    </row>
    <row r="1357" spans="19:27" x14ac:dyDescent="0.2">
      <c r="S1357" s="165"/>
      <c r="T1357" s="166"/>
      <c r="W1357" s="199" t="str">
        <f t="shared" si="29"/>
        <v>1w</v>
      </c>
      <c r="X1357" s="200">
        <f>_xll.qlCalendarAdvance(Calendar,X1356,W1357,"f",FALSE)</f>
        <v>48331</v>
      </c>
      <c r="Y1357" s="204">
        <f>_xll.qlCalendarAdvance(Calendar,X1357,NDays&amp;"D")</f>
        <v>48333</v>
      </c>
      <c r="Z1357" s="205">
        <v>3.9147086148884562E-2</v>
      </c>
      <c r="AA1357" s="207">
        <v>3.9095924166865359E-2</v>
      </c>
    </row>
    <row r="1358" spans="19:27" x14ac:dyDescent="0.2">
      <c r="S1358" s="165"/>
      <c r="T1358" s="166"/>
      <c r="W1358" s="199" t="str">
        <f t="shared" si="29"/>
        <v>1w</v>
      </c>
      <c r="X1358" s="200">
        <f>_xll.qlCalendarAdvance(Calendar,X1357,W1358,"f",FALSE)</f>
        <v>48338</v>
      </c>
      <c r="Y1358" s="204">
        <f>_xll.qlCalendarAdvance(Calendar,X1358,NDays&amp;"D")</f>
        <v>48340</v>
      </c>
      <c r="Z1358" s="205">
        <v>3.9145574009032957E-2</v>
      </c>
      <c r="AA1358" s="207">
        <v>3.9090392377838512E-2</v>
      </c>
    </row>
    <row r="1359" spans="19:27" x14ac:dyDescent="0.2">
      <c r="S1359" s="165"/>
      <c r="T1359" s="166"/>
      <c r="W1359" s="199" t="str">
        <f t="shared" si="29"/>
        <v>1w</v>
      </c>
      <c r="X1359" s="200">
        <f>_xll.qlCalendarAdvance(Calendar,X1358,W1359,"f",FALSE)</f>
        <v>48345</v>
      </c>
      <c r="Y1359" s="204">
        <f>_xll.qlCalendarAdvance(Calendar,X1359,NDays&amp;"D")</f>
        <v>48347</v>
      </c>
      <c r="Z1359" s="205">
        <v>3.9139060729537212E-2</v>
      </c>
      <c r="AA1359" s="207">
        <v>3.9083925029341771E-2</v>
      </c>
    </row>
    <row r="1360" spans="19:27" x14ac:dyDescent="0.2">
      <c r="S1360" s="165"/>
      <c r="T1360" s="166"/>
      <c r="W1360" s="199" t="str">
        <f t="shared" si="29"/>
        <v>1w</v>
      </c>
      <c r="X1360" s="200">
        <f>_xll.qlCalendarAdvance(Calendar,X1359,W1360,"f",FALSE)</f>
        <v>48352</v>
      </c>
      <c r="Y1360" s="204">
        <f>_xll.qlCalendarAdvance(Calendar,X1360,NDays&amp;"D")</f>
        <v>48354</v>
      </c>
      <c r="Z1360" s="205">
        <v>3.9132532763834216E-2</v>
      </c>
      <c r="AA1360" s="207">
        <v>3.9077443040156368E-2</v>
      </c>
    </row>
    <row r="1361" spans="19:27" x14ac:dyDescent="0.2">
      <c r="S1361" s="165"/>
      <c r="T1361" s="166"/>
      <c r="W1361" s="199" t="str">
        <f t="shared" si="29"/>
        <v>1w</v>
      </c>
      <c r="X1361" s="200">
        <f>_xll.qlCalendarAdvance(Calendar,X1360,W1361,"f",FALSE)</f>
        <v>48359</v>
      </c>
      <c r="Y1361" s="204">
        <f>_xll.qlCalendarAdvance(Calendar,X1361,NDays&amp;"D")</f>
        <v>48361</v>
      </c>
      <c r="Z1361" s="205">
        <v>3.9125990111941455E-2</v>
      </c>
      <c r="AA1361" s="207">
        <v>3.9070017125553136E-2</v>
      </c>
    </row>
    <row r="1362" spans="19:27" x14ac:dyDescent="0.2">
      <c r="S1362" s="165"/>
      <c r="T1362" s="166"/>
      <c r="W1362" s="199" t="str">
        <f t="shared" si="29"/>
        <v>1w</v>
      </c>
      <c r="X1362" s="200">
        <f>_xll.qlCalendarAdvance(Calendar,X1361,W1362,"f",FALSE)</f>
        <v>48366</v>
      </c>
      <c r="Y1362" s="204">
        <f>_xll.qlCalendarAdvance(Calendar,X1362,NDays&amp;"D")</f>
        <v>48368</v>
      </c>
      <c r="Z1362" s="205">
        <v>3.9121086043539713E-2</v>
      </c>
      <c r="AA1362" s="207">
        <v>3.9064435140598874E-2</v>
      </c>
    </row>
    <row r="1363" spans="19:27" x14ac:dyDescent="0.2">
      <c r="S1363" s="165"/>
      <c r="T1363" s="166"/>
      <c r="W1363" s="199" t="str">
        <f t="shared" si="29"/>
        <v>1w</v>
      </c>
      <c r="X1363" s="200">
        <f>_xll.qlCalendarAdvance(Calendar,X1362,W1363,"f",FALSE)</f>
        <v>48373</v>
      </c>
      <c r="Y1363" s="204">
        <f>_xll.qlCalendarAdvance(Calendar,X1363,NDays&amp;"D")</f>
        <v>48375</v>
      </c>
      <c r="Z1363" s="205">
        <v>3.9112860749696554E-2</v>
      </c>
      <c r="AA1363" s="207">
        <v>3.9057909229986976E-2</v>
      </c>
    </row>
    <row r="1364" spans="19:27" x14ac:dyDescent="0.2">
      <c r="S1364" s="165"/>
      <c r="T1364" s="166"/>
      <c r="W1364" s="199" t="str">
        <f t="shared" si="29"/>
        <v>1w</v>
      </c>
      <c r="X1364" s="200">
        <f>_xll.qlCalendarAdvance(Calendar,X1363,W1364,"f",FALSE)</f>
        <v>48380</v>
      </c>
      <c r="Y1364" s="204">
        <f>_xll.qlCalendarAdvance(Calendar,X1364,NDays&amp;"D")</f>
        <v>48382</v>
      </c>
      <c r="Z1364" s="205">
        <v>3.9106274039396871E-2</v>
      </c>
      <c r="AA1364" s="207">
        <v>3.9051368678686416E-2</v>
      </c>
    </row>
    <row r="1365" spans="19:27" x14ac:dyDescent="0.2">
      <c r="S1365" s="165"/>
      <c r="T1365" s="166"/>
      <c r="W1365" s="199" t="str">
        <f t="shared" ref="W1365:W1428" si="30">W1364</f>
        <v>1w</v>
      </c>
      <c r="X1365" s="200">
        <f>_xll.qlCalendarAdvance(Calendar,X1364,W1365,"f",FALSE)</f>
        <v>48387</v>
      </c>
      <c r="Y1365" s="204">
        <f>_xll.qlCalendarAdvance(Calendar,X1365,NDays&amp;"D")</f>
        <v>48389</v>
      </c>
      <c r="Z1365" s="205">
        <v>3.9099672643014838E-2</v>
      </c>
      <c r="AA1365" s="207">
        <v>3.9044813487096874E-2</v>
      </c>
    </row>
    <row r="1366" spans="19:27" x14ac:dyDescent="0.2">
      <c r="S1366" s="165"/>
      <c r="T1366" s="166"/>
      <c r="W1366" s="199" t="str">
        <f t="shared" si="30"/>
        <v>1w</v>
      </c>
      <c r="X1366" s="200">
        <f>_xll.qlCalendarAdvance(Calendar,X1365,W1366,"f",FALSE)</f>
        <v>48394</v>
      </c>
      <c r="Y1366" s="204">
        <f>_xll.qlCalendarAdvance(Calendar,X1366,NDays&amp;"D")</f>
        <v>48396</v>
      </c>
      <c r="Z1366" s="205">
        <v>3.9093056560577932E-2</v>
      </c>
      <c r="AA1366" s="207">
        <v>3.9038243654898608E-2</v>
      </c>
    </row>
    <row r="1367" spans="19:27" x14ac:dyDescent="0.2">
      <c r="S1367" s="165"/>
      <c r="T1367" s="166"/>
      <c r="W1367" s="199" t="str">
        <f t="shared" si="30"/>
        <v>1w</v>
      </c>
      <c r="X1367" s="200">
        <f>_xll.qlCalendarAdvance(Calendar,X1366,W1367,"f",FALSE)</f>
        <v>48401</v>
      </c>
      <c r="Y1367" s="204">
        <f>_xll.qlCalendarAdvance(Calendar,X1367,NDays&amp;"D")</f>
        <v>48403</v>
      </c>
      <c r="Z1367" s="205">
        <v>3.9086425792106139E-2</v>
      </c>
      <c r="AA1367" s="207">
        <v>3.9031659182251488E-2</v>
      </c>
    </row>
    <row r="1368" spans="19:27" x14ac:dyDescent="0.2">
      <c r="S1368" s="165"/>
      <c r="T1368" s="166"/>
      <c r="W1368" s="199" t="str">
        <f t="shared" si="30"/>
        <v>1w</v>
      </c>
      <c r="X1368" s="200">
        <f>_xll.qlCalendarAdvance(Calendar,X1367,W1368,"f",FALSE)</f>
        <v>48408</v>
      </c>
      <c r="Y1368" s="204">
        <f>_xll.qlCalendarAdvance(Calendar,X1368,NDays&amp;"D")</f>
        <v>48410</v>
      </c>
      <c r="Z1368" s="205">
        <v>3.9079780337626935E-2</v>
      </c>
      <c r="AA1368" s="207">
        <v>3.9025060068995643E-2</v>
      </c>
    </row>
    <row r="1369" spans="19:27" x14ac:dyDescent="0.2">
      <c r="S1369" s="165"/>
      <c r="T1369" s="166"/>
      <c r="W1369" s="199" t="str">
        <f t="shared" si="30"/>
        <v>1w</v>
      </c>
      <c r="X1369" s="200">
        <f>_xll.qlCalendarAdvance(Calendar,X1368,W1369,"f",FALSE)</f>
        <v>48415</v>
      </c>
      <c r="Y1369" s="204">
        <f>_xll.qlCalendarAdvance(Calendar,X1369,NDays&amp;"D")</f>
        <v>48417</v>
      </c>
      <c r="Z1369" s="205">
        <v>3.9073120197172795E-2</v>
      </c>
      <c r="AA1369" s="207">
        <v>3.9018446315290944E-2</v>
      </c>
    </row>
    <row r="1370" spans="19:27" x14ac:dyDescent="0.2">
      <c r="S1370" s="165"/>
      <c r="T1370" s="166"/>
      <c r="W1370" s="199" t="str">
        <f t="shared" si="30"/>
        <v>1w</v>
      </c>
      <c r="X1370" s="200">
        <f>_xll.qlCalendarAdvance(Calendar,X1369,W1370,"f",FALSE)</f>
        <v>48422</v>
      </c>
      <c r="Y1370" s="204">
        <f>_xll.qlCalendarAdvance(Calendar,X1370,NDays&amp;"D")</f>
        <v>48424</v>
      </c>
      <c r="Z1370" s="205">
        <v>3.9068084503243679E-2</v>
      </c>
      <c r="AA1370" s="207">
        <v>3.9011817921057457E-2</v>
      </c>
    </row>
    <row r="1371" spans="19:27" x14ac:dyDescent="0.2">
      <c r="S1371" s="165"/>
      <c r="T1371" s="166"/>
      <c r="W1371" s="199" t="str">
        <f t="shared" si="30"/>
        <v>1w</v>
      </c>
      <c r="X1371" s="200">
        <f>_xll.qlCalendarAdvance(Calendar,X1370,W1371,"f",FALSE)</f>
        <v>48429</v>
      </c>
      <c r="Y1371" s="204">
        <f>_xll.qlCalendarAdvance(Calendar,X1371,NDays&amp;"D")</f>
        <v>48431</v>
      </c>
      <c r="Z1371" s="205">
        <v>3.9061393217148778E-2</v>
      </c>
      <c r="AA1371" s="207">
        <v>3.9005174886215244E-2</v>
      </c>
    </row>
    <row r="1372" spans="19:27" x14ac:dyDescent="0.2">
      <c r="S1372" s="165"/>
      <c r="T1372" s="166"/>
      <c r="W1372" s="199" t="str">
        <f t="shared" si="30"/>
        <v>1w</v>
      </c>
      <c r="X1372" s="200">
        <f>_xll.qlCalendarAdvance(Calendar,X1371,W1372,"f",FALSE)</f>
        <v>48436</v>
      </c>
      <c r="Y1372" s="204">
        <f>_xll.qlCalendarAdvance(Calendar,X1372,NDays&amp;"D")</f>
        <v>48438</v>
      </c>
      <c r="Z1372" s="205">
        <v>3.9053051660175586E-2</v>
      </c>
      <c r="AA1372" s="207">
        <v>3.8998517210924177E-2</v>
      </c>
    </row>
    <row r="1373" spans="19:27" x14ac:dyDescent="0.2">
      <c r="S1373" s="165"/>
      <c r="T1373" s="166"/>
      <c r="W1373" s="199" t="str">
        <f t="shared" si="30"/>
        <v>1w</v>
      </c>
      <c r="X1373" s="200">
        <f>_xll.qlCalendarAdvance(Calendar,X1372,W1373,"f",FALSE)</f>
        <v>48443</v>
      </c>
      <c r="Y1373" s="204">
        <f>_xll.qlCalendarAdvance(Calendar,X1373,NDays&amp;"D")</f>
        <v>48445</v>
      </c>
      <c r="Z1373" s="205">
        <v>3.9046332776059012E-2</v>
      </c>
      <c r="AA1373" s="207">
        <v>3.8991844895104322E-2</v>
      </c>
    </row>
    <row r="1374" spans="19:27" x14ac:dyDescent="0.2">
      <c r="S1374" s="165"/>
      <c r="T1374" s="166"/>
      <c r="W1374" s="199" t="str">
        <f t="shared" si="30"/>
        <v>1w</v>
      </c>
      <c r="X1374" s="200">
        <f>_xll.qlCalendarAdvance(Calendar,X1373,W1374,"f",FALSE)</f>
        <v>48450</v>
      </c>
      <c r="Y1374" s="204">
        <f>_xll.qlCalendarAdvance(Calendar,X1374,NDays&amp;"D")</f>
        <v>48452</v>
      </c>
      <c r="Z1374" s="205">
        <v>3.9039599206092401E-2</v>
      </c>
      <c r="AA1374" s="207">
        <v>3.8984201464256074E-2</v>
      </c>
    </row>
    <row r="1375" spans="19:27" x14ac:dyDescent="0.2">
      <c r="S1375" s="165"/>
      <c r="T1375" s="166"/>
      <c r="W1375" s="199" t="str">
        <f t="shared" si="30"/>
        <v>1w</v>
      </c>
      <c r="X1375" s="200">
        <f>_xll.qlCalendarAdvance(Calendar,X1374,W1375,"f",FALSE)</f>
        <v>48457</v>
      </c>
      <c r="Y1375" s="204">
        <f>_xll.qlCalendarAdvance(Calendar,X1375,NDays&amp;"D")</f>
        <v>48459</v>
      </c>
      <c r="Z1375" s="205">
        <v>3.9032850950300735E-2</v>
      </c>
      <c r="AA1375" s="207">
        <v>3.8978456342038115E-2</v>
      </c>
    </row>
    <row r="1376" spans="19:27" x14ac:dyDescent="0.2">
      <c r="S1376" s="165"/>
      <c r="T1376" s="166"/>
      <c r="W1376" s="199" t="str">
        <f t="shared" si="30"/>
        <v>1w</v>
      </c>
      <c r="X1376" s="200">
        <f>_xll.qlCalendarAdvance(Calendar,X1375,W1376,"f",FALSE)</f>
        <v>48464</v>
      </c>
      <c r="Y1376" s="204">
        <f>_xll.qlCalendarAdvance(Calendar,X1376,NDays&amp;"D")</f>
        <v>48466</v>
      </c>
      <c r="Z1376" s="205">
        <v>3.9027716476743961E-2</v>
      </c>
      <c r="AA1376" s="207">
        <v>3.8971740104791763E-2</v>
      </c>
    </row>
    <row r="1377" spans="19:27" x14ac:dyDescent="0.2">
      <c r="S1377" s="165"/>
      <c r="T1377" s="166"/>
      <c r="W1377" s="199" t="str">
        <f t="shared" si="30"/>
        <v>1w</v>
      </c>
      <c r="X1377" s="200">
        <f>_xll.qlCalendarAdvance(Calendar,X1376,W1377,"f",FALSE)</f>
        <v>48471</v>
      </c>
      <c r="Y1377" s="204">
        <f>_xll.qlCalendarAdvance(Calendar,X1377,NDays&amp;"D")</f>
        <v>48473</v>
      </c>
      <c r="Z1377" s="205">
        <v>3.9019310381354644E-2</v>
      </c>
      <c r="AA1377" s="207">
        <v>3.8965009226856751E-2</v>
      </c>
    </row>
    <row r="1378" spans="19:27" x14ac:dyDescent="0.2">
      <c r="S1378" s="165"/>
      <c r="T1378" s="166"/>
      <c r="W1378" s="199" t="str">
        <f t="shared" si="30"/>
        <v>1w</v>
      </c>
      <c r="X1378" s="200">
        <f>_xll.qlCalendarAdvance(Calendar,X1377,W1378,"f",FALSE)</f>
        <v>48478</v>
      </c>
      <c r="Y1378" s="204">
        <f>_xll.qlCalendarAdvance(Calendar,X1378,NDays&amp;"D")</f>
        <v>48480</v>
      </c>
      <c r="Z1378" s="205">
        <v>3.9012518068250179E-2</v>
      </c>
      <c r="AA1378" s="207">
        <v>3.8958263708552821E-2</v>
      </c>
    </row>
    <row r="1379" spans="19:27" x14ac:dyDescent="0.2">
      <c r="S1379" s="165"/>
      <c r="T1379" s="166"/>
      <c r="W1379" s="199" t="str">
        <f t="shared" si="30"/>
        <v>1w</v>
      </c>
      <c r="X1379" s="200">
        <f>_xll.qlCalendarAdvance(Calendar,X1378,W1379,"f",FALSE)</f>
        <v>48485</v>
      </c>
      <c r="Y1379" s="204">
        <f>_xll.qlCalendarAdvance(Calendar,X1379,NDays&amp;"D")</f>
        <v>48487</v>
      </c>
      <c r="Z1379" s="205">
        <v>3.9000841402533001E-2</v>
      </c>
      <c r="AA1379" s="207">
        <v>3.8951503549800037E-2</v>
      </c>
    </row>
    <row r="1380" spans="19:27" x14ac:dyDescent="0.2">
      <c r="S1380" s="165"/>
      <c r="T1380" s="166"/>
      <c r="W1380" s="199" t="str">
        <f t="shared" si="30"/>
        <v>1w</v>
      </c>
      <c r="X1380" s="200">
        <f>_xll.qlCalendarAdvance(Calendar,X1379,W1380,"f",FALSE)</f>
        <v>48492</v>
      </c>
      <c r="Y1380" s="204">
        <f>_xll.qlCalendarAdvance(Calendar,X1380,NDays&amp;"D")</f>
        <v>48494</v>
      </c>
      <c r="Z1380" s="205">
        <v>3.89988893849183E-2</v>
      </c>
      <c r="AA1380" s="207">
        <v>3.8944728750438529E-2</v>
      </c>
    </row>
    <row r="1381" spans="19:27" x14ac:dyDescent="0.2">
      <c r="S1381" s="165"/>
      <c r="T1381" s="166"/>
      <c r="W1381" s="199" t="str">
        <f t="shared" si="30"/>
        <v>1w</v>
      </c>
      <c r="X1381" s="200">
        <f>_xll.qlCalendarAdvance(Calendar,X1380,W1381,"f",FALSE)</f>
        <v>48499</v>
      </c>
      <c r="Y1381" s="204">
        <f>_xll.qlCalendarAdvance(Calendar,X1381,NDays&amp;"D")</f>
        <v>48501</v>
      </c>
      <c r="Z1381" s="205">
        <v>3.8992053014743344E-2</v>
      </c>
      <c r="AA1381" s="207">
        <v>3.8937939310628167E-2</v>
      </c>
    </row>
    <row r="1382" spans="19:27" x14ac:dyDescent="0.2">
      <c r="S1382" s="165"/>
      <c r="T1382" s="166"/>
      <c r="W1382" s="199" t="str">
        <f t="shared" si="30"/>
        <v>1w</v>
      </c>
      <c r="X1382" s="200">
        <f>_xll.qlCalendarAdvance(Calendar,X1381,W1382,"f",FALSE)</f>
        <v>48506</v>
      </c>
      <c r="Y1382" s="204">
        <f>_xll.qlCalendarAdvance(Calendar,X1382,NDays&amp;"D")</f>
        <v>48508</v>
      </c>
      <c r="Z1382" s="205">
        <v>3.8985201958930682E-2</v>
      </c>
      <c r="AA1382" s="207">
        <v>3.8931135230289016E-2</v>
      </c>
    </row>
    <row r="1383" spans="19:27" x14ac:dyDescent="0.2">
      <c r="S1383" s="165"/>
      <c r="T1383" s="166"/>
      <c r="W1383" s="199" t="str">
        <f t="shared" si="30"/>
        <v>1w</v>
      </c>
      <c r="X1383" s="200">
        <f>_xll.qlCalendarAdvance(Calendar,X1382,W1383,"f",FALSE)</f>
        <v>48513</v>
      </c>
      <c r="Y1383" s="204">
        <f>_xll.qlCalendarAdvance(Calendar,X1383,NDays&amp;"D")</f>
        <v>48515</v>
      </c>
      <c r="Z1383" s="205">
        <v>3.8978336217507792E-2</v>
      </c>
      <c r="AA1383" s="207">
        <v>3.8924316509501011E-2</v>
      </c>
    </row>
    <row r="1384" spans="19:27" x14ac:dyDescent="0.2">
      <c r="S1384" s="165"/>
      <c r="T1384" s="166"/>
      <c r="W1384" s="199" t="str">
        <f t="shared" si="30"/>
        <v>1w</v>
      </c>
      <c r="X1384" s="200">
        <f>_xll.qlCalendarAdvance(Calendar,X1383,W1384,"f",FALSE)</f>
        <v>48520</v>
      </c>
      <c r="Y1384" s="204">
        <f>_xll.qlCalendarAdvance(Calendar,X1384,NDays&amp;"D")</f>
        <v>48522</v>
      </c>
      <c r="Z1384" s="205">
        <v>3.8971455790497156E-2</v>
      </c>
      <c r="AA1384" s="207">
        <v>3.8917483148104282E-2</v>
      </c>
    </row>
    <row r="1385" spans="19:27" x14ac:dyDescent="0.2">
      <c r="S1385" s="165"/>
      <c r="T1385" s="166"/>
      <c r="W1385" s="199" t="str">
        <f t="shared" si="30"/>
        <v>1w</v>
      </c>
      <c r="X1385" s="200">
        <f>_xll.qlCalendarAdvance(Calendar,X1384,W1385,"f",FALSE)</f>
        <v>48527</v>
      </c>
      <c r="Y1385" s="204">
        <f>_xll.qlCalendarAdvance(Calendar,X1385,NDays&amp;"D")</f>
        <v>48529</v>
      </c>
      <c r="Z1385" s="205">
        <v>3.8961962291729324E-2</v>
      </c>
      <c r="AA1385" s="207">
        <v>3.8910635146178763E-2</v>
      </c>
    </row>
    <row r="1386" spans="19:27" x14ac:dyDescent="0.2">
      <c r="S1386" s="165"/>
      <c r="T1386" s="166"/>
      <c r="W1386" s="199" t="str">
        <f t="shared" si="30"/>
        <v>1w</v>
      </c>
      <c r="X1386" s="200">
        <f>_xll.qlCalendarAdvance(Calendar,X1385,W1386,"f",FALSE)</f>
        <v>48534</v>
      </c>
      <c r="Y1386" s="204">
        <f>_xll.qlCalendarAdvance(Calendar,X1386,NDays&amp;"D")</f>
        <v>48536</v>
      </c>
      <c r="Z1386" s="205">
        <v>3.895765087983255E-2</v>
      </c>
      <c r="AA1386" s="207">
        <v>3.8903772503884326E-2</v>
      </c>
    </row>
    <row r="1387" spans="19:27" x14ac:dyDescent="0.2">
      <c r="S1387" s="165"/>
      <c r="T1387" s="166"/>
      <c r="W1387" s="199" t="str">
        <f t="shared" si="30"/>
        <v>1w</v>
      </c>
      <c r="X1387" s="200">
        <f>_xll.qlCalendarAdvance(Calendar,X1386,W1387,"f",FALSE)</f>
        <v>48541</v>
      </c>
      <c r="Y1387" s="204">
        <f>_xll.qlCalendarAdvance(Calendar,X1387,NDays&amp;"D")</f>
        <v>48543</v>
      </c>
      <c r="Z1387" s="205">
        <v>3.8951344508738509E-2</v>
      </c>
      <c r="AA1387" s="207">
        <v>3.8896895220981165E-2</v>
      </c>
    </row>
    <row r="1388" spans="19:27" x14ac:dyDescent="0.2">
      <c r="S1388" s="165"/>
      <c r="T1388" s="166"/>
      <c r="W1388" s="199" t="str">
        <f t="shared" si="30"/>
        <v>1w</v>
      </c>
      <c r="X1388" s="200">
        <f>_xll.qlCalendarAdvance(Calendar,X1387,W1388,"f",FALSE)</f>
        <v>48548</v>
      </c>
      <c r="Y1388" s="204">
        <f>_xll.qlCalendarAdvance(Calendar,X1388,NDays&amp;"D")</f>
        <v>48550</v>
      </c>
      <c r="Z1388" s="205">
        <v>3.8945394208730638E-2</v>
      </c>
      <c r="AA1388" s="207">
        <v>3.8890003297709086E-2</v>
      </c>
    </row>
    <row r="1389" spans="19:27" x14ac:dyDescent="0.2">
      <c r="S1389" s="165"/>
      <c r="T1389" s="166"/>
      <c r="W1389" s="199" t="str">
        <f t="shared" si="30"/>
        <v>1w</v>
      </c>
      <c r="X1389" s="200">
        <f>_xll.qlCalendarAdvance(Calendar,X1388,W1389,"f",FALSE)</f>
        <v>48555</v>
      </c>
      <c r="Y1389" s="204">
        <f>_xll.qlCalendarAdvance(Calendar,X1389,NDays&amp;"D")</f>
        <v>48557</v>
      </c>
      <c r="Z1389" s="205">
        <v>3.8936833372629487E-2</v>
      </c>
      <c r="AA1389" s="207">
        <v>3.8883096733828282E-2</v>
      </c>
    </row>
    <row r="1390" spans="19:27" x14ac:dyDescent="0.2">
      <c r="S1390" s="165"/>
      <c r="T1390" s="166"/>
      <c r="W1390" s="199" t="str">
        <f t="shared" si="30"/>
        <v>1w</v>
      </c>
      <c r="X1390" s="200">
        <f>_xll.qlCalendarAdvance(Calendar,X1389,W1390,"f",FALSE)</f>
        <v>48562</v>
      </c>
      <c r="Y1390" s="204">
        <f>_xll.qlCalendarAdvance(Calendar,X1390,NDays&amp;"D")</f>
        <v>48564</v>
      </c>
      <c r="Z1390" s="205">
        <v>3.8931468212834795E-2</v>
      </c>
      <c r="AA1390" s="207">
        <v>3.887617552957856E-2</v>
      </c>
    </row>
    <row r="1391" spans="19:27" x14ac:dyDescent="0.2">
      <c r="S1391" s="165"/>
      <c r="T1391" s="166"/>
      <c r="W1391" s="199" t="str">
        <f t="shared" si="30"/>
        <v>1w</v>
      </c>
      <c r="X1391" s="200">
        <f>_xll.qlCalendarAdvance(Calendar,X1390,W1391,"f",FALSE)</f>
        <v>48569</v>
      </c>
      <c r="Y1391" s="204">
        <f>_xll.qlCalendarAdvance(Calendar,X1391,NDays&amp;"D")</f>
        <v>48571</v>
      </c>
      <c r="Z1391" s="205">
        <v>3.8922881607338922E-2</v>
      </c>
      <c r="AA1391" s="207">
        <v>3.8867255325722994E-2</v>
      </c>
    </row>
    <row r="1392" spans="19:27" x14ac:dyDescent="0.2">
      <c r="S1392" s="165"/>
      <c r="T1392" s="166"/>
      <c r="W1392" s="199" t="str">
        <f t="shared" si="30"/>
        <v>1w</v>
      </c>
      <c r="X1392" s="200">
        <f>_xll.qlCalendarAdvance(Calendar,X1391,W1392,"f",FALSE)</f>
        <v>48577</v>
      </c>
      <c r="Y1392" s="204">
        <f>_xll.qlCalendarAdvance(Calendar,X1392,NDays&amp;"D")</f>
        <v>48579</v>
      </c>
      <c r="Z1392" s="205">
        <v>3.8909277657623649E-2</v>
      </c>
      <c r="AA1392" s="207">
        <v>3.8860300657281854E-2</v>
      </c>
    </row>
    <row r="1393" spans="19:27" x14ac:dyDescent="0.2">
      <c r="S1393" s="165"/>
      <c r="T1393" s="166"/>
      <c r="W1393" s="199" t="str">
        <f t="shared" si="30"/>
        <v>1w</v>
      </c>
      <c r="X1393" s="200">
        <f>_xll.qlCalendarAdvance(Calendar,X1392,W1393,"f",FALSE)</f>
        <v>48584</v>
      </c>
      <c r="Y1393" s="204">
        <f>_xll.qlCalendarAdvance(Calendar,X1393,NDays&amp;"D")</f>
        <v>48586</v>
      </c>
      <c r="Z1393" s="205">
        <v>3.8906270336057681E-2</v>
      </c>
      <c r="AA1393" s="207">
        <v>3.8854327860384785E-2</v>
      </c>
    </row>
    <row r="1394" spans="19:27" x14ac:dyDescent="0.2">
      <c r="S1394" s="165"/>
      <c r="T1394" s="166"/>
      <c r="W1394" s="199" t="str">
        <f t="shared" si="30"/>
        <v>1w</v>
      </c>
      <c r="X1394" s="200">
        <f>_xll.qlCalendarAdvance(Calendar,X1393,W1394,"f",FALSE)</f>
        <v>48591</v>
      </c>
      <c r="Y1394" s="204">
        <f>_xll.qlCalendarAdvance(Calendar,X1394,NDays&amp;"D")</f>
        <v>48593</v>
      </c>
      <c r="Z1394" s="205">
        <v>3.8899242763933452E-2</v>
      </c>
      <c r="AA1394" s="207">
        <v>3.8847346002572891E-2</v>
      </c>
    </row>
    <row r="1395" spans="19:27" x14ac:dyDescent="0.2">
      <c r="S1395" s="165"/>
      <c r="T1395" s="166"/>
      <c r="W1395" s="199" t="str">
        <f t="shared" si="30"/>
        <v>1w</v>
      </c>
      <c r="X1395" s="200">
        <f>_xll.qlCalendarAdvance(Calendar,X1394,W1395,"f",FALSE)</f>
        <v>48598</v>
      </c>
      <c r="Y1395" s="204">
        <f>_xll.qlCalendarAdvance(Calendar,X1395,NDays&amp;"D")</f>
        <v>48600</v>
      </c>
      <c r="Z1395" s="205">
        <v>3.8893794658529379E-2</v>
      </c>
      <c r="AA1395" s="207">
        <v>3.8840349504312144E-2</v>
      </c>
    </row>
    <row r="1396" spans="19:27" x14ac:dyDescent="0.2">
      <c r="S1396" s="165"/>
      <c r="T1396" s="166"/>
      <c r="W1396" s="199" t="str">
        <f t="shared" si="30"/>
        <v>1w</v>
      </c>
      <c r="X1396" s="200">
        <f>_xll.qlCalendarAdvance(Calendar,X1395,W1396,"f",FALSE)</f>
        <v>48605</v>
      </c>
      <c r="Y1396" s="204">
        <f>_xll.qlCalendarAdvance(Calendar,X1396,NDays&amp;"D")</f>
        <v>48607</v>
      </c>
      <c r="Z1396" s="205">
        <v>3.8885143568210268E-2</v>
      </c>
      <c r="AA1396" s="207">
        <v>3.8833338365522607E-2</v>
      </c>
    </row>
    <row r="1397" spans="19:27" x14ac:dyDescent="0.2">
      <c r="S1397" s="165"/>
      <c r="T1397" s="166"/>
      <c r="W1397" s="199" t="str">
        <f t="shared" si="30"/>
        <v>1w</v>
      </c>
      <c r="X1397" s="200">
        <f>_xll.qlCalendarAdvance(Calendar,X1396,W1397,"f",FALSE)</f>
        <v>48612</v>
      </c>
      <c r="Y1397" s="204">
        <f>_xll.qlCalendarAdvance(Calendar,X1397,NDays&amp;"D")</f>
        <v>48614</v>
      </c>
      <c r="Z1397" s="205">
        <v>3.887330000768939E-2</v>
      </c>
      <c r="AA1397" s="207">
        <v>3.8826312586204281E-2</v>
      </c>
    </row>
    <row r="1398" spans="19:27" x14ac:dyDescent="0.2">
      <c r="S1398" s="165"/>
      <c r="T1398" s="166"/>
      <c r="W1398" s="199" t="str">
        <f t="shared" si="30"/>
        <v>1w</v>
      </c>
      <c r="X1398" s="200">
        <f>_xll.qlCalendarAdvance(Calendar,X1397,W1398,"f",FALSE)</f>
        <v>48619</v>
      </c>
      <c r="Y1398" s="204">
        <f>_xll.qlCalendarAdvance(Calendar,X1398,NDays&amp;"D")</f>
        <v>48621</v>
      </c>
      <c r="Z1398" s="205">
        <v>3.8866219137404984E-2</v>
      </c>
      <c r="AA1398" s="207">
        <v>3.8819272166437102E-2</v>
      </c>
    </row>
    <row r="1399" spans="19:27" x14ac:dyDescent="0.2">
      <c r="S1399" s="165"/>
      <c r="T1399" s="166"/>
      <c r="W1399" s="199" t="str">
        <f t="shared" si="30"/>
        <v>1w</v>
      </c>
      <c r="X1399" s="200">
        <f>_xll.qlCalendarAdvance(Calendar,X1398,W1399,"f",FALSE)</f>
        <v>48626</v>
      </c>
      <c r="Y1399" s="204">
        <f>_xll.qlCalendarAdvance(Calendar,X1399,NDays&amp;"D")</f>
        <v>48628</v>
      </c>
      <c r="Z1399" s="205">
        <v>3.8859123587720035E-2</v>
      </c>
      <c r="AA1399" s="207">
        <v>3.8812217106141134E-2</v>
      </c>
    </row>
    <row r="1400" spans="19:27" x14ac:dyDescent="0.2">
      <c r="S1400" s="165"/>
      <c r="T1400" s="166"/>
      <c r="W1400" s="199" t="str">
        <f t="shared" si="30"/>
        <v>1w</v>
      </c>
      <c r="X1400" s="200">
        <f>_xll.qlCalendarAdvance(Calendar,X1399,W1400,"f",FALSE)</f>
        <v>48633</v>
      </c>
      <c r="Y1400" s="204">
        <f>_xll.qlCalendarAdvance(Calendar,X1400,NDays&amp;"D")</f>
        <v>48635</v>
      </c>
      <c r="Z1400" s="205">
        <v>3.8852013358648803E-2</v>
      </c>
      <c r="AA1400" s="207">
        <v>3.8805147405476248E-2</v>
      </c>
    </row>
    <row r="1401" spans="19:27" x14ac:dyDescent="0.2">
      <c r="S1401" s="165"/>
      <c r="T1401" s="166"/>
      <c r="W1401" s="199" t="str">
        <f t="shared" si="30"/>
        <v>1w</v>
      </c>
      <c r="X1401" s="200">
        <f>_xll.qlCalendarAdvance(Calendar,X1400,W1401,"f",FALSE)</f>
        <v>48640</v>
      </c>
      <c r="Y1401" s="204">
        <f>_xll.qlCalendarAdvance(Calendar,X1401,NDays&amp;"D")</f>
        <v>48642</v>
      </c>
      <c r="Z1401" s="205">
        <v>3.8849638613156851E-2</v>
      </c>
      <c r="AA1401" s="207">
        <v>3.8798063064122701E-2</v>
      </c>
    </row>
    <row r="1402" spans="19:27" x14ac:dyDescent="0.2">
      <c r="S1402" s="165"/>
      <c r="T1402" s="166"/>
      <c r="W1402" s="199" t="str">
        <f t="shared" si="30"/>
        <v>1w</v>
      </c>
      <c r="X1402" s="200">
        <f>_xll.qlCalendarAdvance(Calendar,X1401,W1402,"f",FALSE)</f>
        <v>48647</v>
      </c>
      <c r="Y1402" s="204">
        <f>_xll.qlCalendarAdvance(Calendar,X1402,NDays&amp;"D")</f>
        <v>48649</v>
      </c>
      <c r="Z1402" s="205">
        <v>3.8842493571089168E-2</v>
      </c>
      <c r="AA1402" s="207">
        <v>3.8790964082480173E-2</v>
      </c>
    </row>
    <row r="1403" spans="19:27" x14ac:dyDescent="0.2">
      <c r="S1403" s="165"/>
      <c r="T1403" s="166"/>
      <c r="W1403" s="199" t="str">
        <f t="shared" si="30"/>
        <v>1w</v>
      </c>
      <c r="X1403" s="200">
        <f>_xll.qlCalendarAdvance(Calendar,X1402,W1403,"f",FALSE)</f>
        <v>48654</v>
      </c>
      <c r="Y1403" s="204">
        <f>_xll.qlCalendarAdvance(Calendar,X1403,NDays&amp;"D")</f>
        <v>48656</v>
      </c>
      <c r="Z1403" s="205">
        <v>3.8836913475330803E-2</v>
      </c>
      <c r="AA1403" s="207">
        <v>3.8783850460148983E-2</v>
      </c>
    </row>
    <row r="1404" spans="19:27" x14ac:dyDescent="0.2">
      <c r="S1404" s="165"/>
      <c r="T1404" s="166"/>
      <c r="W1404" s="199" t="str">
        <f t="shared" si="30"/>
        <v>1w</v>
      </c>
      <c r="X1404" s="200">
        <f>_xll.qlCalendarAdvance(Calendar,X1403,W1404,"f",FALSE)</f>
        <v>48661</v>
      </c>
      <c r="Y1404" s="204">
        <f>_xll.qlCalendarAdvance(Calendar,X1404,NDays&amp;"D")</f>
        <v>48663</v>
      </c>
      <c r="Z1404" s="205">
        <v>3.8828159436118573E-2</v>
      </c>
      <c r="AA1404" s="207">
        <v>3.8776722197688684E-2</v>
      </c>
    </row>
    <row r="1405" spans="19:27" x14ac:dyDescent="0.2">
      <c r="S1405" s="165"/>
      <c r="T1405" s="166"/>
      <c r="W1405" s="199" t="str">
        <f t="shared" si="30"/>
        <v>1w</v>
      </c>
      <c r="X1405" s="200">
        <f>_xll.qlCalendarAdvance(Calendar,X1404,W1405,"f",FALSE)</f>
        <v>48668</v>
      </c>
      <c r="Y1405" s="204">
        <f>_xll.qlCalendarAdvance(Calendar,X1405,NDays&amp;"D")</f>
        <v>48670</v>
      </c>
      <c r="Z1405" s="205">
        <v>3.8822546328650953E-2</v>
      </c>
      <c r="AA1405" s="207">
        <v>3.8769579294299916E-2</v>
      </c>
    </row>
    <row r="1406" spans="19:27" x14ac:dyDescent="0.2">
      <c r="S1406" s="165"/>
      <c r="T1406" s="166"/>
      <c r="W1406" s="199" t="str">
        <f t="shared" si="30"/>
        <v>1w</v>
      </c>
      <c r="X1406" s="200">
        <f>_xll.qlCalendarAdvance(Calendar,X1405,W1406,"f",FALSE)</f>
        <v>48675</v>
      </c>
      <c r="Y1406" s="204">
        <f>_xll.qlCalendarAdvance(Calendar,X1406,NDays&amp;"D")</f>
        <v>48677</v>
      </c>
      <c r="Z1406" s="205">
        <v>3.8813766566876337E-2</v>
      </c>
      <c r="AA1406" s="207">
        <v>3.8762421750622167E-2</v>
      </c>
    </row>
    <row r="1407" spans="19:27" x14ac:dyDescent="0.2">
      <c r="S1407" s="165"/>
      <c r="T1407" s="166"/>
      <c r="W1407" s="199" t="str">
        <f t="shared" si="30"/>
        <v>1w</v>
      </c>
      <c r="X1407" s="200">
        <f>_xll.qlCalendarAdvance(Calendar,X1406,W1407,"f",FALSE)</f>
        <v>48682</v>
      </c>
      <c r="Y1407" s="204">
        <f>_xll.qlCalendarAdvance(Calendar,X1407,NDays&amp;"D")</f>
        <v>48688</v>
      </c>
      <c r="Z1407" s="205">
        <v>3.8800845327672917E-2</v>
      </c>
      <c r="AA1407" s="207">
        <v>3.8753197681993257E-2</v>
      </c>
    </row>
    <row r="1408" spans="19:27" x14ac:dyDescent="0.2">
      <c r="S1408" s="165"/>
      <c r="T1408" s="166"/>
      <c r="W1408" s="199" t="str">
        <f t="shared" si="30"/>
        <v>1w</v>
      </c>
      <c r="X1408" s="200">
        <f>_xll.qlCalendarAdvance(Calendar,X1407,W1408,"f",FALSE)</f>
        <v>48689</v>
      </c>
      <c r="Y1408" s="204">
        <f>_xll.qlCalendarAdvance(Calendar,X1408,NDays&amp;"D")</f>
        <v>48691</v>
      </c>
      <c r="Z1408" s="205">
        <v>3.8799314963584214E-2</v>
      </c>
      <c r="AA1408" s="207">
        <v>3.8748062741920108E-2</v>
      </c>
    </row>
    <row r="1409" spans="19:27" x14ac:dyDescent="0.2">
      <c r="S1409" s="165"/>
      <c r="T1409" s="166"/>
      <c r="W1409" s="199" t="str">
        <f t="shared" si="30"/>
        <v>1w</v>
      </c>
      <c r="X1409" s="200">
        <f>_xll.qlCalendarAdvance(Calendar,X1408,W1409,"f",FALSE)</f>
        <v>48696</v>
      </c>
      <c r="Y1409" s="204">
        <f>_xll.qlCalendarAdvance(Calendar,X1409,NDays&amp;"D")</f>
        <v>48698</v>
      </c>
      <c r="Z1409" s="205">
        <v>3.8793635815807248E-2</v>
      </c>
      <c r="AA1409" s="207">
        <v>3.8739831300951266E-2</v>
      </c>
    </row>
    <row r="1410" spans="19:27" x14ac:dyDescent="0.2">
      <c r="S1410" s="165"/>
      <c r="T1410" s="166"/>
      <c r="W1410" s="199" t="str">
        <f t="shared" si="30"/>
        <v>1w</v>
      </c>
      <c r="X1410" s="200">
        <f>_xll.qlCalendarAdvance(Calendar,X1409,W1410,"f",FALSE)</f>
        <v>48703</v>
      </c>
      <c r="Y1410" s="204">
        <f>_xll.qlCalendarAdvance(Calendar,X1410,NDays&amp;"D")</f>
        <v>48705</v>
      </c>
      <c r="Z1410" s="205">
        <v>3.8784804626453659E-2</v>
      </c>
      <c r="AA1410" s="207">
        <v>3.8733645171182829E-2</v>
      </c>
    </row>
    <row r="1411" spans="19:27" x14ac:dyDescent="0.2">
      <c r="S1411" s="165"/>
      <c r="T1411" s="166"/>
      <c r="W1411" s="199" t="str">
        <f t="shared" si="30"/>
        <v>1w</v>
      </c>
      <c r="X1411" s="200">
        <f>_xll.qlCalendarAdvance(Calendar,X1410,W1411,"f",FALSE)</f>
        <v>48710</v>
      </c>
      <c r="Y1411" s="204">
        <f>_xll.qlCalendarAdvance(Calendar,X1411,NDays&amp;"D")</f>
        <v>48712</v>
      </c>
      <c r="Z1411" s="205">
        <v>3.87775274327673E-2</v>
      </c>
      <c r="AA1411" s="207">
        <v>3.8726414425100941E-2</v>
      </c>
    </row>
    <row r="1412" spans="19:27" x14ac:dyDescent="0.2">
      <c r="S1412" s="165"/>
      <c r="T1412" s="166"/>
      <c r="W1412" s="199" t="str">
        <f t="shared" si="30"/>
        <v>1w</v>
      </c>
      <c r="X1412" s="200">
        <f>_xll.qlCalendarAdvance(Calendar,X1411,W1412,"f",FALSE)</f>
        <v>48717</v>
      </c>
      <c r="Y1412" s="204">
        <f>_xll.qlCalendarAdvance(Calendar,X1412,NDays&amp;"D")</f>
        <v>48719</v>
      </c>
      <c r="Z1412" s="205">
        <v>3.8770235555706425E-2</v>
      </c>
      <c r="AA1412" s="207">
        <v>3.87191690385702E-2</v>
      </c>
    </row>
    <row r="1413" spans="19:27" x14ac:dyDescent="0.2">
      <c r="S1413" s="165"/>
      <c r="T1413" s="166"/>
      <c r="W1413" s="199" t="str">
        <f t="shared" si="30"/>
        <v>1w</v>
      </c>
      <c r="X1413" s="200">
        <f>_xll.qlCalendarAdvance(Calendar,X1412,W1413,"f",FALSE)</f>
        <v>48724</v>
      </c>
      <c r="Y1413" s="204">
        <f>_xll.qlCalendarAdvance(Calendar,X1413,NDays&amp;"D")</f>
        <v>48726</v>
      </c>
      <c r="Z1413" s="205">
        <v>3.8762928995296819E-2</v>
      </c>
      <c r="AA1413" s="207">
        <v>3.8710870669698139E-2</v>
      </c>
    </row>
    <row r="1414" spans="19:27" x14ac:dyDescent="0.2">
      <c r="S1414" s="165"/>
      <c r="T1414" s="166"/>
      <c r="W1414" s="199" t="str">
        <f t="shared" si="30"/>
        <v>1w</v>
      </c>
      <c r="X1414" s="200">
        <f>_xll.qlCalendarAdvance(Calendar,X1413,W1414,"f",FALSE)</f>
        <v>48731</v>
      </c>
      <c r="Y1414" s="204">
        <f>_xll.qlCalendarAdvance(Calendar,X1414,NDays&amp;"D")</f>
        <v>48733</v>
      </c>
      <c r="Z1414" s="205">
        <v>3.8757167265542625E-2</v>
      </c>
      <c r="AA1414" s="207">
        <v>3.8704634344002287E-2</v>
      </c>
    </row>
    <row r="1415" spans="19:27" x14ac:dyDescent="0.2">
      <c r="S1415" s="165"/>
      <c r="T1415" s="166"/>
      <c r="W1415" s="199" t="str">
        <f t="shared" si="30"/>
        <v>1w</v>
      </c>
      <c r="X1415" s="200">
        <f>_xll.qlCalendarAdvance(Calendar,X1414,W1415,"f",FALSE)</f>
        <v>48738</v>
      </c>
      <c r="Y1415" s="204">
        <f>_xll.qlCalendarAdvance(Calendar,X1415,NDays&amp;"D")</f>
        <v>48740</v>
      </c>
      <c r="Z1415" s="205">
        <v>3.8748271824539715E-2</v>
      </c>
      <c r="AA1415" s="207">
        <v>3.8697345036124986E-2</v>
      </c>
    </row>
    <row r="1416" spans="19:27" x14ac:dyDescent="0.2">
      <c r="S1416" s="165"/>
      <c r="T1416" s="166"/>
      <c r="W1416" s="199" t="str">
        <f t="shared" si="30"/>
        <v>1w</v>
      </c>
      <c r="X1416" s="200">
        <f>_xll.qlCalendarAdvance(Calendar,X1415,W1416,"f",FALSE)</f>
        <v>48745</v>
      </c>
      <c r="Y1416" s="204">
        <f>_xll.qlCalendarAdvance(Calendar,X1416,NDays&amp;"D")</f>
        <v>48747</v>
      </c>
      <c r="Z1416" s="205">
        <v>3.8740921214254105E-2</v>
      </c>
      <c r="AA1416" s="207">
        <v>3.869004108763896E-2</v>
      </c>
    </row>
    <row r="1417" spans="19:27" x14ac:dyDescent="0.2">
      <c r="S1417" s="165"/>
      <c r="T1417" s="166"/>
      <c r="W1417" s="199" t="str">
        <f t="shared" si="30"/>
        <v>1w</v>
      </c>
      <c r="X1417" s="200">
        <f>_xll.qlCalendarAdvance(Calendar,X1416,W1417,"f",FALSE)</f>
        <v>48752</v>
      </c>
      <c r="Y1417" s="204">
        <f>_xll.qlCalendarAdvance(Calendar,X1417,NDays&amp;"D")</f>
        <v>48754</v>
      </c>
      <c r="Z1417" s="205">
        <v>3.8733555920725485E-2</v>
      </c>
      <c r="AA1417" s="207">
        <v>3.8682722498704081E-2</v>
      </c>
    </row>
    <row r="1418" spans="19:27" x14ac:dyDescent="0.2">
      <c r="S1418" s="165"/>
      <c r="T1418" s="166"/>
      <c r="W1418" s="199" t="str">
        <f t="shared" si="30"/>
        <v>1w</v>
      </c>
      <c r="X1418" s="200">
        <f>_xll.qlCalendarAdvance(Calendar,X1417,W1418,"f",FALSE)</f>
        <v>48759</v>
      </c>
      <c r="Y1418" s="204">
        <f>_xll.qlCalendarAdvance(Calendar,X1418,NDays&amp;"D")</f>
        <v>48761</v>
      </c>
      <c r="Z1418" s="205">
        <v>3.8726175943987376E-2</v>
      </c>
      <c r="AA1418" s="207">
        <v>3.8675389269320348E-2</v>
      </c>
    </row>
    <row r="1419" spans="19:27" x14ac:dyDescent="0.2">
      <c r="S1419" s="165"/>
      <c r="T1419" s="166"/>
      <c r="W1419" s="199" t="str">
        <f t="shared" si="30"/>
        <v>1w</v>
      </c>
      <c r="X1419" s="200">
        <f>_xll.qlCalendarAdvance(Calendar,X1418,W1419,"f",FALSE)</f>
        <v>48766</v>
      </c>
      <c r="Y1419" s="204">
        <f>_xll.qlCalendarAdvance(Calendar,X1419,NDays&amp;"D")</f>
        <v>48768</v>
      </c>
      <c r="Z1419" s="205">
        <v>3.8718781284062989E-2</v>
      </c>
      <c r="AA1419" s="207">
        <v>3.8668041399487763E-2</v>
      </c>
    </row>
    <row r="1420" spans="19:27" x14ac:dyDescent="0.2">
      <c r="S1420" s="165"/>
      <c r="T1420" s="166"/>
      <c r="W1420" s="199" t="str">
        <f t="shared" si="30"/>
        <v>1w</v>
      </c>
      <c r="X1420" s="200">
        <f>_xll.qlCalendarAdvance(Calendar,X1419,W1420,"f",FALSE)</f>
        <v>48773</v>
      </c>
      <c r="Y1420" s="204">
        <f>_xll.qlCalendarAdvance(Calendar,X1420,NDays&amp;"D")</f>
        <v>48775</v>
      </c>
      <c r="Z1420" s="205">
        <v>3.871137194098842E-2</v>
      </c>
      <c r="AA1420" s="207">
        <v>3.8660678889126388E-2</v>
      </c>
    </row>
    <row r="1421" spans="19:27" x14ac:dyDescent="0.2">
      <c r="S1421" s="165"/>
      <c r="T1421" s="166"/>
      <c r="W1421" s="199" t="str">
        <f t="shared" si="30"/>
        <v>1w</v>
      </c>
      <c r="X1421" s="200">
        <f>_xll.qlCalendarAdvance(Calendar,X1420,W1421,"f",FALSE)</f>
        <v>48780</v>
      </c>
      <c r="Y1421" s="204">
        <f>_xll.qlCalendarAdvance(Calendar,X1421,NDays&amp;"D")</f>
        <v>48782</v>
      </c>
      <c r="Z1421" s="205">
        <v>3.8703947914786881E-2</v>
      </c>
      <c r="AA1421" s="207">
        <v>3.8653301738396095E-2</v>
      </c>
    </row>
    <row r="1422" spans="19:27" x14ac:dyDescent="0.2">
      <c r="S1422" s="165"/>
      <c r="T1422" s="166"/>
      <c r="W1422" s="199" t="str">
        <f t="shared" si="30"/>
        <v>1w</v>
      </c>
      <c r="X1422" s="200">
        <f>_xll.qlCalendarAdvance(Calendar,X1421,W1422,"f",FALSE)</f>
        <v>48787</v>
      </c>
      <c r="Y1422" s="204">
        <f>_xll.qlCalendarAdvance(Calendar,X1422,NDays&amp;"D")</f>
        <v>48789</v>
      </c>
      <c r="Z1422" s="205">
        <v>3.8699598691186346E-2</v>
      </c>
      <c r="AA1422" s="207">
        <v>3.8645909947137014E-2</v>
      </c>
    </row>
    <row r="1423" spans="19:27" x14ac:dyDescent="0.2">
      <c r="S1423" s="165"/>
      <c r="T1423" s="166"/>
      <c r="W1423" s="199" t="str">
        <f t="shared" si="30"/>
        <v>1w</v>
      </c>
      <c r="X1423" s="200">
        <f>_xll.qlCalendarAdvance(Calendar,X1422,W1423,"f",FALSE)</f>
        <v>48794</v>
      </c>
      <c r="Y1423" s="204">
        <f>_xll.qlCalendarAdvance(Calendar,X1423,NDays&amp;"D")</f>
        <v>48796</v>
      </c>
      <c r="Z1423" s="205">
        <v>3.8690598740065696E-2</v>
      </c>
      <c r="AA1423" s="207">
        <v>3.8638503515269207E-2</v>
      </c>
    </row>
    <row r="1424" spans="19:27" x14ac:dyDescent="0.2">
      <c r="S1424" s="165"/>
      <c r="T1424" s="166"/>
      <c r="W1424" s="199" t="str">
        <f t="shared" si="30"/>
        <v>1w</v>
      </c>
      <c r="X1424" s="200">
        <f>_xll.qlCalendarAdvance(Calendar,X1423,W1424,"f",FALSE)</f>
        <v>48801</v>
      </c>
      <c r="Y1424" s="204">
        <f>_xll.qlCalendarAdvance(Calendar,X1424,NDays&amp;"D")</f>
        <v>48803</v>
      </c>
      <c r="Z1424" s="205">
        <v>3.8681587737704075E-2</v>
      </c>
      <c r="AA1424" s="207">
        <v>3.8631082443192355E-2</v>
      </c>
    </row>
    <row r="1425" spans="19:27" x14ac:dyDescent="0.2">
      <c r="S1425" s="165"/>
      <c r="T1425" s="166"/>
      <c r="W1425" s="199" t="str">
        <f t="shared" si="30"/>
        <v>1w</v>
      </c>
      <c r="X1425" s="200">
        <f>_xll.qlCalendarAdvance(Calendar,X1424,W1425,"f",FALSE)</f>
        <v>48808</v>
      </c>
      <c r="Y1425" s="204">
        <f>_xll.qlCalendarAdvance(Calendar,X1425,NDays&amp;"D")</f>
        <v>48810</v>
      </c>
      <c r="Z1425" s="205">
        <v>3.8674104979283447E-2</v>
      </c>
      <c r="AA1425" s="207">
        <v>3.8623646730426842E-2</v>
      </c>
    </row>
    <row r="1426" spans="19:27" x14ac:dyDescent="0.2">
      <c r="S1426" s="165"/>
      <c r="T1426" s="166"/>
      <c r="W1426" s="199" t="str">
        <f t="shared" si="30"/>
        <v>1w</v>
      </c>
      <c r="X1426" s="200">
        <f>_xll.qlCalendarAdvance(Calendar,X1425,W1426,"f",FALSE)</f>
        <v>48815</v>
      </c>
      <c r="Y1426" s="204">
        <f>_xll.qlCalendarAdvance(Calendar,X1426,NDays&amp;"D")</f>
        <v>48817</v>
      </c>
      <c r="Z1426" s="205">
        <v>3.8666607537872516E-2</v>
      </c>
      <c r="AA1426" s="207">
        <v>3.8615130846029189E-2</v>
      </c>
    </row>
    <row r="1427" spans="19:27" x14ac:dyDescent="0.2">
      <c r="S1427" s="165"/>
      <c r="T1427" s="166"/>
      <c r="W1427" s="199" t="str">
        <f t="shared" si="30"/>
        <v>1w</v>
      </c>
      <c r="X1427" s="200">
        <f>_xll.qlCalendarAdvance(Calendar,X1426,W1427,"f",FALSE)</f>
        <v>48822</v>
      </c>
      <c r="Y1427" s="204">
        <f>_xll.qlCalendarAdvance(Calendar,X1427,NDays&amp;"D")</f>
        <v>48824</v>
      </c>
      <c r="Z1427" s="205">
        <v>3.8659095413504797E-2</v>
      </c>
      <c r="AA1427" s="207">
        <v>3.8608731383709127E-2</v>
      </c>
    </row>
    <row r="1428" spans="19:27" x14ac:dyDescent="0.2">
      <c r="S1428" s="165"/>
      <c r="T1428" s="166"/>
      <c r="W1428" s="199" t="str">
        <f t="shared" si="30"/>
        <v>1w</v>
      </c>
      <c r="X1428" s="200">
        <f>_xll.qlCalendarAdvance(Calendar,X1427,W1428,"f",FALSE)</f>
        <v>48829</v>
      </c>
      <c r="Y1428" s="204">
        <f>_xll.qlCalendarAdvance(Calendar,X1428,NDays&amp;"D")</f>
        <v>48831</v>
      </c>
      <c r="Z1428" s="205">
        <v>3.8653102268425554E-2</v>
      </c>
      <c r="AA1428" s="207">
        <v>3.860125174967699E-2</v>
      </c>
    </row>
    <row r="1429" spans="19:27" x14ac:dyDescent="0.2">
      <c r="S1429" s="165"/>
      <c r="T1429" s="166"/>
      <c r="W1429" s="199" t="str">
        <f t="shared" ref="W1429:W1492" si="31">W1428</f>
        <v>1w</v>
      </c>
      <c r="X1429" s="200">
        <f>_xll.qlCalendarAdvance(Calendar,X1428,W1429,"f",FALSE)</f>
        <v>48836</v>
      </c>
      <c r="Y1429" s="204">
        <f>_xll.qlCalendarAdvance(Calendar,X1429,NDays&amp;"D")</f>
        <v>48838</v>
      </c>
      <c r="Z1429" s="205">
        <v>3.864402711601761E-2</v>
      </c>
      <c r="AA1429" s="207">
        <v>3.8593757475116064E-2</v>
      </c>
    </row>
    <row r="1430" spans="19:27" x14ac:dyDescent="0.2">
      <c r="S1430" s="165"/>
      <c r="T1430" s="166"/>
      <c r="W1430" s="199" t="str">
        <f t="shared" si="31"/>
        <v>1w</v>
      </c>
      <c r="X1430" s="200">
        <f>_xll.qlCalendarAdvance(Calendar,X1429,W1430,"f",FALSE)</f>
        <v>48843</v>
      </c>
      <c r="Y1430" s="204">
        <f>_xll.qlCalendarAdvance(Calendar,X1430,NDays&amp;"D")</f>
        <v>48845</v>
      </c>
      <c r="Z1430" s="205">
        <v>3.8636470942947143E-2</v>
      </c>
      <c r="AA1430" s="207">
        <v>3.8586248560106284E-2</v>
      </c>
    </row>
    <row r="1431" spans="19:27" x14ac:dyDescent="0.2">
      <c r="S1431" s="165"/>
      <c r="T1431" s="166"/>
      <c r="W1431" s="199" t="str">
        <f t="shared" si="31"/>
        <v>1w</v>
      </c>
      <c r="X1431" s="200">
        <f>_xll.qlCalendarAdvance(Calendar,X1430,W1431,"f",FALSE)</f>
        <v>48850</v>
      </c>
      <c r="Y1431" s="204">
        <f>_xll.qlCalendarAdvance(Calendar,X1431,NDays&amp;"D")</f>
        <v>48852</v>
      </c>
      <c r="Z1431" s="205">
        <v>3.8628900087038502E-2</v>
      </c>
      <c r="AA1431" s="207">
        <v>3.8578725004727588E-2</v>
      </c>
    </row>
    <row r="1432" spans="19:27" x14ac:dyDescent="0.2">
      <c r="S1432" s="165"/>
      <c r="T1432" s="166"/>
      <c r="W1432" s="199" t="str">
        <f t="shared" si="31"/>
        <v>1w</v>
      </c>
      <c r="X1432" s="200">
        <f>_xll.qlCalendarAdvance(Calendar,X1431,W1432,"f",FALSE)</f>
        <v>48857</v>
      </c>
      <c r="Y1432" s="204">
        <f>_xll.qlCalendarAdvance(Calendar,X1432,NDays&amp;"D")</f>
        <v>48859</v>
      </c>
      <c r="Z1432" s="205">
        <v>3.8621314548314897E-2</v>
      </c>
      <c r="AA1432" s="207">
        <v>3.8571186808820102E-2</v>
      </c>
    </row>
    <row r="1433" spans="19:27" x14ac:dyDescent="0.2">
      <c r="S1433" s="165"/>
      <c r="T1433" s="166"/>
      <c r="W1433" s="199" t="str">
        <f t="shared" si="31"/>
        <v>1w</v>
      </c>
      <c r="X1433" s="200">
        <f>_xll.qlCalendarAdvance(Calendar,X1432,W1433,"f",FALSE)</f>
        <v>48864</v>
      </c>
      <c r="Y1433" s="204">
        <f>_xll.qlCalendarAdvance(Calendar,X1433,NDays&amp;"D")</f>
        <v>48866</v>
      </c>
      <c r="Z1433" s="205">
        <v>3.8613714326802114E-2</v>
      </c>
      <c r="AA1433" s="207">
        <v>3.8563633972383826E-2</v>
      </c>
    </row>
    <row r="1434" spans="19:27" x14ac:dyDescent="0.2">
      <c r="S1434" s="165"/>
      <c r="T1434" s="166"/>
      <c r="W1434" s="199" t="str">
        <f t="shared" si="31"/>
        <v>1w</v>
      </c>
      <c r="X1434" s="200">
        <f>_xll.qlCalendarAdvance(Calendar,X1433,W1434,"f",FALSE)</f>
        <v>48871</v>
      </c>
      <c r="Y1434" s="204">
        <f>_xll.qlCalendarAdvance(Calendar,X1434,NDays&amp;"D")</f>
        <v>48873</v>
      </c>
      <c r="Z1434" s="205">
        <v>3.8606099422533673E-2</v>
      </c>
      <c r="AA1434" s="207">
        <v>3.8556066495578634E-2</v>
      </c>
    </row>
    <row r="1435" spans="19:27" x14ac:dyDescent="0.2">
      <c r="S1435" s="165"/>
      <c r="T1435" s="166"/>
      <c r="W1435" s="199" t="str">
        <f t="shared" si="31"/>
        <v>1w</v>
      </c>
      <c r="X1435" s="200">
        <f>_xll.qlCalendarAdvance(Calendar,X1434,W1435,"f",FALSE)</f>
        <v>48878</v>
      </c>
      <c r="Y1435" s="204">
        <f>_xll.qlCalendarAdvance(Calendar,X1435,NDays&amp;"D")</f>
        <v>48880</v>
      </c>
      <c r="Z1435" s="205">
        <v>3.8598469835540522E-2</v>
      </c>
      <c r="AA1435" s="207">
        <v>3.8548484378324588E-2</v>
      </c>
    </row>
    <row r="1436" spans="19:27" x14ac:dyDescent="0.2">
      <c r="S1436" s="165"/>
      <c r="T1436" s="166"/>
      <c r="W1436" s="199" t="str">
        <f t="shared" si="31"/>
        <v>1w</v>
      </c>
      <c r="X1436" s="200">
        <f>_xll.qlCalendarAdvance(Calendar,X1435,W1436,"f",FALSE)</f>
        <v>48885</v>
      </c>
      <c r="Y1436" s="204">
        <f>_xll.qlCalendarAdvance(Calendar,X1436,NDays&amp;"D")</f>
        <v>48887</v>
      </c>
      <c r="Z1436" s="205">
        <v>3.8590825565845858E-2</v>
      </c>
      <c r="AA1436" s="207">
        <v>3.8540887620541753E-2</v>
      </c>
    </row>
    <row r="1437" spans="19:27" x14ac:dyDescent="0.2">
      <c r="S1437" s="165"/>
      <c r="T1437" s="166"/>
      <c r="W1437" s="199" t="str">
        <f t="shared" si="31"/>
        <v>1w</v>
      </c>
      <c r="X1437" s="200">
        <f>_xll.qlCalendarAdvance(Calendar,X1436,W1437,"f",FALSE)</f>
        <v>48892</v>
      </c>
      <c r="Y1437" s="204">
        <f>_xll.qlCalendarAdvance(Calendar,X1437,NDays&amp;"D")</f>
        <v>48894</v>
      </c>
      <c r="Z1437" s="205">
        <v>3.8578363545187955E-2</v>
      </c>
      <c r="AA1437" s="207">
        <v>3.853327622239E-2</v>
      </c>
    </row>
    <row r="1438" spans="19:27" x14ac:dyDescent="0.2">
      <c r="S1438" s="165"/>
      <c r="T1438" s="166"/>
      <c r="W1438" s="199" t="str">
        <f t="shared" si="31"/>
        <v>1w</v>
      </c>
      <c r="X1438" s="200">
        <f>_xll.qlCalendarAdvance(Calendar,X1437,W1438,"f",FALSE)</f>
        <v>48899</v>
      </c>
      <c r="Y1438" s="204">
        <f>_xll.qlCalendarAdvance(Calendar,X1438,NDays&amp;"D")</f>
        <v>48901</v>
      </c>
      <c r="Z1438" s="205">
        <v>3.8575492978473215E-2</v>
      </c>
      <c r="AA1438" s="207">
        <v>3.8525650183789395E-2</v>
      </c>
    </row>
    <row r="1439" spans="19:27" x14ac:dyDescent="0.2">
      <c r="S1439" s="165"/>
      <c r="T1439" s="166"/>
      <c r="W1439" s="199" t="str">
        <f t="shared" si="31"/>
        <v>1w</v>
      </c>
      <c r="X1439" s="200">
        <f>_xll.qlCalendarAdvance(Calendar,X1438,W1439,"f",FALSE)</f>
        <v>48906</v>
      </c>
      <c r="Y1439" s="204">
        <f>_xll.qlCalendarAdvance(Calendar,X1439,NDays&amp;"D")</f>
        <v>48908</v>
      </c>
      <c r="Z1439" s="205">
        <v>3.8570830901332377E-2</v>
      </c>
      <c r="AA1439" s="207">
        <v>3.851800950466E-2</v>
      </c>
    </row>
    <row r="1440" spans="19:27" x14ac:dyDescent="0.2">
      <c r="S1440" s="165"/>
      <c r="T1440" s="166"/>
      <c r="W1440" s="199" t="str">
        <f t="shared" si="31"/>
        <v>1w</v>
      </c>
      <c r="X1440" s="200">
        <f>_xll.qlCalendarAdvance(Calendar,X1439,W1440,"f",FALSE)</f>
        <v>48913</v>
      </c>
      <c r="Y1440" s="204">
        <f>_xll.qlCalendarAdvance(Calendar,X1440,NDays&amp;"D")</f>
        <v>48915</v>
      </c>
      <c r="Z1440" s="205">
        <v>3.8561612943444623E-2</v>
      </c>
      <c r="AA1440" s="207">
        <v>3.8510354185161688E-2</v>
      </c>
    </row>
    <row r="1441" spans="19:27" x14ac:dyDescent="0.2">
      <c r="S1441" s="165"/>
      <c r="T1441" s="166"/>
      <c r="W1441" s="199" t="str">
        <f t="shared" si="31"/>
        <v>1w</v>
      </c>
      <c r="X1441" s="200">
        <f>_xll.qlCalendarAdvance(Calendar,X1440,W1441,"f",FALSE)</f>
        <v>48920</v>
      </c>
      <c r="Y1441" s="204">
        <f>_xll.qlCalendarAdvance(Calendar,X1441,NDays&amp;"D")</f>
        <v>48922</v>
      </c>
      <c r="Z1441" s="205">
        <v>3.8552383977896877E-2</v>
      </c>
      <c r="AA1441" s="207">
        <v>3.8502684225054651E-2</v>
      </c>
    </row>
    <row r="1442" spans="19:27" x14ac:dyDescent="0.2">
      <c r="S1442" s="165"/>
      <c r="T1442" s="166"/>
      <c r="W1442" s="199" t="str">
        <f t="shared" si="31"/>
        <v>1w</v>
      </c>
      <c r="X1442" s="200">
        <f>_xll.qlCalendarAdvance(Calendar,X1441,W1442,"f",FALSE)</f>
        <v>48927</v>
      </c>
      <c r="Y1442" s="204">
        <f>_xll.qlCalendarAdvance(Calendar,X1442,NDays&amp;"D")</f>
        <v>48929</v>
      </c>
      <c r="Z1442" s="205">
        <v>3.8546159145810555E-2</v>
      </c>
      <c r="AA1442" s="207">
        <v>3.8494999624658632E-2</v>
      </c>
    </row>
    <row r="1443" spans="19:27" x14ac:dyDescent="0.2">
      <c r="S1443" s="165"/>
      <c r="T1443" s="166"/>
      <c r="W1443" s="199" t="str">
        <f t="shared" si="31"/>
        <v>1w</v>
      </c>
      <c r="X1443" s="200">
        <f>_xll.qlCalendarAdvance(Calendar,X1442,W1443,"f",FALSE)</f>
        <v>48934</v>
      </c>
      <c r="Y1443" s="204">
        <f>_xll.qlCalendarAdvance(Calendar,X1443,NDays&amp;"D")</f>
        <v>48936</v>
      </c>
      <c r="Z1443" s="205">
        <v>3.8536904564837139E-2</v>
      </c>
      <c r="AA1443" s="207">
        <v>3.8485097911689081E-2</v>
      </c>
    </row>
    <row r="1444" spans="19:27" x14ac:dyDescent="0.2">
      <c r="S1444" s="165"/>
      <c r="T1444" s="166"/>
      <c r="W1444" s="199" t="str">
        <f t="shared" si="31"/>
        <v>1w</v>
      </c>
      <c r="X1444" s="200">
        <f>_xll.qlCalendarAdvance(Calendar,X1443,W1444,"f",FALSE)</f>
        <v>48941</v>
      </c>
      <c r="Y1444" s="204">
        <f>_xll.qlCalendarAdvance(Calendar,X1444,NDays&amp;"D")</f>
        <v>48943</v>
      </c>
      <c r="Z1444" s="205">
        <v>3.8530646612587593E-2</v>
      </c>
      <c r="AA1444" s="207">
        <v>3.8478483324171364E-2</v>
      </c>
    </row>
    <row r="1445" spans="19:27" x14ac:dyDescent="0.2">
      <c r="S1445" s="165"/>
      <c r="T1445" s="166"/>
      <c r="W1445" s="199" t="str">
        <f t="shared" si="31"/>
        <v>1w</v>
      </c>
      <c r="X1445" s="200">
        <f>_xll.qlCalendarAdvance(Calendar,X1444,W1445,"f",FALSE)</f>
        <v>48948</v>
      </c>
      <c r="Y1445" s="204">
        <f>_xll.qlCalendarAdvance(Calendar,X1445,NDays&amp;"D")</f>
        <v>48950</v>
      </c>
      <c r="Z1445" s="205">
        <v>3.8521366421912562E-2</v>
      </c>
      <c r="AA1445" s="207">
        <v>3.8471857980617585E-2</v>
      </c>
    </row>
    <row r="1446" spans="19:27" x14ac:dyDescent="0.2">
      <c r="S1446" s="165"/>
      <c r="T1446" s="166"/>
      <c r="W1446" s="199" t="str">
        <f t="shared" si="31"/>
        <v>1w</v>
      </c>
      <c r="X1446" s="200">
        <f>_xll.qlCalendarAdvance(Calendar,X1445,W1446,"f",FALSE)</f>
        <v>48955</v>
      </c>
      <c r="Y1446" s="204">
        <f>_xll.qlCalendarAdvance(Calendar,X1446,NDays&amp;"D")</f>
        <v>48957</v>
      </c>
      <c r="Z1446" s="205">
        <v>3.8513575326822189E-2</v>
      </c>
      <c r="AA1446" s="207">
        <v>3.8464114818346218E-2</v>
      </c>
    </row>
    <row r="1447" spans="19:27" x14ac:dyDescent="0.2">
      <c r="S1447" s="165"/>
      <c r="T1447" s="166"/>
      <c r="W1447" s="199" t="str">
        <f t="shared" si="31"/>
        <v>1w</v>
      </c>
      <c r="X1447" s="200">
        <f>_xll.qlCalendarAdvance(Calendar,X1446,W1447,"f",FALSE)</f>
        <v>48962</v>
      </c>
      <c r="Y1447" s="204">
        <f>_xll.qlCalendarAdvance(Calendar,X1447,NDays&amp;"D")</f>
        <v>48964</v>
      </c>
      <c r="Z1447" s="205">
        <v>3.8507267684051993E-2</v>
      </c>
      <c r="AA1447" s="207">
        <v>3.8456357015705933E-2</v>
      </c>
    </row>
    <row r="1448" spans="19:27" x14ac:dyDescent="0.2">
      <c r="S1448" s="165"/>
      <c r="T1448" s="166"/>
      <c r="W1448" s="199" t="str">
        <f t="shared" si="31"/>
        <v>1w</v>
      </c>
      <c r="X1448" s="200">
        <f>_xll.qlCalendarAdvance(Calendar,X1447,W1448,"f",FALSE)</f>
        <v>48969</v>
      </c>
      <c r="Y1448" s="204">
        <f>_xll.qlCalendarAdvance(Calendar,X1448,NDays&amp;"D")</f>
        <v>48971</v>
      </c>
      <c r="Z1448" s="205">
        <v>3.8497949089539997E-2</v>
      </c>
      <c r="AA1448" s="207">
        <v>3.8448584572536859E-2</v>
      </c>
    </row>
    <row r="1449" spans="19:27" x14ac:dyDescent="0.2">
      <c r="S1449" s="165"/>
      <c r="T1449" s="166"/>
      <c r="W1449" s="199" t="str">
        <f t="shared" si="31"/>
        <v>1w</v>
      </c>
      <c r="X1449" s="200">
        <f>_xll.qlCalendarAdvance(Calendar,X1448,W1449,"f",FALSE)</f>
        <v>48976</v>
      </c>
      <c r="Y1449" s="204">
        <f>_xll.qlCalendarAdvance(Calendar,X1449,NDays&amp;"D")</f>
        <v>48978</v>
      </c>
      <c r="Z1449" s="205">
        <v>3.8485630410965185E-2</v>
      </c>
      <c r="AA1449" s="207">
        <v>3.8440797488998868E-2</v>
      </c>
    </row>
    <row r="1450" spans="19:27" x14ac:dyDescent="0.2">
      <c r="S1450" s="165"/>
      <c r="T1450" s="166"/>
      <c r="W1450" s="199" t="str">
        <f t="shared" si="31"/>
        <v>1w</v>
      </c>
      <c r="X1450" s="200">
        <f>_xll.qlCalendarAdvance(Calendar,X1449,W1450,"f",FALSE)</f>
        <v>48983</v>
      </c>
      <c r="Y1450" s="204">
        <f>_xll.qlCalendarAdvance(Calendar,X1450,NDays&amp;"D")</f>
        <v>48985</v>
      </c>
      <c r="Z1450" s="205">
        <v>3.8477786244859945E-2</v>
      </c>
      <c r="AA1450" s="207">
        <v>3.8432995764932087E-2</v>
      </c>
    </row>
    <row r="1451" spans="19:27" x14ac:dyDescent="0.2">
      <c r="S1451" s="165"/>
      <c r="T1451" s="166"/>
      <c r="W1451" s="199" t="str">
        <f t="shared" si="31"/>
        <v>1w</v>
      </c>
      <c r="X1451" s="200">
        <f>_xll.qlCalendarAdvance(Calendar,X1450,W1451,"f",FALSE)</f>
        <v>48990</v>
      </c>
      <c r="Y1451" s="204">
        <f>_xll.qlCalendarAdvance(Calendar,X1451,NDays&amp;"D")</f>
        <v>48992</v>
      </c>
      <c r="Z1451" s="205">
        <v>3.8469927400678811E-2</v>
      </c>
      <c r="AA1451" s="207">
        <v>3.8425179400576326E-2</v>
      </c>
    </row>
    <row r="1452" spans="19:27" x14ac:dyDescent="0.2">
      <c r="S1452" s="165"/>
      <c r="T1452" s="166"/>
      <c r="W1452" s="199" t="str">
        <f t="shared" si="31"/>
        <v>1w</v>
      </c>
      <c r="X1452" s="200">
        <f>_xll.qlCalendarAdvance(Calendar,X1451,W1452,"f",FALSE)</f>
        <v>48997</v>
      </c>
      <c r="Y1452" s="204">
        <f>_xll.qlCalendarAdvance(Calendar,X1452,NDays&amp;"D")</f>
        <v>48999</v>
      </c>
      <c r="Z1452" s="205">
        <v>3.8462053878444619E-2</v>
      </c>
      <c r="AA1452" s="207">
        <v>3.8417348395531903E-2</v>
      </c>
    </row>
    <row r="1453" spans="19:27" x14ac:dyDescent="0.2">
      <c r="S1453" s="165"/>
      <c r="T1453" s="166"/>
      <c r="W1453" s="199" t="str">
        <f t="shared" si="31"/>
        <v>1w</v>
      </c>
      <c r="X1453" s="200">
        <f>_xll.qlCalendarAdvance(Calendar,X1452,W1453,"f",FALSE)</f>
        <v>49004</v>
      </c>
      <c r="Y1453" s="204">
        <f>_xll.qlCalendarAdvance(Calendar,X1453,NDays&amp;"D")</f>
        <v>49006</v>
      </c>
      <c r="Z1453" s="205">
        <v>3.8458626556264003E-2</v>
      </c>
      <c r="AA1453" s="207">
        <v>3.8409502750278435E-2</v>
      </c>
    </row>
    <row r="1454" spans="19:27" x14ac:dyDescent="0.2">
      <c r="S1454" s="165"/>
      <c r="T1454" s="166"/>
      <c r="W1454" s="199" t="str">
        <f t="shared" si="31"/>
        <v>1w</v>
      </c>
      <c r="X1454" s="200">
        <f>_xll.qlCalendarAdvance(Calendar,X1453,W1454,"f",FALSE)</f>
        <v>49011</v>
      </c>
      <c r="Y1454" s="204">
        <f>_xll.qlCalendarAdvance(Calendar,X1454,NDays&amp;"D")</f>
        <v>49013</v>
      </c>
      <c r="Z1454" s="205">
        <v>3.8452202921145096E-2</v>
      </c>
      <c r="AA1454" s="207">
        <v>3.8401642464496177E-2</v>
      </c>
    </row>
    <row r="1455" spans="19:27" x14ac:dyDescent="0.2">
      <c r="S1455" s="165"/>
      <c r="T1455" s="166"/>
      <c r="W1455" s="199" t="str">
        <f t="shared" si="31"/>
        <v>1w</v>
      </c>
      <c r="X1455" s="200">
        <f>_xll.qlCalendarAdvance(Calendar,X1454,W1455,"f",FALSE)</f>
        <v>49018</v>
      </c>
      <c r="Y1455" s="204">
        <f>_xll.qlCalendarAdvance(Calendar,X1455,NDays&amp;"D")</f>
        <v>49020</v>
      </c>
      <c r="Z1455" s="205">
        <v>3.8442794767555605E-2</v>
      </c>
      <c r="AA1455" s="207">
        <v>3.8393767538185131E-2</v>
      </c>
    </row>
    <row r="1456" spans="19:27" x14ac:dyDescent="0.2">
      <c r="S1456" s="165"/>
      <c r="T1456" s="166"/>
      <c r="W1456" s="199" t="str">
        <f t="shared" si="31"/>
        <v>1w</v>
      </c>
      <c r="X1456" s="200">
        <f>_xll.qlCalendarAdvance(Calendar,X1455,W1456,"f",FALSE)</f>
        <v>49025</v>
      </c>
      <c r="Y1456" s="204">
        <f>_xll.qlCalendarAdvance(Calendar,X1456,NDays&amp;"D")</f>
        <v>49027</v>
      </c>
      <c r="Z1456" s="205">
        <v>3.8434856850016838E-2</v>
      </c>
      <c r="AA1456" s="207">
        <v>3.8385877971665039E-2</v>
      </c>
    </row>
    <row r="1457" spans="19:27" x14ac:dyDescent="0.2">
      <c r="S1457" s="165"/>
      <c r="T1457" s="166"/>
      <c r="W1457" s="199" t="str">
        <f t="shared" si="31"/>
        <v>1w</v>
      </c>
      <c r="X1457" s="200">
        <f>_xll.qlCalendarAdvance(Calendar,X1456,W1457,"f",FALSE)</f>
        <v>49032</v>
      </c>
      <c r="Y1457" s="204">
        <f>_xll.qlCalendarAdvance(Calendar,X1457,NDays&amp;"D")</f>
        <v>49034</v>
      </c>
      <c r="Z1457" s="205">
        <v>3.8422466097442723E-2</v>
      </c>
      <c r="AA1457" s="207">
        <v>3.8377973764456286E-2</v>
      </c>
    </row>
    <row r="1458" spans="19:27" x14ac:dyDescent="0.2">
      <c r="S1458" s="165"/>
      <c r="T1458" s="166"/>
      <c r="W1458" s="199" t="str">
        <f t="shared" si="31"/>
        <v>1w</v>
      </c>
      <c r="X1458" s="200">
        <f>_xll.qlCalendarAdvance(Calendar,X1457,W1458,"f",FALSE)</f>
        <v>49039</v>
      </c>
      <c r="Y1458" s="204">
        <f>_xll.qlCalendarAdvance(Calendar,X1458,NDays&amp;"D")</f>
        <v>49045</v>
      </c>
      <c r="Z1458" s="205">
        <v>3.8412901318140236E-2</v>
      </c>
      <c r="AA1458" s="207">
        <v>3.8367789700064492E-2</v>
      </c>
    </row>
    <row r="1459" spans="19:27" x14ac:dyDescent="0.2">
      <c r="S1459" s="165"/>
      <c r="T1459" s="166"/>
      <c r="W1459" s="199" t="str">
        <f t="shared" si="31"/>
        <v>1w</v>
      </c>
      <c r="X1459" s="200">
        <f>_xll.qlCalendarAdvance(Calendar,X1458,W1459,"f",FALSE)</f>
        <v>49046</v>
      </c>
      <c r="Y1459" s="204">
        <f>_xll.qlCalendarAdvance(Calendar,X1459,NDays&amp;"D")</f>
        <v>49048</v>
      </c>
      <c r="Z1459" s="205">
        <v>3.8410955005041332E-2</v>
      </c>
      <c r="AA1459" s="207">
        <v>3.8362121429011964E-2</v>
      </c>
    </row>
    <row r="1460" spans="19:27" x14ac:dyDescent="0.2">
      <c r="S1460" s="165"/>
      <c r="T1460" s="166"/>
      <c r="W1460" s="199" t="str">
        <f t="shared" si="31"/>
        <v>1w</v>
      </c>
      <c r="X1460" s="200">
        <f>_xll.qlCalendarAdvance(Calendar,X1459,W1460,"f",FALSE)</f>
        <v>49053</v>
      </c>
      <c r="Y1460" s="204">
        <f>_xll.qlCalendarAdvance(Calendar,X1460,NDays&amp;"D")</f>
        <v>49055</v>
      </c>
      <c r="Z1460" s="205">
        <v>3.8402958359362797E-2</v>
      </c>
      <c r="AA1460" s="207">
        <v>3.8354173300696459E-2</v>
      </c>
    </row>
    <row r="1461" spans="19:27" x14ac:dyDescent="0.2">
      <c r="S1461" s="165"/>
      <c r="T1461" s="166"/>
      <c r="W1461" s="199" t="str">
        <f t="shared" si="31"/>
        <v>1w</v>
      </c>
      <c r="X1461" s="200">
        <f>_xll.qlCalendarAdvance(Calendar,X1460,W1461,"f",FALSE)</f>
        <v>49060</v>
      </c>
      <c r="Y1461" s="204">
        <f>_xll.qlCalendarAdvance(Calendar,X1461,NDays&amp;"D")</f>
        <v>49062</v>
      </c>
      <c r="Z1461" s="205">
        <v>3.839789022193104E-2</v>
      </c>
      <c r="AA1461" s="207">
        <v>3.834507179826474E-2</v>
      </c>
    </row>
    <row r="1462" spans="19:27" x14ac:dyDescent="0.2">
      <c r="S1462" s="165"/>
      <c r="T1462" s="166"/>
      <c r="W1462" s="199" t="str">
        <f t="shared" si="31"/>
        <v>1w</v>
      </c>
      <c r="X1462" s="200">
        <f>_xll.qlCalendarAdvance(Calendar,X1461,W1462,"f",FALSE)</f>
        <v>49067</v>
      </c>
      <c r="Y1462" s="204">
        <f>_xll.qlCalendarAdvance(Calendar,X1462,NDays&amp;"D")</f>
        <v>49069</v>
      </c>
      <c r="Z1462" s="205">
        <v>3.8386921022154886E-2</v>
      </c>
      <c r="AA1462" s="207">
        <v>3.8338233122559018E-2</v>
      </c>
    </row>
    <row r="1463" spans="19:27" x14ac:dyDescent="0.2">
      <c r="S1463" s="165"/>
      <c r="T1463" s="166"/>
      <c r="W1463" s="199" t="str">
        <f t="shared" si="31"/>
        <v>1w</v>
      </c>
      <c r="X1463" s="200">
        <f>_xll.qlCalendarAdvance(Calendar,X1462,W1463,"f",FALSE)</f>
        <v>49074</v>
      </c>
      <c r="Y1463" s="204">
        <f>_xll.qlCalendarAdvance(Calendar,X1463,NDays&amp;"D")</f>
        <v>49076</v>
      </c>
      <c r="Z1463" s="205">
        <v>3.837888033068998E-2</v>
      </c>
      <c r="AA1463" s="207">
        <v>3.8330241072896953E-2</v>
      </c>
    </row>
    <row r="1464" spans="19:27" x14ac:dyDescent="0.2">
      <c r="S1464" s="165"/>
      <c r="T1464" s="166"/>
      <c r="W1464" s="199" t="str">
        <f t="shared" si="31"/>
        <v>1w</v>
      </c>
      <c r="X1464" s="200">
        <f>_xll.qlCalendarAdvance(Calendar,X1463,W1464,"f",FALSE)</f>
        <v>49081</v>
      </c>
      <c r="Y1464" s="204">
        <f>_xll.qlCalendarAdvance(Calendar,X1464,NDays&amp;"D")</f>
        <v>49083</v>
      </c>
      <c r="Z1464" s="205">
        <v>3.8370824957351293E-2</v>
      </c>
      <c r="AA1464" s="207">
        <v>3.83222343827061E-2</v>
      </c>
    </row>
    <row r="1465" spans="19:27" x14ac:dyDescent="0.2">
      <c r="S1465" s="165"/>
      <c r="T1465" s="166"/>
      <c r="W1465" s="199" t="str">
        <f t="shared" si="31"/>
        <v>1w</v>
      </c>
      <c r="X1465" s="200">
        <f>_xll.qlCalendarAdvance(Calendar,X1464,W1465,"f",FALSE)</f>
        <v>49088</v>
      </c>
      <c r="Y1465" s="204">
        <f>_xll.qlCalendarAdvance(Calendar,X1465,NDays&amp;"D")</f>
        <v>49090</v>
      </c>
      <c r="Z1465" s="205">
        <v>3.8362754902174924E-2</v>
      </c>
      <c r="AA1465" s="207">
        <v>3.8313065952690906E-2</v>
      </c>
    </row>
    <row r="1466" spans="19:27" x14ac:dyDescent="0.2">
      <c r="S1466" s="165"/>
      <c r="T1466" s="166"/>
      <c r="W1466" s="199" t="str">
        <f t="shared" si="31"/>
        <v>1w</v>
      </c>
      <c r="X1466" s="200">
        <f>_xll.qlCalendarAdvance(Calendar,X1465,W1466,"f",FALSE)</f>
        <v>49095</v>
      </c>
      <c r="Y1466" s="204">
        <f>_xll.qlCalendarAdvance(Calendar,X1466,NDays&amp;"D")</f>
        <v>49097</v>
      </c>
      <c r="Z1466" s="205">
        <v>3.8354671104414706E-2</v>
      </c>
      <c r="AA1466" s="207">
        <v>3.8306177081137704E-2</v>
      </c>
    </row>
    <row r="1467" spans="19:27" x14ac:dyDescent="0.2">
      <c r="S1467" s="165"/>
      <c r="T1467" s="166"/>
      <c r="W1467" s="199" t="str">
        <f t="shared" si="31"/>
        <v>1w</v>
      </c>
      <c r="X1467" s="200">
        <f>_xll.qlCalendarAdvance(Calendar,X1466,W1467,"f",FALSE)</f>
        <v>49102</v>
      </c>
      <c r="Y1467" s="204">
        <f>_xll.qlCalendarAdvance(Calendar,X1467,NDays&amp;"D")</f>
        <v>49104</v>
      </c>
      <c r="Z1467" s="205">
        <v>3.8346578260203164E-2</v>
      </c>
      <c r="AA1467" s="207">
        <v>3.8298126469840099E-2</v>
      </c>
    </row>
    <row r="1468" spans="19:27" x14ac:dyDescent="0.2">
      <c r="S1468" s="165"/>
      <c r="T1468" s="166"/>
      <c r="W1468" s="199" t="str">
        <f t="shared" si="31"/>
        <v>1w</v>
      </c>
      <c r="X1468" s="200">
        <f>_xll.qlCalendarAdvance(Calendar,X1467,W1468,"f",FALSE)</f>
        <v>49109</v>
      </c>
      <c r="Y1468" s="204">
        <f>_xll.qlCalendarAdvance(Calendar,X1468,NDays&amp;"D")</f>
        <v>49111</v>
      </c>
      <c r="Z1468" s="205">
        <v>3.8338482004882803E-2</v>
      </c>
      <c r="AA1468" s="207">
        <v>3.8290061218013705E-2</v>
      </c>
    </row>
    <row r="1469" spans="19:27" x14ac:dyDescent="0.2">
      <c r="S1469" s="165"/>
      <c r="T1469" s="166"/>
      <c r="W1469" s="199" t="str">
        <f t="shared" si="31"/>
        <v>1w</v>
      </c>
      <c r="X1469" s="200">
        <f>_xll.qlCalendarAdvance(Calendar,X1468,W1469,"f",FALSE)</f>
        <v>49116</v>
      </c>
      <c r="Y1469" s="204">
        <f>_xll.qlCalendarAdvance(Calendar,X1469,NDays&amp;"D")</f>
        <v>49118</v>
      </c>
      <c r="Z1469" s="205">
        <v>3.8330387973785823E-2</v>
      </c>
      <c r="AA1469" s="207">
        <v>3.8281981918064645E-2</v>
      </c>
    </row>
    <row r="1470" spans="19:27" x14ac:dyDescent="0.2">
      <c r="S1470" s="165"/>
      <c r="T1470" s="166"/>
      <c r="W1470" s="199" t="str">
        <f t="shared" si="31"/>
        <v>1w</v>
      </c>
      <c r="X1470" s="200">
        <f>_xll.qlCalendarAdvance(Calendar,X1469,W1470,"f",FALSE)</f>
        <v>49123</v>
      </c>
      <c r="Y1470" s="204">
        <f>_xll.qlCalendarAdvance(Calendar,X1470,NDays&amp;"D")</f>
        <v>49125</v>
      </c>
      <c r="Z1470" s="205">
        <v>3.832230162696787E-2</v>
      </c>
      <c r="AA1470" s="207">
        <v>3.827390515464657E-2</v>
      </c>
    </row>
    <row r="1471" spans="19:27" x14ac:dyDescent="0.2">
      <c r="S1471" s="165"/>
      <c r="T1471" s="166"/>
      <c r="W1471" s="199" t="str">
        <f t="shared" si="31"/>
        <v>1w</v>
      </c>
      <c r="X1471" s="200">
        <f>_xll.qlCalendarAdvance(Calendar,X1470,W1471,"f",FALSE)</f>
        <v>49130</v>
      </c>
      <c r="Y1471" s="204">
        <f>_xll.qlCalendarAdvance(Calendar,X1471,NDays&amp;"D")</f>
        <v>49132</v>
      </c>
      <c r="Z1471" s="205">
        <v>3.831422548086761E-2</v>
      </c>
      <c r="AA1471" s="207">
        <v>3.8265838627840054E-2</v>
      </c>
    </row>
    <row r="1472" spans="19:27" x14ac:dyDescent="0.2">
      <c r="S1472" s="165"/>
      <c r="T1472" s="166"/>
      <c r="W1472" s="199" t="str">
        <f t="shared" si="31"/>
        <v>1w</v>
      </c>
      <c r="X1472" s="200">
        <f>_xll.qlCalendarAdvance(Calendar,X1471,W1472,"f",FALSE)</f>
        <v>49137</v>
      </c>
      <c r="Y1472" s="204">
        <f>_xll.qlCalendarAdvance(Calendar,X1472,NDays&amp;"D")</f>
        <v>49139</v>
      </c>
      <c r="Z1472" s="205">
        <v>3.8306159609397518E-2</v>
      </c>
      <c r="AA1472" s="207">
        <v>3.8257782337485224E-2</v>
      </c>
    </row>
    <row r="1473" spans="19:27" x14ac:dyDescent="0.2">
      <c r="S1473" s="165"/>
      <c r="T1473" s="166"/>
      <c r="W1473" s="199" t="str">
        <f t="shared" si="31"/>
        <v>1w</v>
      </c>
      <c r="X1473" s="200">
        <f>_xll.qlCalendarAdvance(Calendar,X1472,W1473,"f",FALSE)</f>
        <v>49144</v>
      </c>
      <c r="Y1473" s="204">
        <f>_xll.qlCalendarAdvance(Calendar,X1473,NDays&amp;"D")</f>
        <v>49146</v>
      </c>
      <c r="Z1473" s="205">
        <v>3.8298104012534404E-2</v>
      </c>
      <c r="AA1473" s="207">
        <v>3.8249736283662017E-2</v>
      </c>
    </row>
    <row r="1474" spans="19:27" x14ac:dyDescent="0.2">
      <c r="S1474" s="165"/>
      <c r="T1474" s="166"/>
      <c r="W1474" s="199" t="str">
        <f t="shared" si="31"/>
        <v>1w</v>
      </c>
      <c r="X1474" s="200">
        <f>_xll.qlCalendarAdvance(Calendar,X1473,W1474,"f",FALSE)</f>
        <v>49151</v>
      </c>
      <c r="Y1474" s="204">
        <f>_xll.qlCalendarAdvance(Calendar,X1474,NDays&amp;"D")</f>
        <v>49153</v>
      </c>
      <c r="Z1474" s="205">
        <v>3.8291519034139021E-2</v>
      </c>
      <c r="AA1474" s="207">
        <v>3.8241700466450368E-2</v>
      </c>
    </row>
    <row r="1475" spans="19:27" x14ac:dyDescent="0.2">
      <c r="S1475" s="165"/>
      <c r="T1475" s="166"/>
      <c r="W1475" s="199" t="str">
        <f t="shared" si="31"/>
        <v>1w</v>
      </c>
      <c r="X1475" s="200">
        <f>_xll.qlCalendarAdvance(Calendar,X1474,W1475,"f",FALSE)</f>
        <v>49158</v>
      </c>
      <c r="Y1475" s="204">
        <f>_xll.qlCalendarAdvance(Calendar,X1475,NDays&amp;"D")</f>
        <v>49160</v>
      </c>
      <c r="Z1475" s="205">
        <v>3.8283483867242174E-2</v>
      </c>
      <c r="AA1475" s="207">
        <v>3.8233674885530533E-2</v>
      </c>
    </row>
    <row r="1476" spans="19:27" x14ac:dyDescent="0.2">
      <c r="S1476" s="165"/>
      <c r="T1476" s="166"/>
      <c r="W1476" s="199" t="str">
        <f t="shared" si="31"/>
        <v>1w</v>
      </c>
      <c r="X1476" s="200">
        <f>_xll.qlCalendarAdvance(Calendar,X1475,W1476,"f",FALSE)</f>
        <v>49165</v>
      </c>
      <c r="Y1476" s="204">
        <f>_xll.qlCalendarAdvance(Calendar,X1476,NDays&amp;"D")</f>
        <v>49167</v>
      </c>
      <c r="Z1476" s="205">
        <v>3.8273998869372869E-2</v>
      </c>
      <c r="AA1476" s="207">
        <v>3.8225659541462065E-2</v>
      </c>
    </row>
    <row r="1477" spans="19:27" x14ac:dyDescent="0.2">
      <c r="S1477" s="165"/>
      <c r="T1477" s="166"/>
      <c r="W1477" s="199" t="str">
        <f t="shared" si="31"/>
        <v>1w</v>
      </c>
      <c r="X1477" s="200">
        <f>_xll.qlCalendarAdvance(Calendar,X1476,W1477,"f",FALSE)</f>
        <v>49172</v>
      </c>
      <c r="Y1477" s="204">
        <f>_xll.qlCalendarAdvance(Calendar,X1477,NDays&amp;"D")</f>
        <v>49174</v>
      </c>
      <c r="Z1477" s="205">
        <v>3.8265984370726203E-2</v>
      </c>
      <c r="AA1477" s="207">
        <v>3.8217654433765347E-2</v>
      </c>
    </row>
    <row r="1478" spans="19:27" x14ac:dyDescent="0.2">
      <c r="S1478" s="165"/>
      <c r="T1478" s="166"/>
      <c r="W1478" s="199" t="str">
        <f t="shared" si="31"/>
        <v>1w</v>
      </c>
      <c r="X1478" s="200">
        <f>_xll.qlCalendarAdvance(Calendar,X1477,W1478,"f",FALSE)</f>
        <v>49179</v>
      </c>
      <c r="Y1478" s="204">
        <f>_xll.qlCalendarAdvance(Calendar,X1478,NDays&amp;"D")</f>
        <v>49181</v>
      </c>
      <c r="Z1478" s="205">
        <v>3.8257980146575624E-2</v>
      </c>
      <c r="AA1478" s="207">
        <v>3.8208518273776804E-2</v>
      </c>
    </row>
    <row r="1479" spans="19:27" x14ac:dyDescent="0.2">
      <c r="S1479" s="165"/>
      <c r="T1479" s="166"/>
      <c r="W1479" s="199" t="str">
        <f t="shared" si="31"/>
        <v>1w</v>
      </c>
      <c r="X1479" s="200">
        <f>_xll.qlCalendarAdvance(Calendar,X1478,W1479,"f",FALSE)</f>
        <v>49186</v>
      </c>
      <c r="Y1479" s="204">
        <f>_xll.qlCalendarAdvance(Calendar,X1479,NDays&amp;"D")</f>
        <v>49188</v>
      </c>
      <c r="Z1479" s="205">
        <v>3.8249986196910821E-2</v>
      </c>
      <c r="AA1479" s="207">
        <v>3.8201674928046714E-2</v>
      </c>
    </row>
    <row r="1480" spans="19:27" x14ac:dyDescent="0.2">
      <c r="S1480" s="165"/>
      <c r="T1480" s="166"/>
      <c r="W1480" s="199" t="str">
        <f t="shared" si="31"/>
        <v>1w</v>
      </c>
      <c r="X1480" s="200">
        <f>_xll.qlCalendarAdvance(Calendar,X1479,W1480,"f",FALSE)</f>
        <v>49193</v>
      </c>
      <c r="Y1480" s="204">
        <f>_xll.qlCalendarAdvance(Calendar,X1480,NDays&amp;"D")</f>
        <v>49195</v>
      </c>
      <c r="Z1480" s="205">
        <v>3.824346216949881E-2</v>
      </c>
      <c r="AA1480" s="207">
        <v>3.8193700530024799E-2</v>
      </c>
    </row>
    <row r="1481" spans="19:27" x14ac:dyDescent="0.2">
      <c r="S1481" s="165"/>
      <c r="T1481" s="166"/>
      <c r="W1481" s="199" t="str">
        <f t="shared" si="31"/>
        <v>1w</v>
      </c>
      <c r="X1481" s="200">
        <f>_xll.qlCalendarAdvance(Calendar,X1480,W1481,"f",FALSE)</f>
        <v>49200</v>
      </c>
      <c r="Y1481" s="204">
        <f>_xll.qlCalendarAdvance(Calendar,X1481,NDays&amp;"D")</f>
        <v>49202</v>
      </c>
      <c r="Z1481" s="205">
        <v>3.8234029120925099E-2</v>
      </c>
      <c r="AA1481" s="207">
        <v>3.818573636845457E-2</v>
      </c>
    </row>
    <row r="1482" spans="19:27" x14ac:dyDescent="0.2">
      <c r="S1482" s="165"/>
      <c r="T1482" s="166"/>
      <c r="W1482" s="199" t="str">
        <f t="shared" si="31"/>
        <v>1w</v>
      </c>
      <c r="X1482" s="200">
        <f>_xll.qlCalendarAdvance(Calendar,X1481,W1482,"f",FALSE)</f>
        <v>49207</v>
      </c>
      <c r="Y1482" s="204">
        <f>_xll.qlCalendarAdvance(Calendar,X1482,NDays&amp;"D")</f>
        <v>49209</v>
      </c>
      <c r="Z1482" s="205">
        <v>3.8226065994570652E-2</v>
      </c>
      <c r="AA1482" s="207">
        <v>3.81777824434959E-2</v>
      </c>
    </row>
    <row r="1483" spans="19:27" x14ac:dyDescent="0.2">
      <c r="S1483" s="165"/>
      <c r="T1483" s="166"/>
      <c r="W1483" s="199" t="str">
        <f t="shared" si="31"/>
        <v>1w</v>
      </c>
      <c r="X1483" s="200">
        <f>_xll.qlCalendarAdvance(Calendar,X1482,W1483,"f",FALSE)</f>
        <v>49214</v>
      </c>
      <c r="Y1483" s="204">
        <f>_xll.qlCalendarAdvance(Calendar,X1483,NDays&amp;"D")</f>
        <v>49216</v>
      </c>
      <c r="Z1483" s="205">
        <v>3.8219572459446127E-2</v>
      </c>
      <c r="AA1483" s="207">
        <v>3.8169838754988916E-2</v>
      </c>
    </row>
    <row r="1484" spans="19:27" x14ac:dyDescent="0.2">
      <c r="S1484" s="165"/>
      <c r="T1484" s="166"/>
      <c r="W1484" s="199" t="str">
        <f t="shared" si="31"/>
        <v>1w</v>
      </c>
      <c r="X1484" s="200">
        <f>_xll.qlCalendarAdvance(Calendar,X1483,W1484,"f",FALSE)</f>
        <v>49221</v>
      </c>
      <c r="Y1484" s="204">
        <f>_xll.qlCalendarAdvance(Calendar,X1484,NDays&amp;"D")</f>
        <v>49223</v>
      </c>
      <c r="Z1484" s="205">
        <v>3.8210170565022565E-2</v>
      </c>
      <c r="AA1484" s="207">
        <v>3.8161905303013555E-2</v>
      </c>
    </row>
    <row r="1485" spans="19:27" x14ac:dyDescent="0.2">
      <c r="S1485" s="165"/>
      <c r="T1485" s="166"/>
      <c r="W1485" s="199" t="str">
        <f t="shared" si="31"/>
        <v>1w</v>
      </c>
      <c r="X1485" s="200">
        <f>_xll.qlCalendarAdvance(Calendar,X1484,W1485,"f",FALSE)</f>
        <v>49228</v>
      </c>
      <c r="Y1485" s="204">
        <f>_xll.qlCalendarAdvance(Calendar,X1485,NDays&amp;"D")</f>
        <v>49230</v>
      </c>
      <c r="Z1485" s="205">
        <v>3.8202238261792816E-2</v>
      </c>
      <c r="AA1485" s="207">
        <v>3.8153982087489879E-2</v>
      </c>
    </row>
    <row r="1486" spans="19:27" x14ac:dyDescent="0.2">
      <c r="S1486" s="165"/>
      <c r="T1486" s="166"/>
      <c r="W1486" s="199" t="str">
        <f t="shared" si="31"/>
        <v>1w</v>
      </c>
      <c r="X1486" s="200">
        <f>_xll.qlCalendarAdvance(Calendar,X1485,W1486,"f",FALSE)</f>
        <v>49235</v>
      </c>
      <c r="Y1486" s="204">
        <f>_xll.qlCalendarAdvance(Calendar,X1486,NDays&amp;"D")</f>
        <v>49237</v>
      </c>
      <c r="Z1486" s="205">
        <v>3.8194316232888978E-2</v>
      </c>
      <c r="AA1486" s="207">
        <v>3.8146069108657699E-2</v>
      </c>
    </row>
    <row r="1487" spans="19:27" x14ac:dyDescent="0.2">
      <c r="S1487" s="165"/>
      <c r="T1487" s="166"/>
      <c r="W1487" s="199" t="str">
        <f t="shared" si="31"/>
        <v>1w</v>
      </c>
      <c r="X1487" s="200">
        <f>_xll.qlCalendarAdvance(Calendar,X1486,W1487,"f",FALSE)</f>
        <v>49242</v>
      </c>
      <c r="Y1487" s="204">
        <f>_xll.qlCalendarAdvance(Calendar,X1487,NDays&amp;"D")</f>
        <v>49244</v>
      </c>
      <c r="Z1487" s="205">
        <v>3.818640447829557E-2</v>
      </c>
      <c r="AA1487" s="207">
        <v>3.813816636635714E-2</v>
      </c>
    </row>
    <row r="1488" spans="19:27" x14ac:dyDescent="0.2">
      <c r="S1488" s="165"/>
      <c r="T1488" s="166"/>
      <c r="W1488" s="199" t="str">
        <f t="shared" si="31"/>
        <v>1w</v>
      </c>
      <c r="X1488" s="200">
        <f>_xll.qlCalendarAdvance(Calendar,X1487,W1488,"f",FALSE)</f>
        <v>49249</v>
      </c>
      <c r="Y1488" s="204">
        <f>_xll.qlCalendarAdvance(Calendar,X1488,NDays&amp;"D")</f>
        <v>49251</v>
      </c>
      <c r="Z1488" s="205">
        <v>3.8178502997999707E-2</v>
      </c>
      <c r="AA1488" s="207">
        <v>3.8130273860508268E-2</v>
      </c>
    </row>
    <row r="1489" spans="19:27" x14ac:dyDescent="0.2">
      <c r="S1489" s="165"/>
      <c r="T1489" s="166"/>
      <c r="W1489" s="199" t="str">
        <f t="shared" si="31"/>
        <v>1w</v>
      </c>
      <c r="X1489" s="200">
        <f>_xll.qlCalendarAdvance(Calendar,X1488,W1489,"f",FALSE)</f>
        <v>49256</v>
      </c>
      <c r="Y1489" s="204">
        <f>_xll.qlCalendarAdvance(Calendar,X1489,NDays&amp;"D")</f>
        <v>49258</v>
      </c>
      <c r="Z1489" s="205">
        <v>3.816577443931557E-2</v>
      </c>
      <c r="AA1489" s="207">
        <v>3.8122391591270954E-2</v>
      </c>
    </row>
    <row r="1490" spans="19:27" x14ac:dyDescent="0.2">
      <c r="S1490" s="165"/>
      <c r="T1490" s="166"/>
      <c r="W1490" s="199" t="str">
        <f t="shared" si="31"/>
        <v>1w</v>
      </c>
      <c r="X1490" s="200">
        <f>_xll.qlCalendarAdvance(Calendar,X1489,W1490,"f",FALSE)</f>
        <v>49263</v>
      </c>
      <c r="Y1490" s="204">
        <f>_xll.qlCalendarAdvance(Calendar,X1490,NDays&amp;"D")</f>
        <v>49265</v>
      </c>
      <c r="Z1490" s="205">
        <v>3.8162730860187143E-2</v>
      </c>
      <c r="AA1490" s="207">
        <v>3.8114519558325455E-2</v>
      </c>
    </row>
    <row r="1491" spans="19:27" x14ac:dyDescent="0.2">
      <c r="S1491" s="165"/>
      <c r="T1491" s="166"/>
      <c r="W1491" s="199" t="str">
        <f t="shared" si="31"/>
        <v>1w</v>
      </c>
      <c r="X1491" s="200">
        <f>_xll.qlCalendarAdvance(Calendar,X1490,W1491,"f",FALSE)</f>
        <v>49270</v>
      </c>
      <c r="Y1491" s="204">
        <f>_xll.qlCalendarAdvance(Calendar,X1491,NDays&amp;"D")</f>
        <v>49272</v>
      </c>
      <c r="Z1491" s="205">
        <v>3.8157777275791692E-2</v>
      </c>
      <c r="AA1491" s="207">
        <v>3.810665776207145E-2</v>
      </c>
    </row>
    <row r="1492" spans="19:27" x14ac:dyDescent="0.2">
      <c r="S1492" s="165"/>
      <c r="T1492" s="166"/>
      <c r="W1492" s="199" t="str">
        <f t="shared" si="31"/>
        <v>1w</v>
      </c>
      <c r="X1492" s="200">
        <f>_xll.qlCalendarAdvance(Calendar,X1491,W1492,"f",FALSE)</f>
        <v>49277</v>
      </c>
      <c r="Y1492" s="204">
        <f>_xll.qlCalendarAdvance(Calendar,X1492,NDays&amp;"D")</f>
        <v>49279</v>
      </c>
      <c r="Z1492" s="205">
        <v>3.8148458211325897E-2</v>
      </c>
      <c r="AA1492" s="207">
        <v>3.8098806202349067E-2</v>
      </c>
    </row>
    <row r="1493" spans="19:27" x14ac:dyDescent="0.2">
      <c r="S1493" s="165"/>
      <c r="T1493" s="166"/>
      <c r="W1493" s="199" t="str">
        <f t="shared" ref="W1493:W1556" si="32">W1492</f>
        <v>1w</v>
      </c>
      <c r="X1493" s="200">
        <f>_xll.qlCalendarAdvance(Calendar,X1492,W1493,"f",FALSE)</f>
        <v>49284</v>
      </c>
      <c r="Y1493" s="204">
        <f>_xll.qlCalendarAdvance(Calendar,X1493,NDays&amp;"D")</f>
        <v>49286</v>
      </c>
      <c r="Z1493" s="205">
        <v>3.8139149710122264E-2</v>
      </c>
      <c r="AA1493" s="207">
        <v>3.8090964879158307E-2</v>
      </c>
    </row>
    <row r="1494" spans="19:27" x14ac:dyDescent="0.2">
      <c r="S1494" s="165"/>
      <c r="T1494" s="166"/>
      <c r="W1494" s="199" t="str">
        <f t="shared" si="32"/>
        <v>1w</v>
      </c>
      <c r="X1494" s="200">
        <f>_xll.qlCalendarAdvance(Calendar,X1493,W1494,"f",FALSE)</f>
        <v>49291</v>
      </c>
      <c r="Y1494" s="204">
        <f>_xll.qlCalendarAdvance(Calendar,X1494,NDays&amp;"D")</f>
        <v>49293</v>
      </c>
      <c r="Z1494" s="205">
        <v>3.8132768075495316E-2</v>
      </c>
      <c r="AA1494" s="207">
        <v>3.8083133792419233E-2</v>
      </c>
    </row>
    <row r="1495" spans="19:27" x14ac:dyDescent="0.2">
      <c r="S1495" s="165"/>
      <c r="T1495" s="166"/>
      <c r="W1495" s="199" t="str">
        <f t="shared" si="32"/>
        <v>1w</v>
      </c>
      <c r="X1495" s="200">
        <f>_xll.qlCalendarAdvance(Calendar,X1494,W1495,"f",FALSE)</f>
        <v>49298</v>
      </c>
      <c r="Y1495" s="204">
        <f>_xll.qlCalendarAdvance(Calendar,X1495,NDays&amp;"D")</f>
        <v>49300</v>
      </c>
      <c r="Z1495" s="205">
        <v>3.8123480314276897E-2</v>
      </c>
      <c r="AA1495" s="207">
        <v>3.8073080293825612E-2</v>
      </c>
    </row>
    <row r="1496" spans="19:27" x14ac:dyDescent="0.2">
      <c r="S1496" s="165"/>
      <c r="T1496" s="166"/>
      <c r="W1496" s="199" t="str">
        <f t="shared" si="32"/>
        <v>1w</v>
      </c>
      <c r="X1496" s="200">
        <f>_xll.qlCalendarAdvance(Calendar,X1495,W1496,"f",FALSE)</f>
        <v>49305</v>
      </c>
      <c r="Y1496" s="204">
        <f>_xll.qlCalendarAdvance(Calendar,X1496,NDays&amp;"D")</f>
        <v>49307</v>
      </c>
      <c r="Z1496" s="205">
        <v>3.8118577149071277E-2</v>
      </c>
      <c r="AA1496" s="207">
        <v>3.8066387362256648E-2</v>
      </c>
    </row>
    <row r="1497" spans="19:27" x14ac:dyDescent="0.2">
      <c r="S1497" s="165"/>
      <c r="T1497" s="166"/>
      <c r="W1497" s="199" t="str">
        <f t="shared" si="32"/>
        <v>1w</v>
      </c>
      <c r="X1497" s="200">
        <f>_xll.qlCalendarAdvance(Calendar,X1496,W1497,"f",FALSE)</f>
        <v>49312</v>
      </c>
      <c r="Y1497" s="204">
        <f>_xll.qlCalendarAdvance(Calendar,X1497,NDays&amp;"D")</f>
        <v>49314</v>
      </c>
      <c r="Z1497" s="205">
        <v>3.8107852014925475E-2</v>
      </c>
      <c r="AA1497" s="207">
        <v>3.8059701951471681E-2</v>
      </c>
    </row>
    <row r="1498" spans="19:27" x14ac:dyDescent="0.2">
      <c r="S1498" s="165"/>
      <c r="T1498" s="166"/>
      <c r="W1498" s="199" t="str">
        <f t="shared" si="32"/>
        <v>1w</v>
      </c>
      <c r="X1498" s="200">
        <f>_xll.qlCalendarAdvance(Calendar,X1497,W1498,"f",FALSE)</f>
        <v>49319</v>
      </c>
      <c r="Y1498" s="204">
        <f>_xll.qlCalendarAdvance(Calendar,X1498,NDays&amp;"D")</f>
        <v>49321</v>
      </c>
      <c r="Z1498" s="205">
        <v>3.8100053276382786E-2</v>
      </c>
      <c r="AA1498" s="207">
        <v>3.8051911810859096E-2</v>
      </c>
    </row>
    <row r="1499" spans="19:27" x14ac:dyDescent="0.2">
      <c r="S1499" s="165"/>
      <c r="T1499" s="166"/>
      <c r="W1499" s="199" t="str">
        <f t="shared" si="32"/>
        <v>1w</v>
      </c>
      <c r="X1499" s="200">
        <f>_xll.qlCalendarAdvance(Calendar,X1498,W1499,"f",FALSE)</f>
        <v>49326</v>
      </c>
      <c r="Y1499" s="204">
        <f>_xll.qlCalendarAdvance(Calendar,X1499,NDays&amp;"D")</f>
        <v>49328</v>
      </c>
      <c r="Z1499" s="205">
        <v>3.8093722555038456E-2</v>
      </c>
      <c r="AA1499" s="207">
        <v>3.8044131906698198E-2</v>
      </c>
    </row>
    <row r="1500" spans="19:27" x14ac:dyDescent="0.2">
      <c r="S1500" s="165"/>
      <c r="T1500" s="166"/>
      <c r="W1500" s="199" t="str">
        <f t="shared" si="32"/>
        <v>1w</v>
      </c>
      <c r="X1500" s="200">
        <f>_xll.qlCalendarAdvance(Calendar,X1499,W1500,"f",FALSE)</f>
        <v>49333</v>
      </c>
      <c r="Y1500" s="204">
        <f>_xll.qlCalendarAdvance(Calendar,X1500,NDays&amp;"D")</f>
        <v>49335</v>
      </c>
      <c r="Z1500" s="205">
        <v>3.808448662146028E-2</v>
      </c>
      <c r="AA1500" s="207">
        <v>3.8036362239228794E-2</v>
      </c>
    </row>
    <row r="1501" spans="19:27" x14ac:dyDescent="0.2">
      <c r="S1501" s="165"/>
      <c r="T1501" s="166"/>
      <c r="W1501" s="199" t="str">
        <f t="shared" si="32"/>
        <v>1w</v>
      </c>
      <c r="X1501" s="200">
        <f>_xll.qlCalendarAdvance(Calendar,X1500,W1501,"f",FALSE)</f>
        <v>49340</v>
      </c>
      <c r="Y1501" s="204">
        <f>_xll.qlCalendarAdvance(Calendar,X1501,NDays&amp;"D")</f>
        <v>49342</v>
      </c>
      <c r="Z1501" s="205">
        <v>3.8072346565150648E-2</v>
      </c>
      <c r="AA1501" s="207">
        <v>3.8028602808051204E-2</v>
      </c>
    </row>
    <row r="1502" spans="19:27" x14ac:dyDescent="0.2">
      <c r="S1502" s="165"/>
      <c r="T1502" s="166"/>
      <c r="W1502" s="199" t="str">
        <f t="shared" si="32"/>
        <v>1w</v>
      </c>
      <c r="X1502" s="200">
        <f>_xll.qlCalendarAdvance(Calendar,X1501,W1502,"f",FALSE)</f>
        <v>49347</v>
      </c>
      <c r="Y1502" s="204">
        <f>_xll.qlCalendarAdvance(Calendar,X1502,NDays&amp;"D")</f>
        <v>49349</v>
      </c>
      <c r="Z1502" s="205">
        <v>3.806458917885161E-2</v>
      </c>
      <c r="AA1502" s="207">
        <v>3.8020853613565109E-2</v>
      </c>
    </row>
    <row r="1503" spans="19:27" x14ac:dyDescent="0.2">
      <c r="S1503" s="165"/>
      <c r="T1503" s="166"/>
      <c r="W1503" s="199" t="str">
        <f t="shared" si="32"/>
        <v>1w</v>
      </c>
      <c r="X1503" s="200">
        <f>_xll.qlCalendarAdvance(Calendar,X1502,W1503,"f",FALSE)</f>
        <v>49354</v>
      </c>
      <c r="Y1503" s="204">
        <f>_xll.qlCalendarAdvance(Calendar,X1503,NDays&amp;"D")</f>
        <v>49356</v>
      </c>
      <c r="Z1503" s="205">
        <v>3.8056842062780101E-2</v>
      </c>
      <c r="AA1503" s="207">
        <v>3.8013114655450764E-2</v>
      </c>
    </row>
    <row r="1504" spans="19:27" x14ac:dyDescent="0.2">
      <c r="S1504" s="165"/>
      <c r="T1504" s="166"/>
      <c r="W1504" s="199" t="str">
        <f t="shared" si="32"/>
        <v>1w</v>
      </c>
      <c r="X1504" s="200">
        <f>_xll.qlCalendarAdvance(Calendar,X1503,W1504,"f",FALSE)</f>
        <v>49361</v>
      </c>
      <c r="Y1504" s="204">
        <f>_xll.qlCalendarAdvance(Calendar,X1504,NDays&amp;"D")</f>
        <v>49363</v>
      </c>
      <c r="Z1504" s="205">
        <v>3.805493391690451E-2</v>
      </c>
      <c r="AA1504" s="207">
        <v>3.8005385933947977E-2</v>
      </c>
    </row>
    <row r="1505" spans="19:27" x14ac:dyDescent="0.2">
      <c r="S1505" s="165"/>
      <c r="T1505" s="166"/>
      <c r="W1505" s="199" t="str">
        <f t="shared" si="32"/>
        <v>1w</v>
      </c>
      <c r="X1505" s="200">
        <f>_xll.qlCalendarAdvance(Calendar,X1504,W1505,"f",FALSE)</f>
        <v>49368</v>
      </c>
      <c r="Y1505" s="204">
        <f>_xll.qlCalendarAdvance(Calendar,X1505,NDays&amp;"D")</f>
        <v>49370</v>
      </c>
      <c r="Z1505" s="205">
        <v>3.8045749779171606E-2</v>
      </c>
      <c r="AA1505" s="207">
        <v>3.7997667448976813E-2</v>
      </c>
    </row>
    <row r="1506" spans="19:27" x14ac:dyDescent="0.2">
      <c r="S1506" s="165"/>
      <c r="T1506" s="166"/>
      <c r="W1506" s="199" t="str">
        <f t="shared" si="32"/>
        <v>1w</v>
      </c>
      <c r="X1506" s="200">
        <f>_xll.qlCalendarAdvance(Calendar,X1505,W1506,"f",FALSE)</f>
        <v>49375</v>
      </c>
      <c r="Y1506" s="204">
        <f>_xll.qlCalendarAdvance(Calendar,X1506,NDays&amp;"D")</f>
        <v>49377</v>
      </c>
      <c r="Z1506" s="205">
        <v>3.8038033232549284E-2</v>
      </c>
      <c r="AA1506" s="207">
        <v>3.7989959200457335E-2</v>
      </c>
    </row>
    <row r="1507" spans="19:27" x14ac:dyDescent="0.2">
      <c r="S1507" s="165"/>
      <c r="T1507" s="166"/>
      <c r="W1507" s="199" t="str">
        <f t="shared" si="32"/>
        <v>1w</v>
      </c>
      <c r="X1507" s="200">
        <f>_xll.qlCalendarAdvance(Calendar,X1506,W1507,"f",FALSE)</f>
        <v>49382</v>
      </c>
      <c r="Y1507" s="204">
        <f>_xll.qlCalendarAdvance(Calendar,X1507,NDays&amp;"D")</f>
        <v>49384</v>
      </c>
      <c r="Z1507" s="205">
        <v>3.8030326959824813E-2</v>
      </c>
      <c r="AA1507" s="207">
        <v>3.7982261188549415E-2</v>
      </c>
    </row>
    <row r="1508" spans="19:27" x14ac:dyDescent="0.2">
      <c r="S1508" s="165"/>
      <c r="T1508" s="166"/>
      <c r="W1508" s="199" t="str">
        <f t="shared" si="32"/>
        <v>1w</v>
      </c>
      <c r="X1508" s="200">
        <f>_xll.qlCalendarAdvance(Calendar,X1507,W1508,"f",FALSE)</f>
        <v>49389</v>
      </c>
      <c r="Y1508" s="204">
        <f>_xll.qlCalendarAdvance(Calendar,X1508,NDays&amp;"D")</f>
        <v>49395</v>
      </c>
      <c r="Z1508" s="205">
        <v>3.8018237860106115E-2</v>
      </c>
      <c r="AA1508" s="207">
        <v>3.7972378785973149E-2</v>
      </c>
    </row>
    <row r="1509" spans="19:27" x14ac:dyDescent="0.2">
      <c r="S1509" s="165"/>
      <c r="T1509" s="166"/>
      <c r="W1509" s="199" t="str">
        <f t="shared" si="32"/>
        <v>1w</v>
      </c>
      <c r="X1509" s="200">
        <f>_xll.qlCalendarAdvance(Calendar,X1508,W1509,"f",FALSE)</f>
        <v>49396</v>
      </c>
      <c r="Y1509" s="204">
        <f>_xll.qlCalendarAdvance(Calendar,X1509,NDays&amp;"D")</f>
        <v>49398</v>
      </c>
      <c r="Z1509" s="205">
        <v>3.8014945235986954E-2</v>
      </c>
      <c r="AA1509" s="207">
        <v>3.7966895874168571E-2</v>
      </c>
    </row>
    <row r="1510" spans="19:27" x14ac:dyDescent="0.2">
      <c r="S1510" s="165"/>
      <c r="T1510" s="166"/>
      <c r="W1510" s="199" t="str">
        <f t="shared" si="32"/>
        <v>1w</v>
      </c>
      <c r="X1510" s="200">
        <f>_xll.qlCalendarAdvance(Calendar,X1509,W1510,"f",FALSE)</f>
        <v>49403</v>
      </c>
      <c r="Y1510" s="204">
        <f>_xll.qlCalendarAdvance(Calendar,X1510,NDays&amp;"D")</f>
        <v>49405</v>
      </c>
      <c r="Z1510" s="205">
        <v>3.8008726632086098E-2</v>
      </c>
      <c r="AA1510" s="207">
        <v>3.7959228571695647E-2</v>
      </c>
    </row>
    <row r="1511" spans="19:27" x14ac:dyDescent="0.2">
      <c r="S1511" s="165"/>
      <c r="T1511" s="166"/>
      <c r="W1511" s="199" t="str">
        <f t="shared" si="32"/>
        <v>1w</v>
      </c>
      <c r="X1511" s="200">
        <f>_xll.qlCalendarAdvance(Calendar,X1510,W1511,"f",FALSE)</f>
        <v>49410</v>
      </c>
      <c r="Y1511" s="204">
        <f>_xll.qlCalendarAdvance(Calendar,X1511,NDays&amp;"D")</f>
        <v>49412</v>
      </c>
      <c r="Z1511" s="205">
        <v>3.7999604607500723E-2</v>
      </c>
      <c r="AA1511" s="207">
        <v>3.7951571505754345E-2</v>
      </c>
    </row>
    <row r="1512" spans="19:27" x14ac:dyDescent="0.2">
      <c r="S1512" s="165"/>
      <c r="T1512" s="166"/>
      <c r="W1512" s="199" t="str">
        <f t="shared" si="32"/>
        <v>1w</v>
      </c>
      <c r="X1512" s="200">
        <f>_xll.qlCalendarAdvance(Calendar,X1511,W1512,"f",FALSE)</f>
        <v>49417</v>
      </c>
      <c r="Y1512" s="204">
        <f>_xll.qlCalendarAdvance(Calendar,X1512,NDays&amp;"D")</f>
        <v>49419</v>
      </c>
      <c r="Z1512" s="205">
        <v>3.7991949703961296E-2</v>
      </c>
      <c r="AA1512" s="207">
        <v>3.7943924676264729E-2</v>
      </c>
    </row>
    <row r="1513" spans="19:27" x14ac:dyDescent="0.2">
      <c r="S1513" s="165"/>
      <c r="T1513" s="166"/>
      <c r="W1513" s="199" t="str">
        <f t="shared" si="32"/>
        <v>1w</v>
      </c>
      <c r="X1513" s="200">
        <f>_xll.qlCalendarAdvance(Calendar,X1512,W1513,"f",FALSE)</f>
        <v>49424</v>
      </c>
      <c r="Y1513" s="204">
        <f>_xll.qlCalendarAdvance(Calendar,X1513,NDays&amp;"D")</f>
        <v>49426</v>
      </c>
      <c r="Z1513" s="205">
        <v>3.7985761703284993E-2</v>
      </c>
      <c r="AA1513" s="207">
        <v>3.7936288083386671E-2</v>
      </c>
    </row>
    <row r="1514" spans="19:27" x14ac:dyDescent="0.2">
      <c r="S1514" s="165"/>
      <c r="T1514" s="166"/>
      <c r="W1514" s="199" t="str">
        <f t="shared" si="32"/>
        <v>1w</v>
      </c>
      <c r="X1514" s="200">
        <f>_xll.qlCalendarAdvance(Calendar,X1513,W1514,"f",FALSE)</f>
        <v>49431</v>
      </c>
      <c r="Y1514" s="204">
        <f>_xll.qlCalendarAdvance(Calendar,X1514,NDays&amp;"D")</f>
        <v>49433</v>
      </c>
      <c r="Z1514" s="205">
        <v>3.7976670718191809E-2</v>
      </c>
      <c r="AA1514" s="207">
        <v>3.7927573083145205E-2</v>
      </c>
    </row>
    <row r="1515" spans="19:27" x14ac:dyDescent="0.2">
      <c r="S1515" s="165"/>
      <c r="T1515" s="166"/>
      <c r="W1515" s="199" t="str">
        <f t="shared" si="32"/>
        <v>1w</v>
      </c>
      <c r="X1515" s="200">
        <f>_xll.qlCalendarAdvance(Calendar,X1514,W1515,"f",FALSE)</f>
        <v>49438</v>
      </c>
      <c r="Y1515" s="204">
        <f>_xll.qlCalendarAdvance(Calendar,X1515,NDays&amp;"D")</f>
        <v>49440</v>
      </c>
      <c r="Z1515" s="205">
        <v>3.7969046635920496E-2</v>
      </c>
      <c r="AA1515" s="207">
        <v>3.7921045607065551E-2</v>
      </c>
    </row>
    <row r="1516" spans="19:27" x14ac:dyDescent="0.2">
      <c r="S1516" s="165"/>
      <c r="T1516" s="166"/>
      <c r="W1516" s="199" t="str">
        <f t="shared" si="32"/>
        <v>1w</v>
      </c>
      <c r="X1516" s="200">
        <f>_xll.qlCalendarAdvance(Calendar,X1515,W1516,"f",FALSE)</f>
        <v>49445</v>
      </c>
      <c r="Y1516" s="204">
        <f>_xll.qlCalendarAdvance(Calendar,X1516,NDays&amp;"D")</f>
        <v>49447</v>
      </c>
      <c r="Z1516" s="205">
        <v>3.7961432827361384E-2</v>
      </c>
      <c r="AA1516" s="207">
        <v>3.7913439723702425E-2</v>
      </c>
    </row>
    <row r="1517" spans="19:27" x14ac:dyDescent="0.2">
      <c r="S1517" s="165"/>
      <c r="T1517" s="166"/>
      <c r="W1517" s="199" t="str">
        <f t="shared" si="32"/>
        <v>1w</v>
      </c>
      <c r="X1517" s="200">
        <f>_xll.qlCalendarAdvance(Calendar,X1516,W1517,"f",FALSE)</f>
        <v>49452</v>
      </c>
      <c r="Y1517" s="204">
        <f>_xll.qlCalendarAdvance(Calendar,X1517,NDays&amp;"D")</f>
        <v>49454</v>
      </c>
      <c r="Z1517" s="205">
        <v>3.7953829292499006E-2</v>
      </c>
      <c r="AA1517" s="207">
        <v>3.7904759820026612E-2</v>
      </c>
    </row>
    <row r="1518" spans="19:27" x14ac:dyDescent="0.2">
      <c r="S1518" s="165"/>
      <c r="T1518" s="166"/>
      <c r="W1518" s="199" t="str">
        <f t="shared" si="32"/>
        <v>1w</v>
      </c>
      <c r="X1518" s="200">
        <f>_xll.qlCalendarAdvance(Calendar,X1517,W1518,"f",FALSE)</f>
        <v>49459</v>
      </c>
      <c r="Y1518" s="204">
        <f>_xll.qlCalendarAdvance(Calendar,X1518,NDays&amp;"D")</f>
        <v>49461</v>
      </c>
      <c r="Z1518" s="205">
        <v>3.7946236031315313E-2</v>
      </c>
      <c r="AA1518" s="207">
        <v>3.7898258666491103E-2</v>
      </c>
    </row>
    <row r="1519" spans="19:27" x14ac:dyDescent="0.2">
      <c r="S1519" s="165"/>
      <c r="T1519" s="166"/>
      <c r="W1519" s="199" t="str">
        <f t="shared" si="32"/>
        <v>1w</v>
      </c>
      <c r="X1519" s="200">
        <f>_xll.qlCalendarAdvance(Calendar,X1518,W1519,"f",FALSE)</f>
        <v>49466</v>
      </c>
      <c r="Y1519" s="204">
        <f>_xll.qlCalendarAdvance(Calendar,X1519,NDays&amp;"D")</f>
        <v>49468</v>
      </c>
      <c r="Z1519" s="205">
        <v>3.7938653043784507E-2</v>
      </c>
      <c r="AA1519" s="207">
        <v>3.7890683492562971E-2</v>
      </c>
    </row>
    <row r="1520" spans="19:27" x14ac:dyDescent="0.2">
      <c r="S1520" s="165"/>
      <c r="T1520" s="166"/>
      <c r="W1520" s="199" t="str">
        <f t="shared" si="32"/>
        <v>1w</v>
      </c>
      <c r="X1520" s="200">
        <f>_xll.qlCalendarAdvance(Calendar,X1519,W1520,"f",FALSE)</f>
        <v>49473</v>
      </c>
      <c r="Y1520" s="204">
        <f>_xll.qlCalendarAdvance(Calendar,X1520,NDays&amp;"D")</f>
        <v>49475</v>
      </c>
      <c r="Z1520" s="205">
        <v>3.7931080329888553E-2</v>
      </c>
      <c r="AA1520" s="207">
        <v>3.7883118555246398E-2</v>
      </c>
    </row>
    <row r="1521" spans="19:27" x14ac:dyDescent="0.2">
      <c r="S1521" s="165"/>
      <c r="T1521" s="166"/>
      <c r="W1521" s="199" t="str">
        <f t="shared" si="32"/>
        <v>1w</v>
      </c>
      <c r="X1521" s="200">
        <f>_xll.qlCalendarAdvance(Calendar,X1520,W1521,"f",FALSE)</f>
        <v>49480</v>
      </c>
      <c r="Y1521" s="204">
        <f>_xll.qlCalendarAdvance(Calendar,X1521,NDays&amp;"D")</f>
        <v>49482</v>
      </c>
      <c r="Z1521" s="205">
        <v>3.7923517889606823E-2</v>
      </c>
      <c r="AA1521" s="207">
        <v>3.7875563854381511E-2</v>
      </c>
    </row>
    <row r="1522" spans="19:27" x14ac:dyDescent="0.2">
      <c r="S1522" s="165"/>
      <c r="T1522" s="166"/>
      <c r="W1522" s="199" t="str">
        <f t="shared" si="32"/>
        <v>1w</v>
      </c>
      <c r="X1522" s="200">
        <f>_xll.qlCalendarAdvance(Calendar,X1521,W1522,"f",FALSE)</f>
        <v>49487</v>
      </c>
      <c r="Y1522" s="204">
        <f>_xll.qlCalendarAdvance(Calendar,X1522,NDays&amp;"D")</f>
        <v>49489</v>
      </c>
      <c r="Z1522" s="205">
        <v>3.7917421764536996E-2</v>
      </c>
      <c r="AA1522" s="207">
        <v>3.7868019390048246E-2</v>
      </c>
    </row>
    <row r="1523" spans="19:27" x14ac:dyDescent="0.2">
      <c r="S1523" s="165"/>
      <c r="T1523" s="166"/>
      <c r="W1523" s="199" t="str">
        <f t="shared" si="32"/>
        <v>1w</v>
      </c>
      <c r="X1523" s="200">
        <f>_xll.qlCalendarAdvance(Calendar,X1522,W1523,"f",FALSE)</f>
        <v>49494</v>
      </c>
      <c r="Y1523" s="204">
        <f>_xll.qlCalendarAdvance(Calendar,X1523,NDays&amp;"D")</f>
        <v>49496</v>
      </c>
      <c r="Z1523" s="205">
        <v>3.7908423829811223E-2</v>
      </c>
      <c r="AA1523" s="207">
        <v>3.7860485162166668E-2</v>
      </c>
    </row>
    <row r="1524" spans="19:27" x14ac:dyDescent="0.2">
      <c r="S1524" s="165"/>
      <c r="T1524" s="166"/>
      <c r="W1524" s="199" t="str">
        <f t="shared" si="32"/>
        <v>1w</v>
      </c>
      <c r="X1524" s="200">
        <f>_xll.qlCalendarAdvance(Calendar,X1523,W1524,"f",FALSE)</f>
        <v>49501</v>
      </c>
      <c r="Y1524" s="204">
        <f>_xll.qlCalendarAdvance(Calendar,X1524,NDays&amp;"D")</f>
        <v>49503</v>
      </c>
      <c r="Z1524" s="205">
        <v>3.7900892210258677E-2</v>
      </c>
      <c r="AA1524" s="207">
        <v>3.7852961170816712E-2</v>
      </c>
    </row>
    <row r="1525" spans="19:27" x14ac:dyDescent="0.2">
      <c r="S1525" s="165"/>
      <c r="T1525" s="166"/>
      <c r="W1525" s="199" t="str">
        <f t="shared" si="32"/>
        <v>1w</v>
      </c>
      <c r="X1525" s="200">
        <f>_xll.qlCalendarAdvance(Calendar,X1524,W1525,"f",FALSE)</f>
        <v>49508</v>
      </c>
      <c r="Y1525" s="204">
        <f>_xll.qlCalendarAdvance(Calendar,X1525,NDays&amp;"D")</f>
        <v>49510</v>
      </c>
      <c r="Z1525" s="205">
        <v>3.7893370864237844E-2</v>
      </c>
      <c r="AA1525" s="207">
        <v>3.7845447415998379E-2</v>
      </c>
    </row>
    <row r="1526" spans="19:27" x14ac:dyDescent="0.2">
      <c r="S1526" s="165"/>
      <c r="T1526" s="166"/>
      <c r="W1526" s="199" t="str">
        <f t="shared" si="32"/>
        <v>1w</v>
      </c>
      <c r="X1526" s="200">
        <f>_xll.qlCalendarAdvance(Calendar,X1525,W1526,"f",FALSE)</f>
        <v>49515</v>
      </c>
      <c r="Y1526" s="204">
        <f>_xll.qlCalendarAdvance(Calendar,X1526,NDays&amp;"D")</f>
        <v>49517</v>
      </c>
      <c r="Z1526" s="205">
        <v>3.7887315604427096E-2</v>
      </c>
      <c r="AA1526" s="207">
        <v>3.7837943897631732E-2</v>
      </c>
    </row>
    <row r="1527" spans="19:27" x14ac:dyDescent="0.2">
      <c r="S1527" s="165"/>
      <c r="T1527" s="166"/>
      <c r="W1527" s="199" t="str">
        <f t="shared" si="32"/>
        <v>1w</v>
      </c>
      <c r="X1527" s="200">
        <f>_xll.qlCalendarAdvance(Calendar,X1526,W1527,"f",FALSE)</f>
        <v>49522</v>
      </c>
      <c r="Y1527" s="204">
        <f>_xll.qlCalendarAdvance(Calendar,X1527,NDays&amp;"D")</f>
        <v>49524</v>
      </c>
      <c r="Z1527" s="205">
        <v>3.7879814751275998E-2</v>
      </c>
      <c r="AA1527" s="207">
        <v>3.7830450615796707E-2</v>
      </c>
    </row>
    <row r="1528" spans="19:27" x14ac:dyDescent="0.2">
      <c r="S1528" s="165"/>
      <c r="T1528" s="166"/>
      <c r="W1528" s="199" t="str">
        <f t="shared" si="32"/>
        <v>1w</v>
      </c>
      <c r="X1528" s="200">
        <f>_xll.qlCalendarAdvance(Calendar,X1527,W1528,"f",FALSE)</f>
        <v>49529</v>
      </c>
      <c r="Y1528" s="204">
        <f>_xll.qlCalendarAdvance(Calendar,X1528,NDays&amp;"D")</f>
        <v>49531</v>
      </c>
      <c r="Z1528" s="205">
        <v>3.7870868467190198E-2</v>
      </c>
      <c r="AA1528" s="207">
        <v>3.7822967570413368E-2</v>
      </c>
    </row>
    <row r="1529" spans="19:27" x14ac:dyDescent="0.2">
      <c r="S1529" s="165"/>
      <c r="T1529" s="166"/>
      <c r="W1529" s="199" t="str">
        <f t="shared" si="32"/>
        <v>1w</v>
      </c>
      <c r="X1529" s="200">
        <f>_xll.qlCalendarAdvance(Calendar,X1528,W1529,"f",FALSE)</f>
        <v>49536</v>
      </c>
      <c r="Y1529" s="204">
        <f>_xll.qlCalendarAdvance(Calendar,X1529,NDays&amp;"D")</f>
        <v>49538</v>
      </c>
      <c r="Z1529" s="205">
        <v>3.7863388215110511E-2</v>
      </c>
      <c r="AA1529" s="207">
        <v>3.7815494761481716E-2</v>
      </c>
    </row>
    <row r="1530" spans="19:27" x14ac:dyDescent="0.2">
      <c r="S1530" s="165"/>
      <c r="T1530" s="166"/>
      <c r="W1530" s="199" t="str">
        <f t="shared" si="32"/>
        <v>1w</v>
      </c>
      <c r="X1530" s="200">
        <f>_xll.qlCalendarAdvance(Calendar,X1529,W1530,"f",FALSE)</f>
        <v>49543</v>
      </c>
      <c r="Y1530" s="204">
        <f>_xll.qlCalendarAdvance(Calendar,X1530,NDays&amp;"D")</f>
        <v>49545</v>
      </c>
      <c r="Z1530" s="205">
        <v>3.78559182364697E-2</v>
      </c>
      <c r="AA1530" s="207">
        <v>3.7806966943110254E-2</v>
      </c>
    </row>
    <row r="1531" spans="19:27" x14ac:dyDescent="0.2">
      <c r="S1531" s="165"/>
      <c r="T1531" s="166"/>
      <c r="W1531" s="199" t="str">
        <f t="shared" si="32"/>
        <v>1w</v>
      </c>
      <c r="X1531" s="200">
        <f>_xll.qlCalendarAdvance(Calendar,X1530,W1531,"f",FALSE)</f>
        <v>49550</v>
      </c>
      <c r="Y1531" s="204">
        <f>_xll.qlCalendarAdvance(Calendar,X1531,NDays&amp;"D")</f>
        <v>49552</v>
      </c>
      <c r="Z1531" s="205">
        <v>3.7844092452188657E-2</v>
      </c>
      <c r="AA1531" s="207">
        <v>3.7800579853373151E-2</v>
      </c>
    </row>
    <row r="1532" spans="19:27" x14ac:dyDescent="0.2">
      <c r="S1532" s="165"/>
      <c r="T1532" s="166"/>
      <c r="W1532" s="199" t="str">
        <f t="shared" si="32"/>
        <v>1w</v>
      </c>
      <c r="X1532" s="200">
        <f>_xll.qlCalendarAdvance(Calendar,X1531,W1532,"f",FALSE)</f>
        <v>49557</v>
      </c>
      <c r="Y1532" s="204">
        <f>_xll.qlCalendarAdvance(Calendar,X1532,NDays&amp;"D")</f>
        <v>49559</v>
      </c>
      <c r="Z1532" s="205">
        <v>3.7842464605737092E-2</v>
      </c>
      <c r="AA1532" s="207">
        <v>3.7793137754036366E-2</v>
      </c>
    </row>
    <row r="1533" spans="19:27" x14ac:dyDescent="0.2">
      <c r="S1533" s="165"/>
      <c r="T1533" s="166"/>
      <c r="W1533" s="199" t="str">
        <f t="shared" si="32"/>
        <v>1w</v>
      </c>
      <c r="X1533" s="200">
        <f>_xll.qlCalendarAdvance(Calendar,X1532,W1533,"f",FALSE)</f>
        <v>49564</v>
      </c>
      <c r="Y1533" s="204">
        <f>_xll.qlCalendarAdvance(Calendar,X1533,NDays&amp;"D")</f>
        <v>49566</v>
      </c>
      <c r="Z1533" s="205">
        <v>3.7833569940963908E-2</v>
      </c>
      <c r="AA1533" s="207">
        <v>3.7785705891151267E-2</v>
      </c>
    </row>
    <row r="1534" spans="19:27" x14ac:dyDescent="0.2">
      <c r="S1534" s="165"/>
      <c r="T1534" s="166"/>
      <c r="W1534" s="199" t="str">
        <f t="shared" si="32"/>
        <v>1w</v>
      </c>
      <c r="X1534" s="200">
        <f>_xll.qlCalendarAdvance(Calendar,X1533,W1534,"f",FALSE)</f>
        <v>49571</v>
      </c>
      <c r="Y1534" s="204">
        <f>_xll.qlCalendarAdvance(Calendar,X1534,NDays&amp;"D")</f>
        <v>49573</v>
      </c>
      <c r="Z1534" s="205">
        <v>3.7826141055869726E-2</v>
      </c>
      <c r="AA1534" s="207">
        <v>3.777828426479779E-2</v>
      </c>
    </row>
    <row r="1535" spans="19:27" x14ac:dyDescent="0.2">
      <c r="S1535" s="165"/>
      <c r="T1535" s="166"/>
      <c r="W1535" s="199" t="str">
        <f t="shared" si="32"/>
        <v>1w</v>
      </c>
      <c r="X1535" s="200">
        <f>_xll.qlCalendarAdvance(Calendar,X1534,W1535,"f",FALSE)</f>
        <v>49578</v>
      </c>
      <c r="Y1535" s="204">
        <f>_xll.qlCalendarAdvance(Calendar,X1535,NDays&amp;"D")</f>
        <v>49580</v>
      </c>
      <c r="Z1535" s="205">
        <v>3.7821633281334144E-2</v>
      </c>
      <c r="AA1535" s="207">
        <v>3.7770872874896E-2</v>
      </c>
    </row>
    <row r="1536" spans="19:27" x14ac:dyDescent="0.2">
      <c r="S1536" s="165"/>
      <c r="T1536" s="166"/>
      <c r="W1536" s="199" t="str">
        <f t="shared" si="32"/>
        <v>1w</v>
      </c>
      <c r="X1536" s="200">
        <f>_xll.qlCalendarAdvance(Calendar,X1535,W1536,"f",FALSE)</f>
        <v>49585</v>
      </c>
      <c r="Y1536" s="204">
        <f>_xll.qlCalendarAdvance(Calendar,X1536,NDays&amp;"D")</f>
        <v>49587</v>
      </c>
      <c r="Z1536" s="205">
        <v>3.7811314105667924E-2</v>
      </c>
      <c r="AA1536" s="207">
        <v>3.7763471721605768E-2</v>
      </c>
    </row>
    <row r="1537" spans="19:27" x14ac:dyDescent="0.2">
      <c r="S1537" s="165"/>
      <c r="T1537" s="166"/>
      <c r="W1537" s="199" t="str">
        <f t="shared" si="32"/>
        <v>1w</v>
      </c>
      <c r="X1537" s="200">
        <f>_xll.qlCalendarAdvance(Calendar,X1536,W1537,"f",FALSE)</f>
        <v>49592</v>
      </c>
      <c r="Y1537" s="204">
        <f>_xll.qlCalendarAdvance(Calendar,X1537,NDays&amp;"D")</f>
        <v>49594</v>
      </c>
      <c r="Z1537" s="205">
        <v>3.7805371325379811E-2</v>
      </c>
      <c r="AA1537" s="207">
        <v>3.775608080460735E-2</v>
      </c>
    </row>
    <row r="1538" spans="19:27" x14ac:dyDescent="0.2">
      <c r="S1538" s="165"/>
      <c r="T1538" s="166"/>
      <c r="W1538" s="199" t="str">
        <f t="shared" si="32"/>
        <v>1w</v>
      </c>
      <c r="X1538" s="200">
        <f>_xll.qlCalendarAdvance(Calendar,X1537,W1538,"f",FALSE)</f>
        <v>49599</v>
      </c>
      <c r="Y1538" s="204">
        <f>_xll.qlCalendarAdvance(Calendar,X1538,NDays&amp;"D")</f>
        <v>49601</v>
      </c>
      <c r="Z1538" s="205">
        <v>3.7796528248669803E-2</v>
      </c>
      <c r="AA1538" s="207">
        <v>3.7748700124300427E-2</v>
      </c>
    </row>
    <row r="1539" spans="19:27" x14ac:dyDescent="0.2">
      <c r="S1539" s="165"/>
      <c r="T1539" s="166"/>
      <c r="W1539" s="199" t="str">
        <f t="shared" si="32"/>
        <v>1w</v>
      </c>
      <c r="X1539" s="200">
        <f>_xll.qlCalendarAdvance(Calendar,X1538,W1539,"f",FALSE)</f>
        <v>49606</v>
      </c>
      <c r="Y1539" s="204">
        <f>_xll.qlCalendarAdvance(Calendar,X1539,NDays&amp;"D")</f>
        <v>49608</v>
      </c>
      <c r="Z1539" s="205">
        <v>3.7789150730066036E-2</v>
      </c>
      <c r="AA1539" s="207">
        <v>3.7741329680365254E-2</v>
      </c>
    </row>
    <row r="1540" spans="19:27" x14ac:dyDescent="0.2">
      <c r="S1540" s="165"/>
      <c r="T1540" s="166"/>
      <c r="W1540" s="199" t="str">
        <f t="shared" si="32"/>
        <v>1w</v>
      </c>
      <c r="X1540" s="200">
        <f>_xll.qlCalendarAdvance(Calendar,X1539,W1540,"f",FALSE)</f>
        <v>49613</v>
      </c>
      <c r="Y1540" s="204">
        <f>_xll.qlCalendarAdvance(Calendar,X1540,NDays&amp;"D")</f>
        <v>49615</v>
      </c>
      <c r="Z1540" s="205">
        <v>3.778178348470259E-2</v>
      </c>
      <c r="AA1540" s="207">
        <v>3.7733969472961704E-2</v>
      </c>
    </row>
    <row r="1541" spans="19:27" x14ac:dyDescent="0.2">
      <c r="S1541" s="165"/>
      <c r="T1541" s="166"/>
      <c r="W1541" s="199" t="str">
        <f t="shared" si="32"/>
        <v>1w</v>
      </c>
      <c r="X1541" s="200">
        <f>_xll.qlCalendarAdvance(Calendar,X1540,W1541,"f",FALSE)</f>
        <v>49620</v>
      </c>
      <c r="Y1541" s="204">
        <f>_xll.qlCalendarAdvance(Calendar,X1541,NDays&amp;"D")</f>
        <v>49622</v>
      </c>
      <c r="Z1541" s="205">
        <v>3.7774426512558842E-2</v>
      </c>
      <c r="AA1541" s="207">
        <v>3.7726619502009839E-2</v>
      </c>
    </row>
    <row r="1542" spans="19:27" x14ac:dyDescent="0.2">
      <c r="S1542" s="165"/>
      <c r="T1542" s="166"/>
      <c r="W1542" s="199" t="str">
        <f t="shared" si="32"/>
        <v>1w</v>
      </c>
      <c r="X1542" s="200">
        <f>_xll.qlCalendarAdvance(Calendar,X1541,W1542,"f",FALSE)</f>
        <v>49627</v>
      </c>
      <c r="Y1542" s="204">
        <f>_xll.qlCalendarAdvance(Calendar,X1542,NDays&amp;"D")</f>
        <v>49629</v>
      </c>
      <c r="Z1542" s="205">
        <v>3.7767079813616738E-2</v>
      </c>
      <c r="AA1542" s="207">
        <v>3.7719279767669533E-2</v>
      </c>
    </row>
    <row r="1543" spans="19:27" x14ac:dyDescent="0.2">
      <c r="S1543" s="165"/>
      <c r="T1543" s="166"/>
      <c r="W1543" s="199" t="str">
        <f t="shared" si="32"/>
        <v>1w</v>
      </c>
      <c r="X1543" s="200">
        <f>_xll.qlCalendarAdvance(Calendar,X1542,W1543,"f",FALSE)</f>
        <v>49634</v>
      </c>
      <c r="Y1543" s="204">
        <f>_xll.qlCalendarAdvance(Calendar,X1543,NDays&amp;"D")</f>
        <v>49636</v>
      </c>
      <c r="Z1543" s="205">
        <v>3.7759743387855649E-2</v>
      </c>
      <c r="AA1543" s="207">
        <v>3.7711950269700978E-2</v>
      </c>
    </row>
    <row r="1544" spans="19:27" x14ac:dyDescent="0.2">
      <c r="S1544" s="165"/>
      <c r="T1544" s="166"/>
      <c r="W1544" s="199" t="str">
        <f t="shared" si="32"/>
        <v>1w</v>
      </c>
      <c r="X1544" s="200">
        <f>_xll.qlCalendarAdvance(Calendar,X1543,W1544,"f",FALSE)</f>
        <v>49641</v>
      </c>
      <c r="Y1544" s="204">
        <f>_xll.qlCalendarAdvance(Calendar,X1544,NDays&amp;"D")</f>
        <v>49643</v>
      </c>
      <c r="Z1544" s="205">
        <v>3.7752417235257525E-2</v>
      </c>
      <c r="AA1544" s="207">
        <v>3.7704631008264045E-2</v>
      </c>
    </row>
    <row r="1545" spans="19:27" x14ac:dyDescent="0.2">
      <c r="S1545" s="165"/>
      <c r="T1545" s="166"/>
      <c r="W1545" s="199" t="str">
        <f t="shared" si="32"/>
        <v>1w</v>
      </c>
      <c r="X1545" s="200">
        <f>_xll.qlCalendarAdvance(Calendar,X1544,W1545,"f",FALSE)</f>
        <v>49648</v>
      </c>
      <c r="Y1545" s="204">
        <f>_xll.qlCalendarAdvance(Calendar,X1545,NDays&amp;"D")</f>
        <v>49650</v>
      </c>
      <c r="Z1545" s="205">
        <v>3.7745101355799164E-2</v>
      </c>
      <c r="AA1545" s="207">
        <v>3.7697321983358734E-2</v>
      </c>
    </row>
    <row r="1546" spans="19:27" x14ac:dyDescent="0.2">
      <c r="S1546" s="165"/>
      <c r="T1546" s="166"/>
      <c r="W1546" s="199" t="str">
        <f t="shared" si="32"/>
        <v>1w</v>
      </c>
      <c r="X1546" s="200">
        <f>_xll.qlCalendarAdvance(Calendar,X1545,W1546,"f",FALSE)</f>
        <v>49655</v>
      </c>
      <c r="Y1546" s="204">
        <f>_xll.qlCalendarAdvance(Calendar,X1546,NDays&amp;"D")</f>
        <v>49657</v>
      </c>
      <c r="Z1546" s="205">
        <v>3.773779574947024E-2</v>
      </c>
      <c r="AA1546" s="207">
        <v>3.7690023194825173E-2</v>
      </c>
    </row>
    <row r="1547" spans="19:27" x14ac:dyDescent="0.2">
      <c r="S1547" s="165"/>
      <c r="T1547" s="166"/>
      <c r="W1547" s="199" t="str">
        <f t="shared" si="32"/>
        <v>1w</v>
      </c>
      <c r="X1547" s="200">
        <f>_xll.qlCalendarAdvance(Calendar,X1546,W1547,"f",FALSE)</f>
        <v>49662</v>
      </c>
      <c r="Y1547" s="204">
        <f>_xll.qlCalendarAdvance(Calendar,X1547,NDays&amp;"D")</f>
        <v>49664</v>
      </c>
      <c r="Z1547" s="205">
        <v>3.7731955350085722E-2</v>
      </c>
      <c r="AA1547" s="207">
        <v>3.7680654079581544E-2</v>
      </c>
    </row>
    <row r="1548" spans="19:27" x14ac:dyDescent="0.2">
      <c r="S1548" s="165"/>
      <c r="T1548" s="166"/>
      <c r="W1548" s="199" t="str">
        <f t="shared" si="32"/>
        <v>1w</v>
      </c>
      <c r="X1548" s="200">
        <f>_xll.qlCalendarAdvance(Calendar,X1547,W1548,"f",FALSE)</f>
        <v>49670</v>
      </c>
      <c r="Y1548" s="204">
        <f>_xll.qlCalendarAdvance(Calendar,X1548,NDays&amp;"D")</f>
        <v>49674</v>
      </c>
      <c r="Z1548" s="205">
        <v>3.7720096332279011E-2</v>
      </c>
      <c r="AA1548" s="207">
        <v>3.7673378688971582E-2</v>
      </c>
    </row>
    <row r="1549" spans="19:27" x14ac:dyDescent="0.2">
      <c r="S1549" s="165"/>
      <c r="T1549" s="166"/>
      <c r="W1549" s="199" t="str">
        <f t="shared" si="32"/>
        <v>1w</v>
      </c>
      <c r="X1549" s="200">
        <f>_xll.qlCalendarAdvance(Calendar,X1548,W1549,"f",FALSE)</f>
        <v>49677</v>
      </c>
      <c r="Y1549" s="204">
        <f>_xll.qlCalendarAdvance(Calendar,X1549,NDays&amp;"D")</f>
        <v>49681</v>
      </c>
      <c r="Z1549" s="205">
        <v>3.7712825947935416E-2</v>
      </c>
      <c r="AA1549" s="207">
        <v>3.7667150787017434E-2</v>
      </c>
    </row>
    <row r="1550" spans="19:27" x14ac:dyDescent="0.2">
      <c r="S1550" s="165"/>
      <c r="T1550" s="166"/>
      <c r="W1550" s="199" t="str">
        <f t="shared" si="32"/>
        <v>1w</v>
      </c>
      <c r="X1550" s="200">
        <f>_xll.qlCalendarAdvance(Calendar,X1549,W1550,"f",FALSE)</f>
        <v>49684</v>
      </c>
      <c r="Y1550" s="204">
        <f>_xll.qlCalendarAdvance(Calendar,X1550,NDays&amp;"D")</f>
        <v>49688</v>
      </c>
      <c r="Z1550" s="205">
        <v>3.7705565836631018E-2</v>
      </c>
      <c r="AA1550" s="207">
        <v>3.7659894406880667E-2</v>
      </c>
    </row>
    <row r="1551" spans="19:27" x14ac:dyDescent="0.2">
      <c r="S1551" s="165"/>
      <c r="T1551" s="166"/>
      <c r="W1551" s="199" t="str">
        <f t="shared" si="32"/>
        <v>1w</v>
      </c>
      <c r="X1551" s="200">
        <f>_xll.qlCalendarAdvance(Calendar,X1550,W1551,"f",FALSE)</f>
        <v>49691</v>
      </c>
      <c r="Y1551" s="204">
        <f>_xll.qlCalendarAdvance(Calendar,X1551,NDays&amp;"D")</f>
        <v>49695</v>
      </c>
      <c r="Z1551" s="205">
        <v>3.7697281145775099E-2</v>
      </c>
      <c r="AA1551" s="207">
        <v>3.7652648263115651E-2</v>
      </c>
    </row>
    <row r="1552" spans="19:27" x14ac:dyDescent="0.2">
      <c r="S1552" s="165"/>
      <c r="T1552" s="166"/>
      <c r="W1552" s="199" t="str">
        <f t="shared" si="32"/>
        <v>1w</v>
      </c>
      <c r="X1552" s="200">
        <f>_xll.qlCalendarAdvance(Calendar,X1551,W1552,"f",FALSE)</f>
        <v>49698</v>
      </c>
      <c r="Y1552" s="204">
        <f>_xll.qlCalendarAdvance(Calendar,X1552,NDays&amp;"D")</f>
        <v>49702</v>
      </c>
      <c r="Z1552" s="205">
        <v>3.7691076433057288E-2</v>
      </c>
      <c r="AA1552" s="207">
        <v>3.7645412356042129E-2</v>
      </c>
    </row>
    <row r="1553" spans="19:27" x14ac:dyDescent="0.2">
      <c r="S1553" s="165"/>
      <c r="T1553" s="166"/>
      <c r="W1553" s="199" t="str">
        <f t="shared" si="32"/>
        <v>1w</v>
      </c>
      <c r="X1553" s="200">
        <f>_xll.qlCalendarAdvance(Calendar,X1552,W1553,"f",FALSE)</f>
        <v>49705</v>
      </c>
      <c r="Y1553" s="204">
        <f>_xll.qlCalendarAdvance(Calendar,X1553,NDays&amp;"D")</f>
        <v>49709</v>
      </c>
      <c r="Z1553" s="205">
        <v>3.7680937893637939E-2</v>
      </c>
      <c r="AA1553" s="207">
        <v>3.7638186685340358E-2</v>
      </c>
    </row>
    <row r="1554" spans="19:27" x14ac:dyDescent="0.2">
      <c r="S1554" s="165"/>
      <c r="T1554" s="166"/>
      <c r="W1554" s="199" t="str">
        <f t="shared" si="32"/>
        <v>1w</v>
      </c>
      <c r="X1554" s="200">
        <f>_xll.qlCalendarAdvance(Calendar,X1553,W1554,"f",FALSE)</f>
        <v>49712</v>
      </c>
      <c r="Y1554" s="204">
        <f>_xll.qlCalendarAdvance(Calendar,X1554,NDays&amp;"D")</f>
        <v>49716</v>
      </c>
      <c r="Z1554" s="205">
        <v>3.7673718915665295E-2</v>
      </c>
      <c r="AA1554" s="207">
        <v>3.7630971251090273E-2</v>
      </c>
    </row>
    <row r="1555" spans="19:27" x14ac:dyDescent="0.2">
      <c r="S1555" s="165"/>
      <c r="T1555" s="166"/>
      <c r="W1555" s="199" t="str">
        <f t="shared" si="32"/>
        <v>1w</v>
      </c>
      <c r="X1555" s="200">
        <f>_xll.qlCalendarAdvance(Calendar,X1554,W1555,"f",FALSE)</f>
        <v>49719</v>
      </c>
      <c r="Y1555" s="204">
        <f>_xll.qlCalendarAdvance(Calendar,X1555,NDays&amp;"D")</f>
        <v>49723</v>
      </c>
      <c r="Z1555" s="205">
        <v>3.7665481231254828E-2</v>
      </c>
      <c r="AA1555" s="207">
        <v>3.7623766053291874E-2</v>
      </c>
    </row>
    <row r="1556" spans="19:27" x14ac:dyDescent="0.2">
      <c r="S1556" s="165"/>
      <c r="T1556" s="166"/>
      <c r="W1556" s="199" t="str">
        <f t="shared" si="32"/>
        <v>1w</v>
      </c>
      <c r="X1556" s="200">
        <f>_xll.qlCalendarAdvance(Calendar,X1555,W1556,"f",FALSE)</f>
        <v>49726</v>
      </c>
      <c r="Y1556" s="204">
        <f>_xll.qlCalendarAdvance(Calendar,X1556,NDays&amp;"D")</f>
        <v>49730</v>
      </c>
      <c r="Z1556" s="205">
        <v>3.7659311771230594E-2</v>
      </c>
      <c r="AA1556" s="207">
        <v>3.7616571092025097E-2</v>
      </c>
    </row>
    <row r="1557" spans="19:27" x14ac:dyDescent="0.2">
      <c r="S1557" s="165"/>
      <c r="T1557" s="166"/>
      <c r="W1557" s="199" t="str">
        <f t="shared" ref="W1557:W1620" si="33">W1556</f>
        <v>1w</v>
      </c>
      <c r="X1557" s="200">
        <f>_xll.qlCalendarAdvance(Calendar,X1556,W1557,"f",FALSE)</f>
        <v>49733</v>
      </c>
      <c r="Y1557" s="204">
        <f>_xll.qlCalendarAdvance(Calendar,X1557,NDays&amp;"D")</f>
        <v>49737</v>
      </c>
      <c r="Z1557" s="205">
        <v>3.7655032700947347E-2</v>
      </c>
      <c r="AA1557" s="207">
        <v>3.7609386367369879E-2</v>
      </c>
    </row>
    <row r="1558" spans="19:27" x14ac:dyDescent="0.2">
      <c r="S1558" s="165"/>
      <c r="T1558" s="166"/>
      <c r="W1558" s="199" t="str">
        <f t="shared" si="33"/>
        <v>1w</v>
      </c>
      <c r="X1558" s="200">
        <f>_xll.qlCalendarAdvance(Calendar,X1557,W1558,"f",FALSE)</f>
        <v>49740</v>
      </c>
      <c r="Y1558" s="204">
        <f>_xll.qlCalendarAdvance(Calendar,X1558,NDays&amp;"D")</f>
        <v>49744</v>
      </c>
      <c r="Z1558" s="205">
        <v>3.7647854773257702E-2</v>
      </c>
      <c r="AA1558" s="207">
        <v>3.7602211879006475E-2</v>
      </c>
    </row>
    <row r="1559" spans="19:27" x14ac:dyDescent="0.2">
      <c r="S1559" s="165"/>
      <c r="T1559" s="166"/>
      <c r="W1559" s="199" t="str">
        <f t="shared" si="33"/>
        <v>1w</v>
      </c>
      <c r="X1559" s="200">
        <f>_xll.qlCalendarAdvance(Calendar,X1558,W1559,"f",FALSE)</f>
        <v>49747</v>
      </c>
      <c r="Y1559" s="204">
        <f>_xll.qlCalendarAdvance(Calendar,X1559,NDays&amp;"D")</f>
        <v>49751</v>
      </c>
      <c r="Z1559" s="205">
        <v>3.7640687118431902E-2</v>
      </c>
      <c r="AA1559" s="207">
        <v>3.7595047627174694E-2</v>
      </c>
    </row>
    <row r="1560" spans="19:27" x14ac:dyDescent="0.2">
      <c r="S1560" s="165"/>
      <c r="T1560" s="166"/>
      <c r="W1560" s="199" t="str">
        <f t="shared" si="33"/>
        <v>1w</v>
      </c>
      <c r="X1560" s="200">
        <f>_xll.qlCalendarAdvance(Calendar,X1559,W1560,"f",FALSE)</f>
        <v>49754</v>
      </c>
      <c r="Y1560" s="204">
        <f>_xll.qlCalendarAdvance(Calendar,X1560,NDays&amp;"D")</f>
        <v>49758</v>
      </c>
      <c r="Z1560" s="205">
        <v>3.7633529736454487E-2</v>
      </c>
      <c r="AA1560" s="207">
        <v>3.7587893611794598E-2</v>
      </c>
    </row>
    <row r="1561" spans="19:27" x14ac:dyDescent="0.2">
      <c r="S1561" s="165"/>
      <c r="T1561" s="166"/>
      <c r="W1561" s="199" t="str">
        <f t="shared" si="33"/>
        <v>1w</v>
      </c>
      <c r="X1561" s="200">
        <f>_xll.qlCalendarAdvance(Calendar,X1560,W1561,"f",FALSE)</f>
        <v>49761</v>
      </c>
      <c r="Y1561" s="204">
        <f>_xll.qlCalendarAdvance(Calendar,X1561,NDays&amp;"D")</f>
        <v>49765</v>
      </c>
      <c r="Z1561" s="205">
        <v>3.7624928085125298E-2</v>
      </c>
      <c r="AA1561" s="207">
        <v>3.7580749833026061E-2</v>
      </c>
    </row>
    <row r="1562" spans="19:27" x14ac:dyDescent="0.2">
      <c r="S1562" s="165"/>
      <c r="T1562" s="166"/>
      <c r="W1562" s="199" t="str">
        <f t="shared" si="33"/>
        <v>1w</v>
      </c>
      <c r="X1562" s="200">
        <f>_xll.qlCalendarAdvance(Calendar,X1561,W1562,"f",FALSE)</f>
        <v>49768</v>
      </c>
      <c r="Y1562" s="204">
        <f>_xll.qlCalendarAdvance(Calendar,X1562,NDays&amp;"D")</f>
        <v>49772</v>
      </c>
      <c r="Z1562" s="205">
        <v>3.7617791259711986E-2</v>
      </c>
      <c r="AA1562" s="207">
        <v>3.7573616290629275E-2</v>
      </c>
    </row>
    <row r="1563" spans="19:27" x14ac:dyDescent="0.2">
      <c r="S1563" s="165"/>
      <c r="T1563" s="166"/>
      <c r="W1563" s="199" t="str">
        <f t="shared" si="33"/>
        <v>1w</v>
      </c>
      <c r="X1563" s="200">
        <f>_xll.qlCalendarAdvance(Calendar,X1562,W1563,"f",FALSE)</f>
        <v>49775</v>
      </c>
      <c r="Y1563" s="204">
        <f>_xll.qlCalendarAdvance(Calendar,X1563,NDays&amp;"D")</f>
        <v>49781</v>
      </c>
      <c r="Z1563" s="205">
        <v>3.7608630434251111E-2</v>
      </c>
      <c r="AA1563" s="207">
        <v>3.7567362957444672E-2</v>
      </c>
    </row>
    <row r="1564" spans="19:27" x14ac:dyDescent="0.2">
      <c r="S1564" s="165"/>
      <c r="T1564" s="166"/>
      <c r="W1564" s="199" t="str">
        <f t="shared" si="33"/>
        <v>1w</v>
      </c>
      <c r="X1564" s="200">
        <f>_xll.qlCalendarAdvance(Calendar,X1563,W1564,"f",FALSE)</f>
        <v>49782</v>
      </c>
      <c r="Y1564" s="204">
        <f>_xll.qlCalendarAdvance(Calendar,X1564,NDays&amp;"D")</f>
        <v>49786</v>
      </c>
      <c r="Z1564" s="205">
        <v>3.7603548423601474E-2</v>
      </c>
      <c r="AA1564" s="207">
        <v>3.7559379915270696E-2</v>
      </c>
    </row>
    <row r="1565" spans="19:27" x14ac:dyDescent="0.2">
      <c r="S1565" s="165"/>
      <c r="T1565" s="166"/>
      <c r="W1565" s="199" t="str">
        <f t="shared" si="33"/>
        <v>1w</v>
      </c>
      <c r="X1565" s="200">
        <f>_xll.qlCalendarAdvance(Calendar,X1564,W1565,"f",FALSE)</f>
        <v>49789</v>
      </c>
      <c r="Y1565" s="204">
        <f>_xll.qlCalendarAdvance(Calendar,X1565,NDays&amp;"D")</f>
        <v>49793</v>
      </c>
      <c r="Z1565" s="205">
        <v>3.7596442412874964E-2</v>
      </c>
      <c r="AA1565" s="207">
        <v>3.7552277082308905E-2</v>
      </c>
    </row>
    <row r="1566" spans="19:27" x14ac:dyDescent="0.2">
      <c r="S1566" s="165"/>
      <c r="T1566" s="166"/>
      <c r="W1566" s="199" t="str">
        <f t="shared" si="33"/>
        <v>1w</v>
      </c>
      <c r="X1566" s="200">
        <f>_xll.qlCalendarAdvance(Calendar,X1565,W1566,"f",FALSE)</f>
        <v>49796</v>
      </c>
      <c r="Y1566" s="204">
        <f>_xll.qlCalendarAdvance(Calendar,X1566,NDays&amp;"D")</f>
        <v>49801</v>
      </c>
      <c r="Z1566" s="205">
        <v>3.7589788334013718E-2</v>
      </c>
      <c r="AA1566" s="207">
        <v>3.7544172093468831E-2</v>
      </c>
    </row>
    <row r="1567" spans="19:27" x14ac:dyDescent="0.2">
      <c r="S1567" s="165"/>
      <c r="T1567" s="166"/>
      <c r="W1567" s="199" t="str">
        <f t="shared" si="33"/>
        <v>1w</v>
      </c>
      <c r="X1567" s="200">
        <f>_xll.qlCalendarAdvance(Calendar,X1566,W1567,"f",FALSE)</f>
        <v>49803</v>
      </c>
      <c r="Y1567" s="204">
        <f>_xll.qlCalendarAdvance(Calendar,X1567,NDays&amp;"D")</f>
        <v>49807</v>
      </c>
      <c r="Z1567" s="205">
        <v>3.7583715700747797E-2</v>
      </c>
      <c r="AA1567" s="207">
        <v>3.7538102125820316E-2</v>
      </c>
    </row>
    <row r="1568" spans="19:27" x14ac:dyDescent="0.2">
      <c r="S1568" s="165"/>
      <c r="T1568" s="166"/>
      <c r="W1568" s="199" t="str">
        <f t="shared" si="33"/>
        <v>1w</v>
      </c>
      <c r="X1568" s="200">
        <f>_xll.qlCalendarAdvance(Calendar,X1567,W1568,"f",FALSE)</f>
        <v>49810</v>
      </c>
      <c r="Y1568" s="204">
        <f>_xll.qlCalendarAdvance(Calendar,X1568,NDays&amp;"D")</f>
        <v>49814</v>
      </c>
      <c r="Z1568" s="205">
        <v>3.7576640500868924E-2</v>
      </c>
      <c r="AA1568" s="207">
        <v>3.7531030002373456E-2</v>
      </c>
    </row>
    <row r="1569" spans="19:27" x14ac:dyDescent="0.2">
      <c r="S1569" s="165"/>
      <c r="T1569" s="166"/>
      <c r="W1569" s="199" t="str">
        <f t="shared" si="33"/>
        <v>1w</v>
      </c>
      <c r="X1569" s="200">
        <f>_xll.qlCalendarAdvance(Calendar,X1568,W1569,"f",FALSE)</f>
        <v>49817</v>
      </c>
      <c r="Y1569" s="204">
        <f>_xll.qlCalendarAdvance(Calendar,X1569,NDays&amp;"D")</f>
        <v>49822</v>
      </c>
      <c r="Z1569" s="205">
        <v>3.7568567136935418E-2</v>
      </c>
      <c r="AA1569" s="207">
        <v>3.7522960109859227E-2</v>
      </c>
    </row>
    <row r="1570" spans="19:27" x14ac:dyDescent="0.2">
      <c r="S1570" s="165"/>
      <c r="T1570" s="166"/>
      <c r="W1570" s="199" t="str">
        <f t="shared" si="33"/>
        <v>1w</v>
      </c>
      <c r="X1570" s="200">
        <f>_xll.qlCalendarAdvance(Calendar,X1569,W1570,"f",FALSE)</f>
        <v>49824</v>
      </c>
      <c r="Y1570" s="204">
        <f>_xll.qlCalendarAdvance(Calendar,X1570,NDays&amp;"D")</f>
        <v>49828</v>
      </c>
      <c r="Z1570" s="205">
        <v>3.7561066431727852E-2</v>
      </c>
      <c r="AA1570" s="207">
        <v>3.7516916464754857E-2</v>
      </c>
    </row>
    <row r="1571" spans="19:27" x14ac:dyDescent="0.2">
      <c r="S1571" s="165"/>
      <c r="T1571" s="166"/>
      <c r="W1571" s="199" t="str">
        <f t="shared" si="33"/>
        <v>1w</v>
      </c>
      <c r="X1571" s="200">
        <f>_xll.qlCalendarAdvance(Calendar,X1570,W1571,"f",FALSE)</f>
        <v>49831</v>
      </c>
      <c r="Y1571" s="204">
        <f>_xll.qlCalendarAdvance(Calendar,X1571,NDays&amp;"D")</f>
        <v>49835</v>
      </c>
      <c r="Z1571" s="205">
        <v>3.7554022049868685E-2</v>
      </c>
      <c r="AA1571" s="207">
        <v>3.7509875050663055E-2</v>
      </c>
    </row>
    <row r="1572" spans="19:27" x14ac:dyDescent="0.2">
      <c r="S1572" s="165"/>
      <c r="T1572" s="166"/>
      <c r="W1572" s="199" t="str">
        <f t="shared" si="33"/>
        <v>1w</v>
      </c>
      <c r="X1572" s="200">
        <f>_xll.qlCalendarAdvance(Calendar,X1571,W1572,"f",FALSE)</f>
        <v>49838</v>
      </c>
      <c r="Y1572" s="204">
        <f>_xll.qlCalendarAdvance(Calendar,X1572,NDays&amp;"D")</f>
        <v>49842</v>
      </c>
      <c r="Z1572" s="205">
        <v>3.754698793943323E-2</v>
      </c>
      <c r="AA1572" s="207">
        <v>3.7502843872943004E-2</v>
      </c>
    </row>
    <row r="1573" spans="19:27" x14ac:dyDescent="0.2">
      <c r="S1573" s="165"/>
      <c r="T1573" s="166"/>
      <c r="W1573" s="199" t="str">
        <f t="shared" si="33"/>
        <v>1w</v>
      </c>
      <c r="X1573" s="200">
        <f>_xll.qlCalendarAdvance(Calendar,X1572,W1573,"f",FALSE)</f>
        <v>49845</v>
      </c>
      <c r="Y1573" s="204">
        <f>_xll.qlCalendarAdvance(Calendar,X1573,NDays&amp;"D")</f>
        <v>49849</v>
      </c>
      <c r="Z1573" s="205">
        <v>3.7539964100389511E-2</v>
      </c>
      <c r="AA1573" s="207">
        <v>3.749582293183451E-2</v>
      </c>
    </row>
    <row r="1574" spans="19:27" x14ac:dyDescent="0.2">
      <c r="S1574" s="165"/>
      <c r="T1574" s="166"/>
      <c r="W1574" s="199" t="str">
        <f t="shared" si="33"/>
        <v>1w</v>
      </c>
      <c r="X1574" s="200">
        <f>_xll.qlCalendarAdvance(Calendar,X1573,W1574,"f",FALSE)</f>
        <v>49852</v>
      </c>
      <c r="Y1574" s="204">
        <f>_xll.qlCalendarAdvance(Calendar,X1574,NDays&amp;"D")</f>
        <v>49856</v>
      </c>
      <c r="Z1574" s="205">
        <v>3.753440502716987E-2</v>
      </c>
      <c r="AA1574" s="207">
        <v>3.7488812227097768E-2</v>
      </c>
    </row>
    <row r="1575" spans="19:27" x14ac:dyDescent="0.2">
      <c r="S1575" s="165"/>
      <c r="T1575" s="166"/>
      <c r="W1575" s="199" t="str">
        <f t="shared" si="33"/>
        <v>1w</v>
      </c>
      <c r="X1575" s="200">
        <f>_xll.qlCalendarAdvance(Calendar,X1574,W1575,"f",FALSE)</f>
        <v>49859</v>
      </c>
      <c r="Y1575" s="204">
        <f>_xll.qlCalendarAdvance(Calendar,X1575,NDays&amp;"D")</f>
        <v>49863</v>
      </c>
      <c r="Z1575" s="205">
        <v>3.7527401735643812E-2</v>
      </c>
      <c r="AA1575" s="207">
        <v>3.7481811758972583E-2</v>
      </c>
    </row>
    <row r="1576" spans="19:27" x14ac:dyDescent="0.2">
      <c r="S1576" s="165"/>
      <c r="T1576" s="166"/>
      <c r="W1576" s="199" t="str">
        <f t="shared" si="33"/>
        <v>1w</v>
      </c>
      <c r="X1576" s="200">
        <f>_xll.qlCalendarAdvance(Calendar,X1575,W1576,"f",FALSE)</f>
        <v>49866</v>
      </c>
      <c r="Y1576" s="204">
        <f>_xll.qlCalendarAdvance(Calendar,X1576,NDays&amp;"D")</f>
        <v>49870</v>
      </c>
      <c r="Z1576" s="205">
        <v>3.7520408716664448E-2</v>
      </c>
      <c r="AA1576" s="207">
        <v>3.7474821527219149E-2</v>
      </c>
    </row>
    <row r="1577" spans="19:27" x14ac:dyDescent="0.2">
      <c r="S1577" s="165"/>
      <c r="T1577" s="166"/>
      <c r="W1577" s="199" t="str">
        <f t="shared" si="33"/>
        <v>1w</v>
      </c>
      <c r="X1577" s="200">
        <f>_xll.qlCalendarAdvance(Calendar,X1576,W1577,"f",FALSE)</f>
        <v>49873</v>
      </c>
      <c r="Y1577" s="204">
        <f>_xll.qlCalendarAdvance(Calendar,X1577,NDays&amp;"D")</f>
        <v>49877</v>
      </c>
      <c r="Z1577" s="205">
        <v>3.7513425970211137E-2</v>
      </c>
      <c r="AA1577" s="207">
        <v>3.7467841531997337E-2</v>
      </c>
    </row>
    <row r="1578" spans="19:27" x14ac:dyDescent="0.2">
      <c r="S1578" s="165"/>
      <c r="T1578" s="166"/>
      <c r="W1578" s="199" t="str">
        <f t="shared" si="33"/>
        <v>1w</v>
      </c>
      <c r="X1578" s="200">
        <f>_xll.qlCalendarAdvance(Calendar,X1577,W1578,"f",FALSE)</f>
        <v>49880</v>
      </c>
      <c r="Y1578" s="204">
        <f>_xll.qlCalendarAdvance(Calendar,X1578,NDays&amp;"D")</f>
        <v>49884</v>
      </c>
      <c r="Z1578" s="205">
        <v>3.7506453496273559E-2</v>
      </c>
      <c r="AA1578" s="207">
        <v>3.7460871773067339E-2</v>
      </c>
    </row>
    <row r="1579" spans="19:27" x14ac:dyDescent="0.2">
      <c r="S1579" s="165"/>
      <c r="T1579" s="166"/>
      <c r="W1579" s="199" t="str">
        <f t="shared" si="33"/>
        <v>1w</v>
      </c>
      <c r="X1579" s="200">
        <f>_xll.qlCalendarAdvance(Calendar,X1578,W1579,"f",FALSE)</f>
        <v>49887</v>
      </c>
      <c r="Y1579" s="204">
        <f>_xll.qlCalendarAdvance(Calendar,X1579,NDays&amp;"D")</f>
        <v>49891</v>
      </c>
      <c r="Z1579" s="205">
        <v>3.7499491294825944E-2</v>
      </c>
      <c r="AA1579" s="207">
        <v>3.7453912250828836E-2</v>
      </c>
    </row>
    <row r="1580" spans="19:27" x14ac:dyDescent="0.2">
      <c r="S1580" s="165"/>
      <c r="T1580" s="166"/>
      <c r="W1580" s="199" t="str">
        <f t="shared" si="33"/>
        <v>1w</v>
      </c>
      <c r="X1580" s="200">
        <f>_xll.qlCalendarAdvance(Calendar,X1579,W1580,"f",FALSE)</f>
        <v>49894</v>
      </c>
      <c r="Y1580" s="204">
        <f>_xll.qlCalendarAdvance(Calendar,X1580,NDays&amp;"D")</f>
        <v>49898</v>
      </c>
      <c r="Z1580" s="205">
        <v>3.7492539365847656E-2</v>
      </c>
      <c r="AA1580" s="207">
        <v>3.7446962964882147E-2</v>
      </c>
    </row>
    <row r="1581" spans="19:27" x14ac:dyDescent="0.2">
      <c r="S1581" s="165"/>
      <c r="T1581" s="166"/>
      <c r="W1581" s="199" t="str">
        <f t="shared" si="33"/>
        <v>1w</v>
      </c>
      <c r="X1581" s="200">
        <f>_xll.qlCalendarAdvance(Calendar,X1580,W1581,"f",FALSE)</f>
        <v>49901</v>
      </c>
      <c r="Y1581" s="204">
        <f>_xll.qlCalendarAdvance(Calendar,X1581,NDays&amp;"D")</f>
        <v>49905</v>
      </c>
      <c r="Z1581" s="205">
        <v>3.7485597709333539E-2</v>
      </c>
      <c r="AA1581" s="207">
        <v>3.744002391546708E-2</v>
      </c>
    </row>
    <row r="1582" spans="19:27" x14ac:dyDescent="0.2">
      <c r="S1582" s="165"/>
      <c r="T1582" s="166"/>
      <c r="W1582" s="199" t="str">
        <f t="shared" si="33"/>
        <v>1w</v>
      </c>
      <c r="X1582" s="200">
        <f>_xll.qlCalendarAdvance(Calendar,X1581,W1582,"f",FALSE)</f>
        <v>49908</v>
      </c>
      <c r="Y1582" s="204">
        <f>_xll.qlCalendarAdvance(Calendar,X1582,NDays&amp;"D")</f>
        <v>49913</v>
      </c>
      <c r="Z1582" s="205">
        <v>3.7477676966090306E-2</v>
      </c>
      <c r="AA1582" s="207">
        <v>3.7432106107777585E-2</v>
      </c>
    </row>
    <row r="1583" spans="19:27" x14ac:dyDescent="0.2">
      <c r="S1583" s="165"/>
      <c r="T1583" s="166"/>
      <c r="W1583" s="199" t="str">
        <f t="shared" si="33"/>
        <v>1w</v>
      </c>
      <c r="X1583" s="200">
        <f>_xll.qlCalendarAdvance(Calendar,X1582,W1583,"f",FALSE)</f>
        <v>49915</v>
      </c>
      <c r="Y1583" s="204">
        <f>_xll.qlCalendarAdvance(Calendar,X1583,NDays&amp;"D")</f>
        <v>49919</v>
      </c>
      <c r="Z1583" s="205">
        <v>3.7469302739101984E-2</v>
      </c>
      <c r="AA1583" s="207">
        <v>3.7426176526071941E-2</v>
      </c>
    </row>
    <row r="1584" spans="19:27" x14ac:dyDescent="0.2">
      <c r="S1584" s="165"/>
      <c r="T1584" s="166"/>
      <c r="W1584" s="199" t="str">
        <f t="shared" si="33"/>
        <v>1w</v>
      </c>
      <c r="X1584" s="200">
        <f>_xll.qlCalendarAdvance(Calendar,X1583,W1584,"f",FALSE)</f>
        <v>49922</v>
      </c>
      <c r="Y1584" s="204">
        <f>_xll.qlCalendarAdvance(Calendar,X1584,NDays&amp;"D")</f>
        <v>49926</v>
      </c>
      <c r="Z1584" s="205">
        <v>3.7463379778081674E-2</v>
      </c>
      <c r="AA1584" s="207">
        <v>3.7419268186011934E-2</v>
      </c>
    </row>
    <row r="1585" spans="19:27" x14ac:dyDescent="0.2">
      <c r="S1585" s="165"/>
      <c r="T1585" s="166"/>
      <c r="W1585" s="199" t="str">
        <f t="shared" si="33"/>
        <v>1w</v>
      </c>
      <c r="X1585" s="200">
        <f>_xll.qlCalendarAdvance(Calendar,X1584,W1585,"f",FALSE)</f>
        <v>49929</v>
      </c>
      <c r="Y1585" s="204">
        <f>_xll.qlCalendarAdvance(Calendar,X1585,NDays&amp;"D")</f>
        <v>49933</v>
      </c>
      <c r="Z1585" s="205">
        <v>3.7456479194425185E-2</v>
      </c>
      <c r="AA1585" s="207">
        <v>3.7412370082483548E-2</v>
      </c>
    </row>
    <row r="1586" spans="19:27" x14ac:dyDescent="0.2">
      <c r="S1586" s="165"/>
      <c r="T1586" s="166"/>
      <c r="W1586" s="199" t="str">
        <f t="shared" si="33"/>
        <v>1w</v>
      </c>
      <c r="X1586" s="200">
        <f>_xll.qlCalendarAdvance(Calendar,X1585,W1586,"f",FALSE)</f>
        <v>49936</v>
      </c>
      <c r="Y1586" s="204">
        <f>_xll.qlCalendarAdvance(Calendar,X1586,NDays&amp;"D")</f>
        <v>49940</v>
      </c>
      <c r="Z1586" s="205">
        <v>3.7449588881933948E-2</v>
      </c>
      <c r="AA1586" s="207">
        <v>3.7405482215486785E-2</v>
      </c>
    </row>
    <row r="1587" spans="19:27" x14ac:dyDescent="0.2">
      <c r="S1587" s="165"/>
      <c r="T1587" s="166"/>
      <c r="W1587" s="199" t="str">
        <f t="shared" si="33"/>
        <v>1w</v>
      </c>
      <c r="X1587" s="200">
        <f>_xll.qlCalendarAdvance(Calendar,X1586,W1587,"f",FALSE)</f>
        <v>49943</v>
      </c>
      <c r="Y1587" s="204">
        <f>_xll.qlCalendarAdvance(Calendar,X1587,NDays&amp;"D")</f>
        <v>49947</v>
      </c>
      <c r="Z1587" s="205">
        <v>3.7442708840589312E-2</v>
      </c>
      <c r="AA1587" s="207">
        <v>3.7398604584781836E-2</v>
      </c>
    </row>
    <row r="1588" spans="19:27" x14ac:dyDescent="0.2">
      <c r="S1588" s="165"/>
      <c r="T1588" s="166"/>
      <c r="W1588" s="199" t="str">
        <f t="shared" si="33"/>
        <v>1w</v>
      </c>
      <c r="X1588" s="200">
        <f>_xll.qlCalendarAdvance(Calendar,X1587,W1588,"f",FALSE)</f>
        <v>49950</v>
      </c>
      <c r="Y1588" s="204">
        <f>_xll.qlCalendarAdvance(Calendar,X1588,NDays&amp;"D")</f>
        <v>49954</v>
      </c>
      <c r="Z1588" s="205">
        <v>3.743729374091613E-2</v>
      </c>
      <c r="AA1588" s="207">
        <v>3.7391737190768382E-2</v>
      </c>
    </row>
    <row r="1589" spans="19:27" x14ac:dyDescent="0.2">
      <c r="S1589" s="165"/>
      <c r="T1589" s="166"/>
      <c r="W1589" s="199" t="str">
        <f t="shared" si="33"/>
        <v>1w</v>
      </c>
      <c r="X1589" s="200">
        <f>_xll.qlCalendarAdvance(Calendar,X1588,W1589,"f",FALSE)</f>
        <v>49957</v>
      </c>
      <c r="Y1589" s="204">
        <f>_xll.qlCalendarAdvance(Calendar,X1589,NDays&amp;"D")</f>
        <v>49961</v>
      </c>
      <c r="Z1589" s="205">
        <v>3.7429455176573999E-2</v>
      </c>
      <c r="AA1589" s="207">
        <v>3.7384880032966805E-2</v>
      </c>
    </row>
    <row r="1590" spans="19:27" x14ac:dyDescent="0.2">
      <c r="S1590" s="165"/>
      <c r="T1590" s="166"/>
      <c r="W1590" s="199" t="str">
        <f t="shared" si="33"/>
        <v>1w</v>
      </c>
      <c r="X1590" s="200">
        <f>_xll.qlCalendarAdvance(Calendar,X1589,W1590,"f",FALSE)</f>
        <v>49964</v>
      </c>
      <c r="Y1590" s="204">
        <f>_xll.qlCalendarAdvance(Calendar,X1590,NDays&amp;"D")</f>
        <v>49968</v>
      </c>
      <c r="Z1590" s="205">
        <v>3.7423585058138795E-2</v>
      </c>
      <c r="AA1590" s="207">
        <v>3.7378033111776787E-2</v>
      </c>
    </row>
    <row r="1591" spans="19:27" x14ac:dyDescent="0.2">
      <c r="S1591" s="165"/>
      <c r="T1591" s="166"/>
      <c r="W1591" s="199" t="str">
        <f t="shared" si="33"/>
        <v>1w</v>
      </c>
      <c r="X1591" s="200">
        <f>_xll.qlCalendarAdvance(Calendar,X1590,W1591,"f",FALSE)</f>
        <v>49971</v>
      </c>
      <c r="Y1591" s="204">
        <f>_xll.qlCalendarAdvance(Calendar,X1591,NDays&amp;"D")</f>
        <v>49975</v>
      </c>
      <c r="Z1591" s="205">
        <v>3.7418200967078707E-2</v>
      </c>
      <c r="AA1591" s="207">
        <v>3.737119642695852E-2</v>
      </c>
    </row>
    <row r="1592" spans="19:27" x14ac:dyDescent="0.2">
      <c r="S1592" s="165"/>
      <c r="T1592" s="166"/>
      <c r="W1592" s="199" t="str">
        <f t="shared" si="33"/>
        <v>1w</v>
      </c>
      <c r="X1592" s="200">
        <f>_xll.qlCalendarAdvance(Calendar,X1591,W1592,"f",FALSE)</f>
        <v>49978</v>
      </c>
      <c r="Y1592" s="204">
        <f>_xll.qlCalendarAdvance(Calendar,X1592,NDays&amp;"D")</f>
        <v>49982</v>
      </c>
      <c r="Z1592" s="205">
        <v>3.7408462700484257E-2</v>
      </c>
      <c r="AA1592" s="207">
        <v>3.7364369978671874E-2</v>
      </c>
    </row>
    <row r="1593" spans="19:27" x14ac:dyDescent="0.2">
      <c r="S1593" s="165"/>
      <c r="T1593" s="166"/>
      <c r="W1593" s="199" t="str">
        <f t="shared" si="33"/>
        <v>1w</v>
      </c>
      <c r="X1593" s="200">
        <f>_xll.qlCalendarAdvance(Calendar,X1592,W1593,"f",FALSE)</f>
        <v>49985</v>
      </c>
      <c r="Y1593" s="204">
        <f>_xll.qlCalendarAdvance(Calendar,X1593,NDays&amp;"D")</f>
        <v>49989</v>
      </c>
      <c r="Z1593" s="205">
        <v>3.7401644285662172E-2</v>
      </c>
      <c r="AA1593" s="207">
        <v>3.7357553766756979E-2</v>
      </c>
    </row>
    <row r="1594" spans="19:27" x14ac:dyDescent="0.2">
      <c r="S1594" s="165"/>
      <c r="T1594" s="166"/>
      <c r="W1594" s="199" t="str">
        <f t="shared" si="33"/>
        <v>1w</v>
      </c>
      <c r="X1594" s="200">
        <f>_xll.qlCalendarAdvance(Calendar,X1593,W1594,"f",FALSE)</f>
        <v>49992</v>
      </c>
      <c r="Y1594" s="204">
        <f>_xll.qlCalendarAdvance(Calendar,X1594,NDays&amp;"D")</f>
        <v>49996</v>
      </c>
      <c r="Z1594" s="205">
        <v>3.7394836141869447E-2</v>
      </c>
      <c r="AA1594" s="207">
        <v>3.7350747791453642E-2</v>
      </c>
    </row>
    <row r="1595" spans="19:27" x14ac:dyDescent="0.2">
      <c r="S1595" s="165"/>
      <c r="T1595" s="166"/>
      <c r="W1595" s="199" t="str">
        <f t="shared" si="33"/>
        <v>1w</v>
      </c>
      <c r="X1595" s="200">
        <f>_xll.qlCalendarAdvance(Calendar,X1594,W1595,"f",FALSE)</f>
        <v>49999</v>
      </c>
      <c r="Y1595" s="204">
        <f>_xll.qlCalendarAdvance(Calendar,X1595,NDays&amp;"D")</f>
        <v>50003</v>
      </c>
      <c r="Z1595" s="205">
        <v>3.7388038269082102E-2</v>
      </c>
      <c r="AA1595" s="207">
        <v>3.7343952052601992E-2</v>
      </c>
    </row>
    <row r="1596" spans="19:27" x14ac:dyDescent="0.2">
      <c r="S1596" s="165"/>
      <c r="T1596" s="166"/>
      <c r="W1596" s="199" t="str">
        <f t="shared" si="33"/>
        <v>1w</v>
      </c>
      <c r="X1596" s="200">
        <f>_xll.qlCalendarAdvance(Calendar,X1595,W1596,"f",FALSE)</f>
        <v>50006</v>
      </c>
      <c r="Y1596" s="204">
        <f>_xll.qlCalendarAdvance(Calendar,X1596,NDays&amp;"D")</f>
        <v>50010</v>
      </c>
      <c r="Z1596" s="205">
        <v>3.7384160523849519E-2</v>
      </c>
      <c r="AA1596" s="207">
        <v>3.7337166550042156E-2</v>
      </c>
    </row>
    <row r="1597" spans="19:27" x14ac:dyDescent="0.2">
      <c r="S1597" s="165"/>
      <c r="T1597" s="166"/>
      <c r="W1597" s="199" t="str">
        <f t="shared" si="33"/>
        <v>1w</v>
      </c>
      <c r="X1597" s="200">
        <f>_xll.qlCalendarAdvance(Calendar,X1596,W1597,"f",FALSE)</f>
        <v>50013</v>
      </c>
      <c r="Y1597" s="204">
        <f>_xll.qlCalendarAdvance(Calendar,X1597,NDays&amp;"D")</f>
        <v>50017</v>
      </c>
      <c r="Z1597" s="205">
        <v>3.737592824407214E-2</v>
      </c>
      <c r="AA1597" s="207">
        <v>3.7330391284093878E-2</v>
      </c>
    </row>
    <row r="1598" spans="19:27" x14ac:dyDescent="0.2">
      <c r="S1598" s="165"/>
      <c r="T1598" s="166"/>
      <c r="W1598" s="199" t="str">
        <f t="shared" si="33"/>
        <v>1w</v>
      </c>
      <c r="X1598" s="200">
        <f>_xll.qlCalendarAdvance(Calendar,X1597,W1598,"f",FALSE)</f>
        <v>50020</v>
      </c>
      <c r="Y1598" s="204">
        <f>_xll.qlCalendarAdvance(Calendar,X1598,NDays&amp;"D")</f>
        <v>50024</v>
      </c>
      <c r="Z1598" s="205">
        <v>3.736916121650416E-2</v>
      </c>
      <c r="AA1598" s="207">
        <v>3.7323626254437414E-2</v>
      </c>
    </row>
    <row r="1599" spans="19:27" x14ac:dyDescent="0.2">
      <c r="S1599" s="165"/>
      <c r="T1599" s="166"/>
      <c r="W1599" s="199" t="str">
        <f t="shared" si="33"/>
        <v>1w</v>
      </c>
      <c r="X1599" s="200">
        <f>_xll.qlCalendarAdvance(Calendar,X1598,W1599,"f",FALSE)</f>
        <v>50027</v>
      </c>
      <c r="Y1599" s="204">
        <f>_xll.qlCalendarAdvance(Calendar,X1599,NDays&amp;"D")</f>
        <v>50031</v>
      </c>
      <c r="Z1599" s="205">
        <v>3.7362404461070295E-2</v>
      </c>
      <c r="AA1599" s="207">
        <v>3.7322679994838737E-2</v>
      </c>
    </row>
    <row r="1600" spans="19:27" x14ac:dyDescent="0.2">
      <c r="S1600" s="165"/>
      <c r="T1600" s="166"/>
      <c r="W1600" s="199" t="str">
        <f t="shared" si="33"/>
        <v>1w</v>
      </c>
      <c r="X1600" s="200">
        <f>_xll.qlCalendarAdvance(Calendar,X1599,W1600,"f",FALSE)</f>
        <v>50038</v>
      </c>
      <c r="Y1600" s="204">
        <f>_xll.qlCalendarAdvance(Calendar,X1600,NDays&amp;"D")</f>
        <v>50040</v>
      </c>
      <c r="Z1600" s="205">
        <v>3.7352277279595114E-2</v>
      </c>
      <c r="AA1600" s="207">
        <v>3.7305315631499525E-2</v>
      </c>
    </row>
    <row r="1601" spans="19:27" x14ac:dyDescent="0.2">
      <c r="S1601" s="165"/>
      <c r="T1601" s="166"/>
      <c r="W1601" s="199" t="str">
        <f t="shared" si="33"/>
        <v>1w</v>
      </c>
      <c r="X1601" s="200">
        <f>_xll.qlCalendarAdvance(Calendar,X1600,W1601,"f",FALSE)</f>
        <v>50045</v>
      </c>
      <c r="Y1601" s="204">
        <f>_xll.qlCalendarAdvance(Calendar,X1601,NDays&amp;"D")</f>
        <v>50047</v>
      </c>
      <c r="Z1601" s="205">
        <v>3.734990944254335E-2</v>
      </c>
      <c r="AA1601" s="207">
        <v>3.730437458409952E-2</v>
      </c>
    </row>
    <row r="1602" spans="19:27" x14ac:dyDescent="0.2">
      <c r="S1602" s="165"/>
      <c r="T1602" s="166"/>
      <c r="W1602" s="199" t="str">
        <f t="shared" si="33"/>
        <v>1w</v>
      </c>
      <c r="X1602" s="200">
        <f>_xll.qlCalendarAdvance(Calendar,X1601,W1602,"f",FALSE)</f>
        <v>50052</v>
      </c>
      <c r="Y1602" s="204">
        <f>_xll.qlCalendarAdvance(Calendar,X1602,NDays&amp;"D")</f>
        <v>50054</v>
      </c>
      <c r="Z1602" s="205">
        <v>3.7344641917769338E-2</v>
      </c>
      <c r="AA1602" s="207">
        <v>3.729765349497427E-2</v>
      </c>
    </row>
    <row r="1603" spans="19:27" x14ac:dyDescent="0.2">
      <c r="S1603" s="165"/>
      <c r="T1603" s="166"/>
      <c r="W1603" s="199" t="str">
        <f t="shared" si="33"/>
        <v>1w</v>
      </c>
      <c r="X1603" s="200">
        <f>_xll.qlCalendarAdvance(Calendar,X1602,W1603,"f",FALSE)</f>
        <v>50059</v>
      </c>
      <c r="Y1603" s="204">
        <f>_xll.qlCalendarAdvance(Calendar,X1603,NDays&amp;"D")</f>
        <v>50061</v>
      </c>
      <c r="Z1603" s="205">
        <v>3.7336473858581604E-2</v>
      </c>
      <c r="AA1603" s="207">
        <v>3.7290942644698788E-2</v>
      </c>
    </row>
    <row r="1604" spans="19:27" x14ac:dyDescent="0.2">
      <c r="S1604" s="165"/>
      <c r="T1604" s="166"/>
      <c r="W1604" s="199" t="str">
        <f t="shared" si="33"/>
        <v>1w</v>
      </c>
      <c r="X1604" s="200">
        <f>_xll.qlCalendarAdvance(Calendar,X1603,W1604,"f",FALSE)</f>
        <v>50066</v>
      </c>
      <c r="Y1604" s="204">
        <f>_xll.qlCalendarAdvance(Calendar,X1604,NDays&amp;"D")</f>
        <v>50068</v>
      </c>
      <c r="Z1604" s="205">
        <v>3.7325405654595301E-2</v>
      </c>
      <c r="AA1604" s="207">
        <v>3.7284242033193138E-2</v>
      </c>
    </row>
    <row r="1605" spans="19:27" x14ac:dyDescent="0.2">
      <c r="S1605" s="165"/>
      <c r="T1605" s="166"/>
      <c r="W1605" s="199" t="str">
        <f t="shared" si="33"/>
        <v>1w</v>
      </c>
      <c r="X1605" s="200">
        <f>_xll.qlCalendarAdvance(Calendar,X1604,W1605,"f",FALSE)</f>
        <v>50073</v>
      </c>
      <c r="Y1605" s="204">
        <f>_xll.qlCalendarAdvance(Calendar,X1605,NDays&amp;"D")</f>
        <v>50075</v>
      </c>
      <c r="Z1605" s="205">
        <v>3.7315803316599894E-2</v>
      </c>
      <c r="AA1605" s="207">
        <v>3.7277551660563901E-2</v>
      </c>
    </row>
    <row r="1606" spans="19:27" x14ac:dyDescent="0.2">
      <c r="S1606" s="165"/>
      <c r="T1606" s="166"/>
      <c r="W1606" s="199" t="str">
        <f t="shared" si="33"/>
        <v>1w</v>
      </c>
      <c r="X1606" s="200">
        <f>_xll.qlCalendarAdvance(Calendar,X1605,W1606,"f",FALSE)</f>
        <v>50080</v>
      </c>
      <c r="Y1606" s="204">
        <f>_xll.qlCalendarAdvance(Calendar,X1606,NDays&amp;"D")</f>
        <v>50082</v>
      </c>
      <c r="Z1606" s="205">
        <v>3.7309121274297558E-2</v>
      </c>
      <c r="AA1606" s="207">
        <v>3.7270871526731142E-2</v>
      </c>
    </row>
    <row r="1607" spans="19:27" x14ac:dyDescent="0.2">
      <c r="S1607" s="165"/>
      <c r="T1607" s="166"/>
      <c r="W1607" s="199" t="str">
        <f t="shared" si="33"/>
        <v>1w</v>
      </c>
      <c r="X1607" s="200">
        <f>_xll.qlCalendarAdvance(Calendar,X1606,W1607,"f",FALSE)</f>
        <v>50087</v>
      </c>
      <c r="Y1607" s="204">
        <f>_xll.qlCalendarAdvance(Calendar,X1607,NDays&amp;"D")</f>
        <v>50089</v>
      </c>
      <c r="Z1607" s="205">
        <v>3.7302449500412775E-2</v>
      </c>
      <c r="AA1607" s="207">
        <v>3.7264201631748151E-2</v>
      </c>
    </row>
    <row r="1608" spans="19:27" x14ac:dyDescent="0.2">
      <c r="S1608" s="165"/>
      <c r="T1608" s="166"/>
      <c r="W1608" s="199" t="str">
        <f t="shared" si="33"/>
        <v>1w</v>
      </c>
      <c r="X1608" s="200">
        <f>_xll.qlCalendarAdvance(Calendar,X1607,W1608,"f",FALSE)</f>
        <v>50094</v>
      </c>
      <c r="Y1608" s="204">
        <f>_xll.qlCalendarAdvance(Calendar,X1608,NDays&amp;"D")</f>
        <v>50096</v>
      </c>
      <c r="Z1608" s="205">
        <v>3.7295787994948384E-2</v>
      </c>
      <c r="AA1608" s="207">
        <v>3.7257541975534991E-2</v>
      </c>
    </row>
    <row r="1609" spans="19:27" x14ac:dyDescent="0.2">
      <c r="S1609" s="165"/>
      <c r="T1609" s="166"/>
      <c r="W1609" s="199" t="str">
        <f t="shared" si="33"/>
        <v>1w</v>
      </c>
      <c r="X1609" s="200">
        <f>_xll.qlCalendarAdvance(Calendar,X1608,W1609,"f",FALSE)</f>
        <v>50101</v>
      </c>
      <c r="Y1609" s="204">
        <f>_xll.qlCalendarAdvance(Calendar,X1609,NDays&amp;"D")</f>
        <v>50103</v>
      </c>
      <c r="Z1609" s="205">
        <v>3.7297869393358149E-2</v>
      </c>
      <c r="AA1609" s="207">
        <v>3.72508925581716E-2</v>
      </c>
    </row>
    <row r="1610" spans="19:27" x14ac:dyDescent="0.2">
      <c r="S1610" s="165"/>
      <c r="T1610" s="166"/>
      <c r="W1610" s="199" t="str">
        <f t="shared" si="33"/>
        <v>1w</v>
      </c>
      <c r="X1610" s="200">
        <f>_xll.qlCalendarAdvance(Calendar,X1609,W1610,"f",FALSE)</f>
        <v>50108</v>
      </c>
      <c r="Y1610" s="204">
        <f>_xll.qlCalendarAdvance(Calendar,X1610,NDays&amp;"D")</f>
        <v>50110</v>
      </c>
      <c r="Z1610" s="205">
        <v>3.7289772957597674E-2</v>
      </c>
      <c r="AA1610" s="207">
        <v>3.7244253379604686E-2</v>
      </c>
    </row>
    <row r="1611" spans="19:27" x14ac:dyDescent="0.2">
      <c r="S1611" s="165"/>
      <c r="T1611" s="166"/>
      <c r="W1611" s="199" t="str">
        <f t="shared" si="33"/>
        <v>1w</v>
      </c>
      <c r="X1611" s="200">
        <f>_xll.qlCalendarAdvance(Calendar,X1610,W1611,"f",FALSE)</f>
        <v>50115</v>
      </c>
      <c r="Y1611" s="204">
        <f>_xll.qlCalendarAdvance(Calendar,X1611,NDays&amp;"D")</f>
        <v>50117</v>
      </c>
      <c r="Z1611" s="205">
        <v>3.7283142497574223E-2</v>
      </c>
      <c r="AA1611" s="207">
        <v>3.7237624439834249E-2</v>
      </c>
    </row>
    <row r="1612" spans="19:27" x14ac:dyDescent="0.2">
      <c r="S1612" s="165"/>
      <c r="T1612" s="166"/>
      <c r="W1612" s="199" t="str">
        <f t="shared" si="33"/>
        <v>1w</v>
      </c>
      <c r="X1612" s="200">
        <f>_xll.qlCalendarAdvance(Calendar,X1611,W1612,"f",FALSE)</f>
        <v>50122</v>
      </c>
      <c r="Y1612" s="204">
        <f>_xll.qlCalendarAdvance(Calendar,X1612,NDays&amp;"D")</f>
        <v>50124</v>
      </c>
      <c r="Z1612" s="205">
        <v>3.7276522311807371E-2</v>
      </c>
      <c r="AA1612" s="207">
        <v>3.7231005738886935E-2</v>
      </c>
    </row>
    <row r="1613" spans="19:27" x14ac:dyDescent="0.2">
      <c r="S1613" s="165"/>
      <c r="T1613" s="166"/>
      <c r="W1613" s="199" t="str">
        <f t="shared" si="33"/>
        <v>1w</v>
      </c>
      <c r="X1613" s="200">
        <f>_xll.qlCalendarAdvance(Calendar,X1612,W1613,"f",FALSE)</f>
        <v>50129</v>
      </c>
      <c r="Y1613" s="204">
        <f>_xll.qlCalendarAdvance(Calendar,X1613,NDays&amp;"D")</f>
        <v>50131</v>
      </c>
      <c r="Z1613" s="205">
        <v>3.7265545340281925E-2</v>
      </c>
      <c r="AA1613" s="207">
        <v>3.7217720347753058E-2</v>
      </c>
    </row>
    <row r="1614" spans="19:27" x14ac:dyDescent="0.2">
      <c r="S1614" s="165"/>
      <c r="T1614" s="166"/>
      <c r="W1614" s="199" t="str">
        <f t="shared" si="33"/>
        <v>1w</v>
      </c>
      <c r="X1614" s="200">
        <f>_xll.qlCalendarAdvance(Calendar,X1613,W1614,"f",FALSE)</f>
        <v>50137</v>
      </c>
      <c r="Y1614" s="204">
        <f>_xll.qlCalendarAdvance(Calendar,X1614,NDays&amp;"D")</f>
        <v>50139</v>
      </c>
      <c r="Z1614" s="205">
        <v>3.7260914945116963E-2</v>
      </c>
      <c r="AA1614" s="207">
        <v>3.7212069030498895E-2</v>
      </c>
    </row>
    <row r="1615" spans="19:27" x14ac:dyDescent="0.2">
      <c r="S1615" s="165"/>
      <c r="T1615" s="166"/>
      <c r="W1615" s="199" t="str">
        <f t="shared" si="33"/>
        <v>1w</v>
      </c>
      <c r="X1615" s="200">
        <f>_xll.qlCalendarAdvance(Calendar,X1614,W1615,"f",FALSE)</f>
        <v>50144</v>
      </c>
      <c r="Y1615" s="204">
        <f>_xll.qlCalendarAdvance(Calendar,X1615,NDays&amp;"D")</f>
        <v>50146</v>
      </c>
      <c r="Z1615" s="205">
        <v>3.7254326996605247E-2</v>
      </c>
      <c r="AA1615" s="207">
        <v>3.7205485332432175E-2</v>
      </c>
    </row>
    <row r="1616" spans="19:27" x14ac:dyDescent="0.2">
      <c r="S1616" s="165"/>
      <c r="T1616" s="166"/>
      <c r="W1616" s="199" t="str">
        <f t="shared" si="33"/>
        <v>1w</v>
      </c>
      <c r="X1616" s="200">
        <f>_xll.qlCalendarAdvance(Calendar,X1615,W1616,"f",FALSE)</f>
        <v>50151</v>
      </c>
      <c r="Y1616" s="204">
        <f>_xll.qlCalendarAdvance(Calendar,X1616,NDays&amp;"D")</f>
        <v>50153</v>
      </c>
      <c r="Z1616" s="205">
        <v>3.7249205279823047E-2</v>
      </c>
      <c r="AA1616" s="207">
        <v>3.7198911870737206E-2</v>
      </c>
    </row>
    <row r="1617" spans="19:27" x14ac:dyDescent="0.2">
      <c r="S1617" s="165"/>
      <c r="T1617" s="166"/>
      <c r="W1617" s="199" t="str">
        <f t="shared" si="33"/>
        <v>1w</v>
      </c>
      <c r="X1617" s="200">
        <f>_xll.qlCalendarAdvance(Calendar,X1616,W1617,"f",FALSE)</f>
        <v>50158</v>
      </c>
      <c r="Y1617" s="204">
        <f>_xll.qlCalendarAdvance(Calendar,X1617,NDays&amp;"D")</f>
        <v>50160</v>
      </c>
      <c r="Z1617" s="205">
        <v>3.7236814509905146E-2</v>
      </c>
      <c r="AA1617" s="207">
        <v>3.7191411877550706E-2</v>
      </c>
    </row>
    <row r="1618" spans="19:27" x14ac:dyDescent="0.2">
      <c r="S1618" s="165"/>
      <c r="T1618" s="166"/>
      <c r="W1618" s="199" t="str">
        <f t="shared" si="33"/>
        <v>1w</v>
      </c>
      <c r="X1618" s="200">
        <f>_xll.qlCalendarAdvance(Calendar,X1617,W1618,"f",FALSE)</f>
        <v>50165</v>
      </c>
      <c r="Y1618" s="204">
        <f>_xll.qlCalendarAdvance(Calendar,X1618,NDays&amp;"D")</f>
        <v>50167</v>
      </c>
      <c r="Z1618" s="205">
        <v>3.7234624789004855E-2</v>
      </c>
      <c r="AA1618" s="207">
        <v>3.7185795656702325E-2</v>
      </c>
    </row>
    <row r="1619" spans="19:27" x14ac:dyDescent="0.2">
      <c r="S1619" s="165"/>
      <c r="T1619" s="166"/>
      <c r="W1619" s="199" t="str">
        <f t="shared" si="33"/>
        <v>1w</v>
      </c>
      <c r="X1619" s="200">
        <f>_xll.qlCalendarAdvance(Calendar,X1618,W1619,"f",FALSE)</f>
        <v>50172</v>
      </c>
      <c r="Y1619" s="204">
        <f>_xll.qlCalendarAdvance(Calendar,X1619,NDays&amp;"D")</f>
        <v>50174</v>
      </c>
      <c r="Z1619" s="205">
        <v>3.7228077932393022E-2</v>
      </c>
      <c r="AA1619" s="207">
        <v>3.7179252904282478E-2</v>
      </c>
    </row>
    <row r="1620" spans="19:27" x14ac:dyDescent="0.2">
      <c r="S1620" s="165"/>
      <c r="T1620" s="166"/>
      <c r="W1620" s="199" t="str">
        <f t="shared" si="33"/>
        <v>1w</v>
      </c>
      <c r="X1620" s="200">
        <f>_xll.qlCalendarAdvance(Calendar,X1619,W1620,"f",FALSE)</f>
        <v>50179</v>
      </c>
      <c r="Y1620" s="204">
        <f>_xll.qlCalendarAdvance(Calendar,X1620,NDays&amp;"D")</f>
        <v>50181</v>
      </c>
      <c r="Z1620" s="205">
        <v>3.72215413487062E-2</v>
      </c>
      <c r="AA1620" s="207">
        <v>3.7171788007581696E-2</v>
      </c>
    </row>
    <row r="1621" spans="19:27" x14ac:dyDescent="0.2">
      <c r="S1621" s="165"/>
      <c r="T1621" s="166"/>
      <c r="W1621" s="199" t="str">
        <f t="shared" ref="W1621:W1684" si="34">W1620</f>
        <v>1w</v>
      </c>
      <c r="X1621" s="200">
        <f>_xll.qlCalendarAdvance(Calendar,X1620,W1621,"f",FALSE)</f>
        <v>50186</v>
      </c>
      <c r="Y1621" s="204">
        <f>_xll.qlCalendarAdvance(Calendar,X1621,NDays&amp;"D")</f>
        <v>50188</v>
      </c>
      <c r="Z1621" s="205">
        <v>3.7215015037936894E-2</v>
      </c>
      <c r="AA1621" s="207">
        <v>3.7166198109037651E-2</v>
      </c>
    </row>
    <row r="1622" spans="19:27" x14ac:dyDescent="0.2">
      <c r="S1622" s="165"/>
      <c r="T1622" s="166"/>
      <c r="W1622" s="199" t="str">
        <f t="shared" si="34"/>
        <v>1w</v>
      </c>
      <c r="X1622" s="200">
        <f>_xll.qlCalendarAdvance(Calendar,X1621,W1622,"f",FALSE)</f>
        <v>50193</v>
      </c>
      <c r="Y1622" s="204">
        <f>_xll.qlCalendarAdvance(Calendar,X1622,NDays&amp;"D")</f>
        <v>50195</v>
      </c>
      <c r="Z1622" s="205">
        <v>3.7208499000057627E-2</v>
      </c>
      <c r="AA1622" s="207">
        <v>3.7159686066052799E-2</v>
      </c>
    </row>
    <row r="1623" spans="19:27" x14ac:dyDescent="0.2">
      <c r="S1623" s="165"/>
      <c r="T1623" s="166"/>
      <c r="W1623" s="199" t="str">
        <f t="shared" si="34"/>
        <v>1w</v>
      </c>
      <c r="X1623" s="200">
        <f>_xll.qlCalendarAdvance(Calendar,X1622,W1623,"f",FALSE)</f>
        <v>50200</v>
      </c>
      <c r="Y1623" s="204">
        <f>_xll.qlCalendarAdvance(Calendar,X1623,NDays&amp;"D")</f>
        <v>50202</v>
      </c>
      <c r="Z1623" s="205">
        <v>3.7201993235055908E-2</v>
      </c>
      <c r="AA1623" s="207">
        <v>3.7153184259359762E-2</v>
      </c>
    </row>
    <row r="1624" spans="19:27" x14ac:dyDescent="0.2">
      <c r="S1624" s="165"/>
      <c r="T1624" s="166"/>
      <c r="W1624" s="199" t="str">
        <f t="shared" si="34"/>
        <v>1w</v>
      </c>
      <c r="X1624" s="200">
        <f>_xll.qlCalendarAdvance(Calendar,X1623,W1624,"f",FALSE)</f>
        <v>50207</v>
      </c>
      <c r="Y1624" s="204">
        <f>_xll.qlCalendarAdvance(Calendar,X1624,NDays&amp;"D")</f>
        <v>50209</v>
      </c>
      <c r="Z1624" s="205">
        <v>3.719549774291675E-2</v>
      </c>
      <c r="AA1624" s="207">
        <v>3.7146692689278282E-2</v>
      </c>
    </row>
    <row r="1625" spans="19:27" x14ac:dyDescent="0.2">
      <c r="S1625" s="165"/>
      <c r="T1625" s="166"/>
      <c r="W1625" s="199" t="str">
        <f t="shared" si="34"/>
        <v>1w</v>
      </c>
      <c r="X1625" s="200">
        <f>_xll.qlCalendarAdvance(Calendar,X1624,W1625,"f",FALSE)</f>
        <v>50214</v>
      </c>
      <c r="Y1625" s="204">
        <f>_xll.qlCalendarAdvance(Calendar,X1625,NDays&amp;"D")</f>
        <v>50216</v>
      </c>
      <c r="Z1625" s="205">
        <v>3.7189012523612675E-2</v>
      </c>
      <c r="AA1625" s="207">
        <v>3.7140211355568553E-2</v>
      </c>
    </row>
    <row r="1626" spans="19:27" x14ac:dyDescent="0.2">
      <c r="S1626" s="165"/>
      <c r="T1626" s="166"/>
      <c r="W1626" s="199" t="str">
        <f t="shared" si="34"/>
        <v>1w</v>
      </c>
      <c r="X1626" s="200">
        <f>_xll.qlCalendarAdvance(Calendar,X1625,W1626,"f",FALSE)</f>
        <v>50221</v>
      </c>
      <c r="Y1626" s="204">
        <f>_xll.qlCalendarAdvance(Calendar,X1626,NDays&amp;"D")</f>
        <v>50223</v>
      </c>
      <c r="Z1626" s="205">
        <v>3.7182537577136188E-2</v>
      </c>
      <c r="AA1626" s="207">
        <v>3.713374025831051E-2</v>
      </c>
    </row>
    <row r="1627" spans="19:27" x14ac:dyDescent="0.2">
      <c r="S1627" s="165"/>
      <c r="T1627" s="166"/>
      <c r="W1627" s="199" t="str">
        <f t="shared" si="34"/>
        <v>1w</v>
      </c>
      <c r="X1627" s="200">
        <f>_xll.qlCalendarAdvance(Calendar,X1626,W1627,"f",FALSE)</f>
        <v>50228</v>
      </c>
      <c r="Y1627" s="204">
        <f>_xll.qlCalendarAdvance(Calendar,X1627,NDays&amp;"D")</f>
        <v>50230</v>
      </c>
      <c r="Z1627" s="205">
        <v>3.7176072903462309E-2</v>
      </c>
      <c r="AA1627" s="207">
        <v>3.7127279397504154E-2</v>
      </c>
    </row>
    <row r="1628" spans="19:27" x14ac:dyDescent="0.2">
      <c r="S1628" s="165"/>
      <c r="T1628" s="166"/>
      <c r="W1628" s="199" t="str">
        <f t="shared" si="34"/>
        <v>1w</v>
      </c>
      <c r="X1628" s="200">
        <f>_xll.qlCalendarAdvance(Calendar,X1627,W1628,"f",FALSE)</f>
        <v>50235</v>
      </c>
      <c r="Y1628" s="204">
        <f>_xll.qlCalendarAdvance(Calendar,X1628,NDays&amp;"D")</f>
        <v>50237</v>
      </c>
      <c r="Z1628" s="205">
        <v>3.716961850257855E-2</v>
      </c>
      <c r="AA1628" s="207">
        <v>3.7120828773069547E-2</v>
      </c>
    </row>
    <row r="1629" spans="19:27" x14ac:dyDescent="0.2">
      <c r="S1629" s="165"/>
      <c r="T1629" s="166"/>
      <c r="W1629" s="199" t="str">
        <f t="shared" si="34"/>
        <v>1w</v>
      </c>
      <c r="X1629" s="200">
        <f>_xll.qlCalendarAdvance(Calendar,X1628,W1629,"f",FALSE)</f>
        <v>50242</v>
      </c>
      <c r="Y1629" s="204">
        <f>_xll.qlCalendarAdvance(Calendar,X1629,NDays&amp;"D")</f>
        <v>50244</v>
      </c>
      <c r="Z1629" s="205">
        <v>3.7163174374462427E-2</v>
      </c>
      <c r="AA1629" s="207">
        <v>3.7114388385166563E-2</v>
      </c>
    </row>
    <row r="1630" spans="19:27" x14ac:dyDescent="0.2">
      <c r="S1630" s="165"/>
      <c r="T1630" s="166"/>
      <c r="W1630" s="199" t="str">
        <f t="shared" si="34"/>
        <v>1w</v>
      </c>
      <c r="X1630" s="200">
        <f>_xll.qlCalendarAdvance(Calendar,X1629,W1630,"f",FALSE)</f>
        <v>50249</v>
      </c>
      <c r="Y1630" s="204">
        <f>_xll.qlCalendarAdvance(Calendar,X1630,NDays&amp;"D")</f>
        <v>50251</v>
      </c>
      <c r="Z1630" s="205">
        <v>3.7152370631932261E-2</v>
      </c>
      <c r="AA1630" s="207">
        <v>3.7107958233715266E-2</v>
      </c>
    </row>
    <row r="1631" spans="19:27" x14ac:dyDescent="0.2">
      <c r="S1631" s="165"/>
      <c r="T1631" s="166"/>
      <c r="W1631" s="199" t="str">
        <f t="shared" si="34"/>
        <v>1w</v>
      </c>
      <c r="X1631" s="200">
        <f>_xll.qlCalendarAdvance(Calendar,X1630,W1631,"f",FALSE)</f>
        <v>50256</v>
      </c>
      <c r="Y1631" s="204">
        <f>_xll.qlCalendarAdvance(Calendar,X1631,NDays&amp;"D")</f>
        <v>50258</v>
      </c>
      <c r="Z1631" s="205">
        <v>3.715177385142629E-2</v>
      </c>
      <c r="AA1631" s="207">
        <v>3.7101538318715654E-2</v>
      </c>
    </row>
    <row r="1632" spans="19:27" x14ac:dyDescent="0.2">
      <c r="S1632" s="165"/>
      <c r="T1632" s="166"/>
      <c r="W1632" s="199" t="str">
        <f t="shared" si="34"/>
        <v>1w</v>
      </c>
      <c r="X1632" s="200">
        <f>_xll.qlCalendarAdvance(Calendar,X1631,W1632,"f",FALSE)</f>
        <v>50263</v>
      </c>
      <c r="Y1632" s="204">
        <f>_xll.qlCalendarAdvance(Calendar,X1632,NDays&amp;"D")</f>
        <v>50265</v>
      </c>
      <c r="Z1632" s="205">
        <v>3.7143903626567498E-2</v>
      </c>
      <c r="AA1632" s="207">
        <v>3.7095128640087793E-2</v>
      </c>
    </row>
    <row r="1633" spans="19:27" x14ac:dyDescent="0.2">
      <c r="S1633" s="165"/>
      <c r="T1633" s="166"/>
      <c r="W1633" s="199" t="str">
        <f t="shared" si="34"/>
        <v>1w</v>
      </c>
      <c r="X1633" s="200">
        <f>_xll.qlCalendarAdvance(Calendar,X1632,W1633,"f",FALSE)</f>
        <v>50270</v>
      </c>
      <c r="Y1633" s="204">
        <f>_xll.qlCalendarAdvance(Calendar,X1633,NDays&amp;"D")</f>
        <v>50272</v>
      </c>
      <c r="Z1633" s="205">
        <v>3.7137500589357053E-2</v>
      </c>
      <c r="AA1633" s="207">
        <v>3.7088729197911618E-2</v>
      </c>
    </row>
    <row r="1634" spans="19:27" x14ac:dyDescent="0.2">
      <c r="S1634" s="165"/>
      <c r="T1634" s="166"/>
      <c r="W1634" s="199" t="str">
        <f t="shared" si="34"/>
        <v>1w</v>
      </c>
      <c r="X1634" s="200">
        <f>_xll.qlCalendarAdvance(Calendar,X1633,W1634,"f",FALSE)</f>
        <v>50277</v>
      </c>
      <c r="Y1634" s="204">
        <f>_xll.qlCalendarAdvance(Calendar,X1634,NDays&amp;"D")</f>
        <v>50279</v>
      </c>
      <c r="Z1634" s="205">
        <v>3.713110782483181E-2</v>
      </c>
      <c r="AA1634" s="207">
        <v>3.7081428084118073E-2</v>
      </c>
    </row>
    <row r="1635" spans="19:27" x14ac:dyDescent="0.2">
      <c r="S1635" s="165"/>
      <c r="T1635" s="166"/>
      <c r="W1635" s="199" t="str">
        <f t="shared" si="34"/>
        <v>1w</v>
      </c>
      <c r="X1635" s="200">
        <f>_xll.qlCalendarAdvance(Calendar,X1634,W1635,"f",FALSE)</f>
        <v>50284</v>
      </c>
      <c r="Y1635" s="204">
        <f>_xll.qlCalendarAdvance(Calendar,X1635,NDays&amp;"D")</f>
        <v>50286</v>
      </c>
      <c r="Z1635" s="205">
        <v>3.7124725332971786E-2</v>
      </c>
      <c r="AA1635" s="207">
        <v>3.7075961022834392E-2</v>
      </c>
    </row>
    <row r="1636" spans="19:27" x14ac:dyDescent="0.2">
      <c r="S1636" s="165"/>
      <c r="T1636" s="166"/>
      <c r="W1636" s="199" t="str">
        <f t="shared" si="34"/>
        <v>1w</v>
      </c>
      <c r="X1636" s="200">
        <f>_xll.qlCalendarAdvance(Calendar,X1635,W1636,"f",FALSE)</f>
        <v>50291</v>
      </c>
      <c r="Y1636" s="204">
        <f>_xll.qlCalendarAdvance(Calendar,X1636,NDays&amp;"D")</f>
        <v>50293</v>
      </c>
      <c r="Z1636" s="205">
        <v>3.7119810406100615E-2</v>
      </c>
      <c r="AA1636" s="207">
        <v>3.7069592290013276E-2</v>
      </c>
    </row>
    <row r="1637" spans="19:27" x14ac:dyDescent="0.2">
      <c r="S1637" s="165"/>
      <c r="T1637" s="166"/>
      <c r="W1637" s="199" t="str">
        <f t="shared" si="34"/>
        <v>1w</v>
      </c>
      <c r="X1637" s="200">
        <f>_xll.qlCalendarAdvance(Calendar,X1636,W1637,"f",FALSE)</f>
        <v>50298</v>
      </c>
      <c r="Y1637" s="204">
        <f>_xll.qlCalendarAdvance(Calendar,X1637,NDays&amp;"D")</f>
        <v>50300</v>
      </c>
      <c r="Z1637" s="205">
        <v>3.7111991167174951E-2</v>
      </c>
      <c r="AA1637" s="207">
        <v>3.706323379356391E-2</v>
      </c>
    </row>
    <row r="1638" spans="19:27" x14ac:dyDescent="0.2">
      <c r="S1638" s="165"/>
      <c r="T1638" s="166"/>
      <c r="W1638" s="199" t="str">
        <f t="shared" si="34"/>
        <v>1w</v>
      </c>
      <c r="X1638" s="200">
        <f>_xll.qlCalendarAdvance(Calendar,X1637,W1638,"f",FALSE)</f>
        <v>50305</v>
      </c>
      <c r="Y1638" s="204">
        <f>_xll.qlCalendarAdvance(Calendar,X1638,NDays&amp;"D")</f>
        <v>50307</v>
      </c>
      <c r="Z1638" s="205">
        <v>3.7105639493205667E-2</v>
      </c>
      <c r="AA1638" s="207">
        <v>3.7056885533566231E-2</v>
      </c>
    </row>
    <row r="1639" spans="19:27" x14ac:dyDescent="0.2">
      <c r="S1639" s="165"/>
      <c r="T1639" s="166"/>
      <c r="W1639" s="199" t="str">
        <f t="shared" si="34"/>
        <v>1w</v>
      </c>
      <c r="X1639" s="200">
        <f>_xll.qlCalendarAdvance(Calendar,X1638,W1639,"f",FALSE)</f>
        <v>50312</v>
      </c>
      <c r="Y1639" s="204">
        <f>_xll.qlCalendarAdvance(Calendar,X1639,NDays&amp;"D")</f>
        <v>50314</v>
      </c>
      <c r="Z1639" s="205">
        <v>3.7099298091831656E-2</v>
      </c>
      <c r="AA1639" s="207">
        <v>3.7050547509940301E-2</v>
      </c>
    </row>
    <row r="1640" spans="19:27" x14ac:dyDescent="0.2">
      <c r="S1640" s="165"/>
      <c r="T1640" s="166"/>
      <c r="W1640" s="199" t="str">
        <f t="shared" si="34"/>
        <v>1w</v>
      </c>
      <c r="X1640" s="200">
        <f>_xll.qlCalendarAdvance(Calendar,X1639,W1640,"f",FALSE)</f>
        <v>50319</v>
      </c>
      <c r="Y1640" s="204">
        <f>_xll.qlCalendarAdvance(Calendar,X1640,NDays&amp;"D")</f>
        <v>50321</v>
      </c>
      <c r="Z1640" s="205">
        <v>3.709296696304043E-2</v>
      </c>
      <c r="AA1640" s="207">
        <v>3.7044219722925931E-2</v>
      </c>
    </row>
    <row r="1641" spans="19:27" x14ac:dyDescent="0.2">
      <c r="S1641" s="165"/>
      <c r="T1641" s="166"/>
      <c r="W1641" s="199" t="str">
        <f t="shared" si="34"/>
        <v>1w</v>
      </c>
      <c r="X1641" s="200">
        <f>_xll.qlCalendarAdvance(Calendar,X1640,W1641,"f",FALSE)</f>
        <v>50326</v>
      </c>
      <c r="Y1641" s="204">
        <f>_xll.qlCalendarAdvance(Calendar,X1641,NDays&amp;"D")</f>
        <v>50328</v>
      </c>
      <c r="Z1641" s="205">
        <v>3.7086646106802013E-2</v>
      </c>
      <c r="AA1641" s="207">
        <v>3.7037902172123438E-2</v>
      </c>
    </row>
    <row r="1642" spans="19:27" x14ac:dyDescent="0.2">
      <c r="S1642" s="165"/>
      <c r="T1642" s="166"/>
      <c r="W1642" s="199" t="str">
        <f t="shared" si="34"/>
        <v>1w</v>
      </c>
      <c r="X1642" s="200">
        <f>_xll.qlCalendarAdvance(Calendar,X1641,W1642,"f",FALSE)</f>
        <v>50333</v>
      </c>
      <c r="Y1642" s="204">
        <f>_xll.qlCalendarAdvance(Calendar,X1642,NDays&amp;"D")</f>
        <v>50335</v>
      </c>
      <c r="Z1642" s="205">
        <v>3.7080335523108909E-2</v>
      </c>
      <c r="AA1642" s="207">
        <v>3.7031594857932504E-2</v>
      </c>
    </row>
    <row r="1643" spans="19:27" x14ac:dyDescent="0.2">
      <c r="S1643" s="165"/>
      <c r="T1643" s="166"/>
      <c r="W1643" s="199" t="str">
        <f t="shared" si="34"/>
        <v>1w</v>
      </c>
      <c r="X1643" s="200">
        <f>_xll.qlCalendarAdvance(Calendar,X1642,W1643,"f",FALSE)</f>
        <v>50340</v>
      </c>
      <c r="Y1643" s="204">
        <f>_xll.qlCalendarAdvance(Calendar,X1643,NDays&amp;"D")</f>
        <v>50342</v>
      </c>
      <c r="Z1643" s="205">
        <v>3.7074035211946132E-2</v>
      </c>
      <c r="AA1643" s="207">
        <v>3.7025297780033384E-2</v>
      </c>
    </row>
    <row r="1644" spans="19:27" x14ac:dyDescent="0.2">
      <c r="S1644" s="165"/>
      <c r="T1644" s="166"/>
      <c r="W1644" s="199" t="str">
        <f t="shared" si="34"/>
        <v>1w</v>
      </c>
      <c r="X1644" s="200">
        <f>_xll.qlCalendarAdvance(Calendar,X1643,W1644,"f",FALSE)</f>
        <v>50347</v>
      </c>
      <c r="Y1644" s="204">
        <f>_xll.qlCalendarAdvance(Calendar,X1644,NDays&amp;"D")</f>
        <v>50349</v>
      </c>
      <c r="Z1644" s="205">
        <v>3.7067745173293698E-2</v>
      </c>
      <c r="AA1644" s="207">
        <v>3.701901093858595E-2</v>
      </c>
    </row>
    <row r="1645" spans="19:27" x14ac:dyDescent="0.2">
      <c r="S1645" s="165"/>
      <c r="T1645" s="166"/>
      <c r="W1645" s="199" t="str">
        <f t="shared" si="34"/>
        <v>1w</v>
      </c>
      <c r="X1645" s="200">
        <f>_xll.qlCalendarAdvance(Calendar,X1644,W1645,"f",FALSE)</f>
        <v>50354</v>
      </c>
      <c r="Y1645" s="204">
        <f>_xll.qlCalendarAdvance(Calendar,X1645,NDays&amp;"D")</f>
        <v>50356</v>
      </c>
      <c r="Z1645" s="205">
        <v>3.7061465407129124E-2</v>
      </c>
      <c r="AA1645" s="207">
        <v>3.7012734333670139E-2</v>
      </c>
    </row>
    <row r="1646" spans="19:27" x14ac:dyDescent="0.2">
      <c r="S1646" s="165"/>
      <c r="T1646" s="166"/>
      <c r="W1646" s="199" t="str">
        <f t="shared" si="34"/>
        <v>1w</v>
      </c>
      <c r="X1646" s="200">
        <f>_xll.qlCalendarAdvance(Calendar,X1645,W1646,"f",FALSE)</f>
        <v>50361</v>
      </c>
      <c r="Y1646" s="204">
        <f>_xll.qlCalendarAdvance(Calendar,X1646,NDays&amp;"D")</f>
        <v>50363</v>
      </c>
      <c r="Z1646" s="205">
        <v>3.7055195913442418E-2</v>
      </c>
      <c r="AA1646" s="207">
        <v>3.7006467965126078E-2</v>
      </c>
    </row>
    <row r="1647" spans="19:27" x14ac:dyDescent="0.2">
      <c r="S1647" s="165"/>
      <c r="T1647" s="166"/>
      <c r="W1647" s="199" t="str">
        <f t="shared" si="34"/>
        <v>1w</v>
      </c>
      <c r="X1647" s="200">
        <f>_xll.qlCalendarAdvance(Calendar,X1646,W1647,"f",FALSE)</f>
        <v>50368</v>
      </c>
      <c r="Y1647" s="204">
        <f>_xll.qlCalendarAdvance(Calendar,X1647,NDays&amp;"D")</f>
        <v>50370</v>
      </c>
      <c r="Z1647" s="205">
        <v>3.7048043356318339E-2</v>
      </c>
      <c r="AA1647" s="207">
        <v>3.7000211832953767E-2</v>
      </c>
    </row>
    <row r="1648" spans="19:27" x14ac:dyDescent="0.2">
      <c r="S1648" s="165"/>
      <c r="T1648" s="166"/>
      <c r="W1648" s="199" t="str">
        <f t="shared" si="34"/>
        <v>1w</v>
      </c>
      <c r="X1648" s="200">
        <f>_xll.qlCalendarAdvance(Calendar,X1647,W1648,"f",FALSE)</f>
        <v>50375</v>
      </c>
      <c r="Y1648" s="204">
        <f>_xll.qlCalendarAdvance(Calendar,X1648,NDays&amp;"D")</f>
        <v>50377</v>
      </c>
      <c r="Z1648" s="205">
        <v>3.7042687743425173E-2</v>
      </c>
      <c r="AA1648" s="207">
        <v>3.6993965937233142E-2</v>
      </c>
    </row>
    <row r="1649" spans="19:27" x14ac:dyDescent="0.2">
      <c r="S1649" s="165"/>
      <c r="T1649" s="166"/>
      <c r="W1649" s="199" t="str">
        <f t="shared" si="34"/>
        <v>1w</v>
      </c>
      <c r="X1649" s="200">
        <f>_xll.qlCalendarAdvance(Calendar,X1648,W1649,"f",FALSE)</f>
        <v>50382</v>
      </c>
      <c r="Y1649" s="204">
        <f>_xll.qlCalendarAdvance(Calendar,X1649,NDays&amp;"D")</f>
        <v>50384</v>
      </c>
      <c r="Z1649" s="205">
        <v>3.7036449067059662E-2</v>
      </c>
      <c r="AA1649" s="207">
        <v>3.6987730278124076E-2</v>
      </c>
    </row>
    <row r="1650" spans="19:27" x14ac:dyDescent="0.2">
      <c r="S1650" s="165"/>
      <c r="T1650" s="166"/>
      <c r="W1650" s="199" t="str">
        <f t="shared" si="34"/>
        <v>1w</v>
      </c>
      <c r="X1650" s="200">
        <f>_xll.qlCalendarAdvance(Calendar,X1649,W1650,"f",FALSE)</f>
        <v>50389</v>
      </c>
      <c r="Y1650" s="204">
        <f>_xll.qlCalendarAdvance(Calendar,X1650,NDays&amp;"D")</f>
        <v>50391</v>
      </c>
      <c r="Z1650" s="205">
        <v>3.7031679167325915E-2</v>
      </c>
      <c r="AA1650" s="207">
        <v>3.6981504855226888E-2</v>
      </c>
    </row>
    <row r="1651" spans="19:27" x14ac:dyDescent="0.2">
      <c r="S1651" s="165"/>
      <c r="T1651" s="166"/>
      <c r="W1651" s="199" t="str">
        <f t="shared" si="34"/>
        <v>1w</v>
      </c>
      <c r="X1651" s="200">
        <f>_xll.qlCalendarAdvance(Calendar,X1650,W1651,"f",FALSE)</f>
        <v>50396</v>
      </c>
      <c r="Y1651" s="204">
        <f>_xll.qlCalendarAdvance(Calendar,X1651,NDays&amp;"D")</f>
        <v>50398</v>
      </c>
      <c r="Z1651" s="205">
        <v>3.7024002531534927E-2</v>
      </c>
      <c r="AA1651" s="207">
        <v>3.6973515781344446E-2</v>
      </c>
    </row>
    <row r="1652" spans="19:27" x14ac:dyDescent="0.2">
      <c r="S1652" s="165"/>
      <c r="T1652" s="166"/>
      <c r="W1652" s="199" t="str">
        <f t="shared" si="34"/>
        <v>1w</v>
      </c>
      <c r="X1652" s="200">
        <f>_xll.qlCalendarAdvance(Calendar,X1651,W1652,"f",FALSE)</f>
        <v>50403</v>
      </c>
      <c r="Y1652" s="204">
        <f>_xll.qlCalendarAdvance(Calendar,X1652,NDays&amp;"D")</f>
        <v>50405</v>
      </c>
      <c r="Z1652" s="205">
        <v>3.7013419239410532E-2</v>
      </c>
      <c r="AA1652" s="207">
        <v>3.6968199132942914E-2</v>
      </c>
    </row>
    <row r="1653" spans="19:27" x14ac:dyDescent="0.2">
      <c r="S1653" s="165"/>
      <c r="T1653" s="166"/>
      <c r="W1653" s="199" t="str">
        <f t="shared" si="34"/>
        <v>1w</v>
      </c>
      <c r="X1653" s="200">
        <f>_xll.qlCalendarAdvance(Calendar,X1652,W1653,"f",FALSE)</f>
        <v>50410</v>
      </c>
      <c r="Y1653" s="204">
        <f>_xll.qlCalendarAdvance(Calendar,X1653,NDays&amp;"D")</f>
        <v>50412</v>
      </c>
      <c r="Z1653" s="205">
        <v>3.7011597085502002E-2</v>
      </c>
      <c r="AA1653" s="207">
        <v>3.6962890005325377E-2</v>
      </c>
    </row>
    <row r="1654" spans="19:27" x14ac:dyDescent="0.2">
      <c r="S1654" s="165"/>
      <c r="T1654" s="166"/>
      <c r="W1654" s="199" t="str">
        <f t="shared" si="34"/>
        <v>1w</v>
      </c>
      <c r="X1654" s="200">
        <f>_xll.qlCalendarAdvance(Calendar,X1653,W1654,"f",FALSE)</f>
        <v>50417</v>
      </c>
      <c r="Y1654" s="204">
        <f>_xll.qlCalendarAdvance(Calendar,X1654,NDays&amp;"D")</f>
        <v>50419</v>
      </c>
      <c r="Z1654" s="205">
        <v>3.7006868663332818E-2</v>
      </c>
      <c r="AA1654" s="207">
        <v>3.6956705528154998E-2</v>
      </c>
    </row>
    <row r="1655" spans="19:27" x14ac:dyDescent="0.2">
      <c r="S1655" s="165"/>
      <c r="T1655" s="166"/>
      <c r="W1655" s="199" t="str">
        <f t="shared" si="34"/>
        <v>1w</v>
      </c>
      <c r="X1655" s="200">
        <f>_xll.qlCalendarAdvance(Calendar,X1654,W1655,"f",FALSE)</f>
        <v>50424</v>
      </c>
      <c r="Y1655" s="204">
        <f>_xll.qlCalendarAdvance(Calendar,X1655,NDays&amp;"D")</f>
        <v>50426</v>
      </c>
      <c r="Z1655" s="205">
        <v>3.6999232728820997E-2</v>
      </c>
      <c r="AA1655" s="207">
        <v>3.6950531287436306E-2</v>
      </c>
    </row>
    <row r="1656" spans="19:27" x14ac:dyDescent="0.2">
      <c r="S1656" s="165"/>
      <c r="T1656" s="166"/>
      <c r="W1656" s="199" t="str">
        <f t="shared" si="34"/>
        <v>1w</v>
      </c>
      <c r="X1656" s="200">
        <f>_xll.qlCalendarAdvance(Calendar,X1655,W1656,"f",FALSE)</f>
        <v>50431</v>
      </c>
      <c r="Y1656" s="204">
        <f>_xll.qlCalendarAdvance(Calendar,X1656,NDays&amp;"D")</f>
        <v>50433</v>
      </c>
      <c r="Z1656" s="205">
        <v>3.6988689336278344E-2</v>
      </c>
      <c r="AA1656" s="207">
        <v>3.6944367283169299E-2</v>
      </c>
    </row>
    <row r="1657" spans="19:27" x14ac:dyDescent="0.2">
      <c r="S1657" s="165"/>
      <c r="T1657" s="166"/>
      <c r="W1657" s="199" t="str">
        <f t="shared" si="34"/>
        <v>1w</v>
      </c>
      <c r="X1657" s="200">
        <f>_xll.qlCalendarAdvance(Calendar,X1656,W1657,"f",FALSE)</f>
        <v>50438</v>
      </c>
      <c r="Y1657" s="204">
        <f>_xll.qlCalendarAdvance(Calendar,X1657,NDays&amp;"D")</f>
        <v>50440</v>
      </c>
      <c r="Z1657" s="205">
        <v>3.6981073775557781E-2</v>
      </c>
      <c r="AA1657" s="207">
        <v>3.6938213515274043E-2</v>
      </c>
    </row>
    <row r="1658" spans="19:27" x14ac:dyDescent="0.2">
      <c r="S1658" s="165"/>
      <c r="T1658" s="166"/>
      <c r="W1658" s="199" t="str">
        <f t="shared" si="34"/>
        <v>1w</v>
      </c>
      <c r="X1658" s="200">
        <f>_xll.qlCalendarAdvance(Calendar,X1657,W1658,"f",FALSE)</f>
        <v>50445</v>
      </c>
      <c r="Y1658" s="204">
        <f>_xll.qlCalendarAdvance(Calendar,X1658,NDays&amp;"D")</f>
        <v>50447</v>
      </c>
      <c r="Z1658" s="205">
        <v>3.6974927137659118E-2</v>
      </c>
      <c r="AA1658" s="207">
        <v>3.6932069983910409E-2</v>
      </c>
    </row>
    <row r="1659" spans="19:27" x14ac:dyDescent="0.2">
      <c r="S1659" s="165"/>
      <c r="T1659" s="166"/>
      <c r="W1659" s="199" t="str">
        <f t="shared" si="34"/>
        <v>1w</v>
      </c>
      <c r="X1659" s="200">
        <f>_xll.qlCalendarAdvance(Calendar,X1658,W1659,"f",FALSE)</f>
        <v>50452</v>
      </c>
      <c r="Y1659" s="204">
        <f>_xll.qlCalendarAdvance(Calendar,X1659,NDays&amp;"D")</f>
        <v>50454</v>
      </c>
      <c r="Z1659" s="205">
        <v>3.6968790767381493E-2</v>
      </c>
      <c r="AA1659" s="207">
        <v>3.692593668883859E-2</v>
      </c>
    </row>
    <row r="1660" spans="19:27" x14ac:dyDescent="0.2">
      <c r="S1660" s="165"/>
      <c r="T1660" s="166"/>
      <c r="W1660" s="199" t="str">
        <f t="shared" si="34"/>
        <v>1w</v>
      </c>
      <c r="X1660" s="200">
        <f>_xll.qlCalendarAdvance(Calendar,X1659,W1660,"f",FALSE)</f>
        <v>50459</v>
      </c>
      <c r="Y1660" s="204">
        <f>_xll.qlCalendarAdvance(Calendar,X1660,NDays&amp;"D")</f>
        <v>50461</v>
      </c>
      <c r="Z1660" s="205">
        <v>3.6962664664722054E-2</v>
      </c>
      <c r="AA1660" s="207">
        <v>3.6919813630298393E-2</v>
      </c>
    </row>
    <row r="1661" spans="19:27" x14ac:dyDescent="0.2">
      <c r="S1661" s="165"/>
      <c r="T1661" s="166"/>
      <c r="W1661" s="199" t="str">
        <f t="shared" si="34"/>
        <v>1w</v>
      </c>
      <c r="X1661" s="200">
        <f>_xll.qlCalendarAdvance(Calendar,X1660,W1661,"f",FALSE)</f>
        <v>50466</v>
      </c>
      <c r="Y1661" s="204">
        <f>_xll.qlCalendarAdvance(Calendar,X1661,NDays&amp;"D")</f>
        <v>50468</v>
      </c>
      <c r="Z1661" s="205">
        <v>3.6962386193575558E-2</v>
      </c>
      <c r="AA1661" s="207">
        <v>3.6913700808129946E-2</v>
      </c>
    </row>
    <row r="1662" spans="19:27" x14ac:dyDescent="0.2">
      <c r="S1662" s="165"/>
      <c r="T1662" s="166"/>
      <c r="W1662" s="199" t="str">
        <f t="shared" si="34"/>
        <v>1w</v>
      </c>
      <c r="X1662" s="200">
        <f>_xll.qlCalendarAdvance(Calendar,X1661,W1662,"f",FALSE)</f>
        <v>50473</v>
      </c>
      <c r="Y1662" s="204">
        <f>_xll.qlCalendarAdvance(Calendar,X1662,NDays&amp;"D")</f>
        <v>50475</v>
      </c>
      <c r="Z1662" s="205">
        <v>3.6956281057176632E-2</v>
      </c>
      <c r="AA1662" s="207">
        <v>3.6907598222413185E-2</v>
      </c>
    </row>
    <row r="1663" spans="19:27" x14ac:dyDescent="0.2">
      <c r="S1663" s="165"/>
      <c r="T1663" s="166"/>
      <c r="W1663" s="199" t="str">
        <f t="shared" si="34"/>
        <v>1w</v>
      </c>
      <c r="X1663" s="200">
        <f>_xll.qlCalendarAdvance(Calendar,X1662,W1663,"f",FALSE)</f>
        <v>50480</v>
      </c>
      <c r="Y1663" s="204">
        <f>_xll.qlCalendarAdvance(Calendar,X1663,NDays&amp;"D")</f>
        <v>50482</v>
      </c>
      <c r="Z1663" s="205">
        <v>3.6950186192975798E-2</v>
      </c>
      <c r="AA1663" s="207">
        <v>3.6901505873068174E-2</v>
      </c>
    </row>
    <row r="1664" spans="19:27" x14ac:dyDescent="0.2">
      <c r="S1664" s="165"/>
      <c r="T1664" s="166"/>
      <c r="W1664" s="199" t="str">
        <f t="shared" si="34"/>
        <v>1w</v>
      </c>
      <c r="X1664" s="200">
        <f>_xll.qlCalendarAdvance(Calendar,X1663,W1664,"f",FALSE)</f>
        <v>50487</v>
      </c>
      <c r="Y1664" s="204">
        <f>_xll.qlCalendarAdvance(Calendar,X1664,NDays&amp;"D")</f>
        <v>50489</v>
      </c>
      <c r="Z1664" s="205">
        <v>3.6945561544591179E-2</v>
      </c>
      <c r="AA1664" s="207">
        <v>3.689542376017485E-2</v>
      </c>
    </row>
    <row r="1665" spans="19:27" x14ac:dyDescent="0.2">
      <c r="S1665" s="165"/>
      <c r="T1665" s="166"/>
      <c r="W1665" s="199" t="str">
        <f t="shared" si="34"/>
        <v>1w</v>
      </c>
      <c r="X1665" s="200">
        <f>_xll.qlCalendarAdvance(Calendar,X1664,W1665,"f",FALSE)</f>
        <v>50494</v>
      </c>
      <c r="Y1665" s="204">
        <f>_xll.qlCalendarAdvance(Calendar,X1665,NDays&amp;"D")</f>
        <v>50496</v>
      </c>
      <c r="Z1665" s="205">
        <v>3.693948733619673E-2</v>
      </c>
      <c r="AA1665" s="207">
        <v>3.6889351883653276E-2</v>
      </c>
    </row>
    <row r="1666" spans="19:27" x14ac:dyDescent="0.2">
      <c r="S1666" s="165"/>
      <c r="T1666" s="166"/>
      <c r="W1666" s="199" t="str">
        <f t="shared" si="34"/>
        <v>1w</v>
      </c>
      <c r="X1666" s="200">
        <f>_xll.qlCalendarAdvance(Calendar,X1665,W1666,"f",FALSE)</f>
        <v>50501</v>
      </c>
      <c r="Y1666" s="204">
        <f>_xll.qlCalendarAdvance(Calendar,X1666,NDays&amp;"D")</f>
        <v>50503</v>
      </c>
      <c r="Z1666" s="205">
        <v>3.6931963233314546E-2</v>
      </c>
      <c r="AA1666" s="207">
        <v>3.6883290243663325E-2</v>
      </c>
    </row>
    <row r="1667" spans="19:27" x14ac:dyDescent="0.2">
      <c r="S1667" s="165"/>
      <c r="T1667" s="166"/>
      <c r="W1667" s="199" t="str">
        <f t="shared" si="34"/>
        <v>1w</v>
      </c>
      <c r="X1667" s="200">
        <f>_xll.qlCalendarAdvance(Calendar,X1666,W1667,"f",FALSE)</f>
        <v>50508</v>
      </c>
      <c r="Y1667" s="204">
        <f>_xll.qlCalendarAdvance(Calendar,X1667,NDays&amp;"D")</f>
        <v>50510</v>
      </c>
      <c r="Z1667" s="205">
        <v>3.6925909457696249E-2</v>
      </c>
      <c r="AA1667" s="207">
        <v>3.6877238839965187E-2</v>
      </c>
    </row>
    <row r="1668" spans="19:27" x14ac:dyDescent="0.2">
      <c r="S1668" s="165"/>
      <c r="T1668" s="166"/>
      <c r="W1668" s="199" t="str">
        <f t="shared" si="34"/>
        <v>1w</v>
      </c>
      <c r="X1668" s="200">
        <f>_xll.qlCalendarAdvance(Calendar,X1667,W1668,"f",FALSE)</f>
        <v>50515</v>
      </c>
      <c r="Y1668" s="204">
        <f>_xll.qlCalendarAdvance(Calendar,X1668,NDays&amp;"D")</f>
        <v>50517</v>
      </c>
      <c r="Z1668" s="205">
        <v>3.6919865954178621E-2</v>
      </c>
      <c r="AA1668" s="207">
        <v>3.6869473505110051E-2</v>
      </c>
    </row>
    <row r="1669" spans="19:27" x14ac:dyDescent="0.2">
      <c r="S1669" s="165"/>
      <c r="T1669" s="166"/>
      <c r="W1669" s="199" t="str">
        <f t="shared" si="34"/>
        <v>1w</v>
      </c>
      <c r="X1669" s="200">
        <f>_xll.qlCalendarAdvance(Calendar,X1668,W1669,"f",FALSE)</f>
        <v>50522</v>
      </c>
      <c r="Y1669" s="204">
        <f>_xll.qlCalendarAdvance(Calendar,X1669,NDays&amp;"D")</f>
        <v>50524</v>
      </c>
      <c r="Z1669" s="205">
        <v>3.6909451850166544E-2</v>
      </c>
      <c r="AA1669" s="207">
        <v>3.686430601603341E-2</v>
      </c>
    </row>
    <row r="1670" spans="19:27" x14ac:dyDescent="0.2">
      <c r="S1670" s="165"/>
      <c r="T1670" s="166"/>
      <c r="W1670" s="199" t="str">
        <f t="shared" si="34"/>
        <v>1w</v>
      </c>
      <c r="X1670" s="200">
        <f>_xll.qlCalendarAdvance(Calendar,X1669,W1670,"f",FALSE)</f>
        <v>50529</v>
      </c>
      <c r="Y1670" s="204">
        <f>_xll.qlCalendarAdvance(Calendar,X1670,NDays&amp;"D")</f>
        <v>50531</v>
      </c>
      <c r="Z1670" s="205">
        <v>3.6907809763397914E-2</v>
      </c>
      <c r="AA1670" s="207">
        <v>3.6859146047660829E-2</v>
      </c>
    </row>
    <row r="1671" spans="19:27" x14ac:dyDescent="0.2">
      <c r="S1671" s="165"/>
      <c r="T1671" s="166"/>
      <c r="W1671" s="199" t="str">
        <f t="shared" si="34"/>
        <v>1w</v>
      </c>
      <c r="X1671" s="200">
        <f>_xll.qlCalendarAdvance(Calendar,X1670,W1671,"f",FALSE)</f>
        <v>50536</v>
      </c>
      <c r="Y1671" s="204">
        <f>_xll.qlCalendarAdvance(Calendar,X1671,NDays&amp;"D")</f>
        <v>50538</v>
      </c>
      <c r="Z1671" s="205">
        <v>3.6901797076099863E-2</v>
      </c>
      <c r="AA1671" s="207">
        <v>3.6853135589609565E-2</v>
      </c>
    </row>
    <row r="1672" spans="19:27" x14ac:dyDescent="0.2">
      <c r="S1672" s="165"/>
      <c r="T1672" s="166"/>
      <c r="W1672" s="199" t="str">
        <f t="shared" si="34"/>
        <v>1w</v>
      </c>
      <c r="X1672" s="200">
        <f>_xll.qlCalendarAdvance(Calendar,X1671,W1672,"f",FALSE)</f>
        <v>50543</v>
      </c>
      <c r="Y1672" s="204">
        <f>_xll.qlCalendarAdvance(Calendar,X1672,NDays&amp;"D")</f>
        <v>50545</v>
      </c>
      <c r="Z1672" s="205">
        <v>3.6895794660840031E-2</v>
      </c>
      <c r="AA1672" s="207">
        <v>3.6847135368089923E-2</v>
      </c>
    </row>
    <row r="1673" spans="19:27" x14ac:dyDescent="0.2">
      <c r="S1673" s="165"/>
      <c r="T1673" s="166"/>
      <c r="W1673" s="199" t="str">
        <f t="shared" si="34"/>
        <v>1w</v>
      </c>
      <c r="X1673" s="200">
        <f>_xll.qlCalendarAdvance(Calendar,X1672,W1673,"f",FALSE)</f>
        <v>50550</v>
      </c>
      <c r="Y1673" s="204">
        <f>_xll.qlCalendarAdvance(Calendar,X1673,NDays&amp;"D")</f>
        <v>50552</v>
      </c>
      <c r="Z1673" s="205">
        <v>3.6889802517600934E-2</v>
      </c>
      <c r="AA1673" s="207">
        <v>3.6840290506372497E-2</v>
      </c>
    </row>
    <row r="1674" spans="19:27" x14ac:dyDescent="0.2">
      <c r="S1674" s="165"/>
      <c r="T1674" s="166"/>
      <c r="W1674" s="199" t="str">
        <f t="shared" si="34"/>
        <v>1w</v>
      </c>
      <c r="X1674" s="200">
        <f>_xll.qlCalendarAdvance(Calendar,X1673,W1674,"f",FALSE)</f>
        <v>50557</v>
      </c>
      <c r="Y1674" s="204">
        <f>_xll.qlCalendarAdvance(Calendar,X1674,NDays&amp;"D")</f>
        <v>50559</v>
      </c>
      <c r="Z1674" s="205">
        <v>3.6885281756707501E-2</v>
      </c>
      <c r="AA1674" s="207">
        <v>3.6835165634245826E-2</v>
      </c>
    </row>
    <row r="1675" spans="19:27" x14ac:dyDescent="0.2">
      <c r="S1675" s="165"/>
      <c r="T1675" s="166"/>
      <c r="W1675" s="199" t="str">
        <f t="shared" si="34"/>
        <v>1w</v>
      </c>
      <c r="X1675" s="200">
        <f>_xll.qlCalendarAdvance(Calendar,X1674,W1675,"f",FALSE)</f>
        <v>50564</v>
      </c>
      <c r="Y1675" s="204">
        <f>_xll.qlCalendarAdvance(Calendar,X1675,NDays&amp;"D")</f>
        <v>50566</v>
      </c>
      <c r="Z1675" s="205">
        <v>3.6877849047132483E-2</v>
      </c>
      <c r="AA1675" s="207">
        <v>3.6829196121841434E-2</v>
      </c>
    </row>
    <row r="1676" spans="19:27" x14ac:dyDescent="0.2">
      <c r="S1676" s="165"/>
      <c r="T1676" s="166"/>
      <c r="W1676" s="199" t="str">
        <f t="shared" si="34"/>
        <v>1w</v>
      </c>
      <c r="X1676" s="200">
        <f>_xll.qlCalendarAdvance(Calendar,X1675,W1676,"f",FALSE)</f>
        <v>50571</v>
      </c>
      <c r="Y1676" s="204">
        <f>_xll.qlCalendarAdvance(Calendar,X1676,NDays&amp;"D")</f>
        <v>50573</v>
      </c>
      <c r="Z1676" s="205">
        <v>3.6871887719865659E-2</v>
      </c>
      <c r="AA1676" s="207">
        <v>3.6823236845968665E-2</v>
      </c>
    </row>
    <row r="1677" spans="19:27" x14ac:dyDescent="0.2">
      <c r="S1677" s="165"/>
      <c r="T1677" s="166"/>
      <c r="W1677" s="199" t="str">
        <f t="shared" si="34"/>
        <v>1w</v>
      </c>
      <c r="X1677" s="200">
        <f>_xll.qlCalendarAdvance(Calendar,X1676,W1677,"f",FALSE)</f>
        <v>50578</v>
      </c>
      <c r="Y1677" s="204">
        <f>_xll.qlCalendarAdvance(Calendar,X1677,NDays&amp;"D")</f>
        <v>50580</v>
      </c>
      <c r="Z1677" s="205">
        <v>3.686593666455712E-2</v>
      </c>
      <c r="AA1677" s="207">
        <v>3.6817287806467647E-2</v>
      </c>
    </row>
    <row r="1678" spans="19:27" x14ac:dyDescent="0.2">
      <c r="S1678" s="165"/>
      <c r="T1678" s="166"/>
      <c r="W1678" s="199" t="str">
        <f t="shared" si="34"/>
        <v>1w</v>
      </c>
      <c r="X1678" s="200">
        <f>_xll.qlCalendarAdvance(Calendar,X1677,W1678,"f",FALSE)</f>
        <v>50585</v>
      </c>
      <c r="Y1678" s="204">
        <f>_xll.qlCalendarAdvance(Calendar,X1678,NDays&amp;"D")</f>
        <v>50587</v>
      </c>
      <c r="Z1678" s="205">
        <v>3.6859995881189378E-2</v>
      </c>
      <c r="AA1678" s="207">
        <v>3.681134900349825E-2</v>
      </c>
    </row>
    <row r="1679" spans="19:27" x14ac:dyDescent="0.2">
      <c r="S1679" s="165"/>
      <c r="T1679" s="166"/>
      <c r="W1679" s="199" t="str">
        <f t="shared" si="34"/>
        <v>1w</v>
      </c>
      <c r="X1679" s="200">
        <f>_xll.qlCalendarAdvance(Calendar,X1678,W1679,"f",FALSE)</f>
        <v>50592</v>
      </c>
      <c r="Y1679" s="204">
        <f>_xll.qlCalendarAdvance(Calendar,X1679,NDays&amp;"D")</f>
        <v>50594</v>
      </c>
      <c r="Z1679" s="205">
        <v>3.6854065369747446E-2</v>
      </c>
      <c r="AA1679" s="207">
        <v>3.6805420436820668E-2</v>
      </c>
    </row>
    <row r="1680" spans="19:27" x14ac:dyDescent="0.2">
      <c r="S1680" s="165"/>
      <c r="T1680" s="166"/>
      <c r="W1680" s="199" t="str">
        <f t="shared" si="34"/>
        <v>1w</v>
      </c>
      <c r="X1680" s="200">
        <f>_xll.qlCalendarAdvance(Calendar,X1679,W1680,"f",FALSE)</f>
        <v>50599</v>
      </c>
      <c r="Y1680" s="204">
        <f>_xll.qlCalendarAdvance(Calendar,X1680,NDays&amp;"D")</f>
        <v>50601</v>
      </c>
      <c r="Z1680" s="205">
        <v>3.6848145130213839E-2</v>
      </c>
      <c r="AA1680" s="207">
        <v>3.6799502106594772E-2</v>
      </c>
    </row>
    <row r="1681" spans="19:27" x14ac:dyDescent="0.2">
      <c r="S1681" s="165"/>
      <c r="T1681" s="166"/>
      <c r="W1681" s="199" t="str">
        <f t="shared" si="34"/>
        <v>1w</v>
      </c>
      <c r="X1681" s="200">
        <f>_xll.qlCalendarAdvance(Calendar,X1680,W1681,"f",FALSE)</f>
        <v>50606</v>
      </c>
      <c r="Y1681" s="204">
        <f>_xll.qlCalendarAdvance(Calendar,X1681,NDays&amp;"D")</f>
        <v>50608</v>
      </c>
      <c r="Z1681" s="205">
        <v>3.6842235162573567E-2</v>
      </c>
      <c r="AA1681" s="207">
        <v>3.6793594012740627E-2</v>
      </c>
    </row>
    <row r="1682" spans="19:27" x14ac:dyDescent="0.2">
      <c r="S1682" s="165"/>
      <c r="T1682" s="166"/>
      <c r="W1682" s="199" t="str">
        <f t="shared" si="34"/>
        <v>1w</v>
      </c>
      <c r="X1682" s="200">
        <f>_xll.qlCalendarAdvance(Calendar,X1681,W1682,"f",FALSE)</f>
        <v>50613</v>
      </c>
      <c r="Y1682" s="204">
        <f>_xll.qlCalendarAdvance(Calendar,X1682,NDays&amp;"D")</f>
        <v>50615</v>
      </c>
      <c r="Z1682" s="205">
        <v>3.6837797593202062E-2</v>
      </c>
      <c r="AA1682" s="207">
        <v>3.6787696155258232E-2</v>
      </c>
    </row>
    <row r="1683" spans="19:27" x14ac:dyDescent="0.2">
      <c r="S1683" s="165"/>
      <c r="T1683" s="166"/>
      <c r="W1683" s="199" t="str">
        <f t="shared" si="34"/>
        <v>1w</v>
      </c>
      <c r="X1683" s="200">
        <f>_xll.qlCalendarAdvance(Calendar,X1682,W1683,"f",FALSE)</f>
        <v>50620</v>
      </c>
      <c r="Y1683" s="204">
        <f>_xll.qlCalendarAdvance(Calendar,X1683,NDays&amp;"D")</f>
        <v>50622</v>
      </c>
      <c r="Z1683" s="205">
        <v>3.683190830146172E-2</v>
      </c>
      <c r="AA1683" s="207">
        <v>3.6781808534307459E-2</v>
      </c>
    </row>
    <row r="1684" spans="19:27" x14ac:dyDescent="0.2">
      <c r="S1684" s="165"/>
      <c r="T1684" s="166"/>
      <c r="W1684" s="199" t="str">
        <f t="shared" si="34"/>
        <v>1w</v>
      </c>
      <c r="X1684" s="200">
        <f>_xll.qlCalendarAdvance(Calendar,X1683,W1684,"f",FALSE)</f>
        <v>50627</v>
      </c>
      <c r="Y1684" s="204">
        <f>_xll.qlCalendarAdvance(Calendar,X1684,NDays&amp;"D")</f>
        <v>50629</v>
      </c>
      <c r="Z1684" s="205">
        <v>3.6824566890847898E-2</v>
      </c>
      <c r="AA1684" s="207">
        <v>3.67759311496485E-2</v>
      </c>
    </row>
    <row r="1685" spans="19:27" x14ac:dyDescent="0.2">
      <c r="S1685" s="165"/>
      <c r="T1685" s="166"/>
      <c r="W1685" s="199" t="str">
        <f t="shared" ref="W1685:W1748" si="35">W1684</f>
        <v>1w</v>
      </c>
      <c r="X1685" s="200">
        <f>_xll.qlCalendarAdvance(Calendar,X1684,W1685,"f",FALSE)</f>
        <v>50634</v>
      </c>
      <c r="Y1685" s="204">
        <f>_xll.qlCalendarAdvance(Calendar,X1685,NDays&amp;"D")</f>
        <v>50636</v>
      </c>
      <c r="Z1685" s="205">
        <v>3.6818698010616102E-2</v>
      </c>
      <c r="AA1685" s="207">
        <v>3.6770064001521163E-2</v>
      </c>
    </row>
    <row r="1686" spans="19:27" x14ac:dyDescent="0.2">
      <c r="S1686" s="165"/>
      <c r="T1686" s="166"/>
      <c r="W1686" s="199" t="str">
        <f t="shared" si="35"/>
        <v>1w</v>
      </c>
      <c r="X1686" s="200">
        <f>_xll.qlCalendarAdvance(Calendar,X1685,W1686,"f",FALSE)</f>
        <v>50641</v>
      </c>
      <c r="Y1686" s="204">
        <f>_xll.qlCalendarAdvance(Calendar,X1686,NDays&amp;"D")</f>
        <v>50643</v>
      </c>
      <c r="Z1686" s="205">
        <v>3.6812839402197706E-2</v>
      </c>
      <c r="AA1686" s="207">
        <v>3.6763371223669239E-2</v>
      </c>
    </row>
    <row r="1687" spans="19:27" x14ac:dyDescent="0.2">
      <c r="S1687" s="165"/>
      <c r="T1687" s="166"/>
      <c r="W1687" s="199" t="str">
        <f t="shared" si="35"/>
        <v>1w</v>
      </c>
      <c r="X1687" s="200">
        <f>_xll.qlCalendarAdvance(Calendar,X1686,W1687,"f",FALSE)</f>
        <v>50648</v>
      </c>
      <c r="Y1687" s="204">
        <f>_xll.qlCalendarAdvance(Calendar,X1687,NDays&amp;"D")</f>
        <v>50650</v>
      </c>
      <c r="Z1687" s="205">
        <v>3.6806991065577721E-2</v>
      </c>
      <c r="AA1687" s="207">
        <v>3.6758360414381741E-2</v>
      </c>
    </row>
    <row r="1688" spans="19:27" x14ac:dyDescent="0.2">
      <c r="S1688" s="165"/>
      <c r="T1688" s="166"/>
      <c r="W1688" s="199" t="str">
        <f t="shared" si="35"/>
        <v>1w</v>
      </c>
      <c r="X1688" s="200">
        <f>_xll.qlCalendarAdvance(Calendar,X1687,W1688,"f",FALSE)</f>
        <v>50655</v>
      </c>
      <c r="Y1688" s="204">
        <f>_xll.qlCalendarAdvance(Calendar,X1688,NDays&amp;"D")</f>
        <v>50657</v>
      </c>
      <c r="Z1688" s="205">
        <v>3.6802615937252335E-2</v>
      </c>
      <c r="AA1688" s="207">
        <v>3.6752523975369655E-2</v>
      </c>
    </row>
    <row r="1689" spans="19:27" x14ac:dyDescent="0.2">
      <c r="S1689" s="165"/>
      <c r="T1689" s="166"/>
      <c r="W1689" s="199" t="str">
        <f t="shared" si="35"/>
        <v>1w</v>
      </c>
      <c r="X1689" s="200">
        <f>_xll.qlCalendarAdvance(Calendar,X1688,W1689,"f",FALSE)</f>
        <v>50662</v>
      </c>
      <c r="Y1689" s="204">
        <f>_xll.qlCalendarAdvance(Calendar,X1689,NDays&amp;"D")</f>
        <v>50664</v>
      </c>
      <c r="Z1689" s="205">
        <v>3.6795325207660545E-2</v>
      </c>
      <c r="AA1689" s="207">
        <v>3.6746697772889192E-2</v>
      </c>
    </row>
    <row r="1690" spans="19:27" x14ac:dyDescent="0.2">
      <c r="S1690" s="165"/>
      <c r="T1690" s="166"/>
      <c r="W1690" s="199" t="str">
        <f t="shared" si="35"/>
        <v>1w</v>
      </c>
      <c r="X1690" s="200">
        <f>_xll.qlCalendarAdvance(Calendar,X1689,W1690,"f",FALSE)</f>
        <v>50669</v>
      </c>
      <c r="Y1690" s="204">
        <f>_xll.qlCalendarAdvance(Calendar,X1690,NDays&amp;"D")</f>
        <v>50671</v>
      </c>
      <c r="Z1690" s="205">
        <v>3.678950768633088E-2</v>
      </c>
      <c r="AA1690" s="207">
        <v>3.6740881806700543E-2</v>
      </c>
    </row>
    <row r="1691" spans="19:27" x14ac:dyDescent="0.2">
      <c r="S1691" s="165"/>
      <c r="T1691" s="166"/>
      <c r="W1691" s="199" t="str">
        <f t="shared" si="35"/>
        <v>1w</v>
      </c>
      <c r="X1691" s="200">
        <f>_xll.qlCalendarAdvance(Calendar,X1690,W1691,"f",FALSE)</f>
        <v>50676</v>
      </c>
      <c r="Y1691" s="204">
        <f>_xll.qlCalendarAdvance(Calendar,X1691,NDays&amp;"D")</f>
        <v>50678</v>
      </c>
      <c r="Z1691" s="205">
        <v>3.6779311044434618E-2</v>
      </c>
      <c r="AA1691" s="207">
        <v>3.6735076076883644E-2</v>
      </c>
    </row>
    <row r="1692" spans="19:27" x14ac:dyDescent="0.2">
      <c r="S1692" s="165"/>
      <c r="T1692" s="166"/>
      <c r="W1692" s="199" t="str">
        <f t="shared" si="35"/>
        <v>1w</v>
      </c>
      <c r="X1692" s="200">
        <f>_xll.qlCalendarAdvance(Calendar,X1691,W1692,"f",FALSE)</f>
        <v>50683</v>
      </c>
      <c r="Y1692" s="204">
        <f>_xll.qlCalendarAdvance(Calendar,X1692,NDays&amp;"D")</f>
        <v>50685</v>
      </c>
      <c r="Z1692" s="205">
        <v>3.6777903458856953E-2</v>
      </c>
      <c r="AA1692" s="207">
        <v>3.6729280583598367E-2</v>
      </c>
    </row>
    <row r="1693" spans="19:27" x14ac:dyDescent="0.2">
      <c r="S1693" s="165"/>
      <c r="T1693" s="166"/>
      <c r="W1693" s="199" t="str">
        <f t="shared" si="35"/>
        <v>1w</v>
      </c>
      <c r="X1693" s="200">
        <f>_xll.qlCalendarAdvance(Calendar,X1692,W1693,"f",FALSE)</f>
        <v>50690</v>
      </c>
      <c r="Y1693" s="204">
        <f>_xll.qlCalendarAdvance(Calendar,X1693,NDays&amp;"D")</f>
        <v>50692</v>
      </c>
      <c r="Z1693" s="205">
        <v>3.6772116752682715E-2</v>
      </c>
      <c r="AA1693" s="207">
        <v>3.6723495326684841E-2</v>
      </c>
    </row>
    <row r="1694" spans="19:27" x14ac:dyDescent="0.2">
      <c r="S1694" s="165"/>
      <c r="T1694" s="166"/>
      <c r="W1694" s="199" t="str">
        <f t="shared" si="35"/>
        <v>1w</v>
      </c>
      <c r="X1694" s="200">
        <f>_xll.qlCalendarAdvance(Calendar,X1693,W1694,"f",FALSE)</f>
        <v>50697</v>
      </c>
      <c r="Y1694" s="204">
        <f>_xll.qlCalendarAdvance(Calendar,X1694,NDays&amp;"D")</f>
        <v>50699</v>
      </c>
      <c r="Z1694" s="205">
        <v>3.6766340318189483E-2</v>
      </c>
      <c r="AA1694" s="207">
        <v>3.6717720306143065E-2</v>
      </c>
    </row>
    <row r="1695" spans="19:27" x14ac:dyDescent="0.2">
      <c r="S1695" s="165"/>
      <c r="T1695" s="166"/>
      <c r="W1695" s="199" t="str">
        <f t="shared" si="35"/>
        <v>1w</v>
      </c>
      <c r="X1695" s="200">
        <f>_xll.qlCalendarAdvance(Calendar,X1694,W1695,"f",FALSE)</f>
        <v>50704</v>
      </c>
      <c r="Y1695" s="204">
        <f>_xll.qlCalendarAdvance(Calendar,X1695,NDays&amp;"D")</f>
        <v>50706</v>
      </c>
      <c r="Z1695" s="205">
        <v>3.6760574155367265E-2</v>
      </c>
      <c r="AA1695" s="207">
        <v>3.6711955522052975E-2</v>
      </c>
    </row>
    <row r="1696" spans="19:27" x14ac:dyDescent="0.2">
      <c r="S1696" s="165"/>
      <c r="T1696" s="166"/>
      <c r="W1696" s="199" t="str">
        <f t="shared" si="35"/>
        <v>1w</v>
      </c>
      <c r="X1696" s="200">
        <f>_xll.qlCalendarAdvance(Calendar,X1695,W1696,"f",FALSE)</f>
        <v>50711</v>
      </c>
      <c r="Y1696" s="204">
        <f>_xll.qlCalendarAdvance(Calendar,X1696,NDays&amp;"D")</f>
        <v>50713</v>
      </c>
      <c r="Z1696" s="205">
        <v>3.6754818264198574E-2</v>
      </c>
      <c r="AA1696" s="207">
        <v>3.6706200974414571E-2</v>
      </c>
    </row>
    <row r="1697" spans="19:27" x14ac:dyDescent="0.2">
      <c r="S1697" s="165"/>
      <c r="T1697" s="166"/>
      <c r="W1697" s="199" t="str">
        <f t="shared" si="35"/>
        <v>1w</v>
      </c>
      <c r="X1697" s="200">
        <f>_xll.qlCalendarAdvance(Calendar,X1696,W1697,"f",FALSE)</f>
        <v>50718</v>
      </c>
      <c r="Y1697" s="204">
        <f>_xll.qlCalendarAdvance(Calendar,X1697,NDays&amp;"D")</f>
        <v>50720</v>
      </c>
      <c r="Z1697" s="205">
        <v>3.6746788544166138E-2</v>
      </c>
      <c r="AA1697" s="207">
        <v>3.6700456662988046E-2</v>
      </c>
    </row>
    <row r="1698" spans="19:27" x14ac:dyDescent="0.2">
      <c r="S1698" s="165"/>
      <c r="T1698" s="166"/>
      <c r="W1698" s="199" t="str">
        <f t="shared" si="35"/>
        <v>1w</v>
      </c>
      <c r="X1698" s="200">
        <f>_xll.qlCalendarAdvance(Calendar,X1697,W1698,"f",FALSE)</f>
        <v>50725</v>
      </c>
      <c r="Y1698" s="204">
        <f>_xll.qlCalendarAdvance(Calendar,X1698,NDays&amp;"D")</f>
        <v>50727</v>
      </c>
      <c r="Z1698" s="205">
        <v>3.6743337296759326E-2</v>
      </c>
      <c r="AA1698" s="207">
        <v>3.6694722588173079E-2</v>
      </c>
    </row>
    <row r="1699" spans="19:27" x14ac:dyDescent="0.2">
      <c r="S1699" s="165"/>
      <c r="T1699" s="166"/>
      <c r="W1699" s="199" t="str">
        <f t="shared" si="35"/>
        <v>1w</v>
      </c>
      <c r="X1699" s="200">
        <f>_xll.qlCalendarAdvance(Calendar,X1698,W1699,"f",FALSE)</f>
        <v>50732</v>
      </c>
      <c r="Y1699" s="204">
        <f>_xll.qlCalendarAdvance(Calendar,X1699,NDays&amp;"D")</f>
        <v>50734</v>
      </c>
      <c r="Z1699" s="205">
        <v>3.6738259740882739E-2</v>
      </c>
      <c r="AA1699" s="207">
        <v>3.668899874956999E-2</v>
      </c>
    </row>
    <row r="1700" spans="19:27" x14ac:dyDescent="0.2">
      <c r="S1700" s="165"/>
      <c r="T1700" s="166"/>
      <c r="W1700" s="199" t="str">
        <f t="shared" si="35"/>
        <v>1w</v>
      </c>
      <c r="X1700" s="200">
        <f>_xll.qlCalendarAdvance(Calendar,X1699,W1700,"f",FALSE)</f>
        <v>50739</v>
      </c>
      <c r="Y1700" s="204">
        <f>_xll.qlCalendarAdvance(Calendar,X1700,NDays&amp;"D")</f>
        <v>50741</v>
      </c>
      <c r="Z1700" s="205">
        <v>3.6733362095676986E-2</v>
      </c>
      <c r="AA1700" s="207">
        <v>3.6683285147498523E-2</v>
      </c>
    </row>
    <row r="1701" spans="19:27" x14ac:dyDescent="0.2">
      <c r="S1701" s="165"/>
      <c r="T1701" s="166"/>
      <c r="W1701" s="199" t="str">
        <f t="shared" si="35"/>
        <v>1w</v>
      </c>
      <c r="X1701" s="200">
        <f>_xll.qlCalendarAdvance(Calendar,X1700,W1701,"f",FALSE)</f>
        <v>50746</v>
      </c>
      <c r="Y1701" s="204">
        <f>_xll.qlCalendarAdvance(Calendar,X1701,NDays&amp;"D")</f>
        <v>50748</v>
      </c>
      <c r="Z1701" s="205">
        <v>3.6726192882610975E-2</v>
      </c>
      <c r="AA1701" s="207">
        <v>3.6677581781798807E-2</v>
      </c>
    </row>
    <row r="1702" spans="19:27" x14ac:dyDescent="0.2">
      <c r="S1702" s="165"/>
      <c r="T1702" s="166"/>
      <c r="W1702" s="199" t="str">
        <f t="shared" si="35"/>
        <v>1w</v>
      </c>
      <c r="X1702" s="200">
        <f>_xll.qlCalendarAdvance(Calendar,X1701,W1702,"f",FALSE)</f>
        <v>50753</v>
      </c>
      <c r="Y1702" s="204">
        <f>_xll.qlCalendarAdvance(Calendar,X1702,NDays&amp;"D")</f>
        <v>50755</v>
      </c>
      <c r="Z1702" s="205">
        <v>3.6721963607455811E-2</v>
      </c>
      <c r="AA1702" s="207">
        <v>3.6671888652550777E-2</v>
      </c>
    </row>
    <row r="1703" spans="19:27" x14ac:dyDescent="0.2">
      <c r="S1703" s="165"/>
      <c r="T1703" s="166"/>
      <c r="W1703" s="199" t="str">
        <f t="shared" si="35"/>
        <v>1w</v>
      </c>
      <c r="X1703" s="200">
        <f>_xll.qlCalendarAdvance(Calendar,X1702,W1703,"f",FALSE)</f>
        <v>50760</v>
      </c>
      <c r="Y1703" s="204">
        <f>_xll.qlCalendarAdvance(Calendar,X1703,NDays&amp;"D")</f>
        <v>50762</v>
      </c>
      <c r="Z1703" s="205">
        <v>3.6714814631005066E-2</v>
      </c>
      <c r="AA1703" s="207">
        <v>3.6664583956023122E-2</v>
      </c>
    </row>
    <row r="1704" spans="19:27" x14ac:dyDescent="0.2">
      <c r="S1704" s="165"/>
      <c r="T1704" s="166"/>
      <c r="W1704" s="199" t="str">
        <f t="shared" si="35"/>
        <v>1w</v>
      </c>
      <c r="X1704" s="200">
        <f>_xll.qlCalendarAdvance(Calendar,X1703,W1704,"f",FALSE)</f>
        <v>50768</v>
      </c>
      <c r="Y1704" s="204">
        <f>_xll.qlCalendarAdvance(Calendar,X1704,NDays&amp;"D")</f>
        <v>50770</v>
      </c>
      <c r="Z1704" s="205">
        <v>3.6703629250024995E-2</v>
      </c>
      <c r="AA1704" s="207">
        <v>3.6658914224299011E-2</v>
      </c>
    </row>
    <row r="1705" spans="19:27" x14ac:dyDescent="0.2">
      <c r="S1705" s="165"/>
      <c r="T1705" s="166"/>
      <c r="W1705" s="199" t="str">
        <f t="shared" si="35"/>
        <v>1w</v>
      </c>
      <c r="X1705" s="200">
        <f>_xll.qlCalendarAdvance(Calendar,X1704,W1705,"f",FALSE)</f>
        <v>50775</v>
      </c>
      <c r="Y1705" s="204">
        <f>_xll.qlCalendarAdvance(Calendar,X1705,NDays&amp;"D")</f>
        <v>50777</v>
      </c>
      <c r="Z1705" s="205">
        <v>3.6701203877518296E-2</v>
      </c>
      <c r="AA1705" s="207">
        <v>3.6654062601515491E-2</v>
      </c>
    </row>
    <row r="1706" spans="19:27" x14ac:dyDescent="0.2">
      <c r="S1706" s="165"/>
      <c r="T1706" s="166"/>
      <c r="W1706" s="199" t="str">
        <f t="shared" si="35"/>
        <v>1w</v>
      </c>
      <c r="X1706" s="200">
        <f>_xll.qlCalendarAdvance(Calendar,X1705,W1706,"f",FALSE)</f>
        <v>50782</v>
      </c>
      <c r="Y1706" s="204">
        <f>_xll.qlCalendarAdvance(Calendar,X1706,NDays&amp;"D")</f>
        <v>50784</v>
      </c>
      <c r="Z1706" s="205">
        <v>3.6695552010977066E-2</v>
      </c>
      <c r="AA1706" s="207">
        <v>3.6648411880104703E-2</v>
      </c>
    </row>
    <row r="1707" spans="19:27" x14ac:dyDescent="0.2">
      <c r="S1707" s="165"/>
      <c r="T1707" s="166"/>
      <c r="W1707" s="199" t="str">
        <f t="shared" si="35"/>
        <v>1w</v>
      </c>
      <c r="X1707" s="200">
        <f>_xll.qlCalendarAdvance(Calendar,X1706,W1707,"f",FALSE)</f>
        <v>50789</v>
      </c>
      <c r="Y1707" s="204">
        <f>_xll.qlCalendarAdvance(Calendar,X1707,NDays&amp;"D")</f>
        <v>50791</v>
      </c>
      <c r="Z1707" s="205">
        <v>3.6691376095357719E-2</v>
      </c>
      <c r="AA1707" s="207">
        <v>3.6642771395145601E-2</v>
      </c>
    </row>
    <row r="1708" spans="19:27" x14ac:dyDescent="0.2">
      <c r="S1708" s="165"/>
      <c r="T1708" s="166"/>
      <c r="W1708" s="199" t="str">
        <f t="shared" si="35"/>
        <v>1w</v>
      </c>
      <c r="X1708" s="200">
        <f>_xll.qlCalendarAdvance(Calendar,X1707,W1708,"f",FALSE)</f>
        <v>50796</v>
      </c>
      <c r="Y1708" s="204">
        <f>_xll.qlCalendarAdvance(Calendar,X1708,NDays&amp;"D")</f>
        <v>50798</v>
      </c>
      <c r="Z1708" s="205">
        <v>3.6684279088923175E-2</v>
      </c>
      <c r="AA1708" s="207">
        <v>3.6637141146638186E-2</v>
      </c>
    </row>
    <row r="1709" spans="19:27" x14ac:dyDescent="0.2">
      <c r="S1709" s="165"/>
      <c r="T1709" s="166"/>
      <c r="W1709" s="199" t="str">
        <f t="shared" si="35"/>
        <v>1w</v>
      </c>
      <c r="X1709" s="200">
        <f>_xll.qlCalendarAdvance(Calendar,X1708,W1709,"f",FALSE)</f>
        <v>50803</v>
      </c>
      <c r="Y1709" s="204">
        <f>_xll.qlCalendarAdvance(Calendar,X1709,NDays&amp;"D")</f>
        <v>50805</v>
      </c>
      <c r="Z1709" s="205">
        <v>3.6674260714020877E-2</v>
      </c>
      <c r="AA1709" s="207">
        <v>3.663152113450252E-2</v>
      </c>
    </row>
    <row r="1710" spans="19:27" x14ac:dyDescent="0.2">
      <c r="S1710" s="165"/>
      <c r="T1710" s="166"/>
      <c r="W1710" s="199" t="str">
        <f t="shared" si="35"/>
        <v>1w</v>
      </c>
      <c r="X1710" s="200">
        <f>_xll.qlCalendarAdvance(Calendar,X1709,W1710,"f",FALSE)</f>
        <v>50810</v>
      </c>
      <c r="Y1710" s="204">
        <f>_xll.qlCalendarAdvance(Calendar,X1710,NDays&amp;"D")</f>
        <v>50812</v>
      </c>
      <c r="Z1710" s="205">
        <v>3.6668649440603537E-2</v>
      </c>
      <c r="AA1710" s="207">
        <v>3.6625911358658669E-2</v>
      </c>
    </row>
    <row r="1711" spans="19:27" x14ac:dyDescent="0.2">
      <c r="S1711" s="165"/>
      <c r="T1711" s="166"/>
      <c r="W1711" s="199" t="str">
        <f t="shared" si="35"/>
        <v>1w</v>
      </c>
      <c r="X1711" s="200">
        <f>_xll.qlCalendarAdvance(Calendar,X1710,W1711,"f",FALSE)</f>
        <v>50817</v>
      </c>
      <c r="Y1711" s="204">
        <f>_xll.qlCalendarAdvance(Calendar,X1711,NDays&amp;"D")</f>
        <v>50819</v>
      </c>
      <c r="Z1711" s="205">
        <v>3.6663048434084952E-2</v>
      </c>
      <c r="AA1711" s="207">
        <v>3.6620311819346441E-2</v>
      </c>
    </row>
    <row r="1712" spans="19:27" x14ac:dyDescent="0.2">
      <c r="S1712" s="165"/>
      <c r="T1712" s="166"/>
      <c r="W1712" s="199" t="str">
        <f t="shared" si="35"/>
        <v>1w</v>
      </c>
      <c r="X1712" s="200">
        <f>_xll.qlCalendarAdvance(Calendar,X1711,W1712,"f",FALSE)</f>
        <v>50824</v>
      </c>
      <c r="Y1712" s="204">
        <f>_xll.qlCalendarAdvance(Calendar,X1712,NDays&amp;"D")</f>
        <v>50826</v>
      </c>
      <c r="Z1712" s="205">
        <v>3.6657457694450848E-2</v>
      </c>
      <c r="AA1712" s="207">
        <v>3.6614722516405962E-2</v>
      </c>
    </row>
    <row r="1713" spans="19:27" x14ac:dyDescent="0.2">
      <c r="S1713" s="165"/>
      <c r="T1713" s="166"/>
      <c r="W1713" s="199" t="str">
        <f t="shared" si="35"/>
        <v>1w</v>
      </c>
      <c r="X1713" s="200">
        <f>_xll.qlCalendarAdvance(Calendar,X1712,W1713,"f",FALSE)</f>
        <v>50831</v>
      </c>
      <c r="Y1713" s="204">
        <f>_xll.qlCalendarAdvance(Calendar,X1713,NDays&amp;"D")</f>
        <v>50833</v>
      </c>
      <c r="Z1713" s="205">
        <v>3.6656276514096496E-2</v>
      </c>
      <c r="AA1713" s="207">
        <v>3.6609143449757298E-2</v>
      </c>
    </row>
    <row r="1714" spans="19:27" x14ac:dyDescent="0.2">
      <c r="S1714" s="165"/>
      <c r="T1714" s="166"/>
      <c r="W1714" s="199" t="str">
        <f t="shared" si="35"/>
        <v>1w</v>
      </c>
      <c r="X1714" s="200">
        <f>_xll.qlCalendarAdvance(Calendar,X1713,W1714,"f",FALSE)</f>
        <v>50838</v>
      </c>
      <c r="Y1714" s="204">
        <f>_xll.qlCalendarAdvance(Calendar,X1714,NDays&amp;"D")</f>
        <v>50840</v>
      </c>
      <c r="Z1714" s="205">
        <v>3.6652173638934138E-2</v>
      </c>
      <c r="AA1714" s="207">
        <v>3.6603574619640256E-2</v>
      </c>
    </row>
    <row r="1715" spans="19:27" x14ac:dyDescent="0.2">
      <c r="S1715" s="165"/>
      <c r="T1715" s="166"/>
      <c r="W1715" s="199" t="str">
        <f t="shared" si="35"/>
        <v>1w</v>
      </c>
      <c r="X1715" s="200">
        <f>_xll.qlCalendarAdvance(Calendar,X1714,W1715,"f",FALSE)</f>
        <v>50845</v>
      </c>
      <c r="Y1715" s="204">
        <f>_xll.qlCalendarAdvance(Calendar,X1715,NDays&amp;"D")</f>
        <v>50847</v>
      </c>
      <c r="Z1715" s="205">
        <v>3.6645147375977037E-2</v>
      </c>
      <c r="AA1715" s="207">
        <v>3.6598016025894964E-2</v>
      </c>
    </row>
    <row r="1716" spans="19:27" x14ac:dyDescent="0.2">
      <c r="S1716" s="165"/>
      <c r="T1716" s="166"/>
      <c r="W1716" s="199" t="str">
        <f t="shared" si="35"/>
        <v>1w</v>
      </c>
      <c r="X1716" s="200">
        <f>_xll.qlCalendarAdvance(Calendar,X1715,W1716,"f",FALSE)</f>
        <v>50852</v>
      </c>
      <c r="Y1716" s="204">
        <f>_xll.qlCalendarAdvance(Calendar,X1716,NDays&amp;"D")</f>
        <v>50854</v>
      </c>
      <c r="Z1716" s="205">
        <v>3.6639598212244648E-2</v>
      </c>
      <c r="AA1716" s="207">
        <v>3.659246766836155E-2</v>
      </c>
    </row>
    <row r="1717" spans="19:27" x14ac:dyDescent="0.2">
      <c r="S1717" s="165"/>
      <c r="T1717" s="166"/>
      <c r="W1717" s="199" t="str">
        <f t="shared" si="35"/>
        <v>1w</v>
      </c>
      <c r="X1717" s="200">
        <f>_xll.qlCalendarAdvance(Calendar,X1716,W1717,"f",FALSE)</f>
        <v>50859</v>
      </c>
      <c r="Y1717" s="204">
        <f>_xll.qlCalendarAdvance(Calendar,X1717,NDays&amp;"D")</f>
        <v>50861</v>
      </c>
      <c r="Z1717" s="205">
        <v>3.6635526656851325E-2</v>
      </c>
      <c r="AA1717" s="207">
        <v>3.6586929547439695E-2</v>
      </c>
    </row>
    <row r="1718" spans="19:27" x14ac:dyDescent="0.2">
      <c r="S1718" s="165"/>
      <c r="T1718" s="166"/>
      <c r="W1718" s="199" t="str">
        <f t="shared" si="35"/>
        <v>1w</v>
      </c>
      <c r="X1718" s="200">
        <f>_xll.qlCalendarAdvance(Calendar,X1717,W1718,"f",FALSE)</f>
        <v>50866</v>
      </c>
      <c r="Y1718" s="204">
        <f>_xll.qlCalendarAdvance(Calendar,X1718,NDays&amp;"D")</f>
        <v>50872</v>
      </c>
      <c r="Z1718" s="205">
        <v>3.6623908600219579E-2</v>
      </c>
      <c r="AA1718" s="207">
        <v>3.6579824147331408E-2</v>
      </c>
    </row>
    <row r="1719" spans="19:27" x14ac:dyDescent="0.2">
      <c r="S1719" s="165"/>
      <c r="T1719" s="166"/>
      <c r="W1719" s="199" t="str">
        <f t="shared" si="35"/>
        <v>1w</v>
      </c>
      <c r="X1719" s="200">
        <f>_xll.qlCalendarAdvance(Calendar,X1718,W1719,"f",FALSE)</f>
        <v>50873</v>
      </c>
      <c r="Y1719" s="204">
        <f>_xll.qlCalendarAdvance(Calendar,X1719,NDays&amp;"D")</f>
        <v>50875</v>
      </c>
      <c r="Z1719" s="205">
        <v>3.6623012342191785E-2</v>
      </c>
      <c r="AA1719" s="207">
        <v>3.6575884014631299E-2</v>
      </c>
    </row>
    <row r="1720" spans="19:27" x14ac:dyDescent="0.2">
      <c r="S1720" s="165"/>
      <c r="T1720" s="166"/>
      <c r="W1720" s="199" t="str">
        <f t="shared" si="35"/>
        <v>1w</v>
      </c>
      <c r="X1720" s="200">
        <f>_xll.qlCalendarAdvance(Calendar,X1719,W1720,"f",FALSE)</f>
        <v>50880</v>
      </c>
      <c r="Y1720" s="204">
        <f>_xll.qlCalendarAdvance(Calendar,X1720,NDays&amp;"D")</f>
        <v>50882</v>
      </c>
      <c r="Z1720" s="205">
        <v>3.6617504259172415E-2</v>
      </c>
      <c r="AA1720" s="207">
        <v>3.6570376602904631E-2</v>
      </c>
    </row>
    <row r="1721" spans="19:27" x14ac:dyDescent="0.2">
      <c r="S1721" s="165"/>
      <c r="T1721" s="166"/>
      <c r="W1721" s="199" t="str">
        <f t="shared" si="35"/>
        <v>1w</v>
      </c>
      <c r="X1721" s="200">
        <f>_xll.qlCalendarAdvance(Calendar,X1720,W1721,"f",FALSE)</f>
        <v>50887</v>
      </c>
      <c r="Y1721" s="204">
        <f>_xll.qlCalendarAdvance(Calendar,X1721,NDays&amp;"D")</f>
        <v>50889</v>
      </c>
      <c r="Z1721" s="205">
        <v>3.6613474479047503E-2</v>
      </c>
      <c r="AA1721" s="207">
        <v>3.6564094952264981E-2</v>
      </c>
    </row>
    <row r="1722" spans="19:27" x14ac:dyDescent="0.2">
      <c r="S1722" s="165"/>
      <c r="T1722" s="166"/>
      <c r="W1722" s="199" t="str">
        <f t="shared" si="35"/>
        <v>1w</v>
      </c>
      <c r="X1722" s="200">
        <f>_xll.qlCalendarAdvance(Calendar,X1721,W1722,"f",FALSE)</f>
        <v>50894</v>
      </c>
      <c r="Y1722" s="204">
        <f>_xll.qlCalendarAdvance(Calendar,X1722,NDays&amp;"D")</f>
        <v>50896</v>
      </c>
      <c r="Z1722" s="205">
        <v>3.660651890354339E-2</v>
      </c>
      <c r="AA1722" s="207">
        <v>3.6559392488326736E-2</v>
      </c>
    </row>
    <row r="1723" spans="19:27" x14ac:dyDescent="0.2">
      <c r="S1723" s="165"/>
      <c r="T1723" s="166"/>
      <c r="W1723" s="199" t="str">
        <f t="shared" si="35"/>
        <v>1w</v>
      </c>
      <c r="X1723" s="200">
        <f>_xll.qlCalendarAdvance(Calendar,X1722,W1723,"f",FALSE)</f>
        <v>50901</v>
      </c>
      <c r="Y1723" s="204">
        <f>_xll.qlCalendarAdvance(Calendar,X1723,NDays&amp;"D")</f>
        <v>50903</v>
      </c>
      <c r="Z1723" s="205">
        <v>3.6601041630902789E-2</v>
      </c>
      <c r="AA1723" s="207">
        <v>3.6553915785795255E-2</v>
      </c>
    </row>
    <row r="1724" spans="19:27" x14ac:dyDescent="0.2">
      <c r="S1724" s="165"/>
      <c r="T1724" s="166"/>
      <c r="W1724" s="199" t="str">
        <f t="shared" si="35"/>
        <v>1w</v>
      </c>
      <c r="X1724" s="200">
        <f>_xll.qlCalendarAdvance(Calendar,X1723,W1724,"f",FALSE)</f>
        <v>50908</v>
      </c>
      <c r="Y1724" s="204">
        <f>_xll.qlCalendarAdvance(Calendar,X1724,NDays&amp;"D")</f>
        <v>50910</v>
      </c>
      <c r="Z1724" s="205">
        <v>3.6595574628361792E-2</v>
      </c>
      <c r="AA1724" s="207">
        <v>3.6548449319475651E-2</v>
      </c>
    </row>
    <row r="1725" spans="19:27" x14ac:dyDescent="0.2">
      <c r="S1725" s="165"/>
      <c r="T1725" s="166"/>
      <c r="W1725" s="199" t="str">
        <f t="shared" si="35"/>
        <v>1w</v>
      </c>
      <c r="X1725" s="200">
        <f>_xll.qlCalendarAdvance(Calendar,X1724,W1725,"f",FALSE)</f>
        <v>50915</v>
      </c>
      <c r="Y1725" s="204">
        <f>_xll.qlCalendarAdvance(Calendar,X1725,NDays&amp;"D")</f>
        <v>50917</v>
      </c>
      <c r="Z1725" s="205">
        <v>3.6590117895904939E-2</v>
      </c>
      <c r="AA1725" s="207">
        <v>3.6542214463803901E-2</v>
      </c>
    </row>
    <row r="1726" spans="19:27" x14ac:dyDescent="0.2">
      <c r="S1726" s="165"/>
      <c r="T1726" s="166"/>
      <c r="W1726" s="199" t="str">
        <f t="shared" si="35"/>
        <v>1w</v>
      </c>
      <c r="X1726" s="200">
        <f>_xll.qlCalendarAdvance(Calendar,X1725,W1726,"f",FALSE)</f>
        <v>50922</v>
      </c>
      <c r="Y1726" s="204">
        <f>_xll.qlCalendarAdvance(Calendar,X1726,NDays&amp;"D")</f>
        <v>50924</v>
      </c>
      <c r="Z1726" s="205">
        <v>3.6586140120380972E-2</v>
      </c>
      <c r="AA1726" s="207">
        <v>3.6537547096111567E-2</v>
      </c>
    </row>
    <row r="1727" spans="19:27" x14ac:dyDescent="0.2">
      <c r="S1727" s="165"/>
      <c r="T1727" s="166"/>
      <c r="W1727" s="199" t="str">
        <f t="shared" si="35"/>
        <v>1w</v>
      </c>
      <c r="X1727" s="200">
        <f>_xll.qlCalendarAdvance(Calendar,X1726,W1727,"f",FALSE)</f>
        <v>50929</v>
      </c>
      <c r="Y1727" s="204">
        <f>_xll.qlCalendarAdvance(Calendar,X1727,NDays&amp;"D")</f>
        <v>50931</v>
      </c>
      <c r="Z1727" s="205">
        <v>3.6579233916499455E-2</v>
      </c>
      <c r="AA1727" s="207">
        <v>3.6532111339067086E-2</v>
      </c>
    </row>
    <row r="1728" spans="19:27" x14ac:dyDescent="0.2">
      <c r="S1728" s="165"/>
      <c r="T1728" s="166"/>
      <c r="W1728" s="199" t="str">
        <f t="shared" si="35"/>
        <v>1w</v>
      </c>
      <c r="X1728" s="200">
        <f>_xll.qlCalendarAdvance(Calendar,X1727,W1728,"f",FALSE)</f>
        <v>50936</v>
      </c>
      <c r="Y1728" s="204">
        <f>_xll.qlCalendarAdvance(Calendar,X1728,NDays&amp;"D")</f>
        <v>50938</v>
      </c>
      <c r="Z1728" s="205">
        <v>3.6573804848081405E-2</v>
      </c>
      <c r="AA1728" s="207">
        <v>3.6526685818314419E-2</v>
      </c>
    </row>
    <row r="1729" spans="19:27" x14ac:dyDescent="0.2">
      <c r="S1729" s="165"/>
      <c r="T1729" s="166"/>
      <c r="W1729" s="199" t="str">
        <f t="shared" si="35"/>
        <v>1w</v>
      </c>
      <c r="X1729" s="200">
        <f>_xll.qlCalendarAdvance(Calendar,X1728,W1729,"f",FALSE)</f>
        <v>50943</v>
      </c>
      <c r="Y1729" s="204">
        <f>_xll.qlCalendarAdvance(Calendar,X1729,NDays&amp;"D")</f>
        <v>50945</v>
      </c>
      <c r="Z1729" s="205">
        <v>3.6568383069153651E-2</v>
      </c>
      <c r="AA1729" s="207">
        <v>3.6521270429616948E-2</v>
      </c>
    </row>
    <row r="1730" spans="19:27" x14ac:dyDescent="0.2">
      <c r="S1730" s="165"/>
      <c r="T1730" s="166"/>
      <c r="W1730" s="199" t="str">
        <f t="shared" si="35"/>
        <v>1w</v>
      </c>
      <c r="X1730" s="200">
        <f>_xll.qlCalendarAdvance(Calendar,X1729,W1730,"f",FALSE)</f>
        <v>50950</v>
      </c>
      <c r="Y1730" s="204">
        <f>_xll.qlCalendarAdvance(Calendar,X1730,NDays&amp;"D")</f>
        <v>50952</v>
      </c>
      <c r="Z1730" s="205">
        <v>3.656296761709267E-2</v>
      </c>
      <c r="AA1730" s="207">
        <v>3.6515862248593933E-2</v>
      </c>
    </row>
    <row r="1731" spans="19:27" x14ac:dyDescent="0.2">
      <c r="S1731" s="165"/>
      <c r="T1731" s="166"/>
      <c r="W1731" s="199" t="str">
        <f t="shared" si="35"/>
        <v>1w</v>
      </c>
      <c r="X1731" s="200">
        <f>_xll.qlCalendarAdvance(Calendar,X1730,W1731,"f",FALSE)</f>
        <v>50957</v>
      </c>
      <c r="Y1731" s="204">
        <f>_xll.qlCalendarAdvance(Calendar,X1731,NDays&amp;"D")</f>
        <v>50959</v>
      </c>
      <c r="Z1731" s="205">
        <v>3.6557558048235295E-2</v>
      </c>
      <c r="AA1731" s="207">
        <v>3.6510459917371563E-2</v>
      </c>
    </row>
    <row r="1732" spans="19:27" x14ac:dyDescent="0.2">
      <c r="S1732" s="165"/>
      <c r="T1732" s="166"/>
      <c r="W1732" s="199" t="str">
        <f t="shared" si="35"/>
        <v>1w</v>
      </c>
      <c r="X1732" s="200">
        <f>_xll.qlCalendarAdvance(Calendar,X1731,W1732,"f",FALSE)</f>
        <v>50964</v>
      </c>
      <c r="Y1732" s="204">
        <f>_xll.qlCalendarAdvance(Calendar,X1732,NDays&amp;"D")</f>
        <v>50966</v>
      </c>
      <c r="Z1732" s="205">
        <v>3.6552154349541628E-2</v>
      </c>
      <c r="AA1732" s="207">
        <v>3.6505063436109708E-2</v>
      </c>
    </row>
    <row r="1733" spans="19:27" x14ac:dyDescent="0.2">
      <c r="S1733" s="165"/>
      <c r="T1733" s="166"/>
      <c r="W1733" s="199" t="str">
        <f t="shared" si="35"/>
        <v>1w</v>
      </c>
      <c r="X1733" s="200">
        <f>_xll.qlCalendarAdvance(Calendar,X1732,W1733,"f",FALSE)</f>
        <v>50971</v>
      </c>
      <c r="Y1733" s="204">
        <f>_xll.qlCalendarAdvance(Calendar,X1733,NDays&amp;"D")</f>
        <v>50973</v>
      </c>
      <c r="Z1733" s="205">
        <v>3.6546756521001353E-2</v>
      </c>
      <c r="AA1733" s="207">
        <v>3.6499672804648498E-2</v>
      </c>
    </row>
    <row r="1734" spans="19:27" x14ac:dyDescent="0.2">
      <c r="S1734" s="165"/>
      <c r="T1734" s="166"/>
      <c r="W1734" s="199" t="str">
        <f t="shared" si="35"/>
        <v>1w</v>
      </c>
      <c r="X1734" s="200">
        <f>_xll.qlCalendarAdvance(Calendar,X1733,W1734,"f",FALSE)</f>
        <v>50978</v>
      </c>
      <c r="Y1734" s="204">
        <f>_xll.qlCalendarAdvance(Calendar,X1734,NDays&amp;"D")</f>
        <v>50980</v>
      </c>
      <c r="Z1734" s="205">
        <v>3.6544300697942074E-2</v>
      </c>
      <c r="AA1734" s="207">
        <v>3.6494288023147803E-2</v>
      </c>
    </row>
    <row r="1735" spans="19:27" x14ac:dyDescent="0.2">
      <c r="S1735" s="165"/>
      <c r="T1735" s="166"/>
      <c r="W1735" s="199" t="str">
        <f t="shared" si="35"/>
        <v>1w</v>
      </c>
      <c r="X1735" s="200">
        <f>_xll.qlCalendarAdvance(Calendar,X1734,W1735,"f",FALSE)</f>
        <v>50985</v>
      </c>
      <c r="Y1735" s="204">
        <f>_xll.qlCalendarAdvance(Calendar,X1735,NDays&amp;"D")</f>
        <v>50987</v>
      </c>
      <c r="Z1735" s="205">
        <v>3.6537446371932569E-2</v>
      </c>
      <c r="AA1735" s="207">
        <v>3.648890909168756E-2</v>
      </c>
    </row>
    <row r="1736" spans="19:27" x14ac:dyDescent="0.2">
      <c r="S1736" s="165"/>
      <c r="T1736" s="166"/>
      <c r="W1736" s="199" t="str">
        <f t="shared" si="35"/>
        <v>1w</v>
      </c>
      <c r="X1736" s="200">
        <f>_xll.qlCalendarAdvance(Calendar,X1735,W1736,"f",FALSE)</f>
        <v>50992</v>
      </c>
      <c r="Y1736" s="204">
        <f>_xll.qlCalendarAdvance(Calendar,X1736,NDays&amp;"D")</f>
        <v>50994</v>
      </c>
      <c r="Z1736" s="205">
        <v>3.6530598256215817E-2</v>
      </c>
      <c r="AA1736" s="207">
        <v>3.6483536010107898E-2</v>
      </c>
    </row>
    <row r="1737" spans="19:27" x14ac:dyDescent="0.2">
      <c r="S1737" s="165"/>
      <c r="T1737" s="166"/>
      <c r="W1737" s="199" t="str">
        <f t="shared" si="35"/>
        <v>1w</v>
      </c>
      <c r="X1737" s="200">
        <f>_xll.qlCalendarAdvance(Calendar,X1736,W1737,"f",FALSE)</f>
        <v>50999</v>
      </c>
      <c r="Y1737" s="204">
        <f>_xll.qlCalendarAdvance(Calendar,X1737,NDays&amp;"D")</f>
        <v>51001</v>
      </c>
      <c r="Z1737" s="205">
        <v>3.6525223908209191E-2</v>
      </c>
      <c r="AA1737" s="207">
        <v>3.6478168778408815E-2</v>
      </c>
    </row>
    <row r="1738" spans="19:27" x14ac:dyDescent="0.2">
      <c r="S1738" s="165"/>
      <c r="T1738" s="166"/>
      <c r="W1738" s="199" t="str">
        <f t="shared" si="35"/>
        <v>1w</v>
      </c>
      <c r="X1738" s="200">
        <f>_xll.qlCalendarAdvance(Calendar,X1737,W1738,"f",FALSE)</f>
        <v>51006</v>
      </c>
      <c r="Y1738" s="204">
        <f>_xll.qlCalendarAdvance(Calendar,X1738,NDays&amp;"D")</f>
        <v>51008</v>
      </c>
      <c r="Z1738" s="205">
        <v>3.6519855430312123E-2</v>
      </c>
      <c r="AA1738" s="207">
        <v>3.6472041962394286E-2</v>
      </c>
    </row>
    <row r="1739" spans="19:27" x14ac:dyDescent="0.2">
      <c r="S1739" s="165"/>
      <c r="T1739" s="166"/>
      <c r="W1739" s="199" t="str">
        <f t="shared" si="35"/>
        <v>1w</v>
      </c>
      <c r="X1739" s="200">
        <f>_xll.qlCalendarAdvance(Calendar,X1738,W1739,"f",FALSE)</f>
        <v>51013</v>
      </c>
      <c r="Y1739" s="204">
        <f>_xll.qlCalendarAdvance(Calendar,X1739,NDays&amp;"D")</f>
        <v>51015</v>
      </c>
      <c r="Z1739" s="205">
        <v>3.6514492822519458E-2</v>
      </c>
      <c r="AA1739" s="207">
        <v>3.6467451864652389E-2</v>
      </c>
    </row>
    <row r="1740" spans="19:27" x14ac:dyDescent="0.2">
      <c r="S1740" s="165"/>
      <c r="T1740" s="166"/>
      <c r="W1740" s="199" t="str">
        <f t="shared" si="35"/>
        <v>1w</v>
      </c>
      <c r="X1740" s="200">
        <f>_xll.qlCalendarAdvance(Calendar,X1739,W1740,"f",FALSE)</f>
        <v>51020</v>
      </c>
      <c r="Y1740" s="204">
        <f>_xll.qlCalendarAdvance(Calendar,X1740,NDays&amp;"D")</f>
        <v>51022</v>
      </c>
      <c r="Z1740" s="205">
        <v>3.6510603360049299E-2</v>
      </c>
      <c r="AA1740" s="207">
        <v>3.6462102182595046E-2</v>
      </c>
    </row>
    <row r="1741" spans="19:27" x14ac:dyDescent="0.2">
      <c r="S1741" s="165"/>
      <c r="T1741" s="166"/>
      <c r="W1741" s="199" t="str">
        <f t="shared" si="35"/>
        <v>1w</v>
      </c>
      <c r="X1741" s="200">
        <f>_xll.qlCalendarAdvance(Calendar,X1740,W1741,"f",FALSE)</f>
        <v>51027</v>
      </c>
      <c r="Y1741" s="204">
        <f>_xll.qlCalendarAdvance(Calendar,X1741,NDays&amp;"D")</f>
        <v>51029</v>
      </c>
      <c r="Z1741" s="205">
        <v>3.6503785217216395E-2</v>
      </c>
      <c r="AA1741" s="207">
        <v>3.6456758350578156E-2</v>
      </c>
    </row>
    <row r="1742" spans="19:27" x14ac:dyDescent="0.2">
      <c r="S1742" s="165"/>
      <c r="T1742" s="166"/>
      <c r="W1742" s="199" t="str">
        <f t="shared" si="35"/>
        <v>1w</v>
      </c>
      <c r="X1742" s="200">
        <f>_xll.qlCalendarAdvance(Calendar,X1741,W1742,"f",FALSE)</f>
        <v>51034</v>
      </c>
      <c r="Y1742" s="204">
        <f>_xll.qlCalendarAdvance(Calendar,X1742,NDays&amp;"D")</f>
        <v>51036</v>
      </c>
      <c r="Z1742" s="205">
        <v>3.649844021969053E-2</v>
      </c>
      <c r="AA1742" s="207">
        <v>3.6451420368361909E-2</v>
      </c>
    </row>
    <row r="1743" spans="19:27" x14ac:dyDescent="0.2">
      <c r="S1743" s="165"/>
      <c r="T1743" s="166"/>
      <c r="W1743" s="199" t="str">
        <f t="shared" si="35"/>
        <v>1w</v>
      </c>
      <c r="X1743" s="200">
        <f>_xll.qlCalendarAdvance(Calendar,X1742,W1743,"f",FALSE)</f>
        <v>51041</v>
      </c>
      <c r="Y1743" s="204">
        <f>_xll.qlCalendarAdvance(Calendar,X1743,NDays&amp;"D")</f>
        <v>51043</v>
      </c>
      <c r="Z1743" s="205">
        <v>3.6493101092235539E-2</v>
      </c>
      <c r="AA1743" s="207">
        <v>3.6446088236106178E-2</v>
      </c>
    </row>
    <row r="1744" spans="19:27" x14ac:dyDescent="0.2">
      <c r="S1744" s="165"/>
      <c r="T1744" s="166"/>
      <c r="W1744" s="199" t="str">
        <f t="shared" si="35"/>
        <v>1w</v>
      </c>
      <c r="X1744" s="200">
        <f>_xll.qlCalendarAdvance(Calendar,X1743,W1744,"f",FALSE)</f>
        <v>51048</v>
      </c>
      <c r="Y1744" s="204">
        <f>_xll.qlCalendarAdvance(Calendar,X1744,NDays&amp;"D")</f>
        <v>51050</v>
      </c>
      <c r="Z1744" s="205">
        <v>3.6487767834846273E-2</v>
      </c>
      <c r="AA1744" s="207">
        <v>3.6440761953731027E-2</v>
      </c>
    </row>
    <row r="1745" spans="19:27" x14ac:dyDescent="0.2">
      <c r="S1745" s="165"/>
      <c r="T1745" s="166"/>
      <c r="W1745" s="199" t="str">
        <f t="shared" si="35"/>
        <v>1w</v>
      </c>
      <c r="X1745" s="200">
        <f>_xll.qlCalendarAdvance(Calendar,X1744,W1745,"f",FALSE)</f>
        <v>51055</v>
      </c>
      <c r="Y1745" s="204">
        <f>_xll.qlCalendarAdvance(Calendar,X1745,NDays&amp;"D")</f>
        <v>51057</v>
      </c>
      <c r="Z1745" s="205">
        <v>3.6482440447512414E-2</v>
      </c>
      <c r="AA1745" s="207">
        <v>3.6435441521396328E-2</v>
      </c>
    </row>
    <row r="1746" spans="19:27" x14ac:dyDescent="0.2">
      <c r="S1746" s="165"/>
      <c r="T1746" s="166"/>
      <c r="W1746" s="199" t="str">
        <f t="shared" si="35"/>
        <v>1w</v>
      </c>
      <c r="X1746" s="200">
        <f>_xll.qlCalendarAdvance(Calendar,X1745,W1746,"f",FALSE)</f>
        <v>51062</v>
      </c>
      <c r="Y1746" s="204">
        <f>_xll.qlCalendarAdvance(Calendar,X1746,NDays&amp;"D")</f>
        <v>51064</v>
      </c>
      <c r="Z1746" s="205">
        <v>3.6477118930226232E-2</v>
      </c>
      <c r="AA1746" s="207">
        <v>3.6430126938782337E-2</v>
      </c>
    </row>
    <row r="1747" spans="19:27" x14ac:dyDescent="0.2">
      <c r="S1747" s="165"/>
      <c r="T1747" s="166"/>
      <c r="W1747" s="199" t="str">
        <f t="shared" si="35"/>
        <v>1w</v>
      </c>
      <c r="X1747" s="200">
        <f>_xll.qlCalendarAdvance(Calendar,X1746,W1747,"f",FALSE)</f>
        <v>51069</v>
      </c>
      <c r="Y1747" s="204">
        <f>_xll.qlCalendarAdvance(Calendar,X1747,NDays&amp;"D")</f>
        <v>51071</v>
      </c>
      <c r="Z1747" s="205">
        <v>3.6471803282979991E-2</v>
      </c>
      <c r="AA1747" s="207">
        <v>3.6424818206208798E-2</v>
      </c>
    </row>
    <row r="1748" spans="19:27" x14ac:dyDescent="0.2">
      <c r="S1748" s="165"/>
      <c r="T1748" s="166"/>
      <c r="W1748" s="199" t="str">
        <f t="shared" si="35"/>
        <v>1w</v>
      </c>
      <c r="X1748" s="200">
        <f>_xll.qlCalendarAdvance(Calendar,X1747,W1748,"f",FALSE)</f>
        <v>51076</v>
      </c>
      <c r="Y1748" s="204">
        <f>_xll.qlCalendarAdvance(Calendar,X1748,NDays&amp;"D")</f>
        <v>51078</v>
      </c>
      <c r="Z1748" s="205">
        <v>3.6466493505765946E-2</v>
      </c>
      <c r="AA1748" s="207">
        <v>3.6419515323515839E-2</v>
      </c>
    </row>
    <row r="1749" spans="19:27" x14ac:dyDescent="0.2">
      <c r="S1749" s="165"/>
      <c r="T1749" s="166"/>
      <c r="W1749" s="199" t="str">
        <f t="shared" ref="W1749:W1812" si="36">W1748</f>
        <v>1w</v>
      </c>
      <c r="X1749" s="200">
        <f>_xll.qlCalendarAdvance(Calendar,X1748,W1749,"f",FALSE)</f>
        <v>51083</v>
      </c>
      <c r="Y1749" s="204">
        <f>_xll.qlCalendarAdvance(Calendar,X1749,NDays&amp;"D")</f>
        <v>51085</v>
      </c>
      <c r="Z1749" s="205">
        <v>3.6457452232847132E-2</v>
      </c>
      <c r="AA1749" s="207">
        <v>3.641421829070346E-2</v>
      </c>
    </row>
    <row r="1750" spans="19:27" x14ac:dyDescent="0.2">
      <c r="S1750" s="165"/>
      <c r="T1750" s="166"/>
      <c r="W1750" s="199" t="str">
        <f t="shared" si="36"/>
        <v>1w</v>
      </c>
      <c r="X1750" s="200">
        <f>_xll.qlCalendarAdvance(Calendar,X1749,W1750,"f",FALSE)</f>
        <v>51090</v>
      </c>
      <c r="Y1750" s="204">
        <f>_xll.qlCalendarAdvance(Calendar,X1750,NDays&amp;"D")</f>
        <v>51092</v>
      </c>
      <c r="Z1750" s="205">
        <v>3.6455891561400951E-2</v>
      </c>
      <c r="AA1750" s="207">
        <v>3.640892710777166E-2</v>
      </c>
    </row>
    <row r="1751" spans="19:27" x14ac:dyDescent="0.2">
      <c r="S1751" s="165"/>
      <c r="T1751" s="166"/>
      <c r="W1751" s="199" t="str">
        <f t="shared" si="36"/>
        <v>1w</v>
      </c>
      <c r="X1751" s="200">
        <f>_xll.qlCalendarAdvance(Calendar,X1750,W1751,"f",FALSE)</f>
        <v>51097</v>
      </c>
      <c r="Y1751" s="204">
        <f>_xll.qlCalendarAdvance(Calendar,X1751,NDays&amp;"D")</f>
        <v>51099</v>
      </c>
      <c r="Z1751" s="205">
        <v>3.6453531412581341E-2</v>
      </c>
      <c r="AA1751" s="207">
        <v>3.6403641774800377E-2</v>
      </c>
    </row>
    <row r="1752" spans="19:27" x14ac:dyDescent="0.2">
      <c r="S1752" s="165"/>
      <c r="T1752" s="166"/>
      <c r="W1752" s="199" t="str">
        <f t="shared" si="36"/>
        <v>1w</v>
      </c>
      <c r="X1752" s="200">
        <f>_xll.qlCalendarAdvance(Calendar,X1751,W1752,"f",FALSE)</f>
        <v>51104</v>
      </c>
      <c r="Y1752" s="204">
        <f>_xll.qlCalendarAdvance(Calendar,X1752,NDays&amp;"D")</f>
        <v>51106</v>
      </c>
      <c r="Z1752" s="205">
        <v>3.6446778947236969E-2</v>
      </c>
      <c r="AA1752" s="207">
        <v>3.6398362291709674E-2</v>
      </c>
    </row>
    <row r="1753" spans="19:27" x14ac:dyDescent="0.2">
      <c r="S1753" s="165"/>
      <c r="T1753" s="166"/>
      <c r="W1753" s="199" t="str">
        <f t="shared" si="36"/>
        <v>1w</v>
      </c>
      <c r="X1753" s="200">
        <f>_xll.qlCalendarAdvance(Calendar,X1752,W1753,"f",FALSE)</f>
        <v>51111</v>
      </c>
      <c r="Y1753" s="204">
        <f>_xll.qlCalendarAdvance(Calendar,X1753,NDays&amp;"D")</f>
        <v>51113</v>
      </c>
      <c r="Z1753" s="205">
        <v>3.6440032669895123E-2</v>
      </c>
      <c r="AA1753" s="207">
        <v>3.6393088658499551E-2</v>
      </c>
    </row>
    <row r="1754" spans="19:27" x14ac:dyDescent="0.2">
      <c r="S1754" s="165"/>
      <c r="T1754" s="166"/>
      <c r="W1754" s="199" t="str">
        <f t="shared" si="36"/>
        <v>1w</v>
      </c>
      <c r="X1754" s="200">
        <f>_xll.qlCalendarAdvance(Calendar,X1753,W1754,"f",FALSE)</f>
        <v>51118</v>
      </c>
      <c r="Y1754" s="204">
        <f>_xll.qlCalendarAdvance(Calendar,X1754,NDays&amp;"D")</f>
        <v>51120</v>
      </c>
      <c r="Z1754" s="205">
        <v>3.6436223734755413E-2</v>
      </c>
      <c r="AA1754" s="207">
        <v>3.6387820875249943E-2</v>
      </c>
    </row>
    <row r="1755" spans="19:27" x14ac:dyDescent="0.2">
      <c r="S1755" s="165"/>
      <c r="T1755" s="166"/>
      <c r="W1755" s="199" t="str">
        <f t="shared" si="36"/>
        <v>1w</v>
      </c>
      <c r="X1755" s="200">
        <f>_xll.qlCalendarAdvance(Calendar,X1754,W1755,"f",FALSE)</f>
        <v>51125</v>
      </c>
      <c r="Y1755" s="204">
        <f>_xll.qlCalendarAdvance(Calendar,X1755,NDays&amp;"D")</f>
        <v>51127</v>
      </c>
      <c r="Z1755" s="205">
        <v>3.6429489425491145E-2</v>
      </c>
      <c r="AA1755" s="207">
        <v>3.6381056606824558E-2</v>
      </c>
    </row>
    <row r="1756" spans="19:27" x14ac:dyDescent="0.2">
      <c r="S1756" s="165"/>
      <c r="T1756" s="166"/>
      <c r="W1756" s="199" t="str">
        <f t="shared" si="36"/>
        <v>1w</v>
      </c>
      <c r="X1756" s="200">
        <f>_xll.qlCalendarAdvance(Calendar,X1755,W1756,"f",FALSE)</f>
        <v>51132</v>
      </c>
      <c r="Y1756" s="204">
        <f>_xll.qlCalendarAdvance(Calendar,X1756,NDays&amp;"D")</f>
        <v>51134</v>
      </c>
      <c r="Z1756" s="205">
        <v>3.6425692004857235E-2</v>
      </c>
      <c r="AA1756" s="207">
        <v>3.6376552466883538E-2</v>
      </c>
    </row>
    <row r="1757" spans="19:27" x14ac:dyDescent="0.2">
      <c r="S1757" s="165"/>
      <c r="T1757" s="166"/>
      <c r="W1757" s="199" t="str">
        <f t="shared" si="36"/>
        <v>1w</v>
      </c>
      <c r="X1757" s="200">
        <f>_xll.qlCalendarAdvance(Calendar,X1756,W1757,"f",FALSE)</f>
        <v>51139</v>
      </c>
      <c r="Y1757" s="204">
        <f>_xll.qlCalendarAdvance(Calendar,X1757,NDays&amp;"D")</f>
        <v>51141</v>
      </c>
      <c r="Z1757" s="205">
        <v>3.6418969660958117E-2</v>
      </c>
      <c r="AA1757" s="207">
        <v>3.6372052624864537E-2</v>
      </c>
    </row>
    <row r="1758" spans="19:27" x14ac:dyDescent="0.2">
      <c r="S1758" s="165"/>
      <c r="T1758" s="166"/>
      <c r="W1758" s="199" t="str">
        <f t="shared" si="36"/>
        <v>1w</v>
      </c>
      <c r="X1758" s="200">
        <f>_xll.qlCalendarAdvance(Calendar,X1757,W1758,"f",FALSE)</f>
        <v>51146</v>
      </c>
      <c r="Y1758" s="204">
        <f>_xll.qlCalendarAdvance(Calendar,X1758,NDays&amp;"D")</f>
        <v>51148</v>
      </c>
      <c r="Z1758" s="205">
        <v>3.641371858362516E-2</v>
      </c>
      <c r="AA1758" s="207">
        <v>3.6366808241297122E-2</v>
      </c>
    </row>
    <row r="1759" spans="19:27" x14ac:dyDescent="0.2">
      <c r="S1759" s="165"/>
      <c r="T1759" s="166"/>
      <c r="W1759" s="199" t="str">
        <f t="shared" si="36"/>
        <v>1w</v>
      </c>
      <c r="X1759" s="200">
        <f>_xll.qlCalendarAdvance(Calendar,X1758,W1759,"f",FALSE)</f>
        <v>51153</v>
      </c>
      <c r="Y1759" s="204">
        <f>_xll.qlCalendarAdvance(Calendar,X1759,NDays&amp;"D")</f>
        <v>51155</v>
      </c>
      <c r="Z1759" s="205">
        <v>3.6409938439707357E-2</v>
      </c>
      <c r="AA1759" s="207">
        <v>3.6361569707610286E-2</v>
      </c>
    </row>
    <row r="1760" spans="19:27" x14ac:dyDescent="0.2">
      <c r="S1760" s="165"/>
      <c r="T1760" s="166"/>
      <c r="W1760" s="199" t="str">
        <f t="shared" si="36"/>
        <v>1w</v>
      </c>
      <c r="X1760" s="200">
        <f>_xll.qlCalendarAdvance(Calendar,X1759,W1760,"f",FALSE)</f>
        <v>51160</v>
      </c>
      <c r="Y1760" s="204">
        <f>_xll.qlCalendarAdvance(Calendar,X1760,NDays&amp;"D")</f>
        <v>51162</v>
      </c>
      <c r="Z1760" s="205">
        <v>3.6403234038782525E-2</v>
      </c>
      <c r="AA1760" s="207">
        <v>3.6356337023724095E-2</v>
      </c>
    </row>
    <row r="1761" spans="19:27" x14ac:dyDescent="0.2">
      <c r="S1761" s="165"/>
      <c r="T1761" s="166"/>
      <c r="W1761" s="199" t="str">
        <f t="shared" si="36"/>
        <v>1w</v>
      </c>
      <c r="X1761" s="200">
        <f>_xll.qlCalendarAdvance(Calendar,X1760,W1761,"f",FALSE)</f>
        <v>51167</v>
      </c>
      <c r="Y1761" s="204">
        <f>_xll.qlCalendarAdvance(Calendar,X1761,NDays&amp;"D")</f>
        <v>51169</v>
      </c>
      <c r="Z1761" s="205">
        <v>3.6398000571254793E-2</v>
      </c>
      <c r="AA1761" s="207">
        <v>3.6351110189878355E-2</v>
      </c>
    </row>
    <row r="1762" spans="19:27" x14ac:dyDescent="0.2">
      <c r="S1762" s="165"/>
      <c r="T1762" s="166"/>
      <c r="W1762" s="199" t="str">
        <f t="shared" si="36"/>
        <v>1w</v>
      </c>
      <c r="X1762" s="200">
        <f>_xll.qlCalendarAdvance(Calendar,X1761,W1762,"f",FALSE)</f>
        <v>51174</v>
      </c>
      <c r="Y1762" s="204">
        <f>_xll.qlCalendarAdvance(Calendar,X1762,NDays&amp;"D")</f>
        <v>51176</v>
      </c>
      <c r="Z1762" s="205">
        <v>3.6392772973653544E-2</v>
      </c>
      <c r="AA1762" s="207">
        <v>3.6345889205833259E-2</v>
      </c>
    </row>
    <row r="1763" spans="19:27" x14ac:dyDescent="0.2">
      <c r="S1763" s="165"/>
      <c r="T1763" s="166"/>
      <c r="W1763" s="199" t="str">
        <f t="shared" si="36"/>
        <v>1w</v>
      </c>
      <c r="X1763" s="200">
        <f>_xll.qlCalendarAdvance(Calendar,X1762,W1763,"f",FALSE)</f>
        <v>51181</v>
      </c>
      <c r="Y1763" s="204">
        <f>_xll.qlCalendarAdvance(Calendar,X1763,NDays&amp;"D")</f>
        <v>51183</v>
      </c>
      <c r="Z1763" s="205">
        <v>3.6387551245960728E-2</v>
      </c>
      <c r="AA1763" s="207">
        <v>3.634067407174868E-2</v>
      </c>
    </row>
    <row r="1764" spans="19:27" x14ac:dyDescent="0.2">
      <c r="S1764" s="165"/>
      <c r="T1764" s="166"/>
      <c r="W1764" s="199" t="str">
        <f t="shared" si="36"/>
        <v>1w</v>
      </c>
      <c r="X1764" s="200">
        <f>_xll.qlCalendarAdvance(Calendar,X1763,W1764,"f",FALSE)</f>
        <v>51188</v>
      </c>
      <c r="Y1764" s="204">
        <f>_xll.qlCalendarAdvance(Calendar,X1764,NDays&amp;"D")</f>
        <v>51190</v>
      </c>
      <c r="Z1764" s="205">
        <v>3.6382335388171178E-2</v>
      </c>
      <c r="AA1764" s="207">
        <v>3.6335464787464744E-2</v>
      </c>
    </row>
    <row r="1765" spans="19:27" x14ac:dyDescent="0.2">
      <c r="S1765" s="165"/>
      <c r="T1765" s="166"/>
      <c r="W1765" s="199" t="str">
        <f t="shared" si="36"/>
        <v>1w</v>
      </c>
      <c r="X1765" s="200">
        <f>_xll.qlCalendarAdvance(Calendar,X1764,W1765,"f",FALSE)</f>
        <v>51195</v>
      </c>
      <c r="Y1765" s="204">
        <f>_xll.qlCalendarAdvance(Calendar,X1765,NDays&amp;"D")</f>
        <v>51197</v>
      </c>
      <c r="Z1765" s="205">
        <v>3.6378589815510842E-2</v>
      </c>
      <c r="AA1765" s="207">
        <v>3.6330261353141324E-2</v>
      </c>
    </row>
    <row r="1766" spans="19:27" x14ac:dyDescent="0.2">
      <c r="S1766" s="165"/>
      <c r="T1766" s="166"/>
      <c r="W1766" s="199" t="str">
        <f t="shared" si="36"/>
        <v>1w</v>
      </c>
      <c r="X1766" s="200">
        <f>_xll.qlCalendarAdvance(Calendar,X1765,W1766,"f",FALSE)</f>
        <v>51202</v>
      </c>
      <c r="Y1766" s="204">
        <f>_xll.qlCalendarAdvance(Calendar,X1766,NDays&amp;"D")</f>
        <v>51204</v>
      </c>
      <c r="Z1766" s="205">
        <v>3.6371921282278695E-2</v>
      </c>
      <c r="AA1766" s="207">
        <v>3.6325063768778421E-2</v>
      </c>
    </row>
    <row r="1767" spans="19:27" x14ac:dyDescent="0.2">
      <c r="S1767" s="165"/>
      <c r="T1767" s="166"/>
      <c r="W1767" s="199" t="str">
        <f t="shared" si="36"/>
        <v>1w</v>
      </c>
      <c r="X1767" s="200">
        <f>_xll.qlCalendarAdvance(Calendar,X1766,W1767,"f",FALSE)</f>
        <v>51209</v>
      </c>
      <c r="Y1767" s="204">
        <f>_xll.qlCalendarAdvance(Calendar,X1767,NDays&amp;"D")</f>
        <v>51211</v>
      </c>
      <c r="Z1767" s="205">
        <v>3.6366723034160289E-2</v>
      </c>
      <c r="AA1767" s="207">
        <v>3.6319872034296097E-2</v>
      </c>
    </row>
    <row r="1768" spans="19:27" x14ac:dyDescent="0.2">
      <c r="S1768" s="165"/>
      <c r="T1768" s="166"/>
      <c r="W1768" s="199" t="str">
        <f t="shared" si="36"/>
        <v>1w</v>
      </c>
      <c r="X1768" s="200">
        <f>_xll.qlCalendarAdvance(Calendar,X1767,W1768,"f",FALSE)</f>
        <v>51216</v>
      </c>
      <c r="Y1768" s="204">
        <f>_xll.qlCalendarAdvance(Calendar,X1768,NDays&amp;"D")</f>
        <v>51218</v>
      </c>
      <c r="Z1768" s="205">
        <v>3.6361530655911641E-2</v>
      </c>
      <c r="AA1768" s="207">
        <v>3.6314686149774289E-2</v>
      </c>
    </row>
    <row r="1769" spans="19:27" x14ac:dyDescent="0.2">
      <c r="S1769" s="165"/>
      <c r="T1769" s="166"/>
      <c r="W1769" s="199" t="str">
        <f t="shared" si="36"/>
        <v>1w</v>
      </c>
      <c r="X1769" s="200">
        <f>_xll.qlCalendarAdvance(Calendar,X1768,W1769,"f",FALSE)</f>
        <v>51223</v>
      </c>
      <c r="Y1769" s="204">
        <f>_xll.qlCalendarAdvance(Calendar,X1769,NDays&amp;"D")</f>
        <v>51229</v>
      </c>
      <c r="Z1769" s="205">
        <v>3.6351919215114492E-2</v>
      </c>
      <c r="AA1769" s="207">
        <v>3.6308027179599023E-2</v>
      </c>
    </row>
    <row r="1770" spans="19:27" x14ac:dyDescent="0.2">
      <c r="S1770" s="165"/>
      <c r="T1770" s="166"/>
      <c r="W1770" s="199" t="str">
        <f t="shared" si="36"/>
        <v>1w</v>
      </c>
      <c r="X1770" s="200">
        <f>_xll.qlCalendarAdvance(Calendar,X1769,W1770,"f",FALSE)</f>
        <v>51230</v>
      </c>
      <c r="Y1770" s="204">
        <f>_xll.qlCalendarAdvance(Calendar,X1770,NDays&amp;"D")</f>
        <v>51232</v>
      </c>
      <c r="Z1770" s="205">
        <v>3.6352627402368998E-2</v>
      </c>
      <c r="AA1770" s="207">
        <v>3.6304331930292477E-2</v>
      </c>
    </row>
    <row r="1771" spans="19:27" x14ac:dyDescent="0.2">
      <c r="S1771" s="165"/>
      <c r="T1771" s="166"/>
      <c r="W1771" s="199" t="str">
        <f t="shared" si="36"/>
        <v>1w</v>
      </c>
      <c r="X1771" s="200">
        <f>_xll.qlCalendarAdvance(Calendar,X1770,W1771,"f",FALSE)</f>
        <v>51237</v>
      </c>
      <c r="Y1771" s="204">
        <f>_xll.qlCalendarAdvance(Calendar,X1771,NDays&amp;"D")</f>
        <v>51239</v>
      </c>
      <c r="Z1771" s="205">
        <v>3.6345988740330036E-2</v>
      </c>
      <c r="AA1771" s="207">
        <v>3.6299163595332473E-2</v>
      </c>
    </row>
    <row r="1772" spans="19:27" x14ac:dyDescent="0.2">
      <c r="S1772" s="165"/>
      <c r="T1772" s="166"/>
      <c r="W1772" s="199" t="str">
        <f t="shared" si="36"/>
        <v>1w</v>
      </c>
      <c r="X1772" s="200">
        <f>_xll.qlCalendarAdvance(Calendar,X1771,W1772,"f",FALSE)</f>
        <v>51244</v>
      </c>
      <c r="Y1772" s="204">
        <f>_xll.qlCalendarAdvance(Calendar,X1772,NDays&amp;"D")</f>
        <v>51246</v>
      </c>
      <c r="Z1772" s="205">
        <v>3.6340819841498499E-2</v>
      </c>
      <c r="AA1772" s="207">
        <v>3.6294001110412921E-2</v>
      </c>
    </row>
    <row r="1773" spans="19:27" x14ac:dyDescent="0.2">
      <c r="S1773" s="165"/>
      <c r="T1773" s="166"/>
      <c r="W1773" s="199" t="str">
        <f t="shared" si="36"/>
        <v>1w</v>
      </c>
      <c r="X1773" s="200">
        <f>_xll.qlCalendarAdvance(Calendar,X1772,W1773,"f",FALSE)</f>
        <v>51251</v>
      </c>
      <c r="Y1773" s="204">
        <f>_xll.qlCalendarAdvance(Calendar,X1773,NDays&amp;"D")</f>
        <v>51253</v>
      </c>
      <c r="Z1773" s="205">
        <v>3.6337120400728729E-2</v>
      </c>
      <c r="AA1773" s="207">
        <v>3.6288844475373949E-2</v>
      </c>
    </row>
    <row r="1774" spans="19:27" x14ac:dyDescent="0.2">
      <c r="S1774" s="165"/>
      <c r="T1774" s="166"/>
      <c r="W1774" s="199" t="str">
        <f t="shared" si="36"/>
        <v>1w</v>
      </c>
      <c r="X1774" s="200">
        <f>_xll.qlCalendarAdvance(Calendar,X1773,W1774,"f",FALSE)</f>
        <v>51258</v>
      </c>
      <c r="Y1774" s="204">
        <f>_xll.qlCalendarAdvance(Calendar,X1774,NDays&amp;"D")</f>
        <v>51260</v>
      </c>
      <c r="Z1774" s="205">
        <v>3.6330499653326069E-2</v>
      </c>
      <c r="AA1774" s="207">
        <v>3.6282958341233851E-2</v>
      </c>
    </row>
    <row r="1775" spans="19:27" x14ac:dyDescent="0.2">
      <c r="S1775" s="165"/>
      <c r="T1775" s="166"/>
      <c r="W1775" s="199" t="str">
        <f t="shared" si="36"/>
        <v>1w</v>
      </c>
      <c r="X1775" s="200">
        <f>_xll.qlCalendarAdvance(Calendar,X1774,W1775,"f",FALSE)</f>
        <v>51265</v>
      </c>
      <c r="Y1775" s="204">
        <f>_xll.qlCalendarAdvance(Calendar,X1775,NDays&amp;"D")</f>
        <v>51267</v>
      </c>
      <c r="Z1775" s="205">
        <v>3.6325348363969702E-2</v>
      </c>
      <c r="AA1775" s="207">
        <v>3.6278548754937745E-2</v>
      </c>
    </row>
    <row r="1776" spans="19:27" x14ac:dyDescent="0.2">
      <c r="S1776" s="165"/>
      <c r="T1776" s="166"/>
      <c r="W1776" s="199" t="str">
        <f t="shared" si="36"/>
        <v>1w</v>
      </c>
      <c r="X1776" s="200">
        <f>_xll.qlCalendarAdvance(Calendar,X1775,W1776,"f",FALSE)</f>
        <v>51272</v>
      </c>
      <c r="Y1776" s="204">
        <f>_xll.qlCalendarAdvance(Calendar,X1776,NDays&amp;"D")</f>
        <v>51274</v>
      </c>
      <c r="Z1776" s="205">
        <v>3.6320202944426359E-2</v>
      </c>
      <c r="AA1776" s="207">
        <v>3.6273409669460577E-2</v>
      </c>
    </row>
    <row r="1777" spans="19:27" x14ac:dyDescent="0.2">
      <c r="S1777" s="165"/>
      <c r="T1777" s="166"/>
      <c r="W1777" s="199" t="str">
        <f t="shared" si="36"/>
        <v>1w</v>
      </c>
      <c r="X1777" s="200">
        <f>_xll.qlCalendarAdvance(Calendar,X1776,W1777,"f",FALSE)</f>
        <v>51279</v>
      </c>
      <c r="Y1777" s="204">
        <f>_xll.qlCalendarAdvance(Calendar,X1777,NDays&amp;"D")</f>
        <v>51281</v>
      </c>
      <c r="Z1777" s="205">
        <v>3.631506339468573E-2</v>
      </c>
      <c r="AA1777" s="207">
        <v>3.6267543592236606E-2</v>
      </c>
    </row>
    <row r="1778" spans="19:27" x14ac:dyDescent="0.2">
      <c r="S1778" s="165"/>
      <c r="T1778" s="166"/>
      <c r="W1778" s="199" t="str">
        <f t="shared" si="36"/>
        <v>1w</v>
      </c>
      <c r="X1778" s="200">
        <f>_xll.qlCalendarAdvance(Calendar,X1777,W1778,"f",FALSE)</f>
        <v>51286</v>
      </c>
      <c r="Y1778" s="204">
        <f>_xll.qlCalendarAdvance(Calendar,X1778,NDays&amp;"D")</f>
        <v>51288</v>
      </c>
      <c r="Z1778" s="205">
        <v>3.6309929714740063E-2</v>
      </c>
      <c r="AA1778" s="207">
        <v>3.6263149048467724E-2</v>
      </c>
    </row>
    <row r="1779" spans="19:27" x14ac:dyDescent="0.2">
      <c r="S1779" s="165"/>
      <c r="T1779" s="166"/>
      <c r="W1779" s="199" t="str">
        <f t="shared" si="36"/>
        <v>1w</v>
      </c>
      <c r="X1779" s="200">
        <f>_xll.qlCalendarAdvance(Calendar,X1778,W1779,"f",FALSE)</f>
        <v>51293</v>
      </c>
      <c r="Y1779" s="204">
        <f>_xll.qlCalendarAdvance(Calendar,X1779,NDays&amp;"D")</f>
        <v>51295</v>
      </c>
      <c r="Z1779" s="205">
        <v>3.6304801904579062E-2</v>
      </c>
      <c r="AA1779" s="207">
        <v>3.6258027512872104E-2</v>
      </c>
    </row>
    <row r="1780" spans="19:27" x14ac:dyDescent="0.2">
      <c r="S1780" s="165"/>
      <c r="T1780" s="166"/>
      <c r="W1780" s="199" t="str">
        <f t="shared" si="36"/>
        <v>1w</v>
      </c>
      <c r="X1780" s="200">
        <f>_xll.qlCalendarAdvance(Calendar,X1779,W1780,"f",FALSE)</f>
        <v>51300</v>
      </c>
      <c r="Y1780" s="204">
        <f>_xll.qlCalendarAdvance(Calendar,X1780,NDays&amp;"D")</f>
        <v>51302</v>
      </c>
      <c r="Z1780" s="205">
        <v>3.6299679964200138E-2</v>
      </c>
      <c r="AA1780" s="207">
        <v>3.6252911827077128E-2</v>
      </c>
    </row>
    <row r="1781" spans="19:27" x14ac:dyDescent="0.2">
      <c r="S1781" s="165"/>
      <c r="T1781" s="166"/>
      <c r="W1781" s="199" t="str">
        <f t="shared" si="36"/>
        <v>1w</v>
      </c>
      <c r="X1781" s="200">
        <f>_xll.qlCalendarAdvance(Calendar,X1780,W1781,"f",FALSE)</f>
        <v>51307</v>
      </c>
      <c r="Y1781" s="204">
        <f>_xll.qlCalendarAdvance(Calendar,X1781,NDays&amp;"D")</f>
        <v>51309</v>
      </c>
      <c r="Z1781" s="205">
        <v>3.6294563893595561E-2</v>
      </c>
      <c r="AA1781" s="207">
        <v>3.6247801991162731E-2</v>
      </c>
    </row>
    <row r="1782" spans="19:27" x14ac:dyDescent="0.2">
      <c r="S1782" s="165"/>
      <c r="T1782" s="166"/>
      <c r="W1782" s="199" t="str">
        <f t="shared" si="36"/>
        <v>1w</v>
      </c>
      <c r="X1782" s="200">
        <f>_xll.qlCalendarAdvance(Calendar,X1781,W1782,"f",FALSE)</f>
        <v>51314</v>
      </c>
      <c r="Y1782" s="204">
        <f>_xll.qlCalendarAdvance(Calendar,X1782,NDays&amp;"D")</f>
        <v>51316</v>
      </c>
      <c r="Z1782" s="205">
        <v>3.6290916401457152E-2</v>
      </c>
      <c r="AA1782" s="207">
        <v>3.6242698005288787E-2</v>
      </c>
    </row>
    <row r="1783" spans="19:27" x14ac:dyDescent="0.2">
      <c r="S1783" s="165"/>
      <c r="T1783" s="166"/>
      <c r="W1783" s="199" t="str">
        <f t="shared" si="36"/>
        <v>1w</v>
      </c>
      <c r="X1783" s="200">
        <f>_xll.qlCalendarAdvance(Calendar,X1782,W1783,"f",FALSE)</f>
        <v>51321</v>
      </c>
      <c r="Y1783" s="204">
        <f>_xll.qlCalendarAdvance(Calendar,X1783,NDays&amp;"D")</f>
        <v>51323</v>
      </c>
      <c r="Z1783" s="205">
        <v>3.6284349361665594E-2</v>
      </c>
      <c r="AA1783" s="207">
        <v>3.6237599869135551E-2</v>
      </c>
    </row>
    <row r="1784" spans="19:27" x14ac:dyDescent="0.2">
      <c r="S1784" s="165"/>
      <c r="T1784" s="166"/>
      <c r="W1784" s="199" t="str">
        <f t="shared" si="36"/>
        <v>1w</v>
      </c>
      <c r="X1784" s="200">
        <f>_xll.qlCalendarAdvance(Calendar,X1783,W1784,"f",FALSE)</f>
        <v>51328</v>
      </c>
      <c r="Y1784" s="204">
        <f>_xll.qlCalendarAdvance(Calendar,X1784,NDays&amp;"D")</f>
        <v>51330</v>
      </c>
      <c r="Z1784" s="205">
        <v>3.6279250900329893E-2</v>
      </c>
      <c r="AA1784" s="207">
        <v>3.6232507583022766E-2</v>
      </c>
    </row>
    <row r="1785" spans="19:27" x14ac:dyDescent="0.2">
      <c r="S1785" s="165"/>
      <c r="T1785" s="166"/>
      <c r="W1785" s="199" t="str">
        <f t="shared" si="36"/>
        <v>1w</v>
      </c>
      <c r="X1785" s="200">
        <f>_xll.qlCalendarAdvance(Calendar,X1784,W1785,"f",FALSE)</f>
        <v>51335</v>
      </c>
      <c r="Y1785" s="204">
        <f>_xll.qlCalendarAdvance(Calendar,X1785,NDays&amp;"D")</f>
        <v>51337</v>
      </c>
      <c r="Z1785" s="205">
        <v>3.6274158308732443E-2</v>
      </c>
      <c r="AA1785" s="207">
        <v>3.6227421146710626E-2</v>
      </c>
    </row>
    <row r="1786" spans="19:27" x14ac:dyDescent="0.2">
      <c r="S1786" s="165"/>
      <c r="T1786" s="166"/>
      <c r="W1786" s="199" t="str">
        <f t="shared" si="36"/>
        <v>1w</v>
      </c>
      <c r="X1786" s="200">
        <f>_xll.qlCalendarAdvance(Calendar,X1785,W1786,"f",FALSE)</f>
        <v>51342</v>
      </c>
      <c r="Y1786" s="204">
        <f>_xll.qlCalendarAdvance(Calendar,X1786,NDays&amp;"D")</f>
        <v>51344</v>
      </c>
      <c r="Z1786" s="205">
        <v>3.6270533921910486E-2</v>
      </c>
      <c r="AA1786" s="207">
        <v>3.6222340560438937E-2</v>
      </c>
    </row>
    <row r="1787" spans="19:27" x14ac:dyDescent="0.2">
      <c r="S1787" s="165"/>
      <c r="T1787" s="166"/>
      <c r="W1787" s="199" t="str">
        <f t="shared" si="36"/>
        <v>1w</v>
      </c>
      <c r="X1787" s="200">
        <f>_xll.qlCalendarAdvance(Calendar,X1786,W1787,"f",FALSE)</f>
        <v>51349</v>
      </c>
      <c r="Y1787" s="204">
        <f>_xll.qlCalendarAdvance(Calendar,X1787,NDays&amp;"D")</f>
        <v>51351</v>
      </c>
      <c r="Z1787" s="205">
        <v>3.6265452978004875E-2</v>
      </c>
      <c r="AA1787" s="207">
        <v>3.6217265823967892E-2</v>
      </c>
    </row>
    <row r="1788" spans="19:27" x14ac:dyDescent="0.2">
      <c r="S1788" s="165"/>
      <c r="T1788" s="166"/>
      <c r="W1788" s="199" t="str">
        <f t="shared" si="36"/>
        <v>1w</v>
      </c>
      <c r="X1788" s="200">
        <f>_xll.qlCalendarAdvance(Calendar,X1787,W1788,"f",FALSE)</f>
        <v>51356</v>
      </c>
      <c r="Y1788" s="204">
        <f>_xll.qlCalendarAdvance(Calendar,X1788,NDays&amp;"D")</f>
        <v>51358</v>
      </c>
      <c r="Z1788" s="205">
        <v>3.6258915752310238E-2</v>
      </c>
      <c r="AA1788" s="207">
        <v>3.6212196937377428E-2</v>
      </c>
    </row>
    <row r="1789" spans="19:27" x14ac:dyDescent="0.2">
      <c r="S1789" s="165"/>
      <c r="T1789" s="166"/>
      <c r="W1789" s="199" t="str">
        <f t="shared" si="36"/>
        <v>1w</v>
      </c>
      <c r="X1789" s="200">
        <f>_xll.qlCalendarAdvance(Calendar,X1788,W1789,"f",FALSE)</f>
        <v>51363</v>
      </c>
      <c r="Y1789" s="204">
        <f>_xll.qlCalendarAdvance(Calendar,X1789,NDays&amp;"D")</f>
        <v>51365</v>
      </c>
      <c r="Z1789" s="205">
        <v>3.6253846639601295E-2</v>
      </c>
      <c r="AA1789" s="207">
        <v>3.6207133900667543E-2</v>
      </c>
    </row>
    <row r="1790" spans="19:27" x14ac:dyDescent="0.2">
      <c r="S1790" s="165"/>
      <c r="T1790" s="166"/>
      <c r="W1790" s="199" t="str">
        <f t="shared" si="36"/>
        <v>1w</v>
      </c>
      <c r="X1790" s="200">
        <f>_xll.qlCalendarAdvance(Calendar,X1789,W1790,"f",FALSE)</f>
        <v>51370</v>
      </c>
      <c r="Y1790" s="204">
        <f>_xll.qlCalendarAdvance(Calendar,X1790,NDays&amp;"D")</f>
        <v>51372</v>
      </c>
      <c r="Z1790" s="205">
        <v>3.6248783396594493E-2</v>
      </c>
      <c r="AA1790" s="207">
        <v>3.6201354736160596E-2</v>
      </c>
    </row>
    <row r="1791" spans="19:27" x14ac:dyDescent="0.2">
      <c r="S1791" s="165"/>
      <c r="T1791" s="166"/>
      <c r="W1791" s="199" t="str">
        <f t="shared" si="36"/>
        <v>1w</v>
      </c>
      <c r="X1791" s="200">
        <f>_xll.qlCalendarAdvance(Calendar,X1790,W1791,"f",FALSE)</f>
        <v>51377</v>
      </c>
      <c r="Y1791" s="204">
        <f>_xll.qlCalendarAdvance(Calendar,X1791,NDays&amp;"D")</f>
        <v>51379</v>
      </c>
      <c r="Z1791" s="205">
        <v>3.6239340912165297E-2</v>
      </c>
      <c r="AA1791" s="207">
        <v>3.6197025377129322E-2</v>
      </c>
    </row>
    <row r="1792" spans="19:27" x14ac:dyDescent="0.2">
      <c r="S1792" s="165"/>
      <c r="T1792" s="166"/>
      <c r="W1792" s="199" t="str">
        <f t="shared" si="36"/>
        <v>1w</v>
      </c>
      <c r="X1792" s="200">
        <f>_xll.qlCalendarAdvance(Calendar,X1791,W1792,"f",FALSE)</f>
        <v>51384</v>
      </c>
      <c r="Y1792" s="204">
        <f>_xll.qlCalendarAdvance(Calendar,X1792,NDays&amp;"D")</f>
        <v>51386</v>
      </c>
      <c r="Z1792" s="205">
        <v>3.6240136314037164E-2</v>
      </c>
      <c r="AA1792" s="207">
        <v>3.6191979890061177E-2</v>
      </c>
    </row>
    <row r="1793" spans="19:27" x14ac:dyDescent="0.2">
      <c r="S1793" s="165"/>
      <c r="T1793" s="166"/>
      <c r="W1793" s="199" t="str">
        <f t="shared" si="36"/>
        <v>1w</v>
      </c>
      <c r="X1793" s="200">
        <f>_xll.qlCalendarAdvance(Calendar,X1792,W1793,"f",FALSE)</f>
        <v>51391</v>
      </c>
      <c r="Y1793" s="204">
        <f>_xll.qlCalendarAdvance(Calendar,X1793,NDays&amp;"D")</f>
        <v>51393</v>
      </c>
      <c r="Z1793" s="205">
        <v>3.6233628885714755E-2</v>
      </c>
      <c r="AA1793" s="207">
        <v>3.6186940252953548E-2</v>
      </c>
    </row>
    <row r="1794" spans="19:27" x14ac:dyDescent="0.2">
      <c r="S1794" s="165"/>
      <c r="T1794" s="166"/>
      <c r="W1794" s="199" t="str">
        <f t="shared" si="36"/>
        <v>1w</v>
      </c>
      <c r="X1794" s="200">
        <f>_xll.qlCalendarAdvance(Calendar,X1793,W1794,"f",FALSE)</f>
        <v>51398</v>
      </c>
      <c r="Y1794" s="204">
        <f>_xll.qlCalendarAdvance(Calendar,X1794,NDays&amp;"D")</f>
        <v>51400</v>
      </c>
      <c r="Z1794" s="205">
        <v>3.622858912143917E-2</v>
      </c>
      <c r="AA1794" s="207">
        <v>3.6181906465806435E-2</v>
      </c>
    </row>
    <row r="1795" spans="19:27" x14ac:dyDescent="0.2">
      <c r="S1795" s="165"/>
      <c r="T1795" s="166"/>
      <c r="W1795" s="199" t="str">
        <f t="shared" si="36"/>
        <v>1w</v>
      </c>
      <c r="X1795" s="200">
        <f>_xll.qlCalendarAdvance(Calendar,X1794,W1795,"f",FALSE)</f>
        <v>51405</v>
      </c>
      <c r="Y1795" s="204">
        <f>_xll.qlCalendarAdvance(Calendar,X1795,NDays&amp;"D")</f>
        <v>51407</v>
      </c>
      <c r="Z1795" s="205">
        <v>3.6226478382519064E-2</v>
      </c>
      <c r="AA1795" s="207">
        <v>3.6176878528619838E-2</v>
      </c>
    </row>
    <row r="1796" spans="19:27" x14ac:dyDescent="0.2">
      <c r="S1796" s="165"/>
      <c r="T1796" s="166"/>
      <c r="W1796" s="199" t="str">
        <f t="shared" si="36"/>
        <v>1w</v>
      </c>
      <c r="X1796" s="200">
        <f>_xll.qlCalendarAdvance(Calendar,X1795,W1796,"f",FALSE)</f>
        <v>51412</v>
      </c>
      <c r="Y1796" s="204">
        <f>_xll.qlCalendarAdvance(Calendar,X1796,NDays&amp;"D")</f>
        <v>51414</v>
      </c>
      <c r="Z1796" s="205">
        <v>3.6218527201878403E-2</v>
      </c>
      <c r="AA1796" s="207">
        <v>3.6171856441153949E-2</v>
      </c>
    </row>
    <row r="1797" spans="19:27" x14ac:dyDescent="0.2">
      <c r="S1797" s="165"/>
      <c r="T1797" s="166"/>
      <c r="W1797" s="199" t="str">
        <f t="shared" si="36"/>
        <v>1w</v>
      </c>
      <c r="X1797" s="200">
        <f>_xll.qlCalendarAdvance(Calendar,X1796,W1797,"f",FALSE)</f>
        <v>51419</v>
      </c>
      <c r="Y1797" s="204">
        <f>_xll.qlCalendarAdvance(Calendar,X1797,NDays&amp;"D")</f>
        <v>51421</v>
      </c>
      <c r="Z1797" s="205">
        <v>3.6214966408559812E-2</v>
      </c>
      <c r="AA1797" s="207">
        <v>3.6166840203728512E-2</v>
      </c>
    </row>
    <row r="1798" spans="19:27" x14ac:dyDescent="0.2">
      <c r="S1798" s="165"/>
      <c r="T1798" s="166"/>
      <c r="W1798" s="199" t="str">
        <f t="shared" si="36"/>
        <v>1w</v>
      </c>
      <c r="X1798" s="200">
        <f>_xll.qlCalendarAdvance(Calendar,X1797,W1798,"f",FALSE)</f>
        <v>51426</v>
      </c>
      <c r="Y1798" s="204">
        <f>_xll.qlCalendarAdvance(Calendar,X1798,NDays&amp;"D")</f>
        <v>51428</v>
      </c>
      <c r="Z1798" s="205">
        <v>3.620848876091734E-2</v>
      </c>
      <c r="AA1798" s="207">
        <v>3.6161829816103719E-2</v>
      </c>
    </row>
    <row r="1799" spans="19:27" x14ac:dyDescent="0.2">
      <c r="S1799" s="165"/>
      <c r="T1799" s="166"/>
      <c r="W1799" s="199" t="str">
        <f t="shared" si="36"/>
        <v>1w</v>
      </c>
      <c r="X1799" s="200">
        <f>_xll.qlCalendarAdvance(Calendar,X1798,W1799,"f",FALSE)</f>
        <v>51433</v>
      </c>
      <c r="Y1799" s="204">
        <f>_xll.qlCalendarAdvance(Calendar,X1799,NDays&amp;"D")</f>
        <v>51435</v>
      </c>
      <c r="Z1799" s="205">
        <v>3.620347834488688E-2</v>
      </c>
      <c r="AA1799" s="207">
        <v>3.6156825278439442E-2</v>
      </c>
    </row>
    <row r="1800" spans="19:27" x14ac:dyDescent="0.2">
      <c r="S1800" s="165"/>
      <c r="T1800" s="166"/>
      <c r="W1800" s="199" t="str">
        <f t="shared" si="36"/>
        <v>1w</v>
      </c>
      <c r="X1800" s="200">
        <f>_xll.qlCalendarAdvance(Calendar,X1799,W1800,"f",FALSE)</f>
        <v>51440</v>
      </c>
      <c r="Y1800" s="204">
        <f>_xll.qlCalendarAdvance(Calendar,X1800,NDays&amp;"D")</f>
        <v>51442</v>
      </c>
      <c r="Z1800" s="205">
        <v>3.619847379848895E-2</v>
      </c>
      <c r="AA1800" s="207">
        <v>3.6151826590575808E-2</v>
      </c>
    </row>
    <row r="1801" spans="19:27" x14ac:dyDescent="0.2">
      <c r="S1801" s="165"/>
      <c r="T1801" s="166"/>
      <c r="W1801" s="199" t="str">
        <f t="shared" si="36"/>
        <v>1w</v>
      </c>
      <c r="X1801" s="200">
        <f>_xll.qlCalendarAdvance(Calendar,X1800,W1801,"f",FALSE)</f>
        <v>51447</v>
      </c>
      <c r="Y1801" s="204">
        <f>_xll.qlCalendarAdvance(Calendar,X1801,NDays&amp;"D")</f>
        <v>51449</v>
      </c>
      <c r="Z1801" s="205">
        <v>3.6193475121708063E-2</v>
      </c>
      <c r="AA1801" s="207">
        <v>3.6146833752672691E-2</v>
      </c>
    </row>
    <row r="1802" spans="19:27" x14ac:dyDescent="0.2">
      <c r="S1802" s="165"/>
      <c r="T1802" s="166"/>
      <c r="W1802" s="199" t="str">
        <f t="shared" si="36"/>
        <v>1w</v>
      </c>
      <c r="X1802" s="200">
        <f>_xll.qlCalendarAdvance(Calendar,X1801,W1802,"f",FALSE)</f>
        <v>51454</v>
      </c>
      <c r="Y1802" s="204">
        <f>_xll.qlCalendarAdvance(Calendar,X1802,NDays&amp;"D")</f>
        <v>51456</v>
      </c>
      <c r="Z1802" s="205">
        <v>3.6188482314536488E-2</v>
      </c>
      <c r="AA1802" s="207">
        <v>3.614184676473009E-2</v>
      </c>
    </row>
    <row r="1803" spans="19:27" x14ac:dyDescent="0.2">
      <c r="S1803" s="165"/>
      <c r="T1803" s="166"/>
      <c r="W1803" s="199" t="str">
        <f t="shared" si="36"/>
        <v>1w</v>
      </c>
      <c r="X1803" s="200">
        <f>_xll.qlCalendarAdvance(Calendar,X1802,W1803,"f",FALSE)</f>
        <v>51461</v>
      </c>
      <c r="Y1803" s="204">
        <f>_xll.qlCalendarAdvance(Calendar,X1803,NDays&amp;"D")</f>
        <v>51463</v>
      </c>
      <c r="Z1803" s="205">
        <v>3.6183495376971658E-2</v>
      </c>
      <c r="AA1803" s="207">
        <v>3.6136865626588133E-2</v>
      </c>
    </row>
    <row r="1804" spans="19:27" x14ac:dyDescent="0.2">
      <c r="S1804" s="165"/>
      <c r="T1804" s="166"/>
      <c r="W1804" s="199" t="str">
        <f t="shared" si="36"/>
        <v>1w</v>
      </c>
      <c r="X1804" s="200">
        <f>_xll.qlCalendarAdvance(Calendar,X1803,W1804,"f",FALSE)</f>
        <v>51468</v>
      </c>
      <c r="Y1804" s="204">
        <f>_xll.qlCalendarAdvance(Calendar,X1804,NDays&amp;"D")</f>
        <v>51470</v>
      </c>
      <c r="Z1804" s="205">
        <v>3.6178514309000667E-2</v>
      </c>
      <c r="AA1804" s="207">
        <v>3.6131890338406691E-2</v>
      </c>
    </row>
    <row r="1805" spans="19:27" x14ac:dyDescent="0.2">
      <c r="S1805" s="165"/>
      <c r="T1805" s="166"/>
      <c r="W1805" s="199" t="str">
        <f t="shared" si="36"/>
        <v>1w</v>
      </c>
      <c r="X1805" s="200">
        <f>_xll.qlCalendarAdvance(Calendar,X1804,W1805,"f",FALSE)</f>
        <v>51475</v>
      </c>
      <c r="Y1805" s="204">
        <f>_xll.qlCalendarAdvance(Calendar,X1805,NDays&amp;"D")</f>
        <v>51477</v>
      </c>
      <c r="Z1805" s="205">
        <v>3.6173539110618359E-2</v>
      </c>
      <c r="AA1805" s="207">
        <v>3.6126920900025894E-2</v>
      </c>
    </row>
    <row r="1806" spans="19:27" x14ac:dyDescent="0.2">
      <c r="S1806" s="165"/>
      <c r="T1806" s="166"/>
      <c r="W1806" s="199" t="str">
        <f t="shared" si="36"/>
        <v>1w</v>
      </c>
      <c r="X1806" s="200">
        <f>_xll.qlCalendarAdvance(Calendar,X1805,W1806,"f",FALSE)</f>
        <v>51482</v>
      </c>
      <c r="Y1806" s="204">
        <f>_xll.qlCalendarAdvance(Calendar,X1806,NDays&amp;"D")</f>
        <v>51484</v>
      </c>
      <c r="Z1806" s="205">
        <v>3.6168569781817005E-2</v>
      </c>
      <c r="AA1806" s="207">
        <v>3.6121957311685549E-2</v>
      </c>
    </row>
    <row r="1807" spans="19:27" x14ac:dyDescent="0.2">
      <c r="S1807" s="165"/>
      <c r="T1807" s="166"/>
      <c r="W1807" s="199" t="str">
        <f t="shared" si="36"/>
        <v>1w</v>
      </c>
      <c r="X1807" s="200">
        <f>_xll.qlCalendarAdvance(Calendar,X1806,W1807,"f",FALSE)</f>
        <v>51489</v>
      </c>
      <c r="Y1807" s="204">
        <f>_xll.qlCalendarAdvance(Calendar,X1807,NDays&amp;"D")</f>
        <v>51491</v>
      </c>
      <c r="Z1807" s="205">
        <v>3.6165066869159324E-2</v>
      </c>
      <c r="AA1807" s="207">
        <v>3.6115584150806512E-2</v>
      </c>
    </row>
    <row r="1808" spans="19:27" x14ac:dyDescent="0.2">
      <c r="S1808" s="165"/>
      <c r="T1808" s="166"/>
      <c r="W1808" s="199" t="str">
        <f t="shared" si="36"/>
        <v>1w</v>
      </c>
      <c r="X1808" s="200">
        <f>_xll.qlCalendarAdvance(Calendar,X1807,W1808,"f",FALSE)</f>
        <v>51497</v>
      </c>
      <c r="Y1808" s="204">
        <f>_xll.qlCalendarAdvance(Calendar,X1808,NDays&amp;"D")</f>
        <v>51501</v>
      </c>
      <c r="Z1808" s="205">
        <v>3.6156525848454121E-2</v>
      </c>
      <c r="AA1808" s="207">
        <v>3.6110633933530423E-2</v>
      </c>
    </row>
    <row r="1809" spans="19:27" x14ac:dyDescent="0.2">
      <c r="S1809" s="165"/>
      <c r="T1809" s="166"/>
      <c r="W1809" s="199" t="str">
        <f t="shared" si="36"/>
        <v>1w</v>
      </c>
      <c r="X1809" s="200">
        <f>_xll.qlCalendarAdvance(Calendar,X1808,W1809,"f",FALSE)</f>
        <v>51504</v>
      </c>
      <c r="Y1809" s="204">
        <f>_xll.qlCalendarAdvance(Calendar,X1809,NDays&amp;"D")</f>
        <v>51508</v>
      </c>
      <c r="Z1809" s="205">
        <v>3.6151576643875055E-2</v>
      </c>
      <c r="AA1809" s="207">
        <v>3.6106395546209313E-2</v>
      </c>
    </row>
    <row r="1810" spans="19:27" x14ac:dyDescent="0.2">
      <c r="S1810" s="165"/>
      <c r="T1810" s="166"/>
      <c r="W1810" s="199" t="str">
        <f t="shared" si="36"/>
        <v>1w</v>
      </c>
      <c r="X1810" s="200">
        <f>_xll.qlCalendarAdvance(Calendar,X1809,W1810,"f",FALSE)</f>
        <v>51511</v>
      </c>
      <c r="Y1810" s="204">
        <f>_xll.qlCalendarAdvance(Calendar,X1810,NDays&amp;"D")</f>
        <v>51515</v>
      </c>
      <c r="Z1810" s="205">
        <v>3.6146633308845995E-2</v>
      </c>
      <c r="AA1810" s="207">
        <v>3.6101456193042836E-2</v>
      </c>
    </row>
    <row r="1811" spans="19:27" x14ac:dyDescent="0.2">
      <c r="S1811" s="165"/>
      <c r="T1811" s="166"/>
      <c r="W1811" s="199" t="str">
        <f t="shared" si="36"/>
        <v>1w</v>
      </c>
      <c r="X1811" s="200">
        <f>_xll.qlCalendarAdvance(Calendar,X1810,W1811,"f",FALSE)</f>
        <v>51518</v>
      </c>
      <c r="Y1811" s="204">
        <f>_xll.qlCalendarAdvance(Calendar,X1811,NDays&amp;"D")</f>
        <v>51522</v>
      </c>
      <c r="Z1811" s="205">
        <v>3.6140990970288327E-2</v>
      </c>
      <c r="AA1811" s="207">
        <v>3.6096522689836874E-2</v>
      </c>
    </row>
    <row r="1812" spans="19:27" x14ac:dyDescent="0.2">
      <c r="S1812" s="165"/>
      <c r="T1812" s="166"/>
      <c r="W1812" s="199" t="str">
        <f t="shared" si="36"/>
        <v>1w</v>
      </c>
      <c r="X1812" s="200">
        <f>_xll.qlCalendarAdvance(Calendar,X1811,W1812,"f",FALSE)</f>
        <v>51525</v>
      </c>
      <c r="Y1812" s="204">
        <f>_xll.qlCalendarAdvance(Calendar,X1812,NDays&amp;"D")</f>
        <v>51529</v>
      </c>
      <c r="Z1812" s="205">
        <v>3.613676424739664E-2</v>
      </c>
      <c r="AA1812" s="207">
        <v>3.6091595036431556E-2</v>
      </c>
    </row>
    <row r="1813" spans="19:27" x14ac:dyDescent="0.2">
      <c r="S1813" s="165"/>
      <c r="T1813" s="166"/>
      <c r="W1813" s="199" t="str">
        <f t="shared" ref="W1813:W1876" si="37">W1812</f>
        <v>1w</v>
      </c>
      <c r="X1813" s="200">
        <f>_xll.qlCalendarAdvance(Calendar,X1812,W1813,"f",FALSE)</f>
        <v>51532</v>
      </c>
      <c r="Y1813" s="204">
        <f>_xll.qlCalendarAdvance(Calendar,X1813,NDays&amp;"D")</f>
        <v>51536</v>
      </c>
      <c r="Z1813" s="205">
        <v>3.6127458893115971E-2</v>
      </c>
      <c r="AA1813" s="207">
        <v>3.6086673232986755E-2</v>
      </c>
    </row>
    <row r="1814" spans="19:27" x14ac:dyDescent="0.2">
      <c r="S1814" s="165"/>
      <c r="T1814" s="166"/>
      <c r="W1814" s="199" t="str">
        <f t="shared" si="37"/>
        <v>1w</v>
      </c>
      <c r="X1814" s="200">
        <f>_xll.qlCalendarAdvance(Calendar,X1813,W1814,"f",FALSE)</f>
        <v>51539</v>
      </c>
      <c r="Y1814" s="204">
        <f>_xll.qlCalendarAdvance(Calendar,X1814,NDays&amp;"D")</f>
        <v>51543</v>
      </c>
      <c r="Z1814" s="205">
        <v>3.6122539257614134E-2</v>
      </c>
      <c r="AA1814" s="207">
        <v>3.6081757279342597E-2</v>
      </c>
    </row>
    <row r="1815" spans="19:27" x14ac:dyDescent="0.2">
      <c r="S1815" s="165"/>
      <c r="T1815" s="166"/>
      <c r="W1815" s="199" t="str">
        <f t="shared" si="37"/>
        <v>1w</v>
      </c>
      <c r="X1815" s="200">
        <f>_xll.qlCalendarAdvance(Calendar,X1814,W1815,"f",FALSE)</f>
        <v>51546</v>
      </c>
      <c r="Y1815" s="204">
        <f>_xll.qlCalendarAdvance(Calendar,X1815,NDays&amp;"D")</f>
        <v>51550</v>
      </c>
      <c r="Z1815" s="205">
        <v>3.6116924001788106E-2</v>
      </c>
      <c r="AA1815" s="207">
        <v>3.6076847175658955E-2</v>
      </c>
    </row>
    <row r="1816" spans="19:27" x14ac:dyDescent="0.2">
      <c r="S1816" s="165"/>
      <c r="T1816" s="166"/>
      <c r="W1816" s="199" t="str">
        <f t="shared" si="37"/>
        <v>1w</v>
      </c>
      <c r="X1816" s="200">
        <f>_xll.qlCalendarAdvance(Calendar,X1815,W1816,"f",FALSE)</f>
        <v>51553</v>
      </c>
      <c r="Y1816" s="204">
        <f>_xll.qlCalendarAdvance(Calendar,X1816,NDays&amp;"D")</f>
        <v>51557</v>
      </c>
      <c r="Z1816" s="205">
        <v>3.6112717589238397E-2</v>
      </c>
      <c r="AA1816" s="207">
        <v>3.6071942921855893E-2</v>
      </c>
    </row>
    <row r="1817" spans="19:27" x14ac:dyDescent="0.2">
      <c r="S1817" s="165"/>
      <c r="T1817" s="166"/>
      <c r="W1817" s="199" t="str">
        <f t="shared" si="37"/>
        <v>1w</v>
      </c>
      <c r="X1817" s="200">
        <f>_xll.qlCalendarAdvance(Calendar,X1816,W1817,"f",FALSE)</f>
        <v>51560</v>
      </c>
      <c r="Y1817" s="204">
        <f>_xll.qlCalendarAdvance(Calendar,X1817,NDays&amp;"D")</f>
        <v>51564</v>
      </c>
      <c r="Z1817" s="205">
        <v>3.6112194310351724E-2</v>
      </c>
      <c r="AA1817" s="207">
        <v>3.6067044518013347E-2</v>
      </c>
    </row>
    <row r="1818" spans="19:27" x14ac:dyDescent="0.2">
      <c r="S1818" s="165"/>
      <c r="T1818" s="166"/>
      <c r="W1818" s="199" t="str">
        <f t="shared" si="37"/>
        <v>1w</v>
      </c>
      <c r="X1818" s="200">
        <f>_xll.qlCalendarAdvance(Calendar,X1817,W1818,"f",FALSE)</f>
        <v>51567</v>
      </c>
      <c r="Y1818" s="204">
        <f>_xll.qlCalendarAdvance(Calendar,X1818,NDays&amp;"D")</f>
        <v>51571</v>
      </c>
      <c r="Z1818" s="205">
        <v>3.6107297931436501E-2</v>
      </c>
      <c r="AA1818" s="207">
        <v>3.6062151963971445E-2</v>
      </c>
    </row>
    <row r="1819" spans="19:27" x14ac:dyDescent="0.2">
      <c r="S1819" s="165"/>
      <c r="T1819" s="166"/>
      <c r="W1819" s="199" t="str">
        <f t="shared" si="37"/>
        <v>1w</v>
      </c>
      <c r="X1819" s="200">
        <f>_xll.qlCalendarAdvance(Calendar,X1818,W1819,"f",FALSE)</f>
        <v>51574</v>
      </c>
      <c r="Y1819" s="204">
        <f>_xll.qlCalendarAdvance(Calendar,X1819,NDays&amp;"D")</f>
        <v>51578</v>
      </c>
      <c r="Z1819" s="205">
        <v>3.610240742200424E-2</v>
      </c>
      <c r="AA1819" s="207">
        <v>3.6057265259810123E-2</v>
      </c>
    </row>
    <row r="1820" spans="19:27" x14ac:dyDescent="0.2">
      <c r="S1820" s="165"/>
      <c r="T1820" s="166"/>
      <c r="W1820" s="199" t="str">
        <f t="shared" si="37"/>
        <v>1w</v>
      </c>
      <c r="X1820" s="200">
        <f>_xll.qlCalendarAdvance(Calendar,X1819,W1820,"f",FALSE)</f>
        <v>51581</v>
      </c>
      <c r="Y1820" s="204">
        <f>_xll.qlCalendarAdvance(Calendar,X1820,NDays&amp;"D")</f>
        <v>51585</v>
      </c>
      <c r="Z1820" s="205">
        <v>3.609752278204463E-2</v>
      </c>
      <c r="AA1820" s="207">
        <v>3.6052384405609317E-2</v>
      </c>
    </row>
    <row r="1821" spans="19:27" x14ac:dyDescent="0.2">
      <c r="S1821" s="165"/>
      <c r="T1821" s="166"/>
      <c r="W1821" s="199" t="str">
        <f t="shared" si="37"/>
        <v>1w</v>
      </c>
      <c r="X1821" s="200">
        <f>_xll.qlCalendarAdvance(Calendar,X1820,W1821,"f",FALSE)</f>
        <v>51588</v>
      </c>
      <c r="Y1821" s="204">
        <f>_xll.qlCalendarAdvance(Calendar,X1821,NDays&amp;"D")</f>
        <v>51592</v>
      </c>
      <c r="Z1821" s="205">
        <v>3.6091184616818595E-2</v>
      </c>
      <c r="AA1821" s="207">
        <v>3.6047509401209155E-2</v>
      </c>
    </row>
    <row r="1822" spans="19:27" x14ac:dyDescent="0.2">
      <c r="S1822" s="165"/>
      <c r="T1822" s="166"/>
      <c r="W1822" s="199" t="str">
        <f t="shared" si="37"/>
        <v>1w</v>
      </c>
      <c r="X1822" s="200">
        <f>_xll.qlCalendarAdvance(Calendar,X1821,W1822,"f",FALSE)</f>
        <v>51595</v>
      </c>
      <c r="Y1822" s="204">
        <f>_xll.qlCalendarAdvance(Calendar,X1822,NDays&amp;"D")</f>
        <v>51599</v>
      </c>
      <c r="Z1822" s="205">
        <v>3.6086311784313096E-2</v>
      </c>
      <c r="AA1822" s="207">
        <v>3.6042640246849444E-2</v>
      </c>
    </row>
    <row r="1823" spans="19:27" x14ac:dyDescent="0.2">
      <c r="S1823" s="165"/>
      <c r="T1823" s="166"/>
      <c r="W1823" s="199" t="str">
        <f t="shared" si="37"/>
        <v>1w</v>
      </c>
      <c r="X1823" s="200">
        <f>_xll.qlCalendarAdvance(Calendar,X1822,W1823,"f",FALSE)</f>
        <v>51602</v>
      </c>
      <c r="Y1823" s="204">
        <f>_xll.qlCalendarAdvance(Calendar,X1823,NDays&amp;"D")</f>
        <v>51606</v>
      </c>
      <c r="Z1823" s="205">
        <v>3.6081444820609043E-2</v>
      </c>
      <c r="AA1823" s="207">
        <v>3.6037776942210442E-2</v>
      </c>
    </row>
    <row r="1824" spans="19:27" x14ac:dyDescent="0.2">
      <c r="S1824" s="165"/>
      <c r="T1824" s="166"/>
      <c r="W1824" s="199" t="str">
        <f t="shared" si="37"/>
        <v>1w</v>
      </c>
      <c r="X1824" s="200">
        <f>_xll.qlCalendarAdvance(Calendar,X1823,W1824,"f",FALSE)</f>
        <v>51609</v>
      </c>
      <c r="Y1824" s="204">
        <f>_xll.qlCalendarAdvance(Calendar,X1824,NDays&amp;"D")</f>
        <v>51615</v>
      </c>
      <c r="Z1824" s="205">
        <v>3.6075195919372582E-2</v>
      </c>
      <c r="AA1824" s="207">
        <v>3.6034445842734186E-2</v>
      </c>
    </row>
    <row r="1825" spans="19:27" x14ac:dyDescent="0.2">
      <c r="S1825" s="165"/>
      <c r="T1825" s="166"/>
      <c r="W1825" s="199" t="str">
        <f t="shared" si="37"/>
        <v>1w</v>
      </c>
      <c r="X1825" s="200">
        <f>_xll.qlCalendarAdvance(Calendar,X1824,W1825,"f",FALSE)</f>
        <v>51616</v>
      </c>
      <c r="Y1825" s="204">
        <f>_xll.qlCalendarAdvance(Calendar,X1825,NDays&amp;"D")</f>
        <v>51620</v>
      </c>
      <c r="Z1825" s="205">
        <v>3.6071728499565303E-2</v>
      </c>
      <c r="AA1825" s="207">
        <v>3.6028067882813986E-2</v>
      </c>
    </row>
    <row r="1826" spans="19:27" x14ac:dyDescent="0.2">
      <c r="S1826" s="165"/>
      <c r="T1826" s="166"/>
      <c r="W1826" s="199" t="str">
        <f t="shared" si="37"/>
        <v>1w</v>
      </c>
      <c r="X1826" s="200">
        <f>_xll.qlCalendarAdvance(Calendar,X1825,W1826,"f",FALSE)</f>
        <v>51623</v>
      </c>
      <c r="Y1826" s="204">
        <f>_xll.qlCalendarAdvance(Calendar,X1826,NDays&amp;"D")</f>
        <v>51628</v>
      </c>
      <c r="Z1826" s="205">
        <v>3.6067645905206294E-2</v>
      </c>
      <c r="AA1826" s="207">
        <v>3.6022530354777871E-2</v>
      </c>
    </row>
    <row r="1827" spans="19:27" x14ac:dyDescent="0.2">
      <c r="S1827" s="165"/>
      <c r="T1827" s="166"/>
      <c r="W1827" s="199" t="str">
        <f t="shared" si="37"/>
        <v>1w</v>
      </c>
      <c r="X1827" s="200">
        <f>_xll.qlCalendarAdvance(Calendar,X1826,W1827,"f",FALSE)</f>
        <v>51630</v>
      </c>
      <c r="Y1827" s="204">
        <f>_xll.qlCalendarAdvance(Calendar,X1827,NDays&amp;"D")</f>
        <v>51634</v>
      </c>
      <c r="Z1827" s="205">
        <v>3.6063494646976224E-2</v>
      </c>
      <c r="AA1827" s="207">
        <v>3.6018382222859913E-2</v>
      </c>
    </row>
    <row r="1828" spans="19:27" x14ac:dyDescent="0.2">
      <c r="S1828" s="165"/>
      <c r="T1828" s="166"/>
      <c r="W1828" s="199" t="str">
        <f t="shared" si="37"/>
        <v>1w</v>
      </c>
      <c r="X1828" s="200">
        <f>_xll.qlCalendarAdvance(Calendar,X1827,W1828,"f",FALSE)</f>
        <v>51637</v>
      </c>
      <c r="Y1828" s="204">
        <f>_xll.qlCalendarAdvance(Calendar,X1828,NDays&amp;"D")</f>
        <v>51641</v>
      </c>
      <c r="Z1828" s="205">
        <v>3.6058656962542533E-2</v>
      </c>
      <c r="AA1828" s="207">
        <v>3.6013548167783682E-2</v>
      </c>
    </row>
    <row r="1829" spans="19:27" x14ac:dyDescent="0.2">
      <c r="S1829" s="165"/>
      <c r="T1829" s="166"/>
      <c r="W1829" s="199" t="str">
        <f t="shared" si="37"/>
        <v>1w</v>
      </c>
      <c r="X1829" s="200">
        <f>_xll.qlCalendarAdvance(Calendar,X1828,W1829,"f",FALSE)</f>
        <v>51644</v>
      </c>
      <c r="Y1829" s="204">
        <f>_xll.qlCalendarAdvance(Calendar,X1829,NDays&amp;"D")</f>
        <v>51649</v>
      </c>
      <c r="Z1829" s="205">
        <v>3.6053135367361454E-2</v>
      </c>
      <c r="AA1829" s="207">
        <v>3.6008030696423887E-2</v>
      </c>
    </row>
    <row r="1830" spans="19:27" x14ac:dyDescent="0.2">
      <c r="S1830" s="165"/>
      <c r="T1830" s="166"/>
      <c r="W1830" s="199" t="str">
        <f t="shared" si="37"/>
        <v>1w</v>
      </c>
      <c r="X1830" s="200">
        <f>_xll.qlCalendarAdvance(Calendar,X1829,W1830,"f",FALSE)</f>
        <v>51651</v>
      </c>
      <c r="Y1830" s="204">
        <f>_xll.qlCalendarAdvance(Calendar,X1830,NDays&amp;"D")</f>
        <v>51655</v>
      </c>
      <c r="Z1830" s="205">
        <v>3.6047540400441669E-2</v>
      </c>
      <c r="AA1830" s="207">
        <v>3.6003897607113089E-2</v>
      </c>
    </row>
    <row r="1831" spans="19:27" x14ac:dyDescent="0.2">
      <c r="S1831" s="165"/>
      <c r="T1831" s="166"/>
      <c r="W1831" s="199" t="str">
        <f t="shared" si="37"/>
        <v>1w</v>
      </c>
      <c r="X1831" s="200">
        <f>_xll.qlCalendarAdvance(Calendar,X1830,W1831,"f",FALSE)</f>
        <v>51658</v>
      </c>
      <c r="Y1831" s="204">
        <f>_xll.qlCalendarAdvance(Calendar,X1831,NDays&amp;"D")</f>
        <v>51662</v>
      </c>
      <c r="Z1831" s="205">
        <v>3.6042720386874727E-2</v>
      </c>
      <c r="AA1831" s="207">
        <v>3.599908110183847E-2</v>
      </c>
    </row>
    <row r="1832" spans="19:27" x14ac:dyDescent="0.2">
      <c r="S1832" s="165"/>
      <c r="T1832" s="166"/>
      <c r="W1832" s="199" t="str">
        <f t="shared" si="37"/>
        <v>1w</v>
      </c>
      <c r="X1832" s="200">
        <f>_xll.qlCalendarAdvance(Calendar,X1831,W1832,"f",FALSE)</f>
        <v>51665</v>
      </c>
      <c r="Y1832" s="204">
        <f>_xll.qlCalendarAdvance(Calendar,X1832,NDays&amp;"D")</f>
        <v>51669</v>
      </c>
      <c r="Z1832" s="205">
        <v>3.6037906242039952E-2</v>
      </c>
      <c r="AA1832" s="207">
        <v>3.5994270446124688E-2</v>
      </c>
    </row>
    <row r="1833" spans="19:27" x14ac:dyDescent="0.2">
      <c r="S1833" s="165"/>
      <c r="T1833" s="166"/>
      <c r="W1833" s="199" t="str">
        <f t="shared" si="37"/>
        <v>1w</v>
      </c>
      <c r="X1833" s="200">
        <f>_xll.qlCalendarAdvance(Calendar,X1832,W1833,"f",FALSE)</f>
        <v>51672</v>
      </c>
      <c r="Y1833" s="204">
        <f>_xll.qlCalendarAdvance(Calendar,X1833,NDays&amp;"D")</f>
        <v>51676</v>
      </c>
      <c r="Z1833" s="205">
        <v>3.603309796593468E-2</v>
      </c>
      <c r="AA1833" s="207">
        <v>3.5989465640451357E-2</v>
      </c>
    </row>
    <row r="1834" spans="19:27" x14ac:dyDescent="0.2">
      <c r="S1834" s="165"/>
      <c r="T1834" s="166"/>
      <c r="W1834" s="199" t="str">
        <f t="shared" si="37"/>
        <v>1w</v>
      </c>
      <c r="X1834" s="200">
        <f>_xll.qlCalendarAdvance(Calendar,X1833,W1834,"f",FALSE)</f>
        <v>51679</v>
      </c>
      <c r="Y1834" s="204">
        <f>_xll.qlCalendarAdvance(Calendar,X1834,NDays&amp;"D")</f>
        <v>51683</v>
      </c>
      <c r="Z1834" s="205">
        <v>3.6029754113238957E-2</v>
      </c>
      <c r="AA1834" s="207">
        <v>3.5984666684738542E-2</v>
      </c>
    </row>
    <row r="1835" spans="19:27" x14ac:dyDescent="0.2">
      <c r="S1835" s="165"/>
      <c r="T1835" s="166"/>
      <c r="W1835" s="199" t="str">
        <f t="shared" si="37"/>
        <v>1w</v>
      </c>
      <c r="X1835" s="200">
        <f>_xll.qlCalendarAdvance(Calendar,X1834,W1835,"f",FALSE)</f>
        <v>51686</v>
      </c>
      <c r="Y1835" s="204">
        <f>_xll.qlCalendarAdvance(Calendar,X1835,NDays&amp;"D")</f>
        <v>51690</v>
      </c>
      <c r="Z1835" s="205">
        <v>3.6024957514505268E-2</v>
      </c>
      <c r="AA1835" s="207">
        <v>3.5979873578746435E-2</v>
      </c>
    </row>
    <row r="1836" spans="19:27" x14ac:dyDescent="0.2">
      <c r="S1836" s="165"/>
      <c r="T1836" s="166"/>
      <c r="W1836" s="199" t="str">
        <f t="shared" si="37"/>
        <v>1w</v>
      </c>
      <c r="X1836" s="200">
        <f>_xll.qlCalendarAdvance(Calendar,X1835,W1836,"f",FALSE)</f>
        <v>51693</v>
      </c>
      <c r="Y1836" s="204">
        <f>_xll.qlCalendarAdvance(Calendar,X1836,NDays&amp;"D")</f>
        <v>51697</v>
      </c>
      <c r="Z1836" s="205">
        <v>3.6020166785128191E-2</v>
      </c>
      <c r="AA1836" s="207">
        <v>3.597508632279478E-2</v>
      </c>
    </row>
    <row r="1837" spans="19:27" x14ac:dyDescent="0.2">
      <c r="S1837" s="165"/>
      <c r="T1837" s="166"/>
      <c r="W1837" s="199" t="str">
        <f t="shared" si="37"/>
        <v>1w</v>
      </c>
      <c r="X1837" s="200">
        <f>_xll.qlCalendarAdvance(Calendar,X1836,W1837,"f",FALSE)</f>
        <v>51700</v>
      </c>
      <c r="Y1837" s="204">
        <f>_xll.qlCalendarAdvance(Calendar,X1837,NDays&amp;"D")</f>
        <v>51704</v>
      </c>
      <c r="Z1837" s="205">
        <v>3.6015381925099996E-2</v>
      </c>
      <c r="AA1837" s="207">
        <v>3.5970304916643769E-2</v>
      </c>
    </row>
    <row r="1838" spans="19:27" x14ac:dyDescent="0.2">
      <c r="S1838" s="165"/>
      <c r="T1838" s="166"/>
      <c r="W1838" s="199" t="str">
        <f t="shared" si="37"/>
        <v>1w</v>
      </c>
      <c r="X1838" s="200">
        <f>_xll.qlCalendarAdvance(Calendar,X1837,W1838,"f",FALSE)</f>
        <v>51707</v>
      </c>
      <c r="Y1838" s="204">
        <f>_xll.qlCalendarAdvance(Calendar,X1838,NDays&amp;"D")</f>
        <v>51711</v>
      </c>
      <c r="Z1838" s="205">
        <v>3.6010602934415527E-2</v>
      </c>
      <c r="AA1838" s="207">
        <v>3.596552936053321E-2</v>
      </c>
    </row>
    <row r="1839" spans="19:27" x14ac:dyDescent="0.2">
      <c r="S1839" s="165"/>
      <c r="T1839" s="166"/>
      <c r="W1839" s="199" t="str">
        <f t="shared" si="37"/>
        <v>1w</v>
      </c>
      <c r="X1839" s="200">
        <f>_xll.qlCalendarAdvance(Calendar,X1838,W1839,"f",FALSE)</f>
        <v>51714</v>
      </c>
      <c r="Y1839" s="204">
        <f>_xll.qlCalendarAdvance(Calendar,X1839,NDays&amp;"D")</f>
        <v>51718</v>
      </c>
      <c r="Z1839" s="205">
        <v>3.6005829813061878E-2</v>
      </c>
      <c r="AA1839" s="207">
        <v>3.5960759654143359E-2</v>
      </c>
    </row>
    <row r="1840" spans="19:27" x14ac:dyDescent="0.2">
      <c r="S1840" s="165"/>
      <c r="T1840" s="166"/>
      <c r="W1840" s="199" t="str">
        <f t="shared" si="37"/>
        <v>1w</v>
      </c>
      <c r="X1840" s="200">
        <f>_xll.qlCalendarAdvance(Calendar,X1839,W1840,"f",FALSE)</f>
        <v>51721</v>
      </c>
      <c r="Y1840" s="204">
        <f>_xll.qlCalendarAdvance(Calendar,X1840,NDays&amp;"D")</f>
        <v>51725</v>
      </c>
      <c r="Z1840" s="205">
        <v>3.6001062561041637E-2</v>
      </c>
      <c r="AA1840" s="207">
        <v>3.5955995797714024E-2</v>
      </c>
    </row>
    <row r="1841" spans="19:27" x14ac:dyDescent="0.2">
      <c r="S1841" s="165"/>
      <c r="T1841" s="166"/>
      <c r="W1841" s="199" t="str">
        <f t="shared" si="37"/>
        <v>1w</v>
      </c>
      <c r="X1841" s="200">
        <f>_xll.qlCalendarAdvance(Calendar,X1840,W1841,"f",FALSE)</f>
        <v>51728</v>
      </c>
      <c r="Y1841" s="204">
        <f>_xll.qlCalendarAdvance(Calendar,X1841,NDays&amp;"D")</f>
        <v>51732</v>
      </c>
      <c r="Z1841" s="205">
        <v>3.5996301178336756E-2</v>
      </c>
      <c r="AA1841" s="207">
        <v>3.5951237791085333E-2</v>
      </c>
    </row>
    <row r="1842" spans="19:27" x14ac:dyDescent="0.2">
      <c r="S1842" s="165"/>
      <c r="T1842" s="166"/>
      <c r="W1842" s="199" t="str">
        <f t="shared" si="37"/>
        <v>1w</v>
      </c>
      <c r="X1842" s="200">
        <f>_xll.qlCalendarAdvance(Calendar,X1841,W1842,"f",FALSE)</f>
        <v>51735</v>
      </c>
      <c r="Y1842" s="204">
        <f>_xll.qlCalendarAdvance(Calendar,X1842,NDays&amp;"D")</f>
        <v>51740</v>
      </c>
      <c r="Z1842" s="205">
        <v>3.5990866785022044E-2</v>
      </c>
      <c r="AA1842" s="207">
        <v>3.5945807232362625E-2</v>
      </c>
    </row>
    <row r="1843" spans="19:27" x14ac:dyDescent="0.2">
      <c r="S1843" s="165"/>
      <c r="T1843" s="166"/>
      <c r="W1843" s="199" t="str">
        <f t="shared" si="37"/>
        <v>1w</v>
      </c>
      <c r="X1843" s="200">
        <f>_xll.qlCalendarAdvance(Calendar,X1842,W1843,"f",FALSE)</f>
        <v>51742</v>
      </c>
      <c r="Y1843" s="204">
        <f>_xll.qlCalendarAdvance(Calendar,X1843,NDays&amp;"D")</f>
        <v>51746</v>
      </c>
      <c r="Z1843" s="205">
        <v>3.5984659949718001E-2</v>
      </c>
      <c r="AA1843" s="207">
        <v>3.5941739327469691E-2</v>
      </c>
    </row>
    <row r="1844" spans="19:27" x14ac:dyDescent="0.2">
      <c r="S1844" s="165"/>
      <c r="T1844" s="166"/>
      <c r="W1844" s="199" t="str">
        <f t="shared" si="37"/>
        <v>1w</v>
      </c>
      <c r="X1844" s="200">
        <f>_xll.qlCalendarAdvance(Calendar,X1843,W1844,"f",FALSE)</f>
        <v>51749</v>
      </c>
      <c r="Y1844" s="204">
        <f>_xll.qlCalendarAdvance(Calendar,X1844,NDays&amp;"D")</f>
        <v>51753</v>
      </c>
      <c r="Z1844" s="205">
        <v>3.5980594262832177E-2</v>
      </c>
      <c r="AA1844" s="207">
        <v>3.5936998870562675E-2</v>
      </c>
    </row>
    <row r="1845" spans="19:27" x14ac:dyDescent="0.2">
      <c r="S1845" s="165"/>
      <c r="T1845" s="166"/>
      <c r="W1845" s="199" t="str">
        <f t="shared" si="37"/>
        <v>1w</v>
      </c>
      <c r="X1845" s="200">
        <f>_xll.qlCalendarAdvance(Calendar,X1844,W1845,"f",FALSE)</f>
        <v>51756</v>
      </c>
      <c r="Y1845" s="204">
        <f>_xll.qlCalendarAdvance(Calendar,X1845,NDays&amp;"D")</f>
        <v>51760</v>
      </c>
      <c r="Z1845" s="205">
        <v>3.5975856410916052E-2</v>
      </c>
      <c r="AA1845" s="207">
        <v>3.593226426353624E-2</v>
      </c>
    </row>
    <row r="1846" spans="19:27" x14ac:dyDescent="0.2">
      <c r="S1846" s="165"/>
      <c r="T1846" s="166"/>
      <c r="W1846" s="199" t="str">
        <f t="shared" si="37"/>
        <v>1w</v>
      </c>
      <c r="X1846" s="200">
        <f>_xll.qlCalendarAdvance(Calendar,X1845,W1846,"f",FALSE)</f>
        <v>51763</v>
      </c>
      <c r="Y1846" s="204">
        <f>_xll.qlCalendarAdvance(Calendar,X1846,NDays&amp;"D")</f>
        <v>51767</v>
      </c>
      <c r="Z1846" s="205">
        <v>3.5971124427641499E-2</v>
      </c>
      <c r="AA1846" s="207">
        <v>3.5927535506390385E-2</v>
      </c>
    </row>
    <row r="1847" spans="19:27" x14ac:dyDescent="0.2">
      <c r="S1847" s="165"/>
      <c r="T1847" s="166"/>
      <c r="W1847" s="199" t="str">
        <f t="shared" si="37"/>
        <v>1w</v>
      </c>
      <c r="X1847" s="200">
        <f>_xll.qlCalendarAdvance(Calendar,X1846,W1847,"f",FALSE)</f>
        <v>51770</v>
      </c>
      <c r="Y1847" s="204">
        <f>_xll.qlCalendarAdvance(Calendar,X1847,NDays&amp;"D")</f>
        <v>51774</v>
      </c>
      <c r="Z1847" s="205">
        <v>3.5967856137454027E-2</v>
      </c>
      <c r="AA1847" s="207">
        <v>3.5922812599125109E-2</v>
      </c>
    </row>
    <row r="1848" spans="19:27" x14ac:dyDescent="0.2">
      <c r="S1848" s="165"/>
      <c r="T1848" s="166"/>
      <c r="W1848" s="199" t="str">
        <f t="shared" si="37"/>
        <v>1w</v>
      </c>
      <c r="X1848" s="200">
        <f>_xll.qlCalendarAdvance(Calendar,X1847,W1848,"f",FALSE)</f>
        <v>51777</v>
      </c>
      <c r="Y1848" s="204">
        <f>_xll.qlCalendarAdvance(Calendar,X1848,NDays&amp;"D")</f>
        <v>51781</v>
      </c>
      <c r="Z1848" s="205">
        <v>3.596313583979676E-2</v>
      </c>
      <c r="AA1848" s="207">
        <v>3.591809554182035E-2</v>
      </c>
    </row>
    <row r="1849" spans="19:27" x14ac:dyDescent="0.2">
      <c r="S1849" s="165"/>
      <c r="T1849" s="166"/>
      <c r="W1849" s="199" t="str">
        <f t="shared" si="37"/>
        <v>1w</v>
      </c>
      <c r="X1849" s="200">
        <f>_xll.qlCalendarAdvance(Calendar,X1848,W1849,"f",FALSE)</f>
        <v>51784</v>
      </c>
      <c r="Y1849" s="204">
        <f>_xll.qlCalendarAdvance(Calendar,X1849,NDays&amp;"D")</f>
        <v>51788</v>
      </c>
      <c r="Z1849" s="205">
        <v>3.5957748400752207E-2</v>
      </c>
      <c r="AA1849" s="207">
        <v>3.5913384334316234E-2</v>
      </c>
    </row>
    <row r="1850" spans="19:27" x14ac:dyDescent="0.2">
      <c r="S1850" s="165"/>
      <c r="T1850" s="166"/>
      <c r="W1850" s="199" t="str">
        <f t="shared" si="37"/>
        <v>1w</v>
      </c>
      <c r="X1850" s="200">
        <f>_xll.qlCalendarAdvance(Calendar,X1849,W1850,"f",FALSE)</f>
        <v>51791</v>
      </c>
      <c r="Y1850" s="204">
        <f>_xll.qlCalendarAdvance(Calendar,X1850,NDays&amp;"D")</f>
        <v>51795</v>
      </c>
      <c r="Z1850" s="205">
        <v>3.5953712852255543E-2</v>
      </c>
      <c r="AA1850" s="207">
        <v>3.5908678976612762E-2</v>
      </c>
    </row>
    <row r="1851" spans="19:27" x14ac:dyDescent="0.2">
      <c r="S1851" s="165"/>
      <c r="T1851" s="166"/>
      <c r="W1851" s="199" t="str">
        <f t="shared" si="37"/>
        <v>1w</v>
      </c>
      <c r="X1851" s="200">
        <f>_xll.qlCalendarAdvance(Calendar,X1850,W1851,"f",FALSE)</f>
        <v>51798</v>
      </c>
      <c r="Y1851" s="204">
        <f>_xll.qlCalendarAdvance(Calendar,X1851,NDays&amp;"D")</f>
        <v>51802</v>
      </c>
      <c r="Z1851" s="205">
        <v>3.5950467876408321E-2</v>
      </c>
      <c r="AA1851" s="207">
        <v>3.5903979468949743E-2</v>
      </c>
    </row>
    <row r="1852" spans="19:27" x14ac:dyDescent="0.2">
      <c r="S1852" s="165"/>
      <c r="T1852" s="166"/>
      <c r="W1852" s="199" t="str">
        <f t="shared" si="37"/>
        <v>1w</v>
      </c>
      <c r="X1852" s="200">
        <f>_xll.qlCalendarAdvance(Calendar,X1851,W1852,"f",FALSE)</f>
        <v>51805</v>
      </c>
      <c r="Y1852" s="204">
        <f>_xll.qlCalendarAdvance(Calendar,X1852,NDays&amp;"D")</f>
        <v>51809</v>
      </c>
      <c r="Z1852" s="205">
        <v>3.5942855768990256E-2</v>
      </c>
      <c r="AA1852" s="207">
        <v>3.5899285811007431E-2</v>
      </c>
    </row>
    <row r="1853" spans="19:27" x14ac:dyDescent="0.2">
      <c r="S1853" s="165"/>
      <c r="T1853" s="166"/>
      <c r="W1853" s="199" t="str">
        <f t="shared" si="37"/>
        <v>1w</v>
      </c>
      <c r="X1853" s="200">
        <f>_xll.qlCalendarAdvance(Calendar,X1852,W1853,"f",FALSE)</f>
        <v>51812</v>
      </c>
      <c r="Y1853" s="204">
        <f>_xll.qlCalendarAdvance(Calendar,X1853,NDays&amp;"D")</f>
        <v>51816</v>
      </c>
      <c r="Z1853" s="205">
        <v>3.5937495216055382E-2</v>
      </c>
      <c r="AA1853" s="207">
        <v>3.5894598003105571E-2</v>
      </c>
    </row>
    <row r="1854" spans="19:27" x14ac:dyDescent="0.2">
      <c r="S1854" s="165"/>
      <c r="T1854" s="166"/>
      <c r="W1854" s="199" t="str">
        <f t="shared" si="37"/>
        <v>1w</v>
      </c>
      <c r="X1854" s="200">
        <f>_xll.qlCalendarAdvance(Calendar,X1853,W1854,"f",FALSE)</f>
        <v>51819</v>
      </c>
      <c r="Y1854" s="204">
        <f>_xll.qlCalendarAdvance(Calendar,X1854,NDays&amp;"D")</f>
        <v>51823</v>
      </c>
      <c r="Z1854" s="205">
        <v>3.5933479831561144E-2</v>
      </c>
      <c r="AA1854" s="207">
        <v>3.5889916045004355E-2</v>
      </c>
    </row>
    <row r="1855" spans="19:27" x14ac:dyDescent="0.2">
      <c r="S1855" s="165"/>
      <c r="T1855" s="166"/>
      <c r="W1855" s="199" t="str">
        <f t="shared" si="37"/>
        <v>1w</v>
      </c>
      <c r="X1855" s="200">
        <f>_xll.qlCalendarAdvance(Calendar,X1854,W1855,"f",FALSE)</f>
        <v>51826</v>
      </c>
      <c r="Y1855" s="204">
        <f>_xll.qlCalendarAdvance(Calendar,X1855,NDays&amp;"D")</f>
        <v>51830</v>
      </c>
      <c r="Z1855" s="205">
        <v>3.5931715617035509E-2</v>
      </c>
      <c r="AA1855" s="207">
        <v>3.5885239936783719E-2</v>
      </c>
    </row>
    <row r="1856" spans="19:27" x14ac:dyDescent="0.2">
      <c r="S1856" s="165"/>
      <c r="T1856" s="166"/>
      <c r="W1856" s="199" t="str">
        <f t="shared" si="37"/>
        <v>1w</v>
      </c>
      <c r="X1856" s="200">
        <f>_xll.qlCalendarAdvance(Calendar,X1855,W1856,"f",FALSE)</f>
        <v>51833</v>
      </c>
      <c r="Y1856" s="204">
        <f>_xll.qlCalendarAdvance(Calendar,X1856,NDays&amp;"D")</f>
        <v>51837</v>
      </c>
      <c r="Z1856" s="205">
        <v>3.5925584751403158E-2</v>
      </c>
      <c r="AA1856" s="207">
        <v>3.5880569678523599E-2</v>
      </c>
    </row>
    <row r="1857" spans="19:27" x14ac:dyDescent="0.2">
      <c r="S1857" s="165"/>
      <c r="T1857" s="166"/>
      <c r="W1857" s="199" t="str">
        <f t="shared" si="37"/>
        <v>1w</v>
      </c>
      <c r="X1857" s="200">
        <f>_xll.qlCalendarAdvance(Calendar,X1856,W1857,"f",FALSE)</f>
        <v>51840</v>
      </c>
      <c r="Y1857" s="204">
        <f>_xll.qlCalendarAdvance(Calendar,X1857,NDays&amp;"D")</f>
        <v>51844</v>
      </c>
      <c r="Z1857" s="205">
        <v>3.5920917276856944E-2</v>
      </c>
      <c r="AA1857" s="207">
        <v>3.5875905270064123E-2</v>
      </c>
    </row>
    <row r="1858" spans="19:27" x14ac:dyDescent="0.2">
      <c r="S1858" s="165"/>
      <c r="T1858" s="166"/>
      <c r="W1858" s="199" t="str">
        <f t="shared" si="37"/>
        <v>1w</v>
      </c>
      <c r="X1858" s="200">
        <f>_xll.qlCalendarAdvance(Calendar,X1857,W1858,"f",FALSE)</f>
        <v>51847</v>
      </c>
      <c r="Y1858" s="204">
        <f>_xll.qlCalendarAdvance(Calendar,X1858,NDays&amp;"D")</f>
        <v>51851</v>
      </c>
      <c r="Z1858" s="205">
        <v>3.591625567151005E-2</v>
      </c>
      <c r="AA1858" s="207">
        <v>3.5871246711565163E-2</v>
      </c>
    </row>
    <row r="1859" spans="19:27" x14ac:dyDescent="0.2">
      <c r="S1859" s="165"/>
      <c r="T1859" s="166"/>
      <c r="W1859" s="199" t="str">
        <f t="shared" si="37"/>
        <v>1w</v>
      </c>
      <c r="X1859" s="200">
        <f>_xll.qlCalendarAdvance(Calendar,X1858,W1859,"f",FALSE)</f>
        <v>51854</v>
      </c>
      <c r="Y1859" s="204">
        <f>_xll.qlCalendarAdvance(Calendar,X1859,NDays&amp;"D")</f>
        <v>51858</v>
      </c>
      <c r="Z1859" s="205">
        <v>3.5911599935357322E-2</v>
      </c>
      <c r="AA1859" s="207">
        <v>3.5868174905342443E-2</v>
      </c>
    </row>
    <row r="1860" spans="19:27" x14ac:dyDescent="0.2">
      <c r="S1860" s="165"/>
      <c r="T1860" s="166"/>
      <c r="W1860" s="199" t="str">
        <f t="shared" si="37"/>
        <v>1w</v>
      </c>
      <c r="X1860" s="200">
        <f>_xll.qlCalendarAdvance(Calendar,X1859,W1860,"f",FALSE)</f>
        <v>51862</v>
      </c>
      <c r="Y1860" s="204">
        <f>_xll.qlCalendarAdvance(Calendar,X1860,NDays&amp;"D")</f>
        <v>51866</v>
      </c>
      <c r="Z1860" s="205">
        <v>3.5906286280795799E-2</v>
      </c>
      <c r="AA1860" s="207">
        <v>3.5863529628272772E-2</v>
      </c>
    </row>
    <row r="1861" spans="19:27" x14ac:dyDescent="0.2">
      <c r="S1861" s="165"/>
      <c r="T1861" s="166"/>
      <c r="W1861" s="199" t="str">
        <f t="shared" si="37"/>
        <v>1w</v>
      </c>
      <c r="X1861" s="200">
        <f>_xll.qlCalendarAdvance(Calendar,X1860,W1861,"f",FALSE)</f>
        <v>51869</v>
      </c>
      <c r="Y1861" s="204">
        <f>_xll.qlCalendarAdvance(Calendar,X1861,NDays&amp;"D")</f>
        <v>51873</v>
      </c>
      <c r="Z1861" s="205">
        <v>3.5901643121460075E-2</v>
      </c>
      <c r="AA1861" s="207">
        <v>3.5856643611396066E-2</v>
      </c>
    </row>
    <row r="1862" spans="19:27" x14ac:dyDescent="0.2">
      <c r="S1862" s="165"/>
      <c r="T1862" s="166"/>
      <c r="W1862" s="199" t="str">
        <f t="shared" si="37"/>
        <v>1w</v>
      </c>
      <c r="X1862" s="200">
        <f>_xll.qlCalendarAdvance(Calendar,X1861,W1862,"f",FALSE)</f>
        <v>51876</v>
      </c>
      <c r="Y1862" s="204">
        <f>_xll.qlCalendarAdvance(Calendar,X1862,NDays&amp;"D")</f>
        <v>51880</v>
      </c>
      <c r="Z1862" s="205">
        <v>3.5897005831292725E-2</v>
      </c>
      <c r="AA1862" s="207">
        <v>3.5852009288070974E-2</v>
      </c>
    </row>
    <row r="1863" spans="19:27" x14ac:dyDescent="0.2">
      <c r="S1863" s="165"/>
      <c r="T1863" s="166"/>
      <c r="W1863" s="199" t="str">
        <f t="shared" si="37"/>
        <v>1w</v>
      </c>
      <c r="X1863" s="200">
        <f>_xll.qlCalendarAdvance(Calendar,X1862,W1863,"f",FALSE)</f>
        <v>51883</v>
      </c>
      <c r="Y1863" s="204">
        <f>_xll.qlCalendarAdvance(Calendar,X1863,NDays&amp;"D")</f>
        <v>51887</v>
      </c>
      <c r="Z1863" s="205">
        <v>3.5892374410291181E-2</v>
      </c>
      <c r="AA1863" s="207">
        <v>3.5847380814626462E-2</v>
      </c>
    </row>
    <row r="1864" spans="19:27" x14ac:dyDescent="0.2">
      <c r="S1864" s="165"/>
      <c r="T1864" s="166"/>
      <c r="W1864" s="199" t="str">
        <f t="shared" si="37"/>
        <v>1w</v>
      </c>
      <c r="X1864" s="200">
        <f>_xll.qlCalendarAdvance(Calendar,X1863,W1864,"f",FALSE)</f>
        <v>51890</v>
      </c>
      <c r="Y1864" s="204">
        <f>_xll.qlCalendarAdvance(Calendar,X1864,NDays&amp;"D")</f>
        <v>51894</v>
      </c>
      <c r="Z1864" s="205">
        <v>3.5887748858445111E-2</v>
      </c>
      <c r="AA1864" s="207">
        <v>3.5842758191062529E-2</v>
      </c>
    </row>
    <row r="1865" spans="19:27" x14ac:dyDescent="0.2">
      <c r="S1865" s="165"/>
      <c r="T1865" s="166"/>
      <c r="W1865" s="199" t="str">
        <f t="shared" si="37"/>
        <v>1w</v>
      </c>
      <c r="X1865" s="200">
        <f>_xll.qlCalendarAdvance(Calendar,X1864,W1865,"f",FALSE)</f>
        <v>51897</v>
      </c>
      <c r="Y1865" s="204">
        <f>_xll.qlCalendarAdvance(Calendar,X1865,NDays&amp;"D")</f>
        <v>51901</v>
      </c>
      <c r="Z1865" s="205">
        <v>3.5878758490595394E-2</v>
      </c>
      <c r="AA1865" s="207">
        <v>3.5838141417379177E-2</v>
      </c>
    </row>
    <row r="1866" spans="19:27" x14ac:dyDescent="0.2">
      <c r="S1866" s="165"/>
      <c r="T1866" s="166"/>
      <c r="W1866" s="199" t="str">
        <f t="shared" si="37"/>
        <v>1w</v>
      </c>
      <c r="X1866" s="200">
        <f>_xll.qlCalendarAdvance(Calendar,X1865,W1866,"f",FALSE)</f>
        <v>51904</v>
      </c>
      <c r="Y1866" s="204">
        <f>_xll.qlCalendarAdvance(Calendar,X1866,NDays&amp;"D")</f>
        <v>51908</v>
      </c>
      <c r="Z1866" s="205">
        <v>3.5874144797011072E-2</v>
      </c>
      <c r="AA1866" s="207">
        <v>3.5833530493496468E-2</v>
      </c>
    </row>
    <row r="1867" spans="19:27" x14ac:dyDescent="0.2">
      <c r="S1867" s="165"/>
      <c r="T1867" s="166"/>
      <c r="W1867" s="199" t="str">
        <f t="shared" si="37"/>
        <v>1w</v>
      </c>
      <c r="X1867" s="200">
        <f>_xll.qlCalendarAdvance(Calendar,X1866,W1867,"f",FALSE)</f>
        <v>51911</v>
      </c>
      <c r="Y1867" s="204">
        <f>_xll.qlCalendarAdvance(Calendar,X1867,NDays&amp;"D")</f>
        <v>51915</v>
      </c>
      <c r="Z1867" s="205">
        <v>3.5869536970636329E-2</v>
      </c>
      <c r="AA1867" s="207">
        <v>3.5828925419654212E-2</v>
      </c>
    </row>
    <row r="1868" spans="19:27" x14ac:dyDescent="0.2">
      <c r="S1868" s="165"/>
      <c r="T1868" s="166"/>
      <c r="W1868" s="199" t="str">
        <f t="shared" si="37"/>
        <v>1w</v>
      </c>
      <c r="X1868" s="200">
        <f>_xll.qlCalendarAdvance(Calendar,X1867,W1868,"f",FALSE)</f>
        <v>51918</v>
      </c>
      <c r="Y1868" s="204">
        <f>_xll.qlCalendarAdvance(Calendar,X1868,NDays&amp;"D")</f>
        <v>51922</v>
      </c>
      <c r="Z1868" s="205">
        <v>3.5864935011462595E-2</v>
      </c>
      <c r="AA1868" s="207">
        <v>3.5824326195532663E-2</v>
      </c>
    </row>
    <row r="1869" spans="19:27" x14ac:dyDescent="0.2">
      <c r="S1869" s="165"/>
      <c r="T1869" s="166"/>
      <c r="W1869" s="199" t="str">
        <f t="shared" si="37"/>
        <v>1w</v>
      </c>
      <c r="X1869" s="200">
        <f>_xll.qlCalendarAdvance(Calendar,X1868,W1869,"f",FALSE)</f>
        <v>51925</v>
      </c>
      <c r="Y1869" s="204">
        <f>_xll.qlCalendarAdvance(Calendar,X1869,NDays&amp;"D")</f>
        <v>51929</v>
      </c>
      <c r="Z1869" s="205">
        <v>3.5870537395423341E-2</v>
      </c>
      <c r="AA1869" s="207">
        <v>3.5819732821451566E-2</v>
      </c>
    </row>
    <row r="1870" spans="19:27" x14ac:dyDescent="0.2">
      <c r="S1870" s="165"/>
      <c r="T1870" s="166"/>
      <c r="W1870" s="199" t="str">
        <f t="shared" si="37"/>
        <v>1w</v>
      </c>
      <c r="X1870" s="200">
        <f>_xll.qlCalendarAdvance(Calendar,X1869,W1870,"f",FALSE)</f>
        <v>51932</v>
      </c>
      <c r="Y1870" s="204">
        <f>_xll.qlCalendarAdvance(Calendar,X1870,NDays&amp;"D")</f>
        <v>51936</v>
      </c>
      <c r="Z1870" s="205">
        <v>3.5860118799257414E-2</v>
      </c>
      <c r="AA1870" s="207">
        <v>3.5815145297091178E-2</v>
      </c>
    </row>
    <row r="1871" spans="19:27" x14ac:dyDescent="0.2">
      <c r="S1871" s="165"/>
      <c r="T1871" s="166"/>
      <c r="W1871" s="199" t="str">
        <f t="shared" si="37"/>
        <v>1w</v>
      </c>
      <c r="X1871" s="200">
        <f>_xll.qlCalendarAdvance(Calendar,X1870,W1871,"f",FALSE)</f>
        <v>51939</v>
      </c>
      <c r="Y1871" s="204">
        <f>_xll.qlCalendarAdvance(Calendar,X1871,NDays&amp;"D")</f>
        <v>51943</v>
      </c>
      <c r="Z1871" s="205">
        <v>3.5855534331311507E-2</v>
      </c>
      <c r="AA1871" s="207">
        <v>3.5810563622771241E-2</v>
      </c>
    </row>
    <row r="1872" spans="19:27" x14ac:dyDescent="0.2">
      <c r="S1872" s="165"/>
      <c r="T1872" s="166"/>
      <c r="W1872" s="199" t="str">
        <f t="shared" si="37"/>
        <v>1w</v>
      </c>
      <c r="X1872" s="200">
        <f>_xll.qlCalendarAdvance(Calendar,X1871,W1872,"f",FALSE)</f>
        <v>51946</v>
      </c>
      <c r="Y1872" s="204">
        <f>_xll.qlCalendarAdvance(Calendar,X1872,NDays&amp;"D")</f>
        <v>51950</v>
      </c>
      <c r="Z1872" s="205">
        <v>3.5850955732461769E-2</v>
      </c>
      <c r="AA1872" s="207">
        <v>3.5805987798251948E-2</v>
      </c>
    </row>
    <row r="1873" spans="19:27" x14ac:dyDescent="0.2">
      <c r="S1873" s="165"/>
      <c r="T1873" s="166"/>
      <c r="W1873" s="199" t="str">
        <f t="shared" si="37"/>
        <v>1w</v>
      </c>
      <c r="X1873" s="200">
        <f>_xll.qlCalendarAdvance(Calendar,X1872,W1873,"f",FALSE)</f>
        <v>51953</v>
      </c>
      <c r="Y1873" s="204">
        <f>_xll.qlCalendarAdvance(Calendar,X1873,NDays&amp;"D")</f>
        <v>51957</v>
      </c>
      <c r="Z1873" s="205">
        <v>3.584492631634717E-2</v>
      </c>
      <c r="AA1873" s="207">
        <v>3.5807234285741174E-2</v>
      </c>
    </row>
    <row r="1874" spans="19:27" x14ac:dyDescent="0.2">
      <c r="S1874" s="165"/>
      <c r="T1874" s="166"/>
      <c r="W1874" s="199" t="str">
        <f t="shared" si="37"/>
        <v>1w</v>
      </c>
      <c r="X1874" s="200">
        <f>_xll.qlCalendarAdvance(Calendar,X1873,W1874,"f",FALSE)</f>
        <v>51964</v>
      </c>
      <c r="Y1874" s="204">
        <f>_xll.qlCalendarAdvance(Calendar,X1874,NDays&amp;"D")</f>
        <v>51966</v>
      </c>
      <c r="Z1874" s="205">
        <v>3.5841969137769825E-2</v>
      </c>
      <c r="AA1874" s="207">
        <v>3.579424825403521E-2</v>
      </c>
    </row>
    <row r="1875" spans="19:27" x14ac:dyDescent="0.2">
      <c r="S1875" s="165"/>
      <c r="T1875" s="166"/>
      <c r="W1875" s="199" t="str">
        <f t="shared" si="37"/>
        <v>1w</v>
      </c>
      <c r="X1875" s="200">
        <f>_xll.qlCalendarAdvance(Calendar,X1874,W1875,"f",FALSE)</f>
        <v>51971</v>
      </c>
      <c r="Y1875" s="204">
        <f>_xll.qlCalendarAdvance(Calendar,X1875,NDays&amp;"D")</f>
        <v>51973</v>
      </c>
      <c r="Z1875" s="205">
        <v>3.5837409789118702E-2</v>
      </c>
      <c r="AA1875" s="207">
        <v>3.5789693321763849E-2</v>
      </c>
    </row>
    <row r="1876" spans="19:27" x14ac:dyDescent="0.2">
      <c r="S1876" s="165"/>
      <c r="T1876" s="166"/>
      <c r="W1876" s="199" t="str">
        <f t="shared" si="37"/>
        <v>1w</v>
      </c>
      <c r="X1876" s="200">
        <f>_xll.qlCalendarAdvance(Calendar,X1875,W1876,"f",FALSE)</f>
        <v>51978</v>
      </c>
      <c r="Y1876" s="204">
        <f>_xll.qlCalendarAdvance(Calendar,X1876,NDays&amp;"D")</f>
        <v>51980</v>
      </c>
      <c r="Z1876" s="205">
        <v>3.5834313071443157E-2</v>
      </c>
      <c r="AA1876" s="207">
        <v>3.5785144239612876E-2</v>
      </c>
    </row>
    <row r="1877" spans="19:27" x14ac:dyDescent="0.2">
      <c r="S1877" s="165"/>
      <c r="T1877" s="166"/>
      <c r="W1877" s="199" t="str">
        <f t="shared" ref="W1877:W1940" si="38">W1876</f>
        <v>1w</v>
      </c>
      <c r="X1877" s="200">
        <f>_xll.qlCalendarAdvance(Calendar,X1876,W1877,"f",FALSE)</f>
        <v>51985</v>
      </c>
      <c r="Y1877" s="204">
        <f>_xll.qlCalendarAdvance(Calendar,X1877,NDays&amp;"D")</f>
        <v>51987</v>
      </c>
      <c r="Z1877" s="205">
        <v>3.5828308700948108E-2</v>
      </c>
      <c r="AA1877" s="207">
        <v>3.5779952451573394E-2</v>
      </c>
    </row>
    <row r="1878" spans="19:27" x14ac:dyDescent="0.2">
      <c r="S1878" s="165"/>
      <c r="T1878" s="166"/>
      <c r="W1878" s="199" t="str">
        <f t="shared" si="38"/>
        <v>1w</v>
      </c>
      <c r="X1878" s="200">
        <f>_xll.qlCalendarAdvance(Calendar,X1877,W1878,"f",FALSE)</f>
        <v>51992</v>
      </c>
      <c r="Y1878" s="204">
        <f>_xll.qlCalendarAdvance(Calendar,X1878,NDays&amp;"D")</f>
        <v>51994</v>
      </c>
      <c r="Z1878" s="205">
        <v>3.582376696141365E-2</v>
      </c>
      <c r="AA1878" s="207">
        <v>3.5776063624712862E-2</v>
      </c>
    </row>
    <row r="1879" spans="19:27" x14ac:dyDescent="0.2">
      <c r="S1879" s="165"/>
      <c r="T1879" s="166"/>
      <c r="W1879" s="199" t="str">
        <f t="shared" si="38"/>
        <v>1w</v>
      </c>
      <c r="X1879" s="200">
        <f>_xll.qlCalendarAdvance(Calendar,X1878,W1879,"f",FALSE)</f>
        <v>51999</v>
      </c>
      <c r="Y1879" s="204">
        <f>_xll.qlCalendarAdvance(Calendar,X1879,NDays&amp;"D")</f>
        <v>52001</v>
      </c>
      <c r="Z1879" s="205">
        <v>3.5819231091568926E-2</v>
      </c>
      <c r="AA1879" s="207">
        <v>3.5771532092203628E-2</v>
      </c>
    </row>
    <row r="1880" spans="19:27" x14ac:dyDescent="0.2">
      <c r="S1880" s="165"/>
      <c r="T1880" s="166"/>
      <c r="W1880" s="199" t="str">
        <f t="shared" si="38"/>
        <v>1w</v>
      </c>
      <c r="X1880" s="200">
        <f>_xll.qlCalendarAdvance(Calendar,X1879,W1880,"f",FALSE)</f>
        <v>52006</v>
      </c>
      <c r="Y1880" s="204">
        <f>_xll.qlCalendarAdvance(Calendar,X1880,NDays&amp;"D")</f>
        <v>52008</v>
      </c>
      <c r="Z1880" s="205">
        <v>3.5814701091406442E-2</v>
      </c>
      <c r="AA1880" s="207">
        <v>3.5766360360840466E-2</v>
      </c>
    </row>
    <row r="1881" spans="19:27" x14ac:dyDescent="0.2">
      <c r="S1881" s="165"/>
      <c r="T1881" s="166"/>
      <c r="W1881" s="199" t="str">
        <f t="shared" si="38"/>
        <v>1w</v>
      </c>
      <c r="X1881" s="200">
        <f>_xll.qlCalendarAdvance(Calendar,X1880,W1881,"f",FALSE)</f>
        <v>52013</v>
      </c>
      <c r="Y1881" s="204">
        <f>_xll.qlCalendarAdvance(Calendar,X1881,NDays&amp;"D")</f>
        <v>52015</v>
      </c>
      <c r="Z1881" s="205">
        <v>3.5810176960918705E-2</v>
      </c>
      <c r="AA1881" s="207">
        <v>3.5762486576587094E-2</v>
      </c>
    </row>
    <row r="1882" spans="19:27" x14ac:dyDescent="0.2">
      <c r="S1882" s="165"/>
      <c r="T1882" s="166"/>
      <c r="W1882" s="199" t="str">
        <f t="shared" si="38"/>
        <v>1w</v>
      </c>
      <c r="X1882" s="200">
        <f>_xll.qlCalendarAdvance(Calendar,X1881,W1882,"f",FALSE)</f>
        <v>52020</v>
      </c>
      <c r="Y1882" s="204">
        <f>_xll.qlCalendarAdvance(Calendar,X1882,NDays&amp;"D")</f>
        <v>52022</v>
      </c>
      <c r="Z1882" s="205">
        <v>3.5805658700103216E-2</v>
      </c>
      <c r="AA1882" s="207">
        <v>3.5757972593639664E-2</v>
      </c>
    </row>
    <row r="1883" spans="19:27" x14ac:dyDescent="0.2">
      <c r="S1883" s="165"/>
      <c r="T1883" s="166"/>
      <c r="W1883" s="199" t="str">
        <f t="shared" si="38"/>
        <v>1w</v>
      </c>
      <c r="X1883" s="200">
        <f>_xll.qlCalendarAdvance(Calendar,X1882,W1883,"f",FALSE)</f>
        <v>52027</v>
      </c>
      <c r="Y1883" s="204">
        <f>_xll.qlCalendarAdvance(Calendar,X1883,NDays&amp;"D")</f>
        <v>52029</v>
      </c>
      <c r="Z1883" s="205">
        <v>3.5801146308949983E-2</v>
      </c>
      <c r="AA1883" s="207">
        <v>3.5753464460572815E-2</v>
      </c>
    </row>
    <row r="1884" spans="19:27" x14ac:dyDescent="0.2">
      <c r="S1884" s="165"/>
      <c r="T1884" s="166"/>
      <c r="W1884" s="199" t="str">
        <f t="shared" si="38"/>
        <v>1w</v>
      </c>
      <c r="X1884" s="200">
        <f>_xll.qlCalendarAdvance(Calendar,X1883,W1884,"f",FALSE)</f>
        <v>52034</v>
      </c>
      <c r="Y1884" s="204">
        <f>_xll.qlCalendarAdvance(Calendar,X1884,NDays&amp;"D")</f>
        <v>52036</v>
      </c>
      <c r="Z1884" s="205">
        <v>3.5796639787446516E-2</v>
      </c>
      <c r="AA1884" s="207">
        <v>3.5748962177306609E-2</v>
      </c>
    </row>
    <row r="1885" spans="19:27" x14ac:dyDescent="0.2">
      <c r="S1885" s="165"/>
      <c r="T1885" s="166"/>
      <c r="W1885" s="199" t="str">
        <f t="shared" si="38"/>
        <v>1w</v>
      </c>
      <c r="X1885" s="200">
        <f>_xll.qlCalendarAdvance(Calendar,X1884,W1885,"f",FALSE)</f>
        <v>52041</v>
      </c>
      <c r="Y1885" s="204">
        <f>_xll.qlCalendarAdvance(Calendar,X1885,NDays&amp;"D")</f>
        <v>52043</v>
      </c>
      <c r="Z1885" s="205">
        <v>3.5792139135595313E-2</v>
      </c>
      <c r="AA1885" s="207">
        <v>3.5744465744080856E-2</v>
      </c>
    </row>
    <row r="1886" spans="19:27" x14ac:dyDescent="0.2">
      <c r="S1886" s="165"/>
      <c r="T1886" s="166"/>
      <c r="W1886" s="199" t="str">
        <f t="shared" si="38"/>
        <v>1w</v>
      </c>
      <c r="X1886" s="200">
        <f>_xll.qlCalendarAdvance(Calendar,X1885,W1886,"f",FALSE)</f>
        <v>52048</v>
      </c>
      <c r="Y1886" s="204">
        <f>_xll.qlCalendarAdvance(Calendar,X1886,NDays&amp;"D")</f>
        <v>52050</v>
      </c>
      <c r="Z1886" s="205">
        <v>3.5787644353381387E-2</v>
      </c>
      <c r="AA1886" s="207">
        <v>3.573997516057581E-2</v>
      </c>
    </row>
    <row r="1887" spans="19:27" x14ac:dyDescent="0.2">
      <c r="S1887" s="165"/>
      <c r="T1887" s="166"/>
      <c r="W1887" s="199" t="str">
        <f t="shared" si="38"/>
        <v>1w</v>
      </c>
      <c r="X1887" s="200">
        <f>_xll.qlCalendarAdvance(Calendar,X1886,W1887,"f",FALSE)</f>
        <v>52055</v>
      </c>
      <c r="Y1887" s="204">
        <f>_xll.qlCalendarAdvance(Calendar,X1887,NDays&amp;"D")</f>
        <v>52057</v>
      </c>
      <c r="Z1887" s="205">
        <v>3.5783155440804737E-2</v>
      </c>
      <c r="AA1887" s="207">
        <v>3.5735490426951344E-2</v>
      </c>
    </row>
    <row r="1888" spans="19:27" x14ac:dyDescent="0.2">
      <c r="S1888" s="165"/>
      <c r="T1888" s="166"/>
      <c r="W1888" s="199" t="str">
        <f t="shared" si="38"/>
        <v>1w</v>
      </c>
      <c r="X1888" s="200">
        <f>_xll.qlCalendarAdvance(Calendar,X1887,W1888,"f",FALSE)</f>
        <v>52062</v>
      </c>
      <c r="Y1888" s="204">
        <f>_xll.qlCalendarAdvance(Calendar,X1888,NDays&amp;"D")</f>
        <v>52064</v>
      </c>
      <c r="Z1888" s="205">
        <v>3.5778672397852873E-2</v>
      </c>
      <c r="AA1888" s="207">
        <v>3.5731011543207458E-2</v>
      </c>
    </row>
    <row r="1889" spans="19:27" x14ac:dyDescent="0.2">
      <c r="S1889" s="165"/>
      <c r="T1889" s="166"/>
      <c r="W1889" s="199" t="str">
        <f t="shared" si="38"/>
        <v>1w</v>
      </c>
      <c r="X1889" s="200">
        <f>_xll.qlCalendarAdvance(Calendar,X1888,W1889,"f",FALSE)</f>
        <v>52069</v>
      </c>
      <c r="Y1889" s="204">
        <f>_xll.qlCalendarAdvance(Calendar,X1889,NDays&amp;"D")</f>
        <v>52071</v>
      </c>
      <c r="Z1889" s="205">
        <v>3.5775651611649195E-2</v>
      </c>
      <c r="AA1889" s="207">
        <v>3.5726538509344152E-2</v>
      </c>
    </row>
    <row r="1890" spans="19:27" x14ac:dyDescent="0.2">
      <c r="S1890" s="165"/>
      <c r="T1890" s="166"/>
      <c r="W1890" s="199" t="str">
        <f t="shared" si="38"/>
        <v>1w</v>
      </c>
      <c r="X1890" s="200">
        <f>_xll.qlCalendarAdvance(Calendar,X1889,W1890,"f",FALSE)</f>
        <v>52076</v>
      </c>
      <c r="Y1890" s="204">
        <f>_xll.qlCalendarAdvance(Calendar,X1890,NDays&amp;"D")</f>
        <v>52078</v>
      </c>
      <c r="Z1890" s="205">
        <v>3.5765355396880139E-2</v>
      </c>
      <c r="AA1890" s="207">
        <v>3.5722071325441362E-2</v>
      </c>
    </row>
    <row r="1891" spans="19:27" x14ac:dyDescent="0.2">
      <c r="S1891" s="165"/>
      <c r="T1891" s="166"/>
      <c r="W1891" s="199" t="str">
        <f t="shared" si="38"/>
        <v>1w</v>
      </c>
      <c r="X1891" s="200">
        <f>_xll.qlCalendarAdvance(Calendar,X1890,W1891,"f",FALSE)</f>
        <v>52083</v>
      </c>
      <c r="Y1891" s="204">
        <f>_xll.qlCalendarAdvance(Calendar,X1891,NDays&amp;"D")</f>
        <v>52085</v>
      </c>
      <c r="Z1891" s="205">
        <v>3.5765258486688545E-2</v>
      </c>
      <c r="AA1891" s="207">
        <v>3.5717609991339216E-2</v>
      </c>
    </row>
    <row r="1892" spans="19:27" x14ac:dyDescent="0.2">
      <c r="S1892" s="165"/>
      <c r="T1892" s="166"/>
      <c r="W1892" s="199" t="str">
        <f t="shared" si="38"/>
        <v>1w</v>
      </c>
      <c r="X1892" s="200">
        <f>_xll.qlCalendarAdvance(Calendar,X1891,W1892,"f",FALSE)</f>
        <v>52090</v>
      </c>
      <c r="Y1892" s="204">
        <f>_xll.qlCalendarAdvance(Calendar,X1892,NDays&amp;"D")</f>
        <v>52092</v>
      </c>
      <c r="Z1892" s="205">
        <v>3.5760798922175874E-2</v>
      </c>
      <c r="AA1892" s="207">
        <v>3.571315450711765E-2</v>
      </c>
    </row>
    <row r="1893" spans="19:27" x14ac:dyDescent="0.2">
      <c r="S1893" s="165"/>
      <c r="T1893" s="166"/>
      <c r="W1893" s="199" t="str">
        <f t="shared" si="38"/>
        <v>1w</v>
      </c>
      <c r="X1893" s="200">
        <f>_xll.qlCalendarAdvance(Calendar,X1892,W1893,"f",FALSE)</f>
        <v>52097</v>
      </c>
      <c r="Y1893" s="204">
        <f>_xll.qlCalendarAdvance(Calendar,X1893,NDays&amp;"D")</f>
        <v>52099</v>
      </c>
      <c r="Z1893" s="205">
        <v>3.5756345227253017E-2</v>
      </c>
      <c r="AA1893" s="207">
        <v>3.5708069688311639E-2</v>
      </c>
    </row>
    <row r="1894" spans="19:27" x14ac:dyDescent="0.2">
      <c r="S1894" s="165"/>
      <c r="T1894" s="166"/>
      <c r="W1894" s="199" t="str">
        <f t="shared" si="38"/>
        <v>1w</v>
      </c>
      <c r="X1894" s="200">
        <f>_xll.qlCalendarAdvance(Calendar,X1893,W1894,"f",FALSE)</f>
        <v>52104</v>
      </c>
      <c r="Y1894" s="204">
        <f>_xll.qlCalendarAdvance(Calendar,X1894,NDays&amp;"D")</f>
        <v>52106</v>
      </c>
      <c r="Z1894" s="205">
        <v>3.5751897401917476E-2</v>
      </c>
      <c r="AA1894" s="207">
        <v>3.5704261088316258E-2</v>
      </c>
    </row>
    <row r="1895" spans="19:27" x14ac:dyDescent="0.2">
      <c r="S1895" s="165"/>
      <c r="T1895" s="166"/>
      <c r="W1895" s="199" t="str">
        <f t="shared" si="38"/>
        <v>1w</v>
      </c>
      <c r="X1895" s="200">
        <f>_xll.qlCalendarAdvance(Calendar,X1894,W1895,"f",FALSE)</f>
        <v>52111</v>
      </c>
      <c r="Y1895" s="204">
        <f>_xll.qlCalendarAdvance(Calendar,X1895,NDays&amp;"D")</f>
        <v>52113</v>
      </c>
      <c r="Z1895" s="205">
        <v>3.5747455446156762E-2</v>
      </c>
      <c r="AA1895" s="207">
        <v>3.5699823153656496E-2</v>
      </c>
    </row>
    <row r="1896" spans="19:27" x14ac:dyDescent="0.2">
      <c r="S1896" s="165"/>
      <c r="T1896" s="166"/>
      <c r="W1896" s="199" t="str">
        <f t="shared" si="38"/>
        <v>1w</v>
      </c>
      <c r="X1896" s="200">
        <f>_xll.qlCalendarAdvance(Calendar,X1895,W1896,"f",FALSE)</f>
        <v>52118</v>
      </c>
      <c r="Y1896" s="204">
        <f>_xll.qlCalendarAdvance(Calendar,X1896,NDays&amp;"D")</f>
        <v>52120</v>
      </c>
      <c r="Z1896" s="205">
        <v>3.5744475590287129E-2</v>
      </c>
      <c r="AA1896" s="207">
        <v>3.5695391069037186E-2</v>
      </c>
    </row>
    <row r="1897" spans="19:27" x14ac:dyDescent="0.2">
      <c r="S1897" s="165"/>
      <c r="T1897" s="166"/>
      <c r="W1897" s="199" t="str">
        <f t="shared" si="38"/>
        <v>1w</v>
      </c>
      <c r="X1897" s="200">
        <f>_xll.qlCalendarAdvance(Calendar,X1896,W1897,"f",FALSE)</f>
        <v>52125</v>
      </c>
      <c r="Y1897" s="204">
        <f>_xll.qlCalendarAdvance(Calendar,X1897,NDays&amp;"D")</f>
        <v>52127</v>
      </c>
      <c r="Z1897" s="205">
        <v>3.5738589143344823E-2</v>
      </c>
      <c r="AA1897" s="207">
        <v>3.5690964834138583E-2</v>
      </c>
    </row>
    <row r="1898" spans="19:27" x14ac:dyDescent="0.2">
      <c r="S1898" s="165"/>
      <c r="T1898" s="166"/>
      <c r="W1898" s="199" t="str">
        <f t="shared" si="38"/>
        <v>1w</v>
      </c>
      <c r="X1898" s="200">
        <f>_xll.qlCalendarAdvance(Calendar,X1897,W1898,"f",FALSE)</f>
        <v>52132</v>
      </c>
      <c r="Y1898" s="204">
        <f>_xll.qlCalendarAdvance(Calendar,X1898,NDays&amp;"D")</f>
        <v>52134</v>
      </c>
      <c r="Z1898" s="205">
        <v>3.5734164796276113E-2</v>
      </c>
      <c r="AA1898" s="207">
        <v>3.5686544449120561E-2</v>
      </c>
    </row>
    <row r="1899" spans="19:27" x14ac:dyDescent="0.2">
      <c r="S1899" s="165"/>
      <c r="T1899" s="166"/>
      <c r="W1899" s="199" t="str">
        <f t="shared" si="38"/>
        <v>1w</v>
      </c>
      <c r="X1899" s="200">
        <f>_xll.qlCalendarAdvance(Calendar,X1898,W1899,"f",FALSE)</f>
        <v>52139</v>
      </c>
      <c r="Y1899" s="204">
        <f>_xll.qlCalendarAdvance(Calendar,X1899,NDays&amp;"D")</f>
        <v>52141</v>
      </c>
      <c r="Z1899" s="205">
        <v>3.5729746318762245E-2</v>
      </c>
      <c r="AA1899" s="207">
        <v>3.5682129914063054E-2</v>
      </c>
    </row>
    <row r="1900" spans="19:27" x14ac:dyDescent="0.2">
      <c r="S1900" s="165"/>
      <c r="T1900" s="166"/>
      <c r="W1900" s="199" t="str">
        <f t="shared" si="38"/>
        <v>1w</v>
      </c>
      <c r="X1900" s="200">
        <f>_xll.qlCalendarAdvance(Calendar,X1899,W1900,"f",FALSE)</f>
        <v>52146</v>
      </c>
      <c r="Y1900" s="204">
        <f>_xll.qlCalendarAdvance(Calendar,X1900,NDays&amp;"D")</f>
        <v>52148</v>
      </c>
      <c r="Z1900" s="205">
        <v>3.5725333710788232E-2</v>
      </c>
      <c r="AA1900" s="207">
        <v>3.5677721228806192E-2</v>
      </c>
    </row>
    <row r="1901" spans="19:27" x14ac:dyDescent="0.2">
      <c r="S1901" s="165"/>
      <c r="T1901" s="166"/>
      <c r="W1901" s="199" t="str">
        <f t="shared" si="38"/>
        <v>1w</v>
      </c>
      <c r="X1901" s="200">
        <f>_xll.qlCalendarAdvance(Calendar,X1900,W1901,"f",FALSE)</f>
        <v>52153</v>
      </c>
      <c r="Y1901" s="204">
        <f>_xll.qlCalendarAdvance(Calendar,X1901,NDays&amp;"D")</f>
        <v>52155</v>
      </c>
      <c r="Z1901" s="205">
        <v>3.5720926972354072E-2</v>
      </c>
      <c r="AA1901" s="207">
        <v>3.5673318393509845E-2</v>
      </c>
    </row>
    <row r="1902" spans="19:27" x14ac:dyDescent="0.2">
      <c r="S1902" s="165"/>
      <c r="T1902" s="166"/>
      <c r="W1902" s="199" t="str">
        <f t="shared" si="38"/>
        <v>1w</v>
      </c>
      <c r="X1902" s="200">
        <f>_xll.qlCalendarAdvance(Calendar,X1901,W1902,"f",FALSE)</f>
        <v>52160</v>
      </c>
      <c r="Y1902" s="204">
        <f>_xll.qlCalendarAdvance(Calendar,X1902,NDays&amp;"D")</f>
        <v>52162</v>
      </c>
      <c r="Z1902" s="205">
        <v>3.5716526103444779E-2</v>
      </c>
      <c r="AA1902" s="207">
        <v>3.5668921408014143E-2</v>
      </c>
    </row>
    <row r="1903" spans="19:27" x14ac:dyDescent="0.2">
      <c r="S1903" s="165"/>
      <c r="T1903" s="166"/>
      <c r="W1903" s="199" t="str">
        <f t="shared" si="38"/>
        <v>1w</v>
      </c>
      <c r="X1903" s="200">
        <f>_xll.qlCalendarAdvance(Calendar,X1902,W1903,"f",FALSE)</f>
        <v>52167</v>
      </c>
      <c r="Y1903" s="204">
        <f>_xll.qlCalendarAdvance(Calendar,X1903,NDays&amp;"D")</f>
        <v>52169</v>
      </c>
      <c r="Z1903" s="205">
        <v>3.5707763358304757E-2</v>
      </c>
      <c r="AA1903" s="207">
        <v>3.566453027239902E-2</v>
      </c>
    </row>
    <row r="1904" spans="19:27" x14ac:dyDescent="0.2">
      <c r="S1904" s="165"/>
      <c r="T1904" s="166"/>
      <c r="W1904" s="199" t="str">
        <f t="shared" si="38"/>
        <v>1w</v>
      </c>
      <c r="X1904" s="200">
        <f>_xll.qlCalendarAdvance(Calendar,X1903,W1904,"f",FALSE)</f>
        <v>52174</v>
      </c>
      <c r="Y1904" s="204">
        <f>_xll.qlCalendarAdvance(Calendar,X1904,NDays&amp;"D")</f>
        <v>52176</v>
      </c>
      <c r="Z1904" s="205">
        <v>3.5707741974193297E-2</v>
      </c>
      <c r="AA1904" s="207">
        <v>3.5660144986664477E-2</v>
      </c>
    </row>
    <row r="1905" spans="19:27" x14ac:dyDescent="0.2">
      <c r="S1905" s="165"/>
      <c r="T1905" s="166"/>
      <c r="W1905" s="199" t="str">
        <f t="shared" si="38"/>
        <v>1w</v>
      </c>
      <c r="X1905" s="200">
        <f>_xll.qlCalendarAdvance(Calendar,X1904,W1905,"f",FALSE)</f>
        <v>52181</v>
      </c>
      <c r="Y1905" s="204">
        <f>_xll.qlCalendarAdvance(Calendar,X1905,NDays&amp;"D")</f>
        <v>52183</v>
      </c>
      <c r="Z1905" s="205">
        <v>3.570335871383612E-2</v>
      </c>
      <c r="AA1905" s="207">
        <v>3.5655765550810514E-2</v>
      </c>
    </row>
    <row r="1906" spans="19:27" x14ac:dyDescent="0.2">
      <c r="S1906" s="165"/>
      <c r="T1906" s="166"/>
      <c r="W1906" s="199" t="str">
        <f t="shared" si="38"/>
        <v>1w</v>
      </c>
      <c r="X1906" s="200">
        <f>_xll.qlCalendarAdvance(Calendar,X1905,W1906,"f",FALSE)</f>
        <v>52188</v>
      </c>
      <c r="Y1906" s="204">
        <f>_xll.qlCalendarAdvance(Calendar,X1906,NDays&amp;"D")</f>
        <v>52190</v>
      </c>
      <c r="Z1906" s="205">
        <v>3.5698981322978829E-2</v>
      </c>
      <c r="AA1906" s="207">
        <v>3.5651391964837131E-2</v>
      </c>
    </row>
    <row r="1907" spans="19:27" x14ac:dyDescent="0.2">
      <c r="S1907" s="165"/>
      <c r="T1907" s="166"/>
      <c r="W1907" s="199" t="str">
        <f t="shared" si="38"/>
        <v>1w</v>
      </c>
      <c r="X1907" s="200">
        <f>_xll.qlCalendarAdvance(Calendar,X1906,W1907,"f",FALSE)</f>
        <v>52195</v>
      </c>
      <c r="Y1907" s="204">
        <f>_xll.qlCalendarAdvance(Calendar,X1907,NDays&amp;"D")</f>
        <v>52197</v>
      </c>
      <c r="Z1907" s="205">
        <v>3.5695441822644565E-2</v>
      </c>
      <c r="AA1907" s="207">
        <v>3.5647024228584456E-2</v>
      </c>
    </row>
    <row r="1908" spans="19:27" x14ac:dyDescent="0.2">
      <c r="S1908" s="165"/>
      <c r="T1908" s="166"/>
      <c r="W1908" s="199" t="str">
        <f t="shared" si="38"/>
        <v>1w</v>
      </c>
      <c r="X1908" s="200">
        <f>_xll.qlCalendarAdvance(Calendar,X1907,W1908,"f",FALSE)</f>
        <v>52202</v>
      </c>
      <c r="Y1908" s="204">
        <f>_xll.qlCalendarAdvance(Calendar,X1908,NDays&amp;"D")</f>
        <v>52204</v>
      </c>
      <c r="Z1908" s="205">
        <v>3.569024414974642E-2</v>
      </c>
      <c r="AA1908" s="207">
        <v>3.5642662342372233E-2</v>
      </c>
    </row>
    <row r="1909" spans="19:27" x14ac:dyDescent="0.2">
      <c r="S1909" s="165"/>
      <c r="T1909" s="166"/>
      <c r="W1909" s="199" t="str">
        <f t="shared" si="38"/>
        <v>1w</v>
      </c>
      <c r="X1909" s="200">
        <f>_xll.qlCalendarAdvance(Calendar,X1908,W1909,"f",FALSE)</f>
        <v>52209</v>
      </c>
      <c r="Y1909" s="204">
        <f>_xll.qlCalendarAdvance(Calendar,X1909,NDays&amp;"D")</f>
        <v>52211</v>
      </c>
      <c r="Z1909" s="205">
        <v>3.5685884367358811E-2</v>
      </c>
      <c r="AA1909" s="207">
        <v>3.563830630604059E-2</v>
      </c>
    </row>
    <row r="1910" spans="19:27" x14ac:dyDescent="0.2">
      <c r="S1910" s="165"/>
      <c r="T1910" s="166"/>
      <c r="W1910" s="199" t="str">
        <f t="shared" si="38"/>
        <v>1w</v>
      </c>
      <c r="X1910" s="200">
        <f>_xll.qlCalendarAdvance(Calendar,X1909,W1910,"f",FALSE)</f>
        <v>52216</v>
      </c>
      <c r="Y1910" s="204">
        <f>_xll.qlCalendarAdvance(Calendar,X1910,NDays&amp;"D")</f>
        <v>52218</v>
      </c>
      <c r="Z1910" s="205">
        <v>3.5682986464522705E-2</v>
      </c>
      <c r="AA1910" s="207">
        <v>3.5633956119509591E-2</v>
      </c>
    </row>
    <row r="1911" spans="19:27" x14ac:dyDescent="0.2">
      <c r="S1911" s="165"/>
      <c r="T1911" s="166"/>
      <c r="W1911" s="199" t="str">
        <f t="shared" si="38"/>
        <v>1w</v>
      </c>
      <c r="X1911" s="200">
        <f>_xll.qlCalendarAdvance(Calendar,X1910,W1911,"f",FALSE)</f>
        <v>52223</v>
      </c>
      <c r="Y1911" s="204">
        <f>_xll.qlCalendarAdvance(Calendar,X1911,NDays&amp;"D")</f>
        <v>52229</v>
      </c>
      <c r="Z1911" s="205">
        <v>3.5673244552014344E-2</v>
      </c>
      <c r="AA1911" s="207">
        <v>3.5629824665011078E-2</v>
      </c>
    </row>
    <row r="1912" spans="19:27" x14ac:dyDescent="0.2">
      <c r="S1912" s="165"/>
      <c r="T1912" s="166"/>
      <c r="W1912" s="199" t="str">
        <f t="shared" si="38"/>
        <v>1w</v>
      </c>
      <c r="X1912" s="200">
        <f>_xll.qlCalendarAdvance(Calendar,X1911,W1912,"f",FALSE)</f>
        <v>52230</v>
      </c>
      <c r="Y1912" s="204">
        <f>_xll.qlCalendarAdvance(Calendar,X1912,NDays&amp;"D")</f>
        <v>52233</v>
      </c>
      <c r="Z1912" s="205">
        <v>3.5670764513398588E-2</v>
      </c>
      <c r="AA1912" s="207">
        <v>3.5624653989803079E-2</v>
      </c>
    </row>
    <row r="1913" spans="19:27" x14ac:dyDescent="0.2">
      <c r="S1913" s="165"/>
      <c r="T1913" s="166"/>
      <c r="W1913" s="199" t="str">
        <f t="shared" si="38"/>
        <v>1w</v>
      </c>
      <c r="X1913" s="200">
        <f>_xll.qlCalendarAdvance(Calendar,X1912,W1913,"f",FALSE)</f>
        <v>52237</v>
      </c>
      <c r="Y1913" s="204">
        <f>_xll.qlCalendarAdvance(Calendar,X1913,NDays&amp;"D")</f>
        <v>52239</v>
      </c>
      <c r="Z1913" s="205">
        <v>3.5668503932477502E-2</v>
      </c>
      <c r="AA1913" s="207">
        <v>3.5620940659200073E-2</v>
      </c>
    </row>
    <row r="1914" spans="19:27" x14ac:dyDescent="0.2">
      <c r="S1914" s="165"/>
      <c r="T1914" s="166"/>
      <c r="W1914" s="199" t="str">
        <f t="shared" si="38"/>
        <v>1w</v>
      </c>
      <c r="X1914" s="200">
        <f>_xll.qlCalendarAdvance(Calendar,X1913,W1914,"f",FALSE)</f>
        <v>52244</v>
      </c>
      <c r="Y1914" s="204">
        <f>_xll.qlCalendarAdvance(Calendar,X1914,NDays&amp;"D")</f>
        <v>52246</v>
      </c>
      <c r="Z1914" s="205">
        <v>3.5665629467354687E-2</v>
      </c>
      <c r="AA1914" s="207">
        <v>3.5616613872191394E-2</v>
      </c>
    </row>
    <row r="1915" spans="19:27" x14ac:dyDescent="0.2">
      <c r="S1915" s="165"/>
      <c r="T1915" s="166"/>
      <c r="W1915" s="199" t="str">
        <f t="shared" si="38"/>
        <v>1w</v>
      </c>
      <c r="X1915" s="200">
        <f>_xll.qlCalendarAdvance(Calendar,X1914,W1915,"f",FALSE)</f>
        <v>52251</v>
      </c>
      <c r="Y1915" s="204">
        <f>_xll.qlCalendarAdvance(Calendar,X1915,NDays&amp;"D")</f>
        <v>52253</v>
      </c>
      <c r="Z1915" s="205">
        <v>3.565984893175389E-2</v>
      </c>
      <c r="AA1915" s="207">
        <v>3.5612292935063294E-2</v>
      </c>
    </row>
    <row r="1916" spans="19:27" x14ac:dyDescent="0.2">
      <c r="S1916" s="165"/>
      <c r="T1916" s="166"/>
      <c r="W1916" s="199" t="str">
        <f t="shared" si="38"/>
        <v>1w</v>
      </c>
      <c r="X1916" s="200">
        <f>_xll.qlCalendarAdvance(Calendar,X1915,W1916,"f",FALSE)</f>
        <v>52258</v>
      </c>
      <c r="Y1916" s="204">
        <f>_xll.qlCalendarAdvance(Calendar,X1916,NDays&amp;"D")</f>
        <v>52260</v>
      </c>
      <c r="Z1916" s="205">
        <v>3.5651162946416348E-2</v>
      </c>
      <c r="AA1916" s="207">
        <v>3.5607977847655903E-2</v>
      </c>
    </row>
    <row r="1917" spans="19:27" x14ac:dyDescent="0.2">
      <c r="S1917" s="165"/>
      <c r="T1917" s="166"/>
      <c r="W1917" s="199" t="str">
        <f t="shared" si="38"/>
        <v>1w</v>
      </c>
      <c r="X1917" s="200">
        <f>_xll.qlCalendarAdvance(Calendar,X1916,W1917,"f",FALSE)</f>
        <v>52265</v>
      </c>
      <c r="Y1917" s="204">
        <f>_xll.qlCalendarAdvance(Calendar,X1917,NDays&amp;"D")</f>
        <v>52267</v>
      </c>
      <c r="Z1917" s="205">
        <v>3.5645394576425522E-2</v>
      </c>
      <c r="AA1917" s="207">
        <v>3.5603668610288963E-2</v>
      </c>
    </row>
    <row r="1918" spans="19:27" x14ac:dyDescent="0.2">
      <c r="S1918" s="165"/>
      <c r="T1918" s="166"/>
      <c r="W1918" s="199" t="str">
        <f t="shared" si="38"/>
        <v>1w</v>
      </c>
      <c r="X1918" s="200">
        <f>_xll.qlCalendarAdvance(Calendar,X1917,W1918,"f",FALSE)</f>
        <v>52272</v>
      </c>
      <c r="Y1918" s="204">
        <f>_xll.qlCalendarAdvance(Calendar,X1918,NDays&amp;"D")</f>
        <v>52274</v>
      </c>
      <c r="Z1918" s="205">
        <v>3.5641087645767691E-2</v>
      </c>
      <c r="AA1918" s="207">
        <v>3.5599365222722668E-2</v>
      </c>
    </row>
    <row r="1919" spans="19:27" x14ac:dyDescent="0.2">
      <c r="S1919" s="165"/>
      <c r="T1919" s="166"/>
      <c r="W1919" s="199" t="str">
        <f t="shared" si="38"/>
        <v>1w</v>
      </c>
      <c r="X1919" s="200">
        <f>_xll.qlCalendarAdvance(Calendar,X1918,W1919,"f",FALSE)</f>
        <v>52279</v>
      </c>
      <c r="Y1919" s="204">
        <f>_xll.qlCalendarAdvance(Calendar,X1919,NDays&amp;"D")</f>
        <v>52281</v>
      </c>
      <c r="Z1919" s="205">
        <v>3.5636786581999695E-2</v>
      </c>
      <c r="AA1919" s="207">
        <v>3.5595067685036952E-2</v>
      </c>
    </row>
    <row r="1920" spans="19:27" x14ac:dyDescent="0.2">
      <c r="S1920" s="165"/>
      <c r="T1920" s="166"/>
      <c r="W1920" s="199" t="str">
        <f t="shared" si="38"/>
        <v>1w</v>
      </c>
      <c r="X1920" s="200">
        <f>_xll.qlCalendarAdvance(Calendar,X1919,W1920,"f",FALSE)</f>
        <v>52286</v>
      </c>
      <c r="Y1920" s="204">
        <f>_xll.qlCalendarAdvance(Calendar,X1920,NDays&amp;"D")</f>
        <v>52288</v>
      </c>
      <c r="Z1920" s="205">
        <v>3.5632491385112958E-2</v>
      </c>
      <c r="AA1920" s="207">
        <v>3.559077599715188E-2</v>
      </c>
    </row>
    <row r="1921" spans="19:27" x14ac:dyDescent="0.2">
      <c r="S1921" s="165"/>
      <c r="T1921" s="166"/>
      <c r="W1921" s="199" t="str">
        <f t="shared" si="38"/>
        <v>1w</v>
      </c>
      <c r="X1921" s="200">
        <f>_xll.qlCalendarAdvance(Calendar,X1920,W1921,"f",FALSE)</f>
        <v>52293</v>
      </c>
      <c r="Y1921" s="204">
        <f>_xll.qlCalendarAdvance(Calendar,X1921,NDays&amp;"D")</f>
        <v>52295</v>
      </c>
      <c r="Z1921" s="205">
        <v>3.5634024795791752E-2</v>
      </c>
      <c r="AA1921" s="207">
        <v>3.5586490159387196E-2</v>
      </c>
    </row>
    <row r="1922" spans="19:27" x14ac:dyDescent="0.2">
      <c r="S1922" s="165"/>
      <c r="T1922" s="166"/>
      <c r="W1922" s="199" t="str">
        <f t="shared" si="38"/>
        <v>1w</v>
      </c>
      <c r="X1922" s="200">
        <f>_xll.qlCalendarAdvance(Calendar,X1921,W1922,"f",FALSE)</f>
        <v>52300</v>
      </c>
      <c r="Y1922" s="204">
        <f>_xll.qlCalendarAdvance(Calendar,X1922,NDays&amp;"D")</f>
        <v>52302</v>
      </c>
      <c r="Z1922" s="205">
        <v>3.5629741316048347E-2</v>
      </c>
      <c r="AA1922" s="207">
        <v>3.5582210171183348E-2</v>
      </c>
    </row>
    <row r="1923" spans="19:27" x14ac:dyDescent="0.2">
      <c r="S1923" s="165"/>
      <c r="T1923" s="166"/>
      <c r="W1923" s="199" t="str">
        <f t="shared" si="38"/>
        <v>1w</v>
      </c>
      <c r="X1923" s="200">
        <f>_xll.qlCalendarAdvance(Calendar,X1922,W1923,"f",FALSE)</f>
        <v>52307</v>
      </c>
      <c r="Y1923" s="204">
        <f>_xll.qlCalendarAdvance(Calendar,X1923,NDays&amp;"D")</f>
        <v>52309</v>
      </c>
      <c r="Z1923" s="205">
        <v>3.5625463705694915E-2</v>
      </c>
      <c r="AA1923" s="207">
        <v>3.5577936033019952E-2</v>
      </c>
    </row>
    <row r="1924" spans="19:27" x14ac:dyDescent="0.2">
      <c r="S1924" s="165"/>
      <c r="T1924" s="166"/>
      <c r="W1924" s="199" t="str">
        <f t="shared" si="38"/>
        <v>1w</v>
      </c>
      <c r="X1924" s="200">
        <f>_xll.qlCalendarAdvance(Calendar,X1923,W1924,"f",FALSE)</f>
        <v>52314</v>
      </c>
      <c r="Y1924" s="204">
        <f>_xll.qlCalendarAdvance(Calendar,X1924,NDays&amp;"D")</f>
        <v>52316</v>
      </c>
      <c r="Z1924" s="205">
        <v>3.5621191964723964E-2</v>
      </c>
      <c r="AA1924" s="207">
        <v>3.5572449308185483E-2</v>
      </c>
    </row>
    <row r="1925" spans="19:27" x14ac:dyDescent="0.2">
      <c r="S1925" s="165"/>
      <c r="T1925" s="166"/>
      <c r="W1925" s="199" t="str">
        <f t="shared" si="38"/>
        <v>1w</v>
      </c>
      <c r="X1925" s="200">
        <f>_xll.qlCalendarAdvance(Calendar,X1924,W1925,"f",FALSE)</f>
        <v>52321</v>
      </c>
      <c r="Y1925" s="204">
        <f>_xll.qlCalendarAdvance(Calendar,X1925,NDays&amp;"D")</f>
        <v>52323</v>
      </c>
      <c r="Z1925" s="205">
        <v>3.5618382004847439E-2</v>
      </c>
      <c r="AA1925" s="207">
        <v>3.5569405306175028E-2</v>
      </c>
    </row>
    <row r="1926" spans="19:27" x14ac:dyDescent="0.2">
      <c r="S1926" s="165"/>
      <c r="T1926" s="166"/>
      <c r="W1926" s="199" t="str">
        <f t="shared" si="38"/>
        <v>1w</v>
      </c>
      <c r="X1926" s="200">
        <f>_xll.qlCalendarAdvance(Calendar,X1925,W1926,"f",FALSE)</f>
        <v>52328</v>
      </c>
      <c r="Y1926" s="204">
        <f>_xll.qlCalendarAdvance(Calendar,X1926,NDays&amp;"D")</f>
        <v>52330</v>
      </c>
      <c r="Z1926" s="205">
        <v>3.5612666090889533E-2</v>
      </c>
      <c r="AA1926" s="207">
        <v>3.5565148717573436E-2</v>
      </c>
    </row>
    <row r="1927" spans="19:27" x14ac:dyDescent="0.2">
      <c r="S1927" s="165"/>
      <c r="T1927" s="166"/>
      <c r="W1927" s="199" t="str">
        <f t="shared" si="38"/>
        <v>1w</v>
      </c>
      <c r="X1927" s="200">
        <f>_xll.qlCalendarAdvance(Calendar,X1926,W1927,"f",FALSE)</f>
        <v>52335</v>
      </c>
      <c r="Y1927" s="204">
        <f>_xll.qlCalendarAdvance(Calendar,X1927,NDays&amp;"D")</f>
        <v>52337</v>
      </c>
      <c r="Z1927" s="205">
        <v>3.5608411958021058E-2</v>
      </c>
      <c r="AA1927" s="207">
        <v>3.5560897978772488E-2</v>
      </c>
    </row>
    <row r="1928" spans="19:27" x14ac:dyDescent="0.2">
      <c r="S1928" s="165"/>
      <c r="T1928" s="166"/>
      <c r="W1928" s="199" t="str">
        <f t="shared" si="38"/>
        <v>1w</v>
      </c>
      <c r="X1928" s="200">
        <f>_xll.qlCalendarAdvance(Calendar,X1927,W1928,"f",FALSE)</f>
        <v>52342</v>
      </c>
      <c r="Y1928" s="204">
        <f>_xll.qlCalendarAdvance(Calendar,X1928,NDays&amp;"D")</f>
        <v>52344</v>
      </c>
      <c r="Z1928" s="205">
        <v>3.5605619603583161E-2</v>
      </c>
      <c r="AA1928" s="207">
        <v>3.5556653089932055E-2</v>
      </c>
    </row>
    <row r="1929" spans="19:27" x14ac:dyDescent="0.2">
      <c r="S1929" s="165"/>
      <c r="T1929" s="166"/>
      <c r="W1929" s="199" t="str">
        <f t="shared" si="38"/>
        <v>1w</v>
      </c>
      <c r="X1929" s="200">
        <f>_xll.qlCalendarAdvance(Calendar,X1928,W1929,"f",FALSE)</f>
        <v>52349</v>
      </c>
      <c r="Y1929" s="204">
        <f>_xll.qlCalendarAdvance(Calendar,X1929,NDays&amp;"D")</f>
        <v>52351</v>
      </c>
      <c r="Z1929" s="205">
        <v>3.5595554147680911E-2</v>
      </c>
      <c r="AA1929" s="207">
        <v>3.5551808951481689E-2</v>
      </c>
    </row>
    <row r="1930" spans="19:27" x14ac:dyDescent="0.2">
      <c r="S1930" s="165"/>
      <c r="T1930" s="166"/>
      <c r="W1930" s="199" t="str">
        <f t="shared" si="38"/>
        <v>1w</v>
      </c>
      <c r="X1930" s="200">
        <f>_xll.qlCalendarAdvance(Calendar,X1929,W1930,"f",FALSE)</f>
        <v>52356</v>
      </c>
      <c r="Y1930" s="204">
        <f>_xll.qlCalendarAdvance(Calendar,X1930,NDays&amp;"D")</f>
        <v>52358</v>
      </c>
      <c r="Z1930" s="205">
        <v>3.5595684775508174E-2</v>
      </c>
      <c r="AA1930" s="207">
        <v>3.5548180861812995E-2</v>
      </c>
    </row>
    <row r="1931" spans="19:27" x14ac:dyDescent="0.2">
      <c r="S1931" s="165"/>
      <c r="T1931" s="166"/>
      <c r="W1931" s="199" t="str">
        <f t="shared" si="38"/>
        <v>1w</v>
      </c>
      <c r="X1931" s="200">
        <f>_xll.qlCalendarAdvance(Calendar,X1930,W1931,"f",FALSE)</f>
        <v>52363</v>
      </c>
      <c r="Y1931" s="204">
        <f>_xll.qlCalendarAdvance(Calendar,X1931,NDays&amp;"D")</f>
        <v>52365</v>
      </c>
      <c r="Z1931" s="205">
        <v>3.5591454120009747E-2</v>
      </c>
      <c r="AA1931" s="207">
        <v>3.554395352245443E-2</v>
      </c>
    </row>
    <row r="1932" spans="19:27" x14ac:dyDescent="0.2">
      <c r="S1932" s="165"/>
      <c r="T1932" s="166"/>
      <c r="W1932" s="199" t="str">
        <f t="shared" si="38"/>
        <v>1w</v>
      </c>
      <c r="X1932" s="200">
        <f>_xll.qlCalendarAdvance(Calendar,X1931,W1932,"f",FALSE)</f>
        <v>52370</v>
      </c>
      <c r="Y1932" s="204">
        <f>_xll.qlCalendarAdvance(Calendar,X1932,NDays&amp;"D")</f>
        <v>52372</v>
      </c>
      <c r="Z1932" s="205">
        <v>3.5587229333843839E-2</v>
      </c>
      <c r="AA1932" s="207">
        <v>3.5539129440680384E-2</v>
      </c>
    </row>
    <row r="1933" spans="19:27" x14ac:dyDescent="0.2">
      <c r="S1933" s="165"/>
      <c r="T1933" s="166"/>
      <c r="W1933" s="199" t="str">
        <f t="shared" si="38"/>
        <v>1w</v>
      </c>
      <c r="X1933" s="200">
        <f>_xll.qlCalendarAdvance(Calendar,X1932,W1933,"f",FALSE)</f>
        <v>52377</v>
      </c>
      <c r="Y1933" s="204">
        <f>_xll.qlCalendarAdvance(Calendar,X1933,NDays&amp;"D")</f>
        <v>52379</v>
      </c>
      <c r="Z1933" s="205">
        <v>3.5583010416997962E-2</v>
      </c>
      <c r="AA1933" s="207">
        <v>3.5535516393458977E-2</v>
      </c>
    </row>
    <row r="1934" spans="19:27" x14ac:dyDescent="0.2">
      <c r="S1934" s="165"/>
      <c r="T1934" s="166"/>
      <c r="W1934" s="199" t="str">
        <f t="shared" si="38"/>
        <v>1w</v>
      </c>
      <c r="X1934" s="200">
        <f>_xll.qlCalendarAdvance(Calendar,X1933,W1934,"f",FALSE)</f>
        <v>52384</v>
      </c>
      <c r="Y1934" s="204">
        <f>_xll.qlCalendarAdvance(Calendar,X1934,NDays&amp;"D")</f>
        <v>52386</v>
      </c>
      <c r="Z1934" s="205">
        <v>3.5578797369469617E-2</v>
      </c>
      <c r="AA1934" s="207">
        <v>3.5531306603822088E-2</v>
      </c>
    </row>
    <row r="1935" spans="19:27" x14ac:dyDescent="0.2">
      <c r="S1935" s="165"/>
      <c r="T1935" s="166"/>
      <c r="W1935" s="199" t="str">
        <f t="shared" si="38"/>
        <v>1w</v>
      </c>
      <c r="X1935" s="200">
        <f>_xll.qlCalendarAdvance(Calendar,X1934,W1935,"f",FALSE)</f>
        <v>52391</v>
      </c>
      <c r="Y1935" s="204">
        <f>_xll.qlCalendarAdvance(Calendar,X1935,NDays&amp;"D")</f>
        <v>52393</v>
      </c>
      <c r="Z1935" s="205">
        <v>3.5574590191248812E-2</v>
      </c>
      <c r="AA1935" s="207">
        <v>3.5527102664065779E-2</v>
      </c>
    </row>
    <row r="1936" spans="19:27" x14ac:dyDescent="0.2">
      <c r="S1936" s="165"/>
      <c r="T1936" s="166"/>
      <c r="W1936" s="199" t="str">
        <f t="shared" si="38"/>
        <v>1w</v>
      </c>
      <c r="X1936" s="200">
        <f>_xll.qlCalendarAdvance(Calendar,X1935,W1936,"f",FALSE)</f>
        <v>52398</v>
      </c>
      <c r="Y1936" s="204">
        <f>_xll.qlCalendarAdvance(Calendar,X1936,NDays&amp;"D")</f>
        <v>52400</v>
      </c>
      <c r="Z1936" s="205">
        <v>3.5570388882323056E-2</v>
      </c>
      <c r="AA1936" s="207">
        <v>3.5522904574110115E-2</v>
      </c>
    </row>
    <row r="1937" spans="19:27" x14ac:dyDescent="0.2">
      <c r="S1937" s="165"/>
      <c r="T1937" s="166"/>
      <c r="W1937" s="199" t="str">
        <f t="shared" si="38"/>
        <v>1w</v>
      </c>
      <c r="X1937" s="200">
        <f>_xll.qlCalendarAdvance(Calendar,X1936,W1937,"f",FALSE)</f>
        <v>52405</v>
      </c>
      <c r="Y1937" s="204">
        <f>_xll.qlCalendarAdvance(Calendar,X1937,NDays&amp;"D")</f>
        <v>52407</v>
      </c>
      <c r="Z1937" s="205">
        <v>3.5566193442699845E-2</v>
      </c>
      <c r="AA1937" s="207">
        <v>3.5518712333955094E-2</v>
      </c>
    </row>
    <row r="1938" spans="19:27" x14ac:dyDescent="0.2">
      <c r="S1938" s="165"/>
      <c r="T1938" s="166"/>
      <c r="W1938" s="199" t="str">
        <f t="shared" si="38"/>
        <v>1w</v>
      </c>
      <c r="X1938" s="200">
        <f>_xll.qlCalendarAdvance(Calendar,X1937,W1938,"f",FALSE)</f>
        <v>52412</v>
      </c>
      <c r="Y1938" s="204">
        <f>_xll.qlCalendarAdvance(Calendar,X1938,NDays&amp;"D")</f>
        <v>52414</v>
      </c>
      <c r="Z1938" s="205">
        <v>3.5562003872361692E-2</v>
      </c>
      <c r="AA1938" s="207">
        <v>3.5514525943760589E-2</v>
      </c>
    </row>
    <row r="1939" spans="19:27" x14ac:dyDescent="0.2">
      <c r="S1939" s="165"/>
      <c r="T1939" s="166"/>
      <c r="W1939" s="199" t="str">
        <f t="shared" si="38"/>
        <v>1w</v>
      </c>
      <c r="X1939" s="200">
        <f>_xll.qlCalendarAdvance(Calendar,X1938,W1939,"f",FALSE)</f>
        <v>52419</v>
      </c>
      <c r="Y1939" s="204">
        <f>_xll.qlCalendarAdvance(Calendar,X1939,NDays&amp;"D")</f>
        <v>52421</v>
      </c>
      <c r="Z1939" s="205">
        <v>3.55578201713036E-2</v>
      </c>
      <c r="AA1939" s="207">
        <v>3.5510345403366728E-2</v>
      </c>
    </row>
    <row r="1940" spans="19:27" x14ac:dyDescent="0.2">
      <c r="S1940" s="165"/>
      <c r="T1940" s="166"/>
      <c r="W1940" s="199" t="str">
        <f t="shared" si="38"/>
        <v>1w</v>
      </c>
      <c r="X1940" s="200">
        <f>_xll.qlCalendarAdvance(Calendar,X1939,W1940,"f",FALSE)</f>
        <v>52426</v>
      </c>
      <c r="Y1940" s="204">
        <f>_xll.qlCalendarAdvance(Calendar,X1940,NDays&amp;"D")</f>
        <v>52428</v>
      </c>
      <c r="Z1940" s="205">
        <v>3.5553642339523073E-2</v>
      </c>
      <c r="AA1940" s="207">
        <v>3.5506170712933383E-2</v>
      </c>
    </row>
    <row r="1941" spans="19:27" x14ac:dyDescent="0.2">
      <c r="S1941" s="165"/>
      <c r="T1941" s="166"/>
      <c r="W1941" s="199" t="str">
        <f t="shared" ref="W1941:W2004" si="39">W1940</f>
        <v>1w</v>
      </c>
      <c r="X1941" s="200">
        <f>_xll.qlCalendarAdvance(Calendar,X1940,W1941,"f",FALSE)</f>
        <v>52433</v>
      </c>
      <c r="Y1941" s="204">
        <f>_xll.qlCalendarAdvance(Calendar,X1941,NDays&amp;"D")</f>
        <v>52435</v>
      </c>
      <c r="Z1941" s="205">
        <v>3.5549470377012615E-2</v>
      </c>
      <c r="AA1941" s="207">
        <v>3.5502001872300681E-2</v>
      </c>
    </row>
    <row r="1942" spans="19:27" x14ac:dyDescent="0.2">
      <c r="S1942" s="165"/>
      <c r="T1942" s="166"/>
      <c r="W1942" s="199" t="str">
        <f t="shared" si="39"/>
        <v>1w</v>
      </c>
      <c r="X1942" s="200">
        <f>_xll.qlCalendarAdvance(Calendar,X1941,W1942,"f",FALSE)</f>
        <v>52440</v>
      </c>
      <c r="Y1942" s="204">
        <f>_xll.qlCalendarAdvance(Calendar,X1942,NDays&amp;"D")</f>
        <v>52442</v>
      </c>
      <c r="Z1942" s="205">
        <v>3.5540936948818026E-2</v>
      </c>
      <c r="AA1942" s="207">
        <v>3.549783888154856E-2</v>
      </c>
    </row>
    <row r="1943" spans="19:27" x14ac:dyDescent="0.2">
      <c r="S1943" s="165"/>
      <c r="T1943" s="166"/>
      <c r="W1943" s="199" t="str">
        <f t="shared" si="39"/>
        <v>1w</v>
      </c>
      <c r="X1943" s="200">
        <f>_xll.qlCalendarAdvance(Calendar,X1942,W1943,"f",FALSE)</f>
        <v>52447</v>
      </c>
      <c r="Y1943" s="204">
        <f>_xll.qlCalendarAdvance(Calendar,X1943,NDays&amp;"D")</f>
        <v>52449</v>
      </c>
      <c r="Z1943" s="205">
        <v>3.5542600040417684E-2</v>
      </c>
      <c r="AA1943" s="207">
        <v>3.5493681740677019E-2</v>
      </c>
    </row>
    <row r="1944" spans="19:27" x14ac:dyDescent="0.2">
      <c r="S1944" s="165"/>
      <c r="T1944" s="166"/>
      <c r="W1944" s="199" t="str">
        <f t="shared" si="39"/>
        <v>1w</v>
      </c>
      <c r="X1944" s="200">
        <f>_xll.qlCalendarAdvance(Calendar,X1943,W1944,"f",FALSE)</f>
        <v>52454</v>
      </c>
      <c r="Y1944" s="204">
        <f>_xll.qlCalendarAdvance(Calendar,X1944,NDays&amp;"D")</f>
        <v>52456</v>
      </c>
      <c r="Z1944" s="205">
        <v>3.5536989705021726E-2</v>
      </c>
      <c r="AA1944" s="207">
        <v>3.5489530449526185E-2</v>
      </c>
    </row>
    <row r="1945" spans="19:27" x14ac:dyDescent="0.2">
      <c r="S1945" s="165"/>
      <c r="T1945" s="166"/>
      <c r="W1945" s="199" t="str">
        <f t="shared" si="39"/>
        <v>1w</v>
      </c>
      <c r="X1945" s="200">
        <f>_xll.qlCalendarAdvance(Calendar,X1944,W1945,"f",FALSE)</f>
        <v>52461</v>
      </c>
      <c r="Y1945" s="204">
        <f>_xll.qlCalendarAdvance(Calendar,X1945,NDays&amp;"D")</f>
        <v>52463</v>
      </c>
      <c r="Z1945" s="205">
        <v>3.5532841219521605E-2</v>
      </c>
      <c r="AA1945" s="207">
        <v>3.5485385008415804E-2</v>
      </c>
    </row>
    <row r="1946" spans="19:27" x14ac:dyDescent="0.2">
      <c r="S1946" s="165"/>
      <c r="T1946" s="166"/>
      <c r="W1946" s="199" t="str">
        <f t="shared" si="39"/>
        <v>1w</v>
      </c>
      <c r="X1946" s="200">
        <f>_xll.qlCalendarAdvance(Calendar,X1945,W1946,"f",FALSE)</f>
        <v>52468</v>
      </c>
      <c r="Y1946" s="204">
        <f>_xll.qlCalendarAdvance(Calendar,X1946,NDays&amp;"D")</f>
        <v>52470</v>
      </c>
      <c r="Z1946" s="205">
        <v>3.5528698603256581E-2</v>
      </c>
      <c r="AA1946" s="207">
        <v>3.5480654524411293E-2</v>
      </c>
    </row>
    <row r="1947" spans="19:27" x14ac:dyDescent="0.2">
      <c r="S1947" s="165"/>
      <c r="T1947" s="166"/>
      <c r="W1947" s="199" t="str">
        <f t="shared" si="39"/>
        <v>1w</v>
      </c>
      <c r="X1947" s="200">
        <f>_xll.qlCalendarAdvance(Calendar,X1946,W1947,"f",FALSE)</f>
        <v>52475</v>
      </c>
      <c r="Y1947" s="204">
        <f>_xll.qlCalendarAdvance(Calendar,X1947,NDays&amp;"D")</f>
        <v>52477</v>
      </c>
      <c r="Z1947" s="205">
        <v>3.5524561856221659E-2</v>
      </c>
      <c r="AA1947" s="207">
        <v>3.5477111675676909E-2</v>
      </c>
    </row>
    <row r="1948" spans="19:27" x14ac:dyDescent="0.2">
      <c r="S1948" s="165"/>
      <c r="T1948" s="166"/>
      <c r="W1948" s="199" t="str">
        <f t="shared" si="39"/>
        <v>1w</v>
      </c>
      <c r="X1948" s="200">
        <f>_xll.qlCalendarAdvance(Calendar,X1947,W1948,"f",FALSE)</f>
        <v>52482</v>
      </c>
      <c r="Y1948" s="204">
        <f>_xll.qlCalendarAdvance(Calendar,X1948,NDays&amp;"D")</f>
        <v>52484</v>
      </c>
      <c r="Z1948" s="205">
        <v>3.5521887014243449E-2</v>
      </c>
      <c r="AA1948" s="207">
        <v>3.5472983784048395E-2</v>
      </c>
    </row>
    <row r="1949" spans="19:27" x14ac:dyDescent="0.2">
      <c r="S1949" s="165"/>
      <c r="T1949" s="166"/>
      <c r="W1949" s="199" t="str">
        <f t="shared" si="39"/>
        <v>1w</v>
      </c>
      <c r="X1949" s="200">
        <f>_xll.qlCalendarAdvance(Calendar,X1948,W1949,"f",FALSE)</f>
        <v>52489</v>
      </c>
      <c r="Y1949" s="204">
        <f>_xll.qlCalendarAdvance(Calendar,X1949,NDays&amp;"D")</f>
        <v>52491</v>
      </c>
      <c r="Z1949" s="205">
        <v>3.5516305969812145E-2</v>
      </c>
      <c r="AA1949" s="207">
        <v>3.5468861742380398E-2</v>
      </c>
    </row>
    <row r="1950" spans="19:27" x14ac:dyDescent="0.2">
      <c r="S1950" s="165"/>
      <c r="T1950" s="166"/>
      <c r="W1950" s="199" t="str">
        <f t="shared" si="39"/>
        <v>1w</v>
      </c>
      <c r="X1950" s="200">
        <f>_xll.qlCalendarAdvance(Calendar,X1949,W1950,"f",FALSE)</f>
        <v>52496</v>
      </c>
      <c r="Y1950" s="204">
        <f>_xll.qlCalendarAdvance(Calendar,X1950,NDays&amp;"D")</f>
        <v>52498</v>
      </c>
      <c r="Z1950" s="205">
        <v>3.5512186830427561E-2</v>
      </c>
      <c r="AA1950" s="207">
        <v>3.5464745550513044E-2</v>
      </c>
    </row>
    <row r="1951" spans="19:27" x14ac:dyDescent="0.2">
      <c r="S1951" s="165"/>
      <c r="T1951" s="166"/>
      <c r="W1951" s="199" t="str">
        <f t="shared" si="39"/>
        <v>1w</v>
      </c>
      <c r="X1951" s="200">
        <f>_xll.qlCalendarAdvance(Calendar,X1950,W1951,"f",FALSE)</f>
        <v>52503</v>
      </c>
      <c r="Y1951" s="204">
        <f>_xll.qlCalendarAdvance(Calendar,X1951,NDays&amp;"D")</f>
        <v>52505</v>
      </c>
      <c r="Z1951" s="205">
        <v>3.5508073560248099E-2</v>
      </c>
      <c r="AA1951" s="207">
        <v>3.5460635208446334E-2</v>
      </c>
    </row>
    <row r="1952" spans="19:27" x14ac:dyDescent="0.2">
      <c r="S1952" s="165"/>
      <c r="T1952" s="166"/>
      <c r="W1952" s="199" t="str">
        <f t="shared" si="39"/>
        <v>1w</v>
      </c>
      <c r="X1952" s="200">
        <f>_xll.qlCalendarAdvance(Calendar,X1951,W1952,"f",FALSE)</f>
        <v>52510</v>
      </c>
      <c r="Y1952" s="204">
        <f>_xll.qlCalendarAdvance(Calendar,X1952,NDays&amp;"D")</f>
        <v>52512</v>
      </c>
      <c r="Z1952" s="205">
        <v>3.5503966159263767E-2</v>
      </c>
      <c r="AA1952" s="207">
        <v>3.545653071634014E-2</v>
      </c>
    </row>
    <row r="1953" spans="19:27" x14ac:dyDescent="0.2">
      <c r="S1953" s="165"/>
      <c r="T1953" s="166"/>
      <c r="W1953" s="199" t="str">
        <f t="shared" si="39"/>
        <v>1w</v>
      </c>
      <c r="X1953" s="200">
        <f>_xll.qlCalendarAdvance(Calendar,X1952,W1953,"f",FALSE)</f>
        <v>52517</v>
      </c>
      <c r="Y1953" s="204">
        <f>_xll.qlCalendarAdvance(Calendar,X1953,NDays&amp;"D")</f>
        <v>52519</v>
      </c>
      <c r="Z1953" s="205">
        <v>3.5499864627472066E-2</v>
      </c>
      <c r="AA1953" s="207">
        <v>3.545243207403459E-2</v>
      </c>
    </row>
    <row r="1954" spans="19:27" x14ac:dyDescent="0.2">
      <c r="S1954" s="165"/>
      <c r="T1954" s="166"/>
      <c r="W1954" s="199" t="str">
        <f t="shared" si="39"/>
        <v>1w</v>
      </c>
      <c r="X1954" s="200">
        <f>_xll.qlCalendarAdvance(Calendar,X1953,W1954,"f",FALSE)</f>
        <v>52524</v>
      </c>
      <c r="Y1954" s="204">
        <f>_xll.qlCalendarAdvance(Calendar,X1954,NDays&amp;"D")</f>
        <v>52526</v>
      </c>
      <c r="Z1954" s="205">
        <v>3.5495768964865504E-2</v>
      </c>
      <c r="AA1954" s="207">
        <v>3.5448339281529684E-2</v>
      </c>
    </row>
    <row r="1955" spans="19:27" x14ac:dyDescent="0.2">
      <c r="S1955" s="165"/>
      <c r="T1955" s="166"/>
      <c r="W1955" s="199" t="str">
        <f t="shared" si="39"/>
        <v>1w</v>
      </c>
      <c r="X1955" s="200">
        <f>_xll.qlCalendarAdvance(Calendar,X1954,W1955,"f",FALSE)</f>
        <v>52531</v>
      </c>
      <c r="Y1955" s="204">
        <f>_xll.qlCalendarAdvance(Calendar,X1955,NDays&amp;"D")</f>
        <v>52533</v>
      </c>
      <c r="Z1955" s="205">
        <v>3.5491679171436585E-2</v>
      </c>
      <c r="AA1955" s="207">
        <v>3.5444252338985294E-2</v>
      </c>
    </row>
    <row r="1956" spans="19:27" x14ac:dyDescent="0.2">
      <c r="S1956" s="165"/>
      <c r="T1956" s="166"/>
      <c r="W1956" s="199" t="str">
        <f t="shared" si="39"/>
        <v>1w</v>
      </c>
      <c r="X1956" s="200">
        <f>_xll.qlCalendarAdvance(Calendar,X1955,W1956,"f",FALSE)</f>
        <v>52538</v>
      </c>
      <c r="Y1956" s="204">
        <f>_xll.qlCalendarAdvance(Calendar,X1956,NDays&amp;"D")</f>
        <v>52540</v>
      </c>
      <c r="Z1956" s="205">
        <v>3.5487595247177817E-2</v>
      </c>
      <c r="AA1956" s="207">
        <v>3.544017124640142E-2</v>
      </c>
    </row>
    <row r="1957" spans="19:27" x14ac:dyDescent="0.2">
      <c r="S1957" s="165"/>
      <c r="T1957" s="166"/>
      <c r="W1957" s="199" t="str">
        <f t="shared" si="39"/>
        <v>1w</v>
      </c>
      <c r="X1957" s="200">
        <f>_xll.qlCalendarAdvance(Calendar,X1956,W1957,"f",FALSE)</f>
        <v>52545</v>
      </c>
      <c r="Y1957" s="204">
        <f>_xll.qlCalendarAdvance(Calendar,X1957,NDays&amp;"D")</f>
        <v>52547</v>
      </c>
      <c r="Z1957" s="205">
        <v>3.5483517192089198E-2</v>
      </c>
      <c r="AA1957" s="207">
        <v>3.5436096003618189E-2</v>
      </c>
    </row>
    <row r="1958" spans="19:27" x14ac:dyDescent="0.2">
      <c r="S1958" s="165"/>
      <c r="T1958" s="166"/>
      <c r="W1958" s="199" t="str">
        <f t="shared" si="39"/>
        <v>1w</v>
      </c>
      <c r="X1958" s="200">
        <f>_xll.qlCalendarAdvance(Calendar,X1957,W1958,"f",FALSE)</f>
        <v>52552</v>
      </c>
      <c r="Y1958" s="204">
        <f>_xll.qlCalendarAdvance(Calendar,X1958,NDays&amp;"D")</f>
        <v>52554</v>
      </c>
      <c r="Z1958" s="205">
        <v>3.5479445006158239E-2</v>
      </c>
      <c r="AA1958" s="207">
        <v>3.5432026610555667E-2</v>
      </c>
    </row>
    <row r="1959" spans="19:27" x14ac:dyDescent="0.2">
      <c r="S1959" s="165"/>
      <c r="T1959" s="166"/>
      <c r="W1959" s="199" t="str">
        <f t="shared" si="39"/>
        <v>1w</v>
      </c>
      <c r="X1959" s="200">
        <f>_xll.qlCalendarAdvance(Calendar,X1958,W1959,"f",FALSE)</f>
        <v>52559</v>
      </c>
      <c r="Y1959" s="204">
        <f>_xll.qlCalendarAdvance(Calendar,X1959,NDays&amp;"D")</f>
        <v>52561</v>
      </c>
      <c r="Z1959" s="205">
        <v>3.5474798266095509E-2</v>
      </c>
      <c r="AA1959" s="207">
        <v>3.5427963067613533E-2</v>
      </c>
    </row>
    <row r="1960" spans="19:27" x14ac:dyDescent="0.2">
      <c r="S1960" s="165"/>
      <c r="T1960" s="166"/>
      <c r="W1960" s="199" t="str">
        <f t="shared" si="39"/>
        <v>1w</v>
      </c>
      <c r="X1960" s="200">
        <f>_xll.qlCalendarAdvance(Calendar,X1959,W1960,"f",FALSE)</f>
        <v>52566</v>
      </c>
      <c r="Y1960" s="204">
        <f>_xll.qlCalendarAdvance(Calendar,X1960,NDays&amp;"D")</f>
        <v>52568</v>
      </c>
      <c r="Z1960" s="205">
        <v>3.5471318241749317E-2</v>
      </c>
      <c r="AA1960" s="207">
        <v>3.5423905374232234E-2</v>
      </c>
    </row>
    <row r="1961" spans="19:27" x14ac:dyDescent="0.2">
      <c r="S1961" s="165"/>
      <c r="T1961" s="166"/>
      <c r="W1961" s="199" t="str">
        <f t="shared" si="39"/>
        <v>1w</v>
      </c>
      <c r="X1961" s="200">
        <f>_xll.qlCalendarAdvance(Calendar,X1960,W1961,"f",FALSE)</f>
        <v>52573</v>
      </c>
      <c r="Y1961" s="204">
        <f>_xll.qlCalendarAdvance(Calendar,X1961,NDays&amp;"D")</f>
        <v>52575</v>
      </c>
      <c r="Z1961" s="205">
        <v>3.5467263663253867E-2</v>
      </c>
      <c r="AA1961" s="207">
        <v>3.5419853530891388E-2</v>
      </c>
    </row>
    <row r="1962" spans="19:27" x14ac:dyDescent="0.2">
      <c r="S1962" s="165"/>
      <c r="T1962" s="166"/>
      <c r="W1962" s="199" t="str">
        <f t="shared" si="39"/>
        <v>1w</v>
      </c>
      <c r="X1962" s="200">
        <f>_xll.qlCalendarAdvance(Calendar,X1961,W1962,"f",FALSE)</f>
        <v>52580</v>
      </c>
      <c r="Y1962" s="204">
        <f>_xll.qlCalendarAdvance(Calendar,X1962,NDays&amp;"D")</f>
        <v>52582</v>
      </c>
      <c r="Z1962" s="205">
        <v>3.5464671227293951E-2</v>
      </c>
      <c r="AA1962" s="207">
        <v>3.5415807537271249E-2</v>
      </c>
    </row>
    <row r="1963" spans="19:27" x14ac:dyDescent="0.2">
      <c r="S1963" s="165"/>
      <c r="T1963" s="166"/>
      <c r="W1963" s="199" t="str">
        <f t="shared" si="39"/>
        <v>1w</v>
      </c>
      <c r="X1963" s="200">
        <f>_xll.qlCalendarAdvance(Calendar,X1962,W1963,"f",FALSE)</f>
        <v>52587</v>
      </c>
      <c r="Y1963" s="204">
        <f>_xll.qlCalendarAdvance(Calendar,X1963,NDays&amp;"D")</f>
        <v>52589</v>
      </c>
      <c r="Z1963" s="205">
        <v>3.5459172113673498E-2</v>
      </c>
      <c r="AA1963" s="207">
        <v>3.5410614141317964E-2</v>
      </c>
    </row>
    <row r="1964" spans="19:27" x14ac:dyDescent="0.2">
      <c r="S1964" s="165"/>
      <c r="T1964" s="166"/>
      <c r="W1964" s="199" t="str">
        <f t="shared" si="39"/>
        <v>1w</v>
      </c>
      <c r="X1964" s="200">
        <f>_xll.qlCalendarAdvance(Calendar,X1963,W1964,"f",FALSE)</f>
        <v>52594</v>
      </c>
      <c r="Y1964" s="204">
        <f>_xll.qlCalendarAdvance(Calendar,X1964,NDays&amp;"D")</f>
        <v>52596</v>
      </c>
      <c r="Z1964" s="205">
        <v>3.545076677670559E-2</v>
      </c>
      <c r="AA1964" s="207">
        <v>3.5407157249665033E-2</v>
      </c>
    </row>
    <row r="1965" spans="19:27" x14ac:dyDescent="0.2">
      <c r="S1965" s="165"/>
      <c r="T1965" s="166"/>
      <c r="W1965" s="199" t="str">
        <f t="shared" si="39"/>
        <v>1w</v>
      </c>
      <c r="X1965" s="200">
        <f>_xll.qlCalendarAdvance(Calendar,X1964,W1965,"f",FALSE)</f>
        <v>52601</v>
      </c>
      <c r="Y1965" s="204">
        <f>_xll.qlCalendarAdvance(Calendar,X1965,NDays&amp;"D")</f>
        <v>52603</v>
      </c>
      <c r="Z1965" s="205">
        <v>3.5451104040566395E-2</v>
      </c>
      <c r="AA1965" s="207">
        <v>3.5403704655854185E-2</v>
      </c>
    </row>
    <row r="1966" spans="19:27" x14ac:dyDescent="0.2">
      <c r="S1966" s="165"/>
      <c r="T1966" s="166"/>
      <c r="W1966" s="199" t="str">
        <f t="shared" si="39"/>
        <v>1w</v>
      </c>
      <c r="X1966" s="200">
        <f>_xll.qlCalendarAdvance(Calendar,X1965,W1966,"f",FALSE)</f>
        <v>52608</v>
      </c>
      <c r="Y1966" s="204">
        <f>_xll.qlCalendarAdvance(Calendar,X1966,NDays&amp;"D")</f>
        <v>52610</v>
      </c>
      <c r="Z1966" s="205">
        <v>3.544853517137464E-2</v>
      </c>
      <c r="AA1966" s="207">
        <v>3.5399682061756366E-2</v>
      </c>
    </row>
    <row r="1967" spans="19:27" x14ac:dyDescent="0.2">
      <c r="S1967" s="165"/>
      <c r="T1967" s="166"/>
      <c r="W1967" s="199" t="str">
        <f t="shared" si="39"/>
        <v>1w</v>
      </c>
      <c r="X1967" s="200">
        <f>_xll.qlCalendarAdvance(Calendar,X1966,W1967,"f",FALSE)</f>
        <v>52615</v>
      </c>
      <c r="Y1967" s="204">
        <f>_xll.qlCalendarAdvance(Calendar,X1967,NDays&amp;"D")</f>
        <v>52617</v>
      </c>
      <c r="Z1967" s="205">
        <v>3.544305944390258E-2</v>
      </c>
      <c r="AA1967" s="207">
        <v>3.5395665317539127E-2</v>
      </c>
    </row>
    <row r="1968" spans="19:27" x14ac:dyDescent="0.2">
      <c r="S1968" s="165"/>
      <c r="T1968" s="166"/>
      <c r="W1968" s="199" t="str">
        <f t="shared" si="39"/>
        <v>1w</v>
      </c>
      <c r="X1968" s="200">
        <f>_xll.qlCalendarAdvance(Calendar,X1967,W1968,"f",FALSE)</f>
        <v>52622</v>
      </c>
      <c r="Y1968" s="204">
        <f>_xll.qlCalendarAdvance(Calendar,X1968,NDays&amp;"D")</f>
        <v>52624</v>
      </c>
      <c r="Z1968" s="205">
        <v>3.5439045949218484E-2</v>
      </c>
      <c r="AA1968" s="207">
        <v>3.5391654423202468E-2</v>
      </c>
    </row>
    <row r="1969" spans="19:27" x14ac:dyDescent="0.2">
      <c r="S1969" s="165"/>
      <c r="T1969" s="166"/>
      <c r="W1969" s="199" t="str">
        <f t="shared" si="39"/>
        <v>1w</v>
      </c>
      <c r="X1969" s="200">
        <f>_xll.qlCalendarAdvance(Calendar,X1968,W1969,"f",FALSE)</f>
        <v>52629</v>
      </c>
      <c r="Y1969" s="204">
        <f>_xll.qlCalendarAdvance(Calendar,X1969,NDays&amp;"D")</f>
        <v>52631</v>
      </c>
      <c r="Z1969" s="205">
        <v>3.5430669597344901E-2</v>
      </c>
      <c r="AA1969" s="207">
        <v>3.5387649378666453E-2</v>
      </c>
    </row>
    <row r="1970" spans="19:27" x14ac:dyDescent="0.2">
      <c r="S1970" s="165"/>
      <c r="T1970" s="166"/>
      <c r="W1970" s="199" t="str">
        <f t="shared" si="39"/>
        <v>1w</v>
      </c>
      <c r="X1970" s="200">
        <f>_xll.qlCalendarAdvance(Calendar,X1969,W1970,"f",FALSE)</f>
        <v>52636</v>
      </c>
      <c r="Y1970" s="204">
        <f>_xll.qlCalendarAdvance(Calendar,X1970,NDays&amp;"D")</f>
        <v>52638</v>
      </c>
      <c r="Z1970" s="205">
        <v>3.5426667763162244E-2</v>
      </c>
      <c r="AA1970" s="207">
        <v>3.5383650184011017E-2</v>
      </c>
    </row>
    <row r="1971" spans="19:27" x14ac:dyDescent="0.2">
      <c r="S1971" s="165"/>
      <c r="T1971" s="166"/>
      <c r="W1971" s="199" t="str">
        <f t="shared" si="39"/>
        <v>1w</v>
      </c>
      <c r="X1971" s="200">
        <f>_xll.qlCalendarAdvance(Calendar,X1970,W1971,"f",FALSE)</f>
        <v>52643</v>
      </c>
      <c r="Y1971" s="204">
        <f>_xll.qlCalendarAdvance(Calendar,X1971,NDays&amp;"D")</f>
        <v>52645</v>
      </c>
      <c r="Z1971" s="205">
        <v>3.5422671796200782E-2</v>
      </c>
      <c r="AA1971" s="207">
        <v>3.5379656839156226E-2</v>
      </c>
    </row>
    <row r="1972" spans="19:27" x14ac:dyDescent="0.2">
      <c r="S1972" s="165"/>
      <c r="T1972" s="166"/>
      <c r="W1972" s="199" t="str">
        <f t="shared" si="39"/>
        <v>1w</v>
      </c>
      <c r="X1972" s="200">
        <f>_xll.qlCalendarAdvance(Calendar,X1971,W1972,"f",FALSE)</f>
        <v>52650</v>
      </c>
      <c r="Y1972" s="204">
        <f>_xll.qlCalendarAdvance(Calendar,X1972,NDays&amp;"D")</f>
        <v>52652</v>
      </c>
      <c r="Z1972" s="205">
        <v>3.5418681696441218E-2</v>
      </c>
      <c r="AA1972" s="207">
        <v>3.5375669344261951E-2</v>
      </c>
    </row>
    <row r="1973" spans="19:27" x14ac:dyDescent="0.2">
      <c r="S1973" s="165"/>
      <c r="T1973" s="166"/>
      <c r="W1973" s="199" t="str">
        <f t="shared" si="39"/>
        <v>1w</v>
      </c>
      <c r="X1973" s="200">
        <f>_xll.qlCalendarAdvance(Calendar,X1972,W1973,"f",FALSE)</f>
        <v>52657</v>
      </c>
      <c r="Y1973" s="204">
        <f>_xll.qlCalendarAdvance(Calendar,X1973,NDays&amp;"D")</f>
        <v>52659</v>
      </c>
      <c r="Z1973" s="205">
        <v>3.5419066512013819E-2</v>
      </c>
      <c r="AA1973" s="207">
        <v>3.5371687699168319E-2</v>
      </c>
    </row>
    <row r="1974" spans="19:27" x14ac:dyDescent="0.2">
      <c r="S1974" s="165"/>
      <c r="T1974" s="166"/>
      <c r="W1974" s="199" t="str">
        <f t="shared" si="39"/>
        <v>1w</v>
      </c>
      <c r="X1974" s="200">
        <f>_xll.qlCalendarAdvance(Calendar,X1973,W1974,"f",FALSE)</f>
        <v>52664</v>
      </c>
      <c r="Y1974" s="204">
        <f>_xll.qlCalendarAdvance(Calendar,X1974,NDays&amp;"D")</f>
        <v>52666</v>
      </c>
      <c r="Z1974" s="205">
        <v>3.5415088231776082E-2</v>
      </c>
      <c r="AA1974" s="207">
        <v>3.5367711903955268E-2</v>
      </c>
    </row>
    <row r="1975" spans="19:27" x14ac:dyDescent="0.2">
      <c r="S1975" s="165"/>
      <c r="T1975" s="166"/>
      <c r="W1975" s="199" t="str">
        <f t="shared" si="39"/>
        <v>1w</v>
      </c>
      <c r="X1975" s="200">
        <f>_xll.qlCalendarAdvance(Calendar,X1974,W1975,"f",FALSE)</f>
        <v>52671</v>
      </c>
      <c r="Y1975" s="204">
        <f>_xll.qlCalendarAdvance(Calendar,X1975,NDays&amp;"D")</f>
        <v>52673</v>
      </c>
      <c r="Z1975" s="205">
        <v>3.5412572423772951E-2</v>
      </c>
      <c r="AA1975" s="207">
        <v>3.5363741958462924E-2</v>
      </c>
    </row>
    <row r="1976" spans="19:27" x14ac:dyDescent="0.2">
      <c r="S1976" s="165"/>
      <c r="T1976" s="166"/>
      <c r="W1976" s="199" t="str">
        <f t="shared" si="39"/>
        <v>1w</v>
      </c>
      <c r="X1976" s="200">
        <f>_xll.qlCalendarAdvance(Calendar,X1975,W1976,"f",FALSE)</f>
        <v>52678</v>
      </c>
      <c r="Y1976" s="204">
        <f>_xll.qlCalendarAdvance(Calendar,X1976,NDays&amp;"D")</f>
        <v>52680</v>
      </c>
      <c r="Z1976" s="205">
        <v>3.5407149278448846E-2</v>
      </c>
      <c r="AA1976" s="207">
        <v>3.5359777863090969E-2</v>
      </c>
    </row>
    <row r="1977" spans="19:27" x14ac:dyDescent="0.2">
      <c r="S1977" s="165"/>
      <c r="T1977" s="166"/>
      <c r="W1977" s="199" t="str">
        <f t="shared" si="39"/>
        <v>1w</v>
      </c>
      <c r="X1977" s="200">
        <f>_xll.qlCalendarAdvance(Calendar,X1976,W1977,"f",FALSE)</f>
        <v>52685</v>
      </c>
      <c r="Y1977" s="204">
        <f>_xll.qlCalendarAdvance(Calendar,X1977,NDays&amp;"D")</f>
        <v>52687</v>
      </c>
      <c r="Z1977" s="205">
        <v>3.5398819205611207E-2</v>
      </c>
      <c r="AA1977" s="207">
        <v>3.5355819617359785E-2</v>
      </c>
    </row>
    <row r="1978" spans="19:27" x14ac:dyDescent="0.2">
      <c r="S1978" s="165"/>
      <c r="T1978" s="166"/>
      <c r="W1978" s="199" t="str">
        <f t="shared" si="39"/>
        <v>1w</v>
      </c>
      <c r="X1978" s="200">
        <f>_xll.qlCalendarAdvance(Calendar,X1977,W1978,"f",FALSE)</f>
        <v>52692</v>
      </c>
      <c r="Y1978" s="204">
        <f>_xll.qlCalendarAdvance(Calendar,X1978,NDays&amp;"D")</f>
        <v>52694</v>
      </c>
      <c r="Z1978" s="205">
        <v>3.5399233801282626E-2</v>
      </c>
      <c r="AA1978" s="207">
        <v>3.5351867221509181E-2</v>
      </c>
    </row>
    <row r="1979" spans="19:27" x14ac:dyDescent="0.2">
      <c r="S1979" s="165"/>
      <c r="T1979" s="166"/>
      <c r="W1979" s="199" t="str">
        <f t="shared" si="39"/>
        <v>1w</v>
      </c>
      <c r="X1979" s="200">
        <f>_xll.qlCalendarAdvance(Calendar,X1978,W1979,"f",FALSE)</f>
        <v>52699</v>
      </c>
      <c r="Y1979" s="204">
        <f>_xll.qlCalendarAdvance(Calendar,X1979,NDays&amp;"D")</f>
        <v>52701</v>
      </c>
      <c r="Z1979" s="205">
        <v>3.5395284866241161E-2</v>
      </c>
      <c r="AA1979" s="207">
        <v>3.5346794165613815E-2</v>
      </c>
    </row>
    <row r="1980" spans="19:27" x14ac:dyDescent="0.2">
      <c r="S1980" s="165"/>
      <c r="T1980" s="166"/>
      <c r="W1980" s="199" t="str">
        <f t="shared" si="39"/>
        <v>1w</v>
      </c>
      <c r="X1980" s="200">
        <f>_xll.qlCalendarAdvance(Calendar,X1979,W1980,"f",FALSE)</f>
        <v>52706</v>
      </c>
      <c r="Y1980" s="204">
        <f>_xll.qlCalendarAdvance(Calendar,X1980,NDays&amp;"D")</f>
        <v>52708</v>
      </c>
      <c r="Z1980" s="205">
        <v>3.5391341800224962E-2</v>
      </c>
      <c r="AA1980" s="207">
        <v>3.5343979979529649E-2</v>
      </c>
    </row>
    <row r="1981" spans="19:27" x14ac:dyDescent="0.2">
      <c r="S1981" s="165"/>
      <c r="T1981" s="166"/>
      <c r="W1981" s="199" t="str">
        <f t="shared" si="39"/>
        <v>1w</v>
      </c>
      <c r="X1981" s="200">
        <f>_xll.qlCalendarAdvance(Calendar,X1980,W1981,"f",FALSE)</f>
        <v>52713</v>
      </c>
      <c r="Y1981" s="204">
        <f>_xll.qlCalendarAdvance(Calendar,X1981,NDays&amp;"D")</f>
        <v>52715</v>
      </c>
      <c r="Z1981" s="205">
        <v>3.53888613939667E-2</v>
      </c>
      <c r="AA1981" s="207">
        <v>3.5339483489948975E-2</v>
      </c>
    </row>
    <row r="1982" spans="19:27" x14ac:dyDescent="0.2">
      <c r="S1982" s="165"/>
      <c r="T1982" s="166"/>
      <c r="W1982" s="199" t="str">
        <f t="shared" si="39"/>
        <v>1w</v>
      </c>
      <c r="X1982" s="200">
        <f>_xll.qlCalendarAdvance(Calendar,X1981,W1982,"f",FALSE)</f>
        <v>52720</v>
      </c>
      <c r="Y1982" s="204">
        <f>_xll.qlCalendarAdvance(Calendar,X1982,NDays&amp;"D")</f>
        <v>52722</v>
      </c>
      <c r="Z1982" s="205">
        <v>3.5383473275235888E-2</v>
      </c>
      <c r="AA1982" s="207">
        <v>3.5336116136992501E-2</v>
      </c>
    </row>
    <row r="1983" spans="19:27" x14ac:dyDescent="0.2">
      <c r="S1983" s="165"/>
      <c r="T1983" s="166"/>
      <c r="W1983" s="199" t="str">
        <f t="shared" si="39"/>
        <v>1w</v>
      </c>
      <c r="X1983" s="200">
        <f>_xll.qlCalendarAdvance(Calendar,X1982,W1983,"f",FALSE)</f>
        <v>52727</v>
      </c>
      <c r="Y1983" s="204">
        <f>_xll.qlCalendarAdvance(Calendar,X1983,NDays&amp;"D")</f>
        <v>52729</v>
      </c>
      <c r="Z1983" s="205">
        <v>3.5379547816248025E-2</v>
      </c>
      <c r="AA1983" s="207">
        <v>3.5332192990384925E-2</v>
      </c>
    </row>
    <row r="1984" spans="19:27" x14ac:dyDescent="0.2">
      <c r="S1984" s="165"/>
      <c r="T1984" s="166"/>
      <c r="W1984" s="199" t="str">
        <f t="shared" si="39"/>
        <v>1w</v>
      </c>
      <c r="X1984" s="200">
        <f>_xll.qlCalendarAdvance(Calendar,X1983,W1984,"f",FALSE)</f>
        <v>52734</v>
      </c>
      <c r="Y1984" s="204">
        <f>_xll.qlCalendarAdvance(Calendar,X1984,NDays&amp;"D")</f>
        <v>52736</v>
      </c>
      <c r="Z1984" s="205">
        <v>3.5375628226255451E-2</v>
      </c>
      <c r="AA1984" s="207">
        <v>3.5328275693897737E-2</v>
      </c>
    </row>
    <row r="1985" spans="19:27" x14ac:dyDescent="0.2">
      <c r="S1985" s="165"/>
      <c r="T1985" s="166"/>
      <c r="W1985" s="199" t="str">
        <f t="shared" si="39"/>
        <v>1w</v>
      </c>
      <c r="X1985" s="200">
        <f>_xll.qlCalendarAdvance(Calendar,X1984,W1985,"f",FALSE)</f>
        <v>52741</v>
      </c>
      <c r="Y1985" s="204">
        <f>_xll.qlCalendarAdvance(Calendar,X1985,NDays&amp;"D")</f>
        <v>52743</v>
      </c>
      <c r="Z1985" s="205">
        <v>3.5371714505258167E-2</v>
      </c>
      <c r="AA1985" s="207">
        <v>3.5323805946365638E-2</v>
      </c>
    </row>
    <row r="1986" spans="19:27" x14ac:dyDescent="0.2">
      <c r="S1986" s="165"/>
      <c r="T1986" s="166"/>
      <c r="W1986" s="199" t="str">
        <f t="shared" si="39"/>
        <v>1w</v>
      </c>
      <c r="X1986" s="200">
        <f>_xll.qlCalendarAdvance(Calendar,X1985,W1986,"f",FALSE)</f>
        <v>52748</v>
      </c>
      <c r="Y1986" s="204">
        <f>_xll.qlCalendarAdvance(Calendar,X1986,NDays&amp;"D")</f>
        <v>52750</v>
      </c>
      <c r="Z1986" s="205">
        <v>3.5369262855162731E-2</v>
      </c>
      <c r="AA1986" s="207">
        <v>3.5320458650085484E-2</v>
      </c>
    </row>
    <row r="1987" spans="19:27" x14ac:dyDescent="0.2">
      <c r="S1987" s="165"/>
      <c r="T1987" s="166"/>
      <c r="W1987" s="199" t="str">
        <f t="shared" si="39"/>
        <v>1w</v>
      </c>
      <c r="X1987" s="200">
        <f>_xll.qlCalendarAdvance(Calendar,X1986,W1987,"f",FALSE)</f>
        <v>52755</v>
      </c>
      <c r="Y1987" s="204">
        <f>_xll.qlCalendarAdvance(Calendar,X1987,NDays&amp;"D")</f>
        <v>52757</v>
      </c>
      <c r="Z1987" s="205">
        <v>3.5363900458466047E-2</v>
      </c>
      <c r="AA1987" s="207">
        <v>3.5316558902920292E-2</v>
      </c>
    </row>
    <row r="1988" spans="19:27" x14ac:dyDescent="0.2">
      <c r="S1988" s="165"/>
      <c r="T1988" s="166"/>
      <c r="W1988" s="199" t="str">
        <f t="shared" si="39"/>
        <v>1w</v>
      </c>
      <c r="X1988" s="200">
        <f>_xll.qlCalendarAdvance(Calendar,X1987,W1988,"f",FALSE)</f>
        <v>52762</v>
      </c>
      <c r="Y1988" s="204">
        <f>_xll.qlCalendarAdvance(Calendar,X1988,NDays&amp;"D")</f>
        <v>52764</v>
      </c>
      <c r="Z1988" s="205">
        <v>3.5359994341518652E-2</v>
      </c>
      <c r="AA1988" s="207">
        <v>3.5312665005715616E-2</v>
      </c>
    </row>
    <row r="1989" spans="19:27" x14ac:dyDescent="0.2">
      <c r="S1989" s="165"/>
      <c r="T1989" s="166"/>
      <c r="W1989" s="199" t="str">
        <f t="shared" si="39"/>
        <v>1w</v>
      </c>
      <c r="X1989" s="200">
        <f>_xll.qlCalendarAdvance(Calendar,X1988,W1989,"f",FALSE)</f>
        <v>52769</v>
      </c>
      <c r="Y1989" s="204">
        <f>_xll.qlCalendarAdvance(Calendar,X1989,NDays&amp;"D")</f>
        <v>52771</v>
      </c>
      <c r="Z1989" s="205">
        <v>3.5356084617131911E-2</v>
      </c>
      <c r="AA1989" s="207">
        <v>3.5308776909390716E-2</v>
      </c>
    </row>
    <row r="1990" spans="19:27" x14ac:dyDescent="0.2">
      <c r="S1990" s="165"/>
      <c r="T1990" s="166"/>
      <c r="W1990" s="199" t="str">
        <f t="shared" si="39"/>
        <v>1w</v>
      </c>
      <c r="X1990" s="200">
        <f>_xll.qlCalendarAdvance(Calendar,X1989,W1990,"f",FALSE)</f>
        <v>52776</v>
      </c>
      <c r="Y1990" s="204">
        <f>_xll.qlCalendarAdvance(Calendar,X1990,NDays&amp;"D")</f>
        <v>52778</v>
      </c>
      <c r="Z1990" s="205">
        <v>3.5347807751193422E-2</v>
      </c>
      <c r="AA1990" s="207">
        <v>3.5304886485247877E-2</v>
      </c>
    </row>
    <row r="1991" spans="19:27" x14ac:dyDescent="0.2">
      <c r="S1991" s="165"/>
      <c r="T1991" s="166"/>
      <c r="W1991" s="199" t="str">
        <f t="shared" si="39"/>
        <v>1w</v>
      </c>
      <c r="X1991" s="200">
        <f>_xll.qlCalendarAdvance(Calendar,X1990,W1991,"f",FALSE)</f>
        <v>52783</v>
      </c>
      <c r="Y1991" s="204">
        <f>_xll.qlCalendarAdvance(Calendar,X1991,NDays&amp;"D")</f>
        <v>52785</v>
      </c>
      <c r="Z1991" s="205">
        <v>3.5348243245732214E-2</v>
      </c>
      <c r="AA1991" s="207">
        <v>3.5300987514501614E-2</v>
      </c>
    </row>
    <row r="1992" spans="19:27" x14ac:dyDescent="0.2">
      <c r="S1992" s="165"/>
      <c r="T1992" s="166"/>
      <c r="W1992" s="199" t="str">
        <f t="shared" si="39"/>
        <v>1w</v>
      </c>
      <c r="X1992" s="200">
        <f>_xll.qlCalendarAdvance(Calendar,X1991,W1992,"f",FALSE)</f>
        <v>52790</v>
      </c>
      <c r="Y1992" s="204">
        <f>_xll.qlCalendarAdvance(Calendar,X1992,NDays&amp;"D")</f>
        <v>52792</v>
      </c>
      <c r="Z1992" s="205">
        <v>3.5344309752261271E-2</v>
      </c>
      <c r="AA1992" s="207">
        <v>3.529707999747167E-2</v>
      </c>
    </row>
    <row r="1993" spans="19:27" x14ac:dyDescent="0.2">
      <c r="S1993" s="165"/>
      <c r="T1993" s="166"/>
      <c r="W1993" s="199" t="str">
        <f t="shared" si="39"/>
        <v>1w</v>
      </c>
      <c r="X1993" s="200">
        <f>_xll.qlCalendarAdvance(Calendar,X1992,W1993,"f",FALSE)</f>
        <v>52797</v>
      </c>
      <c r="Y1993" s="204">
        <f>_xll.qlCalendarAdvance(Calendar,X1993,NDays&amp;"D")</f>
        <v>52799</v>
      </c>
      <c r="Z1993" s="205">
        <v>3.5340367687546614E-2</v>
      </c>
      <c r="AA1993" s="207">
        <v>3.5293163933678429E-2</v>
      </c>
    </row>
    <row r="1994" spans="19:27" x14ac:dyDescent="0.2">
      <c r="S1994" s="165"/>
      <c r="T1994" s="166"/>
      <c r="W1994" s="199" t="str">
        <f t="shared" si="39"/>
        <v>1w</v>
      </c>
      <c r="X1994" s="200">
        <f>_xll.qlCalendarAdvance(Calendar,X1993,W1994,"f",FALSE)</f>
        <v>52804</v>
      </c>
      <c r="Y1994" s="204">
        <f>_xll.qlCalendarAdvance(Calendar,X1994,NDays&amp;"D")</f>
        <v>52806</v>
      </c>
      <c r="Z1994" s="205">
        <v>3.5337866530747296E-2</v>
      </c>
      <c r="AA1994" s="207">
        <v>3.5289239323281762E-2</v>
      </c>
    </row>
    <row r="1995" spans="19:27" x14ac:dyDescent="0.2">
      <c r="S1995" s="165"/>
      <c r="T1995" s="166"/>
      <c r="W1995" s="199" t="str">
        <f t="shared" si="39"/>
        <v>1w</v>
      </c>
      <c r="X1995" s="200">
        <f>_xll.qlCalendarAdvance(Calendar,X1994,W1995,"f",FALSE)</f>
        <v>52811</v>
      </c>
      <c r="Y1995" s="204">
        <f>_xll.qlCalendarAdvance(Calendar,X1995,NDays&amp;"D")</f>
        <v>52813</v>
      </c>
      <c r="Z1995" s="205">
        <v>3.5333906323273823E-2</v>
      </c>
      <c r="AA1995" s="207">
        <v>3.528530616652148E-2</v>
      </c>
    </row>
    <row r="1996" spans="19:27" x14ac:dyDescent="0.2">
      <c r="S1996" s="165"/>
      <c r="T1996" s="166"/>
      <c r="W1996" s="199" t="str">
        <f t="shared" si="39"/>
        <v>1w</v>
      </c>
      <c r="X1996" s="200">
        <f>_xll.qlCalendarAdvance(Calendar,X1995,W1996,"f",FALSE)</f>
        <v>52818</v>
      </c>
      <c r="Y1996" s="204">
        <f>_xll.qlCalendarAdvance(Calendar,X1996,NDays&amp;"D")</f>
        <v>52820</v>
      </c>
      <c r="Z1996" s="205">
        <v>3.5328490066017793E-2</v>
      </c>
      <c r="AA1996" s="207">
        <v>3.52813644629979E-2</v>
      </c>
    </row>
    <row r="1997" spans="19:27" x14ac:dyDescent="0.2">
      <c r="S1997" s="165"/>
      <c r="T1997" s="166"/>
      <c r="W1997" s="199" t="str">
        <f t="shared" si="39"/>
        <v>1w</v>
      </c>
      <c r="X1997" s="200">
        <f>_xll.qlCalendarAdvance(Calendar,X1996,W1997,"f",FALSE)</f>
        <v>52825</v>
      </c>
      <c r="Y1997" s="204">
        <f>_xll.qlCalendarAdvance(Calendar,X1997,NDays&amp;"D")</f>
        <v>52827</v>
      </c>
      <c r="Z1997" s="205">
        <v>3.5324513716415706E-2</v>
      </c>
      <c r="AA1997" s="207">
        <v>3.5277414213030767E-2</v>
      </c>
    </row>
    <row r="1998" spans="19:27" x14ac:dyDescent="0.2">
      <c r="S1998" s="165"/>
      <c r="T1998" s="166"/>
      <c r="W1998" s="199" t="str">
        <f t="shared" si="39"/>
        <v>1w</v>
      </c>
      <c r="X1998" s="200">
        <f>_xll.qlCalendarAdvance(Calendar,X1997,W1998,"f",FALSE)</f>
        <v>52832</v>
      </c>
      <c r="Y1998" s="204">
        <f>_xll.qlCalendarAdvance(Calendar,X1998,NDays&amp;"D")</f>
        <v>52834</v>
      </c>
      <c r="Z1998" s="205">
        <v>3.5320528795607375E-2</v>
      </c>
      <c r="AA1998" s="207">
        <v>3.5272889176365396E-2</v>
      </c>
    </row>
    <row r="1999" spans="19:27" x14ac:dyDescent="0.2">
      <c r="S1999" s="165"/>
      <c r="T1999" s="166"/>
      <c r="W1999" s="199" t="str">
        <f t="shared" si="39"/>
        <v>1w</v>
      </c>
      <c r="X1999" s="200">
        <f>_xll.qlCalendarAdvance(Calendar,X1998,W1999,"f",FALSE)</f>
        <v>52839</v>
      </c>
      <c r="Y1999" s="204">
        <f>_xll.qlCalendarAdvance(Calendar,X1999,NDays&amp;"D")</f>
        <v>52841</v>
      </c>
      <c r="Z1999" s="205">
        <v>3.5316535303612784E-2</v>
      </c>
      <c r="AA1999" s="207">
        <v>3.526948807320629E-2</v>
      </c>
    </row>
    <row r="2000" spans="19:27" x14ac:dyDescent="0.2">
      <c r="S2000" s="165"/>
      <c r="T2000" s="166"/>
      <c r="W2000" s="199" t="str">
        <f t="shared" si="39"/>
        <v>1w</v>
      </c>
      <c r="X2000" s="200">
        <f>_xll.qlCalendarAdvance(Calendar,X1999,W2000,"f",FALSE)</f>
        <v>52846</v>
      </c>
      <c r="Y2000" s="204">
        <f>_xll.qlCalendarAdvance(Calendar,X2000,NDays&amp;"D")</f>
        <v>52848</v>
      </c>
      <c r="Z2000" s="205">
        <v>3.5313976705862907E-2</v>
      </c>
      <c r="AA2000" s="207">
        <v>3.5265512183508818E-2</v>
      </c>
    </row>
    <row r="2001" spans="19:27" x14ac:dyDescent="0.2">
      <c r="S2001" s="165"/>
      <c r="T2001" s="166"/>
      <c r="W2001" s="199" t="str">
        <f t="shared" si="39"/>
        <v>1w</v>
      </c>
      <c r="X2001" s="200">
        <f>_xll.qlCalendarAdvance(Calendar,X2000,W2001,"f",FALSE)</f>
        <v>52853</v>
      </c>
      <c r="Y2001" s="204">
        <f>_xll.qlCalendarAdvance(Calendar,X2001,NDays&amp;"D")</f>
        <v>52855</v>
      </c>
      <c r="Z2001" s="205">
        <v>3.5308522606079806E-2</v>
      </c>
      <c r="AA2001" s="207">
        <v>3.5261527747207921E-2</v>
      </c>
    </row>
    <row r="2002" spans="19:27" x14ac:dyDescent="0.2">
      <c r="S2002" s="165"/>
      <c r="T2002" s="166"/>
      <c r="W2002" s="199" t="str">
        <f t="shared" si="39"/>
        <v>1w</v>
      </c>
      <c r="X2002" s="200">
        <f>_xll.qlCalendarAdvance(Calendar,X2001,W2002,"f",FALSE)</f>
        <v>52860</v>
      </c>
      <c r="Y2002" s="204">
        <f>_xll.qlCalendarAdvance(Calendar,X2002,NDays&amp;"D")</f>
        <v>52862</v>
      </c>
      <c r="Z2002" s="205">
        <v>3.5304503400561404E-2</v>
      </c>
      <c r="AA2002" s="207">
        <v>3.5257534764383536E-2</v>
      </c>
    </row>
    <row r="2003" spans="19:27" x14ac:dyDescent="0.2">
      <c r="S2003" s="165"/>
      <c r="T2003" s="166"/>
      <c r="W2003" s="199" t="str">
        <f t="shared" si="39"/>
        <v>1w</v>
      </c>
      <c r="X2003" s="200">
        <f>_xll.qlCalendarAdvance(Calendar,X2002,W2003,"f",FALSE)</f>
        <v>52867</v>
      </c>
      <c r="Y2003" s="204">
        <f>_xll.qlCalendarAdvance(Calendar,X2003,NDays&amp;"D")</f>
        <v>52869</v>
      </c>
      <c r="Z2003" s="205">
        <v>3.5300475623891714E-2</v>
      </c>
      <c r="AA2003" s="207">
        <v>3.5253533234955725E-2</v>
      </c>
    </row>
    <row r="2004" spans="19:27" x14ac:dyDescent="0.2">
      <c r="S2004" s="165"/>
      <c r="T2004" s="166"/>
      <c r="W2004" s="199" t="str">
        <f t="shared" si="39"/>
        <v>1w</v>
      </c>
      <c r="X2004" s="200">
        <f>_xll.qlCalendarAdvance(Calendar,X2003,W2004,"f",FALSE)</f>
        <v>52874</v>
      </c>
      <c r="Y2004" s="204">
        <f>_xll.qlCalendarAdvance(Calendar,X2004,NDays&amp;"D")</f>
        <v>52876</v>
      </c>
      <c r="Z2004" s="205">
        <v>3.5296439276078229E-2</v>
      </c>
      <c r="AA2004" s="207">
        <v>3.5249523159004426E-2</v>
      </c>
    </row>
    <row r="2005" spans="19:27" x14ac:dyDescent="0.2">
      <c r="S2005" s="165"/>
      <c r="T2005" s="166"/>
      <c r="W2005" s="199" t="str">
        <f t="shared" ref="W2005:W2068" si="40">W2004</f>
        <v>1w</v>
      </c>
      <c r="X2005" s="200">
        <f>_xll.qlCalendarAdvance(Calendar,X2004,W2005,"f",FALSE)</f>
        <v>52881</v>
      </c>
      <c r="Y2005" s="204">
        <f>_xll.qlCalendarAdvance(Calendar,X2005,NDays&amp;"D")</f>
        <v>52883</v>
      </c>
      <c r="Z2005" s="205">
        <v>3.5292394357123447E-2</v>
      </c>
      <c r="AA2005" s="207">
        <v>3.5245504536529637E-2</v>
      </c>
    </row>
    <row r="2006" spans="19:27" x14ac:dyDescent="0.2">
      <c r="S2006" s="165"/>
      <c r="T2006" s="166"/>
      <c r="W2006" s="199" t="str">
        <f t="shared" si="40"/>
        <v>1w</v>
      </c>
      <c r="X2006" s="200">
        <f>_xll.qlCalendarAdvance(Calendar,X2005,W2006,"f",FALSE)</f>
        <v>52888</v>
      </c>
      <c r="Y2006" s="204">
        <f>_xll.qlCalendarAdvance(Calendar,X2006,NDays&amp;"D")</f>
        <v>52890</v>
      </c>
      <c r="Z2006" s="205">
        <v>3.5288340867042356E-2</v>
      </c>
      <c r="AA2006" s="207">
        <v>3.5241477367451424E-2</v>
      </c>
    </row>
    <row r="2007" spans="19:27" x14ac:dyDescent="0.2">
      <c r="S2007" s="165"/>
      <c r="T2007" s="166"/>
      <c r="W2007" s="199" t="str">
        <f t="shared" si="40"/>
        <v>1w</v>
      </c>
      <c r="X2007" s="200">
        <f>_xll.qlCalendarAdvance(Calendar,X2006,W2007,"f",FALSE)</f>
        <v>52895</v>
      </c>
      <c r="Y2007" s="204">
        <f>_xll.qlCalendarAdvance(Calendar,X2007,NDays&amp;"D")</f>
        <v>52897</v>
      </c>
      <c r="Z2007" s="205">
        <v>3.5284278805844949E-2</v>
      </c>
      <c r="AA2007" s="207">
        <v>3.5237441651689849E-2</v>
      </c>
    </row>
    <row r="2008" spans="19:27" x14ac:dyDescent="0.2">
      <c r="S2008" s="165"/>
      <c r="T2008" s="166"/>
      <c r="W2008" s="199" t="str">
        <f t="shared" si="40"/>
        <v>1w</v>
      </c>
      <c r="X2008" s="200">
        <f>_xll.qlCalendarAdvance(Calendar,X2007,W2008,"f",FALSE)</f>
        <v>52902</v>
      </c>
      <c r="Y2008" s="204">
        <f>_xll.qlCalendarAdvance(Calendar,X2008,NDays&amp;"D")</f>
        <v>52904</v>
      </c>
      <c r="Z2008" s="205">
        <v>3.5280208173541217E-2</v>
      </c>
      <c r="AA2008" s="207">
        <v>3.5233397389484722E-2</v>
      </c>
    </row>
    <row r="2009" spans="19:27" x14ac:dyDescent="0.2">
      <c r="S2009" s="165"/>
      <c r="T2009" s="166"/>
      <c r="W2009" s="199" t="str">
        <f t="shared" si="40"/>
        <v>1w</v>
      </c>
      <c r="X2009" s="200">
        <f>_xll.qlCalendarAdvance(Calendar,X2008,W2009,"f",FALSE)</f>
        <v>52909</v>
      </c>
      <c r="Y2009" s="204">
        <f>_xll.qlCalendarAdvance(Calendar,X2009,NDays&amp;"D")</f>
        <v>52911</v>
      </c>
      <c r="Z2009" s="205">
        <v>3.5276128970136156E-2</v>
      </c>
      <c r="AA2009" s="207">
        <v>3.5229344580756106E-2</v>
      </c>
    </row>
    <row r="2010" spans="19:27" x14ac:dyDescent="0.2">
      <c r="S2010" s="165"/>
      <c r="T2010" s="166"/>
      <c r="W2010" s="199" t="str">
        <f t="shared" si="40"/>
        <v>1w</v>
      </c>
      <c r="X2010" s="200">
        <f>_xll.qlCalendarAdvance(Calendar,X2009,W2010,"f",FALSE)</f>
        <v>52916</v>
      </c>
      <c r="Y2010" s="204">
        <f>_xll.qlCalendarAdvance(Calendar,X2010,NDays&amp;"D")</f>
        <v>52918</v>
      </c>
      <c r="Z2010" s="205">
        <v>3.5272041195639758E-2</v>
      </c>
      <c r="AA2010" s="207">
        <v>3.5225283225424064E-2</v>
      </c>
    </row>
    <row r="2011" spans="19:27" x14ac:dyDescent="0.2">
      <c r="S2011" s="165"/>
      <c r="T2011" s="166"/>
      <c r="W2011" s="199" t="str">
        <f t="shared" si="40"/>
        <v>1w</v>
      </c>
      <c r="X2011" s="200">
        <f>_xll.qlCalendarAdvance(Calendar,X2010,W2011,"f",FALSE)</f>
        <v>52923</v>
      </c>
      <c r="Y2011" s="204">
        <f>_xll.qlCalendarAdvance(Calendar,X2011,NDays&amp;"D")</f>
        <v>52925</v>
      </c>
      <c r="Z2011" s="205">
        <v>3.5268791179439353E-2</v>
      </c>
      <c r="AA2011" s="207">
        <v>3.5221213323488598E-2</v>
      </c>
    </row>
    <row r="2012" spans="19:27" x14ac:dyDescent="0.2">
      <c r="S2012" s="165"/>
      <c r="T2012" s="166"/>
      <c r="W2012" s="199" t="str">
        <f t="shared" si="40"/>
        <v>1w</v>
      </c>
      <c r="X2012" s="200">
        <f>_xll.qlCalendarAdvance(Calendar,X2011,W2012,"f",FALSE)</f>
        <v>52930</v>
      </c>
      <c r="Y2012" s="204">
        <f>_xll.qlCalendarAdvance(Calendar,X2012,NDays&amp;"D")</f>
        <v>52932</v>
      </c>
      <c r="Z2012" s="205">
        <v>3.5265271285688342E-2</v>
      </c>
      <c r="AA2012" s="207">
        <v>3.5217134874949707E-2</v>
      </c>
    </row>
    <row r="2013" spans="19:27" x14ac:dyDescent="0.2">
      <c r="S2013" s="165"/>
      <c r="T2013" s="166"/>
      <c r="W2013" s="199" t="str">
        <f t="shared" si="40"/>
        <v>1w</v>
      </c>
      <c r="X2013" s="200">
        <f>_xll.qlCalendarAdvance(Calendar,X2012,W2013,"f",FALSE)</f>
        <v>52937</v>
      </c>
      <c r="Y2013" s="204">
        <f>_xll.qlCalendarAdvance(Calendar,X2013,NDays&amp;"D")</f>
        <v>52939</v>
      </c>
      <c r="Z2013" s="205">
        <v>3.5259726445707462E-2</v>
      </c>
      <c r="AA2013" s="207">
        <v>3.5213047879967263E-2</v>
      </c>
    </row>
    <row r="2014" spans="19:27" x14ac:dyDescent="0.2">
      <c r="S2014" s="165"/>
      <c r="T2014" s="166"/>
      <c r="W2014" s="199" t="str">
        <f t="shared" si="40"/>
        <v>1w</v>
      </c>
      <c r="X2014" s="200">
        <f>_xll.qlCalendarAdvance(Calendar,X2013,W2014,"f",FALSE)</f>
        <v>52944</v>
      </c>
      <c r="Y2014" s="204">
        <f>_xll.qlCalendarAdvance(Calendar,X2014,NDays&amp;"D")</f>
        <v>52946</v>
      </c>
      <c r="Z2014" s="205">
        <v>3.5257033709268561E-2</v>
      </c>
      <c r="AA2014" s="207">
        <v>3.5208952338301458E-2</v>
      </c>
    </row>
    <row r="2015" spans="19:27" x14ac:dyDescent="0.2">
      <c r="S2015" s="165"/>
      <c r="T2015" s="166"/>
      <c r="W2015" s="199" t="str">
        <f t="shared" si="40"/>
        <v>1w</v>
      </c>
      <c r="X2015" s="200">
        <f>_xll.qlCalendarAdvance(Calendar,X2014,W2015,"f",FALSE)</f>
        <v>52951</v>
      </c>
      <c r="Y2015" s="204">
        <f>_xll.qlCalendarAdvance(Calendar,X2015,NDays&amp;"D")</f>
        <v>52953</v>
      </c>
      <c r="Z2015" s="205">
        <v>3.5251473757144935E-2</v>
      </c>
      <c r="AA2015" s="207">
        <v>3.5203674083907899E-2</v>
      </c>
    </row>
    <row r="2016" spans="19:27" x14ac:dyDescent="0.2">
      <c r="S2016" s="165"/>
      <c r="T2016" s="166"/>
      <c r="W2016" s="199" t="str">
        <f t="shared" si="40"/>
        <v>1w</v>
      </c>
      <c r="X2016" s="200">
        <f>_xll.qlCalendarAdvance(Calendar,X2015,W2016,"f",FALSE)</f>
        <v>52959</v>
      </c>
      <c r="Y2016" s="204">
        <f>_xll.qlCalendarAdvance(Calendar,X2016,NDays&amp;"D")</f>
        <v>52961</v>
      </c>
      <c r="Z2016" s="205">
        <v>3.5246742542222598E-2</v>
      </c>
      <c r="AA2016" s="207">
        <v>3.5199559007388359E-2</v>
      </c>
    </row>
    <row r="2017" spans="19:27" x14ac:dyDescent="0.2">
      <c r="S2017" s="165"/>
      <c r="T2017" s="166"/>
      <c r="W2017" s="199" t="str">
        <f t="shared" si="40"/>
        <v>1w</v>
      </c>
      <c r="X2017" s="200">
        <f>_xll.qlCalendarAdvance(Calendar,X2016,W2017,"f",FALSE)</f>
        <v>52966</v>
      </c>
      <c r="Y2017" s="204">
        <f>_xll.qlCalendarAdvance(Calendar,X2017,NDays&amp;"D")</f>
        <v>52968</v>
      </c>
      <c r="Z2017" s="205">
        <v>3.5241167415836085E-2</v>
      </c>
      <c r="AA2017" s="207">
        <v>3.5196024996384523E-2</v>
      </c>
    </row>
    <row r="2018" spans="19:27" x14ac:dyDescent="0.2">
      <c r="S2018" s="165"/>
      <c r="T2018" s="166"/>
      <c r="W2018" s="199" t="str">
        <f t="shared" si="40"/>
        <v>1w</v>
      </c>
      <c r="X2018" s="200">
        <f>_xll.qlCalendarAdvance(Calendar,X2017,W2018,"f",FALSE)</f>
        <v>52973</v>
      </c>
      <c r="Y2018" s="204">
        <f>_xll.qlCalendarAdvance(Calendar,X2018,NDays&amp;"D")</f>
        <v>52975</v>
      </c>
      <c r="Z2018" s="205">
        <v>3.5237010867017401E-2</v>
      </c>
      <c r="AA2018" s="207">
        <v>3.5191894047681416E-2</v>
      </c>
    </row>
    <row r="2019" spans="19:27" x14ac:dyDescent="0.2">
      <c r="S2019" s="165"/>
      <c r="T2019" s="166"/>
      <c r="W2019" s="199" t="str">
        <f t="shared" si="40"/>
        <v>1w</v>
      </c>
      <c r="X2019" s="200">
        <f>_xll.qlCalendarAdvance(Calendar,X2018,W2019,"f",FALSE)</f>
        <v>52980</v>
      </c>
      <c r="Y2019" s="204">
        <f>_xll.qlCalendarAdvance(Calendar,X2019,NDays&amp;"D")</f>
        <v>52982</v>
      </c>
      <c r="Z2019" s="205">
        <v>3.5234269840308807E-2</v>
      </c>
      <c r="AA2019" s="207">
        <v>3.5187754552294948E-2</v>
      </c>
    </row>
    <row r="2020" spans="19:27" x14ac:dyDescent="0.2">
      <c r="S2020" s="165"/>
      <c r="T2020" s="166"/>
      <c r="W2020" s="199" t="str">
        <f t="shared" si="40"/>
        <v>1w</v>
      </c>
      <c r="X2020" s="200">
        <f>_xll.qlCalendarAdvance(Calendar,X2019,W2020,"f",FALSE)</f>
        <v>52987</v>
      </c>
      <c r="Y2020" s="204">
        <f>_xll.qlCalendarAdvance(Calendar,X2020,NDays&amp;"D")</f>
        <v>52989</v>
      </c>
      <c r="Z2020" s="205">
        <v>3.5228672058741257E-2</v>
      </c>
      <c r="AA2020" s="207">
        <v>3.5183606510544863E-2</v>
      </c>
    </row>
    <row r="2021" spans="19:27" x14ac:dyDescent="0.2">
      <c r="S2021" s="165"/>
      <c r="T2021" s="166"/>
      <c r="W2021" s="199" t="str">
        <f t="shared" si="40"/>
        <v>1w</v>
      </c>
      <c r="X2021" s="200">
        <f>_xll.qlCalendarAdvance(Calendar,X2020,W2021,"f",FALSE)</f>
        <v>52994</v>
      </c>
      <c r="Y2021" s="204">
        <f>_xll.qlCalendarAdvance(Calendar,X2021,NDays&amp;"D")</f>
        <v>52996</v>
      </c>
      <c r="Z2021" s="205">
        <v>3.5220223617134581E-2</v>
      </c>
      <c r="AA2021" s="207">
        <v>3.517944992203148E-2</v>
      </c>
    </row>
    <row r="2022" spans="19:27" x14ac:dyDescent="0.2">
      <c r="S2022" s="165"/>
      <c r="T2022" s="166"/>
      <c r="W2022" s="199" t="str">
        <f t="shared" si="40"/>
        <v>1w</v>
      </c>
      <c r="X2022" s="200">
        <f>_xll.qlCalendarAdvance(Calendar,X2021,W2022,"f",FALSE)</f>
        <v>53001</v>
      </c>
      <c r="Y2022" s="204">
        <f>_xll.qlCalendarAdvance(Calendar,X2022,NDays&amp;"D")</f>
        <v>53003</v>
      </c>
      <c r="Z2022" s="205">
        <v>3.5216035851520298E-2</v>
      </c>
      <c r="AA2022" s="207">
        <v>3.5175284787074546E-2</v>
      </c>
    </row>
    <row r="2023" spans="19:27" x14ac:dyDescent="0.2">
      <c r="S2023" s="165"/>
      <c r="T2023" s="166"/>
      <c r="W2023" s="199" t="str">
        <f t="shared" si="40"/>
        <v>1w</v>
      </c>
      <c r="X2023" s="200">
        <f>_xll.qlCalendarAdvance(Calendar,X2022,W2023,"f",FALSE)</f>
        <v>53008</v>
      </c>
      <c r="Y2023" s="204">
        <f>_xll.qlCalendarAdvance(Calendar,X2023,NDays&amp;"D")</f>
        <v>53010</v>
      </c>
      <c r="Z2023" s="205">
        <v>3.521183951809384E-2</v>
      </c>
      <c r="AA2023" s="207">
        <v>3.517111110543425E-2</v>
      </c>
    </row>
    <row r="2024" spans="19:27" x14ac:dyDescent="0.2">
      <c r="S2024" s="165"/>
      <c r="T2024" s="166"/>
      <c r="W2024" s="199" t="str">
        <f t="shared" si="40"/>
        <v>1w</v>
      </c>
      <c r="X2024" s="200">
        <f>_xll.qlCalendarAdvance(Calendar,X2023,W2024,"f",FALSE)</f>
        <v>53015</v>
      </c>
      <c r="Y2024" s="204">
        <f>_xll.qlCalendarAdvance(Calendar,X2024,NDays&amp;"D")</f>
        <v>53017</v>
      </c>
      <c r="Z2024" s="205">
        <v>3.5207634616858066E-2</v>
      </c>
      <c r="AA2024" s="207">
        <v>3.5166928877350401E-2</v>
      </c>
    </row>
    <row r="2025" spans="19:27" x14ac:dyDescent="0.2">
      <c r="S2025" s="165"/>
      <c r="T2025" s="166"/>
      <c r="W2025" s="199" t="str">
        <f t="shared" si="40"/>
        <v>1w</v>
      </c>
      <c r="X2025" s="200">
        <f>_xll.qlCalendarAdvance(Calendar,X2024,W2025,"f",FALSE)</f>
        <v>53022</v>
      </c>
      <c r="Y2025" s="204">
        <f>_xll.qlCalendarAdvance(Calendar,X2025,NDays&amp;"D")</f>
        <v>53024</v>
      </c>
      <c r="Z2025" s="205">
        <v>3.5207675059773354E-2</v>
      </c>
      <c r="AA2025" s="207">
        <v>3.5162738102583191E-2</v>
      </c>
    </row>
    <row r="2026" spans="19:27" x14ac:dyDescent="0.2">
      <c r="S2026" s="165"/>
      <c r="T2026" s="166"/>
      <c r="W2026" s="199" t="str">
        <f t="shared" si="40"/>
        <v>1w</v>
      </c>
      <c r="X2026" s="200">
        <f>_xll.qlCalendarAdvance(Calendar,X2025,W2026,"f",FALSE)</f>
        <v>53029</v>
      </c>
      <c r="Y2026" s="204">
        <f>_xll.qlCalendarAdvance(Calendar,X2026,NDays&amp;"D")</f>
        <v>53031</v>
      </c>
      <c r="Z2026" s="205">
        <v>3.5204866884813446E-2</v>
      </c>
      <c r="AA2026" s="207">
        <v>3.5158538781372428E-2</v>
      </c>
    </row>
    <row r="2027" spans="19:27" x14ac:dyDescent="0.2">
      <c r="S2027" s="165"/>
      <c r="T2027" s="166"/>
      <c r="W2027" s="199" t="str">
        <f t="shared" si="40"/>
        <v>1w</v>
      </c>
      <c r="X2027" s="200">
        <f>_xll.qlCalendarAdvance(Calendar,X2026,W2027,"f",FALSE)</f>
        <v>53036</v>
      </c>
      <c r="Y2027" s="204">
        <f>_xll.qlCalendarAdvance(Calendar,X2027,NDays&amp;"D")</f>
        <v>53038</v>
      </c>
      <c r="Z2027" s="205">
        <v>3.5199216269065477E-2</v>
      </c>
      <c r="AA2027" s="207">
        <v>3.5154330913718113E-2</v>
      </c>
    </row>
    <row r="2028" spans="19:27" x14ac:dyDescent="0.2">
      <c r="S2028" s="165"/>
      <c r="T2028" s="166"/>
      <c r="W2028" s="199" t="str">
        <f t="shared" si="40"/>
        <v>1w</v>
      </c>
      <c r="X2028" s="200">
        <f>_xll.qlCalendarAdvance(Calendar,X2027,W2028,"f",FALSE)</f>
        <v>53043</v>
      </c>
      <c r="Y2028" s="204">
        <f>_xll.qlCalendarAdvance(Calendar,X2028,NDays&amp;"D")</f>
        <v>53045</v>
      </c>
      <c r="Z2028" s="205">
        <v>3.519497401851205E-2</v>
      </c>
      <c r="AA2028" s="207">
        <v>3.51501144993005E-2</v>
      </c>
    </row>
    <row r="2029" spans="19:27" x14ac:dyDescent="0.2">
      <c r="S2029" s="165"/>
      <c r="T2029" s="166"/>
      <c r="W2029" s="199" t="str">
        <f t="shared" si="40"/>
        <v>1w</v>
      </c>
      <c r="X2029" s="200">
        <f>_xll.qlCalendarAdvance(Calendar,X2028,W2029,"f",FALSE)</f>
        <v>53050</v>
      </c>
      <c r="Y2029" s="204">
        <f>_xll.qlCalendarAdvance(Calendar,X2029,NDays&amp;"D")</f>
        <v>53052</v>
      </c>
      <c r="Z2029" s="205">
        <v>3.5186481593879125E-2</v>
      </c>
      <c r="AA2029" s="207">
        <v>3.514588953851927E-2</v>
      </c>
    </row>
    <row r="2030" spans="19:27" x14ac:dyDescent="0.2">
      <c r="S2030" s="165"/>
      <c r="T2030" s="166"/>
      <c r="W2030" s="199" t="str">
        <f t="shared" si="40"/>
        <v>1w</v>
      </c>
      <c r="X2030" s="200">
        <f>_xll.qlCalendarAdvance(Calendar,X2029,W2030,"f",FALSE)</f>
        <v>53057</v>
      </c>
      <c r="Y2030" s="204">
        <f>_xll.qlCalendarAdvance(Calendar,X2030,NDays&amp;"D")</f>
        <v>53063</v>
      </c>
      <c r="Z2030" s="205">
        <v>3.5182613774973781E-2</v>
      </c>
      <c r="AA2030" s="207">
        <v>3.5140444887709066E-2</v>
      </c>
    </row>
    <row r="2031" spans="19:27" x14ac:dyDescent="0.2">
      <c r="S2031" s="165"/>
      <c r="T2031" s="166"/>
      <c r="W2031" s="199" t="str">
        <f t="shared" si="40"/>
        <v>1w</v>
      </c>
      <c r="X2031" s="200">
        <f>_xll.qlCalendarAdvance(Calendar,X2030,W2031,"f",FALSE)</f>
        <v>53064</v>
      </c>
      <c r="Y2031" s="204">
        <f>_xll.qlCalendarAdvance(Calendar,X2031,NDays&amp;"D")</f>
        <v>53066</v>
      </c>
      <c r="Z2031" s="205">
        <v>3.5182195846151822E-2</v>
      </c>
      <c r="AA2031" s="207">
        <v>3.5137413976986664E-2</v>
      </c>
    </row>
    <row r="2032" spans="19:27" x14ac:dyDescent="0.2">
      <c r="S2032" s="165"/>
      <c r="T2032" s="166"/>
      <c r="W2032" s="199" t="str">
        <f t="shared" si="40"/>
        <v>1w</v>
      </c>
      <c r="X2032" s="200">
        <f>_xll.qlCalendarAdvance(Calendar,X2031,W2032,"f",FALSE)</f>
        <v>53071</v>
      </c>
      <c r="Y2032" s="204">
        <f>_xll.qlCalendarAdvance(Calendar,X2032,NDays&amp;"D")</f>
        <v>53073</v>
      </c>
      <c r="Z2032" s="205">
        <v>3.517791931516958E-2</v>
      </c>
      <c r="AA2032" s="207">
        <v>3.513316337639516E-2</v>
      </c>
    </row>
    <row r="2033" spans="19:27" x14ac:dyDescent="0.2">
      <c r="S2033" s="165"/>
      <c r="T2033" s="166"/>
      <c r="W2033" s="199" t="str">
        <f t="shared" si="40"/>
        <v>1w</v>
      </c>
      <c r="X2033" s="200">
        <f>_xll.qlCalendarAdvance(Calendar,X2032,W2033,"f",FALSE)</f>
        <v>53078</v>
      </c>
      <c r="Y2033" s="204">
        <f>_xll.qlCalendarAdvance(Calendar,X2033,NDays&amp;"D")</f>
        <v>53080</v>
      </c>
      <c r="Z2033" s="205">
        <v>3.5176453687130085E-2</v>
      </c>
      <c r="AA2033" s="207">
        <v>3.5128295082067496E-2</v>
      </c>
    </row>
    <row r="2034" spans="19:27" x14ac:dyDescent="0.2">
      <c r="S2034" s="165"/>
      <c r="T2034" s="166"/>
      <c r="W2034" s="199" t="str">
        <f t="shared" si="40"/>
        <v>1w</v>
      </c>
      <c r="X2034" s="200">
        <f>_xll.qlCalendarAdvance(Calendar,X2033,W2034,"f",FALSE)</f>
        <v>53085</v>
      </c>
      <c r="Y2034" s="204">
        <f>_xll.qlCalendarAdvance(Calendar,X2034,NDays&amp;"D")</f>
        <v>53087</v>
      </c>
      <c r="Z2034" s="205">
        <v>3.5169340542947944E-2</v>
      </c>
      <c r="AA2034" s="207">
        <v>3.5124636535641685E-2</v>
      </c>
    </row>
    <row r="2035" spans="19:27" x14ac:dyDescent="0.2">
      <c r="S2035" s="165"/>
      <c r="T2035" s="166"/>
      <c r="W2035" s="199" t="str">
        <f t="shared" si="40"/>
        <v>1w</v>
      </c>
      <c r="X2035" s="200">
        <f>_xll.qlCalendarAdvance(Calendar,X2034,W2035,"f",FALSE)</f>
        <v>53092</v>
      </c>
      <c r="Y2035" s="204">
        <f>_xll.qlCalendarAdvance(Calendar,X2035,NDays&amp;"D")</f>
        <v>53094</v>
      </c>
      <c r="Z2035" s="205">
        <v>3.5165038301734342E-2</v>
      </c>
      <c r="AA2035" s="207">
        <v>3.5120360295479713E-2</v>
      </c>
    </row>
    <row r="2036" spans="19:27" x14ac:dyDescent="0.2">
      <c r="S2036" s="165"/>
      <c r="T2036" s="166"/>
      <c r="W2036" s="199" t="str">
        <f t="shared" si="40"/>
        <v>1w</v>
      </c>
      <c r="X2036" s="200">
        <f>_xll.qlCalendarAdvance(Calendar,X2035,W2036,"f",FALSE)</f>
        <v>53099</v>
      </c>
      <c r="Y2036" s="204">
        <f>_xll.qlCalendarAdvance(Calendar,X2036,NDays&amp;"D")</f>
        <v>53101</v>
      </c>
      <c r="Z2036" s="205">
        <v>3.5160727490467683E-2</v>
      </c>
      <c r="AA2036" s="207">
        <v>3.5116075508634381E-2</v>
      </c>
    </row>
    <row r="2037" spans="19:27" x14ac:dyDescent="0.2">
      <c r="S2037" s="165"/>
      <c r="T2037" s="166"/>
      <c r="W2037" s="199" t="str">
        <f t="shared" si="40"/>
        <v>1w</v>
      </c>
      <c r="X2037" s="200">
        <f>_xll.qlCalendarAdvance(Calendar,X2036,W2037,"f",FALSE)</f>
        <v>53106</v>
      </c>
      <c r="Y2037" s="204">
        <f>_xll.qlCalendarAdvance(Calendar,X2037,NDays&amp;"D")</f>
        <v>53108</v>
      </c>
      <c r="Z2037" s="205">
        <v>3.515640810915055E-2</v>
      </c>
      <c r="AA2037" s="207">
        <v>3.5111168144359439E-2</v>
      </c>
    </row>
    <row r="2038" spans="19:27" x14ac:dyDescent="0.2">
      <c r="S2038" s="165"/>
      <c r="T2038" s="166"/>
      <c r="W2038" s="199" t="str">
        <f t="shared" si="40"/>
        <v>1w</v>
      </c>
      <c r="X2038" s="200">
        <f>_xll.qlCalendarAdvance(Calendar,X2037,W2038,"f",FALSE)</f>
        <v>53113</v>
      </c>
      <c r="Y2038" s="204">
        <f>_xll.qlCalendarAdvance(Calendar,X2038,NDays&amp;"D")</f>
        <v>53115</v>
      </c>
      <c r="Z2038" s="205">
        <v>3.5152080157800983E-2</v>
      </c>
      <c r="AA2038" s="207">
        <v>3.5107480295533122E-2</v>
      </c>
    </row>
    <row r="2039" spans="19:27" x14ac:dyDescent="0.2">
      <c r="S2039" s="165"/>
      <c r="T2039" s="166"/>
      <c r="W2039" s="199" t="str">
        <f t="shared" si="40"/>
        <v>1w</v>
      </c>
      <c r="X2039" s="200">
        <f>_xll.qlCalendarAdvance(Calendar,X2038,W2039,"f",FALSE)</f>
        <v>53120</v>
      </c>
      <c r="Y2039" s="204">
        <f>_xll.qlCalendarAdvance(Calendar,X2039,NDays&amp;"D")</f>
        <v>53122</v>
      </c>
      <c r="Z2039" s="205">
        <v>3.5147743636418996E-2</v>
      </c>
      <c r="AA2039" s="207">
        <v>3.5103169868957451E-2</v>
      </c>
    </row>
    <row r="2040" spans="19:27" x14ac:dyDescent="0.2">
      <c r="S2040" s="165"/>
      <c r="T2040" s="166"/>
      <c r="W2040" s="199" t="str">
        <f t="shared" si="40"/>
        <v>1w</v>
      </c>
      <c r="X2040" s="200">
        <f>_xll.qlCalendarAdvance(Calendar,X2039,W2040,"f",FALSE)</f>
        <v>53127</v>
      </c>
      <c r="Y2040" s="204">
        <f>_xll.qlCalendarAdvance(Calendar,X2040,NDays&amp;"D")</f>
        <v>53129</v>
      </c>
      <c r="Z2040" s="205">
        <v>3.5143398545022637E-2</v>
      </c>
      <c r="AA2040" s="207">
        <v>3.5098850896178035E-2</v>
      </c>
    </row>
    <row r="2041" spans="19:27" x14ac:dyDescent="0.2">
      <c r="S2041" s="165"/>
      <c r="T2041" s="166"/>
      <c r="W2041" s="199" t="str">
        <f t="shared" si="40"/>
        <v>1w</v>
      </c>
      <c r="X2041" s="200">
        <f>_xll.qlCalendarAdvance(Calendar,X2040,W2041,"f",FALSE)</f>
        <v>53134</v>
      </c>
      <c r="Y2041" s="204">
        <f>_xll.qlCalendarAdvance(Calendar,X2041,NDays&amp;"D")</f>
        <v>53136</v>
      </c>
      <c r="Z2041" s="205">
        <v>3.5139044883617056E-2</v>
      </c>
      <c r="AA2041" s="207">
        <v>3.5094523376475451E-2</v>
      </c>
    </row>
    <row r="2042" spans="19:27" x14ac:dyDescent="0.2">
      <c r="S2042" s="165"/>
      <c r="T2042" s="166"/>
      <c r="W2042" s="199" t="str">
        <f t="shared" si="40"/>
        <v>1w</v>
      </c>
      <c r="X2042" s="200">
        <f>_xll.qlCalendarAdvance(Calendar,X2041,W2042,"f",FALSE)</f>
        <v>53141</v>
      </c>
      <c r="Y2042" s="204">
        <f>_xll.qlCalendarAdvance(Calendar,X2042,NDays&amp;"D")</f>
        <v>53143</v>
      </c>
      <c r="Z2042" s="205">
        <v>3.5134682652212569E-2</v>
      </c>
      <c r="AA2042" s="207">
        <v>3.5090187310409249E-2</v>
      </c>
    </row>
    <row r="2043" spans="19:27" x14ac:dyDescent="0.2">
      <c r="S2043" s="165"/>
      <c r="T2043" s="166"/>
      <c r="W2043" s="199" t="str">
        <f t="shared" si="40"/>
        <v>1w</v>
      </c>
      <c r="X2043" s="200">
        <f>_xll.qlCalendarAdvance(Calendar,X2042,W2043,"f",FALSE)</f>
        <v>53148</v>
      </c>
      <c r="Y2043" s="204">
        <f>_xll.qlCalendarAdvance(Calendar,X2043,NDays&amp;"D")</f>
        <v>53150</v>
      </c>
      <c r="Z2043" s="205">
        <v>3.513031185081434E-2</v>
      </c>
      <c r="AA2043" s="207">
        <v>3.5085842697739622E-2</v>
      </c>
    </row>
    <row r="2044" spans="19:27" x14ac:dyDescent="0.2">
      <c r="S2044" s="165"/>
      <c r="T2044" s="166"/>
      <c r="W2044" s="199" t="str">
        <f t="shared" si="40"/>
        <v>1w</v>
      </c>
      <c r="X2044" s="200">
        <f>_xll.qlCalendarAdvance(Calendar,X2043,W2044,"f",FALSE)</f>
        <v>53155</v>
      </c>
      <c r="Y2044" s="204">
        <f>_xll.qlCalendarAdvance(Calendar,X2044,NDays&amp;"D")</f>
        <v>53157</v>
      </c>
      <c r="Z2044" s="205">
        <v>3.5125932479442991E-2</v>
      </c>
      <c r="AA2044" s="207">
        <v>3.508148953846657E-2</v>
      </c>
    </row>
    <row r="2045" spans="19:27" x14ac:dyDescent="0.2">
      <c r="S2045" s="165"/>
      <c r="T2045" s="166"/>
      <c r="W2045" s="199" t="str">
        <f t="shared" si="40"/>
        <v>1w</v>
      </c>
      <c r="X2045" s="200">
        <f>_xll.qlCalendarAdvance(Calendar,X2044,W2045,"f",FALSE)</f>
        <v>53162</v>
      </c>
      <c r="Y2045" s="204">
        <f>_xll.qlCalendarAdvance(Calendar,X2045,NDays&amp;"D")</f>
        <v>53164</v>
      </c>
      <c r="Z2045" s="205">
        <v>3.512154453809594E-2</v>
      </c>
      <c r="AA2045" s="207">
        <v>3.5077127832829902E-2</v>
      </c>
    </row>
    <row r="2046" spans="19:27" x14ac:dyDescent="0.2">
      <c r="S2046" s="165"/>
      <c r="T2046" s="166"/>
      <c r="W2046" s="199" t="str">
        <f t="shared" si="40"/>
        <v>1w</v>
      </c>
      <c r="X2046" s="200">
        <f>_xll.qlCalendarAdvance(Calendar,X2045,W2046,"f",FALSE)</f>
        <v>53169</v>
      </c>
      <c r="Y2046" s="204">
        <f>_xll.qlCalendarAdvance(Calendar,X2046,NDays&amp;"D")</f>
        <v>53171</v>
      </c>
      <c r="Z2046" s="205">
        <v>3.5118544301512011E-2</v>
      </c>
      <c r="AA2046" s="207">
        <v>3.5072757580509872E-2</v>
      </c>
    </row>
    <row r="2047" spans="19:27" x14ac:dyDescent="0.2">
      <c r="S2047" s="165"/>
      <c r="T2047" s="166"/>
      <c r="W2047" s="199" t="str">
        <f t="shared" si="40"/>
        <v>1w</v>
      </c>
      <c r="X2047" s="200">
        <f>_xll.qlCalendarAdvance(Calendar,X2046,W2047,"f",FALSE)</f>
        <v>53176</v>
      </c>
      <c r="Y2047" s="204">
        <f>_xll.qlCalendarAdvance(Calendar,X2047,NDays&amp;"D")</f>
        <v>53178</v>
      </c>
      <c r="Z2047" s="205">
        <v>3.5114138179015153E-2</v>
      </c>
      <c r="AA2047" s="207">
        <v>3.5068378781586418E-2</v>
      </c>
    </row>
    <row r="2048" spans="19:27" x14ac:dyDescent="0.2">
      <c r="S2048" s="165"/>
      <c r="T2048" s="166"/>
      <c r="W2048" s="199" t="str">
        <f t="shared" si="40"/>
        <v>1w</v>
      </c>
      <c r="X2048" s="200">
        <f>_xll.qlCalendarAdvance(Calendar,X2047,W2048,"f",FALSE)</f>
        <v>53183</v>
      </c>
      <c r="Y2048" s="204">
        <f>_xll.qlCalendarAdvance(Calendar,X2048,NDays&amp;"D")</f>
        <v>53185</v>
      </c>
      <c r="Z2048" s="205">
        <v>3.5108329294347602E-2</v>
      </c>
      <c r="AA2048" s="207">
        <v>3.5063991436299347E-2</v>
      </c>
    </row>
    <row r="2049" spans="19:27" x14ac:dyDescent="0.2">
      <c r="S2049" s="165"/>
      <c r="T2049" s="166"/>
      <c r="W2049" s="199" t="str">
        <f t="shared" si="40"/>
        <v>1w</v>
      </c>
      <c r="X2049" s="200">
        <f>_xll.qlCalendarAdvance(Calendar,X2048,W2049,"f",FALSE)</f>
        <v>53190</v>
      </c>
      <c r="Y2049" s="204">
        <f>_xll.qlCalendarAdvance(Calendar,X2049,NDays&amp;"D")</f>
        <v>53192</v>
      </c>
      <c r="Z2049" s="205">
        <v>3.5103907073218955E-2</v>
      </c>
      <c r="AA2049" s="207">
        <v>3.5059595544328914E-2</v>
      </c>
    </row>
    <row r="2050" spans="19:27" x14ac:dyDescent="0.2">
      <c r="S2050" s="165"/>
      <c r="T2050" s="166"/>
      <c r="W2050" s="199" t="str">
        <f t="shared" si="40"/>
        <v>1w</v>
      </c>
      <c r="X2050" s="200">
        <f>_xll.qlCalendarAdvance(Calendar,X2049,W2050,"f",FALSE)</f>
        <v>53197</v>
      </c>
      <c r="Y2050" s="204">
        <f>_xll.qlCalendarAdvance(Calendar,X2050,NDays&amp;"D")</f>
        <v>53199</v>
      </c>
      <c r="Z2050" s="205">
        <v>3.5099476282168772E-2</v>
      </c>
      <c r="AA2050" s="207">
        <v>3.5054561202665369E-2</v>
      </c>
    </row>
    <row r="2051" spans="19:27" x14ac:dyDescent="0.2">
      <c r="S2051" s="165"/>
      <c r="T2051" s="166"/>
      <c r="W2051" s="199" t="str">
        <f t="shared" si="40"/>
        <v>1w</v>
      </c>
      <c r="X2051" s="200">
        <f>_xll.qlCalendarAdvance(Calendar,X2050,W2051,"f",FALSE)</f>
        <v>53204</v>
      </c>
      <c r="Y2051" s="204">
        <f>_xll.qlCalendarAdvance(Calendar,X2051,NDays&amp;"D")</f>
        <v>53206</v>
      </c>
      <c r="Z2051" s="205">
        <v>3.5095036921215086E-2</v>
      </c>
      <c r="AA2051" s="207">
        <v>3.5050778120737647E-2</v>
      </c>
    </row>
    <row r="2052" spans="19:27" x14ac:dyDescent="0.2">
      <c r="S2052" s="165"/>
      <c r="T2052" s="166"/>
      <c r="W2052" s="199" t="str">
        <f t="shared" si="40"/>
        <v>1w</v>
      </c>
      <c r="X2052" s="200">
        <f>_xll.qlCalendarAdvance(Calendar,X2051,W2052,"f",FALSE)</f>
        <v>53211</v>
      </c>
      <c r="Y2052" s="204">
        <f>_xll.qlCalendarAdvance(Calendar,X2052,NDays&amp;"D")</f>
        <v>53213</v>
      </c>
      <c r="Z2052" s="205">
        <v>3.5091979005901219E-2</v>
      </c>
      <c r="AA2052" s="207">
        <v>3.5046356589196748E-2</v>
      </c>
    </row>
    <row r="2053" spans="19:27" x14ac:dyDescent="0.2">
      <c r="S2053" s="165"/>
      <c r="T2053" s="166"/>
      <c r="W2053" s="199" t="str">
        <f t="shared" si="40"/>
        <v>1w</v>
      </c>
      <c r="X2053" s="200">
        <f>_xll.qlCalendarAdvance(Calendar,X2052,W2053,"f",FALSE)</f>
        <v>53218</v>
      </c>
      <c r="Y2053" s="204">
        <f>_xll.qlCalendarAdvance(Calendar,X2053,NDays&amp;"D")</f>
        <v>53220</v>
      </c>
      <c r="Z2053" s="205">
        <v>3.5086132489602385E-2</v>
      </c>
      <c r="AA2053" s="207">
        <v>3.5041926511052424E-2</v>
      </c>
    </row>
    <row r="2054" spans="19:27" x14ac:dyDescent="0.2">
      <c r="S2054" s="165"/>
      <c r="T2054" s="166"/>
      <c r="W2054" s="199" t="str">
        <f t="shared" si="40"/>
        <v>1w</v>
      </c>
      <c r="X2054" s="200">
        <f>_xll.qlCalendarAdvance(Calendar,X2053,W2054,"f",FALSE)</f>
        <v>53225</v>
      </c>
      <c r="Y2054" s="204">
        <f>_xll.qlCalendarAdvance(Calendar,X2054,NDays&amp;"D")</f>
        <v>53227</v>
      </c>
      <c r="Z2054" s="205">
        <v>3.5081667418966581E-2</v>
      </c>
      <c r="AA2054" s="207">
        <v>3.5037487886384611E-2</v>
      </c>
    </row>
    <row r="2055" spans="19:27" x14ac:dyDescent="0.2">
      <c r="S2055" s="165"/>
      <c r="T2055" s="166"/>
      <c r="W2055" s="199" t="str">
        <f t="shared" si="40"/>
        <v>1w</v>
      </c>
      <c r="X2055" s="200">
        <f>_xll.qlCalendarAdvance(Calendar,X2054,W2055,"f",FALSE)</f>
        <v>53232</v>
      </c>
      <c r="Y2055" s="204">
        <f>_xll.qlCalendarAdvance(Calendar,X2055,NDays&amp;"D")</f>
        <v>53234</v>
      </c>
      <c r="Z2055" s="205">
        <v>3.5078580653913338E-2</v>
      </c>
      <c r="AA2055" s="207">
        <v>3.5033040715113373E-2</v>
      </c>
    </row>
    <row r="2056" spans="19:27" x14ac:dyDescent="0.2">
      <c r="S2056" s="165"/>
      <c r="T2056" s="166"/>
      <c r="W2056" s="199" t="str">
        <f t="shared" si="40"/>
        <v>1w</v>
      </c>
      <c r="X2056" s="200">
        <f>_xll.qlCalendarAdvance(Calendar,X2055,W2056,"f",FALSE)</f>
        <v>53239</v>
      </c>
      <c r="Y2056" s="204">
        <f>_xll.qlCalendarAdvance(Calendar,X2056,NDays&amp;"D")</f>
        <v>53241</v>
      </c>
      <c r="Z2056" s="205">
        <v>3.5072711568090192E-2</v>
      </c>
      <c r="AA2056" s="207">
        <v>3.5028584997398582E-2</v>
      </c>
    </row>
    <row r="2057" spans="19:27" x14ac:dyDescent="0.2">
      <c r="S2057" s="165"/>
      <c r="T2057" s="166"/>
      <c r="W2057" s="199" t="str">
        <f t="shared" si="40"/>
        <v>1w</v>
      </c>
      <c r="X2057" s="200">
        <f>_xll.qlCalendarAdvance(Calendar,X2056,W2057,"f",FALSE)</f>
        <v>53246</v>
      </c>
      <c r="Y2057" s="204">
        <f>_xll.qlCalendarAdvance(Calendar,X2057,NDays&amp;"D")</f>
        <v>53248</v>
      </c>
      <c r="Z2057" s="205">
        <v>3.5068220787870245E-2</v>
      </c>
      <c r="AA2057" s="207">
        <v>3.502412073300043E-2</v>
      </c>
    </row>
    <row r="2058" spans="19:27" x14ac:dyDescent="0.2">
      <c r="S2058" s="165"/>
      <c r="T2058" s="166"/>
      <c r="W2058" s="199" t="str">
        <f t="shared" si="40"/>
        <v>1w</v>
      </c>
      <c r="X2058" s="200">
        <f>_xll.qlCalendarAdvance(Calendar,X2057,W2058,"f",FALSE)</f>
        <v>53253</v>
      </c>
      <c r="Y2058" s="204">
        <f>_xll.qlCalendarAdvance(Calendar,X2058,NDays&amp;"D")</f>
        <v>53255</v>
      </c>
      <c r="Z2058" s="205">
        <v>3.5063721437806103E-2</v>
      </c>
      <c r="AA2058" s="207">
        <v>3.5019647922078789E-2</v>
      </c>
    </row>
    <row r="2059" spans="19:27" x14ac:dyDescent="0.2">
      <c r="S2059" s="165"/>
      <c r="T2059" s="166"/>
      <c r="W2059" s="199" t="str">
        <f t="shared" si="40"/>
        <v>1w</v>
      </c>
      <c r="X2059" s="200">
        <f>_xll.qlCalendarAdvance(Calendar,X2058,W2059,"f",FALSE)</f>
        <v>53260</v>
      </c>
      <c r="Y2059" s="204">
        <f>_xll.qlCalendarAdvance(Calendar,X2059,NDays&amp;"D")</f>
        <v>53262</v>
      </c>
      <c r="Z2059" s="205">
        <v>3.5059213517908097E-2</v>
      </c>
      <c r="AA2059" s="207">
        <v>3.501516656463366E-2</v>
      </c>
    </row>
    <row r="2060" spans="19:27" x14ac:dyDescent="0.2">
      <c r="S2060" s="165"/>
      <c r="T2060" s="166"/>
      <c r="W2060" s="199" t="str">
        <f t="shared" si="40"/>
        <v>1w</v>
      </c>
      <c r="X2060" s="200">
        <f>_xll.qlCalendarAdvance(Calendar,X2059,W2060,"f",FALSE)</f>
        <v>53267</v>
      </c>
      <c r="Y2060" s="204">
        <f>_xll.qlCalendarAdvance(Calendar,X2060,NDays&amp;"D")</f>
        <v>53269</v>
      </c>
      <c r="Z2060" s="205">
        <v>3.5054697028191681E-2</v>
      </c>
      <c r="AA2060" s="207">
        <v>3.5010676660665041E-2</v>
      </c>
    </row>
    <row r="2061" spans="19:27" x14ac:dyDescent="0.2">
      <c r="S2061" s="165"/>
      <c r="T2061" s="166"/>
      <c r="W2061" s="199" t="str">
        <f t="shared" si="40"/>
        <v>1w</v>
      </c>
      <c r="X2061" s="200">
        <f>_xll.qlCalendarAdvance(Calendar,X2060,W2061,"f",FALSE)</f>
        <v>53274</v>
      </c>
      <c r="Y2061" s="204">
        <f>_xll.qlCalendarAdvance(Calendar,X2061,NDays&amp;"D")</f>
        <v>53276</v>
      </c>
      <c r="Z2061" s="205">
        <v>3.5046849900050248E-2</v>
      </c>
      <c r="AA2061" s="207">
        <v>3.5006178210172934E-2</v>
      </c>
    </row>
    <row r="2062" spans="19:27" x14ac:dyDescent="0.2">
      <c r="S2062" s="165"/>
      <c r="T2062" s="166"/>
      <c r="W2062" s="199" t="str">
        <f t="shared" si="40"/>
        <v>1w</v>
      </c>
      <c r="X2062" s="200">
        <f>_xll.qlCalendarAdvance(Calendar,X2061,W2062,"f",FALSE)</f>
        <v>53281</v>
      </c>
      <c r="Y2062" s="204">
        <f>_xll.qlCalendarAdvance(Calendar,X2062,NDays&amp;"D")</f>
        <v>53283</v>
      </c>
      <c r="Z2062" s="205">
        <v>3.5045638339326848E-2</v>
      </c>
      <c r="AA2062" s="207">
        <v>3.5001671213077401E-2</v>
      </c>
    </row>
    <row r="2063" spans="19:27" x14ac:dyDescent="0.2">
      <c r="S2063" s="165"/>
      <c r="T2063" s="166"/>
      <c r="W2063" s="199" t="str">
        <f t="shared" si="40"/>
        <v>1w</v>
      </c>
      <c r="X2063" s="200">
        <f>_xll.qlCalendarAdvance(Calendar,X2062,W2063,"f",FALSE)</f>
        <v>53288</v>
      </c>
      <c r="Y2063" s="204">
        <f>_xll.qlCalendarAdvance(Calendar,X2063,NDays&amp;"D")</f>
        <v>53290</v>
      </c>
      <c r="Z2063" s="205">
        <v>3.5043853064425014E-2</v>
      </c>
      <c r="AA2063" s="207">
        <v>3.499715566945838E-2</v>
      </c>
    </row>
    <row r="2064" spans="19:27" x14ac:dyDescent="0.2">
      <c r="S2064" s="165"/>
      <c r="T2064" s="166"/>
      <c r="W2064" s="199" t="str">
        <f t="shared" si="40"/>
        <v>1w</v>
      </c>
      <c r="X2064" s="200">
        <f>_xll.qlCalendarAdvance(Calendar,X2063,W2064,"f",FALSE)</f>
        <v>53295</v>
      </c>
      <c r="Y2064" s="204">
        <f>_xll.qlCalendarAdvance(Calendar,X2064,NDays&amp;"D")</f>
        <v>53297</v>
      </c>
      <c r="Z2064" s="205">
        <v>3.5037922784497133E-2</v>
      </c>
      <c r="AA2064" s="207">
        <v>3.4992631579235933E-2</v>
      </c>
    </row>
    <row r="2065" spans="19:27" x14ac:dyDescent="0.2">
      <c r="S2065" s="165"/>
      <c r="T2065" s="166"/>
      <c r="W2065" s="199" t="str">
        <f t="shared" si="40"/>
        <v>1w</v>
      </c>
      <c r="X2065" s="200">
        <f>_xll.qlCalendarAdvance(Calendar,X2064,W2065,"f",FALSE)</f>
        <v>53302</v>
      </c>
      <c r="Y2065" s="204">
        <f>_xll.qlCalendarAdvance(Calendar,X2065,NDays&amp;"D")</f>
        <v>53304</v>
      </c>
      <c r="Z2065" s="205">
        <v>3.5031986032609458E-2</v>
      </c>
      <c r="AA2065" s="207">
        <v>3.4988098942809742E-2</v>
      </c>
    </row>
    <row r="2066" spans="19:27" x14ac:dyDescent="0.2">
      <c r="S2066" s="165"/>
      <c r="T2066" s="166"/>
      <c r="W2066" s="199" t="str">
        <f t="shared" si="40"/>
        <v>1w</v>
      </c>
      <c r="X2066" s="200">
        <f>_xll.qlCalendarAdvance(Calendar,X2065,W2066,"f",FALSE)</f>
        <v>53309</v>
      </c>
      <c r="Y2066" s="204">
        <f>_xll.qlCalendarAdvance(Calendar,X2066,NDays&amp;"D")</f>
        <v>53311</v>
      </c>
      <c r="Z2066" s="205">
        <v>3.5028793426122862E-2</v>
      </c>
      <c r="AA2066" s="207">
        <v>3.498355775930051E-2</v>
      </c>
    </row>
    <row r="2067" spans="19:27" x14ac:dyDescent="0.2">
      <c r="S2067" s="165"/>
      <c r="T2067" s="166"/>
      <c r="W2067" s="199" t="str">
        <f t="shared" si="40"/>
        <v>1w</v>
      </c>
      <c r="X2067" s="200">
        <f>_xll.qlCalendarAdvance(Calendar,X2066,W2067,"f",FALSE)</f>
        <v>53316</v>
      </c>
      <c r="Y2067" s="204">
        <f>_xll.qlCalendarAdvance(Calendar,X2067,NDays&amp;"D")</f>
        <v>53318</v>
      </c>
      <c r="Z2067" s="205">
        <v>3.5022841645970589E-2</v>
      </c>
      <c r="AA2067" s="207">
        <v>3.4977706537073772E-2</v>
      </c>
    </row>
    <row r="2068" spans="19:27" x14ac:dyDescent="0.2">
      <c r="S2068" s="165"/>
      <c r="T2068" s="166"/>
      <c r="W2068" s="199" t="str">
        <f t="shared" si="40"/>
        <v>1w</v>
      </c>
      <c r="X2068" s="200">
        <f>_xll.qlCalendarAdvance(Calendar,X2067,W2068,"f",FALSE)</f>
        <v>53323</v>
      </c>
      <c r="Y2068" s="204">
        <f>_xll.qlCalendarAdvance(Calendar,X2068,NDays&amp;"D")</f>
        <v>53325</v>
      </c>
      <c r="Z2068" s="205">
        <v>3.5021002961361992E-2</v>
      </c>
      <c r="AA2068" s="207">
        <v>3.4973797873201207E-2</v>
      </c>
    </row>
    <row r="2069" spans="19:27" x14ac:dyDescent="0.2">
      <c r="S2069" s="165"/>
      <c r="T2069" s="166"/>
      <c r="W2069" s="199" t="str">
        <f t="shared" ref="W2069:W2132" si="41">W2068</f>
        <v>1w</v>
      </c>
      <c r="X2069" s="200">
        <f>_xll.qlCalendarAdvance(Calendar,X2068,W2069,"f",FALSE)</f>
        <v>53330</v>
      </c>
      <c r="Y2069" s="204">
        <f>_xll.qlCalendarAdvance(Calendar,X2069,NDays&amp;"D")</f>
        <v>53332</v>
      </c>
      <c r="Z2069" s="205">
        <v>3.5013662980362376E-2</v>
      </c>
      <c r="AA2069" s="207">
        <v>3.496988293043124E-2</v>
      </c>
    </row>
    <row r="2070" spans="19:27" x14ac:dyDescent="0.2">
      <c r="S2070" s="165"/>
      <c r="T2070" s="166"/>
      <c r="W2070" s="199" t="str">
        <f t="shared" si="41"/>
        <v>1w</v>
      </c>
      <c r="X2070" s="200">
        <f>_xll.qlCalendarAdvance(Calendar,X2069,W2070,"f",FALSE)</f>
        <v>53337</v>
      </c>
      <c r="Y2070" s="204">
        <f>_xll.qlCalendarAdvance(Calendar,X2070,NDays&amp;"D")</f>
        <v>53339</v>
      </c>
      <c r="Z2070" s="205">
        <v>3.5009060792967332E-2</v>
      </c>
      <c r="AA2070" s="207">
        <v>3.4965307560987924E-2</v>
      </c>
    </row>
    <row r="2071" spans="19:27" x14ac:dyDescent="0.2">
      <c r="S2071" s="165"/>
      <c r="T2071" s="166"/>
      <c r="W2071" s="199" t="str">
        <f t="shared" si="41"/>
        <v>1w</v>
      </c>
      <c r="X2071" s="200">
        <f>_xll.qlCalendarAdvance(Calendar,X2070,W2071,"f",FALSE)</f>
        <v>53344</v>
      </c>
      <c r="Y2071" s="204">
        <f>_xll.qlCalendarAdvance(Calendar,X2071,NDays&amp;"D")</f>
        <v>53346</v>
      </c>
      <c r="Z2071" s="205">
        <v>3.5005820046151992E-2</v>
      </c>
      <c r="AA2071" s="207">
        <v>3.4960723645021119E-2</v>
      </c>
    </row>
    <row r="2072" spans="19:27" x14ac:dyDescent="0.2">
      <c r="S2072" s="165"/>
      <c r="T2072" s="166"/>
      <c r="W2072" s="199" t="str">
        <f t="shared" si="41"/>
        <v>1w</v>
      </c>
      <c r="X2072" s="200">
        <f>_xll.qlCalendarAdvance(Calendar,X2071,W2072,"f",FALSE)</f>
        <v>53351</v>
      </c>
      <c r="Y2072" s="204">
        <f>_xll.qlCalendarAdvance(Calendar,X2072,NDays&amp;"D")</f>
        <v>53353</v>
      </c>
      <c r="Z2072" s="205">
        <v>3.4999830709057246E-2</v>
      </c>
      <c r="AA2072" s="207">
        <v>3.4956131182530825E-2</v>
      </c>
    </row>
    <row r="2073" spans="19:27" x14ac:dyDescent="0.2">
      <c r="S2073" s="165"/>
      <c r="T2073" s="166"/>
      <c r="W2073" s="199" t="str">
        <f t="shared" si="41"/>
        <v>1w</v>
      </c>
      <c r="X2073" s="200">
        <f>_xll.qlCalendarAdvance(Calendar,X2072,W2073,"f",FALSE)</f>
        <v>53358</v>
      </c>
      <c r="Y2073" s="204">
        <f>_xll.qlCalendarAdvance(Calendar,X2073,NDays&amp;"D")</f>
        <v>53360</v>
      </c>
      <c r="Z2073" s="205">
        <v>3.4991099072157548E-2</v>
      </c>
      <c r="AA2073" s="207">
        <v>3.4951530173437106E-2</v>
      </c>
    </row>
    <row r="2074" spans="19:27" x14ac:dyDescent="0.2">
      <c r="S2074" s="165"/>
      <c r="T2074" s="166"/>
      <c r="W2074" s="199" t="str">
        <f t="shared" si="41"/>
        <v>1w</v>
      </c>
      <c r="X2074" s="200">
        <f>_xll.qlCalendarAdvance(Calendar,X2073,W2074,"f",FALSE)</f>
        <v>53365</v>
      </c>
      <c r="Y2074" s="204">
        <f>_xll.qlCalendarAdvance(Calendar,X2074,NDays&amp;"D")</f>
        <v>53367</v>
      </c>
      <c r="Z2074" s="205">
        <v>3.4986465791635446E-2</v>
      </c>
      <c r="AA2074" s="207">
        <v>3.4946920617899835E-2</v>
      </c>
    </row>
    <row r="2075" spans="19:27" x14ac:dyDescent="0.2">
      <c r="S2075" s="165"/>
      <c r="T2075" s="166"/>
      <c r="W2075" s="199" t="str">
        <f t="shared" si="41"/>
        <v>1w</v>
      </c>
      <c r="X2075" s="200">
        <f>_xll.qlCalendarAdvance(Calendar,X2074,W2075,"f",FALSE)</f>
        <v>53372</v>
      </c>
      <c r="Y2075" s="204">
        <f>_xll.qlCalendarAdvance(Calendar,X2075,NDays&amp;"D")</f>
        <v>53374</v>
      </c>
      <c r="Z2075" s="205">
        <v>3.4981823943757942E-2</v>
      </c>
      <c r="AA2075" s="207">
        <v>3.4942302515759138E-2</v>
      </c>
    </row>
    <row r="2076" spans="19:27" x14ac:dyDescent="0.2">
      <c r="S2076" s="165"/>
      <c r="T2076" s="166"/>
      <c r="W2076" s="199" t="str">
        <f t="shared" si="41"/>
        <v>1w</v>
      </c>
      <c r="X2076" s="200">
        <f>_xll.qlCalendarAdvance(Calendar,X2075,W2076,"f",FALSE)</f>
        <v>53379</v>
      </c>
      <c r="Y2076" s="204">
        <f>_xll.qlCalendarAdvance(Calendar,X2076,NDays&amp;"D")</f>
        <v>53381</v>
      </c>
      <c r="Z2076" s="205">
        <v>3.4982632404340352E-2</v>
      </c>
      <c r="AA2076" s="207">
        <v>3.4937675867174889E-2</v>
      </c>
    </row>
    <row r="2077" spans="19:27" x14ac:dyDescent="0.2">
      <c r="S2077" s="165"/>
      <c r="T2077" s="166"/>
      <c r="W2077" s="199" t="str">
        <f t="shared" si="41"/>
        <v>1w</v>
      </c>
      <c r="X2077" s="200">
        <f>_xll.qlCalendarAdvance(Calendar,X2076,W2077,"f",FALSE)</f>
        <v>53386</v>
      </c>
      <c r="Y2077" s="204">
        <f>_xll.qlCalendarAdvance(Calendar,X2077,NDays&amp;"D")</f>
        <v>53388</v>
      </c>
      <c r="Z2077" s="205">
        <v>3.4976605529855473E-2</v>
      </c>
      <c r="AA2077" s="207">
        <v>3.4933040671907278E-2</v>
      </c>
    </row>
    <row r="2078" spans="19:27" x14ac:dyDescent="0.2">
      <c r="S2078" s="165"/>
      <c r="T2078" s="166"/>
      <c r="W2078" s="199" t="str">
        <f t="shared" si="41"/>
        <v>1w</v>
      </c>
      <c r="X2078" s="200">
        <f>_xll.qlCalendarAdvance(Calendar,X2077,W2078,"f",FALSE)</f>
        <v>53393</v>
      </c>
      <c r="Y2078" s="204">
        <f>_xll.qlCalendarAdvance(Calendar,X2078,NDays&amp;"D")</f>
        <v>53395</v>
      </c>
      <c r="Z2078" s="205">
        <v>3.497193478505551E-2</v>
      </c>
      <c r="AA2078" s="207">
        <v>3.4928396930196115E-2</v>
      </c>
    </row>
    <row r="2079" spans="19:27" x14ac:dyDescent="0.2">
      <c r="S2079" s="165"/>
      <c r="T2079" s="166"/>
      <c r="W2079" s="199" t="str">
        <f t="shared" si="41"/>
        <v>1w</v>
      </c>
      <c r="X2079" s="200">
        <f>_xll.qlCalendarAdvance(Calendar,X2078,W2079,"f",FALSE)</f>
        <v>53400</v>
      </c>
      <c r="Y2079" s="204">
        <f>_xll.qlCalendarAdvance(Calendar,X2079,NDays&amp;"D")</f>
        <v>53402</v>
      </c>
      <c r="Z2079" s="205">
        <v>3.4967255470625382E-2</v>
      </c>
      <c r="AA2079" s="207">
        <v>3.4923744641881527E-2</v>
      </c>
    </row>
    <row r="2080" spans="19:27" x14ac:dyDescent="0.2">
      <c r="S2080" s="165"/>
      <c r="T2080" s="166"/>
      <c r="W2080" s="199" t="str">
        <f t="shared" si="41"/>
        <v>1w</v>
      </c>
      <c r="X2080" s="200">
        <f>_xll.qlCalendarAdvance(Calendar,X2079,W2080,"f",FALSE)</f>
        <v>53407</v>
      </c>
      <c r="Y2080" s="204">
        <f>_xll.qlCalendarAdvance(Calendar,X2080,NDays&amp;"D")</f>
        <v>53413</v>
      </c>
      <c r="Z2080" s="205">
        <v>3.4959884948105334E-2</v>
      </c>
      <c r="AA2080" s="207">
        <v>3.4917750570082617E-2</v>
      </c>
    </row>
    <row r="2081" spans="19:27" x14ac:dyDescent="0.2">
      <c r="S2081" s="165"/>
      <c r="T2081" s="166"/>
      <c r="W2081" s="199" t="str">
        <f t="shared" si="41"/>
        <v>1w</v>
      </c>
      <c r="X2081" s="200">
        <f>_xll.qlCalendarAdvance(Calendar,X2080,W2081,"f",FALSE)</f>
        <v>53414</v>
      </c>
      <c r="Y2081" s="204">
        <f>_xll.qlCalendarAdvance(Calendar,X2081,NDays&amp;"D")</f>
        <v>53416</v>
      </c>
      <c r="Z2081" s="205">
        <v>3.4957871132913307E-2</v>
      </c>
      <c r="AA2081" s="207">
        <v>3.4914414425601947E-2</v>
      </c>
    </row>
    <row r="2082" spans="19:27" x14ac:dyDescent="0.2">
      <c r="S2082" s="165"/>
      <c r="T2082" s="166"/>
      <c r="W2082" s="199" t="str">
        <f t="shared" si="41"/>
        <v>1w</v>
      </c>
      <c r="X2082" s="200">
        <f>_xll.qlCalendarAdvance(Calendar,X2081,W2082,"f",FALSE)</f>
        <v>53421</v>
      </c>
      <c r="Y2082" s="204">
        <f>_xll.qlCalendarAdvance(Calendar,X2082,NDays&amp;"D")</f>
        <v>53423</v>
      </c>
      <c r="Z2082" s="205">
        <v>3.4954524410377996E-2</v>
      </c>
      <c r="AA2082" s="207">
        <v>3.4909736497636956E-2</v>
      </c>
    </row>
    <row r="2083" spans="19:27" x14ac:dyDescent="0.2">
      <c r="S2083" s="165"/>
      <c r="T2083" s="166"/>
      <c r="W2083" s="199" t="str">
        <f t="shared" si="41"/>
        <v>1w</v>
      </c>
      <c r="X2083" s="200">
        <f>_xll.qlCalendarAdvance(Calendar,X2082,W2083,"f",FALSE)</f>
        <v>53428</v>
      </c>
      <c r="Y2083" s="204">
        <f>_xll.qlCalendarAdvance(Calendar,X2083,NDays&amp;"D")</f>
        <v>53430</v>
      </c>
      <c r="Z2083" s="205">
        <v>3.494845251680434E-2</v>
      </c>
      <c r="AA2083" s="207">
        <v>3.4905050023308348E-2</v>
      </c>
    </row>
    <row r="2084" spans="19:27" x14ac:dyDescent="0.2">
      <c r="S2084" s="165"/>
      <c r="T2084" s="166"/>
      <c r="W2084" s="199" t="str">
        <f t="shared" si="41"/>
        <v>1w</v>
      </c>
      <c r="X2084" s="200">
        <f>_xll.qlCalendarAdvance(Calendar,X2083,W2084,"f",FALSE)</f>
        <v>53435</v>
      </c>
      <c r="Y2084" s="204">
        <f>_xll.qlCalendarAdvance(Calendar,X2084,NDays&amp;"D")</f>
        <v>53437</v>
      </c>
      <c r="Z2084" s="205">
        <v>3.494373035438067E-2</v>
      </c>
      <c r="AA2084" s="207">
        <v>3.4900355002216443E-2</v>
      </c>
    </row>
    <row r="2085" spans="19:27" x14ac:dyDescent="0.2">
      <c r="S2085" s="165"/>
      <c r="T2085" s="166"/>
      <c r="W2085" s="199" t="str">
        <f t="shared" si="41"/>
        <v>1w</v>
      </c>
      <c r="X2085" s="200">
        <f>_xll.qlCalendarAdvance(Calendar,X2084,W2085,"f",FALSE)</f>
        <v>53442</v>
      </c>
      <c r="Y2085" s="204">
        <f>_xll.qlCalendarAdvance(Calendar,X2085,NDays&amp;"D")</f>
        <v>53444</v>
      </c>
      <c r="Z2085" s="205">
        <v>3.4940354713432209E-2</v>
      </c>
      <c r="AA2085" s="207">
        <v>3.4895651434920794E-2</v>
      </c>
    </row>
    <row r="2086" spans="19:27" x14ac:dyDescent="0.2">
      <c r="S2086" s="165"/>
      <c r="T2086" s="166"/>
      <c r="W2086" s="199" t="str">
        <f t="shared" si="41"/>
        <v>1w</v>
      </c>
      <c r="X2086" s="200">
        <f>_xll.qlCalendarAdvance(Calendar,X2085,W2086,"f",FALSE)</f>
        <v>53449</v>
      </c>
      <c r="Y2086" s="204">
        <f>_xll.qlCalendarAdvance(Calendar,X2086,NDays&amp;"D")</f>
        <v>53451</v>
      </c>
      <c r="Z2086" s="205">
        <v>3.4934260320836227E-2</v>
      </c>
      <c r="AA2086" s="207">
        <v>3.4890265463811687E-2</v>
      </c>
    </row>
    <row r="2087" spans="19:27" x14ac:dyDescent="0.2">
      <c r="S2087" s="165"/>
      <c r="T2087" s="166"/>
      <c r="W2087" s="199" t="str">
        <f t="shared" si="41"/>
        <v>1w</v>
      </c>
      <c r="X2087" s="200">
        <f>_xll.qlCalendarAdvance(Calendar,X2086,W2087,"f",FALSE)</f>
        <v>53456</v>
      </c>
      <c r="Y2087" s="204">
        <f>_xll.qlCalendarAdvance(Calendar,X2087,NDays&amp;"D")</f>
        <v>53458</v>
      </c>
      <c r="Z2087" s="205">
        <v>3.4929512449738659E-2</v>
      </c>
      <c r="AA2087" s="207">
        <v>3.4886218660199475E-2</v>
      </c>
    </row>
    <row r="2088" spans="19:27" x14ac:dyDescent="0.2">
      <c r="S2088" s="165"/>
      <c r="T2088" s="166"/>
      <c r="W2088" s="199" t="str">
        <f t="shared" si="41"/>
        <v>1w</v>
      </c>
      <c r="X2088" s="200">
        <f>_xll.qlCalendarAdvance(Calendar,X2087,W2088,"f",FALSE)</f>
        <v>53463</v>
      </c>
      <c r="Y2088" s="204">
        <f>_xll.qlCalendarAdvance(Calendar,X2088,NDays&amp;"D")</f>
        <v>53465</v>
      </c>
      <c r="Z2088" s="205">
        <v>3.4924756009103754E-2</v>
      </c>
      <c r="AA2088" s="207">
        <v>3.488148945309355E-2</v>
      </c>
    </row>
    <row r="2089" spans="19:27" x14ac:dyDescent="0.2">
      <c r="S2089" s="165"/>
      <c r="T2089" s="166"/>
      <c r="W2089" s="199" t="str">
        <f t="shared" si="41"/>
        <v>1w</v>
      </c>
      <c r="X2089" s="200">
        <f>_xll.qlCalendarAdvance(Calendar,X2088,W2089,"f",FALSE)</f>
        <v>53470</v>
      </c>
      <c r="Y2089" s="204">
        <f>_xll.qlCalendarAdvance(Calendar,X2089,NDays&amp;"D")</f>
        <v>53472</v>
      </c>
      <c r="Z2089" s="205">
        <v>3.491999099894183E-2</v>
      </c>
      <c r="AA2089" s="207">
        <v>3.4876074179663874E-2</v>
      </c>
    </row>
    <row r="2090" spans="19:27" x14ac:dyDescent="0.2">
      <c r="S2090" s="165"/>
      <c r="T2090" s="166"/>
      <c r="W2090" s="199" t="str">
        <f t="shared" si="41"/>
        <v>1w</v>
      </c>
      <c r="X2090" s="200">
        <f>_xll.qlCalendarAdvance(Calendar,X2089,W2090,"f",FALSE)</f>
        <v>53477</v>
      </c>
      <c r="Y2090" s="204">
        <f>_xll.qlCalendarAdvance(Calendar,X2090,NDays&amp;"D")</f>
        <v>53479</v>
      </c>
      <c r="Z2090" s="205">
        <v>3.4915217419270922E-2</v>
      </c>
      <c r="AA2090" s="207">
        <v>3.4872005399151362E-2</v>
      </c>
    </row>
    <row r="2091" spans="19:27" x14ac:dyDescent="0.2">
      <c r="S2091" s="165"/>
      <c r="T2091" s="166"/>
      <c r="W2091" s="199" t="str">
        <f t="shared" si="41"/>
        <v>1w</v>
      </c>
      <c r="X2091" s="200">
        <f>_xll.qlCalendarAdvance(Calendar,X2090,W2091,"f",FALSE)</f>
        <v>53484</v>
      </c>
      <c r="Y2091" s="204">
        <f>_xll.qlCalendarAdvance(Calendar,X2091,NDays&amp;"D")</f>
        <v>53486</v>
      </c>
      <c r="Z2091" s="205">
        <v>3.491043527009105E-2</v>
      </c>
      <c r="AA2091" s="207">
        <v>3.4867250552315099E-2</v>
      </c>
    </row>
    <row r="2092" spans="19:27" x14ac:dyDescent="0.2">
      <c r="S2092" s="165"/>
      <c r="T2092" s="166"/>
      <c r="W2092" s="199" t="str">
        <f t="shared" si="41"/>
        <v>1w</v>
      </c>
      <c r="X2092" s="200">
        <f>_xll.qlCalendarAdvance(Calendar,X2091,W2092,"f",FALSE)</f>
        <v>53491</v>
      </c>
      <c r="Y2092" s="204">
        <f>_xll.qlCalendarAdvance(Calendar,X2092,NDays&amp;"D")</f>
        <v>53493</v>
      </c>
      <c r="Z2092" s="205">
        <v>3.4905644551417675E-2</v>
      </c>
      <c r="AA2092" s="207">
        <v>3.4862487159035283E-2</v>
      </c>
    </row>
    <row r="2093" spans="19:27" x14ac:dyDescent="0.2">
      <c r="S2093" s="165"/>
      <c r="T2093" s="166"/>
      <c r="W2093" s="199" t="str">
        <f t="shared" si="41"/>
        <v>1w</v>
      </c>
      <c r="X2093" s="200">
        <f>_xll.qlCalendarAdvance(Calendar,X2092,W2093,"f",FALSE)</f>
        <v>53498</v>
      </c>
      <c r="Y2093" s="204">
        <f>_xll.qlCalendarAdvance(Calendar,X2093,NDays&amp;"D")</f>
        <v>53500</v>
      </c>
      <c r="Z2093" s="205">
        <v>3.4900845263258526E-2</v>
      </c>
      <c r="AA2093" s="207">
        <v>3.4857715219152041E-2</v>
      </c>
    </row>
    <row r="2094" spans="19:27" x14ac:dyDescent="0.2">
      <c r="S2094" s="165"/>
      <c r="T2094" s="166"/>
      <c r="W2094" s="199" t="str">
        <f t="shared" si="41"/>
        <v>1w</v>
      </c>
      <c r="X2094" s="200">
        <f>_xll.qlCalendarAdvance(Calendar,X2093,W2094,"f",FALSE)</f>
        <v>53505</v>
      </c>
      <c r="Y2094" s="204">
        <f>_xll.qlCalendarAdvance(Calendar,X2094,NDays&amp;"D")</f>
        <v>53507</v>
      </c>
      <c r="Z2094" s="205">
        <v>3.4897382826223622E-2</v>
      </c>
      <c r="AA2094" s="207">
        <v>3.4852934732985119E-2</v>
      </c>
    </row>
    <row r="2095" spans="19:27" x14ac:dyDescent="0.2">
      <c r="S2095" s="165"/>
      <c r="T2095" s="166"/>
      <c r="W2095" s="199" t="str">
        <f t="shared" si="41"/>
        <v>1w</v>
      </c>
      <c r="X2095" s="200">
        <f>_xll.qlCalendarAdvance(Calendar,X2094,W2095,"f",FALSE)</f>
        <v>53512</v>
      </c>
      <c r="Y2095" s="204">
        <f>_xll.qlCalendarAdvance(Calendar,X2095,NDays&amp;"D")</f>
        <v>53514</v>
      </c>
      <c r="Z2095" s="205">
        <v>3.4891220978537092E-2</v>
      </c>
      <c r="AA2095" s="207">
        <v>3.48481457000549E-2</v>
      </c>
    </row>
    <row r="2096" spans="19:27" x14ac:dyDescent="0.2">
      <c r="S2096" s="165"/>
      <c r="T2096" s="166"/>
      <c r="W2096" s="199" t="str">
        <f t="shared" si="41"/>
        <v>1w</v>
      </c>
      <c r="X2096" s="200">
        <f>_xll.qlCalendarAdvance(Calendar,X2095,W2096,"f",FALSE)</f>
        <v>53519</v>
      </c>
      <c r="Y2096" s="204">
        <f>_xll.qlCalendarAdvance(Calendar,X2096,NDays&amp;"D")</f>
        <v>53521</v>
      </c>
      <c r="Z2096" s="205">
        <v>3.488639598199543E-2</v>
      </c>
      <c r="AA2096" s="207">
        <v>3.4843348120521256E-2</v>
      </c>
    </row>
    <row r="2097" spans="19:27" x14ac:dyDescent="0.2">
      <c r="S2097" s="165"/>
      <c r="T2097" s="166"/>
      <c r="W2097" s="199" t="str">
        <f t="shared" si="41"/>
        <v>1w</v>
      </c>
      <c r="X2097" s="200">
        <f>_xll.qlCalendarAdvance(Calendar,X2096,W2097,"f",FALSE)</f>
        <v>53526</v>
      </c>
      <c r="Y2097" s="204">
        <f>_xll.qlCalendarAdvance(Calendar,X2097,NDays&amp;"D")</f>
        <v>53528</v>
      </c>
      <c r="Z2097" s="205">
        <v>3.4881562416006678E-2</v>
      </c>
      <c r="AA2097" s="207">
        <v>3.4838541994703931E-2</v>
      </c>
    </row>
    <row r="2098" spans="19:27" x14ac:dyDescent="0.2">
      <c r="S2098" s="165"/>
      <c r="T2098" s="166"/>
      <c r="W2098" s="199" t="str">
        <f t="shared" si="41"/>
        <v>1w</v>
      </c>
      <c r="X2098" s="200">
        <f>_xll.qlCalendarAdvance(Calendar,X2097,W2098,"f",FALSE)</f>
        <v>53533</v>
      </c>
      <c r="Y2098" s="204">
        <f>_xll.qlCalendarAdvance(Calendar,X2098,NDays&amp;"D")</f>
        <v>53535</v>
      </c>
      <c r="Z2098" s="205">
        <v>3.4878061383318004E-2</v>
      </c>
      <c r="AA2098" s="207">
        <v>3.4833727322203245E-2</v>
      </c>
    </row>
    <row r="2099" spans="19:27" x14ac:dyDescent="0.2">
      <c r="S2099" s="165"/>
      <c r="T2099" s="166"/>
      <c r="W2099" s="199" t="str">
        <f t="shared" si="41"/>
        <v>1w</v>
      </c>
      <c r="X2099" s="200">
        <f>_xll.qlCalendarAdvance(Calendar,X2098,W2099,"f",FALSE)</f>
        <v>53540</v>
      </c>
      <c r="Y2099" s="204">
        <f>_xll.qlCalendarAdvance(Calendar,X2099,NDays&amp;"D")</f>
        <v>53542</v>
      </c>
      <c r="Z2099" s="205">
        <v>3.4873209597107713E-2</v>
      </c>
      <c r="AA2099" s="207">
        <v>3.4828904103099134E-2</v>
      </c>
    </row>
    <row r="2100" spans="19:27" x14ac:dyDescent="0.2">
      <c r="S2100" s="165"/>
      <c r="T2100" s="166"/>
      <c r="W2100" s="199" t="str">
        <f t="shared" si="41"/>
        <v>1w</v>
      </c>
      <c r="X2100" s="200">
        <f>_xll.qlCalendarAdvance(Calendar,X2099,W2100,"f",FALSE)</f>
        <v>53547</v>
      </c>
      <c r="Y2100" s="204">
        <f>_xll.qlCalendarAdvance(Calendar,X2100,NDays&amp;"D")</f>
        <v>53549</v>
      </c>
      <c r="Z2100" s="205">
        <v>3.4867010301515199E-2</v>
      </c>
      <c r="AA2100" s="207">
        <v>3.4824072337471534E-2</v>
      </c>
    </row>
    <row r="2101" spans="19:27" x14ac:dyDescent="0.2">
      <c r="S2101" s="165"/>
      <c r="T2101" s="166"/>
      <c r="W2101" s="199" t="str">
        <f t="shared" si="41"/>
        <v>1w</v>
      </c>
      <c r="X2101" s="200">
        <f>_xll.qlCalendarAdvance(Calendar,X2100,W2101,"f",FALSE)</f>
        <v>53554</v>
      </c>
      <c r="Y2101" s="204">
        <f>_xll.qlCalendarAdvance(Calendar,X2101,NDays&amp;"D")</f>
        <v>53556</v>
      </c>
      <c r="Z2101" s="205">
        <v>3.4862142457869609E-2</v>
      </c>
      <c r="AA2101" s="207">
        <v>3.4819232025560254E-2</v>
      </c>
    </row>
    <row r="2102" spans="19:27" x14ac:dyDescent="0.2">
      <c r="S2102" s="165"/>
      <c r="T2102" s="166"/>
      <c r="W2102" s="199" t="str">
        <f t="shared" si="41"/>
        <v>1w</v>
      </c>
      <c r="X2102" s="200">
        <f>_xll.qlCalendarAdvance(Calendar,X2101,W2102,"f",FALSE)</f>
        <v>53561</v>
      </c>
      <c r="Y2102" s="204">
        <f>_xll.qlCalendarAdvance(Calendar,X2102,NDays&amp;"D")</f>
        <v>53563</v>
      </c>
      <c r="Z2102" s="205">
        <v>3.4857266044843974E-2</v>
      </c>
      <c r="AA2102" s="207">
        <v>3.4813689775141654E-2</v>
      </c>
    </row>
    <row r="2103" spans="19:27" x14ac:dyDescent="0.2">
      <c r="S2103" s="165"/>
      <c r="T2103" s="166"/>
      <c r="W2103" s="199" t="str">
        <f t="shared" si="41"/>
        <v>1w</v>
      </c>
      <c r="X2103" s="200">
        <f>_xll.qlCalendarAdvance(Calendar,X2102,W2103,"f",FALSE)</f>
        <v>53568</v>
      </c>
      <c r="Y2103" s="204">
        <f>_xll.qlCalendarAdvance(Calendar,X2103,NDays&amp;"D")</f>
        <v>53570</v>
      </c>
      <c r="Z2103" s="205">
        <v>3.4848373894269855E-2</v>
      </c>
      <c r="AA2103" s="207">
        <v>3.480952576168761E-2</v>
      </c>
    </row>
    <row r="2104" spans="19:27" x14ac:dyDescent="0.2">
      <c r="S2104" s="165"/>
      <c r="T2104" s="166"/>
      <c r="W2104" s="199" t="str">
        <f t="shared" si="41"/>
        <v>1w</v>
      </c>
      <c r="X2104" s="200">
        <f>_xll.qlCalendarAdvance(Calendar,X2103,W2104,"f",FALSE)</f>
        <v>53575</v>
      </c>
      <c r="Y2104" s="204">
        <f>_xll.qlCalendarAdvance(Calendar,X2104,NDays&amp;"D")</f>
        <v>53577</v>
      </c>
      <c r="Z2104" s="205">
        <v>3.4848822113694999E-2</v>
      </c>
      <c r="AA2104" s="207">
        <v>3.4804659810205862E-2</v>
      </c>
    </row>
    <row r="2105" spans="19:27" x14ac:dyDescent="0.2">
      <c r="S2105" s="165"/>
      <c r="T2105" s="166"/>
      <c r="W2105" s="199" t="str">
        <f t="shared" si="41"/>
        <v>1w</v>
      </c>
      <c r="X2105" s="200">
        <f>_xll.qlCalendarAdvance(Calendar,X2104,W2105,"f",FALSE)</f>
        <v>53582</v>
      </c>
      <c r="Y2105" s="204">
        <f>_xll.qlCalendarAdvance(Calendar,X2105,NDays&amp;"D")</f>
        <v>53584</v>
      </c>
      <c r="Z2105" s="205">
        <v>3.4842585389533207E-2</v>
      </c>
      <c r="AA2105" s="207">
        <v>3.4799785311880882E-2</v>
      </c>
    </row>
    <row r="2106" spans="19:27" x14ac:dyDescent="0.2">
      <c r="S2106" s="165"/>
      <c r="T2106" s="166"/>
      <c r="W2106" s="199" t="str">
        <f t="shared" si="41"/>
        <v>1w</v>
      </c>
      <c r="X2106" s="200">
        <f>_xll.qlCalendarAdvance(Calendar,X2105,W2106,"f",FALSE)</f>
        <v>53589</v>
      </c>
      <c r="Y2106" s="204">
        <f>_xll.qlCalendarAdvance(Calendar,X2106,NDays&amp;"D")</f>
        <v>53591</v>
      </c>
      <c r="Z2106" s="205">
        <v>3.4837674699062175E-2</v>
      </c>
      <c r="AA2106" s="207">
        <v>3.4794902267112349E-2</v>
      </c>
    </row>
    <row r="2107" spans="19:27" x14ac:dyDescent="0.2">
      <c r="S2107" s="165"/>
      <c r="T2107" s="166"/>
      <c r="W2107" s="199" t="str">
        <f t="shared" si="41"/>
        <v>1w</v>
      </c>
      <c r="X2107" s="200">
        <f>_xll.qlCalendarAdvance(Calendar,X2106,W2107,"f",FALSE)</f>
        <v>53596</v>
      </c>
      <c r="Y2107" s="204">
        <f>_xll.qlCalendarAdvance(Calendar,X2107,NDays&amp;"D")</f>
        <v>53598</v>
      </c>
      <c r="Z2107" s="205">
        <v>3.4835418107167407E-2</v>
      </c>
      <c r="AA2107" s="207">
        <v>3.479001067574039E-2</v>
      </c>
    </row>
    <row r="2108" spans="19:27" x14ac:dyDescent="0.2">
      <c r="S2108" s="165"/>
      <c r="T2108" s="166"/>
      <c r="W2108" s="199" t="str">
        <f t="shared" si="41"/>
        <v>1w</v>
      </c>
      <c r="X2108" s="200">
        <f>_xll.qlCalendarAdvance(Calendar,X2107,W2108,"f",FALSE)</f>
        <v>53603</v>
      </c>
      <c r="Y2108" s="204">
        <f>_xll.qlCalendarAdvance(Calendar,X2108,NDays&amp;"D")</f>
        <v>53605</v>
      </c>
      <c r="Z2108" s="205">
        <v>3.4827827610126955E-2</v>
      </c>
      <c r="AA2108" s="207">
        <v>3.4785110538084751E-2</v>
      </c>
    </row>
    <row r="2109" spans="19:27" x14ac:dyDescent="0.2">
      <c r="S2109" s="165"/>
      <c r="T2109" s="166"/>
      <c r="W2109" s="199" t="str">
        <f t="shared" si="41"/>
        <v>1w</v>
      </c>
      <c r="X2109" s="200">
        <f>_xll.qlCalendarAdvance(Calendar,X2108,W2109,"f",FALSE)</f>
        <v>53610</v>
      </c>
      <c r="Y2109" s="204">
        <f>_xll.qlCalendarAdvance(Calendar,X2109,NDays&amp;"D")</f>
        <v>53612</v>
      </c>
      <c r="Z2109" s="205">
        <v>3.4824220377374371E-2</v>
      </c>
      <c r="AA2109" s="207">
        <v>3.4780201853745751E-2</v>
      </c>
    </row>
    <row r="2110" spans="19:27" x14ac:dyDescent="0.2">
      <c r="S2110" s="165"/>
      <c r="T2110" s="166"/>
      <c r="W2110" s="199" t="str">
        <f t="shared" si="41"/>
        <v>1w</v>
      </c>
      <c r="X2110" s="200">
        <f>_xll.qlCalendarAdvance(Calendar,X2109,W2110,"f",FALSE)</f>
        <v>53617</v>
      </c>
      <c r="Y2110" s="204">
        <f>_xll.qlCalendarAdvance(Calendar,X2110,NDays&amp;"D")</f>
        <v>53619</v>
      </c>
      <c r="Z2110" s="205">
        <v>3.4817946243942306E-2</v>
      </c>
      <c r="AA2110" s="207">
        <v>3.477528462272339E-2</v>
      </c>
    </row>
    <row r="2111" spans="19:27" x14ac:dyDescent="0.2">
      <c r="S2111" s="165"/>
      <c r="T2111" s="166"/>
      <c r="W2111" s="199" t="str">
        <f t="shared" si="41"/>
        <v>1w</v>
      </c>
      <c r="X2111" s="200">
        <f>_xll.qlCalendarAdvance(Calendar,X2110,W2111,"f",FALSE)</f>
        <v>53624</v>
      </c>
      <c r="Y2111" s="204">
        <f>_xll.qlCalendarAdvance(Calendar,X2111,NDays&amp;"D")</f>
        <v>53626</v>
      </c>
      <c r="Z2111" s="205">
        <v>3.4812992706911419E-2</v>
      </c>
      <c r="AA2111" s="207">
        <v>3.4770358845337412E-2</v>
      </c>
    </row>
    <row r="2112" spans="19:27" x14ac:dyDescent="0.2">
      <c r="S2112" s="165"/>
      <c r="T2112" s="166"/>
      <c r="W2112" s="199" t="str">
        <f t="shared" si="41"/>
        <v>1w</v>
      </c>
      <c r="X2112" s="200">
        <f>_xll.qlCalendarAdvance(Calendar,X2111,W2112,"f",FALSE)</f>
        <v>53631</v>
      </c>
      <c r="Y2112" s="204">
        <f>_xll.qlCalendarAdvance(Calendar,X2112,NDays&amp;"D")</f>
        <v>53633</v>
      </c>
      <c r="Z2112" s="205">
        <v>3.4808030600603633E-2</v>
      </c>
      <c r="AA2112" s="207">
        <v>3.4765424521507882E-2</v>
      </c>
    </row>
    <row r="2113" spans="19:27" x14ac:dyDescent="0.2">
      <c r="S2113" s="165"/>
      <c r="T2113" s="166"/>
      <c r="W2113" s="199" t="str">
        <f t="shared" si="41"/>
        <v>1w</v>
      </c>
      <c r="X2113" s="200">
        <f>_xll.qlCalendarAdvance(Calendar,X2112,W2113,"f",FALSE)</f>
        <v>53638</v>
      </c>
      <c r="Y2113" s="204">
        <f>_xll.qlCalendarAdvance(Calendar,X2113,NDays&amp;"D")</f>
        <v>53640</v>
      </c>
      <c r="Z2113" s="205">
        <v>3.480305992502411E-2</v>
      </c>
      <c r="AA2113" s="207">
        <v>3.476048165099499E-2</v>
      </c>
    </row>
    <row r="2114" spans="19:27" x14ac:dyDescent="0.2">
      <c r="S2114" s="165"/>
      <c r="T2114" s="166"/>
      <c r="W2114" s="199" t="str">
        <f t="shared" si="41"/>
        <v>1w</v>
      </c>
      <c r="X2114" s="200">
        <f>_xll.qlCalendarAdvance(Calendar,X2113,W2114,"f",FALSE)</f>
        <v>53645</v>
      </c>
      <c r="Y2114" s="204">
        <f>_xll.qlCalendarAdvance(Calendar,X2114,NDays&amp;"D")</f>
        <v>53647</v>
      </c>
      <c r="Z2114" s="205">
        <v>3.4798080680190885E-2</v>
      </c>
      <c r="AA2114" s="207">
        <v>3.4755530234038545E-2</v>
      </c>
    </row>
    <row r="2115" spans="19:27" x14ac:dyDescent="0.2">
      <c r="S2115" s="165"/>
      <c r="T2115" s="166"/>
      <c r="W2115" s="199" t="str">
        <f t="shared" si="41"/>
        <v>1w</v>
      </c>
      <c r="X2115" s="200">
        <f>_xll.qlCalendarAdvance(Calendar,X2114,W2115,"f",FALSE)</f>
        <v>53652</v>
      </c>
      <c r="Y2115" s="204">
        <f>_xll.qlCalendarAdvance(Calendar,X2115,NDays&amp;"D")</f>
        <v>53654</v>
      </c>
      <c r="Z2115" s="205">
        <v>3.4793092866103971E-2</v>
      </c>
      <c r="AA2115" s="207">
        <v>3.4750570270558612E-2</v>
      </c>
    </row>
    <row r="2116" spans="19:27" x14ac:dyDescent="0.2">
      <c r="S2116" s="165"/>
      <c r="T2116" s="166"/>
      <c r="W2116" s="199" t="str">
        <f t="shared" si="41"/>
        <v>1w</v>
      </c>
      <c r="X2116" s="200">
        <f>_xll.qlCalendarAdvance(Calendar,X2115,W2116,"f",FALSE)</f>
        <v>53659</v>
      </c>
      <c r="Y2116" s="204">
        <f>_xll.qlCalendarAdvance(Calendar,X2116,NDays&amp;"D")</f>
        <v>53661</v>
      </c>
      <c r="Z2116" s="205">
        <v>3.4788096482789146E-2</v>
      </c>
      <c r="AA2116" s="207">
        <v>3.4745601760555189E-2</v>
      </c>
    </row>
    <row r="2117" spans="19:27" x14ac:dyDescent="0.2">
      <c r="S2117" s="165"/>
      <c r="T2117" s="166"/>
      <c r="W2117" s="199" t="str">
        <f t="shared" si="41"/>
        <v>1w</v>
      </c>
      <c r="X2117" s="200">
        <f>_xll.qlCalendarAdvance(Calendar,X2116,W2117,"f",FALSE)</f>
        <v>53666</v>
      </c>
      <c r="Y2117" s="204">
        <f>_xll.qlCalendarAdvance(Calendar,X2117,NDays&amp;"D")</f>
        <v>53668</v>
      </c>
      <c r="Z2117" s="205">
        <v>3.4783091530248993E-2</v>
      </c>
      <c r="AA2117" s="207">
        <v>3.4740624703868406E-2</v>
      </c>
    </row>
    <row r="2118" spans="19:27" x14ac:dyDescent="0.2">
      <c r="S2118" s="165"/>
      <c r="T2118" s="166"/>
      <c r="W2118" s="199" t="str">
        <f t="shared" si="41"/>
        <v>1w</v>
      </c>
      <c r="X2118" s="200">
        <f>_xll.qlCalendarAdvance(Calendar,X2117,W2118,"f",FALSE)</f>
        <v>53673</v>
      </c>
      <c r="Y2118" s="204">
        <f>_xll.qlCalendarAdvance(Calendar,X2118,NDays&amp;"D")</f>
        <v>53675</v>
      </c>
      <c r="Z2118" s="205">
        <v>3.4778078008496402E-2</v>
      </c>
      <c r="AA2118" s="207">
        <v>3.4735639100897941E-2</v>
      </c>
    </row>
    <row r="2119" spans="19:27" x14ac:dyDescent="0.2">
      <c r="S2119" s="165"/>
      <c r="T2119" s="166"/>
      <c r="W2119" s="199" t="str">
        <f t="shared" si="41"/>
        <v>1w</v>
      </c>
      <c r="X2119" s="200">
        <f>_xll.qlCalendarAdvance(Calendar,X2118,W2119,"f",FALSE)</f>
        <v>53680</v>
      </c>
      <c r="Y2119" s="204">
        <f>_xll.qlCalendarAdvance(Calendar,X2119,NDays&amp;"D")</f>
        <v>53682</v>
      </c>
      <c r="Z2119" s="205">
        <v>3.4774374151637366E-2</v>
      </c>
      <c r="AA2119" s="207">
        <v>3.472921648158156E-2</v>
      </c>
    </row>
    <row r="2120" spans="19:27" x14ac:dyDescent="0.2">
      <c r="S2120" s="165"/>
      <c r="T2120" s="166"/>
      <c r="W2120" s="199" t="str">
        <f t="shared" si="41"/>
        <v>1w</v>
      </c>
      <c r="X2120" s="200">
        <f>_xll.qlCalendarAdvance(Calendar,X2119,W2120,"f",FALSE)</f>
        <v>53688</v>
      </c>
      <c r="Y2120" s="204">
        <f>_xll.qlCalendarAdvance(Calendar,X2120,NDays&amp;"D")</f>
        <v>53692</v>
      </c>
      <c r="Z2120" s="205">
        <v>3.4765866636966965E-2</v>
      </c>
      <c r="AA2120" s="207">
        <v>3.4724211343517553E-2</v>
      </c>
    </row>
    <row r="2121" spans="19:27" x14ac:dyDescent="0.2">
      <c r="S2121" s="165"/>
      <c r="T2121" s="166"/>
      <c r="W2121" s="199" t="str">
        <f t="shared" si="41"/>
        <v>1w</v>
      </c>
      <c r="X2121" s="200">
        <f>_xll.qlCalendarAdvance(Calendar,X2120,W2121,"f",FALSE)</f>
        <v>53695</v>
      </c>
      <c r="Y2121" s="204">
        <f>_xll.qlCalendarAdvance(Calendar,X2121,NDays&amp;"D")</f>
        <v>53699</v>
      </c>
      <c r="Z2121" s="205">
        <v>3.4760823735141805E-2</v>
      </c>
      <c r="AA2121" s="207">
        <v>3.4719914423018139E-2</v>
      </c>
    </row>
    <row r="2122" spans="19:27" x14ac:dyDescent="0.2">
      <c r="S2122" s="165"/>
      <c r="T2122" s="166"/>
      <c r="W2122" s="199" t="str">
        <f t="shared" si="41"/>
        <v>1w</v>
      </c>
      <c r="X2122" s="200">
        <f>_xll.qlCalendarAdvance(Calendar,X2121,W2122,"f",FALSE)</f>
        <v>53702</v>
      </c>
      <c r="Y2122" s="204">
        <f>_xll.qlCalendarAdvance(Calendar,X2122,NDays&amp;"D")</f>
        <v>53706</v>
      </c>
      <c r="Z2122" s="205">
        <v>3.4755772264145467E-2</v>
      </c>
      <c r="AA2122" s="207">
        <v>3.47148934128505E-2</v>
      </c>
    </row>
    <row r="2123" spans="19:27" x14ac:dyDescent="0.2">
      <c r="S2123" s="165"/>
      <c r="T2123" s="166"/>
      <c r="W2123" s="199" t="str">
        <f t="shared" si="41"/>
        <v>1w</v>
      </c>
      <c r="X2123" s="200">
        <f>_xll.qlCalendarAdvance(Calendar,X2122,W2123,"f",FALSE)</f>
        <v>53709</v>
      </c>
      <c r="Y2123" s="204">
        <f>_xll.qlCalendarAdvance(Calendar,X2123,NDays&amp;"D")</f>
        <v>53713</v>
      </c>
      <c r="Z2123" s="205">
        <v>3.4749988661604066E-2</v>
      </c>
      <c r="AA2123" s="207">
        <v>3.4709863856159373E-2</v>
      </c>
    </row>
    <row r="2124" spans="19:27" x14ac:dyDescent="0.2">
      <c r="S2124" s="165"/>
      <c r="T2124" s="166"/>
      <c r="W2124" s="199" t="str">
        <f t="shared" si="41"/>
        <v>1w</v>
      </c>
      <c r="X2124" s="200">
        <f>_xll.qlCalendarAdvance(Calendar,X2123,W2124,"f",FALSE)</f>
        <v>53716</v>
      </c>
      <c r="Y2124" s="204">
        <f>_xll.qlCalendarAdvance(Calendar,X2124,NDays&amp;"D")</f>
        <v>53720</v>
      </c>
      <c r="Z2124" s="205">
        <v>3.4745643614716618E-2</v>
      </c>
      <c r="AA2124" s="207">
        <v>3.4704825753024693E-2</v>
      </c>
    </row>
    <row r="2125" spans="19:27" x14ac:dyDescent="0.2">
      <c r="S2125" s="165"/>
      <c r="T2125" s="166"/>
      <c r="W2125" s="199" t="str">
        <f t="shared" si="41"/>
        <v>1w</v>
      </c>
      <c r="X2125" s="200">
        <f>_xll.qlCalendarAdvance(Calendar,X2124,W2125,"f",FALSE)</f>
        <v>53723</v>
      </c>
      <c r="Y2125" s="204">
        <f>_xll.qlCalendarAdvance(Calendar,X2125,NDays&amp;"D")</f>
        <v>53727</v>
      </c>
      <c r="Z2125" s="205">
        <v>3.4736632811814348E-2</v>
      </c>
      <c r="AA2125" s="207">
        <v>3.4699779103366524E-2</v>
      </c>
    </row>
    <row r="2126" spans="19:27" x14ac:dyDescent="0.2">
      <c r="S2126" s="165"/>
      <c r="T2126" s="166"/>
      <c r="W2126" s="199" t="str">
        <f t="shared" si="41"/>
        <v>1w</v>
      </c>
      <c r="X2126" s="200">
        <f>_xll.qlCalendarAdvance(Calendar,X2125,W2126,"f",FALSE)</f>
        <v>53730</v>
      </c>
      <c r="Y2126" s="204">
        <f>_xll.qlCalendarAdvance(Calendar,X2126,NDays&amp;"D")</f>
        <v>53734</v>
      </c>
      <c r="Z2126" s="205">
        <v>3.4731550369864195E-2</v>
      </c>
      <c r="AA2126" s="207">
        <v>3.4694723906945057E-2</v>
      </c>
    </row>
    <row r="2127" spans="19:27" x14ac:dyDescent="0.2">
      <c r="S2127" s="165"/>
      <c r="T2127" s="166"/>
      <c r="W2127" s="199" t="str">
        <f t="shared" si="41"/>
        <v>1w</v>
      </c>
      <c r="X2127" s="200">
        <f>_xll.qlCalendarAdvance(Calendar,X2126,W2127,"f",FALSE)</f>
        <v>53737</v>
      </c>
      <c r="Y2127" s="204">
        <f>_xll.qlCalendarAdvance(Calendar,X2127,NDays&amp;"D")</f>
        <v>53741</v>
      </c>
      <c r="Z2127" s="205">
        <v>3.472573137475557E-2</v>
      </c>
      <c r="AA2127" s="207">
        <v>3.4689660164399783E-2</v>
      </c>
    </row>
    <row r="2128" spans="19:27" x14ac:dyDescent="0.2">
      <c r="S2128" s="165"/>
      <c r="T2128" s="166"/>
      <c r="W2128" s="199" t="str">
        <f t="shared" si="41"/>
        <v>1w</v>
      </c>
      <c r="X2128" s="200">
        <f>_xll.qlCalendarAdvance(Calendar,X2127,W2128,"f",FALSE)</f>
        <v>53744</v>
      </c>
      <c r="Y2128" s="204">
        <f>_xll.qlCalendarAdvance(Calendar,X2128,NDays&amp;"D")</f>
        <v>53748</v>
      </c>
      <c r="Z2128" s="205">
        <v>3.4721359785422186E-2</v>
      </c>
      <c r="AA2128" s="207">
        <v>3.4684587875171147E-2</v>
      </c>
    </row>
    <row r="2129" spans="19:27" x14ac:dyDescent="0.2">
      <c r="S2129" s="165"/>
      <c r="T2129" s="166"/>
      <c r="W2129" s="199" t="str">
        <f t="shared" si="41"/>
        <v>1w</v>
      </c>
      <c r="X2129" s="200">
        <f>_xll.qlCalendarAdvance(Calendar,X2128,W2129,"f",FALSE)</f>
        <v>53751</v>
      </c>
      <c r="Y2129" s="204">
        <f>_xll.qlCalendarAdvance(Calendar,X2129,NDays&amp;"D")</f>
        <v>53755</v>
      </c>
      <c r="Z2129" s="205">
        <v>3.4720172031548778E-2</v>
      </c>
      <c r="AA2129" s="207">
        <v>3.4679507039339086E-2</v>
      </c>
    </row>
    <row r="2130" spans="19:27" x14ac:dyDescent="0.2">
      <c r="S2130" s="165"/>
      <c r="T2130" s="166"/>
      <c r="W2130" s="199" t="str">
        <f t="shared" si="41"/>
        <v>1w</v>
      </c>
      <c r="X2130" s="200">
        <f>_xll.qlCalendarAdvance(Calendar,X2129,W2130,"f",FALSE)</f>
        <v>53758</v>
      </c>
      <c r="Y2130" s="204">
        <f>_xll.qlCalendarAdvance(Calendar,X2130,NDays&amp;"D")</f>
        <v>53762</v>
      </c>
      <c r="Z2130" s="205">
        <v>3.4715052007644576E-2</v>
      </c>
      <c r="AA2130" s="207">
        <v>3.4674417656823664E-2</v>
      </c>
    </row>
    <row r="2131" spans="19:27" x14ac:dyDescent="0.2">
      <c r="S2131" s="165"/>
      <c r="T2131" s="166"/>
      <c r="W2131" s="199" t="str">
        <f t="shared" si="41"/>
        <v>1w</v>
      </c>
      <c r="X2131" s="200">
        <f>_xll.qlCalendarAdvance(Calendar,X2130,W2131,"f",FALSE)</f>
        <v>53765</v>
      </c>
      <c r="Y2131" s="204">
        <f>_xll.qlCalendarAdvance(Calendar,X2131,NDays&amp;"D")</f>
        <v>53769</v>
      </c>
      <c r="Z2131" s="205">
        <v>3.4709923414685227E-2</v>
      </c>
      <c r="AA2131" s="207">
        <v>3.4669319728104497E-2</v>
      </c>
    </row>
    <row r="2132" spans="19:27" x14ac:dyDescent="0.2">
      <c r="S2132" s="165"/>
      <c r="T2132" s="166"/>
      <c r="W2132" s="199" t="str">
        <f t="shared" si="41"/>
        <v>1w</v>
      </c>
      <c r="X2132" s="200">
        <f>_xll.qlCalendarAdvance(Calendar,X2131,W2132,"f",FALSE)</f>
        <v>53772</v>
      </c>
      <c r="Y2132" s="204">
        <f>_xll.qlCalendarAdvance(Calendar,X2132,NDays&amp;"D")</f>
        <v>53776</v>
      </c>
      <c r="Z2132" s="205">
        <v>3.4704786252668159E-2</v>
      </c>
      <c r="AA2132" s="207">
        <v>3.466421325270197E-2</v>
      </c>
    </row>
    <row r="2133" spans="19:27" x14ac:dyDescent="0.2">
      <c r="S2133" s="165"/>
      <c r="T2133" s="166"/>
      <c r="W2133" s="199" t="str">
        <f t="shared" ref="W2133:W2196" si="42">W2132</f>
        <v>1w</v>
      </c>
      <c r="X2133" s="200">
        <f>_xll.qlCalendarAdvance(Calendar,X2132,W2133,"f",FALSE)</f>
        <v>53779</v>
      </c>
      <c r="Y2133" s="204">
        <f>_xll.qlCalendarAdvance(Calendar,X2133,NDays&amp;"D")</f>
        <v>53783</v>
      </c>
      <c r="Z2133" s="205">
        <v>3.4698338171355481E-2</v>
      </c>
      <c r="AA2133" s="207">
        <v>3.4659098230855889E-2</v>
      </c>
    </row>
    <row r="2134" spans="19:27" x14ac:dyDescent="0.2">
      <c r="S2134" s="165"/>
      <c r="T2134" s="166"/>
      <c r="W2134" s="199" t="str">
        <f t="shared" si="42"/>
        <v>1w</v>
      </c>
      <c r="X2134" s="200">
        <f>_xll.qlCalendarAdvance(Calendar,X2133,W2134,"f",FALSE)</f>
        <v>53786</v>
      </c>
      <c r="Y2134" s="204">
        <f>_xll.qlCalendarAdvance(Calendar,X2134,NDays&amp;"D")</f>
        <v>53790</v>
      </c>
      <c r="Z2134" s="205">
        <v>3.4693184979298408E-2</v>
      </c>
      <c r="AA2134" s="207">
        <v>3.4653974662406384E-2</v>
      </c>
    </row>
    <row r="2135" spans="19:27" x14ac:dyDescent="0.2">
      <c r="S2135" s="165"/>
      <c r="T2135" s="166"/>
      <c r="W2135" s="199" t="str">
        <f t="shared" si="42"/>
        <v>1w</v>
      </c>
      <c r="X2135" s="200">
        <f>_xll.qlCalendarAdvance(Calendar,X2134,W2135,"f",FALSE)</f>
        <v>53793</v>
      </c>
      <c r="Y2135" s="204">
        <f>_xll.qlCalendarAdvance(Calendar,X2135,NDays&amp;"D")</f>
        <v>53799</v>
      </c>
      <c r="Z2135" s="205">
        <v>3.4686546856553591E-2</v>
      </c>
      <c r="AA2135" s="207">
        <v>3.4649974918110615E-2</v>
      </c>
    </row>
    <row r="2136" spans="19:27" x14ac:dyDescent="0.2">
      <c r="S2136" s="165"/>
      <c r="T2136" s="166"/>
      <c r="W2136" s="199" t="str">
        <f t="shared" si="42"/>
        <v>1w</v>
      </c>
      <c r="X2136" s="200">
        <f>_xll.qlCalendarAdvance(Calendar,X2135,W2136,"f",FALSE)</f>
        <v>53800</v>
      </c>
      <c r="Y2136" s="204">
        <f>_xll.qlCalendarAdvance(Calendar,X2136,NDays&amp;"D")</f>
        <v>53804</v>
      </c>
      <c r="Z2136" s="205">
        <v>3.4682852890401961E-2</v>
      </c>
      <c r="AA2136" s="207">
        <v>3.4643701886176714E-2</v>
      </c>
    </row>
    <row r="2137" spans="19:27" x14ac:dyDescent="0.2">
      <c r="S2137" s="165"/>
      <c r="T2137" s="166"/>
      <c r="W2137" s="199" t="str">
        <f t="shared" si="42"/>
        <v>1w</v>
      </c>
      <c r="X2137" s="200">
        <f>_xll.qlCalendarAdvance(Calendar,X2136,W2137,"f",FALSE)</f>
        <v>53807</v>
      </c>
      <c r="Y2137" s="204">
        <f>_xll.qlCalendarAdvance(Calendar,X2137,NDays&amp;"D")</f>
        <v>53811</v>
      </c>
      <c r="Z2137" s="205">
        <v>3.4677673993583902E-2</v>
      </c>
      <c r="AA2137" s="207">
        <v>3.4638552678156742E-2</v>
      </c>
    </row>
    <row r="2138" spans="19:27" x14ac:dyDescent="0.2">
      <c r="S2138" s="165"/>
      <c r="T2138" s="166"/>
      <c r="W2138" s="199" t="str">
        <f t="shared" si="42"/>
        <v>1w</v>
      </c>
      <c r="X2138" s="200">
        <f>_xll.qlCalendarAdvance(Calendar,X2137,W2138,"f",FALSE)</f>
        <v>53814</v>
      </c>
      <c r="Y2138" s="204">
        <f>_xll.qlCalendarAdvance(Calendar,X2138,NDays&amp;"D")</f>
        <v>53819</v>
      </c>
      <c r="Z2138" s="205">
        <v>3.4673041406468694E-2</v>
      </c>
      <c r="AA2138" s="207">
        <v>3.463265740388799E-2</v>
      </c>
    </row>
    <row r="2139" spans="19:27" x14ac:dyDescent="0.2">
      <c r="S2139" s="165"/>
      <c r="T2139" s="166"/>
      <c r="W2139" s="199" t="str">
        <f t="shared" si="42"/>
        <v>1w</v>
      </c>
      <c r="X2139" s="200">
        <f>_xll.qlCalendarAdvance(Calendar,X2138,W2139,"f",FALSE)</f>
        <v>53821</v>
      </c>
      <c r="Y2139" s="204">
        <f>_xll.qlCalendarAdvance(Calendar,X2139,NDays&amp;"D")</f>
        <v>53825</v>
      </c>
      <c r="Z2139" s="205">
        <v>3.4668586186077377E-2</v>
      </c>
      <c r="AA2139" s="207">
        <v>3.4628228622706203E-2</v>
      </c>
    </row>
    <row r="2140" spans="19:27" x14ac:dyDescent="0.2">
      <c r="S2140" s="165"/>
      <c r="T2140" s="166"/>
      <c r="W2140" s="199" t="str">
        <f t="shared" si="42"/>
        <v>1w</v>
      </c>
      <c r="X2140" s="200">
        <f>_xll.qlCalendarAdvance(Calendar,X2139,W2140,"f",FALSE)</f>
        <v>53828</v>
      </c>
      <c r="Y2140" s="204">
        <f>_xll.qlCalendarAdvance(Calendar,X2140,NDays&amp;"D")</f>
        <v>53832</v>
      </c>
      <c r="Z2140" s="205">
        <v>3.4663380472057526E-2</v>
      </c>
      <c r="AA2140" s="207">
        <v>3.4623053775115764E-2</v>
      </c>
    </row>
    <row r="2141" spans="19:27" x14ac:dyDescent="0.2">
      <c r="S2141" s="165"/>
      <c r="T2141" s="166"/>
      <c r="W2141" s="199" t="str">
        <f t="shared" si="42"/>
        <v>1w</v>
      </c>
      <c r="X2141" s="200">
        <f>_xll.qlCalendarAdvance(Calendar,X2140,W2141,"f",FALSE)</f>
        <v>53835</v>
      </c>
      <c r="Y2141" s="204">
        <f>_xll.qlCalendarAdvance(Calendar,X2141,NDays&amp;"D")</f>
        <v>53840</v>
      </c>
      <c r="Z2141" s="205">
        <v>3.4657420592022876E-2</v>
      </c>
      <c r="AA2141" s="207">
        <v>3.4617129198606378E-2</v>
      </c>
    </row>
    <row r="2142" spans="19:27" x14ac:dyDescent="0.2">
      <c r="S2142" s="165"/>
      <c r="T2142" s="166"/>
      <c r="W2142" s="199" t="str">
        <f t="shared" si="42"/>
        <v>1w</v>
      </c>
      <c r="X2142" s="200">
        <f>_xll.qlCalendarAdvance(Calendar,X2141,W2142,"f",FALSE)</f>
        <v>53842</v>
      </c>
      <c r="Y2142" s="204">
        <f>_xll.qlCalendarAdvance(Calendar,X2142,NDays&amp;"D")</f>
        <v>53846</v>
      </c>
      <c r="Z2142" s="205">
        <v>3.4651650986170957E-2</v>
      </c>
      <c r="AA2142" s="207">
        <v>3.4612678440604228E-2</v>
      </c>
    </row>
    <row r="2143" spans="19:27" x14ac:dyDescent="0.2">
      <c r="S2143" s="165"/>
      <c r="T2143" s="166"/>
      <c r="W2143" s="199" t="str">
        <f t="shared" si="42"/>
        <v>1w</v>
      </c>
      <c r="X2143" s="200">
        <f>_xll.qlCalendarAdvance(Calendar,X2142,W2143,"f",FALSE)</f>
        <v>53849</v>
      </c>
      <c r="Y2143" s="204">
        <f>_xll.qlCalendarAdvance(Calendar,X2143,NDays&amp;"D")</f>
        <v>53853</v>
      </c>
      <c r="Z2143" s="205">
        <v>3.4646420680110701E-2</v>
      </c>
      <c r="AA2143" s="207">
        <v>3.4607477953443322E-2</v>
      </c>
    </row>
    <row r="2144" spans="19:27" x14ac:dyDescent="0.2">
      <c r="S2144" s="165"/>
      <c r="T2144" s="166"/>
      <c r="W2144" s="199" t="str">
        <f t="shared" si="42"/>
        <v>1w</v>
      </c>
      <c r="X2144" s="200">
        <f>_xll.qlCalendarAdvance(Calendar,X2143,W2144,"f",FALSE)</f>
        <v>53856</v>
      </c>
      <c r="Y2144" s="204">
        <f>_xll.qlCalendarAdvance(Calendar,X2144,NDays&amp;"D")</f>
        <v>53860</v>
      </c>
      <c r="Z2144" s="205">
        <v>3.4641181805882937E-2</v>
      </c>
      <c r="AA2144" s="207">
        <v>3.4602268919838863E-2</v>
      </c>
    </row>
    <row r="2145" spans="19:27" x14ac:dyDescent="0.2">
      <c r="S2145" s="165"/>
      <c r="T2145" s="166"/>
      <c r="W2145" s="199" t="str">
        <f t="shared" si="42"/>
        <v>1w</v>
      </c>
      <c r="X2145" s="200">
        <f>_xll.qlCalendarAdvance(Calendar,X2144,W2145,"f",FALSE)</f>
        <v>53863</v>
      </c>
      <c r="Y2145" s="204">
        <f>_xll.qlCalendarAdvance(Calendar,X2145,NDays&amp;"D")</f>
        <v>53867</v>
      </c>
      <c r="Z2145" s="205">
        <v>3.4635934363495657E-2</v>
      </c>
      <c r="AA2145" s="207">
        <v>3.4597051339710916E-2</v>
      </c>
    </row>
    <row r="2146" spans="19:27" x14ac:dyDescent="0.2">
      <c r="S2146" s="165"/>
      <c r="T2146" s="166"/>
      <c r="W2146" s="199" t="str">
        <f t="shared" si="42"/>
        <v>1w</v>
      </c>
      <c r="X2146" s="200">
        <f>_xll.qlCalendarAdvance(Calendar,X2145,W2146,"f",FALSE)</f>
        <v>53870</v>
      </c>
      <c r="Y2146" s="204">
        <f>_xll.qlCalendarAdvance(Calendar,X2146,NDays&amp;"D")</f>
        <v>53874</v>
      </c>
      <c r="Z2146" s="205">
        <v>3.4631966240433777E-2</v>
      </c>
      <c r="AA2146" s="207">
        <v>3.4591825213219352E-2</v>
      </c>
    </row>
    <row r="2147" spans="19:27" x14ac:dyDescent="0.2">
      <c r="S2147" s="165"/>
      <c r="T2147" s="166"/>
      <c r="W2147" s="199" t="str">
        <f t="shared" si="42"/>
        <v>1w</v>
      </c>
      <c r="X2147" s="200">
        <f>_xll.qlCalendarAdvance(Calendar,X2146,W2147,"f",FALSE)</f>
        <v>53877</v>
      </c>
      <c r="Y2147" s="204">
        <f>_xll.qlCalendarAdvance(Calendar,X2147,NDays&amp;"D")</f>
        <v>53881</v>
      </c>
      <c r="Z2147" s="205">
        <v>3.4626700544018105E-2</v>
      </c>
      <c r="AA2147" s="207">
        <v>3.4586590540044426E-2</v>
      </c>
    </row>
    <row r="2148" spans="19:27" x14ac:dyDescent="0.2">
      <c r="S2148" s="165"/>
      <c r="T2148" s="166"/>
      <c r="W2148" s="199" t="str">
        <f t="shared" si="42"/>
        <v>1w</v>
      </c>
      <c r="X2148" s="200">
        <f>_xll.qlCalendarAdvance(Calendar,X2147,W2148,"f",FALSE)</f>
        <v>53884</v>
      </c>
      <c r="Y2148" s="204">
        <f>_xll.qlCalendarAdvance(Calendar,X2148,NDays&amp;"D")</f>
        <v>53888</v>
      </c>
      <c r="Z2148" s="205">
        <v>3.4621426278732943E-2</v>
      </c>
      <c r="AA2148" s="207">
        <v>3.4581347320346012E-2</v>
      </c>
    </row>
    <row r="2149" spans="19:27" x14ac:dyDescent="0.2">
      <c r="S2149" s="165"/>
      <c r="T2149" s="166"/>
      <c r="W2149" s="199" t="str">
        <f t="shared" si="42"/>
        <v>1w</v>
      </c>
      <c r="X2149" s="200">
        <f>_xll.qlCalendarAdvance(Calendar,X2148,W2149,"f",FALSE)</f>
        <v>53891</v>
      </c>
      <c r="Y2149" s="204">
        <f>_xll.qlCalendarAdvance(Calendar,X2149,NDays&amp;"D")</f>
        <v>53895</v>
      </c>
      <c r="Z2149" s="205">
        <v>3.4616143444591192E-2</v>
      </c>
      <c r="AA2149" s="207">
        <v>3.4576095554283981E-2</v>
      </c>
    </row>
    <row r="2150" spans="19:27" x14ac:dyDescent="0.2">
      <c r="S2150" s="165"/>
      <c r="T2150" s="166"/>
      <c r="W2150" s="199" t="str">
        <f t="shared" si="42"/>
        <v>1w</v>
      </c>
      <c r="X2150" s="200">
        <f>_xll.qlCalendarAdvance(Calendar,X2149,W2150,"f",FALSE)</f>
        <v>53898</v>
      </c>
      <c r="Y2150" s="204">
        <f>_xll.qlCalendarAdvance(Calendar,X2150,NDays&amp;"D")</f>
        <v>53902</v>
      </c>
      <c r="Z2150" s="205">
        <v>3.4610852041608318E-2</v>
      </c>
      <c r="AA2150" s="207">
        <v>3.4570835241538589E-2</v>
      </c>
    </row>
    <row r="2151" spans="19:27" x14ac:dyDescent="0.2">
      <c r="S2151" s="165"/>
      <c r="T2151" s="166"/>
      <c r="W2151" s="199" t="str">
        <f t="shared" si="42"/>
        <v>1w</v>
      </c>
      <c r="X2151" s="200">
        <f>_xll.qlCalendarAdvance(Calendar,X2150,W2151,"f",FALSE)</f>
        <v>53905</v>
      </c>
      <c r="Y2151" s="204">
        <f>_xll.qlCalendarAdvance(Calendar,X2151,NDays&amp;"D")</f>
        <v>53909</v>
      </c>
      <c r="Z2151" s="205">
        <v>3.4605552069789478E-2</v>
      </c>
      <c r="AA2151" s="207">
        <v>3.4565566382349644E-2</v>
      </c>
    </row>
    <row r="2152" spans="19:27" x14ac:dyDescent="0.2">
      <c r="S2152" s="165"/>
      <c r="T2152" s="166"/>
      <c r="W2152" s="199" t="str">
        <f t="shared" si="42"/>
        <v>1w</v>
      </c>
      <c r="X2152" s="200">
        <f>_xll.qlCalendarAdvance(Calendar,X2151,W2152,"f",FALSE)</f>
        <v>53912</v>
      </c>
      <c r="Y2152" s="204">
        <f>_xll.qlCalendarAdvance(Calendar,X2152,NDays&amp;"D")</f>
        <v>53916</v>
      </c>
      <c r="Z2152" s="205">
        <v>3.460024352915015E-2</v>
      </c>
      <c r="AA2152" s="207">
        <v>3.4560288976557274E-2</v>
      </c>
    </row>
    <row r="2153" spans="19:27" x14ac:dyDescent="0.2">
      <c r="S2153" s="165"/>
      <c r="T2153" s="166"/>
      <c r="W2153" s="199" t="str">
        <f t="shared" si="42"/>
        <v>1w</v>
      </c>
      <c r="X2153" s="200">
        <f>_xll.qlCalendarAdvance(Calendar,X2152,W2153,"f",FALSE)</f>
        <v>53919</v>
      </c>
      <c r="Y2153" s="204">
        <f>_xll.qlCalendarAdvance(Calendar,X2153,NDays&amp;"D")</f>
        <v>53923</v>
      </c>
      <c r="Z2153" s="205">
        <v>3.4594926419705803E-2</v>
      </c>
      <c r="AA2153" s="207">
        <v>3.4555003024481223E-2</v>
      </c>
    </row>
    <row r="2154" spans="19:27" x14ac:dyDescent="0.2">
      <c r="S2154" s="165"/>
      <c r="T2154" s="166"/>
      <c r="W2154" s="199" t="str">
        <f t="shared" si="42"/>
        <v>1w</v>
      </c>
      <c r="X2154" s="200">
        <f>_xll.qlCalendarAdvance(Calendar,X2153,W2154,"f",FALSE)</f>
        <v>53926</v>
      </c>
      <c r="Y2154" s="204">
        <f>_xll.qlCalendarAdvance(Calendar,X2154,NDays&amp;"D")</f>
        <v>53931</v>
      </c>
      <c r="Z2154" s="205">
        <v>3.4588839230787718E-2</v>
      </c>
      <c r="AA2154" s="207">
        <v>3.454895147106285E-2</v>
      </c>
    </row>
    <row r="2155" spans="19:27" x14ac:dyDescent="0.2">
      <c r="S2155" s="165"/>
      <c r="T2155" s="166"/>
      <c r="W2155" s="199" t="str">
        <f t="shared" si="42"/>
        <v>1w</v>
      </c>
      <c r="X2155" s="200">
        <f>_xll.qlCalendarAdvance(Calendar,X2154,W2155,"f",FALSE)</f>
        <v>53933</v>
      </c>
      <c r="Y2155" s="204">
        <f>_xll.qlCalendarAdvance(Calendar,X2155,NDays&amp;"D")</f>
        <v>53937</v>
      </c>
      <c r="Z2155" s="205">
        <v>3.45822261193236E-2</v>
      </c>
      <c r="AA2155" s="207">
        <v>3.4544405480358975E-2</v>
      </c>
    </row>
    <row r="2156" spans="19:27" x14ac:dyDescent="0.2">
      <c r="S2156" s="165"/>
      <c r="T2156" s="166"/>
      <c r="W2156" s="199" t="str">
        <f t="shared" si="42"/>
        <v>1w</v>
      </c>
      <c r="X2156" s="200">
        <f>_xll.qlCalendarAdvance(Calendar,X2155,W2156,"f",FALSE)</f>
        <v>53940</v>
      </c>
      <c r="Y2156" s="204">
        <f>_xll.qlCalendarAdvance(Calendar,X2156,NDays&amp;"D")</f>
        <v>53944</v>
      </c>
      <c r="Z2156" s="205">
        <v>3.4577647002158152E-2</v>
      </c>
      <c r="AA2156" s="207">
        <v>3.4539093888712458E-2</v>
      </c>
    </row>
    <row r="2157" spans="19:27" x14ac:dyDescent="0.2">
      <c r="S2157" s="165"/>
      <c r="T2157" s="166"/>
      <c r="W2157" s="199" t="str">
        <f t="shared" si="42"/>
        <v>1w</v>
      </c>
      <c r="X2157" s="200">
        <f>_xll.qlCalendarAdvance(Calendar,X2156,W2157,"f",FALSE)</f>
        <v>53947</v>
      </c>
      <c r="Y2157" s="204">
        <f>_xll.qlCalendarAdvance(Calendar,X2157,NDays&amp;"D")</f>
        <v>53951</v>
      </c>
      <c r="Z2157" s="205">
        <v>3.457229674277329E-2</v>
      </c>
      <c r="AA2157" s="207">
        <v>3.4533773750382579E-2</v>
      </c>
    </row>
    <row r="2158" spans="19:27" x14ac:dyDescent="0.2">
      <c r="S2158" s="165"/>
      <c r="T2158" s="166"/>
      <c r="W2158" s="199" t="str">
        <f t="shared" si="42"/>
        <v>1w</v>
      </c>
      <c r="X2158" s="200">
        <f>_xll.qlCalendarAdvance(Calendar,X2157,W2158,"f",FALSE)</f>
        <v>53954</v>
      </c>
      <c r="Y2158" s="204">
        <f>_xll.qlCalendarAdvance(Calendar,X2158,NDays&amp;"D")</f>
        <v>53958</v>
      </c>
      <c r="Z2158" s="205">
        <v>3.4566937915391449E-2</v>
      </c>
      <c r="AA2158" s="207">
        <v>3.4528445065529212E-2</v>
      </c>
    </row>
    <row r="2159" spans="19:27" x14ac:dyDescent="0.2">
      <c r="S2159" s="165"/>
      <c r="T2159" s="166"/>
      <c r="W2159" s="199" t="str">
        <f t="shared" si="42"/>
        <v>1w</v>
      </c>
      <c r="X2159" s="200">
        <f>_xll.qlCalendarAdvance(Calendar,X2158,W2159,"f",FALSE)</f>
        <v>53961</v>
      </c>
      <c r="Y2159" s="204">
        <f>_xll.qlCalendarAdvance(Calendar,X2159,NDays&amp;"D")</f>
        <v>53965</v>
      </c>
      <c r="Z2159" s="205">
        <v>3.4562843818673201E-2</v>
      </c>
      <c r="AA2159" s="207">
        <v>3.4523107834152356E-2</v>
      </c>
    </row>
    <row r="2160" spans="19:27" x14ac:dyDescent="0.2">
      <c r="S2160" s="165"/>
      <c r="T2160" s="166"/>
      <c r="W2160" s="199" t="str">
        <f t="shared" si="42"/>
        <v>1w</v>
      </c>
      <c r="X2160" s="200">
        <f>_xll.qlCalendarAdvance(Calendar,X2159,W2160,"f",FALSE)</f>
        <v>53968</v>
      </c>
      <c r="Y2160" s="204">
        <f>_xll.qlCalendarAdvance(Calendar,X2160,NDays&amp;"D")</f>
        <v>53972</v>
      </c>
      <c r="Z2160" s="205">
        <v>3.455746672789025E-2</v>
      </c>
      <c r="AA2160" s="207">
        <v>3.4517762056491819E-2</v>
      </c>
    </row>
    <row r="2161" spans="19:27" x14ac:dyDescent="0.2">
      <c r="S2161" s="165"/>
      <c r="T2161" s="166"/>
      <c r="W2161" s="199" t="str">
        <f t="shared" si="42"/>
        <v>1w</v>
      </c>
      <c r="X2161" s="200">
        <f>_xll.qlCalendarAdvance(Calendar,X2160,W2161,"f",FALSE)</f>
        <v>53975</v>
      </c>
      <c r="Y2161" s="204">
        <f>_xll.qlCalendarAdvance(Calendar,X2161,NDays&amp;"D")</f>
        <v>53979</v>
      </c>
      <c r="Z2161" s="205">
        <v>3.455131098897294E-2</v>
      </c>
      <c r="AA2161" s="207">
        <v>3.4512407732227857E-2</v>
      </c>
    </row>
    <row r="2162" spans="19:27" x14ac:dyDescent="0.2">
      <c r="S2162" s="165"/>
      <c r="T2162" s="166"/>
      <c r="W2162" s="199" t="str">
        <f t="shared" si="42"/>
        <v>1w</v>
      </c>
      <c r="X2162" s="200">
        <f>_xll.qlCalendarAdvance(Calendar,X2161,W2162,"f",FALSE)</f>
        <v>53982</v>
      </c>
      <c r="Y2162" s="204">
        <f>_xll.qlCalendarAdvance(Calendar,X2162,NDays&amp;"D")</f>
        <v>53986</v>
      </c>
      <c r="Z2162" s="205">
        <v>3.4546686840187767E-2</v>
      </c>
      <c r="AA2162" s="207">
        <v>3.4507044861280534E-2</v>
      </c>
    </row>
    <row r="2163" spans="19:27" x14ac:dyDescent="0.2">
      <c r="S2163" s="165"/>
      <c r="T2163" s="166"/>
      <c r="W2163" s="199" t="str">
        <f t="shared" si="42"/>
        <v>1w</v>
      </c>
      <c r="X2163" s="200">
        <f>_xll.qlCalendarAdvance(Calendar,X2162,W2163,"f",FALSE)</f>
        <v>53989</v>
      </c>
      <c r="Y2163" s="204">
        <f>_xll.qlCalendarAdvance(Calendar,X2163,NDays&amp;"D")</f>
        <v>53993</v>
      </c>
      <c r="Z2163" s="205">
        <v>3.4542552801263837E-2</v>
      </c>
      <c r="AA2163" s="207">
        <v>3.450167344404953E-2</v>
      </c>
    </row>
    <row r="2164" spans="19:27" x14ac:dyDescent="0.2">
      <c r="S2164" s="165"/>
      <c r="T2164" s="166"/>
      <c r="W2164" s="199" t="str">
        <f t="shared" si="42"/>
        <v>1w</v>
      </c>
      <c r="X2164" s="200">
        <f>_xll.qlCalendarAdvance(Calendar,X2163,W2164,"f",FALSE)</f>
        <v>53996</v>
      </c>
      <c r="Y2164" s="204">
        <f>_xll.qlCalendarAdvance(Calendar,X2164,NDays&amp;"D")</f>
        <v>54000</v>
      </c>
      <c r="Z2164" s="205">
        <v>3.4534605023494258E-2</v>
      </c>
      <c r="AA2164" s="207">
        <v>3.4496293480215101E-2</v>
      </c>
    </row>
    <row r="2165" spans="19:27" x14ac:dyDescent="0.2">
      <c r="S2165" s="165"/>
      <c r="T2165" s="166"/>
      <c r="W2165" s="199" t="str">
        <f t="shared" si="42"/>
        <v>1w</v>
      </c>
      <c r="X2165" s="200">
        <f>_xll.qlCalendarAdvance(Calendar,X2164,W2165,"f",FALSE)</f>
        <v>54003</v>
      </c>
      <c r="Y2165" s="204">
        <f>_xll.qlCalendarAdvance(Calendar,X2165,NDays&amp;"D")</f>
        <v>54007</v>
      </c>
      <c r="Z2165" s="205">
        <v>3.4528411406208548E-2</v>
      </c>
      <c r="AA2165" s="207">
        <v>3.4490904969777247E-2</v>
      </c>
    </row>
    <row r="2166" spans="19:27" x14ac:dyDescent="0.2">
      <c r="S2166" s="165"/>
      <c r="T2166" s="166"/>
      <c r="W2166" s="199" t="str">
        <f t="shared" si="42"/>
        <v>1w</v>
      </c>
      <c r="X2166" s="200">
        <f>_xll.qlCalendarAdvance(Calendar,X2165,W2166,"f",FALSE)</f>
        <v>54010</v>
      </c>
      <c r="Y2166" s="204">
        <f>_xll.qlCalendarAdvance(Calendar,X2166,NDays&amp;"D")</f>
        <v>54014</v>
      </c>
      <c r="Z2166" s="205">
        <v>3.4523758849314135E-2</v>
      </c>
      <c r="AA2166" s="207">
        <v>3.4485507912815905E-2</v>
      </c>
    </row>
    <row r="2167" spans="19:27" x14ac:dyDescent="0.2">
      <c r="S2167" s="165"/>
      <c r="T2167" s="166"/>
      <c r="W2167" s="199" t="str">
        <f t="shared" si="42"/>
        <v>1w</v>
      </c>
      <c r="X2167" s="200">
        <f>_xll.qlCalendarAdvance(Calendar,X2166,W2167,"f",FALSE)</f>
        <v>54017</v>
      </c>
      <c r="Y2167" s="204">
        <f>_xll.qlCalendarAdvance(Calendar,X2167,NDays&amp;"D")</f>
        <v>54021</v>
      </c>
      <c r="Z2167" s="205">
        <v>3.452085140048744E-2</v>
      </c>
      <c r="AA2167" s="207">
        <v>3.4480102309570881E-2</v>
      </c>
    </row>
    <row r="2168" spans="19:27" x14ac:dyDescent="0.2">
      <c r="S2168" s="165"/>
      <c r="T2168" s="166"/>
      <c r="W2168" s="199" t="str">
        <f t="shared" si="42"/>
        <v>1w</v>
      </c>
      <c r="X2168" s="200">
        <f>_xll.qlCalendarAdvance(Calendar,X2167,W2168,"f",FALSE)</f>
        <v>54024</v>
      </c>
      <c r="Y2168" s="204">
        <f>_xll.qlCalendarAdvance(Calendar,X2168,NDays&amp;"D")</f>
        <v>54028</v>
      </c>
      <c r="Z2168" s="205">
        <v>3.4514141528874755E-2</v>
      </c>
      <c r="AA2168" s="207">
        <v>3.4474688159642497E-2</v>
      </c>
    </row>
    <row r="2169" spans="19:27" x14ac:dyDescent="0.2">
      <c r="S2169" s="165"/>
      <c r="T2169" s="166"/>
      <c r="W2169" s="199" t="str">
        <f t="shared" si="42"/>
        <v>1w</v>
      </c>
      <c r="X2169" s="200">
        <f>_xll.qlCalendarAdvance(Calendar,X2168,W2169,"f",FALSE)</f>
        <v>54031</v>
      </c>
      <c r="Y2169" s="204">
        <f>_xll.qlCalendarAdvance(Calendar,X2169,NDays&amp;"D")</f>
        <v>54035</v>
      </c>
      <c r="Z2169" s="205">
        <v>3.4508687320081756E-2</v>
      </c>
      <c r="AA2169" s="207">
        <v>3.446926546327056E-2</v>
      </c>
    </row>
    <row r="2170" spans="19:27" x14ac:dyDescent="0.2">
      <c r="S2170" s="165"/>
      <c r="T2170" s="166"/>
      <c r="W2170" s="199" t="str">
        <f t="shared" si="42"/>
        <v>1w</v>
      </c>
      <c r="X2170" s="200">
        <f>_xll.qlCalendarAdvance(Calendar,X2169,W2170,"f",FALSE)</f>
        <v>54038</v>
      </c>
      <c r="Y2170" s="204">
        <f>_xll.qlCalendarAdvance(Calendar,X2170,NDays&amp;"D")</f>
        <v>54042</v>
      </c>
      <c r="Z2170" s="205">
        <v>3.4503224542690024E-2</v>
      </c>
      <c r="AA2170" s="207">
        <v>3.4463834220295197E-2</v>
      </c>
    </row>
    <row r="2171" spans="19:27" x14ac:dyDescent="0.2">
      <c r="S2171" s="165"/>
      <c r="T2171" s="166"/>
      <c r="W2171" s="199" t="str">
        <f t="shared" si="42"/>
        <v>1w</v>
      </c>
      <c r="X2171" s="200">
        <f>_xll.qlCalendarAdvance(Calendar,X2170,W2171,"f",FALSE)</f>
        <v>54045</v>
      </c>
      <c r="Y2171" s="204">
        <f>_xll.qlCalendarAdvance(Calendar,X2171,NDays&amp;"D")</f>
        <v>54049</v>
      </c>
      <c r="Z2171" s="205">
        <v>3.4497753196696984E-2</v>
      </c>
      <c r="AA2171" s="207">
        <v>3.4459358357015191E-2</v>
      </c>
    </row>
    <row r="2172" spans="19:27" x14ac:dyDescent="0.2">
      <c r="S2172" s="165"/>
      <c r="T2172" s="166"/>
      <c r="W2172" s="199" t="str">
        <f t="shared" si="42"/>
        <v>1w</v>
      </c>
      <c r="X2172" s="200">
        <f>_xll.qlCalendarAdvance(Calendar,X2171,W2172,"f",FALSE)</f>
        <v>54053</v>
      </c>
      <c r="Y2172" s="204">
        <f>_xll.qlCalendarAdvance(Calendar,X2172,NDays&amp;"D")</f>
        <v>54057</v>
      </c>
      <c r="Z2172" s="205">
        <v>3.4491489737706812E-2</v>
      </c>
      <c r="AA2172" s="207">
        <v>3.4453905314677513E-2</v>
      </c>
    </row>
    <row r="2173" spans="19:27" x14ac:dyDescent="0.2">
      <c r="S2173" s="165"/>
      <c r="T2173" s="166"/>
      <c r="W2173" s="199" t="str">
        <f t="shared" si="42"/>
        <v>1w</v>
      </c>
      <c r="X2173" s="200">
        <f>_xll.qlCalendarAdvance(Calendar,X2172,W2173,"f",FALSE)</f>
        <v>54060</v>
      </c>
      <c r="Y2173" s="204">
        <f>_xll.qlCalendarAdvance(Calendar,X2173,NDays&amp;"D")</f>
        <v>54064</v>
      </c>
      <c r="Z2173" s="205">
        <v>3.4486000030481231E-2</v>
      </c>
      <c r="AA2173" s="207">
        <v>3.4446708960365058E-2</v>
      </c>
    </row>
    <row r="2174" spans="19:27" x14ac:dyDescent="0.2">
      <c r="S2174" s="165"/>
      <c r="T2174" s="166"/>
      <c r="W2174" s="199" t="str">
        <f t="shared" si="42"/>
        <v>1w</v>
      </c>
      <c r="X2174" s="200">
        <f>_xll.qlCalendarAdvance(Calendar,X2173,W2174,"f",FALSE)</f>
        <v>54067</v>
      </c>
      <c r="Y2174" s="204">
        <f>_xll.qlCalendarAdvance(Calendar,X2174,NDays&amp;"D")</f>
        <v>54071</v>
      </c>
      <c r="Z2174" s="205">
        <v>3.4480501754695601E-2</v>
      </c>
      <c r="AA2174" s="207">
        <v>3.4441242310352393E-2</v>
      </c>
    </row>
    <row r="2175" spans="19:27" x14ac:dyDescent="0.2">
      <c r="S2175" s="165"/>
      <c r="T2175" s="166"/>
      <c r="W2175" s="199" t="str">
        <f t="shared" si="42"/>
        <v>1w</v>
      </c>
      <c r="X2175" s="200">
        <f>_xll.qlCalendarAdvance(Calendar,X2174,W2175,"f",FALSE)</f>
        <v>54074</v>
      </c>
      <c r="Y2175" s="204">
        <f>_xll.qlCalendarAdvance(Calendar,X2175,NDays&amp;"D")</f>
        <v>54078</v>
      </c>
      <c r="Z2175" s="205">
        <v>3.4474994910365382E-2</v>
      </c>
      <c r="AA2175" s="207">
        <v>3.4435767113976112E-2</v>
      </c>
    </row>
    <row r="2176" spans="19:27" x14ac:dyDescent="0.2">
      <c r="S2176" s="165"/>
      <c r="T2176" s="166"/>
      <c r="W2176" s="199" t="str">
        <f t="shared" si="42"/>
        <v>1w</v>
      </c>
      <c r="X2176" s="200">
        <f>_xll.qlCalendarAdvance(Calendar,X2175,W2176,"f",FALSE)</f>
        <v>54081</v>
      </c>
      <c r="Y2176" s="204">
        <f>_xll.qlCalendarAdvance(Calendar,X2176,NDays&amp;"D")</f>
        <v>54085</v>
      </c>
      <c r="Z2176" s="205">
        <v>3.446947949750348E-2</v>
      </c>
      <c r="AA2176" s="207">
        <v>3.4430283371236214E-2</v>
      </c>
    </row>
    <row r="2177" spans="19:27" x14ac:dyDescent="0.2">
      <c r="S2177" s="165"/>
      <c r="T2177" s="166"/>
      <c r="W2177" s="199" t="str">
        <f t="shared" si="42"/>
        <v>1w</v>
      </c>
      <c r="X2177" s="200">
        <f>_xll.qlCalendarAdvance(Calendar,X2176,W2177,"f",FALSE)</f>
        <v>54088</v>
      </c>
      <c r="Y2177" s="204">
        <f>_xll.qlCalendarAdvance(Calendar,X2177,NDays&amp;"D")</f>
        <v>54092</v>
      </c>
      <c r="Z2177" s="205">
        <v>3.446145002843333E-2</v>
      </c>
      <c r="AA2177" s="207">
        <v>3.4424791081892891E-2</v>
      </c>
    </row>
    <row r="2178" spans="19:27" x14ac:dyDescent="0.2">
      <c r="S2178" s="165"/>
      <c r="T2178" s="166"/>
      <c r="W2178" s="199" t="str">
        <f t="shared" si="42"/>
        <v>1w</v>
      </c>
      <c r="X2178" s="200">
        <f>_xll.qlCalendarAdvance(Calendar,X2177,W2178,"f",FALSE)</f>
        <v>54095</v>
      </c>
      <c r="Y2178" s="204">
        <f>_xll.qlCalendarAdvance(Calendar,X2178,NDays&amp;"D")</f>
        <v>54099</v>
      </c>
      <c r="Z2178" s="205">
        <v>3.4455919759947412E-2</v>
      </c>
      <c r="AA2178" s="207">
        <v>3.4419290245866208E-2</v>
      </c>
    </row>
    <row r="2179" spans="19:27" x14ac:dyDescent="0.2">
      <c r="S2179" s="165"/>
      <c r="T2179" s="166"/>
      <c r="W2179" s="199" t="str">
        <f t="shared" si="42"/>
        <v>1w</v>
      </c>
      <c r="X2179" s="200">
        <f>_xll.qlCalendarAdvance(Calendar,X2178,W2179,"f",FALSE)</f>
        <v>54102</v>
      </c>
      <c r="Y2179" s="204">
        <f>_xll.qlCalendarAdvance(Calendar,X2179,NDays&amp;"D")</f>
        <v>54106</v>
      </c>
      <c r="Z2179" s="205">
        <v>3.4450380924427523E-2</v>
      </c>
      <c r="AA2179" s="207">
        <v>3.4413780863555843E-2</v>
      </c>
    </row>
    <row r="2180" spans="19:27" x14ac:dyDescent="0.2">
      <c r="S2180" s="165"/>
      <c r="T2180" s="166"/>
      <c r="W2180" s="199" t="str">
        <f t="shared" si="42"/>
        <v>1w</v>
      </c>
      <c r="X2180" s="200">
        <f>_xll.qlCalendarAdvance(Calendar,X2179,W2180,"f",FALSE)</f>
        <v>54109</v>
      </c>
      <c r="Y2180" s="204">
        <f>_xll.qlCalendarAdvance(Calendar,X2180,NDays&amp;"D")</f>
        <v>54113</v>
      </c>
      <c r="Z2180" s="205">
        <v>3.4444833521895708E-2</v>
      </c>
      <c r="AA2180" s="207">
        <v>3.4408262934721989E-2</v>
      </c>
    </row>
    <row r="2181" spans="19:27" x14ac:dyDescent="0.2">
      <c r="S2181" s="165"/>
      <c r="T2181" s="166"/>
      <c r="W2181" s="199" t="str">
        <f t="shared" si="42"/>
        <v>1w</v>
      </c>
      <c r="X2181" s="200">
        <f>_xll.qlCalendarAdvance(Calendar,X2180,W2181,"f",FALSE)</f>
        <v>54116</v>
      </c>
      <c r="Y2181" s="204">
        <f>_xll.qlCalendarAdvance(Calendar,X2181,NDays&amp;"D")</f>
        <v>54120</v>
      </c>
      <c r="Z2181" s="205">
        <v>3.4446766258709412E-2</v>
      </c>
      <c r="AA2181" s="207">
        <v>3.4402736459284711E-2</v>
      </c>
    </row>
    <row r="2182" spans="19:27" x14ac:dyDescent="0.2">
      <c r="S2182" s="165"/>
      <c r="T2182" s="166"/>
      <c r="W2182" s="199" t="str">
        <f t="shared" si="42"/>
        <v>1w</v>
      </c>
      <c r="X2182" s="200">
        <f>_xll.qlCalendarAdvance(Calendar,X2181,W2182,"f",FALSE)</f>
        <v>54123</v>
      </c>
      <c r="Y2182" s="204">
        <f>_xll.qlCalendarAdvance(Calendar,X2182,NDays&amp;"D")</f>
        <v>54127</v>
      </c>
      <c r="Z2182" s="205">
        <v>3.4436207081818916E-2</v>
      </c>
      <c r="AA2182" s="207">
        <v>3.4397201437323943E-2</v>
      </c>
    </row>
    <row r="2183" spans="19:27" x14ac:dyDescent="0.2">
      <c r="S2183" s="165"/>
      <c r="T2183" s="166"/>
      <c r="W2183" s="199" t="str">
        <f t="shared" si="42"/>
        <v>1w</v>
      </c>
      <c r="X2183" s="200">
        <f>_xll.qlCalendarAdvance(Calendar,X2182,W2183,"f",FALSE)</f>
        <v>54130</v>
      </c>
      <c r="Y2183" s="204">
        <f>_xll.qlCalendarAdvance(Calendar,X2183,NDays&amp;"D")</f>
        <v>54134</v>
      </c>
      <c r="Z2183" s="205">
        <v>3.4430631689572971E-2</v>
      </c>
      <c r="AA2183" s="207">
        <v>3.4391657868999559E-2</v>
      </c>
    </row>
    <row r="2184" spans="19:27" x14ac:dyDescent="0.2">
      <c r="S2184" s="165"/>
      <c r="T2184" s="166"/>
      <c r="W2184" s="199" t="str">
        <f t="shared" si="42"/>
        <v>1w</v>
      </c>
      <c r="X2184" s="200">
        <f>_xll.qlCalendarAdvance(Calendar,X2183,W2184,"f",FALSE)</f>
        <v>54137</v>
      </c>
      <c r="Y2184" s="204">
        <f>_xll.qlCalendarAdvance(Calendar,X2184,NDays&amp;"D")</f>
        <v>54141</v>
      </c>
      <c r="Z2184" s="205">
        <v>3.4425047728888158E-2</v>
      </c>
      <c r="AA2184" s="207">
        <v>3.438610575407175E-2</v>
      </c>
    </row>
    <row r="2185" spans="19:27" x14ac:dyDescent="0.2">
      <c r="S2185" s="165"/>
      <c r="T2185" s="166"/>
      <c r="W2185" s="199" t="str">
        <f t="shared" si="42"/>
        <v>1w</v>
      </c>
      <c r="X2185" s="200">
        <f>_xll.qlCalendarAdvance(Calendar,X2184,W2185,"f",FALSE)</f>
        <v>54144</v>
      </c>
      <c r="Y2185" s="204">
        <f>_xll.qlCalendarAdvance(Calendar,X2185,NDays&amp;"D")</f>
        <v>54148</v>
      </c>
      <c r="Z2185" s="205">
        <v>3.4418211617085248E-2</v>
      </c>
      <c r="AA2185" s="207">
        <v>3.4385521395845942E-2</v>
      </c>
    </row>
    <row r="2186" spans="19:27" x14ac:dyDescent="0.2">
      <c r="S2186" s="165"/>
      <c r="T2186" s="166"/>
      <c r="W2186" s="199" t="str">
        <f t="shared" si="42"/>
        <v>1w</v>
      </c>
      <c r="X2186" s="200">
        <f>_xll.qlCalendarAdvance(Calendar,X2185,W2186,"f",FALSE)</f>
        <v>54155</v>
      </c>
      <c r="Y2186" s="204">
        <f>_xll.qlCalendarAdvance(Calendar,X2186,NDays&amp;"D")</f>
        <v>54157</v>
      </c>
      <c r="Z2186" s="205">
        <v>3.4413494292948599E-2</v>
      </c>
      <c r="AA2186" s="207">
        <v>3.4371789643135031E-2</v>
      </c>
    </row>
    <row r="2187" spans="19:27" x14ac:dyDescent="0.2">
      <c r="S2187" s="165"/>
      <c r="T2187" s="166"/>
      <c r="W2187" s="199" t="str">
        <f t="shared" si="42"/>
        <v>1w</v>
      </c>
      <c r="X2187" s="200">
        <f>_xll.qlCalendarAdvance(Calendar,X2186,W2187,"f",FALSE)</f>
        <v>54162</v>
      </c>
      <c r="Y2187" s="204">
        <f>_xll.qlCalendarAdvance(Calendar,X2187,NDays&amp;"D")</f>
        <v>54164</v>
      </c>
      <c r="Z2187" s="205">
        <v>3.440788103119069E-2</v>
      </c>
      <c r="AA2187" s="207">
        <v>3.4366207004943305E-2</v>
      </c>
    </row>
    <row r="2188" spans="19:27" x14ac:dyDescent="0.2">
      <c r="S2188" s="165"/>
      <c r="T2188" s="166"/>
      <c r="W2188" s="199" t="str">
        <f t="shared" si="42"/>
        <v>1w</v>
      </c>
      <c r="X2188" s="200">
        <f>_xll.qlCalendarAdvance(Calendar,X2187,W2188,"f",FALSE)</f>
        <v>54169</v>
      </c>
      <c r="Y2188" s="204">
        <f>_xll.qlCalendarAdvance(Calendar,X2188,NDays&amp;"D")</f>
        <v>54171</v>
      </c>
      <c r="Z2188" s="205">
        <v>3.4403498951601275E-2</v>
      </c>
      <c r="AA2188" s="207">
        <v>3.4360615820308027E-2</v>
      </c>
    </row>
    <row r="2189" spans="19:27" x14ac:dyDescent="0.2">
      <c r="S2189" s="165"/>
      <c r="T2189" s="166"/>
      <c r="W2189" s="199" t="str">
        <f t="shared" si="42"/>
        <v>1w</v>
      </c>
      <c r="X2189" s="200">
        <f>_xll.qlCalendarAdvance(Calendar,X2188,W2189,"f",FALSE)</f>
        <v>54176</v>
      </c>
      <c r="Y2189" s="204">
        <f>_xll.qlCalendarAdvance(Calendar,X2189,NDays&amp;"D")</f>
        <v>54178</v>
      </c>
      <c r="Z2189" s="205">
        <v>3.4392912810135394E-2</v>
      </c>
      <c r="AA2189" s="207">
        <v>3.4354215429930335E-2</v>
      </c>
    </row>
    <row r="2190" spans="19:27" x14ac:dyDescent="0.2">
      <c r="S2190" s="165"/>
      <c r="T2190" s="166"/>
      <c r="W2190" s="199" t="str">
        <f t="shared" si="42"/>
        <v>1w</v>
      </c>
      <c r="X2190" s="200">
        <f>_xll.qlCalendarAdvance(Calendar,X2189,W2190,"f",FALSE)</f>
        <v>54183</v>
      </c>
      <c r="Y2190" s="204">
        <f>_xll.qlCalendarAdvance(Calendar,X2190,NDays&amp;"D")</f>
        <v>54185</v>
      </c>
      <c r="Z2190" s="205">
        <v>3.4390989831306895E-2</v>
      </c>
      <c r="AA2190" s="207">
        <v>3.4349407811626875E-2</v>
      </c>
    </row>
    <row r="2191" spans="19:27" x14ac:dyDescent="0.2">
      <c r="S2191" s="165"/>
      <c r="T2191" s="166"/>
      <c r="W2191" s="199" t="str">
        <f t="shared" si="42"/>
        <v>1w</v>
      </c>
      <c r="X2191" s="200">
        <f>_xll.qlCalendarAdvance(Calendar,X2190,W2191,"f",FALSE)</f>
        <v>54190</v>
      </c>
      <c r="Y2191" s="204">
        <f>_xll.qlCalendarAdvance(Calendar,X2191,NDays&amp;"D")</f>
        <v>54192</v>
      </c>
      <c r="Z2191" s="205">
        <v>3.4385342293179744E-2</v>
      </c>
      <c r="AA2191" s="207">
        <v>3.4343790987501066E-2</v>
      </c>
    </row>
    <row r="2192" spans="19:27" x14ac:dyDescent="0.2">
      <c r="S2192" s="165"/>
      <c r="T2192" s="166"/>
      <c r="W2192" s="199" t="str">
        <f t="shared" si="42"/>
        <v>1w</v>
      </c>
      <c r="X2192" s="200">
        <f>_xll.qlCalendarAdvance(Calendar,X2191,W2192,"f",FALSE)</f>
        <v>54197</v>
      </c>
      <c r="Y2192" s="204">
        <f>_xll.qlCalendarAdvance(Calendar,X2192,NDays&amp;"D")</f>
        <v>54199</v>
      </c>
      <c r="Z2192" s="205">
        <v>3.4379686185992131E-2</v>
      </c>
      <c r="AA2192" s="207">
        <v>3.4337361294722868E-2</v>
      </c>
    </row>
    <row r="2193" spans="19:27" x14ac:dyDescent="0.2">
      <c r="S2193" s="165"/>
      <c r="T2193" s="166"/>
      <c r="W2193" s="199" t="str">
        <f t="shared" si="42"/>
        <v>1w</v>
      </c>
      <c r="X2193" s="200">
        <f>_xll.qlCalendarAdvance(Calendar,X2192,W2193,"f",FALSE)</f>
        <v>54204</v>
      </c>
      <c r="Y2193" s="204">
        <f>_xll.qlCalendarAdvance(Calendar,X2193,NDays&amp;"D")</f>
        <v>54206</v>
      </c>
      <c r="Z2193" s="205">
        <v>3.4374021509761543E-2</v>
      </c>
      <c r="AA2193" s="207">
        <v>3.4332531699838853E-2</v>
      </c>
    </row>
    <row r="2194" spans="19:27" x14ac:dyDescent="0.2">
      <c r="S2194" s="165"/>
      <c r="T2194" s="166"/>
      <c r="W2194" s="199" t="str">
        <f t="shared" si="42"/>
        <v>1w</v>
      </c>
      <c r="X2194" s="200">
        <f>_xll.qlCalendarAdvance(Calendar,X2193,W2194,"f",FALSE)</f>
        <v>54211</v>
      </c>
      <c r="Y2194" s="204">
        <f>_xll.qlCalendarAdvance(Calendar,X2194,NDays&amp;"D")</f>
        <v>54213</v>
      </c>
      <c r="Z2194" s="205">
        <v>3.4368348264495474E-2</v>
      </c>
      <c r="AA2194" s="207">
        <v>3.4326889236142577E-2</v>
      </c>
    </row>
    <row r="2195" spans="19:27" x14ac:dyDescent="0.2">
      <c r="S2195" s="165"/>
      <c r="T2195" s="166"/>
      <c r="W2195" s="199" t="str">
        <f t="shared" si="42"/>
        <v>1w</v>
      </c>
      <c r="X2195" s="200">
        <f>_xll.qlCalendarAdvance(Calendar,X2194,W2195,"f",FALSE)</f>
        <v>54218</v>
      </c>
      <c r="Y2195" s="204">
        <f>_xll.qlCalendarAdvance(Calendar,X2195,NDays&amp;"D")</f>
        <v>54220</v>
      </c>
      <c r="Z2195" s="205">
        <v>3.4362666450206414E-2</v>
      </c>
      <c r="AA2195" s="207">
        <v>3.4321238226082684E-2</v>
      </c>
    </row>
    <row r="2196" spans="19:27" x14ac:dyDescent="0.2">
      <c r="S2196" s="165"/>
      <c r="T2196" s="166"/>
      <c r="W2196" s="199" t="str">
        <f t="shared" si="42"/>
        <v>1w</v>
      </c>
      <c r="X2196" s="200">
        <f>_xll.qlCalendarAdvance(Calendar,X2195,W2196,"f",FALSE)</f>
        <v>54225</v>
      </c>
      <c r="Y2196" s="204">
        <f>_xll.qlCalendarAdvance(Calendar,X2196,NDays&amp;"D")</f>
        <v>54227</v>
      </c>
      <c r="Z2196" s="205">
        <v>3.4356976066906852E-2</v>
      </c>
      <c r="AA2196" s="207">
        <v>3.4315578669499303E-2</v>
      </c>
    </row>
    <row r="2197" spans="19:27" x14ac:dyDescent="0.2">
      <c r="S2197" s="165"/>
      <c r="T2197" s="166"/>
      <c r="W2197" s="199" t="str">
        <f t="shared" ref="W2197:W2260" si="43">W2196</f>
        <v>1w</v>
      </c>
      <c r="X2197" s="200">
        <f>_xll.qlCalendarAdvance(Calendar,X2196,W2197,"f",FALSE)</f>
        <v>54232</v>
      </c>
      <c r="Y2197" s="204">
        <f>_xll.qlCalendarAdvance(Calendar,X2197,NDays&amp;"D")</f>
        <v>54234</v>
      </c>
      <c r="Z2197" s="205">
        <v>3.4351277114614276E-2</v>
      </c>
      <c r="AA2197" s="207">
        <v>3.4309910566392432E-2</v>
      </c>
    </row>
    <row r="2198" spans="19:27" x14ac:dyDescent="0.2">
      <c r="S2198" s="165"/>
      <c r="T2198" s="166"/>
      <c r="W2198" s="199" t="str">
        <f t="shared" si="43"/>
        <v>1w</v>
      </c>
      <c r="X2198" s="200">
        <f>_xll.qlCalendarAdvance(Calendar,X2197,W2198,"f",FALSE)</f>
        <v>54239</v>
      </c>
      <c r="Y2198" s="204">
        <f>_xll.qlCalendarAdvance(Calendar,X2198,NDays&amp;"D")</f>
        <v>54241</v>
      </c>
      <c r="Z2198" s="205">
        <v>3.4345569593341174E-2</v>
      </c>
      <c r="AA2198" s="207">
        <v>3.4304233916682136E-2</v>
      </c>
    </row>
    <row r="2199" spans="19:27" x14ac:dyDescent="0.2">
      <c r="S2199" s="165"/>
      <c r="T2199" s="166"/>
      <c r="W2199" s="199" t="str">
        <f t="shared" si="43"/>
        <v>1w</v>
      </c>
      <c r="X2199" s="200">
        <f>_xll.qlCalendarAdvance(Calendar,X2198,W2199,"f",FALSE)</f>
        <v>54246</v>
      </c>
      <c r="Y2199" s="204">
        <f>_xll.qlCalendarAdvance(Calendar,X2199,NDays&amp;"D")</f>
        <v>54248</v>
      </c>
      <c r="Z2199" s="205">
        <v>3.4339853503100037E-2</v>
      </c>
      <c r="AA2199" s="207">
        <v>3.4298548720768096E-2</v>
      </c>
    </row>
    <row r="2200" spans="19:27" x14ac:dyDescent="0.2">
      <c r="S2200" s="165"/>
      <c r="T2200" s="166"/>
      <c r="W2200" s="199" t="str">
        <f t="shared" si="43"/>
        <v>1w</v>
      </c>
      <c r="X2200" s="200">
        <f>_xll.qlCalendarAdvance(Calendar,X2199,W2200,"f",FALSE)</f>
        <v>54253</v>
      </c>
      <c r="Y2200" s="204">
        <f>_xll.qlCalendarAdvance(Calendar,X2200,NDays&amp;"D")</f>
        <v>54255</v>
      </c>
      <c r="Z2200" s="205">
        <v>3.4334128843895861E-2</v>
      </c>
      <c r="AA2200" s="207">
        <v>3.4292854978250631E-2</v>
      </c>
    </row>
    <row r="2201" spans="19:27" x14ac:dyDescent="0.2">
      <c r="S2201" s="165"/>
      <c r="T2201" s="166"/>
      <c r="W2201" s="199" t="str">
        <f t="shared" si="43"/>
        <v>1w</v>
      </c>
      <c r="X2201" s="200">
        <f>_xll.qlCalendarAdvance(Calendar,X2200,W2201,"f",FALSE)</f>
        <v>54260</v>
      </c>
      <c r="Y2201" s="204">
        <f>_xll.qlCalendarAdvance(Calendar,X2201,NDays&amp;"D")</f>
        <v>54262</v>
      </c>
      <c r="Z2201" s="205">
        <v>3.4328395615753626E-2</v>
      </c>
      <c r="AA2201" s="207">
        <v>3.4287152689129741E-2</v>
      </c>
    </row>
    <row r="2202" spans="19:27" x14ac:dyDescent="0.2">
      <c r="S2202" s="165"/>
      <c r="T2202" s="166"/>
      <c r="W2202" s="199" t="str">
        <f t="shared" si="43"/>
        <v>1w</v>
      </c>
      <c r="X2202" s="200">
        <f>_xll.qlCalendarAdvance(Calendar,X2201,W2202,"f",FALSE)</f>
        <v>54267</v>
      </c>
      <c r="Y2202" s="204">
        <f>_xll.qlCalendarAdvance(Calendar,X2202,NDays&amp;"D")</f>
        <v>54269</v>
      </c>
      <c r="Z2202" s="205">
        <v>3.431898283915167E-2</v>
      </c>
      <c r="AA2202" s="207">
        <v>3.4281441853485362E-2</v>
      </c>
    </row>
    <row r="2203" spans="19:27" x14ac:dyDescent="0.2">
      <c r="S2203" s="165"/>
      <c r="T2203" s="166"/>
      <c r="W2203" s="199" t="str">
        <f t="shared" si="43"/>
        <v>1w</v>
      </c>
      <c r="X2203" s="200">
        <f>_xll.qlCalendarAdvance(Calendar,X2202,W2203,"f",FALSE)</f>
        <v>54274</v>
      </c>
      <c r="Y2203" s="204">
        <f>_xll.qlCalendarAdvance(Calendar,X2203,NDays&amp;"D")</f>
        <v>54276</v>
      </c>
      <c r="Z2203" s="205">
        <v>3.4318125887506733E-2</v>
      </c>
      <c r="AA2203" s="207">
        <v>3.4275722471477366E-2</v>
      </c>
    </row>
    <row r="2204" spans="19:27" x14ac:dyDescent="0.2">
      <c r="S2204" s="165"/>
      <c r="T2204" s="166"/>
      <c r="W2204" s="199" t="str">
        <f t="shared" si="43"/>
        <v>1w</v>
      </c>
      <c r="X2204" s="200">
        <f>_xll.qlCalendarAdvance(Calendar,X2203,W2204,"f",FALSE)</f>
        <v>54281</v>
      </c>
      <c r="Y2204" s="204">
        <f>_xll.qlCalendarAdvance(Calendar,X2204,NDays&amp;"D")</f>
        <v>54283</v>
      </c>
      <c r="Z2204" s="205">
        <v>3.4311144517785996E-2</v>
      </c>
      <c r="AA2204" s="207">
        <v>3.4269994542865945E-2</v>
      </c>
    </row>
    <row r="2205" spans="19:27" x14ac:dyDescent="0.2">
      <c r="S2205" s="165"/>
      <c r="T2205" s="166"/>
      <c r="W2205" s="199" t="str">
        <f t="shared" si="43"/>
        <v>1w</v>
      </c>
      <c r="X2205" s="200">
        <f>_xll.qlCalendarAdvance(Calendar,X2204,W2205,"f",FALSE)</f>
        <v>54288</v>
      </c>
      <c r="Y2205" s="204">
        <f>_xll.qlCalendarAdvance(Calendar,X2205,NDays&amp;"D")</f>
        <v>54290</v>
      </c>
      <c r="Z2205" s="205">
        <v>3.4305377014006433E-2</v>
      </c>
      <c r="AA2205" s="207">
        <v>3.4264258067731035E-2</v>
      </c>
    </row>
    <row r="2206" spans="19:27" x14ac:dyDescent="0.2">
      <c r="S2206" s="165"/>
      <c r="T2206" s="166"/>
      <c r="W2206" s="199" t="str">
        <f t="shared" si="43"/>
        <v>1w</v>
      </c>
      <c r="X2206" s="200">
        <f>_xll.qlCalendarAdvance(Calendar,X2205,W2206,"f",FALSE)</f>
        <v>54295</v>
      </c>
      <c r="Y2206" s="204">
        <f>_xll.qlCalendarAdvance(Calendar,X2206,NDays&amp;"D")</f>
        <v>54297</v>
      </c>
      <c r="Z2206" s="205">
        <v>3.4299600941336272E-2</v>
      </c>
      <c r="AA2206" s="207">
        <v>3.4257691631216503E-2</v>
      </c>
    </row>
    <row r="2207" spans="19:27" x14ac:dyDescent="0.2">
      <c r="S2207" s="165"/>
      <c r="T2207" s="166"/>
      <c r="W2207" s="199" t="str">
        <f t="shared" si="43"/>
        <v>1w</v>
      </c>
      <c r="X2207" s="200">
        <f>_xll.qlCalendarAdvance(Calendar,X2206,W2207,"f",FALSE)</f>
        <v>54302</v>
      </c>
      <c r="Y2207" s="204">
        <f>_xll.qlCalendarAdvance(Calendar,X2207,NDays&amp;"D")</f>
        <v>54304</v>
      </c>
      <c r="Z2207" s="205">
        <v>3.4293816299802993E-2</v>
      </c>
      <c r="AA2207" s="207">
        <v>3.4252759478210493E-2</v>
      </c>
    </row>
    <row r="2208" spans="19:27" x14ac:dyDescent="0.2">
      <c r="S2208" s="165"/>
      <c r="T2208" s="166"/>
      <c r="W2208" s="199" t="str">
        <f t="shared" si="43"/>
        <v>1w</v>
      </c>
      <c r="X2208" s="200">
        <f>_xll.qlCalendarAdvance(Calendar,X2207,W2208,"f",FALSE)</f>
        <v>54309</v>
      </c>
      <c r="Y2208" s="204">
        <f>_xll.qlCalendarAdvance(Calendar,X2208,NDays&amp;"D")</f>
        <v>54311</v>
      </c>
      <c r="Z2208" s="205">
        <v>3.428923971587753E-2</v>
      </c>
      <c r="AA2208" s="207">
        <v>3.4246997363744924E-2</v>
      </c>
    </row>
    <row r="2209" spans="19:27" x14ac:dyDescent="0.2">
      <c r="S2209" s="165"/>
      <c r="T2209" s="166"/>
      <c r="W2209" s="199" t="str">
        <f t="shared" si="43"/>
        <v>1w</v>
      </c>
      <c r="X2209" s="200">
        <f>_xll.qlCalendarAdvance(Calendar,X2208,W2209,"f",FALSE)</f>
        <v>54316</v>
      </c>
      <c r="Y2209" s="204">
        <f>_xll.qlCalendarAdvance(Calendar,X2209,NDays&amp;"D")</f>
        <v>54318</v>
      </c>
      <c r="Z2209" s="205">
        <v>3.4282221310207028E-2</v>
      </c>
      <c r="AA2209" s="207">
        <v>3.4241226702516059E-2</v>
      </c>
    </row>
    <row r="2210" spans="19:27" x14ac:dyDescent="0.2">
      <c r="S2210" s="165"/>
      <c r="T2210" s="166"/>
      <c r="W2210" s="199" t="str">
        <f t="shared" si="43"/>
        <v>1w</v>
      </c>
      <c r="X2210" s="200">
        <f>_xll.qlCalendarAdvance(Calendar,X2209,W2210,"f",FALSE)</f>
        <v>54323</v>
      </c>
      <c r="Y2210" s="204">
        <f>_xll.qlCalendarAdvance(Calendar,X2210,NDays&amp;"D")</f>
        <v>54325</v>
      </c>
      <c r="Z2210" s="205">
        <v>3.4276410962159332E-2</v>
      </c>
      <c r="AA2210" s="207">
        <v>3.4235447495243321E-2</v>
      </c>
    </row>
    <row r="2211" spans="19:27" x14ac:dyDescent="0.2">
      <c r="S2211" s="165"/>
      <c r="T2211" s="166"/>
      <c r="W2211" s="199" t="str">
        <f t="shared" si="43"/>
        <v>1w</v>
      </c>
      <c r="X2211" s="200">
        <f>_xll.qlCalendarAdvance(Calendar,X2210,W2211,"f",FALSE)</f>
        <v>54330</v>
      </c>
      <c r="Y2211" s="204">
        <f>_xll.qlCalendarAdvance(Calendar,X2211,NDays&amp;"D")</f>
        <v>54332</v>
      </c>
      <c r="Z2211" s="205">
        <v>3.4270592045303472E-2</v>
      </c>
      <c r="AA2211" s="207">
        <v>3.4229659741287222E-2</v>
      </c>
    </row>
    <row r="2212" spans="19:27" x14ac:dyDescent="0.2">
      <c r="S2212" s="165"/>
      <c r="T2212" s="166"/>
      <c r="W2212" s="199" t="str">
        <f t="shared" si="43"/>
        <v>1w</v>
      </c>
      <c r="X2212" s="200">
        <f>_xll.qlCalendarAdvance(Calendar,X2211,W2212,"f",FALSE)</f>
        <v>54337</v>
      </c>
      <c r="Y2212" s="204">
        <f>_xll.qlCalendarAdvance(Calendar,X2212,NDays&amp;"D")</f>
        <v>54339</v>
      </c>
      <c r="Z2212" s="205">
        <v>3.4264764559649441E-2</v>
      </c>
      <c r="AA2212" s="207">
        <v>3.4223863440727698E-2</v>
      </c>
    </row>
    <row r="2213" spans="19:27" x14ac:dyDescent="0.2">
      <c r="S2213" s="165"/>
      <c r="T2213" s="166"/>
      <c r="W2213" s="199" t="str">
        <f t="shared" si="43"/>
        <v>1w</v>
      </c>
      <c r="X2213" s="200">
        <f>_xll.qlCalendarAdvance(Calendar,X2212,W2213,"f",FALSE)</f>
        <v>54344</v>
      </c>
      <c r="Y2213" s="204">
        <f>_xll.qlCalendarAdvance(Calendar,X2213,NDays&amp;"D")</f>
        <v>54346</v>
      </c>
      <c r="Z2213" s="205">
        <v>3.4258928505209729E-2</v>
      </c>
      <c r="AA2213" s="207">
        <v>3.4218058593564749E-2</v>
      </c>
    </row>
    <row r="2214" spans="19:27" x14ac:dyDescent="0.2">
      <c r="S2214" s="165"/>
      <c r="T2214" s="166"/>
      <c r="W2214" s="199" t="str">
        <f t="shared" si="43"/>
        <v>1w</v>
      </c>
      <c r="X2214" s="200">
        <f>_xll.qlCalendarAdvance(Calendar,X2213,W2214,"f",FALSE)</f>
        <v>54351</v>
      </c>
      <c r="Y2214" s="204">
        <f>_xll.qlCalendarAdvance(Calendar,X2214,NDays&amp;"D")</f>
        <v>54353</v>
      </c>
      <c r="Z2214" s="205">
        <v>3.425308388199183E-2</v>
      </c>
      <c r="AA2214" s="207">
        <v>3.4212245200198055E-2</v>
      </c>
    </row>
    <row r="2215" spans="19:27" x14ac:dyDescent="0.2">
      <c r="S2215" s="165"/>
      <c r="T2215" s="166"/>
      <c r="W2215" s="199" t="str">
        <f t="shared" si="43"/>
        <v>1w</v>
      </c>
      <c r="X2215" s="200">
        <f>_xll.qlCalendarAdvance(Calendar,X2214,W2215,"f",FALSE)</f>
        <v>54358</v>
      </c>
      <c r="Y2215" s="204">
        <f>_xll.qlCalendarAdvance(Calendar,X2215,NDays&amp;"D")</f>
        <v>54360</v>
      </c>
      <c r="Z2215" s="205">
        <v>3.4247230690023223E-2</v>
      </c>
      <c r="AA2215" s="207">
        <v>3.4206423260307872E-2</v>
      </c>
    </row>
    <row r="2216" spans="19:27" x14ac:dyDescent="0.2">
      <c r="S2216" s="165"/>
      <c r="T2216" s="166"/>
      <c r="W2216" s="199" t="str">
        <f t="shared" si="43"/>
        <v>1w</v>
      </c>
      <c r="X2216" s="200">
        <f>_xll.qlCalendarAdvance(Calendar,X2215,W2216,"f",FALSE)</f>
        <v>54365</v>
      </c>
      <c r="Y2216" s="204">
        <f>_xll.qlCalendarAdvance(Calendar,X2216,NDays&amp;"D")</f>
        <v>54367</v>
      </c>
      <c r="Z2216" s="205">
        <v>3.4241368929306404E-2</v>
      </c>
      <c r="AA2216" s="207">
        <v>3.4200592773734328E-2</v>
      </c>
    </row>
    <row r="2217" spans="19:27" x14ac:dyDescent="0.2">
      <c r="S2217" s="165"/>
      <c r="T2217" s="166"/>
      <c r="W2217" s="199" t="str">
        <f t="shared" si="43"/>
        <v>1w</v>
      </c>
      <c r="X2217" s="200">
        <f>_xll.qlCalendarAdvance(Calendar,X2216,W2217,"f",FALSE)</f>
        <v>54372</v>
      </c>
      <c r="Y2217" s="204">
        <f>_xll.qlCalendarAdvance(Calendar,X2217,NDays&amp;"D")</f>
        <v>54374</v>
      </c>
      <c r="Z2217" s="205">
        <v>3.4235498599856362E-2</v>
      </c>
      <c r="AA2217" s="207">
        <v>3.4194753740877104E-2</v>
      </c>
    </row>
    <row r="2218" spans="19:27" x14ac:dyDescent="0.2">
      <c r="S2218" s="165"/>
      <c r="T2218" s="166"/>
      <c r="W2218" s="199" t="str">
        <f t="shared" si="43"/>
        <v>1w</v>
      </c>
      <c r="X2218" s="200">
        <f>_xll.qlCalendarAdvance(Calendar,X2217,W2218,"f",FALSE)</f>
        <v>54379</v>
      </c>
      <c r="Y2218" s="204">
        <f>_xll.qlCalendarAdvance(Calendar,X2218,NDays&amp;"D")</f>
        <v>54381</v>
      </c>
      <c r="Z2218" s="205">
        <v>3.4229619701683089E-2</v>
      </c>
      <c r="AA2218" s="207">
        <v>3.4188906161496391E-2</v>
      </c>
    </row>
    <row r="2219" spans="19:27" x14ac:dyDescent="0.2">
      <c r="S2219" s="165"/>
      <c r="T2219" s="166"/>
      <c r="W2219" s="199" t="str">
        <f t="shared" si="43"/>
        <v>1w</v>
      </c>
      <c r="X2219" s="200">
        <f>_xll.qlCalendarAdvance(Calendar,X2218,W2219,"f",FALSE)</f>
        <v>54386</v>
      </c>
      <c r="Y2219" s="204">
        <f>_xll.qlCalendarAdvance(Calendar,X2219,NDays&amp;"D")</f>
        <v>54388</v>
      </c>
      <c r="Z2219" s="205">
        <v>3.4222890468629807E-2</v>
      </c>
      <c r="AA2219" s="207">
        <v>3.4183050035592188E-2</v>
      </c>
    </row>
    <row r="2220" spans="19:27" x14ac:dyDescent="0.2">
      <c r="S2220" s="165"/>
      <c r="T2220" s="166"/>
      <c r="W2220" s="199" t="str">
        <f t="shared" si="43"/>
        <v>1w</v>
      </c>
      <c r="X2220" s="200">
        <f>_xll.qlCalendarAdvance(Calendar,X2219,W2220,"f",FALSE)</f>
        <v>54393</v>
      </c>
      <c r="Y2220" s="204">
        <f>_xll.qlCalendarAdvance(Calendar,X2220,NDays&amp;"D")</f>
        <v>54395</v>
      </c>
      <c r="Z2220" s="205">
        <v>3.4217836199249285E-2</v>
      </c>
      <c r="AA2220" s="207">
        <v>3.4177185363084561E-2</v>
      </c>
    </row>
    <row r="2221" spans="19:27" x14ac:dyDescent="0.2">
      <c r="S2221" s="165"/>
      <c r="T2221" s="166"/>
      <c r="W2221" s="199" t="str">
        <f t="shared" si="43"/>
        <v>1w</v>
      </c>
      <c r="X2221" s="200">
        <f>_xll.qlCalendarAdvance(Calendar,X2220,W2221,"f",FALSE)</f>
        <v>54400</v>
      </c>
      <c r="Y2221" s="204">
        <f>_xll.qlCalendarAdvance(Calendar,X2221,NDays&amp;"D")</f>
        <v>54402</v>
      </c>
      <c r="Z2221" s="205">
        <v>3.4211931595003742E-2</v>
      </c>
      <c r="AA2221" s="207">
        <v>3.4171312144293253E-2</v>
      </c>
    </row>
    <row r="2222" spans="19:27" x14ac:dyDescent="0.2">
      <c r="S2222" s="165"/>
      <c r="T2222" s="166"/>
      <c r="W2222" s="199" t="str">
        <f t="shared" si="43"/>
        <v>1w</v>
      </c>
      <c r="X2222" s="200">
        <f>_xll.qlCalendarAdvance(Calendar,X2221,W2222,"f",FALSE)</f>
        <v>54407</v>
      </c>
      <c r="Y2222" s="204">
        <f>_xll.qlCalendarAdvance(Calendar,X2222,NDays&amp;"D")</f>
        <v>54409</v>
      </c>
      <c r="Z2222" s="205">
        <v>3.4207218689417118E-2</v>
      </c>
      <c r="AA2222" s="207">
        <v>3.416543037889852E-2</v>
      </c>
    </row>
    <row r="2223" spans="19:27" x14ac:dyDescent="0.2">
      <c r="S2223" s="165"/>
      <c r="T2223" s="166"/>
      <c r="W2223" s="199" t="str">
        <f t="shared" si="43"/>
        <v>1w</v>
      </c>
      <c r="X2223" s="200">
        <f>_xll.qlCalendarAdvance(Calendar,X2222,W2223,"f",FALSE)</f>
        <v>54414</v>
      </c>
      <c r="Y2223" s="204">
        <f>_xll.qlCalendarAdvance(Calendar,X2223,NDays&amp;"D")</f>
        <v>54416</v>
      </c>
      <c r="Z2223" s="205">
        <v>3.4200096680537806E-2</v>
      </c>
      <c r="AA2223" s="207">
        <v>3.4157855550933647E-2</v>
      </c>
    </row>
    <row r="2224" spans="19:27" x14ac:dyDescent="0.2">
      <c r="S2224" s="165"/>
      <c r="T2224" s="166"/>
      <c r="W2224" s="199" t="str">
        <f t="shared" si="43"/>
        <v>1w</v>
      </c>
      <c r="X2224" s="200">
        <f>_xll.qlCalendarAdvance(Calendar,X2223,W2224,"f",FALSE)</f>
        <v>54421</v>
      </c>
      <c r="Y2224" s="204">
        <f>_xll.qlCalendarAdvance(Calendar,X2224,NDays&amp;"D")</f>
        <v>54423</v>
      </c>
      <c r="Z2224" s="205">
        <v>3.4190572396767524E-2</v>
      </c>
      <c r="AA2224" s="207">
        <v>3.4152797817021963E-2</v>
      </c>
    </row>
    <row r="2225" spans="19:27" x14ac:dyDescent="0.2">
      <c r="S2225" s="165"/>
      <c r="T2225" s="166"/>
      <c r="W2225" s="199" t="str">
        <f t="shared" si="43"/>
        <v>1w</v>
      </c>
      <c r="X2225" s="200">
        <f>_xll.qlCalendarAdvance(Calendar,X2224,W2225,"f",FALSE)</f>
        <v>54428</v>
      </c>
      <c r="Y2225" s="204">
        <f>_xll.qlCalendarAdvance(Calendar,X2225,NDays&amp;"D")</f>
        <v>54430</v>
      </c>
      <c r="Z2225" s="205">
        <v>3.4188227491513679E-2</v>
      </c>
      <c r="AA2225" s="207">
        <v>3.4147733803893132E-2</v>
      </c>
    </row>
    <row r="2226" spans="19:27" x14ac:dyDescent="0.2">
      <c r="S2226" s="165"/>
      <c r="T2226" s="166"/>
      <c r="W2226" s="199" t="str">
        <f t="shared" si="43"/>
        <v>1w</v>
      </c>
      <c r="X2226" s="200">
        <f>_xll.qlCalendarAdvance(Calendar,X2225,W2226,"f",FALSE)</f>
        <v>54435</v>
      </c>
      <c r="Y2226" s="204">
        <f>_xll.qlCalendarAdvance(Calendar,X2226,NDays&amp;"D")</f>
        <v>54437</v>
      </c>
      <c r="Z2226" s="205">
        <v>3.4183475611569071E-2</v>
      </c>
      <c r="AA2226" s="207">
        <v>3.4141817852644252E-2</v>
      </c>
    </row>
    <row r="2227" spans="19:27" x14ac:dyDescent="0.2">
      <c r="S2227" s="165"/>
      <c r="T2227" s="166"/>
      <c r="W2227" s="199" t="str">
        <f t="shared" si="43"/>
        <v>1w</v>
      </c>
      <c r="X2227" s="200">
        <f>_xll.qlCalendarAdvance(Calendar,X2226,W2227,"f",FALSE)</f>
        <v>54442</v>
      </c>
      <c r="Y2227" s="204">
        <f>_xll.qlCalendarAdvance(Calendar,X2227,NDays&amp;"D")</f>
        <v>54444</v>
      </c>
      <c r="Z2227" s="205">
        <v>3.4176324028048766E-2</v>
      </c>
      <c r="AA2227" s="207">
        <v>3.413589335471201E-2</v>
      </c>
    </row>
    <row r="2228" spans="19:27" x14ac:dyDescent="0.2">
      <c r="S2228" s="165"/>
      <c r="T2228" s="166"/>
      <c r="W2228" s="199" t="str">
        <f t="shared" si="43"/>
        <v>1w</v>
      </c>
      <c r="X2228" s="200">
        <f>_xll.qlCalendarAdvance(Calendar,X2227,W2228,"f",FALSE)</f>
        <v>54449</v>
      </c>
      <c r="Y2228" s="204">
        <f>_xll.qlCalendarAdvance(Calendar,X2228,NDays&amp;"D")</f>
        <v>54451</v>
      </c>
      <c r="Z2228" s="205">
        <v>3.4166779582747851E-2</v>
      </c>
      <c r="AA2228" s="207">
        <v>3.4129960310496088E-2</v>
      </c>
    </row>
    <row r="2229" spans="19:27" x14ac:dyDescent="0.2">
      <c r="S2229" s="165"/>
      <c r="T2229" s="166"/>
      <c r="W2229" s="199" t="str">
        <f t="shared" si="43"/>
        <v>1w</v>
      </c>
      <c r="X2229" s="200">
        <f>_xll.qlCalendarAdvance(Calendar,X2228,W2229,"f",FALSE)</f>
        <v>54456</v>
      </c>
      <c r="Y2229" s="204">
        <f>_xll.qlCalendarAdvance(Calendar,X2229,NDays&amp;"D")</f>
        <v>54458</v>
      </c>
      <c r="Z2229" s="205">
        <v>3.4159617780244692E-2</v>
      </c>
      <c r="AA2229" s="207">
        <v>3.4124018719676741E-2</v>
      </c>
    </row>
    <row r="2230" spans="19:27" x14ac:dyDescent="0.2">
      <c r="S2230" s="165"/>
      <c r="T2230" s="166"/>
      <c r="W2230" s="199" t="str">
        <f t="shared" si="43"/>
        <v>1w</v>
      </c>
      <c r="X2230" s="200">
        <f>_xll.qlCalendarAdvance(Calendar,X2229,W2230,"f",FALSE)</f>
        <v>54463</v>
      </c>
      <c r="Y2230" s="204">
        <f>_xll.qlCalendarAdvance(Calendar,X2230,NDays&amp;"D")</f>
        <v>54465</v>
      </c>
      <c r="Z2230" s="205">
        <v>3.415364077246455E-2</v>
      </c>
      <c r="AA2230" s="207">
        <v>3.4118068582413841E-2</v>
      </c>
    </row>
    <row r="2231" spans="19:27" x14ac:dyDescent="0.2">
      <c r="S2231" s="165"/>
      <c r="T2231" s="166"/>
      <c r="W2231" s="199" t="str">
        <f t="shared" si="43"/>
        <v>1w</v>
      </c>
      <c r="X2231" s="200">
        <f>_xll.qlCalendarAdvance(Calendar,X2230,W2231,"f",FALSE)</f>
        <v>54470</v>
      </c>
      <c r="Y2231" s="204">
        <f>_xll.qlCalendarAdvance(Calendar,X2231,NDays&amp;"D")</f>
        <v>54472</v>
      </c>
      <c r="Z2231" s="205">
        <v>3.4147655198990545E-2</v>
      </c>
      <c r="AA2231" s="207">
        <v>3.4112109898707388E-2</v>
      </c>
    </row>
    <row r="2232" spans="19:27" x14ac:dyDescent="0.2">
      <c r="S2232" s="165"/>
      <c r="T2232" s="166"/>
      <c r="W2232" s="199" t="str">
        <f t="shared" si="43"/>
        <v>1w</v>
      </c>
      <c r="X2232" s="200">
        <f>_xll.qlCalendarAdvance(Calendar,X2231,W2232,"f",FALSE)</f>
        <v>54477</v>
      </c>
      <c r="Y2232" s="204">
        <f>_xll.qlCalendarAdvance(Calendar,X2232,NDays&amp;"D")</f>
        <v>54479</v>
      </c>
      <c r="Z2232" s="205">
        <v>3.4141661059822664E-2</v>
      </c>
      <c r="AA2232" s="207">
        <v>3.4106142668557382E-2</v>
      </c>
    </row>
    <row r="2233" spans="19:27" x14ac:dyDescent="0.2">
      <c r="S2233" s="165"/>
      <c r="T2233" s="166"/>
      <c r="W2233" s="199" t="str">
        <f t="shared" si="43"/>
        <v>1w</v>
      </c>
      <c r="X2233" s="200">
        <f>_xll.qlCalendarAdvance(Calendar,X2232,W2233,"f",FALSE)</f>
        <v>54484</v>
      </c>
      <c r="Y2233" s="204">
        <f>_xll.qlCalendarAdvance(Calendar,X2233,NDays&amp;"D")</f>
        <v>54486</v>
      </c>
      <c r="Z2233" s="205">
        <v>3.4140407992073463E-2</v>
      </c>
      <c r="AA2233" s="207">
        <v>3.4100166891883887E-2</v>
      </c>
    </row>
    <row r="2234" spans="19:27" x14ac:dyDescent="0.2">
      <c r="S2234" s="165"/>
      <c r="T2234" s="166"/>
      <c r="W2234" s="199" t="str">
        <f t="shared" si="43"/>
        <v>1w</v>
      </c>
      <c r="X2234" s="200">
        <f>_xll.qlCalendarAdvance(Calendar,X2233,W2234,"f",FALSE)</f>
        <v>54491</v>
      </c>
      <c r="Y2234" s="204">
        <f>_xll.qlCalendarAdvance(Calendar,X2234,NDays&amp;"D")</f>
        <v>54493</v>
      </c>
      <c r="Z2234" s="205">
        <v>3.413439199624696E-2</v>
      </c>
      <c r="AA2234" s="207">
        <v>3.4094182568606968E-2</v>
      </c>
    </row>
    <row r="2235" spans="19:27" x14ac:dyDescent="0.2">
      <c r="S2235" s="165"/>
      <c r="T2235" s="166"/>
      <c r="W2235" s="199" t="str">
        <f t="shared" si="43"/>
        <v>1w</v>
      </c>
      <c r="X2235" s="200">
        <f>_xll.qlCalendarAdvance(Calendar,X2234,W2235,"f",FALSE)</f>
        <v>54498</v>
      </c>
      <c r="Y2235" s="204">
        <f>_xll.qlCalendarAdvance(Calendar,X2235,NDays&amp;"D")</f>
        <v>54500</v>
      </c>
      <c r="Z2235" s="205">
        <v>3.4129552383116941E-2</v>
      </c>
      <c r="AA2235" s="207">
        <v>3.4088189698886495E-2</v>
      </c>
    </row>
    <row r="2236" spans="19:27" x14ac:dyDescent="0.2">
      <c r="S2236" s="165"/>
      <c r="T2236" s="166"/>
      <c r="W2236" s="199" t="str">
        <f t="shared" si="43"/>
        <v>1w</v>
      </c>
      <c r="X2236" s="200">
        <f>_xll.qlCalendarAdvance(Calendar,X2235,W2236,"f",FALSE)</f>
        <v>54505</v>
      </c>
      <c r="Y2236" s="204">
        <f>_xll.qlCalendarAdvance(Calendar,X2236,NDays&amp;"D")</f>
        <v>54507</v>
      </c>
      <c r="Z2236" s="205">
        <v>3.41223342991262E-2</v>
      </c>
      <c r="AA2236" s="207">
        <v>3.4082188282802406E-2</v>
      </c>
    </row>
    <row r="2237" spans="19:27" x14ac:dyDescent="0.2">
      <c r="S2237" s="165"/>
      <c r="T2237" s="166"/>
      <c r="W2237" s="199" t="str">
        <f t="shared" si="43"/>
        <v>1w</v>
      </c>
      <c r="X2237" s="200">
        <f>_xll.qlCalendarAdvance(Calendar,X2236,W2237,"f",FALSE)</f>
        <v>54512</v>
      </c>
      <c r="Y2237" s="204">
        <f>_xll.qlCalendarAdvance(Calendar,X2237,NDays&amp;"D")</f>
        <v>54514</v>
      </c>
      <c r="Z2237" s="205">
        <v>3.41174751820668E-2</v>
      </c>
      <c r="AA2237" s="207">
        <v>3.4076178320274764E-2</v>
      </c>
    </row>
    <row r="2238" spans="19:27" x14ac:dyDescent="0.2">
      <c r="S2238" s="165"/>
      <c r="T2238" s="166"/>
      <c r="W2238" s="199" t="str">
        <f t="shared" si="43"/>
        <v>1w</v>
      </c>
      <c r="X2238" s="200">
        <f>_xll.qlCalendarAdvance(Calendar,X2237,W2238,"f",FALSE)</f>
        <v>54519</v>
      </c>
      <c r="Y2238" s="204">
        <f>_xll.qlCalendarAdvance(Calendar,X2238,NDays&amp;"D")</f>
        <v>54521</v>
      </c>
      <c r="Z2238" s="205">
        <v>3.4110242328169171E-2</v>
      </c>
      <c r="AA2238" s="207">
        <v>3.407015981106376E-2</v>
      </c>
    </row>
    <row r="2239" spans="19:27" x14ac:dyDescent="0.2">
      <c r="S2239" s="165"/>
      <c r="T2239" s="166"/>
      <c r="W2239" s="199" t="str">
        <f t="shared" si="43"/>
        <v>1w</v>
      </c>
      <c r="X2239" s="200">
        <f>_xll.qlCalendarAdvance(Calendar,X2238,W2239,"f",FALSE)</f>
        <v>54526</v>
      </c>
      <c r="Y2239" s="204">
        <f>_xll.qlCalendarAdvance(Calendar,X2239,NDays&amp;"D")</f>
        <v>54528</v>
      </c>
      <c r="Z2239" s="205">
        <v>3.4104183490030471E-2</v>
      </c>
      <c r="AA2239" s="207">
        <v>3.4062409169894892E-2</v>
      </c>
    </row>
    <row r="2240" spans="19:27" x14ac:dyDescent="0.2">
      <c r="S2240" s="165"/>
      <c r="T2240" s="166"/>
      <c r="W2240" s="199" t="str">
        <f t="shared" si="43"/>
        <v>1w</v>
      </c>
      <c r="X2240" s="200">
        <f>_xll.qlCalendarAdvance(Calendar,X2239,W2240,"f",FALSE)</f>
        <v>54533</v>
      </c>
      <c r="Y2240" s="204">
        <f>_xll.qlCalendarAdvance(Calendar,X2240,NDays&amp;"D")</f>
        <v>54535</v>
      </c>
      <c r="Z2240" s="205">
        <v>3.4098116083475793E-2</v>
      </c>
      <c r="AA2240" s="207">
        <v>3.4058097153550904E-2</v>
      </c>
    </row>
    <row r="2241" spans="19:27" x14ac:dyDescent="0.2">
      <c r="S2241" s="165"/>
      <c r="T2241" s="166"/>
      <c r="W2241" s="199" t="str">
        <f t="shared" si="43"/>
        <v>1w</v>
      </c>
      <c r="X2241" s="200">
        <f>_xll.qlCalendarAdvance(Calendar,X2240,W2241,"f",FALSE)</f>
        <v>54540</v>
      </c>
      <c r="Y2241" s="204">
        <f>_xll.qlCalendarAdvance(Calendar,X2241,NDays&amp;"D")</f>
        <v>54542</v>
      </c>
      <c r="Z2241" s="205">
        <v>3.408850635045766E-2</v>
      </c>
      <c r="AA2241" s="207">
        <v>3.40511888576156E-2</v>
      </c>
    </row>
    <row r="2242" spans="19:27" x14ac:dyDescent="0.2">
      <c r="S2242" s="165"/>
      <c r="T2242" s="166"/>
      <c r="W2242" s="199" t="str">
        <f t="shared" si="43"/>
        <v>1w</v>
      </c>
      <c r="X2242" s="200">
        <f>_xll.qlCalendarAdvance(Calendar,X2241,W2242,"f",FALSE)</f>
        <v>54547</v>
      </c>
      <c r="Y2242" s="204">
        <f>_xll.qlCalendarAdvance(Calendar,X2242,NDays&amp;"D")</f>
        <v>54549</v>
      </c>
      <c r="Z2242" s="205">
        <v>3.4085955565158477E-2</v>
      </c>
      <c r="AA2242" s="207">
        <v>3.4046000309864155E-2</v>
      </c>
    </row>
    <row r="2243" spans="19:27" x14ac:dyDescent="0.2">
      <c r="S2243" s="165"/>
      <c r="T2243" s="166"/>
      <c r="W2243" s="199" t="str">
        <f t="shared" si="43"/>
        <v>1w</v>
      </c>
      <c r="X2243" s="200">
        <f>_xll.qlCalendarAdvance(Calendar,X2242,W2243,"f",FALSE)</f>
        <v>54554</v>
      </c>
      <c r="Y2243" s="204">
        <f>_xll.qlCalendarAdvance(Calendar,X2243,NDays&amp;"D")</f>
        <v>54556</v>
      </c>
      <c r="Z2243" s="205">
        <v>3.4079862453428311E-2</v>
      </c>
      <c r="AA2243" s="207">
        <v>3.4039939068515324E-2</v>
      </c>
    </row>
    <row r="2244" spans="19:27" x14ac:dyDescent="0.2">
      <c r="S2244" s="165"/>
      <c r="T2244" s="166"/>
      <c r="W2244" s="199" t="str">
        <f t="shared" si="43"/>
        <v>1w</v>
      </c>
      <c r="X2244" s="200">
        <f>_xll.qlCalendarAdvance(Calendar,X2243,W2244,"f",FALSE)</f>
        <v>54561</v>
      </c>
      <c r="Y2244" s="204">
        <f>_xll.qlCalendarAdvance(Calendar,X2244,NDays&amp;"D")</f>
        <v>54563</v>
      </c>
      <c r="Z2244" s="205">
        <v>3.4073760773334627E-2</v>
      </c>
      <c r="AA2244" s="207">
        <v>3.4033869280563067E-2</v>
      </c>
    </row>
    <row r="2245" spans="19:27" x14ac:dyDescent="0.2">
      <c r="S2245" s="165"/>
      <c r="T2245" s="166"/>
      <c r="W2245" s="199" t="str">
        <f t="shared" si="43"/>
        <v>1w</v>
      </c>
      <c r="X2245" s="200">
        <f>_xll.qlCalendarAdvance(Calendar,X2244,W2245,"f",FALSE)</f>
        <v>54568</v>
      </c>
      <c r="Y2245" s="204">
        <f>_xll.qlCalendarAdvance(Calendar,X2245,NDays&amp;"D")</f>
        <v>54570</v>
      </c>
      <c r="Z2245" s="205">
        <v>3.4067650524889914E-2</v>
      </c>
      <c r="AA2245" s="207">
        <v>3.4026921914840358E-2</v>
      </c>
    </row>
    <row r="2246" spans="19:27" x14ac:dyDescent="0.2">
      <c r="S2246" s="165"/>
      <c r="T2246" s="166"/>
      <c r="W2246" s="199" t="str">
        <f t="shared" si="43"/>
        <v>1w</v>
      </c>
      <c r="X2246" s="200">
        <f>_xll.qlCalendarAdvance(Calendar,X2245,W2246,"f",FALSE)</f>
        <v>54575</v>
      </c>
      <c r="Y2246" s="204">
        <f>_xll.qlCalendarAdvance(Calendar,X2246,NDays&amp;"D")</f>
        <v>54577</v>
      </c>
      <c r="Z2246" s="205">
        <v>3.4062703605815391E-2</v>
      </c>
      <c r="AA2246" s="207">
        <v>3.4021704065327896E-2</v>
      </c>
    </row>
    <row r="2247" spans="19:27" x14ac:dyDescent="0.2">
      <c r="S2247" s="165"/>
      <c r="T2247" s="166"/>
      <c r="W2247" s="199" t="str">
        <f t="shared" si="43"/>
        <v>1w</v>
      </c>
      <c r="X2247" s="200">
        <f>_xll.qlCalendarAdvance(Calendar,X2246,W2247,"f",FALSE)</f>
        <v>54582</v>
      </c>
      <c r="Y2247" s="204">
        <f>_xll.qlCalendarAdvance(Calendar,X2247,NDays&amp;"D")</f>
        <v>54584</v>
      </c>
      <c r="Z2247" s="205">
        <v>3.4055404323002358E-2</v>
      </c>
      <c r="AA2247" s="207">
        <v>3.4015608637725236E-2</v>
      </c>
    </row>
    <row r="2248" spans="19:27" x14ac:dyDescent="0.2">
      <c r="S2248" s="165"/>
      <c r="T2248" s="166"/>
      <c r="W2248" s="199" t="str">
        <f t="shared" si="43"/>
        <v>1w</v>
      </c>
      <c r="X2248" s="200">
        <f>_xll.qlCalendarAdvance(Calendar,X2247,W2248,"f",FALSE)</f>
        <v>54589</v>
      </c>
      <c r="Y2248" s="204">
        <f>_xll.qlCalendarAdvance(Calendar,X2248,NDays&amp;"D")</f>
        <v>54591</v>
      </c>
      <c r="Z2248" s="205">
        <v>3.404926836959199E-2</v>
      </c>
      <c r="AA2248" s="207">
        <v>3.4009504663918833E-2</v>
      </c>
    </row>
    <row r="2249" spans="19:27" x14ac:dyDescent="0.2">
      <c r="S2249" s="165"/>
      <c r="T2249" s="166"/>
      <c r="W2249" s="199" t="str">
        <f t="shared" si="43"/>
        <v>1w</v>
      </c>
      <c r="X2249" s="200">
        <f>_xll.qlCalendarAdvance(Calendar,X2248,W2249,"f",FALSE)</f>
        <v>54596</v>
      </c>
      <c r="Y2249" s="204">
        <f>_xll.qlCalendarAdvance(Calendar,X2249,NDays&amp;"D")</f>
        <v>54598</v>
      </c>
      <c r="Z2249" s="205">
        <v>3.404312384788305E-2</v>
      </c>
      <c r="AA2249" s="207">
        <v>3.400339214358894E-2</v>
      </c>
    </row>
    <row r="2250" spans="19:27" x14ac:dyDescent="0.2">
      <c r="S2250" s="165"/>
      <c r="T2250" s="166"/>
      <c r="W2250" s="199" t="str">
        <f t="shared" si="43"/>
        <v>1w</v>
      </c>
      <c r="X2250" s="200">
        <f>_xll.qlCalendarAdvance(Calendar,X2249,W2250,"f",FALSE)</f>
        <v>54603</v>
      </c>
      <c r="Y2250" s="204">
        <f>_xll.qlCalendarAdvance(Calendar,X2250,NDays&amp;"D")</f>
        <v>54605</v>
      </c>
      <c r="Z2250" s="205">
        <v>3.4036970757895524E-2</v>
      </c>
      <c r="AA2250" s="207">
        <v>3.3997271076735558E-2</v>
      </c>
    </row>
    <row r="2251" spans="19:27" x14ac:dyDescent="0.2">
      <c r="S2251" s="165"/>
      <c r="T2251" s="166"/>
      <c r="W2251" s="199" t="str">
        <f t="shared" si="43"/>
        <v>1w</v>
      </c>
      <c r="X2251" s="200">
        <f>_xll.qlCalendarAdvance(Calendar,X2250,W2251,"f",FALSE)</f>
        <v>54610</v>
      </c>
      <c r="Y2251" s="204">
        <f>_xll.qlCalendarAdvance(Calendar,X2251,NDays&amp;"D")</f>
        <v>54612</v>
      </c>
      <c r="Z2251" s="205">
        <v>3.4030809099641901E-2</v>
      </c>
      <c r="AA2251" s="207">
        <v>3.3991141463438623E-2</v>
      </c>
    </row>
    <row r="2252" spans="19:27" x14ac:dyDescent="0.2">
      <c r="S2252" s="165"/>
      <c r="T2252" s="166"/>
      <c r="W2252" s="199" t="str">
        <f t="shared" si="43"/>
        <v>1w</v>
      </c>
      <c r="X2252" s="200">
        <f>_xll.qlCalendarAdvance(Calendar,X2251,W2252,"f",FALSE)</f>
        <v>54617</v>
      </c>
      <c r="Y2252" s="204">
        <f>_xll.qlCalendarAdvance(Calendar,X2252,NDays&amp;"D")</f>
        <v>54619</v>
      </c>
      <c r="Z2252" s="205">
        <v>3.4024638873139668E-2</v>
      </c>
      <c r="AA2252" s="207">
        <v>3.39850033036182E-2</v>
      </c>
    </row>
    <row r="2253" spans="19:27" x14ac:dyDescent="0.2">
      <c r="S2253" s="165"/>
      <c r="T2253" s="166"/>
      <c r="W2253" s="199" t="str">
        <f t="shared" si="43"/>
        <v>1w</v>
      </c>
      <c r="X2253" s="200">
        <f>_xll.qlCalendarAdvance(Calendar,X2252,W2253,"f",FALSE)</f>
        <v>54624</v>
      </c>
      <c r="Y2253" s="204">
        <f>_xll.qlCalendarAdvance(Calendar,X2253,NDays&amp;"D")</f>
        <v>54626</v>
      </c>
      <c r="Z2253" s="205">
        <v>3.401846007839382E-2</v>
      </c>
      <c r="AA2253" s="207">
        <v>3.3978856597514095E-2</v>
      </c>
    </row>
    <row r="2254" spans="19:27" x14ac:dyDescent="0.2">
      <c r="S2254" s="165"/>
      <c r="T2254" s="166"/>
      <c r="W2254" s="199" t="str">
        <f t="shared" si="43"/>
        <v>1w</v>
      </c>
      <c r="X2254" s="200">
        <f>_xll.qlCalendarAdvance(Calendar,X2253,W2254,"f",FALSE)</f>
        <v>54631</v>
      </c>
      <c r="Y2254" s="204">
        <f>_xll.qlCalendarAdvance(Calendar,X2254,NDays&amp;"D")</f>
        <v>54633</v>
      </c>
      <c r="Z2254" s="205">
        <v>3.4013435066101945E-2</v>
      </c>
      <c r="AA2254" s="207">
        <v>3.3972701344806566E-2</v>
      </c>
    </row>
    <row r="2255" spans="19:27" x14ac:dyDescent="0.2">
      <c r="S2255" s="165"/>
      <c r="T2255" s="166"/>
      <c r="W2255" s="199" t="str">
        <f t="shared" si="43"/>
        <v>1w</v>
      </c>
      <c r="X2255" s="200">
        <f>_xll.qlCalendarAdvance(Calendar,X2254,W2255,"f",FALSE)</f>
        <v>54638</v>
      </c>
      <c r="Y2255" s="204">
        <f>_xll.qlCalendarAdvance(Calendar,X2255,NDays&amp;"D")</f>
        <v>54640</v>
      </c>
      <c r="Z2255" s="205">
        <v>3.4007237938389133E-2</v>
      </c>
      <c r="AA2255" s="207">
        <v>3.3966537545655484E-2</v>
      </c>
    </row>
    <row r="2256" spans="19:27" x14ac:dyDescent="0.2">
      <c r="S2256" s="165"/>
      <c r="T2256" s="166"/>
      <c r="W2256" s="199" t="str">
        <f t="shared" si="43"/>
        <v>1w</v>
      </c>
      <c r="X2256" s="200">
        <f>_xll.qlCalendarAdvance(Calendar,X2255,W2256,"f",FALSE)</f>
        <v>54645</v>
      </c>
      <c r="Y2256" s="204">
        <f>_xll.qlCalendarAdvance(Calendar,X2256,NDays&amp;"D")</f>
        <v>54647</v>
      </c>
      <c r="Z2256" s="205">
        <v>3.3999872284874444E-2</v>
      </c>
      <c r="AA2256" s="207">
        <v>3.3960365199900977E-2</v>
      </c>
    </row>
    <row r="2257" spans="19:27" x14ac:dyDescent="0.2">
      <c r="S2257" s="165"/>
      <c r="T2257" s="166"/>
      <c r="W2257" s="199" t="str">
        <f t="shared" si="43"/>
        <v>1w</v>
      </c>
      <c r="X2257" s="200">
        <f>_xll.qlCalendarAdvance(Calendar,X2256,W2257,"f",FALSE)</f>
        <v>54652</v>
      </c>
      <c r="Y2257" s="204">
        <f>_xll.qlCalendarAdvance(Calendar,X2257,NDays&amp;"D")</f>
        <v>54654</v>
      </c>
      <c r="Z2257" s="205">
        <v>3.3993659217316508E-2</v>
      </c>
      <c r="AA2257" s="207">
        <v>3.3954184307942725E-2</v>
      </c>
    </row>
    <row r="2258" spans="19:27" x14ac:dyDescent="0.2">
      <c r="S2258" s="165"/>
      <c r="T2258" s="166"/>
      <c r="W2258" s="199" t="str">
        <f t="shared" si="43"/>
        <v>1w</v>
      </c>
      <c r="X2258" s="200">
        <f>_xll.qlCalendarAdvance(Calendar,X2257,W2258,"f",FALSE)</f>
        <v>54659</v>
      </c>
      <c r="Y2258" s="204">
        <f>_xll.qlCalendarAdvance(Calendar,X2258,NDays&amp;"D")</f>
        <v>54661</v>
      </c>
      <c r="Z2258" s="205">
        <v>3.3987437581592395E-2</v>
      </c>
      <c r="AA2258" s="207">
        <v>3.3947109966030453E-2</v>
      </c>
    </row>
    <row r="2259" spans="19:27" x14ac:dyDescent="0.2">
      <c r="S2259" s="165"/>
      <c r="T2259" s="166"/>
      <c r="W2259" s="199" t="str">
        <f t="shared" si="43"/>
        <v>1w</v>
      </c>
      <c r="X2259" s="200">
        <f>_xll.qlCalendarAdvance(Calendar,X2258,W2259,"f",FALSE)</f>
        <v>54666</v>
      </c>
      <c r="Y2259" s="204">
        <f>_xll.qlCalendarAdvance(Calendar,X2259,NDays&amp;"D")</f>
        <v>54668</v>
      </c>
      <c r="Z2259" s="205">
        <v>3.3981207377717093E-2</v>
      </c>
      <c r="AA2259" s="207">
        <v>3.3941796884215947E-2</v>
      </c>
    </row>
    <row r="2260" spans="19:27" x14ac:dyDescent="0.2">
      <c r="S2260" s="165"/>
      <c r="T2260" s="166"/>
      <c r="W2260" s="199" t="str">
        <f t="shared" si="43"/>
        <v>1w</v>
      </c>
      <c r="X2260" s="200">
        <f>_xll.qlCalendarAdvance(Calendar,X2259,W2260,"f",FALSE)</f>
        <v>54673</v>
      </c>
      <c r="Y2260" s="204">
        <f>_xll.qlCalendarAdvance(Calendar,X2260,NDays&amp;"D")</f>
        <v>54675</v>
      </c>
      <c r="Z2260" s="205">
        <v>3.3976123766648249E-2</v>
      </c>
      <c r="AA2260" s="207">
        <v>3.3935590352607292E-2</v>
      </c>
    </row>
    <row r="2261" spans="19:27" x14ac:dyDescent="0.2">
      <c r="S2261" s="165"/>
      <c r="T2261" s="166"/>
      <c r="W2261" s="199" t="str">
        <f t="shared" ref="W2261:W2324" si="44">W2260</f>
        <v>1w</v>
      </c>
      <c r="X2261" s="200">
        <f>_xll.qlCalendarAdvance(Calendar,X2260,W2261,"f",FALSE)</f>
        <v>54680</v>
      </c>
      <c r="Y2261" s="204">
        <f>_xll.qlCalendarAdvance(Calendar,X2261,NDays&amp;"D")</f>
        <v>54682</v>
      </c>
      <c r="Z2261" s="205">
        <v>3.3968721265557889E-2</v>
      </c>
      <c r="AA2261" s="207">
        <v>3.3929375274635021E-2</v>
      </c>
    </row>
    <row r="2262" spans="19:27" x14ac:dyDescent="0.2">
      <c r="S2262" s="165"/>
      <c r="T2262" s="166"/>
      <c r="W2262" s="199" t="str">
        <f t="shared" si="44"/>
        <v>1w</v>
      </c>
      <c r="X2262" s="200">
        <f>_xll.qlCalendarAdvance(Calendar,X2261,W2262,"f",FALSE)</f>
        <v>54687</v>
      </c>
      <c r="Y2262" s="204">
        <f>_xll.qlCalendarAdvance(Calendar,X2262,NDays&amp;"D")</f>
        <v>54689</v>
      </c>
      <c r="Z2262" s="205">
        <v>3.3962465357303961E-2</v>
      </c>
      <c r="AA2262" s="207">
        <v>3.3923151650219197E-2</v>
      </c>
    </row>
    <row r="2263" spans="19:27" x14ac:dyDescent="0.2">
      <c r="S2263" s="165"/>
      <c r="T2263" s="166"/>
      <c r="W2263" s="199" t="str">
        <f t="shared" si="44"/>
        <v>1w</v>
      </c>
      <c r="X2263" s="200">
        <f>_xll.qlCalendarAdvance(Calendar,X2262,W2263,"f",FALSE)</f>
        <v>54694</v>
      </c>
      <c r="Y2263" s="204">
        <f>_xll.qlCalendarAdvance(Calendar,X2263,NDays&amp;"D")</f>
        <v>54696</v>
      </c>
      <c r="Z2263" s="205">
        <v>3.3952745957585281E-2</v>
      </c>
      <c r="AA2263" s="207">
        <v>3.3916919479120011E-2</v>
      </c>
    </row>
    <row r="2264" spans="19:27" x14ac:dyDescent="0.2">
      <c r="S2264" s="165"/>
      <c r="T2264" s="166"/>
      <c r="W2264" s="199" t="str">
        <f t="shared" si="44"/>
        <v>1w</v>
      </c>
      <c r="X2264" s="200">
        <f>_xll.qlCalendarAdvance(Calendar,X2263,W2264,"f",FALSE)</f>
        <v>54701</v>
      </c>
      <c r="Y2264" s="204">
        <f>_xll.qlCalendarAdvance(Calendar,X2264,NDays&amp;"D")</f>
        <v>54703</v>
      </c>
      <c r="Z2264" s="205">
        <v>3.3949927836522398E-2</v>
      </c>
      <c r="AA2264" s="207">
        <v>3.3910678761817081E-2</v>
      </c>
    </row>
    <row r="2265" spans="19:27" x14ac:dyDescent="0.2">
      <c r="S2265" s="165"/>
      <c r="T2265" s="166"/>
      <c r="W2265" s="199" t="str">
        <f t="shared" si="44"/>
        <v>1w</v>
      </c>
      <c r="X2265" s="200">
        <f>_xll.qlCalendarAdvance(Calendar,X2264,W2265,"f",FALSE)</f>
        <v>54708</v>
      </c>
      <c r="Y2265" s="204">
        <f>_xll.qlCalendarAdvance(Calendar,X2265,NDays&amp;"D")</f>
        <v>54710</v>
      </c>
      <c r="Z2265" s="205">
        <v>3.3943646224022239E-2</v>
      </c>
      <c r="AA2265" s="207">
        <v>3.3904429497910726E-2</v>
      </c>
    </row>
    <row r="2266" spans="19:27" x14ac:dyDescent="0.2">
      <c r="S2266" s="165"/>
      <c r="T2266" s="166"/>
      <c r="W2266" s="199" t="str">
        <f t="shared" si="44"/>
        <v>1w</v>
      </c>
      <c r="X2266" s="200">
        <f>_xll.qlCalendarAdvance(Calendar,X2265,W2266,"f",FALSE)</f>
        <v>54715</v>
      </c>
      <c r="Y2266" s="204">
        <f>_xll.qlCalendarAdvance(Calendar,X2266,NDays&amp;"D")</f>
        <v>54717</v>
      </c>
      <c r="Z2266" s="205">
        <v>3.393735604347331E-2</v>
      </c>
      <c r="AA2266" s="207">
        <v>3.3898171687640755E-2</v>
      </c>
    </row>
    <row r="2267" spans="19:27" x14ac:dyDescent="0.2">
      <c r="S2267" s="165"/>
      <c r="T2267" s="166"/>
      <c r="W2267" s="199" t="str">
        <f t="shared" si="44"/>
        <v>1w</v>
      </c>
      <c r="X2267" s="200">
        <f>_xll.qlCalendarAdvance(Calendar,X2266,W2267,"f",FALSE)</f>
        <v>54722</v>
      </c>
      <c r="Y2267" s="204">
        <f>_xll.qlCalendarAdvance(Calendar,X2267,NDays&amp;"D")</f>
        <v>54724</v>
      </c>
      <c r="Z2267" s="205">
        <v>3.3931057294880607E-2</v>
      </c>
      <c r="AA2267" s="207">
        <v>3.3891905330767358E-2</v>
      </c>
    </row>
    <row r="2268" spans="19:27" x14ac:dyDescent="0.2">
      <c r="S2268" s="165"/>
      <c r="T2268" s="166"/>
      <c r="W2268" s="199" t="str">
        <f t="shared" si="44"/>
        <v>1w</v>
      </c>
      <c r="X2268" s="200">
        <f>_xll.qlCalendarAdvance(Calendar,X2267,W2268,"f",FALSE)</f>
        <v>54729</v>
      </c>
      <c r="Y2268" s="204">
        <f>_xll.qlCalendarAdvance(Calendar,X2268,NDays&amp;"D")</f>
        <v>54731</v>
      </c>
      <c r="Z2268" s="205">
        <v>3.3924749978259117E-2</v>
      </c>
      <c r="AA2268" s="207">
        <v>3.3885630427530344E-2</v>
      </c>
    </row>
    <row r="2269" spans="19:27" x14ac:dyDescent="0.2">
      <c r="S2269" s="165"/>
      <c r="T2269" s="166"/>
      <c r="W2269" s="199" t="str">
        <f t="shared" si="44"/>
        <v>1w</v>
      </c>
      <c r="X2269" s="200">
        <f>_xll.qlCalendarAdvance(Calendar,X2268,W2269,"f",FALSE)</f>
        <v>54736</v>
      </c>
      <c r="Y2269" s="204">
        <f>_xll.qlCalendarAdvance(Calendar,X2269,NDays&amp;"D")</f>
        <v>54738</v>
      </c>
      <c r="Z2269" s="205">
        <v>3.3916386924912827E-2</v>
      </c>
      <c r="AA2269" s="207">
        <v>3.3879346977849778E-2</v>
      </c>
    </row>
    <row r="2270" spans="19:27" x14ac:dyDescent="0.2">
      <c r="S2270" s="165"/>
      <c r="T2270" s="166"/>
      <c r="W2270" s="199" t="str">
        <f t="shared" si="44"/>
        <v>1w</v>
      </c>
      <c r="X2270" s="200">
        <f>_xll.qlCalendarAdvance(Calendar,X2269,W2270,"f",FALSE)</f>
        <v>54743</v>
      </c>
      <c r="Y2270" s="204">
        <f>_xll.qlCalendarAdvance(Calendar,X2270,NDays&amp;"D")</f>
        <v>54745</v>
      </c>
      <c r="Z2270" s="205">
        <v>3.3912109641012211E-2</v>
      </c>
      <c r="AA2270" s="207">
        <v>3.3873054981565787E-2</v>
      </c>
    </row>
    <row r="2271" spans="19:27" x14ac:dyDescent="0.2">
      <c r="S2271" s="165"/>
      <c r="T2271" s="166"/>
      <c r="W2271" s="199" t="str">
        <f t="shared" si="44"/>
        <v>1w</v>
      </c>
      <c r="X2271" s="200">
        <f>_xll.qlCalendarAdvance(Calendar,X2270,W2271,"f",FALSE)</f>
        <v>54750</v>
      </c>
      <c r="Y2271" s="204">
        <f>_xll.qlCalendarAdvance(Calendar,X2271,NDays&amp;"D")</f>
        <v>54752</v>
      </c>
      <c r="Z2271" s="205">
        <v>3.3906012945707852E-2</v>
      </c>
      <c r="AA2271" s="207">
        <v>3.3866754438838242E-2</v>
      </c>
    </row>
    <row r="2272" spans="19:27" x14ac:dyDescent="0.2">
      <c r="S2272" s="165"/>
      <c r="T2272" s="166"/>
      <c r="W2272" s="199" t="str">
        <f t="shared" si="44"/>
        <v>1w</v>
      </c>
      <c r="X2272" s="200">
        <f>_xll.qlCalendarAdvance(Calendar,X2271,W2272,"f",FALSE)</f>
        <v>54757</v>
      </c>
      <c r="Y2272" s="204">
        <f>_xll.qlCalendarAdvance(Calendar,X2272,NDays&amp;"D")</f>
        <v>54759</v>
      </c>
      <c r="Z2272" s="205">
        <v>3.3900575737986216E-2</v>
      </c>
      <c r="AA2272" s="207">
        <v>3.3860445349827017E-2</v>
      </c>
    </row>
    <row r="2273" spans="19:27" x14ac:dyDescent="0.2">
      <c r="S2273" s="165"/>
      <c r="T2273" s="166"/>
      <c r="W2273" s="199" t="str">
        <f t="shared" si="44"/>
        <v>1w</v>
      </c>
      <c r="X2273" s="200">
        <f>_xll.qlCalendarAdvance(Calendar,X2272,W2273,"f",FALSE)</f>
        <v>54764</v>
      </c>
      <c r="Y2273" s="204">
        <f>_xll.qlCalendarAdvance(Calendar,X2273,NDays&amp;"D")</f>
        <v>54766</v>
      </c>
      <c r="Z2273" s="205">
        <v>3.3893084875301904E-2</v>
      </c>
      <c r="AA2273" s="207">
        <v>3.3854127714292304E-2</v>
      </c>
    </row>
    <row r="2274" spans="19:27" x14ac:dyDescent="0.2">
      <c r="S2274" s="165"/>
      <c r="T2274" s="166"/>
      <c r="W2274" s="199" t="str">
        <f t="shared" si="44"/>
        <v>1w</v>
      </c>
      <c r="X2274" s="200">
        <f>_xll.qlCalendarAdvance(Calendar,X2273,W2274,"f",FALSE)</f>
        <v>54771</v>
      </c>
      <c r="Y2274" s="204">
        <f>_xll.qlCalendarAdvance(Calendar,X2274,NDays&amp;"D")</f>
        <v>54773</v>
      </c>
      <c r="Z2274" s="205">
        <v>3.3887864438140791E-2</v>
      </c>
      <c r="AA2274" s="207">
        <v>3.3847801531994293E-2</v>
      </c>
    </row>
    <row r="2275" spans="19:27" x14ac:dyDescent="0.2">
      <c r="S2275" s="165"/>
      <c r="T2275" s="166"/>
      <c r="W2275" s="199" t="str">
        <f t="shared" si="44"/>
        <v>1w</v>
      </c>
      <c r="X2275" s="200">
        <f>_xll.qlCalendarAdvance(Calendar,X2274,W2275,"f",FALSE)</f>
        <v>54778</v>
      </c>
      <c r="Y2275" s="204">
        <f>_xll.qlCalendarAdvance(Calendar,X2275,NDays&amp;"D")</f>
        <v>54780</v>
      </c>
      <c r="Z2275" s="205">
        <v>3.3880358858451587E-2</v>
      </c>
      <c r="AA2275" s="207">
        <v>3.3839655311496131E-2</v>
      </c>
    </row>
    <row r="2276" spans="19:27" x14ac:dyDescent="0.2">
      <c r="S2276" s="165"/>
      <c r="T2276" s="166"/>
      <c r="W2276" s="199" t="str">
        <f t="shared" si="44"/>
        <v>1w</v>
      </c>
      <c r="X2276" s="200">
        <f>_xll.qlCalendarAdvance(Calendar,X2275,W2276,"f",FALSE)</f>
        <v>54786</v>
      </c>
      <c r="Y2276" s="204">
        <f>_xll.qlCalendarAdvance(Calendar,X2276,NDays&amp;"D")</f>
        <v>54788</v>
      </c>
      <c r="Z2276" s="205">
        <v>3.3868288522054833E-2</v>
      </c>
      <c r="AA2276" s="207">
        <v>3.3833309594584193E-2</v>
      </c>
    </row>
    <row r="2277" spans="19:27" x14ac:dyDescent="0.2">
      <c r="S2277" s="165"/>
      <c r="T2277" s="166"/>
      <c r="W2277" s="199" t="str">
        <f t="shared" si="44"/>
        <v>1w</v>
      </c>
      <c r="X2277" s="200">
        <f>_xll.qlCalendarAdvance(Calendar,X2276,W2277,"f",FALSE)</f>
        <v>54793</v>
      </c>
      <c r="Y2277" s="204">
        <f>_xll.qlCalendarAdvance(Calendar,X2277,NDays&amp;"D")</f>
        <v>54795</v>
      </c>
      <c r="Z2277" s="205">
        <v>3.3865551284276457E-2</v>
      </c>
      <c r="AA2277" s="207">
        <v>3.3827863606523678E-2</v>
      </c>
    </row>
    <row r="2278" spans="19:27" x14ac:dyDescent="0.2">
      <c r="S2278" s="165"/>
      <c r="T2278" s="166"/>
      <c r="W2278" s="199" t="str">
        <f t="shared" si="44"/>
        <v>1w</v>
      </c>
      <c r="X2278" s="200">
        <f>_xll.qlCalendarAdvance(Calendar,X2277,W2278,"f",FALSE)</f>
        <v>54800</v>
      </c>
      <c r="Y2278" s="204">
        <f>_xll.qlCalendarAdvance(Calendar,X2278,NDays&amp;"D")</f>
        <v>54802</v>
      </c>
      <c r="Z2278" s="205">
        <v>3.3859158276702807E-2</v>
      </c>
      <c r="AA2278" s="207">
        <v>3.3821502017588045E-2</v>
      </c>
    </row>
    <row r="2279" spans="19:27" x14ac:dyDescent="0.2">
      <c r="S2279" s="165"/>
      <c r="T2279" s="166"/>
      <c r="W2279" s="199" t="str">
        <f t="shared" si="44"/>
        <v>1w</v>
      </c>
      <c r="X2279" s="200">
        <f>_xll.qlCalendarAdvance(Calendar,X2278,W2279,"f",FALSE)</f>
        <v>54807</v>
      </c>
      <c r="Y2279" s="204">
        <f>_xll.qlCalendarAdvance(Calendar,X2279,NDays&amp;"D")</f>
        <v>54809</v>
      </c>
      <c r="Z2279" s="205">
        <v>3.3853888801395338E-2</v>
      </c>
      <c r="AA2279" s="207">
        <v>3.381513188220886E-2</v>
      </c>
    </row>
    <row r="2280" spans="19:27" x14ac:dyDescent="0.2">
      <c r="S2280" s="165"/>
      <c r="T2280" s="166"/>
      <c r="W2280" s="199" t="str">
        <f t="shared" si="44"/>
        <v>1w</v>
      </c>
      <c r="X2280" s="200">
        <f>_xll.qlCalendarAdvance(Calendar,X2279,W2280,"f",FALSE)</f>
        <v>54814</v>
      </c>
      <c r="Y2280" s="204">
        <f>_xll.qlCalendarAdvance(Calendar,X2280,NDays&amp;"D")</f>
        <v>54816</v>
      </c>
      <c r="Z2280" s="205">
        <v>3.3846346560052656E-2</v>
      </c>
      <c r="AA2280" s="207">
        <v>3.3808753200545993E-2</v>
      </c>
    </row>
    <row r="2281" spans="19:27" x14ac:dyDescent="0.2">
      <c r="S2281" s="165"/>
      <c r="T2281" s="166"/>
      <c r="W2281" s="199" t="str">
        <f t="shared" si="44"/>
        <v>1w</v>
      </c>
      <c r="X2281" s="200">
        <f>_xll.qlCalendarAdvance(Calendar,X2280,W2281,"f",FALSE)</f>
        <v>54821</v>
      </c>
      <c r="Y2281" s="204">
        <f>_xll.qlCalendarAdvance(Calendar,X2281,NDays&amp;"D")</f>
        <v>54823</v>
      </c>
      <c r="Z2281" s="205">
        <v>3.3836538567753038E-2</v>
      </c>
      <c r="AA2281" s="207">
        <v>3.3802365972359638E-2</v>
      </c>
    </row>
    <row r="2282" spans="19:27" x14ac:dyDescent="0.2">
      <c r="S2282" s="165"/>
      <c r="T2282" s="166"/>
      <c r="W2282" s="199" t="str">
        <f t="shared" si="44"/>
        <v>1w</v>
      </c>
      <c r="X2282" s="200">
        <f>_xll.qlCalendarAdvance(Calendar,X2281,W2282,"f",FALSE)</f>
        <v>54828</v>
      </c>
      <c r="Y2282" s="204">
        <f>_xll.qlCalendarAdvance(Calendar,X2282,NDays&amp;"D")</f>
        <v>54830</v>
      </c>
      <c r="Z2282" s="205">
        <v>3.383011493636337E-2</v>
      </c>
      <c r="AA2282" s="207">
        <v>3.3795970197649794E-2</v>
      </c>
    </row>
    <row r="2283" spans="19:27" x14ac:dyDescent="0.2">
      <c r="S2283" s="165"/>
      <c r="T2283" s="166"/>
      <c r="W2283" s="199" t="str">
        <f t="shared" si="44"/>
        <v>1w</v>
      </c>
      <c r="X2283" s="200">
        <f>_xll.qlCalendarAdvance(Calendar,X2282,W2283,"f",FALSE)</f>
        <v>54835</v>
      </c>
      <c r="Y2283" s="204">
        <f>_xll.qlCalendarAdvance(Calendar,X2283,NDays&amp;"D")</f>
        <v>54837</v>
      </c>
      <c r="Z2283" s="205">
        <v>3.3823682739922187E-2</v>
      </c>
      <c r="AA2283" s="207">
        <v>3.3789565876416461E-2</v>
      </c>
    </row>
    <row r="2284" spans="19:27" x14ac:dyDescent="0.2">
      <c r="S2284" s="165"/>
      <c r="T2284" s="166"/>
      <c r="W2284" s="199" t="str">
        <f t="shared" si="44"/>
        <v>1w</v>
      </c>
      <c r="X2284" s="200">
        <f>_xll.qlCalendarAdvance(Calendar,X2283,W2284,"f",FALSE)</f>
        <v>54842</v>
      </c>
      <c r="Y2284" s="204">
        <f>_xll.qlCalendarAdvance(Calendar,X2284,NDays&amp;"D")</f>
        <v>54844</v>
      </c>
      <c r="Z2284" s="205">
        <v>3.3817241978449451E-2</v>
      </c>
      <c r="AA2284" s="207">
        <v>3.3783153008979383E-2</v>
      </c>
    </row>
    <row r="2285" spans="19:27" x14ac:dyDescent="0.2">
      <c r="S2285" s="165"/>
      <c r="T2285" s="166"/>
      <c r="W2285" s="199" t="str">
        <f t="shared" si="44"/>
        <v>1w</v>
      </c>
      <c r="X2285" s="200">
        <f>_xll.qlCalendarAdvance(Calendar,X2284,W2285,"f",FALSE)</f>
        <v>54849</v>
      </c>
      <c r="Y2285" s="204">
        <f>_xll.qlCalendarAdvance(Calendar,X2285,NDays&amp;"D")</f>
        <v>54851</v>
      </c>
      <c r="Z2285" s="205">
        <v>3.3814167343630817E-2</v>
      </c>
      <c r="AA2285" s="207">
        <v>3.377673159493888E-2</v>
      </c>
    </row>
    <row r="2286" spans="19:27" x14ac:dyDescent="0.2">
      <c r="S2286" s="165"/>
      <c r="T2286" s="166"/>
      <c r="W2286" s="199" t="str">
        <f t="shared" si="44"/>
        <v>1w</v>
      </c>
      <c r="X2286" s="200">
        <f>_xll.qlCalendarAdvance(Calendar,X2285,W2286,"f",FALSE)</f>
        <v>54856</v>
      </c>
      <c r="Y2286" s="204">
        <f>_xll.qlCalendarAdvance(Calendar,X2286,NDays&amp;"D")</f>
        <v>54858</v>
      </c>
      <c r="Z2286" s="205">
        <v>3.3808829387003136E-2</v>
      </c>
      <c r="AA2286" s="207">
        <v>3.3770301634215016E-2</v>
      </c>
    </row>
    <row r="2287" spans="19:27" x14ac:dyDescent="0.2">
      <c r="S2287" s="165"/>
      <c r="T2287" s="166"/>
      <c r="W2287" s="199" t="str">
        <f t="shared" si="44"/>
        <v>1w</v>
      </c>
      <c r="X2287" s="200">
        <f>_xll.qlCalendarAdvance(Calendar,X2286,W2287,"f",FALSE)</f>
        <v>54863</v>
      </c>
      <c r="Y2287" s="204">
        <f>_xll.qlCalendarAdvance(Calendar,X2287,NDays&amp;"D")</f>
        <v>54865</v>
      </c>
      <c r="Z2287" s="205">
        <v>3.3801235687446231E-2</v>
      </c>
      <c r="AA2287" s="207">
        <v>3.3763863127367344E-2</v>
      </c>
    </row>
    <row r="2288" spans="19:27" x14ac:dyDescent="0.2">
      <c r="S2288" s="165"/>
      <c r="T2288" s="166"/>
      <c r="W2288" s="199" t="str">
        <f t="shared" si="44"/>
        <v>1w</v>
      </c>
      <c r="X2288" s="200">
        <f>_xll.qlCalendarAdvance(Calendar,X2287,W2288,"f",FALSE)</f>
        <v>54870</v>
      </c>
      <c r="Y2288" s="204">
        <f>_xll.qlCalendarAdvance(Calendar,X2288,NDays&amp;"D")</f>
        <v>54872</v>
      </c>
      <c r="Z2288" s="205">
        <v>3.3794757008773983E-2</v>
      </c>
      <c r="AA2288" s="207">
        <v>3.3757416073996183E-2</v>
      </c>
    </row>
    <row r="2289" spans="19:27" x14ac:dyDescent="0.2">
      <c r="S2289" s="165"/>
      <c r="T2289" s="166"/>
      <c r="W2289" s="199" t="str">
        <f t="shared" si="44"/>
        <v>1w</v>
      </c>
      <c r="X2289" s="200">
        <f>_xll.qlCalendarAdvance(Calendar,X2288,W2289,"f",FALSE)</f>
        <v>54877</v>
      </c>
      <c r="Y2289" s="204">
        <f>_xll.qlCalendarAdvance(Calendar,X2289,NDays&amp;"D")</f>
        <v>54879</v>
      </c>
      <c r="Z2289" s="205">
        <v>3.3789389692913674E-2</v>
      </c>
      <c r="AA2289" s="207">
        <v>3.3750960474101532E-2</v>
      </c>
    </row>
    <row r="2290" spans="19:27" x14ac:dyDescent="0.2">
      <c r="S2290" s="165"/>
      <c r="T2290" s="166"/>
      <c r="W2290" s="199" t="str">
        <f t="shared" si="44"/>
        <v>1w</v>
      </c>
      <c r="X2290" s="200">
        <f>_xll.qlCalendarAdvance(Calendar,X2289,W2290,"f",FALSE)</f>
        <v>54884</v>
      </c>
      <c r="Y2290" s="204">
        <f>_xll.qlCalendarAdvance(Calendar,X2290,NDays&amp;"D")</f>
        <v>54890</v>
      </c>
      <c r="Z2290" s="205">
        <v>3.3776940153200208E-2</v>
      </c>
      <c r="AA2290" s="207">
        <v>3.3742647859025254E-2</v>
      </c>
    </row>
    <row r="2291" spans="19:27" x14ac:dyDescent="0.2">
      <c r="S2291" s="165"/>
      <c r="T2291" s="166"/>
      <c r="W2291" s="199" t="str">
        <f t="shared" si="44"/>
        <v>1w</v>
      </c>
      <c r="X2291" s="200">
        <f>_xll.qlCalendarAdvance(Calendar,X2290,W2291,"f",FALSE)</f>
        <v>54891</v>
      </c>
      <c r="Y2291" s="204">
        <f>_xll.qlCalendarAdvance(Calendar,X2291,NDays&amp;"D")</f>
        <v>54893</v>
      </c>
      <c r="Z2291" s="205">
        <v>3.3775269570633391E-2</v>
      </c>
      <c r="AA2291" s="207">
        <v>3.3738023634981573E-2</v>
      </c>
    </row>
    <row r="2292" spans="19:27" x14ac:dyDescent="0.2">
      <c r="S2292" s="165"/>
      <c r="T2292" s="166"/>
      <c r="W2292" s="199" t="str">
        <f t="shared" si="44"/>
        <v>1w</v>
      </c>
      <c r="X2292" s="200">
        <f>_xll.qlCalendarAdvance(Calendar,X2291,W2292,"f",FALSE)</f>
        <v>54898</v>
      </c>
      <c r="Y2292" s="204">
        <f>_xll.qlCalendarAdvance(Calendar,X2292,NDays&amp;"D")</f>
        <v>54900</v>
      </c>
      <c r="Z2292" s="205">
        <v>3.3768756623927566E-2</v>
      </c>
      <c r="AA2292" s="207">
        <v>3.37315423958362E-2</v>
      </c>
    </row>
    <row r="2293" spans="19:27" x14ac:dyDescent="0.2">
      <c r="S2293" s="165"/>
      <c r="T2293" s="166"/>
      <c r="W2293" s="199" t="str">
        <f t="shared" si="44"/>
        <v>1w</v>
      </c>
      <c r="X2293" s="200">
        <f>_xll.qlCalendarAdvance(Calendar,X2292,W2293,"f",FALSE)</f>
        <v>54905</v>
      </c>
      <c r="Y2293" s="204">
        <f>_xll.qlCalendarAdvance(Calendar,X2293,NDays&amp;"D")</f>
        <v>54907</v>
      </c>
      <c r="Z2293" s="205">
        <v>3.3763350153036831E-2</v>
      </c>
      <c r="AA2293" s="207">
        <v>3.3724124800098565E-2</v>
      </c>
    </row>
    <row r="2294" spans="19:27" x14ac:dyDescent="0.2">
      <c r="S2294" s="165"/>
      <c r="T2294" s="166"/>
      <c r="W2294" s="199" t="str">
        <f t="shared" si="44"/>
        <v>1w</v>
      </c>
      <c r="X2294" s="200">
        <f>_xll.qlCalendarAdvance(Calendar,X2293,W2294,"f",FALSE)</f>
        <v>54912</v>
      </c>
      <c r="Y2294" s="204">
        <f>_xll.qlCalendarAdvance(Calendar,X2294,NDays&amp;"D")</f>
        <v>54914</v>
      </c>
      <c r="Z2294" s="205">
        <v>3.3755705029606141E-2</v>
      </c>
      <c r="AA2294" s="207">
        <v>3.3718554277815116E-2</v>
      </c>
    </row>
    <row r="2295" spans="19:27" x14ac:dyDescent="0.2">
      <c r="S2295" s="165"/>
      <c r="T2295" s="166"/>
      <c r="W2295" s="199" t="str">
        <f t="shared" si="44"/>
        <v>1w</v>
      </c>
      <c r="X2295" s="200">
        <f>_xll.qlCalendarAdvance(Calendar,X2294,W2295,"f",FALSE)</f>
        <v>54919</v>
      </c>
      <c r="Y2295" s="204">
        <f>_xll.qlCalendarAdvance(Calendar,X2295,NDays&amp;"D")</f>
        <v>54921</v>
      </c>
      <c r="Z2295" s="205">
        <v>3.3749166382016318E-2</v>
      </c>
      <c r="AA2295" s="207">
        <v>3.3712047399179212E-2</v>
      </c>
    </row>
    <row r="2296" spans="19:27" x14ac:dyDescent="0.2">
      <c r="S2296" s="165"/>
      <c r="T2296" s="166"/>
      <c r="W2296" s="199" t="str">
        <f t="shared" si="44"/>
        <v>1w</v>
      </c>
      <c r="X2296" s="200">
        <f>_xll.qlCalendarAdvance(Calendar,X2295,W2296,"f",FALSE)</f>
        <v>54926</v>
      </c>
      <c r="Y2296" s="204">
        <f>_xll.qlCalendarAdvance(Calendar,X2296,NDays&amp;"D")</f>
        <v>54928</v>
      </c>
      <c r="Z2296" s="205">
        <v>3.3742619167498683E-2</v>
      </c>
      <c r="AA2296" s="207">
        <v>3.3705531974179692E-2</v>
      </c>
    </row>
    <row r="2297" spans="19:27" x14ac:dyDescent="0.2">
      <c r="S2297" s="165"/>
      <c r="T2297" s="166"/>
      <c r="W2297" s="199" t="str">
        <f t="shared" si="44"/>
        <v>1w</v>
      </c>
      <c r="X2297" s="200">
        <f>_xll.qlCalendarAdvance(Calendar,X2296,W2297,"f",FALSE)</f>
        <v>54933</v>
      </c>
      <c r="Y2297" s="204">
        <f>_xll.qlCalendarAdvance(Calendar,X2297,NDays&amp;"D")</f>
        <v>54935</v>
      </c>
      <c r="Z2297" s="205">
        <v>3.3736063386063546E-2</v>
      </c>
      <c r="AA2297" s="207">
        <v>3.3698075309134268E-2</v>
      </c>
    </row>
    <row r="2298" spans="19:27" x14ac:dyDescent="0.2">
      <c r="S2298" s="165"/>
      <c r="T2298" s="166"/>
      <c r="W2298" s="199" t="str">
        <f t="shared" si="44"/>
        <v>1w</v>
      </c>
      <c r="X2298" s="200">
        <f>_xll.qlCalendarAdvance(Calendar,X2297,W2298,"f",FALSE)</f>
        <v>54940</v>
      </c>
      <c r="Y2298" s="204">
        <f>_xll.qlCalendarAdvance(Calendar,X2298,NDays&amp;"D")</f>
        <v>54942</v>
      </c>
      <c r="Z2298" s="205">
        <v>3.3730607956335423E-2</v>
      </c>
      <c r="AA2298" s="207">
        <v>3.3692475484690121E-2</v>
      </c>
    </row>
    <row r="2299" spans="19:27" x14ac:dyDescent="0.2">
      <c r="S2299" s="165"/>
      <c r="T2299" s="166"/>
      <c r="W2299" s="199" t="str">
        <f t="shared" si="44"/>
        <v>1w</v>
      </c>
      <c r="X2299" s="200">
        <f>_xll.qlCalendarAdvance(Calendar,X2298,W2299,"f",FALSE)</f>
        <v>54947</v>
      </c>
      <c r="Y2299" s="204">
        <f>_xll.qlCalendarAdvance(Calendar,X2299,NDays&amp;"D")</f>
        <v>54949</v>
      </c>
      <c r="Z2299" s="205">
        <v>3.3722926122500094E-2</v>
      </c>
      <c r="AA2299" s="207">
        <v>3.3685934420280006E-2</v>
      </c>
    </row>
    <row r="2300" spans="19:27" x14ac:dyDescent="0.2">
      <c r="S2300" s="165"/>
      <c r="T2300" s="166"/>
      <c r="W2300" s="199" t="str">
        <f t="shared" si="44"/>
        <v>1w</v>
      </c>
      <c r="X2300" s="200">
        <f>_xll.qlCalendarAdvance(Calendar,X2299,W2300,"f",FALSE)</f>
        <v>54954</v>
      </c>
      <c r="Y2300" s="204">
        <f>_xll.qlCalendarAdvance(Calendar,X2300,NDays&amp;"D")</f>
        <v>54956</v>
      </c>
      <c r="Z2300" s="205">
        <v>3.37163446404053E-2</v>
      </c>
      <c r="AA2300" s="207">
        <v>3.3679384809346402E-2</v>
      </c>
    </row>
    <row r="2301" spans="19:27" x14ac:dyDescent="0.2">
      <c r="S2301" s="165"/>
      <c r="T2301" s="166"/>
      <c r="W2301" s="199" t="str">
        <f t="shared" si="44"/>
        <v>1w</v>
      </c>
      <c r="X2301" s="200">
        <f>_xll.qlCalendarAdvance(Calendar,X2300,W2301,"f",FALSE)</f>
        <v>54961</v>
      </c>
      <c r="Y2301" s="204">
        <f>_xll.qlCalendarAdvance(Calendar,X2301,NDays&amp;"D")</f>
        <v>54963</v>
      </c>
      <c r="Z2301" s="205">
        <v>3.3709754591452312E-2</v>
      </c>
      <c r="AA2301" s="207">
        <v>3.3672826651889309E-2</v>
      </c>
    </row>
    <row r="2302" spans="19:27" x14ac:dyDescent="0.2">
      <c r="S2302" s="165"/>
      <c r="T2302" s="166"/>
      <c r="W2302" s="199" t="str">
        <f t="shared" si="44"/>
        <v>1w</v>
      </c>
      <c r="X2302" s="200">
        <f>_xll.qlCalendarAdvance(Calendar,X2301,W2302,"f",FALSE)</f>
        <v>54968</v>
      </c>
      <c r="Y2302" s="204">
        <f>_xll.qlCalendarAdvance(Calendar,X2302,NDays&amp;"D")</f>
        <v>54970</v>
      </c>
      <c r="Z2302" s="205">
        <v>3.3703155975648866E-2</v>
      </c>
      <c r="AA2302" s="207">
        <v>3.3666259948228472E-2</v>
      </c>
    </row>
    <row r="2303" spans="19:27" x14ac:dyDescent="0.2">
      <c r="S2303" s="165"/>
      <c r="T2303" s="166"/>
      <c r="W2303" s="199" t="str">
        <f t="shared" si="44"/>
        <v>1w</v>
      </c>
      <c r="X2303" s="200">
        <f>_xll.qlCalendarAdvance(Calendar,X2302,W2303,"f",FALSE)</f>
        <v>54975</v>
      </c>
      <c r="Y2303" s="204">
        <f>_xll.qlCalendarAdvance(Calendar,X2303,NDays&amp;"D")</f>
        <v>54977</v>
      </c>
      <c r="Z2303" s="205">
        <v>3.3696548793025909E-2</v>
      </c>
      <c r="AA2303" s="207">
        <v>3.3659684698044146E-2</v>
      </c>
    </row>
    <row r="2304" spans="19:27" x14ac:dyDescent="0.2">
      <c r="S2304" s="165"/>
      <c r="T2304" s="166"/>
      <c r="W2304" s="199" t="str">
        <f t="shared" si="44"/>
        <v>1w</v>
      </c>
      <c r="X2304" s="200">
        <f>_xll.qlCalendarAdvance(Calendar,X2303,W2304,"f",FALSE)</f>
        <v>54982</v>
      </c>
      <c r="Y2304" s="204">
        <f>_xll.qlCalendarAdvance(Calendar,X2304,NDays&amp;"D")</f>
        <v>54984</v>
      </c>
      <c r="Z2304" s="205">
        <v>3.3689933043583441E-2</v>
      </c>
      <c r="AA2304" s="207">
        <v>3.365310090133633E-2</v>
      </c>
    </row>
    <row r="2305" spans="19:27" x14ac:dyDescent="0.2">
      <c r="S2305" s="165"/>
      <c r="T2305" s="166"/>
      <c r="W2305" s="199" t="str">
        <f t="shared" si="44"/>
        <v>1w</v>
      </c>
      <c r="X2305" s="200">
        <f>_xll.qlCalendarAdvance(Calendar,X2304,W2305,"f",FALSE)</f>
        <v>54989</v>
      </c>
      <c r="Y2305" s="204">
        <f>_xll.qlCalendarAdvance(Calendar,X2305,NDays&amp;"D")</f>
        <v>54991</v>
      </c>
      <c r="Z2305" s="205">
        <v>3.3683308727342091E-2</v>
      </c>
      <c r="AA2305" s="207">
        <v>3.3646508558184962E-2</v>
      </c>
    </row>
    <row r="2306" spans="19:27" x14ac:dyDescent="0.2">
      <c r="S2306" s="165"/>
      <c r="T2306" s="166"/>
      <c r="W2306" s="199" t="str">
        <f t="shared" si="44"/>
        <v>1w</v>
      </c>
      <c r="X2306" s="200">
        <f>_xll.qlCalendarAdvance(Calendar,X2305,W2306,"f",FALSE)</f>
        <v>54996</v>
      </c>
      <c r="Y2306" s="204">
        <f>_xll.qlCalendarAdvance(Calendar,X2306,NDays&amp;"D")</f>
        <v>54998</v>
      </c>
      <c r="Z2306" s="205">
        <v>3.3678873964433365E-2</v>
      </c>
      <c r="AA2306" s="207">
        <v>3.3639907668749913E-2</v>
      </c>
    </row>
    <row r="2307" spans="19:27" x14ac:dyDescent="0.2">
      <c r="S2307" s="165"/>
      <c r="T2307" s="166"/>
      <c r="W2307" s="199" t="str">
        <f t="shared" si="44"/>
        <v>1w</v>
      </c>
      <c r="X2307" s="200">
        <f>_xll.qlCalendarAdvance(Calendar,X2306,W2307,"f",FALSE)</f>
        <v>55003</v>
      </c>
      <c r="Y2307" s="204">
        <f>_xll.qlCalendarAdvance(Calendar,X2307,NDays&amp;"D")</f>
        <v>55005</v>
      </c>
      <c r="Z2307" s="205">
        <v>3.3671132246730628E-2</v>
      </c>
      <c r="AA2307" s="207">
        <v>3.3633298232631503E-2</v>
      </c>
    </row>
    <row r="2308" spans="19:27" x14ac:dyDescent="0.2">
      <c r="S2308" s="165"/>
      <c r="T2308" s="166"/>
      <c r="W2308" s="199" t="str">
        <f t="shared" si="44"/>
        <v>1w</v>
      </c>
      <c r="X2308" s="200">
        <f>_xll.qlCalendarAdvance(Calendar,X2307,W2308,"f",FALSE)</f>
        <v>55010</v>
      </c>
      <c r="Y2308" s="204">
        <f>_xll.qlCalendarAdvance(Calendar,X2308,NDays&amp;"D")</f>
        <v>55012</v>
      </c>
      <c r="Z2308" s="205">
        <v>3.3663384377958828E-2</v>
      </c>
      <c r="AA2308" s="207">
        <v>3.3626680250069541E-2</v>
      </c>
    </row>
    <row r="2309" spans="19:27" x14ac:dyDescent="0.2">
      <c r="S2309" s="165"/>
      <c r="T2309" s="166"/>
      <c r="W2309" s="199" t="str">
        <f t="shared" si="44"/>
        <v>1w</v>
      </c>
      <c r="X2309" s="200">
        <f>_xll.qlCalendarAdvance(Calendar,X2308,W2309,"f",FALSE)</f>
        <v>55017</v>
      </c>
      <c r="Y2309" s="204">
        <f>_xll.qlCalendarAdvance(Calendar,X2309,NDays&amp;"D")</f>
        <v>55019</v>
      </c>
      <c r="Z2309" s="205">
        <v>3.3656725794661189E-2</v>
      </c>
      <c r="AA2309" s="207">
        <v>3.3620053721223897E-2</v>
      </c>
    </row>
    <row r="2310" spans="19:27" x14ac:dyDescent="0.2">
      <c r="S2310" s="165"/>
      <c r="T2310" s="166"/>
      <c r="W2310" s="199" t="str">
        <f t="shared" si="44"/>
        <v>1w</v>
      </c>
      <c r="X2310" s="200">
        <f>_xll.qlCalendarAdvance(Calendar,X2309,W2310,"f",FALSE)</f>
        <v>55024</v>
      </c>
      <c r="Y2310" s="204">
        <f>_xll.qlCalendarAdvance(Calendar,X2310,NDays&amp;"D")</f>
        <v>55026</v>
      </c>
      <c r="Z2310" s="205">
        <v>3.365005864463945E-2</v>
      </c>
      <c r="AA2310" s="207">
        <v>3.3612470080228718E-2</v>
      </c>
    </row>
    <row r="2311" spans="19:27" x14ac:dyDescent="0.2">
      <c r="S2311" s="165"/>
      <c r="T2311" s="166"/>
      <c r="W2311" s="199" t="str">
        <f t="shared" si="44"/>
        <v>1w</v>
      </c>
      <c r="X2311" s="200">
        <f>_xll.qlCalendarAdvance(Calendar,X2310,W2311,"f",FALSE)</f>
        <v>55031</v>
      </c>
      <c r="Y2311" s="204">
        <f>_xll.qlCalendarAdvance(Calendar,X2311,NDays&amp;"D")</f>
        <v>55033</v>
      </c>
      <c r="Z2311" s="205">
        <v>3.3643382927909068E-2</v>
      </c>
      <c r="AA2311" s="207">
        <v>3.3606775024122015E-2</v>
      </c>
    </row>
    <row r="2312" spans="19:27" x14ac:dyDescent="0.2">
      <c r="S2312" s="165"/>
      <c r="T2312" s="166"/>
      <c r="W2312" s="199" t="str">
        <f t="shared" si="44"/>
        <v>1w</v>
      </c>
      <c r="X2312" s="200">
        <f>_xll.qlCalendarAdvance(Calendar,X2311,W2312,"f",FALSE)</f>
        <v>55038</v>
      </c>
      <c r="Y2312" s="204">
        <f>_xll.qlCalendarAdvance(Calendar,X2312,NDays&amp;"D")</f>
        <v>55040</v>
      </c>
      <c r="Z2312" s="205">
        <v>3.363779032499209E-2</v>
      </c>
      <c r="AA2312" s="207">
        <v>3.3600122855785841E-2</v>
      </c>
    </row>
    <row r="2313" spans="19:27" x14ac:dyDescent="0.2">
      <c r="S2313" s="165"/>
      <c r="T2313" s="166"/>
      <c r="W2313" s="199" t="str">
        <f t="shared" si="44"/>
        <v>1w</v>
      </c>
      <c r="X2313" s="200">
        <f>_xll.qlCalendarAdvance(Calendar,X2312,W2313,"f",FALSE)</f>
        <v>55045</v>
      </c>
      <c r="Y2313" s="204">
        <f>_xll.qlCalendarAdvance(Calendar,X2313,NDays&amp;"D")</f>
        <v>55047</v>
      </c>
      <c r="Z2313" s="205">
        <v>3.3630005794361095E-2</v>
      </c>
      <c r="AA2313" s="207">
        <v>3.3593462141165986E-2</v>
      </c>
    </row>
    <row r="2314" spans="19:27" x14ac:dyDescent="0.2">
      <c r="S2314" s="165"/>
      <c r="T2314" s="166"/>
      <c r="W2314" s="199" t="str">
        <f t="shared" si="44"/>
        <v>1w</v>
      </c>
      <c r="X2314" s="200">
        <f>_xll.qlCalendarAdvance(Calendar,X2313,W2314,"f",FALSE)</f>
        <v>55052</v>
      </c>
      <c r="Y2314" s="204">
        <f>_xll.qlCalendarAdvance(Calendar,X2314,NDays&amp;"D")</f>
        <v>55054</v>
      </c>
      <c r="Z2314" s="205">
        <v>3.3623304377574444E-2</v>
      </c>
      <c r="AA2314" s="207">
        <v>3.3586792880022642E-2</v>
      </c>
    </row>
    <row r="2315" spans="19:27" x14ac:dyDescent="0.2">
      <c r="S2315" s="165"/>
      <c r="T2315" s="166"/>
      <c r="W2315" s="199" t="str">
        <f t="shared" si="44"/>
        <v>1w</v>
      </c>
      <c r="X2315" s="200">
        <f>_xll.qlCalendarAdvance(Calendar,X2314,W2315,"f",FALSE)</f>
        <v>55059</v>
      </c>
      <c r="Y2315" s="204">
        <f>_xll.qlCalendarAdvance(Calendar,X2315,NDays&amp;"D")</f>
        <v>55061</v>
      </c>
      <c r="Z2315" s="205">
        <v>3.361659439414362E-2</v>
      </c>
      <c r="AA2315" s="207">
        <v>3.3580115072275873E-2</v>
      </c>
    </row>
    <row r="2316" spans="19:27" x14ac:dyDescent="0.2">
      <c r="S2316" s="165"/>
      <c r="T2316" s="166"/>
      <c r="W2316" s="199" t="str">
        <f t="shared" si="44"/>
        <v>1w</v>
      </c>
      <c r="X2316" s="200">
        <f>_xll.qlCalendarAdvance(Calendar,X2315,W2316,"f",FALSE)</f>
        <v>55066</v>
      </c>
      <c r="Y2316" s="204">
        <f>_xll.qlCalendarAdvance(Calendar,X2316,NDays&amp;"D")</f>
        <v>55068</v>
      </c>
      <c r="Z2316" s="205">
        <v>3.3609875844068632E-2</v>
      </c>
      <c r="AA2316" s="207">
        <v>3.357342871832536E-2</v>
      </c>
    </row>
    <row r="2317" spans="19:27" x14ac:dyDescent="0.2">
      <c r="S2317" s="165"/>
      <c r="T2317" s="166"/>
      <c r="W2317" s="199" t="str">
        <f t="shared" si="44"/>
        <v>1w</v>
      </c>
      <c r="X2317" s="200">
        <f>_xll.qlCalendarAdvance(Calendar,X2316,W2317,"f",FALSE)</f>
        <v>55073</v>
      </c>
      <c r="Y2317" s="204">
        <f>_xll.qlCalendarAdvance(Calendar,X2317,NDays&amp;"D")</f>
        <v>55075</v>
      </c>
      <c r="Z2317" s="205">
        <v>3.3603148727375264E-2</v>
      </c>
      <c r="AA2317" s="207">
        <v>3.3566733817771421E-2</v>
      </c>
    </row>
    <row r="2318" spans="19:27" x14ac:dyDescent="0.2">
      <c r="S2318" s="165"/>
      <c r="T2318" s="166"/>
      <c r="W2318" s="199" t="str">
        <f t="shared" si="44"/>
        <v>1w</v>
      </c>
      <c r="X2318" s="200">
        <f>_xll.qlCalendarAdvance(Calendar,X2317,W2318,"f",FALSE)</f>
        <v>55080</v>
      </c>
      <c r="Y2318" s="204">
        <f>_xll.qlCalendarAdvance(Calendar,X2318,NDays&amp;"D")</f>
        <v>55082</v>
      </c>
      <c r="Z2318" s="205">
        <v>3.3596413044068664E-2</v>
      </c>
      <c r="AA2318" s="207">
        <v>3.3560030370853866E-2</v>
      </c>
    </row>
    <row r="2319" spans="19:27" x14ac:dyDescent="0.2">
      <c r="S2319" s="165"/>
      <c r="T2319" s="166"/>
      <c r="W2319" s="199" t="str">
        <f t="shared" si="44"/>
        <v>1w</v>
      </c>
      <c r="X2319" s="200">
        <f>_xll.qlCalendarAdvance(Calendar,X2318,W2319,"f",FALSE)</f>
        <v>55087</v>
      </c>
      <c r="Y2319" s="204">
        <f>_xll.qlCalendarAdvance(Calendar,X2319,NDays&amp;"D")</f>
        <v>55089</v>
      </c>
      <c r="Z2319" s="205">
        <v>3.3589668794169469E-2</v>
      </c>
      <c r="AA2319" s="207">
        <v>3.3553318377412822E-2</v>
      </c>
    </row>
    <row r="2320" spans="19:27" x14ac:dyDescent="0.2">
      <c r="S2320" s="165"/>
      <c r="T2320" s="166"/>
      <c r="W2320" s="199" t="str">
        <f t="shared" si="44"/>
        <v>1w</v>
      </c>
      <c r="X2320" s="200">
        <f>_xll.qlCalendarAdvance(Calendar,X2319,W2320,"f",FALSE)</f>
        <v>55094</v>
      </c>
      <c r="Y2320" s="204">
        <f>_xll.qlCalendarAdvance(Calendar,X2320,NDays&amp;"D")</f>
        <v>55096</v>
      </c>
      <c r="Z2320" s="205">
        <v>3.3582915977690572E-2</v>
      </c>
      <c r="AA2320" s="207">
        <v>3.3546597837768033E-2</v>
      </c>
    </row>
    <row r="2321" spans="19:27" x14ac:dyDescent="0.2">
      <c r="S2321" s="165"/>
      <c r="T2321" s="166"/>
      <c r="W2321" s="199" t="str">
        <f t="shared" si="44"/>
        <v>1w</v>
      </c>
      <c r="X2321" s="200">
        <f>_xll.qlCalendarAdvance(Calendar,X2320,W2321,"f",FALSE)</f>
        <v>55101</v>
      </c>
      <c r="Y2321" s="204">
        <f>_xll.qlCalendarAdvance(Calendar,X2321,NDays&amp;"D")</f>
        <v>55103</v>
      </c>
      <c r="Z2321" s="205">
        <v>3.3572174188706505E-2</v>
      </c>
      <c r="AA2321" s="207">
        <v>3.3539868751519819E-2</v>
      </c>
    </row>
    <row r="2322" spans="19:27" x14ac:dyDescent="0.2">
      <c r="S2322" s="165"/>
      <c r="T2322" s="166"/>
      <c r="W2322" s="199" t="str">
        <f t="shared" si="44"/>
        <v>1w</v>
      </c>
      <c r="X2322" s="200">
        <f>_xll.qlCalendarAdvance(Calendar,X2321,W2322,"f",FALSE)</f>
        <v>55108</v>
      </c>
      <c r="Y2322" s="204">
        <f>_xll.qlCalendarAdvance(Calendar,X2322,NDays&amp;"D")</f>
        <v>55110</v>
      </c>
      <c r="Z2322" s="205">
        <v>3.3569384645065869E-2</v>
      </c>
      <c r="AA2322" s="207">
        <v>3.3533131118588244E-2</v>
      </c>
    </row>
    <row r="2323" spans="19:27" x14ac:dyDescent="0.2">
      <c r="S2323" s="165"/>
      <c r="T2323" s="166"/>
      <c r="W2323" s="199" t="str">
        <f t="shared" si="44"/>
        <v>1w</v>
      </c>
      <c r="X2323" s="200">
        <f>_xll.qlCalendarAdvance(Calendar,X2322,W2323,"f",FALSE)</f>
        <v>55115</v>
      </c>
      <c r="Y2323" s="204">
        <f>_xll.qlCalendarAdvance(Calendar,X2323,NDays&amp;"D")</f>
        <v>55117</v>
      </c>
      <c r="Z2323" s="205">
        <v>3.3564762164429017E-2</v>
      </c>
      <c r="AA2323" s="207">
        <v>3.3526384939612797E-2</v>
      </c>
    </row>
    <row r="2324" spans="19:27" x14ac:dyDescent="0.2">
      <c r="S2324" s="165"/>
      <c r="T2324" s="166"/>
      <c r="W2324" s="199" t="str">
        <f t="shared" si="44"/>
        <v>1w</v>
      </c>
      <c r="X2324" s="200">
        <f>_xll.qlCalendarAdvance(Calendar,X2323,W2324,"f",FALSE)</f>
        <v>55122</v>
      </c>
      <c r="Y2324" s="204">
        <f>_xll.qlCalendarAdvance(Calendar,X2324,NDays&amp;"D")</f>
        <v>55124</v>
      </c>
      <c r="Z2324" s="205">
        <v>3.3556895846069135E-2</v>
      </c>
      <c r="AA2324" s="207">
        <v>3.3519630214033924E-2</v>
      </c>
    </row>
    <row r="2325" spans="19:27" x14ac:dyDescent="0.2">
      <c r="S2325" s="165"/>
      <c r="T2325" s="166"/>
      <c r="W2325" s="199" t="str">
        <f t="shared" ref="W2325:W2388" si="45">W2324</f>
        <v>1w</v>
      </c>
      <c r="X2325" s="200">
        <f>_xll.qlCalendarAdvance(Calendar,X2324,W2325,"f",FALSE)</f>
        <v>55129</v>
      </c>
      <c r="Y2325" s="204">
        <f>_xll.qlCalendarAdvance(Calendar,X2325,NDays&amp;"D")</f>
        <v>55131</v>
      </c>
      <c r="Z2325" s="205">
        <v>3.3549023397147187E-2</v>
      </c>
      <c r="AA2325" s="207">
        <v>3.3512866942091435E-2</v>
      </c>
    </row>
    <row r="2326" spans="19:27" x14ac:dyDescent="0.2">
      <c r="S2326" s="165"/>
      <c r="T2326" s="166"/>
      <c r="W2326" s="199" t="str">
        <f t="shared" si="45"/>
        <v>1w</v>
      </c>
      <c r="X2326" s="200">
        <f>_xll.qlCalendarAdvance(Calendar,X2325,W2326,"f",FALSE)</f>
        <v>55136</v>
      </c>
      <c r="Y2326" s="204">
        <f>_xll.qlCalendarAdvance(Calendar,X2326,NDays&amp;"D")</f>
        <v>55138</v>
      </c>
      <c r="Z2326" s="205">
        <v>3.3543293491786197E-2</v>
      </c>
      <c r="AA2326" s="207">
        <v>3.3506095123545521E-2</v>
      </c>
    </row>
    <row r="2327" spans="19:27" x14ac:dyDescent="0.2">
      <c r="S2327" s="165"/>
      <c r="T2327" s="166"/>
      <c r="W2327" s="199" t="str">
        <f t="shared" si="45"/>
        <v>1w</v>
      </c>
      <c r="X2327" s="200">
        <f>_xll.qlCalendarAdvance(Calendar,X2326,W2327,"f",FALSE)</f>
        <v>55143</v>
      </c>
      <c r="Y2327" s="204">
        <f>_xll.qlCalendarAdvance(Calendar,X2327,NDays&amp;"D")</f>
        <v>55145</v>
      </c>
      <c r="Z2327" s="205">
        <v>3.3535406399406192E-2</v>
      </c>
      <c r="AA2327" s="207">
        <v>3.3497375941848873E-2</v>
      </c>
    </row>
    <row r="2328" spans="19:27" x14ac:dyDescent="0.2">
      <c r="S2328" s="165"/>
      <c r="T2328" s="166"/>
      <c r="W2328" s="199" t="str">
        <f t="shared" si="45"/>
        <v>1w</v>
      </c>
      <c r="X2328" s="200">
        <f>_xll.qlCalendarAdvance(Calendar,X2327,W2328,"f",FALSE)</f>
        <v>55150</v>
      </c>
      <c r="Y2328" s="204">
        <f>_xll.qlCalendarAdvance(Calendar,X2328,NDays&amp;"D")</f>
        <v>55152</v>
      </c>
      <c r="Z2328" s="205">
        <v>3.352965686893028E-2</v>
      </c>
      <c r="AA2328" s="207">
        <v>3.349155530515624E-2</v>
      </c>
    </row>
    <row r="2329" spans="19:27" x14ac:dyDescent="0.2">
      <c r="S2329" s="165"/>
      <c r="T2329" s="166"/>
      <c r="W2329" s="199" t="str">
        <f t="shared" si="45"/>
        <v>1w</v>
      </c>
      <c r="X2329" s="200">
        <f>_xll.qlCalendarAdvance(Calendar,X2328,W2329,"f",FALSE)</f>
        <v>55157</v>
      </c>
      <c r="Y2329" s="204">
        <f>_xll.qlCalendarAdvance(Calendar,X2329,NDays&amp;"D")</f>
        <v>55159</v>
      </c>
      <c r="Z2329" s="205">
        <v>3.3521755135823415E-2</v>
      </c>
      <c r="AA2329" s="207">
        <v>3.3485728389566205E-2</v>
      </c>
    </row>
    <row r="2330" spans="19:27" x14ac:dyDescent="0.2">
      <c r="S2330" s="165"/>
      <c r="T2330" s="166"/>
      <c r="W2330" s="199" t="str">
        <f t="shared" si="45"/>
        <v>1w</v>
      </c>
      <c r="X2330" s="200">
        <f>_xll.qlCalendarAdvance(Calendar,X2329,W2330,"f",FALSE)</f>
        <v>55164</v>
      </c>
      <c r="Y2330" s="204">
        <f>_xll.qlCalendarAdvance(Calendar,X2330,NDays&amp;"D")</f>
        <v>55166</v>
      </c>
      <c r="Z2330" s="205">
        <v>3.3514916654382942E-2</v>
      </c>
      <c r="AA2330" s="207">
        <v>3.3478922385326015E-2</v>
      </c>
    </row>
    <row r="2331" spans="19:27" x14ac:dyDescent="0.2">
      <c r="S2331" s="165"/>
      <c r="T2331" s="166"/>
      <c r="W2331" s="199" t="str">
        <f t="shared" si="45"/>
        <v>1w</v>
      </c>
      <c r="X2331" s="200">
        <f>_xll.qlCalendarAdvance(Calendar,X2330,W2331,"f",FALSE)</f>
        <v>55171</v>
      </c>
      <c r="Y2331" s="204">
        <f>_xll.qlCalendarAdvance(Calendar,X2331,NDays&amp;"D")</f>
        <v>55173</v>
      </c>
      <c r="Z2331" s="205">
        <v>3.3509137681361212E-2</v>
      </c>
      <c r="AA2331" s="207">
        <v>3.3472107834722209E-2</v>
      </c>
    </row>
    <row r="2332" spans="19:27" x14ac:dyDescent="0.2">
      <c r="S2332" s="165"/>
      <c r="T2332" s="166"/>
      <c r="W2332" s="199" t="str">
        <f t="shared" si="45"/>
        <v>1w</v>
      </c>
      <c r="X2332" s="200">
        <f>_xll.qlCalendarAdvance(Calendar,X2331,W2332,"f",FALSE)</f>
        <v>55178</v>
      </c>
      <c r="Y2332" s="204">
        <f>_xll.qlCalendarAdvance(Calendar,X2332,NDays&amp;"D")</f>
        <v>55180</v>
      </c>
      <c r="Z2332" s="205">
        <v>3.3501213992276027E-2</v>
      </c>
      <c r="AA2332" s="207">
        <v>3.346528473767485E-2</v>
      </c>
    </row>
    <row r="2333" spans="19:27" x14ac:dyDescent="0.2">
      <c r="S2333" s="165"/>
      <c r="T2333" s="166"/>
      <c r="W2333" s="199" t="str">
        <f t="shared" si="45"/>
        <v>1w</v>
      </c>
      <c r="X2333" s="200">
        <f>_xll.qlCalendarAdvance(Calendar,X2332,W2333,"f",FALSE)</f>
        <v>55185</v>
      </c>
      <c r="Y2333" s="204">
        <f>_xll.qlCalendarAdvance(Calendar,X2333,NDays&amp;"D")</f>
        <v>55187</v>
      </c>
      <c r="Z2333" s="205">
        <v>3.3491152765200587E-2</v>
      </c>
      <c r="AA2333" s="207">
        <v>3.3458453094183938E-2</v>
      </c>
    </row>
    <row r="2334" spans="19:27" x14ac:dyDescent="0.2">
      <c r="S2334" s="165"/>
      <c r="T2334" s="166"/>
      <c r="W2334" s="199" t="str">
        <f t="shared" si="45"/>
        <v>1w</v>
      </c>
      <c r="X2334" s="200">
        <f>_xll.qlCalendarAdvance(Calendar,X2333,W2334,"f",FALSE)</f>
        <v>55192</v>
      </c>
      <c r="Y2334" s="204">
        <f>_xll.qlCalendarAdvance(Calendar,X2334,NDays&amp;"D")</f>
        <v>55194</v>
      </c>
      <c r="Z2334" s="205">
        <v>3.3484283768511994E-2</v>
      </c>
      <c r="AA2334" s="207">
        <v>3.3451612904169536E-2</v>
      </c>
    </row>
    <row r="2335" spans="19:27" x14ac:dyDescent="0.2">
      <c r="S2335" s="165"/>
      <c r="T2335" s="166"/>
      <c r="W2335" s="199" t="str">
        <f t="shared" si="45"/>
        <v>1w</v>
      </c>
      <c r="X2335" s="200">
        <f>_xll.qlCalendarAdvance(Calendar,X2334,W2335,"f",FALSE)</f>
        <v>55199</v>
      </c>
      <c r="Y2335" s="204">
        <f>_xll.qlCalendarAdvance(Calendar,X2335,NDays&amp;"D")</f>
        <v>55201</v>
      </c>
      <c r="Z2335" s="205">
        <v>3.3477406207459898E-2</v>
      </c>
      <c r="AA2335" s="207">
        <v>3.3444764167871455E-2</v>
      </c>
    </row>
    <row r="2336" spans="19:27" x14ac:dyDescent="0.2">
      <c r="S2336" s="165"/>
      <c r="T2336" s="166"/>
      <c r="W2336" s="199" t="str">
        <f t="shared" si="45"/>
        <v>1w</v>
      </c>
      <c r="X2336" s="200">
        <f>_xll.qlCalendarAdvance(Calendar,X2335,W2336,"f",FALSE)</f>
        <v>55206</v>
      </c>
      <c r="Y2336" s="204">
        <f>_xll.qlCalendarAdvance(Calendar,X2336,NDays&amp;"D")</f>
        <v>55208</v>
      </c>
      <c r="Z2336" s="205">
        <v>3.347052008205572E-2</v>
      </c>
      <c r="AA2336" s="207">
        <v>3.3437906885049884E-2</v>
      </c>
    </row>
    <row r="2337" spans="19:27" x14ac:dyDescent="0.2">
      <c r="S2337" s="165"/>
      <c r="T2337" s="166"/>
      <c r="W2337" s="199" t="str">
        <f t="shared" si="45"/>
        <v>1w</v>
      </c>
      <c r="X2337" s="200">
        <f>_xll.qlCalendarAdvance(Calendar,X2336,W2337,"f",FALSE)</f>
        <v>55213</v>
      </c>
      <c r="Y2337" s="204">
        <f>_xll.qlCalendarAdvance(Calendar,X2337,NDays&amp;"D")</f>
        <v>55215</v>
      </c>
      <c r="Z2337" s="205">
        <v>3.3467867995929657E-2</v>
      </c>
      <c r="AA2337" s="207">
        <v>3.3431041055704824E-2</v>
      </c>
    </row>
    <row r="2338" spans="19:27" x14ac:dyDescent="0.2">
      <c r="S2338" s="165"/>
      <c r="T2338" s="166"/>
      <c r="W2338" s="199" t="str">
        <f t="shared" si="45"/>
        <v>1w</v>
      </c>
      <c r="X2338" s="200">
        <f>_xll.qlCalendarAdvance(Calendar,X2337,W2338,"f",FALSE)</f>
        <v>55220</v>
      </c>
      <c r="Y2338" s="204">
        <f>_xll.qlCalendarAdvance(Calendar,X2338,NDays&amp;"D")</f>
        <v>55222</v>
      </c>
      <c r="Z2338" s="205">
        <v>3.3459900413235641E-2</v>
      </c>
      <c r="AA2338" s="207">
        <v>3.342416668015602E-2</v>
      </c>
    </row>
    <row r="2339" spans="19:27" x14ac:dyDescent="0.2">
      <c r="S2339" s="165"/>
      <c r="T2339" s="166"/>
      <c r="W2339" s="199" t="str">
        <f t="shared" si="45"/>
        <v>1w</v>
      </c>
      <c r="X2339" s="200">
        <f>_xll.qlCalendarAdvance(Calendar,X2338,W2339,"f",FALSE)</f>
        <v>55227</v>
      </c>
      <c r="Y2339" s="204">
        <f>_xll.qlCalendarAdvance(Calendar,X2339,NDays&amp;"D")</f>
        <v>55229</v>
      </c>
      <c r="Z2339" s="205">
        <v>3.3452984834620073E-2</v>
      </c>
      <c r="AA2339" s="207">
        <v>3.3417283758083727E-2</v>
      </c>
    </row>
    <row r="2340" spans="19:27" x14ac:dyDescent="0.2">
      <c r="S2340" s="165"/>
      <c r="T2340" s="166"/>
      <c r="W2340" s="199" t="str">
        <f t="shared" si="45"/>
        <v>1w</v>
      </c>
      <c r="X2340" s="200">
        <f>_xll.qlCalendarAdvance(Calendar,X2339,W2340,"f",FALSE)</f>
        <v>55234</v>
      </c>
      <c r="Y2340" s="204">
        <f>_xll.qlCalendarAdvance(Calendar,X2340,NDays&amp;"D")</f>
        <v>55236</v>
      </c>
      <c r="Z2340" s="205">
        <v>3.3446060689723917E-2</v>
      </c>
      <c r="AA2340" s="207">
        <v>3.3410392289408009E-2</v>
      </c>
    </row>
    <row r="2341" spans="19:27" x14ac:dyDescent="0.2">
      <c r="S2341" s="165"/>
      <c r="T2341" s="166"/>
      <c r="W2341" s="199" t="str">
        <f t="shared" si="45"/>
        <v>1w</v>
      </c>
      <c r="X2341" s="200">
        <f>_xll.qlCalendarAdvance(Calendar,X2340,W2341,"f",FALSE)</f>
        <v>55241</v>
      </c>
      <c r="Y2341" s="204">
        <f>_xll.qlCalendarAdvance(Calendar,X2341,NDays&amp;"D")</f>
        <v>55247</v>
      </c>
      <c r="Z2341" s="205">
        <v>3.3434107692180248E-2</v>
      </c>
      <c r="AA2341" s="207">
        <v>3.3401519271807345E-2</v>
      </c>
    </row>
    <row r="2342" spans="19:27" x14ac:dyDescent="0.2">
      <c r="S2342" s="165"/>
      <c r="T2342" s="166"/>
      <c r="W2342" s="199" t="str">
        <f t="shared" si="45"/>
        <v>1w</v>
      </c>
      <c r="X2342" s="200">
        <f>_xll.qlCalendarAdvance(Calendar,X2341,W2342,"f",FALSE)</f>
        <v>55248</v>
      </c>
      <c r="Y2342" s="204">
        <f>_xll.qlCalendarAdvance(Calendar,X2342,NDays&amp;"D")</f>
        <v>55250</v>
      </c>
      <c r="Z2342" s="205">
        <v>3.3432186701162034E-2</v>
      </c>
      <c r="AA2342" s="207">
        <v>3.3396583713045658E-2</v>
      </c>
    </row>
    <row r="2343" spans="19:27" x14ac:dyDescent="0.2">
      <c r="S2343" s="165"/>
      <c r="T2343" s="166"/>
      <c r="W2343" s="199" t="str">
        <f t="shared" si="45"/>
        <v>1w</v>
      </c>
      <c r="X2343" s="200">
        <f>_xll.qlCalendarAdvance(Calendar,X2342,W2343,"f",FALSE)</f>
        <v>55255</v>
      </c>
      <c r="Y2343" s="204">
        <f>_xll.qlCalendarAdvance(Calendar,X2343,NDays&amp;"D")</f>
        <v>55257</v>
      </c>
      <c r="Z2343" s="205">
        <v>3.3425236857529836E-2</v>
      </c>
      <c r="AA2343" s="207">
        <v>3.3389666605199153E-2</v>
      </c>
    </row>
    <row r="2344" spans="19:27" x14ac:dyDescent="0.2">
      <c r="S2344" s="165"/>
      <c r="T2344" s="166"/>
      <c r="W2344" s="199" t="str">
        <f t="shared" si="45"/>
        <v>1w</v>
      </c>
      <c r="X2344" s="200">
        <f>_xll.qlCalendarAdvance(Calendar,X2343,W2344,"f",FALSE)</f>
        <v>55262</v>
      </c>
      <c r="Y2344" s="204">
        <f>_xll.qlCalendarAdvance(Calendar,X2344,NDays&amp;"D")</f>
        <v>55264</v>
      </c>
      <c r="Z2344" s="205">
        <v>3.3418278447678931E-2</v>
      </c>
      <c r="AA2344" s="207">
        <v>3.3382740950829159E-2</v>
      </c>
    </row>
    <row r="2345" spans="19:27" x14ac:dyDescent="0.2">
      <c r="S2345" s="165"/>
      <c r="T2345" s="166"/>
      <c r="W2345" s="199" t="str">
        <f t="shared" si="45"/>
        <v>1w</v>
      </c>
      <c r="X2345" s="200">
        <f>_xll.qlCalendarAdvance(Calendar,X2344,W2345,"f",FALSE)</f>
        <v>55269</v>
      </c>
      <c r="Y2345" s="204">
        <f>_xll.qlCalendarAdvance(Calendar,X2345,NDays&amp;"D")</f>
        <v>55271</v>
      </c>
      <c r="Z2345" s="205">
        <v>3.3413412471371924E-2</v>
      </c>
      <c r="AA2345" s="207">
        <v>3.3374815452331674E-2</v>
      </c>
    </row>
    <row r="2346" spans="19:27" x14ac:dyDescent="0.2">
      <c r="S2346" s="165"/>
      <c r="T2346" s="166"/>
      <c r="W2346" s="199" t="str">
        <f t="shared" si="45"/>
        <v>1w</v>
      </c>
      <c r="X2346" s="200">
        <f>_xll.qlCalendarAdvance(Calendar,X2345,W2346,"f",FALSE)</f>
        <v>55276</v>
      </c>
      <c r="Y2346" s="204">
        <f>_xll.qlCalendarAdvance(Calendar,X2346,NDays&amp;"D")</f>
        <v>55278</v>
      </c>
      <c r="Z2346" s="205">
        <v>3.3404335929393222E-2</v>
      </c>
      <c r="AA2346" s="207">
        <v>3.3368864003158194E-2</v>
      </c>
    </row>
    <row r="2347" spans="19:27" x14ac:dyDescent="0.2">
      <c r="S2347" s="165"/>
      <c r="T2347" s="166"/>
      <c r="W2347" s="199" t="str">
        <f t="shared" si="45"/>
        <v>1w</v>
      </c>
      <c r="X2347" s="200">
        <f>_xll.qlCalendarAdvance(Calendar,X2346,W2347,"f",FALSE)</f>
        <v>55283</v>
      </c>
      <c r="Y2347" s="204">
        <f>_xll.qlCalendarAdvance(Calendar,X2347,NDays&amp;"D")</f>
        <v>55285</v>
      </c>
      <c r="Z2347" s="205">
        <v>3.3397351820989359E-2</v>
      </c>
      <c r="AA2347" s="207">
        <v>3.3361912709537478E-2</v>
      </c>
    </row>
    <row r="2348" spans="19:27" x14ac:dyDescent="0.2">
      <c r="S2348" s="165"/>
      <c r="T2348" s="166"/>
      <c r="W2348" s="199" t="str">
        <f t="shared" si="45"/>
        <v>1w</v>
      </c>
      <c r="X2348" s="200">
        <f>_xll.qlCalendarAdvance(Calendar,X2347,W2348,"f",FALSE)</f>
        <v>55290</v>
      </c>
      <c r="Y2348" s="204">
        <f>_xll.qlCalendarAdvance(Calendar,X2348,NDays&amp;"D")</f>
        <v>55292</v>
      </c>
      <c r="Z2348" s="205">
        <v>3.3390359146428676E-2</v>
      </c>
      <c r="AA2348" s="207">
        <v>3.3354952869473209E-2</v>
      </c>
    </row>
    <row r="2349" spans="19:27" x14ac:dyDescent="0.2">
      <c r="S2349" s="165"/>
      <c r="T2349" s="166"/>
      <c r="W2349" s="199" t="str">
        <f t="shared" si="45"/>
        <v>1w</v>
      </c>
      <c r="X2349" s="200">
        <f>_xll.qlCalendarAdvance(Calendar,X2348,W2349,"f",FALSE)</f>
        <v>55297</v>
      </c>
      <c r="Y2349" s="204">
        <f>_xll.qlCalendarAdvance(Calendar,X2349,NDays&amp;"D")</f>
        <v>55299</v>
      </c>
      <c r="Z2349" s="205">
        <v>3.3383357905731811E-2</v>
      </c>
      <c r="AA2349" s="207">
        <v>3.3346988301667935E-2</v>
      </c>
    </row>
    <row r="2350" spans="19:27" x14ac:dyDescent="0.2">
      <c r="S2350" s="165"/>
      <c r="T2350" s="166"/>
      <c r="W2350" s="199" t="str">
        <f t="shared" si="45"/>
        <v>1w</v>
      </c>
      <c r="X2350" s="200">
        <f>_xll.qlCalendarAdvance(Calendar,X2349,W2350,"f",FALSE)</f>
        <v>55304</v>
      </c>
      <c r="Y2350" s="204">
        <f>_xll.qlCalendarAdvance(Calendar,X2350,NDays&amp;"D")</f>
        <v>55306</v>
      </c>
      <c r="Z2350" s="205">
        <v>3.3376348098909069E-2</v>
      </c>
      <c r="AA2350" s="207">
        <v>3.3341007550253821E-2</v>
      </c>
    </row>
    <row r="2351" spans="19:27" x14ac:dyDescent="0.2">
      <c r="S2351" s="165"/>
      <c r="T2351" s="166"/>
      <c r="W2351" s="199" t="str">
        <f t="shared" si="45"/>
        <v>1w</v>
      </c>
      <c r="X2351" s="200">
        <f>_xll.qlCalendarAdvance(Calendar,X2350,W2351,"f",FALSE)</f>
        <v>55311</v>
      </c>
      <c r="Y2351" s="204">
        <f>_xll.qlCalendarAdvance(Calendar,X2351,NDays&amp;"D")</f>
        <v>55313</v>
      </c>
      <c r="Z2351" s="205">
        <v>3.3369329725978503E-2</v>
      </c>
      <c r="AA2351" s="207">
        <v>3.3334022070858893E-2</v>
      </c>
    </row>
    <row r="2352" spans="19:27" x14ac:dyDescent="0.2">
      <c r="S2352" s="165"/>
      <c r="T2352" s="166"/>
      <c r="W2352" s="199" t="str">
        <f t="shared" si="45"/>
        <v>1w</v>
      </c>
      <c r="X2352" s="200">
        <f>_xll.qlCalendarAdvance(Calendar,X2351,W2352,"f",FALSE)</f>
        <v>55318</v>
      </c>
      <c r="Y2352" s="204">
        <f>_xll.qlCalendarAdvance(Calendar,X2352,NDays&amp;"D")</f>
        <v>55320</v>
      </c>
      <c r="Z2352" s="205">
        <v>3.3362302786955587E-2</v>
      </c>
      <c r="AA2352" s="207">
        <v>3.3327028045180285E-2</v>
      </c>
    </row>
    <row r="2353" spans="19:27" x14ac:dyDescent="0.2">
      <c r="S2353" s="165"/>
      <c r="T2353" s="166"/>
      <c r="W2353" s="199" t="str">
        <f t="shared" si="45"/>
        <v>1w</v>
      </c>
      <c r="X2353" s="200">
        <f>_xll.qlCalendarAdvance(Calendar,X2352,W2353,"f",FALSE)</f>
        <v>55325</v>
      </c>
      <c r="Y2353" s="204">
        <f>_xll.qlCalendarAdvance(Calendar,X2353,NDays&amp;"D")</f>
        <v>55327</v>
      </c>
      <c r="Z2353" s="205">
        <v>3.3355267281860945E-2</v>
      </c>
      <c r="AA2353" s="207">
        <v>3.332002547313806E-2</v>
      </c>
    </row>
    <row r="2354" spans="19:27" x14ac:dyDescent="0.2">
      <c r="S2354" s="165"/>
      <c r="T2354" s="166"/>
      <c r="W2354" s="199" t="str">
        <f t="shared" si="45"/>
        <v>1w</v>
      </c>
      <c r="X2354" s="200">
        <f>_xll.qlCalendarAdvance(Calendar,X2353,W2354,"f",FALSE)</f>
        <v>55332</v>
      </c>
      <c r="Y2354" s="204">
        <f>_xll.qlCalendarAdvance(Calendar,X2354,NDays&amp;"D")</f>
        <v>55334</v>
      </c>
      <c r="Z2354" s="205">
        <v>3.3348223210699746E-2</v>
      </c>
      <c r="AA2354" s="207">
        <v>3.3313014354652282E-2</v>
      </c>
    </row>
    <row r="2355" spans="19:27" x14ac:dyDescent="0.2">
      <c r="S2355" s="165"/>
      <c r="T2355" s="166"/>
      <c r="W2355" s="199" t="str">
        <f t="shared" si="45"/>
        <v>1w</v>
      </c>
      <c r="X2355" s="200">
        <f>_xll.qlCalendarAdvance(Calendar,X2354,W2355,"f",FALSE)</f>
        <v>55339</v>
      </c>
      <c r="Y2355" s="204">
        <f>_xll.qlCalendarAdvance(Calendar,X2355,NDays&amp;"D")</f>
        <v>55341</v>
      </c>
      <c r="Z2355" s="205">
        <v>3.3341170573495178E-2</v>
      </c>
      <c r="AA2355" s="207">
        <v>3.3305994689483143E-2</v>
      </c>
    </row>
    <row r="2356" spans="19:27" x14ac:dyDescent="0.2">
      <c r="S2356" s="165"/>
      <c r="T2356" s="166"/>
      <c r="W2356" s="199" t="str">
        <f t="shared" si="45"/>
        <v>1w</v>
      </c>
      <c r="X2356" s="200">
        <f>_xll.qlCalendarAdvance(Calendar,X2355,W2356,"f",FALSE)</f>
        <v>55346</v>
      </c>
      <c r="Y2356" s="204">
        <f>_xll.qlCalendarAdvance(Calendar,X2356,NDays&amp;"D")</f>
        <v>55348</v>
      </c>
      <c r="Z2356" s="205">
        <v>3.3334109370257568E-2</v>
      </c>
      <c r="AA2356" s="207">
        <v>3.3298966478190195E-2</v>
      </c>
    </row>
    <row r="2357" spans="19:27" x14ac:dyDescent="0.2">
      <c r="S2357" s="165"/>
      <c r="T2357" s="166"/>
      <c r="W2357" s="199" t="str">
        <f t="shared" si="45"/>
        <v>1w</v>
      </c>
      <c r="X2357" s="200">
        <f>_xll.qlCalendarAdvance(Calendar,X2356,W2357,"f",FALSE)</f>
        <v>55353</v>
      </c>
      <c r="Y2357" s="204">
        <f>_xll.qlCalendarAdvance(Calendar,X2357,NDays&amp;"D")</f>
        <v>55355</v>
      </c>
      <c r="Z2357" s="205">
        <v>3.3327039601012708E-2</v>
      </c>
      <c r="AA2357" s="207">
        <v>3.3291929720373759E-2</v>
      </c>
    </row>
    <row r="2358" spans="19:27" x14ac:dyDescent="0.2">
      <c r="S2358" s="165"/>
      <c r="T2358" s="166"/>
      <c r="W2358" s="199" t="str">
        <f t="shared" si="45"/>
        <v>1w</v>
      </c>
      <c r="X2358" s="200">
        <f>_xll.qlCalendarAdvance(Calendar,X2357,W2358,"f",FALSE)</f>
        <v>55360</v>
      </c>
      <c r="Y2358" s="204">
        <f>_xll.qlCalendarAdvance(Calendar,X2358,NDays&amp;"D")</f>
        <v>55362</v>
      </c>
      <c r="Z2358" s="205">
        <v>3.3320995383482599E-2</v>
      </c>
      <c r="AA2358" s="207">
        <v>3.3284884416113769E-2</v>
      </c>
    </row>
    <row r="2359" spans="19:27" x14ac:dyDescent="0.2">
      <c r="S2359" s="165"/>
      <c r="T2359" s="166"/>
      <c r="W2359" s="199" t="str">
        <f t="shared" si="45"/>
        <v>1w</v>
      </c>
      <c r="X2359" s="200">
        <f>_xll.qlCalendarAdvance(Calendar,X2358,W2359,"f",FALSE)</f>
        <v>55367</v>
      </c>
      <c r="Y2359" s="204">
        <f>_xll.qlCalendarAdvance(Calendar,X2359,NDays&amp;"D")</f>
        <v>55369</v>
      </c>
      <c r="Z2359" s="205">
        <v>3.3313907215395122E-2</v>
      </c>
      <c r="AA2359" s="207">
        <v>3.3277830565330291E-2</v>
      </c>
    </row>
    <row r="2360" spans="19:27" x14ac:dyDescent="0.2">
      <c r="S2360" s="165"/>
      <c r="T2360" s="166"/>
      <c r="W2360" s="199" t="str">
        <f t="shared" si="45"/>
        <v>1w</v>
      </c>
      <c r="X2360" s="200">
        <f>_xll.qlCalendarAdvance(Calendar,X2359,W2360,"f",FALSE)</f>
        <v>55374</v>
      </c>
      <c r="Y2360" s="204">
        <f>_xll.qlCalendarAdvance(Calendar,X2360,NDays&amp;"D")</f>
        <v>55376</v>
      </c>
      <c r="Z2360" s="205">
        <v>3.3305778897327387E-2</v>
      </c>
      <c r="AA2360" s="207">
        <v>3.3270768168423004E-2</v>
      </c>
    </row>
    <row r="2361" spans="19:27" x14ac:dyDescent="0.2">
      <c r="S2361" s="165"/>
      <c r="T2361" s="166"/>
      <c r="W2361" s="199" t="str">
        <f t="shared" si="45"/>
        <v>1w</v>
      </c>
      <c r="X2361" s="200">
        <f>_xll.qlCalendarAdvance(Calendar,X2360,W2361,"f",FALSE)</f>
        <v>55381</v>
      </c>
      <c r="Y2361" s="204">
        <f>_xll.qlCalendarAdvance(Calendar,X2361,NDays&amp;"D")</f>
        <v>55383</v>
      </c>
      <c r="Z2361" s="205">
        <v>3.3298674864174677E-2</v>
      </c>
      <c r="AA2361" s="207">
        <v>3.3263697224832356E-2</v>
      </c>
    </row>
    <row r="2362" spans="19:27" x14ac:dyDescent="0.2">
      <c r="S2362" s="165"/>
      <c r="T2362" s="166"/>
      <c r="W2362" s="199" t="str">
        <f t="shared" si="45"/>
        <v>1w</v>
      </c>
      <c r="X2362" s="200">
        <f>_xll.qlCalendarAdvance(Calendar,X2361,W2362,"f",FALSE)</f>
        <v>55388</v>
      </c>
      <c r="Y2362" s="204">
        <f>_xll.qlCalendarAdvance(Calendar,X2362,NDays&amp;"D")</f>
        <v>55390</v>
      </c>
      <c r="Z2362" s="205">
        <v>3.3291562265086914E-2</v>
      </c>
      <c r="AA2362" s="207">
        <v>3.3255605681556943E-2</v>
      </c>
    </row>
    <row r="2363" spans="19:27" x14ac:dyDescent="0.2">
      <c r="S2363" s="165"/>
      <c r="T2363" s="166"/>
      <c r="W2363" s="199" t="str">
        <f t="shared" si="45"/>
        <v>1w</v>
      </c>
      <c r="X2363" s="200">
        <f>_xll.qlCalendarAdvance(Calendar,X2362,W2363,"f",FALSE)</f>
        <v>55395</v>
      </c>
      <c r="Y2363" s="204">
        <f>_xll.qlCalendarAdvance(Calendar,X2363,NDays&amp;"D")</f>
        <v>55397</v>
      </c>
      <c r="Z2363" s="205">
        <v>3.3284441100076986E-2</v>
      </c>
      <c r="AA2363" s="207">
        <v>3.3249529698480274E-2</v>
      </c>
    </row>
    <row r="2364" spans="19:27" x14ac:dyDescent="0.2">
      <c r="S2364" s="165"/>
      <c r="T2364" s="166"/>
      <c r="W2364" s="199" t="str">
        <f t="shared" si="45"/>
        <v>1w</v>
      </c>
      <c r="X2364" s="200">
        <f>_xll.qlCalendarAdvance(Calendar,X2363,W2364,"f",FALSE)</f>
        <v>55402</v>
      </c>
      <c r="Y2364" s="204">
        <f>_xll.qlCalendarAdvance(Calendar,X2364,NDays&amp;"D")</f>
        <v>55404</v>
      </c>
      <c r="Z2364" s="205">
        <v>3.3278337876001263E-2</v>
      </c>
      <c r="AA2364" s="207">
        <v>3.3242433115798775E-2</v>
      </c>
    </row>
    <row r="2365" spans="19:27" x14ac:dyDescent="0.2">
      <c r="S2365" s="165"/>
      <c r="T2365" s="166"/>
      <c r="W2365" s="199" t="str">
        <f t="shared" si="45"/>
        <v>1w</v>
      </c>
      <c r="X2365" s="200">
        <f>_xll.qlCalendarAdvance(Calendar,X2364,W2365,"f",FALSE)</f>
        <v>55409</v>
      </c>
      <c r="Y2365" s="204">
        <f>_xll.qlCalendarAdvance(Calendar,X2365,NDays&amp;"D")</f>
        <v>55411</v>
      </c>
      <c r="Z2365" s="205">
        <v>3.3270173072362831E-2</v>
      </c>
      <c r="AA2365" s="207">
        <v>3.3235327986593788E-2</v>
      </c>
    </row>
    <row r="2366" spans="19:27" x14ac:dyDescent="0.2">
      <c r="S2366" s="165"/>
      <c r="T2366" s="166"/>
      <c r="W2366" s="199" t="str">
        <f t="shared" si="45"/>
        <v>1w</v>
      </c>
      <c r="X2366" s="200">
        <f>_xll.qlCalendarAdvance(Calendar,X2365,W2366,"f",FALSE)</f>
        <v>55416</v>
      </c>
      <c r="Y2366" s="204">
        <f>_xll.qlCalendarAdvance(Calendar,X2366,NDays&amp;"D")</f>
        <v>55418</v>
      </c>
      <c r="Z2366" s="205">
        <v>3.3263026209689552E-2</v>
      </c>
      <c r="AA2366" s="207">
        <v>3.3228214310785376E-2</v>
      </c>
    </row>
    <row r="2367" spans="19:27" x14ac:dyDescent="0.2">
      <c r="S2367" s="165"/>
      <c r="T2367" s="166"/>
      <c r="W2367" s="199" t="str">
        <f t="shared" si="45"/>
        <v>1w</v>
      </c>
      <c r="X2367" s="200">
        <f>_xll.qlCalendarAdvance(Calendar,X2366,W2367,"f",FALSE)</f>
        <v>55423</v>
      </c>
      <c r="Y2367" s="204">
        <f>_xll.qlCalendarAdvance(Calendar,X2367,NDays&amp;"D")</f>
        <v>55425</v>
      </c>
      <c r="Z2367" s="205">
        <v>3.3256893473779803E-2</v>
      </c>
      <c r="AA2367" s="207">
        <v>3.3221092088933091E-2</v>
      </c>
    </row>
    <row r="2368" spans="19:27" x14ac:dyDescent="0.2">
      <c r="S2368" s="165"/>
      <c r="T2368" s="166"/>
      <c r="W2368" s="199" t="str">
        <f t="shared" si="45"/>
        <v>1w</v>
      </c>
      <c r="X2368" s="200">
        <f>_xll.qlCalendarAdvance(Calendar,X2367,W2368,"f",FALSE)</f>
        <v>55430</v>
      </c>
      <c r="Y2368" s="204">
        <f>_xll.qlCalendarAdvance(Calendar,X2368,NDays&amp;"D")</f>
        <v>55432</v>
      </c>
      <c r="Z2368" s="205">
        <v>3.3248706786772463E-2</v>
      </c>
      <c r="AA2368" s="207">
        <v>3.3213961320477381E-2</v>
      </c>
    </row>
    <row r="2369" spans="19:27" x14ac:dyDescent="0.2">
      <c r="S2369" s="165"/>
      <c r="T2369" s="166"/>
      <c r="W2369" s="199" t="str">
        <f t="shared" si="45"/>
        <v>1w</v>
      </c>
      <c r="X2369" s="200">
        <f>_xll.qlCalendarAdvance(Calendar,X2368,W2369,"f",FALSE)</f>
        <v>55437</v>
      </c>
      <c r="Y2369" s="204">
        <f>_xll.qlCalendarAdvance(Calendar,X2369,NDays&amp;"D")</f>
        <v>55439</v>
      </c>
      <c r="Z2369" s="205">
        <v>3.32415342265725E-2</v>
      </c>
      <c r="AA2369" s="207">
        <v>3.3206822005498182E-2</v>
      </c>
    </row>
    <row r="2370" spans="19:27" x14ac:dyDescent="0.2">
      <c r="S2370" s="165"/>
      <c r="T2370" s="166"/>
      <c r="W2370" s="199" t="str">
        <f t="shared" si="45"/>
        <v>1w</v>
      </c>
      <c r="X2370" s="200">
        <f>_xll.qlCalendarAdvance(Calendar,X2369,W2370,"f",FALSE)</f>
        <v>55444</v>
      </c>
      <c r="Y2370" s="204">
        <f>_xll.qlCalendarAdvance(Calendar,X2370,NDays&amp;"D")</f>
        <v>55446</v>
      </c>
      <c r="Z2370" s="205">
        <v>3.3234353100558667E-2</v>
      </c>
      <c r="AA2370" s="207">
        <v>3.3199674144235303E-2</v>
      </c>
    </row>
    <row r="2371" spans="19:27" x14ac:dyDescent="0.2">
      <c r="S2371" s="165"/>
      <c r="T2371" s="166"/>
      <c r="W2371" s="199" t="str">
        <f t="shared" si="45"/>
        <v>1w</v>
      </c>
      <c r="X2371" s="200">
        <f>_xll.qlCalendarAdvance(Calendar,X2370,W2371,"f",FALSE)</f>
        <v>55451</v>
      </c>
      <c r="Y2371" s="204">
        <f>_xll.qlCalendarAdvance(Calendar,X2371,NDays&amp;"D")</f>
        <v>55453</v>
      </c>
      <c r="Z2371" s="205">
        <v>3.3227163408751592E-2</v>
      </c>
      <c r="AA2371" s="207">
        <v>3.3192517736608806E-2</v>
      </c>
    </row>
    <row r="2372" spans="19:27" x14ac:dyDescent="0.2">
      <c r="S2372" s="165"/>
      <c r="T2372" s="166"/>
      <c r="W2372" s="199" t="str">
        <f t="shared" si="45"/>
        <v>1w</v>
      </c>
      <c r="X2372" s="200">
        <f>_xll.qlCalendarAdvance(Calendar,X2371,W2372,"f",FALSE)</f>
        <v>55458</v>
      </c>
      <c r="Y2372" s="204">
        <f>_xll.qlCalendarAdvance(Calendar,X2372,NDays&amp;"D")</f>
        <v>55460</v>
      </c>
      <c r="Z2372" s="205">
        <v>3.3219965151164182E-2</v>
      </c>
      <c r="AA2372" s="207">
        <v>3.3185352782538757E-2</v>
      </c>
    </row>
    <row r="2373" spans="19:27" x14ac:dyDescent="0.2">
      <c r="S2373" s="165"/>
      <c r="T2373" s="166"/>
      <c r="W2373" s="199" t="str">
        <f t="shared" si="45"/>
        <v>1w</v>
      </c>
      <c r="X2373" s="200">
        <f>_xll.qlCalendarAdvance(Calendar,X2372,W2373,"f",FALSE)</f>
        <v>55465</v>
      </c>
      <c r="Y2373" s="204">
        <f>_xll.qlCalendarAdvance(Calendar,X2373,NDays&amp;"D")</f>
        <v>55467</v>
      </c>
      <c r="Z2373" s="205">
        <v>3.3208652508021075E-2</v>
      </c>
      <c r="AA2373" s="207">
        <v>3.3178179281785347E-2</v>
      </c>
    </row>
    <row r="2374" spans="19:27" x14ac:dyDescent="0.2">
      <c r="S2374" s="165"/>
      <c r="T2374" s="166"/>
      <c r="W2374" s="199" t="str">
        <f t="shared" si="45"/>
        <v>1w</v>
      </c>
      <c r="X2374" s="200">
        <f>_xll.qlCalendarAdvance(Calendar,X2373,W2374,"f",FALSE)</f>
        <v>55472</v>
      </c>
      <c r="Y2374" s="204">
        <f>_xll.qlCalendarAdvance(Calendar,X2374,NDays&amp;"D")</f>
        <v>55474</v>
      </c>
      <c r="Z2374" s="205">
        <v>3.3205542938725685E-2</v>
      </c>
      <c r="AA2374" s="207">
        <v>3.3170997234908128E-2</v>
      </c>
    </row>
    <row r="2375" spans="19:27" x14ac:dyDescent="0.2">
      <c r="S2375" s="165"/>
      <c r="T2375" s="166"/>
      <c r="W2375" s="199" t="str">
        <f t="shared" si="45"/>
        <v>1w</v>
      </c>
      <c r="X2375" s="200">
        <f>_xll.qlCalendarAdvance(Calendar,X2374,W2375,"f",FALSE)</f>
        <v>55479</v>
      </c>
      <c r="Y2375" s="204">
        <f>_xll.qlCalendarAdvance(Calendar,X2375,NDays&amp;"D")</f>
        <v>55481</v>
      </c>
      <c r="Z2375" s="205">
        <v>3.3200343910313054E-2</v>
      </c>
      <c r="AA2375" s="207">
        <v>3.3163806641587357E-2</v>
      </c>
    </row>
    <row r="2376" spans="19:27" x14ac:dyDescent="0.2">
      <c r="S2376" s="165"/>
      <c r="T2376" s="166"/>
      <c r="W2376" s="199" t="str">
        <f t="shared" si="45"/>
        <v>1w</v>
      </c>
      <c r="X2376" s="200">
        <f>_xll.qlCalendarAdvance(Calendar,X2375,W2376,"f",FALSE)</f>
        <v>55486</v>
      </c>
      <c r="Y2376" s="204">
        <f>_xll.qlCalendarAdvance(Calendar,X2376,NDays&amp;"D")</f>
        <v>55488</v>
      </c>
      <c r="Z2376" s="205">
        <v>3.3192097678495514E-2</v>
      </c>
      <c r="AA2376" s="207">
        <v>3.315660750166316E-2</v>
      </c>
    </row>
    <row r="2377" spans="19:27" x14ac:dyDescent="0.2">
      <c r="S2377" s="165"/>
      <c r="T2377" s="166"/>
      <c r="W2377" s="199" t="str">
        <f t="shared" si="45"/>
        <v>1w</v>
      </c>
      <c r="X2377" s="200">
        <f>_xll.qlCalendarAdvance(Calendar,X2376,W2377,"f",FALSE)</f>
        <v>55493</v>
      </c>
      <c r="Y2377" s="204">
        <f>_xll.qlCalendarAdvance(Calendar,X2377,NDays&amp;"D")</f>
        <v>55495</v>
      </c>
      <c r="Z2377" s="205">
        <v>3.3183845377120207E-2</v>
      </c>
      <c r="AA2377" s="207">
        <v>3.3149399815535219E-2</v>
      </c>
    </row>
    <row r="2378" spans="19:27" x14ac:dyDescent="0.2">
      <c r="S2378" s="165"/>
      <c r="T2378" s="166"/>
      <c r="W2378" s="199" t="str">
        <f t="shared" si="45"/>
        <v>1w</v>
      </c>
      <c r="X2378" s="200">
        <f>_xll.qlCalendarAdvance(Calendar,X2377,W2378,"f",FALSE)</f>
        <v>55500</v>
      </c>
      <c r="Y2378" s="204">
        <f>_xll.qlCalendarAdvance(Calendar,X2378,NDays&amp;"D")</f>
        <v>55502</v>
      </c>
      <c r="Z2378" s="205">
        <v>3.3177604382694514E-2</v>
      </c>
      <c r="AA2378" s="207">
        <v>3.3142183582883789E-2</v>
      </c>
    </row>
    <row r="2379" spans="19:27" x14ac:dyDescent="0.2">
      <c r="S2379" s="165"/>
      <c r="T2379" s="166"/>
      <c r="W2379" s="199" t="str">
        <f t="shared" si="45"/>
        <v>1w</v>
      </c>
      <c r="X2379" s="200">
        <f>_xll.qlCalendarAdvance(Calendar,X2378,W2379,"f",FALSE)</f>
        <v>55507</v>
      </c>
      <c r="Y2379" s="204">
        <f>_xll.qlCalendarAdvance(Calendar,X2379,NDays&amp;"D")</f>
        <v>55509</v>
      </c>
      <c r="Z2379" s="205">
        <v>3.3169337507605437E-2</v>
      </c>
      <c r="AA2379" s="207">
        <v>3.313289301153155E-2</v>
      </c>
    </row>
    <row r="2380" spans="19:27" x14ac:dyDescent="0.2">
      <c r="S2380" s="165"/>
      <c r="T2380" s="166"/>
      <c r="W2380" s="199" t="str">
        <f t="shared" si="45"/>
        <v>1w</v>
      </c>
      <c r="X2380" s="200">
        <f>_xll.qlCalendarAdvance(Calendar,X2379,W2380,"f",FALSE)</f>
        <v>55514</v>
      </c>
      <c r="Y2380" s="204">
        <f>_xll.qlCalendarAdvance(Calendar,X2380,NDays&amp;"D")</f>
        <v>55516</v>
      </c>
      <c r="Z2380" s="205">
        <v>3.316408285864144E-2</v>
      </c>
      <c r="AA2380" s="207">
        <v>3.3126691448668311E-2</v>
      </c>
    </row>
    <row r="2381" spans="19:27" x14ac:dyDescent="0.2">
      <c r="S2381" s="165"/>
      <c r="T2381" s="166"/>
      <c r="W2381" s="199" t="str">
        <f t="shared" si="45"/>
        <v>1w</v>
      </c>
      <c r="X2381" s="200">
        <f>_xll.qlCalendarAdvance(Calendar,X2380,W2381,"f",FALSE)</f>
        <v>55521</v>
      </c>
      <c r="Y2381" s="204">
        <f>_xll.qlCalendarAdvance(Calendar,X2381,NDays&amp;"D")</f>
        <v>55523</v>
      </c>
      <c r="Z2381" s="205">
        <v>3.3154795375487593E-2</v>
      </c>
      <c r="AA2381" s="207">
        <v>3.3120483606667861E-2</v>
      </c>
    </row>
    <row r="2382" spans="19:27" x14ac:dyDescent="0.2">
      <c r="S2382" s="165"/>
      <c r="T2382" s="166"/>
      <c r="W2382" s="199" t="str">
        <f t="shared" si="45"/>
        <v>1w</v>
      </c>
      <c r="X2382" s="200">
        <f>_xll.qlCalendarAdvance(Calendar,X2381,W2382,"f",FALSE)</f>
        <v>55528</v>
      </c>
      <c r="Y2382" s="204">
        <f>_xll.qlCalendarAdvance(Calendar,X2382,NDays&amp;"D")</f>
        <v>55530</v>
      </c>
      <c r="Z2382" s="205">
        <v>3.3147511460994095E-2</v>
      </c>
      <c r="AA2382" s="207">
        <v>3.3113233188402091E-2</v>
      </c>
    </row>
    <row r="2383" spans="19:27" x14ac:dyDescent="0.2">
      <c r="S2383" s="165"/>
      <c r="T2383" s="166"/>
      <c r="W2383" s="199" t="str">
        <f t="shared" si="45"/>
        <v>1w</v>
      </c>
      <c r="X2383" s="200">
        <f>_xll.qlCalendarAdvance(Calendar,X2382,W2383,"f",FALSE)</f>
        <v>55535</v>
      </c>
      <c r="Y2383" s="204">
        <f>_xll.qlCalendarAdvance(Calendar,X2383,NDays&amp;"D")</f>
        <v>55537</v>
      </c>
      <c r="Z2383" s="205">
        <v>3.3141221233103924E-2</v>
      </c>
      <c r="AA2383" s="207">
        <v>3.3105974223612833E-2</v>
      </c>
    </row>
    <row r="2384" spans="19:27" x14ac:dyDescent="0.2">
      <c r="S2384" s="165"/>
      <c r="T2384" s="166"/>
      <c r="W2384" s="199" t="str">
        <f t="shared" si="45"/>
        <v>1w</v>
      </c>
      <c r="X2384" s="200">
        <f>_xll.qlCalendarAdvance(Calendar,X2383,W2384,"f",FALSE)</f>
        <v>55542</v>
      </c>
      <c r="Y2384" s="204">
        <f>_xll.qlCalendarAdvance(Calendar,X2384,NDays&amp;"D")</f>
        <v>55544</v>
      </c>
      <c r="Z2384" s="205">
        <v>3.3132917935217894E-2</v>
      </c>
      <c r="AA2384" s="207">
        <v>3.3098706712539894E-2</v>
      </c>
    </row>
    <row r="2385" spans="19:27" x14ac:dyDescent="0.2">
      <c r="S2385" s="165"/>
      <c r="T2385" s="166"/>
      <c r="W2385" s="199" t="str">
        <f t="shared" si="45"/>
        <v>1w</v>
      </c>
      <c r="X2385" s="200">
        <f>_xll.qlCalendarAdvance(Calendar,X2384,W2385,"f",FALSE)</f>
        <v>55549</v>
      </c>
      <c r="Y2385" s="204">
        <f>_xll.qlCalendarAdvance(Calendar,X2385,NDays&amp;"D")</f>
        <v>55551</v>
      </c>
      <c r="Z2385" s="205">
        <v>3.3125608323963544E-2</v>
      </c>
      <c r="AA2385" s="207">
        <v>3.3091430655103338E-2</v>
      </c>
    </row>
    <row r="2386" spans="19:27" x14ac:dyDescent="0.2">
      <c r="S2386" s="165"/>
      <c r="T2386" s="166"/>
      <c r="W2386" s="199" t="str">
        <f t="shared" si="45"/>
        <v>1w</v>
      </c>
      <c r="X2386" s="200">
        <f>_xll.qlCalendarAdvance(Calendar,X2385,W2386,"f",FALSE)</f>
        <v>55556</v>
      </c>
      <c r="Y2386" s="204">
        <f>_xll.qlCalendarAdvance(Calendar,X2386,NDays&amp;"D")</f>
        <v>55558</v>
      </c>
      <c r="Z2386" s="205">
        <v>3.3118290147155775E-2</v>
      </c>
      <c r="AA2386" s="207">
        <v>3.3084146051223229E-2</v>
      </c>
    </row>
    <row r="2387" spans="19:27" x14ac:dyDescent="0.2">
      <c r="S2387" s="165"/>
      <c r="T2387" s="166"/>
      <c r="W2387" s="199" t="str">
        <f t="shared" si="45"/>
        <v>1w</v>
      </c>
      <c r="X2387" s="200">
        <f>_xll.qlCalendarAdvance(Calendar,X2386,W2387,"f",FALSE)</f>
        <v>55563</v>
      </c>
      <c r="Y2387" s="204">
        <f>_xll.qlCalendarAdvance(Calendar,X2387,NDays&amp;"D")</f>
        <v>55565</v>
      </c>
      <c r="Z2387" s="205">
        <v>3.3110963404807466E-2</v>
      </c>
      <c r="AA2387" s="207">
        <v>3.3076852900819631E-2</v>
      </c>
    </row>
    <row r="2388" spans="19:27" x14ac:dyDescent="0.2">
      <c r="S2388" s="165"/>
      <c r="T2388" s="166"/>
      <c r="W2388" s="199" t="str">
        <f t="shared" si="45"/>
        <v>1w</v>
      </c>
      <c r="X2388" s="200">
        <f>_xll.qlCalendarAdvance(Calendar,X2387,W2388,"f",FALSE)</f>
        <v>55570</v>
      </c>
      <c r="Y2388" s="204">
        <f>_xll.qlCalendarAdvance(Calendar,X2388,NDays&amp;"D")</f>
        <v>55572</v>
      </c>
      <c r="Z2388" s="205">
        <v>3.3103628096944407E-2</v>
      </c>
      <c r="AA2388" s="207">
        <v>3.3069551204132352E-2</v>
      </c>
    </row>
    <row r="2389" spans="19:27" x14ac:dyDescent="0.2">
      <c r="S2389" s="165"/>
      <c r="T2389" s="166"/>
      <c r="W2389" s="199" t="str">
        <f t="shared" ref="W2389:W2452" si="46">W2388</f>
        <v>1w</v>
      </c>
      <c r="X2389" s="200">
        <f>_xll.qlCalendarAdvance(Calendar,X2388,W2389,"f",FALSE)</f>
        <v>55577</v>
      </c>
      <c r="Y2389" s="204">
        <f>_xll.qlCalendarAdvance(Calendar,X2389,NDays&amp;"D")</f>
        <v>55579</v>
      </c>
      <c r="Z2389" s="205">
        <v>3.3096284223569181E-2</v>
      </c>
      <c r="AA2389" s="207">
        <v>3.3062240961001521E-2</v>
      </c>
    </row>
    <row r="2390" spans="19:27" x14ac:dyDescent="0.2">
      <c r="S2390" s="165"/>
      <c r="T2390" s="166"/>
      <c r="W2390" s="199" t="str">
        <f t="shared" si="46"/>
        <v>1w</v>
      </c>
      <c r="X2390" s="200">
        <f>_xll.qlCalendarAdvance(Calendar,X2389,W2390,"f",FALSE)</f>
        <v>55584</v>
      </c>
      <c r="Y2390" s="204">
        <f>_xll.qlCalendarAdvance(Calendar,X2390,NDays&amp;"D")</f>
        <v>55586</v>
      </c>
      <c r="Z2390" s="205">
        <v>3.3088931784702416E-2</v>
      </c>
      <c r="AA2390" s="207">
        <v>3.3054922171587009E-2</v>
      </c>
    </row>
    <row r="2391" spans="19:27" x14ac:dyDescent="0.2">
      <c r="S2391" s="165"/>
      <c r="T2391" s="166"/>
      <c r="W2391" s="199" t="str">
        <f t="shared" si="46"/>
        <v>1w</v>
      </c>
      <c r="X2391" s="200">
        <f>_xll.qlCalendarAdvance(Calendar,X2390,W2391,"f",FALSE)</f>
        <v>55591</v>
      </c>
      <c r="Y2391" s="204">
        <f>_xll.qlCalendarAdvance(Calendar,X2391,NDays&amp;"D")</f>
        <v>55593</v>
      </c>
      <c r="Z2391" s="205">
        <v>3.3081570780369891E-2</v>
      </c>
      <c r="AA2391" s="207">
        <v>3.3047594835569072E-2</v>
      </c>
    </row>
    <row r="2392" spans="19:27" x14ac:dyDescent="0.2">
      <c r="S2392" s="165"/>
      <c r="T2392" s="166"/>
      <c r="W2392" s="199" t="str">
        <f t="shared" si="46"/>
        <v>1w</v>
      </c>
      <c r="X2392" s="200">
        <f>_xll.qlCalendarAdvance(Calendar,X2391,W2392,"f",FALSE)</f>
        <v>55598</v>
      </c>
      <c r="Y2392" s="204">
        <f>_xll.qlCalendarAdvance(Calendar,X2392,NDays&amp;"D")</f>
        <v>55600</v>
      </c>
      <c r="Z2392" s="205">
        <v>3.3075191893035816E-2</v>
      </c>
      <c r="AA2392" s="207">
        <v>3.3040258953187518E-2</v>
      </c>
    </row>
    <row r="2393" spans="19:27" x14ac:dyDescent="0.2">
      <c r="S2393" s="165"/>
      <c r="T2393" s="166"/>
      <c r="W2393" s="199" t="str">
        <f t="shared" si="46"/>
        <v>1w</v>
      </c>
      <c r="X2393" s="200">
        <f>_xll.qlCalendarAdvance(Calendar,X2392,W2393,"f",FALSE)</f>
        <v>55605</v>
      </c>
      <c r="Y2393" s="204">
        <f>_xll.qlCalendarAdvance(Calendar,X2393,NDays&amp;"D")</f>
        <v>55607</v>
      </c>
      <c r="Z2393" s="205">
        <v>3.3067812469098901E-2</v>
      </c>
      <c r="AA2393" s="207">
        <v>3.3032914524442347E-2</v>
      </c>
    </row>
    <row r="2394" spans="19:27" x14ac:dyDescent="0.2">
      <c r="S2394" s="165"/>
      <c r="T2394" s="166"/>
      <c r="W2394" s="199" t="str">
        <f t="shared" si="46"/>
        <v>1w</v>
      </c>
      <c r="X2394" s="200">
        <f>_xll.qlCalendarAdvance(Calendar,X2393,W2394,"f",FALSE)</f>
        <v>55612</v>
      </c>
      <c r="Y2394" s="204">
        <f>_xll.qlCalendarAdvance(Calendar,X2394,NDays&amp;"D")</f>
        <v>55614</v>
      </c>
      <c r="Z2394" s="205">
        <v>3.3060424479101624E-2</v>
      </c>
      <c r="AA2394" s="207">
        <v>3.3025561549253624E-2</v>
      </c>
    </row>
    <row r="2395" spans="19:27" x14ac:dyDescent="0.2">
      <c r="S2395" s="165"/>
      <c r="T2395" s="166"/>
      <c r="W2395" s="199" t="str">
        <f t="shared" si="46"/>
        <v>1w</v>
      </c>
      <c r="X2395" s="200">
        <f>_xll.qlCalendarAdvance(Calendar,X2394,W2395,"f",FALSE)</f>
        <v>55619</v>
      </c>
      <c r="Y2395" s="204">
        <f>_xll.qlCalendarAdvance(Calendar,X2395,NDays&amp;"D")</f>
        <v>55621</v>
      </c>
      <c r="Z2395" s="205">
        <v>3.305204110860914E-2</v>
      </c>
      <c r="AA2395" s="207">
        <v>3.3018200027701283E-2</v>
      </c>
    </row>
    <row r="2396" spans="19:27" x14ac:dyDescent="0.2">
      <c r="S2396" s="165"/>
      <c r="T2396" s="166"/>
      <c r="W2396" s="199" t="str">
        <f t="shared" si="46"/>
        <v>1w</v>
      </c>
      <c r="X2396" s="200">
        <f>_xll.qlCalendarAdvance(Calendar,X2395,W2396,"f",FALSE)</f>
        <v>55626</v>
      </c>
      <c r="Y2396" s="204">
        <f>_xll.qlCalendarAdvance(Calendar,X2396,NDays&amp;"D")</f>
        <v>55632</v>
      </c>
      <c r="Z2396" s="205">
        <v>3.3039417821716377E-2</v>
      </c>
      <c r="AA2396" s="207">
        <v>3.3008722656333589E-2</v>
      </c>
    </row>
    <row r="2397" spans="19:27" x14ac:dyDescent="0.2">
      <c r="S2397" s="165"/>
      <c r="T2397" s="166"/>
      <c r="W2397" s="199" t="str">
        <f t="shared" si="46"/>
        <v>1w</v>
      </c>
      <c r="X2397" s="200">
        <f>_xll.qlCalendarAdvance(Calendar,X2396,W2397,"f",FALSE)</f>
        <v>55633</v>
      </c>
      <c r="Y2397" s="204">
        <f>_xll.qlCalendarAdvance(Calendar,X2397,NDays&amp;"D")</f>
        <v>55635</v>
      </c>
      <c r="Z2397" s="205">
        <v>3.3038209112929984E-2</v>
      </c>
      <c r="AA2397" s="207">
        <v>3.300345134534588E-2</v>
      </c>
    </row>
    <row r="2398" spans="19:27" x14ac:dyDescent="0.2">
      <c r="S2398" s="165"/>
      <c r="T2398" s="166"/>
      <c r="W2398" s="199" t="str">
        <f t="shared" si="46"/>
        <v>1w</v>
      </c>
      <c r="X2398" s="200">
        <f>_xll.qlCalendarAdvance(Calendar,X2397,W2398,"f",FALSE)</f>
        <v>55640</v>
      </c>
      <c r="Y2398" s="204">
        <f>_xll.qlCalendarAdvance(Calendar,X2398,NDays&amp;"D")</f>
        <v>55642</v>
      </c>
      <c r="Z2398" s="205">
        <v>3.3029803918120146E-2</v>
      </c>
      <c r="AA2398" s="207">
        <v>3.2995008178300367E-2</v>
      </c>
    </row>
    <row r="2399" spans="19:27" x14ac:dyDescent="0.2">
      <c r="S2399" s="165"/>
      <c r="T2399" s="166"/>
      <c r="W2399" s="199" t="str">
        <f t="shared" si="46"/>
        <v>1w</v>
      </c>
      <c r="X2399" s="200">
        <f>_xll.qlCalendarAdvance(Calendar,X2398,W2399,"f",FALSE)</f>
        <v>55647</v>
      </c>
      <c r="Y2399" s="204">
        <f>_xll.qlCalendarAdvance(Calendar,X2399,NDays&amp;"D")</f>
        <v>55649</v>
      </c>
      <c r="Z2399" s="205">
        <v>3.302237439058503E-2</v>
      </c>
      <c r="AA2399" s="207">
        <v>3.2988668477376137E-2</v>
      </c>
    </row>
    <row r="2400" spans="19:27" x14ac:dyDescent="0.2">
      <c r="S2400" s="165"/>
      <c r="T2400" s="166"/>
      <c r="W2400" s="199" t="str">
        <f t="shared" si="46"/>
        <v>1w</v>
      </c>
      <c r="X2400" s="200">
        <f>_xll.qlCalendarAdvance(Calendar,X2399,W2400,"f",FALSE)</f>
        <v>55654</v>
      </c>
      <c r="Y2400" s="204">
        <f>_xll.qlCalendarAdvance(Calendar,X2400,NDays&amp;"D")</f>
        <v>55656</v>
      </c>
      <c r="Z2400" s="205">
        <v>3.3014936297718241E-2</v>
      </c>
      <c r="AA2400" s="207">
        <v>3.2981264223925777E-2</v>
      </c>
    </row>
    <row r="2401" spans="19:27" x14ac:dyDescent="0.2">
      <c r="S2401" s="165"/>
      <c r="T2401" s="166"/>
      <c r="W2401" s="199" t="str">
        <f t="shared" si="46"/>
        <v>1w</v>
      </c>
      <c r="X2401" s="200">
        <f>_xll.qlCalendarAdvance(Calendar,X2400,W2401,"f",FALSE)</f>
        <v>55661</v>
      </c>
      <c r="Y2401" s="204">
        <f>_xll.qlCalendarAdvance(Calendar,X2401,NDays&amp;"D")</f>
        <v>55663</v>
      </c>
      <c r="Z2401" s="205">
        <v>3.3007489639542982E-2</v>
      </c>
      <c r="AA2401" s="207">
        <v>3.2972791754799502E-2</v>
      </c>
    </row>
    <row r="2402" spans="19:27" x14ac:dyDescent="0.2">
      <c r="S2402" s="165"/>
      <c r="T2402" s="166"/>
      <c r="W2402" s="199" t="str">
        <f t="shared" si="46"/>
        <v>1w</v>
      </c>
      <c r="X2402" s="200">
        <f>_xll.qlCalendarAdvance(Calendar,X2401,W2402,"f",FALSE)</f>
        <v>55668</v>
      </c>
      <c r="Y2402" s="204">
        <f>_xll.qlCalendarAdvance(Calendar,X2402,NDays&amp;"D")</f>
        <v>55670</v>
      </c>
      <c r="Z2402" s="205">
        <v>3.2997100733189733E-2</v>
      </c>
      <c r="AA2402" s="207">
        <v>3.2966430077534525E-2</v>
      </c>
    </row>
    <row r="2403" spans="19:27" x14ac:dyDescent="0.2">
      <c r="S2403" s="165"/>
      <c r="T2403" s="166"/>
      <c r="W2403" s="199" t="str">
        <f t="shared" si="46"/>
        <v>1w</v>
      </c>
      <c r="X2403" s="200">
        <f>_xll.qlCalendarAdvance(Calendar,X2402,W2403,"f",FALSE)</f>
        <v>55675</v>
      </c>
      <c r="Y2403" s="204">
        <f>_xll.qlCalendarAdvance(Calendar,X2403,NDays&amp;"D")</f>
        <v>55677</v>
      </c>
      <c r="Z2403" s="205">
        <v>3.2992570627328979E-2</v>
      </c>
      <c r="AA2403" s="207">
        <v>3.295900018467357E-2</v>
      </c>
    </row>
    <row r="2404" spans="19:27" x14ac:dyDescent="0.2">
      <c r="S2404" s="165"/>
      <c r="T2404" s="166"/>
      <c r="W2404" s="199" t="str">
        <f t="shared" si="46"/>
        <v>1w</v>
      </c>
      <c r="X2404" s="200">
        <f>_xll.qlCalendarAdvance(Calendar,X2403,W2404,"f",FALSE)</f>
        <v>55682</v>
      </c>
      <c r="Y2404" s="204">
        <f>_xll.qlCalendarAdvance(Calendar,X2404,NDays&amp;"D")</f>
        <v>55684</v>
      </c>
      <c r="Z2404" s="205">
        <v>3.2985098273323743E-2</v>
      </c>
      <c r="AA2404" s="207">
        <v>3.2951561745528934E-2</v>
      </c>
    </row>
    <row r="2405" spans="19:27" x14ac:dyDescent="0.2">
      <c r="S2405" s="165"/>
      <c r="T2405" s="166"/>
      <c r="W2405" s="199" t="str">
        <f t="shared" si="46"/>
        <v>1w</v>
      </c>
      <c r="X2405" s="200">
        <f>_xll.qlCalendarAdvance(Calendar,X2404,W2405,"f",FALSE)</f>
        <v>55689</v>
      </c>
      <c r="Y2405" s="204">
        <f>_xll.qlCalendarAdvance(Calendar,X2405,NDays&amp;"D")</f>
        <v>55691</v>
      </c>
      <c r="Z2405" s="205">
        <v>3.2977617354071932E-2</v>
      </c>
      <c r="AA2405" s="207">
        <v>3.2944114760020682E-2</v>
      </c>
    </row>
    <row r="2406" spans="19:27" x14ac:dyDescent="0.2">
      <c r="S2406" s="165"/>
      <c r="T2406" s="166"/>
      <c r="W2406" s="199" t="str">
        <f t="shared" si="46"/>
        <v>1w</v>
      </c>
      <c r="X2406" s="200">
        <f>_xll.qlCalendarAdvance(Calendar,X2405,W2406,"f",FALSE)</f>
        <v>55696</v>
      </c>
      <c r="Y2406" s="204">
        <f>_xll.qlCalendarAdvance(Calendar,X2406,NDays&amp;"D")</f>
        <v>55698</v>
      </c>
      <c r="Z2406" s="205">
        <v>3.2972072971608958E-2</v>
      </c>
      <c r="AA2406" s="207">
        <v>3.2936659227909004E-2</v>
      </c>
    </row>
    <row r="2407" spans="19:27" x14ac:dyDescent="0.2">
      <c r="S2407" s="165"/>
      <c r="T2407" s="166"/>
      <c r="W2407" s="199" t="str">
        <f t="shared" si="46"/>
        <v>1w</v>
      </c>
      <c r="X2407" s="200">
        <f>_xll.qlCalendarAdvance(Calendar,X2406,W2407,"f",FALSE)</f>
        <v>55703</v>
      </c>
      <c r="Y2407" s="204">
        <f>_xll.qlCalendarAdvance(Calendar,X2407,NDays&amp;"D")</f>
        <v>55705</v>
      </c>
      <c r="Z2407" s="205">
        <v>3.2962629819905942E-2</v>
      </c>
      <c r="AA2407" s="207">
        <v>3.2929195149673518E-2</v>
      </c>
    </row>
    <row r="2408" spans="19:27" x14ac:dyDescent="0.2">
      <c r="S2408" s="165"/>
      <c r="T2408" s="166"/>
      <c r="W2408" s="199" t="str">
        <f t="shared" si="46"/>
        <v>1w</v>
      </c>
      <c r="X2408" s="200">
        <f>_xll.qlCalendarAdvance(Calendar,X2407,W2408,"f",FALSE)</f>
        <v>55710</v>
      </c>
      <c r="Y2408" s="204">
        <f>_xll.qlCalendarAdvance(Calendar,X2408,NDays&amp;"D")</f>
        <v>55712</v>
      </c>
      <c r="Z2408" s="205">
        <v>3.2955123205022703E-2</v>
      </c>
      <c r="AA2408" s="207">
        <v>3.2921722524914543E-2</v>
      </c>
    </row>
    <row r="2409" spans="19:27" x14ac:dyDescent="0.2">
      <c r="S2409" s="165"/>
      <c r="T2409" s="166"/>
      <c r="W2409" s="199" t="str">
        <f t="shared" si="46"/>
        <v>1w</v>
      </c>
      <c r="X2409" s="200">
        <f>_xll.qlCalendarAdvance(Calendar,X2408,W2409,"f",FALSE)</f>
        <v>55717</v>
      </c>
      <c r="Y2409" s="204">
        <f>_xll.qlCalendarAdvance(Calendar,X2409,NDays&amp;"D")</f>
        <v>55719</v>
      </c>
      <c r="Z2409" s="205">
        <v>3.2947608024962508E-2</v>
      </c>
      <c r="AA2409" s="207">
        <v>3.2914241353632079E-2</v>
      </c>
    </row>
    <row r="2410" spans="19:27" x14ac:dyDescent="0.2">
      <c r="S2410" s="165"/>
      <c r="T2410" s="166"/>
      <c r="W2410" s="199" t="str">
        <f t="shared" si="46"/>
        <v>1w</v>
      </c>
      <c r="X2410" s="200">
        <f>_xll.qlCalendarAdvance(Calendar,X2409,W2410,"f",FALSE)</f>
        <v>55724</v>
      </c>
      <c r="Y2410" s="204">
        <f>_xll.qlCalendarAdvance(Calendar,X2410,NDays&amp;"D")</f>
        <v>55726</v>
      </c>
      <c r="Z2410" s="205">
        <v>3.2941051669044819E-2</v>
      </c>
      <c r="AA2410" s="207">
        <v>3.2906751635985998E-2</v>
      </c>
    </row>
    <row r="2411" spans="19:27" x14ac:dyDescent="0.2">
      <c r="S2411" s="165"/>
      <c r="T2411" s="166"/>
      <c r="W2411" s="199" t="str">
        <f t="shared" si="46"/>
        <v>1w</v>
      </c>
      <c r="X2411" s="200">
        <f>_xll.qlCalendarAdvance(Calendar,X2410,W2411,"f",FALSE)</f>
        <v>55731</v>
      </c>
      <c r="Y2411" s="204">
        <f>_xll.qlCalendarAdvance(Calendar,X2411,NDays&amp;"D")</f>
        <v>55733</v>
      </c>
      <c r="Z2411" s="205">
        <v>3.2933518058646805E-2</v>
      </c>
      <c r="AA2411" s="207">
        <v>3.2899253372136172E-2</v>
      </c>
    </row>
    <row r="2412" spans="19:27" x14ac:dyDescent="0.2">
      <c r="S2412" s="165"/>
      <c r="T2412" s="166"/>
      <c r="W2412" s="199" t="str">
        <f t="shared" si="46"/>
        <v>1w</v>
      </c>
      <c r="X2412" s="200">
        <f>_xll.qlCalendarAdvance(Calendar,X2411,W2412,"f",FALSE)</f>
        <v>55738</v>
      </c>
      <c r="Y2412" s="204">
        <f>_xll.qlCalendarAdvance(Calendar,X2412,NDays&amp;"D")</f>
        <v>55740</v>
      </c>
      <c r="Z2412" s="205">
        <v>3.2925011093877493E-2</v>
      </c>
      <c r="AA2412" s="207">
        <v>3.2891746561682922E-2</v>
      </c>
    </row>
    <row r="2413" spans="19:27" x14ac:dyDescent="0.2">
      <c r="S2413" s="165"/>
      <c r="T2413" s="166"/>
      <c r="W2413" s="199" t="str">
        <f t="shared" si="46"/>
        <v>1w</v>
      </c>
      <c r="X2413" s="200">
        <f>_xll.qlCalendarAdvance(Calendar,X2412,W2413,"f",FALSE)</f>
        <v>55745</v>
      </c>
      <c r="Y2413" s="204">
        <f>_xll.qlCalendarAdvance(Calendar,X2413,NDays&amp;"D")</f>
        <v>55747</v>
      </c>
      <c r="Z2413" s="205">
        <v>3.2917461653266776E-2</v>
      </c>
      <c r="AA2413" s="207">
        <v>3.2884231204945991E-2</v>
      </c>
    </row>
    <row r="2414" spans="19:27" x14ac:dyDescent="0.2">
      <c r="S2414" s="165"/>
      <c r="T2414" s="166"/>
      <c r="W2414" s="199" t="str">
        <f t="shared" si="46"/>
        <v>1w</v>
      </c>
      <c r="X2414" s="200">
        <f>_xll.qlCalendarAdvance(Calendar,X2413,W2414,"f",FALSE)</f>
        <v>55752</v>
      </c>
      <c r="Y2414" s="204">
        <f>_xll.qlCalendarAdvance(Calendar,X2414,NDays&amp;"D")</f>
        <v>55754</v>
      </c>
      <c r="Z2414" s="205">
        <v>3.2909903647561613E-2</v>
      </c>
      <c r="AA2414" s="207">
        <v>3.2875631760829194E-2</v>
      </c>
    </row>
    <row r="2415" spans="19:27" x14ac:dyDescent="0.2">
      <c r="S2415" s="165"/>
      <c r="T2415" s="166"/>
      <c r="W2415" s="199" t="str">
        <f t="shared" si="46"/>
        <v>1w</v>
      </c>
      <c r="X2415" s="200">
        <f>_xll.qlCalendarAdvance(Calendar,X2414,W2415,"f",FALSE)</f>
        <v>55759</v>
      </c>
      <c r="Y2415" s="204">
        <f>_xll.qlCalendarAdvance(Calendar,X2415,NDays&amp;"D")</f>
        <v>55761</v>
      </c>
      <c r="Z2415" s="205">
        <v>3.2902337076782646E-2</v>
      </c>
      <c r="AA2415" s="207">
        <v>3.2869174852381278E-2</v>
      </c>
    </row>
    <row r="2416" spans="19:27" x14ac:dyDescent="0.2">
      <c r="S2416" s="165"/>
      <c r="T2416" s="166"/>
      <c r="W2416" s="199" t="str">
        <f t="shared" si="46"/>
        <v>1w</v>
      </c>
      <c r="X2416" s="200">
        <f>_xll.qlCalendarAdvance(Calendar,X2415,W2416,"f",FALSE)</f>
        <v>55766</v>
      </c>
      <c r="Y2416" s="204">
        <f>_xll.qlCalendarAdvance(Calendar,X2416,NDays&amp;"D")</f>
        <v>55768</v>
      </c>
      <c r="Z2416" s="205">
        <v>3.2894761940940175E-2</v>
      </c>
      <c r="AA2416" s="207">
        <v>3.2861633856313688E-2</v>
      </c>
    </row>
    <row r="2417" spans="19:27" x14ac:dyDescent="0.2">
      <c r="S2417" s="165"/>
      <c r="T2417" s="166"/>
      <c r="W2417" s="199" t="str">
        <f t="shared" si="46"/>
        <v>1w</v>
      </c>
      <c r="X2417" s="200">
        <f>_xll.qlCalendarAdvance(Calendar,X2416,W2417,"f",FALSE)</f>
        <v>55773</v>
      </c>
      <c r="Y2417" s="204">
        <f>_xll.qlCalendarAdvance(Calendar,X2417,NDays&amp;"D")</f>
        <v>55775</v>
      </c>
      <c r="Z2417" s="205">
        <v>3.288813651610295E-2</v>
      </c>
      <c r="AA2417" s="207">
        <v>3.2854084313962417E-2</v>
      </c>
    </row>
    <row r="2418" spans="19:27" x14ac:dyDescent="0.2">
      <c r="S2418" s="165"/>
      <c r="T2418" s="166"/>
      <c r="W2418" s="199" t="str">
        <f t="shared" si="46"/>
        <v>1w</v>
      </c>
      <c r="X2418" s="200">
        <f>_xll.qlCalendarAdvance(Calendar,X2417,W2418,"f",FALSE)</f>
        <v>55780</v>
      </c>
      <c r="Y2418" s="204">
        <f>_xll.qlCalendarAdvance(Calendar,X2418,NDays&amp;"D")</f>
        <v>55782</v>
      </c>
      <c r="Z2418" s="205">
        <v>3.2879585974134373E-2</v>
      </c>
      <c r="AA2418" s="207">
        <v>3.2846526225327466E-2</v>
      </c>
    </row>
    <row r="2419" spans="19:27" x14ac:dyDescent="0.2">
      <c r="S2419" s="165"/>
      <c r="T2419" s="166"/>
      <c r="W2419" s="199" t="str">
        <f t="shared" si="46"/>
        <v>1w</v>
      </c>
      <c r="X2419" s="200">
        <f>_xll.qlCalendarAdvance(Calendar,X2418,W2419,"f",FALSE)</f>
        <v>55787</v>
      </c>
      <c r="Y2419" s="204">
        <f>_xll.qlCalendarAdvance(Calendar,X2419,NDays&amp;"D")</f>
        <v>55789</v>
      </c>
      <c r="Z2419" s="205">
        <v>3.2871985143209714E-2</v>
      </c>
      <c r="AA2419" s="207">
        <v>3.2838959590328898E-2</v>
      </c>
    </row>
    <row r="2420" spans="19:27" x14ac:dyDescent="0.2">
      <c r="S2420" s="165"/>
      <c r="T2420" s="166"/>
      <c r="W2420" s="199" t="str">
        <f t="shared" si="46"/>
        <v>1w</v>
      </c>
      <c r="X2420" s="200">
        <f>_xll.qlCalendarAdvance(Calendar,X2419,W2420,"f",FALSE)</f>
        <v>55794</v>
      </c>
      <c r="Y2420" s="204">
        <f>_xll.qlCalendarAdvance(Calendar,X2420,NDays&amp;"D")</f>
        <v>55796</v>
      </c>
      <c r="Z2420" s="205">
        <v>3.2864375747286019E-2</v>
      </c>
      <c r="AA2420" s="207">
        <v>3.2831384408567033E-2</v>
      </c>
    </row>
    <row r="2421" spans="19:27" x14ac:dyDescent="0.2">
      <c r="S2421" s="165"/>
      <c r="T2421" s="166"/>
      <c r="W2421" s="199" t="str">
        <f t="shared" si="46"/>
        <v>1w</v>
      </c>
      <c r="X2421" s="200">
        <f>_xll.qlCalendarAdvance(Calendar,X2420,W2421,"f",FALSE)</f>
        <v>55801</v>
      </c>
      <c r="Y2421" s="204">
        <f>_xll.qlCalendarAdvance(Calendar,X2421,NDays&amp;"D")</f>
        <v>55803</v>
      </c>
      <c r="Z2421" s="205">
        <v>3.2857710841198429E-2</v>
      </c>
      <c r="AA2421" s="207">
        <v>3.2823800680761295E-2</v>
      </c>
    </row>
    <row r="2422" spans="19:27" x14ac:dyDescent="0.2">
      <c r="S2422" s="165"/>
      <c r="T2422" s="166"/>
      <c r="W2422" s="199" t="str">
        <f t="shared" si="46"/>
        <v>1w</v>
      </c>
      <c r="X2422" s="200">
        <f>_xll.qlCalendarAdvance(Calendar,X2421,W2422,"f",FALSE)</f>
        <v>55808</v>
      </c>
      <c r="Y2422" s="204">
        <f>_xll.qlCalendarAdvance(Calendar,X2422,NDays&amp;"D")</f>
        <v>55810</v>
      </c>
      <c r="Z2422" s="205">
        <v>3.2849131260529213E-2</v>
      </c>
      <c r="AA2422" s="207">
        <v>3.2816208406512004E-2</v>
      </c>
    </row>
    <row r="2423" spans="19:27" x14ac:dyDescent="0.2">
      <c r="S2423" s="165"/>
      <c r="T2423" s="166"/>
      <c r="W2423" s="199" t="str">
        <f t="shared" si="46"/>
        <v>1w</v>
      </c>
      <c r="X2423" s="200">
        <f>_xll.qlCalendarAdvance(Calendar,X2422,W2423,"f",FALSE)</f>
        <v>55815</v>
      </c>
      <c r="Y2423" s="204">
        <f>_xll.qlCalendarAdvance(Calendar,X2423,NDays&amp;"D")</f>
        <v>55817</v>
      </c>
      <c r="Z2423" s="205">
        <v>3.2841496169727036E-2</v>
      </c>
      <c r="AA2423" s="207">
        <v>3.2808607585899097E-2</v>
      </c>
    </row>
    <row r="2424" spans="19:27" x14ac:dyDescent="0.2">
      <c r="S2424" s="165"/>
      <c r="T2424" s="166"/>
      <c r="W2424" s="199" t="str">
        <f t="shared" si="46"/>
        <v>1w</v>
      </c>
      <c r="X2424" s="200">
        <f>_xll.qlCalendarAdvance(Calendar,X2423,W2424,"f",FALSE)</f>
        <v>55822</v>
      </c>
      <c r="Y2424" s="204">
        <f>_xll.qlCalendarAdvance(Calendar,X2424,NDays&amp;"D")</f>
        <v>55824</v>
      </c>
      <c r="Z2424" s="205">
        <v>3.2833852513992873E-2</v>
      </c>
      <c r="AA2424" s="207">
        <v>3.28009982187627E-2</v>
      </c>
    </row>
    <row r="2425" spans="19:27" x14ac:dyDescent="0.2">
      <c r="S2425" s="165"/>
      <c r="T2425" s="166"/>
      <c r="W2425" s="199" t="str">
        <f t="shared" si="46"/>
        <v>1w</v>
      </c>
      <c r="X2425" s="200">
        <f>_xll.qlCalendarAdvance(Calendar,X2424,W2425,"f",FALSE)</f>
        <v>55829</v>
      </c>
      <c r="Y2425" s="204">
        <f>_xll.qlCalendarAdvance(Calendar,X2425,NDays&amp;"D")</f>
        <v>55831</v>
      </c>
      <c r="Z2425" s="205">
        <v>3.2826200293352509E-2</v>
      </c>
      <c r="AA2425" s="207">
        <v>3.2793380305342623E-2</v>
      </c>
    </row>
    <row r="2426" spans="19:27" x14ac:dyDescent="0.2">
      <c r="S2426" s="165"/>
      <c r="T2426" s="166"/>
      <c r="W2426" s="199" t="str">
        <f t="shared" si="46"/>
        <v>1w</v>
      </c>
      <c r="X2426" s="200">
        <f>_xll.qlCalendarAdvance(Calendar,X2425,W2426,"f",FALSE)</f>
        <v>55836</v>
      </c>
      <c r="Y2426" s="204">
        <f>_xll.qlCalendarAdvance(Calendar,X2426,NDays&amp;"D")</f>
        <v>55838</v>
      </c>
      <c r="Z2426" s="205">
        <v>3.2818539507813674E-2</v>
      </c>
      <c r="AA2426" s="207">
        <v>3.2785753845478993E-2</v>
      </c>
    </row>
    <row r="2427" spans="19:27" x14ac:dyDescent="0.2">
      <c r="S2427" s="165"/>
      <c r="T2427" s="166"/>
      <c r="W2427" s="199" t="str">
        <f t="shared" si="46"/>
        <v>1w</v>
      </c>
      <c r="X2427" s="200">
        <f>_xll.qlCalendarAdvance(Calendar,X2426,W2427,"f",FALSE)</f>
        <v>55843</v>
      </c>
      <c r="Y2427" s="204">
        <f>_xll.qlCalendarAdvance(Calendar,X2427,NDays&amp;"D")</f>
        <v>55845</v>
      </c>
      <c r="Z2427" s="205">
        <v>3.2810870157404734E-2</v>
      </c>
      <c r="AA2427" s="207">
        <v>3.2778118839091874E-2</v>
      </c>
    </row>
    <row r="2428" spans="19:27" x14ac:dyDescent="0.2">
      <c r="S2428" s="165"/>
      <c r="T2428" s="166"/>
      <c r="W2428" s="199" t="str">
        <f t="shared" si="46"/>
        <v>1w</v>
      </c>
      <c r="X2428" s="200">
        <f>_xll.qlCalendarAdvance(Calendar,X2427,W2428,"f",FALSE)</f>
        <v>55850</v>
      </c>
      <c r="Y2428" s="204">
        <f>_xll.qlCalendarAdvance(Calendar,X2428,NDays&amp;"D")</f>
        <v>55852</v>
      </c>
      <c r="Z2428" s="205">
        <v>3.280413613597627E-2</v>
      </c>
      <c r="AA2428" s="207">
        <v>3.2770475286580947E-2</v>
      </c>
    </row>
    <row r="2429" spans="19:27" x14ac:dyDescent="0.2">
      <c r="S2429" s="165"/>
      <c r="T2429" s="166"/>
      <c r="W2429" s="199" t="str">
        <f t="shared" si="46"/>
        <v>1w</v>
      </c>
      <c r="X2429" s="200">
        <f>_xll.qlCalendarAdvance(Calendar,X2428,W2429,"f",FALSE)</f>
        <v>55857</v>
      </c>
      <c r="Y2429" s="204">
        <f>_xll.qlCalendarAdvance(Calendar,X2429,NDays&amp;"D")</f>
        <v>55859</v>
      </c>
      <c r="Z2429" s="205">
        <v>3.2795505762017799E-2</v>
      </c>
      <c r="AA2429" s="207">
        <v>3.2762823187626466E-2</v>
      </c>
    </row>
    <row r="2430" spans="19:27" x14ac:dyDescent="0.2">
      <c r="S2430" s="165"/>
      <c r="T2430" s="166"/>
      <c r="W2430" s="199" t="str">
        <f t="shared" si="46"/>
        <v>1w</v>
      </c>
      <c r="X2430" s="200">
        <f>_xll.qlCalendarAdvance(Calendar,X2429,W2430,"f",FALSE)</f>
        <v>55864</v>
      </c>
      <c r="Y2430" s="204">
        <f>_xll.qlCalendarAdvance(Calendar,X2430,NDays&amp;"D")</f>
        <v>55866</v>
      </c>
      <c r="Z2430" s="205">
        <v>3.2787810717078487E-2</v>
      </c>
      <c r="AA2430" s="207">
        <v>3.2755162542228433E-2</v>
      </c>
    </row>
    <row r="2431" spans="19:27" x14ac:dyDescent="0.2">
      <c r="S2431" s="165"/>
      <c r="T2431" s="166"/>
      <c r="W2431" s="199" t="str">
        <f t="shared" si="46"/>
        <v>1w</v>
      </c>
      <c r="X2431" s="200">
        <f>_xll.qlCalendarAdvance(Calendar,X2430,W2431,"f",FALSE)</f>
        <v>55871</v>
      </c>
      <c r="Y2431" s="204">
        <f>_xll.qlCalendarAdvance(Calendar,X2431,NDays&amp;"D")</f>
        <v>55873</v>
      </c>
      <c r="Z2431" s="205">
        <v>3.2781047065812974E-2</v>
      </c>
      <c r="AA2431" s="207">
        <v>3.2749375770899647E-2</v>
      </c>
    </row>
    <row r="2432" spans="19:27" x14ac:dyDescent="0.2">
      <c r="S2432" s="165"/>
      <c r="T2432" s="166"/>
      <c r="W2432" s="199" t="str">
        <f t="shared" si="46"/>
        <v>1w</v>
      </c>
      <c r="X2432" s="200">
        <f>_xll.qlCalendarAdvance(Calendar,X2431,W2432,"f",FALSE)</f>
        <v>55880</v>
      </c>
      <c r="Y2432" s="204">
        <f>_xll.qlCalendarAdvance(Calendar,X2432,NDays&amp;"D")</f>
        <v>55884</v>
      </c>
      <c r="Z2432" s="205">
        <v>3.2767984130499528E-2</v>
      </c>
      <c r="AA2432" s="207">
        <v>3.2738401217180524E-2</v>
      </c>
    </row>
    <row r="2433" spans="19:27" x14ac:dyDescent="0.2">
      <c r="S2433" s="165"/>
      <c r="T2433" s="166"/>
      <c r="W2433" s="199" t="str">
        <f t="shared" si="46"/>
        <v>1w</v>
      </c>
      <c r="X2433" s="200">
        <f>_xll.qlCalendarAdvance(Calendar,X2432,W2433,"f",FALSE)</f>
        <v>55887</v>
      </c>
      <c r="Y2433" s="204">
        <f>_xll.qlCalendarAdvance(Calendar,X2433,NDays&amp;"D")</f>
        <v>55891</v>
      </c>
      <c r="Z2433" s="205">
        <v>3.2760258497034955E-2</v>
      </c>
      <c r="AA2433" s="207">
        <v>3.2729931676751534E-2</v>
      </c>
    </row>
    <row r="2434" spans="19:27" x14ac:dyDescent="0.2">
      <c r="S2434" s="165"/>
      <c r="T2434" s="166"/>
      <c r="W2434" s="199" t="str">
        <f t="shared" si="46"/>
        <v>1w</v>
      </c>
      <c r="X2434" s="200">
        <f>_xll.qlCalendarAdvance(Calendar,X2433,W2434,"f",FALSE)</f>
        <v>55894</v>
      </c>
      <c r="Y2434" s="204">
        <f>_xll.qlCalendarAdvance(Calendar,X2434,NDays&amp;"D")</f>
        <v>55898</v>
      </c>
      <c r="Z2434" s="205">
        <v>3.2752524298818891E-2</v>
      </c>
      <c r="AA2434" s="207">
        <v>3.2722234403932404E-2</v>
      </c>
    </row>
    <row r="2435" spans="19:27" x14ac:dyDescent="0.2">
      <c r="S2435" s="165"/>
      <c r="T2435" s="166"/>
      <c r="W2435" s="199" t="str">
        <f t="shared" si="46"/>
        <v>1w</v>
      </c>
      <c r="X2435" s="200">
        <f>_xll.qlCalendarAdvance(Calendar,X2434,W2435,"f",FALSE)</f>
        <v>55901</v>
      </c>
      <c r="Y2435" s="204">
        <f>_xll.qlCalendarAdvance(Calendar,X2435,NDays&amp;"D")</f>
        <v>55905</v>
      </c>
      <c r="Z2435" s="205">
        <v>3.2744781535882284E-2</v>
      </c>
      <c r="AA2435" s="207">
        <v>3.2714528584829594E-2</v>
      </c>
    </row>
    <row r="2436" spans="19:27" x14ac:dyDescent="0.2">
      <c r="S2436" s="165"/>
      <c r="T2436" s="166"/>
      <c r="W2436" s="199" t="str">
        <f t="shared" si="46"/>
        <v>1w</v>
      </c>
      <c r="X2436" s="200">
        <f>_xll.qlCalendarAdvance(Calendar,X2435,W2436,"f",FALSE)</f>
        <v>55908</v>
      </c>
      <c r="Y2436" s="204">
        <f>_xll.qlCalendarAdvance(Calendar,X2436,NDays&amp;"D")</f>
        <v>55912</v>
      </c>
      <c r="Z2436" s="205">
        <v>3.2737030208219969E-2</v>
      </c>
      <c r="AA2436" s="207">
        <v>3.2706814219363167E-2</v>
      </c>
    </row>
    <row r="2437" spans="19:27" x14ac:dyDescent="0.2">
      <c r="S2437" s="165"/>
      <c r="T2437" s="166"/>
      <c r="W2437" s="199" t="str">
        <f t="shared" si="46"/>
        <v>1w</v>
      </c>
      <c r="X2437" s="200">
        <f>_xll.qlCalendarAdvance(Calendar,X2436,W2437,"f",FALSE)</f>
        <v>55915</v>
      </c>
      <c r="Y2437" s="204">
        <f>_xll.qlCalendarAdvance(Calendar,X2437,NDays&amp;"D")</f>
        <v>55919</v>
      </c>
      <c r="Z2437" s="205">
        <v>3.2726475944785234E-2</v>
      </c>
      <c r="AA2437" s="207">
        <v>3.2699091307293315E-2</v>
      </c>
    </row>
    <row r="2438" spans="19:27" x14ac:dyDescent="0.2">
      <c r="S2438" s="165"/>
      <c r="T2438" s="166"/>
      <c r="W2438" s="199" t="str">
        <f t="shared" si="46"/>
        <v>1w</v>
      </c>
      <c r="X2438" s="200">
        <f>_xll.qlCalendarAdvance(Calendar,X2437,W2438,"f",FALSE)</f>
        <v>55922</v>
      </c>
      <c r="Y2438" s="204">
        <f>_xll.qlCalendarAdvance(Calendar,X2438,NDays&amp;"D")</f>
        <v>55926</v>
      </c>
      <c r="Z2438" s="205">
        <v>3.271871143793062E-2</v>
      </c>
      <c r="AA2438" s="207">
        <v>3.2691359849099655E-2</v>
      </c>
    </row>
    <row r="2439" spans="19:27" x14ac:dyDescent="0.2">
      <c r="S2439" s="165"/>
      <c r="T2439" s="166"/>
      <c r="W2439" s="199" t="str">
        <f t="shared" si="46"/>
        <v>1w</v>
      </c>
      <c r="X2439" s="200">
        <f>_xll.qlCalendarAdvance(Calendar,X2438,W2439,"f",FALSE)</f>
        <v>55929</v>
      </c>
      <c r="Y2439" s="204">
        <f>_xll.qlCalendarAdvance(Calendar,X2439,NDays&amp;"D")</f>
        <v>55933</v>
      </c>
      <c r="Z2439" s="205">
        <v>3.2710938368231295E-2</v>
      </c>
      <c r="AA2439" s="207">
        <v>3.2683619844462442E-2</v>
      </c>
    </row>
    <row r="2440" spans="19:27" x14ac:dyDescent="0.2">
      <c r="S2440" s="165"/>
      <c r="T2440" s="166"/>
      <c r="W2440" s="199" t="str">
        <f t="shared" si="46"/>
        <v>1w</v>
      </c>
      <c r="X2440" s="200">
        <f>_xll.qlCalendarAdvance(Calendar,X2439,W2440,"f",FALSE)</f>
        <v>55936</v>
      </c>
      <c r="Y2440" s="204">
        <f>_xll.qlCalendarAdvance(Calendar,X2440,NDays&amp;"D")</f>
        <v>55940</v>
      </c>
      <c r="Z2440" s="205">
        <v>3.2703156735715791E-2</v>
      </c>
      <c r="AA2440" s="207">
        <v>3.2675871293381675E-2</v>
      </c>
    </row>
    <row r="2441" spans="19:27" x14ac:dyDescent="0.2">
      <c r="S2441" s="165"/>
      <c r="T2441" s="166"/>
      <c r="W2441" s="199" t="str">
        <f t="shared" si="46"/>
        <v>1w</v>
      </c>
      <c r="X2441" s="200">
        <f>_xll.qlCalendarAdvance(Calendar,X2440,W2441,"f",FALSE)</f>
        <v>55943</v>
      </c>
      <c r="Y2441" s="204">
        <f>_xll.qlCalendarAdvance(Calendar,X2441,NDays&amp;"D")</f>
        <v>55947</v>
      </c>
      <c r="Z2441" s="205">
        <v>3.2701848870232447E-2</v>
      </c>
      <c r="AA2441" s="207">
        <v>3.2668114196017228E-2</v>
      </c>
    </row>
    <row r="2442" spans="19:27" x14ac:dyDescent="0.2">
      <c r="S2442" s="165"/>
      <c r="T2442" s="166"/>
      <c r="W2442" s="199" t="str">
        <f t="shared" si="46"/>
        <v>1w</v>
      </c>
      <c r="X2442" s="200">
        <f>_xll.qlCalendarAdvance(Calendar,X2441,W2442,"f",FALSE)</f>
        <v>55950</v>
      </c>
      <c r="Y2442" s="204">
        <f>_xll.qlCalendarAdvance(Calendar,X2442,NDays&amp;"D")</f>
        <v>55954</v>
      </c>
      <c r="Z2442" s="205">
        <v>3.2690342384246639E-2</v>
      </c>
      <c r="AA2442" s="207">
        <v>3.2660348552289165E-2</v>
      </c>
    </row>
    <row r="2443" spans="19:27" x14ac:dyDescent="0.2">
      <c r="S2443" s="165"/>
      <c r="T2443" s="166"/>
      <c r="W2443" s="199" t="str">
        <f t="shared" si="46"/>
        <v>1w</v>
      </c>
      <c r="X2443" s="200">
        <f>_xll.qlCalendarAdvance(Calendar,X2442,W2443,"f",FALSE)</f>
        <v>55957</v>
      </c>
      <c r="Y2443" s="204">
        <f>_xll.qlCalendarAdvance(Calendar,X2443,NDays&amp;"D")</f>
        <v>55961</v>
      </c>
      <c r="Z2443" s="205">
        <v>3.2682531104076852E-2</v>
      </c>
      <c r="AA2443" s="207">
        <v>3.2652574362037612E-2</v>
      </c>
    </row>
    <row r="2444" spans="19:27" x14ac:dyDescent="0.2">
      <c r="S2444" s="165"/>
      <c r="T2444" s="166"/>
      <c r="W2444" s="199" t="str">
        <f t="shared" si="46"/>
        <v>1w</v>
      </c>
      <c r="X2444" s="200">
        <f>_xll.qlCalendarAdvance(Calendar,X2443,W2444,"f",FALSE)</f>
        <v>55964</v>
      </c>
      <c r="Y2444" s="204">
        <f>_xll.qlCalendarAdvance(Calendar,X2444,NDays&amp;"D")</f>
        <v>55968</v>
      </c>
      <c r="Z2444" s="205">
        <v>3.2674711259323183E-2</v>
      </c>
      <c r="AA2444" s="207">
        <v>3.2644791625342506E-2</v>
      </c>
    </row>
    <row r="2445" spans="19:27" x14ac:dyDescent="0.2">
      <c r="S2445" s="165"/>
      <c r="T2445" s="166"/>
      <c r="W2445" s="199" t="str">
        <f t="shared" si="46"/>
        <v>1w</v>
      </c>
      <c r="X2445" s="200">
        <f>_xll.qlCalendarAdvance(Calendar,X2444,W2445,"f",FALSE)</f>
        <v>55971</v>
      </c>
      <c r="Y2445" s="204">
        <f>_xll.qlCalendarAdvance(Calendar,X2445,NDays&amp;"D")</f>
        <v>55975</v>
      </c>
      <c r="Z2445" s="205">
        <v>3.2665962014051253E-2</v>
      </c>
      <c r="AA2445" s="207">
        <v>3.2640689878240536E-2</v>
      </c>
    </row>
    <row r="2446" spans="19:27" x14ac:dyDescent="0.2">
      <c r="S2446" s="165"/>
      <c r="T2446" s="166"/>
      <c r="W2446" s="199" t="str">
        <f t="shared" si="46"/>
        <v>1w</v>
      </c>
      <c r="X2446" s="200">
        <f>_xll.qlCalendarAdvance(Calendar,X2445,W2446,"f",FALSE)</f>
        <v>55982</v>
      </c>
      <c r="Y2446" s="204">
        <f>_xll.qlCalendarAdvance(Calendar,X2446,NDays&amp;"D")</f>
        <v>55984</v>
      </c>
      <c r="Z2446" s="205">
        <v>3.2657724233716712E-2</v>
      </c>
      <c r="AA2446" s="207">
        <v>3.262473963071777E-2</v>
      </c>
    </row>
    <row r="2447" spans="19:27" x14ac:dyDescent="0.2">
      <c r="S2447" s="165"/>
      <c r="T2447" s="166"/>
      <c r="W2447" s="199" t="str">
        <f t="shared" si="46"/>
        <v>1w</v>
      </c>
      <c r="X2447" s="200">
        <f>_xll.qlCalendarAdvance(Calendar,X2446,W2447,"f",FALSE)</f>
        <v>55989</v>
      </c>
      <c r="Y2447" s="204">
        <f>_xll.qlCalendarAdvance(Calendar,X2447,NDays&amp;"D")</f>
        <v>55991</v>
      </c>
      <c r="Z2447" s="205">
        <v>3.2649874925680666E-2</v>
      </c>
      <c r="AA2447" s="207">
        <v>3.26169263713183E-2</v>
      </c>
    </row>
    <row r="2448" spans="19:27" x14ac:dyDescent="0.2">
      <c r="S2448" s="165"/>
      <c r="T2448" s="166"/>
      <c r="W2448" s="199" t="str">
        <f t="shared" si="46"/>
        <v>1w</v>
      </c>
      <c r="X2448" s="200">
        <f>_xll.qlCalendarAdvance(Calendar,X2447,W2448,"f",FALSE)</f>
        <v>55996</v>
      </c>
      <c r="Y2448" s="204">
        <f>_xll.qlCalendarAdvance(Calendar,X2448,NDays&amp;"D")</f>
        <v>55998</v>
      </c>
      <c r="Z2448" s="205">
        <v>3.2642933401837743E-2</v>
      </c>
      <c r="AA2448" s="207">
        <v>3.2609104565795022E-2</v>
      </c>
    </row>
    <row r="2449" spans="19:27" x14ac:dyDescent="0.2">
      <c r="S2449" s="165"/>
      <c r="T2449" s="166"/>
      <c r="W2449" s="199" t="str">
        <f t="shared" si="46"/>
        <v>1w</v>
      </c>
      <c r="X2449" s="200">
        <f>_xll.qlCalendarAdvance(Calendar,X2448,W2449,"f",FALSE)</f>
        <v>56003</v>
      </c>
      <c r="Y2449" s="204">
        <f>_xll.qlCalendarAdvance(Calendar,X2449,NDays&amp;"D")</f>
        <v>56005</v>
      </c>
      <c r="Z2449" s="205">
        <v>3.2634150614302693E-2</v>
      </c>
      <c r="AA2449" s="207">
        <v>3.2600154894391054E-2</v>
      </c>
    </row>
    <row r="2450" spans="19:27" x14ac:dyDescent="0.2">
      <c r="S2450" s="165"/>
      <c r="T2450" s="166"/>
      <c r="W2450" s="199" t="str">
        <f t="shared" si="46"/>
        <v>1w</v>
      </c>
      <c r="X2450" s="200">
        <f>_xll.qlCalendarAdvance(Calendar,X2449,W2450,"f",FALSE)</f>
        <v>56010</v>
      </c>
      <c r="Y2450" s="204">
        <f>_xll.qlCalendarAdvance(Calendar,X2450,NDays&amp;"D")</f>
        <v>56012</v>
      </c>
      <c r="Z2450" s="205">
        <v>3.2626275611000732E-2</v>
      </c>
      <c r="AA2450" s="207">
        <v>3.2593435315177999E-2</v>
      </c>
    </row>
    <row r="2451" spans="19:27" x14ac:dyDescent="0.2">
      <c r="S2451" s="165"/>
      <c r="T2451" s="166"/>
      <c r="W2451" s="199" t="str">
        <f t="shared" si="46"/>
        <v>1w</v>
      </c>
      <c r="X2451" s="200">
        <f>_xll.qlCalendarAdvance(Calendar,X2450,W2451,"f",FALSE)</f>
        <v>56017</v>
      </c>
      <c r="Y2451" s="204">
        <f>_xll.qlCalendarAdvance(Calendar,X2451,NDays&amp;"D")</f>
        <v>56019</v>
      </c>
      <c r="Z2451" s="205">
        <v>3.2618392042650102E-2</v>
      </c>
      <c r="AA2451" s="207">
        <v>3.2585587870324062E-2</v>
      </c>
    </row>
    <row r="2452" spans="19:27" x14ac:dyDescent="0.2">
      <c r="S2452" s="165"/>
      <c r="T2452" s="166"/>
      <c r="W2452" s="199" t="str">
        <f t="shared" si="46"/>
        <v>1w</v>
      </c>
      <c r="X2452" s="200">
        <f>_xll.qlCalendarAdvance(Calendar,X2451,W2452,"f",FALSE)</f>
        <v>56024</v>
      </c>
      <c r="Y2452" s="204">
        <f>_xll.qlCalendarAdvance(Calendar,X2452,NDays&amp;"D")</f>
        <v>56026</v>
      </c>
      <c r="Z2452" s="205">
        <v>3.2610499909258295E-2</v>
      </c>
      <c r="AA2452" s="207">
        <v>3.2576608896999204E-2</v>
      </c>
    </row>
    <row r="2453" spans="19:27" x14ac:dyDescent="0.2">
      <c r="S2453" s="165"/>
      <c r="T2453" s="166"/>
      <c r="W2453" s="199" t="str">
        <f t="shared" ref="W2453:W2516" si="47">W2452</f>
        <v>1w</v>
      </c>
      <c r="X2453" s="200">
        <f>_xll.qlCalendarAdvance(Calendar,X2452,W2453,"f",FALSE)</f>
        <v>56031</v>
      </c>
      <c r="Y2453" s="204">
        <f>_xll.qlCalendarAdvance(Calendar,X2453,NDays&amp;"D")</f>
        <v>56033</v>
      </c>
      <c r="Z2453" s="205">
        <v>3.2602599210860284E-2</v>
      </c>
      <c r="AA2453" s="207">
        <v>3.2569867341605274E-2</v>
      </c>
    </row>
    <row r="2454" spans="19:27" x14ac:dyDescent="0.2">
      <c r="S2454" s="165"/>
      <c r="T2454" s="166"/>
      <c r="W2454" s="199" t="str">
        <f t="shared" si="47"/>
        <v>1w</v>
      </c>
      <c r="X2454" s="200">
        <f>_xll.qlCalendarAdvance(Calendar,X2453,W2454,"f",FALSE)</f>
        <v>56038</v>
      </c>
      <c r="Y2454" s="204">
        <f>_xll.qlCalendarAdvance(Calendar,X2454,NDays&amp;"D")</f>
        <v>56040</v>
      </c>
      <c r="Z2454" s="205">
        <v>3.259468994745357E-2</v>
      </c>
      <c r="AA2454" s="207">
        <v>3.2561994257580551E-2</v>
      </c>
    </row>
    <row r="2455" spans="19:27" x14ac:dyDescent="0.2">
      <c r="S2455" s="165"/>
      <c r="T2455" s="166"/>
      <c r="W2455" s="199" t="str">
        <f t="shared" si="47"/>
        <v>1w</v>
      </c>
      <c r="X2455" s="200">
        <f>_xll.qlCalendarAdvance(Calendar,X2454,W2455,"f",FALSE)</f>
        <v>56045</v>
      </c>
      <c r="Y2455" s="204">
        <f>_xll.qlCalendarAdvance(Calendar,X2455,NDays&amp;"D")</f>
        <v>56047</v>
      </c>
      <c r="Z2455" s="205">
        <v>3.258677211906813E-2</v>
      </c>
      <c r="AA2455" s="207">
        <v>3.2554112627432019E-2</v>
      </c>
    </row>
    <row r="2456" spans="19:27" x14ac:dyDescent="0.2">
      <c r="S2456" s="165"/>
      <c r="T2456" s="166"/>
      <c r="W2456" s="199" t="str">
        <f t="shared" si="47"/>
        <v>1w</v>
      </c>
      <c r="X2456" s="200">
        <f>_xll.qlCalendarAdvance(Calendar,X2455,W2456,"f",FALSE)</f>
        <v>56052</v>
      </c>
      <c r="Y2456" s="204">
        <f>_xll.qlCalendarAdvance(Calendar,X2456,NDays&amp;"D")</f>
        <v>56054</v>
      </c>
      <c r="Z2456" s="205">
        <v>3.2578845725723948E-2</v>
      </c>
      <c r="AA2456" s="207">
        <v>3.2546222450759998E-2</v>
      </c>
    </row>
    <row r="2457" spans="19:27" x14ac:dyDescent="0.2">
      <c r="S2457" s="165"/>
      <c r="T2457" s="166"/>
      <c r="W2457" s="199" t="str">
        <f t="shared" si="47"/>
        <v>1w</v>
      </c>
      <c r="X2457" s="200">
        <f>_xll.qlCalendarAdvance(Calendar,X2456,W2457,"f",FALSE)</f>
        <v>56059</v>
      </c>
      <c r="Y2457" s="204">
        <f>_xll.qlCalendarAdvance(Calendar,X2457,NDays&amp;"D")</f>
        <v>56061</v>
      </c>
      <c r="Z2457" s="205">
        <v>3.257091076743851E-2</v>
      </c>
      <c r="AA2457" s="207">
        <v>3.2538323727484553E-2</v>
      </c>
    </row>
    <row r="2458" spans="19:27" x14ac:dyDescent="0.2">
      <c r="S2458" s="165"/>
      <c r="T2458" s="166"/>
      <c r="W2458" s="199" t="str">
        <f t="shared" si="47"/>
        <v>1w</v>
      </c>
      <c r="X2458" s="200">
        <f>_xll.qlCalendarAdvance(Calendar,X2457,W2458,"f",FALSE)</f>
        <v>56066</v>
      </c>
      <c r="Y2458" s="204">
        <f>_xll.qlCalendarAdvance(Calendar,X2458,NDays&amp;"D")</f>
        <v>56068</v>
      </c>
      <c r="Z2458" s="205">
        <v>3.2562967244221808E-2</v>
      </c>
      <c r="AA2458" s="207">
        <v>3.2530416458085298E-2</v>
      </c>
    </row>
    <row r="2459" spans="19:27" x14ac:dyDescent="0.2">
      <c r="S2459" s="165"/>
      <c r="T2459" s="166"/>
      <c r="W2459" s="199" t="str">
        <f t="shared" si="47"/>
        <v>1w</v>
      </c>
      <c r="X2459" s="200">
        <f>_xll.qlCalendarAdvance(Calendar,X2458,W2459,"f",FALSE)</f>
        <v>56073</v>
      </c>
      <c r="Y2459" s="204">
        <f>_xll.qlCalendarAdvance(Calendar,X2459,NDays&amp;"D")</f>
        <v>56075</v>
      </c>
      <c r="Z2459" s="205">
        <v>3.2555015156101319E-2</v>
      </c>
      <c r="AA2459" s="207">
        <v>3.2522500642322427E-2</v>
      </c>
    </row>
    <row r="2460" spans="19:27" x14ac:dyDescent="0.2">
      <c r="S2460" s="165"/>
      <c r="T2460" s="166"/>
      <c r="W2460" s="199" t="str">
        <f t="shared" si="47"/>
        <v>1w</v>
      </c>
      <c r="X2460" s="200">
        <f>_xll.qlCalendarAdvance(Calendar,X2459,W2460,"f",FALSE)</f>
        <v>56080</v>
      </c>
      <c r="Y2460" s="204">
        <f>_xll.qlCalendarAdvance(Calendar,X2460,NDays&amp;"D")</f>
        <v>56082</v>
      </c>
      <c r="Z2460" s="205">
        <v>3.2547054503087036E-2</v>
      </c>
      <c r="AA2460" s="207">
        <v>3.2514576280275875E-2</v>
      </c>
    </row>
    <row r="2461" spans="19:27" x14ac:dyDescent="0.2">
      <c r="S2461" s="165"/>
      <c r="T2461" s="166"/>
      <c r="W2461" s="199" t="str">
        <f t="shared" si="47"/>
        <v>1w</v>
      </c>
      <c r="X2461" s="200">
        <f>_xll.qlCalendarAdvance(Calendar,X2460,W2461,"f",FALSE)</f>
        <v>56087</v>
      </c>
      <c r="Y2461" s="204">
        <f>_xll.qlCalendarAdvance(Calendar,X2461,NDays&amp;"D")</f>
        <v>56089</v>
      </c>
      <c r="Z2461" s="205">
        <v>3.2539984375481855E-2</v>
      </c>
      <c r="AA2461" s="207">
        <v>3.2506643371625898E-2</v>
      </c>
    </row>
    <row r="2462" spans="19:27" x14ac:dyDescent="0.2">
      <c r="S2462" s="165"/>
      <c r="T2462" s="166"/>
      <c r="W2462" s="199" t="str">
        <f t="shared" si="47"/>
        <v>1w</v>
      </c>
      <c r="X2462" s="200">
        <f>_xll.qlCalendarAdvance(Calendar,X2461,W2462,"f",FALSE)</f>
        <v>56094</v>
      </c>
      <c r="Y2462" s="204">
        <f>_xll.qlCalendarAdvance(Calendar,X2462,NDays&amp;"D")</f>
        <v>56096</v>
      </c>
      <c r="Z2462" s="205">
        <v>3.2528413789767223E-2</v>
      </c>
      <c r="AA2462" s="207">
        <v>3.2498701916852113E-2</v>
      </c>
    </row>
    <row r="2463" spans="19:27" x14ac:dyDescent="0.2">
      <c r="S2463" s="165"/>
      <c r="T2463" s="166"/>
      <c r="W2463" s="199" t="str">
        <f t="shared" si="47"/>
        <v>1w</v>
      </c>
      <c r="X2463" s="200">
        <f>_xll.qlCalendarAdvance(Calendar,X2462,W2463,"f",FALSE)</f>
        <v>56101</v>
      </c>
      <c r="Y2463" s="204">
        <f>_xll.qlCalendarAdvance(Calendar,X2463,NDays&amp;"D")</f>
        <v>56103</v>
      </c>
      <c r="Z2463" s="205">
        <v>3.2523121154898749E-2</v>
      </c>
      <c r="AA2463" s="207">
        <v>3.2490751915394966E-2</v>
      </c>
    </row>
    <row r="2464" spans="19:27" x14ac:dyDescent="0.2">
      <c r="S2464" s="165"/>
      <c r="T2464" s="166"/>
      <c r="W2464" s="199" t="str">
        <f t="shared" si="47"/>
        <v>1w</v>
      </c>
      <c r="X2464" s="200">
        <f>_xll.qlCalendarAdvance(Calendar,X2463,W2464,"f",FALSE)</f>
        <v>56108</v>
      </c>
      <c r="Y2464" s="204">
        <f>_xll.qlCalendarAdvance(Calendar,X2464,NDays&amp;"D")</f>
        <v>56110</v>
      </c>
      <c r="Z2464" s="205">
        <v>3.2515126242509129E-2</v>
      </c>
      <c r="AA2464" s="207">
        <v>3.2482793367893947E-2</v>
      </c>
    </row>
    <row r="2465" spans="19:27" x14ac:dyDescent="0.2">
      <c r="S2465" s="165"/>
      <c r="T2465" s="166"/>
      <c r="W2465" s="199" t="str">
        <f t="shared" si="47"/>
        <v>1w</v>
      </c>
      <c r="X2465" s="200">
        <f>_xll.qlCalendarAdvance(Calendar,X2464,W2465,"f",FALSE)</f>
        <v>56115</v>
      </c>
      <c r="Y2465" s="204">
        <f>_xll.qlCalendarAdvance(Calendar,X2465,NDays&amp;"D")</f>
        <v>56117</v>
      </c>
      <c r="Z2465" s="205">
        <v>3.250712276532064E-2</v>
      </c>
      <c r="AA2465" s="207">
        <v>3.2473687419818376E-2</v>
      </c>
    </row>
    <row r="2466" spans="19:27" x14ac:dyDescent="0.2">
      <c r="S2466" s="165"/>
      <c r="T2466" s="166"/>
      <c r="W2466" s="199" t="str">
        <f t="shared" si="47"/>
        <v>1w</v>
      </c>
      <c r="X2466" s="200">
        <f>_xll.qlCalendarAdvance(Calendar,X2465,W2466,"f",FALSE)</f>
        <v>56122</v>
      </c>
      <c r="Y2466" s="204">
        <f>_xll.qlCalendarAdvance(Calendar,X2466,NDays&amp;"D")</f>
        <v>56124</v>
      </c>
      <c r="Z2466" s="205">
        <v>3.2499110723348268E-2</v>
      </c>
      <c r="AA2466" s="207">
        <v>3.2466850633481315E-2</v>
      </c>
    </row>
    <row r="2467" spans="19:27" x14ac:dyDescent="0.2">
      <c r="S2467" s="165"/>
      <c r="T2467" s="166"/>
      <c r="W2467" s="199" t="str">
        <f t="shared" si="47"/>
        <v>1w</v>
      </c>
      <c r="X2467" s="200">
        <f>_xll.qlCalendarAdvance(Calendar,X2466,W2467,"f",FALSE)</f>
        <v>56129</v>
      </c>
      <c r="Y2467" s="204">
        <f>_xll.qlCalendarAdvance(Calendar,X2467,NDays&amp;"D")</f>
        <v>56131</v>
      </c>
      <c r="Z2467" s="205">
        <v>3.2491090116616994E-2</v>
      </c>
      <c r="AA2467" s="207">
        <v>3.2458866446729573E-2</v>
      </c>
    </row>
    <row r="2468" spans="19:27" x14ac:dyDescent="0.2">
      <c r="S2468" s="165"/>
      <c r="T2468" s="166"/>
      <c r="W2468" s="199" t="str">
        <f t="shared" si="47"/>
        <v>1w</v>
      </c>
      <c r="X2468" s="200">
        <f>_xll.qlCalendarAdvance(Calendar,X2467,W2468,"f",FALSE)</f>
        <v>56136</v>
      </c>
      <c r="Y2468" s="204">
        <f>_xll.qlCalendarAdvance(Calendar,X2468,NDays&amp;"D")</f>
        <v>56138</v>
      </c>
      <c r="Z2468" s="205">
        <v>3.2483950700320209E-2</v>
      </c>
      <c r="AA2468" s="207">
        <v>3.2450873713534278E-2</v>
      </c>
    </row>
    <row r="2469" spans="19:27" x14ac:dyDescent="0.2">
      <c r="S2469" s="165"/>
      <c r="T2469" s="166"/>
      <c r="W2469" s="199" t="str">
        <f t="shared" si="47"/>
        <v>1w</v>
      </c>
      <c r="X2469" s="200">
        <f>_xll.qlCalendarAdvance(Calendar,X2468,W2469,"f",FALSE)</f>
        <v>56143</v>
      </c>
      <c r="Y2469" s="204">
        <f>_xll.qlCalendarAdvance(Calendar,X2469,NDays&amp;"D")</f>
        <v>56145</v>
      </c>
      <c r="Z2469" s="205">
        <v>3.2475023208942688E-2</v>
      </c>
      <c r="AA2469" s="207">
        <v>3.2442872434135239E-2</v>
      </c>
    </row>
    <row r="2470" spans="19:27" x14ac:dyDescent="0.2">
      <c r="S2470" s="165"/>
      <c r="T2470" s="166"/>
      <c r="W2470" s="199" t="str">
        <f t="shared" si="47"/>
        <v>1w</v>
      </c>
      <c r="X2470" s="200">
        <f>_xll.qlCalendarAdvance(Calendar,X2469,W2470,"f",FALSE)</f>
        <v>56150</v>
      </c>
      <c r="Y2470" s="204">
        <f>_xll.qlCalendarAdvance(Calendar,X2470,NDays&amp;"D")</f>
        <v>56152</v>
      </c>
      <c r="Z2470" s="205">
        <v>3.246697690803213E-2</v>
      </c>
      <c r="AA2470" s="207">
        <v>3.2434862608452519E-2</v>
      </c>
    </row>
    <row r="2471" spans="19:27" x14ac:dyDescent="0.2">
      <c r="S2471" s="165"/>
      <c r="T2471" s="166"/>
      <c r="W2471" s="199" t="str">
        <f t="shared" si="47"/>
        <v>1w</v>
      </c>
      <c r="X2471" s="200">
        <f>_xll.qlCalendarAdvance(Calendar,X2470,W2471,"f",FALSE)</f>
        <v>56157</v>
      </c>
      <c r="Y2471" s="204">
        <f>_xll.qlCalendarAdvance(Calendar,X2471,NDays&amp;"D")</f>
        <v>56159</v>
      </c>
      <c r="Z2471" s="205">
        <v>3.2458922042435112E-2</v>
      </c>
      <c r="AA2471" s="207">
        <v>3.2426844236166374E-2</v>
      </c>
    </row>
    <row r="2472" spans="19:27" x14ac:dyDescent="0.2">
      <c r="S2472" s="165"/>
      <c r="T2472" s="166"/>
      <c r="W2472" s="199" t="str">
        <f t="shared" si="47"/>
        <v>1w</v>
      </c>
      <c r="X2472" s="200">
        <f>_xll.qlCalendarAdvance(Calendar,X2471,W2472,"f",FALSE)</f>
        <v>56164</v>
      </c>
      <c r="Y2472" s="204">
        <f>_xll.qlCalendarAdvance(Calendar,X2472,NDays&amp;"D")</f>
        <v>56166</v>
      </c>
      <c r="Z2472" s="205">
        <v>3.245085861216912E-2</v>
      </c>
      <c r="AA2472" s="207">
        <v>3.2418817317596549E-2</v>
      </c>
    </row>
    <row r="2473" spans="19:27" x14ac:dyDescent="0.2">
      <c r="S2473" s="165"/>
      <c r="T2473" s="166"/>
      <c r="W2473" s="199" t="str">
        <f t="shared" si="47"/>
        <v>1w</v>
      </c>
      <c r="X2473" s="200">
        <f>_xll.qlCalendarAdvance(Calendar,X2472,W2473,"f",FALSE)</f>
        <v>56171</v>
      </c>
      <c r="Y2473" s="204">
        <f>_xll.qlCalendarAdvance(Calendar,X2473,NDays&amp;"D")</f>
        <v>56173</v>
      </c>
      <c r="Z2473" s="205">
        <v>3.2442786617241648E-2</v>
      </c>
      <c r="AA2473" s="207">
        <v>3.2410781852663106E-2</v>
      </c>
    </row>
    <row r="2474" spans="19:27" x14ac:dyDescent="0.2">
      <c r="S2474" s="165"/>
      <c r="T2474" s="166"/>
      <c r="W2474" s="199" t="str">
        <f t="shared" si="47"/>
        <v>1w</v>
      </c>
      <c r="X2474" s="200">
        <f>_xll.qlCalendarAdvance(Calendar,X2473,W2474,"f",FALSE)</f>
        <v>56178</v>
      </c>
      <c r="Y2474" s="204">
        <f>_xll.qlCalendarAdvance(Calendar,X2474,NDays&amp;"D")</f>
        <v>56180</v>
      </c>
      <c r="Z2474" s="205">
        <v>3.2434706057692664E-2</v>
      </c>
      <c r="AA2474" s="207">
        <v>3.2402737841525919E-2</v>
      </c>
    </row>
    <row r="2475" spans="19:27" x14ac:dyDescent="0.2">
      <c r="S2475" s="165"/>
      <c r="T2475" s="166"/>
      <c r="W2475" s="199" t="str">
        <f t="shared" si="47"/>
        <v>1w</v>
      </c>
      <c r="X2475" s="200">
        <f>_xll.qlCalendarAdvance(Calendar,X2474,W2475,"f",FALSE)</f>
        <v>56185</v>
      </c>
      <c r="Y2475" s="204">
        <f>_xll.qlCalendarAdvance(Calendar,X2475,NDays&amp;"D")</f>
        <v>56187</v>
      </c>
      <c r="Z2475" s="205">
        <v>3.2423975311275617E-2</v>
      </c>
      <c r="AA2475" s="207">
        <v>3.2394685283785307E-2</v>
      </c>
    </row>
    <row r="2476" spans="19:27" x14ac:dyDescent="0.2">
      <c r="S2476" s="165"/>
      <c r="T2476" s="166"/>
      <c r="W2476" s="199" t="str">
        <f t="shared" si="47"/>
        <v>1w</v>
      </c>
      <c r="X2476" s="200">
        <f>_xll.qlCalendarAdvance(Calendar,X2475,W2476,"f",FALSE)</f>
        <v>56192</v>
      </c>
      <c r="Y2476" s="204">
        <f>_xll.qlCalendarAdvance(Calendar,X2476,NDays&amp;"D")</f>
        <v>56194</v>
      </c>
      <c r="Z2476" s="205">
        <v>3.2418519244752642E-2</v>
      </c>
      <c r="AA2476" s="207">
        <v>3.2386624179761014E-2</v>
      </c>
    </row>
    <row r="2477" spans="19:27" x14ac:dyDescent="0.2">
      <c r="S2477" s="165"/>
      <c r="T2477" s="166"/>
      <c r="W2477" s="199" t="str">
        <f t="shared" si="47"/>
        <v>1w</v>
      </c>
      <c r="X2477" s="200">
        <f>_xll.qlCalendarAdvance(Calendar,X2476,W2477,"f",FALSE)</f>
        <v>56199</v>
      </c>
      <c r="Y2477" s="204">
        <f>_xll.qlCalendarAdvance(Calendar,X2477,NDays&amp;"D")</f>
        <v>56201</v>
      </c>
      <c r="Z2477" s="205">
        <v>3.241041299140407E-2</v>
      </c>
      <c r="AA2477" s="207">
        <v>3.2378554529532977E-2</v>
      </c>
    </row>
    <row r="2478" spans="19:27" x14ac:dyDescent="0.2">
      <c r="S2478" s="165"/>
      <c r="T2478" s="166"/>
      <c r="W2478" s="199" t="str">
        <f t="shared" si="47"/>
        <v>1w</v>
      </c>
      <c r="X2478" s="200">
        <f>_xll.qlCalendarAdvance(Calendar,X2477,W2478,"f",FALSE)</f>
        <v>56206</v>
      </c>
      <c r="Y2478" s="204">
        <f>_xll.qlCalendarAdvance(Calendar,X2478,NDays&amp;"D")</f>
        <v>56208</v>
      </c>
      <c r="Z2478" s="205">
        <v>3.2402298173496435E-2</v>
      </c>
      <c r="AA2478" s="207">
        <v>3.2370476332701514E-2</v>
      </c>
    </row>
    <row r="2479" spans="19:27" x14ac:dyDescent="0.2">
      <c r="S2479" s="165"/>
      <c r="T2479" s="166"/>
      <c r="W2479" s="199" t="str">
        <f t="shared" si="47"/>
        <v>1w</v>
      </c>
      <c r="X2479" s="200">
        <f>_xll.qlCalendarAdvance(Calendar,X2478,W2479,"f",FALSE)</f>
        <v>56213</v>
      </c>
      <c r="Y2479" s="204">
        <f>_xll.qlCalendarAdvance(Calendar,X2479,NDays&amp;"D")</f>
        <v>56215</v>
      </c>
      <c r="Z2479" s="205">
        <v>3.2393888444199478E-2</v>
      </c>
      <c r="AA2479" s="207">
        <v>3.2362389589666307E-2</v>
      </c>
    </row>
    <row r="2480" spans="19:27" x14ac:dyDescent="0.2">
      <c r="S2480" s="165"/>
      <c r="T2480" s="166"/>
      <c r="W2480" s="199" t="str">
        <f t="shared" si="47"/>
        <v>1w</v>
      </c>
      <c r="X2480" s="200">
        <f>_xll.qlCalendarAdvance(Calendar,X2479,W2480,"f",FALSE)</f>
        <v>56220</v>
      </c>
      <c r="Y2480" s="204">
        <f>_xll.qlCalendarAdvance(Calendar,X2480,NDays&amp;"D")</f>
        <v>56222</v>
      </c>
      <c r="Z2480" s="205">
        <v>3.2386042844076424E-2</v>
      </c>
      <c r="AA2480" s="207">
        <v>3.2354294300267483E-2</v>
      </c>
    </row>
    <row r="2481" spans="19:27" x14ac:dyDescent="0.2">
      <c r="S2481" s="165"/>
      <c r="T2481" s="166"/>
      <c r="W2481" s="199" t="str">
        <f t="shared" si="47"/>
        <v>1w</v>
      </c>
      <c r="X2481" s="200">
        <f>_xll.qlCalendarAdvance(Calendar,X2480,W2481,"f",FALSE)</f>
        <v>56227</v>
      </c>
      <c r="Y2481" s="204">
        <f>_xll.qlCalendarAdvance(Calendar,X2481,NDays&amp;"D")</f>
        <v>56229</v>
      </c>
      <c r="Z2481" s="205">
        <v>3.2377902332599018E-2</v>
      </c>
      <c r="AA2481" s="207">
        <v>3.2346190464505042E-2</v>
      </c>
    </row>
    <row r="2482" spans="19:27" x14ac:dyDescent="0.2">
      <c r="S2482" s="165"/>
      <c r="T2482" s="166"/>
      <c r="W2482" s="199" t="str">
        <f t="shared" si="47"/>
        <v>1w</v>
      </c>
      <c r="X2482" s="200">
        <f>_xll.qlCalendarAdvance(Calendar,X2481,W2482,"f",FALSE)</f>
        <v>56234</v>
      </c>
      <c r="Y2482" s="204">
        <f>_xll.qlCalendarAdvance(Calendar,X2482,NDays&amp;"D")</f>
        <v>56236</v>
      </c>
      <c r="Z2482" s="205">
        <v>3.2370624254851196E-2</v>
      </c>
      <c r="AA2482" s="207">
        <v>3.2338078082378985E-2</v>
      </c>
    </row>
    <row r="2483" spans="19:27" x14ac:dyDescent="0.2">
      <c r="S2483" s="165"/>
      <c r="T2483" s="166"/>
      <c r="W2483" s="199" t="str">
        <f t="shared" si="47"/>
        <v>1w</v>
      </c>
      <c r="X2483" s="200">
        <f>_xll.qlCalendarAdvance(Calendar,X2482,W2483,"f",FALSE)</f>
        <v>56241</v>
      </c>
      <c r="Y2483" s="204">
        <f>_xll.qlCalendarAdvance(Calendar,X2483,NDays&amp;"D")</f>
        <v>56247</v>
      </c>
      <c r="Z2483" s="205">
        <v>3.2356061300328594E-2</v>
      </c>
      <c r="AA2483" s="207">
        <v>3.2328506171594995E-2</v>
      </c>
    </row>
    <row r="2484" spans="19:27" x14ac:dyDescent="0.2">
      <c r="S2484" s="165"/>
      <c r="T2484" s="166"/>
      <c r="W2484" s="199" t="str">
        <f t="shared" si="47"/>
        <v>1w</v>
      </c>
      <c r="X2484" s="200">
        <f>_xll.qlCalendarAdvance(Calendar,X2483,W2484,"f",FALSE)</f>
        <v>56248</v>
      </c>
      <c r="Y2484" s="204">
        <f>_xll.qlCalendarAdvance(Calendar,X2484,NDays&amp;"D")</f>
        <v>56251</v>
      </c>
      <c r="Z2484" s="205">
        <v>3.2351393918165251E-2</v>
      </c>
      <c r="AA2484" s="207">
        <v>3.2320665627780798E-2</v>
      </c>
    </row>
    <row r="2485" spans="19:27" x14ac:dyDescent="0.2">
      <c r="S2485" s="165"/>
      <c r="T2485" s="166"/>
      <c r="W2485" s="199" t="str">
        <f t="shared" si="47"/>
        <v>1w</v>
      </c>
      <c r="X2485" s="200">
        <f>_xll.qlCalendarAdvance(Calendar,X2484,W2485,"f",FALSE)</f>
        <v>56255</v>
      </c>
      <c r="Y2485" s="204">
        <f>_xll.qlCalendarAdvance(Calendar,X2485,NDays&amp;"D")</f>
        <v>56257</v>
      </c>
      <c r="Z2485" s="205">
        <v>3.2345254642015542E-2</v>
      </c>
      <c r="AA2485" s="207">
        <v>3.2313689657819111E-2</v>
      </c>
    </row>
    <row r="2486" spans="19:27" x14ac:dyDescent="0.2">
      <c r="S2486" s="165"/>
      <c r="T2486" s="166"/>
      <c r="W2486" s="199" t="str">
        <f t="shared" si="47"/>
        <v>1w</v>
      </c>
      <c r="X2486" s="200">
        <f>_xll.qlCalendarAdvance(Calendar,X2485,W2486,"f",FALSE)</f>
        <v>56262</v>
      </c>
      <c r="Y2486" s="204">
        <f>_xll.qlCalendarAdvance(Calendar,X2486,NDays&amp;"D")</f>
        <v>56264</v>
      </c>
      <c r="Z2486" s="205">
        <v>3.2337936926300645E-2</v>
      </c>
      <c r="AA2486" s="207">
        <v>3.230554309015865E-2</v>
      </c>
    </row>
    <row r="2487" spans="19:27" x14ac:dyDescent="0.2">
      <c r="S2487" s="165"/>
      <c r="T2487" s="166"/>
      <c r="W2487" s="199" t="str">
        <f t="shared" si="47"/>
        <v>1w</v>
      </c>
      <c r="X2487" s="200">
        <f>_xll.qlCalendarAdvance(Calendar,X2486,W2487,"f",FALSE)</f>
        <v>56269</v>
      </c>
      <c r="Y2487" s="204">
        <f>_xll.qlCalendarAdvance(Calendar,X2487,NDays&amp;"D")</f>
        <v>56271</v>
      </c>
      <c r="Z2487" s="205">
        <v>3.2328879410180034E-2</v>
      </c>
      <c r="AA2487" s="207">
        <v>3.2297387976214509E-2</v>
      </c>
    </row>
    <row r="2488" spans="19:27" x14ac:dyDescent="0.2">
      <c r="S2488" s="165"/>
      <c r="T2488" s="166"/>
      <c r="W2488" s="199" t="str">
        <f t="shared" si="47"/>
        <v>1w</v>
      </c>
      <c r="X2488" s="200">
        <f>_xll.qlCalendarAdvance(Calendar,X2487,W2488,"f",FALSE)</f>
        <v>56276</v>
      </c>
      <c r="Y2488" s="204">
        <f>_xll.qlCalendarAdvance(Calendar,X2488,NDays&amp;"D")</f>
        <v>56278</v>
      </c>
      <c r="Z2488" s="205">
        <v>3.2318089713835201E-2</v>
      </c>
      <c r="AA2488" s="207">
        <v>3.2289224316226495E-2</v>
      </c>
    </row>
    <row r="2489" spans="19:27" x14ac:dyDescent="0.2">
      <c r="S2489" s="165"/>
      <c r="T2489" s="166"/>
      <c r="W2489" s="199" t="str">
        <f t="shared" si="47"/>
        <v>1w</v>
      </c>
      <c r="X2489" s="200">
        <f>_xll.qlCalendarAdvance(Calendar,X2488,W2489,"f",FALSE)</f>
        <v>56283</v>
      </c>
      <c r="Y2489" s="204">
        <f>_xll.qlCalendarAdvance(Calendar,X2489,NDays&amp;"D")</f>
        <v>56285</v>
      </c>
      <c r="Z2489" s="205">
        <v>3.2309022844751692E-2</v>
      </c>
      <c r="AA2489" s="207">
        <v>3.228105210955512E-2</v>
      </c>
    </row>
    <row r="2490" spans="19:27" x14ac:dyDescent="0.2">
      <c r="S2490" s="165"/>
      <c r="T2490" s="166"/>
      <c r="W2490" s="199" t="str">
        <f t="shared" si="47"/>
        <v>1w</v>
      </c>
      <c r="X2490" s="200">
        <f>_xll.qlCalendarAdvance(Calendar,X2489,W2490,"f",FALSE)</f>
        <v>56290</v>
      </c>
      <c r="Y2490" s="204">
        <f>_xll.qlCalendarAdvance(Calendar,X2490,NDays&amp;"D")</f>
        <v>56292</v>
      </c>
      <c r="Z2490" s="205">
        <v>3.2300810645065701E-2</v>
      </c>
      <c r="AA2490" s="207">
        <v>3.2272871356440191E-2</v>
      </c>
    </row>
    <row r="2491" spans="19:27" x14ac:dyDescent="0.2">
      <c r="S2491" s="165"/>
      <c r="T2491" s="166"/>
      <c r="W2491" s="199" t="str">
        <f t="shared" si="47"/>
        <v>1w</v>
      </c>
      <c r="X2491" s="200">
        <f>_xll.qlCalendarAdvance(Calendar,X2490,W2491,"f",FALSE)</f>
        <v>56297</v>
      </c>
      <c r="Y2491" s="204">
        <f>_xll.qlCalendarAdvance(Calendar,X2491,NDays&amp;"D")</f>
        <v>56299</v>
      </c>
      <c r="Z2491" s="205">
        <v>3.229258988337718E-2</v>
      </c>
      <c r="AA2491" s="207">
        <v>3.2264682057201455E-2</v>
      </c>
    </row>
    <row r="2492" spans="19:27" x14ac:dyDescent="0.2">
      <c r="S2492" s="165"/>
      <c r="T2492" s="166"/>
      <c r="W2492" s="199" t="str">
        <f t="shared" si="47"/>
        <v>1w</v>
      </c>
      <c r="X2492" s="200">
        <f>_xll.qlCalendarAdvance(Calendar,X2491,W2492,"f",FALSE)</f>
        <v>56304</v>
      </c>
      <c r="Y2492" s="204">
        <f>_xll.qlCalendarAdvance(Calendar,X2492,NDays&amp;"D")</f>
        <v>56306</v>
      </c>
      <c r="Z2492" s="205">
        <v>3.2284360559703247E-2</v>
      </c>
      <c r="AA2492" s="207">
        <v>3.2256484211519165E-2</v>
      </c>
    </row>
    <row r="2493" spans="19:27" x14ac:dyDescent="0.2">
      <c r="S2493" s="165"/>
      <c r="T2493" s="166"/>
      <c r="W2493" s="199" t="str">
        <f t="shared" si="47"/>
        <v>1w</v>
      </c>
      <c r="X2493" s="200">
        <f>_xll.qlCalendarAdvance(Calendar,X2492,W2493,"f",FALSE)</f>
        <v>56311</v>
      </c>
      <c r="Y2493" s="204">
        <f>_xll.qlCalendarAdvance(Calendar,X2493,NDays&amp;"D")</f>
        <v>56313</v>
      </c>
      <c r="Z2493" s="205">
        <v>3.2279548170277006E-2</v>
      </c>
      <c r="AA2493" s="207">
        <v>3.2248277819473259E-2</v>
      </c>
    </row>
    <row r="2494" spans="19:27" x14ac:dyDescent="0.2">
      <c r="S2494" s="165"/>
      <c r="T2494" s="166"/>
      <c r="W2494" s="199" t="str">
        <f t="shared" si="47"/>
        <v>1w</v>
      </c>
      <c r="X2494" s="200">
        <f>_xll.qlCalendarAdvance(Calendar,X2493,W2494,"f",FALSE)</f>
        <v>56318</v>
      </c>
      <c r="Y2494" s="204">
        <f>_xll.qlCalendarAdvance(Calendar,X2494,NDays&amp;"D")</f>
        <v>56320</v>
      </c>
      <c r="Z2494" s="205">
        <v>3.2271296321934873E-2</v>
      </c>
      <c r="AA2494" s="207">
        <v>3.2240062881143672E-2</v>
      </c>
    </row>
    <row r="2495" spans="19:27" x14ac:dyDescent="0.2">
      <c r="S2495" s="165"/>
      <c r="T2495" s="166"/>
      <c r="W2495" s="199" t="str">
        <f t="shared" si="47"/>
        <v>1w</v>
      </c>
      <c r="X2495" s="200">
        <f>_xll.qlCalendarAdvance(Calendar,X2494,W2495,"f",FALSE)</f>
        <v>56325</v>
      </c>
      <c r="Y2495" s="204">
        <f>_xll.qlCalendarAdvance(Calendar,X2495,NDays&amp;"D")</f>
        <v>56327</v>
      </c>
      <c r="Z2495" s="205">
        <v>3.2263035909340931E-2</v>
      </c>
      <c r="AA2495" s="207">
        <v>3.2231839396530404E-2</v>
      </c>
    </row>
    <row r="2496" spans="19:27" x14ac:dyDescent="0.2">
      <c r="S2496" s="165"/>
      <c r="T2496" s="166"/>
      <c r="W2496" s="199" t="str">
        <f t="shared" si="47"/>
        <v>1w</v>
      </c>
      <c r="X2496" s="200">
        <f>_xll.qlCalendarAdvance(Calendar,X2495,W2496,"f",FALSE)</f>
        <v>56332</v>
      </c>
      <c r="Y2496" s="204">
        <f>_xll.qlCalendarAdvance(Calendar,X2496,NDays&amp;"D")</f>
        <v>56334</v>
      </c>
      <c r="Z2496" s="205">
        <v>3.2254766932532652E-2</v>
      </c>
      <c r="AA2496" s="207">
        <v>3.2221253786701709E-2</v>
      </c>
    </row>
    <row r="2497" spans="19:27" x14ac:dyDescent="0.2">
      <c r="S2497" s="165"/>
      <c r="T2497" s="166"/>
      <c r="W2497" s="199" t="str">
        <f t="shared" si="47"/>
        <v>1w</v>
      </c>
      <c r="X2497" s="200">
        <f>_xll.qlCalendarAdvance(Calendar,X2496,W2497,"f",FALSE)</f>
        <v>56339</v>
      </c>
      <c r="Y2497" s="204">
        <f>_xll.qlCalendarAdvance(Calendar,X2497,NDays&amp;"D")</f>
        <v>56341</v>
      </c>
      <c r="Z2497" s="205">
        <v>3.2247340166121935E-2</v>
      </c>
      <c r="AA2497" s="207">
        <v>3.2215366787893274E-2</v>
      </c>
    </row>
    <row r="2498" spans="19:27" x14ac:dyDescent="0.2">
      <c r="S2498" s="165"/>
      <c r="T2498" s="166"/>
      <c r="W2498" s="199" t="str">
        <f t="shared" si="47"/>
        <v>1w</v>
      </c>
      <c r="X2498" s="200">
        <f>_xll.qlCalendarAdvance(Calendar,X2497,W2498,"f",FALSE)</f>
        <v>56346</v>
      </c>
      <c r="Y2498" s="204">
        <f>_xll.qlCalendarAdvance(Calendar,X2498,NDays&amp;"D")</f>
        <v>56348</v>
      </c>
      <c r="Z2498" s="205">
        <v>3.2238203286315548E-2</v>
      </c>
      <c r="AA2498" s="207">
        <v>3.2207117664269092E-2</v>
      </c>
    </row>
    <row r="2499" spans="19:27" x14ac:dyDescent="0.2">
      <c r="S2499" s="165"/>
      <c r="T2499" s="166"/>
      <c r="W2499" s="199" t="str">
        <f t="shared" si="47"/>
        <v>1w</v>
      </c>
      <c r="X2499" s="200">
        <f>_xll.qlCalendarAdvance(Calendar,X2498,W2499,"f",FALSE)</f>
        <v>56353</v>
      </c>
      <c r="Y2499" s="204">
        <f>_xll.qlCalendarAdvance(Calendar,X2499,NDays&amp;"D")</f>
        <v>56355</v>
      </c>
      <c r="Z2499" s="205">
        <v>3.2229908616939196E-2</v>
      </c>
      <c r="AA2499" s="207">
        <v>3.2198859994201356E-2</v>
      </c>
    </row>
    <row r="2500" spans="19:27" x14ac:dyDescent="0.2">
      <c r="S2500" s="165"/>
      <c r="T2500" s="166"/>
      <c r="W2500" s="199" t="str">
        <f t="shared" si="47"/>
        <v>1w</v>
      </c>
      <c r="X2500" s="200">
        <f>_xll.qlCalendarAdvance(Calendar,X2499,W2500,"f",FALSE)</f>
        <v>56360</v>
      </c>
      <c r="Y2500" s="204">
        <f>_xll.qlCalendarAdvance(Calendar,X2500,NDays&amp;"D")</f>
        <v>56362</v>
      </c>
      <c r="Z2500" s="205">
        <v>3.2222452097720608E-2</v>
      </c>
      <c r="AA2500" s="207">
        <v>3.2190593777690069E-2</v>
      </c>
    </row>
    <row r="2501" spans="19:27" x14ac:dyDescent="0.2">
      <c r="S2501" s="165"/>
      <c r="T2501" s="166"/>
      <c r="W2501" s="199" t="str">
        <f t="shared" si="47"/>
        <v>1w</v>
      </c>
      <c r="X2501" s="200">
        <f>_xll.qlCalendarAdvance(Calendar,X2500,W2501,"f",FALSE)</f>
        <v>56367</v>
      </c>
      <c r="Y2501" s="204">
        <f>_xll.qlCalendarAdvance(Calendar,X2501,NDays&amp;"D")</f>
        <v>56369</v>
      </c>
      <c r="Z2501" s="205">
        <v>3.2210757034406755E-2</v>
      </c>
      <c r="AA2501" s="207">
        <v>3.2181136208242478E-2</v>
      </c>
    </row>
    <row r="2502" spans="19:27" x14ac:dyDescent="0.2">
      <c r="S2502" s="165"/>
      <c r="T2502" s="166"/>
      <c r="W2502" s="199" t="str">
        <f t="shared" si="47"/>
        <v>1w</v>
      </c>
      <c r="X2502" s="200">
        <f>_xll.qlCalendarAdvance(Calendar,X2501,W2502,"f",FALSE)</f>
        <v>56374</v>
      </c>
      <c r="Y2502" s="204">
        <f>_xll.qlCalendarAdvance(Calendar,X2502,NDays&amp;"D")</f>
        <v>56376</v>
      </c>
      <c r="Z2502" s="205">
        <v>3.220497322400373E-2</v>
      </c>
      <c r="AA2502" s="207">
        <v>3.2174035705816451E-2</v>
      </c>
    </row>
    <row r="2503" spans="19:27" x14ac:dyDescent="0.2">
      <c r="S2503" s="165"/>
      <c r="T2503" s="166"/>
      <c r="W2503" s="199" t="str">
        <f t="shared" si="47"/>
        <v>1w</v>
      </c>
      <c r="X2503" s="200">
        <f>_xll.qlCalendarAdvance(Calendar,X2502,W2503,"f",FALSE)</f>
        <v>56381</v>
      </c>
      <c r="Y2503" s="204">
        <f>_xll.qlCalendarAdvance(Calendar,X2503,NDays&amp;"D")</f>
        <v>56383</v>
      </c>
      <c r="Z2503" s="205">
        <v>3.2196644298147226E-2</v>
      </c>
      <c r="AA2503" s="207">
        <v>3.2165743850214312E-2</v>
      </c>
    </row>
    <row r="2504" spans="19:27" x14ac:dyDescent="0.2">
      <c r="S2504" s="165"/>
      <c r="T2504" s="166"/>
      <c r="W2504" s="199" t="str">
        <f t="shared" si="47"/>
        <v>1w</v>
      </c>
      <c r="X2504" s="200">
        <f>_xll.qlCalendarAdvance(Calendar,X2503,W2504,"f",FALSE)</f>
        <v>56388</v>
      </c>
      <c r="Y2504" s="204">
        <f>_xll.qlCalendarAdvance(Calendar,X2504,NDays&amp;"D")</f>
        <v>56390</v>
      </c>
      <c r="Z2504" s="205">
        <v>3.2188306808223766E-2</v>
      </c>
      <c r="AA2504" s="207">
        <v>3.215625697908564E-2</v>
      </c>
    </row>
    <row r="2505" spans="19:27" x14ac:dyDescent="0.2">
      <c r="S2505" s="165"/>
      <c r="T2505" s="166"/>
      <c r="W2505" s="199" t="str">
        <f t="shared" si="47"/>
        <v>1w</v>
      </c>
      <c r="X2505" s="200">
        <f>_xll.qlCalendarAdvance(Calendar,X2504,W2505,"f",FALSE)</f>
        <v>56395</v>
      </c>
      <c r="Y2505" s="204">
        <f>_xll.qlCalendarAdvance(Calendar,X2505,NDays&amp;"D")</f>
        <v>56397</v>
      </c>
      <c r="Z2505" s="205">
        <v>3.2179960824849363E-2</v>
      </c>
      <c r="AA2505" s="207">
        <v>3.2149134500238929E-2</v>
      </c>
    </row>
    <row r="2506" spans="19:27" x14ac:dyDescent="0.2">
      <c r="S2506" s="165"/>
      <c r="T2506" s="166"/>
      <c r="W2506" s="199" t="str">
        <f t="shared" si="47"/>
        <v>1w</v>
      </c>
      <c r="X2506" s="200">
        <f>_xll.qlCalendarAdvance(Calendar,X2505,W2506,"f",FALSE)</f>
        <v>56402</v>
      </c>
      <c r="Y2506" s="204">
        <f>_xll.qlCalendarAdvance(Calendar,X2506,NDays&amp;"D")</f>
        <v>56404</v>
      </c>
      <c r="Z2506" s="205">
        <v>3.2171608751221659E-2</v>
      </c>
      <c r="AA2506" s="207">
        <v>3.2140817005705813E-2</v>
      </c>
    </row>
    <row r="2507" spans="19:27" x14ac:dyDescent="0.2">
      <c r="S2507" s="165"/>
      <c r="T2507" s="166"/>
      <c r="W2507" s="199" t="str">
        <f t="shared" si="47"/>
        <v>1w</v>
      </c>
      <c r="X2507" s="200">
        <f>_xll.qlCalendarAdvance(Calendar,X2506,W2507,"f",FALSE)</f>
        <v>56409</v>
      </c>
      <c r="Y2507" s="204">
        <f>_xll.qlCalendarAdvance(Calendar,X2507,NDays&amp;"D")</f>
        <v>56411</v>
      </c>
      <c r="Z2507" s="205">
        <v>3.2163255801659629E-2</v>
      </c>
      <c r="AA2507" s="207">
        <v>3.2132490964968952E-2</v>
      </c>
    </row>
    <row r="2508" spans="19:27" x14ac:dyDescent="0.2">
      <c r="S2508" s="165"/>
      <c r="T2508" s="166"/>
      <c r="W2508" s="199" t="str">
        <f t="shared" si="47"/>
        <v>1w</v>
      </c>
      <c r="X2508" s="200">
        <f>_xll.qlCalendarAdvance(Calendar,X2507,W2508,"f",FALSE)</f>
        <v>56416</v>
      </c>
      <c r="Y2508" s="204">
        <f>_xll.qlCalendarAdvance(Calendar,X2508,NDays&amp;"D")</f>
        <v>56418</v>
      </c>
      <c r="Z2508" s="205">
        <v>3.2154907357820894E-2</v>
      </c>
      <c r="AA2508" s="207">
        <v>3.2124156377708601E-2</v>
      </c>
    </row>
    <row r="2509" spans="19:27" x14ac:dyDescent="0.2">
      <c r="S2509" s="165"/>
      <c r="T2509" s="166"/>
      <c r="W2509" s="199" t="str">
        <f t="shared" si="47"/>
        <v>1w</v>
      </c>
      <c r="X2509" s="200">
        <f>_xll.qlCalendarAdvance(Calendar,X2508,W2509,"f",FALSE)</f>
        <v>56423</v>
      </c>
      <c r="Y2509" s="204">
        <f>_xll.qlCalendarAdvance(Calendar,X2509,NDays&amp;"D")</f>
        <v>56425</v>
      </c>
      <c r="Z2509" s="205">
        <v>3.2146568801345587E-2</v>
      </c>
      <c r="AA2509" s="207">
        <v>3.2115816331774738E-2</v>
      </c>
    </row>
    <row r="2510" spans="19:27" x14ac:dyDescent="0.2">
      <c r="S2510" s="165"/>
      <c r="T2510" s="166"/>
      <c r="W2510" s="199" t="str">
        <f t="shared" si="47"/>
        <v>1w</v>
      </c>
      <c r="X2510" s="200">
        <f>_xll.qlCalendarAdvance(Calendar,X2509,W2510,"f",FALSE)</f>
        <v>56430</v>
      </c>
      <c r="Y2510" s="204">
        <f>_xll.qlCalendarAdvance(Calendar,X2510,NDays&amp;"D")</f>
        <v>56432</v>
      </c>
      <c r="Z2510" s="205">
        <v>3.2138244949008188E-2</v>
      </c>
      <c r="AA2510" s="207">
        <v>3.2107489185841942E-2</v>
      </c>
    </row>
    <row r="2511" spans="19:27" x14ac:dyDescent="0.2">
      <c r="S2511" s="165"/>
      <c r="T2511" s="166"/>
      <c r="W2511" s="199" t="str">
        <f t="shared" si="47"/>
        <v>1w</v>
      </c>
      <c r="X2511" s="200">
        <f>_xll.qlCalendarAdvance(Calendar,X2510,W2511,"f",FALSE)</f>
        <v>56437</v>
      </c>
      <c r="Y2511" s="204">
        <f>_xll.qlCalendarAdvance(Calendar,X2511,NDays&amp;"D")</f>
        <v>56439</v>
      </c>
      <c r="Z2511" s="205">
        <v>3.2129937131828989E-2</v>
      </c>
      <c r="AA2511" s="207">
        <v>3.2099178027520381E-2</v>
      </c>
    </row>
    <row r="2512" spans="19:27" x14ac:dyDescent="0.2">
      <c r="S2512" s="165"/>
      <c r="T2512" s="166"/>
      <c r="W2512" s="199" t="str">
        <f t="shared" si="47"/>
        <v>1w</v>
      </c>
      <c r="X2512" s="200">
        <f>_xll.qlCalendarAdvance(Calendar,X2511,W2512,"f",FALSE)</f>
        <v>56444</v>
      </c>
      <c r="Y2512" s="204">
        <f>_xll.qlCalendarAdvance(Calendar,X2512,NDays&amp;"D")</f>
        <v>56446</v>
      </c>
      <c r="Z2512" s="205">
        <v>3.2121645352370942E-2</v>
      </c>
      <c r="AA2512" s="207">
        <v>3.2090882856730119E-2</v>
      </c>
    </row>
    <row r="2513" spans="19:27" x14ac:dyDescent="0.2">
      <c r="S2513" s="165"/>
      <c r="T2513" s="166"/>
      <c r="W2513" s="199" t="str">
        <f t="shared" si="47"/>
        <v>1w</v>
      </c>
      <c r="X2513" s="200">
        <f>_xll.qlCalendarAdvance(Calendar,X2512,W2513,"f",FALSE)</f>
        <v>56451</v>
      </c>
      <c r="Y2513" s="204">
        <f>_xll.qlCalendarAdvance(Calendar,X2513,NDays&amp;"D")</f>
        <v>56453</v>
      </c>
      <c r="Z2513" s="205">
        <v>3.2113369610599074E-2</v>
      </c>
      <c r="AA2513" s="207">
        <v>3.2082603673551091E-2</v>
      </c>
    </row>
    <row r="2514" spans="19:27" x14ac:dyDescent="0.2">
      <c r="S2514" s="165"/>
      <c r="T2514" s="166"/>
      <c r="W2514" s="199" t="str">
        <f t="shared" si="47"/>
        <v>1w</v>
      </c>
      <c r="X2514" s="200">
        <f>_xll.qlCalendarAdvance(Calendar,X2513,W2514,"f",FALSE)</f>
        <v>56458</v>
      </c>
      <c r="Y2514" s="204">
        <f>_xll.qlCalendarAdvance(Calendar,X2514,NDays&amp;"D")</f>
        <v>56460</v>
      </c>
      <c r="Z2514" s="205">
        <v>3.2102585246250981E-2</v>
      </c>
      <c r="AA2514" s="207">
        <v>3.2074340477823426E-2</v>
      </c>
    </row>
    <row r="2515" spans="19:27" x14ac:dyDescent="0.2">
      <c r="S2515" s="165"/>
      <c r="T2515" s="166"/>
      <c r="W2515" s="199" t="str">
        <f t="shared" si="47"/>
        <v>1w</v>
      </c>
      <c r="X2515" s="200">
        <f>_xll.qlCalendarAdvance(Calendar,X2514,W2515,"f",FALSE)</f>
        <v>56465</v>
      </c>
      <c r="Y2515" s="204">
        <f>_xll.qlCalendarAdvance(Calendar,X2515,NDays&amp;"D")</f>
        <v>56467</v>
      </c>
      <c r="Z2515" s="205">
        <v>3.209770838336129E-2</v>
      </c>
      <c r="AA2515" s="207">
        <v>3.2066093269706997E-2</v>
      </c>
    </row>
    <row r="2516" spans="19:27" x14ac:dyDescent="0.2">
      <c r="S2516" s="165"/>
      <c r="T2516" s="166"/>
      <c r="W2516" s="199" t="str">
        <f t="shared" si="47"/>
        <v>1w</v>
      </c>
      <c r="X2516" s="200">
        <f>_xll.qlCalendarAdvance(Calendar,X2515,W2516,"f",FALSE)</f>
        <v>56472</v>
      </c>
      <c r="Y2516" s="204">
        <f>_xll.qlCalendarAdvance(Calendar,X2516,NDays&amp;"D")</f>
        <v>56474</v>
      </c>
      <c r="Z2516" s="205">
        <v>3.2088638611083298E-2</v>
      </c>
      <c r="AA2516" s="207">
        <v>3.2057862049281738E-2</v>
      </c>
    </row>
    <row r="2517" spans="19:27" x14ac:dyDescent="0.2">
      <c r="S2517" s="165"/>
      <c r="T2517" s="166"/>
      <c r="W2517" s="199" t="str">
        <f t="shared" ref="W2517:W2580" si="48">W2516</f>
        <v>1w</v>
      </c>
      <c r="X2517" s="200">
        <f>_xll.qlCalendarAdvance(Calendar,X2516,W2517,"f",FALSE)</f>
        <v>56479</v>
      </c>
      <c r="Y2517" s="204">
        <f>_xll.qlCalendarAdvance(Calendar,X2517,NDays&amp;"D")</f>
        <v>56481</v>
      </c>
      <c r="Z2517" s="205">
        <v>3.2080427019718916E-2</v>
      </c>
      <c r="AA2517" s="207">
        <v>3.2049646816467714E-2</v>
      </c>
    </row>
    <row r="2518" spans="19:27" x14ac:dyDescent="0.2">
      <c r="S2518" s="165"/>
      <c r="T2518" s="166"/>
      <c r="W2518" s="199" t="str">
        <f t="shared" si="48"/>
        <v>1w</v>
      </c>
      <c r="X2518" s="200">
        <f>_xll.qlCalendarAdvance(Calendar,X2517,W2518,"f",FALSE)</f>
        <v>56486</v>
      </c>
      <c r="Y2518" s="204">
        <f>_xll.qlCalendarAdvance(Calendar,X2518,NDays&amp;"D")</f>
        <v>56488</v>
      </c>
      <c r="Z2518" s="205">
        <v>3.2072231465875845E-2</v>
      </c>
      <c r="AA2518" s="207">
        <v>3.2040277555420715E-2</v>
      </c>
    </row>
    <row r="2519" spans="19:27" x14ac:dyDescent="0.2">
      <c r="S2519" s="165"/>
      <c r="T2519" s="166"/>
      <c r="W2519" s="199" t="str">
        <f t="shared" si="48"/>
        <v>1w</v>
      </c>
      <c r="X2519" s="200">
        <f>_xll.qlCalendarAdvance(Calendar,X2518,W2519,"f",FALSE)</f>
        <v>56493</v>
      </c>
      <c r="Y2519" s="204">
        <f>_xll.qlCalendarAdvance(Calendar,X2519,NDays&amp;"D")</f>
        <v>56495</v>
      </c>
      <c r="Z2519" s="205">
        <v>3.206405194950912E-2</v>
      </c>
      <c r="AA2519" s="207">
        <v>3.2033264313273691E-2</v>
      </c>
    </row>
    <row r="2520" spans="19:27" x14ac:dyDescent="0.2">
      <c r="S2520" s="165"/>
      <c r="T2520" s="166"/>
      <c r="W2520" s="199" t="str">
        <f t="shared" si="48"/>
        <v>1w</v>
      </c>
      <c r="X2520" s="200">
        <f>_xll.qlCalendarAdvance(Calendar,X2519,W2520,"f",FALSE)</f>
        <v>56500</v>
      </c>
      <c r="Y2520" s="204">
        <f>_xll.qlCalendarAdvance(Calendar,X2520,NDays&amp;"D")</f>
        <v>56502</v>
      </c>
      <c r="Z2520" s="205">
        <v>3.2056732696069581E-2</v>
      </c>
      <c r="AA2520" s="207">
        <v>3.2025097043213435E-2</v>
      </c>
    </row>
    <row r="2521" spans="19:27" x14ac:dyDescent="0.2">
      <c r="S2521" s="165"/>
      <c r="T2521" s="166"/>
      <c r="W2521" s="199" t="str">
        <f t="shared" si="48"/>
        <v>1w</v>
      </c>
      <c r="X2521" s="200">
        <f>_xll.qlCalendarAdvance(Calendar,X2520,W2521,"f",FALSE)</f>
        <v>56507</v>
      </c>
      <c r="Y2521" s="204">
        <f>_xll.qlCalendarAdvance(Calendar,X2521,NDays&amp;"D")</f>
        <v>56509</v>
      </c>
      <c r="Z2521" s="205">
        <v>3.2047741029067323E-2</v>
      </c>
      <c r="AA2521" s="207">
        <v>3.2016945760684479E-2</v>
      </c>
    </row>
    <row r="2522" spans="19:27" x14ac:dyDescent="0.2">
      <c r="S2522" s="165"/>
      <c r="T2522" s="166"/>
      <c r="W2522" s="199" t="str">
        <f t="shared" si="48"/>
        <v>1w</v>
      </c>
      <c r="X2522" s="200">
        <f>_xll.qlCalendarAdvance(Calendar,X2521,W2522,"f",FALSE)</f>
        <v>56514</v>
      </c>
      <c r="Y2522" s="204">
        <f>_xll.qlCalendarAdvance(Calendar,X2522,NDays&amp;"D")</f>
        <v>56516</v>
      </c>
      <c r="Z2522" s="205">
        <v>3.2039609624927301E-2</v>
      </c>
      <c r="AA2522" s="207">
        <v>3.2008810465367077E-2</v>
      </c>
    </row>
    <row r="2523" spans="19:27" x14ac:dyDescent="0.2">
      <c r="S2523" s="165"/>
      <c r="T2523" s="166"/>
      <c r="W2523" s="199" t="str">
        <f t="shared" si="48"/>
        <v>1w</v>
      </c>
      <c r="X2523" s="200">
        <f>_xll.qlCalendarAdvance(Calendar,X2522,W2523,"f",FALSE)</f>
        <v>56521</v>
      </c>
      <c r="Y2523" s="204">
        <f>_xll.qlCalendarAdvance(Calendar,X2523,NDays&amp;"D")</f>
        <v>56523</v>
      </c>
      <c r="Z2523" s="205">
        <v>3.2031494258128734E-2</v>
      </c>
      <c r="AA2523" s="207">
        <v>3.2000691157900718E-2</v>
      </c>
    </row>
    <row r="2524" spans="19:27" x14ac:dyDescent="0.2">
      <c r="S2524" s="165"/>
      <c r="T2524" s="166"/>
      <c r="W2524" s="199" t="str">
        <f t="shared" si="48"/>
        <v>1w</v>
      </c>
      <c r="X2524" s="200">
        <f>_xll.qlCalendarAdvance(Calendar,X2523,W2524,"f",FALSE)</f>
        <v>56528</v>
      </c>
      <c r="Y2524" s="204">
        <f>_xll.qlCalendarAdvance(Calendar,X2524,NDays&amp;"D")</f>
        <v>56530</v>
      </c>
      <c r="Z2524" s="205">
        <v>3.2023394928631654E-2</v>
      </c>
      <c r="AA2524" s="207">
        <v>3.199258783812553E-2</v>
      </c>
    </row>
    <row r="2525" spans="19:27" x14ac:dyDescent="0.2">
      <c r="S2525" s="165"/>
      <c r="T2525" s="166"/>
      <c r="W2525" s="199" t="str">
        <f t="shared" si="48"/>
        <v>1w</v>
      </c>
      <c r="X2525" s="200">
        <f>_xll.qlCalendarAdvance(Calendar,X2524,W2525,"f",FALSE)</f>
        <v>56535</v>
      </c>
      <c r="Y2525" s="204">
        <f>_xll.qlCalendarAdvance(Calendar,X2525,NDays&amp;"D")</f>
        <v>56537</v>
      </c>
      <c r="Z2525" s="205">
        <v>3.2015311636406085E-2</v>
      </c>
      <c r="AA2525" s="207">
        <v>3.1984500505721769E-2</v>
      </c>
    </row>
    <row r="2526" spans="19:27" x14ac:dyDescent="0.2">
      <c r="S2526" s="165"/>
      <c r="T2526" s="166"/>
      <c r="W2526" s="199" t="str">
        <f t="shared" si="48"/>
        <v>1w</v>
      </c>
      <c r="X2526" s="200">
        <f>_xll.qlCalendarAdvance(Calendar,X2525,W2526,"f",FALSE)</f>
        <v>56542</v>
      </c>
      <c r="Y2526" s="204">
        <f>_xll.qlCalendarAdvance(Calendar,X2526,NDays&amp;"D")</f>
        <v>56544</v>
      </c>
      <c r="Z2526" s="205">
        <v>3.2007244381422051E-2</v>
      </c>
      <c r="AA2526" s="207">
        <v>3.1976429160929243E-2</v>
      </c>
    </row>
    <row r="2527" spans="19:27" x14ac:dyDescent="0.2">
      <c r="S2527" s="165"/>
      <c r="T2527" s="166"/>
      <c r="W2527" s="199" t="str">
        <f t="shared" si="48"/>
        <v>1w</v>
      </c>
      <c r="X2527" s="200">
        <f>_xll.qlCalendarAdvance(Calendar,X2526,W2527,"f",FALSE)</f>
        <v>56549</v>
      </c>
      <c r="Y2527" s="204">
        <f>_xll.qlCalendarAdvance(Calendar,X2527,NDays&amp;"D")</f>
        <v>56551</v>
      </c>
      <c r="Z2527" s="205">
        <v>3.1999193163637085E-2</v>
      </c>
      <c r="AA2527" s="207">
        <v>3.1968373803747951E-2</v>
      </c>
    </row>
    <row r="2528" spans="19:27" x14ac:dyDescent="0.2">
      <c r="S2528" s="165"/>
      <c r="T2528" s="166"/>
      <c r="W2528" s="199" t="str">
        <f t="shared" si="48"/>
        <v>1w</v>
      </c>
      <c r="X2528" s="200">
        <f>_xll.qlCalendarAdvance(Calendar,X2527,W2528,"f",FALSE)</f>
        <v>56556</v>
      </c>
      <c r="Y2528" s="204">
        <f>_xll.qlCalendarAdvance(Calendar,X2528,NDays&amp;"D")</f>
        <v>56558</v>
      </c>
      <c r="Z2528" s="205">
        <v>3.1991157983016216E-2</v>
      </c>
      <c r="AA2528" s="207">
        <v>3.1960334434177895E-2</v>
      </c>
    </row>
    <row r="2529" spans="19:27" x14ac:dyDescent="0.2">
      <c r="S2529" s="165"/>
      <c r="T2529" s="166"/>
      <c r="W2529" s="199" t="str">
        <f t="shared" si="48"/>
        <v>1w</v>
      </c>
      <c r="X2529" s="200">
        <f>_xll.qlCalendarAdvance(Calendar,X2528,W2529,"f",FALSE)</f>
        <v>56563</v>
      </c>
      <c r="Y2529" s="204">
        <f>_xll.qlCalendarAdvance(Calendar,X2529,NDays&amp;"D")</f>
        <v>56565</v>
      </c>
      <c r="Z2529" s="205">
        <v>3.1983138839536962E-2</v>
      </c>
      <c r="AA2529" s="207">
        <v>3.1952311051979265E-2</v>
      </c>
    </row>
    <row r="2530" spans="19:27" x14ac:dyDescent="0.2">
      <c r="S2530" s="165"/>
      <c r="T2530" s="166"/>
      <c r="W2530" s="199" t="str">
        <f t="shared" si="48"/>
        <v>1w</v>
      </c>
      <c r="X2530" s="200">
        <f>_xll.qlCalendarAdvance(Calendar,X2529,W2530,"f",FALSE)</f>
        <v>56570</v>
      </c>
      <c r="Y2530" s="204">
        <f>_xll.qlCalendarAdvance(Calendar,X2530,NDays&amp;"D")</f>
        <v>56572</v>
      </c>
      <c r="Z2530" s="205">
        <v>3.1975135733149362E-2</v>
      </c>
      <c r="AA2530" s="207">
        <v>3.1944303657471806E-2</v>
      </c>
    </row>
    <row r="2531" spans="19:27" x14ac:dyDescent="0.2">
      <c r="S2531" s="165"/>
      <c r="T2531" s="166"/>
      <c r="W2531" s="199" t="str">
        <f t="shared" si="48"/>
        <v>1w</v>
      </c>
      <c r="X2531" s="200">
        <f>_xll.qlCalendarAdvance(Calendar,X2530,W2531,"f",FALSE)</f>
        <v>56577</v>
      </c>
      <c r="Y2531" s="204">
        <f>_xll.qlCalendarAdvance(Calendar,X2531,NDays&amp;"D")</f>
        <v>56579</v>
      </c>
      <c r="Z2531" s="205">
        <v>3.1966008963074666E-2</v>
      </c>
      <c r="AA2531" s="207">
        <v>3.1936312250495646E-2</v>
      </c>
    </row>
    <row r="2532" spans="19:27" x14ac:dyDescent="0.2">
      <c r="S2532" s="165"/>
      <c r="T2532" s="166"/>
      <c r="W2532" s="199" t="str">
        <f t="shared" si="48"/>
        <v>1w</v>
      </c>
      <c r="X2532" s="200">
        <f>_xll.qlCalendarAdvance(Calendar,X2531,W2532,"f",FALSE)</f>
        <v>56584</v>
      </c>
      <c r="Y2532" s="204">
        <f>_xll.qlCalendarAdvance(Calendar,X2532,NDays&amp;"D")</f>
        <v>56586</v>
      </c>
      <c r="Z2532" s="205">
        <v>3.1959177631539215E-2</v>
      </c>
      <c r="AA2532" s="207">
        <v>3.1928336831130721E-2</v>
      </c>
    </row>
    <row r="2533" spans="19:27" x14ac:dyDescent="0.2">
      <c r="S2533" s="165"/>
      <c r="T2533" s="166"/>
      <c r="W2533" s="199" t="str">
        <f t="shared" si="48"/>
        <v>1w</v>
      </c>
      <c r="X2533" s="200">
        <f>_xll.qlCalendarAdvance(Calendar,X2532,W2533,"f",FALSE)</f>
        <v>56591</v>
      </c>
      <c r="Y2533" s="204">
        <f>_xll.qlCalendarAdvance(Calendar,X2533,NDays&amp;"D")</f>
        <v>56593</v>
      </c>
      <c r="Z2533" s="205">
        <v>3.1951222636246723E-2</v>
      </c>
      <c r="AA2533" s="207">
        <v>3.1920377399217159E-2</v>
      </c>
    </row>
    <row r="2534" spans="19:27" x14ac:dyDescent="0.2">
      <c r="S2534" s="165"/>
      <c r="T2534" s="166"/>
      <c r="W2534" s="199" t="str">
        <f t="shared" si="48"/>
        <v>1w</v>
      </c>
      <c r="X2534" s="200">
        <f>_xll.qlCalendarAdvance(Calendar,X2533,W2534,"f",FALSE)</f>
        <v>56598</v>
      </c>
      <c r="Y2534" s="204">
        <f>_xll.qlCalendarAdvance(Calendar,X2534,NDays&amp;"D")</f>
        <v>56600</v>
      </c>
      <c r="Z2534" s="205">
        <v>3.1944133946748755E-2</v>
      </c>
      <c r="AA2534" s="207">
        <v>3.1912433954914832E-2</v>
      </c>
    </row>
    <row r="2535" spans="19:27" x14ac:dyDescent="0.2">
      <c r="S2535" s="165"/>
      <c r="T2535" s="166"/>
      <c r="W2535" s="199" t="str">
        <f t="shared" si="48"/>
        <v>1w</v>
      </c>
      <c r="X2535" s="200">
        <f>_xll.qlCalendarAdvance(Calendar,X2534,W2535,"f",FALSE)</f>
        <v>56605</v>
      </c>
      <c r="Y2535" s="204">
        <f>_xll.qlCalendarAdvance(Calendar,X2535,NDays&amp;"D")</f>
        <v>56607</v>
      </c>
      <c r="Z2535" s="205">
        <v>3.1935360756519537E-2</v>
      </c>
      <c r="AA2535" s="207">
        <v>3.1902244447117312E-2</v>
      </c>
    </row>
    <row r="2536" spans="19:27" x14ac:dyDescent="0.2">
      <c r="S2536" s="165"/>
      <c r="T2536" s="166"/>
      <c r="W2536" s="199" t="str">
        <f t="shared" si="48"/>
        <v>1w</v>
      </c>
      <c r="X2536" s="200">
        <f>_xll.qlCalendarAdvance(Calendar,X2535,W2536,"f",FALSE)</f>
        <v>56612</v>
      </c>
      <c r="Y2536" s="204">
        <f>_xll.qlCalendarAdvance(Calendar,X2536,NDays&amp;"D")</f>
        <v>56614</v>
      </c>
      <c r="Z2536" s="205">
        <v>3.1924900955791993E-2</v>
      </c>
      <c r="AA2536" s="207">
        <v>3.1895466124254312E-2</v>
      </c>
    </row>
    <row r="2537" spans="19:27" x14ac:dyDescent="0.2">
      <c r="S2537" s="165"/>
      <c r="T2537" s="166"/>
      <c r="W2537" s="199" t="str">
        <f t="shared" si="48"/>
        <v>1w</v>
      </c>
      <c r="X2537" s="200">
        <f>_xll.qlCalendarAdvance(Calendar,X2536,W2537,"f",FALSE)</f>
        <v>56619</v>
      </c>
      <c r="Y2537" s="204">
        <f>_xll.qlCalendarAdvance(Calendar,X2537,NDays&amp;"D")</f>
        <v>56621</v>
      </c>
      <c r="Z2537" s="205">
        <v>3.1919563024377096E-2</v>
      </c>
      <c r="AA2537" s="207">
        <v>3.1888699547355515E-2</v>
      </c>
    </row>
    <row r="2538" spans="19:27" x14ac:dyDescent="0.2">
      <c r="S2538" s="165"/>
      <c r="T2538" s="166"/>
      <c r="W2538" s="199" t="str">
        <f t="shared" si="48"/>
        <v>1w</v>
      </c>
      <c r="X2538" s="200">
        <f>_xll.qlCalendarAdvance(Calendar,X2537,W2538,"f",FALSE)</f>
        <v>56626</v>
      </c>
      <c r="Y2538" s="204">
        <f>_xll.qlCalendarAdvance(Calendar,X2538,NDays&amp;"D")</f>
        <v>56628</v>
      </c>
      <c r="Z2538" s="205">
        <v>3.1912540266521627E-2</v>
      </c>
      <c r="AA2538" s="207">
        <v>3.1880820053418191E-2</v>
      </c>
    </row>
    <row r="2539" spans="19:27" x14ac:dyDescent="0.2">
      <c r="S2539" s="165"/>
      <c r="T2539" s="166"/>
      <c r="W2539" s="199" t="str">
        <f t="shared" si="48"/>
        <v>1w</v>
      </c>
      <c r="X2539" s="200">
        <f>_xll.qlCalendarAdvance(Calendar,X2538,W2539,"f",FALSE)</f>
        <v>56633</v>
      </c>
      <c r="Y2539" s="204">
        <f>_xll.qlCalendarAdvance(Calendar,X2539,NDays&amp;"D")</f>
        <v>56635</v>
      </c>
      <c r="Z2539" s="205">
        <v>3.1903829439539622E-2</v>
      </c>
      <c r="AA2539" s="207">
        <v>3.1872956546852294E-2</v>
      </c>
    </row>
    <row r="2540" spans="19:27" x14ac:dyDescent="0.2">
      <c r="S2540" s="165"/>
      <c r="T2540" s="166"/>
      <c r="W2540" s="199" t="str">
        <f t="shared" si="48"/>
        <v>1w</v>
      </c>
      <c r="X2540" s="200">
        <f>_xll.qlCalendarAdvance(Calendar,X2539,W2540,"f",FALSE)</f>
        <v>56640</v>
      </c>
      <c r="Y2540" s="204">
        <f>_xll.qlCalendarAdvance(Calendar,X2540,NDays&amp;"D")</f>
        <v>56642</v>
      </c>
      <c r="Z2540" s="205">
        <v>3.1893428399470916E-2</v>
      </c>
      <c r="AA2540" s="207">
        <v>3.1865109027737759E-2</v>
      </c>
    </row>
    <row r="2541" spans="19:27" x14ac:dyDescent="0.2">
      <c r="S2541" s="165"/>
      <c r="T2541" s="166"/>
      <c r="W2541" s="199" t="str">
        <f t="shared" si="48"/>
        <v>1w</v>
      </c>
      <c r="X2541" s="200">
        <f>_xll.qlCalendarAdvance(Calendar,X2540,W2541,"f",FALSE)</f>
        <v>56647</v>
      </c>
      <c r="Y2541" s="204">
        <f>_xll.qlCalendarAdvance(Calendar,X2541,NDays&amp;"D")</f>
        <v>56649</v>
      </c>
      <c r="Z2541" s="205">
        <v>3.1884747307140415E-2</v>
      </c>
      <c r="AA2541" s="207">
        <v>3.185727749623446E-2</v>
      </c>
    </row>
    <row r="2542" spans="19:27" x14ac:dyDescent="0.2">
      <c r="S2542" s="165"/>
      <c r="T2542" s="166"/>
      <c r="W2542" s="199" t="str">
        <f t="shared" si="48"/>
        <v>1w</v>
      </c>
      <c r="X2542" s="200">
        <f>_xll.qlCalendarAdvance(Calendar,X2541,W2542,"f",FALSE)</f>
        <v>56654</v>
      </c>
      <c r="Y2542" s="204">
        <f>_xll.qlCalendarAdvance(Calendar,X2542,NDays&amp;"D")</f>
        <v>56656</v>
      </c>
      <c r="Z2542" s="205">
        <v>3.1876934825889922E-2</v>
      </c>
      <c r="AA2542" s="207">
        <v>3.1849461952502267E-2</v>
      </c>
    </row>
    <row r="2543" spans="19:27" x14ac:dyDescent="0.2">
      <c r="S2543" s="165"/>
      <c r="T2543" s="166"/>
      <c r="W2543" s="199" t="str">
        <f t="shared" si="48"/>
        <v>1w</v>
      </c>
      <c r="X2543" s="200">
        <f>_xll.qlCalendarAdvance(Calendar,X2542,W2543,"f",FALSE)</f>
        <v>56661</v>
      </c>
      <c r="Y2543" s="204">
        <f>_xll.qlCalendarAdvance(Calendar,X2543,NDays&amp;"D")</f>
        <v>56663</v>
      </c>
      <c r="Z2543" s="205">
        <v>3.1869138374962205E-2</v>
      </c>
      <c r="AA2543" s="207">
        <v>3.1841662396141501E-2</v>
      </c>
    </row>
    <row r="2544" spans="19:27" x14ac:dyDescent="0.2">
      <c r="S2544" s="165"/>
      <c r="T2544" s="166"/>
      <c r="W2544" s="199" t="str">
        <f t="shared" si="48"/>
        <v>1w</v>
      </c>
      <c r="X2544" s="200">
        <f>_xll.qlCalendarAdvance(Calendar,X2543,W2544,"f",FALSE)</f>
        <v>56668</v>
      </c>
      <c r="Y2544" s="204">
        <f>_xll.qlCalendarAdvance(Calendar,X2544,NDays&amp;"D")</f>
        <v>56670</v>
      </c>
      <c r="Z2544" s="205">
        <v>3.1861357954328727E-2</v>
      </c>
      <c r="AA2544" s="207">
        <v>3.1833878827312034E-2</v>
      </c>
    </row>
    <row r="2545" spans="19:27" x14ac:dyDescent="0.2">
      <c r="S2545" s="165"/>
      <c r="T2545" s="166"/>
      <c r="W2545" s="199" t="str">
        <f t="shared" si="48"/>
        <v>1w</v>
      </c>
      <c r="X2545" s="200">
        <f>_xll.qlCalendarAdvance(Calendar,X2544,W2545,"f",FALSE)</f>
        <v>56675</v>
      </c>
      <c r="Y2545" s="204">
        <f>_xll.qlCalendarAdvance(Calendar,X2545,NDays&amp;"D")</f>
        <v>56677</v>
      </c>
      <c r="Z2545" s="205">
        <v>3.1857013566241599E-2</v>
      </c>
      <c r="AA2545" s="207">
        <v>3.1826111246173738E-2</v>
      </c>
    </row>
    <row r="2546" spans="19:27" x14ac:dyDescent="0.2">
      <c r="S2546" s="165"/>
      <c r="T2546" s="166"/>
      <c r="W2546" s="199" t="str">
        <f t="shared" si="48"/>
        <v>1w</v>
      </c>
      <c r="X2546" s="200">
        <f>_xll.qlCalendarAdvance(Calendar,X2545,W2546,"f",FALSE)</f>
        <v>56682</v>
      </c>
      <c r="Y2546" s="204">
        <f>_xll.qlCalendarAdvance(Calendar,X2546,NDays&amp;"D")</f>
        <v>56684</v>
      </c>
      <c r="Z2546" s="205">
        <v>3.1849267048846552E-2</v>
      </c>
      <c r="AA2546" s="207">
        <v>3.1818359652406869E-2</v>
      </c>
    </row>
    <row r="2547" spans="19:27" x14ac:dyDescent="0.2">
      <c r="S2547" s="165"/>
      <c r="T2547" s="166"/>
      <c r="W2547" s="199" t="str">
        <f t="shared" si="48"/>
        <v>1w</v>
      </c>
      <c r="X2547" s="200">
        <f>_xll.qlCalendarAdvance(Calendar,X2546,W2547,"f",FALSE)</f>
        <v>56689</v>
      </c>
      <c r="Y2547" s="204">
        <f>_xll.qlCalendarAdvance(Calendar,X2547,NDays&amp;"D")</f>
        <v>56691</v>
      </c>
      <c r="Z2547" s="205">
        <v>3.1842392728081884E-2</v>
      </c>
      <c r="AA2547" s="207">
        <v>3.1810624046251235E-2</v>
      </c>
    </row>
    <row r="2548" spans="19:27" x14ac:dyDescent="0.2">
      <c r="S2548" s="165"/>
      <c r="T2548" s="166"/>
      <c r="W2548" s="199" t="str">
        <f t="shared" si="48"/>
        <v>1w</v>
      </c>
      <c r="X2548" s="200">
        <f>_xll.qlCalendarAdvance(Calendar,X2547,W2548,"f",FALSE)</f>
        <v>56696</v>
      </c>
      <c r="Y2548" s="204">
        <f>_xll.qlCalendarAdvance(Calendar,X2548,NDays&amp;"D")</f>
        <v>56698</v>
      </c>
      <c r="Z2548" s="205">
        <v>3.1833822123615296E-2</v>
      </c>
      <c r="AA2548" s="207">
        <v>3.1802904427546963E-2</v>
      </c>
    </row>
    <row r="2549" spans="19:27" x14ac:dyDescent="0.2">
      <c r="S2549" s="165"/>
      <c r="T2549" s="166"/>
      <c r="W2549" s="199" t="str">
        <f t="shared" si="48"/>
        <v>1w</v>
      </c>
      <c r="X2549" s="200">
        <f>_xll.qlCalendarAdvance(Calendar,X2548,W2549,"f",FALSE)</f>
        <v>56703</v>
      </c>
      <c r="Y2549" s="204">
        <f>_xll.qlCalendarAdvance(Calendar,X2549,NDays&amp;"D")</f>
        <v>56705</v>
      </c>
      <c r="Z2549" s="205">
        <v>3.1826980805904626E-2</v>
      </c>
      <c r="AA2549" s="207">
        <v>3.1795200796533862E-2</v>
      </c>
    </row>
    <row r="2550" spans="19:27" x14ac:dyDescent="0.2">
      <c r="S2550" s="165"/>
      <c r="T2550" s="166"/>
      <c r="W2550" s="199" t="str">
        <f t="shared" si="48"/>
        <v>1w</v>
      </c>
      <c r="X2550" s="200">
        <f>_xll.qlCalendarAdvance(Calendar,X2549,W2550,"f",FALSE)</f>
        <v>56710</v>
      </c>
      <c r="Y2550" s="204">
        <f>_xll.qlCalendarAdvance(Calendar,X2550,NDays&amp;"D")</f>
        <v>56712</v>
      </c>
      <c r="Z2550" s="205">
        <v>3.1818441344235171E-2</v>
      </c>
      <c r="AA2550" s="207">
        <v>3.178751315305206E-2</v>
      </c>
    </row>
    <row r="2551" spans="19:27" x14ac:dyDescent="0.2">
      <c r="S2551" s="165"/>
      <c r="T2551" s="166"/>
      <c r="W2551" s="199" t="str">
        <f t="shared" si="48"/>
        <v>1w</v>
      </c>
      <c r="X2551" s="200">
        <f>_xll.qlCalendarAdvance(Calendar,X2550,W2551,"f",FALSE)</f>
        <v>56717</v>
      </c>
      <c r="Y2551" s="204">
        <f>_xll.qlCalendarAdvance(Calendar,X2551,NDays&amp;"D")</f>
        <v>56719</v>
      </c>
      <c r="Z2551" s="205">
        <v>3.181077500915841E-2</v>
      </c>
      <c r="AA2551" s="207">
        <v>3.177765253177256E-2</v>
      </c>
    </row>
    <row r="2552" spans="19:27" x14ac:dyDescent="0.2">
      <c r="S2552" s="165"/>
      <c r="T2552" s="166"/>
      <c r="W2552" s="199" t="str">
        <f t="shared" si="48"/>
        <v>1w</v>
      </c>
      <c r="X2552" s="200">
        <f>_xll.qlCalendarAdvance(Calendar,X2551,W2552,"f",FALSE)</f>
        <v>56724</v>
      </c>
      <c r="Y2552" s="204">
        <f>_xll.qlCalendarAdvance(Calendar,X2552,NDays&amp;"D")</f>
        <v>56726</v>
      </c>
      <c r="Z2552" s="205">
        <v>3.1803124710446384E-2</v>
      </c>
      <c r="AA2552" s="207">
        <v>3.1772185828522481E-2</v>
      </c>
    </row>
    <row r="2553" spans="19:27" x14ac:dyDescent="0.2">
      <c r="S2553" s="165"/>
      <c r="T2553" s="166"/>
      <c r="W2553" s="199" t="str">
        <f t="shared" si="48"/>
        <v>1w</v>
      </c>
      <c r="X2553" s="200">
        <f>_xll.qlCalendarAdvance(Calendar,X2552,W2553,"f",FALSE)</f>
        <v>56731</v>
      </c>
      <c r="Y2553" s="204">
        <f>_xll.qlCalendarAdvance(Calendar,X2553,NDays&amp;"D")</f>
        <v>56733</v>
      </c>
      <c r="Z2553" s="205">
        <v>3.1792914113944373E-2</v>
      </c>
      <c r="AA2553" s="207">
        <v>3.1763456069766605E-2</v>
      </c>
    </row>
    <row r="2554" spans="19:27" x14ac:dyDescent="0.2">
      <c r="S2554" s="165"/>
      <c r="T2554" s="166"/>
      <c r="W2554" s="199" t="str">
        <f t="shared" si="48"/>
        <v>1w</v>
      </c>
      <c r="X2554" s="200">
        <f>_xll.qlCalendarAdvance(Calendar,X2553,W2554,"f",FALSE)</f>
        <v>56738</v>
      </c>
      <c r="Y2554" s="204">
        <f>_xll.qlCalendarAdvance(Calendar,X2554,NDays&amp;"D")</f>
        <v>56740</v>
      </c>
      <c r="Z2554" s="205">
        <v>3.178787222198165E-2</v>
      </c>
      <c r="AA2554" s="207">
        <v>3.1756922454357905E-2</v>
      </c>
    </row>
    <row r="2555" spans="19:27" x14ac:dyDescent="0.2">
      <c r="S2555" s="165"/>
      <c r="T2555" s="166"/>
      <c r="W2555" s="199" t="str">
        <f t="shared" si="48"/>
        <v>1w</v>
      </c>
      <c r="X2555" s="200">
        <f>_xll.qlCalendarAdvance(Calendar,X2554,W2555,"f",FALSE)</f>
        <v>56745</v>
      </c>
      <c r="Y2555" s="204">
        <f>_xll.qlCalendarAdvance(Calendar,X2555,NDays&amp;"D")</f>
        <v>56747</v>
      </c>
      <c r="Z2555" s="205">
        <v>3.1780270032163993E-2</v>
      </c>
      <c r="AA2555" s="207">
        <v>3.174931474829279E-2</v>
      </c>
    </row>
    <row r="2556" spans="19:27" x14ac:dyDescent="0.2">
      <c r="S2556" s="165"/>
      <c r="T2556" s="166"/>
      <c r="W2556" s="199" t="str">
        <f t="shared" si="48"/>
        <v>1w</v>
      </c>
      <c r="X2556" s="200">
        <f>_xll.qlCalendarAdvance(Calendar,X2555,W2556,"f",FALSE)</f>
        <v>56752</v>
      </c>
      <c r="Y2556" s="204">
        <f>_xll.qlCalendarAdvance(Calendar,X2556,NDays&amp;"D")</f>
        <v>56754</v>
      </c>
      <c r="Z2556" s="205">
        <v>3.1772683878578678E-2</v>
      </c>
      <c r="AA2556" s="207">
        <v>3.1741723030158653E-2</v>
      </c>
    </row>
    <row r="2557" spans="19:27" x14ac:dyDescent="0.2">
      <c r="S2557" s="165"/>
      <c r="T2557" s="166"/>
      <c r="W2557" s="199" t="str">
        <f t="shared" si="48"/>
        <v>1w</v>
      </c>
      <c r="X2557" s="200">
        <f>_xll.qlCalendarAdvance(Calendar,X2556,W2557,"f",FALSE)</f>
        <v>56759</v>
      </c>
      <c r="Y2557" s="204">
        <f>_xll.qlCalendarAdvance(Calendar,X2557,NDays&amp;"D")</f>
        <v>56761</v>
      </c>
      <c r="Z2557" s="205">
        <v>3.1765113761200725E-2</v>
      </c>
      <c r="AA2557" s="207">
        <v>3.173306635710027E-2</v>
      </c>
    </row>
    <row r="2558" spans="19:27" x14ac:dyDescent="0.2">
      <c r="S2558" s="165"/>
      <c r="T2558" s="166"/>
      <c r="W2558" s="199" t="str">
        <f t="shared" si="48"/>
        <v>1w</v>
      </c>
      <c r="X2558" s="200">
        <f>_xll.qlCalendarAdvance(Calendar,X2557,W2558,"f",FALSE)</f>
        <v>56766</v>
      </c>
      <c r="Y2558" s="204">
        <f>_xll.qlCalendarAdvance(Calendar,X2558,NDays&amp;"D")</f>
        <v>56768</v>
      </c>
      <c r="Z2558" s="205">
        <v>3.175842103356772E-2</v>
      </c>
      <c r="AA2558" s="207">
        <v>3.1726587555924723E-2</v>
      </c>
    </row>
    <row r="2559" spans="19:27" x14ac:dyDescent="0.2">
      <c r="S2559" s="165"/>
      <c r="T2559" s="166"/>
      <c r="W2559" s="199" t="str">
        <f t="shared" si="48"/>
        <v>1w</v>
      </c>
      <c r="X2559" s="200">
        <f>_xll.qlCalendarAdvance(Calendar,X2558,W2559,"f",FALSE)</f>
        <v>56773</v>
      </c>
      <c r="Y2559" s="204">
        <f>_xll.qlCalendarAdvance(Calendar,X2559,NDays&amp;"D")</f>
        <v>56775</v>
      </c>
      <c r="Z2559" s="205">
        <v>3.1750021634919523E-2</v>
      </c>
      <c r="AA2559" s="207">
        <v>3.1719043800304547E-2</v>
      </c>
    </row>
    <row r="2560" spans="19:27" x14ac:dyDescent="0.2">
      <c r="S2560" s="165"/>
      <c r="T2560" s="166"/>
      <c r="W2560" s="199" t="str">
        <f t="shared" si="48"/>
        <v>1w</v>
      </c>
      <c r="X2560" s="200">
        <f>_xll.qlCalendarAdvance(Calendar,X2559,W2560,"f",FALSE)</f>
        <v>56780</v>
      </c>
      <c r="Y2560" s="204">
        <f>_xll.qlCalendarAdvance(Calendar,X2560,NDays&amp;"D")</f>
        <v>56782</v>
      </c>
      <c r="Z2560" s="205">
        <v>3.1742499625948828E-2</v>
      </c>
      <c r="AA2560" s="207">
        <v>3.1711516032135734E-2</v>
      </c>
    </row>
    <row r="2561" spans="19:27" x14ac:dyDescent="0.2">
      <c r="S2561" s="165"/>
      <c r="T2561" s="166"/>
      <c r="W2561" s="199" t="str">
        <f t="shared" si="48"/>
        <v>1w</v>
      </c>
      <c r="X2561" s="200">
        <f>_xll.qlCalendarAdvance(Calendar,X2560,W2561,"f",FALSE)</f>
        <v>56787</v>
      </c>
      <c r="Y2561" s="204">
        <f>_xll.qlCalendarAdvance(Calendar,X2561,NDays&amp;"D")</f>
        <v>56789</v>
      </c>
      <c r="Z2561" s="205">
        <v>3.1734993653055599E-2</v>
      </c>
      <c r="AA2561" s="207">
        <v>3.1704004251498219E-2</v>
      </c>
    </row>
    <row r="2562" spans="19:27" x14ac:dyDescent="0.2">
      <c r="S2562" s="165"/>
      <c r="T2562" s="166"/>
      <c r="W2562" s="199" t="str">
        <f t="shared" si="48"/>
        <v>1w</v>
      </c>
      <c r="X2562" s="200">
        <f>_xll.qlCalendarAdvance(Calendar,X2561,W2562,"f",FALSE)</f>
        <v>56794</v>
      </c>
      <c r="Y2562" s="204">
        <f>_xll.qlCalendarAdvance(Calendar,X2562,NDays&amp;"D")</f>
        <v>56796</v>
      </c>
      <c r="Z2562" s="205">
        <v>3.1727503716204863E-2</v>
      </c>
      <c r="AA2562" s="207">
        <v>3.1696508458312067E-2</v>
      </c>
    </row>
    <row r="2563" spans="19:27" x14ac:dyDescent="0.2">
      <c r="S2563" s="165"/>
      <c r="T2563" s="166"/>
      <c r="W2563" s="199" t="str">
        <f t="shared" si="48"/>
        <v>1w</v>
      </c>
      <c r="X2563" s="200">
        <f>_xll.qlCalendarAdvance(Calendar,X2562,W2563,"f",FALSE)</f>
        <v>56801</v>
      </c>
      <c r="Y2563" s="204">
        <f>_xll.qlCalendarAdvance(Calendar,X2563,NDays&amp;"D")</f>
        <v>56803</v>
      </c>
      <c r="Z2563" s="205">
        <v>3.172002981536165E-2</v>
      </c>
      <c r="AA2563" s="207">
        <v>3.1689028652657214E-2</v>
      </c>
    </row>
    <row r="2564" spans="19:27" x14ac:dyDescent="0.2">
      <c r="S2564" s="165"/>
      <c r="T2564" s="166"/>
      <c r="W2564" s="199" t="str">
        <f t="shared" si="48"/>
        <v>1w</v>
      </c>
      <c r="X2564" s="200">
        <f>_xll.qlCalendarAdvance(Calendar,X2563,W2564,"f",FALSE)</f>
        <v>56808</v>
      </c>
      <c r="Y2564" s="204">
        <f>_xll.qlCalendarAdvance(Calendar,X2564,NDays&amp;"D")</f>
        <v>56810</v>
      </c>
      <c r="Z2564" s="205">
        <v>3.1712571950493484E-2</v>
      </c>
      <c r="AA2564" s="207">
        <v>3.1681564834613596E-2</v>
      </c>
    </row>
    <row r="2565" spans="19:27" x14ac:dyDescent="0.2">
      <c r="S2565" s="165"/>
      <c r="T2565" s="166"/>
      <c r="W2565" s="199" t="str">
        <f t="shared" si="48"/>
        <v>1w</v>
      </c>
      <c r="X2565" s="200">
        <f>_xll.qlCalendarAdvance(Calendar,X2564,W2565,"f",FALSE)</f>
        <v>56815</v>
      </c>
      <c r="Y2565" s="204">
        <f>_xll.qlCalendarAdvance(Calendar,X2565,NDays&amp;"D")</f>
        <v>56817</v>
      </c>
      <c r="Z2565" s="205">
        <v>3.1705130121577885E-2</v>
      </c>
      <c r="AA2565" s="207">
        <v>3.1674117004101277E-2</v>
      </c>
    </row>
    <row r="2566" spans="19:27" x14ac:dyDescent="0.2">
      <c r="S2566" s="165"/>
      <c r="T2566" s="166"/>
      <c r="W2566" s="199" t="str">
        <f t="shared" si="48"/>
        <v>1w</v>
      </c>
      <c r="X2566" s="200">
        <f>_xll.qlCalendarAdvance(Calendar,X2565,W2566,"f",FALSE)</f>
        <v>56822</v>
      </c>
      <c r="Y2566" s="204">
        <f>_xll.qlCalendarAdvance(Calendar,X2566,NDays&amp;"D")</f>
        <v>56824</v>
      </c>
      <c r="Z2566" s="205">
        <v>3.1698569578471468E-2</v>
      </c>
      <c r="AA2566" s="207">
        <v>3.1666685160960384E-2</v>
      </c>
    </row>
    <row r="2567" spans="19:27" x14ac:dyDescent="0.2">
      <c r="S2567" s="165"/>
      <c r="T2567" s="166"/>
      <c r="W2567" s="199" t="str">
        <f t="shared" si="48"/>
        <v>1w</v>
      </c>
      <c r="X2567" s="200">
        <f>_xll.qlCalendarAdvance(Calendar,X2566,W2567,"f",FALSE)</f>
        <v>56829</v>
      </c>
      <c r="Y2567" s="204">
        <f>_xll.qlCalendarAdvance(Calendar,X2567,NDays&amp;"D")</f>
        <v>56831</v>
      </c>
      <c r="Z2567" s="205">
        <v>3.1691160315418673E-2</v>
      </c>
      <c r="AA2567" s="207">
        <v>3.1659269305590598E-2</v>
      </c>
    </row>
    <row r="2568" spans="19:27" x14ac:dyDescent="0.2">
      <c r="S2568" s="165"/>
      <c r="T2568" s="166"/>
      <c r="W2568" s="199" t="str">
        <f t="shared" si="48"/>
        <v>1w</v>
      </c>
      <c r="X2568" s="200">
        <f>_xll.qlCalendarAdvance(Calendar,X2567,W2568,"f",FALSE)</f>
        <v>56836</v>
      </c>
      <c r="Y2568" s="204">
        <f>_xll.qlCalendarAdvance(Calendar,X2568,NDays&amp;"D")</f>
        <v>56838</v>
      </c>
      <c r="Z2568" s="205">
        <v>3.1682900850169282E-2</v>
      </c>
      <c r="AA2568" s="207">
        <v>3.1651869437592239E-2</v>
      </c>
    </row>
    <row r="2569" spans="19:27" x14ac:dyDescent="0.2">
      <c r="S2569" s="165"/>
      <c r="T2569" s="166"/>
      <c r="W2569" s="199" t="str">
        <f t="shared" si="48"/>
        <v>1w</v>
      </c>
      <c r="X2569" s="200">
        <f>_xll.qlCalendarAdvance(Calendar,X2568,W2569,"f",FALSE)</f>
        <v>56843</v>
      </c>
      <c r="Y2569" s="204">
        <f>_xll.qlCalendarAdvance(Calendar,X2569,NDays&amp;"D")</f>
        <v>56845</v>
      </c>
      <c r="Z2569" s="205">
        <v>3.1675523164716723E-2</v>
      </c>
      <c r="AA2569" s="207">
        <v>3.1644485556965307E-2</v>
      </c>
    </row>
    <row r="2570" spans="19:27" x14ac:dyDescent="0.2">
      <c r="S2570" s="165"/>
      <c r="T2570" s="166"/>
      <c r="W2570" s="199" t="str">
        <f t="shared" si="48"/>
        <v>1w</v>
      </c>
      <c r="X2570" s="200">
        <f>_xll.qlCalendarAdvance(Calendar,X2569,W2570,"f",FALSE)</f>
        <v>56850</v>
      </c>
      <c r="Y2570" s="204">
        <f>_xll.qlCalendarAdvance(Calendar,X2570,NDays&amp;"D")</f>
        <v>56852</v>
      </c>
      <c r="Z2570" s="205">
        <v>3.1668161515051862E-2</v>
      </c>
      <c r="AA2570" s="207">
        <v>3.1636066413103237E-2</v>
      </c>
    </row>
    <row r="2571" spans="19:27" x14ac:dyDescent="0.2">
      <c r="S2571" s="165"/>
      <c r="T2571" s="166"/>
      <c r="W2571" s="199" t="str">
        <f t="shared" si="48"/>
        <v>1w</v>
      </c>
      <c r="X2571" s="200">
        <f>_xll.qlCalendarAdvance(Calendar,X2570,W2571,"f",FALSE)</f>
        <v>56857</v>
      </c>
      <c r="Y2571" s="204">
        <f>_xll.qlCalendarAdvance(Calendar,X2571,NDays&amp;"D")</f>
        <v>56859</v>
      </c>
      <c r="Z2571" s="205">
        <v>3.1660815901139727E-2</v>
      </c>
      <c r="AA2571" s="207">
        <v>3.162976575870502E-2</v>
      </c>
    </row>
    <row r="2572" spans="19:27" x14ac:dyDescent="0.2">
      <c r="S2572" s="165"/>
      <c r="T2572" s="166"/>
      <c r="W2572" s="199" t="str">
        <f t="shared" si="48"/>
        <v>1w</v>
      </c>
      <c r="X2572" s="200">
        <f>_xll.qlCalendarAdvance(Calendar,X2571,W2572,"f",FALSE)</f>
        <v>56864</v>
      </c>
      <c r="Y2572" s="204">
        <f>_xll.qlCalendarAdvance(Calendar,X2572,NDays&amp;"D")</f>
        <v>56866</v>
      </c>
      <c r="Z2572" s="205">
        <v>3.1654354560654727E-2</v>
      </c>
      <c r="AA2572" s="207">
        <v>3.1622429840831856E-2</v>
      </c>
    </row>
    <row r="2573" spans="19:27" x14ac:dyDescent="0.2">
      <c r="S2573" s="165"/>
      <c r="T2573" s="166"/>
      <c r="W2573" s="199" t="str">
        <f t="shared" si="48"/>
        <v>1w</v>
      </c>
      <c r="X2573" s="200">
        <f>_xll.qlCalendarAdvance(Calendar,X2572,W2573,"f",FALSE)</f>
        <v>56871</v>
      </c>
      <c r="Y2573" s="204">
        <f>_xll.qlCalendarAdvance(Calendar,X2573,NDays&amp;"D")</f>
        <v>56873</v>
      </c>
      <c r="Z2573" s="205">
        <v>3.164617278046622E-2</v>
      </c>
      <c r="AA2573" s="207">
        <v>3.1615109910330119E-2</v>
      </c>
    </row>
    <row r="2574" spans="19:27" x14ac:dyDescent="0.2">
      <c r="S2574" s="165"/>
      <c r="T2574" s="166"/>
      <c r="W2574" s="199" t="str">
        <f t="shared" si="48"/>
        <v>1w</v>
      </c>
      <c r="X2574" s="200">
        <f>_xll.qlCalendarAdvance(Calendar,X2573,W2574,"f",FALSE)</f>
        <v>56878</v>
      </c>
      <c r="Y2574" s="204">
        <f>_xll.qlCalendarAdvance(Calendar,X2574,NDays&amp;"D")</f>
        <v>56880</v>
      </c>
      <c r="Z2574" s="205">
        <v>3.1638875273637401E-2</v>
      </c>
      <c r="AA2574" s="207">
        <v>3.1607805967519553E-2</v>
      </c>
    </row>
    <row r="2575" spans="19:27" x14ac:dyDescent="0.2">
      <c r="S2575" s="165"/>
      <c r="T2575" s="166"/>
      <c r="W2575" s="199" t="str">
        <f t="shared" si="48"/>
        <v>1w</v>
      </c>
      <c r="X2575" s="200">
        <f>_xll.qlCalendarAdvance(Calendar,X2574,W2575,"f",FALSE)</f>
        <v>56885</v>
      </c>
      <c r="Y2575" s="204">
        <f>_xll.qlCalendarAdvance(Calendar,X2575,NDays&amp;"D")</f>
        <v>56887</v>
      </c>
      <c r="Z2575" s="205">
        <v>3.1628985140307507E-2</v>
      </c>
      <c r="AA2575" s="207">
        <v>3.1600518012240286E-2</v>
      </c>
    </row>
    <row r="2576" spans="19:27" x14ac:dyDescent="0.2">
      <c r="S2576" s="165"/>
      <c r="T2576" s="166"/>
      <c r="W2576" s="199" t="str">
        <f t="shared" si="48"/>
        <v>1w</v>
      </c>
      <c r="X2576" s="200">
        <f>_xll.qlCalendarAdvance(Calendar,X2575,W2576,"f",FALSE)</f>
        <v>56892</v>
      </c>
      <c r="Y2576" s="204">
        <f>_xll.qlCalendarAdvance(Calendar,X2576,NDays&amp;"D")</f>
        <v>56894</v>
      </c>
      <c r="Z2576" s="205">
        <v>3.1624328366843257E-2</v>
      </c>
      <c r="AA2576" s="207">
        <v>3.159324604425251E-2</v>
      </c>
    </row>
    <row r="2577" spans="19:27" x14ac:dyDescent="0.2">
      <c r="S2577" s="165"/>
      <c r="T2577" s="166"/>
      <c r="W2577" s="199" t="str">
        <f t="shared" si="48"/>
        <v>1w</v>
      </c>
      <c r="X2577" s="200">
        <f>_xll.qlCalendarAdvance(Calendar,X2576,W2577,"f",FALSE)</f>
        <v>56899</v>
      </c>
      <c r="Y2577" s="204">
        <f>_xll.qlCalendarAdvance(Calendar,X2577,NDays&amp;"D")</f>
        <v>56901</v>
      </c>
      <c r="Z2577" s="205">
        <v>3.161707896681798E-2</v>
      </c>
      <c r="AA2577" s="207">
        <v>3.1585990063875968E-2</v>
      </c>
    </row>
    <row r="2578" spans="19:27" x14ac:dyDescent="0.2">
      <c r="S2578" s="165"/>
      <c r="T2578" s="166"/>
      <c r="W2578" s="199" t="str">
        <f t="shared" si="48"/>
        <v>1w</v>
      </c>
      <c r="X2578" s="200">
        <f>_xll.qlCalendarAdvance(Calendar,X2577,W2578,"f",FALSE)</f>
        <v>56906</v>
      </c>
      <c r="Y2578" s="204">
        <f>_xll.qlCalendarAdvance(Calendar,X2578,NDays&amp;"D")</f>
        <v>56908</v>
      </c>
      <c r="Z2578" s="205">
        <v>3.1609845602325604E-2</v>
      </c>
      <c r="AA2578" s="207">
        <v>3.1578750071190598E-2</v>
      </c>
    </row>
    <row r="2579" spans="19:27" x14ac:dyDescent="0.2">
      <c r="S2579" s="165"/>
      <c r="T2579" s="166"/>
      <c r="W2579" s="199" t="str">
        <f t="shared" si="48"/>
        <v>1w</v>
      </c>
      <c r="X2579" s="200">
        <f>_xll.qlCalendarAdvance(Calendar,X2578,W2579,"f",FALSE)</f>
        <v>56913</v>
      </c>
      <c r="Y2579" s="204">
        <f>_xll.qlCalendarAdvance(Calendar,X2579,NDays&amp;"D")</f>
        <v>56915</v>
      </c>
      <c r="Z2579" s="205">
        <v>3.1602628273343647E-2</v>
      </c>
      <c r="AA2579" s="207">
        <v>3.1571526065796718E-2</v>
      </c>
    </row>
    <row r="2580" spans="19:27" x14ac:dyDescent="0.2">
      <c r="S2580" s="165"/>
      <c r="T2580" s="166"/>
      <c r="W2580" s="199" t="str">
        <f t="shared" si="48"/>
        <v>1w</v>
      </c>
      <c r="X2580" s="200">
        <f>_xll.qlCalendarAdvance(Calendar,X2579,W2580,"f",FALSE)</f>
        <v>56920</v>
      </c>
      <c r="Y2580" s="204">
        <f>_xll.qlCalendarAdvance(Calendar,X2580,NDays&amp;"D")</f>
        <v>56922</v>
      </c>
      <c r="Z2580" s="205">
        <v>3.1595426979844632E-2</v>
      </c>
      <c r="AA2580" s="207">
        <v>3.1564318047934137E-2</v>
      </c>
    </row>
    <row r="2581" spans="19:27" x14ac:dyDescent="0.2">
      <c r="S2581" s="165"/>
      <c r="T2581" s="166"/>
      <c r="W2581" s="199" t="str">
        <f t="shared" ref="W2581:W2644" si="49">W2580</f>
        <v>1w</v>
      </c>
      <c r="X2581" s="200">
        <f>_xll.qlCalendarAdvance(Calendar,X2580,W2581,"f",FALSE)</f>
        <v>56927</v>
      </c>
      <c r="Y2581" s="204">
        <f>_xll.qlCalendarAdvance(Calendar,X2581,NDays&amp;"D")</f>
        <v>56929</v>
      </c>
      <c r="Z2581" s="205">
        <v>3.1586343767615814E-2</v>
      </c>
      <c r="AA2581" s="207">
        <v>3.1557126017602855E-2</v>
      </c>
    </row>
    <row r="2582" spans="19:27" x14ac:dyDescent="0.2">
      <c r="S2582" s="165"/>
      <c r="T2582" s="166"/>
      <c r="W2582" s="199" t="str">
        <f t="shared" si="49"/>
        <v>1w</v>
      </c>
      <c r="X2582" s="200">
        <f>_xll.qlCalendarAdvance(Calendar,X2581,W2582,"f",FALSE)</f>
        <v>56934</v>
      </c>
      <c r="Y2582" s="204">
        <f>_xll.qlCalendarAdvance(Calendar,X2582,NDays&amp;"D")</f>
        <v>56936</v>
      </c>
      <c r="Z2582" s="205">
        <v>3.158107249914055E-2</v>
      </c>
      <c r="AA2582" s="207">
        <v>3.1549949974882807E-2</v>
      </c>
    </row>
    <row r="2583" spans="19:27" x14ac:dyDescent="0.2">
      <c r="S2583" s="165"/>
      <c r="T2583" s="166"/>
      <c r="W2583" s="199" t="str">
        <f t="shared" si="49"/>
        <v>1w</v>
      </c>
      <c r="X2583" s="200">
        <f>_xll.qlCalendarAdvance(Calendar,X2582,W2583,"f",FALSE)</f>
        <v>56941</v>
      </c>
      <c r="Y2583" s="204">
        <f>_xll.qlCalendarAdvance(Calendar,X2583,NDays&amp;"D")</f>
        <v>56943</v>
      </c>
      <c r="Z2583" s="205">
        <v>3.1573772671754957E-2</v>
      </c>
      <c r="AA2583" s="207">
        <v>3.1542789919614123E-2</v>
      </c>
    </row>
    <row r="2584" spans="19:27" x14ac:dyDescent="0.2">
      <c r="S2584" s="165"/>
      <c r="T2584" s="166"/>
      <c r="W2584" s="199" t="str">
        <f t="shared" si="49"/>
        <v>1w</v>
      </c>
      <c r="X2584" s="200">
        <f>_xll.qlCalendarAdvance(Calendar,X2583,W2584,"f",FALSE)</f>
        <v>56948</v>
      </c>
      <c r="Y2584" s="204">
        <f>_xll.qlCalendarAdvance(Calendar,X2584,NDays&amp;"D")</f>
        <v>56950</v>
      </c>
      <c r="Z2584" s="205">
        <v>3.1567656540928919E-2</v>
      </c>
      <c r="AA2584" s="207">
        <v>3.1535645851716865E-2</v>
      </c>
    </row>
    <row r="2585" spans="19:27" x14ac:dyDescent="0.2">
      <c r="S2585" s="165"/>
      <c r="T2585" s="166"/>
      <c r="W2585" s="199" t="str">
        <f t="shared" si="49"/>
        <v>1w</v>
      </c>
      <c r="X2585" s="200">
        <f>_xll.qlCalendarAdvance(Calendar,X2584,W2585,"f",FALSE)</f>
        <v>56955</v>
      </c>
      <c r="Y2585" s="204">
        <f>_xll.qlCalendarAdvance(Calendar,X2585,NDays&amp;"D")</f>
        <v>56957</v>
      </c>
      <c r="Z2585" s="205">
        <v>3.1559661043402132E-2</v>
      </c>
      <c r="AA2585" s="207">
        <v>3.1528517771590714E-2</v>
      </c>
    </row>
    <row r="2586" spans="19:27" x14ac:dyDescent="0.2">
      <c r="S2586" s="165"/>
      <c r="T2586" s="166"/>
      <c r="W2586" s="199" t="str">
        <f t="shared" si="49"/>
        <v>1w</v>
      </c>
      <c r="X2586" s="200">
        <f>_xll.qlCalendarAdvance(Calendar,X2585,W2586,"f",FALSE)</f>
        <v>56962</v>
      </c>
      <c r="Y2586" s="204">
        <f>_xll.qlCalendarAdvance(Calendar,X2586,NDays&amp;"D")</f>
        <v>56964</v>
      </c>
      <c r="Z2586" s="205">
        <v>3.1553431388580744E-2</v>
      </c>
      <c r="AA2586" s="207">
        <v>3.152140567883599E-2</v>
      </c>
    </row>
    <row r="2587" spans="19:27" x14ac:dyDescent="0.2">
      <c r="S2587" s="165"/>
      <c r="T2587" s="166"/>
      <c r="W2587" s="199" t="str">
        <f t="shared" si="49"/>
        <v>1w</v>
      </c>
      <c r="X2587" s="200">
        <f>_xll.qlCalendarAdvance(Calendar,X2586,W2587,"f",FALSE)</f>
        <v>56969</v>
      </c>
      <c r="Y2587" s="204">
        <f>_xll.qlCalendarAdvance(Calendar,X2587,NDays&amp;"D")</f>
        <v>56971</v>
      </c>
      <c r="Z2587" s="205">
        <v>3.1545466916098608E-2</v>
      </c>
      <c r="AA2587" s="207">
        <v>3.1512285051302769E-2</v>
      </c>
    </row>
    <row r="2588" spans="19:27" x14ac:dyDescent="0.2">
      <c r="S2588" s="165"/>
      <c r="T2588" s="166"/>
      <c r="W2588" s="199" t="str">
        <f t="shared" si="49"/>
        <v>1w</v>
      </c>
      <c r="X2588" s="200">
        <f>_xll.qlCalendarAdvance(Calendar,X2587,W2588,"f",FALSE)</f>
        <v>56977</v>
      </c>
      <c r="Y2588" s="204">
        <f>_xll.qlCalendarAdvance(Calendar,X2588,NDays&amp;"D")</f>
        <v>56979</v>
      </c>
      <c r="Z2588" s="205">
        <v>3.1532474818554361E-2</v>
      </c>
      <c r="AA2588" s="207">
        <v>3.1505209501476727E-2</v>
      </c>
    </row>
    <row r="2589" spans="19:27" x14ac:dyDescent="0.2">
      <c r="S2589" s="165"/>
      <c r="T2589" s="166"/>
      <c r="W2589" s="199" t="str">
        <f t="shared" si="49"/>
        <v>1w</v>
      </c>
      <c r="X2589" s="200">
        <f>_xll.qlCalendarAdvance(Calendar,X2588,W2589,"f",FALSE)</f>
        <v>56984</v>
      </c>
      <c r="Y2589" s="204">
        <f>_xll.qlCalendarAdvance(Calendar,X2589,NDays&amp;"D")</f>
        <v>56986</v>
      </c>
      <c r="Z2589" s="205">
        <v>3.1529453119124334E-2</v>
      </c>
      <c r="AA2589" s="207">
        <v>3.1499157469081496E-2</v>
      </c>
    </row>
    <row r="2590" spans="19:27" x14ac:dyDescent="0.2">
      <c r="S2590" s="165"/>
      <c r="T2590" s="166"/>
      <c r="W2590" s="199" t="str">
        <f t="shared" si="49"/>
        <v>1w</v>
      </c>
      <c r="X2590" s="200">
        <f>_xll.qlCalendarAdvance(Calendar,X2589,W2590,"f",FALSE)</f>
        <v>56991</v>
      </c>
      <c r="Y2590" s="204">
        <f>_xll.qlCalendarAdvance(Calendar,X2590,NDays&amp;"D")</f>
        <v>56993</v>
      </c>
      <c r="Z2590" s="205">
        <v>3.1522413939704334E-2</v>
      </c>
      <c r="AA2590" s="207">
        <v>3.149211161038501E-2</v>
      </c>
    </row>
    <row r="2591" spans="19:27" x14ac:dyDescent="0.2">
      <c r="S2591" s="165"/>
      <c r="T2591" s="166"/>
      <c r="W2591" s="199" t="str">
        <f t="shared" si="49"/>
        <v>1w</v>
      </c>
      <c r="X2591" s="200">
        <f>_xll.qlCalendarAdvance(Calendar,X2590,W2591,"f",FALSE)</f>
        <v>56998</v>
      </c>
      <c r="Y2591" s="204">
        <f>_xll.qlCalendarAdvance(Calendar,X2591,NDays&amp;"D")</f>
        <v>57000</v>
      </c>
      <c r="Z2591" s="205">
        <v>3.1516268835138084E-2</v>
      </c>
      <c r="AA2591" s="207">
        <v>3.1485081738980014E-2</v>
      </c>
    </row>
    <row r="2592" spans="19:27" x14ac:dyDescent="0.2">
      <c r="S2592" s="165"/>
      <c r="T2592" s="166"/>
      <c r="W2592" s="199" t="str">
        <f t="shared" si="49"/>
        <v>1w</v>
      </c>
      <c r="X2592" s="200">
        <f>_xll.qlCalendarAdvance(Calendar,X2591,W2592,"f",FALSE)</f>
        <v>57005</v>
      </c>
      <c r="Y2592" s="204">
        <f>_xll.qlCalendarAdvance(Calendar,X2592,NDays&amp;"D")</f>
        <v>57007</v>
      </c>
      <c r="Z2592" s="205">
        <v>3.1508383681652208E-2</v>
      </c>
      <c r="AA2592" s="207">
        <v>3.1478067855106318E-2</v>
      </c>
    </row>
    <row r="2593" spans="19:27" x14ac:dyDescent="0.2">
      <c r="S2593" s="165"/>
      <c r="T2593" s="166"/>
      <c r="W2593" s="199" t="str">
        <f t="shared" si="49"/>
        <v>1w</v>
      </c>
      <c r="X2593" s="200">
        <f>_xll.qlCalendarAdvance(Calendar,X2592,W2593,"f",FALSE)</f>
        <v>57012</v>
      </c>
      <c r="Y2593" s="204">
        <f>_xll.qlCalendarAdvance(Calendar,X2593,NDays&amp;"D")</f>
        <v>57014</v>
      </c>
      <c r="Z2593" s="205">
        <v>3.1501392602953031E-2</v>
      </c>
      <c r="AA2593" s="207">
        <v>3.1471069958683984E-2</v>
      </c>
    </row>
    <row r="2594" spans="19:27" x14ac:dyDescent="0.2">
      <c r="S2594" s="165"/>
      <c r="T2594" s="166"/>
      <c r="W2594" s="199" t="str">
        <f t="shared" si="49"/>
        <v>1w</v>
      </c>
      <c r="X2594" s="200">
        <f>_xll.qlCalendarAdvance(Calendar,X2593,W2594,"f",FALSE)</f>
        <v>57019</v>
      </c>
      <c r="Y2594" s="204">
        <f>_xll.qlCalendarAdvance(Calendar,X2594,NDays&amp;"D")</f>
        <v>57021</v>
      </c>
      <c r="Z2594" s="205">
        <v>3.1494417557771597E-2</v>
      </c>
      <c r="AA2594" s="207">
        <v>3.1464088049952821E-2</v>
      </c>
    </row>
    <row r="2595" spans="19:27" x14ac:dyDescent="0.2">
      <c r="S2595" s="165"/>
      <c r="T2595" s="166"/>
      <c r="W2595" s="199" t="str">
        <f t="shared" si="49"/>
        <v>1w</v>
      </c>
      <c r="X2595" s="200">
        <f>_xll.qlCalendarAdvance(Calendar,X2594,W2595,"f",FALSE)</f>
        <v>57026</v>
      </c>
      <c r="Y2595" s="204">
        <f>_xll.qlCalendarAdvance(Calendar,X2595,NDays&amp;"D")</f>
        <v>57028</v>
      </c>
      <c r="Z2595" s="205">
        <v>3.1487458546074383E-2</v>
      </c>
      <c r="AA2595" s="207">
        <v>3.1457122128673021E-2</v>
      </c>
    </row>
    <row r="2596" spans="19:27" x14ac:dyDescent="0.2">
      <c r="S2596" s="165"/>
      <c r="T2596" s="166"/>
      <c r="W2596" s="199" t="str">
        <f t="shared" si="49"/>
        <v>1w</v>
      </c>
      <c r="X2596" s="200">
        <f>_xll.qlCalendarAdvance(Calendar,X2595,W2596,"f",FALSE)</f>
        <v>57033</v>
      </c>
      <c r="Y2596" s="204">
        <f>_xll.qlCalendarAdvance(Calendar,X2596,NDays&amp;"D")</f>
        <v>57035</v>
      </c>
      <c r="Z2596" s="205">
        <v>3.1480515567838173E-2</v>
      </c>
      <c r="AA2596" s="207">
        <v>3.1450172194684711E-2</v>
      </c>
    </row>
    <row r="2597" spans="19:27" x14ac:dyDescent="0.2">
      <c r="S2597" s="165"/>
      <c r="T2597" s="166"/>
      <c r="W2597" s="199" t="str">
        <f t="shared" si="49"/>
        <v>1w</v>
      </c>
      <c r="X2597" s="200">
        <f>_xll.qlCalendarAdvance(Calendar,X2596,W2597,"f",FALSE)</f>
        <v>57040</v>
      </c>
      <c r="Y2597" s="204">
        <f>_xll.qlCalendarAdvance(Calendar,X2597,NDays&amp;"D")</f>
        <v>57042</v>
      </c>
      <c r="Z2597" s="205">
        <v>3.1474469884165135E-2</v>
      </c>
      <c r="AA2597" s="207">
        <v>3.1443238248547445E-2</v>
      </c>
    </row>
    <row r="2598" spans="19:27" x14ac:dyDescent="0.2">
      <c r="S2598" s="165"/>
      <c r="T2598" s="166"/>
      <c r="W2598" s="199" t="str">
        <f t="shared" si="49"/>
        <v>1w</v>
      </c>
      <c r="X2598" s="200">
        <f>_xll.qlCalendarAdvance(Calendar,X2597,W2598,"f",FALSE)</f>
        <v>57047</v>
      </c>
      <c r="Y2598" s="204">
        <f>_xll.qlCalendarAdvance(Calendar,X2598,NDays&amp;"D")</f>
        <v>57049</v>
      </c>
      <c r="Z2598" s="205">
        <v>3.1466677711617284E-2</v>
      </c>
      <c r="AA2598" s="207">
        <v>3.1436320289541797E-2</v>
      </c>
    </row>
    <row r="2599" spans="19:27" x14ac:dyDescent="0.2">
      <c r="S2599" s="165"/>
      <c r="T2599" s="166"/>
      <c r="W2599" s="199" t="str">
        <f t="shared" si="49"/>
        <v>1w</v>
      </c>
      <c r="X2599" s="200">
        <f>_xll.qlCalendarAdvance(Calendar,X2598,W2599,"f",FALSE)</f>
        <v>57054</v>
      </c>
      <c r="Y2599" s="204">
        <f>_xll.qlCalendarAdvance(Calendar,X2599,NDays&amp;"D")</f>
        <v>57056</v>
      </c>
      <c r="Z2599" s="205">
        <v>3.1459782833578455E-2</v>
      </c>
      <c r="AA2599" s="207">
        <v>3.142941831822732E-2</v>
      </c>
    </row>
    <row r="2600" spans="19:27" x14ac:dyDescent="0.2">
      <c r="S2600" s="165"/>
      <c r="T2600" s="166"/>
      <c r="W2600" s="199" t="str">
        <f t="shared" si="49"/>
        <v>1w</v>
      </c>
      <c r="X2600" s="200">
        <f>_xll.qlCalendarAdvance(Calendar,X2599,W2600,"f",FALSE)</f>
        <v>57061</v>
      </c>
      <c r="Y2600" s="204">
        <f>_xll.qlCalendarAdvance(Calendar,X2600,NDays&amp;"D")</f>
        <v>57063</v>
      </c>
      <c r="Z2600" s="205">
        <v>3.1452903988884597E-2</v>
      </c>
      <c r="AA2600" s="207">
        <v>3.1422532334204334E-2</v>
      </c>
    </row>
    <row r="2601" spans="19:27" x14ac:dyDescent="0.2">
      <c r="S2601" s="165"/>
      <c r="T2601" s="166"/>
      <c r="W2601" s="199" t="str">
        <f t="shared" si="49"/>
        <v>1w</v>
      </c>
      <c r="X2601" s="200">
        <f>_xll.qlCalendarAdvance(Calendar,X2600,W2601,"f",FALSE)</f>
        <v>57068</v>
      </c>
      <c r="Y2601" s="204">
        <f>_xll.qlCalendarAdvance(Calendar,X2601,NDays&amp;"D")</f>
        <v>57074</v>
      </c>
      <c r="Z2601" s="205">
        <v>3.1441243121942186E-2</v>
      </c>
      <c r="AA2601" s="207">
        <v>3.1413702418285894E-2</v>
      </c>
    </row>
    <row r="2602" spans="19:27" x14ac:dyDescent="0.2">
      <c r="S2602" s="165"/>
      <c r="T2602" s="166"/>
      <c r="W2602" s="199" t="str">
        <f t="shared" si="49"/>
        <v>1w</v>
      </c>
      <c r="X2602" s="200">
        <f>_xll.qlCalendarAdvance(Calendar,X2601,W2602,"f",FALSE)</f>
        <v>57075</v>
      </c>
      <c r="Y2602" s="204">
        <f>_xll.qlCalendarAdvance(Calendar,X2602,NDays&amp;"D")</f>
        <v>57077</v>
      </c>
      <c r="Z2602" s="205">
        <v>3.1439194399410605E-2</v>
      </c>
      <c r="AA2602" s="207">
        <v>3.1408808328992066E-2</v>
      </c>
    </row>
    <row r="2603" spans="19:27" x14ac:dyDescent="0.2">
      <c r="S2603" s="165"/>
      <c r="T2603" s="166"/>
      <c r="W2603" s="199" t="str">
        <f t="shared" si="49"/>
        <v>1w</v>
      </c>
      <c r="X2603" s="200">
        <f>_xll.qlCalendarAdvance(Calendar,X2602,W2603,"f",FALSE)</f>
        <v>57082</v>
      </c>
      <c r="Y2603" s="204">
        <f>_xll.qlCalendarAdvance(Calendar,X2603,NDays&amp;"D")</f>
        <v>57084</v>
      </c>
      <c r="Z2603" s="205">
        <v>3.1432363654576329E-2</v>
      </c>
      <c r="AA2603" s="207">
        <v>3.1401970307562976E-2</v>
      </c>
    </row>
    <row r="2604" spans="19:27" x14ac:dyDescent="0.2">
      <c r="S2604" s="165"/>
      <c r="T2604" s="166"/>
      <c r="W2604" s="199" t="str">
        <f t="shared" si="49"/>
        <v>1w</v>
      </c>
      <c r="X2604" s="200">
        <f>_xll.qlCalendarAdvance(Calendar,X2603,W2604,"f",FALSE)</f>
        <v>57089</v>
      </c>
      <c r="Y2604" s="204">
        <f>_xll.qlCalendarAdvance(Calendar,X2604,NDays&amp;"D")</f>
        <v>57091</v>
      </c>
      <c r="Z2604" s="205">
        <v>3.1425548942968409E-2</v>
      </c>
      <c r="AA2604" s="207">
        <v>3.1395148273665185E-2</v>
      </c>
    </row>
    <row r="2605" spans="19:27" x14ac:dyDescent="0.2">
      <c r="S2605" s="165"/>
      <c r="T2605" s="166"/>
      <c r="W2605" s="199" t="str">
        <f t="shared" si="49"/>
        <v>1w</v>
      </c>
      <c r="X2605" s="200">
        <f>_xll.qlCalendarAdvance(Calendar,X2604,W2605,"f",FALSE)</f>
        <v>57096</v>
      </c>
      <c r="Y2605" s="204">
        <f>_xll.qlCalendarAdvance(Calendar,X2605,NDays&amp;"D")</f>
        <v>57098</v>
      </c>
      <c r="Z2605" s="205">
        <v>3.1420521648840675E-2</v>
      </c>
      <c r="AA2605" s="207">
        <v>3.1387371239928186E-2</v>
      </c>
    </row>
    <row r="2606" spans="19:27" x14ac:dyDescent="0.2">
      <c r="S2606" s="165"/>
      <c r="T2606" s="166"/>
      <c r="W2606" s="199" t="str">
        <f t="shared" si="49"/>
        <v>1w</v>
      </c>
      <c r="X2606" s="200">
        <f>_xll.qlCalendarAdvance(Calendar,X2605,W2606,"f",FALSE)</f>
        <v>57103</v>
      </c>
      <c r="Y2606" s="204">
        <f>_xll.qlCalendarAdvance(Calendar,X2606,NDays&amp;"D")</f>
        <v>57105</v>
      </c>
      <c r="Z2606" s="205">
        <v>3.1411967619331085E-2</v>
      </c>
      <c r="AA2606" s="207">
        <v>3.1381552168303628E-2</v>
      </c>
    </row>
    <row r="2607" spans="19:27" x14ac:dyDescent="0.2">
      <c r="S2607" s="165"/>
      <c r="T2607" s="166"/>
      <c r="W2607" s="199" t="str">
        <f t="shared" si="49"/>
        <v>1w</v>
      </c>
      <c r="X2607" s="200">
        <f>_xll.qlCalendarAdvance(Calendar,X2606,W2607,"f",FALSE)</f>
        <v>57110</v>
      </c>
      <c r="Y2607" s="204">
        <f>_xll.qlCalendarAdvance(Calendar,X2607,NDays&amp;"D")</f>
        <v>57112</v>
      </c>
      <c r="Z2607" s="205">
        <v>3.140520100724753E-2</v>
      </c>
      <c r="AA2607" s="207">
        <v>3.1374778096759925E-2</v>
      </c>
    </row>
    <row r="2608" spans="19:27" x14ac:dyDescent="0.2">
      <c r="S2608" s="165"/>
      <c r="T2608" s="166"/>
      <c r="W2608" s="199" t="str">
        <f t="shared" si="49"/>
        <v>1w</v>
      </c>
      <c r="X2608" s="200">
        <f>_xll.qlCalendarAdvance(Calendar,X2607,W2608,"f",FALSE)</f>
        <v>57117</v>
      </c>
      <c r="Y2608" s="204">
        <f>_xll.qlCalendarAdvance(Calendar,X2608,NDays&amp;"D")</f>
        <v>57119</v>
      </c>
      <c r="Z2608" s="205">
        <v>3.1398450428279448E-2</v>
      </c>
      <c r="AA2608" s="207">
        <v>3.1368020012827458E-2</v>
      </c>
    </row>
    <row r="2609" spans="19:27" x14ac:dyDescent="0.2">
      <c r="S2609" s="165"/>
      <c r="T2609" s="166"/>
      <c r="W2609" s="199" t="str">
        <f t="shared" si="49"/>
        <v>1w</v>
      </c>
      <c r="X2609" s="200">
        <f>_xll.qlCalendarAdvance(Calendar,X2608,W2609,"f",FALSE)</f>
        <v>57124</v>
      </c>
      <c r="Y2609" s="204">
        <f>_xll.qlCalendarAdvance(Calendar,X2609,NDays&amp;"D")</f>
        <v>57126</v>
      </c>
      <c r="Z2609" s="205">
        <v>3.1391715882403651E-2</v>
      </c>
      <c r="AA2609" s="207">
        <v>3.1360316064708016E-2</v>
      </c>
    </row>
    <row r="2610" spans="19:27" x14ac:dyDescent="0.2">
      <c r="S2610" s="165"/>
      <c r="T2610" s="166"/>
      <c r="W2610" s="199" t="str">
        <f t="shared" si="49"/>
        <v>1w</v>
      </c>
      <c r="X2610" s="200">
        <f>_xll.qlCalendarAdvance(Calendar,X2609,W2610,"f",FALSE)</f>
        <v>57131</v>
      </c>
      <c r="Y2610" s="204">
        <f>_xll.qlCalendarAdvance(Calendar,X2610,NDays&amp;"D")</f>
        <v>57133</v>
      </c>
      <c r="Z2610" s="205">
        <v>3.1384997369589177E-2</v>
      </c>
      <c r="AA2610" s="207">
        <v>3.1354551807236675E-2</v>
      </c>
    </row>
    <row r="2611" spans="19:27" x14ac:dyDescent="0.2">
      <c r="S2611" s="165"/>
      <c r="T2611" s="166"/>
      <c r="W2611" s="199" t="str">
        <f t="shared" si="49"/>
        <v>1w</v>
      </c>
      <c r="X2611" s="200">
        <f>_xll.qlCalendarAdvance(Calendar,X2610,W2611,"f",FALSE)</f>
        <v>57138</v>
      </c>
      <c r="Y2611" s="204">
        <f>_xll.qlCalendarAdvance(Calendar,X2611,NDays&amp;"D")</f>
        <v>57140</v>
      </c>
      <c r="Z2611" s="205">
        <v>3.1378294889807666E-2</v>
      </c>
      <c r="AA2611" s="207">
        <v>3.1347841685738231E-2</v>
      </c>
    </row>
    <row r="2612" spans="19:27" x14ac:dyDescent="0.2">
      <c r="S2612" s="165"/>
      <c r="T2612" s="166"/>
      <c r="W2612" s="199" t="str">
        <f t="shared" si="49"/>
        <v>1w</v>
      </c>
      <c r="X2612" s="200">
        <f>_xll.qlCalendarAdvance(Calendar,X2611,W2612,"f",FALSE)</f>
        <v>57145</v>
      </c>
      <c r="Y2612" s="204">
        <f>_xll.qlCalendarAdvance(Calendar,X2612,NDays&amp;"D")</f>
        <v>57147</v>
      </c>
      <c r="Z2612" s="205">
        <v>3.1371608443033341E-2</v>
      </c>
      <c r="AA2612" s="207">
        <v>3.1341147551691151E-2</v>
      </c>
    </row>
    <row r="2613" spans="19:27" x14ac:dyDescent="0.2">
      <c r="S2613" s="165"/>
      <c r="T2613" s="166"/>
      <c r="W2613" s="199" t="str">
        <f t="shared" si="49"/>
        <v>1w</v>
      </c>
      <c r="X2613" s="200">
        <f>_xll.qlCalendarAdvance(Calendar,X2612,W2613,"f",FALSE)</f>
        <v>57152</v>
      </c>
      <c r="Y2613" s="204">
        <f>_xll.qlCalendarAdvance(Calendar,X2613,NDays&amp;"D")</f>
        <v>57154</v>
      </c>
      <c r="Z2613" s="205">
        <v>3.1364938029237829E-2</v>
      </c>
      <c r="AA2613" s="207">
        <v>3.1334469405175369E-2</v>
      </c>
    </row>
    <row r="2614" spans="19:27" x14ac:dyDescent="0.2">
      <c r="S2614" s="165"/>
      <c r="T2614" s="166"/>
      <c r="W2614" s="199" t="str">
        <f t="shared" si="49"/>
        <v>1w</v>
      </c>
      <c r="X2614" s="200">
        <f>_xll.qlCalendarAdvance(Calendar,X2613,W2614,"f",FALSE)</f>
        <v>57159</v>
      </c>
      <c r="Y2614" s="204">
        <f>_xll.qlCalendarAdvance(Calendar,X2614,NDays&amp;"D")</f>
        <v>57161</v>
      </c>
      <c r="Z2614" s="205">
        <v>3.1358283648392771E-2</v>
      </c>
      <c r="AA2614" s="207">
        <v>3.1327807246031014E-2</v>
      </c>
    </row>
    <row r="2615" spans="19:27" x14ac:dyDescent="0.2">
      <c r="S2615" s="165"/>
      <c r="T2615" s="166"/>
      <c r="W2615" s="199" t="str">
        <f t="shared" si="49"/>
        <v>1w</v>
      </c>
      <c r="X2615" s="200">
        <f>_xll.qlCalendarAdvance(Calendar,X2614,W2615,"f",FALSE)</f>
        <v>57166</v>
      </c>
      <c r="Y2615" s="204">
        <f>_xll.qlCalendarAdvance(Calendar,X2615,NDays&amp;"D")</f>
        <v>57168</v>
      </c>
      <c r="Z2615" s="205">
        <v>3.1351645300472374E-2</v>
      </c>
      <c r="AA2615" s="207">
        <v>3.1321161074338022E-2</v>
      </c>
    </row>
    <row r="2616" spans="19:27" x14ac:dyDescent="0.2">
      <c r="S2616" s="165"/>
      <c r="T2616" s="166"/>
      <c r="W2616" s="199" t="str">
        <f t="shared" si="49"/>
        <v>1w</v>
      </c>
      <c r="X2616" s="200">
        <f>_xll.qlCalendarAdvance(Calendar,X2615,W2616,"f",FALSE)</f>
        <v>57173</v>
      </c>
      <c r="Y2616" s="204">
        <f>_xll.qlCalendarAdvance(Calendar,X2616,NDays&amp;"D")</f>
        <v>57175</v>
      </c>
      <c r="Z2616" s="205">
        <v>3.1345022985448286E-2</v>
      </c>
      <c r="AA2616" s="207">
        <v>3.1314530890336201E-2</v>
      </c>
    </row>
    <row r="2617" spans="19:27" x14ac:dyDescent="0.2">
      <c r="S2617" s="165"/>
      <c r="T2617" s="166"/>
      <c r="W2617" s="199" t="str">
        <f t="shared" si="49"/>
        <v>1w</v>
      </c>
      <c r="X2617" s="200">
        <f>_xll.qlCalendarAdvance(Calendar,X2616,W2617,"f",FALSE)</f>
        <v>57180</v>
      </c>
      <c r="Y2617" s="204">
        <f>_xll.qlCalendarAdvance(Calendar,X2617,NDays&amp;"D")</f>
        <v>57182</v>
      </c>
      <c r="Z2617" s="205">
        <v>3.1338416703292127E-2</v>
      </c>
      <c r="AA2617" s="207">
        <v>3.130791669362587E-2</v>
      </c>
    </row>
    <row r="2618" spans="19:27" x14ac:dyDescent="0.2">
      <c r="S2618" s="165"/>
      <c r="T2618" s="166"/>
      <c r="W2618" s="199" t="str">
        <f t="shared" si="49"/>
        <v>1w</v>
      </c>
      <c r="X2618" s="200">
        <f>_xll.qlCalendarAdvance(Calendar,X2617,W2618,"f",FALSE)</f>
        <v>57187</v>
      </c>
      <c r="Y2618" s="204">
        <f>_xll.qlCalendarAdvance(Calendar,X2618,NDays&amp;"D")</f>
        <v>57189</v>
      </c>
      <c r="Z2618" s="205">
        <v>3.1332719417320742E-2</v>
      </c>
      <c r="AA2618" s="207">
        <v>3.1301318484366902E-2</v>
      </c>
    </row>
    <row r="2619" spans="19:27" x14ac:dyDescent="0.2">
      <c r="S2619" s="165"/>
      <c r="T2619" s="166"/>
      <c r="W2619" s="199" t="str">
        <f t="shared" si="49"/>
        <v>1w</v>
      </c>
      <c r="X2619" s="200">
        <f>_xll.qlCalendarAdvance(Calendar,X2618,W2619,"f",FALSE)</f>
        <v>57194</v>
      </c>
      <c r="Y2619" s="204">
        <f>_xll.qlCalendarAdvance(Calendar,X2619,NDays&amp;"D")</f>
        <v>57196</v>
      </c>
      <c r="Z2619" s="205">
        <v>3.132614577476045E-2</v>
      </c>
      <c r="AA2619" s="207">
        <v>3.1294736262799105E-2</v>
      </c>
    </row>
    <row r="2620" spans="19:27" x14ac:dyDescent="0.2">
      <c r="S2620" s="165"/>
      <c r="T2620" s="166"/>
      <c r="W2620" s="199" t="str">
        <f t="shared" si="49"/>
        <v>1w</v>
      </c>
      <c r="X2620" s="200">
        <f>_xll.qlCalendarAdvance(Calendar,X2619,W2620,"f",FALSE)</f>
        <v>57201</v>
      </c>
      <c r="Y2620" s="204">
        <f>_xll.qlCalendarAdvance(Calendar,X2620,NDays&amp;"D")</f>
        <v>57203</v>
      </c>
      <c r="Z2620" s="205">
        <v>3.1318694053770836E-2</v>
      </c>
      <c r="AA2620" s="207">
        <v>3.1288170028442863E-2</v>
      </c>
    </row>
    <row r="2621" spans="19:27" x14ac:dyDescent="0.2">
      <c r="S2621" s="165"/>
      <c r="T2621" s="166"/>
      <c r="W2621" s="199" t="str">
        <f t="shared" si="49"/>
        <v>1w</v>
      </c>
      <c r="X2621" s="200">
        <f>_xll.qlCalendarAdvance(Calendar,X2620,W2621,"f",FALSE)</f>
        <v>57208</v>
      </c>
      <c r="Y2621" s="204">
        <f>_xll.qlCalendarAdvance(Calendar,X2621,NDays&amp;"D")</f>
        <v>57210</v>
      </c>
      <c r="Z2621" s="205">
        <v>3.1312151902820828E-2</v>
      </c>
      <c r="AA2621" s="207">
        <v>3.128161978161792E-2</v>
      </c>
    </row>
    <row r="2622" spans="19:27" x14ac:dyDescent="0.2">
      <c r="S2622" s="165"/>
      <c r="T2622" s="166"/>
      <c r="W2622" s="199" t="str">
        <f t="shared" si="49"/>
        <v>1w</v>
      </c>
      <c r="X2622" s="200">
        <f>_xll.qlCalendarAdvance(Calendar,X2621,W2622,"f",FALSE)</f>
        <v>57215</v>
      </c>
      <c r="Y2622" s="204">
        <f>_xll.qlCalendarAdvance(Calendar,X2622,NDays&amp;"D")</f>
        <v>57217</v>
      </c>
      <c r="Z2622" s="205">
        <v>3.1305625784604676E-2</v>
      </c>
      <c r="AA2622" s="207">
        <v>3.1274153361895429E-2</v>
      </c>
    </row>
    <row r="2623" spans="19:27" x14ac:dyDescent="0.2">
      <c r="S2623" s="165"/>
      <c r="T2623" s="166"/>
      <c r="W2623" s="199" t="str">
        <f t="shared" si="49"/>
        <v>1w</v>
      </c>
      <c r="X2623" s="200">
        <f>_xll.qlCalendarAdvance(Calendar,X2622,W2623,"f",FALSE)</f>
        <v>57222</v>
      </c>
      <c r="Y2623" s="204">
        <f>_xll.qlCalendarAdvance(Calendar,X2623,NDays&amp;"D")</f>
        <v>57224</v>
      </c>
      <c r="Z2623" s="205">
        <v>3.1299115699096582E-2</v>
      </c>
      <c r="AA2623" s="207">
        <v>3.1268567250641865E-2</v>
      </c>
    </row>
    <row r="2624" spans="19:27" x14ac:dyDescent="0.2">
      <c r="S2624" s="165"/>
      <c r="T2624" s="166"/>
      <c r="W2624" s="199" t="str">
        <f t="shared" si="49"/>
        <v>1w</v>
      </c>
      <c r="X2624" s="200">
        <f>_xll.qlCalendarAdvance(Calendar,X2623,W2624,"f",FALSE)</f>
        <v>57229</v>
      </c>
      <c r="Y2624" s="204">
        <f>_xll.qlCalendarAdvance(Calendar,X2624,NDays&amp;"D")</f>
        <v>57231</v>
      </c>
      <c r="Z2624" s="205">
        <v>3.1293518075887761E-2</v>
      </c>
      <c r="AA2624" s="207">
        <v>3.1262064966250946E-2</v>
      </c>
    </row>
    <row r="2625" spans="19:27" x14ac:dyDescent="0.2">
      <c r="S2625" s="165"/>
      <c r="T2625" s="166"/>
      <c r="W2625" s="199" t="str">
        <f t="shared" si="49"/>
        <v>1w</v>
      </c>
      <c r="X2625" s="200">
        <f>_xll.qlCalendarAdvance(Calendar,X2624,W2625,"f",FALSE)</f>
        <v>57236</v>
      </c>
      <c r="Y2625" s="204">
        <f>_xll.qlCalendarAdvance(Calendar,X2625,NDays&amp;"D")</f>
        <v>57238</v>
      </c>
      <c r="Z2625" s="205">
        <v>3.1286143626085984E-2</v>
      </c>
      <c r="AA2625" s="207">
        <v>3.125557866931139E-2</v>
      </c>
    </row>
    <row r="2626" spans="19:27" x14ac:dyDescent="0.2">
      <c r="S2626" s="165"/>
      <c r="T2626" s="166"/>
      <c r="W2626" s="199" t="str">
        <f t="shared" si="49"/>
        <v>1w</v>
      </c>
      <c r="X2626" s="200">
        <f>_xll.qlCalendarAdvance(Calendar,X2625,W2626,"f",FALSE)</f>
        <v>57243</v>
      </c>
      <c r="Y2626" s="204">
        <f>_xll.qlCalendarAdvance(Calendar,X2626,NDays&amp;"D")</f>
        <v>57245</v>
      </c>
      <c r="Z2626" s="205">
        <v>3.1279681638534479E-2</v>
      </c>
      <c r="AA2626" s="207">
        <v>3.1249108359903133E-2</v>
      </c>
    </row>
    <row r="2627" spans="19:27" x14ac:dyDescent="0.2">
      <c r="S2627" s="165"/>
      <c r="T2627" s="166"/>
      <c r="W2627" s="199" t="str">
        <f t="shared" si="49"/>
        <v>1w</v>
      </c>
      <c r="X2627" s="200">
        <f>_xll.qlCalendarAdvance(Calendar,X2626,W2627,"f",FALSE)</f>
        <v>57250</v>
      </c>
      <c r="Y2627" s="204">
        <f>_xll.qlCalendarAdvance(Calendar,X2627,NDays&amp;"D")</f>
        <v>57252</v>
      </c>
      <c r="Z2627" s="205">
        <v>3.1274133866697473E-2</v>
      </c>
      <c r="AA2627" s="207">
        <v>3.1242654037866302E-2</v>
      </c>
    </row>
    <row r="2628" spans="19:27" x14ac:dyDescent="0.2">
      <c r="S2628" s="165"/>
      <c r="T2628" s="166"/>
      <c r="W2628" s="199" t="str">
        <f t="shared" si="49"/>
        <v>1w</v>
      </c>
      <c r="X2628" s="200">
        <f>_xll.qlCalendarAdvance(Calendar,X2627,W2628,"f",FALSE)</f>
        <v>57257</v>
      </c>
      <c r="Y2628" s="204">
        <f>_xll.qlCalendarAdvance(Calendar,X2628,NDays&amp;"D")</f>
        <v>57259</v>
      </c>
      <c r="Z2628" s="205">
        <v>3.1266805761199813E-2</v>
      </c>
      <c r="AA2628" s="207">
        <v>3.1236215703440706E-2</v>
      </c>
    </row>
    <row r="2629" spans="19:27" x14ac:dyDescent="0.2">
      <c r="S2629" s="165"/>
      <c r="T2629" s="166"/>
      <c r="W2629" s="199" t="str">
        <f t="shared" si="49"/>
        <v>1w</v>
      </c>
      <c r="X2629" s="200">
        <f>_xll.qlCalendarAdvance(Calendar,X2628,W2629,"f",FALSE)</f>
        <v>57264</v>
      </c>
      <c r="Y2629" s="204">
        <f>_xll.qlCalendarAdvance(Calendar,X2629,NDays&amp;"D")</f>
        <v>57266</v>
      </c>
      <c r="Z2629" s="205">
        <v>3.1260391871367664E-2</v>
      </c>
      <c r="AA2629" s="207">
        <v>3.1229793356306601E-2</v>
      </c>
    </row>
    <row r="2630" spans="19:27" x14ac:dyDescent="0.2">
      <c r="S2630" s="165"/>
      <c r="T2630" s="166"/>
      <c r="W2630" s="199" t="str">
        <f t="shared" si="49"/>
        <v>1w</v>
      </c>
      <c r="X2630" s="200">
        <f>_xll.qlCalendarAdvance(Calendar,X2629,W2630,"f",FALSE)</f>
        <v>57271</v>
      </c>
      <c r="Y2630" s="204">
        <f>_xll.qlCalendarAdvance(Calendar,X2630,NDays&amp;"D")</f>
        <v>57273</v>
      </c>
      <c r="Z2630" s="205">
        <v>3.1253994014052766E-2</v>
      </c>
      <c r="AA2630" s="207">
        <v>3.1223386996863667E-2</v>
      </c>
    </row>
    <row r="2631" spans="19:27" x14ac:dyDescent="0.2">
      <c r="S2631" s="165"/>
      <c r="T2631" s="166"/>
      <c r="W2631" s="199" t="str">
        <f t="shared" si="49"/>
        <v>1w</v>
      </c>
      <c r="X2631" s="200">
        <f>_xll.qlCalendarAdvance(Calendar,X2630,W2631,"f",FALSE)</f>
        <v>57278</v>
      </c>
      <c r="Y2631" s="204">
        <f>_xll.qlCalendarAdvance(Calendar,X2631,NDays&amp;"D")</f>
        <v>57280</v>
      </c>
      <c r="Z2631" s="205">
        <v>3.1247612189231905E-2</v>
      </c>
      <c r="AA2631" s="207">
        <v>3.1216996624712223E-2</v>
      </c>
    </row>
    <row r="2632" spans="19:27" x14ac:dyDescent="0.2">
      <c r="S2632" s="165"/>
      <c r="T2632" s="166"/>
      <c r="W2632" s="199" t="str">
        <f t="shared" si="49"/>
        <v>1w</v>
      </c>
      <c r="X2632" s="200">
        <f>_xll.qlCalendarAdvance(Calendar,X2631,W2632,"f",FALSE)</f>
        <v>57285</v>
      </c>
      <c r="Y2632" s="204">
        <f>_xll.qlCalendarAdvance(Calendar,X2632,NDays&amp;"D")</f>
        <v>57287</v>
      </c>
      <c r="Z2632" s="205">
        <v>3.1241246396876726E-2</v>
      </c>
      <c r="AA2632" s="207">
        <v>3.1210622240012142E-2</v>
      </c>
    </row>
    <row r="2633" spans="19:27" x14ac:dyDescent="0.2">
      <c r="S2633" s="165"/>
      <c r="T2633" s="166"/>
      <c r="W2633" s="199" t="str">
        <f t="shared" si="49"/>
        <v>1w</v>
      </c>
      <c r="X2633" s="200">
        <f>_xll.qlCalendarAdvance(Calendar,X2632,W2633,"f",FALSE)</f>
        <v>57292</v>
      </c>
      <c r="Y2633" s="204">
        <f>_xll.qlCalendarAdvance(Calendar,X2633,NDays&amp;"D")</f>
        <v>57294</v>
      </c>
      <c r="Z2633" s="205">
        <v>3.1231278342024993E-2</v>
      </c>
      <c r="AA2633" s="207">
        <v>3.1204263842763424E-2</v>
      </c>
    </row>
    <row r="2634" spans="19:27" x14ac:dyDescent="0.2">
      <c r="S2634" s="165"/>
      <c r="T2634" s="166"/>
      <c r="W2634" s="199" t="str">
        <f t="shared" si="49"/>
        <v>1w</v>
      </c>
      <c r="X2634" s="200">
        <f>_xll.qlCalendarAdvance(Calendar,X2633,W2634,"f",FALSE)</f>
        <v>57299</v>
      </c>
      <c r="Y2634" s="204">
        <f>_xll.qlCalendarAdvance(Calendar,X2634,NDays&amp;"D")</f>
        <v>57301</v>
      </c>
      <c r="Z2634" s="205">
        <v>3.1228562909462833E-2</v>
      </c>
      <c r="AA2634" s="207">
        <v>3.1197921433205877E-2</v>
      </c>
    </row>
    <row r="2635" spans="19:27" x14ac:dyDescent="0.2">
      <c r="S2635" s="165"/>
      <c r="T2635" s="166"/>
      <c r="W2635" s="199" t="str">
        <f t="shared" si="49"/>
        <v>1w</v>
      </c>
      <c r="X2635" s="200">
        <f>_xll.qlCalendarAdvance(Calendar,X2634,W2635,"f",FALSE)</f>
        <v>57306</v>
      </c>
      <c r="Y2635" s="204">
        <f>_xll.qlCalendarAdvance(Calendar,X2635,NDays&amp;"D")</f>
        <v>57308</v>
      </c>
      <c r="Z2635" s="205">
        <v>3.1224051174027843E-2</v>
      </c>
      <c r="AA2635" s="207">
        <v>3.1191595011019757E-2</v>
      </c>
    </row>
    <row r="2636" spans="19:27" x14ac:dyDescent="0.2">
      <c r="S2636" s="165"/>
      <c r="T2636" s="166"/>
      <c r="W2636" s="199" t="str">
        <f t="shared" si="49"/>
        <v>1w</v>
      </c>
      <c r="X2636" s="200">
        <f>_xll.qlCalendarAdvance(Calendar,X2635,W2636,"f",FALSE)</f>
        <v>57313</v>
      </c>
      <c r="Y2636" s="204">
        <f>_xll.qlCalendarAdvance(Calendar,X2636,NDays&amp;"D")</f>
        <v>57315</v>
      </c>
      <c r="Z2636" s="205">
        <v>3.1216847076308563E-2</v>
      </c>
      <c r="AA2636" s="207">
        <v>3.1185284576045191E-2</v>
      </c>
    </row>
    <row r="2637" spans="19:27" x14ac:dyDescent="0.2">
      <c r="S2637" s="165"/>
      <c r="T2637" s="166"/>
      <c r="W2637" s="199" t="str">
        <f t="shared" si="49"/>
        <v>1w</v>
      </c>
      <c r="X2637" s="200">
        <f>_xll.qlCalendarAdvance(Calendar,X2636,W2637,"f",FALSE)</f>
        <v>57320</v>
      </c>
      <c r="Y2637" s="204">
        <f>_xll.qlCalendarAdvance(Calendar,X2637,NDays&amp;"D")</f>
        <v>57322</v>
      </c>
      <c r="Z2637" s="205">
        <v>3.1209657921188641E-2</v>
      </c>
      <c r="AA2637" s="207">
        <v>3.1178990128761797E-2</v>
      </c>
    </row>
    <row r="2638" spans="19:27" x14ac:dyDescent="0.2">
      <c r="S2638" s="165"/>
      <c r="T2638" s="166"/>
      <c r="W2638" s="199" t="str">
        <f t="shared" si="49"/>
        <v>1w</v>
      </c>
      <c r="X2638" s="200">
        <f>_xll.qlCalendarAdvance(Calendar,X2637,W2638,"f",FALSE)</f>
        <v>57327</v>
      </c>
      <c r="Y2638" s="204">
        <f>_xll.qlCalendarAdvance(Calendar,X2638,NDays&amp;"D")</f>
        <v>57329</v>
      </c>
      <c r="Z2638" s="205">
        <v>3.1204293051289023E-2</v>
      </c>
      <c r="AA2638" s="207">
        <v>3.1172711668929765E-2</v>
      </c>
    </row>
    <row r="2639" spans="19:27" x14ac:dyDescent="0.2">
      <c r="S2639" s="165"/>
      <c r="T2639" s="166"/>
      <c r="W2639" s="199" t="str">
        <f t="shared" si="49"/>
        <v>1w</v>
      </c>
      <c r="X2639" s="200">
        <f>_xll.qlCalendarAdvance(Calendar,X2638,W2639,"f",FALSE)</f>
        <v>57334</v>
      </c>
      <c r="Y2639" s="204">
        <f>_xll.qlCalendarAdvance(Calendar,X2639,NDays&amp;"D")</f>
        <v>57336</v>
      </c>
      <c r="Z2639" s="205">
        <v>3.119713475727116E-2</v>
      </c>
      <c r="AA2639" s="207">
        <v>3.1164662855074354E-2</v>
      </c>
    </row>
    <row r="2640" spans="19:27" x14ac:dyDescent="0.2">
      <c r="S2640" s="165"/>
      <c r="T2640" s="166"/>
      <c r="W2640" s="199" t="str">
        <f t="shared" si="49"/>
        <v>1w</v>
      </c>
      <c r="X2640" s="200">
        <f>_xll.qlCalendarAdvance(Calendar,X2639,W2640,"f",FALSE)</f>
        <v>57341</v>
      </c>
      <c r="Y2640" s="204">
        <f>_xll.qlCalendarAdvance(Calendar,X2640,NDays&amp;"D")</f>
        <v>57343</v>
      </c>
      <c r="Z2640" s="205">
        <v>3.1192709209183794E-2</v>
      </c>
      <c r="AA2640" s="207">
        <v>3.1159311661665967E-2</v>
      </c>
    </row>
    <row r="2641" spans="19:27" x14ac:dyDescent="0.2">
      <c r="S2641" s="165"/>
      <c r="T2641" s="166"/>
      <c r="W2641" s="199" t="str">
        <f t="shared" si="49"/>
        <v>1w</v>
      </c>
      <c r="X2641" s="200">
        <f>_xll.qlCalendarAdvance(Calendar,X2640,W2641,"f",FALSE)</f>
        <v>57348</v>
      </c>
      <c r="Y2641" s="204">
        <f>_xll.qlCalendarAdvance(Calendar,X2641,NDays&amp;"D")</f>
        <v>57350</v>
      </c>
      <c r="Z2641" s="205">
        <v>3.1184675722380931E-2</v>
      </c>
      <c r="AA2641" s="207">
        <v>3.1153972214061909E-2</v>
      </c>
    </row>
    <row r="2642" spans="19:27" x14ac:dyDescent="0.2">
      <c r="S2642" s="165"/>
      <c r="T2642" s="166"/>
      <c r="W2642" s="199" t="str">
        <f t="shared" si="49"/>
        <v>1w</v>
      </c>
      <c r="X2642" s="200">
        <f>_xll.qlCalendarAdvance(Calendar,X2641,W2642,"f",FALSE)</f>
        <v>57355</v>
      </c>
      <c r="Y2642" s="204">
        <f>_xll.qlCalendarAdvance(Calendar,X2642,NDays&amp;"D")</f>
        <v>57357</v>
      </c>
      <c r="Z2642" s="205">
        <v>3.1178470253261727E-2</v>
      </c>
      <c r="AA2642" s="207">
        <v>3.1147757704035328E-2</v>
      </c>
    </row>
    <row r="2643" spans="19:27" x14ac:dyDescent="0.2">
      <c r="S2643" s="165"/>
      <c r="T2643" s="166"/>
      <c r="W2643" s="199" t="str">
        <f t="shared" si="49"/>
        <v>1w</v>
      </c>
      <c r="X2643" s="200">
        <f>_xll.qlCalendarAdvance(Calendar,X2642,W2643,"f",FALSE)</f>
        <v>57362</v>
      </c>
      <c r="Y2643" s="204">
        <f>_xll.qlCalendarAdvance(Calendar,X2643,NDays&amp;"D")</f>
        <v>57364</v>
      </c>
      <c r="Z2643" s="205">
        <v>3.1173188579410871E-2</v>
      </c>
      <c r="AA2643" s="207">
        <v>3.1141559181300238E-2</v>
      </c>
    </row>
    <row r="2644" spans="19:27" x14ac:dyDescent="0.2">
      <c r="S2644" s="165"/>
      <c r="T2644" s="166"/>
      <c r="W2644" s="199" t="str">
        <f t="shared" si="49"/>
        <v>1w</v>
      </c>
      <c r="X2644" s="200">
        <f>_xll.qlCalendarAdvance(Calendar,X2643,W2644,"f",FALSE)</f>
        <v>57369</v>
      </c>
      <c r="Y2644" s="204">
        <f>_xll.qlCalendarAdvance(Calendar,X2644,NDays&amp;"D")</f>
        <v>57371</v>
      </c>
      <c r="Z2644" s="205">
        <v>3.1166107411538479E-2</v>
      </c>
      <c r="AA2644" s="207">
        <v>3.1135376646256319E-2</v>
      </c>
    </row>
    <row r="2645" spans="19:27" x14ac:dyDescent="0.2">
      <c r="S2645" s="165"/>
      <c r="T2645" s="166"/>
      <c r="W2645" s="199" t="str">
        <f t="shared" ref="W2645:W2708" si="50">W2644</f>
        <v>1w</v>
      </c>
      <c r="X2645" s="200">
        <f>_xll.qlCalendarAdvance(Calendar,X2644,W2645,"f",FALSE)</f>
        <v>57376</v>
      </c>
      <c r="Y2645" s="204">
        <f>_xll.qlCalendarAdvance(Calendar,X2645,NDays&amp;"D")</f>
        <v>57378</v>
      </c>
      <c r="Z2645" s="205">
        <v>3.1157223741897458E-2</v>
      </c>
      <c r="AA2645" s="207">
        <v>3.1129210098583826E-2</v>
      </c>
    </row>
    <row r="2646" spans="19:27" x14ac:dyDescent="0.2">
      <c r="S2646" s="165"/>
      <c r="T2646" s="166"/>
      <c r="W2646" s="199" t="str">
        <f t="shared" si="50"/>
        <v>1w</v>
      </c>
      <c r="X2646" s="200">
        <f>_xll.qlCalendarAdvance(Calendar,X2645,W2646,"f",FALSE)</f>
        <v>57383</v>
      </c>
      <c r="Y2646" s="204">
        <f>_xll.qlCalendarAdvance(Calendar,X2646,NDays&amp;"D")</f>
        <v>57385</v>
      </c>
      <c r="Z2646" s="205">
        <v>3.1151080559055036E-2</v>
      </c>
      <c r="AA2646" s="207">
        <v>3.112305953828276E-2</v>
      </c>
    </row>
    <row r="2647" spans="19:27" x14ac:dyDescent="0.2">
      <c r="S2647" s="165"/>
      <c r="T2647" s="166"/>
      <c r="W2647" s="199" t="str">
        <f t="shared" si="50"/>
        <v>1w</v>
      </c>
      <c r="X2647" s="200">
        <f>_xll.qlCalendarAdvance(Calendar,X2646,W2647,"f",FALSE)</f>
        <v>57390</v>
      </c>
      <c r="Y2647" s="204">
        <f>_xll.qlCalendarAdvance(Calendar,X2647,NDays&amp;"D")</f>
        <v>57392</v>
      </c>
      <c r="Z2647" s="205">
        <v>3.1144953403837557E-2</v>
      </c>
      <c r="AA2647" s="207">
        <v>3.1116924965433057E-2</v>
      </c>
    </row>
    <row r="2648" spans="19:27" x14ac:dyDescent="0.2">
      <c r="S2648" s="165"/>
      <c r="T2648" s="166"/>
      <c r="W2648" s="199" t="str">
        <f t="shared" si="50"/>
        <v>1w</v>
      </c>
      <c r="X2648" s="200">
        <f>_xll.qlCalendarAdvance(Calendar,X2647,W2648,"f",FALSE)</f>
        <v>57397</v>
      </c>
      <c r="Y2648" s="204">
        <f>_xll.qlCalendarAdvance(Calendar,X2648,NDays&amp;"D")</f>
        <v>57399</v>
      </c>
      <c r="Z2648" s="205">
        <v>3.1138842276202196E-2</v>
      </c>
      <c r="AA2648" s="207">
        <v>3.1110806380194589E-2</v>
      </c>
    </row>
    <row r="2649" spans="19:27" x14ac:dyDescent="0.2">
      <c r="S2649" s="165"/>
      <c r="T2649" s="166"/>
      <c r="W2649" s="199" t="str">
        <f t="shared" si="50"/>
        <v>1w</v>
      </c>
      <c r="X2649" s="200">
        <f>_xll.qlCalendarAdvance(Calendar,X2648,W2649,"f",FALSE)</f>
        <v>57404</v>
      </c>
      <c r="Y2649" s="204">
        <f>_xll.qlCalendarAdvance(Calendar,X2649,NDays&amp;"D")</f>
        <v>57406</v>
      </c>
      <c r="Z2649" s="205">
        <v>3.1135480869064768E-2</v>
      </c>
      <c r="AA2649" s="207">
        <v>3.1104703782247611E-2</v>
      </c>
    </row>
    <row r="2650" spans="19:27" x14ac:dyDescent="0.2">
      <c r="S2650" s="165"/>
      <c r="T2650" s="166"/>
      <c r="W2650" s="199" t="str">
        <f t="shared" si="50"/>
        <v>1w</v>
      </c>
      <c r="X2650" s="200">
        <f>_xll.qlCalendarAdvance(Calendar,X2649,W2650,"f",FALSE)</f>
        <v>57411</v>
      </c>
      <c r="Y2650" s="204">
        <f>_xll.qlCalendarAdvance(Calendar,X2650,NDays&amp;"D")</f>
        <v>57413</v>
      </c>
      <c r="Z2650" s="205">
        <v>3.1129403656684988E-2</v>
      </c>
      <c r="AA2650" s="207">
        <v>3.1098617171672061E-2</v>
      </c>
    </row>
    <row r="2651" spans="19:27" x14ac:dyDescent="0.2">
      <c r="S2651" s="165"/>
      <c r="T2651" s="166"/>
      <c r="W2651" s="199" t="str">
        <f t="shared" si="50"/>
        <v>1w</v>
      </c>
      <c r="X2651" s="200">
        <f>_xll.qlCalendarAdvance(Calendar,X2650,W2651,"f",FALSE)</f>
        <v>57418</v>
      </c>
      <c r="Y2651" s="204">
        <f>_xll.qlCalendarAdvance(Calendar,X2651,NDays&amp;"D")</f>
        <v>57420</v>
      </c>
      <c r="Z2651" s="205">
        <v>3.1123342476278373E-2</v>
      </c>
      <c r="AA2651" s="207">
        <v>3.1092546548707745E-2</v>
      </c>
    </row>
    <row r="2652" spans="19:27" x14ac:dyDescent="0.2">
      <c r="S2652" s="165"/>
      <c r="T2652" s="166"/>
      <c r="W2652" s="199" t="str">
        <f t="shared" si="50"/>
        <v>1w</v>
      </c>
      <c r="X2652" s="200">
        <f>_xll.qlCalendarAdvance(Calendar,X2651,W2652,"f",FALSE)</f>
        <v>57425</v>
      </c>
      <c r="Y2652" s="204">
        <f>_xll.qlCalendarAdvance(Calendar,X2652,NDays&amp;"D")</f>
        <v>57427</v>
      </c>
      <c r="Z2652" s="205">
        <v>3.1118210647541333E-2</v>
      </c>
      <c r="AA2652" s="207">
        <v>3.1086491913274727E-2</v>
      </c>
    </row>
    <row r="2653" spans="19:27" x14ac:dyDescent="0.2">
      <c r="S2653" s="165"/>
      <c r="T2653" s="166"/>
      <c r="W2653" s="199" t="str">
        <f t="shared" si="50"/>
        <v>1w</v>
      </c>
      <c r="X2653" s="200">
        <f>_xll.qlCalendarAdvance(Calendar,X2652,W2653,"f",FALSE)</f>
        <v>57432</v>
      </c>
      <c r="Y2653" s="204">
        <f>_xll.qlCalendarAdvance(Calendar,X2653,NDays&amp;"D")</f>
        <v>57434</v>
      </c>
      <c r="Z2653" s="205">
        <v>3.1111268211307296E-2</v>
      </c>
      <c r="AA2653" s="207">
        <v>3.1080453265053265E-2</v>
      </c>
    </row>
    <row r="2654" spans="19:27" x14ac:dyDescent="0.2">
      <c r="S2654" s="165"/>
      <c r="T2654" s="166"/>
      <c r="W2654" s="199" t="str">
        <f t="shared" si="50"/>
        <v>1w</v>
      </c>
      <c r="X2654" s="200">
        <f>_xll.qlCalendarAdvance(Calendar,X2653,W2654,"f",FALSE)</f>
        <v>57439</v>
      </c>
      <c r="Y2654" s="204">
        <f>_xll.qlCalendarAdvance(Calendar,X2654,NDays&amp;"D")</f>
        <v>57441</v>
      </c>
      <c r="Z2654" s="205">
        <v>3.1106169697541763E-2</v>
      </c>
      <c r="AA2654" s="207">
        <v>3.1074430604363101E-2</v>
      </c>
    </row>
    <row r="2655" spans="19:27" x14ac:dyDescent="0.2">
      <c r="S2655" s="165"/>
      <c r="T2655" s="166"/>
      <c r="W2655" s="199" t="str">
        <f t="shared" si="50"/>
        <v>1w</v>
      </c>
      <c r="X2655" s="200">
        <f>_xll.qlCalendarAdvance(Calendar,X2654,W2655,"f",FALSE)</f>
        <v>57446</v>
      </c>
      <c r="Y2655" s="204">
        <f>_xll.qlCalendarAdvance(Calendar,X2655,NDays&amp;"D")</f>
        <v>57448</v>
      </c>
      <c r="Z2655" s="205">
        <v>3.1099258073945247E-2</v>
      </c>
      <c r="AA2655" s="207">
        <v>3.1068423931204237E-2</v>
      </c>
    </row>
    <row r="2656" spans="19:27" x14ac:dyDescent="0.2">
      <c r="S2656" s="165"/>
      <c r="T2656" s="166"/>
      <c r="W2656" s="199" t="str">
        <f t="shared" si="50"/>
        <v>1w</v>
      </c>
      <c r="X2656" s="200">
        <f>_xll.qlCalendarAdvance(Calendar,X2655,W2656,"f",FALSE)</f>
        <v>57453</v>
      </c>
      <c r="Y2656" s="204">
        <f>_xll.qlCalendarAdvance(Calendar,X2656,NDays&amp;"D")</f>
        <v>57459</v>
      </c>
      <c r="Z2656" s="205">
        <v>3.1088950449502661E-2</v>
      </c>
      <c r="AA2656" s="207">
        <v>3.1060724557425701E-2</v>
      </c>
    </row>
    <row r="2657" spans="19:27" x14ac:dyDescent="0.2">
      <c r="S2657" s="165"/>
      <c r="T2657" s="166"/>
      <c r="W2657" s="199" t="str">
        <f t="shared" si="50"/>
        <v>1w</v>
      </c>
      <c r="X2657" s="200">
        <f>_xll.qlCalendarAdvance(Calendar,X2656,W2657,"f",FALSE)</f>
        <v>57460</v>
      </c>
      <c r="Y2657" s="204">
        <f>_xll.qlCalendarAdvance(Calendar,X2657,NDays&amp;"D")</f>
        <v>57462</v>
      </c>
      <c r="Z2657" s="205">
        <v>3.1088228522683503E-2</v>
      </c>
      <c r="AA2657" s="207">
        <v>3.1056458547000787E-2</v>
      </c>
    </row>
    <row r="2658" spans="19:27" x14ac:dyDescent="0.2">
      <c r="S2658" s="165"/>
      <c r="T2658" s="166"/>
      <c r="W2658" s="199" t="str">
        <f t="shared" si="50"/>
        <v>1w</v>
      </c>
      <c r="X2658" s="200">
        <f>_xll.qlCalendarAdvance(Calendar,X2657,W2658,"f",FALSE)</f>
        <v>57467</v>
      </c>
      <c r="Y2658" s="204">
        <f>_xll.qlCalendarAdvance(Calendar,X2658,NDays&amp;"D")</f>
        <v>57469</v>
      </c>
      <c r="Z2658" s="205">
        <v>3.1081363106759758E-2</v>
      </c>
      <c r="AA2658" s="207">
        <v>3.1049649896957021E-2</v>
      </c>
    </row>
    <row r="2659" spans="19:27" x14ac:dyDescent="0.2">
      <c r="S2659" s="165"/>
      <c r="T2659" s="166"/>
      <c r="W2659" s="199" t="str">
        <f t="shared" si="50"/>
        <v>1w</v>
      </c>
      <c r="X2659" s="200">
        <f>_xll.qlCalendarAdvance(Calendar,X2658,W2659,"f",FALSE)</f>
        <v>57474</v>
      </c>
      <c r="Y2659" s="204">
        <f>_xll.qlCalendarAdvance(Calendar,X2659,NDays&amp;"D")</f>
        <v>57476</v>
      </c>
      <c r="Z2659" s="205">
        <v>3.1075430181290137E-2</v>
      </c>
      <c r="AA2659" s="207">
        <v>3.1044557112762661E-2</v>
      </c>
    </row>
    <row r="2660" spans="19:27" x14ac:dyDescent="0.2">
      <c r="S2660" s="165"/>
      <c r="T2660" s="166"/>
      <c r="W2660" s="199" t="str">
        <f t="shared" si="50"/>
        <v>1w</v>
      </c>
      <c r="X2660" s="200">
        <f>_xll.qlCalendarAdvance(Calendar,X2659,W2660,"f",FALSE)</f>
        <v>57481</v>
      </c>
      <c r="Y2660" s="204">
        <f>_xll.qlCalendarAdvance(Calendar,X2660,NDays&amp;"D")</f>
        <v>57483</v>
      </c>
      <c r="Z2660" s="205">
        <v>3.1069513287574509E-2</v>
      </c>
      <c r="AA2660" s="207">
        <v>3.1038630376780674E-2</v>
      </c>
    </row>
    <row r="2661" spans="19:27" x14ac:dyDescent="0.2">
      <c r="S2661" s="165"/>
      <c r="T2661" s="166"/>
      <c r="W2661" s="199" t="str">
        <f t="shared" si="50"/>
        <v>1w</v>
      </c>
      <c r="X2661" s="200">
        <f>_xll.qlCalendarAdvance(Calendar,X2660,W2661,"f",FALSE)</f>
        <v>57488</v>
      </c>
      <c r="Y2661" s="204">
        <f>_xll.qlCalendarAdvance(Calendar,X2661,NDays&amp;"D")</f>
        <v>57490</v>
      </c>
      <c r="Z2661" s="205">
        <v>3.1063612425592236E-2</v>
      </c>
      <c r="AA2661" s="207">
        <v>3.1031876540650316E-2</v>
      </c>
    </row>
    <row r="2662" spans="19:27" x14ac:dyDescent="0.2">
      <c r="S2662" s="165"/>
      <c r="T2662" s="166"/>
      <c r="W2662" s="199" t="str">
        <f t="shared" si="50"/>
        <v>1w</v>
      </c>
      <c r="X2662" s="200">
        <f>_xll.qlCalendarAdvance(Calendar,X2661,W2662,"f",FALSE)</f>
        <v>57495</v>
      </c>
      <c r="Y2662" s="204">
        <f>_xll.qlCalendarAdvance(Calendar,X2662,NDays&amp;"D")</f>
        <v>57497</v>
      </c>
      <c r="Z2662" s="205">
        <v>3.1057727595317542E-2</v>
      </c>
      <c r="AA2662" s="207">
        <v>3.1026824867010916E-2</v>
      </c>
    </row>
    <row r="2663" spans="19:27" x14ac:dyDescent="0.2">
      <c r="S2663" s="165"/>
      <c r="T2663" s="166"/>
      <c r="W2663" s="199" t="str">
        <f t="shared" si="50"/>
        <v>1w</v>
      </c>
      <c r="X2663" s="200">
        <f>_xll.qlCalendarAdvance(Calendar,X2662,W2663,"f",FALSE)</f>
        <v>57502</v>
      </c>
      <c r="Y2663" s="204">
        <f>_xll.qlCalendarAdvance(Calendar,X2663,NDays&amp;"D")</f>
        <v>57504</v>
      </c>
      <c r="Z2663" s="205">
        <v>3.1051858796727214E-2</v>
      </c>
      <c r="AA2663" s="207">
        <v>3.1020946093383017E-2</v>
      </c>
    </row>
    <row r="2664" spans="19:27" x14ac:dyDescent="0.2">
      <c r="S2664" s="165"/>
      <c r="T2664" s="166"/>
      <c r="W2664" s="199" t="str">
        <f t="shared" si="50"/>
        <v>1w</v>
      </c>
      <c r="X2664" s="200">
        <f>_xll.qlCalendarAdvance(Calendar,X2663,W2664,"f",FALSE)</f>
        <v>57509</v>
      </c>
      <c r="Y2664" s="204">
        <f>_xll.qlCalendarAdvance(Calendar,X2664,NDays&amp;"D")</f>
        <v>57511</v>
      </c>
      <c r="Z2664" s="205">
        <v>3.1046006029787729E-2</v>
      </c>
      <c r="AA2664" s="207">
        <v>3.1015083307046609E-2</v>
      </c>
    </row>
    <row r="2665" spans="19:27" x14ac:dyDescent="0.2">
      <c r="S2665" s="165"/>
      <c r="T2665" s="166"/>
      <c r="W2665" s="199" t="str">
        <f t="shared" si="50"/>
        <v>1w</v>
      </c>
      <c r="X2665" s="200">
        <f>_xll.qlCalendarAdvance(Calendar,X2664,W2665,"f",FALSE)</f>
        <v>57516</v>
      </c>
      <c r="Y2665" s="204">
        <f>_xll.qlCalendarAdvance(Calendar,X2665,NDays&amp;"D")</f>
        <v>57518</v>
      </c>
      <c r="Z2665" s="205">
        <v>3.1040169294491358E-2</v>
      </c>
      <c r="AA2665" s="207">
        <v>3.10092365082415E-2</v>
      </c>
    </row>
    <row r="2666" spans="19:27" x14ac:dyDescent="0.2">
      <c r="S2666" s="165"/>
      <c r="T2666" s="166"/>
      <c r="W2666" s="199" t="str">
        <f t="shared" si="50"/>
        <v>1w</v>
      </c>
      <c r="X2666" s="200">
        <f>_xll.qlCalendarAdvance(Calendar,X2665,W2666,"f",FALSE)</f>
        <v>57523</v>
      </c>
      <c r="Y2666" s="204">
        <f>_xll.qlCalendarAdvance(Calendar,X2666,NDays&amp;"D")</f>
        <v>57525</v>
      </c>
      <c r="Z2666" s="205">
        <v>3.1035270792712233E-2</v>
      </c>
      <c r="AA2666" s="207">
        <v>3.1003405696807818E-2</v>
      </c>
    </row>
    <row r="2667" spans="19:27" x14ac:dyDescent="0.2">
      <c r="S2667" s="165"/>
      <c r="T2667" s="166"/>
      <c r="W2667" s="199" t="str">
        <f t="shared" si="50"/>
        <v>1w</v>
      </c>
      <c r="X2667" s="200">
        <f>_xll.qlCalendarAdvance(Calendar,X2666,W2667,"f",FALSE)</f>
        <v>57530</v>
      </c>
      <c r="Y2667" s="204">
        <f>_xll.qlCalendarAdvance(Calendar,X2667,NDays&amp;"D")</f>
        <v>57532</v>
      </c>
      <c r="Z2667" s="205">
        <v>3.1028543918693852E-2</v>
      </c>
      <c r="AA2667" s="207">
        <v>3.0997590872825498E-2</v>
      </c>
    </row>
    <row r="2668" spans="19:27" x14ac:dyDescent="0.2">
      <c r="S2668" s="165"/>
      <c r="T2668" s="166"/>
      <c r="W2668" s="199" t="str">
        <f t="shared" si="50"/>
        <v>1w</v>
      </c>
      <c r="X2668" s="200">
        <f>_xll.qlCalendarAdvance(Calendar,X2667,W2668,"f",FALSE)</f>
        <v>57537</v>
      </c>
      <c r="Y2668" s="204">
        <f>_xll.qlCalendarAdvance(Calendar,X2668,NDays&amp;"D")</f>
        <v>57539</v>
      </c>
      <c r="Z2668" s="205">
        <v>3.1022755278151466E-2</v>
      </c>
      <c r="AA2668" s="207">
        <v>3.0991792036294541E-2</v>
      </c>
    </row>
    <row r="2669" spans="19:27" x14ac:dyDescent="0.2">
      <c r="S2669" s="165"/>
      <c r="T2669" s="166"/>
      <c r="W2669" s="199" t="str">
        <f t="shared" si="50"/>
        <v>1w</v>
      </c>
      <c r="X2669" s="200">
        <f>_xll.qlCalendarAdvance(Calendar,X2668,W2669,"f",FALSE)</f>
        <v>57544</v>
      </c>
      <c r="Y2669" s="204">
        <f>_xll.qlCalendarAdvance(Calendar,X2669,NDays&amp;"D")</f>
        <v>57546</v>
      </c>
      <c r="Z2669" s="205">
        <v>3.1016982669146466E-2</v>
      </c>
      <c r="AA2669" s="207">
        <v>3.0986009187214947E-2</v>
      </c>
    </row>
    <row r="2670" spans="19:27" x14ac:dyDescent="0.2">
      <c r="S2670" s="165"/>
      <c r="T2670" s="166"/>
      <c r="W2670" s="199" t="str">
        <f t="shared" si="50"/>
        <v>1w</v>
      </c>
      <c r="X2670" s="200">
        <f>_xll.qlCalendarAdvance(Calendar,X2669,W2670,"f",FALSE)</f>
        <v>57551</v>
      </c>
      <c r="Y2670" s="204">
        <f>_xll.qlCalendarAdvance(Calendar,X2670,NDays&amp;"D")</f>
        <v>57553</v>
      </c>
      <c r="Z2670" s="205">
        <v>3.1012150884431877E-2</v>
      </c>
      <c r="AA2670" s="207">
        <v>3.0980242325586715E-2</v>
      </c>
    </row>
    <row r="2671" spans="19:27" x14ac:dyDescent="0.2">
      <c r="S2671" s="165"/>
      <c r="T2671" s="166"/>
      <c r="W2671" s="199" t="str">
        <f t="shared" si="50"/>
        <v>1w</v>
      </c>
      <c r="X2671" s="200">
        <f>_xll.qlCalendarAdvance(Calendar,X2670,W2671,"f",FALSE)</f>
        <v>57558</v>
      </c>
      <c r="Y2671" s="204">
        <f>_xll.qlCalendarAdvance(Calendar,X2671,NDays&amp;"D")</f>
        <v>57560</v>
      </c>
      <c r="Z2671" s="205">
        <v>3.1006410989822264E-2</v>
      </c>
      <c r="AA2671" s="207">
        <v>3.0974491451409847E-2</v>
      </c>
    </row>
    <row r="2672" spans="19:27" x14ac:dyDescent="0.2">
      <c r="S2672" s="165"/>
      <c r="T2672" s="166"/>
      <c r="W2672" s="199" t="str">
        <f t="shared" si="50"/>
        <v>1w</v>
      </c>
      <c r="X2672" s="200">
        <f>_xll.qlCalendarAdvance(Calendar,X2671,W2672,"f",FALSE)</f>
        <v>57565</v>
      </c>
      <c r="Y2672" s="204">
        <f>_xll.qlCalendarAdvance(Calendar,X2672,NDays&amp;"D")</f>
        <v>57567</v>
      </c>
      <c r="Z2672" s="205">
        <v>3.0999761031123726E-2</v>
      </c>
      <c r="AA2672" s="207">
        <v>3.0968756564524469E-2</v>
      </c>
    </row>
    <row r="2673" spans="19:27" x14ac:dyDescent="0.2">
      <c r="S2673" s="165"/>
      <c r="T2673" s="166"/>
      <c r="W2673" s="199" t="str">
        <f t="shared" si="50"/>
        <v>1w</v>
      </c>
      <c r="X2673" s="200">
        <f>_xll.qlCalendarAdvance(Calendar,X2672,W2673,"f",FALSE)</f>
        <v>57572</v>
      </c>
      <c r="Y2673" s="204">
        <f>_xll.qlCalendarAdvance(Calendar,X2673,NDays&amp;"D")</f>
        <v>57574</v>
      </c>
      <c r="Z2673" s="205">
        <v>3.0994052548033627E-2</v>
      </c>
      <c r="AA2673" s="207">
        <v>3.096303766517039E-2</v>
      </c>
    </row>
    <row r="2674" spans="19:27" x14ac:dyDescent="0.2">
      <c r="S2674" s="165"/>
      <c r="T2674" s="166"/>
      <c r="W2674" s="199" t="str">
        <f t="shared" si="50"/>
        <v>1w</v>
      </c>
      <c r="X2674" s="200">
        <f>_xll.qlCalendarAdvance(Calendar,X2673,W2674,"f",FALSE)</f>
        <v>57579</v>
      </c>
      <c r="Y2674" s="204">
        <f>_xll.qlCalendarAdvance(Calendar,X2674,NDays&amp;"D")</f>
        <v>57581</v>
      </c>
      <c r="Z2674" s="205">
        <v>3.09883600963623E-2</v>
      </c>
      <c r="AA2674" s="207">
        <v>3.0956521356557687E-2</v>
      </c>
    </row>
    <row r="2675" spans="19:27" x14ac:dyDescent="0.2">
      <c r="S2675" s="165"/>
      <c r="T2675" s="166"/>
      <c r="W2675" s="199" t="str">
        <f t="shared" si="50"/>
        <v>1w</v>
      </c>
      <c r="X2675" s="200">
        <f>_xll.qlCalendarAdvance(Calendar,X2674,W2675,"f",FALSE)</f>
        <v>57586</v>
      </c>
      <c r="Y2675" s="204">
        <f>_xll.qlCalendarAdvance(Calendar,X2675,NDays&amp;"D")</f>
        <v>57588</v>
      </c>
      <c r="Z2675" s="205">
        <v>3.0979900178427538E-2</v>
      </c>
      <c r="AA2675" s="207">
        <v>3.0951647828736384E-2</v>
      </c>
    </row>
    <row r="2676" spans="19:27" x14ac:dyDescent="0.2">
      <c r="S2676" s="165"/>
      <c r="T2676" s="166"/>
      <c r="W2676" s="199" t="str">
        <f t="shared" si="50"/>
        <v>1w</v>
      </c>
      <c r="X2676" s="200">
        <f>_xll.qlCalendarAdvance(Calendar,X2675,W2676,"f",FALSE)</f>
        <v>57593</v>
      </c>
      <c r="Y2676" s="204">
        <f>_xll.qlCalendarAdvance(Calendar,X2676,NDays&amp;"D")</f>
        <v>57595</v>
      </c>
      <c r="Z2676" s="205">
        <v>3.0977952010316778E-2</v>
      </c>
      <c r="AA2676" s="207">
        <v>3.0945976891576521E-2</v>
      </c>
    </row>
    <row r="2677" spans="19:27" x14ac:dyDescent="0.2">
      <c r="S2677" s="165"/>
      <c r="T2677" s="166"/>
      <c r="W2677" s="199" t="str">
        <f t="shared" si="50"/>
        <v>1w</v>
      </c>
      <c r="X2677" s="200">
        <f>_xll.qlCalendarAdvance(Calendar,X2676,W2677,"f",FALSE)</f>
        <v>57600</v>
      </c>
      <c r="Y2677" s="204">
        <f>_xll.qlCalendarAdvance(Calendar,X2677,NDays&amp;"D")</f>
        <v>57602</v>
      </c>
      <c r="Z2677" s="205">
        <v>3.0971378929636625E-2</v>
      </c>
      <c r="AA2677" s="207">
        <v>3.0940321942027893E-2</v>
      </c>
    </row>
    <row r="2678" spans="19:27" x14ac:dyDescent="0.2">
      <c r="S2678" s="165"/>
      <c r="T2678" s="166"/>
      <c r="W2678" s="199" t="str">
        <f t="shared" si="50"/>
        <v>1w</v>
      </c>
      <c r="X2678" s="200">
        <f>_xll.qlCalendarAdvance(Calendar,X2677,W2678,"f",FALSE)</f>
        <v>57607</v>
      </c>
      <c r="Y2678" s="204">
        <f>_xll.qlCalendarAdvance(Calendar,X2678,NDays&amp;"D")</f>
        <v>57609</v>
      </c>
      <c r="Z2678" s="205">
        <v>3.0965750603410898E-2</v>
      </c>
      <c r="AA2678" s="207">
        <v>3.0934682979770756E-2</v>
      </c>
    </row>
    <row r="2679" spans="19:27" x14ac:dyDescent="0.2">
      <c r="S2679" s="165"/>
      <c r="T2679" s="166"/>
      <c r="W2679" s="199" t="str">
        <f t="shared" si="50"/>
        <v>1w</v>
      </c>
      <c r="X2679" s="200">
        <f>_xll.qlCalendarAdvance(Calendar,X2678,W2679,"f",FALSE)</f>
        <v>57614</v>
      </c>
      <c r="Y2679" s="204">
        <f>_xll.qlCalendarAdvance(Calendar,X2679,NDays&amp;"D")</f>
        <v>57616</v>
      </c>
      <c r="Z2679" s="205">
        <v>3.0961999841285379E-2</v>
      </c>
      <c r="AA2679" s="207">
        <v>3.0929060004885045E-2</v>
      </c>
    </row>
    <row r="2680" spans="19:27" x14ac:dyDescent="0.2">
      <c r="S2680" s="165"/>
      <c r="T2680" s="166"/>
      <c r="W2680" s="199" t="str">
        <f t="shared" si="50"/>
        <v>1w</v>
      </c>
      <c r="X2680" s="200">
        <f>_xll.qlCalendarAdvance(Calendar,X2679,W2680,"f",FALSE)</f>
        <v>57621</v>
      </c>
      <c r="Y2680" s="204">
        <f>_xll.qlCalendarAdvance(Calendar,X2680,NDays&amp;"D")</f>
        <v>57623</v>
      </c>
      <c r="Z2680" s="205">
        <v>3.0954542044847027E-2</v>
      </c>
      <c r="AA2680" s="207">
        <v>3.0923453017530633E-2</v>
      </c>
    </row>
    <row r="2681" spans="19:27" x14ac:dyDescent="0.2">
      <c r="S2681" s="165"/>
      <c r="T2681" s="166"/>
      <c r="W2681" s="199" t="str">
        <f t="shared" si="50"/>
        <v>1w</v>
      </c>
      <c r="X2681" s="200">
        <f>_xll.qlCalendarAdvance(Calendar,X2680,W2681,"f",FALSE)</f>
        <v>57628</v>
      </c>
      <c r="Y2681" s="204">
        <f>_xll.qlCalendarAdvance(Calendar,X2681,NDays&amp;"D")</f>
        <v>57630</v>
      </c>
      <c r="Z2681" s="205">
        <v>3.0949893851155708E-2</v>
      </c>
      <c r="AA2681" s="207">
        <v>3.091786201770752E-2</v>
      </c>
    </row>
    <row r="2682" spans="19:27" x14ac:dyDescent="0.2">
      <c r="S2682" s="165"/>
      <c r="T2682" s="166"/>
      <c r="W2682" s="199" t="str">
        <f t="shared" si="50"/>
        <v>1w</v>
      </c>
      <c r="X2682" s="200">
        <f>_xll.qlCalendarAdvance(Calendar,X2681,W2682,"f",FALSE)</f>
        <v>57635</v>
      </c>
      <c r="Y2682" s="204">
        <f>_xll.qlCalendarAdvance(Calendar,X2682,NDays&amp;"D")</f>
        <v>57637</v>
      </c>
      <c r="Z2682" s="205">
        <v>3.0943397611308446E-2</v>
      </c>
      <c r="AA2682" s="207">
        <v>3.0912287005095962E-2</v>
      </c>
    </row>
    <row r="2683" spans="19:27" x14ac:dyDescent="0.2">
      <c r="S2683" s="165"/>
      <c r="T2683" s="166"/>
      <c r="W2683" s="199" t="str">
        <f t="shared" si="50"/>
        <v>1w</v>
      </c>
      <c r="X2683" s="200">
        <f>_xll.qlCalendarAdvance(Calendar,X2682,W2683,"f",FALSE)</f>
        <v>57642</v>
      </c>
      <c r="Y2683" s="204">
        <f>_xll.qlCalendarAdvance(Calendar,X2683,NDays&amp;"D")</f>
        <v>57644</v>
      </c>
      <c r="Z2683" s="205">
        <v>3.0937849441361753E-2</v>
      </c>
      <c r="AA2683" s="207">
        <v>3.0906727979935766E-2</v>
      </c>
    </row>
    <row r="2684" spans="19:27" x14ac:dyDescent="0.2">
      <c r="S2684" s="165"/>
      <c r="T2684" s="166"/>
      <c r="W2684" s="199" t="str">
        <f t="shared" si="50"/>
        <v>1w</v>
      </c>
      <c r="X2684" s="200">
        <f>_xll.qlCalendarAdvance(Calendar,X2683,W2684,"f",FALSE)</f>
        <v>57649</v>
      </c>
      <c r="Y2684" s="204">
        <f>_xll.qlCalendarAdvance(Calendar,X2684,NDays&amp;"D")</f>
        <v>57651</v>
      </c>
      <c r="Z2684" s="205">
        <v>3.0932317302606916E-2</v>
      </c>
      <c r="AA2684" s="207">
        <v>3.0901184942386806E-2</v>
      </c>
    </row>
    <row r="2685" spans="19:27" x14ac:dyDescent="0.2">
      <c r="S2685" s="165"/>
      <c r="T2685" s="166"/>
      <c r="W2685" s="199" t="str">
        <f t="shared" si="50"/>
        <v>1w</v>
      </c>
      <c r="X2685" s="200">
        <f>_xll.qlCalendarAdvance(Calendar,X2684,W2685,"f",FALSE)</f>
        <v>57656</v>
      </c>
      <c r="Y2685" s="204">
        <f>_xll.qlCalendarAdvance(Calendar,X2685,NDays&amp;"D")</f>
        <v>57658</v>
      </c>
      <c r="Z2685" s="205">
        <v>3.0926801195020732E-2</v>
      </c>
      <c r="AA2685" s="207">
        <v>3.08956578920494E-2</v>
      </c>
    </row>
    <row r="2686" spans="19:27" x14ac:dyDescent="0.2">
      <c r="S2686" s="165"/>
      <c r="T2686" s="166"/>
      <c r="W2686" s="199" t="str">
        <f t="shared" si="50"/>
        <v>1w</v>
      </c>
      <c r="X2686" s="200">
        <f>_xll.qlCalendarAdvance(Calendar,X2685,W2686,"f",FALSE)</f>
        <v>57663</v>
      </c>
      <c r="Y2686" s="204">
        <f>_xll.qlCalendarAdvance(Calendar,X2686,NDays&amp;"D")</f>
        <v>57665</v>
      </c>
      <c r="Z2686" s="205">
        <v>3.0921301118572254E-2</v>
      </c>
      <c r="AA2686" s="207">
        <v>3.089014682908342E-2</v>
      </c>
    </row>
    <row r="2687" spans="19:27" x14ac:dyDescent="0.2">
      <c r="S2687" s="165"/>
      <c r="T2687" s="166"/>
      <c r="W2687" s="199" t="str">
        <f t="shared" si="50"/>
        <v>1w</v>
      </c>
      <c r="X2687" s="200">
        <f>_xll.qlCalendarAdvance(Calendar,X2686,W2687,"f",FALSE)</f>
        <v>57670</v>
      </c>
      <c r="Y2687" s="204">
        <f>_xll.qlCalendarAdvance(Calendar,X2687,NDays&amp;"D")</f>
        <v>57672</v>
      </c>
      <c r="Z2687" s="205">
        <v>3.0915817073240856E-2</v>
      </c>
      <c r="AA2687" s="207">
        <v>3.088465175364874E-2</v>
      </c>
    </row>
    <row r="2688" spans="19:27" x14ac:dyDescent="0.2">
      <c r="S2688" s="165"/>
      <c r="T2688" s="166"/>
      <c r="W2688" s="199" t="str">
        <f t="shared" si="50"/>
        <v>1w</v>
      </c>
      <c r="X2688" s="200">
        <f>_xll.qlCalendarAdvance(Calendar,X2687,W2688,"f",FALSE)</f>
        <v>57677</v>
      </c>
      <c r="Y2688" s="204">
        <f>_xll.qlCalendarAdvance(Calendar,X2688,NDays&amp;"D")</f>
        <v>57679</v>
      </c>
      <c r="Z2688" s="205">
        <v>3.0910349059005908E-2</v>
      </c>
      <c r="AA2688" s="207">
        <v>3.0879172665745358E-2</v>
      </c>
    </row>
    <row r="2689" spans="19:27" x14ac:dyDescent="0.2">
      <c r="S2689" s="165"/>
      <c r="T2689" s="166"/>
      <c r="W2689" s="199" t="str">
        <f t="shared" si="50"/>
        <v>1w</v>
      </c>
      <c r="X2689" s="200">
        <f>_xll.qlCalendarAdvance(Calendar,X2688,W2689,"f",FALSE)</f>
        <v>57684</v>
      </c>
      <c r="Y2689" s="204">
        <f>_xll.qlCalendarAdvance(Calendar,X2689,NDays&amp;"D")</f>
        <v>57686</v>
      </c>
      <c r="Z2689" s="205">
        <v>3.090489707585194E-2</v>
      </c>
      <c r="AA2689" s="207">
        <v>3.0873709565133467E-2</v>
      </c>
    </row>
    <row r="2690" spans="19:27" x14ac:dyDescent="0.2">
      <c r="S2690" s="165"/>
      <c r="T2690" s="166"/>
      <c r="W2690" s="199" t="str">
        <f t="shared" si="50"/>
        <v>1w</v>
      </c>
      <c r="X2690" s="200">
        <f>_xll.qlCalendarAdvance(Calendar,X2689,W2690,"f",FALSE)</f>
        <v>57691</v>
      </c>
      <c r="Y2690" s="204">
        <f>_xll.qlCalendarAdvance(Calendar,X2690,NDays&amp;"D")</f>
        <v>57693</v>
      </c>
      <c r="Z2690" s="205">
        <v>3.0899461123742849E-2</v>
      </c>
      <c r="AA2690" s="207">
        <v>3.0868262451893003E-2</v>
      </c>
    </row>
    <row r="2691" spans="19:27" x14ac:dyDescent="0.2">
      <c r="S2691" s="165"/>
      <c r="T2691" s="166"/>
      <c r="W2691" s="199" t="str">
        <f t="shared" si="50"/>
        <v>1w</v>
      </c>
      <c r="X2691" s="200">
        <f>_xll.qlCalendarAdvance(Calendar,X2690,W2691,"f",FALSE)</f>
        <v>57698</v>
      </c>
      <c r="Y2691" s="204">
        <f>_xll.qlCalendarAdvance(Calendar,X2691,NDays&amp;"D")</f>
        <v>57700</v>
      </c>
      <c r="Z2691" s="205">
        <v>3.0894979981966331E-2</v>
      </c>
      <c r="AA2691" s="207">
        <v>3.0861282512466559E-2</v>
      </c>
    </row>
    <row r="2692" spans="19:27" x14ac:dyDescent="0.2">
      <c r="S2692" s="165"/>
      <c r="T2692" s="166"/>
      <c r="W2692" s="199" t="str">
        <f t="shared" si="50"/>
        <v>1w</v>
      </c>
      <c r="X2692" s="200">
        <f>_xll.qlCalendarAdvance(Calendar,X2691,W2692,"f",FALSE)</f>
        <v>57706</v>
      </c>
      <c r="Y2692" s="204">
        <f>_xll.qlCalendarAdvance(Calendar,X2692,NDays&amp;"D")</f>
        <v>57710</v>
      </c>
      <c r="Z2692" s="205">
        <v>3.0886326267149503E-2</v>
      </c>
      <c r="AA2692" s="207">
        <v>3.0855871941835034E-2</v>
      </c>
    </row>
    <row r="2693" spans="19:27" x14ac:dyDescent="0.2">
      <c r="S2693" s="165"/>
      <c r="T2693" s="166"/>
      <c r="W2693" s="199" t="str">
        <f t="shared" si="50"/>
        <v>1w</v>
      </c>
      <c r="X2693" s="200">
        <f>_xll.qlCalendarAdvance(Calendar,X2692,W2693,"f",FALSE)</f>
        <v>57713</v>
      </c>
      <c r="Y2693" s="204">
        <f>_xll.qlCalendarAdvance(Calendar,X2693,NDays&amp;"D")</f>
        <v>57717</v>
      </c>
      <c r="Z2693" s="205">
        <v>3.0880945278475506E-2</v>
      </c>
      <c r="AA2693" s="207">
        <v>3.0851247034737739E-2</v>
      </c>
    </row>
    <row r="2694" spans="19:27" x14ac:dyDescent="0.2">
      <c r="S2694" s="165"/>
      <c r="T2694" s="166"/>
      <c r="W2694" s="199" t="str">
        <f t="shared" si="50"/>
        <v>1w</v>
      </c>
      <c r="X2694" s="200">
        <f>_xll.qlCalendarAdvance(Calendar,X2693,W2694,"f",FALSE)</f>
        <v>57720</v>
      </c>
      <c r="Y2694" s="204">
        <f>_xll.qlCalendarAdvance(Calendar,X2694,NDays&amp;"D")</f>
        <v>57724</v>
      </c>
      <c r="Z2694" s="205">
        <v>3.0875580320758718E-2</v>
      </c>
      <c r="AA2694" s="207">
        <v>3.0845866155155832E-2</v>
      </c>
    </row>
    <row r="2695" spans="19:27" x14ac:dyDescent="0.2">
      <c r="S2695" s="165"/>
      <c r="T2695" s="166"/>
      <c r="W2695" s="199" t="str">
        <f t="shared" si="50"/>
        <v>1w</v>
      </c>
      <c r="X2695" s="200">
        <f>_xll.qlCalendarAdvance(Calendar,X2694,W2695,"f",FALSE)</f>
        <v>57727</v>
      </c>
      <c r="Y2695" s="204">
        <f>_xll.qlCalendarAdvance(Calendar,X2695,NDays&amp;"D")</f>
        <v>57731</v>
      </c>
      <c r="Z2695" s="205">
        <v>3.0869468570215639E-2</v>
      </c>
      <c r="AA2695" s="207">
        <v>3.0840501262865416E-2</v>
      </c>
    </row>
    <row r="2696" spans="19:27" x14ac:dyDescent="0.2">
      <c r="S2696" s="165"/>
      <c r="T2696" s="166"/>
      <c r="W2696" s="199" t="str">
        <f t="shared" si="50"/>
        <v>1w</v>
      </c>
      <c r="X2696" s="200">
        <f>_xll.qlCalendarAdvance(Calendar,X2695,W2696,"f",FALSE)</f>
        <v>57734</v>
      </c>
      <c r="Y2696" s="204">
        <f>_xll.qlCalendarAdvance(Calendar,X2696,NDays&amp;"D")</f>
        <v>57738</v>
      </c>
      <c r="Z2696" s="205">
        <v>3.0864898498088458E-2</v>
      </c>
      <c r="AA2696" s="207">
        <v>3.0835152358106299E-2</v>
      </c>
    </row>
    <row r="2697" spans="19:27" x14ac:dyDescent="0.2">
      <c r="S2697" s="165"/>
      <c r="T2697" s="166"/>
      <c r="W2697" s="199" t="str">
        <f t="shared" si="50"/>
        <v>1w</v>
      </c>
      <c r="X2697" s="200">
        <f>_xll.qlCalendarAdvance(Calendar,X2696,W2697,"f",FALSE)</f>
        <v>57741</v>
      </c>
      <c r="Y2697" s="204">
        <f>_xll.qlCalendarAdvance(Calendar,X2697,NDays&amp;"D")</f>
        <v>57745</v>
      </c>
      <c r="Z2697" s="205">
        <v>3.0856752783186319E-2</v>
      </c>
      <c r="AA2697" s="207">
        <v>3.0829819440718609E-2</v>
      </c>
    </row>
    <row r="2698" spans="19:27" x14ac:dyDescent="0.2">
      <c r="S2698" s="165"/>
      <c r="T2698" s="166"/>
      <c r="W2698" s="199" t="str">
        <f t="shared" si="50"/>
        <v>1w</v>
      </c>
      <c r="X2698" s="200">
        <f>_xll.qlCalendarAdvance(Calendar,X2697,W2698,"f",FALSE)</f>
        <v>57748</v>
      </c>
      <c r="Y2698" s="204">
        <f>_xll.qlCalendarAdvance(Calendar,X2698,NDays&amp;"D")</f>
        <v>57752</v>
      </c>
      <c r="Z2698" s="205">
        <v>3.085144987588162E-2</v>
      </c>
      <c r="AA2698" s="207">
        <v>3.0824502510862217E-2</v>
      </c>
    </row>
    <row r="2699" spans="19:27" x14ac:dyDescent="0.2">
      <c r="S2699" s="165"/>
      <c r="T2699" s="166"/>
      <c r="W2699" s="199" t="str">
        <f t="shared" si="50"/>
        <v>1w</v>
      </c>
      <c r="X2699" s="200">
        <f>_xll.qlCalendarAdvance(Calendar,X2698,W2699,"f",FALSE)</f>
        <v>57755</v>
      </c>
      <c r="Y2699" s="204">
        <f>_xll.qlCalendarAdvance(Calendar,X2699,NDays&amp;"D")</f>
        <v>57759</v>
      </c>
      <c r="Z2699" s="205">
        <v>3.0845409034680075E-2</v>
      </c>
      <c r="AA2699" s="207">
        <v>3.0819201568137444E-2</v>
      </c>
    </row>
    <row r="2700" spans="19:27" x14ac:dyDescent="0.2">
      <c r="S2700" s="165"/>
      <c r="T2700" s="166"/>
      <c r="W2700" s="199" t="str">
        <f t="shared" si="50"/>
        <v>1w</v>
      </c>
      <c r="X2700" s="200">
        <f>_xll.qlCalendarAdvance(Calendar,X2699,W2700,"f",FALSE)</f>
        <v>57762</v>
      </c>
      <c r="Y2700" s="204">
        <f>_xll.qlCalendarAdvance(Calendar,X2700,NDays&amp;"D")</f>
        <v>57766</v>
      </c>
      <c r="Z2700" s="205">
        <v>3.0840892140755471E-2</v>
      </c>
      <c r="AA2700" s="207">
        <v>3.0813916613183778E-2</v>
      </c>
    </row>
    <row r="2701" spans="19:27" x14ac:dyDescent="0.2">
      <c r="S2701" s="165"/>
      <c r="T2701" s="166"/>
      <c r="W2701" s="199" t="str">
        <f t="shared" si="50"/>
        <v>1w</v>
      </c>
      <c r="X2701" s="200">
        <f>_xll.qlCalendarAdvance(Calendar,X2700,W2701,"f",FALSE)</f>
        <v>57769</v>
      </c>
      <c r="Y2701" s="204">
        <f>_xll.qlCalendarAdvance(Calendar,X2701,NDays&amp;"D")</f>
        <v>57773</v>
      </c>
      <c r="Z2701" s="205">
        <v>3.0838474481534265E-2</v>
      </c>
      <c r="AA2701" s="207">
        <v>3.0808647645441667E-2</v>
      </c>
    </row>
    <row r="2702" spans="19:27" x14ac:dyDescent="0.2">
      <c r="S2702" s="165"/>
      <c r="T2702" s="166"/>
      <c r="W2702" s="199" t="str">
        <f t="shared" si="50"/>
        <v>1w</v>
      </c>
      <c r="X2702" s="200">
        <f>_xll.qlCalendarAdvance(Calendar,X2701,W2702,"f",FALSE)</f>
        <v>57776</v>
      </c>
      <c r="Y2702" s="204">
        <f>_xll.qlCalendarAdvance(Calendar,X2702,NDays&amp;"D")</f>
        <v>57780</v>
      </c>
      <c r="Z2702" s="205">
        <v>3.0833237770644825E-2</v>
      </c>
      <c r="AA2702" s="207">
        <v>3.0803394665070982E-2</v>
      </c>
    </row>
    <row r="2703" spans="19:27" x14ac:dyDescent="0.2">
      <c r="S2703" s="165"/>
      <c r="T2703" s="166"/>
      <c r="W2703" s="199" t="str">
        <f t="shared" si="50"/>
        <v>1w</v>
      </c>
      <c r="X2703" s="200">
        <f>_xll.qlCalendarAdvance(Calendar,X2702,W2703,"f",FALSE)</f>
        <v>57783</v>
      </c>
      <c r="Y2703" s="204">
        <f>_xll.qlCalendarAdvance(Calendar,X2703,NDays&amp;"D")</f>
        <v>57787</v>
      </c>
      <c r="Z2703" s="205">
        <v>3.0828017090508884E-2</v>
      </c>
      <c r="AA2703" s="207">
        <v>3.079815767215166E-2</v>
      </c>
    </row>
    <row r="2704" spans="19:27" x14ac:dyDescent="0.2">
      <c r="S2704" s="165"/>
      <c r="T2704" s="166"/>
      <c r="W2704" s="199" t="str">
        <f t="shared" si="50"/>
        <v>1w</v>
      </c>
      <c r="X2704" s="200">
        <f>_xll.qlCalendarAdvance(Calendar,X2703,W2704,"f",FALSE)</f>
        <v>57790</v>
      </c>
      <c r="Y2704" s="204">
        <f>_xll.qlCalendarAdvance(Calendar,X2704,NDays&amp;"D")</f>
        <v>57794</v>
      </c>
      <c r="Z2704" s="205">
        <v>3.0822812441105817E-2</v>
      </c>
      <c r="AA2704" s="207">
        <v>3.0792936666683701E-2</v>
      </c>
    </row>
    <row r="2705" spans="19:27" x14ac:dyDescent="0.2">
      <c r="S2705" s="165"/>
      <c r="T2705" s="166"/>
      <c r="W2705" s="199" t="str">
        <f t="shared" si="50"/>
        <v>1w</v>
      </c>
      <c r="X2705" s="200">
        <f>_xll.qlCalendarAdvance(Calendar,X2704,W2705,"f",FALSE)</f>
        <v>57797</v>
      </c>
      <c r="Y2705" s="204">
        <f>_xll.qlCalendarAdvance(Calendar,X2705,NDays&amp;"D")</f>
        <v>57801</v>
      </c>
      <c r="Z2705" s="205">
        <v>3.0816675182468778E-2</v>
      </c>
      <c r="AA2705" s="207">
        <v>3.0787731648667105E-2</v>
      </c>
    </row>
    <row r="2706" spans="19:27" x14ac:dyDescent="0.2">
      <c r="S2706" s="165"/>
      <c r="T2706" s="166"/>
      <c r="W2706" s="199" t="str">
        <f t="shared" si="50"/>
        <v>1w</v>
      </c>
      <c r="X2706" s="200">
        <f>_xll.qlCalendarAdvance(Calendar,X2705,W2706,"f",FALSE)</f>
        <v>57804</v>
      </c>
      <c r="Y2706" s="204">
        <f>_xll.qlCalendarAdvance(Calendar,X2706,NDays&amp;"D")</f>
        <v>57808</v>
      </c>
      <c r="Z2706" s="205">
        <v>3.0811501891681026E-2</v>
      </c>
      <c r="AA2706" s="207">
        <v>3.0782542617862063E-2</v>
      </c>
    </row>
    <row r="2707" spans="19:27" x14ac:dyDescent="0.2">
      <c r="S2707" s="165"/>
      <c r="T2707" s="166"/>
      <c r="W2707" s="199" t="str">
        <f t="shared" si="50"/>
        <v>1w</v>
      </c>
      <c r="X2707" s="200">
        <f>_xll.qlCalendarAdvance(Calendar,X2706,W2707,"f",FALSE)</f>
        <v>57811</v>
      </c>
      <c r="Y2707" s="204">
        <f>_xll.qlCalendarAdvance(Calendar,X2707,NDays&amp;"D")</f>
        <v>57817</v>
      </c>
      <c r="Z2707" s="205">
        <v>3.0804874070951449E-2</v>
      </c>
      <c r="AA2707" s="207">
        <v>3.0777788495912617E-2</v>
      </c>
    </row>
    <row r="2708" spans="19:27" x14ac:dyDescent="0.2">
      <c r="S2708" s="165"/>
      <c r="T2708" s="166"/>
      <c r="W2708" s="199" t="str">
        <f t="shared" si="50"/>
        <v>1w</v>
      </c>
      <c r="X2708" s="200">
        <f>_xll.qlCalendarAdvance(Calendar,X2707,W2708,"f",FALSE)</f>
        <v>57818</v>
      </c>
      <c r="Y2708" s="204">
        <f>_xll.qlCalendarAdvance(Calendar,X2708,NDays&amp;"D")</f>
        <v>57822</v>
      </c>
      <c r="Z2708" s="205">
        <v>3.0801203397756716E-2</v>
      </c>
      <c r="AA2708" s="207">
        <v>3.077221251876594E-2</v>
      </c>
    </row>
    <row r="2709" spans="19:27" x14ac:dyDescent="0.2">
      <c r="S2709" s="165"/>
      <c r="T2709" s="166"/>
      <c r="W2709" s="199" t="str">
        <f t="shared" ref="W2709:W2772" si="51">W2708</f>
        <v>1w</v>
      </c>
      <c r="X2709" s="200">
        <f>_xll.qlCalendarAdvance(Calendar,X2708,W2709,"f",FALSE)</f>
        <v>57825</v>
      </c>
      <c r="Y2709" s="204">
        <f>_xll.qlCalendarAdvance(Calendar,X2709,NDays&amp;"D")</f>
        <v>57829</v>
      </c>
      <c r="Z2709" s="205">
        <v>3.0796078194590848E-2</v>
      </c>
      <c r="AA2709" s="207">
        <v>3.0767071450235051E-2</v>
      </c>
    </row>
    <row r="2710" spans="19:27" x14ac:dyDescent="0.2">
      <c r="S2710" s="165"/>
      <c r="T2710" s="166"/>
      <c r="W2710" s="199" t="str">
        <f t="shared" si="51"/>
        <v>1w</v>
      </c>
      <c r="X2710" s="200">
        <f>_xll.qlCalendarAdvance(Calendar,X2709,W2710,"f",FALSE)</f>
        <v>57832</v>
      </c>
      <c r="Y2710" s="204">
        <f>_xll.qlCalendarAdvance(Calendar,X2710,NDays&amp;"D")</f>
        <v>57837</v>
      </c>
      <c r="Z2710" s="205">
        <v>3.0791192716744405E-2</v>
      </c>
      <c r="AA2710" s="207">
        <v>3.0761215519854446E-2</v>
      </c>
    </row>
    <row r="2711" spans="19:27" x14ac:dyDescent="0.2">
      <c r="S2711" s="165"/>
      <c r="T2711" s="166"/>
      <c r="W2711" s="199" t="str">
        <f t="shared" si="51"/>
        <v>1w</v>
      </c>
      <c r="X2711" s="200">
        <f>_xll.qlCalendarAdvance(Calendar,X2710,W2711,"f",FALSE)</f>
        <v>57839</v>
      </c>
      <c r="Y2711" s="204">
        <f>_xll.qlCalendarAdvance(Calendar,X2711,NDays&amp;"D")</f>
        <v>57843</v>
      </c>
      <c r="Z2711" s="205">
        <v>3.0786828754046102E-2</v>
      </c>
      <c r="AA2711" s="207">
        <v>3.075683727552736E-2</v>
      </c>
    </row>
    <row r="2712" spans="19:27" x14ac:dyDescent="0.2">
      <c r="S2712" s="165"/>
      <c r="T2712" s="166"/>
      <c r="W2712" s="199" t="str">
        <f t="shared" si="51"/>
        <v>1w</v>
      </c>
      <c r="X2712" s="200">
        <f>_xll.qlCalendarAdvance(Calendar,X2711,W2712,"f",FALSE)</f>
        <v>57846</v>
      </c>
      <c r="Y2712" s="204">
        <f>_xll.qlCalendarAdvance(Calendar,X2712,NDays&amp;"D")</f>
        <v>57850</v>
      </c>
      <c r="Z2712" s="205">
        <v>3.0781752349745312E-2</v>
      </c>
      <c r="AA2712" s="207">
        <v>3.0751744169270623E-2</v>
      </c>
    </row>
    <row r="2713" spans="19:27" x14ac:dyDescent="0.2">
      <c r="S2713" s="165"/>
      <c r="T2713" s="166"/>
      <c r="W2713" s="199" t="str">
        <f t="shared" si="51"/>
        <v>1w</v>
      </c>
      <c r="X2713" s="200">
        <f>_xll.qlCalendarAdvance(Calendar,X2712,W2713,"f",FALSE)</f>
        <v>57853</v>
      </c>
      <c r="Y2713" s="204">
        <f>_xll.qlCalendarAdvance(Calendar,X2713,NDays&amp;"D")</f>
        <v>57858</v>
      </c>
      <c r="Z2713" s="205">
        <v>3.0775970374067714E-2</v>
      </c>
      <c r="AA2713" s="207">
        <v>3.0745943052803426E-2</v>
      </c>
    </row>
    <row r="2714" spans="19:27" x14ac:dyDescent="0.2">
      <c r="S2714" s="165"/>
      <c r="T2714" s="166"/>
      <c r="W2714" s="199" t="str">
        <f t="shared" si="51"/>
        <v>1w</v>
      </c>
      <c r="X2714" s="200">
        <f>_xll.qlCalendarAdvance(Calendar,X2713,W2714,"f",FALSE)</f>
        <v>57860</v>
      </c>
      <c r="Y2714" s="204">
        <f>_xll.qlCalendarAdvance(Calendar,X2714,NDays&amp;"D")</f>
        <v>57864</v>
      </c>
      <c r="Z2714" s="205">
        <v>3.0770692615813111E-2</v>
      </c>
      <c r="AA2714" s="207">
        <v>3.0741605918951365E-2</v>
      </c>
    </row>
    <row r="2715" spans="19:27" x14ac:dyDescent="0.2">
      <c r="S2715" s="165"/>
      <c r="T2715" s="166"/>
      <c r="W2715" s="199" t="str">
        <f t="shared" si="51"/>
        <v>1w</v>
      </c>
      <c r="X2715" s="200">
        <f>_xll.qlCalendarAdvance(Calendar,X2714,W2715,"f",FALSE)</f>
        <v>57867</v>
      </c>
      <c r="Y2715" s="204">
        <f>_xll.qlCalendarAdvance(Calendar,X2715,NDays&amp;"D")</f>
        <v>57871</v>
      </c>
      <c r="Z2715" s="205">
        <v>3.0765663587328795E-2</v>
      </c>
      <c r="AA2715" s="207">
        <v>3.0736560774888844E-2</v>
      </c>
    </row>
    <row r="2716" spans="19:27" x14ac:dyDescent="0.2">
      <c r="S2716" s="165"/>
      <c r="T2716" s="166"/>
      <c r="W2716" s="199" t="str">
        <f t="shared" si="51"/>
        <v>1w</v>
      </c>
      <c r="X2716" s="200">
        <f>_xll.qlCalendarAdvance(Calendar,X2715,W2716,"f",FALSE)</f>
        <v>57874</v>
      </c>
      <c r="Y2716" s="204">
        <f>_xll.qlCalendarAdvance(Calendar,X2716,NDays&amp;"D")</f>
        <v>57878</v>
      </c>
      <c r="Z2716" s="205">
        <v>3.0760650587891902E-2</v>
      </c>
      <c r="AA2716" s="207">
        <v>3.0731531618197749E-2</v>
      </c>
    </row>
    <row r="2717" spans="19:27" x14ac:dyDescent="0.2">
      <c r="S2717" s="165"/>
      <c r="T2717" s="166"/>
      <c r="W2717" s="199" t="str">
        <f t="shared" si="51"/>
        <v>1w</v>
      </c>
      <c r="X2717" s="200">
        <f>_xll.qlCalendarAdvance(Calendar,X2716,W2717,"f",FALSE)</f>
        <v>57881</v>
      </c>
      <c r="Y2717" s="204">
        <f>_xll.qlCalendarAdvance(Calendar,X2717,NDays&amp;"D")</f>
        <v>57885</v>
      </c>
      <c r="Z2717" s="205">
        <v>3.0755653617475787E-2</v>
      </c>
      <c r="AA2717" s="207">
        <v>3.0726518448878082E-2</v>
      </c>
    </row>
    <row r="2718" spans="19:27" x14ac:dyDescent="0.2">
      <c r="S2718" s="165"/>
      <c r="T2718" s="166"/>
      <c r="W2718" s="199" t="str">
        <f t="shared" si="51"/>
        <v>1w</v>
      </c>
      <c r="X2718" s="200">
        <f>_xll.qlCalendarAdvance(Calendar,X2717,W2718,"f",FALSE)</f>
        <v>57888</v>
      </c>
      <c r="Y2718" s="204">
        <f>_xll.qlCalendarAdvance(Calendar,X2718,NDays&amp;"D")</f>
        <v>57892</v>
      </c>
      <c r="Z2718" s="205">
        <v>3.0751630564622354E-2</v>
      </c>
      <c r="AA2718" s="207">
        <v>3.0721521267089713E-2</v>
      </c>
    </row>
    <row r="2719" spans="19:27" x14ac:dyDescent="0.2">
      <c r="S2719" s="165"/>
      <c r="T2719" s="166"/>
      <c r="W2719" s="199" t="str">
        <f t="shared" si="51"/>
        <v>1w</v>
      </c>
      <c r="X2719" s="200">
        <f>_xll.qlCalendarAdvance(Calendar,X2718,W2719,"f",FALSE)</f>
        <v>57895</v>
      </c>
      <c r="Y2719" s="204">
        <f>_xll.qlCalendarAdvance(Calendar,X2719,NDays&amp;"D")</f>
        <v>57899</v>
      </c>
      <c r="Z2719" s="205">
        <v>3.0746666373687906E-2</v>
      </c>
      <c r="AA2719" s="207">
        <v>3.0716540072592835E-2</v>
      </c>
    </row>
    <row r="2720" spans="19:27" x14ac:dyDescent="0.2">
      <c r="S2720" s="165"/>
      <c r="T2720" s="166"/>
      <c r="W2720" s="199" t="str">
        <f t="shared" si="51"/>
        <v>1w</v>
      </c>
      <c r="X2720" s="200">
        <f>_xll.qlCalendarAdvance(Calendar,X2719,W2720,"f",FALSE)</f>
        <v>57902</v>
      </c>
      <c r="Y2720" s="204">
        <f>_xll.qlCalendarAdvance(Calendar,X2720,NDays&amp;"D")</f>
        <v>57906</v>
      </c>
      <c r="Z2720" s="205">
        <v>3.0741718213148531E-2</v>
      </c>
      <c r="AA2720" s="207">
        <v>3.0711574865387448E-2</v>
      </c>
    </row>
    <row r="2721" spans="19:27" x14ac:dyDescent="0.2">
      <c r="S2721" s="165"/>
      <c r="T2721" s="166"/>
      <c r="W2721" s="199" t="str">
        <f t="shared" si="51"/>
        <v>1w</v>
      </c>
      <c r="X2721" s="200">
        <f>_xll.qlCalendarAdvance(Calendar,X2720,W2721,"f",FALSE)</f>
        <v>57909</v>
      </c>
      <c r="Y2721" s="204">
        <f>_xll.qlCalendarAdvance(Calendar,X2721,NDays&amp;"D")</f>
        <v>57913</v>
      </c>
      <c r="Z2721" s="205">
        <v>3.0736786082988764E-2</v>
      </c>
      <c r="AA2721" s="207">
        <v>3.0706625645713359E-2</v>
      </c>
    </row>
    <row r="2722" spans="19:27" x14ac:dyDescent="0.2">
      <c r="S2722" s="165"/>
      <c r="T2722" s="166"/>
      <c r="W2722" s="199" t="str">
        <f t="shared" si="51"/>
        <v>1w</v>
      </c>
      <c r="X2722" s="200">
        <f>_xll.qlCalendarAdvance(Calendar,X2721,W2722,"f",FALSE)</f>
        <v>57916</v>
      </c>
      <c r="Y2722" s="204">
        <f>_xll.qlCalendarAdvance(Calendar,X2722,NDays&amp;"D")</f>
        <v>57920</v>
      </c>
      <c r="Z2722" s="205">
        <v>3.073186998318797E-2</v>
      </c>
      <c r="AA2722" s="207">
        <v>3.0701692413490633E-2</v>
      </c>
    </row>
    <row r="2723" spans="19:27" x14ac:dyDescent="0.2">
      <c r="S2723" s="165"/>
      <c r="T2723" s="166"/>
      <c r="W2723" s="199" t="str">
        <f t="shared" si="51"/>
        <v>1w</v>
      </c>
      <c r="X2723" s="200">
        <f>_xll.qlCalendarAdvance(Calendar,X2722,W2723,"f",FALSE)</f>
        <v>57923</v>
      </c>
      <c r="Y2723" s="204">
        <f>_xll.qlCalendarAdvance(Calendar,X2723,NDays&amp;"D")</f>
        <v>57927</v>
      </c>
      <c r="Z2723" s="205">
        <v>3.0726969913720367E-2</v>
      </c>
      <c r="AA2723" s="207">
        <v>3.0696775168639334E-2</v>
      </c>
    </row>
    <row r="2724" spans="19:27" x14ac:dyDescent="0.2">
      <c r="S2724" s="165"/>
      <c r="T2724" s="166"/>
      <c r="W2724" s="199" t="str">
        <f t="shared" si="51"/>
        <v>1w</v>
      </c>
      <c r="X2724" s="200">
        <f>_xll.qlCalendarAdvance(Calendar,X2723,W2724,"f",FALSE)</f>
        <v>57930</v>
      </c>
      <c r="Y2724" s="204">
        <f>_xll.qlCalendarAdvance(Calendar,X2724,NDays&amp;"D")</f>
        <v>57934</v>
      </c>
      <c r="Z2724" s="205">
        <v>3.0722085874570482E-2</v>
      </c>
      <c r="AA2724" s="207">
        <v>3.069187391099959E-2</v>
      </c>
    </row>
    <row r="2725" spans="19:27" x14ac:dyDescent="0.2">
      <c r="S2725" s="165"/>
      <c r="T2725" s="166"/>
      <c r="W2725" s="199" t="str">
        <f t="shared" si="51"/>
        <v>1w</v>
      </c>
      <c r="X2725" s="200">
        <f>_xll.qlCalendarAdvance(Calendar,X2724,W2725,"f",FALSE)</f>
        <v>57937</v>
      </c>
      <c r="Y2725" s="204">
        <f>_xll.qlCalendarAdvance(Calendar,X2725,NDays&amp;"D")</f>
        <v>57941</v>
      </c>
      <c r="Z2725" s="205">
        <v>3.0717217865720264E-2</v>
      </c>
      <c r="AA2725" s="207">
        <v>3.0686988641051016E-2</v>
      </c>
    </row>
    <row r="2726" spans="19:27" x14ac:dyDescent="0.2">
      <c r="S2726" s="165"/>
      <c r="T2726" s="166"/>
      <c r="W2726" s="199" t="str">
        <f t="shared" si="51"/>
        <v>1w</v>
      </c>
      <c r="X2726" s="200">
        <f>_xll.qlCalendarAdvance(Calendar,X2725,W2726,"f",FALSE)</f>
        <v>57944</v>
      </c>
      <c r="Y2726" s="204">
        <f>_xll.qlCalendarAdvance(Calendar,X2726,NDays&amp;"D")</f>
        <v>57949</v>
      </c>
      <c r="Z2726" s="205">
        <v>3.0711674055937416E-2</v>
      </c>
      <c r="AA2726" s="207">
        <v>3.0681425051461986E-2</v>
      </c>
    </row>
    <row r="2727" spans="19:27" x14ac:dyDescent="0.2">
      <c r="S2727" s="165"/>
      <c r="T2727" s="166"/>
      <c r="W2727" s="199" t="str">
        <f t="shared" si="51"/>
        <v>1w</v>
      </c>
      <c r="X2727" s="200">
        <f>_xll.qlCalendarAdvance(Calendar,X2726,W2727,"f",FALSE)</f>
        <v>57951</v>
      </c>
      <c r="Y2727" s="204">
        <f>_xll.qlCalendarAdvance(Calendar,X2727,NDays&amp;"D")</f>
        <v>57955</v>
      </c>
      <c r="Z2727" s="205">
        <v>3.0705875859280418E-2</v>
      </c>
      <c r="AA2727" s="207">
        <v>3.0677266062948405E-2</v>
      </c>
    </row>
    <row r="2728" spans="19:27" x14ac:dyDescent="0.2">
      <c r="S2728" s="165"/>
      <c r="T2728" s="166"/>
      <c r="W2728" s="199" t="str">
        <f t="shared" si="51"/>
        <v>1w</v>
      </c>
      <c r="X2728" s="200">
        <f>_xll.qlCalendarAdvance(Calendar,X2727,W2728,"f",FALSE)</f>
        <v>57958</v>
      </c>
      <c r="Y2728" s="204">
        <f>_xll.qlCalendarAdvance(Calendar,X2728,NDays&amp;"D")</f>
        <v>57962</v>
      </c>
      <c r="Z2728" s="205">
        <v>3.0701744852815516E-2</v>
      </c>
      <c r="AA2728" s="207">
        <v>3.067242875495424E-2</v>
      </c>
    </row>
    <row r="2729" spans="19:27" x14ac:dyDescent="0.2">
      <c r="S2729" s="165"/>
      <c r="T2729" s="166"/>
      <c r="W2729" s="199" t="str">
        <f t="shared" si="51"/>
        <v>1w</v>
      </c>
      <c r="X2729" s="200">
        <f>_xll.qlCalendarAdvance(Calendar,X2728,W2729,"f",FALSE)</f>
        <v>57965</v>
      </c>
      <c r="Y2729" s="204">
        <f>_xll.qlCalendarAdvance(Calendar,X2729,NDays&amp;"D")</f>
        <v>57969</v>
      </c>
      <c r="Z2729" s="205">
        <v>3.0696940229148595E-2</v>
      </c>
      <c r="AA2729" s="207">
        <v>3.0667607434411437E-2</v>
      </c>
    </row>
    <row r="2730" spans="19:27" x14ac:dyDescent="0.2">
      <c r="S2730" s="165"/>
      <c r="T2730" s="166"/>
      <c r="W2730" s="199" t="str">
        <f t="shared" si="51"/>
        <v>1w</v>
      </c>
      <c r="X2730" s="200">
        <f>_xll.qlCalendarAdvance(Calendar,X2729,W2730,"f",FALSE)</f>
        <v>57972</v>
      </c>
      <c r="Y2730" s="204">
        <f>_xll.qlCalendarAdvance(Calendar,X2730,NDays&amp;"D")</f>
        <v>57976</v>
      </c>
      <c r="Z2730" s="205">
        <v>3.0692151634249321E-2</v>
      </c>
      <c r="AA2730" s="207">
        <v>3.0662802101319997E-2</v>
      </c>
    </row>
    <row r="2731" spans="19:27" x14ac:dyDescent="0.2">
      <c r="S2731" s="165"/>
      <c r="T2731" s="166"/>
      <c r="W2731" s="199" t="str">
        <f t="shared" si="51"/>
        <v>1w</v>
      </c>
      <c r="X2731" s="200">
        <f>_xll.qlCalendarAdvance(Calendar,X2730,W2731,"f",FALSE)</f>
        <v>57979</v>
      </c>
      <c r="Y2731" s="204">
        <f>_xll.qlCalendarAdvance(Calendar,X2731,NDays&amp;"D")</f>
        <v>57983</v>
      </c>
      <c r="Z2731" s="205">
        <v>3.0688346447707803E-2</v>
      </c>
      <c r="AA2731" s="207">
        <v>3.0658012755440112E-2</v>
      </c>
    </row>
    <row r="2732" spans="19:27" x14ac:dyDescent="0.2">
      <c r="S2732" s="165"/>
      <c r="T2732" s="166"/>
      <c r="W2732" s="199" t="str">
        <f t="shared" si="51"/>
        <v>1w</v>
      </c>
      <c r="X2732" s="200">
        <f>_xll.qlCalendarAdvance(Calendar,X2731,W2732,"f",FALSE)</f>
        <v>57986</v>
      </c>
      <c r="Y2732" s="204">
        <f>_xll.qlCalendarAdvance(Calendar,X2732,NDays&amp;"D")</f>
        <v>57990</v>
      </c>
      <c r="Z2732" s="205">
        <v>3.068359065036735E-2</v>
      </c>
      <c r="AA2732" s="207">
        <v>3.0653239397091525E-2</v>
      </c>
    </row>
    <row r="2733" spans="19:27" x14ac:dyDescent="0.2">
      <c r="S2733" s="165"/>
      <c r="T2733" s="166"/>
      <c r="W2733" s="199" t="str">
        <f t="shared" si="51"/>
        <v>1w</v>
      </c>
      <c r="X2733" s="200">
        <f>_xll.qlCalendarAdvance(Calendar,X2732,W2733,"f",FALSE)</f>
        <v>57993</v>
      </c>
      <c r="Y2733" s="204">
        <f>_xll.qlCalendarAdvance(Calendar,X2733,NDays&amp;"D")</f>
        <v>57997</v>
      </c>
      <c r="Z2733" s="205">
        <v>3.0678175082146385E-2</v>
      </c>
      <c r="AA2733" s="207">
        <v>3.0648482026194301E-2</v>
      </c>
    </row>
    <row r="2734" spans="19:27" x14ac:dyDescent="0.2">
      <c r="S2734" s="165"/>
      <c r="T2734" s="166"/>
      <c r="W2734" s="199" t="str">
        <f t="shared" si="51"/>
        <v>1w</v>
      </c>
      <c r="X2734" s="200">
        <f>_xll.qlCalendarAdvance(Calendar,X2733,W2734,"f",FALSE)</f>
        <v>58000</v>
      </c>
      <c r="Y2734" s="204">
        <f>_xll.qlCalendarAdvance(Calendar,X2734,NDays&amp;"D")</f>
        <v>58004</v>
      </c>
      <c r="Z2734" s="205">
        <v>3.0674127146090358E-2</v>
      </c>
      <c r="AA2734" s="207">
        <v>3.0643740642588568E-2</v>
      </c>
    </row>
    <row r="2735" spans="19:27" x14ac:dyDescent="0.2">
      <c r="S2735" s="165"/>
      <c r="T2735" s="166"/>
      <c r="W2735" s="199" t="str">
        <f t="shared" si="51"/>
        <v>1w</v>
      </c>
      <c r="X2735" s="200">
        <f>_xll.qlCalendarAdvance(Calendar,X2734,W2735,"f",FALSE)</f>
        <v>58007</v>
      </c>
      <c r="Y2735" s="204">
        <f>_xll.qlCalendarAdvance(Calendar,X2735,NDays&amp;"D")</f>
        <v>58011</v>
      </c>
      <c r="Z2735" s="205">
        <v>3.0670389913708407E-2</v>
      </c>
      <c r="AA2735" s="207">
        <v>3.0639015246354262E-2</v>
      </c>
    </row>
    <row r="2736" spans="19:27" x14ac:dyDescent="0.2">
      <c r="S2736" s="165"/>
      <c r="T2736" s="166"/>
      <c r="W2736" s="199" t="str">
        <f t="shared" si="51"/>
        <v>1w</v>
      </c>
      <c r="X2736" s="200">
        <f>_xll.qlCalendarAdvance(Calendar,X2735,W2736,"f",FALSE)</f>
        <v>58014</v>
      </c>
      <c r="Y2736" s="204">
        <f>_xll.qlCalendarAdvance(Calendar,X2736,NDays&amp;"D")</f>
        <v>58018</v>
      </c>
      <c r="Z2736" s="205">
        <v>3.0663756667937747E-2</v>
      </c>
      <c r="AA2736" s="207">
        <v>3.0634305837491382E-2</v>
      </c>
    </row>
    <row r="2737" spans="19:27" x14ac:dyDescent="0.2">
      <c r="S2737" s="165"/>
      <c r="T2737" s="166"/>
      <c r="W2737" s="199" t="str">
        <f t="shared" si="51"/>
        <v>1w</v>
      </c>
      <c r="X2737" s="200">
        <f>_xll.qlCalendarAdvance(Calendar,X2736,W2737,"f",FALSE)</f>
        <v>58021</v>
      </c>
      <c r="Y2737" s="204">
        <f>_xll.qlCalendarAdvance(Calendar,X2737,NDays&amp;"D")</f>
        <v>58025</v>
      </c>
      <c r="Z2737" s="205">
        <v>3.0658413526056805E-2</v>
      </c>
      <c r="AA2737" s="207">
        <v>3.0629612416079866E-2</v>
      </c>
    </row>
    <row r="2738" spans="19:27" x14ac:dyDescent="0.2">
      <c r="S2738" s="165"/>
      <c r="T2738" s="166"/>
      <c r="W2738" s="199" t="str">
        <f t="shared" si="51"/>
        <v>1w</v>
      </c>
      <c r="X2738" s="200">
        <f>_xll.qlCalendarAdvance(Calendar,X2737,W2738,"f",FALSE)</f>
        <v>58028</v>
      </c>
      <c r="Y2738" s="204">
        <f>_xll.qlCalendarAdvance(Calendar,X2738,NDays&amp;"D")</f>
        <v>58032</v>
      </c>
      <c r="Z2738" s="205">
        <v>3.0654419908465513E-2</v>
      </c>
      <c r="AA2738" s="207">
        <v>3.0624934981879903E-2</v>
      </c>
    </row>
    <row r="2739" spans="19:27" x14ac:dyDescent="0.2">
      <c r="S2739" s="165"/>
      <c r="T2739" s="166"/>
      <c r="W2739" s="199" t="str">
        <f t="shared" si="51"/>
        <v>1w</v>
      </c>
      <c r="X2739" s="200">
        <f>_xll.qlCalendarAdvance(Calendar,X2738,W2739,"f",FALSE)</f>
        <v>58035</v>
      </c>
      <c r="Y2739" s="204">
        <f>_xll.qlCalendarAdvance(Calendar,X2739,NDays&amp;"D")</f>
        <v>58039</v>
      </c>
      <c r="Z2739" s="205">
        <v>3.0651722378705615E-2</v>
      </c>
      <c r="AA2739" s="207">
        <v>3.062027353521124E-2</v>
      </c>
    </row>
    <row r="2740" spans="19:27" x14ac:dyDescent="0.2">
      <c r="S2740" s="165"/>
      <c r="T2740" s="166"/>
      <c r="W2740" s="199" t="str">
        <f t="shared" si="51"/>
        <v>1w</v>
      </c>
      <c r="X2740" s="200">
        <f>_xll.qlCalendarAdvance(Calendar,X2739,W2740,"f",FALSE)</f>
        <v>58042</v>
      </c>
      <c r="Y2740" s="204">
        <f>_xll.qlCalendarAdvance(Calendar,X2740,NDays&amp;"D")</f>
        <v>58046</v>
      </c>
      <c r="Z2740" s="205">
        <v>3.064612135498998E-2</v>
      </c>
      <c r="AA2740" s="207">
        <v>3.0615628075993939E-2</v>
      </c>
    </row>
    <row r="2741" spans="19:27" x14ac:dyDescent="0.2">
      <c r="S2741" s="165"/>
      <c r="T2741" s="166"/>
      <c r="W2741" s="199" t="str">
        <f t="shared" si="51"/>
        <v>1w</v>
      </c>
      <c r="X2741" s="200">
        <f>_xll.qlCalendarAdvance(Calendar,X2740,W2741,"f",FALSE)</f>
        <v>58049</v>
      </c>
      <c r="Y2741" s="204">
        <f>_xll.qlCalendarAdvance(Calendar,X2741,NDays&amp;"D")</f>
        <v>58053</v>
      </c>
      <c r="Z2741" s="205">
        <v>3.0641509828190843E-2</v>
      </c>
      <c r="AA2741" s="207">
        <v>3.0610998604228001E-2</v>
      </c>
    </row>
    <row r="2742" spans="19:27" x14ac:dyDescent="0.2">
      <c r="S2742" s="165"/>
      <c r="T2742" s="166"/>
      <c r="W2742" s="199" t="str">
        <f t="shared" si="51"/>
        <v>1w</v>
      </c>
      <c r="X2742" s="200">
        <f>_xll.qlCalendarAdvance(Calendar,X2741,W2742,"f",FALSE)</f>
        <v>58056</v>
      </c>
      <c r="Y2742" s="204">
        <f>_xll.qlCalendarAdvance(Calendar,X2742,NDays&amp;"D")</f>
        <v>58060</v>
      </c>
      <c r="Z2742" s="205">
        <v>3.0636914331353585E-2</v>
      </c>
      <c r="AA2742" s="207">
        <v>3.060638511943381E-2</v>
      </c>
    </row>
    <row r="2743" spans="19:27" x14ac:dyDescent="0.2">
      <c r="S2743" s="165"/>
      <c r="T2743" s="166"/>
      <c r="W2743" s="199" t="str">
        <f t="shared" si="51"/>
        <v>1w</v>
      </c>
      <c r="X2743" s="200">
        <f>_xll.qlCalendarAdvance(Calendar,X2742,W2743,"f",FALSE)</f>
        <v>58063</v>
      </c>
      <c r="Y2743" s="204">
        <f>_xll.qlCalendarAdvance(Calendar,X2743,NDays&amp;"D")</f>
        <v>58067</v>
      </c>
      <c r="Z2743" s="205">
        <v>3.0632334864467883E-2</v>
      </c>
      <c r="AA2743" s="207">
        <v>3.0602423312817706E-2</v>
      </c>
    </row>
    <row r="2744" spans="19:27" x14ac:dyDescent="0.2">
      <c r="S2744" s="165"/>
      <c r="T2744" s="166"/>
      <c r="W2744" s="199" t="str">
        <f t="shared" si="51"/>
        <v>1w</v>
      </c>
      <c r="X2744" s="200">
        <f>_xll.qlCalendarAdvance(Calendar,X2743,W2744,"f",FALSE)</f>
        <v>58071</v>
      </c>
      <c r="Y2744" s="204">
        <f>_xll.qlCalendarAdvance(Calendar,X2744,NDays&amp;"D")</f>
        <v>58075</v>
      </c>
      <c r="Z2744" s="205">
        <v>3.0627120816500306E-2</v>
      </c>
      <c r="AA2744" s="207">
        <v>3.0597847877107398E-2</v>
      </c>
    </row>
    <row r="2745" spans="19:27" x14ac:dyDescent="0.2">
      <c r="S2745" s="165"/>
      <c r="T2745" s="166"/>
      <c r="W2745" s="199" t="str">
        <f t="shared" si="51"/>
        <v>1w</v>
      </c>
      <c r="X2745" s="200">
        <f>_xll.qlCalendarAdvance(Calendar,X2744,W2745,"f",FALSE)</f>
        <v>58078</v>
      </c>
      <c r="Y2745" s="204">
        <f>_xll.qlCalendarAdvance(Calendar,X2745,NDays&amp;"D")</f>
        <v>58082</v>
      </c>
      <c r="Z2745" s="205">
        <v>3.0622575699425343E-2</v>
      </c>
      <c r="AA2745" s="207">
        <v>3.059198967787502E-2</v>
      </c>
    </row>
    <row r="2746" spans="19:27" x14ac:dyDescent="0.2">
      <c r="S2746" s="165"/>
      <c r="T2746" s="166"/>
      <c r="W2746" s="199" t="str">
        <f t="shared" si="51"/>
        <v>1w</v>
      </c>
      <c r="X2746" s="200">
        <f>_xll.qlCalendarAdvance(Calendar,X2745,W2746,"f",FALSE)</f>
        <v>58085</v>
      </c>
      <c r="Y2746" s="204">
        <f>_xll.qlCalendarAdvance(Calendar,X2746,NDays&amp;"D")</f>
        <v>58089</v>
      </c>
      <c r="Z2746" s="205">
        <v>3.0618046612242631E-2</v>
      </c>
      <c r="AA2746" s="207">
        <v>3.0587442426899258E-2</v>
      </c>
    </row>
    <row r="2747" spans="19:27" x14ac:dyDescent="0.2">
      <c r="S2747" s="165"/>
      <c r="T2747" s="166"/>
      <c r="W2747" s="199" t="str">
        <f t="shared" si="51"/>
        <v>1w</v>
      </c>
      <c r="X2747" s="200">
        <f>_xll.qlCalendarAdvance(Calendar,X2746,W2747,"f",FALSE)</f>
        <v>58092</v>
      </c>
      <c r="Y2747" s="204">
        <f>_xll.qlCalendarAdvance(Calendar,X2747,NDays&amp;"D")</f>
        <v>58096</v>
      </c>
      <c r="Z2747" s="205">
        <v>3.0613533554918651E-2</v>
      </c>
      <c r="AA2747" s="207">
        <v>3.0582911162975179E-2</v>
      </c>
    </row>
    <row r="2748" spans="19:27" x14ac:dyDescent="0.2">
      <c r="S2748" s="165"/>
      <c r="T2748" s="166"/>
      <c r="W2748" s="199" t="str">
        <f t="shared" si="51"/>
        <v>1w</v>
      </c>
      <c r="X2748" s="200">
        <f>_xll.qlCalendarAdvance(Calendar,X2747,W2748,"f",FALSE)</f>
        <v>58099</v>
      </c>
      <c r="Y2748" s="204">
        <f>_xll.qlCalendarAdvance(Calendar,X2748,NDays&amp;"D")</f>
        <v>58103</v>
      </c>
      <c r="Z2748" s="205">
        <v>3.0609036527448244E-2</v>
      </c>
      <c r="AA2748" s="207">
        <v>3.0578395886742271E-2</v>
      </c>
    </row>
    <row r="2749" spans="19:27" x14ac:dyDescent="0.2">
      <c r="S2749" s="165"/>
      <c r="T2749" s="166"/>
      <c r="W2749" s="199" t="str">
        <f t="shared" si="51"/>
        <v>1w</v>
      </c>
      <c r="X2749" s="200">
        <f>_xll.qlCalendarAdvance(Calendar,X2748,W2749,"f",FALSE)</f>
        <v>58106</v>
      </c>
      <c r="Y2749" s="204">
        <f>_xll.qlCalendarAdvance(Calendar,X2749,NDays&amp;"D")</f>
        <v>58110</v>
      </c>
      <c r="Z2749" s="205">
        <v>3.0601612831351956E-2</v>
      </c>
      <c r="AA2749" s="207">
        <v>3.0573896597720918E-2</v>
      </c>
    </row>
    <row r="2750" spans="19:27" x14ac:dyDescent="0.2">
      <c r="S2750" s="165"/>
      <c r="T2750" s="166"/>
      <c r="W2750" s="199" t="str">
        <f t="shared" si="51"/>
        <v>1w</v>
      </c>
      <c r="X2750" s="200">
        <f>_xll.qlCalendarAdvance(Calendar,X2749,W2750,"f",FALSE)</f>
        <v>58113</v>
      </c>
      <c r="Y2750" s="204">
        <f>_xll.qlCalendarAdvance(Calendar,X2750,NDays&amp;"D")</f>
        <v>58117</v>
      </c>
      <c r="Z2750" s="205">
        <v>3.0597145566485358E-2</v>
      </c>
      <c r="AA2750" s="207">
        <v>3.0569413296230863E-2</v>
      </c>
    </row>
    <row r="2751" spans="19:27" x14ac:dyDescent="0.2">
      <c r="S2751" s="165"/>
      <c r="T2751" s="166"/>
      <c r="W2751" s="199" t="str">
        <f t="shared" si="51"/>
        <v>1w</v>
      </c>
      <c r="X2751" s="200">
        <f>_xll.qlCalendarAdvance(Calendar,X2750,W2751,"f",FALSE)</f>
        <v>58120</v>
      </c>
      <c r="Y2751" s="204">
        <f>_xll.qlCalendarAdvance(Calendar,X2751,NDays&amp;"D")</f>
        <v>58124</v>
      </c>
      <c r="Z2751" s="205">
        <v>3.059269432716822E-2</v>
      </c>
      <c r="AA2751" s="207">
        <v>3.0564945981872427E-2</v>
      </c>
    </row>
    <row r="2752" spans="19:27" x14ac:dyDescent="0.2">
      <c r="S2752" s="165"/>
      <c r="T2752" s="166"/>
      <c r="W2752" s="199" t="str">
        <f t="shared" si="51"/>
        <v>1w</v>
      </c>
      <c r="X2752" s="200">
        <f>_xll.qlCalendarAdvance(Calendar,X2751,W2752,"f",FALSE)</f>
        <v>58127</v>
      </c>
      <c r="Y2752" s="204">
        <f>_xll.qlCalendarAdvance(Calendar,X2752,NDays&amp;"D")</f>
        <v>58131</v>
      </c>
      <c r="Z2752" s="205">
        <v>3.0588259113386265E-2</v>
      </c>
      <c r="AA2752" s="207">
        <v>3.0560494655205162E-2</v>
      </c>
    </row>
    <row r="2753" spans="19:27" x14ac:dyDescent="0.2">
      <c r="S2753" s="165"/>
      <c r="T2753" s="166"/>
      <c r="W2753" s="199" t="str">
        <f t="shared" si="51"/>
        <v>1w</v>
      </c>
      <c r="X2753" s="200">
        <f>_xll.qlCalendarAdvance(Calendar,X2752,W2753,"f",FALSE)</f>
        <v>58134</v>
      </c>
      <c r="Y2753" s="204">
        <f>_xll.qlCalendarAdvance(Calendar,X2753,NDays&amp;"D")</f>
        <v>58138</v>
      </c>
      <c r="Z2753" s="205">
        <v>3.0586791837167494E-2</v>
      </c>
      <c r="AA2753" s="207">
        <v>3.0556059315669515E-2</v>
      </c>
    </row>
    <row r="2754" spans="19:27" x14ac:dyDescent="0.2">
      <c r="S2754" s="165"/>
      <c r="T2754" s="166"/>
      <c r="W2754" s="199" t="str">
        <f t="shared" si="51"/>
        <v>1w</v>
      </c>
      <c r="X2754" s="200">
        <f>_xll.qlCalendarAdvance(Calendar,X2753,W2754,"f",FALSE)</f>
        <v>58141</v>
      </c>
      <c r="Y2754" s="204">
        <f>_xll.qlCalendarAdvance(Calendar,X2754,NDays&amp;"D")</f>
        <v>58145</v>
      </c>
      <c r="Z2754" s="205">
        <v>3.0582390988395641E-2</v>
      </c>
      <c r="AA2754" s="207">
        <v>3.0551639963505295E-2</v>
      </c>
    </row>
    <row r="2755" spans="19:27" x14ac:dyDescent="0.2">
      <c r="S2755" s="165"/>
      <c r="T2755" s="166"/>
      <c r="W2755" s="199" t="str">
        <f t="shared" si="51"/>
        <v>1w</v>
      </c>
      <c r="X2755" s="200">
        <f>_xll.qlCalendarAdvance(Calendar,X2754,W2755,"f",FALSE)</f>
        <v>58148</v>
      </c>
      <c r="Y2755" s="204">
        <f>_xll.qlCalendarAdvance(Calendar,X2755,NDays&amp;"D")</f>
        <v>58152</v>
      </c>
      <c r="Z2755" s="205">
        <v>3.0578006169343273E-2</v>
      </c>
      <c r="AA2755" s="207">
        <v>3.0547236598792438E-2</v>
      </c>
    </row>
    <row r="2756" spans="19:27" x14ac:dyDescent="0.2">
      <c r="S2756" s="165"/>
      <c r="T2756" s="166"/>
      <c r="W2756" s="199" t="str">
        <f t="shared" si="51"/>
        <v>1w</v>
      </c>
      <c r="X2756" s="200">
        <f>_xll.qlCalendarAdvance(Calendar,X2755,W2756,"f",FALSE)</f>
        <v>58155</v>
      </c>
      <c r="Y2756" s="204">
        <f>_xll.qlCalendarAdvance(Calendar,X2756,NDays&amp;"D")</f>
        <v>58159</v>
      </c>
      <c r="Z2756" s="205">
        <v>3.0573637379994925E-2</v>
      </c>
      <c r="AA2756" s="207">
        <v>3.054678155013768E-2</v>
      </c>
    </row>
    <row r="2757" spans="19:27" x14ac:dyDescent="0.2">
      <c r="S2757" s="165"/>
      <c r="T2757" s="166"/>
      <c r="W2757" s="199" t="str">
        <f t="shared" si="51"/>
        <v>1w</v>
      </c>
      <c r="X2757" s="200">
        <f>_xll.qlCalendarAdvance(Calendar,X2756,W2757,"f",FALSE)</f>
        <v>58166</v>
      </c>
      <c r="Y2757" s="204">
        <f>_xll.qlCalendarAdvance(Calendar,X2757,NDays&amp;"D")</f>
        <v>58168</v>
      </c>
      <c r="Z2757" s="205">
        <v>3.0570019141195365E-2</v>
      </c>
      <c r="AA2757" s="207">
        <v>3.0535987072441984E-2</v>
      </c>
    </row>
    <row r="2758" spans="19:27" x14ac:dyDescent="0.2">
      <c r="S2758" s="165"/>
      <c r="T2758" s="166"/>
      <c r="W2758" s="199" t="str">
        <f t="shared" si="51"/>
        <v>1w</v>
      </c>
      <c r="X2758" s="200">
        <f>_xll.qlCalendarAdvance(Calendar,X2757,W2758,"f",FALSE)</f>
        <v>58173</v>
      </c>
      <c r="Y2758" s="204">
        <f>_xll.qlCalendarAdvance(Calendar,X2758,NDays&amp;"D")</f>
        <v>58175</v>
      </c>
      <c r="Z2758" s="205">
        <v>3.0564700092705899E-2</v>
      </c>
      <c r="AA2758" s="207">
        <v>3.0531640805575577E-2</v>
      </c>
    </row>
    <row r="2759" spans="19:27" x14ac:dyDescent="0.2">
      <c r="S2759" s="165"/>
      <c r="T2759" s="166"/>
      <c r="W2759" s="199" t="str">
        <f t="shared" si="51"/>
        <v>1w</v>
      </c>
      <c r="X2759" s="200">
        <f>_xll.qlCalendarAdvance(Calendar,X2758,W2759,"f",FALSE)</f>
        <v>58180</v>
      </c>
      <c r="Y2759" s="204">
        <f>_xll.qlCalendarAdvance(Calendar,X2759,NDays&amp;"D")</f>
        <v>58182</v>
      </c>
      <c r="Z2759" s="205">
        <v>3.0560384751384118E-2</v>
      </c>
      <c r="AA2759" s="207">
        <v>3.0527310525920726E-2</v>
      </c>
    </row>
    <row r="2760" spans="19:27" x14ac:dyDescent="0.2">
      <c r="S2760" s="165"/>
      <c r="T2760" s="166"/>
      <c r="W2760" s="199" t="str">
        <f t="shared" si="51"/>
        <v>1w</v>
      </c>
      <c r="X2760" s="200">
        <f>_xll.qlCalendarAdvance(Calendar,X2759,W2760,"f",FALSE)</f>
        <v>58187</v>
      </c>
      <c r="Y2760" s="204">
        <f>_xll.qlCalendarAdvance(Calendar,X2760,NDays&amp;"D")</f>
        <v>58189</v>
      </c>
      <c r="Z2760" s="205">
        <v>3.0557075455099086E-2</v>
      </c>
      <c r="AA2760" s="207">
        <v>3.0522996233637301E-2</v>
      </c>
    </row>
    <row r="2761" spans="19:27" x14ac:dyDescent="0.2">
      <c r="S2761" s="165"/>
      <c r="T2761" s="166"/>
      <c r="W2761" s="199" t="str">
        <f t="shared" si="51"/>
        <v>1w</v>
      </c>
      <c r="X2761" s="200">
        <f>_xll.qlCalendarAdvance(Calendar,X2760,W2761,"f",FALSE)</f>
        <v>58194</v>
      </c>
      <c r="Y2761" s="204">
        <f>_xll.qlCalendarAdvance(Calendar,X2761,NDays&amp;"D")</f>
        <v>58196</v>
      </c>
      <c r="Z2761" s="205">
        <v>3.0551802161810082E-2</v>
      </c>
      <c r="AA2761" s="207">
        <v>3.0518085190465172E-2</v>
      </c>
    </row>
    <row r="2762" spans="19:27" x14ac:dyDescent="0.2">
      <c r="S2762" s="165"/>
      <c r="T2762" s="166"/>
      <c r="W2762" s="199" t="str">
        <f t="shared" si="51"/>
        <v>1w</v>
      </c>
      <c r="X2762" s="200">
        <f>_xll.qlCalendarAdvance(Calendar,X2761,W2762,"f",FALSE)</f>
        <v>58201</v>
      </c>
      <c r="Y2762" s="204">
        <f>_xll.qlCalendarAdvance(Calendar,X2762,NDays&amp;"D")</f>
        <v>58203</v>
      </c>
      <c r="Z2762" s="205">
        <v>3.0547534913527852E-2</v>
      </c>
      <c r="AA2762" s="207">
        <v>3.0514415611424539E-2</v>
      </c>
    </row>
    <row r="2763" spans="19:27" x14ac:dyDescent="0.2">
      <c r="S2763" s="165"/>
      <c r="T2763" s="166"/>
      <c r="W2763" s="199" t="str">
        <f t="shared" si="51"/>
        <v>1w</v>
      </c>
      <c r="X2763" s="200">
        <f>_xll.qlCalendarAdvance(Calendar,X2762,W2763,"f",FALSE)</f>
        <v>58208</v>
      </c>
      <c r="Y2763" s="204">
        <f>_xll.qlCalendarAdvance(Calendar,X2763,NDays&amp;"D")</f>
        <v>58210</v>
      </c>
      <c r="Z2763" s="205">
        <v>3.0543283696229662E-2</v>
      </c>
      <c r="AA2763" s="207">
        <v>3.0510149281255394E-2</v>
      </c>
    </row>
    <row r="2764" spans="19:27" x14ac:dyDescent="0.2">
      <c r="S2764" s="165"/>
      <c r="T2764" s="166"/>
      <c r="W2764" s="199" t="str">
        <f t="shared" si="51"/>
        <v>1w</v>
      </c>
      <c r="X2764" s="200">
        <f>_xll.qlCalendarAdvance(Calendar,X2763,W2764,"f",FALSE)</f>
        <v>58215</v>
      </c>
      <c r="Y2764" s="204">
        <f>_xll.qlCalendarAdvance(Calendar,X2764,NDays&amp;"D")</f>
        <v>58217</v>
      </c>
      <c r="Z2764" s="205">
        <v>3.0539048509888034E-2</v>
      </c>
      <c r="AA2764" s="207">
        <v>3.0505293051916738E-2</v>
      </c>
    </row>
    <row r="2765" spans="19:27" x14ac:dyDescent="0.2">
      <c r="S2765" s="165"/>
      <c r="T2765" s="166"/>
      <c r="W2765" s="199" t="str">
        <f t="shared" si="51"/>
        <v>1w</v>
      </c>
      <c r="X2765" s="200">
        <f>_xll.qlCalendarAdvance(Calendar,X2764,W2765,"f",FALSE)</f>
        <v>58222</v>
      </c>
      <c r="Y2765" s="204">
        <f>_xll.qlCalendarAdvance(Calendar,X2765,NDays&amp;"D")</f>
        <v>58224</v>
      </c>
      <c r="Z2765" s="205">
        <v>3.053482935448798E-2</v>
      </c>
      <c r="AA2765" s="207">
        <v>3.0501664583271193E-2</v>
      </c>
    </row>
    <row r="2766" spans="19:27" x14ac:dyDescent="0.2">
      <c r="S2766" s="165"/>
      <c r="T2766" s="166"/>
      <c r="W2766" s="199" t="str">
        <f t="shared" si="51"/>
        <v>1w</v>
      </c>
      <c r="X2766" s="200">
        <f>_xll.qlCalendarAdvance(Calendar,X2765,W2766,"f",FALSE)</f>
        <v>58229</v>
      </c>
      <c r="Y2766" s="204">
        <f>_xll.qlCalendarAdvance(Calendar,X2766,NDays&amp;"D")</f>
        <v>58231</v>
      </c>
      <c r="Z2766" s="205">
        <v>3.0530626230014513E-2</v>
      </c>
      <c r="AA2766" s="207">
        <v>3.0497446215296264E-2</v>
      </c>
    </row>
    <row r="2767" spans="19:27" x14ac:dyDescent="0.2">
      <c r="S2767" s="165"/>
      <c r="T2767" s="166"/>
      <c r="W2767" s="199" t="str">
        <f t="shared" si="51"/>
        <v>1w</v>
      </c>
      <c r="X2767" s="200">
        <f>_xll.qlCalendarAdvance(Calendar,X2766,W2767,"f",FALSE)</f>
        <v>58236</v>
      </c>
      <c r="Y2767" s="204">
        <f>_xll.qlCalendarAdvance(Calendar,X2767,NDays&amp;"D")</f>
        <v>58238</v>
      </c>
      <c r="Z2767" s="205">
        <v>3.0526439136452643E-2</v>
      </c>
      <c r="AA2767" s="207">
        <v>3.0493243834612827E-2</v>
      </c>
    </row>
    <row r="2768" spans="19:27" x14ac:dyDescent="0.2">
      <c r="S2768" s="165"/>
      <c r="T2768" s="166"/>
      <c r="W2768" s="199" t="str">
        <f t="shared" si="51"/>
        <v>1w</v>
      </c>
      <c r="X2768" s="200">
        <f>_xll.qlCalendarAdvance(Calendar,X2767,W2768,"f",FALSE)</f>
        <v>58243</v>
      </c>
      <c r="Y2768" s="204">
        <f>_xll.qlCalendarAdvance(Calendar,X2768,NDays&amp;"D")</f>
        <v>58245</v>
      </c>
      <c r="Z2768" s="205">
        <v>3.0522268073774894E-2</v>
      </c>
      <c r="AA2768" s="207">
        <v>3.0489057441380751E-2</v>
      </c>
    </row>
    <row r="2769" spans="19:27" x14ac:dyDescent="0.2">
      <c r="S2769" s="165"/>
      <c r="T2769" s="166"/>
      <c r="W2769" s="199" t="str">
        <f t="shared" si="51"/>
        <v>1w</v>
      </c>
      <c r="X2769" s="200">
        <f>_xll.qlCalendarAdvance(Calendar,X2768,W2769,"f",FALSE)</f>
        <v>58250</v>
      </c>
      <c r="Y2769" s="204">
        <f>_xll.qlCalendarAdvance(Calendar,X2769,NDays&amp;"D")</f>
        <v>58252</v>
      </c>
      <c r="Z2769" s="205">
        <v>3.0518113041963779E-2</v>
      </c>
      <c r="AA2769" s="207">
        <v>3.0484887035520103E-2</v>
      </c>
    </row>
    <row r="2770" spans="19:27" x14ac:dyDescent="0.2">
      <c r="S2770" s="165"/>
      <c r="T2770" s="166"/>
      <c r="W2770" s="199" t="str">
        <f t="shared" si="51"/>
        <v>1w</v>
      </c>
      <c r="X2770" s="200">
        <f>_xll.qlCalendarAdvance(Calendar,X2769,W2770,"f",FALSE)</f>
        <v>58257</v>
      </c>
      <c r="Y2770" s="204">
        <f>_xll.qlCalendarAdvance(Calendar,X2770,NDays&amp;"D")</f>
        <v>58259</v>
      </c>
      <c r="Z2770" s="205">
        <v>3.0513974041011804E-2</v>
      </c>
      <c r="AA2770" s="207">
        <v>3.0480732616950945E-2</v>
      </c>
    </row>
    <row r="2771" spans="19:27" x14ac:dyDescent="0.2">
      <c r="S2771" s="165"/>
      <c r="T2771" s="166"/>
      <c r="W2771" s="199" t="str">
        <f t="shared" si="51"/>
        <v>1w</v>
      </c>
      <c r="X2771" s="200">
        <f>_xll.qlCalendarAdvance(Calendar,X2770,W2771,"f",FALSE)</f>
        <v>58264</v>
      </c>
      <c r="Y2771" s="204">
        <f>_xll.qlCalendarAdvance(Calendar,X2771,NDays&amp;"D")</f>
        <v>58266</v>
      </c>
      <c r="Z2771" s="205">
        <v>3.0509851070896488E-2</v>
      </c>
      <c r="AA2771" s="207">
        <v>3.0476594185673278E-2</v>
      </c>
    </row>
    <row r="2772" spans="19:27" x14ac:dyDescent="0.2">
      <c r="S2772" s="165"/>
      <c r="T2772" s="166"/>
      <c r="W2772" s="199" t="str">
        <f t="shared" si="51"/>
        <v>1w</v>
      </c>
      <c r="X2772" s="200">
        <f>_xll.qlCalendarAdvance(Calendar,X2771,W2772,"f",FALSE)</f>
        <v>58271</v>
      </c>
      <c r="Y2772" s="204">
        <f>_xll.qlCalendarAdvance(Calendar,X2772,NDays&amp;"D")</f>
        <v>58273</v>
      </c>
      <c r="Z2772" s="205">
        <v>3.0505744131592849E-2</v>
      </c>
      <c r="AA2772" s="207">
        <v>3.047247174192691E-2</v>
      </c>
    </row>
    <row r="2773" spans="19:27" x14ac:dyDescent="0.2">
      <c r="S2773" s="165"/>
      <c r="T2773" s="166"/>
      <c r="W2773" s="199" t="str">
        <f t="shared" ref="W2773:W2836" si="52">W2772</f>
        <v>1w</v>
      </c>
      <c r="X2773" s="200">
        <f>_xll.qlCalendarAdvance(Calendar,X2772,W2773,"f",FALSE)</f>
        <v>58278</v>
      </c>
      <c r="Y2773" s="204">
        <f>_xll.qlCalendarAdvance(Calendar,X2773,NDays&amp;"D")</f>
        <v>58280</v>
      </c>
      <c r="Z2773" s="205">
        <v>3.0502653514314918E-2</v>
      </c>
      <c r="AA2773" s="207">
        <v>3.0468365285551968E-2</v>
      </c>
    </row>
    <row r="2774" spans="19:27" x14ac:dyDescent="0.2">
      <c r="S2774" s="165"/>
      <c r="T2774" s="166"/>
      <c r="W2774" s="199" t="str">
        <f t="shared" si="52"/>
        <v>1w</v>
      </c>
      <c r="X2774" s="200">
        <f>_xll.qlCalendarAdvance(Calendar,X2773,W2774,"f",FALSE)</f>
        <v>58285</v>
      </c>
      <c r="Y2774" s="204">
        <f>_xll.qlCalendarAdvance(Calendar,X2774,NDays&amp;"D")</f>
        <v>58287</v>
      </c>
      <c r="Z2774" s="205">
        <v>3.0494575867618102E-2</v>
      </c>
      <c r="AA2774" s="207">
        <v>3.0464274816468517E-2</v>
      </c>
    </row>
    <row r="2775" spans="19:27" x14ac:dyDescent="0.2">
      <c r="S2775" s="165"/>
      <c r="T2775" s="166"/>
      <c r="W2775" s="199" t="str">
        <f t="shared" si="52"/>
        <v>1w</v>
      </c>
      <c r="X2775" s="200">
        <f>_xll.qlCalendarAdvance(Calendar,X2774,W2775,"f",FALSE)</f>
        <v>58292</v>
      </c>
      <c r="Y2775" s="204">
        <f>_xll.qlCalendarAdvance(Calendar,X2775,NDays&amp;"D")</f>
        <v>58294</v>
      </c>
      <c r="Z2775" s="205">
        <v>3.0493519498434596E-2</v>
      </c>
      <c r="AA2775" s="207">
        <v>3.0460200334676557E-2</v>
      </c>
    </row>
    <row r="2776" spans="19:27" x14ac:dyDescent="0.2">
      <c r="S2776" s="165"/>
      <c r="T2776" s="166"/>
      <c r="W2776" s="199" t="str">
        <f t="shared" si="52"/>
        <v>1w</v>
      </c>
      <c r="X2776" s="200">
        <f>_xll.qlCalendarAdvance(Calendar,X2775,W2776,"f",FALSE)</f>
        <v>58299</v>
      </c>
      <c r="Y2776" s="204">
        <f>_xll.qlCalendarAdvance(Calendar,X2776,NDays&amp;"D")</f>
        <v>58301</v>
      </c>
      <c r="Z2776" s="205">
        <v>3.0489476682232786E-2</v>
      </c>
      <c r="AA2776" s="207">
        <v>3.0456141840495832E-2</v>
      </c>
    </row>
    <row r="2777" spans="19:27" x14ac:dyDescent="0.2">
      <c r="S2777" s="165"/>
      <c r="T2777" s="166"/>
      <c r="W2777" s="199" t="str">
        <f t="shared" si="52"/>
        <v>1w</v>
      </c>
      <c r="X2777" s="200">
        <f>_xll.qlCalendarAdvance(Calendar,X2776,W2777,"f",FALSE)</f>
        <v>58306</v>
      </c>
      <c r="Y2777" s="204">
        <f>_xll.qlCalendarAdvance(Calendar,X2777,NDays&amp;"D")</f>
        <v>58308</v>
      </c>
      <c r="Z2777" s="205">
        <v>3.0485449896762717E-2</v>
      </c>
      <c r="AA2777" s="207">
        <v>3.0451523137555725E-2</v>
      </c>
    </row>
    <row r="2778" spans="19:27" x14ac:dyDescent="0.2">
      <c r="S2778" s="165"/>
      <c r="T2778" s="166"/>
      <c r="W2778" s="199" t="str">
        <f t="shared" si="52"/>
        <v>1w</v>
      </c>
      <c r="X2778" s="200">
        <f>_xll.qlCalendarAdvance(Calendar,X2777,W2778,"f",FALSE)</f>
        <v>58313</v>
      </c>
      <c r="Y2778" s="204">
        <f>_xll.qlCalendarAdvance(Calendar,X2778,NDays&amp;"D")</f>
        <v>58315</v>
      </c>
      <c r="Z2778" s="205">
        <v>3.0481439142011901E-2</v>
      </c>
      <c r="AA2778" s="207">
        <v>3.0448072813689109E-2</v>
      </c>
    </row>
    <row r="2779" spans="19:27" x14ac:dyDescent="0.2">
      <c r="S2779" s="165"/>
      <c r="T2779" s="166"/>
      <c r="W2779" s="199" t="str">
        <f t="shared" si="52"/>
        <v>1w</v>
      </c>
      <c r="X2779" s="200">
        <f>_xll.qlCalendarAdvance(Calendar,X2778,W2779,"f",FALSE)</f>
        <v>58320</v>
      </c>
      <c r="Y2779" s="204">
        <f>_xll.qlCalendarAdvance(Calendar,X2779,NDays&amp;"D")</f>
        <v>58322</v>
      </c>
      <c r="Z2779" s="205">
        <v>3.0477444417952859E-2</v>
      </c>
      <c r="AA2779" s="207">
        <v>3.0444062281462791E-2</v>
      </c>
    </row>
    <row r="2780" spans="19:27" x14ac:dyDescent="0.2">
      <c r="S2780" s="165"/>
      <c r="T2780" s="166"/>
      <c r="W2780" s="199" t="str">
        <f t="shared" si="52"/>
        <v>1w</v>
      </c>
      <c r="X2780" s="200">
        <f>_xll.qlCalendarAdvance(Calendar,X2779,W2780,"f",FALSE)</f>
        <v>58327</v>
      </c>
      <c r="Y2780" s="204">
        <f>_xll.qlCalendarAdvance(Calendar,X2780,NDays&amp;"D")</f>
        <v>58329</v>
      </c>
      <c r="Z2780" s="205">
        <v>3.0474471647845357E-2</v>
      </c>
      <c r="AA2780" s="207">
        <v>3.0440067736607901E-2</v>
      </c>
    </row>
    <row r="2781" spans="19:27" x14ac:dyDescent="0.2">
      <c r="S2781" s="165"/>
      <c r="T2781" s="166"/>
      <c r="W2781" s="199" t="str">
        <f t="shared" si="52"/>
        <v>1w</v>
      </c>
      <c r="X2781" s="200">
        <f>_xll.qlCalendarAdvance(Calendar,X2780,W2781,"f",FALSE)</f>
        <v>58334</v>
      </c>
      <c r="Y2781" s="204">
        <f>_xll.qlCalendarAdvance(Calendar,X2781,NDays&amp;"D")</f>
        <v>58336</v>
      </c>
      <c r="Z2781" s="205">
        <v>3.0469503061860137E-2</v>
      </c>
      <c r="AA2781" s="207">
        <v>3.0436089179124437E-2</v>
      </c>
    </row>
    <row r="2782" spans="19:27" x14ac:dyDescent="0.2">
      <c r="S2782" s="165"/>
      <c r="T2782" s="166"/>
      <c r="W2782" s="199" t="str">
        <f t="shared" si="52"/>
        <v>1w</v>
      </c>
      <c r="X2782" s="200">
        <f>_xll.qlCalendarAdvance(Calendar,X2781,W2782,"f",FALSE)</f>
        <v>58341</v>
      </c>
      <c r="Y2782" s="204">
        <f>_xll.qlCalendarAdvance(Calendar,X2782,NDays&amp;"D")</f>
        <v>58343</v>
      </c>
      <c r="Z2782" s="205">
        <v>3.0465556429793983E-2</v>
      </c>
      <c r="AA2782" s="207">
        <v>3.0432126608932464E-2</v>
      </c>
    </row>
    <row r="2783" spans="19:27" x14ac:dyDescent="0.2">
      <c r="S2783" s="165"/>
      <c r="T2783" s="166"/>
      <c r="W2783" s="199" t="str">
        <f t="shared" si="52"/>
        <v>1w</v>
      </c>
      <c r="X2783" s="200">
        <f>_xll.qlCalendarAdvance(Calendar,X2782,W2783,"f",FALSE)</f>
        <v>58348</v>
      </c>
      <c r="Y2783" s="204">
        <f>_xll.qlCalendarAdvance(Calendar,X2783,NDays&amp;"D")</f>
        <v>58350</v>
      </c>
      <c r="Z2783" s="205">
        <v>3.0461625828352157E-2</v>
      </c>
      <c r="AA2783" s="207">
        <v>3.0428180026111917E-2</v>
      </c>
    </row>
    <row r="2784" spans="19:27" x14ac:dyDescent="0.2">
      <c r="S2784" s="165"/>
      <c r="T2784" s="166"/>
      <c r="W2784" s="199" t="str">
        <f t="shared" si="52"/>
        <v>1w</v>
      </c>
      <c r="X2784" s="200">
        <f>_xll.qlCalendarAdvance(Calendar,X2783,W2784,"f",FALSE)</f>
        <v>58355</v>
      </c>
      <c r="Y2784" s="204">
        <f>_xll.qlCalendarAdvance(Calendar,X2784,NDays&amp;"D")</f>
        <v>58357</v>
      </c>
      <c r="Z2784" s="205">
        <v>3.0457711257524667E-2</v>
      </c>
      <c r="AA2784" s="207">
        <v>3.0424249430662798E-2</v>
      </c>
    </row>
    <row r="2785" spans="19:27" x14ac:dyDescent="0.2">
      <c r="S2785" s="165"/>
      <c r="T2785" s="166"/>
      <c r="W2785" s="199" t="str">
        <f t="shared" si="52"/>
        <v>1w</v>
      </c>
      <c r="X2785" s="200">
        <f>_xll.qlCalendarAdvance(Calendar,X2784,W2785,"f",FALSE)</f>
        <v>58362</v>
      </c>
      <c r="Y2785" s="204">
        <f>_xll.qlCalendarAdvance(Calendar,X2785,NDays&amp;"D")</f>
        <v>58364</v>
      </c>
      <c r="Z2785" s="205">
        <v>3.0453812717296525E-2</v>
      </c>
      <c r="AA2785" s="207">
        <v>3.0420334822425232E-2</v>
      </c>
    </row>
    <row r="2786" spans="19:27" x14ac:dyDescent="0.2">
      <c r="S2786" s="165"/>
      <c r="T2786" s="166"/>
      <c r="W2786" s="199" t="str">
        <f t="shared" si="52"/>
        <v>1w</v>
      </c>
      <c r="X2786" s="200">
        <f>_xll.qlCalendarAdvance(Calendar,X2785,W2786,"f",FALSE)</f>
        <v>58369</v>
      </c>
      <c r="Y2786" s="204">
        <f>_xll.qlCalendarAdvance(Calendar,X2786,NDays&amp;"D")</f>
        <v>58371</v>
      </c>
      <c r="Z2786" s="205">
        <v>3.0449930207645248E-2</v>
      </c>
      <c r="AA2786" s="207">
        <v>3.041643620163903E-2</v>
      </c>
    </row>
    <row r="2787" spans="19:27" x14ac:dyDescent="0.2">
      <c r="S2787" s="165"/>
      <c r="T2787" s="166"/>
      <c r="W2787" s="199" t="str">
        <f t="shared" si="52"/>
        <v>1w</v>
      </c>
      <c r="X2787" s="200">
        <f>_xll.qlCalendarAdvance(Calendar,X2786,W2787,"f",FALSE)</f>
        <v>58376</v>
      </c>
      <c r="Y2787" s="204">
        <f>_xll.qlCalendarAdvance(Calendar,X2787,NDays&amp;"D")</f>
        <v>58378</v>
      </c>
      <c r="Z2787" s="205">
        <v>3.0443029667518093E-2</v>
      </c>
      <c r="AA2787" s="207">
        <v>3.041255356830419E-2</v>
      </c>
    </row>
    <row r="2788" spans="19:27" x14ac:dyDescent="0.2">
      <c r="S2788" s="165"/>
      <c r="T2788" s="166"/>
      <c r="W2788" s="199" t="str">
        <f t="shared" si="52"/>
        <v>1w</v>
      </c>
      <c r="X2788" s="200">
        <f>_xll.qlCalendarAdvance(Calendar,X2787,W2788,"f",FALSE)</f>
        <v>58383</v>
      </c>
      <c r="Y2788" s="204">
        <f>_xll.qlCalendarAdvance(Calendar,X2788,NDays&amp;"D")</f>
        <v>58385</v>
      </c>
      <c r="Z2788" s="205">
        <v>3.044221328001584E-2</v>
      </c>
      <c r="AA2788" s="207">
        <v>3.0408686922340777E-2</v>
      </c>
    </row>
    <row r="2789" spans="19:27" x14ac:dyDescent="0.2">
      <c r="S2789" s="165"/>
      <c r="T2789" s="166"/>
      <c r="W2789" s="199" t="str">
        <f t="shared" si="52"/>
        <v>1w</v>
      </c>
      <c r="X2789" s="200">
        <f>_xll.qlCalendarAdvance(Calendar,X2788,W2789,"f",FALSE)</f>
        <v>58390</v>
      </c>
      <c r="Y2789" s="204">
        <f>_xll.qlCalendarAdvance(Calendar,X2789,NDays&amp;"D")</f>
        <v>58392</v>
      </c>
      <c r="Z2789" s="205">
        <v>3.0438378862005233E-2</v>
      </c>
      <c r="AA2789" s="207">
        <v>3.0404836263508983E-2</v>
      </c>
    </row>
    <row r="2790" spans="19:27" x14ac:dyDescent="0.2">
      <c r="S2790" s="165"/>
      <c r="T2790" s="166"/>
      <c r="W2790" s="199" t="str">
        <f t="shared" si="52"/>
        <v>1w</v>
      </c>
      <c r="X2790" s="200">
        <f>_xll.qlCalendarAdvance(Calendar,X2789,W2790,"f",FALSE)</f>
        <v>58397</v>
      </c>
      <c r="Y2790" s="204">
        <f>_xll.qlCalendarAdvance(Calendar,X2790,NDays&amp;"D")</f>
        <v>58399</v>
      </c>
      <c r="Z2790" s="205">
        <v>3.0434560474504047E-2</v>
      </c>
      <c r="AA2790" s="207">
        <v>3.0401001592288424E-2</v>
      </c>
    </row>
    <row r="2791" spans="19:27" x14ac:dyDescent="0.2">
      <c r="S2791" s="165"/>
      <c r="T2791" s="166"/>
      <c r="W2791" s="199" t="str">
        <f t="shared" si="52"/>
        <v>1w</v>
      </c>
      <c r="X2791" s="200">
        <f>_xll.qlCalendarAdvance(Calendar,X2790,W2791,"f",FALSE)</f>
        <v>58404</v>
      </c>
      <c r="Y2791" s="204">
        <f>_xll.qlCalendarAdvance(Calendar,X2791,NDays&amp;"D")</f>
        <v>58406</v>
      </c>
      <c r="Z2791" s="205">
        <v>3.0431231262044927E-2</v>
      </c>
      <c r="AA2791" s="207">
        <v>3.0397182908279419E-2</v>
      </c>
    </row>
    <row r="2792" spans="19:27" x14ac:dyDescent="0.2">
      <c r="S2792" s="165"/>
      <c r="T2792" s="166"/>
      <c r="W2792" s="199" t="str">
        <f t="shared" si="52"/>
        <v>1w</v>
      </c>
      <c r="X2792" s="200">
        <f>_xll.qlCalendarAdvance(Calendar,X2791,W2792,"f",FALSE)</f>
        <v>58411</v>
      </c>
      <c r="Y2792" s="204">
        <f>_xll.qlCalendarAdvance(Calendar,X2792,NDays&amp;"D")</f>
        <v>58413</v>
      </c>
      <c r="Z2792" s="205">
        <v>3.0426971790984969E-2</v>
      </c>
      <c r="AA2792" s="207">
        <v>3.0393380211561905E-2</v>
      </c>
    </row>
    <row r="2793" spans="19:27" x14ac:dyDescent="0.2">
      <c r="S2793" s="165"/>
      <c r="T2793" s="166"/>
      <c r="W2793" s="199" t="str">
        <f t="shared" si="52"/>
        <v>1w</v>
      </c>
      <c r="X2793" s="200">
        <f>_xll.qlCalendarAdvance(Calendar,X2792,W2793,"f",FALSE)</f>
        <v>58418</v>
      </c>
      <c r="Y2793" s="204">
        <f>_xll.qlCalendarAdvance(Calendar,X2793,NDays&amp;"D")</f>
        <v>58420</v>
      </c>
      <c r="Z2793" s="205">
        <v>3.0423201494929608E-2</v>
      </c>
      <c r="AA2793" s="207">
        <v>3.0389593502295753E-2</v>
      </c>
    </row>
    <row r="2794" spans="19:27" x14ac:dyDescent="0.2">
      <c r="S2794" s="165"/>
      <c r="T2794" s="166"/>
      <c r="W2794" s="199" t="str">
        <f t="shared" si="52"/>
        <v>1w</v>
      </c>
      <c r="X2794" s="200">
        <f>_xll.qlCalendarAdvance(Calendar,X2793,W2794,"f",FALSE)</f>
        <v>58425</v>
      </c>
      <c r="Y2794" s="204">
        <f>_xll.qlCalendarAdvance(Calendar,X2794,NDays&amp;"D")</f>
        <v>58427</v>
      </c>
      <c r="Z2794" s="205">
        <v>3.0420464621975736E-2</v>
      </c>
      <c r="AA2794" s="207">
        <v>3.0385822780480964E-2</v>
      </c>
    </row>
    <row r="2795" spans="19:27" x14ac:dyDescent="0.2">
      <c r="S2795" s="165"/>
      <c r="T2795" s="166"/>
      <c r="W2795" s="199" t="str">
        <f t="shared" si="52"/>
        <v>1w</v>
      </c>
      <c r="X2795" s="200">
        <f>_xll.qlCalendarAdvance(Calendar,X2794,W2795,"f",FALSE)</f>
        <v>58432</v>
      </c>
      <c r="Y2795" s="204">
        <f>_xll.qlCalendarAdvance(Calendar,X2795,NDays&amp;"D")</f>
        <v>58438</v>
      </c>
      <c r="Z2795" s="205">
        <v>3.0412561496576423E-2</v>
      </c>
      <c r="AA2795" s="207">
        <v>3.0382012913379164E-2</v>
      </c>
    </row>
    <row r="2796" spans="19:27" x14ac:dyDescent="0.2">
      <c r="S2796" s="165"/>
      <c r="T2796" s="166"/>
      <c r="W2796" s="199" t="str">
        <f t="shared" si="52"/>
        <v>1w</v>
      </c>
      <c r="X2796" s="200">
        <f>_xll.qlCalendarAdvance(Calendar,X2795,W2796,"f",FALSE)</f>
        <v>58439</v>
      </c>
      <c r="Y2796" s="204">
        <f>_xll.qlCalendarAdvance(Calendar,X2796,NDays&amp;"D")</f>
        <v>58442</v>
      </c>
      <c r="Z2796" s="205">
        <v>3.0410437318860121E-2</v>
      </c>
      <c r="AA2796" s="207">
        <v>3.0377796497083054E-2</v>
      </c>
    </row>
    <row r="2797" spans="19:27" x14ac:dyDescent="0.2">
      <c r="S2797" s="165"/>
      <c r="T2797" s="166"/>
      <c r="W2797" s="199" t="str">
        <f t="shared" si="52"/>
        <v>1w</v>
      </c>
      <c r="X2797" s="200">
        <f>_xll.qlCalendarAdvance(Calendar,X2796,W2797,"f",FALSE)</f>
        <v>58446</v>
      </c>
      <c r="Y2797" s="204">
        <f>_xll.qlCalendarAdvance(Calendar,X2797,NDays&amp;"D")</f>
        <v>58448</v>
      </c>
      <c r="Z2797" s="205">
        <v>3.0408280615040473E-2</v>
      </c>
      <c r="AA2797" s="207">
        <v>3.0374606538865478E-2</v>
      </c>
    </row>
    <row r="2798" spans="19:27" x14ac:dyDescent="0.2">
      <c r="S2798" s="165"/>
      <c r="T2798" s="166"/>
      <c r="W2798" s="199" t="str">
        <f t="shared" si="52"/>
        <v>1w</v>
      </c>
      <c r="X2798" s="200">
        <f>_xll.qlCalendarAdvance(Calendar,X2797,W2798,"f",FALSE)</f>
        <v>58453</v>
      </c>
      <c r="Y2798" s="204">
        <f>_xll.qlCalendarAdvance(Calendar,X2798,NDays&amp;"D")</f>
        <v>58455</v>
      </c>
      <c r="Z2798" s="205">
        <v>3.0405611190804652E-2</v>
      </c>
      <c r="AA2798" s="207">
        <v>3.0370899766216652E-2</v>
      </c>
    </row>
    <row r="2799" spans="19:27" x14ac:dyDescent="0.2">
      <c r="S2799" s="165"/>
      <c r="T2799" s="166"/>
      <c r="W2799" s="199" t="str">
        <f t="shared" si="52"/>
        <v>1w</v>
      </c>
      <c r="X2799" s="200">
        <f>_xll.qlCalendarAdvance(Calendar,X2798,W2799,"f",FALSE)</f>
        <v>58460</v>
      </c>
      <c r="Y2799" s="204">
        <f>_xll.qlCalendarAdvance(Calendar,X2799,NDays&amp;"D")</f>
        <v>58462</v>
      </c>
      <c r="Z2799" s="205">
        <v>3.0400916357466723E-2</v>
      </c>
      <c r="AA2799" s="207">
        <v>3.0367208981179061E-2</v>
      </c>
    </row>
    <row r="2800" spans="19:27" x14ac:dyDescent="0.2">
      <c r="S2800" s="165"/>
      <c r="T2800" s="166"/>
      <c r="W2800" s="199" t="str">
        <f t="shared" si="52"/>
        <v>1w</v>
      </c>
      <c r="X2800" s="200">
        <f>_xll.qlCalendarAdvance(Calendar,X2799,W2800,"f",FALSE)</f>
        <v>58467</v>
      </c>
      <c r="Y2800" s="204">
        <f>_xll.qlCalendarAdvance(Calendar,X2800,NDays&amp;"D")</f>
        <v>58469</v>
      </c>
      <c r="Z2800" s="205">
        <v>3.0394191923183957E-2</v>
      </c>
      <c r="AA2800" s="207">
        <v>3.0363534183193153E-2</v>
      </c>
    </row>
    <row r="2801" spans="19:27" x14ac:dyDescent="0.2">
      <c r="S2801" s="165"/>
      <c r="T2801" s="166"/>
      <c r="W2801" s="199" t="str">
        <f t="shared" si="52"/>
        <v>1w</v>
      </c>
      <c r="X2801" s="200">
        <f>_xll.qlCalendarAdvance(Calendar,X2800,W2801,"f",FALSE)</f>
        <v>58474</v>
      </c>
      <c r="Y2801" s="204">
        <f>_xll.qlCalendarAdvance(Calendar,X2801,NDays&amp;"D")</f>
        <v>58476</v>
      </c>
      <c r="Z2801" s="205">
        <v>3.0390547357252152E-2</v>
      </c>
      <c r="AA2801" s="207">
        <v>3.0359875372738543E-2</v>
      </c>
    </row>
    <row r="2802" spans="19:27" x14ac:dyDescent="0.2">
      <c r="S2802" s="165"/>
      <c r="T2802" s="166"/>
      <c r="W2802" s="199" t="str">
        <f t="shared" si="52"/>
        <v>1w</v>
      </c>
      <c r="X2802" s="200">
        <f>_xll.qlCalendarAdvance(Calendar,X2801,W2802,"f",FALSE)</f>
        <v>58481</v>
      </c>
      <c r="Y2802" s="204">
        <f>_xll.qlCalendarAdvance(Calendar,X2802,NDays&amp;"D")</f>
        <v>58483</v>
      </c>
      <c r="Z2802" s="205">
        <v>3.0386918817482809E-2</v>
      </c>
      <c r="AA2802" s="207">
        <v>3.035623254965536E-2</v>
      </c>
    </row>
    <row r="2803" spans="19:27" x14ac:dyDescent="0.2">
      <c r="S2803" s="165"/>
      <c r="T2803" s="166"/>
      <c r="W2803" s="199" t="str">
        <f t="shared" si="52"/>
        <v>1w</v>
      </c>
      <c r="X2803" s="200">
        <f>_xll.qlCalendarAdvance(Calendar,X2802,W2803,"f",FALSE)</f>
        <v>58488</v>
      </c>
      <c r="Y2803" s="204">
        <f>_xll.qlCalendarAdvance(Calendar,X2803,NDays&amp;"D")</f>
        <v>58490</v>
      </c>
      <c r="Z2803" s="205">
        <v>3.0383306303859395E-2</v>
      </c>
      <c r="AA2803" s="207">
        <v>3.0352605713863667E-2</v>
      </c>
    </row>
    <row r="2804" spans="19:27" x14ac:dyDescent="0.2">
      <c r="S2804" s="165"/>
      <c r="T2804" s="166"/>
      <c r="W2804" s="199" t="str">
        <f t="shared" si="52"/>
        <v>1w</v>
      </c>
      <c r="X2804" s="200">
        <f>_xll.qlCalendarAdvance(Calendar,X2803,W2804,"f",FALSE)</f>
        <v>58495</v>
      </c>
      <c r="Y2804" s="204">
        <f>_xll.qlCalendarAdvance(Calendar,X2804,NDays&amp;"D")</f>
        <v>58497</v>
      </c>
      <c r="Z2804" s="205">
        <v>3.0379709816370885E-2</v>
      </c>
      <c r="AA2804" s="207">
        <v>3.0348994865443402E-2</v>
      </c>
    </row>
    <row r="2805" spans="19:27" x14ac:dyDescent="0.2">
      <c r="S2805" s="165"/>
      <c r="T2805" s="166"/>
      <c r="W2805" s="199" t="str">
        <f t="shared" si="52"/>
        <v>1w</v>
      </c>
      <c r="X2805" s="200">
        <f>_xll.qlCalendarAdvance(Calendar,X2804,W2805,"f",FALSE)</f>
        <v>58502</v>
      </c>
      <c r="Y2805" s="204">
        <f>_xll.qlCalendarAdvance(Calendar,X2805,NDays&amp;"D")</f>
        <v>58504</v>
      </c>
      <c r="Z2805" s="205">
        <v>3.037920831274743E-2</v>
      </c>
      <c r="AA2805" s="207">
        <v>3.0345400004394563E-2</v>
      </c>
    </row>
    <row r="2806" spans="19:27" x14ac:dyDescent="0.2">
      <c r="S2806" s="165"/>
      <c r="T2806" s="166"/>
      <c r="W2806" s="199" t="str">
        <f t="shared" si="52"/>
        <v>1w</v>
      </c>
      <c r="X2806" s="200">
        <f>_xll.qlCalendarAdvance(Calendar,X2805,W2806,"f",FALSE)</f>
        <v>58509</v>
      </c>
      <c r="Y2806" s="204">
        <f>_xll.qlCalendarAdvance(Calendar,X2806,NDays&amp;"D")</f>
        <v>58511</v>
      </c>
      <c r="Z2806" s="205">
        <v>3.0375646411301138E-2</v>
      </c>
      <c r="AA2806" s="207">
        <v>3.0341821130797086E-2</v>
      </c>
    </row>
    <row r="2807" spans="19:27" x14ac:dyDescent="0.2">
      <c r="S2807" s="165"/>
      <c r="T2807" s="166"/>
      <c r="W2807" s="199" t="str">
        <f t="shared" si="52"/>
        <v>1w</v>
      </c>
      <c r="X2807" s="200">
        <f>_xll.qlCalendarAdvance(Calendar,X2806,W2807,"f",FALSE)</f>
        <v>58516</v>
      </c>
      <c r="Y2807" s="204">
        <f>_xll.qlCalendarAdvance(Calendar,X2807,NDays&amp;"D")</f>
        <v>58518</v>
      </c>
      <c r="Z2807" s="205">
        <v>3.037312882695628E-2</v>
      </c>
      <c r="AA2807" s="207">
        <v>3.0338258244171357E-2</v>
      </c>
    </row>
    <row r="2808" spans="19:27" x14ac:dyDescent="0.2">
      <c r="S2808" s="165"/>
      <c r="T2808" s="166"/>
      <c r="W2808" s="199" t="str">
        <f t="shared" si="52"/>
        <v>1w</v>
      </c>
      <c r="X2808" s="200">
        <f>_xll.qlCalendarAdvance(Calendar,X2807,W2808,"f",FALSE)</f>
        <v>58523</v>
      </c>
      <c r="Y2808" s="204">
        <f>_xll.qlCalendarAdvance(Calendar,X2808,NDays&amp;"D")</f>
        <v>58525</v>
      </c>
      <c r="Z2808" s="205">
        <v>3.0368570699124964E-2</v>
      </c>
      <c r="AA2808" s="207">
        <v>3.0334711345156862E-2</v>
      </c>
    </row>
    <row r="2809" spans="19:27" x14ac:dyDescent="0.2">
      <c r="S2809" s="165"/>
      <c r="T2809" s="166"/>
      <c r="W2809" s="199" t="str">
        <f t="shared" si="52"/>
        <v>1w</v>
      </c>
      <c r="X2809" s="200">
        <f>_xll.qlCalendarAdvance(Calendar,X2808,W2809,"f",FALSE)</f>
        <v>58530</v>
      </c>
      <c r="Y2809" s="204">
        <f>_xll.qlCalendarAdvance(Calendar,X2809,NDays&amp;"D")</f>
        <v>58532</v>
      </c>
      <c r="Z2809" s="205">
        <v>3.0366086872051022E-2</v>
      </c>
      <c r="AA2809" s="207">
        <v>3.0331180433513794E-2</v>
      </c>
    </row>
    <row r="2810" spans="19:27" x14ac:dyDescent="0.2">
      <c r="S2810" s="165"/>
      <c r="T2810" s="166"/>
      <c r="W2810" s="199" t="str">
        <f t="shared" si="52"/>
        <v>1w</v>
      </c>
      <c r="X2810" s="200">
        <f>_xll.qlCalendarAdvance(Calendar,X2809,W2810,"f",FALSE)</f>
        <v>58537</v>
      </c>
      <c r="Y2810" s="204">
        <f>_xll.qlCalendarAdvance(Calendar,X2810,NDays&amp;"D")</f>
        <v>58539</v>
      </c>
      <c r="Z2810" s="205">
        <v>3.0361559107817404E-2</v>
      </c>
      <c r="AA2810" s="207">
        <v>3.0327665509162216E-2</v>
      </c>
    </row>
    <row r="2811" spans="19:27" x14ac:dyDescent="0.2">
      <c r="S2811" s="165"/>
      <c r="T2811" s="166"/>
      <c r="W2811" s="199" t="str">
        <f t="shared" si="52"/>
        <v>1w</v>
      </c>
      <c r="X2811" s="200">
        <f>_xll.qlCalendarAdvance(Calendar,X2810,W2811,"f",FALSE)</f>
        <v>58544</v>
      </c>
      <c r="Y2811" s="204">
        <f>_xll.qlCalendarAdvance(Calendar,X2811,NDays&amp;"D")</f>
        <v>58546</v>
      </c>
      <c r="Z2811" s="205">
        <v>3.0358077357446889E-2</v>
      </c>
      <c r="AA2811" s="207">
        <v>3.0323169812387363E-2</v>
      </c>
    </row>
    <row r="2812" spans="19:27" x14ac:dyDescent="0.2">
      <c r="S2812" s="165"/>
      <c r="T2812" s="166"/>
      <c r="W2812" s="199" t="str">
        <f t="shared" si="52"/>
        <v>1w</v>
      </c>
      <c r="X2812" s="200">
        <f>_xll.qlCalendarAdvance(Calendar,X2811,W2812,"f",FALSE)</f>
        <v>58551</v>
      </c>
      <c r="Y2812" s="204">
        <f>_xll.qlCalendarAdvance(Calendar,X2812,NDays&amp;"D")</f>
        <v>58553</v>
      </c>
      <c r="Z2812" s="205">
        <v>3.0354611637246065E-2</v>
      </c>
      <c r="AA2812" s="207">
        <v>3.0320683622493405E-2</v>
      </c>
    </row>
    <row r="2813" spans="19:27" x14ac:dyDescent="0.2">
      <c r="S2813" s="165"/>
      <c r="T2813" s="166"/>
      <c r="W2813" s="199" t="str">
        <f t="shared" si="52"/>
        <v>1w</v>
      </c>
      <c r="X2813" s="200">
        <f>_xll.qlCalendarAdvance(Calendar,X2812,W2813,"f",FALSE)</f>
        <v>58558</v>
      </c>
      <c r="Y2813" s="204">
        <f>_xll.qlCalendarAdvance(Calendar,X2813,NDays&amp;"D")</f>
        <v>58560</v>
      </c>
      <c r="Z2813" s="205">
        <v>3.0348062602721208E-2</v>
      </c>
      <c r="AA2813" s="207">
        <v>3.0316722684995412E-2</v>
      </c>
    </row>
    <row r="2814" spans="19:27" x14ac:dyDescent="0.2">
      <c r="S2814" s="165"/>
      <c r="T2814" s="166"/>
      <c r="W2814" s="199" t="str">
        <f t="shared" si="52"/>
        <v>1w</v>
      </c>
      <c r="X2814" s="200">
        <f>_xll.qlCalendarAdvance(Calendar,X2813,W2814,"f",FALSE)</f>
        <v>58565</v>
      </c>
      <c r="Y2814" s="204">
        <f>_xll.qlCalendarAdvance(Calendar,X2814,NDays&amp;"D")</f>
        <v>58567</v>
      </c>
      <c r="Z2814" s="205">
        <v>3.0347728287308529E-2</v>
      </c>
      <c r="AA2814" s="207">
        <v>3.0313765685150429E-2</v>
      </c>
    </row>
    <row r="2815" spans="19:27" x14ac:dyDescent="0.2">
      <c r="S2815" s="165"/>
      <c r="T2815" s="166"/>
      <c r="W2815" s="199" t="str">
        <f t="shared" si="52"/>
        <v>1w</v>
      </c>
      <c r="X2815" s="200">
        <f>_xll.qlCalendarAdvance(Calendar,X2814,W2815,"f",FALSE)</f>
        <v>58572</v>
      </c>
      <c r="Y2815" s="204">
        <f>_xll.qlCalendarAdvance(Calendar,X2815,NDays&amp;"D")</f>
        <v>58574</v>
      </c>
      <c r="Z2815" s="205">
        <v>3.0344310657534346E-2</v>
      </c>
      <c r="AA2815" s="207">
        <v>3.0310330697655985E-2</v>
      </c>
    </row>
    <row r="2816" spans="19:27" x14ac:dyDescent="0.2">
      <c r="S2816" s="165"/>
      <c r="T2816" s="166"/>
      <c r="W2816" s="199" t="str">
        <f t="shared" si="52"/>
        <v>1w</v>
      </c>
      <c r="X2816" s="200">
        <f>_xll.qlCalendarAdvance(Calendar,X2815,W2816,"f",FALSE)</f>
        <v>58579</v>
      </c>
      <c r="Y2816" s="204">
        <f>_xll.qlCalendarAdvance(Calendar,X2816,NDays&amp;"D")</f>
        <v>58581</v>
      </c>
      <c r="Z2816" s="205">
        <v>3.0340909057869903E-2</v>
      </c>
      <c r="AA2816" s="207">
        <v>3.0306911697373096E-2</v>
      </c>
    </row>
    <row r="2817" spans="19:27" x14ac:dyDescent="0.2">
      <c r="S2817" s="165"/>
      <c r="T2817" s="166"/>
      <c r="W2817" s="199" t="str">
        <f t="shared" si="52"/>
        <v>1w</v>
      </c>
      <c r="X2817" s="200">
        <f>_xll.qlCalendarAdvance(Calendar,X2816,W2817,"f",FALSE)</f>
        <v>58586</v>
      </c>
      <c r="Y2817" s="204">
        <f>_xll.qlCalendarAdvance(Calendar,X2817,NDays&amp;"D")</f>
        <v>58588</v>
      </c>
      <c r="Z2817" s="205">
        <v>3.0337523488312701E-2</v>
      </c>
      <c r="AA2817" s="207">
        <v>3.0303023844853172E-2</v>
      </c>
    </row>
    <row r="2818" spans="19:27" x14ac:dyDescent="0.2">
      <c r="S2818" s="165"/>
      <c r="T2818" s="166"/>
      <c r="W2818" s="199" t="str">
        <f t="shared" si="52"/>
        <v>1w</v>
      </c>
      <c r="X2818" s="200">
        <f>_xll.qlCalendarAdvance(Calendar,X2817,W2818,"f",FALSE)</f>
        <v>58593</v>
      </c>
      <c r="Y2818" s="204">
        <f>_xll.qlCalendarAdvance(Calendar,X2818,NDays&amp;"D")</f>
        <v>58595</v>
      </c>
      <c r="Z2818" s="205">
        <v>3.0335191636631335E-2</v>
      </c>
      <c r="AA2818" s="207">
        <v>3.0300121658761725E-2</v>
      </c>
    </row>
    <row r="2819" spans="19:27" x14ac:dyDescent="0.2">
      <c r="S2819" s="165"/>
      <c r="T2819" s="166"/>
      <c r="W2819" s="199" t="str">
        <f t="shared" si="52"/>
        <v>1w</v>
      </c>
      <c r="X2819" s="200">
        <f>_xll.qlCalendarAdvance(Calendar,X2818,W2819,"f",FALSE)</f>
        <v>58600</v>
      </c>
      <c r="Y2819" s="204">
        <f>_xll.qlCalendarAdvance(Calendar,X2819,NDays&amp;"D")</f>
        <v>58602</v>
      </c>
      <c r="Z2819" s="205">
        <v>3.0330800439425099E-2</v>
      </c>
      <c r="AA2819" s="207">
        <v>3.029675062051318E-2</v>
      </c>
    </row>
    <row r="2820" spans="19:27" x14ac:dyDescent="0.2">
      <c r="S2820" s="165"/>
      <c r="T2820" s="166"/>
      <c r="W2820" s="199" t="str">
        <f t="shared" si="52"/>
        <v>1w</v>
      </c>
      <c r="X2820" s="200">
        <f>_xll.qlCalendarAdvance(Calendar,X2819,W2820,"f",FALSE)</f>
        <v>58607</v>
      </c>
      <c r="Y2820" s="204">
        <f>_xll.qlCalendarAdvance(Calendar,X2820,NDays&amp;"D")</f>
        <v>58609</v>
      </c>
      <c r="Z2820" s="205">
        <v>3.0327462960072216E-2</v>
      </c>
      <c r="AA2820" s="207">
        <v>3.0293395569636061E-2</v>
      </c>
    </row>
    <row r="2821" spans="19:27" x14ac:dyDescent="0.2">
      <c r="S2821" s="165"/>
      <c r="T2821" s="166"/>
      <c r="W2821" s="199" t="str">
        <f t="shared" si="52"/>
        <v>1w</v>
      </c>
      <c r="X2821" s="200">
        <f>_xll.qlCalendarAdvance(Calendar,X2820,W2821,"f",FALSE)</f>
        <v>58614</v>
      </c>
      <c r="Y2821" s="204">
        <f>_xll.qlCalendarAdvance(Calendar,X2821,NDays&amp;"D")</f>
        <v>58616</v>
      </c>
      <c r="Z2821" s="205">
        <v>3.032414151075663E-2</v>
      </c>
      <c r="AA2821" s="207">
        <v>3.0290056505970497E-2</v>
      </c>
    </row>
    <row r="2822" spans="19:27" x14ac:dyDescent="0.2">
      <c r="S2822" s="165"/>
      <c r="T2822" s="166"/>
      <c r="W2822" s="199" t="str">
        <f t="shared" si="52"/>
        <v>1w</v>
      </c>
      <c r="X2822" s="200">
        <f>_xll.qlCalendarAdvance(Calendar,X2821,W2822,"f",FALSE)</f>
        <v>58621</v>
      </c>
      <c r="Y2822" s="204">
        <f>_xll.qlCalendarAdvance(Calendar,X2822,NDays&amp;"D")</f>
        <v>58623</v>
      </c>
      <c r="Z2822" s="205">
        <v>3.0320836091473347E-2</v>
      </c>
      <c r="AA2822" s="207">
        <v>3.028673342967636E-2</v>
      </c>
    </row>
    <row r="2823" spans="19:27" x14ac:dyDescent="0.2">
      <c r="S2823" s="165"/>
      <c r="T2823" s="166"/>
      <c r="W2823" s="199" t="str">
        <f t="shared" si="52"/>
        <v>1w</v>
      </c>
      <c r="X2823" s="200">
        <f>_xll.qlCalendarAdvance(Calendar,X2822,W2823,"f",FALSE)</f>
        <v>58628</v>
      </c>
      <c r="Y2823" s="204">
        <f>_xll.qlCalendarAdvance(Calendar,X2823,NDays&amp;"D")</f>
        <v>58630</v>
      </c>
      <c r="Z2823" s="205">
        <v>3.0317546702197384E-2</v>
      </c>
      <c r="AA2823" s="207">
        <v>3.0283426340913522E-2</v>
      </c>
    </row>
    <row r="2824" spans="19:27" x14ac:dyDescent="0.2">
      <c r="S2824" s="165"/>
      <c r="T2824" s="166"/>
      <c r="W2824" s="199" t="str">
        <f t="shared" si="52"/>
        <v>1w</v>
      </c>
      <c r="X2824" s="200">
        <f>_xll.qlCalendarAdvance(Calendar,X2823,W2824,"f",FALSE)</f>
        <v>58635</v>
      </c>
      <c r="Y2824" s="204">
        <f>_xll.qlCalendarAdvance(Calendar,X2824,NDays&amp;"D")</f>
        <v>58637</v>
      </c>
      <c r="Z2824" s="205">
        <v>3.031427334292125E-2</v>
      </c>
      <c r="AA2824" s="207">
        <v>3.0280135239202366E-2</v>
      </c>
    </row>
    <row r="2825" spans="19:27" x14ac:dyDescent="0.2">
      <c r="S2825" s="165"/>
      <c r="T2825" s="166"/>
      <c r="W2825" s="199" t="str">
        <f t="shared" si="52"/>
        <v>1w</v>
      </c>
      <c r="X2825" s="200">
        <f>_xll.qlCalendarAdvance(Calendar,X2824,W2825,"f",FALSE)</f>
        <v>58642</v>
      </c>
      <c r="Y2825" s="204">
        <f>_xll.qlCalendarAdvance(Calendar,X2825,NDays&amp;"D")</f>
        <v>58644</v>
      </c>
      <c r="Z2825" s="205">
        <v>3.0311016013632452E-2</v>
      </c>
      <c r="AA2825" s="207">
        <v>3.0276860125022509E-2</v>
      </c>
    </row>
    <row r="2826" spans="19:27" x14ac:dyDescent="0.2">
      <c r="S2826" s="165"/>
      <c r="T2826" s="166"/>
      <c r="W2826" s="199" t="str">
        <f t="shared" si="52"/>
        <v>1w</v>
      </c>
      <c r="X2826" s="200">
        <f>_xll.qlCalendarAdvance(Calendar,X2825,W2826,"f",FALSE)</f>
        <v>58649</v>
      </c>
      <c r="Y2826" s="204">
        <f>_xll.qlCalendarAdvance(Calendar,X2826,NDays&amp;"D")</f>
        <v>58651</v>
      </c>
      <c r="Z2826" s="205">
        <v>3.0308819344007695E-2</v>
      </c>
      <c r="AA2826" s="207">
        <v>3.0273600998134143E-2</v>
      </c>
    </row>
    <row r="2827" spans="19:27" x14ac:dyDescent="0.2">
      <c r="S2827" s="165"/>
      <c r="T2827" s="166"/>
      <c r="W2827" s="199" t="str">
        <f t="shared" si="52"/>
        <v>1w</v>
      </c>
      <c r="X2827" s="200">
        <f>_xll.qlCalendarAdvance(Calendar,X2826,W2827,"f",FALSE)</f>
        <v>58656</v>
      </c>
      <c r="Y2827" s="204">
        <f>_xll.qlCalendarAdvance(Calendar,X2827,NDays&amp;"D")</f>
        <v>58658</v>
      </c>
      <c r="Z2827" s="205">
        <v>3.0305594948573406E-2</v>
      </c>
      <c r="AA2827" s="207">
        <v>3.0270357858537267E-2</v>
      </c>
    </row>
    <row r="2828" spans="19:27" x14ac:dyDescent="0.2">
      <c r="S2828" s="165"/>
      <c r="T2828" s="166"/>
      <c r="W2828" s="199" t="str">
        <f t="shared" si="52"/>
        <v>1w</v>
      </c>
      <c r="X2828" s="200">
        <f>_xll.qlCalendarAdvance(Calendar,X2827,W2828,"f",FALSE)</f>
        <v>58663</v>
      </c>
      <c r="Y2828" s="204">
        <f>_xll.qlCalendarAdvance(Calendar,X2828,NDays&amp;"D")</f>
        <v>58665</v>
      </c>
      <c r="Z2828" s="205">
        <v>3.0301340205525218E-2</v>
      </c>
      <c r="AA2828" s="207">
        <v>3.0267130706311818E-2</v>
      </c>
    </row>
    <row r="2829" spans="19:27" x14ac:dyDescent="0.2">
      <c r="S2829" s="165"/>
      <c r="T2829" s="166"/>
      <c r="W2829" s="199" t="str">
        <f t="shared" si="52"/>
        <v>1w</v>
      </c>
      <c r="X2829" s="200">
        <f>_xll.qlCalendarAdvance(Calendar,X2828,W2829,"f",FALSE)</f>
        <v>58670</v>
      </c>
      <c r="Y2829" s="204">
        <f>_xll.qlCalendarAdvance(Calendar,X2829,NDays&amp;"D")</f>
        <v>58672</v>
      </c>
      <c r="Z2829" s="205">
        <v>3.0298146996035891E-2</v>
      </c>
      <c r="AA2829" s="207">
        <v>3.0263919541537732E-2</v>
      </c>
    </row>
    <row r="2830" spans="19:27" x14ac:dyDescent="0.2">
      <c r="S2830" s="165"/>
      <c r="T2830" s="166"/>
      <c r="W2830" s="199" t="str">
        <f t="shared" si="52"/>
        <v>1w</v>
      </c>
      <c r="X2830" s="200">
        <f>_xll.qlCalendarAdvance(Calendar,X2829,W2830,"f",FALSE)</f>
        <v>58677</v>
      </c>
      <c r="Y2830" s="204">
        <f>_xll.qlCalendarAdvance(Calendar,X2830,NDays&amp;"D")</f>
        <v>58679</v>
      </c>
      <c r="Z2830" s="205">
        <v>3.0294969816456463E-2</v>
      </c>
      <c r="AA2830" s="207">
        <v>3.0260269215016677E-2</v>
      </c>
    </row>
    <row r="2831" spans="19:27" x14ac:dyDescent="0.2">
      <c r="S2831" s="165"/>
      <c r="T2831" s="166"/>
      <c r="W2831" s="199" t="str">
        <f t="shared" si="52"/>
        <v>1w</v>
      </c>
      <c r="X2831" s="200">
        <f>_xll.qlCalendarAdvance(Calendar,X2830,W2831,"f",FALSE)</f>
        <v>58684</v>
      </c>
      <c r="Y2831" s="204">
        <f>_xll.qlCalendarAdvance(Calendar,X2831,NDays&amp;"D")</f>
        <v>58686</v>
      </c>
      <c r="Z2831" s="205">
        <v>3.0291808666781939E-2</v>
      </c>
      <c r="AA2831" s="207">
        <v>3.0257545173784095E-2</v>
      </c>
    </row>
    <row r="2832" spans="19:27" x14ac:dyDescent="0.2">
      <c r="S2832" s="165"/>
      <c r="T2832" s="166"/>
      <c r="W2832" s="199" t="str">
        <f t="shared" si="52"/>
        <v>1w</v>
      </c>
      <c r="X2832" s="200">
        <f>_xll.qlCalendarAdvance(Calendar,X2831,W2832,"f",FALSE)</f>
        <v>58691</v>
      </c>
      <c r="Y2832" s="204">
        <f>_xll.qlCalendarAdvance(Calendar,X2832,NDays&amp;"D")</f>
        <v>58693</v>
      </c>
      <c r="Z2832" s="205">
        <v>3.0289713440912927E-2</v>
      </c>
      <c r="AA2832" s="207">
        <v>3.0254381970724609E-2</v>
      </c>
    </row>
    <row r="2833" spans="19:27" x14ac:dyDescent="0.2">
      <c r="S2833" s="165"/>
      <c r="T2833" s="166"/>
      <c r="W2833" s="199" t="str">
        <f t="shared" si="52"/>
        <v>1w</v>
      </c>
      <c r="X2833" s="200">
        <f>_xll.qlCalendarAdvance(Calendar,X2832,W2833,"f",FALSE)</f>
        <v>58698</v>
      </c>
      <c r="Y2833" s="204">
        <f>_xll.qlCalendarAdvance(Calendar,X2833,NDays&amp;"D")</f>
        <v>58700</v>
      </c>
      <c r="Z2833" s="205">
        <v>3.0285534457090146E-2</v>
      </c>
      <c r="AA2833" s="207">
        <v>3.0251234755196421E-2</v>
      </c>
    </row>
    <row r="2834" spans="19:27" x14ac:dyDescent="0.2">
      <c r="S2834" s="165"/>
      <c r="T2834" s="166"/>
      <c r="W2834" s="199" t="str">
        <f t="shared" si="52"/>
        <v>1w</v>
      </c>
      <c r="X2834" s="200">
        <f>_xll.qlCalendarAdvance(Calendar,X2833,W2834,"f",FALSE)</f>
        <v>58705</v>
      </c>
      <c r="Y2834" s="204">
        <f>_xll.qlCalendarAdvance(Calendar,X2834,NDays&amp;"D")</f>
        <v>58707</v>
      </c>
      <c r="Z2834" s="205">
        <v>3.0282421397040404E-2</v>
      </c>
      <c r="AA2834" s="207">
        <v>3.0248103527119596E-2</v>
      </c>
    </row>
    <row r="2835" spans="19:27" x14ac:dyDescent="0.2">
      <c r="S2835" s="165"/>
      <c r="T2835" s="166"/>
      <c r="W2835" s="199" t="str">
        <f t="shared" si="52"/>
        <v>1w</v>
      </c>
      <c r="X2835" s="200">
        <f>_xll.qlCalendarAdvance(Calendar,X2834,W2835,"f",FALSE)</f>
        <v>58712</v>
      </c>
      <c r="Y2835" s="204">
        <f>_xll.qlCalendarAdvance(Calendar,X2835,NDays&amp;"D")</f>
        <v>58714</v>
      </c>
      <c r="Z2835" s="205">
        <v>3.0276167593338094E-2</v>
      </c>
      <c r="AA2835" s="207">
        <v>3.024498828617439E-2</v>
      </c>
    </row>
    <row r="2836" spans="19:27" x14ac:dyDescent="0.2">
      <c r="S2836" s="165"/>
      <c r="T2836" s="166"/>
      <c r="W2836" s="199" t="str">
        <f t="shared" si="52"/>
        <v>1w</v>
      </c>
      <c r="X2836" s="200">
        <f>_xll.qlCalendarAdvance(Calendar,X2835,W2836,"f",FALSE)</f>
        <v>58719</v>
      </c>
      <c r="Y2836" s="204">
        <f>_xll.qlCalendarAdvance(Calendar,X2836,NDays&amp;"D")</f>
        <v>58721</v>
      </c>
      <c r="Z2836" s="205">
        <v>3.0276243366478273E-2</v>
      </c>
      <c r="AA2836" s="207">
        <v>3.0241889032600611E-2</v>
      </c>
    </row>
    <row r="2837" spans="19:27" x14ac:dyDescent="0.2">
      <c r="S2837" s="165"/>
      <c r="T2837" s="166"/>
      <c r="W2837" s="199" t="str">
        <f t="shared" ref="W2837:W2900" si="53">W2836</f>
        <v>1w</v>
      </c>
      <c r="X2837" s="200">
        <f>_xll.qlCalendarAdvance(Calendar,X2836,W2837,"f",FALSE)</f>
        <v>58726</v>
      </c>
      <c r="Y2837" s="204">
        <f>_xll.qlCalendarAdvance(Calendar,X2837,NDays&amp;"D")</f>
        <v>58728</v>
      </c>
      <c r="Z2837" s="205">
        <v>3.0273178395935907E-2</v>
      </c>
      <c r="AA2837" s="207">
        <v>3.0238805766478194E-2</v>
      </c>
    </row>
    <row r="2838" spans="19:27" x14ac:dyDescent="0.2">
      <c r="S2838" s="165"/>
      <c r="T2838" s="166"/>
      <c r="W2838" s="199" t="str">
        <f t="shared" si="53"/>
        <v>1w</v>
      </c>
      <c r="X2838" s="200">
        <f>_xll.qlCalendarAdvance(Calendar,X2837,W2838,"f",FALSE)</f>
        <v>58733</v>
      </c>
      <c r="Y2838" s="204">
        <f>_xll.qlCalendarAdvance(Calendar,X2838,NDays&amp;"D")</f>
        <v>58735</v>
      </c>
      <c r="Z2838" s="205">
        <v>3.027012945520352E-2</v>
      </c>
      <c r="AA2838" s="207">
        <v>3.0235738487567332E-2</v>
      </c>
    </row>
    <row r="2839" spans="19:27" x14ac:dyDescent="0.2">
      <c r="S2839" s="165"/>
      <c r="T2839" s="166"/>
      <c r="W2839" s="199" t="str">
        <f t="shared" si="53"/>
        <v>1w</v>
      </c>
      <c r="X2839" s="200">
        <f>_xll.qlCalendarAdvance(Calendar,X2838,W2839,"f",FALSE)</f>
        <v>58740</v>
      </c>
      <c r="Y2839" s="204">
        <f>_xll.qlCalendarAdvance(Calendar,X2839,NDays&amp;"D")</f>
        <v>58742</v>
      </c>
      <c r="Z2839" s="205">
        <v>3.0267096544271122E-2</v>
      </c>
      <c r="AA2839" s="207">
        <v>3.023268719594796E-2</v>
      </c>
    </row>
    <row r="2840" spans="19:27" x14ac:dyDescent="0.2">
      <c r="S2840" s="165"/>
      <c r="T2840" s="166"/>
      <c r="W2840" s="199" t="str">
        <f t="shared" si="53"/>
        <v>1w</v>
      </c>
      <c r="X2840" s="200">
        <f>_xll.qlCalendarAdvance(Calendar,X2839,W2840,"f",FALSE)</f>
        <v>58747</v>
      </c>
      <c r="Y2840" s="204">
        <f>_xll.qlCalendarAdvance(Calendar,X2840,NDays&amp;"D")</f>
        <v>58749</v>
      </c>
      <c r="Z2840" s="205">
        <v>3.0264079663121224E-2</v>
      </c>
      <c r="AA2840" s="207">
        <v>3.0229651891859888E-2</v>
      </c>
    </row>
    <row r="2841" spans="19:27" x14ac:dyDescent="0.2">
      <c r="S2841" s="165"/>
      <c r="T2841" s="166"/>
      <c r="W2841" s="199" t="str">
        <f t="shared" si="53"/>
        <v>1w</v>
      </c>
      <c r="X2841" s="200">
        <f>_xll.qlCalendarAdvance(Calendar,X2840,W2841,"f",FALSE)</f>
        <v>58754</v>
      </c>
      <c r="Y2841" s="204">
        <f>_xll.qlCalendarAdvance(Calendar,X2841,NDays&amp;"D")</f>
        <v>58756</v>
      </c>
      <c r="Z2841" s="205">
        <v>3.025959356107872E-2</v>
      </c>
      <c r="AA2841" s="207">
        <v>3.022663257498337E-2</v>
      </c>
    </row>
    <row r="2842" spans="19:27" x14ac:dyDescent="0.2">
      <c r="S2842" s="165"/>
      <c r="T2842" s="166"/>
      <c r="W2842" s="199" t="str">
        <f t="shared" si="53"/>
        <v>1w</v>
      </c>
      <c r="X2842" s="200">
        <f>_xll.qlCalendarAdvance(Calendar,X2841,W2842,"f",FALSE)</f>
        <v>58761</v>
      </c>
      <c r="Y2842" s="204">
        <f>_xll.qlCalendarAdvance(Calendar,X2842,NDays&amp;"D")</f>
        <v>58763</v>
      </c>
      <c r="Z2842" s="205">
        <v>3.0258093990111479E-2</v>
      </c>
      <c r="AA2842" s="207">
        <v>3.0223629245398342E-2</v>
      </c>
    </row>
    <row r="2843" spans="19:27" x14ac:dyDescent="0.2">
      <c r="S2843" s="165"/>
      <c r="T2843" s="166"/>
      <c r="W2843" s="199" t="str">
        <f t="shared" si="53"/>
        <v>1w</v>
      </c>
      <c r="X2843" s="200">
        <f>_xll.qlCalendarAdvance(Calendar,X2842,W2843,"f",FALSE)</f>
        <v>58768</v>
      </c>
      <c r="Y2843" s="204">
        <f>_xll.qlCalendarAdvance(Calendar,X2843,NDays&amp;"D")</f>
        <v>58770</v>
      </c>
      <c r="Z2843" s="205">
        <v>3.0255762195061858E-2</v>
      </c>
      <c r="AA2843" s="207">
        <v>3.022064190302487E-2</v>
      </c>
    </row>
    <row r="2844" spans="19:27" x14ac:dyDescent="0.2">
      <c r="S2844" s="165"/>
      <c r="T2844" s="166"/>
      <c r="W2844" s="199" t="str">
        <f t="shared" si="53"/>
        <v>1w</v>
      </c>
      <c r="X2844" s="200">
        <f>_xll.qlCalendarAdvance(Calendar,X2843,W2844,"f",FALSE)</f>
        <v>58775</v>
      </c>
      <c r="Y2844" s="204">
        <f>_xll.qlCalendarAdvance(Calendar,X2844,NDays&amp;"D")</f>
        <v>58777</v>
      </c>
      <c r="Z2844" s="205">
        <v>3.0253233006656482E-2</v>
      </c>
      <c r="AA2844" s="207">
        <v>3.0217670548262632E-2</v>
      </c>
    </row>
    <row r="2845" spans="19:27" x14ac:dyDescent="0.2">
      <c r="S2845" s="165"/>
      <c r="T2845" s="166"/>
      <c r="W2845" s="199" t="str">
        <f t="shared" si="53"/>
        <v>1w</v>
      </c>
      <c r="X2845" s="200">
        <f>_xll.qlCalendarAdvance(Calendar,X2844,W2845,"f",FALSE)</f>
        <v>58782</v>
      </c>
      <c r="Y2845" s="204">
        <f>_xll.qlCalendarAdvance(Calendar,X2845,NDays&amp;"D")</f>
        <v>58784</v>
      </c>
      <c r="Z2845" s="205">
        <v>3.0249235703659616E-2</v>
      </c>
      <c r="AA2845" s="207">
        <v>3.0214715180711949E-2</v>
      </c>
    </row>
    <row r="2846" spans="19:27" x14ac:dyDescent="0.2">
      <c r="S2846" s="165"/>
      <c r="T2846" s="166"/>
      <c r="W2846" s="199" t="str">
        <f t="shared" si="53"/>
        <v>1w</v>
      </c>
      <c r="X2846" s="200">
        <f>_xll.qlCalendarAdvance(Calendar,X2845,W2846,"f",FALSE)</f>
        <v>58789</v>
      </c>
      <c r="Y2846" s="204">
        <f>_xll.qlCalendarAdvance(Calendar,X2846,NDays&amp;"D")</f>
        <v>58791</v>
      </c>
      <c r="Z2846" s="205">
        <v>3.0247377370125669E-2</v>
      </c>
      <c r="AA2846" s="207">
        <v>3.0211775800452756E-2</v>
      </c>
    </row>
    <row r="2847" spans="19:27" x14ac:dyDescent="0.2">
      <c r="S2847" s="165"/>
      <c r="T2847" s="166"/>
      <c r="W2847" s="199" t="str">
        <f t="shared" si="53"/>
        <v>1w</v>
      </c>
      <c r="X2847" s="200">
        <f>_xll.qlCalendarAdvance(Calendar,X2846,W2847,"f",FALSE)</f>
        <v>58796</v>
      </c>
      <c r="Y2847" s="204">
        <f>_xll.qlCalendarAdvance(Calendar,X2847,NDays&amp;"D")</f>
        <v>58798</v>
      </c>
      <c r="Z2847" s="205">
        <v>3.024341032791783E-2</v>
      </c>
      <c r="AA2847" s="207">
        <v>3.020802008895096E-2</v>
      </c>
    </row>
    <row r="2848" spans="19:27" x14ac:dyDescent="0.2">
      <c r="S2848" s="165"/>
      <c r="T2848" s="166"/>
      <c r="W2848" s="199" t="str">
        <f t="shared" si="53"/>
        <v>1w</v>
      </c>
      <c r="X2848" s="200">
        <f>_xll.qlCalendarAdvance(Calendar,X2847,W2848,"f",FALSE)</f>
        <v>58804</v>
      </c>
      <c r="Y2848" s="204">
        <f>_xll.qlCalendarAdvance(Calendar,X2848,NDays&amp;"D")</f>
        <v>58806</v>
      </c>
      <c r="Z2848" s="205">
        <v>3.0237403508846891E-2</v>
      </c>
      <c r="AA2848" s="207">
        <v>3.020511725122077E-2</v>
      </c>
    </row>
    <row r="2849" spans="19:27" x14ac:dyDescent="0.2">
      <c r="S2849" s="165"/>
      <c r="T2849" s="166"/>
      <c r="W2849" s="199" t="str">
        <f t="shared" si="53"/>
        <v>1w</v>
      </c>
      <c r="X2849" s="200">
        <f>_xll.qlCalendarAdvance(Calendar,X2848,W2849,"f",FALSE)</f>
        <v>58811</v>
      </c>
      <c r="Y2849" s="204">
        <f>_xll.qlCalendarAdvance(Calendar,X2849,NDays&amp;"D")</f>
        <v>58813</v>
      </c>
      <c r="Z2849" s="205">
        <v>3.0236174945281174E-2</v>
      </c>
      <c r="AA2849" s="207">
        <v>3.0202641829113475E-2</v>
      </c>
    </row>
    <row r="2850" spans="19:27" x14ac:dyDescent="0.2">
      <c r="S2850" s="165"/>
      <c r="T2850" s="166"/>
      <c r="W2850" s="199" t="str">
        <f t="shared" si="53"/>
        <v>1w</v>
      </c>
      <c r="X2850" s="200">
        <f>_xll.qlCalendarAdvance(Calendar,X2849,W2850,"f",FALSE)</f>
        <v>58818</v>
      </c>
      <c r="Y2850" s="204">
        <f>_xll.qlCalendarAdvance(Calendar,X2850,NDays&amp;"D")</f>
        <v>58820</v>
      </c>
      <c r="Z2850" s="205">
        <v>3.0233319745735992E-2</v>
      </c>
      <c r="AA2850" s="207">
        <v>3.0199768682113159E-2</v>
      </c>
    </row>
    <row r="2851" spans="19:27" x14ac:dyDescent="0.2">
      <c r="S2851" s="165"/>
      <c r="T2851" s="166"/>
      <c r="W2851" s="199" t="str">
        <f t="shared" si="53"/>
        <v>1w</v>
      </c>
      <c r="X2851" s="200">
        <f>_xll.qlCalendarAdvance(Calendar,X2850,W2851,"f",FALSE)</f>
        <v>58825</v>
      </c>
      <c r="Y2851" s="204">
        <f>_xll.qlCalendarAdvance(Calendar,X2851,NDays&amp;"D")</f>
        <v>58827</v>
      </c>
      <c r="Z2851" s="205">
        <v>3.0231547447579776E-2</v>
      </c>
      <c r="AA2851" s="207">
        <v>3.0196911522404335E-2</v>
      </c>
    </row>
    <row r="2852" spans="19:27" x14ac:dyDescent="0.2">
      <c r="S2852" s="165"/>
      <c r="T2852" s="166"/>
      <c r="W2852" s="199" t="str">
        <f t="shared" si="53"/>
        <v>1w</v>
      </c>
      <c r="X2852" s="200">
        <f>_xll.qlCalendarAdvance(Calendar,X2851,W2852,"f",FALSE)</f>
        <v>58832</v>
      </c>
      <c r="Y2852" s="204">
        <f>_xll.qlCalendarAdvance(Calendar,X2852,NDays&amp;"D")</f>
        <v>58834</v>
      </c>
      <c r="Z2852" s="205">
        <v>3.0227657431464341E-2</v>
      </c>
      <c r="AA2852" s="207">
        <v>3.0194070349907065E-2</v>
      </c>
    </row>
    <row r="2853" spans="19:27" x14ac:dyDescent="0.2">
      <c r="S2853" s="165"/>
      <c r="T2853" s="166"/>
      <c r="W2853" s="199" t="str">
        <f t="shared" si="53"/>
        <v>1w</v>
      </c>
      <c r="X2853" s="200">
        <f>_xll.qlCalendarAdvance(Calendar,X2852,W2853,"f",FALSE)</f>
        <v>58839</v>
      </c>
      <c r="Y2853" s="204">
        <f>_xll.qlCalendarAdvance(Calendar,X2853,NDays&amp;"D")</f>
        <v>58841</v>
      </c>
      <c r="Z2853" s="205">
        <v>3.0221645123057632E-2</v>
      </c>
      <c r="AA2853" s="207">
        <v>3.019124516502103E-2</v>
      </c>
    </row>
    <row r="2854" spans="19:27" x14ac:dyDescent="0.2">
      <c r="S2854" s="165"/>
      <c r="T2854" s="166"/>
      <c r="W2854" s="199" t="str">
        <f t="shared" si="53"/>
        <v>1w</v>
      </c>
      <c r="X2854" s="200">
        <f>_xll.qlCalendarAdvance(Calendar,X2853,W2854,"f",FALSE)</f>
        <v>58846</v>
      </c>
      <c r="Y2854" s="204">
        <f>_xll.qlCalendarAdvance(Calendar,X2854,NDays&amp;"D")</f>
        <v>58848</v>
      </c>
      <c r="Z2854" s="205">
        <v>3.0218851304778051E-2</v>
      </c>
      <c r="AA2854" s="207">
        <v>3.0188435967266614E-2</v>
      </c>
    </row>
    <row r="2855" spans="19:27" x14ac:dyDescent="0.2">
      <c r="S2855" s="165"/>
      <c r="T2855" s="166"/>
      <c r="W2855" s="199" t="str">
        <f t="shared" si="53"/>
        <v>1w</v>
      </c>
      <c r="X2855" s="200">
        <f>_xll.qlCalendarAdvance(Calendar,X2854,W2855,"f",FALSE)</f>
        <v>58853</v>
      </c>
      <c r="Y2855" s="204">
        <f>_xll.qlCalendarAdvance(Calendar,X2855,NDays&amp;"D")</f>
        <v>58855</v>
      </c>
      <c r="Z2855" s="205">
        <v>3.0216073510634774E-2</v>
      </c>
      <c r="AA2855" s="207">
        <v>3.0185642756883624E-2</v>
      </c>
    </row>
    <row r="2856" spans="19:27" x14ac:dyDescent="0.2">
      <c r="S2856" s="165"/>
      <c r="T2856" s="166"/>
      <c r="W2856" s="199" t="str">
        <f t="shared" si="53"/>
        <v>1w</v>
      </c>
      <c r="X2856" s="200">
        <f>_xll.qlCalendarAdvance(Calendar,X2855,W2856,"f",FALSE)</f>
        <v>58860</v>
      </c>
      <c r="Y2856" s="204">
        <f>_xll.qlCalendarAdvance(Calendar,X2856,NDays&amp;"D")</f>
        <v>58862</v>
      </c>
      <c r="Z2856" s="205">
        <v>3.0213311740622091E-2</v>
      </c>
      <c r="AA2856" s="207">
        <v>3.0182865533712189E-2</v>
      </c>
    </row>
    <row r="2857" spans="19:27" x14ac:dyDescent="0.2">
      <c r="S2857" s="165"/>
      <c r="T2857" s="166"/>
      <c r="W2857" s="199" t="str">
        <f t="shared" si="53"/>
        <v>1w</v>
      </c>
      <c r="X2857" s="200">
        <f>_xll.qlCalendarAdvance(Calendar,X2856,W2857,"f",FALSE)</f>
        <v>58867</v>
      </c>
      <c r="Y2857" s="204">
        <f>_xll.qlCalendarAdvance(Calendar,X2857,NDays&amp;"D")</f>
        <v>58869</v>
      </c>
      <c r="Z2857" s="205">
        <v>3.0213782140045286E-2</v>
      </c>
      <c r="AA2857" s="207">
        <v>3.0180104298072052E-2</v>
      </c>
    </row>
    <row r="2858" spans="19:27" x14ac:dyDescent="0.2">
      <c r="S2858" s="165"/>
      <c r="T2858" s="166"/>
      <c r="W2858" s="199" t="str">
        <f t="shared" si="53"/>
        <v>1w</v>
      </c>
      <c r="X2858" s="200">
        <f>_xll.qlCalendarAdvance(Calendar,X2857,W2858,"f",FALSE)</f>
        <v>58874</v>
      </c>
      <c r="Y2858" s="204">
        <f>_xll.qlCalendarAdvance(Calendar,X2858,NDays&amp;"D")</f>
        <v>58876</v>
      </c>
      <c r="Z2858" s="205">
        <v>3.0212128425656792E-2</v>
      </c>
      <c r="AA2858" s="207">
        <v>3.0177359049723407E-2</v>
      </c>
    </row>
    <row r="2859" spans="19:27" x14ac:dyDescent="0.2">
      <c r="S2859" s="165"/>
      <c r="T2859" s="166"/>
      <c r="W2859" s="199" t="str">
        <f t="shared" si="53"/>
        <v>1w</v>
      </c>
      <c r="X2859" s="200">
        <f>_xll.qlCalendarAdvance(Calendar,X2858,W2859,"f",FALSE)</f>
        <v>58881</v>
      </c>
      <c r="Y2859" s="204">
        <f>_xll.qlCalendarAdvance(Calendar,X2859,NDays&amp;"D")</f>
        <v>58883</v>
      </c>
      <c r="Z2859" s="205">
        <v>3.0208344220936729E-2</v>
      </c>
      <c r="AA2859" s="207">
        <v>3.0174629788586316E-2</v>
      </c>
    </row>
    <row r="2860" spans="19:27" x14ac:dyDescent="0.2">
      <c r="S2860" s="165"/>
      <c r="T2860" s="166"/>
      <c r="W2860" s="199" t="str">
        <f t="shared" si="53"/>
        <v>1w</v>
      </c>
      <c r="X2860" s="200">
        <f>_xll.qlCalendarAdvance(Calendar,X2859,W2860,"f",FALSE)</f>
        <v>58888</v>
      </c>
      <c r="Y2860" s="204">
        <f>_xll.qlCalendarAdvance(Calendar,X2860,NDays&amp;"D")</f>
        <v>58890</v>
      </c>
      <c r="Z2860" s="205">
        <v>3.0205649303648691E-2</v>
      </c>
      <c r="AA2860" s="207">
        <v>3.0171916514820651E-2</v>
      </c>
    </row>
    <row r="2861" spans="19:27" x14ac:dyDescent="0.2">
      <c r="S2861" s="165"/>
      <c r="T2861" s="166"/>
      <c r="W2861" s="199" t="str">
        <f t="shared" si="53"/>
        <v>1w</v>
      </c>
      <c r="X2861" s="200">
        <f>_xll.qlCalendarAdvance(Calendar,X2860,W2861,"f",FALSE)</f>
        <v>58895</v>
      </c>
      <c r="Y2861" s="204">
        <f>_xll.qlCalendarAdvance(Calendar,X2861,NDays&amp;"D")</f>
        <v>58897</v>
      </c>
      <c r="Z2861" s="205">
        <v>3.0204046431160647E-2</v>
      </c>
      <c r="AA2861" s="207">
        <v>3.0169219228426414E-2</v>
      </c>
    </row>
    <row r="2862" spans="19:27" x14ac:dyDescent="0.2">
      <c r="S2862" s="165"/>
      <c r="T2862" s="166"/>
      <c r="W2862" s="199" t="str">
        <f t="shared" si="53"/>
        <v>1w</v>
      </c>
      <c r="X2862" s="200">
        <f>_xll.qlCalendarAdvance(Calendar,X2861,W2862,"f",FALSE)</f>
        <v>58902</v>
      </c>
      <c r="Y2862" s="204">
        <f>_xll.qlCalendarAdvance(Calendar,X2862,NDays&amp;"D")</f>
        <v>58908</v>
      </c>
      <c r="Z2862" s="205">
        <v>3.0197715797373625E-2</v>
      </c>
      <c r="AA2862" s="207">
        <v>3.0165774780179788E-2</v>
      </c>
    </row>
    <row r="2863" spans="19:27" x14ac:dyDescent="0.2">
      <c r="S2863" s="165"/>
      <c r="T2863" s="166"/>
      <c r="W2863" s="199" t="str">
        <f t="shared" si="53"/>
        <v>1w</v>
      </c>
      <c r="X2863" s="200">
        <f>_xll.qlCalendarAdvance(Calendar,X2862,W2863,"f",FALSE)</f>
        <v>58909</v>
      </c>
      <c r="Y2863" s="204">
        <f>_xll.qlCalendarAdvance(Calendar,X2863,NDays&amp;"D")</f>
        <v>58911</v>
      </c>
      <c r="Z2863" s="205">
        <v>3.0197660720730938E-2</v>
      </c>
      <c r="AA2863" s="207">
        <v>3.0163872617432474E-2</v>
      </c>
    </row>
    <row r="2864" spans="19:27" x14ac:dyDescent="0.2">
      <c r="S2864" s="165"/>
      <c r="T2864" s="166"/>
      <c r="W2864" s="199" t="str">
        <f t="shared" si="53"/>
        <v>1w</v>
      </c>
      <c r="X2864" s="200">
        <f>_xll.qlCalendarAdvance(Calendar,X2863,W2864,"f",FALSE)</f>
        <v>58916</v>
      </c>
      <c r="Y2864" s="204">
        <f>_xll.qlCalendarAdvance(Calendar,X2864,NDays&amp;"D")</f>
        <v>58918</v>
      </c>
      <c r="Z2864" s="205">
        <v>3.0195029916034268E-2</v>
      </c>
      <c r="AA2864" s="207">
        <v>3.0161223293072581E-2</v>
      </c>
    </row>
    <row r="2865" spans="19:27" x14ac:dyDescent="0.2">
      <c r="S2865" s="165"/>
      <c r="T2865" s="166"/>
      <c r="W2865" s="199" t="str">
        <f t="shared" si="53"/>
        <v>1w</v>
      </c>
      <c r="X2865" s="200">
        <f>_xll.qlCalendarAdvance(Calendar,X2864,W2865,"f",FALSE)</f>
        <v>58923</v>
      </c>
      <c r="Y2865" s="204">
        <f>_xll.qlCalendarAdvance(Calendar,X2865,NDays&amp;"D")</f>
        <v>58925</v>
      </c>
      <c r="Z2865" s="205">
        <v>3.0193494851648017E-2</v>
      </c>
      <c r="AA2865" s="207">
        <v>3.0158215069961969E-2</v>
      </c>
    </row>
    <row r="2866" spans="19:27" x14ac:dyDescent="0.2">
      <c r="S2866" s="165"/>
      <c r="T2866" s="166"/>
      <c r="W2866" s="199" t="str">
        <f t="shared" si="53"/>
        <v>1w</v>
      </c>
      <c r="X2866" s="200">
        <f>_xll.qlCalendarAdvance(Calendar,X2865,W2866,"f",FALSE)</f>
        <v>58930</v>
      </c>
      <c r="Y2866" s="204">
        <f>_xll.qlCalendarAdvance(Calendar,X2866,NDays&amp;"D")</f>
        <v>58932</v>
      </c>
      <c r="Z2866" s="205">
        <v>3.018981639098775E-2</v>
      </c>
      <c r="AA2866" s="207">
        <v>3.0155972605987458E-2</v>
      </c>
    </row>
    <row r="2867" spans="19:27" x14ac:dyDescent="0.2">
      <c r="S2867" s="165"/>
      <c r="T2867" s="166"/>
      <c r="W2867" s="199" t="str">
        <f t="shared" si="53"/>
        <v>1w</v>
      </c>
      <c r="X2867" s="200">
        <f>_xll.qlCalendarAdvance(Calendar,X2866,W2867,"f",FALSE)</f>
        <v>58937</v>
      </c>
      <c r="Y2867" s="204">
        <f>_xll.qlCalendarAdvance(Calendar,X2867,NDays&amp;"D")</f>
        <v>58939</v>
      </c>
      <c r="Z2867" s="205">
        <v>3.01872336706147E-2</v>
      </c>
      <c r="AA2867" s="207">
        <v>3.0153371243581972E-2</v>
      </c>
    </row>
    <row r="2868" spans="19:27" x14ac:dyDescent="0.2">
      <c r="S2868" s="165"/>
      <c r="T2868" s="166"/>
      <c r="W2868" s="199" t="str">
        <f t="shared" si="53"/>
        <v>1w</v>
      </c>
      <c r="X2868" s="200">
        <f>_xll.qlCalendarAdvance(Calendar,X2867,W2868,"f",FALSE)</f>
        <v>58944</v>
      </c>
      <c r="Y2868" s="204">
        <f>_xll.qlCalendarAdvance(Calendar,X2868,NDays&amp;"D")</f>
        <v>58946</v>
      </c>
      <c r="Z2868" s="205">
        <v>3.0184666978334052E-2</v>
      </c>
      <c r="AA2868" s="207">
        <v>3.0150785868467977E-2</v>
      </c>
    </row>
    <row r="2869" spans="19:27" x14ac:dyDescent="0.2">
      <c r="S2869" s="165"/>
      <c r="T2869" s="166"/>
      <c r="W2869" s="199" t="str">
        <f t="shared" si="53"/>
        <v>1w</v>
      </c>
      <c r="X2869" s="200">
        <f>_xll.qlCalendarAdvance(Calendar,X2868,W2869,"f",FALSE)</f>
        <v>58951</v>
      </c>
      <c r="Y2869" s="204">
        <f>_xll.qlCalendarAdvance(Calendar,X2869,NDays&amp;"D")</f>
        <v>58953</v>
      </c>
      <c r="Z2869" s="205">
        <v>3.018211631412775E-2</v>
      </c>
      <c r="AA2869" s="207">
        <v>3.0147850730175563E-2</v>
      </c>
    </row>
    <row r="2870" spans="19:27" x14ac:dyDescent="0.2">
      <c r="S2870" s="165"/>
      <c r="T2870" s="166"/>
      <c r="W2870" s="199" t="str">
        <f t="shared" si="53"/>
        <v>1w</v>
      </c>
      <c r="X2870" s="200">
        <f>_xll.qlCalendarAdvance(Calendar,X2869,W2870,"f",FALSE)</f>
        <v>58958</v>
      </c>
      <c r="Y2870" s="204">
        <f>_xll.qlCalendarAdvance(Calendar,X2870,NDays&amp;"D")</f>
        <v>58960</v>
      </c>
      <c r="Z2870" s="205">
        <v>3.0180666040252324E-2</v>
      </c>
      <c r="AA2870" s="207">
        <v>3.0145663079954588E-2</v>
      </c>
    </row>
    <row r="2871" spans="19:27" x14ac:dyDescent="0.2">
      <c r="S2871" s="165"/>
      <c r="T2871" s="166"/>
      <c r="W2871" s="199" t="str">
        <f t="shared" si="53"/>
        <v>1w</v>
      </c>
      <c r="X2871" s="200">
        <f>_xll.qlCalendarAdvance(Calendar,X2870,W2871,"f",FALSE)</f>
        <v>58965</v>
      </c>
      <c r="Y2871" s="204">
        <f>_xll.qlCalendarAdvance(Calendar,X2871,NDays&amp;"D")</f>
        <v>58967</v>
      </c>
      <c r="Z2871" s="205">
        <v>3.0177063069902109E-2</v>
      </c>
      <c r="AA2871" s="207">
        <v>3.0143125666795001E-2</v>
      </c>
    </row>
    <row r="2872" spans="19:27" x14ac:dyDescent="0.2">
      <c r="S2872" s="165"/>
      <c r="T2872" s="166"/>
      <c r="W2872" s="199" t="str">
        <f t="shared" si="53"/>
        <v>1w</v>
      </c>
      <c r="X2872" s="200">
        <f>_xll.qlCalendarAdvance(Calendar,X2871,W2872,"f",FALSE)</f>
        <v>58972</v>
      </c>
      <c r="Y2872" s="204">
        <f>_xll.qlCalendarAdvance(Calendar,X2872,NDays&amp;"D")</f>
        <v>58974</v>
      </c>
      <c r="Z2872" s="205">
        <v>3.0174560489867296E-2</v>
      </c>
      <c r="AA2872" s="207">
        <v>3.0140604240846969E-2</v>
      </c>
    </row>
    <row r="2873" spans="19:27" x14ac:dyDescent="0.2">
      <c r="S2873" s="165"/>
      <c r="T2873" s="166"/>
      <c r="W2873" s="199" t="str">
        <f t="shared" si="53"/>
        <v>1w</v>
      </c>
      <c r="X2873" s="200">
        <f>_xll.qlCalendarAdvance(Calendar,X2872,W2873,"f",FALSE)</f>
        <v>58979</v>
      </c>
      <c r="Y2873" s="204">
        <f>_xll.qlCalendarAdvance(Calendar,X2873,NDays&amp;"D")</f>
        <v>58981</v>
      </c>
      <c r="Z2873" s="205">
        <v>3.0172073937865574E-2</v>
      </c>
      <c r="AA2873" s="207">
        <v>3.0138098802190427E-2</v>
      </c>
    </row>
    <row r="2874" spans="19:27" x14ac:dyDescent="0.2">
      <c r="S2874" s="165"/>
      <c r="T2874" s="166"/>
      <c r="W2874" s="199" t="str">
        <f t="shared" si="53"/>
        <v>1w</v>
      </c>
      <c r="X2874" s="200">
        <f>_xll.qlCalendarAdvance(Calendar,X2873,W2874,"f",FALSE)</f>
        <v>58986</v>
      </c>
      <c r="Y2874" s="204">
        <f>_xll.qlCalendarAdvance(Calendar,X2874,NDays&amp;"D")</f>
        <v>58988</v>
      </c>
      <c r="Z2874" s="205">
        <v>3.0169603413889211E-2</v>
      </c>
      <c r="AA2874" s="207">
        <v>3.0135609350905312E-2</v>
      </c>
    </row>
    <row r="2875" spans="19:27" x14ac:dyDescent="0.2">
      <c r="S2875" s="165"/>
      <c r="T2875" s="166"/>
      <c r="W2875" s="199" t="str">
        <f t="shared" si="53"/>
        <v>1w</v>
      </c>
      <c r="X2875" s="200">
        <f>_xll.qlCalendarAdvance(Calendar,X2874,W2875,"f",FALSE)</f>
        <v>58993</v>
      </c>
      <c r="Y2875" s="204">
        <f>_xll.qlCalendarAdvance(Calendar,X2875,NDays&amp;"D")</f>
        <v>58995</v>
      </c>
      <c r="Z2875" s="205">
        <v>3.0167148917925313E-2</v>
      </c>
      <c r="AA2875" s="207">
        <v>3.013313588707156E-2</v>
      </c>
    </row>
    <row r="2876" spans="19:27" x14ac:dyDescent="0.2">
      <c r="S2876" s="165"/>
      <c r="T2876" s="166"/>
      <c r="W2876" s="199" t="str">
        <f t="shared" si="53"/>
        <v>1w</v>
      </c>
      <c r="X2876" s="200">
        <f>_xll.qlCalendarAdvance(Calendar,X2875,W2876,"f",FALSE)</f>
        <v>59000</v>
      </c>
      <c r="Y2876" s="204">
        <f>_xll.qlCalendarAdvance(Calendar,X2876,NDays&amp;"D")</f>
        <v>59002</v>
      </c>
      <c r="Z2876" s="205">
        <v>3.0164710449966149E-2</v>
      </c>
      <c r="AA2876" s="207">
        <v>3.0130678410449363E-2</v>
      </c>
    </row>
    <row r="2877" spans="19:27" x14ac:dyDescent="0.2">
      <c r="S2877" s="165"/>
      <c r="T2877" s="166"/>
      <c r="W2877" s="199" t="str">
        <f t="shared" si="53"/>
        <v>1w</v>
      </c>
      <c r="X2877" s="200">
        <f>_xll.qlCalendarAdvance(Calendar,X2876,W2877,"f",FALSE)</f>
        <v>59007</v>
      </c>
      <c r="Y2877" s="204">
        <f>_xll.qlCalendarAdvance(Calendar,X2877,NDays&amp;"D")</f>
        <v>59009</v>
      </c>
      <c r="Z2877" s="205">
        <v>3.0162288010003976E-2</v>
      </c>
      <c r="AA2877" s="207">
        <v>3.012823692103872E-2</v>
      </c>
    </row>
    <row r="2878" spans="19:27" x14ac:dyDescent="0.2">
      <c r="S2878" s="165"/>
      <c r="T2878" s="166"/>
      <c r="W2878" s="199" t="str">
        <f t="shared" si="53"/>
        <v>1w</v>
      </c>
      <c r="X2878" s="200">
        <f>_xll.qlCalendarAdvance(Calendar,X2877,W2878,"f",FALSE)</f>
        <v>59014</v>
      </c>
      <c r="Y2878" s="204">
        <f>_xll.qlCalendarAdvance(Calendar,X2878,NDays&amp;"D")</f>
        <v>59016</v>
      </c>
      <c r="Z2878" s="205">
        <v>3.0162065495009865E-2</v>
      </c>
      <c r="AA2878" s="207">
        <v>3.0125811419239312E-2</v>
      </c>
    </row>
    <row r="2879" spans="19:27" x14ac:dyDescent="0.2">
      <c r="S2879" s="165"/>
      <c r="T2879" s="166"/>
      <c r="W2879" s="199" t="str">
        <f t="shared" si="53"/>
        <v>1w</v>
      </c>
      <c r="X2879" s="200">
        <f>_xll.qlCalendarAdvance(Calendar,X2878,W2879,"f",FALSE)</f>
        <v>59021</v>
      </c>
      <c r="Y2879" s="204">
        <f>_xll.qlCalendarAdvance(Calendar,X2879,NDays&amp;"D")</f>
        <v>59023</v>
      </c>
      <c r="Z2879" s="205">
        <v>3.0158584031982905E-2</v>
      </c>
      <c r="AA2879" s="207">
        <v>3.0123401904491587E-2</v>
      </c>
    </row>
    <row r="2880" spans="19:27" x14ac:dyDescent="0.2">
      <c r="S2880" s="165"/>
      <c r="T2880" s="166"/>
      <c r="W2880" s="199" t="str">
        <f t="shared" si="53"/>
        <v>1w</v>
      </c>
      <c r="X2880" s="200">
        <f>_xll.qlCalendarAdvance(Calendar,X2879,W2880,"f",FALSE)</f>
        <v>59028</v>
      </c>
      <c r="Y2880" s="204">
        <f>_xll.qlCalendarAdvance(Calendar,X2880,NDays&amp;"D")</f>
        <v>59030</v>
      </c>
      <c r="Z2880" s="205">
        <v>3.0155116857980807E-2</v>
      </c>
      <c r="AA2880" s="207">
        <v>3.0121008377195224E-2</v>
      </c>
    </row>
    <row r="2881" spans="19:27" x14ac:dyDescent="0.2">
      <c r="S2881" s="165"/>
      <c r="T2881" s="166"/>
      <c r="W2881" s="199" t="str">
        <f t="shared" si="53"/>
        <v>1w</v>
      </c>
      <c r="X2881" s="200">
        <f>_xll.qlCalendarAdvance(Calendar,X2880,W2881,"f",FALSE)</f>
        <v>59035</v>
      </c>
      <c r="Y2881" s="204">
        <f>_xll.qlCalendarAdvance(Calendar,X2881,NDays&amp;"D")</f>
        <v>59037</v>
      </c>
      <c r="Z2881" s="205">
        <v>3.0152758529898311E-2</v>
      </c>
      <c r="AA2881" s="207">
        <v>3.011863083703048E-2</v>
      </c>
    </row>
    <row r="2882" spans="19:27" x14ac:dyDescent="0.2">
      <c r="S2882" s="165"/>
      <c r="T2882" s="166"/>
      <c r="W2882" s="199" t="str">
        <f t="shared" si="53"/>
        <v>1w</v>
      </c>
      <c r="X2882" s="200">
        <f>_xll.qlCalendarAdvance(Calendar,X2881,W2882,"f",FALSE)</f>
        <v>59042</v>
      </c>
      <c r="Y2882" s="204">
        <f>_xll.qlCalendarAdvance(Calendar,X2882,NDays&amp;"D")</f>
        <v>59044</v>
      </c>
      <c r="Z2882" s="205">
        <v>3.0150416229761237E-2</v>
      </c>
      <c r="AA2882" s="207">
        <v>3.0115933224736935E-2</v>
      </c>
    </row>
    <row r="2883" spans="19:27" x14ac:dyDescent="0.2">
      <c r="S2883" s="165"/>
      <c r="T2883" s="166"/>
      <c r="W2883" s="199" t="str">
        <f t="shared" si="53"/>
        <v>1w</v>
      </c>
      <c r="X2883" s="200">
        <f>_xll.qlCalendarAdvance(Calendar,X2882,W2883,"f",FALSE)</f>
        <v>59049</v>
      </c>
      <c r="Y2883" s="204">
        <f>_xll.qlCalendarAdvance(Calendar,X2883,NDays&amp;"D")</f>
        <v>59051</v>
      </c>
      <c r="Z2883" s="205">
        <v>3.0148089957559271E-2</v>
      </c>
      <c r="AA2883" s="207">
        <v>3.0113923718975144E-2</v>
      </c>
    </row>
    <row r="2884" spans="19:27" x14ac:dyDescent="0.2">
      <c r="S2884" s="165"/>
      <c r="T2884" s="166"/>
      <c r="W2884" s="199" t="str">
        <f t="shared" si="53"/>
        <v>1w</v>
      </c>
      <c r="X2884" s="200">
        <f>_xll.qlCalendarAdvance(Calendar,X2883,W2884,"f",FALSE)</f>
        <v>59056</v>
      </c>
      <c r="Y2884" s="204">
        <f>_xll.qlCalendarAdvance(Calendar,X2884,NDays&amp;"D")</f>
        <v>59058</v>
      </c>
      <c r="Z2884" s="205">
        <v>3.0146877276328032E-2</v>
      </c>
      <c r="AA2884" s="207">
        <v>3.0111594140844744E-2</v>
      </c>
    </row>
    <row r="2885" spans="19:27" x14ac:dyDescent="0.2">
      <c r="S2885" s="165"/>
      <c r="T2885" s="166"/>
      <c r="W2885" s="199" t="str">
        <f t="shared" si="53"/>
        <v>1w</v>
      </c>
      <c r="X2885" s="200">
        <f>_xll.qlCalendarAdvance(Calendar,X2884,W2885,"f",FALSE)</f>
        <v>59063</v>
      </c>
      <c r="Y2885" s="204">
        <f>_xll.qlCalendarAdvance(Calendar,X2885,NDays&amp;"D")</f>
        <v>59065</v>
      </c>
      <c r="Z2885" s="205">
        <v>3.0143485496919406E-2</v>
      </c>
      <c r="AA2885" s="207">
        <v>3.0109280550085771E-2</v>
      </c>
    </row>
    <row r="2886" spans="19:27" x14ac:dyDescent="0.2">
      <c r="S2886" s="165"/>
      <c r="T2886" s="166"/>
      <c r="W2886" s="199" t="str">
        <f t="shared" si="53"/>
        <v>1w</v>
      </c>
      <c r="X2886" s="200">
        <f>_xll.qlCalendarAdvance(Calendar,X2885,W2886,"f",FALSE)</f>
        <v>59070</v>
      </c>
      <c r="Y2886" s="204">
        <f>_xll.qlCalendarAdvance(Calendar,X2886,NDays&amp;"D")</f>
        <v>59072</v>
      </c>
      <c r="Z2886" s="205">
        <v>3.0141207308466037E-2</v>
      </c>
      <c r="AA2886" s="207">
        <v>3.0106982946618288E-2</v>
      </c>
    </row>
    <row r="2887" spans="19:27" x14ac:dyDescent="0.2">
      <c r="S2887" s="165"/>
      <c r="T2887" s="166"/>
      <c r="W2887" s="199" t="str">
        <f t="shared" si="53"/>
        <v>1w</v>
      </c>
      <c r="X2887" s="200">
        <f>_xll.qlCalendarAdvance(Calendar,X2886,W2887,"f",FALSE)</f>
        <v>59077</v>
      </c>
      <c r="Y2887" s="204">
        <f>_xll.qlCalendarAdvance(Calendar,X2887,NDays&amp;"D")</f>
        <v>59079</v>
      </c>
      <c r="Z2887" s="205">
        <v>3.0138945147909098E-2</v>
      </c>
      <c r="AA2887" s="207">
        <v>3.0104701330602168E-2</v>
      </c>
    </row>
    <row r="2888" spans="19:27" x14ac:dyDescent="0.2">
      <c r="S2888" s="165"/>
      <c r="T2888" s="166"/>
      <c r="W2888" s="199" t="str">
        <f t="shared" si="53"/>
        <v>1w</v>
      </c>
      <c r="X2888" s="200">
        <f>_xll.qlCalendarAdvance(Calendar,X2887,W2888,"f",FALSE)</f>
        <v>59084</v>
      </c>
      <c r="Y2888" s="204">
        <f>_xll.qlCalendarAdvance(Calendar,X2888,NDays&amp;"D")</f>
        <v>59086</v>
      </c>
      <c r="Z2888" s="205">
        <v>3.013669901524085E-2</v>
      </c>
      <c r="AA2888" s="207">
        <v>3.0102435701637731E-2</v>
      </c>
    </row>
    <row r="2889" spans="19:27" x14ac:dyDescent="0.2">
      <c r="S2889" s="165"/>
      <c r="T2889" s="166"/>
      <c r="W2889" s="199" t="str">
        <f t="shared" si="53"/>
        <v>1w</v>
      </c>
      <c r="X2889" s="200">
        <f>_xll.qlCalendarAdvance(Calendar,X2888,W2889,"f",FALSE)</f>
        <v>59091</v>
      </c>
      <c r="Y2889" s="204">
        <f>_xll.qlCalendarAdvance(Calendar,X2889,NDays&amp;"D")</f>
        <v>59093</v>
      </c>
      <c r="Z2889" s="205">
        <v>3.0134468910445824E-2</v>
      </c>
      <c r="AA2889" s="207">
        <v>3.0100186060284528E-2</v>
      </c>
    </row>
    <row r="2890" spans="19:27" x14ac:dyDescent="0.2">
      <c r="S2890" s="165"/>
      <c r="T2890" s="166"/>
      <c r="W2890" s="199" t="str">
        <f t="shared" si="53"/>
        <v>1w</v>
      </c>
      <c r="X2890" s="200">
        <f>_xll.qlCalendarAdvance(Calendar,X2889,W2890,"f",FALSE)</f>
        <v>59098</v>
      </c>
      <c r="Y2890" s="204">
        <f>_xll.qlCalendarAdvance(Calendar,X2890,NDays&amp;"D")</f>
        <v>59100</v>
      </c>
      <c r="Z2890" s="205">
        <v>3.0132254833531758E-2</v>
      </c>
      <c r="AA2890" s="207">
        <v>3.0097952405983008E-2</v>
      </c>
    </row>
    <row r="2891" spans="19:27" x14ac:dyDescent="0.2">
      <c r="S2891" s="165"/>
      <c r="T2891" s="166"/>
      <c r="W2891" s="199" t="str">
        <f t="shared" si="53"/>
        <v>1w</v>
      </c>
      <c r="X2891" s="200">
        <f>_xll.qlCalendarAdvance(Calendar,X2890,W2891,"f",FALSE)</f>
        <v>59105</v>
      </c>
      <c r="Y2891" s="204">
        <f>_xll.qlCalendarAdvance(Calendar,X2891,NDays&amp;"D")</f>
        <v>59107</v>
      </c>
      <c r="Z2891" s="205">
        <v>3.0130056784472864E-2</v>
      </c>
      <c r="AA2891" s="207">
        <v>3.0095734738972979E-2</v>
      </c>
    </row>
    <row r="2892" spans="19:27" x14ac:dyDescent="0.2">
      <c r="S2892" s="165"/>
      <c r="T2892" s="166"/>
      <c r="W2892" s="199" t="str">
        <f t="shared" si="53"/>
        <v>1w</v>
      </c>
      <c r="X2892" s="200">
        <f>_xll.qlCalendarAdvance(Calendar,X2891,W2892,"f",FALSE)</f>
        <v>59112</v>
      </c>
      <c r="Y2892" s="204">
        <f>_xll.qlCalendarAdvance(Calendar,X2892,NDays&amp;"D")</f>
        <v>59114</v>
      </c>
      <c r="Z2892" s="205">
        <v>3.0127874763266563E-2</v>
      </c>
      <c r="AA2892" s="207">
        <v>3.0093533059494249E-2</v>
      </c>
    </row>
    <row r="2893" spans="19:27" x14ac:dyDescent="0.2">
      <c r="S2893" s="165"/>
      <c r="T2893" s="166"/>
      <c r="W2893" s="199" t="str">
        <f t="shared" si="53"/>
        <v>1w</v>
      </c>
      <c r="X2893" s="200">
        <f>_xll.qlCalendarAdvance(Calendar,X2892,W2893,"f",FALSE)</f>
        <v>59119</v>
      </c>
      <c r="Y2893" s="204">
        <f>_xll.qlCalendarAdvance(Calendar,X2893,NDays&amp;"D")</f>
        <v>59121</v>
      </c>
      <c r="Z2893" s="205">
        <v>3.0123678944154797E-2</v>
      </c>
      <c r="AA2893" s="207">
        <v>3.0091347367227073E-2</v>
      </c>
    </row>
    <row r="2894" spans="19:27" x14ac:dyDescent="0.2">
      <c r="S2894" s="165"/>
      <c r="T2894" s="166"/>
      <c r="W2894" s="199" t="str">
        <f t="shared" si="53"/>
        <v>1w</v>
      </c>
      <c r="X2894" s="200">
        <f>_xll.qlCalendarAdvance(Calendar,X2893,W2894,"f",FALSE)</f>
        <v>59126</v>
      </c>
      <c r="Y2894" s="204">
        <f>_xll.qlCalendarAdvance(Calendar,X2894,NDays&amp;"D")</f>
        <v>59128</v>
      </c>
      <c r="Z2894" s="205">
        <v>3.0123558804370482E-2</v>
      </c>
      <c r="AA2894" s="207">
        <v>3.0089177662331323E-2</v>
      </c>
    </row>
    <row r="2895" spans="19:27" x14ac:dyDescent="0.2">
      <c r="S2895" s="165"/>
      <c r="T2895" s="166"/>
      <c r="W2895" s="199" t="str">
        <f t="shared" si="53"/>
        <v>1w</v>
      </c>
      <c r="X2895" s="200">
        <f>_xll.qlCalendarAdvance(Calendar,X2894,W2895,"f",FALSE)</f>
        <v>59133</v>
      </c>
      <c r="Y2895" s="204">
        <f>_xll.qlCalendarAdvance(Calendar,X2895,NDays&amp;"D")</f>
        <v>59135</v>
      </c>
      <c r="Z2895" s="205">
        <v>3.0123641263395194E-2</v>
      </c>
      <c r="AA2895" s="207">
        <v>3.0087023944647129E-2</v>
      </c>
    </row>
    <row r="2896" spans="19:27" x14ac:dyDescent="0.2">
      <c r="S2896" s="165"/>
      <c r="T2896" s="166"/>
      <c r="W2896" s="199" t="str">
        <f t="shared" si="53"/>
        <v>1w</v>
      </c>
      <c r="X2896" s="200">
        <f>_xll.qlCalendarAdvance(Calendar,X2895,W2896,"f",FALSE)</f>
        <v>59140</v>
      </c>
      <c r="Y2896" s="204">
        <f>_xll.qlCalendarAdvance(Calendar,X2896,NDays&amp;"D")</f>
        <v>59142</v>
      </c>
      <c r="Z2896" s="205">
        <v>3.0120416046108545E-2</v>
      </c>
      <c r="AA2896" s="207">
        <v>3.0084886214414297E-2</v>
      </c>
    </row>
    <row r="2897" spans="19:27" x14ac:dyDescent="0.2">
      <c r="S2897" s="165"/>
      <c r="T2897" s="166"/>
      <c r="W2897" s="199" t="str">
        <f t="shared" si="53"/>
        <v>1w</v>
      </c>
      <c r="X2897" s="200">
        <f>_xll.qlCalendarAdvance(Calendar,X2896,W2897,"f",FALSE)</f>
        <v>59147</v>
      </c>
      <c r="Y2897" s="204">
        <f>_xll.qlCalendarAdvance(Calendar,X2897,NDays&amp;"D")</f>
        <v>59149</v>
      </c>
      <c r="Z2897" s="205">
        <v>3.0117205074686165E-2</v>
      </c>
      <c r="AA2897" s="207">
        <v>3.008276447139302E-2</v>
      </c>
    </row>
    <row r="2898" spans="19:27" x14ac:dyDescent="0.2">
      <c r="S2898" s="165"/>
      <c r="T2898" s="166"/>
      <c r="W2898" s="199" t="str">
        <f t="shared" si="53"/>
        <v>1w</v>
      </c>
      <c r="X2898" s="200">
        <f>_xll.qlCalendarAdvance(Calendar,X2897,W2898,"f",FALSE)</f>
        <v>59154</v>
      </c>
      <c r="Y2898" s="204">
        <f>_xll.qlCalendarAdvance(Calendar,X2898,NDays&amp;"D")</f>
        <v>59156</v>
      </c>
      <c r="Z2898" s="205">
        <v>3.0116230249716547E-2</v>
      </c>
      <c r="AA2898" s="207">
        <v>3.0080658715663233E-2</v>
      </c>
    </row>
    <row r="2899" spans="19:27" x14ac:dyDescent="0.2">
      <c r="S2899" s="165"/>
      <c r="T2899" s="166"/>
      <c r="W2899" s="199" t="str">
        <f t="shared" si="53"/>
        <v>1w</v>
      </c>
      <c r="X2899" s="200">
        <f>_xll.qlCalendarAdvance(Calendar,X2898,W2899,"f",FALSE)</f>
        <v>59161</v>
      </c>
      <c r="Y2899" s="204">
        <f>_xll.qlCalendarAdvance(Calendar,X2899,NDays&amp;"D")</f>
        <v>59163</v>
      </c>
      <c r="Z2899" s="205">
        <v>3.0113049393903447E-2</v>
      </c>
      <c r="AA2899" s="207">
        <v>3.0077974807127816E-2</v>
      </c>
    </row>
    <row r="2900" spans="19:27" x14ac:dyDescent="0.2">
      <c r="S2900" s="165"/>
      <c r="T2900" s="166"/>
      <c r="W2900" s="199" t="str">
        <f t="shared" si="53"/>
        <v>1w</v>
      </c>
      <c r="X2900" s="200">
        <f>_xll.qlCalendarAdvance(Calendar,X2899,W2900,"f",FALSE)</f>
        <v>59168</v>
      </c>
      <c r="Y2900" s="204">
        <f>_xll.qlCalendarAdvance(Calendar,X2900,NDays&amp;"D")</f>
        <v>59170</v>
      </c>
      <c r="Z2900" s="205">
        <v>3.0112108569876617E-2</v>
      </c>
      <c r="AA2900" s="207">
        <v>3.0076200216733184E-2</v>
      </c>
    </row>
    <row r="2901" spans="19:27" x14ac:dyDescent="0.2">
      <c r="S2901" s="165"/>
      <c r="T2901" s="166"/>
      <c r="W2901" s="199" t="str">
        <f t="shared" ref="W2901:W2964" si="54">W2900</f>
        <v>1w</v>
      </c>
      <c r="X2901" s="200">
        <f>_xll.qlCalendarAdvance(Calendar,X2900,W2901,"f",FALSE)</f>
        <v>59175</v>
      </c>
      <c r="Y2901" s="204">
        <f>_xll.qlCalendarAdvance(Calendar,X2901,NDays&amp;"D")</f>
        <v>59177</v>
      </c>
      <c r="Z2901" s="205">
        <v>3.0108957824247461E-2</v>
      </c>
      <c r="AA2901" s="207">
        <v>3.0074437372462626E-2</v>
      </c>
    </row>
    <row r="2902" spans="19:27" x14ac:dyDescent="0.2">
      <c r="S2902" s="165"/>
      <c r="T2902" s="166"/>
      <c r="W2902" s="199" t="str">
        <f t="shared" si="54"/>
        <v>1w</v>
      </c>
      <c r="X2902" s="200">
        <f>_xll.qlCalendarAdvance(Calendar,X2901,W2902,"f",FALSE)</f>
        <v>59182</v>
      </c>
      <c r="Y2902" s="204">
        <f>_xll.qlCalendarAdvance(Calendar,X2902,NDays&amp;"D")</f>
        <v>59184</v>
      </c>
      <c r="Z2902" s="205">
        <v>3.0106936081069426E-2</v>
      </c>
      <c r="AA2902" s="207">
        <v>3.0072395565898802E-2</v>
      </c>
    </row>
    <row r="2903" spans="19:27" x14ac:dyDescent="0.2">
      <c r="S2903" s="165"/>
      <c r="T2903" s="166"/>
      <c r="W2903" s="199" t="str">
        <f t="shared" si="54"/>
        <v>1w</v>
      </c>
      <c r="X2903" s="200">
        <f>_xll.qlCalendarAdvance(Calendar,X2902,W2903,"f",FALSE)</f>
        <v>59189</v>
      </c>
      <c r="Y2903" s="204">
        <f>_xll.qlCalendarAdvance(Calendar,X2903,NDays&amp;"D")</f>
        <v>59191</v>
      </c>
      <c r="Z2903" s="205">
        <v>3.0106046268530695E-2</v>
      </c>
      <c r="AA2903" s="207">
        <v>3.0070369746706405E-2</v>
      </c>
    </row>
    <row r="2904" spans="19:27" x14ac:dyDescent="0.2">
      <c r="S2904" s="165"/>
      <c r="T2904" s="166"/>
      <c r="W2904" s="199" t="str">
        <f t="shared" si="54"/>
        <v>1w</v>
      </c>
      <c r="X2904" s="200">
        <f>_xll.qlCalendarAdvance(Calendar,X2903,W2904,"f",FALSE)</f>
        <v>59196</v>
      </c>
      <c r="Y2904" s="204">
        <f>_xll.qlCalendarAdvance(Calendar,X2904,NDays&amp;"D")</f>
        <v>59198</v>
      </c>
      <c r="Z2904" s="205">
        <v>3.0102940677974605E-2</v>
      </c>
      <c r="AA2904" s="207">
        <v>3.0068359915125242E-2</v>
      </c>
    </row>
    <row r="2905" spans="19:27" x14ac:dyDescent="0.2">
      <c r="S2905" s="165"/>
      <c r="T2905" s="166"/>
      <c r="W2905" s="199" t="str">
        <f t="shared" si="54"/>
        <v>1w</v>
      </c>
      <c r="X2905" s="200">
        <f>_xll.qlCalendarAdvance(Calendar,X2904,W2905,"f",FALSE)</f>
        <v>59203</v>
      </c>
      <c r="Y2905" s="204">
        <f>_xll.qlCalendarAdvance(Calendar,X2905,NDays&amp;"D")</f>
        <v>59205</v>
      </c>
      <c r="Z2905" s="205">
        <v>3.0097614367071861E-2</v>
      </c>
      <c r="AA2905" s="207">
        <v>3.006636607043589E-2</v>
      </c>
    </row>
    <row r="2906" spans="19:27" x14ac:dyDescent="0.2">
      <c r="S2906" s="165"/>
      <c r="T2906" s="166"/>
      <c r="W2906" s="199" t="str">
        <f t="shared" si="54"/>
        <v>1w</v>
      </c>
      <c r="X2906" s="200">
        <f>_xll.qlCalendarAdvance(Calendar,X2905,W2906,"f",FALSE)</f>
        <v>59210</v>
      </c>
      <c r="Y2906" s="204">
        <f>_xll.qlCalendarAdvance(Calendar,X2906,NDays&amp;"D")</f>
        <v>59212</v>
      </c>
      <c r="Z2906" s="205">
        <v>3.0095653791569914E-2</v>
      </c>
      <c r="AA2906" s="207">
        <v>3.0064388213197901E-2</v>
      </c>
    </row>
    <row r="2907" spans="19:27" x14ac:dyDescent="0.2">
      <c r="S2907" s="165"/>
      <c r="T2907" s="166"/>
      <c r="W2907" s="199" t="str">
        <f t="shared" si="54"/>
        <v>1w</v>
      </c>
      <c r="X2907" s="200">
        <f>_xll.qlCalendarAdvance(Calendar,X2906,W2907,"f",FALSE)</f>
        <v>59217</v>
      </c>
      <c r="Y2907" s="204">
        <f>_xll.qlCalendarAdvance(Calendar,X2907,NDays&amp;"D")</f>
        <v>59219</v>
      </c>
      <c r="Z2907" s="205">
        <v>3.0093709239741782E-2</v>
      </c>
      <c r="AA2907" s="207">
        <v>3.0062426343411275E-2</v>
      </c>
    </row>
    <row r="2908" spans="19:27" x14ac:dyDescent="0.2">
      <c r="S2908" s="165"/>
      <c r="T2908" s="166"/>
      <c r="W2908" s="199" t="str">
        <f t="shared" si="54"/>
        <v>1w</v>
      </c>
      <c r="X2908" s="200">
        <f>_xll.qlCalendarAdvance(Calendar,X2907,W2908,"f",FALSE)</f>
        <v>59224</v>
      </c>
      <c r="Y2908" s="204">
        <f>_xll.qlCalendarAdvance(Calendar,X2908,NDays&amp;"D")</f>
        <v>59226</v>
      </c>
      <c r="Z2908" s="205">
        <v>3.0096263014768587E-2</v>
      </c>
      <c r="AA2908" s="207">
        <v>3.0060480460756267E-2</v>
      </c>
    </row>
    <row r="2909" spans="19:27" x14ac:dyDescent="0.2">
      <c r="S2909" s="165"/>
      <c r="T2909" s="166"/>
      <c r="W2909" s="199" t="str">
        <f t="shared" si="54"/>
        <v>1w</v>
      </c>
      <c r="X2909" s="200">
        <f>_xll.qlCalendarAdvance(Calendar,X2908,W2909,"f",FALSE)</f>
        <v>59231</v>
      </c>
      <c r="Y2909" s="204">
        <f>_xll.qlCalendarAdvance(Calendar,X2909,NDays&amp;"D")</f>
        <v>59233</v>
      </c>
      <c r="Z2909" s="205">
        <v>3.0093232655537056E-2</v>
      </c>
      <c r="AA2909" s="207">
        <v>3.005855056539275E-2</v>
      </c>
    </row>
    <row r="2910" spans="19:27" x14ac:dyDescent="0.2">
      <c r="S2910" s="165"/>
      <c r="T2910" s="166"/>
      <c r="W2910" s="199" t="str">
        <f t="shared" si="54"/>
        <v>1w</v>
      </c>
      <c r="X2910" s="200">
        <f>_xll.qlCalendarAdvance(Calendar,X2909,W2910,"f",FALSE)</f>
        <v>59238</v>
      </c>
      <c r="Y2910" s="204">
        <f>_xll.qlCalendarAdvance(Calendar,X2910,NDays&amp;"D")</f>
        <v>59240</v>
      </c>
      <c r="Z2910" s="205">
        <v>3.009133913417928E-2</v>
      </c>
      <c r="AA2910" s="207">
        <v>3.0056636657320723E-2</v>
      </c>
    </row>
    <row r="2911" spans="19:27" x14ac:dyDescent="0.2">
      <c r="S2911" s="165"/>
      <c r="T2911" s="166"/>
      <c r="W2911" s="199" t="str">
        <f t="shared" si="54"/>
        <v>1w</v>
      </c>
      <c r="X2911" s="200">
        <f>_xll.qlCalendarAdvance(Calendar,X2910,W2911,"f",FALSE)</f>
        <v>59245</v>
      </c>
      <c r="Y2911" s="204">
        <f>_xll.qlCalendarAdvance(Calendar,X2911,NDays&amp;"D")</f>
        <v>59247</v>
      </c>
      <c r="Z2911" s="205">
        <v>3.0089461640514226E-2</v>
      </c>
      <c r="AA2911" s="207">
        <v>3.0054738736779996E-2</v>
      </c>
    </row>
    <row r="2912" spans="19:27" x14ac:dyDescent="0.2">
      <c r="S2912" s="165"/>
      <c r="T2912" s="166"/>
      <c r="W2912" s="199" t="str">
        <f t="shared" si="54"/>
        <v>1w</v>
      </c>
      <c r="X2912" s="200">
        <f>_xll.qlCalendarAdvance(Calendar,X2911,W2912,"f",FALSE)</f>
        <v>59252</v>
      </c>
      <c r="Y2912" s="204">
        <f>_xll.qlCalendarAdvance(Calendar,X2912,NDays&amp;"D")</f>
        <v>59258</v>
      </c>
      <c r="Z2912" s="205">
        <v>3.008654367578761E-2</v>
      </c>
      <c r="AA2912" s="207">
        <v>3.0052322044573643E-2</v>
      </c>
    </row>
    <row r="2913" spans="19:27" x14ac:dyDescent="0.2">
      <c r="S2913" s="165"/>
      <c r="T2913" s="166"/>
      <c r="W2913" s="199" t="str">
        <f t="shared" si="54"/>
        <v>1w</v>
      </c>
      <c r="X2913" s="200">
        <f>_xll.qlCalendarAdvance(Calendar,X2912,W2913,"f",FALSE)</f>
        <v>59259</v>
      </c>
      <c r="Y2913" s="204">
        <f>_xll.qlCalendarAdvance(Calendar,X2913,NDays&amp;"D")</f>
        <v>59261</v>
      </c>
      <c r="Z2913" s="205">
        <v>3.0082378425631946E-2</v>
      </c>
      <c r="AA2913" s="207">
        <v>3.005099085741314E-2</v>
      </c>
    </row>
    <row r="2914" spans="19:27" x14ac:dyDescent="0.2">
      <c r="S2914" s="165"/>
      <c r="T2914" s="166"/>
      <c r="W2914" s="199" t="str">
        <f t="shared" si="54"/>
        <v>1w</v>
      </c>
      <c r="X2914" s="200">
        <f>_xll.qlCalendarAdvance(Calendar,X2913,W2914,"f",FALSE)</f>
        <v>59266</v>
      </c>
      <c r="Y2914" s="204">
        <f>_xll.qlCalendarAdvance(Calendar,X2914,NDays&amp;"D")</f>
        <v>59268</v>
      </c>
      <c r="Z2914" s="205">
        <v>3.0083925325590306E-2</v>
      </c>
      <c r="AA2914" s="207">
        <v>3.0049140898666948E-2</v>
      </c>
    </row>
    <row r="2915" spans="19:27" x14ac:dyDescent="0.2">
      <c r="S2915" s="165"/>
      <c r="T2915" s="166"/>
      <c r="W2915" s="199" t="str">
        <f t="shared" si="54"/>
        <v>1w</v>
      </c>
      <c r="X2915" s="200">
        <f>_xll.qlCalendarAdvance(Calendar,X2914,W2915,"f",FALSE)</f>
        <v>59273</v>
      </c>
      <c r="Y2915" s="204">
        <f>_xll.qlCalendarAdvance(Calendar,X2915,NDays&amp;"D")</f>
        <v>59275</v>
      </c>
      <c r="Z2915" s="205">
        <v>3.0082111942611043E-2</v>
      </c>
      <c r="AA2915" s="207">
        <v>3.0047306927132311E-2</v>
      </c>
    </row>
    <row r="2916" spans="19:27" x14ac:dyDescent="0.2">
      <c r="S2916" s="165"/>
      <c r="T2916" s="166"/>
      <c r="W2916" s="199" t="str">
        <f t="shared" si="54"/>
        <v>1w</v>
      </c>
      <c r="X2916" s="200">
        <f>_xll.qlCalendarAdvance(Calendar,X2915,W2916,"f",FALSE)</f>
        <v>59280</v>
      </c>
      <c r="Y2916" s="204">
        <f>_xll.qlCalendarAdvance(Calendar,X2916,NDays&amp;"D")</f>
        <v>59282</v>
      </c>
      <c r="Z2916" s="205">
        <v>3.0080314587288406E-2</v>
      </c>
      <c r="AA2916" s="207">
        <v>3.0045488943049037E-2</v>
      </c>
    </row>
    <row r="2917" spans="19:27" x14ac:dyDescent="0.2">
      <c r="S2917" s="165"/>
      <c r="T2917" s="166"/>
      <c r="W2917" s="199" t="str">
        <f t="shared" si="54"/>
        <v>1w</v>
      </c>
      <c r="X2917" s="200">
        <f>_xll.qlCalendarAdvance(Calendar,X2916,W2917,"f",FALSE)</f>
        <v>59287</v>
      </c>
      <c r="Y2917" s="204">
        <f>_xll.qlCalendarAdvance(Calendar,X2917,NDays&amp;"D")</f>
        <v>59289</v>
      </c>
      <c r="Z2917" s="205">
        <v>3.0080792873921073E-2</v>
      </c>
      <c r="AA2917" s="207">
        <v>3.0043430823294415E-2</v>
      </c>
    </row>
    <row r="2918" spans="19:27" x14ac:dyDescent="0.2">
      <c r="S2918" s="165"/>
      <c r="T2918" s="166"/>
      <c r="W2918" s="199" t="str">
        <f t="shared" si="54"/>
        <v>1w</v>
      </c>
      <c r="X2918" s="200">
        <f>_xll.qlCalendarAdvance(Calendar,X2917,W2918,"f",FALSE)</f>
        <v>59294</v>
      </c>
      <c r="Y2918" s="204">
        <f>_xll.qlCalendarAdvance(Calendar,X2918,NDays&amp;"D")</f>
        <v>59296</v>
      </c>
      <c r="Z2918" s="205">
        <v>3.0076767959574313E-2</v>
      </c>
      <c r="AA2918" s="207">
        <v>3.0041900936677024E-2</v>
      </c>
    </row>
    <row r="2919" spans="19:27" x14ac:dyDescent="0.2">
      <c r="S2919" s="165"/>
      <c r="T2919" s="166"/>
      <c r="W2919" s="199" t="str">
        <f t="shared" si="54"/>
        <v>1w</v>
      </c>
      <c r="X2919" s="200">
        <f>_xll.qlCalendarAdvance(Calendar,X2918,W2919,"f",FALSE)</f>
        <v>59301</v>
      </c>
      <c r="Y2919" s="204">
        <f>_xll.qlCalendarAdvance(Calendar,X2919,NDays&amp;"D")</f>
        <v>59303</v>
      </c>
      <c r="Z2919" s="205">
        <v>3.0075018687164806E-2</v>
      </c>
      <c r="AA2919" s="207">
        <v>3.0040130914548158E-2</v>
      </c>
    </row>
    <row r="2920" spans="19:27" x14ac:dyDescent="0.2">
      <c r="S2920" s="165"/>
      <c r="T2920" s="166"/>
      <c r="W2920" s="199" t="str">
        <f t="shared" si="54"/>
        <v>1w</v>
      </c>
      <c r="X2920" s="200">
        <f>_xll.qlCalendarAdvance(Calendar,X2919,W2920,"f",FALSE)</f>
        <v>59308</v>
      </c>
      <c r="Y2920" s="204">
        <f>_xll.qlCalendarAdvance(Calendar,X2920,NDays&amp;"D")</f>
        <v>59310</v>
      </c>
      <c r="Z2920" s="205">
        <v>3.007328544238614E-2</v>
      </c>
      <c r="AA2920" s="207">
        <v>3.0038376879470974E-2</v>
      </c>
    </row>
    <row r="2921" spans="19:27" x14ac:dyDescent="0.2">
      <c r="S2921" s="165"/>
      <c r="T2921" s="166"/>
      <c r="W2921" s="199" t="str">
        <f t="shared" si="54"/>
        <v>1w</v>
      </c>
      <c r="X2921" s="200">
        <f>_xll.qlCalendarAdvance(Calendar,X2920,W2921,"f",FALSE)</f>
        <v>59315</v>
      </c>
      <c r="Y2921" s="204">
        <f>_xll.qlCalendarAdvance(Calendar,X2921,NDays&amp;"D")</f>
        <v>59317</v>
      </c>
      <c r="Z2921" s="205">
        <v>3.0071568225217678E-2</v>
      </c>
      <c r="AA2921" s="207">
        <v>3.0036391844534549E-2</v>
      </c>
    </row>
    <row r="2922" spans="19:27" x14ac:dyDescent="0.2">
      <c r="S2922" s="165"/>
      <c r="T2922" s="166"/>
      <c r="W2922" s="199" t="str">
        <f t="shared" si="54"/>
        <v>1w</v>
      </c>
      <c r="X2922" s="200">
        <f>_xll.qlCalendarAdvance(Calendar,X2921,W2922,"f",FALSE)</f>
        <v>59322</v>
      </c>
      <c r="Y2922" s="204">
        <f>_xll.qlCalendarAdvance(Calendar,X2922,NDays&amp;"D")</f>
        <v>59324</v>
      </c>
      <c r="Z2922" s="205">
        <v>3.0069867035664579E-2</v>
      </c>
      <c r="AA2922" s="207">
        <v>3.003491677175063E-2</v>
      </c>
    </row>
    <row r="2923" spans="19:27" x14ac:dyDescent="0.2">
      <c r="S2923" s="165"/>
      <c r="T2923" s="166"/>
      <c r="W2923" s="199" t="str">
        <f t="shared" si="54"/>
        <v>1w</v>
      </c>
      <c r="X2923" s="200">
        <f>_xll.qlCalendarAdvance(Calendar,X2922,W2923,"f",FALSE)</f>
        <v>59329</v>
      </c>
      <c r="Y2923" s="204">
        <f>_xll.qlCalendarAdvance(Calendar,X2923,NDays&amp;"D")</f>
        <v>59331</v>
      </c>
      <c r="Z2923" s="205">
        <v>3.0068181873711373E-2</v>
      </c>
      <c r="AA2923" s="207">
        <v>3.0033210698707791E-2</v>
      </c>
    </row>
    <row r="2924" spans="19:27" x14ac:dyDescent="0.2">
      <c r="S2924" s="165"/>
      <c r="T2924" s="166"/>
      <c r="W2924" s="199" t="str">
        <f t="shared" si="54"/>
        <v>1w</v>
      </c>
      <c r="X2924" s="200">
        <f>_xll.qlCalendarAdvance(Calendar,X2923,W2924,"f",FALSE)</f>
        <v>59336</v>
      </c>
      <c r="Y2924" s="204">
        <f>_xll.qlCalendarAdvance(Calendar,X2924,NDays&amp;"D")</f>
        <v>59338</v>
      </c>
      <c r="Z2924" s="205">
        <v>3.0066512739352902E-2</v>
      </c>
      <c r="AA2924" s="207">
        <v>3.0031520612956442E-2</v>
      </c>
    </row>
    <row r="2925" spans="19:27" x14ac:dyDescent="0.2">
      <c r="S2925" s="165"/>
      <c r="T2925" s="166"/>
      <c r="W2925" s="199" t="str">
        <f t="shared" si="54"/>
        <v>1w</v>
      </c>
      <c r="X2925" s="200">
        <f>_xll.qlCalendarAdvance(Calendar,X2924,W2925,"f",FALSE)</f>
        <v>59343</v>
      </c>
      <c r="Y2925" s="204">
        <f>_xll.qlCalendarAdvance(Calendar,X2925,NDays&amp;"D")</f>
        <v>59345</v>
      </c>
      <c r="Z2925" s="205">
        <v>3.006485963258659E-2</v>
      </c>
      <c r="AA2925" s="207">
        <v>3.0029846514576519E-2</v>
      </c>
    </row>
    <row r="2926" spans="19:27" x14ac:dyDescent="0.2">
      <c r="S2926" s="165"/>
      <c r="T2926" s="166"/>
      <c r="W2926" s="199" t="str">
        <f t="shared" si="54"/>
        <v>1w</v>
      </c>
      <c r="X2926" s="200">
        <f>_xll.qlCalendarAdvance(Calendar,X2925,W2926,"f",FALSE)</f>
        <v>59350</v>
      </c>
      <c r="Y2926" s="204">
        <f>_xll.qlCalendarAdvance(Calendar,X2926,NDays&amp;"D")</f>
        <v>59352</v>
      </c>
      <c r="Z2926" s="205">
        <v>3.0063222553402116E-2</v>
      </c>
      <c r="AA2926" s="207">
        <v>3.0028188403568024E-2</v>
      </c>
    </row>
    <row r="2927" spans="19:27" x14ac:dyDescent="0.2">
      <c r="S2927" s="165"/>
      <c r="T2927" s="166"/>
      <c r="W2927" s="199" t="str">
        <f t="shared" si="54"/>
        <v>1w</v>
      </c>
      <c r="X2927" s="200">
        <f>_xll.qlCalendarAdvance(Calendar,X2926,W2927,"f",FALSE)</f>
        <v>59357</v>
      </c>
      <c r="Y2927" s="204">
        <f>_xll.qlCalendarAdvance(Calendar,X2927,NDays&amp;"D")</f>
        <v>59359</v>
      </c>
      <c r="Z2927" s="205">
        <v>3.0061601501791751E-2</v>
      </c>
      <c r="AA2927" s="207">
        <v>3.0026546279691146E-2</v>
      </c>
    </row>
    <row r="2928" spans="19:27" x14ac:dyDescent="0.2">
      <c r="S2928" s="165"/>
      <c r="T2928" s="166"/>
      <c r="W2928" s="199" t="str">
        <f t="shared" si="54"/>
        <v>1w</v>
      </c>
      <c r="X2928" s="200">
        <f>_xll.qlCalendarAdvance(Calendar,X2927,W2928,"f",FALSE)</f>
        <v>59364</v>
      </c>
      <c r="Y2928" s="204">
        <f>_xll.qlCalendarAdvance(Calendar,X2928,NDays&amp;"D")</f>
        <v>59366</v>
      </c>
      <c r="Z2928" s="205">
        <v>3.0059996477750338E-2</v>
      </c>
      <c r="AA2928" s="207">
        <v>3.0024920143265632E-2</v>
      </c>
    </row>
    <row r="2929" spans="19:27" x14ac:dyDescent="0.2">
      <c r="S2929" s="165"/>
      <c r="T2929" s="166"/>
      <c r="W2929" s="199" t="str">
        <f t="shared" si="54"/>
        <v>1w</v>
      </c>
      <c r="X2929" s="200">
        <f>_xll.qlCalendarAdvance(Calendar,X2928,W2929,"f",FALSE)</f>
        <v>59371</v>
      </c>
      <c r="Y2929" s="204">
        <f>_xll.qlCalendarAdvance(Calendar,X2929,NDays&amp;"D")</f>
        <v>59373</v>
      </c>
      <c r="Z2929" s="205">
        <v>3.0058407481272715E-2</v>
      </c>
      <c r="AA2929" s="207">
        <v>3.0023309994211544E-2</v>
      </c>
    </row>
    <row r="2930" spans="19:27" x14ac:dyDescent="0.2">
      <c r="S2930" s="165"/>
      <c r="T2930" s="166"/>
      <c r="W2930" s="199" t="str">
        <f t="shared" si="54"/>
        <v>1w</v>
      </c>
      <c r="X2930" s="200">
        <f>_xll.qlCalendarAdvance(Calendar,X2929,W2930,"f",FALSE)</f>
        <v>59378</v>
      </c>
      <c r="Y2930" s="204">
        <f>_xll.qlCalendarAdvance(Calendar,X2930,NDays&amp;"D")</f>
        <v>59380</v>
      </c>
      <c r="Z2930" s="205">
        <v>3.0057977314515982E-2</v>
      </c>
      <c r="AA2930" s="207">
        <v>3.0021715832289075E-2</v>
      </c>
    </row>
    <row r="2931" spans="19:27" x14ac:dyDescent="0.2">
      <c r="S2931" s="165"/>
      <c r="T2931" s="166"/>
      <c r="W2931" s="199" t="str">
        <f t="shared" si="54"/>
        <v>1w</v>
      </c>
      <c r="X2931" s="200">
        <f>_xll.qlCalendarAdvance(Calendar,X2930,W2931,"f",FALSE)</f>
        <v>59385</v>
      </c>
      <c r="Y2931" s="204">
        <f>_xll.qlCalendarAdvance(Calendar,X2931,NDays&amp;"D")</f>
        <v>59387</v>
      </c>
      <c r="Z2931" s="205">
        <v>3.0056421388238164E-2</v>
      </c>
      <c r="AA2931" s="207">
        <v>3.0020137657658097E-2</v>
      </c>
    </row>
    <row r="2932" spans="19:27" x14ac:dyDescent="0.2">
      <c r="S2932" s="165"/>
      <c r="T2932" s="166"/>
      <c r="W2932" s="199" t="str">
        <f t="shared" si="54"/>
        <v>1w</v>
      </c>
      <c r="X2932" s="200">
        <f>_xll.qlCalendarAdvance(Calendar,X2931,W2932,"f",FALSE)</f>
        <v>59392</v>
      </c>
      <c r="Y2932" s="204">
        <f>_xll.qlCalendarAdvance(Calendar,X2932,NDays&amp;"D")</f>
        <v>59394</v>
      </c>
      <c r="Z2932" s="205">
        <v>3.0053736657140083E-2</v>
      </c>
      <c r="AA2932" s="207">
        <v>3.0018575470398545E-2</v>
      </c>
    </row>
    <row r="2933" spans="19:27" x14ac:dyDescent="0.2">
      <c r="S2933" s="165"/>
      <c r="T2933" s="166"/>
      <c r="W2933" s="199" t="str">
        <f t="shared" si="54"/>
        <v>1w</v>
      </c>
      <c r="X2933" s="200">
        <f>_xll.qlCalendarAdvance(Calendar,X2932,W2933,"f",FALSE)</f>
        <v>59399</v>
      </c>
      <c r="Y2933" s="204">
        <f>_xll.qlCalendarAdvance(Calendar,X2933,NDays&amp;"D")</f>
        <v>59401</v>
      </c>
      <c r="Z2933" s="205">
        <v>3.0052211770848009E-2</v>
      </c>
      <c r="AA2933" s="207">
        <v>3.0017029270430484E-2</v>
      </c>
    </row>
    <row r="2934" spans="19:27" x14ac:dyDescent="0.2">
      <c r="S2934" s="165"/>
      <c r="T2934" s="166"/>
      <c r="W2934" s="199" t="str">
        <f t="shared" si="54"/>
        <v>1w</v>
      </c>
      <c r="X2934" s="200">
        <f>_xll.qlCalendarAdvance(Calendar,X2933,W2934,"f",FALSE)</f>
        <v>59406</v>
      </c>
      <c r="Y2934" s="204">
        <f>_xll.qlCalendarAdvance(Calendar,X2934,NDays&amp;"D")</f>
        <v>59408</v>
      </c>
      <c r="Z2934" s="205">
        <v>3.0050702912081045E-2</v>
      </c>
      <c r="AA2934" s="207">
        <v>3.0015281761173185E-2</v>
      </c>
    </row>
    <row r="2935" spans="19:27" x14ac:dyDescent="0.2">
      <c r="S2935" s="165"/>
      <c r="T2935" s="166"/>
      <c r="W2935" s="199" t="str">
        <f t="shared" si="54"/>
        <v>1w</v>
      </c>
      <c r="X2935" s="200">
        <f>_xll.qlCalendarAdvance(Calendar,X2934,W2935,"f",FALSE)</f>
        <v>59413</v>
      </c>
      <c r="Y2935" s="204">
        <f>_xll.qlCalendarAdvance(Calendar,X2935,NDays&amp;"D")</f>
        <v>59415</v>
      </c>
      <c r="Z2935" s="205">
        <v>3.0049210080839196E-2</v>
      </c>
      <c r="AA2935" s="207">
        <v>3.001398483244877E-2</v>
      </c>
    </row>
    <row r="2936" spans="19:27" x14ac:dyDescent="0.2">
      <c r="S2936" s="165"/>
      <c r="T2936" s="166"/>
      <c r="W2936" s="199" t="str">
        <f t="shared" si="54"/>
        <v>1w</v>
      </c>
      <c r="X2936" s="200">
        <f>_xll.qlCalendarAdvance(Calendar,X2935,W2936,"f",FALSE)</f>
        <v>59420</v>
      </c>
      <c r="Y2936" s="204">
        <f>_xll.qlCalendarAdvance(Calendar,X2936,NDays&amp;"D")</f>
        <v>59422</v>
      </c>
      <c r="Z2936" s="205">
        <v>3.0048882189987469E-2</v>
      </c>
      <c r="AA2936" s="207">
        <v>3.0012486594435117E-2</v>
      </c>
    </row>
    <row r="2937" spans="19:27" x14ac:dyDescent="0.2">
      <c r="S2937" s="165"/>
      <c r="T2937" s="166"/>
      <c r="W2937" s="199" t="str">
        <f t="shared" si="54"/>
        <v>1w</v>
      </c>
      <c r="X2937" s="200">
        <f>_xll.qlCalendarAdvance(Calendar,X2936,W2937,"f",FALSE)</f>
        <v>59427</v>
      </c>
      <c r="Y2937" s="204">
        <f>_xll.qlCalendarAdvance(Calendar,X2937,NDays&amp;"D")</f>
        <v>59429</v>
      </c>
      <c r="Z2937" s="205">
        <v>3.0046272500905056E-2</v>
      </c>
      <c r="AA2937" s="207">
        <v>3.0011004343712955E-2</v>
      </c>
    </row>
    <row r="2938" spans="19:27" x14ac:dyDescent="0.2">
      <c r="S2938" s="165"/>
      <c r="T2938" s="166"/>
      <c r="W2938" s="199" t="str">
        <f t="shared" si="54"/>
        <v>1w</v>
      </c>
      <c r="X2938" s="200">
        <f>_xll.qlCalendarAdvance(Calendar,X2937,W2938,"f",FALSE)</f>
        <v>59434</v>
      </c>
      <c r="Y2938" s="204">
        <f>_xll.qlCalendarAdvance(Calendar,X2938,NDays&amp;"D")</f>
        <v>59436</v>
      </c>
      <c r="Z2938" s="205">
        <v>3.004482775219729E-2</v>
      </c>
      <c r="AA2938" s="207">
        <v>3.0009538080202347E-2</v>
      </c>
    </row>
    <row r="2939" spans="19:27" x14ac:dyDescent="0.2">
      <c r="S2939" s="165"/>
      <c r="T2939" s="166"/>
      <c r="W2939" s="199" t="str">
        <f t="shared" si="54"/>
        <v>1w</v>
      </c>
      <c r="X2939" s="200">
        <f>_xll.qlCalendarAdvance(Calendar,X2938,W2939,"f",FALSE)</f>
        <v>59441</v>
      </c>
      <c r="Y2939" s="204">
        <f>_xll.qlCalendarAdvance(Calendar,X2939,NDays&amp;"D")</f>
        <v>59443</v>
      </c>
      <c r="Z2939" s="205">
        <v>3.0044551017334442E-2</v>
      </c>
      <c r="AA2939" s="207">
        <v>3.0008087804063166E-2</v>
      </c>
    </row>
    <row r="2940" spans="19:27" x14ac:dyDescent="0.2">
      <c r="S2940" s="165"/>
      <c r="T2940" s="166"/>
      <c r="W2940" s="199" t="str">
        <f t="shared" si="54"/>
        <v>1w</v>
      </c>
      <c r="X2940" s="200">
        <f>_xll.qlCalendarAdvance(Calendar,X2939,W2940,"f",FALSE)</f>
        <v>59448</v>
      </c>
      <c r="Y2940" s="204">
        <f>_xll.qlCalendarAdvance(Calendar,X2940,NDays&amp;"D")</f>
        <v>59450</v>
      </c>
      <c r="Z2940" s="205">
        <v>3.0041986337277164E-2</v>
      </c>
      <c r="AA2940" s="207">
        <v>3.0006653515375348E-2</v>
      </c>
    </row>
    <row r="2941" spans="19:27" x14ac:dyDescent="0.2">
      <c r="S2941" s="165"/>
      <c r="T2941" s="166"/>
      <c r="W2941" s="199" t="str">
        <f t="shared" si="54"/>
        <v>1w</v>
      </c>
      <c r="X2941" s="200">
        <f>_xll.qlCalendarAdvance(Calendar,X2940,W2941,"f",FALSE)</f>
        <v>59455</v>
      </c>
      <c r="Y2941" s="204">
        <f>_xll.qlCalendarAdvance(Calendar,X2941,NDays&amp;"D")</f>
        <v>59457</v>
      </c>
      <c r="Z2941" s="205">
        <v>3.0040589671051911E-2</v>
      </c>
      <c r="AA2941" s="207">
        <v>3.0005235213819148E-2</v>
      </c>
    </row>
    <row r="2942" spans="19:27" x14ac:dyDescent="0.2">
      <c r="S2942" s="165"/>
      <c r="T2942" s="166"/>
      <c r="W2942" s="199" t="str">
        <f t="shared" si="54"/>
        <v>1w</v>
      </c>
      <c r="X2942" s="200">
        <f>_xll.qlCalendarAdvance(Calendar,X2941,W2942,"f",FALSE)</f>
        <v>59462</v>
      </c>
      <c r="Y2942" s="204">
        <f>_xll.qlCalendarAdvance(Calendar,X2942,NDays&amp;"D")</f>
        <v>59464</v>
      </c>
      <c r="Z2942" s="205">
        <v>3.0039209032307935E-2</v>
      </c>
      <c r="AA2942" s="207">
        <v>3.0003832899554439E-2</v>
      </c>
    </row>
    <row r="2943" spans="19:27" x14ac:dyDescent="0.2">
      <c r="S2943" s="165"/>
      <c r="T2943" s="166"/>
      <c r="W2943" s="199" t="str">
        <f t="shared" si="54"/>
        <v>1w</v>
      </c>
      <c r="X2943" s="200">
        <f>_xll.qlCalendarAdvance(Calendar,X2942,W2943,"f",FALSE)</f>
        <v>59469</v>
      </c>
      <c r="Y2943" s="204">
        <f>_xll.qlCalendarAdvance(Calendar,X2943,NDays&amp;"D")</f>
        <v>59471</v>
      </c>
      <c r="Z2943" s="205">
        <v>3.0037844421040079E-2</v>
      </c>
      <c r="AA2943" s="207">
        <v>3.0002446572661157E-2</v>
      </c>
    </row>
    <row r="2944" spans="19:27" x14ac:dyDescent="0.2">
      <c r="S2944" s="165"/>
      <c r="T2944" s="166"/>
      <c r="W2944" s="199" t="str">
        <f t="shared" si="54"/>
        <v>1w</v>
      </c>
      <c r="X2944" s="200">
        <f>_xll.qlCalendarAdvance(Calendar,X2943,W2944,"f",FALSE)</f>
        <v>59476</v>
      </c>
      <c r="Y2944" s="204">
        <f>_xll.qlCalendarAdvance(Calendar,X2944,NDays&amp;"D")</f>
        <v>59478</v>
      </c>
      <c r="Z2944" s="205">
        <v>3.003649583724061E-2</v>
      </c>
      <c r="AA2944" s="207">
        <v>3.0001076232899493E-2</v>
      </c>
    </row>
    <row r="2945" spans="19:27" x14ac:dyDescent="0.2">
      <c r="S2945" s="165"/>
      <c r="T2945" s="166"/>
      <c r="W2945" s="199" t="str">
        <f t="shared" si="54"/>
        <v>1w</v>
      </c>
      <c r="X2945" s="200">
        <f>_xll.qlCalendarAdvance(Calendar,X2944,W2945,"f",FALSE)</f>
        <v>59483</v>
      </c>
      <c r="Y2945" s="204">
        <f>_xll.qlCalendarAdvance(Calendar,X2945,NDays&amp;"D")</f>
        <v>59485</v>
      </c>
      <c r="Z2945" s="205">
        <v>3.0033438641758892E-2</v>
      </c>
      <c r="AA2945" s="207">
        <v>2.9999721880669128E-2</v>
      </c>
    </row>
    <row r="2946" spans="19:27" x14ac:dyDescent="0.2">
      <c r="S2946" s="165"/>
      <c r="T2946" s="166"/>
      <c r="W2946" s="199" t="str">
        <f t="shared" si="54"/>
        <v>1w</v>
      </c>
      <c r="X2946" s="200">
        <f>_xll.qlCalendarAdvance(Calendar,X2945,W2946,"f",FALSE)</f>
        <v>59490</v>
      </c>
      <c r="Y2946" s="204">
        <f>_xll.qlCalendarAdvance(Calendar,X2946,NDays&amp;"D")</f>
        <v>59492</v>
      </c>
      <c r="Z2946" s="205">
        <v>3.0033846752036505E-2</v>
      </c>
      <c r="AA2946" s="207">
        <v>2.9998383515570382E-2</v>
      </c>
    </row>
    <row r="2947" spans="19:27" x14ac:dyDescent="0.2">
      <c r="S2947" s="165"/>
      <c r="T2947" s="166"/>
      <c r="W2947" s="199" t="str">
        <f t="shared" si="54"/>
        <v>1w</v>
      </c>
      <c r="X2947" s="200">
        <f>_xll.qlCalendarAdvance(Calendar,X2946,W2947,"f",FALSE)</f>
        <v>59497</v>
      </c>
      <c r="Y2947" s="204">
        <f>_xll.qlCalendarAdvance(Calendar,X2947,NDays&amp;"D")</f>
        <v>59499</v>
      </c>
      <c r="Z2947" s="205">
        <v>3.0034866896473392E-2</v>
      </c>
      <c r="AA2947" s="207">
        <v>2.9997061137922998E-2</v>
      </c>
    </row>
    <row r="2948" spans="19:27" x14ac:dyDescent="0.2">
      <c r="S2948" s="165"/>
      <c r="T2948" s="166"/>
      <c r="W2948" s="199" t="str">
        <f t="shared" si="54"/>
        <v>1w</v>
      </c>
      <c r="X2948" s="200">
        <f>_xll.qlCalendarAdvance(Calendar,X2947,W2948,"f",FALSE)</f>
        <v>59504</v>
      </c>
      <c r="Y2948" s="204">
        <f>_xll.qlCalendarAdvance(Calendar,X2948,NDays&amp;"D")</f>
        <v>59506</v>
      </c>
      <c r="Z2948" s="205">
        <v>3.0032423055794399E-2</v>
      </c>
      <c r="AA2948" s="207">
        <v>2.9995754747487169E-2</v>
      </c>
    </row>
    <row r="2949" spans="19:27" x14ac:dyDescent="0.2">
      <c r="S2949" s="165"/>
      <c r="T2949" s="166"/>
      <c r="W2949" s="199" t="str">
        <f t="shared" si="54"/>
        <v>1w</v>
      </c>
      <c r="X2949" s="200">
        <f>_xll.qlCalendarAdvance(Calendar,X2948,W2949,"f",FALSE)</f>
        <v>59511</v>
      </c>
      <c r="Y2949" s="204">
        <f>_xll.qlCalendarAdvance(Calendar,X2949,NDays&amp;"D")</f>
        <v>59513</v>
      </c>
      <c r="Z2949" s="205">
        <v>3.0029993330124627E-2</v>
      </c>
      <c r="AA2949" s="207">
        <v>2.999446434434283E-2</v>
      </c>
    </row>
    <row r="2950" spans="19:27" x14ac:dyDescent="0.2">
      <c r="S2950" s="165"/>
      <c r="T2950" s="166"/>
      <c r="W2950" s="199" t="str">
        <f t="shared" si="54"/>
        <v>1w</v>
      </c>
      <c r="X2950" s="200">
        <f>_xll.qlCalendarAdvance(Calendar,X2949,W2950,"f",FALSE)</f>
        <v>59518</v>
      </c>
      <c r="Y2950" s="204">
        <f>_xll.qlCalendarAdvance(Calendar,X2950,NDays&amp;"D")</f>
        <v>59520</v>
      </c>
      <c r="Z2950" s="205">
        <v>3.0029904269989471E-2</v>
      </c>
      <c r="AA2950" s="207">
        <v>2.9993189928489983E-2</v>
      </c>
    </row>
    <row r="2951" spans="19:27" x14ac:dyDescent="0.2">
      <c r="S2951" s="165"/>
      <c r="T2951" s="166"/>
      <c r="W2951" s="199" t="str">
        <f t="shared" si="54"/>
        <v>1w</v>
      </c>
      <c r="X2951" s="200">
        <f>_xll.qlCalendarAdvance(Calendar,X2950,W2951,"f",FALSE)</f>
        <v>59525</v>
      </c>
      <c r="Y2951" s="204">
        <f>_xll.qlCalendarAdvance(Calendar,X2951,NDays&amp;"D")</f>
        <v>59527</v>
      </c>
      <c r="Z2951" s="205">
        <v>3.0027504519382613E-2</v>
      </c>
      <c r="AA2951" s="207">
        <v>2.9991574885430694E-2</v>
      </c>
    </row>
    <row r="2952" spans="19:27" x14ac:dyDescent="0.2">
      <c r="S2952" s="165"/>
      <c r="T2952" s="166"/>
      <c r="W2952" s="199" t="str">
        <f t="shared" si="54"/>
        <v>1w</v>
      </c>
      <c r="X2952" s="200">
        <f>_xll.qlCalendarAdvance(Calendar,X2951,W2952,"f",FALSE)</f>
        <v>59532</v>
      </c>
      <c r="Y2952" s="204">
        <f>_xll.qlCalendarAdvance(Calendar,X2952,NDays&amp;"D")</f>
        <v>59534</v>
      </c>
      <c r="Z2952" s="205">
        <v>3.0028615207648587E-2</v>
      </c>
      <c r="AA2952" s="207">
        <v>2.999051287223331E-2</v>
      </c>
    </row>
    <row r="2953" spans="19:27" x14ac:dyDescent="0.2">
      <c r="S2953" s="165"/>
      <c r="T2953" s="166"/>
      <c r="W2953" s="199" t="str">
        <f t="shared" si="54"/>
        <v>1w</v>
      </c>
      <c r="X2953" s="200">
        <f>_xll.qlCalendarAdvance(Calendar,X2952,W2953,"f",FALSE)</f>
        <v>59539</v>
      </c>
      <c r="Y2953" s="204">
        <f>_xll.qlCalendarAdvance(Calendar,X2953,NDays&amp;"D")</f>
        <v>59541</v>
      </c>
      <c r="Z2953" s="205">
        <v>3.0025079818354266E-2</v>
      </c>
      <c r="AA2953" s="207">
        <v>2.998946260476032E-2</v>
      </c>
    </row>
    <row r="2954" spans="19:27" x14ac:dyDescent="0.2">
      <c r="S2954" s="165"/>
      <c r="T2954" s="166"/>
      <c r="W2954" s="199" t="str">
        <f t="shared" si="54"/>
        <v>1w</v>
      </c>
      <c r="X2954" s="200">
        <f>_xll.qlCalendarAdvance(Calendar,X2953,W2954,"f",FALSE)</f>
        <v>59546</v>
      </c>
      <c r="Y2954" s="204">
        <f>_xll.qlCalendarAdvance(Calendar,X2954,NDays&amp;"D")</f>
        <v>59548</v>
      </c>
      <c r="Z2954" s="205">
        <v>3.0023891508962737E-2</v>
      </c>
      <c r="AA2954" s="207">
        <v>2.9988252138153371E-2</v>
      </c>
    </row>
    <row r="2955" spans="19:27" x14ac:dyDescent="0.2">
      <c r="S2955" s="165"/>
      <c r="T2955" s="166"/>
      <c r="W2955" s="199" t="str">
        <f t="shared" si="54"/>
        <v>1w</v>
      </c>
      <c r="X2955" s="200">
        <f>_xll.qlCalendarAdvance(Calendar,X2954,W2955,"f",FALSE)</f>
        <v>59553</v>
      </c>
      <c r="Y2955" s="204">
        <f>_xll.qlCalendarAdvance(Calendar,X2955,NDays&amp;"D")</f>
        <v>59555</v>
      </c>
      <c r="Z2955" s="205">
        <v>3.0023887808890148E-2</v>
      </c>
      <c r="AA2955" s="207">
        <v>2.9987057658837912E-2</v>
      </c>
    </row>
    <row r="2956" spans="19:27" x14ac:dyDescent="0.2">
      <c r="S2956" s="165"/>
      <c r="T2956" s="166"/>
      <c r="W2956" s="199" t="str">
        <f t="shared" si="54"/>
        <v>1w</v>
      </c>
      <c r="X2956" s="200">
        <f>_xll.qlCalendarAdvance(Calendar,X2955,W2956,"f",FALSE)</f>
        <v>59560</v>
      </c>
      <c r="Y2956" s="204">
        <f>_xll.qlCalendarAdvance(Calendar,X2956,NDays&amp;"D")</f>
        <v>59562</v>
      </c>
      <c r="Z2956" s="205">
        <v>3.0021562972432692E-2</v>
      </c>
      <c r="AA2956" s="207">
        <v>2.9985879166813945E-2</v>
      </c>
    </row>
    <row r="2957" spans="19:27" x14ac:dyDescent="0.2">
      <c r="S2957" s="165"/>
      <c r="T2957" s="166"/>
      <c r="W2957" s="199" t="str">
        <f t="shared" si="54"/>
        <v>1w</v>
      </c>
      <c r="X2957" s="200">
        <f>_xll.qlCalendarAdvance(Calendar,X2956,W2957,"f",FALSE)</f>
        <v>59567</v>
      </c>
      <c r="Y2957" s="204">
        <f>_xll.qlCalendarAdvance(Calendar,X2957,NDays&amp;"D")</f>
        <v>59569</v>
      </c>
      <c r="Z2957" s="205">
        <v>3.0016911694727026E-2</v>
      </c>
      <c r="AA2957" s="207">
        <v>2.9984716662001532E-2</v>
      </c>
    </row>
    <row r="2958" spans="19:27" x14ac:dyDescent="0.2">
      <c r="S2958" s="165"/>
      <c r="T2958" s="166"/>
      <c r="W2958" s="199" t="str">
        <f t="shared" si="54"/>
        <v>1w</v>
      </c>
      <c r="X2958" s="200">
        <f>_xll.qlCalendarAdvance(Calendar,X2957,W2958,"f",FALSE)</f>
        <v>59574</v>
      </c>
      <c r="Y2958" s="204">
        <f>_xll.qlCalendarAdvance(Calendar,X2958,NDays&amp;"D")</f>
        <v>59576</v>
      </c>
      <c r="Z2958" s="205">
        <v>3.0015784342218535E-2</v>
      </c>
      <c r="AA2958" s="207">
        <v>2.9983570144720417E-2</v>
      </c>
    </row>
    <row r="2959" spans="19:27" x14ac:dyDescent="0.2">
      <c r="S2959" s="165"/>
      <c r="T2959" s="166"/>
      <c r="W2959" s="199" t="str">
        <f t="shared" si="54"/>
        <v>1w</v>
      </c>
      <c r="X2959" s="200">
        <f>_xll.qlCalendarAdvance(Calendar,X2958,W2959,"f",FALSE)</f>
        <v>59581</v>
      </c>
      <c r="Y2959" s="204">
        <f>_xll.qlCalendarAdvance(Calendar,X2959,NDays&amp;"D")</f>
        <v>59583</v>
      </c>
      <c r="Z2959" s="205">
        <v>3.0014673013095523E-2</v>
      </c>
      <c r="AA2959" s="207">
        <v>2.9982439614570922E-2</v>
      </c>
    </row>
    <row r="2960" spans="19:27" x14ac:dyDescent="0.2">
      <c r="S2960" s="165"/>
      <c r="T2960" s="166"/>
      <c r="W2960" s="199" t="str">
        <f t="shared" si="54"/>
        <v>1w</v>
      </c>
      <c r="X2960" s="200">
        <f>_xll.qlCalendarAdvance(Calendar,X2959,W2960,"f",FALSE)</f>
        <v>59588</v>
      </c>
      <c r="Y2960" s="204">
        <f>_xll.qlCalendarAdvance(Calendar,X2960,NDays&amp;"D")</f>
        <v>59590</v>
      </c>
      <c r="Z2960" s="205">
        <v>3.0013577707349422E-2</v>
      </c>
      <c r="AA2960" s="207">
        <v>2.9981325071712916E-2</v>
      </c>
    </row>
    <row r="2961" spans="19:27" x14ac:dyDescent="0.2">
      <c r="S2961" s="165"/>
      <c r="T2961" s="166"/>
      <c r="W2961" s="199" t="str">
        <f t="shared" si="54"/>
        <v>1w</v>
      </c>
      <c r="X2961" s="200">
        <f>_xll.qlCalendarAdvance(Calendar,X2960,W2961,"f",FALSE)</f>
        <v>59595</v>
      </c>
      <c r="Y2961" s="204">
        <f>_xll.qlCalendarAdvance(Calendar,X2961,NDays&amp;"D")</f>
        <v>59597</v>
      </c>
      <c r="Z2961" s="205">
        <v>3.0016022110567878E-2</v>
      </c>
      <c r="AA2961" s="207">
        <v>2.9980226516306274E-2</v>
      </c>
    </row>
    <row r="2962" spans="19:27" x14ac:dyDescent="0.2">
      <c r="S2962" s="165"/>
      <c r="T2962" s="166"/>
      <c r="W2962" s="199" t="str">
        <f t="shared" si="54"/>
        <v>1w</v>
      </c>
      <c r="X2962" s="200">
        <f>_xll.qlCalendarAdvance(Calendar,X2961,W2962,"f",FALSE)</f>
        <v>59602</v>
      </c>
      <c r="Y2962" s="204">
        <f>_xll.qlCalendarAdvance(Calendar,X2962,NDays&amp;"D")</f>
        <v>59604</v>
      </c>
      <c r="Z2962" s="205">
        <v>3.0014962020353558E-2</v>
      </c>
      <c r="AA2962" s="207">
        <v>2.9979143947951314E-2</v>
      </c>
    </row>
    <row r="2963" spans="19:27" x14ac:dyDescent="0.2">
      <c r="S2963" s="165"/>
      <c r="T2963" s="166"/>
      <c r="W2963" s="199" t="str">
        <f t="shared" si="54"/>
        <v>1w</v>
      </c>
      <c r="X2963" s="200">
        <f>_xll.qlCalendarAdvance(Calendar,X2962,W2963,"f",FALSE)</f>
        <v>59609</v>
      </c>
      <c r="Y2963" s="204">
        <f>_xll.qlCalendarAdvance(Calendar,X2963,NDays&amp;"D")</f>
        <v>59611</v>
      </c>
      <c r="Z2963" s="205">
        <v>3.001509496571908E-2</v>
      </c>
      <c r="AA2963" s="207">
        <v>2.9978077366967781E-2</v>
      </c>
    </row>
    <row r="2964" spans="19:27" x14ac:dyDescent="0.2">
      <c r="S2964" s="165"/>
      <c r="T2964" s="166"/>
      <c r="W2964" s="199" t="str">
        <f t="shared" si="54"/>
        <v>1w</v>
      </c>
      <c r="X2964" s="200">
        <f>_xll.qlCalendarAdvance(Calendar,X2963,W2964,"f",FALSE)</f>
        <v>59616</v>
      </c>
      <c r="Y2964" s="204">
        <f>_xll.qlCalendarAdvance(Calendar,X2964,NDays&amp;"D")</f>
        <v>59618</v>
      </c>
      <c r="Z2964" s="205">
        <v>3.0012889922051585E-2</v>
      </c>
      <c r="AA2964" s="207">
        <v>2.9977026773275739E-2</v>
      </c>
    </row>
    <row r="2965" spans="19:27" x14ac:dyDescent="0.2">
      <c r="S2965" s="165"/>
      <c r="T2965" s="166"/>
      <c r="W2965" s="199" t="str">
        <f t="shared" ref="W2965:W3028" si="55">W2964</f>
        <v>1w</v>
      </c>
      <c r="X2965" s="200">
        <f>_xll.qlCalendarAdvance(Calendar,X2964,W2965,"f",FALSE)</f>
        <v>59623</v>
      </c>
      <c r="Y2965" s="204">
        <f>_xll.qlCalendarAdvance(Calendar,X2965,NDays&amp;"D")</f>
        <v>59625</v>
      </c>
      <c r="Z2965" s="205">
        <v>3.0011877913956195E-2</v>
      </c>
      <c r="AA2965" s="207">
        <v>2.9975992167035059E-2</v>
      </c>
    </row>
    <row r="2966" spans="19:27" x14ac:dyDescent="0.2">
      <c r="S2966" s="165"/>
      <c r="T2966" s="166"/>
      <c r="W2966" s="199" t="str">
        <f t="shared" si="55"/>
        <v>1w</v>
      </c>
      <c r="X2966" s="200">
        <f>_xll.qlCalendarAdvance(Calendar,X2965,W2966,"f",FALSE)</f>
        <v>59630</v>
      </c>
      <c r="Y2966" s="204">
        <f>_xll.qlCalendarAdvance(Calendar,X2966,NDays&amp;"D")</f>
        <v>59632</v>
      </c>
      <c r="Z2966" s="205">
        <v>3.0012062123349337E-2</v>
      </c>
      <c r="AA2966" s="207">
        <v>2.9974973548005934E-2</v>
      </c>
    </row>
    <row r="2967" spans="19:27" x14ac:dyDescent="0.2">
      <c r="S2967" s="165"/>
      <c r="T2967" s="166"/>
      <c r="W2967" s="199" t="str">
        <f t="shared" si="55"/>
        <v>1w</v>
      </c>
      <c r="X2967" s="200">
        <f>_xll.qlCalendarAdvance(Calendar,X2966,W2967,"f",FALSE)</f>
        <v>59637</v>
      </c>
      <c r="Y2967" s="204">
        <f>_xll.qlCalendarAdvance(Calendar,X2967,NDays&amp;"D")</f>
        <v>59643</v>
      </c>
      <c r="Z2967" s="205">
        <v>3.000816750788271E-2</v>
      </c>
      <c r="AA2967" s="207">
        <v>2.9973687386428693E-2</v>
      </c>
    </row>
    <row r="2968" spans="19:27" x14ac:dyDescent="0.2">
      <c r="S2968" s="165"/>
      <c r="T2968" s="166"/>
      <c r="W2968" s="199" t="str">
        <f t="shared" si="55"/>
        <v>1w</v>
      </c>
      <c r="X2968" s="200">
        <f>_xll.qlCalendarAdvance(Calendar,X2967,W2968,"f",FALSE)</f>
        <v>59644</v>
      </c>
      <c r="Y2968" s="204">
        <f>_xll.qlCalendarAdvance(Calendar,X2968,NDays&amp;"D")</f>
        <v>59646</v>
      </c>
      <c r="Z2968" s="205">
        <v>3.0008938053827955E-2</v>
      </c>
      <c r="AA2968" s="207">
        <v>2.997298427174222E-2</v>
      </c>
    </row>
    <row r="2969" spans="19:27" x14ac:dyDescent="0.2">
      <c r="S2969" s="165"/>
      <c r="T2969" s="166"/>
      <c r="W2969" s="199" t="str">
        <f t="shared" si="55"/>
        <v>1w</v>
      </c>
      <c r="X2969" s="200">
        <f>_xll.qlCalendarAdvance(Calendar,X2968,W2969,"f",FALSE)</f>
        <v>59651</v>
      </c>
      <c r="Y2969" s="204">
        <f>_xll.qlCalendarAdvance(Calendar,X2969,NDays&amp;"D")</f>
        <v>59653</v>
      </c>
      <c r="Z2969" s="205">
        <v>3.0009173539252421E-2</v>
      </c>
      <c r="AA2969" s="207">
        <v>2.9972013614507631E-2</v>
      </c>
    </row>
    <row r="2970" spans="19:27" x14ac:dyDescent="0.2">
      <c r="S2970" s="165"/>
      <c r="T2970" s="166"/>
      <c r="W2970" s="199" t="str">
        <f t="shared" si="55"/>
        <v>1w</v>
      </c>
      <c r="X2970" s="200">
        <f>_xll.qlCalendarAdvance(Calendar,X2969,W2970,"f",FALSE)</f>
        <v>59658</v>
      </c>
      <c r="Y2970" s="204">
        <f>_xll.qlCalendarAdvance(Calendar,X2970,NDays&amp;"D")</f>
        <v>59660</v>
      </c>
      <c r="Z2970" s="205">
        <v>3.0007058283841835E-2</v>
      </c>
      <c r="AA2970" s="207">
        <v>2.99709238683743E-2</v>
      </c>
    </row>
    <row r="2971" spans="19:27" x14ac:dyDescent="0.2">
      <c r="S2971" s="165"/>
      <c r="T2971" s="166"/>
      <c r="W2971" s="199" t="str">
        <f t="shared" si="55"/>
        <v>1w</v>
      </c>
      <c r="X2971" s="200">
        <f>_xll.qlCalendarAdvance(Calendar,X2970,W2971,"f",FALSE)</f>
        <v>59665</v>
      </c>
      <c r="Y2971" s="204">
        <f>_xll.qlCalendarAdvance(Calendar,X2971,NDays&amp;"D")</f>
        <v>59667</v>
      </c>
      <c r="Z2971" s="205">
        <v>3.0006142439863114E-2</v>
      </c>
      <c r="AA2971" s="207">
        <v>2.9970120262072797E-2</v>
      </c>
    </row>
    <row r="2972" spans="19:27" x14ac:dyDescent="0.2">
      <c r="S2972" s="165"/>
      <c r="T2972" s="166"/>
      <c r="W2972" s="199" t="str">
        <f t="shared" si="55"/>
        <v>1w</v>
      </c>
      <c r="X2972" s="200">
        <f>_xll.qlCalendarAdvance(Calendar,X2971,W2972,"f",FALSE)</f>
        <v>59672</v>
      </c>
      <c r="Y2972" s="204">
        <f>_xll.qlCalendarAdvance(Calendar,X2972,NDays&amp;"D")</f>
        <v>59674</v>
      </c>
      <c r="Z2972" s="205">
        <v>3.0005242623223852E-2</v>
      </c>
      <c r="AA2972" s="207">
        <v>2.9969197566952488E-2</v>
      </c>
    </row>
    <row r="2973" spans="19:27" x14ac:dyDescent="0.2">
      <c r="S2973" s="165"/>
      <c r="T2973" s="166"/>
      <c r="W2973" s="199" t="str">
        <f t="shared" si="55"/>
        <v>1w</v>
      </c>
      <c r="X2973" s="200">
        <f>_xll.qlCalendarAdvance(Calendar,X2972,W2973,"f",FALSE)</f>
        <v>59679</v>
      </c>
      <c r="Y2973" s="204">
        <f>_xll.qlCalendarAdvance(Calendar,X2973,NDays&amp;"D")</f>
        <v>59681</v>
      </c>
      <c r="Z2973" s="205">
        <v>3.0004358833924043E-2</v>
      </c>
      <c r="AA2973" s="207">
        <v>2.9968162634252948E-2</v>
      </c>
    </row>
    <row r="2974" spans="19:27" x14ac:dyDescent="0.2">
      <c r="S2974" s="165"/>
      <c r="T2974" s="166"/>
      <c r="W2974" s="199" t="str">
        <f t="shared" si="55"/>
        <v>1w</v>
      </c>
      <c r="X2974" s="200">
        <f>_xll.qlCalendarAdvance(Calendar,X2973,W2974,"f",FALSE)</f>
        <v>59686</v>
      </c>
      <c r="Y2974" s="204">
        <f>_xll.qlCalendarAdvance(Calendar,X2974,NDays&amp;"D")</f>
        <v>59688</v>
      </c>
      <c r="Z2974" s="205">
        <v>3.0003491071958533E-2</v>
      </c>
      <c r="AA2974" s="207">
        <v>2.9967400138186662E-2</v>
      </c>
    </row>
    <row r="2975" spans="19:27" x14ac:dyDescent="0.2">
      <c r="S2975" s="165"/>
      <c r="T2975" s="166"/>
      <c r="W2975" s="199" t="str">
        <f t="shared" si="55"/>
        <v>1w</v>
      </c>
      <c r="X2975" s="200">
        <f>_xll.qlCalendarAdvance(Calendar,X2974,W2975,"f",FALSE)</f>
        <v>59693</v>
      </c>
      <c r="Y2975" s="204">
        <f>_xll.qlCalendarAdvance(Calendar,X2975,NDays&amp;"D")</f>
        <v>59695</v>
      </c>
      <c r="Z2975" s="205">
        <v>3.0002639337317009E-2</v>
      </c>
      <c r="AA2975" s="207">
        <v>2.9966525404780953E-2</v>
      </c>
    </row>
    <row r="2976" spans="19:27" x14ac:dyDescent="0.2">
      <c r="S2976" s="165"/>
      <c r="T2976" s="166"/>
      <c r="W2976" s="199" t="str">
        <f t="shared" si="55"/>
        <v>1w</v>
      </c>
      <c r="X2976" s="200">
        <f>_xll.qlCalendarAdvance(Calendar,X2975,W2976,"f",FALSE)</f>
        <v>59700</v>
      </c>
      <c r="Y2976" s="204">
        <f>_xll.qlCalendarAdvance(Calendar,X2976,NDays&amp;"D")</f>
        <v>59702</v>
      </c>
      <c r="Z2976" s="205">
        <v>3.0001803630004622E-2</v>
      </c>
      <c r="AA2976" s="207">
        <v>2.9965666658826606E-2</v>
      </c>
    </row>
    <row r="2977" spans="19:27" x14ac:dyDescent="0.2">
      <c r="S2977" s="165"/>
      <c r="T2977" s="166"/>
      <c r="W2977" s="199" t="str">
        <f t="shared" si="55"/>
        <v>1w</v>
      </c>
      <c r="X2977" s="200">
        <f>_xll.qlCalendarAdvance(Calendar,X2976,W2977,"f",FALSE)</f>
        <v>59707</v>
      </c>
      <c r="Y2977" s="204">
        <f>_xll.qlCalendarAdvance(Calendar,X2977,NDays&amp;"D")</f>
        <v>59709</v>
      </c>
      <c r="Z2977" s="205">
        <v>3.0000983950008487E-2</v>
      </c>
      <c r="AA2977" s="207">
        <v>2.9964823900003879E-2</v>
      </c>
    </row>
    <row r="2978" spans="19:27" x14ac:dyDescent="0.2">
      <c r="S2978" s="165"/>
      <c r="T2978" s="166"/>
      <c r="W2978" s="199" t="str">
        <f t="shared" si="55"/>
        <v>1w</v>
      </c>
      <c r="X2978" s="200">
        <f>_xll.qlCalendarAdvance(Calendar,X2977,W2978,"f",FALSE)</f>
        <v>59714</v>
      </c>
      <c r="Y2978" s="204">
        <f>_xll.qlCalendarAdvance(Calendar,X2978,NDays&amp;"D")</f>
        <v>59716</v>
      </c>
      <c r="Z2978" s="205">
        <v>3.0001373335472037E-2</v>
      </c>
      <c r="AA2978" s="207">
        <v>2.9963997128392705E-2</v>
      </c>
    </row>
    <row r="2979" spans="19:27" x14ac:dyDescent="0.2">
      <c r="S2979" s="165"/>
      <c r="T2979" s="166"/>
      <c r="W2979" s="199" t="str">
        <f t="shared" si="55"/>
        <v>1w</v>
      </c>
      <c r="X2979" s="200">
        <f>_xll.qlCalendarAdvance(Calendar,X2978,W2979,"f",FALSE)</f>
        <v>59721</v>
      </c>
      <c r="Y2979" s="204">
        <f>_xll.qlCalendarAdvance(Calendar,X2979,NDays&amp;"D")</f>
        <v>59723</v>
      </c>
      <c r="Z2979" s="205">
        <v>2.9999392671975274E-2</v>
      </c>
      <c r="AA2979" s="207">
        <v>2.9963186344152959E-2</v>
      </c>
    </row>
    <row r="2980" spans="19:27" x14ac:dyDescent="0.2">
      <c r="S2980" s="165"/>
      <c r="T2980" s="166"/>
      <c r="W2980" s="199" t="str">
        <f t="shared" si="55"/>
        <v>1w</v>
      </c>
      <c r="X2980" s="200">
        <f>_xll.qlCalendarAdvance(Calendar,X2979,W2980,"f",FALSE)</f>
        <v>59728</v>
      </c>
      <c r="Y2980" s="204">
        <f>_xll.qlCalendarAdvance(Calendar,X2980,NDays&amp;"D")</f>
        <v>59730</v>
      </c>
      <c r="Z2980" s="205">
        <v>2.9998621073927884E-2</v>
      </c>
      <c r="AA2980" s="207">
        <v>2.9962391547284639E-2</v>
      </c>
    </row>
    <row r="2981" spans="19:27" x14ac:dyDescent="0.2">
      <c r="S2981" s="165"/>
      <c r="T2981" s="166"/>
      <c r="W2981" s="199" t="str">
        <f t="shared" si="55"/>
        <v>1w</v>
      </c>
      <c r="X2981" s="200">
        <f>_xll.qlCalendarAdvance(Calendar,X2980,W2981,"f",FALSE)</f>
        <v>59735</v>
      </c>
      <c r="Y2981" s="204">
        <f>_xll.qlCalendarAdvance(Calendar,X2981,NDays&amp;"D")</f>
        <v>59737</v>
      </c>
      <c r="Z2981" s="205">
        <v>2.9997865503191584E-2</v>
      </c>
      <c r="AA2981" s="207">
        <v>2.9961612737787746E-2</v>
      </c>
    </row>
    <row r="2982" spans="19:27" x14ac:dyDescent="0.2">
      <c r="S2982" s="165"/>
      <c r="T2982" s="166"/>
      <c r="W2982" s="199" t="str">
        <f t="shared" si="55"/>
        <v>1w</v>
      </c>
      <c r="X2982" s="200">
        <f>_xll.qlCalendarAdvance(Calendar,X2981,W2982,"f",FALSE)</f>
        <v>59742</v>
      </c>
      <c r="Y2982" s="204">
        <f>_xll.qlCalendarAdvance(Calendar,X2982,NDays&amp;"D")</f>
        <v>59744</v>
      </c>
      <c r="Z2982" s="205">
        <v>2.9998323323306708E-2</v>
      </c>
      <c r="AA2982" s="207">
        <v>2.9960849915422472E-2</v>
      </c>
    </row>
    <row r="2983" spans="19:27" x14ac:dyDescent="0.2">
      <c r="S2983" s="165"/>
      <c r="T2983" s="166"/>
      <c r="W2983" s="199" t="str">
        <f t="shared" si="55"/>
        <v>1w</v>
      </c>
      <c r="X2983" s="200">
        <f>_xll.qlCalendarAdvance(Calendar,X2982,W2983,"f",FALSE)</f>
        <v>59749</v>
      </c>
      <c r="Y2983" s="204">
        <f>_xll.qlCalendarAdvance(Calendar,X2983,NDays&amp;"D")</f>
        <v>59751</v>
      </c>
      <c r="Z2983" s="205">
        <v>2.999760089186454E-2</v>
      </c>
      <c r="AA2983" s="207">
        <v>2.996010308050856E-2</v>
      </c>
    </row>
    <row r="2984" spans="19:27" x14ac:dyDescent="0.2">
      <c r="S2984" s="165"/>
      <c r="T2984" s="166"/>
      <c r="W2984" s="199" t="str">
        <f t="shared" si="55"/>
        <v>1w</v>
      </c>
      <c r="X2984" s="200">
        <f>_xll.qlCalendarAdvance(Calendar,X2983,W2984,"f",FALSE)</f>
        <v>59756</v>
      </c>
      <c r="Y2984" s="204">
        <f>_xll.qlCalendarAdvance(Calendar,X2984,NDays&amp;"D")</f>
        <v>59758</v>
      </c>
      <c r="Z2984" s="205">
        <v>2.9995694954792502E-2</v>
      </c>
      <c r="AA2984" s="207">
        <v>2.9959372232806203E-2</v>
      </c>
    </row>
    <row r="2985" spans="19:27" x14ac:dyDescent="0.2">
      <c r="S2985" s="165"/>
      <c r="T2985" s="166"/>
      <c r="W2985" s="199" t="str">
        <f t="shared" si="55"/>
        <v>1w</v>
      </c>
      <c r="X2985" s="200">
        <f>_xll.qlCalendarAdvance(Calendar,X2984,W2985,"f",FALSE)</f>
        <v>59763</v>
      </c>
      <c r="Y2985" s="204">
        <f>_xll.qlCalendarAdvance(Calendar,X2985,NDays&amp;"D")</f>
        <v>59765</v>
      </c>
      <c r="Z2985" s="205">
        <v>2.9995003493261889E-2</v>
      </c>
      <c r="AA2985" s="207">
        <v>2.9958657372235464E-2</v>
      </c>
    </row>
    <row r="2986" spans="19:27" x14ac:dyDescent="0.2">
      <c r="S2986" s="165"/>
      <c r="T2986" s="166"/>
      <c r="W2986" s="199" t="str">
        <f t="shared" si="55"/>
        <v>1w</v>
      </c>
      <c r="X2986" s="200">
        <f>_xll.qlCalendarAdvance(Calendar,X2985,W2986,"f",FALSE)</f>
        <v>59770</v>
      </c>
      <c r="Y2986" s="204">
        <f>_xll.qlCalendarAdvance(Calendar,X2986,NDays&amp;"D")</f>
        <v>59772</v>
      </c>
      <c r="Z2986" s="205">
        <v>2.9994328059019158E-2</v>
      </c>
      <c r="AA2986" s="207">
        <v>2.9957859965294986E-2</v>
      </c>
    </row>
    <row r="2987" spans="19:27" x14ac:dyDescent="0.2">
      <c r="S2987" s="165"/>
      <c r="T2987" s="166"/>
      <c r="W2987" s="199" t="str">
        <f t="shared" si="55"/>
        <v>1w</v>
      </c>
      <c r="X2987" s="200">
        <f>_xll.qlCalendarAdvance(Calendar,X2986,W2987,"f",FALSE)</f>
        <v>59777</v>
      </c>
      <c r="Y2987" s="204">
        <f>_xll.qlCalendarAdvance(Calendar,X2987,NDays&amp;"D")</f>
        <v>59779</v>
      </c>
      <c r="Z2987" s="205">
        <v>2.9990061275039386E-2</v>
      </c>
      <c r="AA2987" s="207">
        <v>2.9957275613368139E-2</v>
      </c>
    </row>
    <row r="2988" spans="19:27" x14ac:dyDescent="0.2">
      <c r="S2988" s="165"/>
      <c r="T2988" s="166"/>
      <c r="W2988" s="199" t="str">
        <f t="shared" si="55"/>
        <v>1w</v>
      </c>
      <c r="X2988" s="200">
        <f>_xll.qlCalendarAdvance(Calendar,X2987,W2988,"f",FALSE)</f>
        <v>59784</v>
      </c>
      <c r="Y2988" s="204">
        <f>_xll.qlCalendarAdvance(Calendar,X2988,NDays&amp;"D")</f>
        <v>59786</v>
      </c>
      <c r="Z2988" s="205">
        <v>2.9994229164127528E-2</v>
      </c>
      <c r="AA2988" s="207">
        <v>2.9956608714911681E-2</v>
      </c>
    </row>
    <row r="2989" spans="19:27" x14ac:dyDescent="0.2">
      <c r="S2989" s="165"/>
      <c r="T2989" s="166"/>
      <c r="W2989" s="199" t="str">
        <f t="shared" si="55"/>
        <v>1w</v>
      </c>
      <c r="X2989" s="200">
        <f>_xll.qlCalendarAdvance(Calendar,X2988,W2989,"f",FALSE)</f>
        <v>59791</v>
      </c>
      <c r="Y2989" s="204">
        <f>_xll.qlCalendarAdvance(Calendar,X2989,NDays&amp;"D")</f>
        <v>59793</v>
      </c>
      <c r="Z2989" s="205">
        <v>2.9992397920031166E-2</v>
      </c>
      <c r="AA2989" s="207">
        <v>2.9955957803506905E-2</v>
      </c>
    </row>
    <row r="2990" spans="19:27" x14ac:dyDescent="0.2">
      <c r="S2990" s="165"/>
      <c r="T2990" s="166"/>
      <c r="W2990" s="199" t="str">
        <f t="shared" si="55"/>
        <v>1w</v>
      </c>
      <c r="X2990" s="200">
        <f>_xll.qlCalendarAdvance(Calendar,X2989,W2990,"f",FALSE)</f>
        <v>59798</v>
      </c>
      <c r="Y2990" s="204">
        <f>_xll.qlCalendarAdvance(Calendar,X2990,NDays&amp;"D")</f>
        <v>59800</v>
      </c>
      <c r="Z2990" s="205">
        <v>2.9991786594939972E-2</v>
      </c>
      <c r="AA2990" s="207">
        <v>2.9955322879633428E-2</v>
      </c>
    </row>
    <row r="2991" spans="19:27" x14ac:dyDescent="0.2">
      <c r="S2991" s="165"/>
      <c r="T2991" s="166"/>
      <c r="W2991" s="199" t="str">
        <f t="shared" si="55"/>
        <v>1w</v>
      </c>
      <c r="X2991" s="200">
        <f>_xll.qlCalendarAdvance(Calendar,X2990,W2991,"f",FALSE)</f>
        <v>59805</v>
      </c>
      <c r="Y2991" s="204">
        <f>_xll.qlCalendarAdvance(Calendar,X2991,NDays&amp;"D")</f>
        <v>59807</v>
      </c>
      <c r="Z2991" s="205">
        <v>2.999360581624089E-2</v>
      </c>
      <c r="AA2991" s="207">
        <v>2.9954703942971506E-2</v>
      </c>
    </row>
    <row r="2992" spans="19:27" x14ac:dyDescent="0.2">
      <c r="S2992" s="165"/>
      <c r="T2992" s="166"/>
      <c r="W2992" s="199" t="str">
        <f t="shared" si="55"/>
        <v>1w</v>
      </c>
      <c r="X2992" s="200">
        <f>_xll.qlCalendarAdvance(Calendar,X2991,W2992,"f",FALSE)</f>
        <v>59812</v>
      </c>
      <c r="Y2992" s="204">
        <f>_xll.qlCalendarAdvance(Calendar,X2992,NDays&amp;"D")</f>
        <v>59814</v>
      </c>
      <c r="Z2992" s="205">
        <v>2.9990612026592874E-2</v>
      </c>
      <c r="AA2992" s="207">
        <v>2.995410099368101E-2</v>
      </c>
    </row>
    <row r="2993" spans="19:27" x14ac:dyDescent="0.2">
      <c r="S2993" s="165"/>
      <c r="T2993" s="166"/>
      <c r="W2993" s="199" t="str">
        <f t="shared" si="55"/>
        <v>1w</v>
      </c>
      <c r="X2993" s="200">
        <f>_xll.qlCalendarAdvance(Calendar,X2992,W2993,"f",FALSE)</f>
        <v>59819</v>
      </c>
      <c r="Y2993" s="204">
        <f>_xll.qlCalendarAdvance(Calendar,X2993,NDays&amp;"D")</f>
        <v>59821</v>
      </c>
      <c r="Z2993" s="205">
        <v>2.9991258151898792E-2</v>
      </c>
      <c r="AA2993" s="207">
        <v>2.9953514031522133E-2</v>
      </c>
    </row>
    <row r="2994" spans="19:27" x14ac:dyDescent="0.2">
      <c r="S2994" s="165"/>
      <c r="T2994" s="166"/>
      <c r="W2994" s="199" t="str">
        <f t="shared" si="55"/>
        <v>1w</v>
      </c>
      <c r="X2994" s="200">
        <f>_xll.qlCalendarAdvance(Calendar,X2993,W2994,"f",FALSE)</f>
        <v>59826</v>
      </c>
      <c r="Y2994" s="204">
        <f>_xll.qlCalendarAdvance(Calendar,X2994,NDays&amp;"D")</f>
        <v>59828</v>
      </c>
      <c r="Z2994" s="205">
        <v>2.9989501567348316E-2</v>
      </c>
      <c r="AA2994" s="207">
        <v>2.9952943056894554E-2</v>
      </c>
    </row>
    <row r="2995" spans="19:27" x14ac:dyDescent="0.2">
      <c r="S2995" s="165"/>
      <c r="T2995" s="166"/>
      <c r="W2995" s="199" t="str">
        <f t="shared" si="55"/>
        <v>1w</v>
      </c>
      <c r="X2995" s="200">
        <f>_xll.qlCalendarAdvance(Calendar,X2994,W2995,"f",FALSE)</f>
        <v>59833</v>
      </c>
      <c r="Y2995" s="204">
        <f>_xll.qlCalendarAdvance(Calendar,X2995,NDays&amp;"D")</f>
        <v>59835</v>
      </c>
      <c r="Z2995" s="205">
        <v>2.9988970378634655E-2</v>
      </c>
      <c r="AA2995" s="207">
        <v>2.9952388069318658E-2</v>
      </c>
    </row>
    <row r="2996" spans="19:27" x14ac:dyDescent="0.2">
      <c r="S2996" s="165"/>
      <c r="T2996" s="166"/>
      <c r="W2996" s="199" t="str">
        <f t="shared" si="55"/>
        <v>1w</v>
      </c>
      <c r="X2996" s="200">
        <f>_xll.qlCalendarAdvance(Calendar,X2995,W2996,"f",FALSE)</f>
        <v>59840</v>
      </c>
      <c r="Y2996" s="204">
        <f>_xll.qlCalendarAdvance(Calendar,X2996,NDays&amp;"D")</f>
        <v>59842</v>
      </c>
      <c r="Z2996" s="205">
        <v>2.9988455217188251E-2</v>
      </c>
      <c r="AA2996" s="207">
        <v>2.9951849069114189E-2</v>
      </c>
    </row>
    <row r="2997" spans="19:27" x14ac:dyDescent="0.2">
      <c r="S2997" s="165"/>
      <c r="T2997" s="166"/>
      <c r="W2997" s="199" t="str">
        <f t="shared" si="55"/>
        <v>1w</v>
      </c>
      <c r="X2997" s="200">
        <f>_xll.qlCalendarAdvance(Calendar,X2996,W2997,"f",FALSE)</f>
        <v>59847</v>
      </c>
      <c r="Y2997" s="204">
        <f>_xll.qlCalendarAdvance(Calendar,X2997,NDays&amp;"D")</f>
        <v>59849</v>
      </c>
      <c r="Z2997" s="205">
        <v>2.9987956083009099E-2</v>
      </c>
      <c r="AA2997" s="207">
        <v>2.9951326056201211E-2</v>
      </c>
    </row>
    <row r="2998" spans="19:27" x14ac:dyDescent="0.2">
      <c r="S2998" s="165"/>
      <c r="T2998" s="166"/>
      <c r="W2998" s="199" t="str">
        <f t="shared" si="55"/>
        <v>1w</v>
      </c>
      <c r="X2998" s="200">
        <f>_xll.qlCalendarAdvance(Calendar,X2997,W2998,"f",FALSE)</f>
        <v>59854</v>
      </c>
      <c r="Y2998" s="204">
        <f>_xll.qlCalendarAdvance(Calendar,X2998,NDays&amp;"D")</f>
        <v>59856</v>
      </c>
      <c r="Z2998" s="205">
        <v>2.9987472976097204E-2</v>
      </c>
      <c r="AA2998" s="207">
        <v>2.9950819030739595E-2</v>
      </c>
    </row>
    <row r="2999" spans="19:27" x14ac:dyDescent="0.2">
      <c r="S2999" s="165"/>
      <c r="T2999" s="166"/>
      <c r="W2999" s="199" t="str">
        <f t="shared" si="55"/>
        <v>1w</v>
      </c>
      <c r="X2999" s="200">
        <f>_xll.qlCalendarAdvance(Calendar,X2998,W2999,"f",FALSE)</f>
        <v>59861</v>
      </c>
      <c r="Y2999" s="204">
        <f>_xll.qlCalendarAdvance(Calendar,X2999,NDays&amp;"D")</f>
        <v>59863</v>
      </c>
      <c r="Z2999" s="205">
        <v>2.9987005896444832E-2</v>
      </c>
      <c r="AA2999" s="207">
        <v>2.9950327992409598E-2</v>
      </c>
    </row>
    <row r="3000" spans="19:27" x14ac:dyDescent="0.2">
      <c r="S3000" s="165"/>
      <c r="T3000" s="166"/>
      <c r="W3000" s="199" t="str">
        <f t="shared" si="55"/>
        <v>1w</v>
      </c>
      <c r="X3000" s="200">
        <f>_xll.qlCalendarAdvance(Calendar,X2999,W3000,"f",FALSE)</f>
        <v>59868</v>
      </c>
      <c r="Y3000" s="204">
        <f>_xll.qlCalendarAdvance(Calendar,X3000,NDays&amp;"D")</f>
        <v>59870</v>
      </c>
      <c r="Z3000" s="205">
        <v>2.9986554844051976E-2</v>
      </c>
      <c r="AA3000" s="207">
        <v>2.9949852941291155E-2</v>
      </c>
    </row>
    <row r="3001" spans="19:27" x14ac:dyDescent="0.2">
      <c r="S3001" s="165"/>
      <c r="T3001" s="166"/>
      <c r="W3001" s="199" t="str">
        <f t="shared" si="55"/>
        <v>1w</v>
      </c>
      <c r="X3001" s="200">
        <f>_xll.qlCalendarAdvance(Calendar,X3000,W3001,"f",FALSE)</f>
        <v>59875</v>
      </c>
      <c r="Y3001" s="204">
        <f>_xll.qlCalendarAdvance(Calendar,X3001,NDays&amp;"D")</f>
        <v>59877</v>
      </c>
      <c r="Z3001" s="205">
        <v>2.998611981891864E-2</v>
      </c>
      <c r="AA3001" s="207">
        <v>2.9949393877704011E-2</v>
      </c>
    </row>
    <row r="3002" spans="19:27" x14ac:dyDescent="0.2">
      <c r="S3002" s="165"/>
      <c r="T3002" s="166"/>
      <c r="W3002" s="199" t="str">
        <f t="shared" si="55"/>
        <v>1w</v>
      </c>
      <c r="X3002" s="200">
        <f>_xll.qlCalendarAdvance(Calendar,X3001,W3002,"f",FALSE)</f>
        <v>59882</v>
      </c>
      <c r="Y3002" s="204">
        <f>_xll.qlCalendarAdvance(Calendar,X3002,NDays&amp;"D")</f>
        <v>59884</v>
      </c>
      <c r="Z3002" s="205">
        <v>2.9985700821044823E-2</v>
      </c>
      <c r="AA3002" s="207">
        <v>2.9948950801328422E-2</v>
      </c>
    </row>
    <row r="3003" spans="19:27" x14ac:dyDescent="0.2">
      <c r="S3003" s="165"/>
      <c r="T3003" s="166"/>
      <c r="W3003" s="199" t="str">
        <f t="shared" si="55"/>
        <v>1w</v>
      </c>
      <c r="X3003" s="200">
        <f>_xll.qlCalendarAdvance(Calendar,X3002,W3003,"f",FALSE)</f>
        <v>59889</v>
      </c>
      <c r="Y3003" s="204">
        <f>_xll.qlCalendarAdvance(Calendar,X3003,NDays&amp;"D")</f>
        <v>59891</v>
      </c>
      <c r="Z3003" s="205">
        <v>2.9986518272732132E-2</v>
      </c>
      <c r="AA3003" s="207">
        <v>2.9948404623105773E-2</v>
      </c>
    </row>
    <row r="3004" spans="19:27" x14ac:dyDescent="0.2">
      <c r="S3004" s="165"/>
      <c r="T3004" s="166"/>
      <c r="W3004" s="199" t="str">
        <f t="shared" si="55"/>
        <v>1w</v>
      </c>
      <c r="X3004" s="200">
        <f>_xll.qlCalendarAdvance(Calendar,X3003,W3004,"f",FALSE)</f>
        <v>59897</v>
      </c>
      <c r="Y3004" s="204">
        <f>_xll.qlCalendarAdvance(Calendar,X3004,NDays&amp;"D")</f>
        <v>59901</v>
      </c>
      <c r="Z3004" s="205">
        <v>2.9984749980492723E-2</v>
      </c>
      <c r="AA3004" s="207">
        <v>2.9947998089099315E-2</v>
      </c>
    </row>
    <row r="3005" spans="19:27" x14ac:dyDescent="0.2">
      <c r="S3005" s="165"/>
      <c r="T3005" s="166"/>
      <c r="W3005" s="199" t="str">
        <f t="shared" si="55"/>
        <v>1w</v>
      </c>
      <c r="X3005" s="200">
        <f>_xll.qlCalendarAdvance(Calendar,X3004,W3005,"f",FALSE)</f>
        <v>59904</v>
      </c>
      <c r="Y3005" s="204">
        <f>_xll.qlCalendarAdvance(Calendar,X3005,NDays&amp;"D")</f>
        <v>59908</v>
      </c>
      <c r="Z3005" s="205">
        <v>2.9984385933199766E-2</v>
      </c>
      <c r="AA3005" s="207">
        <v>2.9947662355898075E-2</v>
      </c>
    </row>
    <row r="3006" spans="19:27" x14ac:dyDescent="0.2">
      <c r="S3006" s="165"/>
      <c r="T3006" s="166"/>
      <c r="W3006" s="199" t="str">
        <f t="shared" si="55"/>
        <v>1w</v>
      </c>
      <c r="X3006" s="200">
        <f>_xll.qlCalendarAdvance(Calendar,X3005,W3006,"f",FALSE)</f>
        <v>59911</v>
      </c>
      <c r="Y3006" s="204">
        <f>_xll.qlCalendarAdvance(Calendar,X3006,NDays&amp;"D")</f>
        <v>59915</v>
      </c>
      <c r="Z3006" s="205">
        <v>2.9984037913158595E-2</v>
      </c>
      <c r="AA3006" s="207">
        <v>2.9947285512541555E-2</v>
      </c>
    </row>
    <row r="3007" spans="19:27" x14ac:dyDescent="0.2">
      <c r="S3007" s="165"/>
      <c r="T3007" s="166"/>
      <c r="W3007" s="199" t="str">
        <f t="shared" si="55"/>
        <v>1w</v>
      </c>
      <c r="X3007" s="200">
        <f>_xll.qlCalendarAdvance(Calendar,X3006,W3007,"f",FALSE)</f>
        <v>59918</v>
      </c>
      <c r="Y3007" s="204">
        <f>_xll.qlCalendarAdvance(Calendar,X3007,NDays&amp;"D")</f>
        <v>59922</v>
      </c>
      <c r="Z3007" s="205">
        <v>2.9983659801167847E-2</v>
      </c>
      <c r="AA3007" s="207">
        <v>2.9946924656636398E-2</v>
      </c>
    </row>
    <row r="3008" spans="19:27" x14ac:dyDescent="0.2">
      <c r="S3008" s="165"/>
      <c r="T3008" s="166"/>
      <c r="W3008" s="199" t="str">
        <f t="shared" si="55"/>
        <v>1w</v>
      </c>
      <c r="X3008" s="200">
        <f>_xll.qlCalendarAdvance(Calendar,X3007,W3008,"f",FALSE)</f>
        <v>59925</v>
      </c>
      <c r="Y3008" s="204">
        <f>_xll.qlCalendarAdvance(Calendar,X3008,NDays&amp;"D")</f>
        <v>59929</v>
      </c>
      <c r="Z3008" s="205">
        <v>2.9983389954818709E-2</v>
      </c>
      <c r="AA3008" s="207">
        <v>2.9946579787702987E-2</v>
      </c>
    </row>
    <row r="3009" spans="19:27" x14ac:dyDescent="0.2">
      <c r="S3009" s="165"/>
      <c r="T3009" s="166"/>
      <c r="W3009" s="199" t="str">
        <f t="shared" si="55"/>
        <v>1w</v>
      </c>
      <c r="X3009" s="200">
        <f>_xll.qlCalendarAdvance(Calendar,X3008,W3009,"f",FALSE)</f>
        <v>59932</v>
      </c>
      <c r="Y3009" s="204">
        <f>_xll.qlCalendarAdvance(Calendar,X3009,NDays&amp;"D")</f>
        <v>59936</v>
      </c>
      <c r="Z3009" s="205">
        <v>2.9980635343744382E-2</v>
      </c>
      <c r="AA3009" s="207">
        <v>2.9946250906220939E-2</v>
      </c>
    </row>
    <row r="3010" spans="19:27" x14ac:dyDescent="0.2">
      <c r="S3010" s="165"/>
      <c r="T3010" s="166"/>
      <c r="W3010" s="199" t="str">
        <f t="shared" si="55"/>
        <v>1w</v>
      </c>
      <c r="X3010" s="200">
        <f>_xll.qlCalendarAdvance(Calendar,X3009,W3010,"f",FALSE)</f>
        <v>59939</v>
      </c>
      <c r="Y3010" s="204">
        <f>_xll.qlCalendarAdvance(Calendar,X3010,NDays&amp;"D")</f>
        <v>59943</v>
      </c>
      <c r="Z3010" s="205">
        <v>2.9980349190695539E-2</v>
      </c>
      <c r="AA3010" s="207">
        <v>2.9945938012190254E-2</v>
      </c>
    </row>
    <row r="3011" spans="19:27" x14ac:dyDescent="0.2">
      <c r="S3011" s="165"/>
      <c r="T3011" s="166"/>
      <c r="W3011" s="199" t="str">
        <f t="shared" si="55"/>
        <v>1w</v>
      </c>
      <c r="X3011" s="200">
        <f>_xll.qlCalendarAdvance(Calendar,X3010,W3011,"f",FALSE)</f>
        <v>59946</v>
      </c>
      <c r="Y3011" s="204">
        <f>_xll.qlCalendarAdvance(Calendar,X3011,NDays&amp;"D")</f>
        <v>59950</v>
      </c>
      <c r="Z3011" s="205">
        <v>2.9980041780559571E-2</v>
      </c>
      <c r="AA3011" s="207">
        <v>2.9945641105291188E-2</v>
      </c>
    </row>
    <row r="3012" spans="19:27" x14ac:dyDescent="0.2">
      <c r="S3012" s="165"/>
      <c r="T3012" s="166"/>
      <c r="W3012" s="199" t="str">
        <f t="shared" si="55"/>
        <v>1w</v>
      </c>
      <c r="X3012" s="200">
        <f>_xll.qlCalendarAdvance(Calendar,X3011,W3012,"f",FALSE)</f>
        <v>59953</v>
      </c>
      <c r="Y3012" s="204">
        <f>_xll.qlCalendarAdvance(Calendar,X3012,NDays&amp;"D")</f>
        <v>59957</v>
      </c>
      <c r="Z3012" s="205">
        <v>2.9979824958311141E-2</v>
      </c>
      <c r="AA3012" s="207">
        <v>2.9945360185683612E-2</v>
      </c>
    </row>
    <row r="3013" spans="19:27" x14ac:dyDescent="0.2">
      <c r="S3013" s="165"/>
      <c r="T3013" s="166"/>
      <c r="W3013" s="199" t="str">
        <f t="shared" si="55"/>
        <v>1w</v>
      </c>
      <c r="X3013" s="200">
        <f>_xll.qlCalendarAdvance(Calendar,X3012,W3013,"f",FALSE)</f>
        <v>59960</v>
      </c>
      <c r="Y3013" s="204">
        <f>_xll.qlCalendarAdvance(Calendar,X3013,NDays&amp;"D")</f>
        <v>59964</v>
      </c>
      <c r="Z3013" s="205">
        <v>2.9982050535747568E-2</v>
      </c>
      <c r="AA3013" s="207">
        <v>2.9945095253447462E-2</v>
      </c>
    </row>
    <row r="3014" spans="19:27" x14ac:dyDescent="0.2">
      <c r="S3014" s="165"/>
      <c r="T3014" s="166"/>
      <c r="W3014" s="199" t="str">
        <f t="shared" si="55"/>
        <v>1w</v>
      </c>
      <c r="X3014" s="200">
        <f>_xll.qlCalendarAdvance(Calendar,X3013,W3014,"f",FALSE)</f>
        <v>59967</v>
      </c>
      <c r="Y3014" s="204">
        <f>_xll.qlCalendarAdvance(Calendar,X3014,NDays&amp;"D")</f>
        <v>59971</v>
      </c>
      <c r="Z3014" s="205">
        <v>2.9981830733658781E-2</v>
      </c>
      <c r="AA3014" s="207">
        <v>2.9944846308502804E-2</v>
      </c>
    </row>
    <row r="3015" spans="19:27" x14ac:dyDescent="0.2">
      <c r="S3015" s="165"/>
      <c r="T3015" s="166"/>
      <c r="W3015" s="199" t="str">
        <f t="shared" si="55"/>
        <v>1w</v>
      </c>
      <c r="X3015" s="200">
        <f>_xll.qlCalendarAdvance(Calendar,X3014,W3015,"f",FALSE)</f>
        <v>59974</v>
      </c>
      <c r="Y3015" s="204">
        <f>_xll.qlCalendarAdvance(Calendar,X3015,NDays&amp;"D")</f>
        <v>59978</v>
      </c>
      <c r="Z3015" s="205">
        <v>2.9981626958808884E-2</v>
      </c>
      <c r="AA3015" s="207">
        <v>2.99446133507697E-2</v>
      </c>
    </row>
    <row r="3016" spans="19:27" x14ac:dyDescent="0.2">
      <c r="S3016" s="165"/>
      <c r="T3016" s="166"/>
      <c r="W3016" s="199" t="str">
        <f t="shared" si="55"/>
        <v>1w</v>
      </c>
      <c r="X3016" s="200">
        <f>_xll.qlCalendarAdvance(Calendar,X3015,W3016,"f",FALSE)</f>
        <v>59981</v>
      </c>
      <c r="Y3016" s="204">
        <f>_xll.qlCalendarAdvance(Calendar,X3016,NDays&amp;"D")</f>
        <v>59985</v>
      </c>
      <c r="Z3016" s="205">
        <v>2.9981439211197877E-2</v>
      </c>
      <c r="AA3016" s="207">
        <v>2.9944396380328087E-2</v>
      </c>
    </row>
    <row r="3017" spans="19:27" x14ac:dyDescent="0.2">
      <c r="S3017" s="165"/>
      <c r="T3017" s="166"/>
      <c r="W3017" s="199" t="str">
        <f t="shared" si="55"/>
        <v>1w</v>
      </c>
      <c r="X3017" s="200">
        <f>_xll.qlCalendarAdvance(Calendar,X3016,W3017,"f",FALSE)</f>
        <v>59988</v>
      </c>
      <c r="Y3017" s="204">
        <f>_xll.qlCalendarAdvance(Calendar,X3017,NDays&amp;"D")</f>
        <v>59992</v>
      </c>
      <c r="Z3017" s="205">
        <v>2.9980031060931722E-2</v>
      </c>
      <c r="AA3017" s="207">
        <v>2.99441953972579E-2</v>
      </c>
    </row>
    <row r="3018" spans="19:27" x14ac:dyDescent="0.2">
      <c r="S3018" s="165"/>
      <c r="T3018" s="166"/>
      <c r="W3018" s="199" t="str">
        <f t="shared" si="55"/>
        <v>1w</v>
      </c>
      <c r="X3018" s="200">
        <f>_xll.qlCalendarAdvance(Calendar,X3017,W3018,"f",FALSE)</f>
        <v>59995</v>
      </c>
      <c r="Y3018" s="204">
        <f>_xll.qlCalendarAdvance(Calendar,X3018,NDays&amp;"D")</f>
        <v>60001</v>
      </c>
      <c r="Z3018" s="205">
        <v>2.9979832372463378E-2</v>
      </c>
      <c r="AA3018" s="207">
        <v>2.9946426854063901E-2</v>
      </c>
    </row>
    <row r="3019" spans="19:27" x14ac:dyDescent="0.2">
      <c r="S3019" s="165"/>
      <c r="T3019" s="166"/>
      <c r="W3019" s="199" t="str">
        <f t="shared" si="55"/>
        <v>1w</v>
      </c>
      <c r="X3019" s="200">
        <f>_xll.qlCalendarAdvance(Calendar,X3018,W3019,"f",FALSE)</f>
        <v>60002</v>
      </c>
      <c r="Y3019" s="204">
        <f>_xll.qlCalendarAdvance(Calendar,X3019,NDays&amp;"D")</f>
        <v>60006</v>
      </c>
      <c r="Z3019" s="205">
        <v>2.997973343704885E-2</v>
      </c>
      <c r="AA3019" s="207">
        <v>2.9943841392752191E-2</v>
      </c>
    </row>
    <row r="3020" spans="19:27" x14ac:dyDescent="0.2">
      <c r="S3020" s="165"/>
      <c r="T3020" s="166"/>
      <c r="W3020" s="199" t="str">
        <f t="shared" si="55"/>
        <v>1w</v>
      </c>
      <c r="X3020" s="200">
        <f>_xll.qlCalendarAdvance(Calendar,X3019,W3020,"f",FALSE)</f>
        <v>60009</v>
      </c>
      <c r="Y3020" s="204">
        <f>_xll.qlCalendarAdvance(Calendar,X3020,NDays&amp;"D")</f>
        <v>60013</v>
      </c>
      <c r="Z3020" s="205">
        <v>2.9979608663958324E-2</v>
      </c>
      <c r="AA3020" s="207">
        <v>2.9943688371636412E-2</v>
      </c>
    </row>
    <row r="3021" spans="19:27" x14ac:dyDescent="0.2">
      <c r="S3021" s="165"/>
      <c r="T3021" s="166"/>
      <c r="W3021" s="199" t="str">
        <f t="shared" si="55"/>
        <v>1w</v>
      </c>
      <c r="X3021" s="200">
        <f>_xll.qlCalendarAdvance(Calendar,X3020,W3021,"f",FALSE)</f>
        <v>60016</v>
      </c>
      <c r="Y3021" s="204">
        <f>_xll.qlCalendarAdvance(Calendar,X3021,NDays&amp;"D")</f>
        <v>60020</v>
      </c>
      <c r="Z3021" s="205">
        <v>2.9979499916771069E-2</v>
      </c>
      <c r="AA3021" s="207">
        <v>2.9943551337652252E-2</v>
      </c>
    </row>
    <row r="3022" spans="19:27" x14ac:dyDescent="0.2">
      <c r="S3022" s="165"/>
      <c r="T3022" s="166"/>
      <c r="W3022" s="199" t="str">
        <f t="shared" si="55"/>
        <v>1w</v>
      </c>
      <c r="X3022" s="200">
        <f>_xll.qlCalendarAdvance(Calendar,X3021,W3022,"f",FALSE)</f>
        <v>60023</v>
      </c>
      <c r="Y3022" s="204">
        <f>_xll.qlCalendarAdvance(Calendar,X3022,NDays&amp;"D")</f>
        <v>60028</v>
      </c>
      <c r="Z3022" s="205">
        <v>2.9980637522394792E-2</v>
      </c>
      <c r="AA3022" s="207">
        <v>2.9943414303748028E-2</v>
      </c>
    </row>
    <row r="3023" spans="19:27" x14ac:dyDescent="0.2">
      <c r="S3023" s="165"/>
      <c r="T3023" s="166"/>
      <c r="W3023" s="199" t="str">
        <f t="shared" si="55"/>
        <v>1w</v>
      </c>
      <c r="X3023" s="200">
        <f>_xll.qlCalendarAdvance(Calendar,X3022,W3023,"f",FALSE)</f>
        <v>60030</v>
      </c>
      <c r="Y3023" s="204">
        <f>_xll.qlCalendarAdvance(Calendar,X3023,NDays&amp;"D")</f>
        <v>60034</v>
      </c>
      <c r="Z3023" s="205">
        <v>2.9980573740545313E-2</v>
      </c>
      <c r="AA3023" s="207">
        <v>2.9943325231558404E-2</v>
      </c>
    </row>
    <row r="3024" spans="19:27" x14ac:dyDescent="0.2">
      <c r="S3024" s="165"/>
      <c r="T3024" s="166"/>
      <c r="W3024" s="199" t="str">
        <f t="shared" si="55"/>
        <v>1w</v>
      </c>
      <c r="X3024" s="200">
        <f>_xll.qlCalendarAdvance(Calendar,X3023,W3024,"f",FALSE)</f>
        <v>60037</v>
      </c>
      <c r="Y3024" s="204">
        <f>_xll.qlCalendarAdvance(Calendar,X3024,NDays&amp;"D")</f>
        <v>60041</v>
      </c>
      <c r="Z3024" s="205">
        <v>2.998051421081965E-2</v>
      </c>
      <c r="AA3024" s="207">
        <v>2.9943236159608588E-2</v>
      </c>
    </row>
    <row r="3025" spans="19:27" x14ac:dyDescent="0.2">
      <c r="S3025" s="165"/>
      <c r="T3025" s="166"/>
      <c r="W3025" s="199" t="str">
        <f t="shared" si="55"/>
        <v>1w</v>
      </c>
      <c r="X3025" s="200">
        <f>_xll.qlCalendarAdvance(Calendar,X3024,W3025,"f",FALSE)</f>
        <v>60044</v>
      </c>
      <c r="Y3025" s="204">
        <f>_xll.qlCalendarAdvance(Calendar,X3025,NDays&amp;"D")</f>
        <v>60049</v>
      </c>
      <c r="Z3025" s="205" t="e">
        <v>#N/A</v>
      </c>
      <c r="AA3025" s="207">
        <v>2.9943153939138156E-2</v>
      </c>
    </row>
    <row r="3026" spans="19:27" x14ac:dyDescent="0.2">
      <c r="S3026" s="165"/>
      <c r="T3026" s="166"/>
      <c r="W3026" s="199" t="str">
        <f t="shared" si="55"/>
        <v>1w</v>
      </c>
      <c r="X3026" s="200">
        <f>_xll.qlCalendarAdvance(Calendar,X3025,W3026,"f",FALSE)</f>
        <v>60051</v>
      </c>
      <c r="Y3026" s="204">
        <f>_xll.qlCalendarAdvance(Calendar,X3026,NDays&amp;"D")</f>
        <v>60055</v>
      </c>
      <c r="Z3026" s="205" t="e">
        <v>#N/A</v>
      </c>
      <c r="AA3026" s="207">
        <v>2.994310597734362E-2</v>
      </c>
    </row>
    <row r="3027" spans="19:27" x14ac:dyDescent="0.2">
      <c r="S3027" s="165"/>
      <c r="T3027" s="166"/>
      <c r="W3027" s="199" t="str">
        <f t="shared" si="55"/>
        <v>1w</v>
      </c>
      <c r="X3027" s="200">
        <f>_xll.qlCalendarAdvance(Calendar,X3026,W3027,"f",FALSE)</f>
        <v>60058</v>
      </c>
      <c r="Y3027" s="204">
        <f>_xll.qlCalendarAdvance(Calendar,X3027,NDays&amp;"D")</f>
        <v>60062</v>
      </c>
      <c r="Z3027" s="205" t="e">
        <v>#N/A</v>
      </c>
      <c r="AA3027" s="207">
        <v>2.994306486718834E-2</v>
      </c>
    </row>
    <row r="3028" spans="19:27" x14ac:dyDescent="0.2">
      <c r="S3028" s="165"/>
      <c r="T3028" s="166"/>
      <c r="W3028" s="199" t="str">
        <f t="shared" si="55"/>
        <v>1w</v>
      </c>
      <c r="X3028" s="200">
        <f>_xll.qlCalendarAdvance(Calendar,X3027,W3028,"f",FALSE)</f>
        <v>60065</v>
      </c>
      <c r="Y3028" s="204">
        <f>_xll.qlCalendarAdvance(Calendar,X3028,NDays&amp;"D")</f>
        <v>60069</v>
      </c>
      <c r="Z3028" s="205" t="e">
        <v>#N/A</v>
      </c>
      <c r="AA3028" s="207">
        <v>2.9943039744324551E-2</v>
      </c>
    </row>
    <row r="3029" spans="19:27" x14ac:dyDescent="0.2">
      <c r="S3029" s="165"/>
      <c r="T3029" s="166"/>
      <c r="W3029" s="199" t="str">
        <f t="shared" ref="W3029:W3092" si="56">W3028</f>
        <v>1w</v>
      </c>
      <c r="X3029" s="200">
        <f>_xll.qlCalendarAdvance(Calendar,X3028,W3029,"f",FALSE)</f>
        <v>60072</v>
      </c>
      <c r="Y3029" s="204">
        <f>_xll.qlCalendarAdvance(Calendar,X3029,NDays&amp;"D")</f>
        <v>60076</v>
      </c>
      <c r="Z3029" s="205" t="e">
        <v>#N/A</v>
      </c>
      <c r="AA3029" s="207">
        <v>2.9943030608672316E-2</v>
      </c>
    </row>
    <row r="3030" spans="19:27" x14ac:dyDescent="0.2">
      <c r="S3030" s="165"/>
      <c r="T3030" s="166"/>
      <c r="W3030" s="199" t="str">
        <f t="shared" si="56"/>
        <v>1w</v>
      </c>
      <c r="X3030" s="200">
        <f>_xll.qlCalendarAdvance(Calendar,X3029,W3030,"f",FALSE)</f>
        <v>60079</v>
      </c>
      <c r="Y3030" s="204">
        <f>_xll.qlCalendarAdvance(Calendar,X3030,NDays&amp;"D")</f>
        <v>60083</v>
      </c>
      <c r="Z3030" s="205" t="e">
        <v>#N/A</v>
      </c>
      <c r="AA3030" s="207" t="e">
        <v>#N/A</v>
      </c>
    </row>
    <row r="3031" spans="19:27" x14ac:dyDescent="0.2">
      <c r="S3031" s="165"/>
      <c r="T3031" s="166"/>
      <c r="W3031" s="199" t="str">
        <f t="shared" si="56"/>
        <v>1w</v>
      </c>
      <c r="X3031" s="200">
        <f>_xll.qlCalendarAdvance(Calendar,X3030,W3031,"f",FALSE)</f>
        <v>60086</v>
      </c>
      <c r="Y3031" s="204">
        <f>_xll.qlCalendarAdvance(Calendar,X3031,NDays&amp;"D")</f>
        <v>60090</v>
      </c>
      <c r="Z3031" s="205" t="e">
        <v>#N/A</v>
      </c>
      <c r="AA3031" s="207" t="e">
        <v>#N/A</v>
      </c>
    </row>
    <row r="3032" spans="19:27" x14ac:dyDescent="0.2">
      <c r="S3032" s="165"/>
      <c r="T3032" s="166"/>
      <c r="W3032" s="199" t="str">
        <f t="shared" si="56"/>
        <v>1w</v>
      </c>
      <c r="X3032" s="200">
        <f>_xll.qlCalendarAdvance(Calendar,X3031,W3032,"f",FALSE)</f>
        <v>60093</v>
      </c>
      <c r="Y3032" s="204">
        <f>_xll.qlCalendarAdvance(Calendar,X3032,NDays&amp;"D")</f>
        <v>60097</v>
      </c>
      <c r="Z3032" s="205" t="e">
        <v>#N/A</v>
      </c>
      <c r="AA3032" s="207" t="e">
        <v>#N/A</v>
      </c>
    </row>
    <row r="3033" spans="19:27" x14ac:dyDescent="0.2">
      <c r="S3033" s="165"/>
      <c r="T3033" s="166"/>
      <c r="W3033" s="199" t="str">
        <f t="shared" si="56"/>
        <v>1w</v>
      </c>
      <c r="X3033" s="200">
        <f>_xll.qlCalendarAdvance(Calendar,X3032,W3033,"f",FALSE)</f>
        <v>60100</v>
      </c>
      <c r="Y3033" s="204">
        <f>_xll.qlCalendarAdvance(Calendar,X3033,NDays&amp;"D")</f>
        <v>60104</v>
      </c>
      <c r="Z3033" s="205" t="e">
        <v>#N/A</v>
      </c>
      <c r="AA3033" s="207" t="e">
        <v>#N/A</v>
      </c>
    </row>
    <row r="3034" spans="19:27" x14ac:dyDescent="0.2">
      <c r="S3034" s="165"/>
      <c r="T3034" s="166"/>
      <c r="W3034" s="199" t="str">
        <f t="shared" si="56"/>
        <v>1w</v>
      </c>
      <c r="X3034" s="200">
        <f>_xll.qlCalendarAdvance(Calendar,X3033,W3034,"f",FALSE)</f>
        <v>60107</v>
      </c>
      <c r="Y3034" s="204">
        <f>_xll.qlCalendarAdvance(Calendar,X3034,NDays&amp;"D")</f>
        <v>60111</v>
      </c>
      <c r="Z3034" s="205" t="e">
        <v>#N/A</v>
      </c>
      <c r="AA3034" s="207" t="e">
        <v>#N/A</v>
      </c>
    </row>
    <row r="3035" spans="19:27" x14ac:dyDescent="0.2">
      <c r="S3035" s="165"/>
      <c r="T3035" s="166"/>
      <c r="W3035" s="199" t="str">
        <f t="shared" si="56"/>
        <v>1w</v>
      </c>
      <c r="X3035" s="200">
        <f>_xll.qlCalendarAdvance(Calendar,X3034,W3035,"f",FALSE)</f>
        <v>60114</v>
      </c>
      <c r="Y3035" s="204">
        <f>_xll.qlCalendarAdvance(Calendar,X3035,NDays&amp;"D")</f>
        <v>60118</v>
      </c>
      <c r="Z3035" s="205" t="e">
        <v>#N/A</v>
      </c>
      <c r="AA3035" s="207" t="e">
        <v>#N/A</v>
      </c>
    </row>
    <row r="3036" spans="19:27" x14ac:dyDescent="0.2">
      <c r="S3036" s="165"/>
      <c r="T3036" s="166"/>
      <c r="W3036" s="199" t="str">
        <f t="shared" si="56"/>
        <v>1w</v>
      </c>
      <c r="X3036" s="200">
        <f>_xll.qlCalendarAdvance(Calendar,X3035,W3036,"f",FALSE)</f>
        <v>60121</v>
      </c>
      <c r="Y3036" s="204">
        <f>_xll.qlCalendarAdvance(Calendar,X3036,NDays&amp;"D")</f>
        <v>60125</v>
      </c>
      <c r="Z3036" s="205" t="e">
        <v>#N/A</v>
      </c>
      <c r="AA3036" s="207" t="e">
        <v>#N/A</v>
      </c>
    </row>
    <row r="3037" spans="19:27" x14ac:dyDescent="0.2">
      <c r="S3037" s="165"/>
      <c r="T3037" s="166"/>
      <c r="W3037" s="199" t="str">
        <f t="shared" si="56"/>
        <v>1w</v>
      </c>
      <c r="X3037" s="200">
        <f>_xll.qlCalendarAdvance(Calendar,X3036,W3037,"f",FALSE)</f>
        <v>60128</v>
      </c>
      <c r="Y3037" s="204">
        <f>_xll.qlCalendarAdvance(Calendar,X3037,NDays&amp;"D")</f>
        <v>60132</v>
      </c>
      <c r="Z3037" s="205" t="e">
        <v>#N/A</v>
      </c>
      <c r="AA3037" s="207" t="e">
        <v>#N/A</v>
      </c>
    </row>
    <row r="3038" spans="19:27" x14ac:dyDescent="0.2">
      <c r="S3038" s="165"/>
      <c r="T3038" s="166"/>
      <c r="W3038" s="199" t="str">
        <f t="shared" si="56"/>
        <v>1w</v>
      </c>
      <c r="X3038" s="200">
        <f>_xll.qlCalendarAdvance(Calendar,X3037,W3038,"f",FALSE)</f>
        <v>60135</v>
      </c>
      <c r="Y3038" s="204">
        <f>_xll.qlCalendarAdvance(Calendar,X3038,NDays&amp;"D")</f>
        <v>60140</v>
      </c>
      <c r="Z3038" s="205" t="e">
        <v>#N/A</v>
      </c>
      <c r="AA3038" s="207" t="e">
        <v>#N/A</v>
      </c>
    </row>
    <row r="3039" spans="19:27" x14ac:dyDescent="0.2">
      <c r="S3039" s="165"/>
      <c r="T3039" s="166"/>
      <c r="W3039" s="199" t="str">
        <f t="shared" si="56"/>
        <v>1w</v>
      </c>
      <c r="X3039" s="200">
        <f>_xll.qlCalendarAdvance(Calendar,X3038,W3039,"f",FALSE)</f>
        <v>60142</v>
      </c>
      <c r="Y3039" s="204">
        <f>_xll.qlCalendarAdvance(Calendar,X3039,NDays&amp;"D")</f>
        <v>60146</v>
      </c>
      <c r="Z3039" s="205" t="e">
        <v>#N/A</v>
      </c>
      <c r="AA3039" s="207" t="e">
        <v>#N/A</v>
      </c>
    </row>
    <row r="3040" spans="19:27" x14ac:dyDescent="0.2">
      <c r="S3040" s="165"/>
      <c r="T3040" s="166"/>
      <c r="W3040" s="199" t="str">
        <f t="shared" si="56"/>
        <v>1w</v>
      </c>
      <c r="X3040" s="200">
        <f>_xll.qlCalendarAdvance(Calendar,X3039,W3040,"f",FALSE)</f>
        <v>60149</v>
      </c>
      <c r="Y3040" s="204">
        <f>_xll.qlCalendarAdvance(Calendar,X3040,NDays&amp;"D")</f>
        <v>60153</v>
      </c>
      <c r="Z3040" s="205" t="e">
        <v>#N/A</v>
      </c>
      <c r="AA3040" s="207" t="e">
        <v>#N/A</v>
      </c>
    </row>
    <row r="3041" spans="19:27" x14ac:dyDescent="0.2">
      <c r="S3041" s="165"/>
      <c r="T3041" s="166"/>
      <c r="W3041" s="199" t="str">
        <f t="shared" si="56"/>
        <v>1w</v>
      </c>
      <c r="X3041" s="200">
        <f>_xll.qlCalendarAdvance(Calendar,X3040,W3041,"f",FALSE)</f>
        <v>60156</v>
      </c>
      <c r="Y3041" s="204">
        <f>_xll.qlCalendarAdvance(Calendar,X3041,NDays&amp;"D")</f>
        <v>60160</v>
      </c>
      <c r="Z3041" s="205" t="e">
        <v>#N/A</v>
      </c>
      <c r="AA3041" s="207" t="e">
        <v>#N/A</v>
      </c>
    </row>
    <row r="3042" spans="19:27" x14ac:dyDescent="0.2">
      <c r="S3042" s="165"/>
      <c r="T3042" s="166"/>
      <c r="W3042" s="199" t="str">
        <f t="shared" si="56"/>
        <v>1w</v>
      </c>
      <c r="X3042" s="200">
        <f>_xll.qlCalendarAdvance(Calendar,X3041,W3042,"f",FALSE)</f>
        <v>60163</v>
      </c>
      <c r="Y3042" s="204">
        <f>_xll.qlCalendarAdvance(Calendar,X3042,NDays&amp;"D")</f>
        <v>60167</v>
      </c>
      <c r="Z3042" s="205" t="e">
        <v>#N/A</v>
      </c>
      <c r="AA3042" s="207" t="e">
        <v>#N/A</v>
      </c>
    </row>
    <row r="3043" spans="19:27" x14ac:dyDescent="0.2">
      <c r="S3043" s="165"/>
      <c r="T3043" s="166"/>
      <c r="W3043" s="199" t="str">
        <f t="shared" si="56"/>
        <v>1w</v>
      </c>
      <c r="X3043" s="200">
        <f>_xll.qlCalendarAdvance(Calendar,X3042,W3043,"f",FALSE)</f>
        <v>60170</v>
      </c>
      <c r="Y3043" s="204">
        <f>_xll.qlCalendarAdvance(Calendar,X3043,NDays&amp;"D")</f>
        <v>60174</v>
      </c>
      <c r="Z3043" s="205" t="e">
        <v>#N/A</v>
      </c>
      <c r="AA3043" s="207" t="e">
        <v>#N/A</v>
      </c>
    </row>
    <row r="3044" spans="19:27" x14ac:dyDescent="0.2">
      <c r="S3044" s="165"/>
      <c r="T3044" s="166"/>
      <c r="W3044" s="199" t="str">
        <f t="shared" si="56"/>
        <v>1w</v>
      </c>
      <c r="X3044" s="200">
        <f>_xll.qlCalendarAdvance(Calendar,X3043,W3044,"f",FALSE)</f>
        <v>60177</v>
      </c>
      <c r="Y3044" s="204">
        <f>_xll.qlCalendarAdvance(Calendar,X3044,NDays&amp;"D")</f>
        <v>60181</v>
      </c>
      <c r="Z3044" s="205" t="e">
        <v>#N/A</v>
      </c>
      <c r="AA3044" s="207" t="e">
        <v>#N/A</v>
      </c>
    </row>
    <row r="3045" spans="19:27" x14ac:dyDescent="0.2">
      <c r="S3045" s="165"/>
      <c r="T3045" s="166"/>
      <c r="W3045" s="199" t="str">
        <f t="shared" si="56"/>
        <v>1w</v>
      </c>
      <c r="X3045" s="200">
        <f>_xll.qlCalendarAdvance(Calendar,X3044,W3045,"f",FALSE)</f>
        <v>60184</v>
      </c>
      <c r="Y3045" s="204">
        <f>_xll.qlCalendarAdvance(Calendar,X3045,NDays&amp;"D")</f>
        <v>60188</v>
      </c>
      <c r="Z3045" s="205" t="e">
        <v>#N/A</v>
      </c>
      <c r="AA3045" s="207" t="e">
        <v>#N/A</v>
      </c>
    </row>
    <row r="3046" spans="19:27" x14ac:dyDescent="0.2">
      <c r="S3046" s="165"/>
      <c r="T3046" s="166"/>
      <c r="W3046" s="199" t="str">
        <f t="shared" si="56"/>
        <v>1w</v>
      </c>
      <c r="X3046" s="200">
        <f>_xll.qlCalendarAdvance(Calendar,X3045,W3046,"f",FALSE)</f>
        <v>60191</v>
      </c>
      <c r="Y3046" s="204">
        <f>_xll.qlCalendarAdvance(Calendar,X3046,NDays&amp;"D")</f>
        <v>60195</v>
      </c>
      <c r="Z3046" s="205" t="e">
        <v>#N/A</v>
      </c>
      <c r="AA3046" s="207" t="e">
        <v>#N/A</v>
      </c>
    </row>
    <row r="3047" spans="19:27" x14ac:dyDescent="0.2">
      <c r="S3047" s="165"/>
      <c r="T3047" s="166"/>
      <c r="W3047" s="199" t="str">
        <f t="shared" si="56"/>
        <v>1w</v>
      </c>
      <c r="X3047" s="200">
        <f>_xll.qlCalendarAdvance(Calendar,X3046,W3047,"f",FALSE)</f>
        <v>60198</v>
      </c>
      <c r="Y3047" s="204">
        <f>_xll.qlCalendarAdvance(Calendar,X3047,NDays&amp;"D")</f>
        <v>60202</v>
      </c>
      <c r="Z3047" s="205" t="e">
        <v>#N/A</v>
      </c>
      <c r="AA3047" s="207" t="e">
        <v>#N/A</v>
      </c>
    </row>
    <row r="3048" spans="19:27" x14ac:dyDescent="0.2">
      <c r="S3048" s="165"/>
      <c r="T3048" s="166"/>
      <c r="W3048" s="199" t="str">
        <f t="shared" si="56"/>
        <v>1w</v>
      </c>
      <c r="X3048" s="200">
        <f>_xll.qlCalendarAdvance(Calendar,X3047,W3048,"f",FALSE)</f>
        <v>60205</v>
      </c>
      <c r="Y3048" s="204">
        <f>_xll.qlCalendarAdvance(Calendar,X3048,NDays&amp;"D")</f>
        <v>60209</v>
      </c>
      <c r="Z3048" s="205" t="e">
        <v>#N/A</v>
      </c>
      <c r="AA3048" s="207" t="e">
        <v>#N/A</v>
      </c>
    </row>
    <row r="3049" spans="19:27" x14ac:dyDescent="0.2">
      <c r="S3049" s="165"/>
      <c r="T3049" s="166"/>
      <c r="W3049" s="199" t="str">
        <f t="shared" si="56"/>
        <v>1w</v>
      </c>
      <c r="X3049" s="200">
        <f>_xll.qlCalendarAdvance(Calendar,X3048,W3049,"f",FALSE)</f>
        <v>60212</v>
      </c>
      <c r="Y3049" s="204">
        <f>_xll.qlCalendarAdvance(Calendar,X3049,NDays&amp;"D")</f>
        <v>60216</v>
      </c>
      <c r="Z3049" s="205" t="e">
        <v>#N/A</v>
      </c>
      <c r="AA3049" s="207" t="e">
        <v>#N/A</v>
      </c>
    </row>
    <row r="3050" spans="19:27" x14ac:dyDescent="0.2">
      <c r="S3050" s="165"/>
      <c r="T3050" s="166"/>
      <c r="W3050" s="199" t="str">
        <f t="shared" si="56"/>
        <v>1w</v>
      </c>
      <c r="X3050" s="200">
        <f>_xll.qlCalendarAdvance(Calendar,X3049,W3050,"f",FALSE)</f>
        <v>60219</v>
      </c>
      <c r="Y3050" s="204">
        <f>_xll.qlCalendarAdvance(Calendar,X3050,NDays&amp;"D")</f>
        <v>60223</v>
      </c>
      <c r="Z3050" s="205" t="e">
        <v>#N/A</v>
      </c>
      <c r="AA3050" s="207" t="e">
        <v>#N/A</v>
      </c>
    </row>
    <row r="3051" spans="19:27" x14ac:dyDescent="0.2">
      <c r="S3051" s="165"/>
      <c r="T3051" s="166"/>
      <c r="W3051" s="199" t="str">
        <f t="shared" si="56"/>
        <v>1w</v>
      </c>
      <c r="X3051" s="200">
        <f>_xll.qlCalendarAdvance(Calendar,X3050,W3051,"f",FALSE)</f>
        <v>60226</v>
      </c>
      <c r="Y3051" s="204">
        <f>_xll.qlCalendarAdvance(Calendar,X3051,NDays&amp;"D")</f>
        <v>60230</v>
      </c>
      <c r="Z3051" s="205" t="e">
        <v>#N/A</v>
      </c>
      <c r="AA3051" s="207" t="e">
        <v>#N/A</v>
      </c>
    </row>
    <row r="3052" spans="19:27" x14ac:dyDescent="0.2">
      <c r="S3052" s="165"/>
      <c r="T3052" s="166"/>
      <c r="W3052" s="199" t="str">
        <f t="shared" si="56"/>
        <v>1w</v>
      </c>
      <c r="X3052" s="200">
        <f>_xll.qlCalendarAdvance(Calendar,X3051,W3052,"f",FALSE)</f>
        <v>60233</v>
      </c>
      <c r="Y3052" s="204">
        <f>_xll.qlCalendarAdvance(Calendar,X3052,NDays&amp;"D")</f>
        <v>60237</v>
      </c>
      <c r="Z3052" s="205" t="e">
        <v>#N/A</v>
      </c>
      <c r="AA3052" s="207" t="e">
        <v>#N/A</v>
      </c>
    </row>
    <row r="3053" spans="19:27" x14ac:dyDescent="0.2">
      <c r="S3053" s="165"/>
      <c r="T3053" s="166"/>
      <c r="W3053" s="199" t="str">
        <f t="shared" si="56"/>
        <v>1w</v>
      </c>
      <c r="X3053" s="200">
        <f>_xll.qlCalendarAdvance(Calendar,X3052,W3053,"f",FALSE)</f>
        <v>60240</v>
      </c>
      <c r="Y3053" s="204">
        <f>_xll.qlCalendarAdvance(Calendar,X3053,NDays&amp;"D")</f>
        <v>60244</v>
      </c>
      <c r="Z3053" s="205" t="e">
        <v>#N/A</v>
      </c>
      <c r="AA3053" s="207" t="e">
        <v>#N/A</v>
      </c>
    </row>
    <row r="3054" spans="19:27" x14ac:dyDescent="0.2">
      <c r="S3054" s="165"/>
      <c r="T3054" s="166"/>
      <c r="W3054" s="199" t="str">
        <f t="shared" si="56"/>
        <v>1w</v>
      </c>
      <c r="X3054" s="200">
        <f>_xll.qlCalendarAdvance(Calendar,X3053,W3054,"f",FALSE)</f>
        <v>60247</v>
      </c>
      <c r="Y3054" s="204">
        <f>_xll.qlCalendarAdvance(Calendar,X3054,NDays&amp;"D")</f>
        <v>60251</v>
      </c>
      <c r="Z3054" s="205" t="e">
        <v>#N/A</v>
      </c>
      <c r="AA3054" s="207" t="e">
        <v>#N/A</v>
      </c>
    </row>
    <row r="3055" spans="19:27" x14ac:dyDescent="0.2">
      <c r="S3055" s="165"/>
      <c r="T3055" s="166"/>
      <c r="W3055" s="199" t="str">
        <f t="shared" si="56"/>
        <v>1w</v>
      </c>
      <c r="X3055" s="200">
        <f>_xll.qlCalendarAdvance(Calendar,X3054,W3055,"f",FALSE)</f>
        <v>60254</v>
      </c>
      <c r="Y3055" s="204">
        <f>_xll.qlCalendarAdvance(Calendar,X3055,NDays&amp;"D")</f>
        <v>60258</v>
      </c>
      <c r="Z3055" s="205" t="e">
        <v>#N/A</v>
      </c>
      <c r="AA3055" s="207" t="e">
        <v>#N/A</v>
      </c>
    </row>
    <row r="3056" spans="19:27" x14ac:dyDescent="0.2">
      <c r="S3056" s="165"/>
      <c r="T3056" s="166"/>
      <c r="W3056" s="199" t="str">
        <f t="shared" si="56"/>
        <v>1w</v>
      </c>
      <c r="X3056" s="200">
        <f>_xll.qlCalendarAdvance(Calendar,X3055,W3056,"f",FALSE)</f>
        <v>60265</v>
      </c>
      <c r="Y3056" s="204">
        <f>_xll.qlCalendarAdvance(Calendar,X3056,NDays&amp;"D")</f>
        <v>60267</v>
      </c>
      <c r="Z3056" s="205" t="e">
        <v>#N/A</v>
      </c>
      <c r="AA3056" s="207" t="e">
        <v>#N/A</v>
      </c>
    </row>
    <row r="3057" spans="19:27" x14ac:dyDescent="0.2">
      <c r="S3057" s="165"/>
      <c r="T3057" s="166"/>
      <c r="W3057" s="199" t="str">
        <f t="shared" si="56"/>
        <v>1w</v>
      </c>
      <c r="X3057" s="200">
        <f>_xll.qlCalendarAdvance(Calendar,X3056,W3057,"f",FALSE)</f>
        <v>60272</v>
      </c>
      <c r="Y3057" s="204">
        <f>_xll.qlCalendarAdvance(Calendar,X3057,NDays&amp;"D")</f>
        <v>60274</v>
      </c>
      <c r="Z3057" s="205" t="e">
        <v>#N/A</v>
      </c>
      <c r="AA3057" s="207" t="e">
        <v>#N/A</v>
      </c>
    </row>
    <row r="3058" spans="19:27" x14ac:dyDescent="0.2">
      <c r="S3058" s="165"/>
      <c r="T3058" s="166"/>
      <c r="W3058" s="199" t="str">
        <f t="shared" si="56"/>
        <v>1w</v>
      </c>
      <c r="X3058" s="200">
        <f>_xll.qlCalendarAdvance(Calendar,X3057,W3058,"f",FALSE)</f>
        <v>60279</v>
      </c>
      <c r="Y3058" s="204">
        <f>_xll.qlCalendarAdvance(Calendar,X3058,NDays&amp;"D")</f>
        <v>60281</v>
      </c>
      <c r="Z3058" s="205" t="e">
        <v>#N/A</v>
      </c>
      <c r="AA3058" s="207" t="e">
        <v>#N/A</v>
      </c>
    </row>
    <row r="3059" spans="19:27" x14ac:dyDescent="0.2">
      <c r="S3059" s="165"/>
      <c r="T3059" s="166"/>
      <c r="W3059" s="199" t="str">
        <f t="shared" si="56"/>
        <v>1w</v>
      </c>
      <c r="X3059" s="200">
        <f>_xll.qlCalendarAdvance(Calendar,X3058,W3059,"f",FALSE)</f>
        <v>60286</v>
      </c>
      <c r="Y3059" s="204">
        <f>_xll.qlCalendarAdvance(Calendar,X3059,NDays&amp;"D")</f>
        <v>60288</v>
      </c>
      <c r="Z3059" s="205" t="e">
        <v>#N/A</v>
      </c>
      <c r="AA3059" s="207" t="e">
        <v>#N/A</v>
      </c>
    </row>
    <row r="3060" spans="19:27" x14ac:dyDescent="0.2">
      <c r="S3060" s="165"/>
      <c r="T3060" s="166"/>
      <c r="W3060" s="199" t="str">
        <f t="shared" si="56"/>
        <v>1w</v>
      </c>
      <c r="X3060" s="200">
        <f>_xll.qlCalendarAdvance(Calendar,X3059,W3060,"f",FALSE)</f>
        <v>60293</v>
      </c>
      <c r="Y3060" s="204">
        <f>_xll.qlCalendarAdvance(Calendar,X3060,NDays&amp;"D")</f>
        <v>60295</v>
      </c>
      <c r="Z3060" s="205" t="e">
        <v>#N/A</v>
      </c>
      <c r="AA3060" s="207" t="e">
        <v>#N/A</v>
      </c>
    </row>
    <row r="3061" spans="19:27" x14ac:dyDescent="0.2">
      <c r="S3061" s="165"/>
      <c r="T3061" s="166"/>
      <c r="W3061" s="199" t="str">
        <f t="shared" si="56"/>
        <v>1w</v>
      </c>
      <c r="X3061" s="200">
        <f>_xll.qlCalendarAdvance(Calendar,X3060,W3061,"f",FALSE)</f>
        <v>60300</v>
      </c>
      <c r="Y3061" s="204">
        <f>_xll.qlCalendarAdvance(Calendar,X3061,NDays&amp;"D")</f>
        <v>60302</v>
      </c>
      <c r="Z3061" s="205" t="e">
        <v>#N/A</v>
      </c>
      <c r="AA3061" s="207" t="e">
        <v>#N/A</v>
      </c>
    </row>
    <row r="3062" spans="19:27" x14ac:dyDescent="0.2">
      <c r="S3062" s="165"/>
      <c r="T3062" s="166"/>
      <c r="W3062" s="199" t="str">
        <f t="shared" si="56"/>
        <v>1w</v>
      </c>
      <c r="X3062" s="200">
        <f>_xll.qlCalendarAdvance(Calendar,X3061,W3062,"f",FALSE)</f>
        <v>60307</v>
      </c>
      <c r="Y3062" s="204">
        <f>_xll.qlCalendarAdvance(Calendar,X3062,NDays&amp;"D")</f>
        <v>60309</v>
      </c>
      <c r="Z3062" s="205" t="e">
        <v>#N/A</v>
      </c>
      <c r="AA3062" s="207" t="e">
        <v>#N/A</v>
      </c>
    </row>
    <row r="3063" spans="19:27" x14ac:dyDescent="0.2">
      <c r="S3063" s="165"/>
      <c r="T3063" s="166"/>
      <c r="W3063" s="199" t="str">
        <f t="shared" si="56"/>
        <v>1w</v>
      </c>
      <c r="X3063" s="200">
        <f>_xll.qlCalendarAdvance(Calendar,X3062,W3063,"f",FALSE)</f>
        <v>60314</v>
      </c>
      <c r="Y3063" s="204">
        <f>_xll.qlCalendarAdvance(Calendar,X3063,NDays&amp;"D")</f>
        <v>60316</v>
      </c>
      <c r="Z3063" s="205" t="e">
        <v>#N/A</v>
      </c>
      <c r="AA3063" s="207" t="e">
        <v>#N/A</v>
      </c>
    </row>
    <row r="3064" spans="19:27" x14ac:dyDescent="0.2">
      <c r="S3064" s="165"/>
      <c r="T3064" s="166"/>
      <c r="W3064" s="199" t="str">
        <f t="shared" si="56"/>
        <v>1w</v>
      </c>
      <c r="X3064" s="200">
        <f>_xll.qlCalendarAdvance(Calendar,X3063,W3064,"f",FALSE)</f>
        <v>60321</v>
      </c>
      <c r="Y3064" s="204">
        <f>_xll.qlCalendarAdvance(Calendar,X3064,NDays&amp;"D")</f>
        <v>60323</v>
      </c>
      <c r="Z3064" s="205" t="e">
        <v>#N/A</v>
      </c>
      <c r="AA3064" s="207" t="e">
        <v>#N/A</v>
      </c>
    </row>
    <row r="3065" spans="19:27" x14ac:dyDescent="0.2">
      <c r="S3065" s="165"/>
      <c r="T3065" s="166"/>
      <c r="W3065" s="199" t="str">
        <f t="shared" si="56"/>
        <v>1w</v>
      </c>
      <c r="X3065" s="200">
        <f>_xll.qlCalendarAdvance(Calendar,X3064,W3065,"f",FALSE)</f>
        <v>60328</v>
      </c>
      <c r="Y3065" s="204">
        <f>_xll.qlCalendarAdvance(Calendar,X3065,NDays&amp;"D")</f>
        <v>60330</v>
      </c>
      <c r="Z3065" s="205" t="e">
        <v>#N/A</v>
      </c>
      <c r="AA3065" s="207" t="e">
        <v>#N/A</v>
      </c>
    </row>
    <row r="3066" spans="19:27" x14ac:dyDescent="0.2">
      <c r="S3066" s="165"/>
      <c r="T3066" s="166"/>
      <c r="W3066" s="199" t="str">
        <f t="shared" si="56"/>
        <v>1w</v>
      </c>
      <c r="X3066" s="200">
        <f>_xll.qlCalendarAdvance(Calendar,X3065,W3066,"f",FALSE)</f>
        <v>60335</v>
      </c>
      <c r="Y3066" s="204">
        <f>_xll.qlCalendarAdvance(Calendar,X3066,NDays&amp;"D")</f>
        <v>60337</v>
      </c>
      <c r="Z3066" s="205" t="e">
        <v>#N/A</v>
      </c>
      <c r="AA3066" s="207" t="e">
        <v>#N/A</v>
      </c>
    </row>
    <row r="3067" spans="19:27" x14ac:dyDescent="0.2">
      <c r="S3067" s="165"/>
      <c r="T3067" s="166"/>
      <c r="W3067" s="199" t="str">
        <f t="shared" si="56"/>
        <v>1w</v>
      </c>
      <c r="X3067" s="200">
        <f>_xll.qlCalendarAdvance(Calendar,X3066,W3067,"f",FALSE)</f>
        <v>60342</v>
      </c>
      <c r="Y3067" s="204">
        <f>_xll.qlCalendarAdvance(Calendar,X3067,NDays&amp;"D")</f>
        <v>60344</v>
      </c>
      <c r="Z3067" s="205" t="e">
        <v>#N/A</v>
      </c>
      <c r="AA3067" s="207" t="e">
        <v>#N/A</v>
      </c>
    </row>
    <row r="3068" spans="19:27" x14ac:dyDescent="0.2">
      <c r="S3068" s="165"/>
      <c r="T3068" s="166"/>
      <c r="W3068" s="199" t="str">
        <f t="shared" si="56"/>
        <v>1w</v>
      </c>
      <c r="X3068" s="200">
        <f>_xll.qlCalendarAdvance(Calendar,X3067,W3068,"f",FALSE)</f>
        <v>60349</v>
      </c>
      <c r="Y3068" s="204">
        <f>_xll.qlCalendarAdvance(Calendar,X3068,NDays&amp;"D")</f>
        <v>60351</v>
      </c>
      <c r="Z3068" s="205" t="e">
        <v>#N/A</v>
      </c>
      <c r="AA3068" s="207" t="e">
        <v>#N/A</v>
      </c>
    </row>
    <row r="3069" spans="19:27" x14ac:dyDescent="0.2">
      <c r="S3069" s="165"/>
      <c r="T3069" s="166"/>
      <c r="W3069" s="199" t="str">
        <f t="shared" si="56"/>
        <v>1w</v>
      </c>
      <c r="X3069" s="200">
        <f>_xll.qlCalendarAdvance(Calendar,X3068,W3069,"f",FALSE)</f>
        <v>60357</v>
      </c>
      <c r="Y3069" s="204">
        <f>_xll.qlCalendarAdvance(Calendar,X3069,NDays&amp;"D")</f>
        <v>60359</v>
      </c>
      <c r="Z3069" s="205" t="e">
        <v>#N/A</v>
      </c>
      <c r="AA3069" s="207" t="e">
        <v>#N/A</v>
      </c>
    </row>
    <row r="3070" spans="19:27" x14ac:dyDescent="0.2">
      <c r="S3070" s="165"/>
      <c r="T3070" s="166"/>
      <c r="W3070" s="199" t="str">
        <f t="shared" si="56"/>
        <v>1w</v>
      </c>
      <c r="X3070" s="200">
        <f>_xll.qlCalendarAdvance(Calendar,X3069,W3070,"f",FALSE)</f>
        <v>60364</v>
      </c>
      <c r="Y3070" s="204">
        <f>_xll.qlCalendarAdvance(Calendar,X3070,NDays&amp;"D")</f>
        <v>60366</v>
      </c>
      <c r="Z3070" s="205" t="e">
        <v>#N/A</v>
      </c>
      <c r="AA3070" s="207" t="e">
        <v>#N/A</v>
      </c>
    </row>
    <row r="3071" spans="19:27" x14ac:dyDescent="0.2">
      <c r="S3071" s="165"/>
      <c r="T3071" s="166"/>
      <c r="W3071" s="199" t="str">
        <f t="shared" si="56"/>
        <v>1w</v>
      </c>
      <c r="X3071" s="200">
        <f>_xll.qlCalendarAdvance(Calendar,X3070,W3071,"f",FALSE)</f>
        <v>60371</v>
      </c>
      <c r="Y3071" s="204">
        <f>_xll.qlCalendarAdvance(Calendar,X3071,NDays&amp;"D")</f>
        <v>60373</v>
      </c>
      <c r="Z3071" s="205" t="e">
        <v>#N/A</v>
      </c>
      <c r="AA3071" s="207" t="e">
        <v>#N/A</v>
      </c>
    </row>
    <row r="3072" spans="19:27" x14ac:dyDescent="0.2">
      <c r="S3072" s="165"/>
      <c r="T3072" s="166"/>
      <c r="W3072" s="199" t="str">
        <f t="shared" si="56"/>
        <v>1w</v>
      </c>
      <c r="X3072" s="200">
        <f>_xll.qlCalendarAdvance(Calendar,X3071,W3072,"f",FALSE)</f>
        <v>60378</v>
      </c>
      <c r="Y3072" s="204">
        <f>_xll.qlCalendarAdvance(Calendar,X3072,NDays&amp;"D")</f>
        <v>60380</v>
      </c>
      <c r="Z3072" s="205" t="e">
        <v>#N/A</v>
      </c>
      <c r="AA3072" s="207" t="e">
        <v>#N/A</v>
      </c>
    </row>
    <row r="3073" spans="19:27" x14ac:dyDescent="0.2">
      <c r="S3073" s="165"/>
      <c r="T3073" s="166"/>
      <c r="W3073" s="199" t="str">
        <f t="shared" si="56"/>
        <v>1w</v>
      </c>
      <c r="X3073" s="200">
        <f>_xll.qlCalendarAdvance(Calendar,X3072,W3073,"f",FALSE)</f>
        <v>60385</v>
      </c>
      <c r="Y3073" s="204">
        <f>_xll.qlCalendarAdvance(Calendar,X3073,NDays&amp;"D")</f>
        <v>60387</v>
      </c>
      <c r="Z3073" s="205" t="e">
        <v>#N/A</v>
      </c>
      <c r="AA3073" s="207" t="e">
        <v>#N/A</v>
      </c>
    </row>
    <row r="3074" spans="19:27" x14ac:dyDescent="0.2">
      <c r="S3074" s="165"/>
      <c r="T3074" s="166"/>
      <c r="W3074" s="199" t="str">
        <f t="shared" si="56"/>
        <v>1w</v>
      </c>
      <c r="X3074" s="200">
        <f>_xll.qlCalendarAdvance(Calendar,X3073,W3074,"f",FALSE)</f>
        <v>60392</v>
      </c>
      <c r="Y3074" s="204">
        <f>_xll.qlCalendarAdvance(Calendar,X3074,NDays&amp;"D")</f>
        <v>60394</v>
      </c>
      <c r="Z3074" s="205" t="e">
        <v>#N/A</v>
      </c>
      <c r="AA3074" s="207" t="e">
        <v>#N/A</v>
      </c>
    </row>
    <row r="3075" spans="19:27" x14ac:dyDescent="0.2">
      <c r="S3075" s="165"/>
      <c r="T3075" s="166"/>
      <c r="W3075" s="199" t="str">
        <f t="shared" si="56"/>
        <v>1w</v>
      </c>
      <c r="X3075" s="200">
        <f>_xll.qlCalendarAdvance(Calendar,X3074,W3075,"f",FALSE)</f>
        <v>60399</v>
      </c>
      <c r="Y3075" s="204">
        <f>_xll.qlCalendarAdvance(Calendar,X3075,NDays&amp;"D")</f>
        <v>60401</v>
      </c>
      <c r="Z3075" s="205" t="e">
        <v>#N/A</v>
      </c>
      <c r="AA3075" s="207" t="e">
        <v>#N/A</v>
      </c>
    </row>
    <row r="3076" spans="19:27" x14ac:dyDescent="0.2">
      <c r="S3076" s="165"/>
      <c r="T3076" s="166"/>
      <c r="W3076" s="199" t="str">
        <f t="shared" si="56"/>
        <v>1w</v>
      </c>
      <c r="X3076" s="200">
        <f>_xll.qlCalendarAdvance(Calendar,X3075,W3076,"f",FALSE)</f>
        <v>60406</v>
      </c>
      <c r="Y3076" s="204">
        <f>_xll.qlCalendarAdvance(Calendar,X3076,NDays&amp;"D")</f>
        <v>60408</v>
      </c>
      <c r="Z3076" s="205" t="e">
        <v>#N/A</v>
      </c>
      <c r="AA3076" s="207" t="e">
        <v>#N/A</v>
      </c>
    </row>
    <row r="3077" spans="19:27" x14ac:dyDescent="0.2">
      <c r="S3077" s="165"/>
      <c r="T3077" s="166"/>
      <c r="W3077" s="199" t="str">
        <f t="shared" si="56"/>
        <v>1w</v>
      </c>
      <c r="X3077" s="200">
        <f>_xll.qlCalendarAdvance(Calendar,X3076,W3077,"f",FALSE)</f>
        <v>60413</v>
      </c>
      <c r="Y3077" s="204">
        <f>_xll.qlCalendarAdvance(Calendar,X3077,NDays&amp;"D")</f>
        <v>60415</v>
      </c>
      <c r="Z3077" s="205" t="e">
        <v>#N/A</v>
      </c>
      <c r="AA3077" s="207" t="e">
        <v>#N/A</v>
      </c>
    </row>
    <row r="3078" spans="19:27" x14ac:dyDescent="0.2">
      <c r="S3078" s="165"/>
      <c r="T3078" s="166"/>
      <c r="W3078" s="199" t="str">
        <f t="shared" si="56"/>
        <v>1w</v>
      </c>
      <c r="X3078" s="200">
        <f>_xll.qlCalendarAdvance(Calendar,X3077,W3078,"f",FALSE)</f>
        <v>60420</v>
      </c>
      <c r="Y3078" s="204">
        <f>_xll.qlCalendarAdvance(Calendar,X3078,NDays&amp;"D")</f>
        <v>60422</v>
      </c>
      <c r="Z3078" s="205" t="e">
        <v>#N/A</v>
      </c>
      <c r="AA3078" s="207" t="e">
        <v>#N/A</v>
      </c>
    </row>
    <row r="3079" spans="19:27" x14ac:dyDescent="0.2">
      <c r="S3079" s="165"/>
      <c r="T3079" s="166"/>
      <c r="W3079" s="199" t="str">
        <f t="shared" si="56"/>
        <v>1w</v>
      </c>
      <c r="X3079" s="200">
        <f>_xll.qlCalendarAdvance(Calendar,X3078,W3079,"f",FALSE)</f>
        <v>60427</v>
      </c>
      <c r="Y3079" s="204">
        <f>_xll.qlCalendarAdvance(Calendar,X3079,NDays&amp;"D")</f>
        <v>60429</v>
      </c>
      <c r="Z3079" s="205" t="e">
        <v>#N/A</v>
      </c>
      <c r="AA3079" s="207" t="e">
        <v>#N/A</v>
      </c>
    </row>
    <row r="3080" spans="19:27" x14ac:dyDescent="0.2">
      <c r="S3080" s="165"/>
      <c r="T3080" s="166"/>
      <c r="W3080" s="199" t="str">
        <f t="shared" si="56"/>
        <v>1w</v>
      </c>
      <c r="X3080" s="200">
        <f>_xll.qlCalendarAdvance(Calendar,X3079,W3080,"f",FALSE)</f>
        <v>60434</v>
      </c>
      <c r="Y3080" s="204">
        <f>_xll.qlCalendarAdvance(Calendar,X3080,NDays&amp;"D")</f>
        <v>60436</v>
      </c>
      <c r="Z3080" s="205" t="e">
        <v>#N/A</v>
      </c>
      <c r="AA3080" s="207" t="e">
        <v>#N/A</v>
      </c>
    </row>
    <row r="3081" spans="19:27" x14ac:dyDescent="0.2">
      <c r="S3081" s="165"/>
      <c r="T3081" s="166"/>
      <c r="W3081" s="199" t="str">
        <f t="shared" si="56"/>
        <v>1w</v>
      </c>
      <c r="X3081" s="200">
        <f>_xll.qlCalendarAdvance(Calendar,X3080,W3081,"f",FALSE)</f>
        <v>60441</v>
      </c>
      <c r="Y3081" s="204">
        <f>_xll.qlCalendarAdvance(Calendar,X3081,NDays&amp;"D")</f>
        <v>60443</v>
      </c>
      <c r="Z3081" s="205" t="e">
        <v>#N/A</v>
      </c>
      <c r="AA3081" s="207" t="e">
        <v>#N/A</v>
      </c>
    </row>
    <row r="3082" spans="19:27" x14ac:dyDescent="0.2">
      <c r="S3082" s="165"/>
      <c r="T3082" s="166"/>
      <c r="W3082" s="199" t="str">
        <f t="shared" si="56"/>
        <v>1w</v>
      </c>
      <c r="X3082" s="200">
        <f>_xll.qlCalendarAdvance(Calendar,X3081,W3082,"f",FALSE)</f>
        <v>60448</v>
      </c>
      <c r="Y3082" s="204">
        <f>_xll.qlCalendarAdvance(Calendar,X3082,NDays&amp;"D")</f>
        <v>60450</v>
      </c>
      <c r="Z3082" s="205" t="e">
        <v>#N/A</v>
      </c>
      <c r="AA3082" s="207" t="e">
        <v>#N/A</v>
      </c>
    </row>
    <row r="3083" spans="19:27" x14ac:dyDescent="0.2">
      <c r="S3083" s="165"/>
      <c r="T3083" s="166"/>
      <c r="W3083" s="199" t="str">
        <f t="shared" si="56"/>
        <v>1w</v>
      </c>
      <c r="X3083" s="200">
        <f>_xll.qlCalendarAdvance(Calendar,X3082,W3083,"f",FALSE)</f>
        <v>60455</v>
      </c>
      <c r="Y3083" s="204">
        <f>_xll.qlCalendarAdvance(Calendar,X3083,NDays&amp;"D")</f>
        <v>60457</v>
      </c>
      <c r="Z3083" s="205" t="e">
        <v>#N/A</v>
      </c>
      <c r="AA3083" s="207" t="e">
        <v>#N/A</v>
      </c>
    </row>
    <row r="3084" spans="19:27" x14ac:dyDescent="0.2">
      <c r="S3084" s="165"/>
      <c r="T3084" s="166"/>
      <c r="W3084" s="199" t="str">
        <f t="shared" si="56"/>
        <v>1w</v>
      </c>
      <c r="X3084" s="200">
        <f>_xll.qlCalendarAdvance(Calendar,X3083,W3084,"f",FALSE)</f>
        <v>60462</v>
      </c>
      <c r="Y3084" s="204">
        <f>_xll.qlCalendarAdvance(Calendar,X3084,NDays&amp;"D")</f>
        <v>60464</v>
      </c>
      <c r="Z3084" s="205" t="e">
        <v>#N/A</v>
      </c>
      <c r="AA3084" s="207" t="e">
        <v>#N/A</v>
      </c>
    </row>
    <row r="3085" spans="19:27" x14ac:dyDescent="0.2">
      <c r="S3085" s="165"/>
      <c r="T3085" s="166"/>
      <c r="W3085" s="199" t="str">
        <f t="shared" si="56"/>
        <v>1w</v>
      </c>
      <c r="X3085" s="200">
        <f>_xll.qlCalendarAdvance(Calendar,X3084,W3085,"f",FALSE)</f>
        <v>60469</v>
      </c>
      <c r="Y3085" s="204">
        <f>_xll.qlCalendarAdvance(Calendar,X3085,NDays&amp;"D")</f>
        <v>60471</v>
      </c>
      <c r="Z3085" s="205" t="e">
        <v>#N/A</v>
      </c>
      <c r="AA3085" s="207" t="e">
        <v>#N/A</v>
      </c>
    </row>
    <row r="3086" spans="19:27" x14ac:dyDescent="0.2">
      <c r="S3086" s="165"/>
      <c r="T3086" s="166"/>
      <c r="W3086" s="199" t="str">
        <f t="shared" si="56"/>
        <v>1w</v>
      </c>
      <c r="X3086" s="200">
        <f>_xll.qlCalendarAdvance(Calendar,X3085,W3086,"f",FALSE)</f>
        <v>60476</v>
      </c>
      <c r="Y3086" s="204">
        <f>_xll.qlCalendarAdvance(Calendar,X3086,NDays&amp;"D")</f>
        <v>60478</v>
      </c>
      <c r="Z3086" s="205" t="e">
        <v>#N/A</v>
      </c>
      <c r="AA3086" s="207" t="e">
        <v>#N/A</v>
      </c>
    </row>
    <row r="3087" spans="19:27" x14ac:dyDescent="0.2">
      <c r="S3087" s="165"/>
      <c r="T3087" s="166"/>
      <c r="W3087" s="199" t="str">
        <f t="shared" si="56"/>
        <v>1w</v>
      </c>
      <c r="X3087" s="200">
        <f>_xll.qlCalendarAdvance(Calendar,X3086,W3087,"f",FALSE)</f>
        <v>60483</v>
      </c>
      <c r="Y3087" s="204">
        <f>_xll.qlCalendarAdvance(Calendar,X3087,NDays&amp;"D")</f>
        <v>60485</v>
      </c>
      <c r="Z3087" s="205" t="e">
        <v>#N/A</v>
      </c>
      <c r="AA3087" s="207" t="e">
        <v>#N/A</v>
      </c>
    </row>
    <row r="3088" spans="19:27" x14ac:dyDescent="0.2">
      <c r="S3088" s="165"/>
      <c r="T3088" s="166"/>
      <c r="W3088" s="199" t="str">
        <f t="shared" si="56"/>
        <v>1w</v>
      </c>
      <c r="X3088" s="200">
        <f>_xll.qlCalendarAdvance(Calendar,X3087,W3088,"f",FALSE)</f>
        <v>60490</v>
      </c>
      <c r="Y3088" s="204">
        <f>_xll.qlCalendarAdvance(Calendar,X3088,NDays&amp;"D")</f>
        <v>60492</v>
      </c>
      <c r="Z3088" s="205" t="e">
        <v>#N/A</v>
      </c>
      <c r="AA3088" s="207" t="e">
        <v>#N/A</v>
      </c>
    </row>
    <row r="3089" spans="19:27" x14ac:dyDescent="0.2">
      <c r="S3089" s="165"/>
      <c r="T3089" s="166"/>
      <c r="W3089" s="199" t="str">
        <f t="shared" si="56"/>
        <v>1w</v>
      </c>
      <c r="X3089" s="200">
        <f>_xll.qlCalendarAdvance(Calendar,X3088,W3089,"f",FALSE)</f>
        <v>60497</v>
      </c>
      <c r="Y3089" s="204">
        <f>_xll.qlCalendarAdvance(Calendar,X3089,NDays&amp;"D")</f>
        <v>60499</v>
      </c>
      <c r="Z3089" s="205" t="e">
        <v>#N/A</v>
      </c>
      <c r="AA3089" s="207" t="e">
        <v>#N/A</v>
      </c>
    </row>
    <row r="3090" spans="19:27" x14ac:dyDescent="0.2">
      <c r="S3090" s="165"/>
      <c r="T3090" s="166"/>
      <c r="W3090" s="199" t="str">
        <f t="shared" si="56"/>
        <v>1w</v>
      </c>
      <c r="X3090" s="200">
        <f>_xll.qlCalendarAdvance(Calendar,X3089,W3090,"f",FALSE)</f>
        <v>60504</v>
      </c>
      <c r="Y3090" s="204">
        <f>_xll.qlCalendarAdvance(Calendar,X3090,NDays&amp;"D")</f>
        <v>60506</v>
      </c>
      <c r="Z3090" s="205" t="e">
        <v>#N/A</v>
      </c>
      <c r="AA3090" s="207" t="e">
        <v>#N/A</v>
      </c>
    </row>
    <row r="3091" spans="19:27" x14ac:dyDescent="0.2">
      <c r="S3091" s="165"/>
      <c r="T3091" s="166"/>
      <c r="W3091" s="199" t="str">
        <f t="shared" si="56"/>
        <v>1w</v>
      </c>
      <c r="X3091" s="200">
        <f>_xll.qlCalendarAdvance(Calendar,X3090,W3091,"f",FALSE)</f>
        <v>60511</v>
      </c>
      <c r="Y3091" s="204">
        <f>_xll.qlCalendarAdvance(Calendar,X3091,NDays&amp;"D")</f>
        <v>60513</v>
      </c>
      <c r="Z3091" s="205" t="e">
        <v>#N/A</v>
      </c>
      <c r="AA3091" s="207" t="e">
        <v>#N/A</v>
      </c>
    </row>
    <row r="3092" spans="19:27" x14ac:dyDescent="0.2">
      <c r="S3092" s="165"/>
      <c r="T3092" s="166"/>
      <c r="W3092" s="199" t="str">
        <f t="shared" si="56"/>
        <v>1w</v>
      </c>
      <c r="X3092" s="200">
        <f>_xll.qlCalendarAdvance(Calendar,X3091,W3092,"f",FALSE)</f>
        <v>60518</v>
      </c>
      <c r="Y3092" s="204">
        <f>_xll.qlCalendarAdvance(Calendar,X3092,NDays&amp;"D")</f>
        <v>60520</v>
      </c>
      <c r="Z3092" s="205" t="e">
        <v>#N/A</v>
      </c>
      <c r="AA3092" s="207" t="e">
        <v>#N/A</v>
      </c>
    </row>
    <row r="3093" spans="19:27" x14ac:dyDescent="0.2">
      <c r="S3093" s="165"/>
      <c r="T3093" s="166"/>
      <c r="W3093" s="199" t="str">
        <f t="shared" ref="W3093:W3156" si="57">W3092</f>
        <v>1w</v>
      </c>
      <c r="X3093" s="200">
        <f>_xll.qlCalendarAdvance(Calendar,X3092,W3093,"f",FALSE)</f>
        <v>60525</v>
      </c>
      <c r="Y3093" s="204">
        <f>_xll.qlCalendarAdvance(Calendar,X3093,NDays&amp;"D")</f>
        <v>60527</v>
      </c>
      <c r="Z3093" s="205" t="e">
        <v>#N/A</v>
      </c>
      <c r="AA3093" s="207" t="e">
        <v>#N/A</v>
      </c>
    </row>
    <row r="3094" spans="19:27" x14ac:dyDescent="0.2">
      <c r="S3094" s="165"/>
      <c r="T3094" s="166"/>
      <c r="W3094" s="199" t="str">
        <f t="shared" si="57"/>
        <v>1w</v>
      </c>
      <c r="X3094" s="200">
        <f>_xll.qlCalendarAdvance(Calendar,X3093,W3094,"f",FALSE)</f>
        <v>60532</v>
      </c>
      <c r="Y3094" s="204">
        <f>_xll.qlCalendarAdvance(Calendar,X3094,NDays&amp;"D")</f>
        <v>60534</v>
      </c>
      <c r="Z3094" s="205" t="e">
        <v>#N/A</v>
      </c>
      <c r="AA3094" s="207" t="e">
        <v>#N/A</v>
      </c>
    </row>
    <row r="3095" spans="19:27" x14ac:dyDescent="0.2">
      <c r="S3095" s="165"/>
      <c r="T3095" s="166"/>
      <c r="W3095" s="199" t="str">
        <f t="shared" si="57"/>
        <v>1w</v>
      </c>
      <c r="X3095" s="200">
        <f>_xll.qlCalendarAdvance(Calendar,X3094,W3095,"f",FALSE)</f>
        <v>60539</v>
      </c>
      <c r="Y3095" s="204">
        <f>_xll.qlCalendarAdvance(Calendar,X3095,NDays&amp;"D")</f>
        <v>60541</v>
      </c>
      <c r="Z3095" s="205" t="e">
        <v>#N/A</v>
      </c>
      <c r="AA3095" s="207" t="e">
        <v>#N/A</v>
      </c>
    </row>
    <row r="3096" spans="19:27" x14ac:dyDescent="0.2">
      <c r="S3096" s="165"/>
      <c r="T3096" s="166"/>
      <c r="W3096" s="199" t="str">
        <f t="shared" si="57"/>
        <v>1w</v>
      </c>
      <c r="X3096" s="200">
        <f>_xll.qlCalendarAdvance(Calendar,X3095,W3096,"f",FALSE)</f>
        <v>60546</v>
      </c>
      <c r="Y3096" s="204">
        <f>_xll.qlCalendarAdvance(Calendar,X3096,NDays&amp;"D")</f>
        <v>60548</v>
      </c>
      <c r="Z3096" s="205" t="e">
        <v>#N/A</v>
      </c>
      <c r="AA3096" s="207" t="e">
        <v>#N/A</v>
      </c>
    </row>
    <row r="3097" spans="19:27" x14ac:dyDescent="0.2">
      <c r="S3097" s="165"/>
      <c r="T3097" s="166"/>
      <c r="W3097" s="199" t="str">
        <f t="shared" si="57"/>
        <v>1w</v>
      </c>
      <c r="X3097" s="200">
        <f>_xll.qlCalendarAdvance(Calendar,X3096,W3097,"f",FALSE)</f>
        <v>60553</v>
      </c>
      <c r="Y3097" s="204">
        <f>_xll.qlCalendarAdvance(Calendar,X3097,NDays&amp;"D")</f>
        <v>60555</v>
      </c>
      <c r="Z3097" s="205" t="e">
        <v>#N/A</v>
      </c>
      <c r="AA3097" s="207" t="e">
        <v>#N/A</v>
      </c>
    </row>
    <row r="3098" spans="19:27" x14ac:dyDescent="0.2">
      <c r="S3098" s="165"/>
      <c r="T3098" s="166"/>
      <c r="W3098" s="199" t="str">
        <f t="shared" si="57"/>
        <v>1w</v>
      </c>
      <c r="X3098" s="200">
        <f>_xll.qlCalendarAdvance(Calendar,X3097,W3098,"f",FALSE)</f>
        <v>60560</v>
      </c>
      <c r="Y3098" s="204">
        <f>_xll.qlCalendarAdvance(Calendar,X3098,NDays&amp;"D")</f>
        <v>60562</v>
      </c>
      <c r="Z3098" s="205" t="e">
        <v>#N/A</v>
      </c>
      <c r="AA3098" s="207" t="e">
        <v>#N/A</v>
      </c>
    </row>
    <row r="3099" spans="19:27" x14ac:dyDescent="0.2">
      <c r="S3099" s="165"/>
      <c r="T3099" s="166"/>
      <c r="W3099" s="199" t="str">
        <f t="shared" si="57"/>
        <v>1w</v>
      </c>
      <c r="X3099" s="200">
        <f>_xll.qlCalendarAdvance(Calendar,X3098,W3099,"f",FALSE)</f>
        <v>60567</v>
      </c>
      <c r="Y3099" s="204">
        <f>_xll.qlCalendarAdvance(Calendar,X3099,NDays&amp;"D")</f>
        <v>60569</v>
      </c>
      <c r="Z3099" s="205" t="e">
        <v>#N/A</v>
      </c>
      <c r="AA3099" s="207" t="e">
        <v>#N/A</v>
      </c>
    </row>
    <row r="3100" spans="19:27" x14ac:dyDescent="0.2">
      <c r="S3100" s="165"/>
      <c r="T3100" s="166"/>
      <c r="W3100" s="199" t="str">
        <f t="shared" si="57"/>
        <v>1w</v>
      </c>
      <c r="X3100" s="200">
        <f>_xll.qlCalendarAdvance(Calendar,X3099,W3100,"f",FALSE)</f>
        <v>60574</v>
      </c>
      <c r="Y3100" s="204">
        <f>_xll.qlCalendarAdvance(Calendar,X3100,NDays&amp;"D")</f>
        <v>60576</v>
      </c>
      <c r="Z3100" s="205" t="e">
        <v>#N/A</v>
      </c>
      <c r="AA3100" s="207" t="e">
        <v>#N/A</v>
      </c>
    </row>
    <row r="3101" spans="19:27" x14ac:dyDescent="0.2">
      <c r="S3101" s="165"/>
      <c r="T3101" s="166"/>
      <c r="W3101" s="199" t="str">
        <f t="shared" si="57"/>
        <v>1w</v>
      </c>
      <c r="X3101" s="200">
        <f>_xll.qlCalendarAdvance(Calendar,X3100,W3101,"f",FALSE)</f>
        <v>60581</v>
      </c>
      <c r="Y3101" s="204">
        <f>_xll.qlCalendarAdvance(Calendar,X3101,NDays&amp;"D")</f>
        <v>60583</v>
      </c>
      <c r="Z3101" s="205" t="e">
        <v>#N/A</v>
      </c>
      <c r="AA3101" s="207" t="e">
        <v>#N/A</v>
      </c>
    </row>
    <row r="3102" spans="19:27" x14ac:dyDescent="0.2">
      <c r="S3102" s="165"/>
      <c r="T3102" s="166"/>
      <c r="W3102" s="199" t="str">
        <f t="shared" si="57"/>
        <v>1w</v>
      </c>
      <c r="X3102" s="200">
        <f>_xll.qlCalendarAdvance(Calendar,X3101,W3102,"f",FALSE)</f>
        <v>60588</v>
      </c>
      <c r="Y3102" s="204">
        <f>_xll.qlCalendarAdvance(Calendar,X3102,NDays&amp;"D")</f>
        <v>60590</v>
      </c>
      <c r="Z3102" s="205" t="e">
        <v>#N/A</v>
      </c>
      <c r="AA3102" s="207" t="e">
        <v>#N/A</v>
      </c>
    </row>
    <row r="3103" spans="19:27" x14ac:dyDescent="0.2">
      <c r="S3103" s="165"/>
      <c r="T3103" s="166"/>
      <c r="W3103" s="199" t="str">
        <f t="shared" si="57"/>
        <v>1w</v>
      </c>
      <c r="X3103" s="200">
        <f>_xll.qlCalendarAdvance(Calendar,X3102,W3103,"f",FALSE)</f>
        <v>60595</v>
      </c>
      <c r="Y3103" s="204">
        <f>_xll.qlCalendarAdvance(Calendar,X3103,NDays&amp;"D")</f>
        <v>60597</v>
      </c>
      <c r="Z3103" s="205" t="e">
        <v>#N/A</v>
      </c>
      <c r="AA3103" s="207" t="e">
        <v>#N/A</v>
      </c>
    </row>
    <row r="3104" spans="19:27" x14ac:dyDescent="0.2">
      <c r="S3104" s="165"/>
      <c r="T3104" s="166"/>
      <c r="W3104" s="199" t="str">
        <f t="shared" si="57"/>
        <v>1w</v>
      </c>
      <c r="X3104" s="200">
        <f>_xll.qlCalendarAdvance(Calendar,X3103,W3104,"f",FALSE)</f>
        <v>60602</v>
      </c>
      <c r="Y3104" s="204">
        <f>_xll.qlCalendarAdvance(Calendar,X3104,NDays&amp;"D")</f>
        <v>60604</v>
      </c>
      <c r="Z3104" s="205" t="e">
        <v>#N/A</v>
      </c>
      <c r="AA3104" s="207" t="e">
        <v>#N/A</v>
      </c>
    </row>
    <row r="3105" spans="19:27" x14ac:dyDescent="0.2">
      <c r="S3105" s="165"/>
      <c r="T3105" s="166"/>
      <c r="W3105" s="199" t="str">
        <f t="shared" si="57"/>
        <v>1w</v>
      </c>
      <c r="X3105" s="200">
        <f>_xll.qlCalendarAdvance(Calendar,X3104,W3105,"f",FALSE)</f>
        <v>60609</v>
      </c>
      <c r="Y3105" s="204">
        <f>_xll.qlCalendarAdvance(Calendar,X3105,NDays&amp;"D")</f>
        <v>60611</v>
      </c>
      <c r="Z3105" s="205" t="e">
        <v>#N/A</v>
      </c>
      <c r="AA3105" s="207" t="e">
        <v>#N/A</v>
      </c>
    </row>
    <row r="3106" spans="19:27" x14ac:dyDescent="0.2">
      <c r="S3106" s="165"/>
      <c r="T3106" s="166"/>
      <c r="W3106" s="199" t="str">
        <f t="shared" si="57"/>
        <v>1w</v>
      </c>
      <c r="X3106" s="200">
        <f>_xll.qlCalendarAdvance(Calendar,X3105,W3106,"f",FALSE)</f>
        <v>60616</v>
      </c>
      <c r="Y3106" s="204">
        <f>_xll.qlCalendarAdvance(Calendar,X3106,NDays&amp;"D")</f>
        <v>60618</v>
      </c>
      <c r="Z3106" s="205" t="e">
        <v>#N/A</v>
      </c>
      <c r="AA3106" s="207" t="e">
        <v>#N/A</v>
      </c>
    </row>
    <row r="3107" spans="19:27" x14ac:dyDescent="0.2">
      <c r="S3107" s="165"/>
      <c r="T3107" s="166"/>
      <c r="W3107" s="199" t="str">
        <f t="shared" si="57"/>
        <v>1w</v>
      </c>
      <c r="X3107" s="200">
        <f>_xll.qlCalendarAdvance(Calendar,X3106,W3107,"f",FALSE)</f>
        <v>60623</v>
      </c>
      <c r="Y3107" s="204">
        <f>_xll.qlCalendarAdvance(Calendar,X3107,NDays&amp;"D")</f>
        <v>60625</v>
      </c>
      <c r="Z3107" s="205" t="e">
        <v>#N/A</v>
      </c>
      <c r="AA3107" s="207" t="e">
        <v>#N/A</v>
      </c>
    </row>
    <row r="3108" spans="19:27" x14ac:dyDescent="0.2">
      <c r="S3108" s="165"/>
      <c r="T3108" s="166"/>
      <c r="W3108" s="199" t="str">
        <f t="shared" si="57"/>
        <v>1w</v>
      </c>
      <c r="X3108" s="200">
        <f>_xll.qlCalendarAdvance(Calendar,X3107,W3108,"f",FALSE)</f>
        <v>60630</v>
      </c>
      <c r="Y3108" s="204">
        <f>_xll.qlCalendarAdvance(Calendar,X3108,NDays&amp;"D")</f>
        <v>60632</v>
      </c>
      <c r="Z3108" s="205" t="e">
        <v>#N/A</v>
      </c>
      <c r="AA3108" s="207" t="e">
        <v>#N/A</v>
      </c>
    </row>
    <row r="3109" spans="19:27" x14ac:dyDescent="0.2">
      <c r="S3109" s="165"/>
      <c r="T3109" s="166"/>
      <c r="W3109" s="199" t="str">
        <f t="shared" si="57"/>
        <v>1w</v>
      </c>
      <c r="X3109" s="200">
        <f>_xll.qlCalendarAdvance(Calendar,X3108,W3109,"f",FALSE)</f>
        <v>60637</v>
      </c>
      <c r="Y3109" s="204">
        <f>_xll.qlCalendarAdvance(Calendar,X3109,NDays&amp;"D")</f>
        <v>60639</v>
      </c>
      <c r="Z3109" s="205" t="e">
        <v>#N/A</v>
      </c>
      <c r="AA3109" s="207" t="e">
        <v>#N/A</v>
      </c>
    </row>
    <row r="3110" spans="19:27" x14ac:dyDescent="0.2">
      <c r="S3110" s="165"/>
      <c r="T3110" s="166"/>
      <c r="W3110" s="199" t="str">
        <f t="shared" si="57"/>
        <v>1w</v>
      </c>
      <c r="X3110" s="200">
        <f>_xll.qlCalendarAdvance(Calendar,X3109,W3110,"f",FALSE)</f>
        <v>60644</v>
      </c>
      <c r="Y3110" s="204">
        <f>_xll.qlCalendarAdvance(Calendar,X3110,NDays&amp;"D")</f>
        <v>60646</v>
      </c>
      <c r="Z3110" s="205" t="e">
        <v>#N/A</v>
      </c>
      <c r="AA3110" s="207" t="e">
        <v>#N/A</v>
      </c>
    </row>
    <row r="3111" spans="19:27" x14ac:dyDescent="0.2">
      <c r="S3111" s="165"/>
      <c r="T3111" s="166"/>
      <c r="W3111" s="199" t="str">
        <f t="shared" si="57"/>
        <v>1w</v>
      </c>
      <c r="X3111" s="200">
        <f>_xll.qlCalendarAdvance(Calendar,X3110,W3111,"f",FALSE)</f>
        <v>60651</v>
      </c>
      <c r="Y3111" s="204">
        <f>_xll.qlCalendarAdvance(Calendar,X3111,NDays&amp;"D")</f>
        <v>60653</v>
      </c>
      <c r="Z3111" s="205" t="e">
        <v>#N/A</v>
      </c>
      <c r="AA3111" s="207" t="e">
        <v>#N/A</v>
      </c>
    </row>
    <row r="3112" spans="19:27" x14ac:dyDescent="0.2">
      <c r="S3112" s="165"/>
      <c r="T3112" s="166"/>
      <c r="W3112" s="199" t="str">
        <f t="shared" si="57"/>
        <v>1w</v>
      </c>
      <c r="X3112" s="200">
        <f>_xll.qlCalendarAdvance(Calendar,X3111,W3112,"f",FALSE)</f>
        <v>60658</v>
      </c>
      <c r="Y3112" s="204">
        <f>_xll.qlCalendarAdvance(Calendar,X3112,NDays&amp;"D")</f>
        <v>60660</v>
      </c>
      <c r="Z3112" s="205" t="e">
        <v>#N/A</v>
      </c>
      <c r="AA3112" s="207" t="e">
        <v>#N/A</v>
      </c>
    </row>
    <row r="3113" spans="19:27" x14ac:dyDescent="0.2">
      <c r="S3113" s="165"/>
      <c r="T3113" s="166"/>
      <c r="W3113" s="199" t="str">
        <f t="shared" si="57"/>
        <v>1w</v>
      </c>
      <c r="X3113" s="200">
        <f>_xll.qlCalendarAdvance(Calendar,X3112,W3113,"f",FALSE)</f>
        <v>60665</v>
      </c>
      <c r="Y3113" s="204">
        <f>_xll.qlCalendarAdvance(Calendar,X3113,NDays&amp;"D")</f>
        <v>60667</v>
      </c>
      <c r="Z3113" s="205" t="e">
        <v>#N/A</v>
      </c>
      <c r="AA3113" s="207" t="e">
        <v>#N/A</v>
      </c>
    </row>
    <row r="3114" spans="19:27" x14ac:dyDescent="0.2">
      <c r="S3114" s="165"/>
      <c r="T3114" s="166"/>
      <c r="W3114" s="199" t="str">
        <f t="shared" si="57"/>
        <v>1w</v>
      </c>
      <c r="X3114" s="200">
        <f>_xll.qlCalendarAdvance(Calendar,X3113,W3114,"f",FALSE)</f>
        <v>60672</v>
      </c>
      <c r="Y3114" s="204">
        <f>_xll.qlCalendarAdvance(Calendar,X3114,NDays&amp;"D")</f>
        <v>60674</v>
      </c>
      <c r="Z3114" s="205" t="e">
        <v>#N/A</v>
      </c>
      <c r="AA3114" s="207" t="e">
        <v>#N/A</v>
      </c>
    </row>
    <row r="3115" spans="19:27" x14ac:dyDescent="0.2">
      <c r="S3115" s="165"/>
      <c r="T3115" s="166"/>
      <c r="W3115" s="199" t="str">
        <f t="shared" si="57"/>
        <v>1w</v>
      </c>
      <c r="X3115" s="200">
        <f>_xll.qlCalendarAdvance(Calendar,X3114,W3115,"f",FALSE)</f>
        <v>60679</v>
      </c>
      <c r="Y3115" s="204">
        <f>_xll.qlCalendarAdvance(Calendar,X3115,NDays&amp;"D")</f>
        <v>60681</v>
      </c>
      <c r="Z3115" s="205" t="e">
        <v>#N/A</v>
      </c>
      <c r="AA3115" s="207" t="e">
        <v>#N/A</v>
      </c>
    </row>
    <row r="3116" spans="19:27" x14ac:dyDescent="0.2">
      <c r="S3116" s="165"/>
      <c r="T3116" s="166"/>
      <c r="W3116" s="199" t="str">
        <f t="shared" si="57"/>
        <v>1w</v>
      </c>
      <c r="X3116" s="200">
        <f>_xll.qlCalendarAdvance(Calendar,X3115,W3116,"f",FALSE)</f>
        <v>60686</v>
      </c>
      <c r="Y3116" s="204">
        <f>_xll.qlCalendarAdvance(Calendar,X3116,NDays&amp;"D")</f>
        <v>60688</v>
      </c>
      <c r="Z3116" s="205" t="e">
        <v>#N/A</v>
      </c>
      <c r="AA3116" s="207" t="e">
        <v>#N/A</v>
      </c>
    </row>
    <row r="3117" spans="19:27" x14ac:dyDescent="0.2">
      <c r="S3117" s="165"/>
      <c r="T3117" s="166"/>
      <c r="W3117" s="199" t="str">
        <f t="shared" si="57"/>
        <v>1w</v>
      </c>
      <c r="X3117" s="200">
        <f>_xll.qlCalendarAdvance(Calendar,X3116,W3117,"f",FALSE)</f>
        <v>60693</v>
      </c>
      <c r="Y3117" s="204">
        <f>_xll.qlCalendarAdvance(Calendar,X3117,NDays&amp;"D")</f>
        <v>60695</v>
      </c>
      <c r="Z3117" s="205" t="e">
        <v>#N/A</v>
      </c>
      <c r="AA3117" s="207" t="e">
        <v>#N/A</v>
      </c>
    </row>
    <row r="3118" spans="19:27" x14ac:dyDescent="0.2">
      <c r="S3118" s="165"/>
      <c r="T3118" s="166"/>
      <c r="W3118" s="199" t="str">
        <f t="shared" si="57"/>
        <v>1w</v>
      </c>
      <c r="X3118" s="200">
        <f>_xll.qlCalendarAdvance(Calendar,X3117,W3118,"f",FALSE)</f>
        <v>60700</v>
      </c>
      <c r="Y3118" s="204">
        <f>_xll.qlCalendarAdvance(Calendar,X3118,NDays&amp;"D")</f>
        <v>60702</v>
      </c>
      <c r="Z3118" s="205" t="e">
        <v>#N/A</v>
      </c>
      <c r="AA3118" s="207" t="e">
        <v>#N/A</v>
      </c>
    </row>
    <row r="3119" spans="19:27" x14ac:dyDescent="0.2">
      <c r="S3119" s="165"/>
      <c r="T3119" s="166"/>
      <c r="W3119" s="199" t="str">
        <f t="shared" si="57"/>
        <v>1w</v>
      </c>
      <c r="X3119" s="200">
        <f>_xll.qlCalendarAdvance(Calendar,X3118,W3119,"f",FALSE)</f>
        <v>60707</v>
      </c>
      <c r="Y3119" s="204">
        <f>_xll.qlCalendarAdvance(Calendar,X3119,NDays&amp;"D")</f>
        <v>60709</v>
      </c>
      <c r="Z3119" s="205" t="e">
        <v>#N/A</v>
      </c>
      <c r="AA3119" s="207" t="e">
        <v>#N/A</v>
      </c>
    </row>
    <row r="3120" spans="19:27" x14ac:dyDescent="0.2">
      <c r="S3120" s="165"/>
      <c r="T3120" s="166"/>
      <c r="W3120" s="199" t="str">
        <f t="shared" si="57"/>
        <v>1w</v>
      </c>
      <c r="X3120" s="200">
        <f>_xll.qlCalendarAdvance(Calendar,X3119,W3120,"f",FALSE)</f>
        <v>60714</v>
      </c>
      <c r="Y3120" s="204">
        <f>_xll.qlCalendarAdvance(Calendar,X3120,NDays&amp;"D")</f>
        <v>60716</v>
      </c>
      <c r="Z3120" s="205" t="e">
        <v>#N/A</v>
      </c>
      <c r="AA3120" s="207" t="e">
        <v>#N/A</v>
      </c>
    </row>
    <row r="3121" spans="19:27" x14ac:dyDescent="0.2">
      <c r="S3121" s="165"/>
      <c r="T3121" s="166"/>
      <c r="W3121" s="199" t="str">
        <f t="shared" si="57"/>
        <v>1w</v>
      </c>
      <c r="X3121" s="200">
        <f>_xll.qlCalendarAdvance(Calendar,X3120,W3121,"f",FALSE)</f>
        <v>60721</v>
      </c>
      <c r="Y3121" s="204">
        <f>_xll.qlCalendarAdvance(Calendar,X3121,NDays&amp;"D")</f>
        <v>60723</v>
      </c>
      <c r="Z3121" s="205" t="e">
        <v>#N/A</v>
      </c>
      <c r="AA3121" s="207" t="e">
        <v>#N/A</v>
      </c>
    </row>
    <row r="3122" spans="19:27" x14ac:dyDescent="0.2">
      <c r="S3122" s="165"/>
      <c r="T3122" s="166"/>
      <c r="W3122" s="199" t="str">
        <f t="shared" si="57"/>
        <v>1w</v>
      </c>
      <c r="X3122" s="200">
        <f>_xll.qlCalendarAdvance(Calendar,X3121,W3122,"f",FALSE)</f>
        <v>60728</v>
      </c>
      <c r="Y3122" s="204">
        <f>_xll.qlCalendarAdvance(Calendar,X3122,NDays&amp;"D")</f>
        <v>60730</v>
      </c>
      <c r="Z3122" s="205" t="e">
        <v>#N/A</v>
      </c>
      <c r="AA3122" s="207" t="e">
        <v>#N/A</v>
      </c>
    </row>
    <row r="3123" spans="19:27" x14ac:dyDescent="0.2">
      <c r="S3123" s="165"/>
      <c r="T3123" s="166"/>
      <c r="W3123" s="199" t="str">
        <f t="shared" si="57"/>
        <v>1w</v>
      </c>
      <c r="X3123" s="200">
        <f>_xll.qlCalendarAdvance(Calendar,X3122,W3123,"f",FALSE)</f>
        <v>60735</v>
      </c>
      <c r="Y3123" s="204">
        <f>_xll.qlCalendarAdvance(Calendar,X3123,NDays&amp;"D")</f>
        <v>60737</v>
      </c>
      <c r="Z3123" s="205" t="e">
        <v>#N/A</v>
      </c>
      <c r="AA3123" s="207" t="e">
        <v>#N/A</v>
      </c>
    </row>
    <row r="3124" spans="19:27" x14ac:dyDescent="0.2">
      <c r="S3124" s="165"/>
      <c r="T3124" s="166"/>
      <c r="W3124" s="199" t="str">
        <f t="shared" si="57"/>
        <v>1w</v>
      </c>
      <c r="X3124" s="200">
        <f>_xll.qlCalendarAdvance(Calendar,X3123,W3124,"f",FALSE)</f>
        <v>60742</v>
      </c>
      <c r="Y3124" s="204">
        <f>_xll.qlCalendarAdvance(Calendar,X3124,NDays&amp;"D")</f>
        <v>60744</v>
      </c>
      <c r="Z3124" s="205" t="e">
        <v>#N/A</v>
      </c>
      <c r="AA3124" s="207" t="e">
        <v>#N/A</v>
      </c>
    </row>
    <row r="3125" spans="19:27" x14ac:dyDescent="0.2">
      <c r="S3125" s="165"/>
      <c r="T3125" s="166"/>
      <c r="W3125" s="199" t="str">
        <f t="shared" si="57"/>
        <v>1w</v>
      </c>
      <c r="X3125" s="200">
        <f>_xll.qlCalendarAdvance(Calendar,X3124,W3125,"f",FALSE)</f>
        <v>60749</v>
      </c>
      <c r="Y3125" s="204">
        <f>_xll.qlCalendarAdvance(Calendar,X3125,NDays&amp;"D")</f>
        <v>60751</v>
      </c>
      <c r="Z3125" s="205" t="e">
        <v>#N/A</v>
      </c>
      <c r="AA3125" s="207" t="e">
        <v>#N/A</v>
      </c>
    </row>
    <row r="3126" spans="19:27" x14ac:dyDescent="0.2">
      <c r="S3126" s="165"/>
      <c r="T3126" s="166"/>
      <c r="W3126" s="199" t="str">
        <f t="shared" si="57"/>
        <v>1w</v>
      </c>
      <c r="X3126" s="200">
        <f>_xll.qlCalendarAdvance(Calendar,X3125,W3126,"f",FALSE)</f>
        <v>60756</v>
      </c>
      <c r="Y3126" s="204">
        <f>_xll.qlCalendarAdvance(Calendar,X3126,NDays&amp;"D")</f>
        <v>60758</v>
      </c>
      <c r="Z3126" s="205" t="e">
        <v>#N/A</v>
      </c>
      <c r="AA3126" s="207" t="e">
        <v>#N/A</v>
      </c>
    </row>
    <row r="3127" spans="19:27" x14ac:dyDescent="0.2">
      <c r="S3127" s="165"/>
      <c r="T3127" s="166"/>
      <c r="W3127" s="199" t="str">
        <f t="shared" si="57"/>
        <v>1w</v>
      </c>
      <c r="X3127" s="200">
        <f>_xll.qlCalendarAdvance(Calendar,X3126,W3127,"f",FALSE)</f>
        <v>60763</v>
      </c>
      <c r="Y3127" s="204">
        <f>_xll.qlCalendarAdvance(Calendar,X3127,NDays&amp;"D")</f>
        <v>60765</v>
      </c>
      <c r="Z3127" s="205" t="e">
        <v>#N/A</v>
      </c>
      <c r="AA3127" s="207" t="e">
        <v>#N/A</v>
      </c>
    </row>
    <row r="3128" spans="19:27" x14ac:dyDescent="0.2">
      <c r="S3128" s="165"/>
      <c r="T3128" s="166"/>
      <c r="W3128" s="199" t="str">
        <f t="shared" si="57"/>
        <v>1w</v>
      </c>
      <c r="X3128" s="200">
        <f>_xll.qlCalendarAdvance(Calendar,X3127,W3128,"f",FALSE)</f>
        <v>60770</v>
      </c>
      <c r="Y3128" s="204">
        <f>_xll.qlCalendarAdvance(Calendar,X3128,NDays&amp;"D")</f>
        <v>60772</v>
      </c>
      <c r="Z3128" s="205" t="e">
        <v>#N/A</v>
      </c>
      <c r="AA3128" s="207" t="e">
        <v>#N/A</v>
      </c>
    </row>
    <row r="3129" spans="19:27" x14ac:dyDescent="0.2">
      <c r="S3129" s="165"/>
      <c r="T3129" s="166"/>
      <c r="W3129" s="199" t="str">
        <f t="shared" si="57"/>
        <v>1w</v>
      </c>
      <c r="X3129" s="200">
        <f>_xll.qlCalendarAdvance(Calendar,X3128,W3129,"f",FALSE)</f>
        <v>60777</v>
      </c>
      <c r="Y3129" s="204">
        <f>_xll.qlCalendarAdvance(Calendar,X3129,NDays&amp;"D")</f>
        <v>60779</v>
      </c>
      <c r="Z3129" s="205" t="e">
        <v>#N/A</v>
      </c>
      <c r="AA3129" s="207" t="e">
        <v>#N/A</v>
      </c>
    </row>
    <row r="3130" spans="19:27" x14ac:dyDescent="0.2">
      <c r="S3130" s="165"/>
      <c r="T3130" s="166"/>
      <c r="W3130" s="199" t="str">
        <f t="shared" si="57"/>
        <v>1w</v>
      </c>
      <c r="X3130" s="200">
        <f>_xll.qlCalendarAdvance(Calendar,X3129,W3130,"f",FALSE)</f>
        <v>60784</v>
      </c>
      <c r="Y3130" s="204">
        <f>_xll.qlCalendarAdvance(Calendar,X3130,NDays&amp;"D")</f>
        <v>60786</v>
      </c>
      <c r="Z3130" s="205" t="e">
        <v>#N/A</v>
      </c>
      <c r="AA3130" s="207" t="e">
        <v>#N/A</v>
      </c>
    </row>
    <row r="3131" spans="19:27" x14ac:dyDescent="0.2">
      <c r="S3131" s="165"/>
      <c r="T3131" s="166"/>
      <c r="W3131" s="199" t="str">
        <f t="shared" si="57"/>
        <v>1w</v>
      </c>
      <c r="X3131" s="200">
        <f>_xll.qlCalendarAdvance(Calendar,X3130,W3131,"f",FALSE)</f>
        <v>60791</v>
      </c>
      <c r="Y3131" s="204">
        <f>_xll.qlCalendarAdvance(Calendar,X3131,NDays&amp;"D")</f>
        <v>60793</v>
      </c>
      <c r="Z3131" s="205" t="e">
        <v>#N/A</v>
      </c>
      <c r="AA3131" s="207" t="e">
        <v>#N/A</v>
      </c>
    </row>
    <row r="3132" spans="19:27" x14ac:dyDescent="0.2">
      <c r="S3132" s="165"/>
      <c r="T3132" s="166"/>
      <c r="W3132" s="199" t="str">
        <f t="shared" si="57"/>
        <v>1w</v>
      </c>
      <c r="X3132" s="200">
        <f>_xll.qlCalendarAdvance(Calendar,X3131,W3132,"f",FALSE)</f>
        <v>60798</v>
      </c>
      <c r="Y3132" s="204">
        <f>_xll.qlCalendarAdvance(Calendar,X3132,NDays&amp;"D")</f>
        <v>60800</v>
      </c>
      <c r="Z3132" s="205" t="e">
        <v>#N/A</v>
      </c>
      <c r="AA3132" s="207" t="e">
        <v>#N/A</v>
      </c>
    </row>
    <row r="3133" spans="19:27" x14ac:dyDescent="0.2">
      <c r="S3133" s="165"/>
      <c r="T3133" s="166"/>
      <c r="W3133" s="199" t="str">
        <f t="shared" si="57"/>
        <v>1w</v>
      </c>
      <c r="X3133" s="200">
        <f>_xll.qlCalendarAdvance(Calendar,X3132,W3133,"f",FALSE)</f>
        <v>60805</v>
      </c>
      <c r="Y3133" s="204">
        <f>_xll.qlCalendarAdvance(Calendar,X3133,NDays&amp;"D")</f>
        <v>60807</v>
      </c>
      <c r="Z3133" s="205" t="e">
        <v>#N/A</v>
      </c>
      <c r="AA3133" s="207" t="e">
        <v>#N/A</v>
      </c>
    </row>
    <row r="3134" spans="19:27" x14ac:dyDescent="0.2">
      <c r="S3134" s="165"/>
      <c r="T3134" s="166"/>
      <c r="W3134" s="199" t="str">
        <f t="shared" si="57"/>
        <v>1w</v>
      </c>
      <c r="X3134" s="200">
        <f>_xll.qlCalendarAdvance(Calendar,X3133,W3134,"f",FALSE)</f>
        <v>60812</v>
      </c>
      <c r="Y3134" s="204">
        <f>_xll.qlCalendarAdvance(Calendar,X3134,NDays&amp;"D")</f>
        <v>60814</v>
      </c>
      <c r="Z3134" s="205" t="e">
        <v>#N/A</v>
      </c>
      <c r="AA3134" s="207" t="e">
        <v>#N/A</v>
      </c>
    </row>
    <row r="3135" spans="19:27" x14ac:dyDescent="0.2">
      <c r="S3135" s="165"/>
      <c r="T3135" s="166"/>
      <c r="W3135" s="199" t="str">
        <f t="shared" si="57"/>
        <v>1w</v>
      </c>
      <c r="X3135" s="200">
        <f>_xll.qlCalendarAdvance(Calendar,X3134,W3135,"f",FALSE)</f>
        <v>60819</v>
      </c>
      <c r="Y3135" s="204">
        <f>_xll.qlCalendarAdvance(Calendar,X3135,NDays&amp;"D")</f>
        <v>60821</v>
      </c>
      <c r="Z3135" s="205" t="e">
        <v>#N/A</v>
      </c>
      <c r="AA3135" s="207" t="e">
        <v>#N/A</v>
      </c>
    </row>
    <row r="3136" spans="19:27" x14ac:dyDescent="0.2">
      <c r="S3136" s="165"/>
      <c r="T3136" s="166"/>
      <c r="W3136" s="199" t="str">
        <f t="shared" si="57"/>
        <v>1w</v>
      </c>
      <c r="X3136" s="200">
        <f>_xll.qlCalendarAdvance(Calendar,X3135,W3136,"f",FALSE)</f>
        <v>60826</v>
      </c>
      <c r="Y3136" s="204">
        <f>_xll.qlCalendarAdvance(Calendar,X3136,NDays&amp;"D")</f>
        <v>60828</v>
      </c>
      <c r="Z3136" s="205" t="e">
        <v>#N/A</v>
      </c>
      <c r="AA3136" s="207" t="e">
        <v>#N/A</v>
      </c>
    </row>
    <row r="3137" spans="19:27" x14ac:dyDescent="0.2">
      <c r="S3137" s="165"/>
      <c r="T3137" s="166"/>
      <c r="W3137" s="199" t="str">
        <f t="shared" si="57"/>
        <v>1w</v>
      </c>
      <c r="X3137" s="200">
        <f>_xll.qlCalendarAdvance(Calendar,X3136,W3137,"f",FALSE)</f>
        <v>60833</v>
      </c>
      <c r="Y3137" s="204">
        <f>_xll.qlCalendarAdvance(Calendar,X3137,NDays&amp;"D")</f>
        <v>60835</v>
      </c>
      <c r="Z3137" s="205" t="e">
        <v>#N/A</v>
      </c>
      <c r="AA3137" s="207" t="e">
        <v>#N/A</v>
      </c>
    </row>
    <row r="3138" spans="19:27" x14ac:dyDescent="0.2">
      <c r="S3138" s="165"/>
      <c r="T3138" s="166"/>
      <c r="W3138" s="199" t="str">
        <f t="shared" si="57"/>
        <v>1w</v>
      </c>
      <c r="X3138" s="200">
        <f>_xll.qlCalendarAdvance(Calendar,X3137,W3138,"f",FALSE)</f>
        <v>60840</v>
      </c>
      <c r="Y3138" s="204">
        <f>_xll.qlCalendarAdvance(Calendar,X3138,NDays&amp;"D")</f>
        <v>60842</v>
      </c>
      <c r="Z3138" s="205" t="e">
        <v>#N/A</v>
      </c>
      <c r="AA3138" s="207" t="e">
        <v>#N/A</v>
      </c>
    </row>
    <row r="3139" spans="19:27" x14ac:dyDescent="0.2">
      <c r="S3139" s="165"/>
      <c r="T3139" s="166"/>
      <c r="W3139" s="199" t="str">
        <f t="shared" si="57"/>
        <v>1w</v>
      </c>
      <c r="X3139" s="200">
        <f>_xll.qlCalendarAdvance(Calendar,X3138,W3139,"f",FALSE)</f>
        <v>60847</v>
      </c>
      <c r="Y3139" s="204">
        <f>_xll.qlCalendarAdvance(Calendar,X3139,NDays&amp;"D")</f>
        <v>60849</v>
      </c>
      <c r="Z3139" s="205" t="e">
        <v>#N/A</v>
      </c>
      <c r="AA3139" s="207" t="e">
        <v>#N/A</v>
      </c>
    </row>
    <row r="3140" spans="19:27" x14ac:dyDescent="0.2">
      <c r="S3140" s="165"/>
      <c r="T3140" s="166"/>
      <c r="W3140" s="199" t="str">
        <f t="shared" si="57"/>
        <v>1w</v>
      </c>
      <c r="X3140" s="200">
        <f>_xll.qlCalendarAdvance(Calendar,X3139,W3140,"f",FALSE)</f>
        <v>60854</v>
      </c>
      <c r="Y3140" s="204">
        <f>_xll.qlCalendarAdvance(Calendar,X3140,NDays&amp;"D")</f>
        <v>60856</v>
      </c>
      <c r="Z3140" s="205" t="e">
        <v>#N/A</v>
      </c>
      <c r="AA3140" s="207" t="e">
        <v>#N/A</v>
      </c>
    </row>
    <row r="3141" spans="19:27" x14ac:dyDescent="0.2">
      <c r="S3141" s="165"/>
      <c r="T3141" s="166"/>
      <c r="W3141" s="199" t="str">
        <f t="shared" si="57"/>
        <v>1w</v>
      </c>
      <c r="X3141" s="200">
        <f>_xll.qlCalendarAdvance(Calendar,X3140,W3141,"f",FALSE)</f>
        <v>60861</v>
      </c>
      <c r="Y3141" s="204">
        <f>_xll.qlCalendarAdvance(Calendar,X3141,NDays&amp;"D")</f>
        <v>60863</v>
      </c>
      <c r="Z3141" s="205" t="e">
        <v>#N/A</v>
      </c>
      <c r="AA3141" s="207" t="e">
        <v>#N/A</v>
      </c>
    </row>
    <row r="3142" spans="19:27" x14ac:dyDescent="0.2">
      <c r="S3142" s="165"/>
      <c r="T3142" s="166"/>
      <c r="W3142" s="199" t="str">
        <f t="shared" si="57"/>
        <v>1w</v>
      </c>
      <c r="X3142" s="200">
        <f>_xll.qlCalendarAdvance(Calendar,X3141,W3142,"f",FALSE)</f>
        <v>60868</v>
      </c>
      <c r="Y3142" s="204">
        <f>_xll.qlCalendarAdvance(Calendar,X3142,NDays&amp;"D")</f>
        <v>60870</v>
      </c>
      <c r="Z3142" s="205" t="e">
        <v>#N/A</v>
      </c>
      <c r="AA3142" s="207" t="e">
        <v>#N/A</v>
      </c>
    </row>
    <row r="3143" spans="19:27" x14ac:dyDescent="0.2">
      <c r="S3143" s="165"/>
      <c r="T3143" s="166"/>
      <c r="W3143" s="199" t="str">
        <f t="shared" si="57"/>
        <v>1w</v>
      </c>
      <c r="X3143" s="200">
        <f>_xll.qlCalendarAdvance(Calendar,X3142,W3143,"f",FALSE)</f>
        <v>60875</v>
      </c>
      <c r="Y3143" s="204">
        <f>_xll.qlCalendarAdvance(Calendar,X3143,NDays&amp;"D")</f>
        <v>60877</v>
      </c>
      <c r="Z3143" s="205" t="e">
        <v>#N/A</v>
      </c>
      <c r="AA3143" s="207" t="e">
        <v>#N/A</v>
      </c>
    </row>
    <row r="3144" spans="19:27" x14ac:dyDescent="0.2">
      <c r="S3144" s="165"/>
      <c r="T3144" s="166"/>
      <c r="W3144" s="199" t="str">
        <f t="shared" si="57"/>
        <v>1w</v>
      </c>
      <c r="X3144" s="200">
        <f>_xll.qlCalendarAdvance(Calendar,X3143,W3144,"f",FALSE)</f>
        <v>60882</v>
      </c>
      <c r="Y3144" s="204">
        <f>_xll.qlCalendarAdvance(Calendar,X3144,NDays&amp;"D")</f>
        <v>60884</v>
      </c>
      <c r="Z3144" s="205" t="e">
        <v>#N/A</v>
      </c>
      <c r="AA3144" s="207" t="e">
        <v>#N/A</v>
      </c>
    </row>
    <row r="3145" spans="19:27" x14ac:dyDescent="0.2">
      <c r="S3145" s="165"/>
      <c r="T3145" s="166"/>
      <c r="W3145" s="199" t="str">
        <f t="shared" si="57"/>
        <v>1w</v>
      </c>
      <c r="X3145" s="200">
        <f>_xll.qlCalendarAdvance(Calendar,X3144,W3145,"f",FALSE)</f>
        <v>60889</v>
      </c>
      <c r="Y3145" s="204">
        <f>_xll.qlCalendarAdvance(Calendar,X3145,NDays&amp;"D")</f>
        <v>60891</v>
      </c>
      <c r="Z3145" s="205" t="e">
        <v>#N/A</v>
      </c>
      <c r="AA3145" s="207" t="e">
        <v>#N/A</v>
      </c>
    </row>
    <row r="3146" spans="19:27" x14ac:dyDescent="0.2">
      <c r="S3146" s="165"/>
      <c r="T3146" s="166"/>
      <c r="W3146" s="199" t="str">
        <f t="shared" si="57"/>
        <v>1w</v>
      </c>
      <c r="X3146" s="200">
        <f>_xll.qlCalendarAdvance(Calendar,X3145,W3146,"f",FALSE)</f>
        <v>60896</v>
      </c>
      <c r="Y3146" s="204">
        <f>_xll.qlCalendarAdvance(Calendar,X3146,NDays&amp;"D")</f>
        <v>60898</v>
      </c>
      <c r="Z3146" s="205" t="e">
        <v>#N/A</v>
      </c>
      <c r="AA3146" s="207" t="e">
        <v>#N/A</v>
      </c>
    </row>
    <row r="3147" spans="19:27" x14ac:dyDescent="0.2">
      <c r="S3147" s="165"/>
      <c r="T3147" s="166"/>
      <c r="W3147" s="199" t="str">
        <f t="shared" si="57"/>
        <v>1w</v>
      </c>
      <c r="X3147" s="200">
        <f>_xll.qlCalendarAdvance(Calendar,X3146,W3147,"f",FALSE)</f>
        <v>60903</v>
      </c>
      <c r="Y3147" s="204">
        <f>_xll.qlCalendarAdvance(Calendar,X3147,NDays&amp;"D")</f>
        <v>60905</v>
      </c>
      <c r="Z3147" s="205" t="e">
        <v>#N/A</v>
      </c>
      <c r="AA3147" s="207" t="e">
        <v>#N/A</v>
      </c>
    </row>
    <row r="3148" spans="19:27" x14ac:dyDescent="0.2">
      <c r="S3148" s="165"/>
      <c r="T3148" s="166"/>
      <c r="W3148" s="199" t="str">
        <f t="shared" si="57"/>
        <v>1w</v>
      </c>
      <c r="X3148" s="200">
        <f>_xll.qlCalendarAdvance(Calendar,X3147,W3148,"f",FALSE)</f>
        <v>60910</v>
      </c>
      <c r="Y3148" s="204">
        <f>_xll.qlCalendarAdvance(Calendar,X3148,NDays&amp;"D")</f>
        <v>60912</v>
      </c>
      <c r="Z3148" s="205" t="e">
        <v>#N/A</v>
      </c>
      <c r="AA3148" s="207" t="e">
        <v>#N/A</v>
      </c>
    </row>
    <row r="3149" spans="19:27" x14ac:dyDescent="0.2">
      <c r="S3149" s="165"/>
      <c r="T3149" s="166"/>
      <c r="W3149" s="199" t="str">
        <f t="shared" si="57"/>
        <v>1w</v>
      </c>
      <c r="X3149" s="200">
        <f>_xll.qlCalendarAdvance(Calendar,X3148,W3149,"f",FALSE)</f>
        <v>60917</v>
      </c>
      <c r="Y3149" s="204">
        <f>_xll.qlCalendarAdvance(Calendar,X3149,NDays&amp;"D")</f>
        <v>60919</v>
      </c>
      <c r="Z3149" s="205" t="e">
        <v>#N/A</v>
      </c>
      <c r="AA3149" s="207" t="e">
        <v>#N/A</v>
      </c>
    </row>
    <row r="3150" spans="19:27" x14ac:dyDescent="0.2">
      <c r="S3150" s="165"/>
      <c r="T3150" s="166"/>
      <c r="W3150" s="199" t="str">
        <f t="shared" si="57"/>
        <v>1w</v>
      </c>
      <c r="X3150" s="200">
        <f>_xll.qlCalendarAdvance(Calendar,X3149,W3150,"f",FALSE)</f>
        <v>60924</v>
      </c>
      <c r="Y3150" s="204">
        <f>_xll.qlCalendarAdvance(Calendar,X3150,NDays&amp;"D")</f>
        <v>60926</v>
      </c>
      <c r="Z3150" s="205" t="e">
        <v>#N/A</v>
      </c>
      <c r="AA3150" s="207" t="e">
        <v>#N/A</v>
      </c>
    </row>
    <row r="3151" spans="19:27" x14ac:dyDescent="0.2">
      <c r="S3151" s="165"/>
      <c r="T3151" s="166"/>
      <c r="W3151" s="199" t="str">
        <f t="shared" si="57"/>
        <v>1w</v>
      </c>
      <c r="X3151" s="200">
        <f>_xll.qlCalendarAdvance(Calendar,X3150,W3151,"f",FALSE)</f>
        <v>60931</v>
      </c>
      <c r="Y3151" s="204">
        <f>_xll.qlCalendarAdvance(Calendar,X3151,NDays&amp;"D")</f>
        <v>60933</v>
      </c>
      <c r="Z3151" s="205" t="e">
        <v>#N/A</v>
      </c>
      <c r="AA3151" s="207" t="e">
        <v>#N/A</v>
      </c>
    </row>
    <row r="3152" spans="19:27" x14ac:dyDescent="0.2">
      <c r="S3152" s="165"/>
      <c r="T3152" s="166"/>
      <c r="W3152" s="199" t="str">
        <f t="shared" si="57"/>
        <v>1w</v>
      </c>
      <c r="X3152" s="200">
        <f>_xll.qlCalendarAdvance(Calendar,X3151,W3152,"f",FALSE)</f>
        <v>60938</v>
      </c>
      <c r="Y3152" s="204">
        <f>_xll.qlCalendarAdvance(Calendar,X3152,NDays&amp;"D")</f>
        <v>60940</v>
      </c>
      <c r="Z3152" s="205" t="e">
        <v>#N/A</v>
      </c>
      <c r="AA3152" s="207" t="e">
        <v>#N/A</v>
      </c>
    </row>
    <row r="3153" spans="19:27" x14ac:dyDescent="0.2">
      <c r="S3153" s="165"/>
      <c r="T3153" s="166"/>
      <c r="W3153" s="199" t="str">
        <f t="shared" si="57"/>
        <v>1w</v>
      </c>
      <c r="X3153" s="200">
        <f>_xll.qlCalendarAdvance(Calendar,X3152,W3153,"f",FALSE)</f>
        <v>60945</v>
      </c>
      <c r="Y3153" s="204">
        <f>_xll.qlCalendarAdvance(Calendar,X3153,NDays&amp;"D")</f>
        <v>60947</v>
      </c>
      <c r="Z3153" s="205" t="e">
        <v>#N/A</v>
      </c>
      <c r="AA3153" s="207" t="e">
        <v>#N/A</v>
      </c>
    </row>
    <row r="3154" spans="19:27" x14ac:dyDescent="0.2">
      <c r="S3154" s="165"/>
      <c r="T3154" s="166"/>
      <c r="W3154" s="199" t="str">
        <f t="shared" si="57"/>
        <v>1w</v>
      </c>
      <c r="X3154" s="200">
        <f>_xll.qlCalendarAdvance(Calendar,X3153,W3154,"f",FALSE)</f>
        <v>60952</v>
      </c>
      <c r="Y3154" s="204">
        <f>_xll.qlCalendarAdvance(Calendar,X3154,NDays&amp;"D")</f>
        <v>60954</v>
      </c>
      <c r="Z3154" s="205" t="e">
        <v>#N/A</v>
      </c>
      <c r="AA3154" s="207" t="e">
        <v>#N/A</v>
      </c>
    </row>
    <row r="3155" spans="19:27" x14ac:dyDescent="0.2">
      <c r="S3155" s="165"/>
      <c r="T3155" s="166"/>
      <c r="W3155" s="199" t="str">
        <f t="shared" si="57"/>
        <v>1w</v>
      </c>
      <c r="X3155" s="200">
        <f>_xll.qlCalendarAdvance(Calendar,X3154,W3155,"f",FALSE)</f>
        <v>60959</v>
      </c>
      <c r="Y3155" s="204">
        <f>_xll.qlCalendarAdvance(Calendar,X3155,NDays&amp;"D")</f>
        <v>60961</v>
      </c>
      <c r="Z3155" s="205" t="e">
        <v>#N/A</v>
      </c>
      <c r="AA3155" s="207" t="e">
        <v>#N/A</v>
      </c>
    </row>
    <row r="3156" spans="19:27" x14ac:dyDescent="0.2">
      <c r="S3156" s="165"/>
      <c r="T3156" s="166"/>
      <c r="W3156" s="199" t="str">
        <f t="shared" si="57"/>
        <v>1w</v>
      </c>
      <c r="X3156" s="200">
        <f>_xll.qlCalendarAdvance(Calendar,X3155,W3156,"f",FALSE)</f>
        <v>60966</v>
      </c>
      <c r="Y3156" s="204">
        <f>_xll.qlCalendarAdvance(Calendar,X3156,NDays&amp;"D")</f>
        <v>60968</v>
      </c>
      <c r="Z3156" s="205" t="e">
        <v>#N/A</v>
      </c>
      <c r="AA3156" s="207" t="e">
        <v>#N/A</v>
      </c>
    </row>
    <row r="3157" spans="19:27" x14ac:dyDescent="0.2">
      <c r="S3157" s="165"/>
      <c r="T3157" s="166"/>
      <c r="W3157" s="199" t="str">
        <f t="shared" ref="W3157:W3220" si="58">W3156</f>
        <v>1w</v>
      </c>
      <c r="X3157" s="200">
        <f>_xll.qlCalendarAdvance(Calendar,X3156,W3157,"f",FALSE)</f>
        <v>60973</v>
      </c>
      <c r="Y3157" s="204">
        <f>_xll.qlCalendarAdvance(Calendar,X3157,NDays&amp;"D")</f>
        <v>60975</v>
      </c>
      <c r="Z3157" s="205" t="e">
        <v>#N/A</v>
      </c>
      <c r="AA3157" s="207" t="e">
        <v>#N/A</v>
      </c>
    </row>
    <row r="3158" spans="19:27" x14ac:dyDescent="0.2">
      <c r="S3158" s="165"/>
      <c r="T3158" s="166"/>
      <c r="W3158" s="199" t="str">
        <f t="shared" si="58"/>
        <v>1w</v>
      </c>
      <c r="X3158" s="200">
        <f>_xll.qlCalendarAdvance(Calendar,X3157,W3158,"f",FALSE)</f>
        <v>60980</v>
      </c>
      <c r="Y3158" s="204">
        <f>_xll.qlCalendarAdvance(Calendar,X3158,NDays&amp;"D")</f>
        <v>60982</v>
      </c>
      <c r="Z3158" s="205" t="e">
        <v>#N/A</v>
      </c>
      <c r="AA3158" s="207" t="e">
        <v>#N/A</v>
      </c>
    </row>
    <row r="3159" spans="19:27" x14ac:dyDescent="0.2">
      <c r="S3159" s="165"/>
      <c r="T3159" s="166"/>
      <c r="W3159" s="199" t="str">
        <f t="shared" si="58"/>
        <v>1w</v>
      </c>
      <c r="X3159" s="200">
        <f>_xll.qlCalendarAdvance(Calendar,X3158,W3159,"f",FALSE)</f>
        <v>60987</v>
      </c>
      <c r="Y3159" s="204">
        <f>_xll.qlCalendarAdvance(Calendar,X3159,NDays&amp;"D")</f>
        <v>60989</v>
      </c>
      <c r="Z3159" s="205" t="e">
        <v>#N/A</v>
      </c>
      <c r="AA3159" s="207" t="e">
        <v>#N/A</v>
      </c>
    </row>
    <row r="3160" spans="19:27" x14ac:dyDescent="0.2">
      <c r="S3160" s="165"/>
      <c r="T3160" s="166"/>
      <c r="W3160" s="199" t="str">
        <f t="shared" si="58"/>
        <v>1w</v>
      </c>
      <c r="X3160" s="200">
        <f>_xll.qlCalendarAdvance(Calendar,X3159,W3160,"f",FALSE)</f>
        <v>60995</v>
      </c>
      <c r="Y3160" s="204">
        <f>_xll.qlCalendarAdvance(Calendar,X3160,NDays&amp;"D")</f>
        <v>60997</v>
      </c>
      <c r="Z3160" s="205" t="e">
        <v>#N/A</v>
      </c>
      <c r="AA3160" s="207" t="e">
        <v>#N/A</v>
      </c>
    </row>
    <row r="3161" spans="19:27" x14ac:dyDescent="0.2">
      <c r="S3161" s="165"/>
      <c r="T3161" s="166"/>
      <c r="W3161" s="199" t="str">
        <f t="shared" si="58"/>
        <v>1w</v>
      </c>
      <c r="X3161" s="200">
        <f>_xll.qlCalendarAdvance(Calendar,X3160,W3161,"f",FALSE)</f>
        <v>61002</v>
      </c>
      <c r="Y3161" s="204">
        <f>_xll.qlCalendarAdvance(Calendar,X3161,NDays&amp;"D")</f>
        <v>61004</v>
      </c>
      <c r="Z3161" s="205" t="e">
        <v>#N/A</v>
      </c>
      <c r="AA3161" s="207" t="e">
        <v>#N/A</v>
      </c>
    </row>
    <row r="3162" spans="19:27" x14ac:dyDescent="0.2">
      <c r="S3162" s="165"/>
      <c r="T3162" s="166"/>
      <c r="W3162" s="199" t="str">
        <f t="shared" si="58"/>
        <v>1w</v>
      </c>
      <c r="X3162" s="200">
        <f>_xll.qlCalendarAdvance(Calendar,X3161,W3162,"f",FALSE)</f>
        <v>61009</v>
      </c>
      <c r="Y3162" s="204">
        <f>_xll.qlCalendarAdvance(Calendar,X3162,NDays&amp;"D")</f>
        <v>61011</v>
      </c>
      <c r="Z3162" s="205" t="e">
        <v>#N/A</v>
      </c>
      <c r="AA3162" s="207" t="e">
        <v>#N/A</v>
      </c>
    </row>
    <row r="3163" spans="19:27" x14ac:dyDescent="0.2">
      <c r="S3163" s="165"/>
      <c r="T3163" s="166"/>
      <c r="W3163" s="199" t="str">
        <f t="shared" si="58"/>
        <v>1w</v>
      </c>
      <c r="X3163" s="200">
        <f>_xll.qlCalendarAdvance(Calendar,X3162,W3163,"f",FALSE)</f>
        <v>61016</v>
      </c>
      <c r="Y3163" s="204">
        <f>_xll.qlCalendarAdvance(Calendar,X3163,NDays&amp;"D")</f>
        <v>61018</v>
      </c>
      <c r="Z3163" s="205" t="e">
        <v>#N/A</v>
      </c>
      <c r="AA3163" s="207" t="e">
        <v>#N/A</v>
      </c>
    </row>
    <row r="3164" spans="19:27" x14ac:dyDescent="0.2">
      <c r="S3164" s="165"/>
      <c r="T3164" s="166"/>
      <c r="W3164" s="199" t="str">
        <f t="shared" si="58"/>
        <v>1w</v>
      </c>
      <c r="X3164" s="200">
        <f>_xll.qlCalendarAdvance(Calendar,X3163,W3164,"f",FALSE)</f>
        <v>61023</v>
      </c>
      <c r="Y3164" s="204">
        <f>_xll.qlCalendarAdvance(Calendar,X3164,NDays&amp;"D")</f>
        <v>61025</v>
      </c>
      <c r="Z3164" s="205" t="e">
        <v>#N/A</v>
      </c>
      <c r="AA3164" s="207" t="e">
        <v>#N/A</v>
      </c>
    </row>
    <row r="3165" spans="19:27" x14ac:dyDescent="0.2">
      <c r="S3165" s="165"/>
      <c r="T3165" s="166"/>
      <c r="W3165" s="199" t="str">
        <f t="shared" si="58"/>
        <v>1w</v>
      </c>
      <c r="X3165" s="200">
        <f>_xll.qlCalendarAdvance(Calendar,X3164,W3165,"f",FALSE)</f>
        <v>61030</v>
      </c>
      <c r="Y3165" s="204">
        <f>_xll.qlCalendarAdvance(Calendar,X3165,NDays&amp;"D")</f>
        <v>61032</v>
      </c>
      <c r="Z3165" s="205" t="e">
        <v>#N/A</v>
      </c>
      <c r="AA3165" s="207" t="e">
        <v>#N/A</v>
      </c>
    </row>
    <row r="3166" spans="19:27" x14ac:dyDescent="0.2">
      <c r="S3166" s="165"/>
      <c r="T3166" s="166"/>
      <c r="W3166" s="199" t="str">
        <f t="shared" si="58"/>
        <v>1w</v>
      </c>
      <c r="X3166" s="200">
        <f>_xll.qlCalendarAdvance(Calendar,X3165,W3166,"f",FALSE)</f>
        <v>61037</v>
      </c>
      <c r="Y3166" s="204">
        <f>_xll.qlCalendarAdvance(Calendar,X3166,NDays&amp;"D")</f>
        <v>61039</v>
      </c>
      <c r="Z3166" s="205" t="e">
        <v>#N/A</v>
      </c>
      <c r="AA3166" s="207" t="e">
        <v>#N/A</v>
      </c>
    </row>
    <row r="3167" spans="19:27" x14ac:dyDescent="0.2">
      <c r="S3167" s="165"/>
      <c r="T3167" s="166"/>
      <c r="W3167" s="199" t="str">
        <f t="shared" si="58"/>
        <v>1w</v>
      </c>
      <c r="X3167" s="200">
        <f>_xll.qlCalendarAdvance(Calendar,X3166,W3167,"f",FALSE)</f>
        <v>61044</v>
      </c>
      <c r="Y3167" s="204">
        <f>_xll.qlCalendarAdvance(Calendar,X3167,NDays&amp;"D")</f>
        <v>61046</v>
      </c>
      <c r="Z3167" s="205" t="e">
        <v>#N/A</v>
      </c>
      <c r="AA3167" s="207" t="e">
        <v>#N/A</v>
      </c>
    </row>
    <row r="3168" spans="19:27" x14ac:dyDescent="0.2">
      <c r="S3168" s="165"/>
      <c r="T3168" s="166"/>
      <c r="W3168" s="199" t="str">
        <f t="shared" si="58"/>
        <v>1w</v>
      </c>
      <c r="X3168" s="200">
        <f>_xll.qlCalendarAdvance(Calendar,X3167,W3168,"f",FALSE)</f>
        <v>61051</v>
      </c>
      <c r="Y3168" s="204">
        <f>_xll.qlCalendarAdvance(Calendar,X3168,NDays&amp;"D")</f>
        <v>61053</v>
      </c>
      <c r="Z3168" s="205" t="e">
        <v>#N/A</v>
      </c>
      <c r="AA3168" s="207" t="e">
        <v>#N/A</v>
      </c>
    </row>
    <row r="3169" spans="19:27" x14ac:dyDescent="0.2">
      <c r="S3169" s="165"/>
      <c r="T3169" s="166"/>
      <c r="W3169" s="199" t="str">
        <f t="shared" si="58"/>
        <v>1w</v>
      </c>
      <c r="X3169" s="200">
        <f>_xll.qlCalendarAdvance(Calendar,X3168,W3169,"f",FALSE)</f>
        <v>61058</v>
      </c>
      <c r="Y3169" s="204">
        <f>_xll.qlCalendarAdvance(Calendar,X3169,NDays&amp;"D")</f>
        <v>61060</v>
      </c>
      <c r="Z3169" s="205" t="e">
        <v>#N/A</v>
      </c>
      <c r="AA3169" s="207" t="e">
        <v>#N/A</v>
      </c>
    </row>
    <row r="3170" spans="19:27" x14ac:dyDescent="0.2">
      <c r="S3170" s="165"/>
      <c r="T3170" s="166"/>
      <c r="W3170" s="199" t="str">
        <f t="shared" si="58"/>
        <v>1w</v>
      </c>
      <c r="X3170" s="200">
        <f>_xll.qlCalendarAdvance(Calendar,X3169,W3170,"f",FALSE)</f>
        <v>61065</v>
      </c>
      <c r="Y3170" s="204">
        <f>_xll.qlCalendarAdvance(Calendar,X3170,NDays&amp;"D")</f>
        <v>61067</v>
      </c>
      <c r="Z3170" s="205" t="e">
        <v>#N/A</v>
      </c>
      <c r="AA3170" s="207" t="e">
        <v>#N/A</v>
      </c>
    </row>
    <row r="3171" spans="19:27" x14ac:dyDescent="0.2">
      <c r="S3171" s="165"/>
      <c r="T3171" s="166"/>
      <c r="W3171" s="199" t="str">
        <f t="shared" si="58"/>
        <v>1w</v>
      </c>
      <c r="X3171" s="200">
        <f>_xll.qlCalendarAdvance(Calendar,X3170,W3171,"f",FALSE)</f>
        <v>61072</v>
      </c>
      <c r="Y3171" s="204">
        <f>_xll.qlCalendarAdvance(Calendar,X3171,NDays&amp;"D")</f>
        <v>61074</v>
      </c>
      <c r="Z3171" s="205" t="e">
        <v>#N/A</v>
      </c>
      <c r="AA3171" s="207" t="e">
        <v>#N/A</v>
      </c>
    </row>
    <row r="3172" spans="19:27" x14ac:dyDescent="0.2">
      <c r="S3172" s="165"/>
      <c r="T3172" s="166"/>
      <c r="W3172" s="199" t="str">
        <f t="shared" si="58"/>
        <v>1w</v>
      </c>
      <c r="X3172" s="200">
        <f>_xll.qlCalendarAdvance(Calendar,X3171,W3172,"f",FALSE)</f>
        <v>61079</v>
      </c>
      <c r="Y3172" s="204">
        <f>_xll.qlCalendarAdvance(Calendar,X3172,NDays&amp;"D")</f>
        <v>61081</v>
      </c>
      <c r="Z3172" s="205" t="e">
        <v>#N/A</v>
      </c>
      <c r="AA3172" s="207" t="e">
        <v>#N/A</v>
      </c>
    </row>
    <row r="3173" spans="19:27" x14ac:dyDescent="0.2">
      <c r="S3173" s="165"/>
      <c r="T3173" s="166"/>
      <c r="W3173" s="199" t="str">
        <f t="shared" si="58"/>
        <v>1w</v>
      </c>
      <c r="X3173" s="200">
        <f>_xll.qlCalendarAdvance(Calendar,X3172,W3173,"f",FALSE)</f>
        <v>61086</v>
      </c>
      <c r="Y3173" s="204">
        <f>_xll.qlCalendarAdvance(Calendar,X3173,NDays&amp;"D")</f>
        <v>61092</v>
      </c>
      <c r="Z3173" s="205" t="e">
        <v>#N/A</v>
      </c>
      <c r="AA3173" s="207" t="e">
        <v>#N/A</v>
      </c>
    </row>
    <row r="3174" spans="19:27" x14ac:dyDescent="0.2">
      <c r="S3174" s="165"/>
      <c r="T3174" s="166"/>
      <c r="W3174" s="199" t="str">
        <f t="shared" si="58"/>
        <v>1w</v>
      </c>
      <c r="X3174" s="200">
        <f>_xll.qlCalendarAdvance(Calendar,X3173,W3174,"f",FALSE)</f>
        <v>61093</v>
      </c>
      <c r="Y3174" s="204">
        <f>_xll.qlCalendarAdvance(Calendar,X3174,NDays&amp;"D")</f>
        <v>61095</v>
      </c>
      <c r="Z3174" s="205" t="e">
        <v>#N/A</v>
      </c>
      <c r="AA3174" s="207" t="e">
        <v>#N/A</v>
      </c>
    </row>
    <row r="3175" spans="19:27" x14ac:dyDescent="0.2">
      <c r="S3175" s="165"/>
      <c r="T3175" s="166"/>
      <c r="W3175" s="199" t="str">
        <f t="shared" si="58"/>
        <v>1w</v>
      </c>
      <c r="X3175" s="200">
        <f>_xll.qlCalendarAdvance(Calendar,X3174,W3175,"f",FALSE)</f>
        <v>61100</v>
      </c>
      <c r="Y3175" s="204">
        <f>_xll.qlCalendarAdvance(Calendar,X3175,NDays&amp;"D")</f>
        <v>61102</v>
      </c>
      <c r="Z3175" s="205" t="e">
        <v>#N/A</v>
      </c>
      <c r="AA3175" s="207" t="e">
        <v>#N/A</v>
      </c>
    </row>
    <row r="3176" spans="19:27" x14ac:dyDescent="0.2">
      <c r="S3176" s="165"/>
      <c r="T3176" s="166"/>
      <c r="W3176" s="199" t="str">
        <f t="shared" si="58"/>
        <v>1w</v>
      </c>
      <c r="X3176" s="200">
        <f>_xll.qlCalendarAdvance(Calendar,X3175,W3176,"f",FALSE)</f>
        <v>61107</v>
      </c>
      <c r="Y3176" s="204">
        <f>_xll.qlCalendarAdvance(Calendar,X3176,NDays&amp;"D")</f>
        <v>61109</v>
      </c>
      <c r="Z3176" s="205" t="e">
        <v>#N/A</v>
      </c>
      <c r="AA3176" s="207" t="e">
        <v>#N/A</v>
      </c>
    </row>
    <row r="3177" spans="19:27" x14ac:dyDescent="0.2">
      <c r="S3177" s="165"/>
      <c r="T3177" s="166"/>
      <c r="W3177" s="199" t="str">
        <f t="shared" si="58"/>
        <v>1w</v>
      </c>
      <c r="X3177" s="200">
        <f>_xll.qlCalendarAdvance(Calendar,X3176,W3177,"f",FALSE)</f>
        <v>61114</v>
      </c>
      <c r="Y3177" s="204">
        <f>_xll.qlCalendarAdvance(Calendar,X3177,NDays&amp;"D")</f>
        <v>61116</v>
      </c>
      <c r="Z3177" s="205" t="e">
        <v>#N/A</v>
      </c>
      <c r="AA3177" s="207" t="e">
        <v>#N/A</v>
      </c>
    </row>
    <row r="3178" spans="19:27" x14ac:dyDescent="0.2">
      <c r="S3178" s="165"/>
      <c r="T3178" s="166"/>
      <c r="W3178" s="199" t="str">
        <f t="shared" si="58"/>
        <v>1w</v>
      </c>
      <c r="X3178" s="200">
        <f>_xll.qlCalendarAdvance(Calendar,X3177,W3178,"f",FALSE)</f>
        <v>61121</v>
      </c>
      <c r="Y3178" s="204">
        <f>_xll.qlCalendarAdvance(Calendar,X3178,NDays&amp;"D")</f>
        <v>61123</v>
      </c>
      <c r="Z3178" s="205" t="e">
        <v>#N/A</v>
      </c>
      <c r="AA3178" s="207" t="e">
        <v>#N/A</v>
      </c>
    </row>
    <row r="3179" spans="19:27" x14ac:dyDescent="0.2">
      <c r="S3179" s="165"/>
      <c r="T3179" s="166"/>
      <c r="W3179" s="199" t="str">
        <f t="shared" si="58"/>
        <v>1w</v>
      </c>
      <c r="X3179" s="200">
        <f>_xll.qlCalendarAdvance(Calendar,X3178,W3179,"f",FALSE)</f>
        <v>61128</v>
      </c>
      <c r="Y3179" s="204">
        <f>_xll.qlCalendarAdvance(Calendar,X3179,NDays&amp;"D")</f>
        <v>61130</v>
      </c>
      <c r="Z3179" s="205" t="e">
        <v>#N/A</v>
      </c>
      <c r="AA3179" s="207" t="e">
        <v>#N/A</v>
      </c>
    </row>
    <row r="3180" spans="19:27" x14ac:dyDescent="0.2">
      <c r="S3180" s="165"/>
      <c r="T3180" s="166"/>
      <c r="W3180" s="199" t="str">
        <f t="shared" si="58"/>
        <v>1w</v>
      </c>
      <c r="X3180" s="200">
        <f>_xll.qlCalendarAdvance(Calendar,X3179,W3180,"f",FALSE)</f>
        <v>61135</v>
      </c>
      <c r="Y3180" s="204">
        <f>_xll.qlCalendarAdvance(Calendar,X3180,NDays&amp;"D")</f>
        <v>61137</v>
      </c>
      <c r="Z3180" s="205" t="e">
        <v>#N/A</v>
      </c>
      <c r="AA3180" s="207" t="e">
        <v>#N/A</v>
      </c>
    </row>
    <row r="3181" spans="19:27" x14ac:dyDescent="0.2">
      <c r="S3181" s="165"/>
      <c r="T3181" s="166"/>
      <c r="W3181" s="199" t="str">
        <f t="shared" si="58"/>
        <v>1w</v>
      </c>
      <c r="X3181" s="200">
        <f>_xll.qlCalendarAdvance(Calendar,X3180,W3181,"f",FALSE)</f>
        <v>61142</v>
      </c>
      <c r="Y3181" s="204">
        <f>_xll.qlCalendarAdvance(Calendar,X3181,NDays&amp;"D")</f>
        <v>61144</v>
      </c>
      <c r="Z3181" s="205" t="e">
        <v>#N/A</v>
      </c>
      <c r="AA3181" s="207" t="e">
        <v>#N/A</v>
      </c>
    </row>
    <row r="3182" spans="19:27" x14ac:dyDescent="0.2">
      <c r="S3182" s="165"/>
      <c r="T3182" s="166"/>
      <c r="W3182" s="199" t="str">
        <f t="shared" si="58"/>
        <v>1w</v>
      </c>
      <c r="X3182" s="200">
        <f>_xll.qlCalendarAdvance(Calendar,X3181,W3182,"f",FALSE)</f>
        <v>61149</v>
      </c>
      <c r="Y3182" s="204">
        <f>_xll.qlCalendarAdvance(Calendar,X3182,NDays&amp;"D")</f>
        <v>61151</v>
      </c>
      <c r="Z3182" s="205" t="e">
        <v>#N/A</v>
      </c>
      <c r="AA3182" s="207" t="e">
        <v>#N/A</v>
      </c>
    </row>
    <row r="3183" spans="19:27" x14ac:dyDescent="0.2">
      <c r="S3183" s="165"/>
      <c r="T3183" s="166"/>
      <c r="W3183" s="199" t="str">
        <f t="shared" si="58"/>
        <v>1w</v>
      </c>
      <c r="X3183" s="200">
        <f>_xll.qlCalendarAdvance(Calendar,X3182,W3183,"f",FALSE)</f>
        <v>61156</v>
      </c>
      <c r="Y3183" s="204">
        <f>_xll.qlCalendarAdvance(Calendar,X3183,NDays&amp;"D")</f>
        <v>61158</v>
      </c>
      <c r="Z3183" s="205" t="e">
        <v>#N/A</v>
      </c>
      <c r="AA3183" s="207" t="e">
        <v>#N/A</v>
      </c>
    </row>
    <row r="3184" spans="19:27" x14ac:dyDescent="0.2">
      <c r="S3184" s="165"/>
      <c r="T3184" s="166"/>
      <c r="W3184" s="199" t="str">
        <f t="shared" si="58"/>
        <v>1w</v>
      </c>
      <c r="X3184" s="200">
        <f>_xll.qlCalendarAdvance(Calendar,X3183,W3184,"f",FALSE)</f>
        <v>61163</v>
      </c>
      <c r="Y3184" s="204">
        <f>_xll.qlCalendarAdvance(Calendar,X3184,NDays&amp;"D")</f>
        <v>61165</v>
      </c>
      <c r="Z3184" s="205" t="e">
        <v>#N/A</v>
      </c>
      <c r="AA3184" s="207" t="e">
        <v>#N/A</v>
      </c>
    </row>
    <row r="3185" spans="19:27" x14ac:dyDescent="0.2">
      <c r="S3185" s="165"/>
      <c r="T3185" s="166"/>
      <c r="W3185" s="199" t="str">
        <f t="shared" si="58"/>
        <v>1w</v>
      </c>
      <c r="X3185" s="200">
        <f>_xll.qlCalendarAdvance(Calendar,X3184,W3185,"f",FALSE)</f>
        <v>61170</v>
      </c>
      <c r="Y3185" s="204">
        <f>_xll.qlCalendarAdvance(Calendar,X3185,NDays&amp;"D")</f>
        <v>61172</v>
      </c>
      <c r="Z3185" s="205" t="e">
        <v>#N/A</v>
      </c>
      <c r="AA3185" s="207" t="e">
        <v>#N/A</v>
      </c>
    </row>
    <row r="3186" spans="19:27" x14ac:dyDescent="0.2">
      <c r="S3186" s="165"/>
      <c r="T3186" s="166"/>
      <c r="W3186" s="199" t="str">
        <f t="shared" si="58"/>
        <v>1w</v>
      </c>
      <c r="X3186" s="200">
        <f>_xll.qlCalendarAdvance(Calendar,X3185,W3186,"f",FALSE)</f>
        <v>61177</v>
      </c>
      <c r="Y3186" s="204">
        <f>_xll.qlCalendarAdvance(Calendar,X3186,NDays&amp;"D")</f>
        <v>61179</v>
      </c>
      <c r="Z3186" s="205" t="e">
        <v>#N/A</v>
      </c>
      <c r="AA3186" s="207" t="e">
        <v>#N/A</v>
      </c>
    </row>
    <row r="3187" spans="19:27" x14ac:dyDescent="0.2">
      <c r="S3187" s="165"/>
      <c r="T3187" s="166"/>
      <c r="W3187" s="199" t="str">
        <f t="shared" si="58"/>
        <v>1w</v>
      </c>
      <c r="X3187" s="200">
        <f>_xll.qlCalendarAdvance(Calendar,X3186,W3187,"f",FALSE)</f>
        <v>61184</v>
      </c>
      <c r="Y3187" s="204">
        <f>_xll.qlCalendarAdvance(Calendar,X3187,NDays&amp;"D")</f>
        <v>61186</v>
      </c>
      <c r="Z3187" s="205" t="e">
        <v>#N/A</v>
      </c>
      <c r="AA3187" s="207" t="e">
        <v>#N/A</v>
      </c>
    </row>
    <row r="3188" spans="19:27" x14ac:dyDescent="0.2">
      <c r="S3188" s="165"/>
      <c r="T3188" s="166"/>
      <c r="W3188" s="199" t="str">
        <f t="shared" si="58"/>
        <v>1w</v>
      </c>
      <c r="X3188" s="200">
        <f>_xll.qlCalendarAdvance(Calendar,X3187,W3188,"f",FALSE)</f>
        <v>61191</v>
      </c>
      <c r="Y3188" s="204">
        <f>_xll.qlCalendarAdvance(Calendar,X3188,NDays&amp;"D")</f>
        <v>61193</v>
      </c>
      <c r="Z3188" s="205" t="e">
        <v>#N/A</v>
      </c>
      <c r="AA3188" s="207" t="e">
        <v>#N/A</v>
      </c>
    </row>
    <row r="3189" spans="19:27" x14ac:dyDescent="0.2">
      <c r="S3189" s="165"/>
      <c r="T3189" s="166"/>
      <c r="W3189" s="199" t="str">
        <f t="shared" si="58"/>
        <v>1w</v>
      </c>
      <c r="X3189" s="200">
        <f>_xll.qlCalendarAdvance(Calendar,X3188,W3189,"f",FALSE)</f>
        <v>61198</v>
      </c>
      <c r="Y3189" s="204">
        <f>_xll.qlCalendarAdvance(Calendar,X3189,NDays&amp;"D")</f>
        <v>61200</v>
      </c>
      <c r="Z3189" s="205" t="e">
        <v>#N/A</v>
      </c>
      <c r="AA3189" s="207" t="e">
        <v>#N/A</v>
      </c>
    </row>
    <row r="3190" spans="19:27" x14ac:dyDescent="0.2">
      <c r="S3190" s="165"/>
      <c r="T3190" s="166"/>
      <c r="W3190" s="199" t="str">
        <f t="shared" si="58"/>
        <v>1w</v>
      </c>
      <c r="X3190" s="200">
        <f>_xll.qlCalendarAdvance(Calendar,X3189,W3190,"f",FALSE)</f>
        <v>61205</v>
      </c>
      <c r="Y3190" s="204">
        <f>_xll.qlCalendarAdvance(Calendar,X3190,NDays&amp;"D")</f>
        <v>61207</v>
      </c>
      <c r="Z3190" s="205" t="e">
        <v>#N/A</v>
      </c>
      <c r="AA3190" s="207" t="e">
        <v>#N/A</v>
      </c>
    </row>
    <row r="3191" spans="19:27" x14ac:dyDescent="0.2">
      <c r="S3191" s="165"/>
      <c r="T3191" s="166"/>
      <c r="W3191" s="199" t="str">
        <f t="shared" si="58"/>
        <v>1w</v>
      </c>
      <c r="X3191" s="200">
        <f>_xll.qlCalendarAdvance(Calendar,X3190,W3191,"f",FALSE)</f>
        <v>61212</v>
      </c>
      <c r="Y3191" s="204">
        <f>_xll.qlCalendarAdvance(Calendar,X3191,NDays&amp;"D")</f>
        <v>61214</v>
      </c>
      <c r="Z3191" s="205" t="e">
        <v>#N/A</v>
      </c>
      <c r="AA3191" s="207" t="e">
        <v>#N/A</v>
      </c>
    </row>
    <row r="3192" spans="19:27" x14ac:dyDescent="0.2">
      <c r="S3192" s="165"/>
      <c r="T3192" s="166"/>
      <c r="W3192" s="199" t="str">
        <f t="shared" si="58"/>
        <v>1w</v>
      </c>
      <c r="X3192" s="200">
        <f>_xll.qlCalendarAdvance(Calendar,X3191,W3192,"f",FALSE)</f>
        <v>61219</v>
      </c>
      <c r="Y3192" s="204">
        <f>_xll.qlCalendarAdvance(Calendar,X3192,NDays&amp;"D")</f>
        <v>61221</v>
      </c>
      <c r="Z3192" s="205" t="e">
        <v>#N/A</v>
      </c>
      <c r="AA3192" s="207" t="e">
        <v>#N/A</v>
      </c>
    </row>
    <row r="3193" spans="19:27" x14ac:dyDescent="0.2">
      <c r="S3193" s="165"/>
      <c r="T3193" s="166"/>
      <c r="W3193" s="199" t="str">
        <f t="shared" si="58"/>
        <v>1w</v>
      </c>
      <c r="X3193" s="200">
        <f>_xll.qlCalendarAdvance(Calendar,X3192,W3193,"f",FALSE)</f>
        <v>61226</v>
      </c>
      <c r="Y3193" s="204">
        <f>_xll.qlCalendarAdvance(Calendar,X3193,NDays&amp;"D")</f>
        <v>61228</v>
      </c>
      <c r="Z3193" s="205" t="e">
        <v>#N/A</v>
      </c>
      <c r="AA3193" s="207" t="e">
        <v>#N/A</v>
      </c>
    </row>
    <row r="3194" spans="19:27" x14ac:dyDescent="0.2">
      <c r="S3194" s="165"/>
      <c r="T3194" s="166"/>
      <c r="W3194" s="199" t="str">
        <f t="shared" si="58"/>
        <v>1w</v>
      </c>
      <c r="X3194" s="200">
        <f>_xll.qlCalendarAdvance(Calendar,X3193,W3194,"f",FALSE)</f>
        <v>61233</v>
      </c>
      <c r="Y3194" s="204">
        <f>_xll.qlCalendarAdvance(Calendar,X3194,NDays&amp;"D")</f>
        <v>61235</v>
      </c>
      <c r="Z3194" s="205" t="e">
        <v>#N/A</v>
      </c>
      <c r="AA3194" s="207" t="e">
        <v>#N/A</v>
      </c>
    </row>
    <row r="3195" spans="19:27" x14ac:dyDescent="0.2">
      <c r="S3195" s="165"/>
      <c r="T3195" s="166"/>
      <c r="W3195" s="199" t="str">
        <f t="shared" si="58"/>
        <v>1w</v>
      </c>
      <c r="X3195" s="200">
        <f>_xll.qlCalendarAdvance(Calendar,X3194,W3195,"f",FALSE)</f>
        <v>61240</v>
      </c>
      <c r="Y3195" s="204">
        <f>_xll.qlCalendarAdvance(Calendar,X3195,NDays&amp;"D")</f>
        <v>61242</v>
      </c>
      <c r="Z3195" s="205" t="e">
        <v>#N/A</v>
      </c>
      <c r="AA3195" s="207" t="e">
        <v>#N/A</v>
      </c>
    </row>
    <row r="3196" spans="19:27" x14ac:dyDescent="0.2">
      <c r="S3196" s="165"/>
      <c r="T3196" s="166"/>
      <c r="W3196" s="199" t="str">
        <f t="shared" si="58"/>
        <v>1w</v>
      </c>
      <c r="X3196" s="200">
        <f>_xll.qlCalendarAdvance(Calendar,X3195,W3196,"f",FALSE)</f>
        <v>61247</v>
      </c>
      <c r="Y3196" s="204">
        <f>_xll.qlCalendarAdvance(Calendar,X3196,NDays&amp;"D")</f>
        <v>61249</v>
      </c>
      <c r="Z3196" s="205" t="e">
        <v>#N/A</v>
      </c>
      <c r="AA3196" s="207" t="e">
        <v>#N/A</v>
      </c>
    </row>
    <row r="3197" spans="19:27" x14ac:dyDescent="0.2">
      <c r="S3197" s="165"/>
      <c r="T3197" s="166"/>
      <c r="W3197" s="199" t="str">
        <f t="shared" si="58"/>
        <v>1w</v>
      </c>
      <c r="X3197" s="200">
        <f>_xll.qlCalendarAdvance(Calendar,X3196,W3197,"f",FALSE)</f>
        <v>61254</v>
      </c>
      <c r="Y3197" s="204">
        <f>_xll.qlCalendarAdvance(Calendar,X3197,NDays&amp;"D")</f>
        <v>61256</v>
      </c>
      <c r="Z3197" s="205" t="e">
        <v>#N/A</v>
      </c>
      <c r="AA3197" s="207" t="e">
        <v>#N/A</v>
      </c>
    </row>
    <row r="3198" spans="19:27" x14ac:dyDescent="0.2">
      <c r="S3198" s="165"/>
      <c r="T3198" s="166"/>
      <c r="W3198" s="199" t="str">
        <f t="shared" si="58"/>
        <v>1w</v>
      </c>
      <c r="X3198" s="200">
        <f>_xll.qlCalendarAdvance(Calendar,X3197,W3198,"f",FALSE)</f>
        <v>61261</v>
      </c>
      <c r="Y3198" s="204">
        <f>_xll.qlCalendarAdvance(Calendar,X3198,NDays&amp;"D")</f>
        <v>61263</v>
      </c>
      <c r="Z3198" s="205" t="e">
        <v>#N/A</v>
      </c>
      <c r="AA3198" s="207" t="e">
        <v>#N/A</v>
      </c>
    </row>
    <row r="3199" spans="19:27" x14ac:dyDescent="0.2">
      <c r="S3199" s="165"/>
      <c r="T3199" s="166"/>
      <c r="W3199" s="199" t="str">
        <f t="shared" si="58"/>
        <v>1w</v>
      </c>
      <c r="X3199" s="200">
        <f>_xll.qlCalendarAdvance(Calendar,X3198,W3199,"f",FALSE)</f>
        <v>61268</v>
      </c>
      <c r="Y3199" s="204">
        <f>_xll.qlCalendarAdvance(Calendar,X3199,NDays&amp;"D")</f>
        <v>61270</v>
      </c>
      <c r="Z3199" s="205" t="e">
        <v>#N/A</v>
      </c>
      <c r="AA3199" s="207" t="e">
        <v>#N/A</v>
      </c>
    </row>
    <row r="3200" spans="19:27" x14ac:dyDescent="0.2">
      <c r="S3200" s="165"/>
      <c r="T3200" s="166"/>
      <c r="W3200" s="199" t="str">
        <f t="shared" si="58"/>
        <v>1w</v>
      </c>
      <c r="X3200" s="200">
        <f>_xll.qlCalendarAdvance(Calendar,X3199,W3200,"f",FALSE)</f>
        <v>61275</v>
      </c>
      <c r="Y3200" s="204">
        <f>_xll.qlCalendarAdvance(Calendar,X3200,NDays&amp;"D")</f>
        <v>61277</v>
      </c>
      <c r="Z3200" s="205" t="e">
        <v>#N/A</v>
      </c>
      <c r="AA3200" s="207" t="e">
        <v>#N/A</v>
      </c>
    </row>
    <row r="3201" spans="19:27" x14ac:dyDescent="0.2">
      <c r="S3201" s="165"/>
      <c r="T3201" s="166"/>
      <c r="W3201" s="199" t="str">
        <f t="shared" si="58"/>
        <v>1w</v>
      </c>
      <c r="X3201" s="200">
        <f>_xll.qlCalendarAdvance(Calendar,X3200,W3201,"f",FALSE)</f>
        <v>61282</v>
      </c>
      <c r="Y3201" s="204">
        <f>_xll.qlCalendarAdvance(Calendar,X3201,NDays&amp;"D")</f>
        <v>61284</v>
      </c>
      <c r="Z3201" s="205" t="e">
        <v>#N/A</v>
      </c>
      <c r="AA3201" s="207" t="e">
        <v>#N/A</v>
      </c>
    </row>
    <row r="3202" spans="19:27" x14ac:dyDescent="0.2">
      <c r="S3202" s="165"/>
      <c r="T3202" s="166"/>
      <c r="W3202" s="199" t="str">
        <f t="shared" si="58"/>
        <v>1w</v>
      </c>
      <c r="X3202" s="200">
        <f>_xll.qlCalendarAdvance(Calendar,X3201,W3202,"f",FALSE)</f>
        <v>61289</v>
      </c>
      <c r="Y3202" s="204">
        <f>_xll.qlCalendarAdvance(Calendar,X3202,NDays&amp;"D")</f>
        <v>61291</v>
      </c>
      <c r="Z3202" s="205" t="e">
        <v>#N/A</v>
      </c>
      <c r="AA3202" s="207" t="e">
        <v>#N/A</v>
      </c>
    </row>
    <row r="3203" spans="19:27" x14ac:dyDescent="0.2">
      <c r="S3203" s="165"/>
      <c r="T3203" s="166"/>
      <c r="W3203" s="199" t="str">
        <f t="shared" si="58"/>
        <v>1w</v>
      </c>
      <c r="X3203" s="200">
        <f>_xll.qlCalendarAdvance(Calendar,X3202,W3203,"f",FALSE)</f>
        <v>61296</v>
      </c>
      <c r="Y3203" s="204">
        <f>_xll.qlCalendarAdvance(Calendar,X3203,NDays&amp;"D")</f>
        <v>61298</v>
      </c>
      <c r="Z3203" s="205" t="e">
        <v>#N/A</v>
      </c>
      <c r="AA3203" s="207" t="e">
        <v>#N/A</v>
      </c>
    </row>
    <row r="3204" spans="19:27" x14ac:dyDescent="0.2">
      <c r="S3204" s="165"/>
      <c r="T3204" s="166"/>
      <c r="W3204" s="199" t="str">
        <f t="shared" si="58"/>
        <v>1w</v>
      </c>
      <c r="X3204" s="200">
        <f>_xll.qlCalendarAdvance(Calendar,X3203,W3204,"f",FALSE)</f>
        <v>61303</v>
      </c>
      <c r="Y3204" s="204">
        <f>_xll.qlCalendarAdvance(Calendar,X3204,NDays&amp;"D")</f>
        <v>61305</v>
      </c>
      <c r="Z3204" s="205" t="e">
        <v>#N/A</v>
      </c>
      <c r="AA3204" s="207" t="e">
        <v>#N/A</v>
      </c>
    </row>
    <row r="3205" spans="19:27" x14ac:dyDescent="0.2">
      <c r="S3205" s="165"/>
      <c r="T3205" s="166"/>
      <c r="W3205" s="199" t="str">
        <f t="shared" si="58"/>
        <v>1w</v>
      </c>
      <c r="X3205" s="200">
        <f>_xll.qlCalendarAdvance(Calendar,X3204,W3205,"f",FALSE)</f>
        <v>61310</v>
      </c>
      <c r="Y3205" s="204">
        <f>_xll.qlCalendarAdvance(Calendar,X3205,NDays&amp;"D")</f>
        <v>61312</v>
      </c>
      <c r="Z3205" s="205" t="e">
        <v>#N/A</v>
      </c>
      <c r="AA3205" s="207" t="e">
        <v>#N/A</v>
      </c>
    </row>
    <row r="3206" spans="19:27" x14ac:dyDescent="0.2">
      <c r="S3206" s="165"/>
      <c r="T3206" s="166"/>
      <c r="W3206" s="199" t="str">
        <f t="shared" si="58"/>
        <v>1w</v>
      </c>
      <c r="X3206" s="200">
        <f>_xll.qlCalendarAdvance(Calendar,X3205,W3206,"f",FALSE)</f>
        <v>61317</v>
      </c>
      <c r="Y3206" s="204">
        <f>_xll.qlCalendarAdvance(Calendar,X3206,NDays&amp;"D")</f>
        <v>61319</v>
      </c>
      <c r="Z3206" s="205" t="e">
        <v>#N/A</v>
      </c>
      <c r="AA3206" s="207" t="e">
        <v>#N/A</v>
      </c>
    </row>
    <row r="3207" spans="19:27" x14ac:dyDescent="0.2">
      <c r="S3207" s="165"/>
      <c r="T3207" s="166"/>
      <c r="W3207" s="199" t="str">
        <f t="shared" si="58"/>
        <v>1w</v>
      </c>
      <c r="X3207" s="200">
        <f>_xll.qlCalendarAdvance(Calendar,X3206,W3207,"f",FALSE)</f>
        <v>61324</v>
      </c>
      <c r="Y3207" s="204">
        <f>_xll.qlCalendarAdvance(Calendar,X3207,NDays&amp;"D")</f>
        <v>61326</v>
      </c>
      <c r="Z3207" s="205" t="e">
        <v>#N/A</v>
      </c>
      <c r="AA3207" s="207" t="e">
        <v>#N/A</v>
      </c>
    </row>
    <row r="3208" spans="19:27" x14ac:dyDescent="0.2">
      <c r="S3208" s="165"/>
      <c r="T3208" s="166"/>
      <c r="W3208" s="199" t="str">
        <f t="shared" si="58"/>
        <v>1w</v>
      </c>
      <c r="X3208" s="200">
        <f>_xll.qlCalendarAdvance(Calendar,X3207,W3208,"f",FALSE)</f>
        <v>61331</v>
      </c>
      <c r="Y3208" s="204">
        <f>_xll.qlCalendarAdvance(Calendar,X3208,NDays&amp;"D")</f>
        <v>61333</v>
      </c>
      <c r="Z3208" s="205" t="e">
        <v>#N/A</v>
      </c>
      <c r="AA3208" s="207" t="e">
        <v>#N/A</v>
      </c>
    </row>
    <row r="3209" spans="19:27" x14ac:dyDescent="0.2">
      <c r="S3209" s="165"/>
      <c r="T3209" s="166"/>
      <c r="W3209" s="199" t="str">
        <f t="shared" si="58"/>
        <v>1w</v>
      </c>
      <c r="X3209" s="200">
        <f>_xll.qlCalendarAdvance(Calendar,X3208,W3209,"f",FALSE)</f>
        <v>61338</v>
      </c>
      <c r="Y3209" s="204">
        <f>_xll.qlCalendarAdvance(Calendar,X3209,NDays&amp;"D")</f>
        <v>61340</v>
      </c>
      <c r="Z3209" s="205" t="e">
        <v>#N/A</v>
      </c>
      <c r="AA3209" s="207" t="e">
        <v>#N/A</v>
      </c>
    </row>
    <row r="3210" spans="19:27" x14ac:dyDescent="0.2">
      <c r="S3210" s="165"/>
      <c r="T3210" s="166"/>
      <c r="W3210" s="199" t="str">
        <f t="shared" si="58"/>
        <v>1w</v>
      </c>
      <c r="X3210" s="200">
        <f>_xll.qlCalendarAdvance(Calendar,X3209,W3210,"f",FALSE)</f>
        <v>61345</v>
      </c>
      <c r="Y3210" s="204">
        <f>_xll.qlCalendarAdvance(Calendar,X3210,NDays&amp;"D")</f>
        <v>61347</v>
      </c>
      <c r="Z3210" s="205" t="e">
        <v>#N/A</v>
      </c>
      <c r="AA3210" s="207" t="e">
        <v>#N/A</v>
      </c>
    </row>
    <row r="3211" spans="19:27" x14ac:dyDescent="0.2">
      <c r="S3211" s="165"/>
      <c r="T3211" s="166"/>
      <c r="W3211" s="199" t="str">
        <f t="shared" si="58"/>
        <v>1w</v>
      </c>
      <c r="X3211" s="200">
        <f>_xll.qlCalendarAdvance(Calendar,X3210,W3211,"f",FALSE)</f>
        <v>61352</v>
      </c>
      <c r="Y3211" s="204">
        <f>_xll.qlCalendarAdvance(Calendar,X3211,NDays&amp;"D")</f>
        <v>61354</v>
      </c>
      <c r="Z3211" s="205" t="e">
        <v>#N/A</v>
      </c>
      <c r="AA3211" s="207" t="e">
        <v>#N/A</v>
      </c>
    </row>
    <row r="3212" spans="19:27" x14ac:dyDescent="0.2">
      <c r="S3212" s="165"/>
      <c r="T3212" s="166"/>
      <c r="W3212" s="199" t="str">
        <f t="shared" si="58"/>
        <v>1w</v>
      </c>
      <c r="X3212" s="200">
        <f>_xll.qlCalendarAdvance(Calendar,X3211,W3212,"f",FALSE)</f>
        <v>61359</v>
      </c>
      <c r="Y3212" s="204">
        <f>_xll.qlCalendarAdvance(Calendar,X3212,NDays&amp;"D")</f>
        <v>61361</v>
      </c>
      <c r="Z3212" s="205" t="e">
        <v>#N/A</v>
      </c>
      <c r="AA3212" s="207" t="e">
        <v>#N/A</v>
      </c>
    </row>
    <row r="3213" spans="19:27" x14ac:dyDescent="0.2">
      <c r="S3213" s="165"/>
      <c r="T3213" s="166"/>
      <c r="W3213" s="199" t="str">
        <f t="shared" si="58"/>
        <v>1w</v>
      </c>
      <c r="X3213" s="200">
        <f>_xll.qlCalendarAdvance(Calendar,X3212,W3213,"f",FALSE)</f>
        <v>61366</v>
      </c>
      <c r="Y3213" s="204">
        <f>_xll.qlCalendarAdvance(Calendar,X3213,NDays&amp;"D")</f>
        <v>61368</v>
      </c>
      <c r="Z3213" s="205" t="e">
        <v>#N/A</v>
      </c>
      <c r="AA3213" s="207" t="e">
        <v>#N/A</v>
      </c>
    </row>
    <row r="3214" spans="19:27" x14ac:dyDescent="0.2">
      <c r="S3214" s="165"/>
      <c r="T3214" s="166"/>
      <c r="W3214" s="199" t="str">
        <f t="shared" si="58"/>
        <v>1w</v>
      </c>
      <c r="X3214" s="200">
        <f>_xll.qlCalendarAdvance(Calendar,X3213,W3214,"f",FALSE)</f>
        <v>61373</v>
      </c>
      <c r="Y3214" s="204">
        <f>_xll.qlCalendarAdvance(Calendar,X3214,NDays&amp;"D")</f>
        <v>61375</v>
      </c>
      <c r="Z3214" s="205" t="e">
        <v>#N/A</v>
      </c>
      <c r="AA3214" s="207" t="e">
        <v>#N/A</v>
      </c>
    </row>
    <row r="3215" spans="19:27" x14ac:dyDescent="0.2">
      <c r="S3215" s="165"/>
      <c r="T3215" s="166"/>
      <c r="W3215" s="199" t="str">
        <f t="shared" si="58"/>
        <v>1w</v>
      </c>
      <c r="X3215" s="200">
        <f>_xll.qlCalendarAdvance(Calendar,X3214,W3215,"f",FALSE)</f>
        <v>61380</v>
      </c>
      <c r="Y3215" s="204">
        <f>_xll.qlCalendarAdvance(Calendar,X3215,NDays&amp;"D")</f>
        <v>61382</v>
      </c>
      <c r="Z3215" s="205" t="e">
        <v>#N/A</v>
      </c>
      <c r="AA3215" s="207" t="e">
        <v>#N/A</v>
      </c>
    </row>
    <row r="3216" spans="19:27" x14ac:dyDescent="0.2">
      <c r="S3216" s="165"/>
      <c r="T3216" s="166"/>
      <c r="W3216" s="199" t="str">
        <f t="shared" si="58"/>
        <v>1w</v>
      </c>
      <c r="X3216" s="200">
        <f>_xll.qlCalendarAdvance(Calendar,X3215,W3216,"f",FALSE)</f>
        <v>61387</v>
      </c>
      <c r="Y3216" s="204">
        <f>_xll.qlCalendarAdvance(Calendar,X3216,NDays&amp;"D")</f>
        <v>61389</v>
      </c>
      <c r="Z3216" s="205" t="e">
        <v>#N/A</v>
      </c>
      <c r="AA3216" s="207" t="e">
        <v>#N/A</v>
      </c>
    </row>
    <row r="3217" spans="19:27" x14ac:dyDescent="0.2">
      <c r="S3217" s="165"/>
      <c r="T3217" s="166"/>
      <c r="W3217" s="199" t="str">
        <f t="shared" si="58"/>
        <v>1w</v>
      </c>
      <c r="X3217" s="200">
        <f>_xll.qlCalendarAdvance(Calendar,X3216,W3217,"f",FALSE)</f>
        <v>61394</v>
      </c>
      <c r="Y3217" s="204">
        <f>_xll.qlCalendarAdvance(Calendar,X3217,NDays&amp;"D")</f>
        <v>61396</v>
      </c>
      <c r="Z3217" s="205" t="e">
        <v>#N/A</v>
      </c>
      <c r="AA3217" s="207" t="e">
        <v>#N/A</v>
      </c>
    </row>
    <row r="3218" spans="19:27" x14ac:dyDescent="0.2">
      <c r="S3218" s="165"/>
      <c r="T3218" s="166"/>
      <c r="W3218" s="199" t="str">
        <f t="shared" si="58"/>
        <v>1w</v>
      </c>
      <c r="X3218" s="200">
        <f>_xll.qlCalendarAdvance(Calendar,X3217,W3218,"f",FALSE)</f>
        <v>61401</v>
      </c>
      <c r="Y3218" s="204">
        <f>_xll.qlCalendarAdvance(Calendar,X3218,NDays&amp;"D")</f>
        <v>61403</v>
      </c>
      <c r="Z3218" s="205" t="e">
        <v>#N/A</v>
      </c>
      <c r="AA3218" s="207" t="e">
        <v>#N/A</v>
      </c>
    </row>
    <row r="3219" spans="19:27" x14ac:dyDescent="0.2">
      <c r="S3219" s="165"/>
      <c r="T3219" s="166"/>
      <c r="W3219" s="199" t="str">
        <f t="shared" si="58"/>
        <v>1w</v>
      </c>
      <c r="X3219" s="200">
        <f>_xll.qlCalendarAdvance(Calendar,X3218,W3219,"f",FALSE)</f>
        <v>61408</v>
      </c>
      <c r="Y3219" s="204">
        <f>_xll.qlCalendarAdvance(Calendar,X3219,NDays&amp;"D")</f>
        <v>61410</v>
      </c>
      <c r="Z3219" s="205" t="e">
        <v>#N/A</v>
      </c>
      <c r="AA3219" s="207" t="e">
        <v>#N/A</v>
      </c>
    </row>
    <row r="3220" spans="19:27" x14ac:dyDescent="0.2">
      <c r="S3220" s="165"/>
      <c r="T3220" s="166"/>
      <c r="W3220" s="199" t="str">
        <f t="shared" si="58"/>
        <v>1w</v>
      </c>
      <c r="X3220" s="200">
        <f>_xll.qlCalendarAdvance(Calendar,X3219,W3220,"f",FALSE)</f>
        <v>61415</v>
      </c>
      <c r="Y3220" s="204">
        <f>_xll.qlCalendarAdvance(Calendar,X3220,NDays&amp;"D")</f>
        <v>61417</v>
      </c>
      <c r="Z3220" s="205" t="e">
        <v>#N/A</v>
      </c>
      <c r="AA3220" s="207" t="e">
        <v>#N/A</v>
      </c>
    </row>
    <row r="3221" spans="19:27" x14ac:dyDescent="0.2">
      <c r="S3221" s="165"/>
      <c r="T3221" s="166"/>
      <c r="W3221" s="199" t="str">
        <f t="shared" ref="W3221:W3284" si="59">W3220</f>
        <v>1w</v>
      </c>
      <c r="X3221" s="200">
        <f>_xll.qlCalendarAdvance(Calendar,X3220,W3221,"f",FALSE)</f>
        <v>61422</v>
      </c>
      <c r="Y3221" s="204">
        <f>_xll.qlCalendarAdvance(Calendar,X3221,NDays&amp;"D")</f>
        <v>61424</v>
      </c>
      <c r="Z3221" s="205" t="e">
        <v>#N/A</v>
      </c>
      <c r="AA3221" s="207" t="e">
        <v>#N/A</v>
      </c>
    </row>
    <row r="3222" spans="19:27" x14ac:dyDescent="0.2">
      <c r="S3222" s="165"/>
      <c r="T3222" s="166"/>
      <c r="W3222" s="199" t="str">
        <f t="shared" si="59"/>
        <v>1w</v>
      </c>
      <c r="X3222" s="200">
        <f>_xll.qlCalendarAdvance(Calendar,X3221,W3222,"f",FALSE)</f>
        <v>61429</v>
      </c>
      <c r="Y3222" s="204">
        <f>_xll.qlCalendarAdvance(Calendar,X3222,NDays&amp;"D")</f>
        <v>61431</v>
      </c>
      <c r="Z3222" s="205" t="e">
        <v>#N/A</v>
      </c>
      <c r="AA3222" s="207" t="e">
        <v>#N/A</v>
      </c>
    </row>
    <row r="3223" spans="19:27" x14ac:dyDescent="0.2">
      <c r="S3223" s="165"/>
      <c r="T3223" s="166"/>
      <c r="W3223" s="199" t="str">
        <f t="shared" si="59"/>
        <v>1w</v>
      </c>
      <c r="X3223" s="200">
        <f>_xll.qlCalendarAdvance(Calendar,X3222,W3223,"f",FALSE)</f>
        <v>61436</v>
      </c>
      <c r="Y3223" s="204">
        <f>_xll.qlCalendarAdvance(Calendar,X3223,NDays&amp;"D")</f>
        <v>61438</v>
      </c>
      <c r="Z3223" s="205" t="e">
        <v>#N/A</v>
      </c>
      <c r="AA3223" s="207" t="e">
        <v>#N/A</v>
      </c>
    </row>
    <row r="3224" spans="19:27" x14ac:dyDescent="0.2">
      <c r="S3224" s="165"/>
      <c r="T3224" s="166"/>
      <c r="W3224" s="199" t="str">
        <f t="shared" si="59"/>
        <v>1w</v>
      </c>
      <c r="X3224" s="200">
        <f>_xll.qlCalendarAdvance(Calendar,X3223,W3224,"f",FALSE)</f>
        <v>61443</v>
      </c>
      <c r="Y3224" s="204">
        <f>_xll.qlCalendarAdvance(Calendar,X3224,NDays&amp;"D")</f>
        <v>61445</v>
      </c>
      <c r="Z3224" s="205" t="e">
        <v>#N/A</v>
      </c>
      <c r="AA3224" s="207" t="e">
        <v>#N/A</v>
      </c>
    </row>
    <row r="3225" spans="19:27" x14ac:dyDescent="0.2">
      <c r="S3225" s="165"/>
      <c r="T3225" s="166"/>
      <c r="W3225" s="199" t="str">
        <f t="shared" si="59"/>
        <v>1w</v>
      </c>
      <c r="X3225" s="200">
        <f>_xll.qlCalendarAdvance(Calendar,X3224,W3225,"f",FALSE)</f>
        <v>61450</v>
      </c>
      <c r="Y3225" s="204">
        <f>_xll.qlCalendarAdvance(Calendar,X3225,NDays&amp;"D")</f>
        <v>61452</v>
      </c>
      <c r="Z3225" s="205" t="e">
        <v>#N/A</v>
      </c>
      <c r="AA3225" s="207" t="e">
        <v>#N/A</v>
      </c>
    </row>
    <row r="3226" spans="19:27" x14ac:dyDescent="0.2">
      <c r="S3226" s="165"/>
      <c r="T3226" s="166"/>
      <c r="W3226" s="199" t="str">
        <f t="shared" si="59"/>
        <v>1w</v>
      </c>
      <c r="X3226" s="200">
        <f>_xll.qlCalendarAdvance(Calendar,X3225,W3226,"f",FALSE)</f>
        <v>61457</v>
      </c>
      <c r="Y3226" s="204">
        <f>_xll.qlCalendarAdvance(Calendar,X3226,NDays&amp;"D")</f>
        <v>61459</v>
      </c>
      <c r="Z3226" s="205" t="e">
        <v>#N/A</v>
      </c>
      <c r="AA3226" s="207" t="e">
        <v>#N/A</v>
      </c>
    </row>
    <row r="3227" spans="19:27" x14ac:dyDescent="0.2">
      <c r="S3227" s="165"/>
      <c r="T3227" s="166"/>
      <c r="W3227" s="199" t="str">
        <f t="shared" si="59"/>
        <v>1w</v>
      </c>
      <c r="X3227" s="200">
        <f>_xll.qlCalendarAdvance(Calendar,X3226,W3227,"f",FALSE)</f>
        <v>61464</v>
      </c>
      <c r="Y3227" s="204">
        <f>_xll.qlCalendarAdvance(Calendar,X3227,NDays&amp;"D")</f>
        <v>61466</v>
      </c>
      <c r="Z3227" s="205" t="e">
        <v>#N/A</v>
      </c>
      <c r="AA3227" s="207" t="e">
        <v>#N/A</v>
      </c>
    </row>
    <row r="3228" spans="19:27" x14ac:dyDescent="0.2">
      <c r="S3228" s="165"/>
      <c r="T3228" s="166"/>
      <c r="W3228" s="199" t="str">
        <f t="shared" si="59"/>
        <v>1w</v>
      </c>
      <c r="X3228" s="200">
        <f>_xll.qlCalendarAdvance(Calendar,X3227,W3228,"f",FALSE)</f>
        <v>61471</v>
      </c>
      <c r="Y3228" s="204">
        <f>_xll.qlCalendarAdvance(Calendar,X3228,NDays&amp;"D")</f>
        <v>61477</v>
      </c>
      <c r="Z3228" s="205" t="e">
        <v>#N/A</v>
      </c>
      <c r="AA3228" s="207" t="e">
        <v>#N/A</v>
      </c>
    </row>
    <row r="3229" spans="19:27" x14ac:dyDescent="0.2">
      <c r="S3229" s="165"/>
      <c r="T3229" s="166"/>
      <c r="W3229" s="199" t="str">
        <f t="shared" si="59"/>
        <v>1w</v>
      </c>
      <c r="X3229" s="200">
        <f>_xll.qlCalendarAdvance(Calendar,X3228,W3229,"f",FALSE)</f>
        <v>61478</v>
      </c>
      <c r="Y3229" s="204">
        <f>_xll.qlCalendarAdvance(Calendar,X3229,NDays&amp;"D")</f>
        <v>61480</v>
      </c>
      <c r="Z3229" s="205" t="e">
        <v>#N/A</v>
      </c>
      <c r="AA3229" s="207" t="e">
        <v>#N/A</v>
      </c>
    </row>
    <row r="3230" spans="19:27" x14ac:dyDescent="0.2">
      <c r="S3230" s="165"/>
      <c r="T3230" s="166"/>
      <c r="W3230" s="199" t="str">
        <f t="shared" si="59"/>
        <v>1w</v>
      </c>
      <c r="X3230" s="200">
        <f>_xll.qlCalendarAdvance(Calendar,X3229,W3230,"f",FALSE)</f>
        <v>61485</v>
      </c>
      <c r="Y3230" s="204">
        <f>_xll.qlCalendarAdvance(Calendar,X3230,NDays&amp;"D")</f>
        <v>61487</v>
      </c>
      <c r="Z3230" s="205" t="e">
        <v>#N/A</v>
      </c>
      <c r="AA3230" s="207" t="e">
        <v>#N/A</v>
      </c>
    </row>
    <row r="3231" spans="19:27" x14ac:dyDescent="0.2">
      <c r="S3231" s="165"/>
      <c r="T3231" s="166"/>
      <c r="W3231" s="199" t="str">
        <f t="shared" si="59"/>
        <v>1w</v>
      </c>
      <c r="X3231" s="200">
        <f>_xll.qlCalendarAdvance(Calendar,X3230,W3231,"f",FALSE)</f>
        <v>61492</v>
      </c>
      <c r="Y3231" s="204">
        <f>_xll.qlCalendarAdvance(Calendar,X3231,NDays&amp;"D")</f>
        <v>61494</v>
      </c>
      <c r="Z3231" s="205" t="e">
        <v>#N/A</v>
      </c>
      <c r="AA3231" s="207" t="e">
        <v>#N/A</v>
      </c>
    </row>
    <row r="3232" spans="19:27" x14ac:dyDescent="0.2">
      <c r="S3232" s="165"/>
      <c r="T3232" s="166"/>
      <c r="W3232" s="199" t="str">
        <f t="shared" si="59"/>
        <v>1w</v>
      </c>
      <c r="X3232" s="200">
        <f>_xll.qlCalendarAdvance(Calendar,X3231,W3232,"f",FALSE)</f>
        <v>61499</v>
      </c>
      <c r="Y3232" s="204">
        <f>_xll.qlCalendarAdvance(Calendar,X3232,NDays&amp;"D")</f>
        <v>61501</v>
      </c>
      <c r="Z3232" s="205" t="e">
        <v>#N/A</v>
      </c>
      <c r="AA3232" s="207" t="e">
        <v>#N/A</v>
      </c>
    </row>
    <row r="3233" spans="19:27" x14ac:dyDescent="0.2">
      <c r="S3233" s="165"/>
      <c r="T3233" s="166"/>
      <c r="W3233" s="199" t="str">
        <f t="shared" si="59"/>
        <v>1w</v>
      </c>
      <c r="X3233" s="200">
        <f>_xll.qlCalendarAdvance(Calendar,X3232,W3233,"f",FALSE)</f>
        <v>61506</v>
      </c>
      <c r="Y3233" s="204">
        <f>_xll.qlCalendarAdvance(Calendar,X3233,NDays&amp;"D")</f>
        <v>61508</v>
      </c>
      <c r="Z3233" s="205" t="e">
        <v>#N/A</v>
      </c>
      <c r="AA3233" s="207" t="e">
        <v>#N/A</v>
      </c>
    </row>
    <row r="3234" spans="19:27" x14ac:dyDescent="0.2">
      <c r="S3234" s="165"/>
      <c r="T3234" s="166"/>
      <c r="W3234" s="199" t="str">
        <f t="shared" si="59"/>
        <v>1w</v>
      </c>
      <c r="X3234" s="200">
        <f>_xll.qlCalendarAdvance(Calendar,X3233,W3234,"f",FALSE)</f>
        <v>61513</v>
      </c>
      <c r="Y3234" s="204">
        <f>_xll.qlCalendarAdvance(Calendar,X3234,NDays&amp;"D")</f>
        <v>61515</v>
      </c>
      <c r="Z3234" s="205" t="e">
        <v>#N/A</v>
      </c>
      <c r="AA3234" s="207" t="e">
        <v>#N/A</v>
      </c>
    </row>
    <row r="3235" spans="19:27" x14ac:dyDescent="0.2">
      <c r="S3235" s="165"/>
      <c r="T3235" s="166"/>
      <c r="W3235" s="199" t="str">
        <f t="shared" si="59"/>
        <v>1w</v>
      </c>
      <c r="X3235" s="200">
        <f>_xll.qlCalendarAdvance(Calendar,X3234,W3235,"f",FALSE)</f>
        <v>61520</v>
      </c>
      <c r="Y3235" s="204">
        <f>_xll.qlCalendarAdvance(Calendar,X3235,NDays&amp;"D")</f>
        <v>61522</v>
      </c>
      <c r="Z3235" s="205" t="e">
        <v>#N/A</v>
      </c>
      <c r="AA3235" s="207" t="e">
        <v>#N/A</v>
      </c>
    </row>
    <row r="3236" spans="19:27" x14ac:dyDescent="0.2">
      <c r="S3236" s="165"/>
      <c r="T3236" s="166"/>
      <c r="W3236" s="199" t="str">
        <f t="shared" si="59"/>
        <v>1w</v>
      </c>
      <c r="X3236" s="200">
        <f>_xll.qlCalendarAdvance(Calendar,X3235,W3236,"f",FALSE)</f>
        <v>61527</v>
      </c>
      <c r="Y3236" s="204">
        <f>_xll.qlCalendarAdvance(Calendar,X3236,NDays&amp;"D")</f>
        <v>61529</v>
      </c>
      <c r="Z3236" s="205" t="e">
        <v>#N/A</v>
      </c>
      <c r="AA3236" s="207" t="e">
        <v>#N/A</v>
      </c>
    </row>
    <row r="3237" spans="19:27" x14ac:dyDescent="0.2">
      <c r="S3237" s="165"/>
      <c r="T3237" s="166"/>
      <c r="W3237" s="199" t="str">
        <f t="shared" si="59"/>
        <v>1w</v>
      </c>
      <c r="X3237" s="200">
        <f>_xll.qlCalendarAdvance(Calendar,X3236,W3237,"f",FALSE)</f>
        <v>61534</v>
      </c>
      <c r="Y3237" s="204">
        <f>_xll.qlCalendarAdvance(Calendar,X3237,NDays&amp;"D")</f>
        <v>61536</v>
      </c>
      <c r="Z3237" s="205" t="e">
        <v>#N/A</v>
      </c>
      <c r="AA3237" s="207" t="e">
        <v>#N/A</v>
      </c>
    </row>
    <row r="3238" spans="19:27" x14ac:dyDescent="0.2">
      <c r="S3238" s="165"/>
      <c r="T3238" s="166"/>
      <c r="W3238" s="199" t="str">
        <f t="shared" si="59"/>
        <v>1w</v>
      </c>
      <c r="X3238" s="200">
        <f>_xll.qlCalendarAdvance(Calendar,X3237,W3238,"f",FALSE)</f>
        <v>61541</v>
      </c>
      <c r="Y3238" s="204">
        <f>_xll.qlCalendarAdvance(Calendar,X3238,NDays&amp;"D")</f>
        <v>61543</v>
      </c>
      <c r="Z3238" s="205" t="e">
        <v>#N/A</v>
      </c>
      <c r="AA3238" s="207" t="e">
        <v>#N/A</v>
      </c>
    </row>
    <row r="3239" spans="19:27" x14ac:dyDescent="0.2">
      <c r="S3239" s="165"/>
      <c r="T3239" s="166"/>
      <c r="W3239" s="199" t="str">
        <f t="shared" si="59"/>
        <v>1w</v>
      </c>
      <c r="X3239" s="200">
        <f>_xll.qlCalendarAdvance(Calendar,X3238,W3239,"f",FALSE)</f>
        <v>61548</v>
      </c>
      <c r="Y3239" s="204">
        <f>_xll.qlCalendarAdvance(Calendar,X3239,NDays&amp;"D")</f>
        <v>61550</v>
      </c>
      <c r="Z3239" s="205" t="e">
        <v>#N/A</v>
      </c>
      <c r="AA3239" s="207" t="e">
        <v>#N/A</v>
      </c>
    </row>
    <row r="3240" spans="19:27" x14ac:dyDescent="0.2">
      <c r="S3240" s="165"/>
      <c r="T3240" s="166"/>
      <c r="W3240" s="199" t="str">
        <f t="shared" si="59"/>
        <v>1w</v>
      </c>
      <c r="X3240" s="200">
        <f>_xll.qlCalendarAdvance(Calendar,X3239,W3240,"f",FALSE)</f>
        <v>61555</v>
      </c>
      <c r="Y3240" s="204">
        <f>_xll.qlCalendarAdvance(Calendar,X3240,NDays&amp;"D")</f>
        <v>61557</v>
      </c>
      <c r="Z3240" s="205" t="e">
        <v>#N/A</v>
      </c>
      <c r="AA3240" s="207" t="e">
        <v>#N/A</v>
      </c>
    </row>
    <row r="3241" spans="19:27" x14ac:dyDescent="0.2">
      <c r="S3241" s="165"/>
      <c r="T3241" s="166"/>
      <c r="W3241" s="199" t="str">
        <f t="shared" si="59"/>
        <v>1w</v>
      </c>
      <c r="X3241" s="200">
        <f>_xll.qlCalendarAdvance(Calendar,X3240,W3241,"f",FALSE)</f>
        <v>61562</v>
      </c>
      <c r="Y3241" s="204">
        <f>_xll.qlCalendarAdvance(Calendar,X3241,NDays&amp;"D")</f>
        <v>61564</v>
      </c>
      <c r="Z3241" s="205" t="e">
        <v>#N/A</v>
      </c>
      <c r="AA3241" s="207" t="e">
        <v>#N/A</v>
      </c>
    </row>
    <row r="3242" spans="19:27" x14ac:dyDescent="0.2">
      <c r="S3242" s="165"/>
      <c r="T3242" s="166"/>
      <c r="W3242" s="199" t="str">
        <f t="shared" si="59"/>
        <v>1w</v>
      </c>
      <c r="X3242" s="200">
        <f>_xll.qlCalendarAdvance(Calendar,X3241,W3242,"f",FALSE)</f>
        <v>61569</v>
      </c>
      <c r="Y3242" s="204">
        <f>_xll.qlCalendarAdvance(Calendar,X3242,NDays&amp;"D")</f>
        <v>61571</v>
      </c>
      <c r="Z3242" s="205" t="e">
        <v>#N/A</v>
      </c>
      <c r="AA3242" s="207" t="e">
        <v>#N/A</v>
      </c>
    </row>
    <row r="3243" spans="19:27" x14ac:dyDescent="0.2">
      <c r="S3243" s="165"/>
      <c r="T3243" s="166"/>
      <c r="W3243" s="199" t="str">
        <f t="shared" si="59"/>
        <v>1w</v>
      </c>
      <c r="X3243" s="200">
        <f>_xll.qlCalendarAdvance(Calendar,X3242,W3243,"f",FALSE)</f>
        <v>61576</v>
      </c>
      <c r="Y3243" s="204">
        <f>_xll.qlCalendarAdvance(Calendar,X3243,NDays&amp;"D")</f>
        <v>61578</v>
      </c>
      <c r="Z3243" s="205" t="e">
        <v>#N/A</v>
      </c>
      <c r="AA3243" s="207" t="e">
        <v>#N/A</v>
      </c>
    </row>
    <row r="3244" spans="19:27" x14ac:dyDescent="0.2">
      <c r="S3244" s="165"/>
      <c r="T3244" s="166"/>
      <c r="W3244" s="199" t="str">
        <f t="shared" si="59"/>
        <v>1w</v>
      </c>
      <c r="X3244" s="200">
        <f>_xll.qlCalendarAdvance(Calendar,X3243,W3244,"f",FALSE)</f>
        <v>61583</v>
      </c>
      <c r="Y3244" s="204">
        <f>_xll.qlCalendarAdvance(Calendar,X3244,NDays&amp;"D")</f>
        <v>61585</v>
      </c>
      <c r="Z3244" s="205" t="e">
        <v>#N/A</v>
      </c>
      <c r="AA3244" s="207" t="e">
        <v>#N/A</v>
      </c>
    </row>
    <row r="3245" spans="19:27" x14ac:dyDescent="0.2">
      <c r="S3245" s="165"/>
      <c r="T3245" s="166"/>
      <c r="W3245" s="199" t="str">
        <f t="shared" si="59"/>
        <v>1w</v>
      </c>
      <c r="X3245" s="200">
        <f>_xll.qlCalendarAdvance(Calendar,X3244,W3245,"f",FALSE)</f>
        <v>61590</v>
      </c>
      <c r="Y3245" s="204">
        <f>_xll.qlCalendarAdvance(Calendar,X3245,NDays&amp;"D")</f>
        <v>61592</v>
      </c>
      <c r="Z3245" s="205" t="e">
        <v>#N/A</v>
      </c>
      <c r="AA3245" s="207" t="e">
        <v>#N/A</v>
      </c>
    </row>
    <row r="3246" spans="19:27" x14ac:dyDescent="0.2">
      <c r="S3246" s="165"/>
      <c r="T3246" s="166"/>
      <c r="W3246" s="199" t="str">
        <f t="shared" si="59"/>
        <v>1w</v>
      </c>
      <c r="X3246" s="200">
        <f>_xll.qlCalendarAdvance(Calendar,X3245,W3246,"f",FALSE)</f>
        <v>61597</v>
      </c>
      <c r="Y3246" s="204">
        <f>_xll.qlCalendarAdvance(Calendar,X3246,NDays&amp;"D")</f>
        <v>61599</v>
      </c>
      <c r="Z3246" s="205" t="e">
        <v>#N/A</v>
      </c>
      <c r="AA3246" s="207" t="e">
        <v>#N/A</v>
      </c>
    </row>
    <row r="3247" spans="19:27" x14ac:dyDescent="0.2">
      <c r="S3247" s="165"/>
      <c r="T3247" s="166"/>
      <c r="W3247" s="199" t="str">
        <f t="shared" si="59"/>
        <v>1w</v>
      </c>
      <c r="X3247" s="200">
        <f>_xll.qlCalendarAdvance(Calendar,X3246,W3247,"f",FALSE)</f>
        <v>61604</v>
      </c>
      <c r="Y3247" s="204">
        <f>_xll.qlCalendarAdvance(Calendar,X3247,NDays&amp;"D")</f>
        <v>61606</v>
      </c>
      <c r="Z3247" s="205" t="e">
        <v>#N/A</v>
      </c>
      <c r="AA3247" s="207" t="e">
        <v>#N/A</v>
      </c>
    </row>
    <row r="3248" spans="19:27" x14ac:dyDescent="0.2">
      <c r="S3248" s="165"/>
      <c r="T3248" s="166"/>
      <c r="W3248" s="199" t="str">
        <f t="shared" si="59"/>
        <v>1w</v>
      </c>
      <c r="X3248" s="200">
        <f>_xll.qlCalendarAdvance(Calendar,X3247,W3248,"f",FALSE)</f>
        <v>61611</v>
      </c>
      <c r="Y3248" s="204">
        <f>_xll.qlCalendarAdvance(Calendar,X3248,NDays&amp;"D")</f>
        <v>61613</v>
      </c>
      <c r="Z3248" s="205" t="e">
        <v>#N/A</v>
      </c>
      <c r="AA3248" s="207" t="e">
        <v>#N/A</v>
      </c>
    </row>
    <row r="3249" spans="19:27" x14ac:dyDescent="0.2">
      <c r="S3249" s="165"/>
      <c r="T3249" s="166"/>
      <c r="W3249" s="199" t="str">
        <f t="shared" si="59"/>
        <v>1w</v>
      </c>
      <c r="X3249" s="200">
        <f>_xll.qlCalendarAdvance(Calendar,X3248,W3249,"f",FALSE)</f>
        <v>61618</v>
      </c>
      <c r="Y3249" s="204">
        <f>_xll.qlCalendarAdvance(Calendar,X3249,NDays&amp;"D")</f>
        <v>61620</v>
      </c>
      <c r="Z3249" s="205" t="e">
        <v>#N/A</v>
      </c>
      <c r="AA3249" s="207" t="e">
        <v>#N/A</v>
      </c>
    </row>
    <row r="3250" spans="19:27" x14ac:dyDescent="0.2">
      <c r="S3250" s="165"/>
      <c r="T3250" s="166"/>
      <c r="W3250" s="199" t="str">
        <f t="shared" si="59"/>
        <v>1w</v>
      </c>
      <c r="X3250" s="200">
        <f>_xll.qlCalendarAdvance(Calendar,X3249,W3250,"f",FALSE)</f>
        <v>61625</v>
      </c>
      <c r="Y3250" s="204">
        <f>_xll.qlCalendarAdvance(Calendar,X3250,NDays&amp;"D")</f>
        <v>61627</v>
      </c>
      <c r="Z3250" s="205" t="e">
        <v>#N/A</v>
      </c>
      <c r="AA3250" s="207" t="e">
        <v>#N/A</v>
      </c>
    </row>
    <row r="3251" spans="19:27" x14ac:dyDescent="0.2">
      <c r="S3251" s="165"/>
      <c r="T3251" s="166"/>
      <c r="W3251" s="199" t="str">
        <f t="shared" si="59"/>
        <v>1w</v>
      </c>
      <c r="X3251" s="200">
        <f>_xll.qlCalendarAdvance(Calendar,X3250,W3251,"f",FALSE)</f>
        <v>61632</v>
      </c>
      <c r="Y3251" s="204">
        <f>_xll.qlCalendarAdvance(Calendar,X3251,NDays&amp;"D")</f>
        <v>61634</v>
      </c>
      <c r="Z3251" s="205" t="e">
        <v>#N/A</v>
      </c>
      <c r="AA3251" s="207" t="e">
        <v>#N/A</v>
      </c>
    </row>
    <row r="3252" spans="19:27" x14ac:dyDescent="0.2">
      <c r="S3252" s="165"/>
      <c r="T3252" s="166"/>
      <c r="W3252" s="199" t="str">
        <f t="shared" si="59"/>
        <v>1w</v>
      </c>
      <c r="X3252" s="200">
        <f>_xll.qlCalendarAdvance(Calendar,X3251,W3252,"f",FALSE)</f>
        <v>61639</v>
      </c>
      <c r="Y3252" s="204">
        <f>_xll.qlCalendarAdvance(Calendar,X3252,NDays&amp;"D")</f>
        <v>61641</v>
      </c>
      <c r="Z3252" s="205" t="e">
        <v>#N/A</v>
      </c>
      <c r="AA3252" s="207" t="e">
        <v>#N/A</v>
      </c>
    </row>
    <row r="3253" spans="19:27" x14ac:dyDescent="0.2">
      <c r="S3253" s="165"/>
      <c r="T3253" s="166"/>
      <c r="W3253" s="199" t="str">
        <f t="shared" si="59"/>
        <v>1w</v>
      </c>
      <c r="X3253" s="200">
        <f>_xll.qlCalendarAdvance(Calendar,X3252,W3253,"f",FALSE)</f>
        <v>61646</v>
      </c>
      <c r="Y3253" s="204">
        <f>_xll.qlCalendarAdvance(Calendar,X3253,NDays&amp;"D")</f>
        <v>61648</v>
      </c>
      <c r="Z3253" s="205" t="e">
        <v>#N/A</v>
      </c>
      <c r="AA3253" s="207" t="e">
        <v>#N/A</v>
      </c>
    </row>
    <row r="3254" spans="19:27" x14ac:dyDescent="0.2">
      <c r="S3254" s="165"/>
      <c r="T3254" s="166"/>
      <c r="W3254" s="199" t="str">
        <f t="shared" si="59"/>
        <v>1w</v>
      </c>
      <c r="X3254" s="200">
        <f>_xll.qlCalendarAdvance(Calendar,X3253,W3254,"f",FALSE)</f>
        <v>61653</v>
      </c>
      <c r="Y3254" s="204">
        <f>_xll.qlCalendarAdvance(Calendar,X3254,NDays&amp;"D")</f>
        <v>61655</v>
      </c>
      <c r="Z3254" s="205" t="e">
        <v>#N/A</v>
      </c>
      <c r="AA3254" s="207" t="e">
        <v>#N/A</v>
      </c>
    </row>
    <row r="3255" spans="19:27" x14ac:dyDescent="0.2">
      <c r="S3255" s="165"/>
      <c r="T3255" s="166"/>
      <c r="W3255" s="199" t="str">
        <f t="shared" si="59"/>
        <v>1w</v>
      </c>
      <c r="X3255" s="200">
        <f>_xll.qlCalendarAdvance(Calendar,X3254,W3255,"f",FALSE)</f>
        <v>61660</v>
      </c>
      <c r="Y3255" s="204">
        <f>_xll.qlCalendarAdvance(Calendar,X3255,NDays&amp;"D")</f>
        <v>61662</v>
      </c>
      <c r="Z3255" s="205" t="e">
        <v>#N/A</v>
      </c>
      <c r="AA3255" s="207" t="e">
        <v>#N/A</v>
      </c>
    </row>
    <row r="3256" spans="19:27" x14ac:dyDescent="0.2">
      <c r="S3256" s="165"/>
      <c r="T3256" s="166"/>
      <c r="W3256" s="199" t="str">
        <f t="shared" si="59"/>
        <v>1w</v>
      </c>
      <c r="X3256" s="200">
        <f>_xll.qlCalendarAdvance(Calendar,X3255,W3256,"f",FALSE)</f>
        <v>61667</v>
      </c>
      <c r="Y3256" s="204">
        <f>_xll.qlCalendarAdvance(Calendar,X3256,NDays&amp;"D")</f>
        <v>61669</v>
      </c>
      <c r="Z3256" s="205" t="e">
        <v>#N/A</v>
      </c>
      <c r="AA3256" s="207" t="e">
        <v>#N/A</v>
      </c>
    </row>
    <row r="3257" spans="19:27" x14ac:dyDescent="0.2">
      <c r="S3257" s="165"/>
      <c r="T3257" s="166"/>
      <c r="W3257" s="199" t="str">
        <f t="shared" si="59"/>
        <v>1w</v>
      </c>
      <c r="X3257" s="200">
        <f>_xll.qlCalendarAdvance(Calendar,X3256,W3257,"f",FALSE)</f>
        <v>61674</v>
      </c>
      <c r="Y3257" s="204">
        <f>_xll.qlCalendarAdvance(Calendar,X3257,NDays&amp;"D")</f>
        <v>61676</v>
      </c>
      <c r="Z3257" s="205" t="e">
        <v>#N/A</v>
      </c>
      <c r="AA3257" s="207" t="e">
        <v>#N/A</v>
      </c>
    </row>
    <row r="3258" spans="19:27" x14ac:dyDescent="0.2">
      <c r="S3258" s="165"/>
      <c r="T3258" s="166"/>
      <c r="W3258" s="199" t="str">
        <f t="shared" si="59"/>
        <v>1w</v>
      </c>
      <c r="X3258" s="200">
        <f>_xll.qlCalendarAdvance(Calendar,X3257,W3258,"f",FALSE)</f>
        <v>61681</v>
      </c>
      <c r="Y3258" s="204">
        <f>_xll.qlCalendarAdvance(Calendar,X3258,NDays&amp;"D")</f>
        <v>61683</v>
      </c>
      <c r="Z3258" s="205" t="e">
        <v>#N/A</v>
      </c>
      <c r="AA3258" s="207" t="e">
        <v>#N/A</v>
      </c>
    </row>
    <row r="3259" spans="19:27" x14ac:dyDescent="0.2">
      <c r="S3259" s="165"/>
      <c r="T3259" s="166"/>
      <c r="W3259" s="199" t="str">
        <f t="shared" si="59"/>
        <v>1w</v>
      </c>
      <c r="X3259" s="200">
        <f>_xll.qlCalendarAdvance(Calendar,X3258,W3259,"f",FALSE)</f>
        <v>61688</v>
      </c>
      <c r="Y3259" s="204">
        <f>_xll.qlCalendarAdvance(Calendar,X3259,NDays&amp;"D")</f>
        <v>61690</v>
      </c>
      <c r="Z3259" s="205" t="e">
        <v>#N/A</v>
      </c>
      <c r="AA3259" s="207" t="e">
        <v>#N/A</v>
      </c>
    </row>
    <row r="3260" spans="19:27" x14ac:dyDescent="0.2">
      <c r="S3260" s="165"/>
      <c r="T3260" s="166"/>
      <c r="W3260" s="199" t="str">
        <f t="shared" si="59"/>
        <v>1w</v>
      </c>
      <c r="X3260" s="200">
        <f>_xll.qlCalendarAdvance(Calendar,X3259,W3260,"f",FALSE)</f>
        <v>61695</v>
      </c>
      <c r="Y3260" s="204">
        <f>_xll.qlCalendarAdvance(Calendar,X3260,NDays&amp;"D")</f>
        <v>61697</v>
      </c>
      <c r="Z3260" s="205" t="e">
        <v>#N/A</v>
      </c>
      <c r="AA3260" s="207" t="e">
        <v>#N/A</v>
      </c>
    </row>
    <row r="3261" spans="19:27" x14ac:dyDescent="0.2">
      <c r="S3261" s="165"/>
      <c r="T3261" s="166"/>
      <c r="W3261" s="199" t="str">
        <f t="shared" si="59"/>
        <v>1w</v>
      </c>
      <c r="X3261" s="200">
        <f>_xll.qlCalendarAdvance(Calendar,X3260,W3261,"f",FALSE)</f>
        <v>61702</v>
      </c>
      <c r="Y3261" s="204">
        <f>_xll.qlCalendarAdvance(Calendar,X3261,NDays&amp;"D")</f>
        <v>61704</v>
      </c>
      <c r="Z3261" s="205" t="e">
        <v>#N/A</v>
      </c>
      <c r="AA3261" s="207" t="e">
        <v>#N/A</v>
      </c>
    </row>
    <row r="3262" spans="19:27" x14ac:dyDescent="0.2">
      <c r="S3262" s="165"/>
      <c r="T3262" s="166"/>
      <c r="W3262" s="199" t="str">
        <f t="shared" si="59"/>
        <v>1w</v>
      </c>
      <c r="X3262" s="200">
        <f>_xll.qlCalendarAdvance(Calendar,X3261,W3262,"f",FALSE)</f>
        <v>61709</v>
      </c>
      <c r="Y3262" s="204">
        <f>_xll.qlCalendarAdvance(Calendar,X3262,NDays&amp;"D")</f>
        <v>61711</v>
      </c>
      <c r="Z3262" s="205" t="e">
        <v>#N/A</v>
      </c>
      <c r="AA3262" s="207" t="e">
        <v>#N/A</v>
      </c>
    </row>
    <row r="3263" spans="19:27" x14ac:dyDescent="0.2">
      <c r="S3263" s="165"/>
      <c r="T3263" s="166"/>
      <c r="W3263" s="199" t="str">
        <f t="shared" si="59"/>
        <v>1w</v>
      </c>
      <c r="X3263" s="200">
        <f>_xll.qlCalendarAdvance(Calendar,X3262,W3263,"f",FALSE)</f>
        <v>61716</v>
      </c>
      <c r="Y3263" s="204">
        <f>_xll.qlCalendarAdvance(Calendar,X3263,NDays&amp;"D")</f>
        <v>61718</v>
      </c>
      <c r="Z3263" s="205" t="e">
        <v>#N/A</v>
      </c>
      <c r="AA3263" s="207" t="e">
        <v>#N/A</v>
      </c>
    </row>
    <row r="3264" spans="19:27" x14ac:dyDescent="0.2">
      <c r="S3264" s="165"/>
      <c r="T3264" s="166"/>
      <c r="W3264" s="199" t="str">
        <f t="shared" si="59"/>
        <v>1w</v>
      </c>
      <c r="X3264" s="200">
        <f>_xll.qlCalendarAdvance(Calendar,X3263,W3264,"f",FALSE)</f>
        <v>61724</v>
      </c>
      <c r="Y3264" s="204">
        <f>_xll.qlCalendarAdvance(Calendar,X3264,NDays&amp;"D")</f>
        <v>61728</v>
      </c>
      <c r="Z3264" s="205" t="e">
        <v>#N/A</v>
      </c>
      <c r="AA3264" s="207" t="e">
        <v>#N/A</v>
      </c>
    </row>
    <row r="3265" spans="19:27" x14ac:dyDescent="0.2">
      <c r="S3265" s="165"/>
      <c r="T3265" s="166"/>
      <c r="W3265" s="199" t="str">
        <f t="shared" si="59"/>
        <v>1w</v>
      </c>
      <c r="X3265" s="200">
        <f>_xll.qlCalendarAdvance(Calendar,X3264,W3265,"f",FALSE)</f>
        <v>61731</v>
      </c>
      <c r="Y3265" s="204">
        <f>_xll.qlCalendarAdvance(Calendar,X3265,NDays&amp;"D")</f>
        <v>61735</v>
      </c>
      <c r="Z3265" s="205" t="e">
        <v>#N/A</v>
      </c>
      <c r="AA3265" s="207" t="e">
        <v>#N/A</v>
      </c>
    </row>
    <row r="3266" spans="19:27" x14ac:dyDescent="0.2">
      <c r="S3266" s="165"/>
      <c r="T3266" s="166"/>
      <c r="W3266" s="199" t="str">
        <f t="shared" si="59"/>
        <v>1w</v>
      </c>
      <c r="X3266" s="200">
        <f>_xll.qlCalendarAdvance(Calendar,X3265,W3266,"f",FALSE)</f>
        <v>61738</v>
      </c>
      <c r="Y3266" s="204">
        <f>_xll.qlCalendarAdvance(Calendar,X3266,NDays&amp;"D")</f>
        <v>61742</v>
      </c>
      <c r="Z3266" s="205" t="e">
        <v>#N/A</v>
      </c>
      <c r="AA3266" s="207" t="e">
        <v>#N/A</v>
      </c>
    </row>
    <row r="3267" spans="19:27" x14ac:dyDescent="0.2">
      <c r="S3267" s="165"/>
      <c r="T3267" s="166"/>
      <c r="W3267" s="199" t="str">
        <f t="shared" si="59"/>
        <v>1w</v>
      </c>
      <c r="X3267" s="200">
        <f>_xll.qlCalendarAdvance(Calendar,X3266,W3267,"f",FALSE)</f>
        <v>61745</v>
      </c>
      <c r="Y3267" s="204">
        <f>_xll.qlCalendarAdvance(Calendar,X3267,NDays&amp;"D")</f>
        <v>61749</v>
      </c>
      <c r="Z3267" s="205" t="e">
        <v>#N/A</v>
      </c>
      <c r="AA3267" s="207" t="e">
        <v>#N/A</v>
      </c>
    </row>
    <row r="3268" spans="19:27" x14ac:dyDescent="0.2">
      <c r="S3268" s="165"/>
      <c r="T3268" s="166"/>
      <c r="W3268" s="199" t="str">
        <f t="shared" si="59"/>
        <v>1w</v>
      </c>
      <c r="X3268" s="200">
        <f>_xll.qlCalendarAdvance(Calendar,X3267,W3268,"f",FALSE)</f>
        <v>61752</v>
      </c>
      <c r="Y3268" s="204">
        <f>_xll.qlCalendarAdvance(Calendar,X3268,NDays&amp;"D")</f>
        <v>61756</v>
      </c>
      <c r="Z3268" s="205" t="e">
        <v>#N/A</v>
      </c>
      <c r="AA3268" s="207" t="e">
        <v>#N/A</v>
      </c>
    </row>
    <row r="3269" spans="19:27" x14ac:dyDescent="0.2">
      <c r="S3269" s="165"/>
      <c r="T3269" s="166"/>
      <c r="W3269" s="199" t="str">
        <f t="shared" si="59"/>
        <v>1w</v>
      </c>
      <c r="X3269" s="200">
        <f>_xll.qlCalendarAdvance(Calendar,X3268,W3269,"f",FALSE)</f>
        <v>61759</v>
      </c>
      <c r="Y3269" s="204">
        <f>_xll.qlCalendarAdvance(Calendar,X3269,NDays&amp;"D")</f>
        <v>61763</v>
      </c>
      <c r="Z3269" s="205" t="e">
        <v>#N/A</v>
      </c>
      <c r="AA3269" s="207" t="e">
        <v>#N/A</v>
      </c>
    </row>
    <row r="3270" spans="19:27" x14ac:dyDescent="0.2">
      <c r="S3270" s="165"/>
      <c r="T3270" s="166"/>
      <c r="W3270" s="199" t="str">
        <f t="shared" si="59"/>
        <v>1w</v>
      </c>
      <c r="X3270" s="200">
        <f>_xll.qlCalendarAdvance(Calendar,X3269,W3270,"f",FALSE)</f>
        <v>61766</v>
      </c>
      <c r="Y3270" s="204">
        <f>_xll.qlCalendarAdvance(Calendar,X3270,NDays&amp;"D")</f>
        <v>61770</v>
      </c>
      <c r="Z3270" s="205" t="e">
        <v>#N/A</v>
      </c>
      <c r="AA3270" s="207" t="e">
        <v>#N/A</v>
      </c>
    </row>
    <row r="3271" spans="19:27" x14ac:dyDescent="0.2">
      <c r="S3271" s="165"/>
      <c r="T3271" s="166"/>
      <c r="W3271" s="199" t="str">
        <f t="shared" si="59"/>
        <v>1w</v>
      </c>
      <c r="X3271" s="200">
        <f>_xll.qlCalendarAdvance(Calendar,X3270,W3271,"f",FALSE)</f>
        <v>61773</v>
      </c>
      <c r="Y3271" s="204">
        <f>_xll.qlCalendarAdvance(Calendar,X3271,NDays&amp;"D")</f>
        <v>61777</v>
      </c>
      <c r="Z3271" s="205" t="e">
        <v>#N/A</v>
      </c>
      <c r="AA3271" s="207" t="e">
        <v>#N/A</v>
      </c>
    </row>
    <row r="3272" spans="19:27" x14ac:dyDescent="0.2">
      <c r="S3272" s="165"/>
      <c r="T3272" s="166"/>
      <c r="W3272" s="199" t="str">
        <f t="shared" si="59"/>
        <v>1w</v>
      </c>
      <c r="X3272" s="200">
        <f>_xll.qlCalendarAdvance(Calendar,X3271,W3272,"f",FALSE)</f>
        <v>61780</v>
      </c>
      <c r="Y3272" s="204">
        <f>_xll.qlCalendarAdvance(Calendar,X3272,NDays&amp;"D")</f>
        <v>61784</v>
      </c>
      <c r="Z3272" s="205" t="e">
        <v>#N/A</v>
      </c>
      <c r="AA3272" s="207" t="e">
        <v>#N/A</v>
      </c>
    </row>
    <row r="3273" spans="19:27" x14ac:dyDescent="0.2">
      <c r="S3273" s="165"/>
      <c r="T3273" s="166"/>
      <c r="W3273" s="199" t="str">
        <f t="shared" si="59"/>
        <v>1w</v>
      </c>
      <c r="X3273" s="200">
        <f>_xll.qlCalendarAdvance(Calendar,X3272,W3273,"f",FALSE)</f>
        <v>61787</v>
      </c>
      <c r="Y3273" s="204">
        <f>_xll.qlCalendarAdvance(Calendar,X3273,NDays&amp;"D")</f>
        <v>61791</v>
      </c>
      <c r="Z3273" s="205" t="e">
        <v>#N/A</v>
      </c>
      <c r="AA3273" s="207" t="e">
        <v>#N/A</v>
      </c>
    </row>
    <row r="3274" spans="19:27" x14ac:dyDescent="0.2">
      <c r="S3274" s="165"/>
      <c r="T3274" s="166"/>
      <c r="W3274" s="199" t="str">
        <f t="shared" si="59"/>
        <v>1w</v>
      </c>
      <c r="X3274" s="200">
        <f>_xll.qlCalendarAdvance(Calendar,X3273,W3274,"f",FALSE)</f>
        <v>61794</v>
      </c>
      <c r="Y3274" s="204">
        <f>_xll.qlCalendarAdvance(Calendar,X3274,NDays&amp;"D")</f>
        <v>61798</v>
      </c>
      <c r="Z3274" s="205" t="e">
        <v>#N/A</v>
      </c>
      <c r="AA3274" s="207" t="e">
        <v>#N/A</v>
      </c>
    </row>
    <row r="3275" spans="19:27" x14ac:dyDescent="0.2">
      <c r="S3275" s="165"/>
      <c r="T3275" s="166"/>
      <c r="W3275" s="199" t="str">
        <f t="shared" si="59"/>
        <v>1w</v>
      </c>
      <c r="X3275" s="200">
        <f>_xll.qlCalendarAdvance(Calendar,X3274,W3275,"f",FALSE)</f>
        <v>61801</v>
      </c>
      <c r="Y3275" s="204">
        <f>_xll.qlCalendarAdvance(Calendar,X3275,NDays&amp;"D")</f>
        <v>61805</v>
      </c>
      <c r="Z3275" s="205" t="e">
        <v>#N/A</v>
      </c>
      <c r="AA3275" s="207" t="e">
        <v>#N/A</v>
      </c>
    </row>
    <row r="3276" spans="19:27" x14ac:dyDescent="0.2">
      <c r="S3276" s="165"/>
      <c r="T3276" s="166"/>
      <c r="W3276" s="199" t="str">
        <f t="shared" si="59"/>
        <v>1w</v>
      </c>
      <c r="X3276" s="200">
        <f>_xll.qlCalendarAdvance(Calendar,X3275,W3276,"f",FALSE)</f>
        <v>61808</v>
      </c>
      <c r="Y3276" s="204">
        <f>_xll.qlCalendarAdvance(Calendar,X3276,NDays&amp;"D")</f>
        <v>61812</v>
      </c>
      <c r="Z3276" s="205" t="e">
        <v>#N/A</v>
      </c>
      <c r="AA3276" s="207" t="e">
        <v>#N/A</v>
      </c>
    </row>
    <row r="3277" spans="19:27" x14ac:dyDescent="0.2">
      <c r="S3277" s="165"/>
      <c r="T3277" s="166"/>
      <c r="W3277" s="199" t="str">
        <f t="shared" si="59"/>
        <v>1w</v>
      </c>
      <c r="X3277" s="200">
        <f>_xll.qlCalendarAdvance(Calendar,X3276,W3277,"f",FALSE)</f>
        <v>61815</v>
      </c>
      <c r="Y3277" s="204">
        <f>_xll.qlCalendarAdvance(Calendar,X3277,NDays&amp;"D")</f>
        <v>61819</v>
      </c>
      <c r="Z3277" s="205" t="e">
        <v>#N/A</v>
      </c>
      <c r="AA3277" s="207" t="e">
        <v>#N/A</v>
      </c>
    </row>
    <row r="3278" spans="19:27" x14ac:dyDescent="0.2">
      <c r="S3278" s="165"/>
      <c r="T3278" s="166"/>
      <c r="W3278" s="199" t="str">
        <f t="shared" si="59"/>
        <v>1w</v>
      </c>
      <c r="X3278" s="200">
        <f>_xll.qlCalendarAdvance(Calendar,X3277,W3278,"f",FALSE)</f>
        <v>61822</v>
      </c>
      <c r="Y3278" s="204">
        <f>_xll.qlCalendarAdvance(Calendar,X3278,NDays&amp;"D")</f>
        <v>61826</v>
      </c>
      <c r="Z3278" s="205" t="e">
        <v>#N/A</v>
      </c>
      <c r="AA3278" s="207" t="e">
        <v>#N/A</v>
      </c>
    </row>
    <row r="3279" spans="19:27" x14ac:dyDescent="0.2">
      <c r="S3279" s="165"/>
      <c r="T3279" s="166"/>
      <c r="W3279" s="199" t="str">
        <f t="shared" si="59"/>
        <v>1w</v>
      </c>
      <c r="X3279" s="200">
        <f>_xll.qlCalendarAdvance(Calendar,X3278,W3279,"f",FALSE)</f>
        <v>61829</v>
      </c>
      <c r="Y3279" s="204">
        <f>_xll.qlCalendarAdvance(Calendar,X3279,NDays&amp;"D")</f>
        <v>61835</v>
      </c>
      <c r="Z3279" s="205" t="e">
        <v>#N/A</v>
      </c>
      <c r="AA3279" s="207" t="e">
        <v>#N/A</v>
      </c>
    </row>
    <row r="3280" spans="19:27" x14ac:dyDescent="0.2">
      <c r="S3280" s="165"/>
      <c r="T3280" s="166"/>
      <c r="W3280" s="199" t="str">
        <f t="shared" si="59"/>
        <v>1w</v>
      </c>
      <c r="X3280" s="200">
        <f>_xll.qlCalendarAdvance(Calendar,X3279,W3280,"f",FALSE)</f>
        <v>61836</v>
      </c>
      <c r="Y3280" s="204">
        <f>_xll.qlCalendarAdvance(Calendar,X3280,NDays&amp;"D")</f>
        <v>61840</v>
      </c>
      <c r="Z3280" s="205" t="e">
        <v>#N/A</v>
      </c>
      <c r="AA3280" s="207" t="e">
        <v>#N/A</v>
      </c>
    </row>
    <row r="3281" spans="19:27" x14ac:dyDescent="0.2">
      <c r="S3281" s="165"/>
      <c r="T3281" s="166"/>
      <c r="W3281" s="199" t="str">
        <f t="shared" si="59"/>
        <v>1w</v>
      </c>
      <c r="X3281" s="200">
        <f>_xll.qlCalendarAdvance(Calendar,X3280,W3281,"f",FALSE)</f>
        <v>61843</v>
      </c>
      <c r="Y3281" s="204">
        <f>_xll.qlCalendarAdvance(Calendar,X3281,NDays&amp;"D")</f>
        <v>61847</v>
      </c>
      <c r="Z3281" s="205" t="e">
        <v>#N/A</v>
      </c>
      <c r="AA3281" s="207" t="e">
        <v>#N/A</v>
      </c>
    </row>
    <row r="3282" spans="19:27" x14ac:dyDescent="0.2">
      <c r="S3282" s="165"/>
      <c r="T3282" s="166"/>
      <c r="W3282" s="199" t="str">
        <f t="shared" si="59"/>
        <v>1w</v>
      </c>
      <c r="X3282" s="200">
        <f>_xll.qlCalendarAdvance(Calendar,X3281,W3282,"f",FALSE)</f>
        <v>61850</v>
      </c>
      <c r="Y3282" s="204">
        <f>_xll.qlCalendarAdvance(Calendar,X3282,NDays&amp;"D")</f>
        <v>61855</v>
      </c>
      <c r="Z3282" s="205" t="e">
        <v>#N/A</v>
      </c>
      <c r="AA3282" s="207" t="e">
        <v>#N/A</v>
      </c>
    </row>
    <row r="3283" spans="19:27" x14ac:dyDescent="0.2">
      <c r="S3283" s="165"/>
      <c r="T3283" s="166"/>
      <c r="W3283" s="199" t="str">
        <f t="shared" si="59"/>
        <v>1w</v>
      </c>
      <c r="X3283" s="200">
        <f>_xll.qlCalendarAdvance(Calendar,X3282,W3283,"f",FALSE)</f>
        <v>61857</v>
      </c>
      <c r="Y3283" s="204">
        <f>_xll.qlCalendarAdvance(Calendar,X3283,NDays&amp;"D")</f>
        <v>61861</v>
      </c>
      <c r="Z3283" s="205" t="e">
        <v>#N/A</v>
      </c>
      <c r="AA3283" s="207" t="e">
        <v>#N/A</v>
      </c>
    </row>
    <row r="3284" spans="19:27" x14ac:dyDescent="0.2">
      <c r="S3284" s="165"/>
      <c r="T3284" s="166"/>
      <c r="W3284" s="199" t="str">
        <f t="shared" si="59"/>
        <v>1w</v>
      </c>
      <c r="X3284" s="200">
        <f>_xll.qlCalendarAdvance(Calendar,X3283,W3284,"f",FALSE)</f>
        <v>61864</v>
      </c>
      <c r="Y3284" s="204">
        <f>_xll.qlCalendarAdvance(Calendar,X3284,NDays&amp;"D")</f>
        <v>61868</v>
      </c>
      <c r="Z3284" s="205" t="e">
        <v>#N/A</v>
      </c>
      <c r="AA3284" s="207" t="e">
        <v>#N/A</v>
      </c>
    </row>
    <row r="3285" spans="19:27" x14ac:dyDescent="0.2">
      <c r="S3285" s="165"/>
      <c r="T3285" s="166"/>
      <c r="W3285" s="199" t="str">
        <f t="shared" ref="W3285:W3348" si="60">W3284</f>
        <v>1w</v>
      </c>
      <c r="X3285" s="200">
        <f>_xll.qlCalendarAdvance(Calendar,X3284,W3285,"f",FALSE)</f>
        <v>61871</v>
      </c>
      <c r="Y3285" s="204">
        <f>_xll.qlCalendarAdvance(Calendar,X3285,NDays&amp;"D")</f>
        <v>61876</v>
      </c>
      <c r="Z3285" s="205" t="e">
        <v>#N/A</v>
      </c>
      <c r="AA3285" s="207" t="e">
        <v>#N/A</v>
      </c>
    </row>
    <row r="3286" spans="19:27" x14ac:dyDescent="0.2">
      <c r="S3286" s="165"/>
      <c r="T3286" s="166"/>
      <c r="W3286" s="199" t="str">
        <f t="shared" si="60"/>
        <v>1w</v>
      </c>
      <c r="X3286" s="200">
        <f>_xll.qlCalendarAdvance(Calendar,X3285,W3286,"f",FALSE)</f>
        <v>61878</v>
      </c>
      <c r="Y3286" s="204">
        <f>_xll.qlCalendarAdvance(Calendar,X3286,NDays&amp;"D")</f>
        <v>61882</v>
      </c>
      <c r="Z3286" s="205" t="e">
        <v>#N/A</v>
      </c>
      <c r="AA3286" s="207" t="e">
        <v>#N/A</v>
      </c>
    </row>
    <row r="3287" spans="19:27" x14ac:dyDescent="0.2">
      <c r="S3287" s="165"/>
      <c r="T3287" s="166"/>
      <c r="W3287" s="199" t="str">
        <f t="shared" si="60"/>
        <v>1w</v>
      </c>
      <c r="X3287" s="200">
        <f>_xll.qlCalendarAdvance(Calendar,X3286,W3287,"f",FALSE)</f>
        <v>61885</v>
      </c>
      <c r="Y3287" s="204">
        <f>_xll.qlCalendarAdvance(Calendar,X3287,NDays&amp;"D")</f>
        <v>61889</v>
      </c>
      <c r="Z3287" s="205" t="e">
        <v>#N/A</v>
      </c>
      <c r="AA3287" s="207" t="e">
        <v>#N/A</v>
      </c>
    </row>
    <row r="3288" spans="19:27" x14ac:dyDescent="0.2">
      <c r="S3288" s="165"/>
      <c r="T3288" s="166"/>
      <c r="W3288" s="199" t="str">
        <f t="shared" si="60"/>
        <v>1w</v>
      </c>
      <c r="X3288" s="200">
        <f>_xll.qlCalendarAdvance(Calendar,X3287,W3288,"f",FALSE)</f>
        <v>61892</v>
      </c>
      <c r="Y3288" s="204">
        <f>_xll.qlCalendarAdvance(Calendar,X3288,NDays&amp;"D")</f>
        <v>61896</v>
      </c>
      <c r="Z3288" s="205" t="e">
        <v>#N/A</v>
      </c>
      <c r="AA3288" s="207" t="e">
        <v>#N/A</v>
      </c>
    </row>
    <row r="3289" spans="19:27" x14ac:dyDescent="0.2">
      <c r="S3289" s="165"/>
      <c r="T3289" s="166"/>
      <c r="W3289" s="199" t="str">
        <f t="shared" si="60"/>
        <v>1w</v>
      </c>
      <c r="X3289" s="200">
        <f>_xll.qlCalendarAdvance(Calendar,X3288,W3289,"f",FALSE)</f>
        <v>61899</v>
      </c>
      <c r="Y3289" s="204">
        <f>_xll.qlCalendarAdvance(Calendar,X3289,NDays&amp;"D")</f>
        <v>61903</v>
      </c>
      <c r="Z3289" s="205" t="e">
        <v>#N/A</v>
      </c>
      <c r="AA3289" s="207" t="e">
        <v>#N/A</v>
      </c>
    </row>
    <row r="3290" spans="19:27" x14ac:dyDescent="0.2">
      <c r="S3290" s="165"/>
      <c r="T3290" s="166"/>
      <c r="W3290" s="199" t="str">
        <f t="shared" si="60"/>
        <v>1w</v>
      </c>
      <c r="X3290" s="200">
        <f>_xll.qlCalendarAdvance(Calendar,X3289,W3290,"f",FALSE)</f>
        <v>61906</v>
      </c>
      <c r="Y3290" s="204">
        <f>_xll.qlCalendarAdvance(Calendar,X3290,NDays&amp;"D")</f>
        <v>61910</v>
      </c>
      <c r="Z3290" s="205" t="e">
        <v>#N/A</v>
      </c>
      <c r="AA3290" s="207" t="e">
        <v>#N/A</v>
      </c>
    </row>
    <row r="3291" spans="19:27" x14ac:dyDescent="0.2">
      <c r="S3291" s="165"/>
      <c r="T3291" s="166"/>
      <c r="W3291" s="199" t="str">
        <f t="shared" si="60"/>
        <v>1w</v>
      </c>
      <c r="X3291" s="200">
        <f>_xll.qlCalendarAdvance(Calendar,X3290,W3291,"f",FALSE)</f>
        <v>61913</v>
      </c>
      <c r="Y3291" s="204">
        <f>_xll.qlCalendarAdvance(Calendar,X3291,NDays&amp;"D")</f>
        <v>61917</v>
      </c>
      <c r="Z3291" s="205" t="e">
        <v>#N/A</v>
      </c>
      <c r="AA3291" s="207" t="e">
        <v>#N/A</v>
      </c>
    </row>
    <row r="3292" spans="19:27" x14ac:dyDescent="0.2">
      <c r="S3292" s="165"/>
      <c r="T3292" s="166"/>
      <c r="W3292" s="199" t="str">
        <f t="shared" si="60"/>
        <v>1w</v>
      </c>
      <c r="X3292" s="200">
        <f>_xll.qlCalendarAdvance(Calendar,X3291,W3292,"f",FALSE)</f>
        <v>61920</v>
      </c>
      <c r="Y3292" s="204">
        <f>_xll.qlCalendarAdvance(Calendar,X3292,NDays&amp;"D")</f>
        <v>61924</v>
      </c>
      <c r="Z3292" s="205" t="e">
        <v>#N/A</v>
      </c>
      <c r="AA3292" s="207" t="e">
        <v>#N/A</v>
      </c>
    </row>
    <row r="3293" spans="19:27" x14ac:dyDescent="0.2">
      <c r="S3293" s="165"/>
      <c r="T3293" s="166"/>
      <c r="W3293" s="199" t="str">
        <f t="shared" si="60"/>
        <v>1w</v>
      </c>
      <c r="X3293" s="200">
        <f>_xll.qlCalendarAdvance(Calendar,X3292,W3293,"f",FALSE)</f>
        <v>61927</v>
      </c>
      <c r="Y3293" s="204">
        <f>_xll.qlCalendarAdvance(Calendar,X3293,NDays&amp;"D")</f>
        <v>61931</v>
      </c>
      <c r="Z3293" s="205" t="e">
        <v>#N/A</v>
      </c>
      <c r="AA3293" s="207" t="e">
        <v>#N/A</v>
      </c>
    </row>
    <row r="3294" spans="19:27" x14ac:dyDescent="0.2">
      <c r="S3294" s="165"/>
      <c r="T3294" s="166"/>
      <c r="W3294" s="199" t="str">
        <f t="shared" si="60"/>
        <v>1w</v>
      </c>
      <c r="X3294" s="200">
        <f>_xll.qlCalendarAdvance(Calendar,X3293,W3294,"f",FALSE)</f>
        <v>61934</v>
      </c>
      <c r="Y3294" s="204">
        <f>_xll.qlCalendarAdvance(Calendar,X3294,NDays&amp;"D")</f>
        <v>61938</v>
      </c>
      <c r="Z3294" s="205" t="e">
        <v>#N/A</v>
      </c>
      <c r="AA3294" s="207" t="e">
        <v>#N/A</v>
      </c>
    </row>
    <row r="3295" spans="19:27" x14ac:dyDescent="0.2">
      <c r="S3295" s="165"/>
      <c r="T3295" s="166"/>
      <c r="W3295" s="199" t="str">
        <f t="shared" si="60"/>
        <v>1w</v>
      </c>
      <c r="X3295" s="200">
        <f>_xll.qlCalendarAdvance(Calendar,X3294,W3295,"f",FALSE)</f>
        <v>61941</v>
      </c>
      <c r="Y3295" s="204">
        <f>_xll.qlCalendarAdvance(Calendar,X3295,NDays&amp;"D")</f>
        <v>61945</v>
      </c>
      <c r="Z3295" s="205" t="e">
        <v>#N/A</v>
      </c>
      <c r="AA3295" s="207" t="e">
        <v>#N/A</v>
      </c>
    </row>
    <row r="3296" spans="19:27" x14ac:dyDescent="0.2">
      <c r="S3296" s="165"/>
      <c r="T3296" s="166"/>
      <c r="W3296" s="199" t="str">
        <f t="shared" si="60"/>
        <v>1w</v>
      </c>
      <c r="X3296" s="200">
        <f>_xll.qlCalendarAdvance(Calendar,X3295,W3296,"f",FALSE)</f>
        <v>61948</v>
      </c>
      <c r="Y3296" s="204">
        <f>_xll.qlCalendarAdvance(Calendar,X3296,NDays&amp;"D")</f>
        <v>61952</v>
      </c>
      <c r="Z3296" s="205" t="e">
        <v>#N/A</v>
      </c>
      <c r="AA3296" s="207" t="e">
        <v>#N/A</v>
      </c>
    </row>
    <row r="3297" spans="19:27" x14ac:dyDescent="0.2">
      <c r="S3297" s="165"/>
      <c r="T3297" s="166"/>
      <c r="W3297" s="199" t="str">
        <f t="shared" si="60"/>
        <v>1w</v>
      </c>
      <c r="X3297" s="200">
        <f>_xll.qlCalendarAdvance(Calendar,X3296,W3297,"f",FALSE)</f>
        <v>61955</v>
      </c>
      <c r="Y3297" s="204">
        <f>_xll.qlCalendarAdvance(Calendar,X3297,NDays&amp;"D")</f>
        <v>61959</v>
      </c>
      <c r="Z3297" s="205" t="e">
        <v>#N/A</v>
      </c>
      <c r="AA3297" s="207" t="e">
        <v>#N/A</v>
      </c>
    </row>
    <row r="3298" spans="19:27" x14ac:dyDescent="0.2">
      <c r="S3298" s="165"/>
      <c r="T3298" s="166"/>
      <c r="W3298" s="199" t="str">
        <f t="shared" si="60"/>
        <v>1w</v>
      </c>
      <c r="X3298" s="200">
        <f>_xll.qlCalendarAdvance(Calendar,X3297,W3298,"f",FALSE)</f>
        <v>61962</v>
      </c>
      <c r="Y3298" s="204">
        <f>_xll.qlCalendarAdvance(Calendar,X3298,NDays&amp;"D")</f>
        <v>61967</v>
      </c>
      <c r="Z3298" s="205" t="e">
        <v>#N/A</v>
      </c>
      <c r="AA3298" s="207" t="e">
        <v>#N/A</v>
      </c>
    </row>
    <row r="3299" spans="19:27" x14ac:dyDescent="0.2">
      <c r="S3299" s="165"/>
      <c r="T3299" s="166"/>
      <c r="W3299" s="199" t="str">
        <f t="shared" si="60"/>
        <v>1w</v>
      </c>
      <c r="X3299" s="200">
        <f>_xll.qlCalendarAdvance(Calendar,X3298,W3299,"f",FALSE)</f>
        <v>61969</v>
      </c>
      <c r="Y3299" s="204">
        <f>_xll.qlCalendarAdvance(Calendar,X3299,NDays&amp;"D")</f>
        <v>61973</v>
      </c>
      <c r="Z3299" s="205" t="e">
        <v>#N/A</v>
      </c>
      <c r="AA3299" s="207" t="e">
        <v>#N/A</v>
      </c>
    </row>
    <row r="3300" spans="19:27" x14ac:dyDescent="0.2">
      <c r="S3300" s="165"/>
      <c r="T3300" s="166"/>
      <c r="W3300" s="199" t="str">
        <f t="shared" si="60"/>
        <v>1w</v>
      </c>
      <c r="X3300" s="200">
        <f>_xll.qlCalendarAdvance(Calendar,X3299,W3300,"f",FALSE)</f>
        <v>61976</v>
      </c>
      <c r="Y3300" s="204">
        <f>_xll.qlCalendarAdvance(Calendar,X3300,NDays&amp;"D")</f>
        <v>61980</v>
      </c>
      <c r="Z3300" s="205" t="e">
        <v>#N/A</v>
      </c>
      <c r="AA3300" s="207" t="e">
        <v>#N/A</v>
      </c>
    </row>
    <row r="3301" spans="19:27" x14ac:dyDescent="0.2">
      <c r="S3301" s="165"/>
      <c r="T3301" s="166"/>
      <c r="W3301" s="199" t="str">
        <f t="shared" si="60"/>
        <v>1w</v>
      </c>
      <c r="X3301" s="200">
        <f>_xll.qlCalendarAdvance(Calendar,X3300,W3301,"f",FALSE)</f>
        <v>61983</v>
      </c>
      <c r="Y3301" s="204">
        <f>_xll.qlCalendarAdvance(Calendar,X3301,NDays&amp;"D")</f>
        <v>61987</v>
      </c>
      <c r="Z3301" s="205" t="e">
        <v>#N/A</v>
      </c>
      <c r="AA3301" s="207" t="e">
        <v>#N/A</v>
      </c>
    </row>
    <row r="3302" spans="19:27" x14ac:dyDescent="0.2">
      <c r="S3302" s="165"/>
      <c r="T3302" s="166"/>
      <c r="W3302" s="199" t="str">
        <f t="shared" si="60"/>
        <v>1w</v>
      </c>
      <c r="X3302" s="200">
        <f>_xll.qlCalendarAdvance(Calendar,X3301,W3302,"f",FALSE)</f>
        <v>61990</v>
      </c>
      <c r="Y3302" s="204">
        <f>_xll.qlCalendarAdvance(Calendar,X3302,NDays&amp;"D")</f>
        <v>61994</v>
      </c>
      <c r="Z3302" s="205" t="e">
        <v>#N/A</v>
      </c>
      <c r="AA3302" s="207" t="e">
        <v>#N/A</v>
      </c>
    </row>
    <row r="3303" spans="19:27" x14ac:dyDescent="0.2">
      <c r="S3303" s="165"/>
      <c r="T3303" s="166"/>
      <c r="W3303" s="199" t="str">
        <f t="shared" si="60"/>
        <v>1w</v>
      </c>
      <c r="X3303" s="200">
        <f>_xll.qlCalendarAdvance(Calendar,X3302,W3303,"f",FALSE)</f>
        <v>61997</v>
      </c>
      <c r="Y3303" s="204">
        <f>_xll.qlCalendarAdvance(Calendar,X3303,NDays&amp;"D")</f>
        <v>62001</v>
      </c>
      <c r="Z3303" s="205" t="e">
        <v>#N/A</v>
      </c>
      <c r="AA3303" s="207" t="e">
        <v>#N/A</v>
      </c>
    </row>
    <row r="3304" spans="19:27" x14ac:dyDescent="0.2">
      <c r="S3304" s="165"/>
      <c r="T3304" s="166"/>
      <c r="W3304" s="199" t="str">
        <f t="shared" si="60"/>
        <v>1w</v>
      </c>
      <c r="X3304" s="200">
        <f>_xll.qlCalendarAdvance(Calendar,X3303,W3304,"f",FALSE)</f>
        <v>62004</v>
      </c>
      <c r="Y3304" s="204">
        <f>_xll.qlCalendarAdvance(Calendar,X3304,NDays&amp;"D")</f>
        <v>62008</v>
      </c>
      <c r="Z3304" s="205" t="e">
        <v>#N/A</v>
      </c>
      <c r="AA3304" s="207" t="e">
        <v>#N/A</v>
      </c>
    </row>
    <row r="3305" spans="19:27" x14ac:dyDescent="0.2">
      <c r="S3305" s="165"/>
      <c r="T3305" s="166"/>
      <c r="W3305" s="199" t="str">
        <f t="shared" si="60"/>
        <v>1w</v>
      </c>
      <c r="X3305" s="200">
        <f>_xll.qlCalendarAdvance(Calendar,X3304,W3305,"f",FALSE)</f>
        <v>62011</v>
      </c>
      <c r="Y3305" s="204">
        <f>_xll.qlCalendarAdvance(Calendar,X3305,NDays&amp;"D")</f>
        <v>62015</v>
      </c>
      <c r="Z3305" s="205" t="e">
        <v>#N/A</v>
      </c>
      <c r="AA3305" s="207" t="e">
        <v>#N/A</v>
      </c>
    </row>
    <row r="3306" spans="19:27" x14ac:dyDescent="0.2">
      <c r="S3306" s="165"/>
      <c r="T3306" s="166"/>
      <c r="W3306" s="199" t="str">
        <f t="shared" si="60"/>
        <v>1w</v>
      </c>
      <c r="X3306" s="200">
        <f>_xll.qlCalendarAdvance(Calendar,X3305,W3306,"f",FALSE)</f>
        <v>62018</v>
      </c>
      <c r="Y3306" s="204">
        <f>_xll.qlCalendarAdvance(Calendar,X3306,NDays&amp;"D")</f>
        <v>62022</v>
      </c>
      <c r="Z3306" s="205" t="e">
        <v>#N/A</v>
      </c>
      <c r="AA3306" s="207" t="e">
        <v>#N/A</v>
      </c>
    </row>
    <row r="3307" spans="19:27" x14ac:dyDescent="0.2">
      <c r="S3307" s="165"/>
      <c r="T3307" s="166"/>
      <c r="W3307" s="199" t="str">
        <f t="shared" si="60"/>
        <v>1w</v>
      </c>
      <c r="X3307" s="200">
        <f>_xll.qlCalendarAdvance(Calendar,X3306,W3307,"f",FALSE)</f>
        <v>62025</v>
      </c>
      <c r="Y3307" s="204">
        <f>_xll.qlCalendarAdvance(Calendar,X3307,NDays&amp;"D")</f>
        <v>62029</v>
      </c>
      <c r="Z3307" s="205" t="e">
        <v>#N/A</v>
      </c>
      <c r="AA3307" s="207" t="e">
        <v>#N/A</v>
      </c>
    </row>
    <row r="3308" spans="19:27" x14ac:dyDescent="0.2">
      <c r="S3308" s="165"/>
      <c r="T3308" s="166"/>
      <c r="W3308" s="199" t="str">
        <f t="shared" si="60"/>
        <v>1w</v>
      </c>
      <c r="X3308" s="200">
        <f>_xll.qlCalendarAdvance(Calendar,X3307,W3308,"f",FALSE)</f>
        <v>62032</v>
      </c>
      <c r="Y3308" s="204">
        <f>_xll.qlCalendarAdvance(Calendar,X3308,NDays&amp;"D")</f>
        <v>62036</v>
      </c>
      <c r="Z3308" s="205" t="e">
        <v>#N/A</v>
      </c>
      <c r="AA3308" s="207" t="e">
        <v>#N/A</v>
      </c>
    </row>
    <row r="3309" spans="19:27" x14ac:dyDescent="0.2">
      <c r="S3309" s="165"/>
      <c r="T3309" s="166"/>
      <c r="W3309" s="199" t="str">
        <f t="shared" si="60"/>
        <v>1w</v>
      </c>
      <c r="X3309" s="200">
        <f>_xll.qlCalendarAdvance(Calendar,X3308,W3309,"f",FALSE)</f>
        <v>62039</v>
      </c>
      <c r="Y3309" s="204">
        <f>_xll.qlCalendarAdvance(Calendar,X3309,NDays&amp;"D")</f>
        <v>62043</v>
      </c>
      <c r="Z3309" s="205" t="e">
        <v>#N/A</v>
      </c>
      <c r="AA3309" s="207" t="e">
        <v>#N/A</v>
      </c>
    </row>
    <row r="3310" spans="19:27" x14ac:dyDescent="0.2">
      <c r="S3310" s="165"/>
      <c r="T3310" s="166"/>
      <c r="W3310" s="199" t="str">
        <f t="shared" si="60"/>
        <v>1w</v>
      </c>
      <c r="X3310" s="200">
        <f>_xll.qlCalendarAdvance(Calendar,X3309,W3310,"f",FALSE)</f>
        <v>62046</v>
      </c>
      <c r="Y3310" s="204">
        <f>_xll.qlCalendarAdvance(Calendar,X3310,NDays&amp;"D")</f>
        <v>62050</v>
      </c>
      <c r="Z3310" s="205" t="e">
        <v>#N/A</v>
      </c>
      <c r="AA3310" s="207" t="e">
        <v>#N/A</v>
      </c>
    </row>
    <row r="3311" spans="19:27" x14ac:dyDescent="0.2">
      <c r="S3311" s="165"/>
      <c r="T3311" s="166"/>
      <c r="W3311" s="199" t="str">
        <f t="shared" si="60"/>
        <v>1w</v>
      </c>
      <c r="X3311" s="200">
        <f>_xll.qlCalendarAdvance(Calendar,X3310,W3311,"f",FALSE)</f>
        <v>62053</v>
      </c>
      <c r="Y3311" s="204">
        <f>_xll.qlCalendarAdvance(Calendar,X3311,NDays&amp;"D")</f>
        <v>62057</v>
      </c>
      <c r="Z3311" s="205" t="e">
        <v>#N/A</v>
      </c>
      <c r="AA3311" s="207" t="e">
        <v>#N/A</v>
      </c>
    </row>
    <row r="3312" spans="19:27" x14ac:dyDescent="0.2">
      <c r="S3312" s="165"/>
      <c r="T3312" s="166"/>
      <c r="W3312" s="199" t="str">
        <f t="shared" si="60"/>
        <v>1w</v>
      </c>
      <c r="X3312" s="200">
        <f>_xll.qlCalendarAdvance(Calendar,X3311,W3312,"f",FALSE)</f>
        <v>62060</v>
      </c>
      <c r="Y3312" s="204">
        <f>_xll.qlCalendarAdvance(Calendar,X3312,NDays&amp;"D")</f>
        <v>62064</v>
      </c>
      <c r="Z3312" s="205" t="e">
        <v>#N/A</v>
      </c>
      <c r="AA3312" s="207" t="e">
        <v>#N/A</v>
      </c>
    </row>
    <row r="3313" spans="19:27" x14ac:dyDescent="0.2">
      <c r="S3313" s="165"/>
      <c r="T3313" s="166"/>
      <c r="W3313" s="199" t="str">
        <f t="shared" si="60"/>
        <v>1w</v>
      </c>
      <c r="X3313" s="200">
        <f>_xll.qlCalendarAdvance(Calendar,X3312,W3313,"f",FALSE)</f>
        <v>62067</v>
      </c>
      <c r="Y3313" s="204">
        <f>_xll.qlCalendarAdvance(Calendar,X3313,NDays&amp;"D")</f>
        <v>62071</v>
      </c>
      <c r="Z3313" s="205" t="e">
        <v>#N/A</v>
      </c>
      <c r="AA3313" s="207" t="e">
        <v>#N/A</v>
      </c>
    </row>
    <row r="3314" spans="19:27" x14ac:dyDescent="0.2">
      <c r="S3314" s="165"/>
      <c r="T3314" s="166"/>
      <c r="W3314" s="199" t="str">
        <f t="shared" si="60"/>
        <v>1w</v>
      </c>
      <c r="X3314" s="200">
        <f>_xll.qlCalendarAdvance(Calendar,X3313,W3314,"f",FALSE)</f>
        <v>62074</v>
      </c>
      <c r="Y3314" s="204">
        <f>_xll.qlCalendarAdvance(Calendar,X3314,NDays&amp;"D")</f>
        <v>62078</v>
      </c>
      <c r="Z3314" s="205" t="e">
        <v>#N/A</v>
      </c>
      <c r="AA3314" s="207" t="e">
        <v>#N/A</v>
      </c>
    </row>
    <row r="3315" spans="19:27" x14ac:dyDescent="0.2">
      <c r="S3315" s="165"/>
      <c r="T3315" s="166"/>
      <c r="W3315" s="199" t="str">
        <f t="shared" si="60"/>
        <v>1w</v>
      </c>
      <c r="X3315" s="200">
        <f>_xll.qlCalendarAdvance(Calendar,X3314,W3315,"f",FALSE)</f>
        <v>62081</v>
      </c>
      <c r="Y3315" s="204">
        <f>_xll.qlCalendarAdvance(Calendar,X3315,NDays&amp;"D")</f>
        <v>62085</v>
      </c>
      <c r="Z3315" s="205" t="e">
        <v>#N/A</v>
      </c>
      <c r="AA3315" s="207" t="e">
        <v>#N/A</v>
      </c>
    </row>
    <row r="3316" spans="19:27" x14ac:dyDescent="0.2">
      <c r="S3316" s="165"/>
      <c r="T3316" s="166"/>
      <c r="W3316" s="199" t="str">
        <f t="shared" si="60"/>
        <v>1w</v>
      </c>
      <c r="X3316" s="200">
        <f>_xll.qlCalendarAdvance(Calendar,X3315,W3316,"f",FALSE)</f>
        <v>62089</v>
      </c>
      <c r="Y3316" s="204">
        <f>_xll.qlCalendarAdvance(Calendar,X3316,NDays&amp;"D")</f>
        <v>62093</v>
      </c>
      <c r="Z3316" s="205" t="e">
        <v>#N/A</v>
      </c>
      <c r="AA3316" s="207" t="e">
        <v>#N/A</v>
      </c>
    </row>
    <row r="3317" spans="19:27" x14ac:dyDescent="0.2">
      <c r="S3317" s="165"/>
      <c r="T3317" s="166"/>
      <c r="W3317" s="199" t="str">
        <f t="shared" si="60"/>
        <v>1w</v>
      </c>
      <c r="X3317" s="200">
        <f>_xll.qlCalendarAdvance(Calendar,X3316,W3317,"f",FALSE)</f>
        <v>62096</v>
      </c>
      <c r="Y3317" s="204">
        <f>_xll.qlCalendarAdvance(Calendar,X3317,NDays&amp;"D")</f>
        <v>62100</v>
      </c>
      <c r="Z3317" s="205" t="e">
        <v>#N/A</v>
      </c>
      <c r="AA3317" s="207" t="e">
        <v>#N/A</v>
      </c>
    </row>
    <row r="3318" spans="19:27" x14ac:dyDescent="0.2">
      <c r="S3318" s="165"/>
      <c r="T3318" s="166"/>
      <c r="W3318" s="199" t="str">
        <f t="shared" si="60"/>
        <v>1w</v>
      </c>
      <c r="X3318" s="200">
        <f>_xll.qlCalendarAdvance(Calendar,X3317,W3318,"f",FALSE)</f>
        <v>62103</v>
      </c>
      <c r="Y3318" s="204">
        <f>_xll.qlCalendarAdvance(Calendar,X3318,NDays&amp;"D")</f>
        <v>62107</v>
      </c>
      <c r="Z3318" s="205" t="e">
        <v>#N/A</v>
      </c>
      <c r="AA3318" s="207" t="e">
        <v>#N/A</v>
      </c>
    </row>
    <row r="3319" spans="19:27" x14ac:dyDescent="0.2">
      <c r="S3319" s="165"/>
      <c r="T3319" s="166"/>
      <c r="W3319" s="199" t="str">
        <f t="shared" si="60"/>
        <v>1w</v>
      </c>
      <c r="X3319" s="200">
        <f>_xll.qlCalendarAdvance(Calendar,X3318,W3319,"f",FALSE)</f>
        <v>62110</v>
      </c>
      <c r="Y3319" s="204">
        <f>_xll.qlCalendarAdvance(Calendar,X3319,NDays&amp;"D")</f>
        <v>62114</v>
      </c>
      <c r="Z3319" s="205" t="e">
        <v>#N/A</v>
      </c>
      <c r="AA3319" s="207" t="e">
        <v>#N/A</v>
      </c>
    </row>
    <row r="3320" spans="19:27" x14ac:dyDescent="0.2">
      <c r="S3320" s="165"/>
      <c r="T3320" s="166"/>
      <c r="W3320" s="199" t="str">
        <f t="shared" si="60"/>
        <v>1w</v>
      </c>
      <c r="X3320" s="200">
        <f>_xll.qlCalendarAdvance(Calendar,X3319,W3320,"f",FALSE)</f>
        <v>62117</v>
      </c>
      <c r="Y3320" s="204">
        <f>_xll.qlCalendarAdvance(Calendar,X3320,NDays&amp;"D")</f>
        <v>62121</v>
      </c>
      <c r="Z3320" s="205" t="e">
        <v>#N/A</v>
      </c>
      <c r="AA3320" s="207" t="e">
        <v>#N/A</v>
      </c>
    </row>
    <row r="3321" spans="19:27" x14ac:dyDescent="0.2">
      <c r="S3321" s="165"/>
      <c r="T3321" s="166"/>
      <c r="W3321" s="199" t="str">
        <f t="shared" si="60"/>
        <v>1w</v>
      </c>
      <c r="X3321" s="200">
        <f>_xll.qlCalendarAdvance(Calendar,X3320,W3321,"f",FALSE)</f>
        <v>62124</v>
      </c>
      <c r="Y3321" s="204">
        <f>_xll.qlCalendarAdvance(Calendar,X3321,NDays&amp;"D")</f>
        <v>62128</v>
      </c>
      <c r="Z3321" s="205" t="e">
        <v>#N/A</v>
      </c>
      <c r="AA3321" s="207" t="e">
        <v>#N/A</v>
      </c>
    </row>
    <row r="3322" spans="19:27" x14ac:dyDescent="0.2">
      <c r="S3322" s="165"/>
      <c r="T3322" s="166"/>
      <c r="W3322" s="199" t="str">
        <f t="shared" si="60"/>
        <v>1w</v>
      </c>
      <c r="X3322" s="200">
        <f>_xll.qlCalendarAdvance(Calendar,X3321,W3322,"f",FALSE)</f>
        <v>62131</v>
      </c>
      <c r="Y3322" s="204">
        <f>_xll.qlCalendarAdvance(Calendar,X3322,NDays&amp;"D")</f>
        <v>62135</v>
      </c>
      <c r="Z3322" s="205" t="e">
        <v>#N/A</v>
      </c>
      <c r="AA3322" s="207" t="e">
        <v>#N/A</v>
      </c>
    </row>
    <row r="3323" spans="19:27" x14ac:dyDescent="0.2">
      <c r="S3323" s="165"/>
      <c r="T3323" s="166"/>
      <c r="W3323" s="199" t="str">
        <f t="shared" si="60"/>
        <v>1w</v>
      </c>
      <c r="X3323" s="200">
        <f>_xll.qlCalendarAdvance(Calendar,X3322,W3323,"f",FALSE)</f>
        <v>62138</v>
      </c>
      <c r="Y3323" s="204">
        <f>_xll.qlCalendarAdvance(Calendar,X3323,NDays&amp;"D")</f>
        <v>62142</v>
      </c>
      <c r="Z3323" s="205" t="e">
        <v>#N/A</v>
      </c>
      <c r="AA3323" s="207" t="e">
        <v>#N/A</v>
      </c>
    </row>
    <row r="3324" spans="19:27" x14ac:dyDescent="0.2">
      <c r="S3324" s="165"/>
      <c r="T3324" s="166"/>
      <c r="W3324" s="199" t="str">
        <f t="shared" si="60"/>
        <v>1w</v>
      </c>
      <c r="X3324" s="200">
        <f>_xll.qlCalendarAdvance(Calendar,X3323,W3324,"f",FALSE)</f>
        <v>62145</v>
      </c>
      <c r="Y3324" s="204">
        <f>_xll.qlCalendarAdvance(Calendar,X3324,NDays&amp;"D")</f>
        <v>62149</v>
      </c>
      <c r="Z3324" s="205" t="e">
        <v>#N/A</v>
      </c>
      <c r="AA3324" s="207" t="e">
        <v>#N/A</v>
      </c>
    </row>
    <row r="3325" spans="19:27" x14ac:dyDescent="0.2">
      <c r="S3325" s="165"/>
      <c r="T3325" s="166"/>
      <c r="W3325" s="199" t="str">
        <f t="shared" si="60"/>
        <v>1w</v>
      </c>
      <c r="X3325" s="200">
        <f>_xll.qlCalendarAdvance(Calendar,X3324,W3325,"f",FALSE)</f>
        <v>62152</v>
      </c>
      <c r="Y3325" s="204">
        <f>_xll.qlCalendarAdvance(Calendar,X3325,NDays&amp;"D")</f>
        <v>62156</v>
      </c>
      <c r="Z3325" s="205" t="e">
        <v>#N/A</v>
      </c>
      <c r="AA3325" s="207" t="e">
        <v>#N/A</v>
      </c>
    </row>
    <row r="3326" spans="19:27" x14ac:dyDescent="0.2">
      <c r="S3326" s="165"/>
      <c r="T3326" s="166"/>
      <c r="W3326" s="199" t="str">
        <f t="shared" si="60"/>
        <v>1w</v>
      </c>
      <c r="X3326" s="200">
        <f>_xll.qlCalendarAdvance(Calendar,X3325,W3326,"f",FALSE)</f>
        <v>62159</v>
      </c>
      <c r="Y3326" s="204">
        <f>_xll.qlCalendarAdvance(Calendar,X3326,NDays&amp;"D")</f>
        <v>62163</v>
      </c>
      <c r="Z3326" s="205" t="e">
        <v>#N/A</v>
      </c>
      <c r="AA3326" s="207" t="e">
        <v>#N/A</v>
      </c>
    </row>
    <row r="3327" spans="19:27" x14ac:dyDescent="0.2">
      <c r="S3327" s="165"/>
      <c r="T3327" s="166"/>
      <c r="W3327" s="199" t="str">
        <f t="shared" si="60"/>
        <v>1w</v>
      </c>
      <c r="X3327" s="200">
        <f>_xll.qlCalendarAdvance(Calendar,X3326,W3327,"f",FALSE)</f>
        <v>62166</v>
      </c>
      <c r="Y3327" s="204">
        <f>_xll.qlCalendarAdvance(Calendar,X3327,NDays&amp;"D")</f>
        <v>62170</v>
      </c>
      <c r="Z3327" s="205" t="e">
        <v>#N/A</v>
      </c>
      <c r="AA3327" s="207" t="e">
        <v>#N/A</v>
      </c>
    </row>
    <row r="3328" spans="19:27" x14ac:dyDescent="0.2">
      <c r="S3328" s="165"/>
      <c r="T3328" s="166"/>
      <c r="W3328" s="199" t="str">
        <f t="shared" si="60"/>
        <v>1w</v>
      </c>
      <c r="X3328" s="200">
        <f>_xll.qlCalendarAdvance(Calendar,X3327,W3328,"f",FALSE)</f>
        <v>62173</v>
      </c>
      <c r="Y3328" s="204">
        <f>_xll.qlCalendarAdvance(Calendar,X3328,NDays&amp;"D")</f>
        <v>62177</v>
      </c>
      <c r="Z3328" s="205" t="e">
        <v>#N/A</v>
      </c>
      <c r="AA3328" s="207" t="e">
        <v>#N/A</v>
      </c>
    </row>
    <row r="3329" spans="19:27" x14ac:dyDescent="0.2">
      <c r="S3329" s="165"/>
      <c r="T3329" s="166"/>
      <c r="W3329" s="199" t="str">
        <f t="shared" si="60"/>
        <v>1w</v>
      </c>
      <c r="X3329" s="200">
        <f>_xll.qlCalendarAdvance(Calendar,X3328,W3329,"f",FALSE)</f>
        <v>62184</v>
      </c>
      <c r="Y3329" s="204">
        <f>_xll.qlCalendarAdvance(Calendar,X3329,NDays&amp;"D")</f>
        <v>62186</v>
      </c>
      <c r="Z3329" s="205" t="e">
        <v>#N/A</v>
      </c>
      <c r="AA3329" s="207" t="e">
        <v>#N/A</v>
      </c>
    </row>
    <row r="3330" spans="19:27" x14ac:dyDescent="0.2">
      <c r="S3330" s="165"/>
      <c r="T3330" s="166"/>
      <c r="W3330" s="199" t="str">
        <f t="shared" si="60"/>
        <v>1w</v>
      </c>
      <c r="X3330" s="200">
        <f>_xll.qlCalendarAdvance(Calendar,X3329,W3330,"f",FALSE)</f>
        <v>62191</v>
      </c>
      <c r="Y3330" s="204">
        <f>_xll.qlCalendarAdvance(Calendar,X3330,NDays&amp;"D")</f>
        <v>62193</v>
      </c>
      <c r="Z3330" s="205" t="e">
        <v>#N/A</v>
      </c>
      <c r="AA3330" s="207" t="e">
        <v>#N/A</v>
      </c>
    </row>
    <row r="3331" spans="19:27" x14ac:dyDescent="0.2">
      <c r="S3331" s="165"/>
      <c r="T3331" s="166"/>
      <c r="W3331" s="199" t="str">
        <f t="shared" si="60"/>
        <v>1w</v>
      </c>
      <c r="X3331" s="200">
        <f>_xll.qlCalendarAdvance(Calendar,X3330,W3331,"f",FALSE)</f>
        <v>62198</v>
      </c>
      <c r="Y3331" s="204">
        <f>_xll.qlCalendarAdvance(Calendar,X3331,NDays&amp;"D")</f>
        <v>62200</v>
      </c>
      <c r="Z3331" s="205" t="e">
        <v>#N/A</v>
      </c>
      <c r="AA3331" s="207" t="e">
        <v>#N/A</v>
      </c>
    </row>
    <row r="3332" spans="19:27" x14ac:dyDescent="0.2">
      <c r="S3332" s="165"/>
      <c r="T3332" s="166"/>
      <c r="W3332" s="199" t="str">
        <f t="shared" si="60"/>
        <v>1w</v>
      </c>
      <c r="X3332" s="200">
        <f>_xll.qlCalendarAdvance(Calendar,X3331,W3332,"f",FALSE)</f>
        <v>62205</v>
      </c>
      <c r="Y3332" s="204">
        <f>_xll.qlCalendarAdvance(Calendar,X3332,NDays&amp;"D")</f>
        <v>62207</v>
      </c>
      <c r="Z3332" s="205" t="e">
        <v>#N/A</v>
      </c>
      <c r="AA3332" s="207" t="e">
        <v>#N/A</v>
      </c>
    </row>
    <row r="3333" spans="19:27" x14ac:dyDescent="0.2">
      <c r="S3333" s="165"/>
      <c r="T3333" s="166"/>
      <c r="W3333" s="199" t="str">
        <f t="shared" si="60"/>
        <v>1w</v>
      </c>
      <c r="X3333" s="200">
        <f>_xll.qlCalendarAdvance(Calendar,X3332,W3333,"f",FALSE)</f>
        <v>62212</v>
      </c>
      <c r="Y3333" s="204">
        <f>_xll.qlCalendarAdvance(Calendar,X3333,NDays&amp;"D")</f>
        <v>62214</v>
      </c>
      <c r="Z3333" s="205" t="e">
        <v>#N/A</v>
      </c>
      <c r="AA3333" s="207" t="e">
        <v>#N/A</v>
      </c>
    </row>
    <row r="3334" spans="19:27" x14ac:dyDescent="0.2">
      <c r="S3334" s="165"/>
      <c r="T3334" s="166"/>
      <c r="W3334" s="199" t="str">
        <f t="shared" si="60"/>
        <v>1w</v>
      </c>
      <c r="X3334" s="200">
        <f>_xll.qlCalendarAdvance(Calendar,X3333,W3334,"f",FALSE)</f>
        <v>62219</v>
      </c>
      <c r="Y3334" s="204">
        <f>_xll.qlCalendarAdvance(Calendar,X3334,NDays&amp;"D")</f>
        <v>62221</v>
      </c>
      <c r="Z3334" s="205" t="e">
        <v>#N/A</v>
      </c>
      <c r="AA3334" s="207" t="e">
        <v>#N/A</v>
      </c>
    </row>
    <row r="3335" spans="19:27" x14ac:dyDescent="0.2">
      <c r="S3335" s="165"/>
      <c r="T3335" s="166"/>
      <c r="W3335" s="199" t="str">
        <f t="shared" si="60"/>
        <v>1w</v>
      </c>
      <c r="X3335" s="200">
        <f>_xll.qlCalendarAdvance(Calendar,X3334,W3335,"f",FALSE)</f>
        <v>62226</v>
      </c>
      <c r="Y3335" s="204">
        <f>_xll.qlCalendarAdvance(Calendar,X3335,NDays&amp;"D")</f>
        <v>62228</v>
      </c>
      <c r="Z3335" s="205" t="e">
        <v>#N/A</v>
      </c>
      <c r="AA3335" s="207" t="e">
        <v>#N/A</v>
      </c>
    </row>
    <row r="3336" spans="19:27" x14ac:dyDescent="0.2">
      <c r="S3336" s="165"/>
      <c r="T3336" s="166"/>
      <c r="W3336" s="199" t="str">
        <f t="shared" si="60"/>
        <v>1w</v>
      </c>
      <c r="X3336" s="200">
        <f>_xll.qlCalendarAdvance(Calendar,X3335,W3336,"f",FALSE)</f>
        <v>62233</v>
      </c>
      <c r="Y3336" s="204">
        <f>_xll.qlCalendarAdvance(Calendar,X3336,NDays&amp;"D")</f>
        <v>62235</v>
      </c>
      <c r="Z3336" s="205" t="e">
        <v>#N/A</v>
      </c>
      <c r="AA3336" s="207" t="e">
        <v>#N/A</v>
      </c>
    </row>
    <row r="3337" spans="19:27" x14ac:dyDescent="0.2">
      <c r="S3337" s="165"/>
      <c r="T3337" s="166"/>
      <c r="W3337" s="199" t="str">
        <f t="shared" si="60"/>
        <v>1w</v>
      </c>
      <c r="X3337" s="200">
        <f>_xll.qlCalendarAdvance(Calendar,X3336,W3337,"f",FALSE)</f>
        <v>62240</v>
      </c>
      <c r="Y3337" s="204">
        <f>_xll.qlCalendarAdvance(Calendar,X3337,NDays&amp;"D")</f>
        <v>62242</v>
      </c>
      <c r="Z3337" s="205" t="e">
        <v>#N/A</v>
      </c>
      <c r="AA3337" s="207" t="e">
        <v>#N/A</v>
      </c>
    </row>
    <row r="3338" spans="19:27" x14ac:dyDescent="0.2">
      <c r="S3338" s="165"/>
      <c r="T3338" s="166"/>
      <c r="W3338" s="199" t="str">
        <f t="shared" si="60"/>
        <v>1w</v>
      </c>
      <c r="X3338" s="200">
        <f>_xll.qlCalendarAdvance(Calendar,X3337,W3338,"f",FALSE)</f>
        <v>62247</v>
      </c>
      <c r="Y3338" s="204">
        <f>_xll.qlCalendarAdvance(Calendar,X3338,NDays&amp;"D")</f>
        <v>62249</v>
      </c>
      <c r="Z3338" s="205" t="e">
        <v>#N/A</v>
      </c>
      <c r="AA3338" s="207" t="e">
        <v>#N/A</v>
      </c>
    </row>
    <row r="3339" spans="19:27" x14ac:dyDescent="0.2">
      <c r="S3339" s="165"/>
      <c r="T3339" s="166"/>
      <c r="W3339" s="199" t="str">
        <f t="shared" si="60"/>
        <v>1w</v>
      </c>
      <c r="X3339" s="200">
        <f>_xll.qlCalendarAdvance(Calendar,X3338,W3339,"f",FALSE)</f>
        <v>62254</v>
      </c>
      <c r="Y3339" s="204">
        <f>_xll.qlCalendarAdvance(Calendar,X3339,NDays&amp;"D")</f>
        <v>62256</v>
      </c>
      <c r="Z3339" s="205" t="e">
        <v>#N/A</v>
      </c>
      <c r="AA3339" s="207" t="e">
        <v>#N/A</v>
      </c>
    </row>
    <row r="3340" spans="19:27" x14ac:dyDescent="0.2">
      <c r="S3340" s="165"/>
      <c r="T3340" s="166"/>
      <c r="W3340" s="199" t="str">
        <f t="shared" si="60"/>
        <v>1w</v>
      </c>
      <c r="X3340" s="200">
        <f>_xll.qlCalendarAdvance(Calendar,X3339,W3340,"f",FALSE)</f>
        <v>62261</v>
      </c>
      <c r="Y3340" s="204">
        <f>_xll.qlCalendarAdvance(Calendar,X3340,NDays&amp;"D")</f>
        <v>62263</v>
      </c>
      <c r="Z3340" s="205" t="e">
        <v>#N/A</v>
      </c>
      <c r="AA3340" s="207" t="e">
        <v>#N/A</v>
      </c>
    </row>
    <row r="3341" spans="19:27" x14ac:dyDescent="0.2">
      <c r="S3341" s="165"/>
      <c r="T3341" s="166"/>
      <c r="W3341" s="199" t="str">
        <f t="shared" si="60"/>
        <v>1w</v>
      </c>
      <c r="X3341" s="200">
        <f>_xll.qlCalendarAdvance(Calendar,X3340,W3341,"f",FALSE)</f>
        <v>62268</v>
      </c>
      <c r="Y3341" s="204">
        <f>_xll.qlCalendarAdvance(Calendar,X3341,NDays&amp;"D")</f>
        <v>62270</v>
      </c>
      <c r="Z3341" s="205" t="e">
        <v>#N/A</v>
      </c>
      <c r="AA3341" s="207" t="e">
        <v>#N/A</v>
      </c>
    </row>
    <row r="3342" spans="19:27" x14ac:dyDescent="0.2">
      <c r="S3342" s="165"/>
      <c r="T3342" s="166"/>
      <c r="W3342" s="199" t="str">
        <f t="shared" si="60"/>
        <v>1w</v>
      </c>
      <c r="X3342" s="200">
        <f>_xll.qlCalendarAdvance(Calendar,X3341,W3342,"f",FALSE)</f>
        <v>62275</v>
      </c>
      <c r="Y3342" s="204">
        <f>_xll.qlCalendarAdvance(Calendar,X3342,NDays&amp;"D")</f>
        <v>62277</v>
      </c>
      <c r="Z3342" s="205" t="e">
        <v>#N/A</v>
      </c>
      <c r="AA3342" s="207" t="e">
        <v>#N/A</v>
      </c>
    </row>
    <row r="3343" spans="19:27" x14ac:dyDescent="0.2">
      <c r="S3343" s="165"/>
      <c r="T3343" s="166"/>
      <c r="W3343" s="199" t="str">
        <f t="shared" si="60"/>
        <v>1w</v>
      </c>
      <c r="X3343" s="200">
        <f>_xll.qlCalendarAdvance(Calendar,X3342,W3343,"f",FALSE)</f>
        <v>62282</v>
      </c>
      <c r="Y3343" s="204">
        <f>_xll.qlCalendarAdvance(Calendar,X3343,NDays&amp;"D")</f>
        <v>62284</v>
      </c>
      <c r="Z3343" s="205" t="e">
        <v>#N/A</v>
      </c>
      <c r="AA3343" s="207" t="e">
        <v>#N/A</v>
      </c>
    </row>
    <row r="3344" spans="19:27" x14ac:dyDescent="0.2">
      <c r="S3344" s="165"/>
      <c r="T3344" s="166"/>
      <c r="W3344" s="199" t="str">
        <f t="shared" si="60"/>
        <v>1w</v>
      </c>
      <c r="X3344" s="200">
        <f>_xll.qlCalendarAdvance(Calendar,X3343,W3344,"f",FALSE)</f>
        <v>62289</v>
      </c>
      <c r="Y3344" s="204">
        <f>_xll.qlCalendarAdvance(Calendar,X3344,NDays&amp;"D")</f>
        <v>62291</v>
      </c>
      <c r="Z3344" s="205" t="e">
        <v>#N/A</v>
      </c>
      <c r="AA3344" s="207" t="e">
        <v>#N/A</v>
      </c>
    </row>
    <row r="3345" spans="19:27" x14ac:dyDescent="0.2">
      <c r="S3345" s="165"/>
      <c r="T3345" s="166"/>
      <c r="W3345" s="199" t="str">
        <f t="shared" si="60"/>
        <v>1w</v>
      </c>
      <c r="X3345" s="200">
        <f>_xll.qlCalendarAdvance(Calendar,X3344,W3345,"f",FALSE)</f>
        <v>62296</v>
      </c>
      <c r="Y3345" s="204">
        <f>_xll.qlCalendarAdvance(Calendar,X3345,NDays&amp;"D")</f>
        <v>62298</v>
      </c>
      <c r="Z3345" s="205" t="e">
        <v>#N/A</v>
      </c>
      <c r="AA3345" s="207" t="e">
        <v>#N/A</v>
      </c>
    </row>
    <row r="3346" spans="19:27" x14ac:dyDescent="0.2">
      <c r="S3346" s="165"/>
      <c r="T3346" s="166"/>
      <c r="W3346" s="199" t="str">
        <f t="shared" si="60"/>
        <v>1w</v>
      </c>
      <c r="X3346" s="200">
        <f>_xll.qlCalendarAdvance(Calendar,X3345,W3346,"f",FALSE)</f>
        <v>62303</v>
      </c>
      <c r="Y3346" s="204">
        <f>_xll.qlCalendarAdvance(Calendar,X3346,NDays&amp;"D")</f>
        <v>62305</v>
      </c>
      <c r="Z3346" s="205" t="e">
        <v>#N/A</v>
      </c>
      <c r="AA3346" s="207" t="e">
        <v>#N/A</v>
      </c>
    </row>
    <row r="3347" spans="19:27" x14ac:dyDescent="0.2">
      <c r="S3347" s="165"/>
      <c r="T3347" s="166"/>
      <c r="W3347" s="199" t="str">
        <f t="shared" si="60"/>
        <v>1w</v>
      </c>
      <c r="X3347" s="200">
        <f>_xll.qlCalendarAdvance(Calendar,X3346,W3347,"f",FALSE)</f>
        <v>62310</v>
      </c>
      <c r="Y3347" s="204">
        <f>_xll.qlCalendarAdvance(Calendar,X3347,NDays&amp;"D")</f>
        <v>62312</v>
      </c>
      <c r="Z3347" s="205" t="e">
        <v>#N/A</v>
      </c>
      <c r="AA3347" s="207" t="e">
        <v>#N/A</v>
      </c>
    </row>
    <row r="3348" spans="19:27" x14ac:dyDescent="0.2">
      <c r="S3348" s="165"/>
      <c r="T3348" s="166"/>
      <c r="W3348" s="199" t="str">
        <f t="shared" si="60"/>
        <v>1w</v>
      </c>
      <c r="X3348" s="200">
        <f>_xll.qlCalendarAdvance(Calendar,X3347,W3348,"f",FALSE)</f>
        <v>62317</v>
      </c>
      <c r="Y3348" s="204">
        <f>_xll.qlCalendarAdvance(Calendar,X3348,NDays&amp;"D")</f>
        <v>62319</v>
      </c>
      <c r="Z3348" s="205" t="e">
        <v>#N/A</v>
      </c>
      <c r="AA3348" s="207" t="e">
        <v>#N/A</v>
      </c>
    </row>
    <row r="3349" spans="19:27" x14ac:dyDescent="0.2">
      <c r="S3349" s="165"/>
      <c r="T3349" s="166"/>
      <c r="W3349" s="199" t="str">
        <f t="shared" ref="W3349:W3412" si="61">W3348</f>
        <v>1w</v>
      </c>
      <c r="X3349" s="200">
        <f>_xll.qlCalendarAdvance(Calendar,X3348,W3349,"f",FALSE)</f>
        <v>62324</v>
      </c>
      <c r="Y3349" s="204">
        <f>_xll.qlCalendarAdvance(Calendar,X3349,NDays&amp;"D")</f>
        <v>62326</v>
      </c>
      <c r="Z3349" s="205" t="e">
        <v>#N/A</v>
      </c>
      <c r="AA3349" s="207" t="e">
        <v>#N/A</v>
      </c>
    </row>
    <row r="3350" spans="19:27" x14ac:dyDescent="0.2">
      <c r="S3350" s="165"/>
      <c r="T3350" s="166"/>
      <c r="W3350" s="199" t="str">
        <f t="shared" si="61"/>
        <v>1w</v>
      </c>
      <c r="X3350" s="200">
        <f>_xll.qlCalendarAdvance(Calendar,X3349,W3350,"f",FALSE)</f>
        <v>62331</v>
      </c>
      <c r="Y3350" s="204">
        <f>_xll.qlCalendarAdvance(Calendar,X3350,NDays&amp;"D")</f>
        <v>62333</v>
      </c>
      <c r="Z3350" s="205" t="e">
        <v>#N/A</v>
      </c>
      <c r="AA3350" s="207" t="e">
        <v>#N/A</v>
      </c>
    </row>
    <row r="3351" spans="19:27" x14ac:dyDescent="0.2">
      <c r="S3351" s="165"/>
      <c r="T3351" s="166"/>
      <c r="W3351" s="199" t="str">
        <f t="shared" si="61"/>
        <v>1w</v>
      </c>
      <c r="X3351" s="200">
        <f>_xll.qlCalendarAdvance(Calendar,X3350,W3351,"f",FALSE)</f>
        <v>62338</v>
      </c>
      <c r="Y3351" s="204">
        <f>_xll.qlCalendarAdvance(Calendar,X3351,NDays&amp;"D")</f>
        <v>62340</v>
      </c>
      <c r="Z3351" s="205" t="e">
        <v>#N/A</v>
      </c>
      <c r="AA3351" s="207" t="e">
        <v>#N/A</v>
      </c>
    </row>
    <row r="3352" spans="19:27" x14ac:dyDescent="0.2">
      <c r="S3352" s="165"/>
      <c r="T3352" s="166"/>
      <c r="W3352" s="199" t="str">
        <f t="shared" si="61"/>
        <v>1w</v>
      </c>
      <c r="X3352" s="200">
        <f>_xll.qlCalendarAdvance(Calendar,X3351,W3352,"f",FALSE)</f>
        <v>62345</v>
      </c>
      <c r="Y3352" s="204">
        <f>_xll.qlCalendarAdvance(Calendar,X3352,NDays&amp;"D")</f>
        <v>62347</v>
      </c>
      <c r="Z3352" s="205" t="e">
        <v>#N/A</v>
      </c>
      <c r="AA3352" s="207" t="e">
        <v>#N/A</v>
      </c>
    </row>
    <row r="3353" spans="19:27" x14ac:dyDescent="0.2">
      <c r="S3353" s="165"/>
      <c r="T3353" s="166"/>
      <c r="W3353" s="199" t="str">
        <f t="shared" si="61"/>
        <v>1w</v>
      </c>
      <c r="X3353" s="200">
        <f>_xll.qlCalendarAdvance(Calendar,X3352,W3353,"f",FALSE)</f>
        <v>62352</v>
      </c>
      <c r="Y3353" s="204">
        <f>_xll.qlCalendarAdvance(Calendar,X3353,NDays&amp;"D")</f>
        <v>62354</v>
      </c>
      <c r="Z3353" s="205" t="e">
        <v>#N/A</v>
      </c>
      <c r="AA3353" s="207" t="e">
        <v>#N/A</v>
      </c>
    </row>
    <row r="3354" spans="19:27" x14ac:dyDescent="0.2">
      <c r="S3354" s="165"/>
      <c r="T3354" s="166"/>
      <c r="W3354" s="199" t="str">
        <f t="shared" si="61"/>
        <v>1w</v>
      </c>
      <c r="X3354" s="200">
        <f>_xll.qlCalendarAdvance(Calendar,X3353,W3354,"f",FALSE)</f>
        <v>62359</v>
      </c>
      <c r="Y3354" s="204">
        <f>_xll.qlCalendarAdvance(Calendar,X3354,NDays&amp;"D")</f>
        <v>62361</v>
      </c>
      <c r="Z3354" s="205" t="e">
        <v>#N/A</v>
      </c>
      <c r="AA3354" s="207" t="e">
        <v>#N/A</v>
      </c>
    </row>
    <row r="3355" spans="19:27" x14ac:dyDescent="0.2">
      <c r="S3355" s="165"/>
      <c r="T3355" s="166"/>
      <c r="W3355" s="199" t="str">
        <f t="shared" si="61"/>
        <v>1w</v>
      </c>
      <c r="X3355" s="200">
        <f>_xll.qlCalendarAdvance(Calendar,X3354,W3355,"f",FALSE)</f>
        <v>62366</v>
      </c>
      <c r="Y3355" s="204">
        <f>_xll.qlCalendarAdvance(Calendar,X3355,NDays&amp;"D")</f>
        <v>62368</v>
      </c>
      <c r="Z3355" s="205" t="e">
        <v>#N/A</v>
      </c>
      <c r="AA3355" s="207" t="e">
        <v>#N/A</v>
      </c>
    </row>
    <row r="3356" spans="19:27" x14ac:dyDescent="0.2">
      <c r="S3356" s="165"/>
      <c r="T3356" s="166"/>
      <c r="W3356" s="199" t="str">
        <f t="shared" si="61"/>
        <v>1w</v>
      </c>
      <c r="X3356" s="200">
        <f>_xll.qlCalendarAdvance(Calendar,X3355,W3356,"f",FALSE)</f>
        <v>62373</v>
      </c>
      <c r="Y3356" s="204">
        <f>_xll.qlCalendarAdvance(Calendar,X3356,NDays&amp;"D")</f>
        <v>62375</v>
      </c>
      <c r="Z3356" s="205" t="e">
        <v>#N/A</v>
      </c>
      <c r="AA3356" s="207" t="e">
        <v>#N/A</v>
      </c>
    </row>
    <row r="3357" spans="19:27" x14ac:dyDescent="0.2">
      <c r="S3357" s="165"/>
      <c r="T3357" s="166"/>
      <c r="W3357" s="199" t="str">
        <f t="shared" si="61"/>
        <v>1w</v>
      </c>
      <c r="X3357" s="200">
        <f>_xll.qlCalendarAdvance(Calendar,X3356,W3357,"f",FALSE)</f>
        <v>62380</v>
      </c>
      <c r="Y3357" s="204">
        <f>_xll.qlCalendarAdvance(Calendar,X3357,NDays&amp;"D")</f>
        <v>62382</v>
      </c>
      <c r="Z3357" s="205" t="e">
        <v>#N/A</v>
      </c>
      <c r="AA3357" s="207" t="e">
        <v>#N/A</v>
      </c>
    </row>
    <row r="3358" spans="19:27" x14ac:dyDescent="0.2">
      <c r="S3358" s="165"/>
      <c r="T3358" s="166"/>
      <c r="W3358" s="199" t="str">
        <f t="shared" si="61"/>
        <v>1w</v>
      </c>
      <c r="X3358" s="200">
        <f>_xll.qlCalendarAdvance(Calendar,X3357,W3358,"f",FALSE)</f>
        <v>62387</v>
      </c>
      <c r="Y3358" s="204">
        <f>_xll.qlCalendarAdvance(Calendar,X3358,NDays&amp;"D")</f>
        <v>62389</v>
      </c>
      <c r="Z3358" s="205" t="e">
        <v>#N/A</v>
      </c>
      <c r="AA3358" s="207" t="e">
        <v>#N/A</v>
      </c>
    </row>
    <row r="3359" spans="19:27" x14ac:dyDescent="0.2">
      <c r="S3359" s="165"/>
      <c r="T3359" s="166"/>
      <c r="W3359" s="199" t="str">
        <f t="shared" si="61"/>
        <v>1w</v>
      </c>
      <c r="X3359" s="200">
        <f>_xll.qlCalendarAdvance(Calendar,X3358,W3359,"f",FALSE)</f>
        <v>62394</v>
      </c>
      <c r="Y3359" s="204">
        <f>_xll.qlCalendarAdvance(Calendar,X3359,NDays&amp;"D")</f>
        <v>62396</v>
      </c>
      <c r="Z3359" s="205" t="e">
        <v>#N/A</v>
      </c>
      <c r="AA3359" s="207" t="e">
        <v>#N/A</v>
      </c>
    </row>
    <row r="3360" spans="19:27" x14ac:dyDescent="0.2">
      <c r="S3360" s="165"/>
      <c r="T3360" s="166"/>
      <c r="W3360" s="199" t="str">
        <f t="shared" si="61"/>
        <v>1w</v>
      </c>
      <c r="X3360" s="200">
        <f>_xll.qlCalendarAdvance(Calendar,X3359,W3360,"f",FALSE)</f>
        <v>62401</v>
      </c>
      <c r="Y3360" s="204">
        <f>_xll.qlCalendarAdvance(Calendar,X3360,NDays&amp;"D")</f>
        <v>62403</v>
      </c>
      <c r="Z3360" s="205" t="e">
        <v>#N/A</v>
      </c>
      <c r="AA3360" s="207" t="e">
        <v>#N/A</v>
      </c>
    </row>
    <row r="3361" spans="19:27" x14ac:dyDescent="0.2">
      <c r="S3361" s="165"/>
      <c r="T3361" s="166"/>
      <c r="W3361" s="199" t="str">
        <f t="shared" si="61"/>
        <v>1w</v>
      </c>
      <c r="X3361" s="200">
        <f>_xll.qlCalendarAdvance(Calendar,X3360,W3361,"f",FALSE)</f>
        <v>62408</v>
      </c>
      <c r="Y3361" s="204">
        <f>_xll.qlCalendarAdvance(Calendar,X3361,NDays&amp;"D")</f>
        <v>62410</v>
      </c>
      <c r="Z3361" s="205" t="e">
        <v>#N/A</v>
      </c>
      <c r="AA3361" s="207" t="e">
        <v>#N/A</v>
      </c>
    </row>
    <row r="3362" spans="19:27" x14ac:dyDescent="0.2">
      <c r="S3362" s="165"/>
      <c r="T3362" s="166"/>
      <c r="W3362" s="199" t="str">
        <f t="shared" si="61"/>
        <v>1w</v>
      </c>
      <c r="X3362" s="200">
        <f>_xll.qlCalendarAdvance(Calendar,X3361,W3362,"f",FALSE)</f>
        <v>62415</v>
      </c>
      <c r="Y3362" s="204">
        <f>_xll.qlCalendarAdvance(Calendar,X3362,NDays&amp;"D")</f>
        <v>62417</v>
      </c>
      <c r="Z3362" s="205" t="e">
        <v>#N/A</v>
      </c>
      <c r="AA3362" s="207" t="e">
        <v>#N/A</v>
      </c>
    </row>
    <row r="3363" spans="19:27" x14ac:dyDescent="0.2">
      <c r="S3363" s="165"/>
      <c r="T3363" s="166"/>
      <c r="W3363" s="199" t="str">
        <f t="shared" si="61"/>
        <v>1w</v>
      </c>
      <c r="X3363" s="200">
        <f>_xll.qlCalendarAdvance(Calendar,X3362,W3363,"f",FALSE)</f>
        <v>62422</v>
      </c>
      <c r="Y3363" s="204">
        <f>_xll.qlCalendarAdvance(Calendar,X3363,NDays&amp;"D")</f>
        <v>62424</v>
      </c>
      <c r="Z3363" s="205" t="e">
        <v>#N/A</v>
      </c>
      <c r="AA3363" s="207" t="e">
        <v>#N/A</v>
      </c>
    </row>
    <row r="3364" spans="19:27" x14ac:dyDescent="0.2">
      <c r="S3364" s="165"/>
      <c r="T3364" s="166"/>
      <c r="W3364" s="199" t="str">
        <f t="shared" si="61"/>
        <v>1w</v>
      </c>
      <c r="X3364" s="200">
        <f>_xll.qlCalendarAdvance(Calendar,X3363,W3364,"f",FALSE)</f>
        <v>62429</v>
      </c>
      <c r="Y3364" s="204">
        <f>_xll.qlCalendarAdvance(Calendar,X3364,NDays&amp;"D")</f>
        <v>62431</v>
      </c>
      <c r="Z3364" s="205" t="e">
        <v>#N/A</v>
      </c>
      <c r="AA3364" s="207" t="e">
        <v>#N/A</v>
      </c>
    </row>
    <row r="3365" spans="19:27" x14ac:dyDescent="0.2">
      <c r="S3365" s="165"/>
      <c r="T3365" s="166"/>
      <c r="W3365" s="199" t="str">
        <f t="shared" si="61"/>
        <v>1w</v>
      </c>
      <c r="X3365" s="200">
        <f>_xll.qlCalendarAdvance(Calendar,X3364,W3365,"f",FALSE)</f>
        <v>62436</v>
      </c>
      <c r="Y3365" s="204">
        <f>_xll.qlCalendarAdvance(Calendar,X3365,NDays&amp;"D")</f>
        <v>62438</v>
      </c>
      <c r="Z3365" s="205" t="e">
        <v>#N/A</v>
      </c>
      <c r="AA3365" s="207" t="e">
        <v>#N/A</v>
      </c>
    </row>
    <row r="3366" spans="19:27" x14ac:dyDescent="0.2">
      <c r="S3366" s="165"/>
      <c r="T3366" s="166"/>
      <c r="W3366" s="199" t="str">
        <f t="shared" si="61"/>
        <v>1w</v>
      </c>
      <c r="X3366" s="200">
        <f>_xll.qlCalendarAdvance(Calendar,X3365,W3366,"f",FALSE)</f>
        <v>62443</v>
      </c>
      <c r="Y3366" s="204">
        <f>_xll.qlCalendarAdvance(Calendar,X3366,NDays&amp;"D")</f>
        <v>62445</v>
      </c>
      <c r="Z3366" s="205" t="e">
        <v>#N/A</v>
      </c>
      <c r="AA3366" s="207" t="e">
        <v>#N/A</v>
      </c>
    </row>
    <row r="3367" spans="19:27" x14ac:dyDescent="0.2">
      <c r="S3367" s="165"/>
      <c r="T3367" s="166"/>
      <c r="W3367" s="199" t="str">
        <f t="shared" si="61"/>
        <v>1w</v>
      </c>
      <c r="X3367" s="200">
        <f>_xll.qlCalendarAdvance(Calendar,X3366,W3367,"f",FALSE)</f>
        <v>62450</v>
      </c>
      <c r="Y3367" s="204">
        <f>_xll.qlCalendarAdvance(Calendar,X3367,NDays&amp;"D")</f>
        <v>62456</v>
      </c>
      <c r="Z3367" s="205" t="e">
        <v>#N/A</v>
      </c>
      <c r="AA3367" s="207" t="e">
        <v>#N/A</v>
      </c>
    </row>
    <row r="3368" spans="19:27" x14ac:dyDescent="0.2">
      <c r="S3368" s="165"/>
      <c r="T3368" s="166"/>
      <c r="W3368" s="199" t="str">
        <f t="shared" si="61"/>
        <v>1w</v>
      </c>
      <c r="X3368" s="200">
        <f>_xll.qlCalendarAdvance(Calendar,X3367,W3368,"f",FALSE)</f>
        <v>62457</v>
      </c>
      <c r="Y3368" s="204">
        <f>_xll.qlCalendarAdvance(Calendar,X3368,NDays&amp;"D")</f>
        <v>62460</v>
      </c>
      <c r="Z3368" s="205" t="e">
        <v>#N/A</v>
      </c>
      <c r="AA3368" s="207" t="e">
        <v>#N/A</v>
      </c>
    </row>
    <row r="3369" spans="19:27" x14ac:dyDescent="0.2">
      <c r="S3369" s="165"/>
      <c r="T3369" s="166"/>
      <c r="W3369" s="199" t="str">
        <f t="shared" si="61"/>
        <v>1w</v>
      </c>
      <c r="X3369" s="200">
        <f>_xll.qlCalendarAdvance(Calendar,X3368,W3369,"f",FALSE)</f>
        <v>62464</v>
      </c>
      <c r="Y3369" s="204">
        <f>_xll.qlCalendarAdvance(Calendar,X3369,NDays&amp;"D")</f>
        <v>62466</v>
      </c>
      <c r="Z3369" s="205" t="e">
        <v>#N/A</v>
      </c>
      <c r="AA3369" s="207" t="e">
        <v>#N/A</v>
      </c>
    </row>
    <row r="3370" spans="19:27" x14ac:dyDescent="0.2">
      <c r="S3370" s="165"/>
      <c r="T3370" s="166"/>
      <c r="W3370" s="199" t="str">
        <f t="shared" si="61"/>
        <v>1w</v>
      </c>
      <c r="X3370" s="200">
        <f>_xll.qlCalendarAdvance(Calendar,X3369,W3370,"f",FALSE)</f>
        <v>62471</v>
      </c>
      <c r="Y3370" s="204">
        <f>_xll.qlCalendarAdvance(Calendar,X3370,NDays&amp;"D")</f>
        <v>62473</v>
      </c>
      <c r="Z3370" s="205" t="e">
        <v>#N/A</v>
      </c>
      <c r="AA3370" s="207" t="e">
        <v>#N/A</v>
      </c>
    </row>
    <row r="3371" spans="19:27" x14ac:dyDescent="0.2">
      <c r="S3371" s="165"/>
      <c r="T3371" s="166"/>
      <c r="W3371" s="199" t="str">
        <f t="shared" si="61"/>
        <v>1w</v>
      </c>
      <c r="X3371" s="200">
        <f>_xll.qlCalendarAdvance(Calendar,X3370,W3371,"f",FALSE)</f>
        <v>62478</v>
      </c>
      <c r="Y3371" s="204">
        <f>_xll.qlCalendarAdvance(Calendar,X3371,NDays&amp;"D")</f>
        <v>62480</v>
      </c>
      <c r="Z3371" s="205" t="e">
        <v>#N/A</v>
      </c>
      <c r="AA3371" s="207" t="e">
        <v>#N/A</v>
      </c>
    </row>
    <row r="3372" spans="19:27" x14ac:dyDescent="0.2">
      <c r="S3372" s="165"/>
      <c r="T3372" s="166"/>
      <c r="W3372" s="199" t="str">
        <f t="shared" si="61"/>
        <v>1w</v>
      </c>
      <c r="X3372" s="200">
        <f>_xll.qlCalendarAdvance(Calendar,X3371,W3372,"f",FALSE)</f>
        <v>62485</v>
      </c>
      <c r="Y3372" s="204">
        <f>_xll.qlCalendarAdvance(Calendar,X3372,NDays&amp;"D")</f>
        <v>62487</v>
      </c>
      <c r="Z3372" s="205" t="e">
        <v>#N/A</v>
      </c>
      <c r="AA3372" s="207" t="e">
        <v>#N/A</v>
      </c>
    </row>
    <row r="3373" spans="19:27" x14ac:dyDescent="0.2">
      <c r="S3373" s="165"/>
      <c r="T3373" s="166"/>
      <c r="W3373" s="199" t="str">
        <f t="shared" si="61"/>
        <v>1w</v>
      </c>
      <c r="X3373" s="200">
        <f>_xll.qlCalendarAdvance(Calendar,X3372,W3373,"f",FALSE)</f>
        <v>62492</v>
      </c>
      <c r="Y3373" s="204">
        <f>_xll.qlCalendarAdvance(Calendar,X3373,NDays&amp;"D")</f>
        <v>62494</v>
      </c>
      <c r="Z3373" s="205" t="e">
        <v>#N/A</v>
      </c>
      <c r="AA3373" s="207" t="e">
        <v>#N/A</v>
      </c>
    </row>
    <row r="3374" spans="19:27" x14ac:dyDescent="0.2">
      <c r="S3374" s="165"/>
      <c r="T3374" s="166"/>
      <c r="W3374" s="199" t="str">
        <f t="shared" si="61"/>
        <v>1w</v>
      </c>
      <c r="X3374" s="200">
        <f>_xll.qlCalendarAdvance(Calendar,X3373,W3374,"f",FALSE)</f>
        <v>62499</v>
      </c>
      <c r="Y3374" s="204">
        <f>_xll.qlCalendarAdvance(Calendar,X3374,NDays&amp;"D")</f>
        <v>62501</v>
      </c>
      <c r="Z3374" s="205" t="e">
        <v>#N/A</v>
      </c>
      <c r="AA3374" s="207" t="e">
        <v>#N/A</v>
      </c>
    </row>
    <row r="3375" spans="19:27" x14ac:dyDescent="0.2">
      <c r="S3375" s="165"/>
      <c r="T3375" s="166"/>
      <c r="W3375" s="199" t="str">
        <f t="shared" si="61"/>
        <v>1w</v>
      </c>
      <c r="X3375" s="200">
        <f>_xll.qlCalendarAdvance(Calendar,X3374,W3375,"f",FALSE)</f>
        <v>62506</v>
      </c>
      <c r="Y3375" s="204">
        <f>_xll.qlCalendarAdvance(Calendar,X3375,NDays&amp;"D")</f>
        <v>62508</v>
      </c>
      <c r="Z3375" s="205" t="e">
        <v>#N/A</v>
      </c>
      <c r="AA3375" s="207" t="e">
        <v>#N/A</v>
      </c>
    </row>
    <row r="3376" spans="19:27" x14ac:dyDescent="0.2">
      <c r="S3376" s="165"/>
      <c r="T3376" s="166"/>
      <c r="W3376" s="199" t="str">
        <f t="shared" si="61"/>
        <v>1w</v>
      </c>
      <c r="X3376" s="200">
        <f>_xll.qlCalendarAdvance(Calendar,X3375,W3376,"f",FALSE)</f>
        <v>62513</v>
      </c>
      <c r="Y3376" s="204">
        <f>_xll.qlCalendarAdvance(Calendar,X3376,NDays&amp;"D")</f>
        <v>62515</v>
      </c>
      <c r="Z3376" s="205" t="e">
        <v>#N/A</v>
      </c>
      <c r="AA3376" s="207" t="e">
        <v>#N/A</v>
      </c>
    </row>
    <row r="3377" spans="19:27" x14ac:dyDescent="0.2">
      <c r="S3377" s="165"/>
      <c r="T3377" s="166"/>
      <c r="W3377" s="199" t="str">
        <f t="shared" si="61"/>
        <v>1w</v>
      </c>
      <c r="X3377" s="200">
        <f>_xll.qlCalendarAdvance(Calendar,X3376,W3377,"f",FALSE)</f>
        <v>62520</v>
      </c>
      <c r="Y3377" s="204">
        <f>_xll.qlCalendarAdvance(Calendar,X3377,NDays&amp;"D")</f>
        <v>62522</v>
      </c>
      <c r="Z3377" s="205" t="e">
        <v>#N/A</v>
      </c>
      <c r="AA3377" s="207" t="e">
        <v>#N/A</v>
      </c>
    </row>
    <row r="3378" spans="19:27" x14ac:dyDescent="0.2">
      <c r="S3378" s="165"/>
      <c r="T3378" s="166"/>
      <c r="W3378" s="199" t="str">
        <f t="shared" si="61"/>
        <v>1w</v>
      </c>
      <c r="X3378" s="200">
        <f>_xll.qlCalendarAdvance(Calendar,X3377,W3378,"f",FALSE)</f>
        <v>62527</v>
      </c>
      <c r="Y3378" s="204">
        <f>_xll.qlCalendarAdvance(Calendar,X3378,NDays&amp;"D")</f>
        <v>62529</v>
      </c>
      <c r="Z3378" s="205" t="e">
        <v>#N/A</v>
      </c>
      <c r="AA3378" s="207" t="e">
        <v>#N/A</v>
      </c>
    </row>
    <row r="3379" spans="19:27" x14ac:dyDescent="0.2">
      <c r="S3379" s="165"/>
      <c r="T3379" s="166"/>
      <c r="W3379" s="199" t="str">
        <f t="shared" si="61"/>
        <v>1w</v>
      </c>
      <c r="X3379" s="200">
        <f>_xll.qlCalendarAdvance(Calendar,X3378,W3379,"f",FALSE)</f>
        <v>62534</v>
      </c>
      <c r="Y3379" s="204">
        <f>_xll.qlCalendarAdvance(Calendar,X3379,NDays&amp;"D")</f>
        <v>62536</v>
      </c>
      <c r="Z3379" s="205" t="e">
        <v>#N/A</v>
      </c>
      <c r="AA3379" s="207" t="e">
        <v>#N/A</v>
      </c>
    </row>
    <row r="3380" spans="19:27" x14ac:dyDescent="0.2">
      <c r="S3380" s="165"/>
      <c r="T3380" s="166"/>
      <c r="W3380" s="199" t="str">
        <f t="shared" si="61"/>
        <v>1w</v>
      </c>
      <c r="X3380" s="200">
        <f>_xll.qlCalendarAdvance(Calendar,X3379,W3380,"f",FALSE)</f>
        <v>62541</v>
      </c>
      <c r="Y3380" s="204">
        <f>_xll.qlCalendarAdvance(Calendar,X3380,NDays&amp;"D")</f>
        <v>62543</v>
      </c>
      <c r="Z3380" s="205" t="e">
        <v>#N/A</v>
      </c>
      <c r="AA3380" s="207" t="e">
        <v>#N/A</v>
      </c>
    </row>
    <row r="3381" spans="19:27" x14ac:dyDescent="0.2">
      <c r="S3381" s="165"/>
      <c r="T3381" s="166"/>
      <c r="W3381" s="199" t="str">
        <f t="shared" si="61"/>
        <v>1w</v>
      </c>
      <c r="X3381" s="200">
        <f>_xll.qlCalendarAdvance(Calendar,X3380,W3381,"f",FALSE)</f>
        <v>62548</v>
      </c>
      <c r="Y3381" s="204">
        <f>_xll.qlCalendarAdvance(Calendar,X3381,NDays&amp;"D")</f>
        <v>62550</v>
      </c>
      <c r="Z3381" s="205" t="e">
        <v>#N/A</v>
      </c>
      <c r="AA3381" s="207" t="e">
        <v>#N/A</v>
      </c>
    </row>
    <row r="3382" spans="19:27" x14ac:dyDescent="0.2">
      <c r="S3382" s="165"/>
      <c r="T3382" s="166"/>
      <c r="W3382" s="199" t="str">
        <f t="shared" si="61"/>
        <v>1w</v>
      </c>
      <c r="X3382" s="200">
        <f>_xll.qlCalendarAdvance(Calendar,X3381,W3382,"f",FALSE)</f>
        <v>62555</v>
      </c>
      <c r="Y3382" s="204">
        <f>_xll.qlCalendarAdvance(Calendar,X3382,NDays&amp;"D")</f>
        <v>62557</v>
      </c>
      <c r="Z3382" s="205" t="e">
        <v>#N/A</v>
      </c>
      <c r="AA3382" s="207" t="e">
        <v>#N/A</v>
      </c>
    </row>
    <row r="3383" spans="19:27" x14ac:dyDescent="0.2">
      <c r="S3383" s="165"/>
      <c r="T3383" s="166"/>
      <c r="W3383" s="199" t="str">
        <f t="shared" si="61"/>
        <v>1w</v>
      </c>
      <c r="X3383" s="200">
        <f>_xll.qlCalendarAdvance(Calendar,X3382,W3383,"f",FALSE)</f>
        <v>62562</v>
      </c>
      <c r="Y3383" s="204">
        <f>_xll.qlCalendarAdvance(Calendar,X3383,NDays&amp;"D")</f>
        <v>62564</v>
      </c>
      <c r="Z3383" s="205" t="e">
        <v>#N/A</v>
      </c>
      <c r="AA3383" s="207" t="e">
        <v>#N/A</v>
      </c>
    </row>
    <row r="3384" spans="19:27" x14ac:dyDescent="0.2">
      <c r="S3384" s="165"/>
      <c r="T3384" s="166"/>
      <c r="W3384" s="199" t="str">
        <f t="shared" si="61"/>
        <v>1w</v>
      </c>
      <c r="X3384" s="200">
        <f>_xll.qlCalendarAdvance(Calendar,X3383,W3384,"f",FALSE)</f>
        <v>62569</v>
      </c>
      <c r="Y3384" s="204">
        <f>_xll.qlCalendarAdvance(Calendar,X3384,NDays&amp;"D")</f>
        <v>62571</v>
      </c>
      <c r="Z3384" s="205" t="e">
        <v>#N/A</v>
      </c>
      <c r="AA3384" s="207" t="e">
        <v>#N/A</v>
      </c>
    </row>
    <row r="3385" spans="19:27" x14ac:dyDescent="0.2">
      <c r="S3385" s="165"/>
      <c r="T3385" s="166"/>
      <c r="W3385" s="199" t="str">
        <f t="shared" si="61"/>
        <v>1w</v>
      </c>
      <c r="X3385" s="200">
        <f>_xll.qlCalendarAdvance(Calendar,X3384,W3385,"f",FALSE)</f>
        <v>62576</v>
      </c>
      <c r="Y3385" s="204">
        <f>_xll.qlCalendarAdvance(Calendar,X3385,NDays&amp;"D")</f>
        <v>62578</v>
      </c>
      <c r="Z3385" s="205" t="e">
        <v>#N/A</v>
      </c>
      <c r="AA3385" s="207" t="e">
        <v>#N/A</v>
      </c>
    </row>
    <row r="3386" spans="19:27" x14ac:dyDescent="0.2">
      <c r="S3386" s="165"/>
      <c r="T3386" s="166"/>
      <c r="W3386" s="199" t="str">
        <f t="shared" si="61"/>
        <v>1w</v>
      </c>
      <c r="X3386" s="200">
        <f>_xll.qlCalendarAdvance(Calendar,X3385,W3386,"f",FALSE)</f>
        <v>62583</v>
      </c>
      <c r="Y3386" s="204">
        <f>_xll.qlCalendarAdvance(Calendar,X3386,NDays&amp;"D")</f>
        <v>62585</v>
      </c>
      <c r="Z3386" s="205" t="e">
        <v>#N/A</v>
      </c>
      <c r="AA3386" s="207" t="e">
        <v>#N/A</v>
      </c>
    </row>
    <row r="3387" spans="19:27" x14ac:dyDescent="0.2">
      <c r="S3387" s="165"/>
      <c r="T3387" s="166"/>
      <c r="W3387" s="199" t="str">
        <f t="shared" si="61"/>
        <v>1w</v>
      </c>
      <c r="X3387" s="200">
        <f>_xll.qlCalendarAdvance(Calendar,X3386,W3387,"f",FALSE)</f>
        <v>62590</v>
      </c>
      <c r="Y3387" s="204">
        <f>_xll.qlCalendarAdvance(Calendar,X3387,NDays&amp;"D")</f>
        <v>62592</v>
      </c>
      <c r="Z3387" s="205" t="e">
        <v>#N/A</v>
      </c>
      <c r="AA3387" s="207" t="e">
        <v>#N/A</v>
      </c>
    </row>
    <row r="3388" spans="19:27" x14ac:dyDescent="0.2">
      <c r="S3388" s="165"/>
      <c r="T3388" s="166"/>
      <c r="W3388" s="199" t="str">
        <f t="shared" si="61"/>
        <v>1w</v>
      </c>
      <c r="X3388" s="200">
        <f>_xll.qlCalendarAdvance(Calendar,X3387,W3388,"f",FALSE)</f>
        <v>62597</v>
      </c>
      <c r="Y3388" s="204">
        <f>_xll.qlCalendarAdvance(Calendar,X3388,NDays&amp;"D")</f>
        <v>62599</v>
      </c>
      <c r="Z3388" s="205" t="e">
        <v>#N/A</v>
      </c>
      <c r="AA3388" s="207" t="e">
        <v>#N/A</v>
      </c>
    </row>
    <row r="3389" spans="19:27" x14ac:dyDescent="0.2">
      <c r="S3389" s="165"/>
      <c r="T3389" s="166"/>
      <c r="W3389" s="199" t="str">
        <f t="shared" si="61"/>
        <v>1w</v>
      </c>
      <c r="X3389" s="200">
        <f>_xll.qlCalendarAdvance(Calendar,X3388,W3389,"f",FALSE)</f>
        <v>62604</v>
      </c>
      <c r="Y3389" s="204">
        <f>_xll.qlCalendarAdvance(Calendar,X3389,NDays&amp;"D")</f>
        <v>62606</v>
      </c>
      <c r="Z3389" s="205" t="e">
        <v>#N/A</v>
      </c>
      <c r="AA3389" s="207" t="e">
        <v>#N/A</v>
      </c>
    </row>
    <row r="3390" spans="19:27" x14ac:dyDescent="0.2">
      <c r="S3390" s="165"/>
      <c r="T3390" s="166"/>
      <c r="W3390" s="199" t="str">
        <f t="shared" si="61"/>
        <v>1w</v>
      </c>
      <c r="X3390" s="200">
        <f>_xll.qlCalendarAdvance(Calendar,X3389,W3390,"f",FALSE)</f>
        <v>62611</v>
      </c>
      <c r="Y3390" s="204">
        <f>_xll.qlCalendarAdvance(Calendar,X3390,NDays&amp;"D")</f>
        <v>62613</v>
      </c>
      <c r="Z3390" s="205" t="e">
        <v>#N/A</v>
      </c>
      <c r="AA3390" s="207" t="e">
        <v>#N/A</v>
      </c>
    </row>
    <row r="3391" spans="19:27" x14ac:dyDescent="0.2">
      <c r="S3391" s="165"/>
      <c r="T3391" s="166"/>
      <c r="W3391" s="199" t="str">
        <f t="shared" si="61"/>
        <v>1w</v>
      </c>
      <c r="X3391" s="200">
        <f>_xll.qlCalendarAdvance(Calendar,X3390,W3391,"f",FALSE)</f>
        <v>62618</v>
      </c>
      <c r="Y3391" s="204">
        <f>_xll.qlCalendarAdvance(Calendar,X3391,NDays&amp;"D")</f>
        <v>62620</v>
      </c>
      <c r="Z3391" s="205" t="e">
        <v>#N/A</v>
      </c>
      <c r="AA3391" s="207" t="e">
        <v>#N/A</v>
      </c>
    </row>
    <row r="3392" spans="19:27" x14ac:dyDescent="0.2">
      <c r="S3392" s="165"/>
      <c r="T3392" s="166"/>
      <c r="W3392" s="199" t="str">
        <f t="shared" si="61"/>
        <v>1w</v>
      </c>
      <c r="X3392" s="200">
        <f>_xll.qlCalendarAdvance(Calendar,X3391,W3392,"f",FALSE)</f>
        <v>62625</v>
      </c>
      <c r="Y3392" s="204">
        <f>_xll.qlCalendarAdvance(Calendar,X3392,NDays&amp;"D")</f>
        <v>62627</v>
      </c>
      <c r="Z3392" s="205" t="e">
        <v>#N/A</v>
      </c>
      <c r="AA3392" s="207" t="e">
        <v>#N/A</v>
      </c>
    </row>
    <row r="3393" spans="19:27" x14ac:dyDescent="0.2">
      <c r="S3393" s="165"/>
      <c r="T3393" s="166"/>
      <c r="W3393" s="199" t="str">
        <f t="shared" si="61"/>
        <v>1w</v>
      </c>
      <c r="X3393" s="200">
        <f>_xll.qlCalendarAdvance(Calendar,X3392,W3393,"f",FALSE)</f>
        <v>62632</v>
      </c>
      <c r="Y3393" s="204">
        <f>_xll.qlCalendarAdvance(Calendar,X3393,NDays&amp;"D")</f>
        <v>62634</v>
      </c>
      <c r="Z3393" s="205" t="e">
        <v>#N/A</v>
      </c>
      <c r="AA3393" s="207" t="e">
        <v>#N/A</v>
      </c>
    </row>
    <row r="3394" spans="19:27" x14ac:dyDescent="0.2">
      <c r="S3394" s="165"/>
      <c r="T3394" s="166"/>
      <c r="W3394" s="199" t="str">
        <f t="shared" si="61"/>
        <v>1w</v>
      </c>
      <c r="X3394" s="200">
        <f>_xll.qlCalendarAdvance(Calendar,X3393,W3394,"f",FALSE)</f>
        <v>62639</v>
      </c>
      <c r="Y3394" s="204">
        <f>_xll.qlCalendarAdvance(Calendar,X3394,NDays&amp;"D")</f>
        <v>62641</v>
      </c>
      <c r="Z3394" s="205" t="e">
        <v>#N/A</v>
      </c>
      <c r="AA3394" s="207" t="e">
        <v>#N/A</v>
      </c>
    </row>
    <row r="3395" spans="19:27" x14ac:dyDescent="0.2">
      <c r="S3395" s="165"/>
      <c r="T3395" s="166"/>
      <c r="W3395" s="199" t="str">
        <f t="shared" si="61"/>
        <v>1w</v>
      </c>
      <c r="X3395" s="200">
        <f>_xll.qlCalendarAdvance(Calendar,X3394,W3395,"f",FALSE)</f>
        <v>62646</v>
      </c>
      <c r="Y3395" s="204">
        <f>_xll.qlCalendarAdvance(Calendar,X3395,NDays&amp;"D")</f>
        <v>62648</v>
      </c>
      <c r="Z3395" s="205" t="e">
        <v>#N/A</v>
      </c>
      <c r="AA3395" s="207" t="e">
        <v>#N/A</v>
      </c>
    </row>
    <row r="3396" spans="19:27" x14ac:dyDescent="0.2">
      <c r="S3396" s="165"/>
      <c r="T3396" s="166"/>
      <c r="W3396" s="199" t="str">
        <f t="shared" si="61"/>
        <v>1w</v>
      </c>
      <c r="X3396" s="200">
        <f>_xll.qlCalendarAdvance(Calendar,X3395,W3396,"f",FALSE)</f>
        <v>62653</v>
      </c>
      <c r="Y3396" s="204">
        <f>_xll.qlCalendarAdvance(Calendar,X3396,NDays&amp;"D")</f>
        <v>62655</v>
      </c>
      <c r="Z3396" s="205" t="e">
        <v>#N/A</v>
      </c>
      <c r="AA3396" s="207" t="e">
        <v>#N/A</v>
      </c>
    </row>
    <row r="3397" spans="19:27" x14ac:dyDescent="0.2">
      <c r="S3397" s="165"/>
      <c r="T3397" s="166"/>
      <c r="W3397" s="199" t="str">
        <f t="shared" si="61"/>
        <v>1w</v>
      </c>
      <c r="X3397" s="200">
        <f>_xll.qlCalendarAdvance(Calendar,X3396,W3397,"f",FALSE)</f>
        <v>62660</v>
      </c>
      <c r="Y3397" s="204">
        <f>_xll.qlCalendarAdvance(Calendar,X3397,NDays&amp;"D")</f>
        <v>62662</v>
      </c>
      <c r="Z3397" s="205" t="e">
        <v>#N/A</v>
      </c>
      <c r="AA3397" s="207" t="e">
        <v>#N/A</v>
      </c>
    </row>
    <row r="3398" spans="19:27" x14ac:dyDescent="0.2">
      <c r="S3398" s="165"/>
      <c r="T3398" s="166"/>
      <c r="W3398" s="199" t="str">
        <f t="shared" si="61"/>
        <v>1w</v>
      </c>
      <c r="X3398" s="200">
        <f>_xll.qlCalendarAdvance(Calendar,X3397,W3398,"f",FALSE)</f>
        <v>62667</v>
      </c>
      <c r="Y3398" s="204">
        <f>_xll.qlCalendarAdvance(Calendar,X3398,NDays&amp;"D")</f>
        <v>62669</v>
      </c>
      <c r="Z3398" s="205" t="e">
        <v>#N/A</v>
      </c>
      <c r="AA3398" s="207" t="e">
        <v>#N/A</v>
      </c>
    </row>
    <row r="3399" spans="19:27" x14ac:dyDescent="0.2">
      <c r="S3399" s="165"/>
      <c r="T3399" s="166"/>
      <c r="W3399" s="199" t="str">
        <f t="shared" si="61"/>
        <v>1w</v>
      </c>
      <c r="X3399" s="200">
        <f>_xll.qlCalendarAdvance(Calendar,X3398,W3399,"f",FALSE)</f>
        <v>62674</v>
      </c>
      <c r="Y3399" s="204">
        <f>_xll.qlCalendarAdvance(Calendar,X3399,NDays&amp;"D")</f>
        <v>62676</v>
      </c>
      <c r="Z3399" s="205" t="e">
        <v>#N/A</v>
      </c>
      <c r="AA3399" s="207" t="e">
        <v>#N/A</v>
      </c>
    </row>
    <row r="3400" spans="19:27" x14ac:dyDescent="0.2">
      <c r="S3400" s="165"/>
      <c r="T3400" s="166"/>
      <c r="W3400" s="199" t="str">
        <f t="shared" si="61"/>
        <v>1w</v>
      </c>
      <c r="X3400" s="200">
        <f>_xll.qlCalendarAdvance(Calendar,X3399,W3400,"f",FALSE)</f>
        <v>62681</v>
      </c>
      <c r="Y3400" s="204">
        <f>_xll.qlCalendarAdvance(Calendar,X3400,NDays&amp;"D")</f>
        <v>62683</v>
      </c>
      <c r="Z3400" s="205" t="e">
        <v>#N/A</v>
      </c>
      <c r="AA3400" s="207" t="e">
        <v>#N/A</v>
      </c>
    </row>
    <row r="3401" spans="19:27" x14ac:dyDescent="0.2">
      <c r="S3401" s="165"/>
      <c r="T3401" s="166"/>
      <c r="W3401" s="199" t="str">
        <f t="shared" si="61"/>
        <v>1w</v>
      </c>
      <c r="X3401" s="200">
        <f>_xll.qlCalendarAdvance(Calendar,X3400,W3401,"f",FALSE)</f>
        <v>62688</v>
      </c>
      <c r="Y3401" s="204">
        <f>_xll.qlCalendarAdvance(Calendar,X3401,NDays&amp;"D")</f>
        <v>62690</v>
      </c>
      <c r="Z3401" s="205" t="e">
        <v>#N/A</v>
      </c>
      <c r="AA3401" s="207" t="e">
        <v>#N/A</v>
      </c>
    </row>
    <row r="3402" spans="19:27" x14ac:dyDescent="0.2">
      <c r="S3402" s="165"/>
      <c r="T3402" s="166"/>
      <c r="W3402" s="199" t="str">
        <f t="shared" si="61"/>
        <v>1w</v>
      </c>
      <c r="X3402" s="200">
        <f>_xll.qlCalendarAdvance(Calendar,X3401,W3402,"f",FALSE)</f>
        <v>62695</v>
      </c>
      <c r="Y3402" s="204">
        <f>_xll.qlCalendarAdvance(Calendar,X3402,NDays&amp;"D")</f>
        <v>62697</v>
      </c>
      <c r="Z3402" s="205" t="e">
        <v>#N/A</v>
      </c>
      <c r="AA3402" s="207" t="e">
        <v>#N/A</v>
      </c>
    </row>
    <row r="3403" spans="19:27" x14ac:dyDescent="0.2">
      <c r="S3403" s="165"/>
      <c r="T3403" s="166"/>
      <c r="W3403" s="199" t="str">
        <f t="shared" si="61"/>
        <v>1w</v>
      </c>
      <c r="X3403" s="200">
        <f>_xll.qlCalendarAdvance(Calendar,X3402,W3403,"f",FALSE)</f>
        <v>62702</v>
      </c>
      <c r="Y3403" s="204">
        <f>_xll.qlCalendarAdvance(Calendar,X3403,NDays&amp;"D")</f>
        <v>62704</v>
      </c>
      <c r="Z3403" s="205" t="e">
        <v>#N/A</v>
      </c>
      <c r="AA3403" s="207" t="e">
        <v>#N/A</v>
      </c>
    </row>
    <row r="3404" spans="19:27" x14ac:dyDescent="0.2">
      <c r="S3404" s="165"/>
      <c r="T3404" s="166"/>
      <c r="W3404" s="199" t="str">
        <f t="shared" si="61"/>
        <v>1w</v>
      </c>
      <c r="X3404" s="200">
        <f>_xll.qlCalendarAdvance(Calendar,X3403,W3404,"f",FALSE)</f>
        <v>62709</v>
      </c>
      <c r="Y3404" s="204">
        <f>_xll.qlCalendarAdvance(Calendar,X3404,NDays&amp;"D")</f>
        <v>62711</v>
      </c>
      <c r="Z3404" s="205" t="e">
        <v>#N/A</v>
      </c>
      <c r="AA3404" s="207" t="e">
        <v>#N/A</v>
      </c>
    </row>
    <row r="3405" spans="19:27" x14ac:dyDescent="0.2">
      <c r="S3405" s="165"/>
      <c r="T3405" s="166"/>
      <c r="W3405" s="199" t="str">
        <f t="shared" si="61"/>
        <v>1w</v>
      </c>
      <c r="X3405" s="200">
        <f>_xll.qlCalendarAdvance(Calendar,X3404,W3405,"f",FALSE)</f>
        <v>62716</v>
      </c>
      <c r="Y3405" s="204">
        <f>_xll.qlCalendarAdvance(Calendar,X3405,NDays&amp;"D")</f>
        <v>62718</v>
      </c>
      <c r="Z3405" s="205" t="e">
        <v>#N/A</v>
      </c>
      <c r="AA3405" s="207" t="e">
        <v>#N/A</v>
      </c>
    </row>
    <row r="3406" spans="19:27" x14ac:dyDescent="0.2">
      <c r="S3406" s="165"/>
      <c r="T3406" s="166"/>
      <c r="W3406" s="199" t="str">
        <f t="shared" si="61"/>
        <v>1w</v>
      </c>
      <c r="X3406" s="200">
        <f>_xll.qlCalendarAdvance(Calendar,X3405,W3406,"f",FALSE)</f>
        <v>62723</v>
      </c>
      <c r="Y3406" s="204">
        <f>_xll.qlCalendarAdvance(Calendar,X3406,NDays&amp;"D")</f>
        <v>62725</v>
      </c>
      <c r="Z3406" s="205" t="e">
        <v>#N/A</v>
      </c>
      <c r="AA3406" s="207" t="e">
        <v>#N/A</v>
      </c>
    </row>
    <row r="3407" spans="19:27" x14ac:dyDescent="0.2">
      <c r="S3407" s="165"/>
      <c r="T3407" s="166"/>
      <c r="W3407" s="199" t="str">
        <f t="shared" si="61"/>
        <v>1w</v>
      </c>
      <c r="X3407" s="200">
        <f>_xll.qlCalendarAdvance(Calendar,X3406,W3407,"f",FALSE)</f>
        <v>62730</v>
      </c>
      <c r="Y3407" s="204">
        <f>_xll.qlCalendarAdvance(Calendar,X3407,NDays&amp;"D")</f>
        <v>62732</v>
      </c>
      <c r="Z3407" s="205" t="e">
        <v>#N/A</v>
      </c>
      <c r="AA3407" s="207" t="e">
        <v>#N/A</v>
      </c>
    </row>
    <row r="3408" spans="19:27" x14ac:dyDescent="0.2">
      <c r="S3408" s="165"/>
      <c r="T3408" s="166"/>
      <c r="W3408" s="199" t="str">
        <f t="shared" si="61"/>
        <v>1w</v>
      </c>
      <c r="X3408" s="200">
        <f>_xll.qlCalendarAdvance(Calendar,X3407,W3408,"f",FALSE)</f>
        <v>62737</v>
      </c>
      <c r="Y3408" s="204">
        <f>_xll.qlCalendarAdvance(Calendar,X3408,NDays&amp;"D")</f>
        <v>62739</v>
      </c>
      <c r="Z3408" s="205" t="e">
        <v>#N/A</v>
      </c>
      <c r="AA3408" s="207" t="e">
        <v>#N/A</v>
      </c>
    </row>
    <row r="3409" spans="19:27" x14ac:dyDescent="0.2">
      <c r="S3409" s="165"/>
      <c r="T3409" s="166"/>
      <c r="W3409" s="199" t="str">
        <f t="shared" si="61"/>
        <v>1w</v>
      </c>
      <c r="X3409" s="200">
        <f>_xll.qlCalendarAdvance(Calendar,X3408,W3409,"f",FALSE)</f>
        <v>62744</v>
      </c>
      <c r="Y3409" s="204">
        <f>_xll.qlCalendarAdvance(Calendar,X3409,NDays&amp;"D")</f>
        <v>62746</v>
      </c>
      <c r="Z3409" s="205" t="e">
        <v>#N/A</v>
      </c>
      <c r="AA3409" s="207" t="e">
        <v>#N/A</v>
      </c>
    </row>
    <row r="3410" spans="19:27" x14ac:dyDescent="0.2">
      <c r="S3410" s="165"/>
      <c r="T3410" s="166"/>
      <c r="W3410" s="199" t="str">
        <f t="shared" si="61"/>
        <v>1w</v>
      </c>
      <c r="X3410" s="200">
        <f>_xll.qlCalendarAdvance(Calendar,X3409,W3410,"f",FALSE)</f>
        <v>62751</v>
      </c>
      <c r="Y3410" s="204">
        <f>_xll.qlCalendarAdvance(Calendar,X3410,NDays&amp;"D")</f>
        <v>62753</v>
      </c>
      <c r="Z3410" s="205" t="e">
        <v>#N/A</v>
      </c>
      <c r="AA3410" s="207" t="e">
        <v>#N/A</v>
      </c>
    </row>
    <row r="3411" spans="19:27" x14ac:dyDescent="0.2">
      <c r="S3411" s="165"/>
      <c r="T3411" s="166"/>
      <c r="W3411" s="199" t="str">
        <f t="shared" si="61"/>
        <v>1w</v>
      </c>
      <c r="X3411" s="200">
        <f>_xll.qlCalendarAdvance(Calendar,X3410,W3411,"f",FALSE)</f>
        <v>62758</v>
      </c>
      <c r="Y3411" s="204">
        <f>_xll.qlCalendarAdvance(Calendar,X3411,NDays&amp;"D")</f>
        <v>62760</v>
      </c>
      <c r="Z3411" s="205" t="e">
        <v>#N/A</v>
      </c>
      <c r="AA3411" s="207" t="e">
        <v>#N/A</v>
      </c>
    </row>
    <row r="3412" spans="19:27" x14ac:dyDescent="0.2">
      <c r="S3412" s="165"/>
      <c r="T3412" s="166"/>
      <c r="W3412" s="199" t="str">
        <f t="shared" si="61"/>
        <v>1w</v>
      </c>
      <c r="X3412" s="200">
        <f>_xll.qlCalendarAdvance(Calendar,X3411,W3412,"f",FALSE)</f>
        <v>62765</v>
      </c>
      <c r="Y3412" s="204">
        <f>_xll.qlCalendarAdvance(Calendar,X3412,NDays&amp;"D")</f>
        <v>62767</v>
      </c>
      <c r="Z3412" s="205" t="e">
        <v>#N/A</v>
      </c>
      <c r="AA3412" s="207" t="e">
        <v>#N/A</v>
      </c>
    </row>
    <row r="3413" spans="19:27" x14ac:dyDescent="0.2">
      <c r="S3413" s="165"/>
      <c r="T3413" s="166"/>
      <c r="W3413" s="199" t="str">
        <f t="shared" ref="W3413:W3476" si="62">W3412</f>
        <v>1w</v>
      </c>
      <c r="X3413" s="200">
        <f>_xll.qlCalendarAdvance(Calendar,X3412,W3413,"f",FALSE)</f>
        <v>62772</v>
      </c>
      <c r="Y3413" s="204">
        <f>_xll.qlCalendarAdvance(Calendar,X3413,NDays&amp;"D")</f>
        <v>62774</v>
      </c>
      <c r="Z3413" s="205" t="e">
        <v>#N/A</v>
      </c>
      <c r="AA3413" s="207" t="e">
        <v>#N/A</v>
      </c>
    </row>
    <row r="3414" spans="19:27" x14ac:dyDescent="0.2">
      <c r="S3414" s="165"/>
      <c r="T3414" s="166"/>
      <c r="W3414" s="199" t="str">
        <f t="shared" si="62"/>
        <v>1w</v>
      </c>
      <c r="X3414" s="200">
        <f>_xll.qlCalendarAdvance(Calendar,X3413,W3414,"f",FALSE)</f>
        <v>62779</v>
      </c>
      <c r="Y3414" s="204">
        <f>_xll.qlCalendarAdvance(Calendar,X3414,NDays&amp;"D")</f>
        <v>62781</v>
      </c>
      <c r="Z3414" s="205" t="e">
        <v>#N/A</v>
      </c>
      <c r="AA3414" s="207" t="e">
        <v>#N/A</v>
      </c>
    </row>
    <row r="3415" spans="19:27" x14ac:dyDescent="0.2">
      <c r="S3415" s="165"/>
      <c r="T3415" s="166"/>
      <c r="W3415" s="199" t="str">
        <f t="shared" si="62"/>
        <v>1w</v>
      </c>
      <c r="X3415" s="200">
        <f>_xll.qlCalendarAdvance(Calendar,X3414,W3415,"f",FALSE)</f>
        <v>62786</v>
      </c>
      <c r="Y3415" s="204">
        <f>_xll.qlCalendarAdvance(Calendar,X3415,NDays&amp;"D")</f>
        <v>62788</v>
      </c>
      <c r="Z3415" s="205" t="e">
        <v>#N/A</v>
      </c>
      <c r="AA3415" s="207" t="e">
        <v>#N/A</v>
      </c>
    </row>
    <row r="3416" spans="19:27" x14ac:dyDescent="0.2">
      <c r="S3416" s="165"/>
      <c r="T3416" s="166"/>
      <c r="W3416" s="199" t="str">
        <f t="shared" si="62"/>
        <v>1w</v>
      </c>
      <c r="X3416" s="200">
        <f>_xll.qlCalendarAdvance(Calendar,X3415,W3416,"f",FALSE)</f>
        <v>62793</v>
      </c>
      <c r="Y3416" s="204">
        <f>_xll.qlCalendarAdvance(Calendar,X3416,NDays&amp;"D")</f>
        <v>62795</v>
      </c>
      <c r="Z3416" s="205" t="e">
        <v>#N/A</v>
      </c>
      <c r="AA3416" s="207" t="e">
        <v>#N/A</v>
      </c>
    </row>
    <row r="3417" spans="19:27" x14ac:dyDescent="0.2">
      <c r="S3417" s="165"/>
      <c r="T3417" s="166"/>
      <c r="W3417" s="199" t="str">
        <f t="shared" si="62"/>
        <v>1w</v>
      </c>
      <c r="X3417" s="200">
        <f>_xll.qlCalendarAdvance(Calendar,X3416,W3417,"f",FALSE)</f>
        <v>62800</v>
      </c>
      <c r="Y3417" s="204">
        <f>_xll.qlCalendarAdvance(Calendar,X3417,NDays&amp;"D")</f>
        <v>62802</v>
      </c>
      <c r="Z3417" s="205" t="e">
        <v>#N/A</v>
      </c>
      <c r="AA3417" s="207" t="e">
        <v>#N/A</v>
      </c>
    </row>
    <row r="3418" spans="19:27" x14ac:dyDescent="0.2">
      <c r="S3418" s="165"/>
      <c r="T3418" s="166"/>
      <c r="W3418" s="199" t="str">
        <f t="shared" si="62"/>
        <v>1w</v>
      </c>
      <c r="X3418" s="200">
        <f>_xll.qlCalendarAdvance(Calendar,X3417,W3418,"f",FALSE)</f>
        <v>62807</v>
      </c>
      <c r="Y3418" s="204">
        <f>_xll.qlCalendarAdvance(Calendar,X3418,NDays&amp;"D")</f>
        <v>62809</v>
      </c>
      <c r="Z3418" s="205" t="e">
        <v>#N/A</v>
      </c>
      <c r="AA3418" s="207" t="e">
        <v>#N/A</v>
      </c>
    </row>
    <row r="3419" spans="19:27" x14ac:dyDescent="0.2">
      <c r="S3419" s="165"/>
      <c r="T3419" s="166"/>
      <c r="W3419" s="199" t="str">
        <f t="shared" si="62"/>
        <v>1w</v>
      </c>
      <c r="X3419" s="200">
        <f>_xll.qlCalendarAdvance(Calendar,X3418,W3419,"f",FALSE)</f>
        <v>62814</v>
      </c>
      <c r="Y3419" s="204">
        <f>_xll.qlCalendarAdvance(Calendar,X3419,NDays&amp;"D")</f>
        <v>62816</v>
      </c>
      <c r="Z3419" s="205" t="e">
        <v>#N/A</v>
      </c>
      <c r="AA3419" s="207" t="e">
        <v>#N/A</v>
      </c>
    </row>
    <row r="3420" spans="19:27" x14ac:dyDescent="0.2">
      <c r="S3420" s="165"/>
      <c r="T3420" s="166"/>
      <c r="W3420" s="199" t="str">
        <f t="shared" si="62"/>
        <v>1w</v>
      </c>
      <c r="X3420" s="200">
        <f>_xll.qlCalendarAdvance(Calendar,X3419,W3420,"f",FALSE)</f>
        <v>62821</v>
      </c>
      <c r="Y3420" s="204">
        <f>_xll.qlCalendarAdvance(Calendar,X3420,NDays&amp;"D")</f>
        <v>62823</v>
      </c>
      <c r="Z3420" s="205" t="e">
        <v>#N/A</v>
      </c>
      <c r="AA3420" s="207" t="e">
        <v>#N/A</v>
      </c>
    </row>
    <row r="3421" spans="19:27" x14ac:dyDescent="0.2">
      <c r="S3421" s="165"/>
      <c r="T3421" s="166"/>
      <c r="W3421" s="199" t="str">
        <f t="shared" si="62"/>
        <v>1w</v>
      </c>
      <c r="X3421" s="200">
        <f>_xll.qlCalendarAdvance(Calendar,X3420,W3421,"f",FALSE)</f>
        <v>62828</v>
      </c>
      <c r="Y3421" s="204">
        <f>_xll.qlCalendarAdvance(Calendar,X3421,NDays&amp;"D")</f>
        <v>62830</v>
      </c>
      <c r="Z3421" s="205" t="e">
        <v>#N/A</v>
      </c>
      <c r="AA3421" s="207" t="e">
        <v>#N/A</v>
      </c>
    </row>
    <row r="3422" spans="19:27" x14ac:dyDescent="0.2">
      <c r="S3422" s="165"/>
      <c r="T3422" s="166"/>
      <c r="W3422" s="199" t="str">
        <f t="shared" si="62"/>
        <v>1w</v>
      </c>
      <c r="X3422" s="200">
        <f>_xll.qlCalendarAdvance(Calendar,X3421,W3422,"f",FALSE)</f>
        <v>62835</v>
      </c>
      <c r="Y3422" s="204">
        <f>_xll.qlCalendarAdvance(Calendar,X3422,NDays&amp;"D")</f>
        <v>62837</v>
      </c>
      <c r="Z3422" s="205" t="e">
        <v>#N/A</v>
      </c>
      <c r="AA3422" s="207" t="e">
        <v>#N/A</v>
      </c>
    </row>
    <row r="3423" spans="19:27" x14ac:dyDescent="0.2">
      <c r="S3423" s="165"/>
      <c r="T3423" s="166"/>
      <c r="W3423" s="199" t="str">
        <f t="shared" si="62"/>
        <v>1w</v>
      </c>
      <c r="X3423" s="200">
        <f>_xll.qlCalendarAdvance(Calendar,X3422,W3423,"f",FALSE)</f>
        <v>62842</v>
      </c>
      <c r="Y3423" s="204">
        <f>_xll.qlCalendarAdvance(Calendar,X3423,NDays&amp;"D")</f>
        <v>62844</v>
      </c>
      <c r="Z3423" s="205" t="e">
        <v>#N/A</v>
      </c>
      <c r="AA3423" s="207" t="e">
        <v>#N/A</v>
      </c>
    </row>
    <row r="3424" spans="19:27" x14ac:dyDescent="0.2">
      <c r="S3424" s="165"/>
      <c r="T3424" s="166"/>
      <c r="W3424" s="199" t="str">
        <f t="shared" si="62"/>
        <v>1w</v>
      </c>
      <c r="X3424" s="200">
        <f>_xll.qlCalendarAdvance(Calendar,X3423,W3424,"f",FALSE)</f>
        <v>62849</v>
      </c>
      <c r="Y3424" s="204">
        <f>_xll.qlCalendarAdvance(Calendar,X3424,NDays&amp;"D")</f>
        <v>62851</v>
      </c>
      <c r="Z3424" s="205" t="e">
        <v>#N/A</v>
      </c>
      <c r="AA3424" s="207" t="e">
        <v>#N/A</v>
      </c>
    </row>
    <row r="3425" spans="19:27" x14ac:dyDescent="0.2">
      <c r="S3425" s="165"/>
      <c r="T3425" s="166"/>
      <c r="W3425" s="199" t="str">
        <f t="shared" si="62"/>
        <v>1w</v>
      </c>
      <c r="X3425" s="200">
        <f>_xll.qlCalendarAdvance(Calendar,X3424,W3425,"f",FALSE)</f>
        <v>62856</v>
      </c>
      <c r="Y3425" s="204">
        <f>_xll.qlCalendarAdvance(Calendar,X3425,NDays&amp;"D")</f>
        <v>62858</v>
      </c>
      <c r="Z3425" s="205" t="e">
        <v>#N/A</v>
      </c>
      <c r="AA3425" s="207" t="e">
        <v>#N/A</v>
      </c>
    </row>
    <row r="3426" spans="19:27" x14ac:dyDescent="0.2">
      <c r="S3426" s="165"/>
      <c r="T3426" s="166"/>
      <c r="W3426" s="199" t="str">
        <f t="shared" si="62"/>
        <v>1w</v>
      </c>
      <c r="X3426" s="200">
        <f>_xll.qlCalendarAdvance(Calendar,X3425,W3426,"f",FALSE)</f>
        <v>62863</v>
      </c>
      <c r="Y3426" s="204">
        <f>_xll.qlCalendarAdvance(Calendar,X3426,NDays&amp;"D")</f>
        <v>62865</v>
      </c>
      <c r="Z3426" s="205" t="e">
        <v>#N/A</v>
      </c>
      <c r="AA3426" s="207" t="e">
        <v>#N/A</v>
      </c>
    </row>
    <row r="3427" spans="19:27" x14ac:dyDescent="0.2">
      <c r="S3427" s="165"/>
      <c r="T3427" s="166"/>
      <c r="W3427" s="199" t="str">
        <f t="shared" si="62"/>
        <v>1w</v>
      </c>
      <c r="X3427" s="200">
        <f>_xll.qlCalendarAdvance(Calendar,X3426,W3427,"f",FALSE)</f>
        <v>62870</v>
      </c>
      <c r="Y3427" s="204">
        <f>_xll.qlCalendarAdvance(Calendar,X3427,NDays&amp;"D")</f>
        <v>62872</v>
      </c>
      <c r="Z3427" s="205" t="e">
        <v>#N/A</v>
      </c>
      <c r="AA3427" s="207" t="e">
        <v>#N/A</v>
      </c>
    </row>
    <row r="3428" spans="19:27" x14ac:dyDescent="0.2">
      <c r="S3428" s="165"/>
      <c r="T3428" s="166"/>
      <c r="W3428" s="199" t="str">
        <f t="shared" si="62"/>
        <v>1w</v>
      </c>
      <c r="X3428" s="200">
        <f>_xll.qlCalendarAdvance(Calendar,X3427,W3428,"f",FALSE)</f>
        <v>62877</v>
      </c>
      <c r="Y3428" s="204">
        <f>_xll.qlCalendarAdvance(Calendar,X3428,NDays&amp;"D")</f>
        <v>62879</v>
      </c>
      <c r="Z3428" s="205" t="e">
        <v>#N/A</v>
      </c>
      <c r="AA3428" s="207" t="e">
        <v>#N/A</v>
      </c>
    </row>
    <row r="3429" spans="19:27" x14ac:dyDescent="0.2">
      <c r="S3429" s="165"/>
      <c r="T3429" s="166"/>
      <c r="W3429" s="199" t="str">
        <f t="shared" si="62"/>
        <v>1w</v>
      </c>
      <c r="X3429" s="200">
        <f>_xll.qlCalendarAdvance(Calendar,X3428,W3429,"f",FALSE)</f>
        <v>62884</v>
      </c>
      <c r="Y3429" s="204">
        <f>_xll.qlCalendarAdvance(Calendar,X3429,NDays&amp;"D")</f>
        <v>62886</v>
      </c>
      <c r="Z3429" s="205" t="e">
        <v>#N/A</v>
      </c>
      <c r="AA3429" s="207" t="e">
        <v>#N/A</v>
      </c>
    </row>
    <row r="3430" spans="19:27" x14ac:dyDescent="0.2">
      <c r="S3430" s="165"/>
      <c r="T3430" s="166"/>
      <c r="W3430" s="199" t="str">
        <f t="shared" si="62"/>
        <v>1w</v>
      </c>
      <c r="X3430" s="200">
        <f>_xll.qlCalendarAdvance(Calendar,X3429,W3430,"f",FALSE)</f>
        <v>62891</v>
      </c>
      <c r="Y3430" s="204">
        <f>_xll.qlCalendarAdvance(Calendar,X3430,NDays&amp;"D")</f>
        <v>62893</v>
      </c>
      <c r="Z3430" s="205" t="e">
        <v>#N/A</v>
      </c>
      <c r="AA3430" s="207" t="e">
        <v>#N/A</v>
      </c>
    </row>
    <row r="3431" spans="19:27" x14ac:dyDescent="0.2">
      <c r="S3431" s="165"/>
      <c r="T3431" s="166"/>
      <c r="W3431" s="199" t="str">
        <f t="shared" si="62"/>
        <v>1w</v>
      </c>
      <c r="X3431" s="200">
        <f>_xll.qlCalendarAdvance(Calendar,X3430,W3431,"f",FALSE)</f>
        <v>62898</v>
      </c>
      <c r="Y3431" s="204">
        <f>_xll.qlCalendarAdvance(Calendar,X3431,NDays&amp;"D")</f>
        <v>62900</v>
      </c>
      <c r="Z3431" s="205" t="e">
        <v>#N/A</v>
      </c>
      <c r="AA3431" s="207" t="e">
        <v>#N/A</v>
      </c>
    </row>
    <row r="3432" spans="19:27" x14ac:dyDescent="0.2">
      <c r="S3432" s="165"/>
      <c r="T3432" s="166"/>
      <c r="W3432" s="199" t="str">
        <f t="shared" si="62"/>
        <v>1w</v>
      </c>
      <c r="X3432" s="200">
        <f>_xll.qlCalendarAdvance(Calendar,X3431,W3432,"f",FALSE)</f>
        <v>62905</v>
      </c>
      <c r="Y3432" s="204">
        <f>_xll.qlCalendarAdvance(Calendar,X3432,NDays&amp;"D")</f>
        <v>62907</v>
      </c>
      <c r="Z3432" s="205" t="e">
        <v>#N/A</v>
      </c>
      <c r="AA3432" s="207" t="e">
        <v>#N/A</v>
      </c>
    </row>
    <row r="3433" spans="19:27" x14ac:dyDescent="0.2">
      <c r="S3433" s="165"/>
      <c r="T3433" s="166"/>
      <c r="W3433" s="199" t="str">
        <f t="shared" si="62"/>
        <v>1w</v>
      </c>
      <c r="X3433" s="200">
        <f>_xll.qlCalendarAdvance(Calendar,X3432,W3433,"f",FALSE)</f>
        <v>62912</v>
      </c>
      <c r="Y3433" s="204">
        <f>_xll.qlCalendarAdvance(Calendar,X3433,NDays&amp;"D")</f>
        <v>62914</v>
      </c>
      <c r="Z3433" s="205" t="e">
        <v>#N/A</v>
      </c>
      <c r="AA3433" s="207" t="e">
        <v>#N/A</v>
      </c>
    </row>
    <row r="3434" spans="19:27" x14ac:dyDescent="0.2">
      <c r="S3434" s="165"/>
      <c r="T3434" s="166"/>
      <c r="W3434" s="199" t="str">
        <f t="shared" si="62"/>
        <v>1w</v>
      </c>
      <c r="X3434" s="200">
        <f>_xll.qlCalendarAdvance(Calendar,X3433,W3434,"f",FALSE)</f>
        <v>62919</v>
      </c>
      <c r="Y3434" s="204">
        <f>_xll.qlCalendarAdvance(Calendar,X3434,NDays&amp;"D")</f>
        <v>62921</v>
      </c>
      <c r="Z3434" s="205" t="e">
        <v>#N/A</v>
      </c>
      <c r="AA3434" s="207" t="e">
        <v>#N/A</v>
      </c>
    </row>
    <row r="3435" spans="19:27" x14ac:dyDescent="0.2">
      <c r="S3435" s="165"/>
      <c r="T3435" s="166"/>
      <c r="W3435" s="199" t="str">
        <f t="shared" si="62"/>
        <v>1w</v>
      </c>
      <c r="X3435" s="200">
        <f>_xll.qlCalendarAdvance(Calendar,X3434,W3435,"f",FALSE)</f>
        <v>62926</v>
      </c>
      <c r="Y3435" s="204">
        <f>_xll.qlCalendarAdvance(Calendar,X3435,NDays&amp;"D")</f>
        <v>62928</v>
      </c>
      <c r="Z3435" s="205" t="e">
        <v>#N/A</v>
      </c>
      <c r="AA3435" s="207" t="e">
        <v>#N/A</v>
      </c>
    </row>
    <row r="3436" spans="19:27" x14ac:dyDescent="0.2">
      <c r="S3436" s="165"/>
      <c r="T3436" s="166"/>
      <c r="W3436" s="199" t="str">
        <f t="shared" si="62"/>
        <v>1w</v>
      </c>
      <c r="X3436" s="200">
        <f>_xll.qlCalendarAdvance(Calendar,X3435,W3436,"f",FALSE)</f>
        <v>62933</v>
      </c>
      <c r="Y3436" s="204">
        <f>_xll.qlCalendarAdvance(Calendar,X3436,NDays&amp;"D")</f>
        <v>62935</v>
      </c>
      <c r="Z3436" s="205" t="e">
        <v>#N/A</v>
      </c>
      <c r="AA3436" s="207" t="e">
        <v>#N/A</v>
      </c>
    </row>
    <row r="3437" spans="19:27" x14ac:dyDescent="0.2">
      <c r="S3437" s="165"/>
      <c r="T3437" s="166"/>
      <c r="W3437" s="199" t="str">
        <f t="shared" si="62"/>
        <v>1w</v>
      </c>
      <c r="X3437" s="200">
        <f>_xll.qlCalendarAdvance(Calendar,X3436,W3437,"f",FALSE)</f>
        <v>62940</v>
      </c>
      <c r="Y3437" s="204">
        <f>_xll.qlCalendarAdvance(Calendar,X3437,NDays&amp;"D")</f>
        <v>62942</v>
      </c>
      <c r="Z3437" s="205" t="e">
        <v>#N/A</v>
      </c>
      <c r="AA3437" s="207" t="e">
        <v>#N/A</v>
      </c>
    </row>
    <row r="3438" spans="19:27" x14ac:dyDescent="0.2">
      <c r="S3438" s="165"/>
      <c r="T3438" s="166"/>
      <c r="W3438" s="199" t="str">
        <f t="shared" si="62"/>
        <v>1w</v>
      </c>
      <c r="X3438" s="200">
        <f>_xll.qlCalendarAdvance(Calendar,X3437,W3438,"f",FALSE)</f>
        <v>62947</v>
      </c>
      <c r="Y3438" s="204">
        <f>_xll.qlCalendarAdvance(Calendar,X3438,NDays&amp;"D")</f>
        <v>62949</v>
      </c>
      <c r="Z3438" s="205" t="e">
        <v>#N/A</v>
      </c>
      <c r="AA3438" s="207" t="e">
        <v>#N/A</v>
      </c>
    </row>
    <row r="3439" spans="19:27" x14ac:dyDescent="0.2">
      <c r="S3439" s="165"/>
      <c r="T3439" s="166"/>
      <c r="W3439" s="199" t="str">
        <f t="shared" si="62"/>
        <v>1w</v>
      </c>
      <c r="X3439" s="200">
        <f>_xll.qlCalendarAdvance(Calendar,X3438,W3439,"f",FALSE)</f>
        <v>62954</v>
      </c>
      <c r="Y3439" s="204">
        <f>_xll.qlCalendarAdvance(Calendar,X3439,NDays&amp;"D")</f>
        <v>62956</v>
      </c>
      <c r="Z3439" s="205" t="e">
        <v>#N/A</v>
      </c>
      <c r="AA3439" s="207" t="e">
        <v>#N/A</v>
      </c>
    </row>
    <row r="3440" spans="19:27" x14ac:dyDescent="0.2">
      <c r="S3440" s="165"/>
      <c r="T3440" s="166"/>
      <c r="W3440" s="199" t="str">
        <f t="shared" si="62"/>
        <v>1w</v>
      </c>
      <c r="X3440" s="200">
        <f>_xll.qlCalendarAdvance(Calendar,X3439,W3440,"f",FALSE)</f>
        <v>62961</v>
      </c>
      <c r="Y3440" s="204">
        <f>_xll.qlCalendarAdvance(Calendar,X3440,NDays&amp;"D")</f>
        <v>62963</v>
      </c>
      <c r="Z3440" s="205" t="e">
        <v>#N/A</v>
      </c>
      <c r="AA3440" s="207" t="e">
        <v>#N/A</v>
      </c>
    </row>
    <row r="3441" spans="19:27" x14ac:dyDescent="0.2">
      <c r="S3441" s="165"/>
      <c r="T3441" s="166"/>
      <c r="W3441" s="199" t="str">
        <f t="shared" si="62"/>
        <v>1w</v>
      </c>
      <c r="X3441" s="200">
        <f>_xll.qlCalendarAdvance(Calendar,X3440,W3441,"f",FALSE)</f>
        <v>62968</v>
      </c>
      <c r="Y3441" s="204">
        <f>_xll.qlCalendarAdvance(Calendar,X3441,NDays&amp;"D")</f>
        <v>62970</v>
      </c>
      <c r="Z3441" s="205" t="e">
        <v>#N/A</v>
      </c>
      <c r="AA3441" s="207" t="e">
        <v>#N/A</v>
      </c>
    </row>
    <row r="3442" spans="19:27" x14ac:dyDescent="0.2">
      <c r="S3442" s="165"/>
      <c r="T3442" s="166"/>
      <c r="W3442" s="199" t="str">
        <f t="shared" si="62"/>
        <v>1w</v>
      </c>
      <c r="X3442" s="200">
        <f>_xll.qlCalendarAdvance(Calendar,X3441,W3442,"f",FALSE)</f>
        <v>62975</v>
      </c>
      <c r="Y3442" s="204">
        <f>_xll.qlCalendarAdvance(Calendar,X3442,NDays&amp;"D")</f>
        <v>62977</v>
      </c>
      <c r="Z3442" s="205" t="e">
        <v>#N/A</v>
      </c>
      <c r="AA3442" s="207" t="e">
        <v>#N/A</v>
      </c>
    </row>
    <row r="3443" spans="19:27" x14ac:dyDescent="0.2">
      <c r="S3443" s="165"/>
      <c r="T3443" s="166"/>
      <c r="W3443" s="199" t="str">
        <f t="shared" si="62"/>
        <v>1w</v>
      </c>
      <c r="X3443" s="200">
        <f>_xll.qlCalendarAdvance(Calendar,X3442,W3443,"f",FALSE)</f>
        <v>62982</v>
      </c>
      <c r="Y3443" s="204">
        <f>_xll.qlCalendarAdvance(Calendar,X3443,NDays&amp;"D")</f>
        <v>62984</v>
      </c>
      <c r="Z3443" s="205" t="e">
        <v>#N/A</v>
      </c>
      <c r="AA3443" s="207" t="e">
        <v>#N/A</v>
      </c>
    </row>
    <row r="3444" spans="19:27" x14ac:dyDescent="0.2">
      <c r="S3444" s="165"/>
      <c r="T3444" s="166"/>
      <c r="W3444" s="199" t="str">
        <f t="shared" si="62"/>
        <v>1w</v>
      </c>
      <c r="X3444" s="200">
        <f>_xll.qlCalendarAdvance(Calendar,X3443,W3444,"f",FALSE)</f>
        <v>62989</v>
      </c>
      <c r="Y3444" s="204">
        <f>_xll.qlCalendarAdvance(Calendar,X3444,NDays&amp;"D")</f>
        <v>62991</v>
      </c>
      <c r="Z3444" s="205" t="e">
        <v>#N/A</v>
      </c>
      <c r="AA3444" s="207" t="e">
        <v>#N/A</v>
      </c>
    </row>
    <row r="3445" spans="19:27" x14ac:dyDescent="0.2">
      <c r="S3445" s="165"/>
      <c r="T3445" s="166"/>
      <c r="W3445" s="199" t="str">
        <f t="shared" si="62"/>
        <v>1w</v>
      </c>
      <c r="X3445" s="200">
        <f>_xll.qlCalendarAdvance(Calendar,X3444,W3445,"f",FALSE)</f>
        <v>62996</v>
      </c>
      <c r="Y3445" s="204">
        <f>_xll.qlCalendarAdvance(Calendar,X3445,NDays&amp;"D")</f>
        <v>62998</v>
      </c>
      <c r="Z3445" s="205" t="e">
        <v>#N/A</v>
      </c>
      <c r="AA3445" s="207" t="e">
        <v>#N/A</v>
      </c>
    </row>
    <row r="3446" spans="19:27" x14ac:dyDescent="0.2">
      <c r="S3446" s="165"/>
      <c r="T3446" s="166"/>
      <c r="W3446" s="199" t="str">
        <f t="shared" si="62"/>
        <v>1w</v>
      </c>
      <c r="X3446" s="200">
        <f>_xll.qlCalendarAdvance(Calendar,X3445,W3446,"f",FALSE)</f>
        <v>63003</v>
      </c>
      <c r="Y3446" s="204">
        <f>_xll.qlCalendarAdvance(Calendar,X3446,NDays&amp;"D")</f>
        <v>63005</v>
      </c>
      <c r="Z3446" s="205" t="e">
        <v>#N/A</v>
      </c>
      <c r="AA3446" s="207" t="e">
        <v>#N/A</v>
      </c>
    </row>
    <row r="3447" spans="19:27" x14ac:dyDescent="0.2">
      <c r="S3447" s="165"/>
      <c r="T3447" s="166"/>
      <c r="W3447" s="199" t="str">
        <f t="shared" si="62"/>
        <v>1w</v>
      </c>
      <c r="X3447" s="200">
        <f>_xll.qlCalendarAdvance(Calendar,X3446,W3447,"f",FALSE)</f>
        <v>63010</v>
      </c>
      <c r="Y3447" s="204">
        <f>_xll.qlCalendarAdvance(Calendar,X3447,NDays&amp;"D")</f>
        <v>63012</v>
      </c>
      <c r="Z3447" s="205" t="e">
        <v>#N/A</v>
      </c>
      <c r="AA3447" s="207" t="e">
        <v>#N/A</v>
      </c>
    </row>
    <row r="3448" spans="19:27" x14ac:dyDescent="0.2">
      <c r="S3448" s="165"/>
      <c r="T3448" s="166"/>
      <c r="W3448" s="199" t="str">
        <f t="shared" si="62"/>
        <v>1w</v>
      </c>
      <c r="X3448" s="200">
        <f>_xll.qlCalendarAdvance(Calendar,X3447,W3448,"f",FALSE)</f>
        <v>63017</v>
      </c>
      <c r="Y3448" s="204">
        <f>_xll.qlCalendarAdvance(Calendar,X3448,NDays&amp;"D")</f>
        <v>63019</v>
      </c>
      <c r="Z3448" s="205" t="e">
        <v>#N/A</v>
      </c>
      <c r="AA3448" s="207" t="e">
        <v>#N/A</v>
      </c>
    </row>
    <row r="3449" spans="19:27" x14ac:dyDescent="0.2">
      <c r="S3449" s="165"/>
      <c r="T3449" s="166"/>
      <c r="W3449" s="199" t="str">
        <f t="shared" si="62"/>
        <v>1w</v>
      </c>
      <c r="X3449" s="200">
        <f>_xll.qlCalendarAdvance(Calendar,X3448,W3449,"f",FALSE)</f>
        <v>63024</v>
      </c>
      <c r="Y3449" s="204">
        <f>_xll.qlCalendarAdvance(Calendar,X3449,NDays&amp;"D")</f>
        <v>63026</v>
      </c>
      <c r="Z3449" s="205" t="e">
        <v>#N/A</v>
      </c>
      <c r="AA3449" s="207" t="e">
        <v>#N/A</v>
      </c>
    </row>
    <row r="3450" spans="19:27" x14ac:dyDescent="0.2">
      <c r="S3450" s="165"/>
      <c r="T3450" s="166"/>
      <c r="W3450" s="199" t="str">
        <f t="shared" si="62"/>
        <v>1w</v>
      </c>
      <c r="X3450" s="200">
        <f>_xll.qlCalendarAdvance(Calendar,X3449,W3450,"f",FALSE)</f>
        <v>63031</v>
      </c>
      <c r="Y3450" s="204">
        <f>_xll.qlCalendarAdvance(Calendar,X3450,NDays&amp;"D")</f>
        <v>63033</v>
      </c>
      <c r="Z3450" s="205" t="e">
        <v>#N/A</v>
      </c>
      <c r="AA3450" s="207" t="e">
        <v>#N/A</v>
      </c>
    </row>
    <row r="3451" spans="19:27" x14ac:dyDescent="0.2">
      <c r="S3451" s="165"/>
      <c r="T3451" s="166"/>
      <c r="W3451" s="199" t="str">
        <f t="shared" si="62"/>
        <v>1w</v>
      </c>
      <c r="X3451" s="200">
        <f>_xll.qlCalendarAdvance(Calendar,X3450,W3451,"f",FALSE)</f>
        <v>63038</v>
      </c>
      <c r="Y3451" s="204">
        <f>_xll.qlCalendarAdvance(Calendar,X3451,NDays&amp;"D")</f>
        <v>63040</v>
      </c>
      <c r="Z3451" s="205" t="e">
        <v>#N/A</v>
      </c>
      <c r="AA3451" s="207" t="e">
        <v>#N/A</v>
      </c>
    </row>
    <row r="3452" spans="19:27" x14ac:dyDescent="0.2">
      <c r="S3452" s="165"/>
      <c r="T3452" s="166"/>
      <c r="W3452" s="199" t="str">
        <f t="shared" si="62"/>
        <v>1w</v>
      </c>
      <c r="X3452" s="200">
        <f>_xll.qlCalendarAdvance(Calendar,X3451,W3452,"f",FALSE)</f>
        <v>63045</v>
      </c>
      <c r="Y3452" s="204">
        <f>_xll.qlCalendarAdvance(Calendar,X3452,NDays&amp;"D")</f>
        <v>63047</v>
      </c>
      <c r="Z3452" s="205" t="e">
        <v>#N/A</v>
      </c>
      <c r="AA3452" s="207" t="e">
        <v>#N/A</v>
      </c>
    </row>
    <row r="3453" spans="19:27" x14ac:dyDescent="0.2">
      <c r="S3453" s="165"/>
      <c r="T3453" s="166"/>
      <c r="W3453" s="199" t="str">
        <f t="shared" si="62"/>
        <v>1w</v>
      </c>
      <c r="X3453" s="200">
        <f>_xll.qlCalendarAdvance(Calendar,X3452,W3453,"f",FALSE)</f>
        <v>63052</v>
      </c>
      <c r="Y3453" s="204">
        <f>_xll.qlCalendarAdvance(Calendar,X3453,NDays&amp;"D")</f>
        <v>63054</v>
      </c>
      <c r="Z3453" s="205" t="e">
        <v>#N/A</v>
      </c>
      <c r="AA3453" s="207" t="e">
        <v>#N/A</v>
      </c>
    </row>
    <row r="3454" spans="19:27" x14ac:dyDescent="0.2">
      <c r="S3454" s="165"/>
      <c r="T3454" s="166"/>
      <c r="W3454" s="199" t="str">
        <f t="shared" si="62"/>
        <v>1w</v>
      </c>
      <c r="X3454" s="200">
        <f>_xll.qlCalendarAdvance(Calendar,X3453,W3454,"f",FALSE)</f>
        <v>63059</v>
      </c>
      <c r="Y3454" s="204">
        <f>_xll.qlCalendarAdvance(Calendar,X3454,NDays&amp;"D")</f>
        <v>63061</v>
      </c>
      <c r="Z3454" s="205" t="e">
        <v>#N/A</v>
      </c>
      <c r="AA3454" s="207" t="e">
        <v>#N/A</v>
      </c>
    </row>
    <row r="3455" spans="19:27" x14ac:dyDescent="0.2">
      <c r="S3455" s="165"/>
      <c r="T3455" s="166"/>
      <c r="W3455" s="199" t="str">
        <f t="shared" si="62"/>
        <v>1w</v>
      </c>
      <c r="X3455" s="200">
        <f>_xll.qlCalendarAdvance(Calendar,X3454,W3455,"f",FALSE)</f>
        <v>63066</v>
      </c>
      <c r="Y3455" s="204">
        <f>_xll.qlCalendarAdvance(Calendar,X3455,NDays&amp;"D")</f>
        <v>63068</v>
      </c>
      <c r="Z3455" s="205" t="e">
        <v>#N/A</v>
      </c>
      <c r="AA3455" s="207" t="e">
        <v>#N/A</v>
      </c>
    </row>
    <row r="3456" spans="19:27" x14ac:dyDescent="0.2">
      <c r="S3456" s="165"/>
      <c r="T3456" s="166"/>
      <c r="W3456" s="199" t="str">
        <f t="shared" si="62"/>
        <v>1w</v>
      </c>
      <c r="X3456" s="200">
        <f>_xll.qlCalendarAdvance(Calendar,X3455,W3456,"f",FALSE)</f>
        <v>63073</v>
      </c>
      <c r="Y3456" s="204">
        <f>_xll.qlCalendarAdvance(Calendar,X3456,NDays&amp;"D")</f>
        <v>63075</v>
      </c>
      <c r="Z3456" s="205" t="e">
        <v>#N/A</v>
      </c>
      <c r="AA3456" s="207" t="e">
        <v>#N/A</v>
      </c>
    </row>
    <row r="3457" spans="19:27" x14ac:dyDescent="0.2">
      <c r="S3457" s="165"/>
      <c r="T3457" s="166"/>
      <c r="W3457" s="199" t="str">
        <f t="shared" si="62"/>
        <v>1w</v>
      </c>
      <c r="X3457" s="200">
        <f>_xll.qlCalendarAdvance(Calendar,X3456,W3457,"f",FALSE)</f>
        <v>63080</v>
      </c>
      <c r="Y3457" s="204">
        <f>_xll.qlCalendarAdvance(Calendar,X3457,NDays&amp;"D")</f>
        <v>63082</v>
      </c>
      <c r="Z3457" s="205" t="e">
        <v>#N/A</v>
      </c>
      <c r="AA3457" s="207" t="e">
        <v>#N/A</v>
      </c>
    </row>
    <row r="3458" spans="19:27" x14ac:dyDescent="0.2">
      <c r="S3458" s="165"/>
      <c r="T3458" s="166"/>
      <c r="W3458" s="199" t="str">
        <f t="shared" si="62"/>
        <v>1w</v>
      </c>
      <c r="X3458" s="200">
        <f>_xll.qlCalendarAdvance(Calendar,X3457,W3458,"f",FALSE)</f>
        <v>63087</v>
      </c>
      <c r="Y3458" s="204">
        <f>_xll.qlCalendarAdvance(Calendar,X3458,NDays&amp;"D")</f>
        <v>63089</v>
      </c>
      <c r="Z3458" s="205" t="e">
        <v>#N/A</v>
      </c>
      <c r="AA3458" s="207" t="e">
        <v>#N/A</v>
      </c>
    </row>
    <row r="3459" spans="19:27" x14ac:dyDescent="0.2">
      <c r="S3459" s="165"/>
      <c r="T3459" s="166"/>
      <c r="W3459" s="199" t="str">
        <f t="shared" si="62"/>
        <v>1w</v>
      </c>
      <c r="X3459" s="200">
        <f>_xll.qlCalendarAdvance(Calendar,X3458,W3459,"f",FALSE)</f>
        <v>63094</v>
      </c>
      <c r="Y3459" s="204">
        <f>_xll.qlCalendarAdvance(Calendar,X3459,NDays&amp;"D")</f>
        <v>63096</v>
      </c>
      <c r="Z3459" s="205" t="e">
        <v>#N/A</v>
      </c>
      <c r="AA3459" s="207" t="e">
        <v>#N/A</v>
      </c>
    </row>
    <row r="3460" spans="19:27" x14ac:dyDescent="0.2">
      <c r="S3460" s="165"/>
      <c r="T3460" s="166"/>
      <c r="W3460" s="199" t="str">
        <f t="shared" si="62"/>
        <v>1w</v>
      </c>
      <c r="X3460" s="200">
        <f>_xll.qlCalendarAdvance(Calendar,X3459,W3460,"f",FALSE)</f>
        <v>63101</v>
      </c>
      <c r="Y3460" s="204">
        <f>_xll.qlCalendarAdvance(Calendar,X3460,NDays&amp;"D")</f>
        <v>63103</v>
      </c>
      <c r="Z3460" s="205" t="e">
        <v>#N/A</v>
      </c>
      <c r="AA3460" s="207" t="e">
        <v>#N/A</v>
      </c>
    </row>
    <row r="3461" spans="19:27" x14ac:dyDescent="0.2">
      <c r="S3461" s="165"/>
      <c r="T3461" s="166"/>
      <c r="W3461" s="199" t="str">
        <f t="shared" si="62"/>
        <v>1w</v>
      </c>
      <c r="X3461" s="200">
        <f>_xll.qlCalendarAdvance(Calendar,X3460,W3461,"f",FALSE)</f>
        <v>63108</v>
      </c>
      <c r="Y3461" s="204">
        <f>_xll.qlCalendarAdvance(Calendar,X3461,NDays&amp;"D")</f>
        <v>63110</v>
      </c>
      <c r="Z3461" s="205" t="e">
        <v>#N/A</v>
      </c>
      <c r="AA3461" s="207" t="e">
        <v>#N/A</v>
      </c>
    </row>
    <row r="3462" spans="19:27" x14ac:dyDescent="0.2">
      <c r="S3462" s="165"/>
      <c r="T3462" s="166"/>
      <c r="W3462" s="199" t="str">
        <f t="shared" si="62"/>
        <v>1w</v>
      </c>
      <c r="X3462" s="200">
        <f>_xll.qlCalendarAdvance(Calendar,X3461,W3462,"f",FALSE)</f>
        <v>63115</v>
      </c>
      <c r="Y3462" s="204">
        <f>_xll.qlCalendarAdvance(Calendar,X3462,NDays&amp;"D")</f>
        <v>63117</v>
      </c>
      <c r="Z3462" s="205" t="e">
        <v>#N/A</v>
      </c>
      <c r="AA3462" s="207" t="e">
        <v>#N/A</v>
      </c>
    </row>
    <row r="3463" spans="19:27" x14ac:dyDescent="0.2">
      <c r="S3463" s="165"/>
      <c r="T3463" s="166"/>
      <c r="W3463" s="199" t="str">
        <f t="shared" si="62"/>
        <v>1w</v>
      </c>
      <c r="X3463" s="200">
        <f>_xll.qlCalendarAdvance(Calendar,X3462,W3463,"f",FALSE)</f>
        <v>63122</v>
      </c>
      <c r="Y3463" s="204">
        <f>_xll.qlCalendarAdvance(Calendar,X3463,NDays&amp;"D")</f>
        <v>63124</v>
      </c>
      <c r="Z3463" s="205" t="e">
        <v>#N/A</v>
      </c>
      <c r="AA3463" s="207" t="e">
        <v>#N/A</v>
      </c>
    </row>
    <row r="3464" spans="19:27" x14ac:dyDescent="0.2">
      <c r="S3464" s="165"/>
      <c r="T3464" s="166"/>
      <c r="W3464" s="199" t="str">
        <f t="shared" si="62"/>
        <v>1w</v>
      </c>
      <c r="X3464" s="200">
        <f>_xll.qlCalendarAdvance(Calendar,X3463,W3464,"f",FALSE)</f>
        <v>63129</v>
      </c>
      <c r="Y3464" s="204">
        <f>_xll.qlCalendarAdvance(Calendar,X3464,NDays&amp;"D")</f>
        <v>63131</v>
      </c>
      <c r="Z3464" s="205" t="e">
        <v>#N/A</v>
      </c>
      <c r="AA3464" s="207" t="e">
        <v>#N/A</v>
      </c>
    </row>
    <row r="3465" spans="19:27" x14ac:dyDescent="0.2">
      <c r="S3465" s="165"/>
      <c r="T3465" s="166"/>
      <c r="W3465" s="199" t="str">
        <f t="shared" si="62"/>
        <v>1w</v>
      </c>
      <c r="X3465" s="200">
        <f>_xll.qlCalendarAdvance(Calendar,X3464,W3465,"f",FALSE)</f>
        <v>63136</v>
      </c>
      <c r="Y3465" s="204">
        <f>_xll.qlCalendarAdvance(Calendar,X3465,NDays&amp;"D")</f>
        <v>63138</v>
      </c>
      <c r="Z3465" s="205" t="e">
        <v>#N/A</v>
      </c>
      <c r="AA3465" s="207" t="e">
        <v>#N/A</v>
      </c>
    </row>
    <row r="3466" spans="19:27" x14ac:dyDescent="0.2">
      <c r="S3466" s="165"/>
      <c r="T3466" s="166"/>
      <c r="W3466" s="199" t="str">
        <f t="shared" si="62"/>
        <v>1w</v>
      </c>
      <c r="X3466" s="200">
        <f>_xll.qlCalendarAdvance(Calendar,X3465,W3466,"f",FALSE)</f>
        <v>63143</v>
      </c>
      <c r="Y3466" s="204">
        <f>_xll.qlCalendarAdvance(Calendar,X3466,NDays&amp;"D")</f>
        <v>63145</v>
      </c>
      <c r="Z3466" s="205" t="e">
        <v>#N/A</v>
      </c>
      <c r="AA3466" s="207" t="e">
        <v>#N/A</v>
      </c>
    </row>
    <row r="3467" spans="19:27" x14ac:dyDescent="0.2">
      <c r="S3467" s="165"/>
      <c r="T3467" s="166"/>
      <c r="W3467" s="199" t="str">
        <f t="shared" si="62"/>
        <v>1w</v>
      </c>
      <c r="X3467" s="200">
        <f>_xll.qlCalendarAdvance(Calendar,X3466,W3467,"f",FALSE)</f>
        <v>63150</v>
      </c>
      <c r="Y3467" s="204">
        <f>_xll.qlCalendarAdvance(Calendar,X3467,NDays&amp;"D")</f>
        <v>63152</v>
      </c>
      <c r="Z3467" s="205" t="e">
        <v>#N/A</v>
      </c>
      <c r="AA3467" s="207" t="e">
        <v>#N/A</v>
      </c>
    </row>
    <row r="3468" spans="19:27" x14ac:dyDescent="0.2">
      <c r="S3468" s="165"/>
      <c r="T3468" s="166"/>
      <c r="W3468" s="199" t="str">
        <f t="shared" si="62"/>
        <v>1w</v>
      </c>
      <c r="X3468" s="200">
        <f>_xll.qlCalendarAdvance(Calendar,X3467,W3468,"f",FALSE)</f>
        <v>63157</v>
      </c>
      <c r="Y3468" s="204">
        <f>_xll.qlCalendarAdvance(Calendar,X3468,NDays&amp;"D")</f>
        <v>63159</v>
      </c>
      <c r="Z3468" s="205" t="e">
        <v>#N/A</v>
      </c>
      <c r="AA3468" s="207" t="e">
        <v>#N/A</v>
      </c>
    </row>
    <row r="3469" spans="19:27" x14ac:dyDescent="0.2">
      <c r="S3469" s="165"/>
      <c r="T3469" s="166"/>
      <c r="W3469" s="199" t="str">
        <f t="shared" si="62"/>
        <v>1w</v>
      </c>
      <c r="X3469" s="200">
        <f>_xll.qlCalendarAdvance(Calendar,X3468,W3469,"f",FALSE)</f>
        <v>63164</v>
      </c>
      <c r="Y3469" s="204">
        <f>_xll.qlCalendarAdvance(Calendar,X3469,NDays&amp;"D")</f>
        <v>63166</v>
      </c>
      <c r="Z3469" s="205" t="e">
        <v>#N/A</v>
      </c>
      <c r="AA3469" s="207" t="e">
        <v>#N/A</v>
      </c>
    </row>
    <row r="3470" spans="19:27" x14ac:dyDescent="0.2">
      <c r="S3470" s="165"/>
      <c r="T3470" s="166"/>
      <c r="W3470" s="199" t="str">
        <f t="shared" si="62"/>
        <v>1w</v>
      </c>
      <c r="X3470" s="200">
        <f>_xll.qlCalendarAdvance(Calendar,X3469,W3470,"f",FALSE)</f>
        <v>63171</v>
      </c>
      <c r="Y3470" s="204">
        <f>_xll.qlCalendarAdvance(Calendar,X3470,NDays&amp;"D")</f>
        <v>63173</v>
      </c>
      <c r="Z3470" s="205" t="e">
        <v>#N/A</v>
      </c>
      <c r="AA3470" s="207" t="e">
        <v>#N/A</v>
      </c>
    </row>
    <row r="3471" spans="19:27" x14ac:dyDescent="0.2">
      <c r="S3471" s="165"/>
      <c r="T3471" s="166"/>
      <c r="W3471" s="199" t="str">
        <f t="shared" si="62"/>
        <v>1w</v>
      </c>
      <c r="X3471" s="200">
        <f>_xll.qlCalendarAdvance(Calendar,X3470,W3471,"f",FALSE)</f>
        <v>63178</v>
      </c>
      <c r="Y3471" s="204">
        <f>_xll.qlCalendarAdvance(Calendar,X3471,NDays&amp;"D")</f>
        <v>63180</v>
      </c>
      <c r="Z3471" s="205" t="e">
        <v>#N/A</v>
      </c>
      <c r="AA3471" s="207" t="e">
        <v>#N/A</v>
      </c>
    </row>
    <row r="3472" spans="19:27" x14ac:dyDescent="0.2">
      <c r="S3472" s="165"/>
      <c r="T3472" s="166"/>
      <c r="W3472" s="199" t="str">
        <f t="shared" si="62"/>
        <v>1w</v>
      </c>
      <c r="X3472" s="200">
        <f>_xll.qlCalendarAdvance(Calendar,X3471,W3472,"f",FALSE)</f>
        <v>63186</v>
      </c>
      <c r="Y3472" s="204">
        <f>_xll.qlCalendarAdvance(Calendar,X3472,NDays&amp;"D")</f>
        <v>63188</v>
      </c>
      <c r="Z3472" s="205" t="e">
        <v>#N/A</v>
      </c>
      <c r="AA3472" s="207" t="e">
        <v>#N/A</v>
      </c>
    </row>
    <row r="3473" spans="19:27" x14ac:dyDescent="0.2">
      <c r="S3473" s="165"/>
      <c r="T3473" s="166"/>
      <c r="W3473" s="199" t="str">
        <f t="shared" si="62"/>
        <v>1w</v>
      </c>
      <c r="X3473" s="200">
        <f>_xll.qlCalendarAdvance(Calendar,X3472,W3473,"f",FALSE)</f>
        <v>63193</v>
      </c>
      <c r="Y3473" s="204">
        <f>_xll.qlCalendarAdvance(Calendar,X3473,NDays&amp;"D")</f>
        <v>63195</v>
      </c>
      <c r="Z3473" s="205" t="e">
        <v>#N/A</v>
      </c>
      <c r="AA3473" s="207" t="e">
        <v>#N/A</v>
      </c>
    </row>
    <row r="3474" spans="19:27" x14ac:dyDescent="0.2">
      <c r="S3474" s="165"/>
      <c r="T3474" s="166"/>
      <c r="W3474" s="199" t="str">
        <f t="shared" si="62"/>
        <v>1w</v>
      </c>
      <c r="X3474" s="200">
        <f>_xll.qlCalendarAdvance(Calendar,X3473,W3474,"f",FALSE)</f>
        <v>63200</v>
      </c>
      <c r="Y3474" s="204">
        <f>_xll.qlCalendarAdvance(Calendar,X3474,NDays&amp;"D")</f>
        <v>63202</v>
      </c>
      <c r="Z3474" s="205" t="e">
        <v>#N/A</v>
      </c>
      <c r="AA3474" s="207" t="e">
        <v>#N/A</v>
      </c>
    </row>
    <row r="3475" spans="19:27" x14ac:dyDescent="0.2">
      <c r="S3475" s="165"/>
      <c r="T3475" s="166"/>
      <c r="W3475" s="199" t="str">
        <f t="shared" si="62"/>
        <v>1w</v>
      </c>
      <c r="X3475" s="200">
        <f>_xll.qlCalendarAdvance(Calendar,X3474,W3475,"f",FALSE)</f>
        <v>63207</v>
      </c>
      <c r="Y3475" s="204">
        <f>_xll.qlCalendarAdvance(Calendar,X3475,NDays&amp;"D")</f>
        <v>63209</v>
      </c>
      <c r="Z3475" s="205" t="e">
        <v>#N/A</v>
      </c>
      <c r="AA3475" s="207" t="e">
        <v>#N/A</v>
      </c>
    </row>
    <row r="3476" spans="19:27" x14ac:dyDescent="0.2">
      <c r="S3476" s="165"/>
      <c r="T3476" s="166"/>
      <c r="W3476" s="199" t="str">
        <f t="shared" si="62"/>
        <v>1w</v>
      </c>
      <c r="X3476" s="200">
        <f>_xll.qlCalendarAdvance(Calendar,X3475,W3476,"f",FALSE)</f>
        <v>63214</v>
      </c>
      <c r="Y3476" s="204">
        <f>_xll.qlCalendarAdvance(Calendar,X3476,NDays&amp;"D")</f>
        <v>63216</v>
      </c>
      <c r="Z3476" s="205" t="e">
        <v>#N/A</v>
      </c>
      <c r="AA3476" s="207" t="e">
        <v>#N/A</v>
      </c>
    </row>
    <row r="3477" spans="19:27" x14ac:dyDescent="0.2">
      <c r="S3477" s="165"/>
      <c r="T3477" s="166"/>
      <c r="W3477" s="199" t="str">
        <f t="shared" ref="W3477:W3540" si="63">W3476</f>
        <v>1w</v>
      </c>
      <c r="X3477" s="200">
        <f>_xll.qlCalendarAdvance(Calendar,X3476,W3477,"f",FALSE)</f>
        <v>63221</v>
      </c>
      <c r="Y3477" s="204">
        <f>_xll.qlCalendarAdvance(Calendar,X3477,NDays&amp;"D")</f>
        <v>63223</v>
      </c>
      <c r="Z3477" s="205" t="e">
        <v>#N/A</v>
      </c>
      <c r="AA3477" s="207" t="e">
        <v>#N/A</v>
      </c>
    </row>
    <row r="3478" spans="19:27" x14ac:dyDescent="0.2">
      <c r="S3478" s="165"/>
      <c r="T3478" s="166"/>
      <c r="W3478" s="199" t="str">
        <f t="shared" si="63"/>
        <v>1w</v>
      </c>
      <c r="X3478" s="200">
        <f>_xll.qlCalendarAdvance(Calendar,X3477,W3478,"f",FALSE)</f>
        <v>63228</v>
      </c>
      <c r="Y3478" s="204">
        <f>_xll.qlCalendarAdvance(Calendar,X3478,NDays&amp;"D")</f>
        <v>63230</v>
      </c>
      <c r="Z3478" s="205" t="e">
        <v>#N/A</v>
      </c>
      <c r="AA3478" s="207" t="e">
        <v>#N/A</v>
      </c>
    </row>
    <row r="3479" spans="19:27" x14ac:dyDescent="0.2">
      <c r="S3479" s="165"/>
      <c r="T3479" s="166"/>
      <c r="W3479" s="199" t="str">
        <f t="shared" si="63"/>
        <v>1w</v>
      </c>
      <c r="X3479" s="200">
        <f>_xll.qlCalendarAdvance(Calendar,X3478,W3479,"f",FALSE)</f>
        <v>63235</v>
      </c>
      <c r="Y3479" s="204">
        <f>_xll.qlCalendarAdvance(Calendar,X3479,NDays&amp;"D")</f>
        <v>63237</v>
      </c>
      <c r="Z3479" s="205" t="e">
        <v>#N/A</v>
      </c>
      <c r="AA3479" s="207" t="e">
        <v>#N/A</v>
      </c>
    </row>
    <row r="3480" spans="19:27" x14ac:dyDescent="0.2">
      <c r="S3480" s="165"/>
      <c r="T3480" s="166"/>
      <c r="W3480" s="199" t="str">
        <f t="shared" si="63"/>
        <v>1w</v>
      </c>
      <c r="X3480" s="200">
        <f>_xll.qlCalendarAdvance(Calendar,X3479,W3480,"f",FALSE)</f>
        <v>63242</v>
      </c>
      <c r="Y3480" s="204">
        <f>_xll.qlCalendarAdvance(Calendar,X3480,NDays&amp;"D")</f>
        <v>63244</v>
      </c>
      <c r="Z3480" s="205" t="e">
        <v>#N/A</v>
      </c>
      <c r="AA3480" s="207" t="e">
        <v>#N/A</v>
      </c>
    </row>
    <row r="3481" spans="19:27" x14ac:dyDescent="0.2">
      <c r="S3481" s="165"/>
      <c r="T3481" s="166"/>
      <c r="W3481" s="199" t="str">
        <f t="shared" si="63"/>
        <v>1w</v>
      </c>
      <c r="X3481" s="200">
        <f>_xll.qlCalendarAdvance(Calendar,X3480,W3481,"f",FALSE)</f>
        <v>63249</v>
      </c>
      <c r="Y3481" s="204">
        <f>_xll.qlCalendarAdvance(Calendar,X3481,NDays&amp;"D")</f>
        <v>63251</v>
      </c>
      <c r="Z3481" s="205" t="e">
        <v>#N/A</v>
      </c>
      <c r="AA3481" s="207" t="e">
        <v>#N/A</v>
      </c>
    </row>
    <row r="3482" spans="19:27" x14ac:dyDescent="0.2">
      <c r="S3482" s="165"/>
      <c r="T3482" s="166"/>
      <c r="W3482" s="199" t="str">
        <f t="shared" si="63"/>
        <v>1w</v>
      </c>
      <c r="X3482" s="200">
        <f>_xll.qlCalendarAdvance(Calendar,X3481,W3482,"f",FALSE)</f>
        <v>63256</v>
      </c>
      <c r="Y3482" s="204">
        <f>_xll.qlCalendarAdvance(Calendar,X3482,NDays&amp;"D")</f>
        <v>63258</v>
      </c>
      <c r="Z3482" s="205" t="e">
        <v>#N/A</v>
      </c>
      <c r="AA3482" s="207" t="e">
        <v>#N/A</v>
      </c>
    </row>
    <row r="3483" spans="19:27" x14ac:dyDescent="0.2">
      <c r="S3483" s="165"/>
      <c r="T3483" s="166"/>
      <c r="W3483" s="199" t="str">
        <f t="shared" si="63"/>
        <v>1w</v>
      </c>
      <c r="X3483" s="200">
        <f>_xll.qlCalendarAdvance(Calendar,X3482,W3483,"f",FALSE)</f>
        <v>63263</v>
      </c>
      <c r="Y3483" s="204">
        <f>_xll.qlCalendarAdvance(Calendar,X3483,NDays&amp;"D")</f>
        <v>63265</v>
      </c>
      <c r="Z3483" s="205" t="e">
        <v>#N/A</v>
      </c>
      <c r="AA3483" s="207" t="e">
        <v>#N/A</v>
      </c>
    </row>
    <row r="3484" spans="19:27" x14ac:dyDescent="0.2">
      <c r="S3484" s="165"/>
      <c r="T3484" s="166"/>
      <c r="W3484" s="199" t="str">
        <f t="shared" si="63"/>
        <v>1w</v>
      </c>
      <c r="X3484" s="200">
        <f>_xll.qlCalendarAdvance(Calendar,X3483,W3484,"f",FALSE)</f>
        <v>63270</v>
      </c>
      <c r="Y3484" s="204">
        <f>_xll.qlCalendarAdvance(Calendar,X3484,NDays&amp;"D")</f>
        <v>63276</v>
      </c>
      <c r="Z3484" s="205" t="e">
        <v>#N/A</v>
      </c>
      <c r="AA3484" s="207" t="e">
        <v>#N/A</v>
      </c>
    </row>
    <row r="3485" spans="19:27" x14ac:dyDescent="0.2">
      <c r="S3485" s="165"/>
      <c r="T3485" s="166"/>
      <c r="W3485" s="199" t="str">
        <f t="shared" si="63"/>
        <v>1w</v>
      </c>
      <c r="X3485" s="200">
        <f>_xll.qlCalendarAdvance(Calendar,X3484,W3485,"f",FALSE)</f>
        <v>63277</v>
      </c>
      <c r="Y3485" s="204">
        <f>_xll.qlCalendarAdvance(Calendar,X3485,NDays&amp;"D")</f>
        <v>63279</v>
      </c>
      <c r="Z3485" s="205" t="e">
        <v>#N/A</v>
      </c>
      <c r="AA3485" s="207" t="e">
        <v>#N/A</v>
      </c>
    </row>
    <row r="3486" spans="19:27" x14ac:dyDescent="0.2">
      <c r="S3486" s="165"/>
      <c r="T3486" s="166"/>
      <c r="W3486" s="199" t="str">
        <f t="shared" si="63"/>
        <v>1w</v>
      </c>
      <c r="X3486" s="200">
        <f>_xll.qlCalendarAdvance(Calendar,X3485,W3486,"f",FALSE)</f>
        <v>63284</v>
      </c>
      <c r="Y3486" s="204">
        <f>_xll.qlCalendarAdvance(Calendar,X3486,NDays&amp;"D")</f>
        <v>63286</v>
      </c>
      <c r="Z3486" s="205" t="e">
        <v>#N/A</v>
      </c>
      <c r="AA3486" s="207" t="e">
        <v>#N/A</v>
      </c>
    </row>
    <row r="3487" spans="19:27" x14ac:dyDescent="0.2">
      <c r="S3487" s="165"/>
      <c r="T3487" s="166"/>
      <c r="W3487" s="199" t="str">
        <f t="shared" si="63"/>
        <v>1w</v>
      </c>
      <c r="X3487" s="200">
        <f>_xll.qlCalendarAdvance(Calendar,X3486,W3487,"f",FALSE)</f>
        <v>63291</v>
      </c>
      <c r="Y3487" s="204">
        <f>_xll.qlCalendarAdvance(Calendar,X3487,NDays&amp;"D")</f>
        <v>63293</v>
      </c>
      <c r="Z3487" s="205" t="e">
        <v>#N/A</v>
      </c>
      <c r="AA3487" s="207" t="e">
        <v>#N/A</v>
      </c>
    </row>
    <row r="3488" spans="19:27" x14ac:dyDescent="0.2">
      <c r="S3488" s="165"/>
      <c r="T3488" s="166"/>
      <c r="W3488" s="199" t="str">
        <f t="shared" si="63"/>
        <v>1w</v>
      </c>
      <c r="X3488" s="200">
        <f>_xll.qlCalendarAdvance(Calendar,X3487,W3488,"f",FALSE)</f>
        <v>63298</v>
      </c>
      <c r="Y3488" s="204">
        <f>_xll.qlCalendarAdvance(Calendar,X3488,NDays&amp;"D")</f>
        <v>63300</v>
      </c>
      <c r="Z3488" s="205" t="e">
        <v>#N/A</v>
      </c>
      <c r="AA3488" s="207" t="e">
        <v>#N/A</v>
      </c>
    </row>
    <row r="3489" spans="23:27" x14ac:dyDescent="0.2">
      <c r="W3489" s="199" t="str">
        <f t="shared" si="63"/>
        <v>1w</v>
      </c>
      <c r="X3489" s="200">
        <f>_xll.qlCalendarAdvance(Calendar,X3488,W3489,"f",FALSE)</f>
        <v>63305</v>
      </c>
      <c r="Y3489" s="204">
        <f>_xll.qlCalendarAdvance(Calendar,X3489,NDays&amp;"D")</f>
        <v>63307</v>
      </c>
      <c r="Z3489" s="205" t="e">
        <v>#N/A</v>
      </c>
      <c r="AA3489" s="207" t="e">
        <v>#N/A</v>
      </c>
    </row>
    <row r="3490" spans="23:27" x14ac:dyDescent="0.2">
      <c r="W3490" s="199" t="str">
        <f t="shared" si="63"/>
        <v>1w</v>
      </c>
      <c r="X3490" s="200">
        <f>_xll.qlCalendarAdvance(Calendar,X3489,W3490,"f",FALSE)</f>
        <v>63312</v>
      </c>
      <c r="Y3490" s="204">
        <f>_xll.qlCalendarAdvance(Calendar,X3490,NDays&amp;"D")</f>
        <v>63314</v>
      </c>
      <c r="Z3490" s="205" t="e">
        <v>#N/A</v>
      </c>
      <c r="AA3490" s="207" t="e">
        <v>#N/A</v>
      </c>
    </row>
    <row r="3491" spans="23:27" x14ac:dyDescent="0.2">
      <c r="W3491" s="199" t="str">
        <f t="shared" si="63"/>
        <v>1w</v>
      </c>
      <c r="X3491" s="200">
        <f>_xll.qlCalendarAdvance(Calendar,X3490,W3491,"f",FALSE)</f>
        <v>63319</v>
      </c>
      <c r="Y3491" s="204">
        <f>_xll.qlCalendarAdvance(Calendar,X3491,NDays&amp;"D")</f>
        <v>63321</v>
      </c>
      <c r="Z3491" s="205" t="e">
        <v>#N/A</v>
      </c>
      <c r="AA3491" s="207" t="e">
        <v>#N/A</v>
      </c>
    </row>
    <row r="3492" spans="23:27" x14ac:dyDescent="0.2">
      <c r="W3492" s="199" t="str">
        <f t="shared" si="63"/>
        <v>1w</v>
      </c>
      <c r="X3492" s="200">
        <f>_xll.qlCalendarAdvance(Calendar,X3491,W3492,"f",FALSE)</f>
        <v>63326</v>
      </c>
      <c r="Y3492" s="204">
        <f>_xll.qlCalendarAdvance(Calendar,X3492,NDays&amp;"D")</f>
        <v>63328</v>
      </c>
      <c r="Z3492" s="205" t="e">
        <v>#N/A</v>
      </c>
      <c r="AA3492" s="207" t="e">
        <v>#N/A</v>
      </c>
    </row>
    <row r="3493" spans="23:27" x14ac:dyDescent="0.2">
      <c r="W3493" s="199" t="str">
        <f t="shared" si="63"/>
        <v>1w</v>
      </c>
      <c r="X3493" s="200">
        <f>_xll.qlCalendarAdvance(Calendar,X3492,W3493,"f",FALSE)</f>
        <v>63333</v>
      </c>
      <c r="Y3493" s="204">
        <f>_xll.qlCalendarAdvance(Calendar,X3493,NDays&amp;"D")</f>
        <v>63335</v>
      </c>
      <c r="Z3493" s="205" t="e">
        <v>#N/A</v>
      </c>
      <c r="AA3493" s="207" t="e">
        <v>#N/A</v>
      </c>
    </row>
    <row r="3494" spans="23:27" x14ac:dyDescent="0.2">
      <c r="W3494" s="199" t="str">
        <f t="shared" si="63"/>
        <v>1w</v>
      </c>
      <c r="X3494" s="200">
        <f>_xll.qlCalendarAdvance(Calendar,X3493,W3494,"f",FALSE)</f>
        <v>63340</v>
      </c>
      <c r="Y3494" s="204">
        <f>_xll.qlCalendarAdvance(Calendar,X3494,NDays&amp;"D")</f>
        <v>63342</v>
      </c>
      <c r="Z3494" s="205" t="e">
        <v>#N/A</v>
      </c>
      <c r="AA3494" s="207" t="e">
        <v>#N/A</v>
      </c>
    </row>
    <row r="3495" spans="23:27" x14ac:dyDescent="0.2">
      <c r="W3495" s="199" t="str">
        <f t="shared" si="63"/>
        <v>1w</v>
      </c>
      <c r="X3495" s="200">
        <f>_xll.qlCalendarAdvance(Calendar,X3494,W3495,"f",FALSE)</f>
        <v>63347</v>
      </c>
      <c r="Y3495" s="204">
        <f>_xll.qlCalendarAdvance(Calendar,X3495,NDays&amp;"D")</f>
        <v>63349</v>
      </c>
      <c r="Z3495" s="205" t="e">
        <v>#N/A</v>
      </c>
      <c r="AA3495" s="207" t="e">
        <v>#N/A</v>
      </c>
    </row>
    <row r="3496" spans="23:27" x14ac:dyDescent="0.2">
      <c r="W3496" s="199" t="str">
        <f t="shared" si="63"/>
        <v>1w</v>
      </c>
      <c r="X3496" s="200">
        <f>_xll.qlCalendarAdvance(Calendar,X3495,W3496,"f",FALSE)</f>
        <v>63354</v>
      </c>
      <c r="Y3496" s="204">
        <f>_xll.qlCalendarAdvance(Calendar,X3496,NDays&amp;"D")</f>
        <v>63356</v>
      </c>
      <c r="Z3496" s="205" t="e">
        <v>#N/A</v>
      </c>
      <c r="AA3496" s="207" t="e">
        <v>#N/A</v>
      </c>
    </row>
    <row r="3497" spans="23:27" x14ac:dyDescent="0.2">
      <c r="W3497" s="199" t="str">
        <f t="shared" si="63"/>
        <v>1w</v>
      </c>
      <c r="X3497" s="200">
        <f>_xll.qlCalendarAdvance(Calendar,X3496,W3497,"f",FALSE)</f>
        <v>63361</v>
      </c>
      <c r="Y3497" s="204">
        <f>_xll.qlCalendarAdvance(Calendar,X3497,NDays&amp;"D")</f>
        <v>63363</v>
      </c>
      <c r="Z3497" s="205" t="e">
        <v>#N/A</v>
      </c>
      <c r="AA3497" s="207" t="e">
        <v>#N/A</v>
      </c>
    </row>
    <row r="3498" spans="23:27" x14ac:dyDescent="0.2">
      <c r="W3498" s="199" t="str">
        <f t="shared" si="63"/>
        <v>1w</v>
      </c>
      <c r="X3498" s="200">
        <f>_xll.qlCalendarAdvance(Calendar,X3497,W3498,"f",FALSE)</f>
        <v>63368</v>
      </c>
      <c r="Y3498" s="204">
        <f>_xll.qlCalendarAdvance(Calendar,X3498,NDays&amp;"D")</f>
        <v>63370</v>
      </c>
      <c r="Z3498" s="205" t="e">
        <v>#N/A</v>
      </c>
      <c r="AA3498" s="207" t="e">
        <v>#N/A</v>
      </c>
    </row>
    <row r="3499" spans="23:27" x14ac:dyDescent="0.2">
      <c r="W3499" s="199" t="str">
        <f t="shared" si="63"/>
        <v>1w</v>
      </c>
      <c r="X3499" s="200">
        <f>_xll.qlCalendarAdvance(Calendar,X3498,W3499,"f",FALSE)</f>
        <v>63375</v>
      </c>
      <c r="Y3499" s="204">
        <f>_xll.qlCalendarAdvance(Calendar,X3499,NDays&amp;"D")</f>
        <v>63377</v>
      </c>
      <c r="Z3499" s="205" t="e">
        <v>#N/A</v>
      </c>
      <c r="AA3499" s="207" t="e">
        <v>#N/A</v>
      </c>
    </row>
    <row r="3500" spans="23:27" x14ac:dyDescent="0.2">
      <c r="W3500" s="199" t="str">
        <f t="shared" si="63"/>
        <v>1w</v>
      </c>
      <c r="X3500" s="200">
        <f>_xll.qlCalendarAdvance(Calendar,X3499,W3500,"f",FALSE)</f>
        <v>63382</v>
      </c>
      <c r="Y3500" s="204">
        <f>_xll.qlCalendarAdvance(Calendar,X3500,NDays&amp;"D")</f>
        <v>63384</v>
      </c>
      <c r="Z3500" s="205" t="e">
        <v>#N/A</v>
      </c>
      <c r="AA3500" s="207" t="e">
        <v>#N/A</v>
      </c>
    </row>
    <row r="3501" spans="23:27" x14ac:dyDescent="0.2">
      <c r="W3501" s="199" t="str">
        <f t="shared" si="63"/>
        <v>1w</v>
      </c>
      <c r="X3501" s="200">
        <f>_xll.qlCalendarAdvance(Calendar,X3500,W3501,"f",FALSE)</f>
        <v>63389</v>
      </c>
      <c r="Y3501" s="204">
        <f>_xll.qlCalendarAdvance(Calendar,X3501,NDays&amp;"D")</f>
        <v>63391</v>
      </c>
      <c r="Z3501" s="205" t="e">
        <v>#N/A</v>
      </c>
      <c r="AA3501" s="207" t="e">
        <v>#N/A</v>
      </c>
    </row>
    <row r="3502" spans="23:27" x14ac:dyDescent="0.2">
      <c r="W3502" s="199" t="str">
        <f t="shared" si="63"/>
        <v>1w</v>
      </c>
      <c r="X3502" s="200">
        <f>_xll.qlCalendarAdvance(Calendar,X3501,W3502,"f",FALSE)</f>
        <v>63396</v>
      </c>
      <c r="Y3502" s="204">
        <f>_xll.qlCalendarAdvance(Calendar,X3502,NDays&amp;"D")</f>
        <v>63398</v>
      </c>
      <c r="Z3502" s="205" t="e">
        <v>#N/A</v>
      </c>
      <c r="AA3502" s="207" t="e">
        <v>#N/A</v>
      </c>
    </row>
    <row r="3503" spans="23:27" x14ac:dyDescent="0.2">
      <c r="W3503" s="199" t="str">
        <f t="shared" si="63"/>
        <v>1w</v>
      </c>
      <c r="X3503" s="200">
        <f>_xll.qlCalendarAdvance(Calendar,X3502,W3503,"f",FALSE)</f>
        <v>63403</v>
      </c>
      <c r="Y3503" s="204">
        <f>_xll.qlCalendarAdvance(Calendar,X3503,NDays&amp;"D")</f>
        <v>63405</v>
      </c>
      <c r="Z3503" s="205" t="e">
        <v>#N/A</v>
      </c>
      <c r="AA3503" s="207" t="e">
        <v>#N/A</v>
      </c>
    </row>
    <row r="3504" spans="23:27" x14ac:dyDescent="0.2">
      <c r="W3504" s="199" t="str">
        <f t="shared" si="63"/>
        <v>1w</v>
      </c>
      <c r="X3504" s="200">
        <f>_xll.qlCalendarAdvance(Calendar,X3503,W3504,"f",FALSE)</f>
        <v>63410</v>
      </c>
      <c r="Y3504" s="204">
        <f>_xll.qlCalendarAdvance(Calendar,X3504,NDays&amp;"D")</f>
        <v>63412</v>
      </c>
      <c r="Z3504" s="205" t="e">
        <v>#N/A</v>
      </c>
      <c r="AA3504" s="207" t="e">
        <v>#N/A</v>
      </c>
    </row>
    <row r="3505" spans="23:27" x14ac:dyDescent="0.2">
      <c r="W3505" s="199" t="str">
        <f t="shared" si="63"/>
        <v>1w</v>
      </c>
      <c r="X3505" s="200">
        <f>_xll.qlCalendarAdvance(Calendar,X3504,W3505,"f",FALSE)</f>
        <v>63417</v>
      </c>
      <c r="Y3505" s="204">
        <f>_xll.qlCalendarAdvance(Calendar,X3505,NDays&amp;"D")</f>
        <v>63419</v>
      </c>
      <c r="Z3505" s="205" t="e">
        <v>#N/A</v>
      </c>
      <c r="AA3505" s="207" t="e">
        <v>#N/A</v>
      </c>
    </row>
    <row r="3506" spans="23:27" x14ac:dyDescent="0.2">
      <c r="W3506" s="199" t="str">
        <f t="shared" si="63"/>
        <v>1w</v>
      </c>
      <c r="X3506" s="200">
        <f>_xll.qlCalendarAdvance(Calendar,X3505,W3506,"f",FALSE)</f>
        <v>63424</v>
      </c>
      <c r="Y3506" s="204">
        <f>_xll.qlCalendarAdvance(Calendar,X3506,NDays&amp;"D")</f>
        <v>63426</v>
      </c>
      <c r="Z3506" s="205" t="e">
        <v>#N/A</v>
      </c>
      <c r="AA3506" s="207" t="e">
        <v>#N/A</v>
      </c>
    </row>
    <row r="3507" spans="23:27" x14ac:dyDescent="0.2">
      <c r="W3507" s="199" t="str">
        <f t="shared" si="63"/>
        <v>1w</v>
      </c>
      <c r="X3507" s="200">
        <f>_xll.qlCalendarAdvance(Calendar,X3506,W3507,"f",FALSE)</f>
        <v>63431</v>
      </c>
      <c r="Y3507" s="204">
        <f>_xll.qlCalendarAdvance(Calendar,X3507,NDays&amp;"D")</f>
        <v>63433</v>
      </c>
      <c r="Z3507" s="205" t="e">
        <v>#N/A</v>
      </c>
      <c r="AA3507" s="207" t="e">
        <v>#N/A</v>
      </c>
    </row>
    <row r="3508" spans="23:27" x14ac:dyDescent="0.2">
      <c r="W3508" s="199" t="str">
        <f t="shared" si="63"/>
        <v>1w</v>
      </c>
      <c r="X3508" s="200">
        <f>_xll.qlCalendarAdvance(Calendar,X3507,W3508,"f",FALSE)</f>
        <v>63438</v>
      </c>
      <c r="Y3508" s="204">
        <f>_xll.qlCalendarAdvance(Calendar,X3508,NDays&amp;"D")</f>
        <v>63440</v>
      </c>
      <c r="Z3508" s="205" t="e">
        <v>#N/A</v>
      </c>
      <c r="AA3508" s="207" t="e">
        <v>#N/A</v>
      </c>
    </row>
    <row r="3509" spans="23:27" x14ac:dyDescent="0.2">
      <c r="W3509" s="199" t="str">
        <f t="shared" si="63"/>
        <v>1w</v>
      </c>
      <c r="X3509" s="200">
        <f>_xll.qlCalendarAdvance(Calendar,X3508,W3509,"f",FALSE)</f>
        <v>63445</v>
      </c>
      <c r="Y3509" s="204">
        <f>_xll.qlCalendarAdvance(Calendar,X3509,NDays&amp;"D")</f>
        <v>63447</v>
      </c>
      <c r="Z3509" s="205" t="e">
        <v>#N/A</v>
      </c>
      <c r="AA3509" s="207" t="e">
        <v>#N/A</v>
      </c>
    </row>
    <row r="3510" spans="23:27" x14ac:dyDescent="0.2">
      <c r="W3510" s="199" t="str">
        <f t="shared" si="63"/>
        <v>1w</v>
      </c>
      <c r="X3510" s="200">
        <f>_xll.qlCalendarAdvance(Calendar,X3509,W3510,"f",FALSE)</f>
        <v>63452</v>
      </c>
      <c r="Y3510" s="204">
        <f>_xll.qlCalendarAdvance(Calendar,X3510,NDays&amp;"D")</f>
        <v>63454</v>
      </c>
      <c r="Z3510" s="205" t="e">
        <v>#N/A</v>
      </c>
      <c r="AA3510" s="207" t="e">
        <v>#N/A</v>
      </c>
    </row>
    <row r="3511" spans="23:27" x14ac:dyDescent="0.2">
      <c r="W3511" s="199" t="str">
        <f t="shared" si="63"/>
        <v>1w</v>
      </c>
      <c r="X3511" s="200">
        <f>_xll.qlCalendarAdvance(Calendar,X3510,W3511,"f",FALSE)</f>
        <v>63459</v>
      </c>
      <c r="Y3511" s="204">
        <f>_xll.qlCalendarAdvance(Calendar,X3511,NDays&amp;"D")</f>
        <v>63461</v>
      </c>
      <c r="Z3511" s="205" t="e">
        <v>#N/A</v>
      </c>
      <c r="AA3511" s="207" t="e">
        <v>#N/A</v>
      </c>
    </row>
    <row r="3512" spans="23:27" x14ac:dyDescent="0.2">
      <c r="W3512" s="199" t="str">
        <f t="shared" si="63"/>
        <v>1w</v>
      </c>
      <c r="X3512" s="200">
        <f>_xll.qlCalendarAdvance(Calendar,X3511,W3512,"f",FALSE)</f>
        <v>63466</v>
      </c>
      <c r="Y3512" s="204">
        <f>_xll.qlCalendarAdvance(Calendar,X3512,NDays&amp;"D")</f>
        <v>63468</v>
      </c>
      <c r="Z3512" s="205" t="e">
        <v>#N/A</v>
      </c>
      <c r="AA3512" s="207" t="e">
        <v>#N/A</v>
      </c>
    </row>
    <row r="3513" spans="23:27" x14ac:dyDescent="0.2">
      <c r="W3513" s="199" t="str">
        <f t="shared" si="63"/>
        <v>1w</v>
      </c>
      <c r="X3513" s="200">
        <f>_xll.qlCalendarAdvance(Calendar,X3512,W3513,"f",FALSE)</f>
        <v>63473</v>
      </c>
      <c r="Y3513" s="204">
        <f>_xll.qlCalendarAdvance(Calendar,X3513,NDays&amp;"D")</f>
        <v>63475</v>
      </c>
      <c r="Z3513" s="205" t="e">
        <v>#N/A</v>
      </c>
      <c r="AA3513" s="207" t="e">
        <v>#N/A</v>
      </c>
    </row>
    <row r="3514" spans="23:27" x14ac:dyDescent="0.2">
      <c r="W3514" s="199" t="str">
        <f t="shared" si="63"/>
        <v>1w</v>
      </c>
      <c r="X3514" s="200">
        <f>_xll.qlCalendarAdvance(Calendar,X3513,W3514,"f",FALSE)</f>
        <v>63480</v>
      </c>
      <c r="Y3514" s="204">
        <f>_xll.qlCalendarAdvance(Calendar,X3514,NDays&amp;"D")</f>
        <v>63482</v>
      </c>
      <c r="Z3514" s="205" t="e">
        <v>#N/A</v>
      </c>
      <c r="AA3514" s="207" t="e">
        <v>#N/A</v>
      </c>
    </row>
    <row r="3515" spans="23:27" x14ac:dyDescent="0.2">
      <c r="W3515" s="199" t="str">
        <f t="shared" si="63"/>
        <v>1w</v>
      </c>
      <c r="X3515" s="200">
        <f>_xll.qlCalendarAdvance(Calendar,X3514,W3515,"f",FALSE)</f>
        <v>63487</v>
      </c>
      <c r="Y3515" s="204">
        <f>_xll.qlCalendarAdvance(Calendar,X3515,NDays&amp;"D")</f>
        <v>63489</v>
      </c>
      <c r="Z3515" s="205" t="e">
        <v>#N/A</v>
      </c>
      <c r="AA3515" s="207" t="e">
        <v>#N/A</v>
      </c>
    </row>
    <row r="3516" spans="23:27" x14ac:dyDescent="0.2">
      <c r="W3516" s="199" t="str">
        <f t="shared" si="63"/>
        <v>1w</v>
      </c>
      <c r="X3516" s="200">
        <f>_xll.qlCalendarAdvance(Calendar,X3515,W3516,"f",FALSE)</f>
        <v>63494</v>
      </c>
      <c r="Y3516" s="204">
        <f>_xll.qlCalendarAdvance(Calendar,X3516,NDays&amp;"D")</f>
        <v>63496</v>
      </c>
      <c r="Z3516" s="205" t="e">
        <v>#N/A</v>
      </c>
      <c r="AA3516" s="207" t="e">
        <v>#N/A</v>
      </c>
    </row>
    <row r="3517" spans="23:27" x14ac:dyDescent="0.2">
      <c r="W3517" s="199" t="str">
        <f t="shared" si="63"/>
        <v>1w</v>
      </c>
      <c r="X3517" s="200">
        <f>_xll.qlCalendarAdvance(Calendar,X3516,W3517,"f",FALSE)</f>
        <v>63501</v>
      </c>
      <c r="Y3517" s="204">
        <f>_xll.qlCalendarAdvance(Calendar,X3517,NDays&amp;"D")</f>
        <v>63503</v>
      </c>
      <c r="Z3517" s="205" t="e">
        <v>#N/A</v>
      </c>
      <c r="AA3517" s="207" t="e">
        <v>#N/A</v>
      </c>
    </row>
    <row r="3518" spans="23:27" x14ac:dyDescent="0.2">
      <c r="W3518" s="199" t="str">
        <f t="shared" si="63"/>
        <v>1w</v>
      </c>
      <c r="X3518" s="200">
        <f>_xll.qlCalendarAdvance(Calendar,X3517,W3518,"f",FALSE)</f>
        <v>63508</v>
      </c>
      <c r="Y3518" s="204">
        <f>_xll.qlCalendarAdvance(Calendar,X3518,NDays&amp;"D")</f>
        <v>63510</v>
      </c>
      <c r="Z3518" s="205" t="e">
        <v>#N/A</v>
      </c>
      <c r="AA3518" s="207" t="e">
        <v>#N/A</v>
      </c>
    </row>
    <row r="3519" spans="23:27" x14ac:dyDescent="0.2">
      <c r="W3519" s="199" t="str">
        <f t="shared" si="63"/>
        <v>1w</v>
      </c>
      <c r="X3519" s="200">
        <f>_xll.qlCalendarAdvance(Calendar,X3518,W3519,"f",FALSE)</f>
        <v>63515</v>
      </c>
      <c r="Y3519" s="204">
        <f>_xll.qlCalendarAdvance(Calendar,X3519,NDays&amp;"D")</f>
        <v>63517</v>
      </c>
      <c r="Z3519" s="205" t="e">
        <v>#N/A</v>
      </c>
      <c r="AA3519" s="207" t="e">
        <v>#N/A</v>
      </c>
    </row>
    <row r="3520" spans="23:27" x14ac:dyDescent="0.2">
      <c r="W3520" s="199" t="str">
        <f t="shared" si="63"/>
        <v>1w</v>
      </c>
      <c r="X3520" s="200">
        <f>_xll.qlCalendarAdvance(Calendar,X3519,W3520,"f",FALSE)</f>
        <v>63522</v>
      </c>
      <c r="Y3520" s="204">
        <f>_xll.qlCalendarAdvance(Calendar,X3520,NDays&amp;"D")</f>
        <v>63524</v>
      </c>
      <c r="Z3520" s="205" t="e">
        <v>#N/A</v>
      </c>
      <c r="AA3520" s="207" t="e">
        <v>#N/A</v>
      </c>
    </row>
    <row r="3521" spans="23:27" x14ac:dyDescent="0.2">
      <c r="W3521" s="199" t="str">
        <f t="shared" si="63"/>
        <v>1w</v>
      </c>
      <c r="X3521" s="200">
        <f>_xll.qlCalendarAdvance(Calendar,X3520,W3521,"f",FALSE)</f>
        <v>63529</v>
      </c>
      <c r="Y3521" s="204">
        <f>_xll.qlCalendarAdvance(Calendar,X3521,NDays&amp;"D")</f>
        <v>63531</v>
      </c>
      <c r="Z3521" s="205" t="e">
        <v>#N/A</v>
      </c>
      <c r="AA3521" s="207" t="e">
        <v>#N/A</v>
      </c>
    </row>
    <row r="3522" spans="23:27" x14ac:dyDescent="0.2">
      <c r="W3522" s="199" t="str">
        <f t="shared" si="63"/>
        <v>1w</v>
      </c>
      <c r="X3522" s="200">
        <f>_xll.qlCalendarAdvance(Calendar,X3521,W3522,"f",FALSE)</f>
        <v>63536</v>
      </c>
      <c r="Y3522" s="204">
        <f>_xll.qlCalendarAdvance(Calendar,X3522,NDays&amp;"D")</f>
        <v>63538</v>
      </c>
      <c r="Z3522" s="205" t="e">
        <v>#N/A</v>
      </c>
      <c r="AA3522" s="207" t="e">
        <v>#N/A</v>
      </c>
    </row>
    <row r="3523" spans="23:27" x14ac:dyDescent="0.2">
      <c r="W3523" s="199" t="str">
        <f t="shared" si="63"/>
        <v>1w</v>
      </c>
      <c r="X3523" s="200">
        <f>_xll.qlCalendarAdvance(Calendar,X3522,W3523,"f",FALSE)</f>
        <v>63543</v>
      </c>
      <c r="Y3523" s="204">
        <f>_xll.qlCalendarAdvance(Calendar,X3523,NDays&amp;"D")</f>
        <v>63545</v>
      </c>
      <c r="Z3523" s="205" t="e">
        <v>#N/A</v>
      </c>
      <c r="AA3523" s="207" t="e">
        <v>#N/A</v>
      </c>
    </row>
    <row r="3524" spans="23:27" x14ac:dyDescent="0.2">
      <c r="W3524" s="199" t="str">
        <f t="shared" si="63"/>
        <v>1w</v>
      </c>
      <c r="X3524" s="200">
        <f>_xll.qlCalendarAdvance(Calendar,X3523,W3524,"f",FALSE)</f>
        <v>63550</v>
      </c>
      <c r="Y3524" s="204">
        <f>_xll.qlCalendarAdvance(Calendar,X3524,NDays&amp;"D")</f>
        <v>63552</v>
      </c>
      <c r="Z3524" s="205" t="e">
        <v>#N/A</v>
      </c>
      <c r="AA3524" s="207" t="e">
        <v>#N/A</v>
      </c>
    </row>
    <row r="3525" spans="23:27" x14ac:dyDescent="0.2">
      <c r="W3525" s="199" t="str">
        <f t="shared" si="63"/>
        <v>1w</v>
      </c>
      <c r="X3525" s="200">
        <f>_xll.qlCalendarAdvance(Calendar,X3524,W3525,"f",FALSE)</f>
        <v>63557</v>
      </c>
      <c r="Y3525" s="204">
        <f>_xll.qlCalendarAdvance(Calendar,X3525,NDays&amp;"D")</f>
        <v>63559</v>
      </c>
      <c r="Z3525" s="205" t="e">
        <v>#N/A</v>
      </c>
      <c r="AA3525" s="207" t="e">
        <v>#N/A</v>
      </c>
    </row>
    <row r="3526" spans="23:27" x14ac:dyDescent="0.2">
      <c r="W3526" s="199" t="str">
        <f t="shared" si="63"/>
        <v>1w</v>
      </c>
      <c r="X3526" s="200">
        <f>_xll.qlCalendarAdvance(Calendar,X3525,W3526,"f",FALSE)</f>
        <v>63564</v>
      </c>
      <c r="Y3526" s="204">
        <f>_xll.qlCalendarAdvance(Calendar,X3526,NDays&amp;"D")</f>
        <v>63566</v>
      </c>
      <c r="Z3526" s="205" t="e">
        <v>#N/A</v>
      </c>
      <c r="AA3526" s="207" t="e">
        <v>#N/A</v>
      </c>
    </row>
    <row r="3527" spans="23:27" x14ac:dyDescent="0.2">
      <c r="W3527" s="199" t="str">
        <f t="shared" si="63"/>
        <v>1w</v>
      </c>
      <c r="X3527" s="200">
        <f>_xll.qlCalendarAdvance(Calendar,X3526,W3527,"f",FALSE)</f>
        <v>63571</v>
      </c>
      <c r="Y3527" s="204">
        <f>_xll.qlCalendarAdvance(Calendar,X3527,NDays&amp;"D")</f>
        <v>63573</v>
      </c>
      <c r="Z3527" s="205" t="e">
        <v>#N/A</v>
      </c>
      <c r="AA3527" s="207" t="e">
        <v>#N/A</v>
      </c>
    </row>
    <row r="3528" spans="23:27" x14ac:dyDescent="0.2">
      <c r="W3528" s="199" t="str">
        <f t="shared" si="63"/>
        <v>1w</v>
      </c>
      <c r="X3528" s="200">
        <f>_xll.qlCalendarAdvance(Calendar,X3527,W3528,"f",FALSE)</f>
        <v>63578</v>
      </c>
      <c r="Y3528" s="204">
        <f>_xll.qlCalendarAdvance(Calendar,X3528,NDays&amp;"D")</f>
        <v>63580</v>
      </c>
      <c r="Z3528" s="205" t="e">
        <v>#N/A</v>
      </c>
      <c r="AA3528" s="207" t="e">
        <v>#N/A</v>
      </c>
    </row>
    <row r="3529" spans="23:27" x14ac:dyDescent="0.2">
      <c r="W3529" s="199" t="str">
        <f t="shared" si="63"/>
        <v>1w</v>
      </c>
      <c r="X3529" s="200">
        <f>_xll.qlCalendarAdvance(Calendar,X3528,W3529,"f",FALSE)</f>
        <v>63585</v>
      </c>
      <c r="Y3529" s="204">
        <f>_xll.qlCalendarAdvance(Calendar,X3529,NDays&amp;"D")</f>
        <v>63587</v>
      </c>
      <c r="Z3529" s="205" t="e">
        <v>#N/A</v>
      </c>
      <c r="AA3529" s="207" t="e">
        <v>#N/A</v>
      </c>
    </row>
    <row r="3530" spans="23:27" x14ac:dyDescent="0.2">
      <c r="W3530" s="199" t="str">
        <f t="shared" si="63"/>
        <v>1w</v>
      </c>
      <c r="X3530" s="200">
        <f>_xll.qlCalendarAdvance(Calendar,X3529,W3530,"f",FALSE)</f>
        <v>63592</v>
      </c>
      <c r="Y3530" s="204">
        <f>_xll.qlCalendarAdvance(Calendar,X3530,NDays&amp;"D")</f>
        <v>63594</v>
      </c>
      <c r="Z3530" s="205" t="e">
        <v>#N/A</v>
      </c>
      <c r="AA3530" s="207" t="e">
        <v>#N/A</v>
      </c>
    </row>
    <row r="3531" spans="23:27" x14ac:dyDescent="0.2">
      <c r="W3531" s="199" t="str">
        <f t="shared" si="63"/>
        <v>1w</v>
      </c>
      <c r="X3531" s="200">
        <f>_xll.qlCalendarAdvance(Calendar,X3530,W3531,"f",FALSE)</f>
        <v>63599</v>
      </c>
      <c r="Y3531" s="204">
        <f>_xll.qlCalendarAdvance(Calendar,X3531,NDays&amp;"D")</f>
        <v>63601</v>
      </c>
      <c r="Z3531" s="205" t="e">
        <v>#N/A</v>
      </c>
      <c r="AA3531" s="207" t="e">
        <v>#N/A</v>
      </c>
    </row>
    <row r="3532" spans="23:27" x14ac:dyDescent="0.2">
      <c r="W3532" s="199" t="str">
        <f t="shared" si="63"/>
        <v>1w</v>
      </c>
      <c r="X3532" s="200">
        <f>_xll.qlCalendarAdvance(Calendar,X3531,W3532,"f",FALSE)</f>
        <v>63606</v>
      </c>
      <c r="Y3532" s="204">
        <f>_xll.qlCalendarAdvance(Calendar,X3532,NDays&amp;"D")</f>
        <v>63608</v>
      </c>
      <c r="Z3532" s="205" t="e">
        <v>#N/A</v>
      </c>
      <c r="AA3532" s="207" t="e">
        <v>#N/A</v>
      </c>
    </row>
    <row r="3533" spans="23:27" x14ac:dyDescent="0.2">
      <c r="W3533" s="199" t="str">
        <f t="shared" si="63"/>
        <v>1w</v>
      </c>
      <c r="X3533" s="200">
        <f>_xll.qlCalendarAdvance(Calendar,X3532,W3533,"f",FALSE)</f>
        <v>63613</v>
      </c>
      <c r="Y3533" s="204">
        <f>_xll.qlCalendarAdvance(Calendar,X3533,NDays&amp;"D")</f>
        <v>63615</v>
      </c>
      <c r="Z3533" s="205" t="e">
        <v>#N/A</v>
      </c>
      <c r="AA3533" s="207" t="e">
        <v>#N/A</v>
      </c>
    </row>
    <row r="3534" spans="23:27" x14ac:dyDescent="0.2">
      <c r="W3534" s="199" t="str">
        <f t="shared" si="63"/>
        <v>1w</v>
      </c>
      <c r="X3534" s="200">
        <f>_xll.qlCalendarAdvance(Calendar,X3533,W3534,"f",FALSE)</f>
        <v>63620</v>
      </c>
      <c r="Y3534" s="204">
        <f>_xll.qlCalendarAdvance(Calendar,X3534,NDays&amp;"D")</f>
        <v>63622</v>
      </c>
      <c r="Z3534" s="205" t="e">
        <v>#N/A</v>
      </c>
      <c r="AA3534" s="207" t="e">
        <v>#N/A</v>
      </c>
    </row>
    <row r="3535" spans="23:27" x14ac:dyDescent="0.2">
      <c r="W3535" s="199" t="str">
        <f t="shared" si="63"/>
        <v>1w</v>
      </c>
      <c r="X3535" s="200">
        <f>_xll.qlCalendarAdvance(Calendar,X3534,W3535,"f",FALSE)</f>
        <v>63627</v>
      </c>
      <c r="Y3535" s="204">
        <f>_xll.qlCalendarAdvance(Calendar,X3535,NDays&amp;"D")</f>
        <v>63629</v>
      </c>
      <c r="Z3535" s="205" t="e">
        <v>#N/A</v>
      </c>
      <c r="AA3535" s="207" t="e">
        <v>#N/A</v>
      </c>
    </row>
    <row r="3536" spans="23:27" x14ac:dyDescent="0.2">
      <c r="W3536" s="199" t="str">
        <f t="shared" si="63"/>
        <v>1w</v>
      </c>
      <c r="X3536" s="200">
        <f>_xll.qlCalendarAdvance(Calendar,X3535,W3536,"f",FALSE)</f>
        <v>63634</v>
      </c>
      <c r="Y3536" s="204">
        <f>_xll.qlCalendarAdvance(Calendar,X3536,NDays&amp;"D")</f>
        <v>63636</v>
      </c>
      <c r="Z3536" s="205" t="e">
        <v>#N/A</v>
      </c>
      <c r="AA3536" s="207" t="e">
        <v>#N/A</v>
      </c>
    </row>
    <row r="3537" spans="2:27" x14ac:dyDescent="0.2">
      <c r="W3537" s="199" t="str">
        <f t="shared" si="63"/>
        <v>1w</v>
      </c>
      <c r="X3537" s="200">
        <f>_xll.qlCalendarAdvance(Calendar,X3536,W3537,"f",FALSE)</f>
        <v>63641</v>
      </c>
      <c r="Y3537" s="204">
        <f>_xll.qlCalendarAdvance(Calendar,X3537,NDays&amp;"D")</f>
        <v>63643</v>
      </c>
      <c r="Z3537" s="205" t="e">
        <v>#N/A</v>
      </c>
      <c r="AA3537" s="207" t="e">
        <v>#N/A</v>
      </c>
    </row>
    <row r="3538" spans="2:27" x14ac:dyDescent="0.2">
      <c r="W3538" s="199" t="str">
        <f t="shared" si="63"/>
        <v>1w</v>
      </c>
      <c r="X3538" s="200">
        <f>_xll.qlCalendarAdvance(Calendar,X3537,W3538,"f",FALSE)</f>
        <v>63648</v>
      </c>
      <c r="Y3538" s="204">
        <f>_xll.qlCalendarAdvance(Calendar,X3538,NDays&amp;"D")</f>
        <v>63650</v>
      </c>
      <c r="Z3538" s="205" t="e">
        <v>#N/A</v>
      </c>
      <c r="AA3538" s="207" t="e">
        <v>#N/A</v>
      </c>
    </row>
    <row r="3539" spans="2:27" x14ac:dyDescent="0.2">
      <c r="W3539" s="199" t="str">
        <f t="shared" si="63"/>
        <v>1w</v>
      </c>
      <c r="X3539" s="200">
        <f>_xll.qlCalendarAdvance(Calendar,X3538,W3539,"f",FALSE)</f>
        <v>63655</v>
      </c>
      <c r="Y3539" s="204">
        <f>_xll.qlCalendarAdvance(Calendar,X3539,NDays&amp;"D")</f>
        <v>63661</v>
      </c>
      <c r="Z3539" s="205" t="e">
        <v>#N/A</v>
      </c>
      <c r="AA3539" s="207" t="e">
        <v>#N/A</v>
      </c>
    </row>
    <row r="3540" spans="2:27" x14ac:dyDescent="0.2">
      <c r="W3540" s="199" t="str">
        <f t="shared" si="63"/>
        <v>1w</v>
      </c>
      <c r="X3540" s="200">
        <f>_xll.qlCalendarAdvance(Calendar,X3539,W3540,"f",FALSE)</f>
        <v>63662</v>
      </c>
      <c r="Y3540" s="204">
        <f>_xll.qlCalendarAdvance(Calendar,X3540,NDays&amp;"D")</f>
        <v>63664</v>
      </c>
      <c r="Z3540" s="205" t="e">
        <v>#N/A</v>
      </c>
      <c r="AA3540" s="207" t="e">
        <v>#N/A</v>
      </c>
    </row>
    <row r="3541" spans="2:27" x14ac:dyDescent="0.2">
      <c r="W3541" s="199" t="str">
        <f t="shared" ref="W3541:W3552" si="64">W3540</f>
        <v>1w</v>
      </c>
      <c r="X3541" s="200">
        <f>_xll.qlCalendarAdvance(Calendar,X3540,W3541,"f",FALSE)</f>
        <v>63669</v>
      </c>
      <c r="Y3541" s="204">
        <f>_xll.qlCalendarAdvance(Calendar,X3541,NDays&amp;"D")</f>
        <v>63671</v>
      </c>
      <c r="Z3541" s="205" t="e">
        <v>#N/A</v>
      </c>
      <c r="AA3541" s="207" t="e">
        <v>#N/A</v>
      </c>
    </row>
    <row r="3542" spans="2:27" x14ac:dyDescent="0.2">
      <c r="W3542" s="199" t="str">
        <f t="shared" si="64"/>
        <v>1w</v>
      </c>
      <c r="X3542" s="200">
        <f>_xll.qlCalendarAdvance(Calendar,X3541,W3542,"f",FALSE)</f>
        <v>63676</v>
      </c>
      <c r="Y3542" s="204">
        <f>_xll.qlCalendarAdvance(Calendar,X3542,NDays&amp;"D")</f>
        <v>63678</v>
      </c>
      <c r="Z3542" s="205" t="e">
        <v>#N/A</v>
      </c>
      <c r="AA3542" s="207" t="e">
        <v>#N/A</v>
      </c>
    </row>
    <row r="3543" spans="2:27" x14ac:dyDescent="0.2">
      <c r="B3543" s="200"/>
      <c r="C3543" s="204"/>
      <c r="D3543" s="205"/>
      <c r="E3543" s="205"/>
      <c r="W3543" s="199" t="str">
        <f t="shared" si="64"/>
        <v>1w</v>
      </c>
      <c r="X3543" s="200">
        <f>_xll.qlCalendarAdvance(Calendar,X3542,W3543,"f",FALSE)</f>
        <v>63683</v>
      </c>
      <c r="Y3543" s="204">
        <f>_xll.qlCalendarAdvance(Calendar,X3543,NDays&amp;"D")</f>
        <v>63685</v>
      </c>
      <c r="Z3543" s="205" t="e">
        <v>#N/A</v>
      </c>
      <c r="AA3543" s="207" t="e">
        <v>#N/A</v>
      </c>
    </row>
    <row r="3544" spans="2:27" x14ac:dyDescent="0.2">
      <c r="B3544" s="200"/>
      <c r="C3544" s="204"/>
      <c r="D3544" s="205"/>
      <c r="E3544" s="205"/>
      <c r="W3544" s="199" t="str">
        <f t="shared" si="64"/>
        <v>1w</v>
      </c>
      <c r="X3544" s="200">
        <f>_xll.qlCalendarAdvance(Calendar,X3543,W3544,"f",FALSE)</f>
        <v>63690</v>
      </c>
      <c r="Y3544" s="204">
        <f>_xll.qlCalendarAdvance(Calendar,X3544,NDays&amp;"D")</f>
        <v>63692</v>
      </c>
      <c r="Z3544" s="205" t="e">
        <v>#N/A</v>
      </c>
      <c r="AA3544" s="207" t="e">
        <v>#N/A</v>
      </c>
    </row>
    <row r="3545" spans="2:27" x14ac:dyDescent="0.2">
      <c r="B3545" s="200"/>
      <c r="C3545" s="204"/>
      <c r="D3545" s="205"/>
      <c r="E3545" s="205"/>
      <c r="W3545" s="199" t="str">
        <f t="shared" si="64"/>
        <v>1w</v>
      </c>
      <c r="X3545" s="200">
        <f>_xll.qlCalendarAdvance(Calendar,X3544,W3545,"f",FALSE)</f>
        <v>63697</v>
      </c>
      <c r="Y3545" s="204">
        <f>_xll.qlCalendarAdvance(Calendar,X3545,NDays&amp;"D")</f>
        <v>63699</v>
      </c>
      <c r="Z3545" s="205" t="e">
        <v>#N/A</v>
      </c>
      <c r="AA3545" s="207" t="e">
        <v>#N/A</v>
      </c>
    </row>
    <row r="3546" spans="2:27" x14ac:dyDescent="0.2">
      <c r="B3546" s="200"/>
      <c r="C3546" s="204"/>
      <c r="D3546" s="205"/>
      <c r="E3546" s="205"/>
      <c r="W3546" s="199" t="str">
        <f t="shared" si="64"/>
        <v>1w</v>
      </c>
      <c r="X3546" s="200">
        <f>_xll.qlCalendarAdvance(Calendar,X3545,W3546,"f",FALSE)</f>
        <v>63704</v>
      </c>
      <c r="Y3546" s="204">
        <f>_xll.qlCalendarAdvance(Calendar,X3546,NDays&amp;"D")</f>
        <v>63706</v>
      </c>
      <c r="Z3546" s="205" t="e">
        <v>#N/A</v>
      </c>
      <c r="AA3546" s="207" t="e">
        <v>#N/A</v>
      </c>
    </row>
    <row r="3547" spans="2:27" x14ac:dyDescent="0.2">
      <c r="B3547" s="200"/>
      <c r="C3547" s="204"/>
      <c r="D3547" s="205"/>
      <c r="E3547" s="205"/>
      <c r="W3547" s="199" t="str">
        <f t="shared" si="64"/>
        <v>1w</v>
      </c>
      <c r="X3547" s="200">
        <f>_xll.qlCalendarAdvance(Calendar,X3546,W3547,"f",FALSE)</f>
        <v>63711</v>
      </c>
      <c r="Y3547" s="204">
        <f>_xll.qlCalendarAdvance(Calendar,X3547,NDays&amp;"D")</f>
        <v>63713</v>
      </c>
      <c r="Z3547" s="205" t="e">
        <v>#N/A</v>
      </c>
      <c r="AA3547" s="207" t="e">
        <v>#N/A</v>
      </c>
    </row>
    <row r="3548" spans="2:27" x14ac:dyDescent="0.2">
      <c r="B3548" s="200"/>
      <c r="C3548" s="204"/>
      <c r="D3548" s="205"/>
      <c r="E3548" s="205"/>
      <c r="W3548" s="199" t="str">
        <f t="shared" si="64"/>
        <v>1w</v>
      </c>
      <c r="X3548" s="200">
        <f>_xll.qlCalendarAdvance(Calendar,X3547,W3548,"f",FALSE)</f>
        <v>63718</v>
      </c>
      <c r="Y3548" s="204">
        <f>_xll.qlCalendarAdvance(Calendar,X3548,NDays&amp;"D")</f>
        <v>63720</v>
      </c>
      <c r="Z3548" s="205" t="e">
        <v>#N/A</v>
      </c>
      <c r="AA3548" s="207" t="e">
        <v>#N/A</v>
      </c>
    </row>
    <row r="3549" spans="2:27" x14ac:dyDescent="0.2">
      <c r="B3549" s="200"/>
      <c r="C3549" s="204"/>
      <c r="D3549" s="205"/>
      <c r="E3549" s="205"/>
      <c r="W3549" s="199" t="str">
        <f t="shared" si="64"/>
        <v>1w</v>
      </c>
      <c r="X3549" s="200">
        <f>_xll.qlCalendarAdvance(Calendar,X3548,W3549,"f",FALSE)</f>
        <v>63725</v>
      </c>
      <c r="Y3549" s="204">
        <f>_xll.qlCalendarAdvance(Calendar,X3549,NDays&amp;"D")</f>
        <v>63727</v>
      </c>
      <c r="Z3549" s="205" t="e">
        <v>#N/A</v>
      </c>
      <c r="AA3549" s="207" t="e">
        <v>#N/A</v>
      </c>
    </row>
    <row r="3550" spans="2:27" x14ac:dyDescent="0.2">
      <c r="B3550" s="200"/>
      <c r="C3550" s="204"/>
      <c r="D3550" s="205"/>
      <c r="E3550" s="205"/>
      <c r="W3550" s="199" t="str">
        <f t="shared" si="64"/>
        <v>1w</v>
      </c>
      <c r="X3550" s="200">
        <f>_xll.qlCalendarAdvance(Calendar,X3549,W3550,"f",FALSE)</f>
        <v>63732</v>
      </c>
      <c r="Y3550" s="204">
        <f>_xll.qlCalendarAdvance(Calendar,X3550,NDays&amp;"D")</f>
        <v>63734</v>
      </c>
      <c r="Z3550" s="205" t="e">
        <v>#N/A</v>
      </c>
      <c r="AA3550" s="207" t="e">
        <v>#N/A</v>
      </c>
    </row>
    <row r="3551" spans="2:27" x14ac:dyDescent="0.2">
      <c r="B3551" s="200"/>
      <c r="C3551" s="204"/>
      <c r="D3551" s="205"/>
      <c r="E3551" s="205"/>
      <c r="W3551" s="199" t="str">
        <f t="shared" si="64"/>
        <v>1w</v>
      </c>
      <c r="X3551" s="200">
        <f>_xll.qlCalendarAdvance(Calendar,X3550,W3551,"f",FALSE)</f>
        <v>63739</v>
      </c>
      <c r="Y3551" s="204">
        <f>_xll.qlCalendarAdvance(Calendar,X3551,NDays&amp;"D")</f>
        <v>63741</v>
      </c>
      <c r="Z3551" s="205" t="e">
        <v>#N/A</v>
      </c>
      <c r="AA3551" s="207" t="e">
        <v>#N/A</v>
      </c>
    </row>
    <row r="3552" spans="2:27" ht="12" thickBot="1" x14ac:dyDescent="0.25">
      <c r="B3552" s="200"/>
      <c r="C3552" s="204"/>
      <c r="D3552" s="205"/>
      <c r="E3552" s="205"/>
      <c r="W3552" s="211" t="str">
        <f t="shared" si="64"/>
        <v>1w</v>
      </c>
      <c r="X3552" s="214">
        <f>_xll.qlCalendarAdvance(Calendar,X3551,W3552,"f",FALSE)</f>
        <v>63746</v>
      </c>
      <c r="Y3552" s="221">
        <f>_xll.qlCalendarAdvance(Calendar,X3552,NDays&amp;"D")</f>
        <v>63748</v>
      </c>
      <c r="Z3552" s="206" t="e">
        <v>#N/A</v>
      </c>
      <c r="AA3552" s="208" t="e">
        <v>#N/A</v>
      </c>
    </row>
    <row r="3553" spans="2:22" x14ac:dyDescent="0.2">
      <c r="B3553" s="200"/>
      <c r="C3553" s="204"/>
      <c r="D3553" s="205"/>
      <c r="E3553" s="205"/>
      <c r="V3553" s="212"/>
    </row>
    <row r="3554" spans="2:22" x14ac:dyDescent="0.2">
      <c r="B3554" s="200"/>
      <c r="C3554" s="204"/>
      <c r="D3554" s="205"/>
      <c r="E3554" s="205"/>
      <c r="V3554" s="212"/>
    </row>
    <row r="3555" spans="2:22" x14ac:dyDescent="0.2">
      <c r="B3555" s="200"/>
      <c r="C3555" s="204"/>
      <c r="D3555" s="205"/>
      <c r="E3555" s="205"/>
      <c r="V3555" s="212"/>
    </row>
    <row r="3556" spans="2:22" x14ac:dyDescent="0.2">
      <c r="B3556" s="200"/>
      <c r="C3556" s="204"/>
      <c r="D3556" s="205"/>
      <c r="E3556" s="205"/>
      <c r="V3556" s="212"/>
    </row>
    <row r="3557" spans="2:22" x14ac:dyDescent="0.2">
      <c r="B3557" s="200"/>
      <c r="C3557" s="204"/>
      <c r="D3557" s="205"/>
      <c r="E3557" s="205"/>
      <c r="V3557" s="212"/>
    </row>
    <row r="3558" spans="2:22" x14ac:dyDescent="0.2">
      <c r="B3558" s="200"/>
      <c r="C3558" s="204"/>
      <c r="D3558" s="205"/>
      <c r="E3558" s="205"/>
      <c r="V3558" s="212"/>
    </row>
    <row r="3559" spans="2:22" x14ac:dyDescent="0.2">
      <c r="B3559" s="200"/>
      <c r="C3559" s="204"/>
      <c r="D3559" s="205"/>
      <c r="E3559" s="205"/>
      <c r="V3559" s="212"/>
    </row>
    <row r="3560" spans="2:22" x14ac:dyDescent="0.2">
      <c r="B3560" s="200"/>
      <c r="C3560" s="204"/>
      <c r="D3560" s="205"/>
      <c r="E3560" s="205"/>
    </row>
  </sheetData>
  <dataConsolidate/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42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Swaps</vt:lpstr>
      <vt:lpstr>SwapsFromBasis</vt:lpstr>
      <vt:lpstr>Monitor</vt:lpstr>
      <vt:lpstr>Accuracy</vt:lpstr>
      <vt:lpstr>BondBasisDayCounter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Swaps!DiscountingCurve</vt:lpstr>
      <vt:lpstr>SwapsFromBasis!DiscountingCurve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Swap1MConventions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2014-01-14T15:19:46Z</dcterms:created>
  <dcterms:modified xsi:type="dcterms:W3CDTF">2014-06-24T07:30:52Z</dcterms:modified>
</cp:coreProperties>
</file>